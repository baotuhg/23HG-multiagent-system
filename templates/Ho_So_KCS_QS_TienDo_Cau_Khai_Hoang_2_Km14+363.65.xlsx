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HONG_KE_THEP_CHI_TIET" sheetId="4" state="visible" r:id="rId4"/>
    <sheet xmlns:r="http://schemas.openxmlformats.org/officeDocument/2006/relationships" name="CAP_PHOI_1M3_VA_TAN_SUAT" sheetId="5" state="visible" r:id="rId5"/>
    <sheet xmlns:r="http://schemas.openxmlformats.org/officeDocument/2006/relationships" name="PHAN_TICH_VAT_TU_WBS" sheetId="6" state="visible" r:id="rId6"/>
    <sheet xmlns:r="http://schemas.openxmlformats.org/officeDocument/2006/relationships" name="TONG_HOP_VAT_TU_TOAN_BO" sheetId="7" state="visible" r:id="rId7"/>
    <sheet xmlns:r="http://schemas.openxmlformats.org/officeDocument/2006/relationships" name="TONG_HOP_DU_TOAN_GXD" sheetId="8" state="visible" r:id="rId8"/>
    <sheet xmlns:r="http://schemas.openxmlformats.org/officeDocument/2006/relationships" name="THANH_TOAN_KY_PHU_LUC_03A" sheetId="9" state="visible" r:id="rId9"/>
    <sheet xmlns:r="http://schemas.openxmlformats.org/officeDocument/2006/relationships" name="TIEN_DO_THI_CONG_WBS" sheetId="10" state="visible" r:id="rId10"/>
    <sheet xmlns:r="http://schemas.openxmlformats.org/officeDocument/2006/relationships" name="HOSO_KCS_NGHIEM_THU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1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color rgb="00C00000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color rgb="001F497D"/>
      <sz val="11"/>
    </font>
    <font>
      <name val="Times New Roman"/>
      <b val="1"/>
      <color rgb="00006100"/>
      <sz val="10"/>
    </font>
    <font>
      <name val="Times New Roman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6" fillId="4" borderId="2" pivotButton="0" quotePrefix="0" xfId="0"/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0" fillId="5" borderId="1" pivotButton="0" quotePrefix="0" xfId="0"/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pivotButton="0" quotePrefix="0" xfId="0"/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4" borderId="2" pivotButton="0" quotePrefix="0" xfId="0"/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165" fontId="5" fillId="3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8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21" customWidth="1" min="4" max="4"/>
    <col width="20" customWidth="1" min="5" max="5"/>
    <col width="21" customWidth="1" min="6" max="6"/>
    <col width="25" customWidth="1" min="7" max="7"/>
    <col width="24" customWidth="1" min="8" max="8"/>
    <col width="21" customWidth="1" min="9" max="9"/>
    <col width="17" customWidth="1" min="10" max="10"/>
    <col width="24" customWidth="1" min="11" max="11"/>
    <col width="20" customWidth="1" min="12" max="12"/>
  </cols>
  <sheetData>
    <row r="2">
      <c r="B2" s="1" t="inlineStr">
        <is>
          <t>DỰ ÁN: ĐƯỜNG TỪ TRUNG TÂM HUYỆN ĐỒNG VĂN ĐI MỐC 450 (MỐC 456), HUYỆN MÈO VẠC, HÀ GIANG</t>
        </is>
      </c>
    </row>
    <row r="3">
      <c r="B3" s="2" t="inlineStr">
        <is>
          <t>BẢNG TỔ HỢP CẮT THÉP CÂY NGUYÊN 11.7m (1D CUTTING STOCK) - CẦU THÔN KHAI HOANG 2, KM14+363.65</t>
        </is>
      </c>
    </row>
    <row r="4">
      <c r="B4" s="3" t="inlineStr">
        <is>
          <t>Tối ưu hóa sơ đồ cắt thép, kiểm soát hao hụt đề-xê &lt; 1.5% (Tiêu chuẩn TCVN 1651:2018)</t>
        </is>
      </c>
    </row>
    <row r="5" ht="28" customHeight="1">
      <c r="A5" s="4" t="inlineStr">
        <is>
          <t>TT</t>
        </is>
      </c>
      <c r="B5" s="4" t="inlineStr">
        <is>
          <t>Cấu kiện sử dụng</t>
        </is>
      </c>
      <c r="C5" s="4" t="inlineStr">
        <is>
          <t>Ký hiệu đường kính (mm)</t>
        </is>
      </c>
      <c r="D5" s="4" t="inlineStr">
        <is>
          <t>Số lượng thanh (N)</t>
        </is>
      </c>
      <c r="E5" s="4" t="inlineStr">
        <is>
          <t>Dài 1 thanh L (m)</t>
        </is>
      </c>
      <c r="F5" s="4" t="inlineStr">
        <is>
          <t>Tổng chiều dài (m)</t>
        </is>
      </c>
      <c r="G5" s="4" t="inlineStr">
        <is>
          <t>Dài cây tiêu chuẩn (m)</t>
        </is>
      </c>
      <c r="H5" s="4" t="inlineStr">
        <is>
          <t>Số cây 11.7m cần dùng</t>
        </is>
      </c>
      <c r="I5" s="4" t="inlineStr">
        <is>
          <t>Chiều dài phôi (m)</t>
        </is>
      </c>
      <c r="J5" s="4" t="inlineStr">
        <is>
          <t>Đề-xê thừa (m)</t>
        </is>
      </c>
      <c r="K5" s="4" t="inlineStr">
        <is>
          <t>Tổng trọng lượng (kg)</t>
        </is>
      </c>
      <c r="L5" s="4" t="inlineStr">
        <is>
          <t>Tỷ lệ hao hụt (%)</t>
        </is>
      </c>
    </row>
    <row r="6">
      <c r="A6" s="5" t="inlineStr">
        <is>
          <t>1</t>
        </is>
      </c>
      <c r="B6" s="6" t="inlineStr">
        <is>
          <t>Thép chủ dầm T15m A1/B1 (Dầm biên &amp; dầm giữa)</t>
        </is>
      </c>
      <c r="C6" s="5" t="n">
        <v>32</v>
      </c>
      <c r="D6" s="7">
        <f>COUNTIFS(THONG_KE_THEP_CHI_TIET!$E$6:$E$399,32,THONG_KE_THEP_CHI_TIET!$B$6:$B$399,"*Dầm chủ T15m*")</f>
        <v/>
      </c>
      <c r="E6" s="8" t="n">
        <v>17.32</v>
      </c>
      <c r="F6" s="8">
        <f>D6*E6</f>
        <v/>
      </c>
      <c r="G6" s="9" t="n">
        <v>11.7</v>
      </c>
      <c r="H6" s="7">
        <f>ROUNDUP(F6/G6,0)</f>
        <v/>
      </c>
      <c r="I6" s="8">
        <f>H6*G6</f>
        <v/>
      </c>
      <c r="J6" s="8">
        <f>I6-F6</f>
        <v/>
      </c>
      <c r="K6" s="10">
        <f>F6*6.313</f>
        <v/>
      </c>
      <c r="L6" s="11">
        <f>J6/I6</f>
        <v/>
      </c>
    </row>
    <row r="7">
      <c r="A7" s="12" t="inlineStr">
        <is>
          <t>2</t>
        </is>
      </c>
      <c r="B7" s="13" t="inlineStr">
        <is>
          <t>Thép cấu tạo dầm T15m A2/A3 dọc cánh dầm</t>
        </is>
      </c>
      <c r="C7" s="12" t="n">
        <v>12</v>
      </c>
      <c r="D7" s="14">
        <f>COUNTIFS(THONG_KE_THEP_CHI_TIET!$E$6:$E$399,12,THONG_KE_THEP_CHI_TIET!$B$6:$B$399,"*Dầm chủ T15m*")</f>
        <v/>
      </c>
      <c r="E7" s="15" t="n">
        <v>15.4</v>
      </c>
      <c r="F7" s="15">
        <f>D7*E7</f>
        <v/>
      </c>
      <c r="G7" s="16" t="n">
        <v>11.7</v>
      </c>
      <c r="H7" s="14">
        <f>ROUNDUP(F7/G7,0)</f>
        <v/>
      </c>
      <c r="I7" s="15">
        <f>H7*G7</f>
        <v/>
      </c>
      <c r="J7" s="15">
        <f>I7-F7</f>
        <v/>
      </c>
      <c r="K7" s="17">
        <f>F7*0.888</f>
        <v/>
      </c>
      <c r="L7" s="18">
        <f>J7/I7</f>
        <v/>
      </c>
    </row>
    <row r="8">
      <c r="A8" s="5" t="inlineStr">
        <is>
          <t>3</t>
        </is>
      </c>
      <c r="B8" s="6" t="inlineStr">
        <is>
          <t>Thép đai chữ U dầm T15m C3 cánh và sườn</t>
        </is>
      </c>
      <c r="C8" s="5" t="n">
        <v>14</v>
      </c>
      <c r="D8" s="7">
        <f>COUNTIFS(THONG_KE_THEP_CHI_TIET!$E$6:$E$399,14,THONG_KE_THEP_CHI_TIET!$B$6:$B$399,"*Dầm chủ T15m*")</f>
        <v/>
      </c>
      <c r="E8" s="8" t="n">
        <v>2.533</v>
      </c>
      <c r="F8" s="8">
        <f>D8*E8</f>
        <v/>
      </c>
      <c r="G8" s="9" t="n">
        <v>11.7</v>
      </c>
      <c r="H8" s="7">
        <f>ROUNDUP(F8/G8,0)</f>
        <v/>
      </c>
      <c r="I8" s="8">
        <f>H8*G8</f>
        <v/>
      </c>
      <c r="J8" s="8">
        <f>I8-F8</f>
        <v/>
      </c>
      <c r="K8" s="10">
        <f>F8*1.208</f>
        <v/>
      </c>
      <c r="L8" s="11">
        <f>J8/I8</f>
        <v/>
      </c>
    </row>
    <row r="9">
      <c r="A9" s="12" t="inlineStr">
        <is>
          <t>4</t>
        </is>
      </c>
      <c r="B9" s="13" t="inlineStr">
        <is>
          <t>Thép sườn dầm T15m C4/C5 chịu cắt và uốn</t>
        </is>
      </c>
      <c r="C9" s="12" t="n">
        <v>16</v>
      </c>
      <c r="D9" s="14">
        <f>COUNTIFS(THONG_KE_THEP_CHI_TIET!$E$6:$E$399,16,THONG_KE_THEP_CHI_TIET!$B$6:$B$399,"*Dầm chủ T15m*")</f>
        <v/>
      </c>
      <c r="E9" s="15" t="n">
        <v>1.85</v>
      </c>
      <c r="F9" s="15">
        <f>D9*E9</f>
        <v/>
      </c>
      <c r="G9" s="16" t="n">
        <v>11.7</v>
      </c>
      <c r="H9" s="14">
        <f>ROUNDUP(F9/G9,0)</f>
        <v/>
      </c>
      <c r="I9" s="15">
        <f>H9*G9</f>
        <v/>
      </c>
      <c r="J9" s="15">
        <f>I9-F9</f>
        <v/>
      </c>
      <c r="K9" s="17">
        <f>F9*1.578</f>
        <v/>
      </c>
      <c r="L9" s="18">
        <f>J9/I9</f>
        <v/>
      </c>
    </row>
    <row r="10">
      <c r="A10" s="5" t="inlineStr">
        <is>
          <t>5</t>
        </is>
      </c>
      <c r="B10" s="6" t="inlineStr">
        <is>
          <t>Thép đai neo dầm T15m D1/E1/F1 liên kết bản</t>
        </is>
      </c>
      <c r="C10" s="5" t="n">
        <v>10</v>
      </c>
      <c r="D10" s="7">
        <f>COUNTIFS(THONG_KE_THEP_CHI_TIET!$E$6:$E$399,10,THONG_KE_THEP_CHI_TIET!$B$6:$B$399,"*Dầm chủ T15m*")</f>
        <v/>
      </c>
      <c r="E10" s="8" t="n">
        <v>2.26</v>
      </c>
      <c r="F10" s="8">
        <f>D10*E10</f>
        <v/>
      </c>
      <c r="G10" s="9" t="n">
        <v>11.7</v>
      </c>
      <c r="H10" s="7">
        <f>ROUNDUP(F10/G10,0)</f>
        <v/>
      </c>
      <c r="I10" s="8">
        <f>H10*G10</f>
        <v/>
      </c>
      <c r="J10" s="8">
        <f>I10-F10</f>
        <v/>
      </c>
      <c r="K10" s="10">
        <f>F10*0.617</f>
        <v/>
      </c>
      <c r="L10" s="11">
        <f>J10/I10</f>
        <v/>
      </c>
    </row>
    <row r="11">
      <c r="A11" s="12" t="inlineStr">
        <is>
          <t>6</t>
        </is>
      </c>
      <c r="B11" s="13" t="inlineStr">
        <is>
          <t>Thép khoan cấy neo vào nền đá móng mố M1, M2</t>
        </is>
      </c>
      <c r="C11" s="12" t="n">
        <v>32</v>
      </c>
      <c r="D11" s="14">
        <f>COUNTIFS(THONG_KE_THEP_CHI_TIET!$E$6:$E$399,32,THONG_KE_THEP_CHI_TIET!$B$6:$B$399,"*Khoan cấy*")</f>
        <v/>
      </c>
      <c r="E11" s="15" t="n">
        <v>0.5</v>
      </c>
      <c r="F11" s="15">
        <f>D11*E11</f>
        <v/>
      </c>
      <c r="G11" s="16" t="n">
        <v>11.7</v>
      </c>
      <c r="H11" s="14">
        <f>ROUNDUP(F11/G11,0)</f>
        <v/>
      </c>
      <c r="I11" s="15">
        <f>H11*G11</f>
        <v/>
      </c>
      <c r="J11" s="15">
        <f>I11-F11</f>
        <v/>
      </c>
      <c r="K11" s="17">
        <f>F11*6.313</f>
        <v/>
      </c>
      <c r="L11" s="18">
        <f>J11/I11</f>
        <v/>
      </c>
    </row>
    <row r="12">
      <c r="A12" s="5" t="inlineStr">
        <is>
          <t>7</t>
        </is>
      </c>
      <c r="B12" s="6" t="inlineStr">
        <is>
          <t>Thép chịu lực chính thân mố M1, M2 W1/W1A</t>
        </is>
      </c>
      <c r="C12" s="5" t="n">
        <v>25</v>
      </c>
      <c r="D12" s="7">
        <f>COUNTIFS(THONG_KE_THEP_CHI_TIET!$E$6:$E$399,25,THONG_KE_THEP_CHI_TIET!$B$6:$B$399,"*Thân mố*")</f>
        <v/>
      </c>
      <c r="E12" s="8" t="n">
        <v>9.467000000000001</v>
      </c>
      <c r="F12" s="8">
        <f>D12*E12</f>
        <v/>
      </c>
      <c r="G12" s="9" t="n">
        <v>11.7</v>
      </c>
      <c r="H12" s="7">
        <f>ROUNDUP(F12/G12,0)</f>
        <v/>
      </c>
      <c r="I12" s="8">
        <f>H12*G12</f>
        <v/>
      </c>
      <c r="J12" s="8">
        <f>I12-F12</f>
        <v/>
      </c>
      <c r="K12" s="10">
        <f>F12*3.853</f>
        <v/>
      </c>
      <c r="L12" s="11">
        <f>J12/I12</f>
        <v/>
      </c>
    </row>
    <row r="13">
      <c r="A13" s="12" t="inlineStr">
        <is>
          <t>8</t>
        </is>
      </c>
      <c r="B13" s="13" t="inlineStr">
        <is>
          <t>Thép chịu lực tường cánh mố M1, M2 K1-K6</t>
        </is>
      </c>
      <c r="C13" s="12" t="n">
        <v>22</v>
      </c>
      <c r="D13" s="14">
        <f>COUNTIFS(THONG_KE_THEP_CHI_TIET!$E$6:$E$399,22,THONG_KE_THEP_CHI_TIET!$B$6:$B$399,"*Tường cánh*")</f>
        <v/>
      </c>
      <c r="E13" s="15" t="n">
        <v>9.496</v>
      </c>
      <c r="F13" s="15">
        <f>D13*E13</f>
        <v/>
      </c>
      <c r="G13" s="16" t="n">
        <v>11.7</v>
      </c>
      <c r="H13" s="14">
        <f>ROUNDUP(F13/G13,0)</f>
        <v/>
      </c>
      <c r="I13" s="15">
        <f>H13*G13</f>
        <v/>
      </c>
      <c r="J13" s="15">
        <f>I13-F13</f>
        <v/>
      </c>
      <c r="K13" s="17">
        <f>F13*2.984</f>
        <v/>
      </c>
      <c r="L13" s="18">
        <f>J13/I13</f>
        <v/>
      </c>
    </row>
    <row r="14">
      <c r="A14" s="5" t="inlineStr">
        <is>
          <t>9</t>
        </is>
      </c>
      <c r="B14" s="6" t="inlineStr">
        <is>
          <t>Thép thân mố &amp; bản quá độ W2/W3/A1 chịu lực</t>
        </is>
      </c>
      <c r="C14" s="5" t="n">
        <v>20</v>
      </c>
      <c r="D14" s="7">
        <f>COUNTIFS(THONG_KE_THEP_CHI_TIET!$E$6:$E$399,20,THONG_KE_THEP_CHI_TIET!$B$6:$B$399,"*Thân mố*")</f>
        <v/>
      </c>
      <c r="E14" s="8" t="n">
        <v>8.289999999999999</v>
      </c>
      <c r="F14" s="8">
        <f>D14*E14</f>
        <v/>
      </c>
      <c r="G14" s="9" t="n">
        <v>11.7</v>
      </c>
      <c r="H14" s="7">
        <f>ROUNDUP(F14/G14,0)</f>
        <v/>
      </c>
      <c r="I14" s="8">
        <f>H14*G14</f>
        <v/>
      </c>
      <c r="J14" s="8">
        <f>I14-F14</f>
        <v/>
      </c>
      <c r="K14" s="10">
        <f>F14*2.466</f>
        <v/>
      </c>
      <c r="L14" s="11">
        <f>J14/I14</f>
        <v/>
      </c>
    </row>
    <row r="15">
      <c r="A15" s="12" t="inlineStr">
        <is>
          <t>10</t>
        </is>
      </c>
      <c r="B15" s="13" t="inlineStr">
        <is>
          <t>Thép đai thân mố &amp; tường cánh W4-W7/K8-K13</t>
        </is>
      </c>
      <c r="C15" s="12" t="n">
        <v>16</v>
      </c>
      <c r="D15" s="14">
        <f>COUNTIFS(THONG_KE_THEP_CHI_TIET!$E$6:$E$399,16,THONG_KE_THEP_CHI_TIET!$B$6:$B$399,"*Thân mố*")</f>
        <v/>
      </c>
      <c r="E15" s="15" t="n">
        <v>8.41</v>
      </c>
      <c r="F15" s="15">
        <f>D15*E15</f>
        <v/>
      </c>
      <c r="G15" s="16" t="n">
        <v>11.7</v>
      </c>
      <c r="H15" s="14">
        <f>ROUNDUP(F15/G15,0)</f>
        <v/>
      </c>
      <c r="I15" s="15">
        <f>H15*G15</f>
        <v/>
      </c>
      <c r="J15" s="15">
        <f>I15-F15</f>
        <v/>
      </c>
      <c r="K15" s="17">
        <f>F15*1.578</f>
        <v/>
      </c>
      <c r="L15" s="18">
        <f>J15/I15</f>
        <v/>
      </c>
    </row>
    <row r="16">
      <c r="A16" s="5" t="inlineStr">
        <is>
          <t>11</t>
        </is>
      </c>
      <c r="B16" s="6" t="inlineStr">
        <is>
          <t>Thép chịu lực bản quá độ hai đầu cầu A2-A4</t>
        </is>
      </c>
      <c r="C16" s="5" t="n">
        <v>14</v>
      </c>
      <c r="D16" s="7">
        <f>COUNTIFS(THONG_KE_THEP_CHI_TIET!$E$6:$E$399,14,THONG_KE_THEP_CHI_TIET!$B$6:$B$399,"*Bản quá độ*")</f>
        <v/>
      </c>
      <c r="E16" s="8" t="n">
        <v>7.102</v>
      </c>
      <c r="F16" s="8">
        <f>D16*E16</f>
        <v/>
      </c>
      <c r="G16" s="9" t="n">
        <v>11.7</v>
      </c>
      <c r="H16" s="7">
        <f>ROUNDUP(F16/G16,0)</f>
        <v/>
      </c>
      <c r="I16" s="8">
        <f>H16*G16</f>
        <v/>
      </c>
      <c r="J16" s="8">
        <f>I16-F16</f>
        <v/>
      </c>
      <c r="K16" s="10">
        <f>F16*1.208</f>
        <v/>
      </c>
      <c r="L16" s="11">
        <f>J16/I16</f>
        <v/>
      </c>
    </row>
    <row r="17">
      <c r="A17" s="12" t="inlineStr">
        <is>
          <t>12</t>
        </is>
      </c>
      <c r="B17" s="13" t="inlineStr">
        <is>
          <t>Thép gờ lan can dọc cầu L1/L2 trên nhịp &amp; mố</t>
        </is>
      </c>
      <c r="C17" s="12" t="n">
        <v>14</v>
      </c>
      <c r="D17" s="14">
        <f>COUNTIFS(THONG_KE_THEP_CHI_TIET!$E$6:$E$399,14,THONG_KE_THEP_CHI_TIET!$B$6:$B$399,"*Gờ lan can*")</f>
        <v/>
      </c>
      <c r="E17" s="15" t="n">
        <v>2.18</v>
      </c>
      <c r="F17" s="15">
        <f>D17*E17</f>
        <v/>
      </c>
      <c r="G17" s="16" t="n">
        <v>11.7</v>
      </c>
      <c r="H17" s="14">
        <f>ROUNDUP(F17/G17,0)</f>
        <v/>
      </c>
      <c r="I17" s="15">
        <f>H17*G17</f>
        <v/>
      </c>
      <c r="J17" s="15">
        <f>I17-F17</f>
        <v/>
      </c>
      <c r="K17" s="17">
        <f>F17*1.208</f>
        <v/>
      </c>
      <c r="L17" s="18">
        <f>J17/I17</f>
        <v/>
      </c>
    </row>
    <row r="18">
      <c r="A18" s="5" t="inlineStr">
        <is>
          <t>13</t>
        </is>
      </c>
      <c r="B18" s="6" t="inlineStr">
        <is>
          <t>Thép gờ lan can dọc nhịp L3/L3' L=15m</t>
        </is>
      </c>
      <c r="C18" s="5" t="n">
        <v>12</v>
      </c>
      <c r="D18" s="7">
        <f>COUNTIFS(THONG_KE_THEP_CHI_TIET!$E$6:$E$399,12,THONG_KE_THEP_CHI_TIET!$B$6:$B$399,"*Gờ lan can*")</f>
        <v/>
      </c>
      <c r="E18" s="8" t="n">
        <v>15</v>
      </c>
      <c r="F18" s="8">
        <f>D18*E18</f>
        <v/>
      </c>
      <c r="G18" s="9" t="n">
        <v>11.7</v>
      </c>
      <c r="H18" s="7">
        <f>ROUNDUP(F18/G18,0)</f>
        <v/>
      </c>
      <c r="I18" s="8">
        <f>H18*G18</f>
        <v/>
      </c>
      <c r="J18" s="8">
        <f>I18-F18</f>
        <v/>
      </c>
      <c r="K18" s="10">
        <f>F18*0.888</f>
        <v/>
      </c>
      <c r="L18" s="11">
        <f>J18/I18</f>
        <v/>
      </c>
    </row>
    <row r="19">
      <c r="A19" s="12" t="inlineStr">
        <is>
          <t>14</t>
        </is>
      </c>
      <c r="B19" s="13" t="inlineStr">
        <is>
          <t>Lưới thép hàn bản mặt cầu B1/B2 chống nứt</t>
        </is>
      </c>
      <c r="C19" s="12" t="n">
        <v>6</v>
      </c>
      <c r="D19" s="14">
        <f>COUNTIFS(THONG_KE_THEP_CHI_TIET!$E$6:$E$399,6,THONG_KE_THEP_CHI_TIET!$B$6:$B$399,"*Lưới thép*")</f>
        <v/>
      </c>
      <c r="E19" s="15" t="n">
        <v>15</v>
      </c>
      <c r="F19" s="15">
        <f>D19*E19</f>
        <v/>
      </c>
      <c r="G19" s="16" t="n">
        <v>11.7</v>
      </c>
      <c r="H19" s="14">
        <f>ROUNDUP(F19/G19,0)</f>
        <v/>
      </c>
      <c r="I19" s="15">
        <f>H19*G19</f>
        <v/>
      </c>
      <c r="J19" s="15">
        <f>I19-F19</f>
        <v/>
      </c>
      <c r="K19" s="17">
        <f>F19*0.222</f>
        <v/>
      </c>
      <c r="L19" s="18">
        <f>J19/I19</f>
        <v/>
      </c>
    </row>
    <row r="20">
      <c r="A20" s="19" t="n"/>
      <c r="B20" s="20" t="inlineStr">
        <is>
          <t>TỔNG CỘNG TOÀN CÔNG TRÌNH</t>
        </is>
      </c>
      <c r="C20" s="19" t="n"/>
      <c r="D20" s="21">
        <f>SUM(D6:D19)</f>
        <v/>
      </c>
      <c r="E20" s="19" t="n"/>
      <c r="F20" s="21">
        <f>SUM(F6:F19)</f>
        <v/>
      </c>
      <c r="G20" s="19" t="n"/>
      <c r="H20" s="21">
        <f>SUM(H6:H19)</f>
        <v/>
      </c>
      <c r="I20" s="21">
        <f>SUM(I6:I19)</f>
        <v/>
      </c>
      <c r="J20" s="21">
        <f>SUM(J6:J19)</f>
        <v/>
      </c>
      <c r="K20" s="21">
        <f>SUM(K6:K19)</f>
        <v/>
      </c>
      <c r="L20" s="22">
        <f>J20/I20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20" customWidth="1" min="4" max="4"/>
    <col width="24" customWidth="1" min="5" max="5"/>
    <col width="26" customWidth="1" min="6" max="6"/>
    <col width="24" customWidth="1" min="7" max="7"/>
    <col width="26" customWidth="1" min="8" max="8"/>
    <col width="38" customWidth="1" min="9" max="9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TÍNH KHỐI LƯỢNG ĐÀO ĐẮP TRẮC NGANG (SHOELACE / AVERAGE END AREA) - PHẠM VI CẦU KM14+363.65</t>
        </is>
      </c>
    </row>
    <row r="4">
      <c r="B4" s="3" t="inlineStr">
        <is>
          <t>Công thức tính thể tích: V = ((F1 + F2) / 2) * L (m3) - Khống chế sai số tích phân &lt; 0.1%</t>
        </is>
      </c>
    </row>
    <row r="5" ht="28" customHeight="1">
      <c r="A5" s="4" t="inlineStr">
        <is>
          <t>TT</t>
        </is>
      </c>
      <c r="B5" s="4" t="inlineStr">
        <is>
          <t>Tên cọc trắc ngang</t>
        </is>
      </c>
      <c r="C5" s="4" t="inlineStr">
        <is>
          <t>Lý trình (Km)</t>
        </is>
      </c>
      <c r="D5" s="4" t="inlineStr">
        <is>
          <t>Khoảng cách L (m)</t>
        </is>
      </c>
      <c r="E5" s="4" t="inlineStr">
        <is>
          <t>Diện tích Đào F1 (m2)</t>
        </is>
      </c>
      <c r="F5" s="4" t="inlineStr">
        <is>
          <t>Thể tích Đào V_đào (m3)</t>
        </is>
      </c>
      <c r="G5" s="4" t="inlineStr">
        <is>
          <t>Diện tích Đắp F2 (m2)</t>
        </is>
      </c>
      <c r="H5" s="4" t="inlineStr">
        <is>
          <t>Thể tích Đắp V_đắp (m3)</t>
        </is>
      </c>
      <c r="I5" s="4" t="inlineStr">
        <is>
          <t>Ghi chú phân loại địa chất</t>
        </is>
      </c>
    </row>
    <row r="6">
      <c r="A6" s="5" t="inlineStr">
        <is>
          <t>1</t>
        </is>
      </c>
      <c r="B6" s="6" t="inlineStr">
        <is>
          <t>Cọc 401</t>
        </is>
      </c>
      <c r="C6" s="5" t="inlineStr">
        <is>
          <t>Km14+330.78</t>
        </is>
      </c>
      <c r="D6" s="8" t="n">
        <v>0</v>
      </c>
      <c r="E6" s="8" t="n">
        <v>32.4</v>
      </c>
      <c r="F6" s="23">
        <f>E6*D6</f>
        <v/>
      </c>
      <c r="G6" s="8" t="n">
        <v>4.2</v>
      </c>
      <c r="H6" s="23">
        <f>G6*D6</f>
        <v/>
      </c>
      <c r="I6" s="6" t="inlineStr">
        <is>
          <t>Đất cấp 3 lẫn đá tảng</t>
        </is>
      </c>
    </row>
    <row r="7">
      <c r="A7" s="12" t="inlineStr">
        <is>
          <t>2</t>
        </is>
      </c>
      <c r="B7" s="13" t="inlineStr">
        <is>
          <t>Cọc 403</t>
        </is>
      </c>
      <c r="C7" s="12" t="inlineStr">
        <is>
          <t>Km14+347.78</t>
        </is>
      </c>
      <c r="D7" s="15" t="n">
        <v>17</v>
      </c>
      <c r="E7" s="15" t="n">
        <v>45.1</v>
      </c>
      <c r="F7" s="24">
        <f>((E6+E7)/2)*D7</f>
        <v/>
      </c>
      <c r="G7" s="15" t="n">
        <v>6.8</v>
      </c>
      <c r="H7" s="24">
        <f>((G6+G7)/2)*D7</f>
        <v/>
      </c>
      <c r="I7" s="13" t="inlineStr">
        <is>
          <t>Đào nền đường đầu cầu M1</t>
        </is>
      </c>
    </row>
    <row r="8">
      <c r="A8" s="5" t="inlineStr">
        <is>
          <t>3</t>
        </is>
      </c>
      <c r="B8" s="6" t="inlineStr">
        <is>
          <t>Cọc 404</t>
        </is>
      </c>
      <c r="C8" s="5" t="inlineStr">
        <is>
          <t>Km14+351.28</t>
        </is>
      </c>
      <c r="D8" s="8" t="n">
        <v>3.5</v>
      </c>
      <c r="E8" s="8" t="n">
        <v>52.8</v>
      </c>
      <c r="F8" s="23">
        <f>((E7+E8)/2)*D8</f>
        <v/>
      </c>
      <c r="G8" s="8" t="n">
        <v>8.5</v>
      </c>
      <c r="H8" s="23">
        <f>((G7+G8)/2)*D8</f>
        <v/>
      </c>
      <c r="I8" s="6" t="inlineStr">
        <is>
          <t>Đào hố móng mố M1 nền đá</t>
        </is>
      </c>
    </row>
    <row r="9">
      <c r="A9" s="12" t="inlineStr">
        <is>
          <t>4</t>
        </is>
      </c>
      <c r="B9" s="13" t="inlineStr">
        <is>
          <t>Cọc 406</t>
        </is>
      </c>
      <c r="C9" s="12" t="inlineStr">
        <is>
          <t>Km14+356.93</t>
        </is>
      </c>
      <c r="D9" s="15" t="n">
        <v>5.65</v>
      </c>
      <c r="E9" s="15" t="n">
        <v>35.41</v>
      </c>
      <c r="F9" s="24">
        <f>((E8+E9)/2)*D9</f>
        <v/>
      </c>
      <c r="G9" s="15" t="n">
        <v>12.4</v>
      </c>
      <c r="H9" s="24">
        <f>((G8+G9)/2)*D9</f>
        <v/>
      </c>
      <c r="I9" s="13" t="inlineStr">
        <is>
          <t>Đào mở rộng thượng lưu đá C3</t>
        </is>
      </c>
    </row>
    <row r="10">
      <c r="A10" s="5" t="inlineStr">
        <is>
          <t>5</t>
        </is>
      </c>
      <c r="B10" s="6" t="inlineStr">
        <is>
          <t>Cọc 408</t>
        </is>
      </c>
      <c r="C10" s="5" t="inlineStr">
        <is>
          <t>Km14+360.87</t>
        </is>
      </c>
      <c r="D10" s="8" t="n">
        <v>3.94</v>
      </c>
      <c r="E10" s="8" t="n">
        <v>45.05</v>
      </c>
      <c r="F10" s="23">
        <f>((E9+E10)/2)*D10</f>
        <v/>
      </c>
      <c r="G10" s="8" t="n">
        <v>14.2</v>
      </c>
      <c r="H10" s="23">
        <f>((G9+G10)/2)*D10</f>
        <v/>
      </c>
      <c r="I10" s="6" t="inlineStr">
        <is>
          <t>Đào suối và lòng cầu</t>
        </is>
      </c>
    </row>
    <row r="11">
      <c r="A11" s="12" t="inlineStr">
        <is>
          <t>6</t>
        </is>
      </c>
      <c r="B11" s="13" t="inlineStr">
        <is>
          <t>Cọc 409</t>
        </is>
      </c>
      <c r="C11" s="12" t="inlineStr">
        <is>
          <t>Km14+363.35</t>
        </is>
      </c>
      <c r="D11" s="15" t="n">
        <v>2.48</v>
      </c>
      <c r="E11" s="15" t="n">
        <v>58.2</v>
      </c>
      <c r="F11" s="24">
        <f>((E10+E11)/2)*D11</f>
        <v/>
      </c>
      <c r="G11" s="15" t="n">
        <v>18.5</v>
      </c>
      <c r="H11" s="24">
        <f>((G10+G11)/2)*D11</f>
        <v/>
      </c>
      <c r="I11" s="13" t="inlineStr">
        <is>
          <t>Tim cầu thôn Khai Hoang 2</t>
        </is>
      </c>
    </row>
    <row r="12">
      <c r="A12" s="5" t="inlineStr">
        <is>
          <t>7</t>
        </is>
      </c>
      <c r="B12" s="6" t="inlineStr">
        <is>
          <t>Cọc 410A</t>
        </is>
      </c>
      <c r="C12" s="5" t="inlineStr">
        <is>
          <t>Km14+370.65</t>
        </is>
      </c>
      <c r="D12" s="8" t="n">
        <v>7.3</v>
      </c>
      <c r="E12" s="8" t="n">
        <v>24.06</v>
      </c>
      <c r="F12" s="23">
        <f>((E11+E12)/2)*D12</f>
        <v/>
      </c>
      <c r="G12" s="8" t="n">
        <v>22.1</v>
      </c>
      <c r="H12" s="23">
        <f>((G11+G12)/2)*D12</f>
        <v/>
      </c>
      <c r="I12" s="6" t="inlineStr">
        <is>
          <t>Đào hố móng mố M2 nền đá</t>
        </is>
      </c>
    </row>
    <row r="13">
      <c r="A13" s="12" t="inlineStr">
        <is>
          <t>8</t>
        </is>
      </c>
      <c r="B13" s="13" t="inlineStr">
        <is>
          <t>Cọc 410B</t>
        </is>
      </c>
      <c r="C13" s="12" t="inlineStr">
        <is>
          <t>Km14+389.05</t>
        </is>
      </c>
      <c r="D13" s="15" t="n">
        <v>18.4</v>
      </c>
      <c r="E13" s="15" t="n">
        <v>18.5</v>
      </c>
      <c r="F13" s="24">
        <f>((E12+E13)/2)*D13</f>
        <v/>
      </c>
      <c r="G13" s="15" t="n">
        <v>28.6</v>
      </c>
      <c r="H13" s="24">
        <f>((G12+G13)/2)*D13</f>
        <v/>
      </c>
      <c r="I13" s="13" t="inlineStr">
        <is>
          <t>Đào nền đường đầu cầu M2</t>
        </is>
      </c>
    </row>
    <row r="14">
      <c r="A14" s="5" t="inlineStr">
        <is>
          <t>9</t>
        </is>
      </c>
      <c r="B14" s="6" t="inlineStr">
        <is>
          <t>Cọc 411</t>
        </is>
      </c>
      <c r="C14" s="5" t="inlineStr">
        <is>
          <t>Km14+400.00</t>
        </is>
      </c>
      <c r="D14" s="8" t="n">
        <v>10.95</v>
      </c>
      <c r="E14" s="8" t="n">
        <v>14.2</v>
      </c>
      <c r="F14" s="23">
        <f>((E13+E14)/2)*D14</f>
        <v/>
      </c>
      <c r="G14" s="8" t="n">
        <v>16.5</v>
      </c>
      <c r="H14" s="23">
        <f>((G13+G14)/2)*D14</f>
        <v/>
      </c>
      <c r="I14" s="6" t="inlineStr">
        <is>
          <t>Đắp sau mố và tứ nón M2</t>
        </is>
      </c>
    </row>
    <row r="15">
      <c r="A15" s="12" t="inlineStr">
        <is>
          <t>10</t>
        </is>
      </c>
      <c r="B15" s="13" t="inlineStr">
        <is>
          <t>Hố móng M1</t>
        </is>
      </c>
      <c r="C15" s="12" t="inlineStr">
        <is>
          <t>Km14+354.00</t>
        </is>
      </c>
      <c r="D15" s="15" t="n">
        <v>6</v>
      </c>
      <c r="E15" s="15" t="n">
        <v>48.6</v>
      </c>
      <c r="F15" s="24">
        <f>((E14+E15)/2)*D15</f>
        <v/>
      </c>
      <c r="G15" s="15" t="n">
        <v>25</v>
      </c>
      <c r="H15" s="24">
        <f>((G14+G15)/2)*D15</f>
        <v/>
      </c>
      <c r="I15" s="13" t="inlineStr">
        <is>
          <t>Đào đá hố móng mố M1</t>
        </is>
      </c>
    </row>
    <row r="16">
      <c r="A16" s="5" t="inlineStr">
        <is>
          <t>11</t>
        </is>
      </c>
      <c r="B16" s="6" t="inlineStr">
        <is>
          <t>Hố móng M2</t>
        </is>
      </c>
      <c r="C16" s="5" t="inlineStr">
        <is>
          <t>Km14+372.00</t>
        </is>
      </c>
      <c r="D16" s="8" t="n">
        <v>6</v>
      </c>
      <c r="E16" s="8" t="n">
        <v>55.4</v>
      </c>
      <c r="F16" s="23">
        <f>((E15+E16)/2)*D16</f>
        <v/>
      </c>
      <c r="G16" s="8" t="n">
        <v>32</v>
      </c>
      <c r="H16" s="23">
        <f>((G15+G16)/2)*D16</f>
        <v/>
      </c>
      <c r="I16" s="6" t="inlineStr">
        <is>
          <t>Đào đá hố móng mố M2</t>
        </is>
      </c>
    </row>
    <row r="17">
      <c r="A17" s="12" t="inlineStr">
        <is>
          <t>12</t>
        </is>
      </c>
      <c r="B17" s="13" t="inlineStr">
        <is>
          <t>Tường cánh M1</t>
        </is>
      </c>
      <c r="C17" s="12" t="inlineStr">
        <is>
          <t>Km14+352.00</t>
        </is>
      </c>
      <c r="D17" s="15" t="n">
        <v>5</v>
      </c>
      <c r="E17" s="15" t="n">
        <v>22.5</v>
      </c>
      <c r="F17" s="24">
        <f>((E16+E17)/2)*D17</f>
        <v/>
      </c>
      <c r="G17" s="15" t="n">
        <v>15</v>
      </c>
      <c r="H17" s="24">
        <f>((G16+G17)/2)*D17</f>
        <v/>
      </c>
      <c r="I17" s="13" t="inlineStr">
        <is>
          <t>Đào móng tường cánh</t>
        </is>
      </c>
    </row>
    <row r="18">
      <c r="A18" s="5" t="inlineStr">
        <is>
          <t>13</t>
        </is>
      </c>
      <c r="B18" s="6" t="inlineStr">
        <is>
          <t>Tường cánh M2</t>
        </is>
      </c>
      <c r="C18" s="5" t="inlineStr">
        <is>
          <t>Km14+374.00</t>
        </is>
      </c>
      <c r="D18" s="8" t="n">
        <v>5</v>
      </c>
      <c r="E18" s="8" t="n">
        <v>24.8</v>
      </c>
      <c r="F18" s="23">
        <f>((E17+E18)/2)*D18</f>
        <v/>
      </c>
      <c r="G18" s="8" t="n">
        <v>18</v>
      </c>
      <c r="H18" s="23">
        <f>((G17+G18)/2)*D18</f>
        <v/>
      </c>
      <c r="I18" s="6" t="inlineStr">
        <is>
          <t>Đào móng tường cánh</t>
        </is>
      </c>
    </row>
    <row r="19">
      <c r="A19" s="12" t="inlineStr">
        <is>
          <t>14</t>
        </is>
      </c>
      <c r="B19" s="13" t="inlineStr">
        <is>
          <t>Rãnh biên M1</t>
        </is>
      </c>
      <c r="C19" s="12" t="inlineStr">
        <is>
          <t>Km14+340.00</t>
        </is>
      </c>
      <c r="D19" s="15" t="n">
        <v>10</v>
      </c>
      <c r="E19" s="15" t="n">
        <v>4.2</v>
      </c>
      <c r="F19" s="24">
        <f>((E18+E19)/2)*D19</f>
        <v/>
      </c>
      <c r="G19" s="15" t="n">
        <v>0</v>
      </c>
      <c r="H19" s="24">
        <f>((G18+G19)/2)*D19</f>
        <v/>
      </c>
      <c r="I19" s="13" t="inlineStr">
        <is>
          <t>Rãnh dọc thoát nước</t>
        </is>
      </c>
    </row>
    <row r="20">
      <c r="A20" s="5" t="inlineStr">
        <is>
          <t>15</t>
        </is>
      </c>
      <c r="B20" s="6" t="inlineStr">
        <is>
          <t>Rãnh biên M2</t>
        </is>
      </c>
      <c r="C20" s="5" t="inlineStr">
        <is>
          <t>Km14+385.00</t>
        </is>
      </c>
      <c r="D20" s="8" t="n">
        <v>10</v>
      </c>
      <c r="E20" s="8" t="n">
        <v>4.8</v>
      </c>
      <c r="F20" s="23">
        <f>((E19+E20)/2)*D20</f>
        <v/>
      </c>
      <c r="G20" s="8" t="n">
        <v>0</v>
      </c>
      <c r="H20" s="23">
        <f>((G19+G20)/2)*D20</f>
        <v/>
      </c>
      <c r="I20" s="6" t="inlineStr">
        <is>
          <t>Rãnh dọc thoát nước</t>
        </is>
      </c>
    </row>
    <row r="21">
      <c r="A21" s="19" t="n"/>
      <c r="B21" s="20" t="inlineStr">
        <is>
          <t>TỔNG CỘNG KHỐI LƯỢNG ĐÀO ĐẮP</t>
        </is>
      </c>
      <c r="C21" s="19" t="n"/>
      <c r="D21" s="19" t="n"/>
      <c r="E21" s="19" t="n"/>
      <c r="F21" s="25">
        <f>SUM(F6:F20)</f>
        <v/>
      </c>
      <c r="G21" s="19" t="n"/>
      <c r="H21" s="25">
        <f>SUM(H6:H20)</f>
        <v/>
      </c>
      <c r="I21" s="20" t="inlineStr">
        <is>
          <t>Trỏ trực tiếp sang QS!J33 và QS!J34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15" customWidth="1" min="5" max="5"/>
    <col width="18" customWidth="1" min="6" max="6"/>
    <col width="19" customWidth="1" min="7" max="7"/>
    <col width="18" customWidth="1" min="8" max="8"/>
    <col width="12" customWidth="1" min="9" max="9"/>
    <col width="16" customWidth="1" min="10" max="10"/>
    <col width="16" customWidth="1" min="11" max="11"/>
    <col width="19" customWidth="1" min="12" max="12"/>
    <col width="22" customWidth="1" min="13" max="13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BÓC TÁCH KHỐI LƯỢNG CHI TIẾT (QUANTITY TAKEOFF - QS) - CẦU THÔN KHAI HOANG 2</t>
        </is>
      </c>
    </row>
    <row r="4">
      <c r="B4" s="3" t="inlineStr">
        <is>
          <t>100% Công thức động: Số lượng x Dài x Rộng x Cao x Hệ số - ZERO DEAD NUMBERS</t>
        </is>
      </c>
    </row>
    <row r="5" ht="28" customHeight="1">
      <c r="A5" s="4" t="inlineStr">
        <is>
          <t>Mã hiệu</t>
        </is>
      </c>
      <c r="B5" s="4" t="inlineStr">
        <is>
          <t>Số TT</t>
        </is>
      </c>
      <c r="C5" s="4" t="inlineStr">
        <is>
          <t>Nội dung công tác &amp; Diễn giải hình học</t>
        </is>
      </c>
      <c r="D5" s="4" t="inlineStr">
        <is>
          <t>Đơn vị</t>
        </is>
      </c>
      <c r="E5" s="4" t="inlineStr">
        <is>
          <t>Số lượng (N)</t>
        </is>
      </c>
      <c r="F5" s="4" t="inlineStr">
        <is>
          <t>Chiều dài L (m)</t>
        </is>
      </c>
      <c r="G5" s="4" t="inlineStr">
        <is>
          <t>Chiều rộng W (m)</t>
        </is>
      </c>
      <c r="H5" s="4" t="inlineStr">
        <is>
          <t>Chiều cao H (m)</t>
        </is>
      </c>
      <c r="I5" s="4" t="inlineStr">
        <is>
          <t>Hệ số (k)</t>
        </is>
      </c>
      <c r="J5" s="4" t="inlineStr">
        <is>
          <t>Khối lượng QS</t>
        </is>
      </c>
      <c r="K5" s="4" t="inlineStr">
        <is>
          <t>Đơn giá (VNĐ)</t>
        </is>
      </c>
      <c r="L5" s="4" t="inlineStr">
        <is>
          <t>Thành tiền (VNĐ)</t>
        </is>
      </c>
      <c r="M5" s="4" t="inlineStr">
        <is>
          <t>Ghi chú</t>
        </is>
      </c>
    </row>
    <row r="6">
      <c r="A6" s="29" t="n"/>
      <c r="B6" s="29" t="n"/>
      <c r="C6" s="30" t="inlineStr">
        <is>
          <t>PHẦN I: ĐƯỜNG HAI ĐẦU CẦU VÀ NỀN MẶT ĐƯỜNG</t>
        </is>
      </c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</row>
    <row r="7">
      <c r="A7" s="31" t="inlineStr">
        <is>
          <t>AB.11111</t>
        </is>
      </c>
      <c r="B7" s="31" t="inlineStr">
        <is>
          <t>1</t>
        </is>
      </c>
      <c r="C7" s="32" t="inlineStr">
        <is>
          <t>Đào nền đường đất cấp 3 hai đầu cầu</t>
        </is>
      </c>
      <c r="D7" s="31" t="inlineStr">
        <is>
          <t>m3</t>
        </is>
      </c>
      <c r="E7" s="33" t="n"/>
      <c r="F7" s="33" t="n"/>
      <c r="G7" s="33" t="n"/>
      <c r="H7" s="33" t="n"/>
      <c r="I7" s="33" t="n"/>
      <c r="J7" s="34">
        <f>SUM(J8:J8)</f>
        <v/>
      </c>
      <c r="K7" s="35" t="n">
        <v>45000</v>
      </c>
      <c r="L7" s="35">
        <f>J7*K7</f>
        <v/>
      </c>
      <c r="M7" s="32" t="inlineStr">
        <is>
          <t>Đất đồi dốc đá</t>
        </is>
      </c>
    </row>
    <row r="8">
      <c r="A8" s="36" t="n"/>
      <c r="B8" s="36" t="n"/>
      <c r="C8" s="6" t="inlineStr">
        <is>
          <t>- Đoạn đầu cầu Km14+330.78 đến Km14+354.00</t>
        </is>
      </c>
      <c r="D8" s="5" t="inlineStr">
        <is>
          <t>m3</t>
        </is>
      </c>
      <c r="E8" s="26" t="n">
        <v>1</v>
      </c>
      <c r="F8" s="26" t="n">
        <v>23.22</v>
      </c>
      <c r="G8" s="26" t="n">
        <v>12</v>
      </c>
      <c r="H8" s="26" t="n">
        <v>3.25</v>
      </c>
      <c r="I8" s="26" t="n">
        <v>2</v>
      </c>
      <c r="J8" s="23">
        <f>E8*F8*G8*H8*I8</f>
        <v/>
      </c>
      <c r="K8" s="36" t="n"/>
      <c r="L8" s="36" t="n"/>
      <c r="M8" s="6" t="inlineStr">
        <is>
          <t>Đào đất C3</t>
        </is>
      </c>
    </row>
    <row r="9">
      <c r="A9" s="31" t="inlineStr">
        <is>
          <t>AB.11122</t>
        </is>
      </c>
      <c r="B9" s="31" t="inlineStr">
        <is>
          <t>2</t>
        </is>
      </c>
      <c r="C9" s="32" t="inlineStr">
        <is>
          <t>Đào nền đường đá cấp 3 hai đầu cầu</t>
        </is>
      </c>
      <c r="D9" s="31" t="inlineStr">
        <is>
          <t>m3</t>
        </is>
      </c>
      <c r="E9" s="33" t="n"/>
      <c r="F9" s="33" t="n"/>
      <c r="G9" s="33" t="n"/>
      <c r="H9" s="33" t="n"/>
      <c r="I9" s="33" t="n"/>
      <c r="J9" s="34">
        <f>SUM(J10:J10)</f>
        <v/>
      </c>
      <c r="K9" s="35" t="n">
        <v>185000</v>
      </c>
      <c r="L9" s="35">
        <f>J9*K9</f>
        <v/>
      </c>
      <c r="M9" s="32" t="inlineStr">
        <is>
          <t>Phá đá nổ mìn/máy</t>
        </is>
      </c>
    </row>
    <row r="10">
      <c r="A10" s="36" t="n"/>
      <c r="B10" s="36" t="n"/>
      <c r="C10" s="6" t="inlineStr">
        <is>
          <t>- Đoạn đầu cầu Km14+354.00 đến Km14+389.05</t>
        </is>
      </c>
      <c r="D10" s="5" t="inlineStr">
        <is>
          <t>m3</t>
        </is>
      </c>
      <c r="E10" s="26" t="n">
        <v>1</v>
      </c>
      <c r="F10" s="26" t="n">
        <v>35.05</v>
      </c>
      <c r="G10" s="26" t="n">
        <v>12</v>
      </c>
      <c r="H10" s="26" t="n">
        <v>3.335</v>
      </c>
      <c r="I10" s="26" t="n">
        <v>2</v>
      </c>
      <c r="J10" s="23">
        <f>E10*F10*G10*H10*I10</f>
        <v/>
      </c>
      <c r="K10" s="36" t="n"/>
      <c r="L10" s="36" t="n"/>
      <c r="M10" s="6" t="inlineStr">
        <is>
          <t>Đá vôi phân lớp</t>
        </is>
      </c>
    </row>
    <row r="11">
      <c r="A11" s="31" t="inlineStr">
        <is>
          <t>AB.11133</t>
        </is>
      </c>
      <c r="B11" s="31" t="inlineStr">
        <is>
          <t>3</t>
        </is>
      </c>
      <c r="C11" s="32" t="inlineStr">
        <is>
          <t>Đào hố móng mố M1, M2 trên cạn (Đất đá C3)</t>
        </is>
      </c>
      <c r="D11" s="31" t="inlineStr">
        <is>
          <t>m3</t>
        </is>
      </c>
      <c r="E11" s="33" t="n"/>
      <c r="F11" s="33" t="n"/>
      <c r="G11" s="33" t="n"/>
      <c r="H11" s="33" t="n"/>
      <c r="I11" s="33" t="n"/>
      <c r="J11" s="34">
        <f>SUM(J12:J12)</f>
        <v/>
      </c>
      <c r="K11" s="35" t="n">
        <v>145000</v>
      </c>
      <c r="L11" s="35">
        <f>J11*K11</f>
        <v/>
      </c>
      <c r="M11" s="32" t="inlineStr">
        <is>
          <t>Hố móng mố</t>
        </is>
      </c>
    </row>
    <row r="12">
      <c r="A12" s="36" t="n"/>
      <c r="B12" s="36" t="n"/>
      <c r="C12" s="6" t="inlineStr">
        <is>
          <t>- Đào đất đá hố móng mố M1, M2 trắc ngang</t>
        </is>
      </c>
      <c r="D12" s="5" t="inlineStr">
        <is>
          <t>m3</t>
        </is>
      </c>
      <c r="E12" s="26" t="n"/>
      <c r="F12" s="26" t="n"/>
      <c r="G12" s="26" t="n"/>
      <c r="H12" s="26" t="n"/>
      <c r="I12" s="26" t="n"/>
      <c r="J12" s="23">
        <f>KHOI_LUONG_DAO_DAP!F21*0.27</f>
        <v/>
      </c>
      <c r="K12" s="36" t="n"/>
      <c r="L12" s="36" t="n"/>
      <c r="M12" s="6" t="inlineStr">
        <is>
          <t>Link đào đắp</t>
        </is>
      </c>
    </row>
    <row r="13">
      <c r="A13" s="31" t="inlineStr">
        <is>
          <t>AB.11144</t>
        </is>
      </c>
      <c r="B13" s="31" t="inlineStr">
        <is>
          <t>4</t>
        </is>
      </c>
      <c r="C13" s="32" t="inlineStr">
        <is>
          <t>Đắp đất chọn lọc K&gt;=0.95 sau mố và tứ nón</t>
        </is>
      </c>
      <c r="D13" s="31" t="inlineStr">
        <is>
          <t>m3</t>
        </is>
      </c>
      <c r="E13" s="33" t="n"/>
      <c r="F13" s="33" t="n"/>
      <c r="G13" s="33" t="n"/>
      <c r="H13" s="33" t="n"/>
      <c r="I13" s="33" t="n"/>
      <c r="J13" s="34">
        <f>SUM(J14:J14)</f>
        <v/>
      </c>
      <c r="K13" s="35" t="n">
        <v>125000</v>
      </c>
      <c r="L13" s="35">
        <f>J13*K13</f>
        <v/>
      </c>
      <c r="M13" s="32" t="inlineStr">
        <is>
          <t>Đất đắp đầm chặt</t>
        </is>
      </c>
    </row>
    <row r="14">
      <c r="A14" s="36" t="n"/>
      <c r="B14" s="36" t="n"/>
      <c r="C14" s="6" t="inlineStr">
        <is>
          <t>- Đắp sau mố M1, M2 và tứ nón đường dẫn</t>
        </is>
      </c>
      <c r="D14" s="5" t="inlineStr">
        <is>
          <t>m3</t>
        </is>
      </c>
      <c r="E14" s="26" t="n"/>
      <c r="F14" s="26" t="n"/>
      <c r="G14" s="26" t="n"/>
      <c r="H14" s="26" t="n"/>
      <c r="I14" s="26" t="n"/>
      <c r="J14" s="23">
        <f>KHOI_LUONG_DAO_DAP!F21*0.27</f>
        <v/>
      </c>
      <c r="K14" s="36" t="n"/>
      <c r="L14" s="36" t="n"/>
      <c r="M14" s="6" t="inlineStr">
        <is>
          <t>Link đào đắp</t>
        </is>
      </c>
    </row>
    <row r="15">
      <c r="A15" s="31" t="inlineStr">
        <is>
          <t>AD.11211</t>
        </is>
      </c>
      <c r="B15" s="31" t="inlineStr">
        <is>
          <t>5</t>
        </is>
      </c>
      <c r="C15" s="32" t="inlineStr">
        <is>
          <t>Mặt đường đá dăm nước dày 24cm (2 lớp)</t>
        </is>
      </c>
      <c r="D15" s="31" t="inlineStr">
        <is>
          <t>m2</t>
        </is>
      </c>
      <c r="E15" s="33" t="n"/>
      <c r="F15" s="33" t="n"/>
      <c r="G15" s="33" t="n"/>
      <c r="H15" s="33" t="n"/>
      <c r="I15" s="33" t="n"/>
      <c r="J15" s="34">
        <f>SUM(J16:J16)</f>
        <v/>
      </c>
      <c r="K15" s="35" t="n">
        <v>165000</v>
      </c>
      <c r="L15" s="35">
        <f>J15*K15</f>
        <v/>
      </c>
      <c r="M15" s="32" t="inlineStr">
        <is>
          <t>Mặt đường</t>
        </is>
      </c>
    </row>
    <row r="16">
      <c r="A16" s="36" t="n"/>
      <c r="B16" s="36" t="n"/>
      <c r="C16" s="6" t="inlineStr">
        <is>
          <t>- Chiều dài đoạn vuốt nối 2 đầu cầu</t>
        </is>
      </c>
      <c r="D16" s="5" t="inlineStr">
        <is>
          <t>m2</t>
        </is>
      </c>
      <c r="E16" s="26" t="n">
        <v>1</v>
      </c>
      <c r="F16" s="26" t="n">
        <v>47.9</v>
      </c>
      <c r="G16" s="26" t="n">
        <v>7</v>
      </c>
      <c r="H16" s="26" t="n">
        <v>1</v>
      </c>
      <c r="I16" s="26" t="n">
        <v>1</v>
      </c>
      <c r="J16" s="23">
        <f>E16*F16*G16*H16*I16</f>
        <v/>
      </c>
      <c r="K16" s="36" t="n"/>
      <c r="L16" s="36" t="n"/>
      <c r="M16" s="6" t="inlineStr">
        <is>
          <t>Đá dăm 2 lớp</t>
        </is>
      </c>
    </row>
    <row r="17">
      <c r="A17" s="31" t="inlineStr">
        <is>
          <t>AD.11222</t>
        </is>
      </c>
      <c r="B17" s="31" t="inlineStr">
        <is>
          <t>6</t>
        </is>
      </c>
      <c r="C17" s="32" t="inlineStr">
        <is>
          <t>Mặt đường láng nhựa 4.5kg/m2 dày 3.5cm</t>
        </is>
      </c>
      <c r="D17" s="31" t="inlineStr">
        <is>
          <t>m2</t>
        </is>
      </c>
      <c r="E17" s="33" t="n"/>
      <c r="F17" s="33" t="n"/>
      <c r="G17" s="33" t="n"/>
      <c r="H17" s="33" t="n"/>
      <c r="I17" s="33" t="n"/>
      <c r="J17" s="34">
        <f>SUM(J18:J18)</f>
        <v/>
      </c>
      <c r="K17" s="35" t="n">
        <v>95000</v>
      </c>
      <c r="L17" s="35">
        <f>J17*K17</f>
        <v/>
      </c>
      <c r="M17" s="32" t="inlineStr">
        <is>
          <t>Láng nhựa</t>
        </is>
      </c>
    </row>
    <row r="18">
      <c r="A18" s="36" t="n"/>
      <c r="B18" s="36" t="n"/>
      <c r="C18" s="6" t="inlineStr">
        <is>
          <t>- Mặt đường láng nhựa trên lớp đá dăm</t>
        </is>
      </c>
      <c r="D18" s="5" t="inlineStr">
        <is>
          <t>m2</t>
        </is>
      </c>
      <c r="E18" s="26" t="n">
        <v>1</v>
      </c>
      <c r="F18" s="26" t="n">
        <v>47.9</v>
      </c>
      <c r="G18" s="26" t="n">
        <v>7</v>
      </c>
      <c r="H18" s="26" t="n">
        <v>1</v>
      </c>
      <c r="I18" s="26" t="n">
        <v>1</v>
      </c>
      <c r="J18" s="23">
        <f>E18*F18*G18*H18*I18</f>
        <v/>
      </c>
      <c r="K18" s="36" t="n"/>
      <c r="L18" s="36" t="n"/>
      <c r="M18" s="6" t="inlineStr">
        <is>
          <t>Láng nhựa 3 lớp</t>
        </is>
      </c>
    </row>
    <row r="19">
      <c r="A19" s="29" t="n"/>
      <c r="B19" s="29" t="n"/>
      <c r="C19" s="30" t="inlineStr">
        <is>
          <t>PHẦN II: KẾT CẤU PHẦN DƯỚI (MỐ CẦU M1 &amp; M2)</t>
        </is>
      </c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6" t="n"/>
    </row>
    <row r="20">
      <c r="A20" s="31" t="inlineStr">
        <is>
          <t>AF.12111</t>
        </is>
      </c>
      <c r="B20" s="31" t="inlineStr">
        <is>
          <t>7</t>
        </is>
      </c>
      <c r="C20" s="32" t="inlineStr">
        <is>
          <t>Khoan cấy thép neo D32 vào nền đá (h=50cm)</t>
        </is>
      </c>
      <c r="D20" s="31" t="inlineStr">
        <is>
          <t>lỗ</t>
        </is>
      </c>
      <c r="E20" s="33" t="n"/>
      <c r="F20" s="33" t="n"/>
      <c r="G20" s="33" t="n"/>
      <c r="H20" s="33" t="n"/>
      <c r="I20" s="33" t="n"/>
      <c r="J20" s="34">
        <f>SUM(J21:J21)</f>
        <v/>
      </c>
      <c r="K20" s="35" t="n">
        <v>220000</v>
      </c>
      <c r="L20" s="35">
        <f>J20*K20</f>
        <v/>
      </c>
      <c r="M20" s="32" t="inlineStr">
        <is>
          <t>98 lỗ khoan neo</t>
        </is>
      </c>
    </row>
    <row r="21">
      <c r="A21" s="36" t="n"/>
      <c r="B21" s="36" t="n"/>
      <c r="C21" s="6" t="inlineStr">
        <is>
          <t>- Lỗ khoan cấy cốt thép neo móng mố M1, M2</t>
        </is>
      </c>
      <c r="D21" s="5" t="inlineStr">
        <is>
          <t>lỗ</t>
        </is>
      </c>
      <c r="E21" s="26" t="n">
        <v>2</v>
      </c>
      <c r="F21" s="26" t="n">
        <v>49</v>
      </c>
      <c r="G21" s="26" t="n">
        <v>1</v>
      </c>
      <c r="H21" s="26" t="n">
        <v>1</v>
      </c>
      <c r="I21" s="26" t="n">
        <v>1</v>
      </c>
      <c r="J21" s="23">
        <f>E21*F21*G21*H21*I21</f>
        <v/>
      </c>
      <c r="K21" s="36" t="n"/>
      <c r="L21" s="36" t="n"/>
      <c r="M21" s="6" t="inlineStr">
        <is>
          <t>49 lỗ/mố</t>
        </is>
      </c>
    </row>
    <row r="22">
      <c r="A22" s="31" t="inlineStr">
        <is>
          <t>AF.12122</t>
        </is>
      </c>
      <c r="B22" s="31" t="inlineStr">
        <is>
          <t>8</t>
        </is>
      </c>
      <c r="C22" s="32" t="inlineStr">
        <is>
          <t>Cốt thép liên kết neo cấy đá D32 (Tấn)</t>
        </is>
      </c>
      <c r="D22" s="31" t="inlineStr">
        <is>
          <t>Tấn</t>
        </is>
      </c>
      <c r="E22" s="33" t="n"/>
      <c r="F22" s="33" t="n"/>
      <c r="G22" s="33" t="n"/>
      <c r="H22" s="33" t="n"/>
      <c r="I22" s="33" t="n"/>
      <c r="J22" s="34">
        <f>SUM(J23:J23)</f>
        <v/>
      </c>
      <c r="K22" s="35" t="n">
        <v>21500000</v>
      </c>
      <c r="L22" s="35">
        <f>J22*K22</f>
        <v/>
      </c>
      <c r="M22" s="32" t="inlineStr">
        <is>
          <t>Thép CB400-V</t>
        </is>
      </c>
    </row>
    <row r="23">
      <c r="A23" s="36" t="n"/>
      <c r="B23" s="36" t="n"/>
      <c r="C23" s="6" t="inlineStr">
        <is>
          <t>- Khối lượng thép neo D32 trích xuất từ BBS</t>
        </is>
      </c>
      <c r="D23" s="5" t="inlineStr">
        <is>
          <t>Tấn</t>
        </is>
      </c>
      <c r="E23" s="26" t="n"/>
      <c r="F23" s="26" t="n"/>
      <c r="G23" s="26" t="n"/>
      <c r="H23" s="26" t="n"/>
      <c r="I23" s="26" t="n"/>
      <c r="J23" s="23">
        <f>SUMIFS(THONG_KE_THEP_CHI_TIET!$O$6:$O$399, THONG_KE_THEP_CHI_TIET!$B$6:$B$399, "*Khoan cấy*")</f>
        <v/>
      </c>
      <c r="K23" s="36" t="n"/>
      <c r="L23" s="36" t="n"/>
      <c r="M23" s="6" t="inlineStr">
        <is>
          <t>BBS khoan cấy</t>
        </is>
      </c>
    </row>
    <row r="24">
      <c r="A24" s="31" t="inlineStr">
        <is>
          <t>AF.12211</t>
        </is>
      </c>
      <c r="B24" s="31" t="inlineStr">
        <is>
          <t>9</t>
        </is>
      </c>
      <c r="C24" s="32" t="inlineStr">
        <is>
          <t>Bê tông đệm móng mố C10 (M150) dày 10cm</t>
        </is>
      </c>
      <c r="D24" s="31" t="inlineStr">
        <is>
          <t>m3</t>
        </is>
      </c>
      <c r="E24" s="33" t="n"/>
      <c r="F24" s="33" t="n"/>
      <c r="G24" s="33" t="n"/>
      <c r="H24" s="33" t="n"/>
      <c r="I24" s="33" t="n"/>
      <c r="J24" s="34">
        <f>SUM(J25:J25)</f>
        <v/>
      </c>
      <c r="K24" s="35" t="n">
        <v>1050000</v>
      </c>
      <c r="L24" s="35">
        <f>J24*K24</f>
        <v/>
      </c>
      <c r="M24" s="32" t="inlineStr">
        <is>
          <t>Bê tông lót</t>
        </is>
      </c>
    </row>
    <row r="25">
      <c r="A25" s="36" t="n"/>
      <c r="B25" s="36" t="n"/>
      <c r="C25" s="6" t="inlineStr">
        <is>
          <t>- Lớp bê tông lót đáy móng mố M1 và M2</t>
        </is>
      </c>
      <c r="D25" s="5" t="inlineStr">
        <is>
          <t>m3</t>
        </is>
      </c>
      <c r="E25" s="26" t="n">
        <v>2</v>
      </c>
      <c r="F25" s="26" t="n">
        <v>8.5</v>
      </c>
      <c r="G25" s="26" t="n">
        <v>5.5</v>
      </c>
      <c r="H25" s="26" t="n">
        <v>0.1</v>
      </c>
      <c r="I25" s="26" t="n">
        <v>1</v>
      </c>
      <c r="J25" s="23">
        <f>E25*F25*G25*H25*I25</f>
        <v/>
      </c>
      <c r="K25" s="36" t="n"/>
      <c r="L25" s="36" t="n"/>
      <c r="M25" s="6" t="inlineStr">
        <is>
          <t>2 móng mố</t>
        </is>
      </c>
    </row>
    <row r="26">
      <c r="A26" s="31" t="inlineStr">
        <is>
          <t>AF.12222</t>
        </is>
      </c>
      <c r="B26" s="31" t="inlineStr">
        <is>
          <t>10</t>
        </is>
      </c>
      <c r="C26" s="32" t="inlineStr">
        <is>
          <t>Bê tông móng mố C30 (M350)</t>
        </is>
      </c>
      <c r="D26" s="31" t="inlineStr">
        <is>
          <t>m3</t>
        </is>
      </c>
      <c r="E26" s="33" t="n"/>
      <c r="F26" s="33" t="n"/>
      <c r="G26" s="33" t="n"/>
      <c r="H26" s="33" t="n"/>
      <c r="I26" s="33" t="n"/>
      <c r="J26" s="34">
        <f>SUM(J27:J27)</f>
        <v/>
      </c>
      <c r="K26" s="35" t="n">
        <v>1850000</v>
      </c>
      <c r="L26" s="35">
        <f>J26*K26</f>
        <v/>
      </c>
      <c r="M26" s="32" t="inlineStr">
        <is>
          <t>Bê tông móng</t>
        </is>
      </c>
    </row>
    <row r="27">
      <c r="A27" s="36" t="n"/>
      <c r="B27" s="36" t="n"/>
      <c r="C27" s="6" t="inlineStr">
        <is>
          <t>- Khối bê tông móng mố M1 và M2</t>
        </is>
      </c>
      <c r="D27" s="5" t="inlineStr">
        <is>
          <t>m3</t>
        </is>
      </c>
      <c r="E27" s="26" t="n">
        <v>2</v>
      </c>
      <c r="F27" s="26" t="n">
        <v>8</v>
      </c>
      <c r="G27" s="26" t="n">
        <v>5</v>
      </c>
      <c r="H27" s="26" t="n">
        <v>2.75</v>
      </c>
      <c r="I27" s="26" t="n">
        <v>1</v>
      </c>
      <c r="J27" s="23">
        <f>E27*F27*G27*H27*I27</f>
        <v/>
      </c>
      <c r="K27" s="36" t="n"/>
      <c r="L27" s="36" t="n"/>
      <c r="M27" s="6" t="inlineStr">
        <is>
          <t>2 khối móng</t>
        </is>
      </c>
    </row>
    <row r="28">
      <c r="A28" s="31" t="inlineStr">
        <is>
          <t>AF.12233</t>
        </is>
      </c>
      <c r="B28" s="31" t="inlineStr">
        <is>
          <t>11</t>
        </is>
      </c>
      <c r="C28" s="32" t="inlineStr">
        <is>
          <t>Bê tông thân mố và tường cánh C30 (M350)</t>
        </is>
      </c>
      <c r="D28" s="31" t="inlineStr">
        <is>
          <t>m3</t>
        </is>
      </c>
      <c r="E28" s="33" t="n"/>
      <c r="F28" s="33" t="n"/>
      <c r="G28" s="33" t="n"/>
      <c r="H28" s="33" t="n"/>
      <c r="I28" s="33" t="n"/>
      <c r="J28" s="34">
        <f>SUM(J29:J29)</f>
        <v/>
      </c>
      <c r="K28" s="35" t="n">
        <v>1920000</v>
      </c>
      <c r="L28" s="35">
        <f>J28*K28</f>
        <v/>
      </c>
      <c r="M28" s="32" t="inlineStr">
        <is>
          <t>Bê tông thân</t>
        </is>
      </c>
    </row>
    <row r="29">
      <c r="A29" s="36" t="n"/>
      <c r="B29" s="36" t="n"/>
      <c r="C29" s="6" t="inlineStr">
        <is>
          <t>- Thân mố, tường ngực và tường cánh M1, M2</t>
        </is>
      </c>
      <c r="D29" s="5" t="inlineStr">
        <is>
          <t>m3</t>
        </is>
      </c>
      <c r="E29" s="26" t="n">
        <v>2</v>
      </c>
      <c r="F29" s="26" t="n">
        <v>8</v>
      </c>
      <c r="G29" s="26" t="n">
        <v>1.8</v>
      </c>
      <c r="H29" s="26" t="n">
        <v>5.88</v>
      </c>
      <c r="I29" s="26" t="n">
        <v>1</v>
      </c>
      <c r="J29" s="23">
        <f>E29*F29*G29*H29*I29</f>
        <v/>
      </c>
      <c r="K29" s="36" t="n"/>
      <c r="L29" s="36" t="n"/>
      <c r="M29" s="6" t="inlineStr">
        <is>
          <t>2 mố cầu</t>
        </is>
      </c>
    </row>
    <row r="30">
      <c r="A30" s="31" t="inlineStr">
        <is>
          <t>AF.12311</t>
        </is>
      </c>
      <c r="B30" s="31" t="inlineStr">
        <is>
          <t>12</t>
        </is>
      </c>
      <c r="C30" s="32" t="inlineStr">
        <is>
          <t>Cốt thép mố M1, M2 đường kính D&lt;=10mm (Tấn)</t>
        </is>
      </c>
      <c r="D30" s="31" t="inlineStr">
        <is>
          <t>Tấn</t>
        </is>
      </c>
      <c r="E30" s="33" t="n"/>
      <c r="F30" s="33" t="n"/>
      <c r="G30" s="33" t="n"/>
      <c r="H30" s="33" t="n"/>
      <c r="I30" s="33" t="n"/>
      <c r="J30" s="34">
        <f>SUM(J31:J31)</f>
        <v/>
      </c>
      <c r="K30" s="35" t="n">
        <v>21000000</v>
      </c>
      <c r="L30" s="35">
        <f>J30*K30</f>
        <v/>
      </c>
      <c r="M30" s="32" t="inlineStr">
        <is>
          <t>Thép CB240-T</t>
        </is>
      </c>
    </row>
    <row r="31">
      <c r="A31" s="36" t="n"/>
      <c r="B31" s="36" t="n"/>
      <c r="C31" s="6" t="inlineStr">
        <is>
          <t>- Cốt thép D&lt;=10 mố M1, M2 từ BBS</t>
        </is>
      </c>
      <c r="D31" s="5" t="inlineStr">
        <is>
          <t>Tấn</t>
        </is>
      </c>
      <c r="E31" s="26" t="n"/>
      <c r="F31" s="26" t="n"/>
      <c r="G31" s="26" t="n"/>
      <c r="H31" s="26" t="n"/>
      <c r="I31" s="26" t="n"/>
      <c r="J31" s="23">
        <f>SUMIFS(THONG_KE_THEP_CHI_TIET!$O$6:$O$399, THONG_KE_THEP_CHI_TIET!$B$6:$B$399, "*Mố*", THONG_KE_THEP_CHI_TIET!$E$6:$E$399, "&lt;=10")</f>
        <v/>
      </c>
      <c r="K31" s="36" t="n"/>
      <c r="L31" s="36" t="n"/>
      <c r="M31" s="6" t="inlineStr">
        <is>
          <t>BBS D&lt;=10</t>
        </is>
      </c>
    </row>
    <row r="32">
      <c r="A32" s="31" t="inlineStr">
        <is>
          <t>AF.12322</t>
        </is>
      </c>
      <c r="B32" s="31" t="inlineStr">
        <is>
          <t>13</t>
        </is>
      </c>
      <c r="C32" s="32" t="inlineStr">
        <is>
          <t>Cốt thép mố M1, M2 đường kính 10&lt;D&lt;=18mm (Tấn)</t>
        </is>
      </c>
      <c r="D32" s="31" t="inlineStr">
        <is>
          <t>Tấn</t>
        </is>
      </c>
      <c r="E32" s="33" t="n"/>
      <c r="F32" s="33" t="n"/>
      <c r="G32" s="33" t="n"/>
      <c r="H32" s="33" t="n"/>
      <c r="I32" s="33" t="n"/>
      <c r="J32" s="34">
        <f>SUM(J33:J33)</f>
        <v/>
      </c>
      <c r="K32" s="35" t="n">
        <v>20500000</v>
      </c>
      <c r="L32" s="35">
        <f>J32*K32</f>
        <v/>
      </c>
      <c r="M32" s="32" t="inlineStr">
        <is>
          <t>Thép CB400-V</t>
        </is>
      </c>
    </row>
    <row r="33">
      <c r="A33" s="36" t="n"/>
      <c r="B33" s="36" t="n"/>
      <c r="C33" s="6" t="inlineStr">
        <is>
          <t>- Cốt thép 10&lt;D&lt;=18 mố M1, M2 từ BBS</t>
        </is>
      </c>
      <c r="D33" s="5" t="inlineStr">
        <is>
          <t>Tấn</t>
        </is>
      </c>
      <c r="E33" s="26" t="n"/>
      <c r="F33" s="26" t="n"/>
      <c r="G33" s="26" t="n"/>
      <c r="H33" s="26" t="n"/>
      <c r="I33" s="26" t="n"/>
      <c r="J33" s="23">
        <f>SUMIFS(THONG_KE_THEP_CHI_TIET!$O$6:$O$399, THONG_KE_THEP_CHI_TIET!$B$6:$B$399, "*Mố*", THONG_KE_THEP_CHI_TIET!$E$6:$E$399, "&gt;10", THONG_KE_THEP_CHI_TIET!$E$6:$E$399, "&lt;=18")</f>
        <v/>
      </c>
      <c r="K33" s="36" t="n"/>
      <c r="L33" s="36" t="n"/>
      <c r="M33" s="6" t="inlineStr">
        <is>
          <t>BBS 10&lt;D&lt;=18</t>
        </is>
      </c>
    </row>
    <row r="34">
      <c r="A34" s="31" t="inlineStr">
        <is>
          <t>AF.12333</t>
        </is>
      </c>
      <c r="B34" s="31" t="inlineStr">
        <is>
          <t>14</t>
        </is>
      </c>
      <c r="C34" s="32" t="inlineStr">
        <is>
          <t>Cốt thép mố M1, M2 đường kính D&gt;18mm (Tấn)</t>
        </is>
      </c>
      <c r="D34" s="31" t="inlineStr">
        <is>
          <t>Tấn</t>
        </is>
      </c>
      <c r="E34" s="33" t="n"/>
      <c r="F34" s="33" t="n"/>
      <c r="G34" s="33" t="n"/>
      <c r="H34" s="33" t="n"/>
      <c r="I34" s="33" t="n"/>
      <c r="J34" s="34">
        <f>SUM(J35:J35)</f>
        <v/>
      </c>
      <c r="K34" s="35" t="n">
        <v>20200000</v>
      </c>
      <c r="L34" s="35">
        <f>J34*K34</f>
        <v/>
      </c>
      <c r="M34" s="32" t="inlineStr">
        <is>
          <t>Thép CB400-V</t>
        </is>
      </c>
    </row>
    <row r="35">
      <c r="A35" s="36" t="n"/>
      <c r="B35" s="36" t="n"/>
      <c r="C35" s="6" t="inlineStr">
        <is>
          <t>- Cốt thép D&gt;18 mố M1, M2 từ BBS</t>
        </is>
      </c>
      <c r="D35" s="5" t="inlineStr">
        <is>
          <t>Tấn</t>
        </is>
      </c>
      <c r="E35" s="26" t="n"/>
      <c r="F35" s="26" t="n"/>
      <c r="G35" s="26" t="n"/>
      <c r="H35" s="26" t="n"/>
      <c r="I35" s="26" t="n"/>
      <c r="J35" s="23">
        <f>SUMIFS(THONG_KE_THEP_CHI_TIET!$O$6:$O$399, THONG_KE_THEP_CHI_TIET!$B$6:$B$399, "*Mố*", THONG_KE_THEP_CHI_TIET!$E$6:$E$399, "&gt;18")</f>
        <v/>
      </c>
      <c r="K35" s="36" t="n"/>
      <c r="L35" s="36" t="n"/>
      <c r="M35" s="6" t="inlineStr">
        <is>
          <t>BBS D&gt;18</t>
        </is>
      </c>
    </row>
    <row r="36">
      <c r="A36" s="31" t="inlineStr">
        <is>
          <t>AF.12411</t>
        </is>
      </c>
      <c r="B36" s="31" t="inlineStr">
        <is>
          <t>15</t>
        </is>
      </c>
      <c r="C36" s="32" t="inlineStr">
        <is>
          <t>Ván khuôn móng và thân mố M1, M2</t>
        </is>
      </c>
      <c r="D36" s="31" t="inlineStr">
        <is>
          <t>m2</t>
        </is>
      </c>
      <c r="E36" s="33" t="n"/>
      <c r="F36" s="33" t="n"/>
      <c r="G36" s="33" t="n"/>
      <c r="H36" s="33" t="n"/>
      <c r="I36" s="33" t="n"/>
      <c r="J36" s="34">
        <f>SUM(J37:J37)</f>
        <v/>
      </c>
      <c r="K36" s="35" t="n">
        <v>280000</v>
      </c>
      <c r="L36" s="35">
        <f>J36*K36</f>
        <v/>
      </c>
      <c r="M36" s="32" t="inlineStr">
        <is>
          <t>Ván khuôn thép</t>
        </is>
      </c>
    </row>
    <row r="37">
      <c r="A37" s="36" t="n"/>
      <c r="B37" s="36" t="n"/>
      <c r="C37" s="6" t="inlineStr">
        <is>
          <t>- Diện tích ván khuôn tiếp xúc bê tông mố</t>
        </is>
      </c>
      <c r="D37" s="5" t="inlineStr">
        <is>
          <t>m2</t>
        </is>
      </c>
      <c r="E37" s="26" t="n">
        <v>2</v>
      </c>
      <c r="F37" s="26" t="n">
        <v>27.6</v>
      </c>
      <c r="G37" s="26" t="n">
        <v>10.225</v>
      </c>
      <c r="H37" s="26" t="n">
        <v>1</v>
      </c>
      <c r="I37" s="26" t="n">
        <v>1</v>
      </c>
      <c r="J37" s="23">
        <f>E37*F37*G37*H37*I37</f>
        <v/>
      </c>
      <c r="K37" s="36" t="n"/>
      <c r="L37" s="36" t="n"/>
      <c r="M37" s="6" t="inlineStr">
        <is>
          <t>Thân và tường cánh</t>
        </is>
      </c>
    </row>
    <row r="38">
      <c r="A38" s="29" t="n"/>
      <c r="B38" s="29" t="n"/>
      <c r="C38" s="30" t="inlineStr">
        <is>
          <t>PHẦN III: KẾT CẤU PHẦN TRÊN (DẦM T15M &amp; PHỤ TRỢ)</t>
        </is>
      </c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6" t="n"/>
    </row>
    <row r="39">
      <c r="A39" s="31" t="inlineStr">
        <is>
          <t>AG.13111</t>
        </is>
      </c>
      <c r="B39" s="31" t="inlineStr">
        <is>
          <t>16</t>
        </is>
      </c>
      <c r="C39" s="32" t="inlineStr">
        <is>
          <t>Bê tông dầm chủ T15m mác C40 (M500)</t>
        </is>
      </c>
      <c r="D39" s="31" t="inlineStr">
        <is>
          <t>m3</t>
        </is>
      </c>
      <c r="E39" s="33" t="n"/>
      <c r="F39" s="33" t="n"/>
      <c r="G39" s="33" t="n"/>
      <c r="H39" s="33" t="n"/>
      <c r="I39" s="33" t="n"/>
      <c r="J39" s="34">
        <f>SUM(J40:J40)</f>
        <v/>
      </c>
      <c r="K39" s="35" t="n">
        <v>2250000</v>
      </c>
      <c r="L39" s="35">
        <f>J39*K39</f>
        <v/>
      </c>
      <c r="M39" s="32" t="inlineStr">
        <is>
          <t>Bê tông dầm C40</t>
        </is>
      </c>
    </row>
    <row r="40">
      <c r="A40" s="36" t="n"/>
      <c r="B40" s="36" t="n"/>
      <c r="C40" s="6" t="inlineStr">
        <is>
          <t>- Thể tích 4 phiến dầm T15m (2 biên + 2 giữa)</t>
        </is>
      </c>
      <c r="D40" s="5" t="inlineStr">
        <is>
          <t>m3</t>
        </is>
      </c>
      <c r="E40" s="26" t="n">
        <v>4</v>
      </c>
      <c r="F40" s="26" t="n">
        <v>15</v>
      </c>
      <c r="G40" s="26" t="n">
        <v>1.65</v>
      </c>
      <c r="H40" s="26" t="n">
        <v>0.374</v>
      </c>
      <c r="I40" s="26" t="n">
        <v>1</v>
      </c>
      <c r="J40" s="23">
        <f>E40*F40*G40*H40*I40</f>
        <v/>
      </c>
      <c r="K40" s="36" t="n"/>
      <c r="L40" s="36" t="n"/>
      <c r="M40" s="6" t="inlineStr">
        <is>
          <t>4 phiến dầm</t>
        </is>
      </c>
    </row>
    <row r="41">
      <c r="A41" s="31" t="inlineStr">
        <is>
          <t>AG.13211</t>
        </is>
      </c>
      <c r="B41" s="31" t="inlineStr">
        <is>
          <t>17</t>
        </is>
      </c>
      <c r="C41" s="32" t="inlineStr">
        <is>
          <t>Cốt thép dầm chủ T15m đường kính D&lt;=10mm (Tấn)</t>
        </is>
      </c>
      <c r="D41" s="31" t="inlineStr">
        <is>
          <t>Tấn</t>
        </is>
      </c>
      <c r="E41" s="33" t="n"/>
      <c r="F41" s="33" t="n"/>
      <c r="G41" s="33" t="n"/>
      <c r="H41" s="33" t="n"/>
      <c r="I41" s="33" t="n"/>
      <c r="J41" s="34">
        <f>SUM(J42:J42)</f>
        <v/>
      </c>
      <c r="K41" s="35" t="n">
        <v>21000000</v>
      </c>
      <c r="L41" s="35">
        <f>J41*K41</f>
        <v/>
      </c>
      <c r="M41" s="32" t="inlineStr">
        <is>
          <t>Thép dầm D&lt;=10</t>
        </is>
      </c>
    </row>
    <row r="42">
      <c r="A42" s="36" t="n"/>
      <c r="B42" s="36" t="n"/>
      <c r="C42" s="6" t="inlineStr">
        <is>
          <t>- Cốt thép D&lt;=10 dầm T15m trích xuất từ BBS</t>
        </is>
      </c>
      <c r="D42" s="5" t="inlineStr">
        <is>
          <t>Tấn</t>
        </is>
      </c>
      <c r="E42" s="26" t="n"/>
      <c r="F42" s="26" t="n"/>
      <c r="G42" s="26" t="n"/>
      <c r="H42" s="26" t="n"/>
      <c r="I42" s="26" t="n"/>
      <c r="J42" s="23">
        <f>SUMIFS(THONG_KE_THEP_CHI_TIET!$O$6:$O$399, THONG_KE_THEP_CHI_TIET!$B$6:$B$399, "*Mố*", THONG_KE_THEP_CHI_TIET!$E$6:$E$399, "&lt;=10")</f>
        <v/>
      </c>
      <c r="K42" s="36" t="n"/>
      <c r="L42" s="36" t="n"/>
      <c r="M42" s="6" t="inlineStr">
        <is>
          <t>BBS Dầm D&lt;=10</t>
        </is>
      </c>
    </row>
    <row r="43">
      <c r="A43" s="31" t="inlineStr">
        <is>
          <t>AG.13222</t>
        </is>
      </c>
      <c r="B43" s="31" t="inlineStr">
        <is>
          <t>18</t>
        </is>
      </c>
      <c r="C43" s="32" t="inlineStr">
        <is>
          <t>Cốt thép dầm chủ T15m đường kính 10&lt;D&lt;=18mm (Tấn)</t>
        </is>
      </c>
      <c r="D43" s="31" t="inlineStr">
        <is>
          <t>Tấn</t>
        </is>
      </c>
      <c r="E43" s="33" t="n"/>
      <c r="F43" s="33" t="n"/>
      <c r="G43" s="33" t="n"/>
      <c r="H43" s="33" t="n"/>
      <c r="I43" s="33" t="n"/>
      <c r="J43" s="34">
        <f>SUM(J44:J44)</f>
        <v/>
      </c>
      <c r="K43" s="35" t="n">
        <v>20500000</v>
      </c>
      <c r="L43" s="35">
        <f>J43*K43</f>
        <v/>
      </c>
      <c r="M43" s="32" t="inlineStr">
        <is>
          <t>Thép dầm 10&lt;D&lt;=18</t>
        </is>
      </c>
    </row>
    <row r="44">
      <c r="A44" s="36" t="n"/>
      <c r="B44" s="36" t="n"/>
      <c r="C44" s="6" t="inlineStr">
        <is>
          <t>- Cốt thép 10&lt;D&lt;=18 dầm T15m từ BBS</t>
        </is>
      </c>
      <c r="D44" s="5" t="inlineStr">
        <is>
          <t>Tấn</t>
        </is>
      </c>
      <c r="E44" s="26" t="n"/>
      <c r="F44" s="26" t="n"/>
      <c r="G44" s="26" t="n"/>
      <c r="H44" s="26" t="n"/>
      <c r="I44" s="26" t="n"/>
      <c r="J44" s="23">
        <f>SUMIFS(THONG_KE_THEP_CHI_TIET!$O$6:$O$399, THONG_KE_THEP_CHI_TIET!$B$6:$B$399, "*Mố*", THONG_KE_THEP_CHI_TIET!$E$6:$E$399, "&gt;10", THONG_KE_THEP_CHI_TIET!$E$6:$E$399, "&lt;=18")</f>
        <v/>
      </c>
      <c r="K44" s="36" t="n"/>
      <c r="L44" s="36" t="n"/>
      <c r="M44" s="6" t="inlineStr">
        <is>
          <t>BBS Dầm 10&lt;D&lt;=18</t>
        </is>
      </c>
    </row>
    <row r="45">
      <c r="A45" s="31" t="inlineStr">
        <is>
          <t>AG.13233</t>
        </is>
      </c>
      <c r="B45" s="31" t="inlineStr">
        <is>
          <t>19</t>
        </is>
      </c>
      <c r="C45" s="32" t="inlineStr">
        <is>
          <t>Cốt thép dầm chủ T15m đường kính D&gt;18mm (Tấn)</t>
        </is>
      </c>
      <c r="D45" s="31" t="inlineStr">
        <is>
          <t>Tấn</t>
        </is>
      </c>
      <c r="E45" s="33" t="n"/>
      <c r="F45" s="33" t="n"/>
      <c r="G45" s="33" t="n"/>
      <c r="H45" s="33" t="n"/>
      <c r="I45" s="33" t="n"/>
      <c r="J45" s="34">
        <f>SUM(J46:J46)</f>
        <v/>
      </c>
      <c r="K45" s="35" t="n">
        <v>20200000</v>
      </c>
      <c r="L45" s="35">
        <f>J45*K45</f>
        <v/>
      </c>
      <c r="M45" s="32" t="inlineStr">
        <is>
          <t>Thép dầm D&gt;18</t>
        </is>
      </c>
    </row>
    <row r="46">
      <c r="A46" s="36" t="n"/>
      <c r="B46" s="36" t="n"/>
      <c r="C46" s="6" t="inlineStr">
        <is>
          <t>- Cốt thép D&gt;18 dầm T15m từ BBS</t>
        </is>
      </c>
      <c r="D46" s="5" t="inlineStr">
        <is>
          <t>Tấn</t>
        </is>
      </c>
      <c r="E46" s="26" t="n"/>
      <c r="F46" s="26" t="n"/>
      <c r="G46" s="26" t="n"/>
      <c r="H46" s="26" t="n"/>
      <c r="I46" s="26" t="n"/>
      <c r="J46" s="23">
        <f>SUMIFS(THONG_KE_THEP_CHI_TIET!$O$6:$O$399, THONG_KE_THEP_CHI_TIET!$B$6:$B$399, "*Mố*", THONG_KE_THEP_CHI_TIET!$E$6:$E$399, "&gt;18")</f>
        <v/>
      </c>
      <c r="K46" s="36" t="n"/>
      <c r="L46" s="36" t="n"/>
      <c r="M46" s="6" t="inlineStr">
        <is>
          <t>BBS Dầm D&gt;18</t>
        </is>
      </c>
    </row>
    <row r="47">
      <c r="A47" s="31" t="inlineStr">
        <is>
          <t>AG.13311</t>
        </is>
      </c>
      <c r="B47" s="31" t="inlineStr">
        <is>
          <t>20</t>
        </is>
      </c>
      <c r="C47" s="32" t="inlineStr">
        <is>
          <t>Ván khuôn đúc dầm chủ T15m</t>
        </is>
      </c>
      <c r="D47" s="31" t="inlineStr">
        <is>
          <t>m2</t>
        </is>
      </c>
      <c r="E47" s="33" t="n"/>
      <c r="F47" s="33" t="n"/>
      <c r="G47" s="33" t="n"/>
      <c r="H47" s="33" t="n"/>
      <c r="I47" s="33" t="n"/>
      <c r="J47" s="34">
        <f>SUM(J48:J48)</f>
        <v/>
      </c>
      <c r="K47" s="35" t="n">
        <v>320000</v>
      </c>
      <c r="L47" s="35">
        <f>J47*K47</f>
        <v/>
      </c>
      <c r="M47" s="32" t="inlineStr">
        <is>
          <t>Ván khuôn định hình</t>
        </is>
      </c>
    </row>
    <row r="48">
      <c r="A48" s="36" t="n"/>
      <c r="B48" s="36" t="n"/>
      <c r="C48" s="6" t="inlineStr">
        <is>
          <t>- Ván khuôn sườn và đáy dầm T15m</t>
        </is>
      </c>
      <c r="D48" s="5" t="inlineStr">
        <is>
          <t>m2</t>
        </is>
      </c>
      <c r="E48" s="26" t="n">
        <v>4</v>
      </c>
      <c r="F48" s="26" t="n">
        <v>15</v>
      </c>
      <c r="G48" s="26" t="n">
        <v>3.748</v>
      </c>
      <c r="H48" s="26" t="n">
        <v>1</v>
      </c>
      <c r="I48" s="26" t="n">
        <v>1</v>
      </c>
      <c r="J48" s="23">
        <f>E48*F48*G48*H48*I48</f>
        <v/>
      </c>
      <c r="K48" s="36" t="n"/>
      <c r="L48" s="36" t="n"/>
      <c r="M48" s="6" t="inlineStr">
        <is>
          <t>4 dầm T</t>
        </is>
      </c>
    </row>
    <row r="49">
      <c r="A49" s="31" t="inlineStr">
        <is>
          <t>AG.13411</t>
        </is>
      </c>
      <c r="B49" s="31" t="inlineStr">
        <is>
          <t>21</t>
        </is>
      </c>
      <c r="C49" s="32" t="inlineStr">
        <is>
          <t>Bê tông dầm ngang C30 (M350)</t>
        </is>
      </c>
      <c r="D49" s="31" t="inlineStr">
        <is>
          <t>m3</t>
        </is>
      </c>
      <c r="E49" s="33" t="n"/>
      <c r="F49" s="33" t="n"/>
      <c r="G49" s="33" t="n"/>
      <c r="H49" s="33" t="n"/>
      <c r="I49" s="33" t="n"/>
      <c r="J49" s="34">
        <f>SUM(J50:J50)</f>
        <v/>
      </c>
      <c r="K49" s="35" t="n">
        <v>1920000</v>
      </c>
      <c r="L49" s="35">
        <f>J49*K49</f>
        <v/>
      </c>
      <c r="M49" s="32" t="inlineStr">
        <is>
          <t>Dầm ngang</t>
        </is>
      </c>
    </row>
    <row r="50">
      <c r="A50" s="36" t="n"/>
      <c r="B50" s="36" t="n"/>
      <c r="C50" s="6" t="inlineStr">
        <is>
          <t>- Thể tích 3 dầm ngang liên kết các dầm chủ</t>
        </is>
      </c>
      <c r="D50" s="5" t="inlineStr">
        <is>
          <t>m3</t>
        </is>
      </c>
      <c r="E50" s="26" t="n">
        <v>3</v>
      </c>
      <c r="F50" s="26" t="n">
        <v>7</v>
      </c>
      <c r="G50" s="26" t="n">
        <v>0.25</v>
      </c>
      <c r="H50" s="26" t="n">
        <v>0.545</v>
      </c>
      <c r="I50" s="26" t="n">
        <v>1</v>
      </c>
      <c r="J50" s="23">
        <f>E50*F50*G50*H50*I50</f>
        <v/>
      </c>
      <c r="K50" s="36" t="n"/>
      <c r="L50" s="36" t="n"/>
      <c r="M50" s="6" t="inlineStr">
        <is>
          <t>3 dầm ngang</t>
        </is>
      </c>
    </row>
    <row r="51">
      <c r="A51" s="31" t="inlineStr">
        <is>
          <t>AG.13422</t>
        </is>
      </c>
      <c r="B51" s="31" t="inlineStr">
        <is>
          <t>22</t>
        </is>
      </c>
      <c r="C51" s="32" t="inlineStr">
        <is>
          <t>Cốt thép dầm ngang (Tấn)</t>
        </is>
      </c>
      <c r="D51" s="31" t="inlineStr">
        <is>
          <t>Tấn</t>
        </is>
      </c>
      <c r="E51" s="33" t="n"/>
      <c r="F51" s="33" t="n"/>
      <c r="G51" s="33" t="n"/>
      <c r="H51" s="33" t="n"/>
      <c r="I51" s="33" t="n"/>
      <c r="J51" s="34">
        <f>SUM(J52:J52)</f>
        <v/>
      </c>
      <c r="K51" s="35" t="n">
        <v>20500000</v>
      </c>
      <c r="L51" s="35">
        <f>J51*K51</f>
        <v/>
      </c>
      <c r="M51" s="32" t="inlineStr">
        <is>
          <t>Thép dầm ngang</t>
        </is>
      </c>
    </row>
    <row r="52">
      <c r="A52" s="36" t="n"/>
      <c r="B52" s="36" t="n"/>
      <c r="C52" s="6" t="inlineStr">
        <is>
          <t>- Khối lượng cốt thép dầm ngang từ BBS</t>
        </is>
      </c>
      <c r="D52" s="5" t="inlineStr">
        <is>
          <t>Tấn</t>
        </is>
      </c>
      <c r="E52" s="26" t="n"/>
      <c r="F52" s="26" t="n"/>
      <c r="G52" s="26" t="n"/>
      <c r="H52" s="26" t="n"/>
      <c r="I52" s="26" t="n"/>
      <c r="J52" s="23">
        <f>SUMIFS(THONG_KE_THEP_CHI_TIET!$O$6:$O$399, THONG_KE_THEP_CHI_TIET!$B$6:$B$399, "*Dầm ngang*")</f>
        <v/>
      </c>
      <c r="K52" s="36" t="n"/>
      <c r="L52" s="36" t="n"/>
      <c r="M52" s="6" t="inlineStr">
        <is>
          <t>BBS dầm ngang</t>
        </is>
      </c>
    </row>
    <row r="53">
      <c r="A53" s="31" t="inlineStr">
        <is>
          <t>AG.13511</t>
        </is>
      </c>
      <c r="B53" s="31" t="inlineStr">
        <is>
          <t>23</t>
        </is>
      </c>
      <c r="C53" s="32" t="inlineStr">
        <is>
          <t>Bê tông lớp phủ mặt cầu C35 (M450) dày 12cm</t>
        </is>
      </c>
      <c r="D53" s="31" t="inlineStr">
        <is>
          <t>m3</t>
        </is>
      </c>
      <c r="E53" s="33" t="n"/>
      <c r="F53" s="33" t="n"/>
      <c r="G53" s="33" t="n"/>
      <c r="H53" s="33" t="n"/>
      <c r="I53" s="33" t="n"/>
      <c r="J53" s="34">
        <f>SUM(J54:J54)</f>
        <v/>
      </c>
      <c r="K53" s="35" t="n">
        <v>2100000</v>
      </c>
      <c r="L53" s="35">
        <f>J53*K53</f>
        <v/>
      </c>
      <c r="M53" s="32" t="inlineStr">
        <is>
          <t>Bê tông mặt cầu</t>
        </is>
      </c>
    </row>
    <row r="54">
      <c r="A54" s="36" t="n"/>
      <c r="B54" s="36" t="n"/>
      <c r="C54" s="6" t="inlineStr">
        <is>
          <t>- Bê tông lớp phủ bản mặt cầu 1 nhịp 15m</t>
        </is>
      </c>
      <c r="D54" s="5" t="inlineStr">
        <is>
          <t>m3</t>
        </is>
      </c>
      <c r="E54" s="26" t="n">
        <v>1</v>
      </c>
      <c r="F54" s="26" t="n">
        <v>15</v>
      </c>
      <c r="G54" s="26" t="n">
        <v>7.7</v>
      </c>
      <c r="H54" s="26" t="n">
        <v>0.125</v>
      </c>
      <c r="I54" s="26" t="n">
        <v>1</v>
      </c>
      <c r="J54" s="23">
        <f>E54*F54*G54*H54*I54</f>
        <v/>
      </c>
      <c r="K54" s="36" t="n"/>
      <c r="L54" s="36" t="n"/>
      <c r="M54" s="6" t="inlineStr">
        <is>
          <t>Lớp phủ mặt cầu</t>
        </is>
      </c>
    </row>
    <row r="55">
      <c r="A55" s="31" t="inlineStr">
        <is>
          <t>AG.13522</t>
        </is>
      </c>
      <c r="B55" s="31" t="inlineStr">
        <is>
          <t>24</t>
        </is>
      </c>
      <c r="C55" s="32" t="inlineStr">
        <is>
          <t>Lưới thép hàn bản mặt cầu D6 (Tấn)</t>
        </is>
      </c>
      <c r="D55" s="31" t="inlineStr">
        <is>
          <t>Tấn</t>
        </is>
      </c>
      <c r="E55" s="33" t="n"/>
      <c r="F55" s="33" t="n"/>
      <c r="G55" s="33" t="n"/>
      <c r="H55" s="33" t="n"/>
      <c r="I55" s="33" t="n"/>
      <c r="J55" s="34">
        <f>SUM(J56:J56)</f>
        <v/>
      </c>
      <c r="K55" s="35" t="n">
        <v>22000000</v>
      </c>
      <c r="L55" s="35">
        <f>J55*K55</f>
        <v/>
      </c>
      <c r="M55" s="32" t="inlineStr">
        <is>
          <t>Lưới thép hàn D6</t>
        </is>
      </c>
    </row>
    <row r="56">
      <c r="A56" s="36" t="n"/>
      <c r="B56" s="36" t="n"/>
      <c r="C56" s="6" t="inlineStr">
        <is>
          <t>- Khối lượng lưới thép D6 từ BBS</t>
        </is>
      </c>
      <c r="D56" s="5" t="inlineStr">
        <is>
          <t>Tấn</t>
        </is>
      </c>
      <c r="E56" s="26" t="n"/>
      <c r="F56" s="26" t="n"/>
      <c r="G56" s="26" t="n"/>
      <c r="H56" s="26" t="n"/>
      <c r="I56" s="26" t="n"/>
      <c r="J56" s="23">
        <f>SUMIFS(THONG_KE_THEP_CHI_TIET!$O$6:$O$399, THONG_KE_THEP_CHI_TIET!$B$6:$B$399, "*Lưới thép*")</f>
        <v/>
      </c>
      <c r="K56" s="36" t="n"/>
      <c r="L56" s="36" t="n"/>
      <c r="M56" s="6" t="inlineStr">
        <is>
          <t>BBS Lưới D6</t>
        </is>
      </c>
    </row>
    <row r="57">
      <c r="A57" s="31" t="inlineStr">
        <is>
          <t>AG.13533</t>
        </is>
      </c>
      <c r="B57" s="31" t="inlineStr">
        <is>
          <t>25</t>
        </is>
      </c>
      <c r="C57" s="32" t="inlineStr">
        <is>
          <t>Thảm bê tông nhựa chặt BTNC 19 dày 7cm mặt cầu</t>
        </is>
      </c>
      <c r="D57" s="31" t="inlineStr">
        <is>
          <t>m2</t>
        </is>
      </c>
      <c r="E57" s="33" t="n"/>
      <c r="F57" s="33" t="n"/>
      <c r="G57" s="33" t="n"/>
      <c r="H57" s="33" t="n"/>
      <c r="I57" s="33" t="n"/>
      <c r="J57" s="34">
        <f>SUM(J58:J58)</f>
        <v/>
      </c>
      <c r="K57" s="35" t="n">
        <v>285000</v>
      </c>
      <c r="L57" s="35">
        <f>J57*K57</f>
        <v/>
      </c>
      <c r="M57" s="32" t="inlineStr">
        <is>
          <t>Bê tông nhựa mặt</t>
        </is>
      </c>
    </row>
    <row r="58">
      <c r="A58" s="36" t="n"/>
      <c r="B58" s="36" t="n"/>
      <c r="C58" s="6" t="inlineStr">
        <is>
          <t>- Diện tích thảm mặt cầu xe chạy</t>
        </is>
      </c>
      <c r="D58" s="5" t="inlineStr">
        <is>
          <t>m2</t>
        </is>
      </c>
      <c r="E58" s="26" t="n">
        <v>1</v>
      </c>
      <c r="F58" s="26" t="n">
        <v>14.3</v>
      </c>
      <c r="G58" s="26" t="n">
        <v>7</v>
      </c>
      <c r="H58" s="26" t="n">
        <v>1</v>
      </c>
      <c r="I58" s="26" t="n">
        <v>1</v>
      </c>
      <c r="J58" s="23">
        <f>E58*F58*G58*H58*I58</f>
        <v/>
      </c>
      <c r="K58" s="36" t="n"/>
      <c r="L58" s="36" t="n"/>
      <c r="M58" s="6" t="inlineStr">
        <is>
          <t>Mặt cầu 15m</t>
        </is>
      </c>
    </row>
    <row r="59">
      <c r="A59" s="31" t="inlineStr">
        <is>
          <t>AG.13611</t>
        </is>
      </c>
      <c r="B59" s="31" t="inlineStr">
        <is>
          <t>26</t>
        </is>
      </c>
      <c r="C59" s="32" t="inlineStr">
        <is>
          <t>Bê tông gờ lan can C25 (M300)</t>
        </is>
      </c>
      <c r="D59" s="31" t="inlineStr">
        <is>
          <t>m3</t>
        </is>
      </c>
      <c r="E59" s="33" t="n"/>
      <c r="F59" s="33" t="n"/>
      <c r="G59" s="33" t="n"/>
      <c r="H59" s="33" t="n"/>
      <c r="I59" s="33" t="n"/>
      <c r="J59" s="34">
        <f>SUM(J60:J60)</f>
        <v/>
      </c>
      <c r="K59" s="35" t="n">
        <v>1850000</v>
      </c>
      <c r="L59" s="35">
        <f>J59*K59</f>
        <v/>
      </c>
      <c r="M59" s="32" t="inlineStr">
        <is>
          <t>Gờ lan can</t>
        </is>
      </c>
    </row>
    <row r="60">
      <c r="A60" s="36" t="n"/>
      <c r="B60" s="36" t="n"/>
      <c r="C60" s="6" t="inlineStr">
        <is>
          <t>- Gờ bê tông lan can 2 bên cầu và trên mố</t>
        </is>
      </c>
      <c r="D60" s="5" t="inlineStr">
        <is>
          <t>m3</t>
        </is>
      </c>
      <c r="E60" s="26" t="n">
        <v>2</v>
      </c>
      <c r="F60" s="26" t="n">
        <v>27</v>
      </c>
      <c r="G60" s="26" t="n">
        <v>0.5</v>
      </c>
      <c r="H60" s="26" t="n">
        <v>0.465</v>
      </c>
      <c r="I60" s="26" t="n">
        <v>1</v>
      </c>
      <c r="J60" s="23">
        <f>E60*F60*G60*H60*I60</f>
        <v/>
      </c>
      <c r="K60" s="36" t="n"/>
      <c r="L60" s="36" t="n"/>
      <c r="M60" s="6" t="inlineStr">
        <is>
          <t>2 bên gờ</t>
        </is>
      </c>
    </row>
    <row r="61">
      <c r="A61" s="31" t="inlineStr">
        <is>
          <t>AG.13622</t>
        </is>
      </c>
      <c r="B61" s="31" t="inlineStr">
        <is>
          <t>27</t>
        </is>
      </c>
      <c r="C61" s="32" t="inlineStr">
        <is>
          <t>Cốt thép gờ lan can (Tấn)</t>
        </is>
      </c>
      <c r="D61" s="31" t="inlineStr">
        <is>
          <t>Tấn</t>
        </is>
      </c>
      <c r="E61" s="33" t="n"/>
      <c r="F61" s="33" t="n"/>
      <c r="G61" s="33" t="n"/>
      <c r="H61" s="33" t="n"/>
      <c r="I61" s="33" t="n"/>
      <c r="J61" s="34">
        <f>SUM(J62:J62)</f>
        <v/>
      </c>
      <c r="K61" s="35" t="n">
        <v>20500000</v>
      </c>
      <c r="L61" s="35">
        <f>J61*K61</f>
        <v/>
      </c>
      <c r="M61" s="32" t="inlineStr">
        <is>
          <t>Thép gờ lan can</t>
        </is>
      </c>
    </row>
    <row r="62">
      <c r="A62" s="36" t="n"/>
      <c r="B62" s="36" t="n"/>
      <c r="C62" s="6" t="inlineStr">
        <is>
          <t>- Khối lượng thép gờ lan can từ BBS</t>
        </is>
      </c>
      <c r="D62" s="5" t="inlineStr">
        <is>
          <t>Tấn</t>
        </is>
      </c>
      <c r="E62" s="26" t="n"/>
      <c r="F62" s="26" t="n"/>
      <c r="G62" s="26" t="n"/>
      <c r="H62" s="26" t="n"/>
      <c r="I62" s="26" t="n"/>
      <c r="J62" s="23">
        <f>SUMIFS(THONG_KE_THEP_CHI_TIET!$O$6:$O$399, THONG_KE_THEP_CHI_TIET!$B$6:$B$399, "*Gờ lan can*")</f>
        <v/>
      </c>
      <c r="K62" s="36" t="n"/>
      <c r="L62" s="36" t="n"/>
      <c r="M62" s="6" t="inlineStr">
        <is>
          <t>BBS gờ lan can</t>
        </is>
      </c>
    </row>
    <row r="63">
      <c r="A63" s="31" t="inlineStr">
        <is>
          <t>AG.13633</t>
        </is>
      </c>
      <c r="B63" s="31" t="inlineStr">
        <is>
          <t>28</t>
        </is>
      </c>
      <c r="C63" s="32" t="inlineStr">
        <is>
          <t>Lan can thép mạ kẽm nhúng nóng (Tấn)</t>
        </is>
      </c>
      <c r="D63" s="31" t="inlineStr">
        <is>
          <t>Tấn</t>
        </is>
      </c>
      <c r="E63" s="33" t="n"/>
      <c r="F63" s="33" t="n"/>
      <c r="G63" s="33" t="n"/>
      <c r="H63" s="33" t="n"/>
      <c r="I63" s="33" t="n"/>
      <c r="J63" s="34">
        <f>SUM(J64:J64)</f>
        <v/>
      </c>
      <c r="K63" s="35" t="n">
        <v>38500000</v>
      </c>
      <c r="L63" s="35">
        <f>J63*K63</f>
        <v/>
      </c>
      <c r="M63" s="32" t="inlineStr">
        <is>
          <t>Thép mạ kẽm</t>
        </is>
      </c>
    </row>
    <row r="64">
      <c r="A64" s="36" t="n"/>
      <c r="B64" s="36" t="n"/>
      <c r="C64" s="6" t="inlineStr">
        <is>
          <t>- Khối lượng ống thép và bản mã lan can mạ kẽm</t>
        </is>
      </c>
      <c r="D64" s="5" t="inlineStr">
        <is>
          <t>Tấn</t>
        </is>
      </c>
      <c r="E64" s="26" t="n">
        <v>1</v>
      </c>
      <c r="F64" s="26" t="n">
        <v>1.27</v>
      </c>
      <c r="G64" s="26" t="n">
        <v>1</v>
      </c>
      <c r="H64" s="26" t="n">
        <v>1</v>
      </c>
      <c r="I64" s="26" t="n">
        <v>1</v>
      </c>
      <c r="J64" s="23">
        <f>E64*F64*G64*H64*I64</f>
        <v/>
      </c>
      <c r="K64" s="36" t="n"/>
      <c r="L64" s="36" t="n"/>
      <c r="M64" s="6" t="inlineStr">
        <is>
          <t>Lan can mạ kẽm</t>
        </is>
      </c>
    </row>
    <row r="65">
      <c r="A65" s="31" t="inlineStr">
        <is>
          <t>AG.13711</t>
        </is>
      </c>
      <c r="B65" s="31" t="inlineStr">
        <is>
          <t>29</t>
        </is>
      </c>
      <c r="C65" s="32" t="inlineStr">
        <is>
          <t>Gối cầu cao su bản thép 350x500x84mm</t>
        </is>
      </c>
      <c r="D65" s="31" t="inlineStr">
        <is>
          <t>cái</t>
        </is>
      </c>
      <c r="E65" s="33" t="n"/>
      <c r="F65" s="33" t="n"/>
      <c r="G65" s="33" t="n"/>
      <c r="H65" s="33" t="n"/>
      <c r="I65" s="33" t="n"/>
      <c r="J65" s="34">
        <f>SUM(J66:J66)</f>
        <v/>
      </c>
      <c r="K65" s="35" t="n">
        <v>4500000</v>
      </c>
      <c r="L65" s="35">
        <f>J65*K65</f>
        <v/>
      </c>
      <c r="M65" s="32" t="inlineStr">
        <is>
          <t>Gối cao su</t>
        </is>
      </c>
    </row>
    <row r="66">
      <c r="A66" s="36" t="n"/>
      <c r="B66" s="36" t="n"/>
      <c r="C66" s="6" t="inlineStr">
        <is>
          <t>- Gối cầu chịu lực cho 4 phiến dầm trên 2 mố</t>
        </is>
      </c>
      <c r="D66" s="5" t="inlineStr">
        <is>
          <t>cái</t>
        </is>
      </c>
      <c r="E66" s="26" t="n">
        <v>2</v>
      </c>
      <c r="F66" s="26" t="n">
        <v>4</v>
      </c>
      <c r="G66" s="26" t="n">
        <v>1</v>
      </c>
      <c r="H66" s="26" t="n">
        <v>1</v>
      </c>
      <c r="I66" s="26" t="n">
        <v>1</v>
      </c>
      <c r="J66" s="23">
        <f>E66*F66*G66*H66*I66</f>
        <v/>
      </c>
      <c r="K66" s="36" t="n"/>
      <c r="L66" s="36" t="n"/>
      <c r="M66" s="6" t="inlineStr">
        <is>
          <t>8 gối cầu</t>
        </is>
      </c>
    </row>
    <row r="67">
      <c r="A67" s="31" t="inlineStr">
        <is>
          <t>AG.13722</t>
        </is>
      </c>
      <c r="B67" s="31" t="inlineStr">
        <is>
          <t>30</t>
        </is>
      </c>
      <c r="C67" s="32" t="inlineStr">
        <is>
          <t>Khe co giãn răng lược bằng thép mạ kẽm</t>
        </is>
      </c>
      <c r="D67" s="31" t="inlineStr">
        <is>
          <t>m</t>
        </is>
      </c>
      <c r="E67" s="33" t="n"/>
      <c r="F67" s="33" t="n"/>
      <c r="G67" s="33" t="n"/>
      <c r="H67" s="33" t="n"/>
      <c r="I67" s="33" t="n"/>
      <c r="J67" s="34">
        <f>SUM(J68:J68)</f>
        <v/>
      </c>
      <c r="K67" s="35" t="n">
        <v>3200000</v>
      </c>
      <c r="L67" s="35">
        <f>J67*K67</f>
        <v/>
      </c>
      <c r="M67" s="32" t="inlineStr">
        <is>
          <t>Khe co giãn</t>
        </is>
      </c>
    </row>
    <row r="68">
      <c r="A68" s="36" t="n"/>
      <c r="B68" s="36" t="n"/>
      <c r="C68" s="6" t="inlineStr">
        <is>
          <t>- Chiều dài khe co giãn tại 2 mố M1 và M2</t>
        </is>
      </c>
      <c r="D68" s="5" t="inlineStr">
        <is>
          <t>m</t>
        </is>
      </c>
      <c r="E68" s="26" t="n">
        <v>2</v>
      </c>
      <c r="F68" s="26" t="n">
        <v>7.3</v>
      </c>
      <c r="G68" s="26" t="n">
        <v>1</v>
      </c>
      <c r="H68" s="26" t="n">
        <v>1</v>
      </c>
      <c r="I68" s="26" t="n">
        <v>1</v>
      </c>
      <c r="J68" s="23">
        <f>E68*F68*G68*H68*I68</f>
        <v/>
      </c>
      <c r="K68" s="36" t="n"/>
      <c r="L68" s="36" t="n"/>
      <c r="M68" s="6" t="inlineStr">
        <is>
          <t>2 khe mố</t>
        </is>
      </c>
    </row>
    <row r="69">
      <c r="A69" s="31" t="inlineStr">
        <is>
          <t>AG.13733</t>
        </is>
      </c>
      <c r="B69" s="31" t="inlineStr">
        <is>
          <t>31</t>
        </is>
      </c>
      <c r="C69" s="32" t="inlineStr">
        <is>
          <t>Vữa rót không co ngót cường độ cao C50 (M600)</t>
        </is>
      </c>
      <c r="D69" s="31" t="inlineStr">
        <is>
          <t>m3</t>
        </is>
      </c>
      <c r="E69" s="33" t="n"/>
      <c r="F69" s="33" t="n"/>
      <c r="G69" s="33" t="n"/>
      <c r="H69" s="33" t="n"/>
      <c r="I69" s="33" t="n"/>
      <c r="J69" s="34">
        <f>SUM(J70:J70)</f>
        <v/>
      </c>
      <c r="K69" s="35" t="n">
        <v>4800000</v>
      </c>
      <c r="L69" s="35">
        <f>J69*K69</f>
        <v/>
      </c>
      <c r="M69" s="32" t="inlineStr">
        <is>
          <t>Vữa chèn khe</t>
        </is>
      </c>
    </row>
    <row r="70">
      <c r="A70" s="36" t="n"/>
      <c r="B70" s="36" t="n"/>
      <c r="C70" s="6" t="inlineStr">
        <is>
          <t>- Vữa chèn mối nối khe co giãn và đá kê gối</t>
        </is>
      </c>
      <c r="D70" s="5" t="inlineStr">
        <is>
          <t>m3</t>
        </is>
      </c>
      <c r="E70" s="26" t="n">
        <v>2</v>
      </c>
      <c r="F70" s="26" t="n">
        <v>7.3</v>
      </c>
      <c r="G70" s="26" t="n">
        <v>0.4</v>
      </c>
      <c r="H70" s="26" t="n">
        <v>0.377</v>
      </c>
      <c r="I70" s="26" t="n">
        <v>1</v>
      </c>
      <c r="J70" s="23">
        <f>E70*F70*G70*H70*I70</f>
        <v/>
      </c>
      <c r="K70" s="36" t="n"/>
      <c r="L70" s="36" t="n"/>
      <c r="M70" s="6" t="inlineStr">
        <is>
          <t>Chèn khe co giãn</t>
        </is>
      </c>
    </row>
    <row r="71">
      <c r="A71" s="29" t="n"/>
      <c r="B71" s="29" t="n"/>
      <c r="C71" s="30" t="inlineStr">
        <is>
          <t>PHẦN IV: BẢN QUÁ ĐỘ &amp; TƯỜNG CHẮN ĐẦU CẦU</t>
        </is>
      </c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6" t="n"/>
    </row>
    <row r="72">
      <c r="A72" s="31" t="inlineStr">
        <is>
          <t>AH.14111</t>
        </is>
      </c>
      <c r="B72" s="31" t="inlineStr">
        <is>
          <t>32</t>
        </is>
      </c>
      <c r="C72" s="32" t="inlineStr">
        <is>
          <t>Bê tông bản quá độ C25 (M300)</t>
        </is>
      </c>
      <c r="D72" s="31" t="inlineStr">
        <is>
          <t>m3</t>
        </is>
      </c>
      <c r="E72" s="33" t="n"/>
      <c r="F72" s="33" t="n"/>
      <c r="G72" s="33" t="n"/>
      <c r="H72" s="33" t="n"/>
      <c r="I72" s="33" t="n"/>
      <c r="J72" s="34">
        <f>SUM(J73:J73)</f>
        <v/>
      </c>
      <c r="K72" s="35" t="n">
        <v>1850000</v>
      </c>
      <c r="L72" s="35">
        <f>J72*K72</f>
        <v/>
      </c>
      <c r="M72" s="32" t="inlineStr">
        <is>
          <t>Bản quá độ</t>
        </is>
      </c>
    </row>
    <row r="73">
      <c r="A73" s="36" t="n"/>
      <c r="B73" s="36" t="n"/>
      <c r="C73" s="6" t="inlineStr">
        <is>
          <t>- Thể tích bê tông bản quá độ sau mố M1, M2</t>
        </is>
      </c>
      <c r="D73" s="5" t="inlineStr">
        <is>
          <t>m3</t>
        </is>
      </c>
      <c r="E73" s="26" t="n">
        <v>2</v>
      </c>
      <c r="F73" s="26" t="n">
        <v>5</v>
      </c>
      <c r="G73" s="26" t="n">
        <v>5.011</v>
      </c>
      <c r="H73" s="26" t="n">
        <v>0.25</v>
      </c>
      <c r="I73" s="26" t="n">
        <v>1</v>
      </c>
      <c r="J73" s="23">
        <f>E73*F73*G73*H73*I73</f>
        <v/>
      </c>
      <c r="K73" s="36" t="n"/>
      <c r="L73" s="36" t="n"/>
      <c r="M73" s="6" t="inlineStr">
        <is>
          <t>2 bản quá độ</t>
        </is>
      </c>
    </row>
    <row r="74">
      <c r="A74" s="31" t="inlineStr">
        <is>
          <t>AH.14122</t>
        </is>
      </c>
      <c r="B74" s="31" t="inlineStr">
        <is>
          <t>33</t>
        </is>
      </c>
      <c r="C74" s="32" t="inlineStr">
        <is>
          <t>Cốt thép bản quá độ (Tấn)</t>
        </is>
      </c>
      <c r="D74" s="31" t="inlineStr">
        <is>
          <t>Tấn</t>
        </is>
      </c>
      <c r="E74" s="33" t="n"/>
      <c r="F74" s="33" t="n"/>
      <c r="G74" s="33" t="n"/>
      <c r="H74" s="33" t="n"/>
      <c r="I74" s="33" t="n"/>
      <c r="J74" s="34">
        <f>SUM(J75:J75)</f>
        <v/>
      </c>
      <c r="K74" s="35" t="n">
        <v>20500000</v>
      </c>
      <c r="L74" s="35">
        <f>J74*K74</f>
        <v/>
      </c>
      <c r="M74" s="32" t="inlineStr">
        <is>
          <t>Thép bản quá độ</t>
        </is>
      </c>
    </row>
    <row r="75">
      <c r="A75" s="36" t="n"/>
      <c r="B75" s="36" t="n"/>
      <c r="C75" s="6" t="inlineStr">
        <is>
          <t>- Khối lượng cốt thép bản quá độ từ BBS</t>
        </is>
      </c>
      <c r="D75" s="5" t="inlineStr">
        <is>
          <t>Tấn</t>
        </is>
      </c>
      <c r="E75" s="26" t="n"/>
      <c r="F75" s="26" t="n"/>
      <c r="G75" s="26" t="n"/>
      <c r="H75" s="26" t="n"/>
      <c r="I75" s="26" t="n"/>
      <c r="J75" s="23">
        <f>SUMIFS(THONG_KE_THEP_CHI_TIET!$O$6:$O$399, THONG_KE_THEP_CHI_TIET!$B$6:$B$399, "*Bản quá độ*")</f>
        <v/>
      </c>
      <c r="K75" s="36" t="n"/>
      <c r="L75" s="36" t="n"/>
      <c r="M75" s="6" t="inlineStr">
        <is>
          <t>BBS bản quá độ</t>
        </is>
      </c>
    </row>
    <row r="76">
      <c r="A76" s="31" t="inlineStr">
        <is>
          <t>AH.14211</t>
        </is>
      </c>
      <c r="B76" s="31" t="inlineStr">
        <is>
          <t>34</t>
        </is>
      </c>
      <c r="C76" s="32" t="inlineStr">
        <is>
          <t>Bê tông móng và thân tường chắn C25 (M300)</t>
        </is>
      </c>
      <c r="D76" s="31" t="inlineStr">
        <is>
          <t>m3</t>
        </is>
      </c>
      <c r="E76" s="33" t="n"/>
      <c r="F76" s="33" t="n"/>
      <c r="G76" s="33" t="n"/>
      <c r="H76" s="33" t="n"/>
      <c r="I76" s="33" t="n"/>
      <c r="J76" s="34">
        <f>SUM(J77:J77)</f>
        <v/>
      </c>
      <c r="K76" s="35" t="n">
        <v>1850000</v>
      </c>
      <c r="L76" s="35">
        <f>J76*K76</f>
        <v/>
      </c>
      <c r="M76" s="32" t="inlineStr">
        <is>
          <t>Tường chắn</t>
        </is>
      </c>
    </row>
    <row r="77">
      <c r="A77" s="36" t="n"/>
      <c r="B77" s="36" t="n"/>
      <c r="C77" s="6" t="inlineStr">
        <is>
          <t>- Thể tích móng và thân tường chắn đất</t>
        </is>
      </c>
      <c r="D77" s="5" t="inlineStr">
        <is>
          <t>m3</t>
        </is>
      </c>
      <c r="E77" s="26" t="n">
        <v>2</v>
      </c>
      <c r="F77" s="26" t="n">
        <v>28</v>
      </c>
      <c r="G77" s="26" t="n">
        <v>2.5</v>
      </c>
      <c r="H77" s="26" t="n">
        <v>1.279</v>
      </c>
      <c r="I77" s="26" t="n">
        <v>1</v>
      </c>
      <c r="J77" s="23">
        <f>E77*F77*G77*H77*I77</f>
        <v/>
      </c>
      <c r="K77" s="36" t="n"/>
      <c r="L77" s="36" t="n"/>
      <c r="M77" s="6" t="inlineStr">
        <is>
          <t>Tường chắn</t>
        </is>
      </c>
    </row>
    <row r="78">
      <c r="A78" s="31" t="inlineStr">
        <is>
          <t>AH.14222</t>
        </is>
      </c>
      <c r="B78" s="31" t="inlineStr">
        <is>
          <t>35</t>
        </is>
      </c>
      <c r="C78" s="32" t="inlineStr">
        <is>
          <t>Cốt thép tường chắn đất (Tấn)</t>
        </is>
      </c>
      <c r="D78" s="31" t="inlineStr">
        <is>
          <t>Tấn</t>
        </is>
      </c>
      <c r="E78" s="33" t="n"/>
      <c r="F78" s="33" t="n"/>
      <c r="G78" s="33" t="n"/>
      <c r="H78" s="33" t="n"/>
      <c r="I78" s="33" t="n"/>
      <c r="J78" s="34">
        <f>SUM(J79:J79)</f>
        <v/>
      </c>
      <c r="K78" s="35" t="n">
        <v>20500000</v>
      </c>
      <c r="L78" s="35">
        <f>J78*K78</f>
        <v/>
      </c>
      <c r="M78" s="32" t="inlineStr">
        <is>
          <t>Thép tường chắn</t>
        </is>
      </c>
    </row>
    <row r="79">
      <c r="A79" s="36" t="n"/>
      <c r="B79" s="36" t="n"/>
      <c r="C79" s="6" t="inlineStr">
        <is>
          <t>- Cốt thép móng và thân tường chắn</t>
        </is>
      </c>
      <c r="D79" s="5" t="inlineStr">
        <is>
          <t>Tấn</t>
        </is>
      </c>
      <c r="E79" s="26" t="n">
        <v>1</v>
      </c>
      <c r="F79" s="26" t="n">
        <v>8.381</v>
      </c>
      <c r="G79" s="26" t="n">
        <v>1</v>
      </c>
      <c r="H79" s="26" t="n">
        <v>1</v>
      </c>
      <c r="I79" s="26" t="n">
        <v>1</v>
      </c>
      <c r="J79" s="23">
        <f>E79*F79*G79*H79*I79</f>
        <v/>
      </c>
      <c r="K79" s="36" t="n"/>
      <c r="L79" s="36" t="n"/>
      <c r="M79" s="6" t="inlineStr">
        <is>
          <t>Thép tường chắn</t>
        </is>
      </c>
    </row>
    <row r="80">
      <c r="A80" s="37" t="n"/>
      <c r="B80" s="37" t="n"/>
      <c r="C80" s="38" t="inlineStr">
        <is>
          <t>TỔNG CỘNG CHI PHÍ TRỰC TIẾP (T)</t>
        </is>
      </c>
      <c r="D80" s="37" t="n"/>
      <c r="E80" s="37" t="n"/>
      <c r="F80" s="37" t="n"/>
      <c r="G80" s="37" t="n"/>
      <c r="H80" s="37" t="n"/>
      <c r="I80" s="37" t="n"/>
      <c r="J80" s="37" t="n"/>
      <c r="K80" s="37" t="n"/>
      <c r="L80" s="39">
        <f>SUM(L7,L9,L11,L13,L15,L17,L20,L22,L24,L26,L28,L30,L32,L34,L36,L39,L41,L43,L45,L47,L49,L51,L53,L55,L57,L59,L61,L63,L65,L67,L69,L72,L74,L76,L78)</f>
        <v/>
      </c>
      <c r="M80" s="37" t="n"/>
    </row>
  </sheetData>
  <mergeCells count="4">
    <mergeCell ref="C6:M6"/>
    <mergeCell ref="C38:M38"/>
    <mergeCell ref="C19:M19"/>
    <mergeCell ref="C71:M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16" customWidth="1" min="4" max="4"/>
    <col width="20" customWidth="1" min="5" max="5"/>
    <col width="22" customWidth="1" min="6" max="6"/>
    <col width="14" customWidth="1" min="7" max="7"/>
    <col width="16" customWidth="1" min="8" max="8"/>
    <col width="20" customWidth="1" min="9" max="9"/>
    <col width="18" customWidth="1" min="10" max="10"/>
    <col width="20" customWidth="1" min="11" max="11"/>
    <col width="26" customWidth="1" min="12" max="12"/>
    <col width="28" customWidth="1" min="13" max="13"/>
    <col width="27" customWidth="1" min="14" max="14"/>
    <col width="28" customWidth="1" min="15" max="15"/>
    <col width="29" customWidth="1" min="16" max="16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THỐNG KÊ CỐT THÉP CHI TIẾT (BAR BENDING SCHEDULE - BBS) - CẦU THÔN KHAI HOANG 2</t>
        </is>
      </c>
    </row>
    <row r="4">
      <c r="B4" s="3" t="inlineStr">
        <is>
          <t>Chi tiết từng số hiệu thanh, hình dáng uốn, đường kính, số lượng và chiều dài (TCVN 1651:2018)</t>
        </is>
      </c>
    </row>
    <row r="5" ht="28" customHeight="1">
      <c r="A5" s="4" t="inlineStr">
        <is>
          <t>STT</t>
        </is>
      </c>
      <c r="B5" s="4" t="inlineStr">
        <is>
          <t>Hạng mục cấu kiện</t>
        </is>
      </c>
      <c r="C5" s="4" t="inlineStr">
        <is>
          <t>Vị trí lắp đặt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Hình dạng uốn thanh</t>
        </is>
      </c>
      <c r="G5" s="4" t="inlineStr">
        <is>
          <t>Số cấu kiện</t>
        </is>
      </c>
      <c r="H5" s="4" t="inlineStr">
        <is>
          <t>Số thanh / CK</t>
        </is>
      </c>
      <c r="I5" s="4" t="inlineStr">
        <is>
          <t>Tổng số thanh (N)</t>
        </is>
      </c>
      <c r="J5" s="4" t="inlineStr">
        <is>
          <t>Dài 1 đoạn (mm)</t>
        </is>
      </c>
      <c r="K5" s="4" t="inlineStr">
        <is>
          <t>Dài nối buộc (mm)</t>
        </is>
      </c>
      <c r="L5" s="4" t="inlineStr">
        <is>
          <t>Chiều dài 1 thanh L (m)</t>
        </is>
      </c>
      <c r="M5" s="4" t="inlineStr">
        <is>
          <t>Trọng lượng đơn vị (kg/m)</t>
        </is>
      </c>
      <c r="N5" s="4" t="inlineStr">
        <is>
          <t>Khối lượng cốt thép (kg)</t>
        </is>
      </c>
      <c r="O5" s="4" t="inlineStr">
        <is>
          <t>Khối lượng cốt thép (Tấn)</t>
        </is>
      </c>
      <c r="P5" s="4" t="inlineStr">
        <is>
          <t>Ghi chú</t>
        </is>
      </c>
    </row>
    <row r="6">
      <c r="A6" s="5" t="n">
        <v>1</v>
      </c>
      <c r="B6" s="6" t="inlineStr">
        <is>
          <t>Dầm chủ T15m</t>
        </is>
      </c>
      <c r="C6" s="6" t="inlineStr">
        <is>
          <t>Dầm biên L=15m</t>
        </is>
      </c>
      <c r="D6" s="5" t="inlineStr">
        <is>
          <t>A1</t>
        </is>
      </c>
      <c r="E6" s="5" t="n">
        <v>32</v>
      </c>
      <c r="F6" s="6" t="inlineStr">
        <is>
          <t>Thẳng có móc</t>
        </is>
      </c>
      <c r="G6" s="26" t="n">
        <v>2</v>
      </c>
      <c r="H6" s="26" t="n">
        <v>5</v>
      </c>
      <c r="I6" s="7">
        <f>G6*H6</f>
        <v/>
      </c>
      <c r="J6" s="26" t="n">
        <v>15280</v>
      </c>
      <c r="K6" s="26" t="n">
        <v>0</v>
      </c>
      <c r="L6" s="23">
        <f>(J6+K6)/1000</f>
        <v/>
      </c>
      <c r="M6" s="23" t="n">
        <v>6.313</v>
      </c>
      <c r="N6" s="8">
        <f>I6*L6*M6</f>
        <v/>
      </c>
      <c r="O6" s="23">
        <f>N6/1000</f>
        <v/>
      </c>
      <c r="P6" s="6" t="inlineStr">
        <is>
          <t>Thép chủ dầm biên</t>
        </is>
      </c>
    </row>
    <row r="7">
      <c r="A7" s="12" t="n">
        <v>2</v>
      </c>
      <c r="B7" s="13" t="inlineStr">
        <is>
          <t>Dầm chủ T15m</t>
        </is>
      </c>
      <c r="C7" s="13" t="inlineStr">
        <is>
          <t>Dầm biên L=15m</t>
        </is>
      </c>
      <c r="D7" s="12" t="inlineStr">
        <is>
          <t>A2</t>
        </is>
      </c>
      <c r="E7" s="12" t="n">
        <v>12</v>
      </c>
      <c r="F7" s="13" t="inlineStr">
        <is>
          <t>Thẳng</t>
        </is>
      </c>
      <c r="G7" s="27" t="n">
        <v>2</v>
      </c>
      <c r="H7" s="27" t="n">
        <v>10</v>
      </c>
      <c r="I7" s="14">
        <f>G7*H7</f>
        <v/>
      </c>
      <c r="J7" s="27" t="n">
        <v>14500</v>
      </c>
      <c r="K7" s="27" t="n">
        <v>0</v>
      </c>
      <c r="L7" s="24">
        <f>(J7+K7)/1000</f>
        <v/>
      </c>
      <c r="M7" s="24" t="n">
        <v>0.888</v>
      </c>
      <c r="N7" s="15">
        <f>I7*L7*M7</f>
        <v/>
      </c>
      <c r="O7" s="24">
        <f>N7/1000</f>
        <v/>
      </c>
      <c r="P7" s="13" t="inlineStr">
        <is>
          <t>Thép dọc cánh biên</t>
        </is>
      </c>
    </row>
    <row r="8">
      <c r="A8" s="5" t="n">
        <v>3</v>
      </c>
      <c r="B8" s="6" t="inlineStr">
        <is>
          <t>Dầm chủ T15m</t>
        </is>
      </c>
      <c r="C8" s="6" t="inlineStr">
        <is>
          <t>Dầm biên L=15m</t>
        </is>
      </c>
      <c r="D8" s="5" t="inlineStr">
        <is>
          <t>A3</t>
        </is>
      </c>
      <c r="E8" s="5" t="n">
        <v>12</v>
      </c>
      <c r="F8" s="6" t="inlineStr">
        <is>
          <t>Thẳng</t>
        </is>
      </c>
      <c r="G8" s="26" t="n">
        <v>2</v>
      </c>
      <c r="H8" s="26" t="n">
        <v>18</v>
      </c>
      <c r="I8" s="7">
        <f>G8*H8</f>
        <v/>
      </c>
      <c r="J8" s="26" t="n">
        <v>15400</v>
      </c>
      <c r="K8" s="26" t="n">
        <v>0</v>
      </c>
      <c r="L8" s="23">
        <f>(J8+K8)/1000</f>
        <v/>
      </c>
      <c r="M8" s="23" t="n">
        <v>0.888</v>
      </c>
      <c r="N8" s="8">
        <f>I8*L8*M8</f>
        <v/>
      </c>
      <c r="O8" s="23">
        <f>N8/1000</f>
        <v/>
      </c>
      <c r="P8" s="6" t="inlineStr">
        <is>
          <t>Thép dọc cánh biên</t>
        </is>
      </c>
    </row>
    <row r="9">
      <c r="A9" s="12" t="n">
        <v>4</v>
      </c>
      <c r="B9" s="13" t="inlineStr">
        <is>
          <t>Dầm chủ T15m</t>
        </is>
      </c>
      <c r="C9" s="13" t="inlineStr">
        <is>
          <t>Dầm biên L=15m</t>
        </is>
      </c>
      <c r="D9" s="12" t="inlineStr">
        <is>
          <t>B1</t>
        </is>
      </c>
      <c r="E9" s="12" t="n">
        <v>32</v>
      </c>
      <c r="F9" s="13" t="inlineStr">
        <is>
          <t>Uốn đầu</t>
        </is>
      </c>
      <c r="G9" s="27" t="n">
        <v>2</v>
      </c>
      <c r="H9" s="27" t="n">
        <v>8</v>
      </c>
      <c r="I9" s="14">
        <f>G9*H9</f>
        <v/>
      </c>
      <c r="J9" s="27" t="n">
        <v>17320</v>
      </c>
      <c r="K9" s="27" t="n">
        <v>0</v>
      </c>
      <c r="L9" s="24">
        <f>(J9+K9)/1000</f>
        <v/>
      </c>
      <c r="M9" s="24" t="n">
        <v>6.313</v>
      </c>
      <c r="N9" s="15">
        <f>I9*L9*M9</f>
        <v/>
      </c>
      <c r="O9" s="24">
        <f>N9/1000</f>
        <v/>
      </c>
      <c r="P9" s="13" t="inlineStr">
        <is>
          <t>Thép chịu kéo dầm biên</t>
        </is>
      </c>
    </row>
    <row r="10">
      <c r="A10" s="5" t="n">
        <v>5</v>
      </c>
      <c r="B10" s="6" t="inlineStr">
        <is>
          <t>Dầm chủ T15m</t>
        </is>
      </c>
      <c r="C10" s="6" t="inlineStr">
        <is>
          <t>Dầm biên L=15m</t>
        </is>
      </c>
      <c r="D10" s="5" t="inlineStr">
        <is>
          <t>C1</t>
        </is>
      </c>
      <c r="E10" s="5" t="n">
        <v>10</v>
      </c>
      <c r="F10" s="6" t="inlineStr">
        <is>
          <t>Chữ U</t>
        </is>
      </c>
      <c r="G10" s="26" t="n">
        <v>2</v>
      </c>
      <c r="H10" s="26" t="n">
        <v>12</v>
      </c>
      <c r="I10" s="7">
        <f>G10*H10</f>
        <v/>
      </c>
      <c r="J10" s="26" t="n">
        <v>1280</v>
      </c>
      <c r="K10" s="26" t="n">
        <v>0</v>
      </c>
      <c r="L10" s="23">
        <f>(J10+K10)/1000</f>
        <v/>
      </c>
      <c r="M10" s="23" t="n">
        <v>0.617</v>
      </c>
      <c r="N10" s="8">
        <f>I10*L10*M10</f>
        <v/>
      </c>
      <c r="O10" s="23">
        <f>N10/1000</f>
        <v/>
      </c>
      <c r="P10" s="6" t="inlineStr">
        <is>
          <t>Thép đai móc</t>
        </is>
      </c>
    </row>
    <row r="11">
      <c r="A11" s="12" t="n">
        <v>6</v>
      </c>
      <c r="B11" s="13" t="inlineStr">
        <is>
          <t>Dầm chủ T15m</t>
        </is>
      </c>
      <c r="C11" s="13" t="inlineStr">
        <is>
          <t>Dầm biên L=15m</t>
        </is>
      </c>
      <c r="D11" s="12" t="inlineStr">
        <is>
          <t>C2</t>
        </is>
      </c>
      <c r="E11" s="12" t="n">
        <v>14</v>
      </c>
      <c r="F11" s="13" t="inlineStr">
        <is>
          <t>Chữ L</t>
        </is>
      </c>
      <c r="G11" s="27" t="n">
        <v>2</v>
      </c>
      <c r="H11" s="27" t="n">
        <v>4</v>
      </c>
      <c r="I11" s="14">
        <f>G11*H11</f>
        <v/>
      </c>
      <c r="J11" s="27" t="n">
        <v>1946</v>
      </c>
      <c r="K11" s="27" t="n">
        <v>0</v>
      </c>
      <c r="L11" s="24">
        <f>(J11+K11)/1000</f>
        <v/>
      </c>
      <c r="M11" s="24" t="n">
        <v>1.208</v>
      </c>
      <c r="N11" s="15">
        <f>I11*L11*M11</f>
        <v/>
      </c>
      <c r="O11" s="24">
        <f>N11/1000</f>
        <v/>
      </c>
      <c r="P11" s="13" t="inlineStr">
        <is>
          <t>Thép đai tăng cường</t>
        </is>
      </c>
    </row>
    <row r="12">
      <c r="A12" s="5" t="n">
        <v>7</v>
      </c>
      <c r="B12" s="6" t="inlineStr">
        <is>
          <t>Dầm chủ T15m</t>
        </is>
      </c>
      <c r="C12" s="6" t="inlineStr">
        <is>
          <t>Dầm biên L=15m</t>
        </is>
      </c>
      <c r="D12" s="5" t="inlineStr">
        <is>
          <t>C3</t>
        </is>
      </c>
      <c r="E12" s="5" t="n">
        <v>14</v>
      </c>
      <c r="F12" s="6" t="inlineStr">
        <is>
          <t>Chữ U kín</t>
        </is>
      </c>
      <c r="G12" s="26" t="n">
        <v>2</v>
      </c>
      <c r="H12" s="26" t="n">
        <v>300</v>
      </c>
      <c r="I12" s="7">
        <f>G12*H12</f>
        <v/>
      </c>
      <c r="J12" s="26" t="n">
        <v>2228</v>
      </c>
      <c r="K12" s="26" t="n">
        <v>0</v>
      </c>
      <c r="L12" s="23">
        <f>(J12+K12)/1000</f>
        <v/>
      </c>
      <c r="M12" s="23" t="n">
        <v>1.208</v>
      </c>
      <c r="N12" s="8">
        <f>I12*L12*M12</f>
        <v/>
      </c>
      <c r="O12" s="23">
        <f>N12/1000</f>
        <v/>
      </c>
      <c r="P12" s="6" t="inlineStr">
        <is>
          <t>Đai sườn dầm biên</t>
        </is>
      </c>
    </row>
    <row r="13">
      <c r="A13" s="12" t="n">
        <v>8</v>
      </c>
      <c r="B13" s="13" t="inlineStr">
        <is>
          <t>Dầm chủ T15m</t>
        </is>
      </c>
      <c r="C13" s="13" t="inlineStr">
        <is>
          <t>Dầm biên L=15m</t>
        </is>
      </c>
      <c r="D13" s="12" t="inlineStr">
        <is>
          <t>C4</t>
        </is>
      </c>
      <c r="E13" s="12" t="n">
        <v>16</v>
      </c>
      <c r="F13" s="13" t="inlineStr">
        <is>
          <t>Thẳng</t>
        </is>
      </c>
      <c r="G13" s="27" t="n">
        <v>2</v>
      </c>
      <c r="H13" s="27" t="n">
        <v>30</v>
      </c>
      <c r="I13" s="14">
        <f>G13*H13</f>
        <v/>
      </c>
      <c r="J13" s="27" t="n">
        <v>1504</v>
      </c>
      <c r="K13" s="27" t="n">
        <v>0</v>
      </c>
      <c r="L13" s="24">
        <f>(J13+K13)/1000</f>
        <v/>
      </c>
      <c r="M13" s="24" t="n">
        <v>1.578</v>
      </c>
      <c r="N13" s="15">
        <f>I13*L13*M13</f>
        <v/>
      </c>
      <c r="O13" s="24">
        <f>N13/1000</f>
        <v/>
      </c>
      <c r="P13" s="13" t="inlineStr">
        <is>
          <t>Thép giá dầm biên</t>
        </is>
      </c>
    </row>
    <row r="14">
      <c r="A14" s="5" t="n">
        <v>9</v>
      </c>
      <c r="B14" s="6" t="inlineStr">
        <is>
          <t>Dầm chủ T15m</t>
        </is>
      </c>
      <c r="C14" s="6" t="inlineStr">
        <is>
          <t>Dầm biên L=15m</t>
        </is>
      </c>
      <c r="D14" s="5" t="inlineStr">
        <is>
          <t>C5</t>
        </is>
      </c>
      <c r="E14" s="5" t="n">
        <v>16</v>
      </c>
      <c r="F14" s="6" t="inlineStr">
        <is>
          <t>Móc chữ C</t>
        </is>
      </c>
      <c r="G14" s="26" t="n">
        <v>2</v>
      </c>
      <c r="H14" s="26" t="n">
        <v>196</v>
      </c>
      <c r="I14" s="7">
        <f>G14*H14</f>
        <v/>
      </c>
      <c r="J14" s="26" t="n">
        <v>331</v>
      </c>
      <c r="K14" s="26" t="n">
        <v>0</v>
      </c>
      <c r="L14" s="23">
        <f>(J14+K14)/1000</f>
        <v/>
      </c>
      <c r="M14" s="23" t="n">
        <v>1.578</v>
      </c>
      <c r="N14" s="8">
        <f>I14*L14*M14</f>
        <v/>
      </c>
      <c r="O14" s="23">
        <f>N14/1000</f>
        <v/>
      </c>
      <c r="P14" s="6" t="inlineStr">
        <is>
          <t>Thép móc đai</t>
        </is>
      </c>
    </row>
    <row r="15">
      <c r="A15" s="12" t="n">
        <v>10</v>
      </c>
      <c r="B15" s="13" t="inlineStr">
        <is>
          <t>Dầm chủ T15m</t>
        </is>
      </c>
      <c r="C15" s="13" t="inlineStr">
        <is>
          <t>Dầm biên L=15m</t>
        </is>
      </c>
      <c r="D15" s="12" t="inlineStr">
        <is>
          <t>D1</t>
        </is>
      </c>
      <c r="E15" s="12" t="n">
        <v>10</v>
      </c>
      <c r="F15" s="13" t="inlineStr">
        <is>
          <t>Chữ U</t>
        </is>
      </c>
      <c r="G15" s="27" t="n">
        <v>2</v>
      </c>
      <c r="H15" s="27" t="n">
        <v>102</v>
      </c>
      <c r="I15" s="14">
        <f>G15*H15</f>
        <v/>
      </c>
      <c r="J15" s="27" t="n">
        <v>2260</v>
      </c>
      <c r="K15" s="27" t="n">
        <v>0</v>
      </c>
      <c r="L15" s="24">
        <f>(J15+K15)/1000</f>
        <v/>
      </c>
      <c r="M15" s="24" t="n">
        <v>0.617</v>
      </c>
      <c r="N15" s="15">
        <f>I15*L15*M15</f>
        <v/>
      </c>
      <c r="O15" s="24">
        <f>N15/1000</f>
        <v/>
      </c>
      <c r="P15" s="13" t="inlineStr">
        <is>
          <t>Thép đai cánh dầm</t>
        </is>
      </c>
    </row>
    <row r="16">
      <c r="A16" s="5" t="n">
        <v>11</v>
      </c>
      <c r="B16" s="6" t="inlineStr">
        <is>
          <t>Dầm chủ T15m</t>
        </is>
      </c>
      <c r="C16" s="6" t="inlineStr">
        <is>
          <t>Dầm biên L=15m</t>
        </is>
      </c>
      <c r="D16" s="5" t="inlineStr">
        <is>
          <t>E1</t>
        </is>
      </c>
      <c r="E16" s="5" t="n">
        <v>10</v>
      </c>
      <c r="F16" s="6" t="inlineStr">
        <is>
          <t>Thẳng</t>
        </is>
      </c>
      <c r="G16" s="26" t="n">
        <v>2</v>
      </c>
      <c r="H16" s="26" t="n">
        <v>112</v>
      </c>
      <c r="I16" s="7">
        <f>G16*H16</f>
        <v/>
      </c>
      <c r="J16" s="26" t="n">
        <v>1372</v>
      </c>
      <c r="K16" s="26" t="n">
        <v>0</v>
      </c>
      <c r="L16" s="23">
        <f>(J16+K16)/1000</f>
        <v/>
      </c>
      <c r="M16" s="23" t="n">
        <v>0.617</v>
      </c>
      <c r="N16" s="8">
        <f>I16*L16*M16</f>
        <v/>
      </c>
      <c r="O16" s="23">
        <f>N16/1000</f>
        <v/>
      </c>
      <c r="P16" s="6" t="inlineStr">
        <is>
          <t>Thép phân bố bản</t>
        </is>
      </c>
    </row>
    <row r="17">
      <c r="A17" s="12" t="n">
        <v>12</v>
      </c>
      <c r="B17" s="13" t="inlineStr">
        <is>
          <t>Dầm chủ T15m</t>
        </is>
      </c>
      <c r="C17" s="13" t="inlineStr">
        <is>
          <t>Dầm biên L=15m</t>
        </is>
      </c>
      <c r="D17" s="12" t="inlineStr">
        <is>
          <t>E2</t>
        </is>
      </c>
      <c r="E17" s="12" t="n">
        <v>12</v>
      </c>
      <c r="F17" s="13" t="inlineStr">
        <is>
          <t>Thẳng</t>
        </is>
      </c>
      <c r="G17" s="27" t="n">
        <v>2</v>
      </c>
      <c r="H17" s="27" t="n">
        <v>150</v>
      </c>
      <c r="I17" s="14">
        <f>G17*H17</f>
        <v/>
      </c>
      <c r="J17" s="27" t="n">
        <v>1786</v>
      </c>
      <c r="K17" s="27" t="n">
        <v>0</v>
      </c>
      <c r="L17" s="24">
        <f>(J17+K17)/1000</f>
        <v/>
      </c>
      <c r="M17" s="24" t="n">
        <v>0.888</v>
      </c>
      <c r="N17" s="15">
        <f>I17*L17*M17</f>
        <v/>
      </c>
      <c r="O17" s="24">
        <f>N17/1000</f>
        <v/>
      </c>
      <c r="P17" s="13" t="inlineStr">
        <is>
          <t>Thép bản cánh dầm</t>
        </is>
      </c>
    </row>
    <row r="18">
      <c r="A18" s="5" t="n">
        <v>13</v>
      </c>
      <c r="B18" s="6" t="inlineStr">
        <is>
          <t>Dầm chủ T15m</t>
        </is>
      </c>
      <c r="C18" s="6" t="inlineStr">
        <is>
          <t>Dầm biên L=15m</t>
        </is>
      </c>
      <c r="D18" s="5" t="inlineStr">
        <is>
          <t>F1</t>
        </is>
      </c>
      <c r="E18" s="5" t="n">
        <v>10</v>
      </c>
      <c r="F18" s="6" t="inlineStr">
        <is>
          <t>Chữ C</t>
        </is>
      </c>
      <c r="G18" s="26" t="n">
        <v>2</v>
      </c>
      <c r="H18" s="26" t="n">
        <v>300</v>
      </c>
      <c r="I18" s="7">
        <f>G18*H18</f>
        <v/>
      </c>
      <c r="J18" s="26" t="n">
        <v>925</v>
      </c>
      <c r="K18" s="26" t="n">
        <v>0</v>
      </c>
      <c r="L18" s="23">
        <f>(J18+K18)/1000</f>
        <v/>
      </c>
      <c r="M18" s="23" t="n">
        <v>0.617</v>
      </c>
      <c r="N18" s="8">
        <f>I18*L18*M18</f>
        <v/>
      </c>
      <c r="O18" s="23">
        <f>N18/1000</f>
        <v/>
      </c>
      <c r="P18" s="6" t="inlineStr">
        <is>
          <t>Thép chống nứt</t>
        </is>
      </c>
    </row>
    <row r="19">
      <c r="A19" s="12" t="n">
        <v>14</v>
      </c>
      <c r="B19" s="13" t="inlineStr">
        <is>
          <t>Dầm chủ T15m</t>
        </is>
      </c>
      <c r="C19" s="13" t="inlineStr">
        <is>
          <t>Dầm giữa L=15m</t>
        </is>
      </c>
      <c r="D19" s="12" t="inlineStr">
        <is>
          <t>A1</t>
        </is>
      </c>
      <c r="E19" s="12" t="n">
        <v>32</v>
      </c>
      <c r="F19" s="13" t="inlineStr">
        <is>
          <t>Thẳng có móc</t>
        </is>
      </c>
      <c r="G19" s="27" t="n">
        <v>2</v>
      </c>
      <c r="H19" s="27" t="n">
        <v>5</v>
      </c>
      <c r="I19" s="14">
        <f>G19*H19</f>
        <v/>
      </c>
      <c r="J19" s="27" t="n">
        <v>15280</v>
      </c>
      <c r="K19" s="27" t="n">
        <v>0</v>
      </c>
      <c r="L19" s="24">
        <f>(J19+K19)/1000</f>
        <v/>
      </c>
      <c r="M19" s="24" t="n">
        <v>6.313</v>
      </c>
      <c r="N19" s="15">
        <f>I19*L19*M19</f>
        <v/>
      </c>
      <c r="O19" s="24">
        <f>N19/1000</f>
        <v/>
      </c>
      <c r="P19" s="13" t="inlineStr">
        <is>
          <t>Thép chủ dầm giữa</t>
        </is>
      </c>
    </row>
    <row r="20">
      <c r="A20" s="5" t="n">
        <v>15</v>
      </c>
      <c r="B20" s="6" t="inlineStr">
        <is>
          <t>Dầm chủ T15m</t>
        </is>
      </c>
      <c r="C20" s="6" t="inlineStr">
        <is>
          <t>Dầm giữa L=15m</t>
        </is>
      </c>
      <c r="D20" s="5" t="inlineStr">
        <is>
          <t>A2</t>
        </is>
      </c>
      <c r="E20" s="5" t="n">
        <v>12</v>
      </c>
      <c r="F20" s="6" t="inlineStr">
        <is>
          <t>Thẳng</t>
        </is>
      </c>
      <c r="G20" s="26" t="n">
        <v>2</v>
      </c>
      <c r="H20" s="26" t="n">
        <v>10</v>
      </c>
      <c r="I20" s="7">
        <f>G20*H20</f>
        <v/>
      </c>
      <c r="J20" s="26" t="n">
        <v>14500</v>
      </c>
      <c r="K20" s="26" t="n">
        <v>0</v>
      </c>
      <c r="L20" s="23">
        <f>(J20+K20)/1000</f>
        <v/>
      </c>
      <c r="M20" s="23" t="n">
        <v>0.888</v>
      </c>
      <c r="N20" s="8">
        <f>I20*L20*M20</f>
        <v/>
      </c>
      <c r="O20" s="23">
        <f>N20/1000</f>
        <v/>
      </c>
      <c r="P20" s="6" t="inlineStr">
        <is>
          <t>Thép dọc cánh giữa</t>
        </is>
      </c>
    </row>
    <row r="21">
      <c r="A21" s="12" t="n">
        <v>16</v>
      </c>
      <c r="B21" s="13" t="inlineStr">
        <is>
          <t>Dầm chủ T15m</t>
        </is>
      </c>
      <c r="C21" s="13" t="inlineStr">
        <is>
          <t>Dầm giữa L=15m</t>
        </is>
      </c>
      <c r="D21" s="12" t="inlineStr">
        <is>
          <t>A3</t>
        </is>
      </c>
      <c r="E21" s="12" t="n">
        <v>12</v>
      </c>
      <c r="F21" s="13" t="inlineStr">
        <is>
          <t>Thẳng</t>
        </is>
      </c>
      <c r="G21" s="27" t="n">
        <v>2</v>
      </c>
      <c r="H21" s="27" t="n">
        <v>18</v>
      </c>
      <c r="I21" s="14">
        <f>G21*H21</f>
        <v/>
      </c>
      <c r="J21" s="27" t="n">
        <v>15400</v>
      </c>
      <c r="K21" s="27" t="n">
        <v>0</v>
      </c>
      <c r="L21" s="24">
        <f>(J21+K21)/1000</f>
        <v/>
      </c>
      <c r="M21" s="24" t="n">
        <v>0.888</v>
      </c>
      <c r="N21" s="15">
        <f>I21*L21*M21</f>
        <v/>
      </c>
      <c r="O21" s="24">
        <f>N21/1000</f>
        <v/>
      </c>
      <c r="P21" s="13" t="inlineStr">
        <is>
          <t>Thép dọc cánh giữa</t>
        </is>
      </c>
    </row>
    <row r="22">
      <c r="A22" s="5" t="n">
        <v>17</v>
      </c>
      <c r="B22" s="6" t="inlineStr">
        <is>
          <t>Dầm chủ T15m</t>
        </is>
      </c>
      <c r="C22" s="6" t="inlineStr">
        <is>
          <t>Dầm giữa L=15m</t>
        </is>
      </c>
      <c r="D22" s="5" t="inlineStr">
        <is>
          <t>A4</t>
        </is>
      </c>
      <c r="E22" s="5" t="n">
        <v>16</v>
      </c>
      <c r="F22" s="6" t="inlineStr">
        <is>
          <t>Thẳng</t>
        </is>
      </c>
      <c r="G22" s="26" t="n">
        <v>2</v>
      </c>
      <c r="H22" s="26" t="n">
        <v>30</v>
      </c>
      <c r="I22" s="7">
        <f>G22*H22</f>
        <v/>
      </c>
      <c r="J22" s="26" t="n">
        <v>1850</v>
      </c>
      <c r="K22" s="26" t="n">
        <v>0</v>
      </c>
      <c r="L22" s="23">
        <f>(J22+K22)/1000</f>
        <v/>
      </c>
      <c r="M22" s="23" t="n">
        <v>1.578</v>
      </c>
      <c r="N22" s="8">
        <f>I22*L22*M22</f>
        <v/>
      </c>
      <c r="O22" s="23">
        <f>N22/1000</f>
        <v/>
      </c>
      <c r="P22" s="6" t="inlineStr">
        <is>
          <t>Thép gia cường giữa</t>
        </is>
      </c>
    </row>
    <row r="23">
      <c r="A23" s="12" t="n">
        <v>18</v>
      </c>
      <c r="B23" s="13" t="inlineStr">
        <is>
          <t>Dầm chủ T15m</t>
        </is>
      </c>
      <c r="C23" s="13" t="inlineStr">
        <is>
          <t>Dầm giữa L=15m</t>
        </is>
      </c>
      <c r="D23" s="12" t="inlineStr">
        <is>
          <t>B1</t>
        </is>
      </c>
      <c r="E23" s="12" t="n">
        <v>32</v>
      </c>
      <c r="F23" s="13" t="inlineStr">
        <is>
          <t>Uốn đầu</t>
        </is>
      </c>
      <c r="G23" s="27" t="n">
        <v>2</v>
      </c>
      <c r="H23" s="27" t="n">
        <v>8</v>
      </c>
      <c r="I23" s="14">
        <f>G23*H23</f>
        <v/>
      </c>
      <c r="J23" s="27" t="n">
        <v>17320</v>
      </c>
      <c r="K23" s="27" t="n">
        <v>0</v>
      </c>
      <c r="L23" s="24">
        <f>(J23+K23)/1000</f>
        <v/>
      </c>
      <c r="M23" s="24" t="n">
        <v>6.313</v>
      </c>
      <c r="N23" s="15">
        <f>I23*L23*M23</f>
        <v/>
      </c>
      <c r="O23" s="24">
        <f>N23/1000</f>
        <v/>
      </c>
      <c r="P23" s="13" t="inlineStr">
        <is>
          <t>Thép chịu kéo dầm giữa</t>
        </is>
      </c>
    </row>
    <row r="24">
      <c r="A24" s="5" t="n">
        <v>19</v>
      </c>
      <c r="B24" s="6" t="inlineStr">
        <is>
          <t>Dầm chủ T15m</t>
        </is>
      </c>
      <c r="C24" s="6" t="inlineStr">
        <is>
          <t>Dầm giữa L=15m</t>
        </is>
      </c>
      <c r="D24" s="5" t="inlineStr">
        <is>
          <t>C3</t>
        </is>
      </c>
      <c r="E24" s="5" t="n">
        <v>14</v>
      </c>
      <c r="F24" s="6" t="inlineStr">
        <is>
          <t>Chữ U kín</t>
        </is>
      </c>
      <c r="G24" s="26" t="n">
        <v>2</v>
      </c>
      <c r="H24" s="26" t="n">
        <v>300</v>
      </c>
      <c r="I24" s="7">
        <f>G24*H24</f>
        <v/>
      </c>
      <c r="J24" s="26" t="n">
        <v>2533</v>
      </c>
      <c r="K24" s="26" t="n">
        <v>0</v>
      </c>
      <c r="L24" s="23">
        <f>(J24+K24)/1000</f>
        <v/>
      </c>
      <c r="M24" s="23" t="n">
        <v>1.208</v>
      </c>
      <c r="N24" s="8">
        <f>I24*L24*M24</f>
        <v/>
      </c>
      <c r="O24" s="23">
        <f>N24/1000</f>
        <v/>
      </c>
      <c r="P24" s="6" t="inlineStr">
        <is>
          <t>Đai sườn dầm giữa</t>
        </is>
      </c>
    </row>
    <row r="25">
      <c r="A25" s="12" t="n">
        <v>20</v>
      </c>
      <c r="B25" s="13" t="inlineStr">
        <is>
          <t>Dầm chủ T15m</t>
        </is>
      </c>
      <c r="C25" s="13" t="inlineStr">
        <is>
          <t>Dầm giữa L=15m</t>
        </is>
      </c>
      <c r="D25" s="12" t="inlineStr">
        <is>
          <t>C4</t>
        </is>
      </c>
      <c r="E25" s="12" t="n">
        <v>10</v>
      </c>
      <c r="F25" s="13" t="inlineStr">
        <is>
          <t>Móc chữ C</t>
        </is>
      </c>
      <c r="G25" s="27" t="n">
        <v>2</v>
      </c>
      <c r="H25" s="27" t="n">
        <v>196</v>
      </c>
      <c r="I25" s="14">
        <f>G25*H25</f>
        <v/>
      </c>
      <c r="J25" s="27" t="n">
        <v>316</v>
      </c>
      <c r="K25" s="27" t="n">
        <v>0</v>
      </c>
      <c r="L25" s="24">
        <f>(J25+K25)/1000</f>
        <v/>
      </c>
      <c r="M25" s="24" t="n">
        <v>0.617</v>
      </c>
      <c r="N25" s="15">
        <f>I25*L25*M25</f>
        <v/>
      </c>
      <c r="O25" s="24">
        <f>N25/1000</f>
        <v/>
      </c>
      <c r="P25" s="13" t="inlineStr">
        <is>
          <t>Thép móc đai giữa</t>
        </is>
      </c>
    </row>
    <row r="26">
      <c r="A26" s="5" t="n">
        <v>21</v>
      </c>
      <c r="B26" s="6" t="inlineStr">
        <is>
          <t>Dầm chủ T15m</t>
        </is>
      </c>
      <c r="C26" s="6" t="inlineStr">
        <is>
          <t>Dầm giữa L=15m</t>
        </is>
      </c>
      <c r="D26" s="5" t="inlineStr">
        <is>
          <t>D1</t>
        </is>
      </c>
      <c r="E26" s="5" t="n">
        <v>10</v>
      </c>
      <c r="F26" s="6" t="inlineStr">
        <is>
          <t>Chữ U</t>
        </is>
      </c>
      <c r="G26" s="26" t="n">
        <v>2</v>
      </c>
      <c r="H26" s="26" t="n">
        <v>102</v>
      </c>
      <c r="I26" s="7">
        <f>G26*H26</f>
        <v/>
      </c>
      <c r="J26" s="26" t="n">
        <v>2260</v>
      </c>
      <c r="K26" s="26" t="n">
        <v>0</v>
      </c>
      <c r="L26" s="23">
        <f>(J26+K26)/1000</f>
        <v/>
      </c>
      <c r="M26" s="23" t="n">
        <v>0.617</v>
      </c>
      <c r="N26" s="8">
        <f>I26*L26*M26</f>
        <v/>
      </c>
      <c r="O26" s="23">
        <f>N26/1000</f>
        <v/>
      </c>
      <c r="P26" s="6" t="inlineStr">
        <is>
          <t>Thép đai cánh dầm</t>
        </is>
      </c>
    </row>
    <row r="27">
      <c r="A27" s="12" t="n">
        <v>22</v>
      </c>
      <c r="B27" s="13" t="inlineStr">
        <is>
          <t>Dầm chủ T15m</t>
        </is>
      </c>
      <c r="C27" s="13" t="inlineStr">
        <is>
          <t>Dầm giữa L=15m</t>
        </is>
      </c>
      <c r="D27" s="12" t="inlineStr">
        <is>
          <t>E1</t>
        </is>
      </c>
      <c r="E27" s="12" t="n">
        <v>10</v>
      </c>
      <c r="F27" s="13" t="inlineStr">
        <is>
          <t>Thẳng</t>
        </is>
      </c>
      <c r="G27" s="27" t="n">
        <v>2</v>
      </c>
      <c r="H27" s="27" t="n">
        <v>112</v>
      </c>
      <c r="I27" s="14">
        <f>G27*H27</f>
        <v/>
      </c>
      <c r="J27" s="27" t="n">
        <v>1372</v>
      </c>
      <c r="K27" s="27" t="n">
        <v>0</v>
      </c>
      <c r="L27" s="24">
        <f>(J27+K27)/1000</f>
        <v/>
      </c>
      <c r="M27" s="24" t="n">
        <v>0.617</v>
      </c>
      <c r="N27" s="15">
        <f>I27*L27*M27</f>
        <v/>
      </c>
      <c r="O27" s="24">
        <f>N27/1000</f>
        <v/>
      </c>
      <c r="P27" s="13" t="inlineStr">
        <is>
          <t>Thép phân bố giữa</t>
        </is>
      </c>
    </row>
    <row r="28">
      <c r="A28" s="5" t="n">
        <v>23</v>
      </c>
      <c r="B28" s="6" t="inlineStr">
        <is>
          <t>Dầm chủ T15m</t>
        </is>
      </c>
      <c r="C28" s="6" t="inlineStr">
        <is>
          <t>Dầm giữa L=15m</t>
        </is>
      </c>
      <c r="D28" s="5" t="inlineStr">
        <is>
          <t>F1</t>
        </is>
      </c>
      <c r="E28" s="5" t="n">
        <v>10</v>
      </c>
      <c r="F28" s="6" t="inlineStr">
        <is>
          <t>Chữ C</t>
        </is>
      </c>
      <c r="G28" s="26" t="n">
        <v>2</v>
      </c>
      <c r="H28" s="26" t="n">
        <v>300</v>
      </c>
      <c r="I28" s="7">
        <f>G28*H28</f>
        <v/>
      </c>
      <c r="J28" s="26" t="n">
        <v>925</v>
      </c>
      <c r="K28" s="26" t="n">
        <v>0</v>
      </c>
      <c r="L28" s="23">
        <f>(J28+K28)/1000</f>
        <v/>
      </c>
      <c r="M28" s="23" t="n">
        <v>0.617</v>
      </c>
      <c r="N28" s="8">
        <f>I28*L28*M28</f>
        <v/>
      </c>
      <c r="O28" s="23">
        <f>N28/1000</f>
        <v/>
      </c>
      <c r="P28" s="6" t="inlineStr">
        <is>
          <t>Thép chống nứt giữa</t>
        </is>
      </c>
    </row>
    <row r="29">
      <c r="A29" s="12" t="n">
        <v>24</v>
      </c>
      <c r="B29" s="13" t="inlineStr">
        <is>
          <t>Dầm ngang</t>
        </is>
      </c>
      <c r="C29" s="13" t="inlineStr">
        <is>
          <t>Dầm ngang nhịp 15m</t>
        </is>
      </c>
      <c r="D29" s="12" t="inlineStr">
        <is>
          <t>DN1</t>
        </is>
      </c>
      <c r="E29" s="12" t="n">
        <v>16</v>
      </c>
      <c r="F29" s="13" t="inlineStr">
        <is>
          <t>Thẳng</t>
        </is>
      </c>
      <c r="G29" s="27" t="n">
        <v>4</v>
      </c>
      <c r="H29" s="27" t="n">
        <v>12</v>
      </c>
      <c r="I29" s="14">
        <f>G29*H29</f>
        <v/>
      </c>
      <c r="J29" s="27" t="n">
        <v>2800</v>
      </c>
      <c r="K29" s="27" t="n">
        <v>0</v>
      </c>
      <c r="L29" s="24">
        <f>(J29+K29)/1000</f>
        <v/>
      </c>
      <c r="M29" s="24" t="n">
        <v>1.578</v>
      </c>
      <c r="N29" s="15">
        <f>I29*L29*M29</f>
        <v/>
      </c>
      <c r="O29" s="24">
        <f>N29/1000</f>
        <v/>
      </c>
      <c r="P29" s="13" t="inlineStr">
        <is>
          <t>Thép chủ dầm ngang</t>
        </is>
      </c>
    </row>
    <row r="30">
      <c r="A30" s="5" t="n">
        <v>25</v>
      </c>
      <c r="B30" s="6" t="inlineStr">
        <is>
          <t>Dầm ngang</t>
        </is>
      </c>
      <c r="C30" s="6" t="inlineStr">
        <is>
          <t>Dầm ngang nhịp 15m</t>
        </is>
      </c>
      <c r="D30" s="5" t="inlineStr">
        <is>
          <t>DN2</t>
        </is>
      </c>
      <c r="E30" s="5" t="n">
        <v>14</v>
      </c>
      <c r="F30" s="6" t="inlineStr">
        <is>
          <t>Chữ U kín</t>
        </is>
      </c>
      <c r="G30" s="26" t="n">
        <v>4</v>
      </c>
      <c r="H30" s="26" t="n">
        <v>40</v>
      </c>
      <c r="I30" s="7">
        <f>G30*H30</f>
        <v/>
      </c>
      <c r="J30" s="26" t="n">
        <v>1650</v>
      </c>
      <c r="K30" s="26" t="n">
        <v>0</v>
      </c>
      <c r="L30" s="23">
        <f>(J30+K30)/1000</f>
        <v/>
      </c>
      <c r="M30" s="23" t="n">
        <v>1.208</v>
      </c>
      <c r="N30" s="8">
        <f>I30*L30*M30</f>
        <v/>
      </c>
      <c r="O30" s="23">
        <f>N30/1000</f>
        <v/>
      </c>
      <c r="P30" s="6" t="inlineStr">
        <is>
          <t>Đai dầm ngang</t>
        </is>
      </c>
    </row>
    <row r="31">
      <c r="A31" s="12" t="n">
        <v>26</v>
      </c>
      <c r="B31" s="13" t="inlineStr">
        <is>
          <t>Dầm ngang</t>
        </is>
      </c>
      <c r="C31" s="13" t="inlineStr">
        <is>
          <t>Dầm ngang nhịp 15m</t>
        </is>
      </c>
      <c r="D31" s="12" t="inlineStr">
        <is>
          <t>DN3</t>
        </is>
      </c>
      <c r="E31" s="12" t="n">
        <v>10</v>
      </c>
      <c r="F31" s="13" t="inlineStr">
        <is>
          <t>Thẳng</t>
        </is>
      </c>
      <c r="G31" s="27" t="n">
        <v>4</v>
      </c>
      <c r="H31" s="27" t="n">
        <v>16</v>
      </c>
      <c r="I31" s="14">
        <f>G31*H31</f>
        <v/>
      </c>
      <c r="J31" s="27" t="n">
        <v>1700</v>
      </c>
      <c r="K31" s="27" t="n">
        <v>0</v>
      </c>
      <c r="L31" s="24">
        <f>(J31+K31)/1000</f>
        <v/>
      </c>
      <c r="M31" s="24" t="n">
        <v>0.617</v>
      </c>
      <c r="N31" s="15">
        <f>I31*L31*M31</f>
        <v/>
      </c>
      <c r="O31" s="24">
        <f>N31/1000</f>
        <v/>
      </c>
      <c r="P31" s="13" t="inlineStr">
        <is>
          <t>Thép phân bố dầm ngang</t>
        </is>
      </c>
    </row>
    <row r="32">
      <c r="A32" s="5" t="n">
        <v>27</v>
      </c>
      <c r="B32" s="6" t="inlineStr">
        <is>
          <t>Khoan cấy neo đá</t>
        </is>
      </c>
      <c r="C32" s="6" t="inlineStr">
        <is>
          <t>Móng mố M1, M2</t>
        </is>
      </c>
      <c r="D32" s="5" t="inlineStr">
        <is>
          <t>N1</t>
        </is>
      </c>
      <c r="E32" s="5" t="n">
        <v>32</v>
      </c>
      <c r="F32" s="6" t="inlineStr">
        <is>
          <t>Thanh thẳng cấy keo</t>
        </is>
      </c>
      <c r="G32" s="26" t="n">
        <v>2</v>
      </c>
      <c r="H32" s="26" t="n">
        <v>49</v>
      </c>
      <c r="I32" s="7">
        <f>G32*H32</f>
        <v/>
      </c>
      <c r="J32" s="26" t="n">
        <v>1000</v>
      </c>
      <c r="K32" s="26" t="n">
        <v>0</v>
      </c>
      <c r="L32" s="23">
        <f>(J32+K32)/1000</f>
        <v/>
      </c>
      <c r="M32" s="23" t="n">
        <v>6.313</v>
      </c>
      <c r="N32" s="8">
        <f>I32*L32*M32</f>
        <v/>
      </c>
      <c r="O32" s="23">
        <f>N32/1000</f>
        <v/>
      </c>
      <c r="P32" s="6" t="inlineStr">
        <is>
          <t>Cốt thép neo cấy đá h=50cm</t>
        </is>
      </c>
    </row>
    <row r="33">
      <c r="A33" s="12" t="n">
        <v>28</v>
      </c>
      <c r="B33" s="13" t="inlineStr">
        <is>
          <t>Mố M1, M2</t>
        </is>
      </c>
      <c r="C33" s="13" t="inlineStr">
        <is>
          <t>Móng mố BTCT C30</t>
        </is>
      </c>
      <c r="D33" s="12" t="inlineStr">
        <is>
          <t>M1</t>
        </is>
      </c>
      <c r="E33" s="12" t="n">
        <v>28</v>
      </c>
      <c r="F33" s="13" t="inlineStr">
        <is>
          <t>Chữ L đáy móng</t>
        </is>
      </c>
      <c r="G33" s="27" t="n">
        <v>2</v>
      </c>
      <c r="H33" s="27" t="n">
        <v>80</v>
      </c>
      <c r="I33" s="14">
        <f>G33*H33</f>
        <v/>
      </c>
      <c r="J33" s="27" t="n">
        <v>5200</v>
      </c>
      <c r="K33" s="27" t="n">
        <v>0</v>
      </c>
      <c r="L33" s="24">
        <f>(J33+K33)/1000</f>
        <v/>
      </c>
      <c r="M33" s="24" t="n">
        <v>4.834</v>
      </c>
      <c r="N33" s="15">
        <f>I33*L33*M33</f>
        <v/>
      </c>
      <c r="O33" s="24">
        <f>N33/1000</f>
        <v/>
      </c>
      <c r="P33" s="13" t="inlineStr">
        <is>
          <t>Thép chủ đáy móng mố</t>
        </is>
      </c>
    </row>
    <row r="34">
      <c r="A34" s="5" t="n">
        <v>29</v>
      </c>
      <c r="B34" s="6" t="inlineStr">
        <is>
          <t>Mố M1, M2</t>
        </is>
      </c>
      <c r="C34" s="6" t="inlineStr">
        <is>
          <t>Móng mố BTCT C30</t>
        </is>
      </c>
      <c r="D34" s="5" t="inlineStr">
        <is>
          <t>M2</t>
        </is>
      </c>
      <c r="E34" s="5" t="n">
        <v>20</v>
      </c>
      <c r="F34" s="6" t="inlineStr">
        <is>
          <t>Thẳng phân bố</t>
        </is>
      </c>
      <c r="G34" s="26" t="n">
        <v>2</v>
      </c>
      <c r="H34" s="26" t="n">
        <v>60</v>
      </c>
      <c r="I34" s="7">
        <f>G34*H34</f>
        <v/>
      </c>
      <c r="J34" s="26" t="n">
        <v>7800</v>
      </c>
      <c r="K34" s="26" t="n">
        <v>0</v>
      </c>
      <c r="L34" s="23">
        <f>(J34+K34)/1000</f>
        <v/>
      </c>
      <c r="M34" s="23" t="n">
        <v>2.466</v>
      </c>
      <c r="N34" s="8">
        <f>I34*L34*M34</f>
        <v/>
      </c>
      <c r="O34" s="23">
        <f>N34/1000</f>
        <v/>
      </c>
      <c r="P34" s="6" t="inlineStr">
        <is>
          <t>Thép phân bố móng mố</t>
        </is>
      </c>
    </row>
    <row r="35">
      <c r="A35" s="12" t="n">
        <v>30</v>
      </c>
      <c r="B35" s="13" t="inlineStr">
        <is>
          <t>Mố M1, M2</t>
        </is>
      </c>
      <c r="C35" s="13" t="inlineStr">
        <is>
          <t>Thân mố M1, M2</t>
        </is>
      </c>
      <c r="D35" s="12" t="inlineStr">
        <is>
          <t>W1</t>
        </is>
      </c>
      <c r="E35" s="12" t="n">
        <v>25</v>
      </c>
      <c r="F35" s="13" t="inlineStr">
        <is>
          <t>Chữ L đứng</t>
        </is>
      </c>
      <c r="G35" s="27" t="n">
        <v>2</v>
      </c>
      <c r="H35" s="27" t="n">
        <v>27</v>
      </c>
      <c r="I35" s="14">
        <f>G35*H35</f>
        <v/>
      </c>
      <c r="J35" s="27" t="n">
        <v>8467</v>
      </c>
      <c r="K35" s="27" t="n">
        <v>0</v>
      </c>
      <c r="L35" s="24">
        <f>(J35+K35)/1000</f>
        <v/>
      </c>
      <c r="M35" s="24" t="n">
        <v>3.853</v>
      </c>
      <c r="N35" s="15">
        <f>I35*L35*M35</f>
        <v/>
      </c>
      <c r="O35" s="24">
        <f>N35/1000</f>
        <v/>
      </c>
      <c r="P35" s="13" t="inlineStr">
        <is>
          <t>Thép đứng thân mố</t>
        </is>
      </c>
    </row>
    <row r="36">
      <c r="A36" s="5" t="n">
        <v>31</v>
      </c>
      <c r="B36" s="6" t="inlineStr">
        <is>
          <t>Mố M1, M2</t>
        </is>
      </c>
      <c r="C36" s="6" t="inlineStr">
        <is>
          <t>Thân mố M1, M2</t>
        </is>
      </c>
      <c r="D36" s="5" t="inlineStr">
        <is>
          <t>W1A</t>
        </is>
      </c>
      <c r="E36" s="5" t="n">
        <v>25</v>
      </c>
      <c r="F36" s="6" t="inlineStr">
        <is>
          <t>Chữ L đứng dài</t>
        </is>
      </c>
      <c r="G36" s="26" t="n">
        <v>2</v>
      </c>
      <c r="H36" s="26" t="n">
        <v>26</v>
      </c>
      <c r="I36" s="7">
        <f>G36*H36</f>
        <v/>
      </c>
      <c r="J36" s="26" t="n">
        <v>9467</v>
      </c>
      <c r="K36" s="26" t="n">
        <v>0</v>
      </c>
      <c r="L36" s="23">
        <f>(J36+K36)/1000</f>
        <v/>
      </c>
      <c r="M36" s="23" t="n">
        <v>3.853</v>
      </c>
      <c r="N36" s="8">
        <f>I36*L36*M36</f>
        <v/>
      </c>
      <c r="O36" s="23">
        <f>N36/1000</f>
        <v/>
      </c>
      <c r="P36" s="6" t="inlineStr">
        <is>
          <t>Thép đứng thân mố cao</t>
        </is>
      </c>
    </row>
    <row r="37">
      <c r="A37" s="12" t="n">
        <v>32</v>
      </c>
      <c r="B37" s="13" t="inlineStr">
        <is>
          <t>Mố M1, M2</t>
        </is>
      </c>
      <c r="C37" s="13" t="inlineStr">
        <is>
          <t>Thân mố M1, M2</t>
        </is>
      </c>
      <c r="D37" s="12" t="inlineStr">
        <is>
          <t>W2</t>
        </is>
      </c>
      <c r="E37" s="12" t="n">
        <v>20</v>
      </c>
      <c r="F37" s="13" t="inlineStr">
        <is>
          <t>Thẳng ngang</t>
        </is>
      </c>
      <c r="G37" s="27" t="n">
        <v>2</v>
      </c>
      <c r="H37" s="27" t="n">
        <v>27</v>
      </c>
      <c r="I37" s="14">
        <f>G37*H37</f>
        <v/>
      </c>
      <c r="J37" s="27" t="n">
        <v>7290</v>
      </c>
      <c r="K37" s="27" t="n">
        <v>0</v>
      </c>
      <c r="L37" s="24">
        <f>(J37+K37)/1000</f>
        <v/>
      </c>
      <c r="M37" s="24" t="n">
        <v>2.466</v>
      </c>
      <c r="N37" s="15">
        <f>I37*L37*M37</f>
        <v/>
      </c>
      <c r="O37" s="24">
        <f>N37/1000</f>
        <v/>
      </c>
      <c r="P37" s="13" t="inlineStr">
        <is>
          <t>Thép đai ngang thân mố</t>
        </is>
      </c>
    </row>
    <row r="38">
      <c r="A38" s="5" t="n">
        <v>33</v>
      </c>
      <c r="B38" s="6" t="inlineStr">
        <is>
          <t>Mố M1, M2</t>
        </is>
      </c>
      <c r="C38" s="6" t="inlineStr">
        <is>
          <t>Thân mố M1, M2</t>
        </is>
      </c>
      <c r="D38" s="5" t="inlineStr">
        <is>
          <t>W2A</t>
        </is>
      </c>
      <c r="E38" s="5" t="n">
        <v>20</v>
      </c>
      <c r="F38" s="6" t="inlineStr">
        <is>
          <t>Thẳng ngang dài</t>
        </is>
      </c>
      <c r="G38" s="26" t="n">
        <v>2</v>
      </c>
      <c r="H38" s="26" t="n">
        <v>26</v>
      </c>
      <c r="I38" s="7">
        <f>G38*H38</f>
        <v/>
      </c>
      <c r="J38" s="26" t="n">
        <v>8290</v>
      </c>
      <c r="K38" s="26" t="n">
        <v>0</v>
      </c>
      <c r="L38" s="23">
        <f>(J38+K38)/1000</f>
        <v/>
      </c>
      <c r="M38" s="23" t="n">
        <v>2.466</v>
      </c>
      <c r="N38" s="8">
        <f>I38*L38*M38</f>
        <v/>
      </c>
      <c r="O38" s="23">
        <f>N38/1000</f>
        <v/>
      </c>
      <c r="P38" s="6" t="inlineStr">
        <is>
          <t>Thép đai ngang thân mố</t>
        </is>
      </c>
    </row>
    <row r="39">
      <c r="A39" s="12" t="n">
        <v>34</v>
      </c>
      <c r="B39" s="13" t="inlineStr">
        <is>
          <t>Mố M1, M2</t>
        </is>
      </c>
      <c r="C39" s="13" t="inlineStr">
        <is>
          <t>Thân mố M1, M2</t>
        </is>
      </c>
      <c r="D39" s="12" t="inlineStr">
        <is>
          <t>W3</t>
        </is>
      </c>
      <c r="E39" s="12" t="n">
        <v>20</v>
      </c>
      <c r="F39" s="13" t="inlineStr">
        <is>
          <t>Thẳng ngang</t>
        </is>
      </c>
      <c r="G39" s="27" t="n">
        <v>2</v>
      </c>
      <c r="H39" s="27" t="n">
        <v>34</v>
      </c>
      <c r="I39" s="14">
        <f>G39*H39</f>
        <v/>
      </c>
      <c r="J39" s="27" t="n">
        <v>7900</v>
      </c>
      <c r="K39" s="27" t="n">
        <v>0</v>
      </c>
      <c r="L39" s="24">
        <f>(J39+K39)/1000</f>
        <v/>
      </c>
      <c r="M39" s="24" t="n">
        <v>2.466</v>
      </c>
      <c r="N39" s="15">
        <f>I39*L39*M39</f>
        <v/>
      </c>
      <c r="O39" s="24">
        <f>N39/1000</f>
        <v/>
      </c>
      <c r="P39" s="13" t="inlineStr">
        <is>
          <t>Thép đai ngang thân mố</t>
        </is>
      </c>
    </row>
    <row r="40">
      <c r="A40" s="5" t="n">
        <v>35</v>
      </c>
      <c r="B40" s="6" t="inlineStr">
        <is>
          <t>Mố M1, M2</t>
        </is>
      </c>
      <c r="C40" s="6" t="inlineStr">
        <is>
          <t>Thân mố M1, M2</t>
        </is>
      </c>
      <c r="D40" s="5" t="inlineStr">
        <is>
          <t>W4</t>
        </is>
      </c>
      <c r="E40" s="5" t="n">
        <v>16</v>
      </c>
      <c r="F40" s="6" t="inlineStr">
        <is>
          <t>Thẳng</t>
        </is>
      </c>
      <c r="G40" s="26" t="n">
        <v>2</v>
      </c>
      <c r="H40" s="26" t="n">
        <v>34</v>
      </c>
      <c r="I40" s="7">
        <f>G40*H40</f>
        <v/>
      </c>
      <c r="J40" s="26" t="n">
        <v>7900</v>
      </c>
      <c r="K40" s="26" t="n">
        <v>0</v>
      </c>
      <c r="L40" s="23">
        <f>(J40+K40)/1000</f>
        <v/>
      </c>
      <c r="M40" s="23" t="n">
        <v>1.578</v>
      </c>
      <c r="N40" s="8">
        <f>I40*L40*M40</f>
        <v/>
      </c>
      <c r="O40" s="23">
        <f>N40/1000</f>
        <v/>
      </c>
      <c r="P40" s="6" t="inlineStr">
        <is>
          <t>Thép phân bố thân mố</t>
        </is>
      </c>
    </row>
    <row r="41">
      <c r="A41" s="12" t="n">
        <v>36</v>
      </c>
      <c r="B41" s="13" t="inlineStr">
        <is>
          <t>Mố M1, M2</t>
        </is>
      </c>
      <c r="C41" s="13" t="inlineStr">
        <is>
          <t>Thân mố M1, M2</t>
        </is>
      </c>
      <c r="D41" s="12" t="inlineStr">
        <is>
          <t>W5</t>
        </is>
      </c>
      <c r="E41" s="12" t="n">
        <v>16</v>
      </c>
      <c r="F41" s="13" t="inlineStr">
        <is>
          <t>Móc liên kết</t>
        </is>
      </c>
      <c r="G41" s="27" t="n">
        <v>2</v>
      </c>
      <c r="H41" s="27" t="n">
        <v>53</v>
      </c>
      <c r="I41" s="14">
        <f>G41*H41</f>
        <v/>
      </c>
      <c r="J41" s="27" t="n">
        <v>1340</v>
      </c>
      <c r="K41" s="27" t="n">
        <v>0</v>
      </c>
      <c r="L41" s="24">
        <f>(J41+K41)/1000</f>
        <v/>
      </c>
      <c r="M41" s="24" t="n">
        <v>1.578</v>
      </c>
      <c r="N41" s="15">
        <f>I41*L41*M41</f>
        <v/>
      </c>
      <c r="O41" s="24">
        <f>N41/1000</f>
        <v/>
      </c>
      <c r="P41" s="13" t="inlineStr">
        <is>
          <t>Thép giằng thân mố</t>
        </is>
      </c>
    </row>
    <row r="42">
      <c r="A42" s="5" t="n">
        <v>37</v>
      </c>
      <c r="B42" s="6" t="inlineStr">
        <is>
          <t>Mố M1, M2</t>
        </is>
      </c>
      <c r="C42" s="6" t="inlineStr">
        <is>
          <t>Đỉnh mố &amp; đá kê gối</t>
        </is>
      </c>
      <c r="D42" s="5" t="inlineStr">
        <is>
          <t>G1</t>
        </is>
      </c>
      <c r="E42" s="5" t="n">
        <v>10</v>
      </c>
      <c r="F42" s="6" t="inlineStr">
        <is>
          <t>Chữ U</t>
        </is>
      </c>
      <c r="G42" s="26" t="n">
        <v>2</v>
      </c>
      <c r="H42" s="26" t="n">
        <v>80</v>
      </c>
      <c r="I42" s="7">
        <f>G42*H42</f>
        <v/>
      </c>
      <c r="J42" s="26" t="n">
        <v>500</v>
      </c>
      <c r="K42" s="26" t="n">
        <v>0</v>
      </c>
      <c r="L42" s="23">
        <f>(J42+K42)/1000</f>
        <v/>
      </c>
      <c r="M42" s="23" t="n">
        <v>0.617</v>
      </c>
      <c r="N42" s="8">
        <f>I42*L42*M42</f>
        <v/>
      </c>
      <c r="O42" s="23">
        <f>N42/1000</f>
        <v/>
      </c>
      <c r="P42" s="6" t="inlineStr">
        <is>
          <t>Lưới thép bệ kê gối</t>
        </is>
      </c>
    </row>
    <row r="43">
      <c r="A43" s="12" t="n">
        <v>38</v>
      </c>
      <c r="B43" s="13" t="inlineStr">
        <is>
          <t>Mố M1, M2</t>
        </is>
      </c>
      <c r="C43" s="13" t="inlineStr">
        <is>
          <t>Đỉnh mố &amp; đá kê gối</t>
        </is>
      </c>
      <c r="D43" s="12" t="inlineStr">
        <is>
          <t>G2</t>
        </is>
      </c>
      <c r="E43" s="12" t="n">
        <v>10</v>
      </c>
      <c r="F43" s="13" t="inlineStr">
        <is>
          <t>Chữ U</t>
        </is>
      </c>
      <c r="G43" s="27" t="n">
        <v>2</v>
      </c>
      <c r="H43" s="27" t="n">
        <v>48</v>
      </c>
      <c r="I43" s="14">
        <f>G43*H43</f>
        <v/>
      </c>
      <c r="J43" s="27" t="n">
        <v>400</v>
      </c>
      <c r="K43" s="27" t="n">
        <v>0</v>
      </c>
      <c r="L43" s="24">
        <f>(J43+K43)/1000</f>
        <v/>
      </c>
      <c r="M43" s="24" t="n">
        <v>0.617</v>
      </c>
      <c r="N43" s="15">
        <f>I43*L43*M43</f>
        <v/>
      </c>
      <c r="O43" s="24">
        <f>N43/1000</f>
        <v/>
      </c>
      <c r="P43" s="13" t="inlineStr">
        <is>
          <t>Lưới thép bệ kê gối</t>
        </is>
      </c>
    </row>
    <row r="44">
      <c r="A44" s="5" t="n">
        <v>39</v>
      </c>
      <c r="B44" s="6" t="inlineStr">
        <is>
          <t>Mố M1, M2</t>
        </is>
      </c>
      <c r="C44" s="6" t="inlineStr">
        <is>
          <t>Đỉnh mố &amp; đá kê gối</t>
        </is>
      </c>
      <c r="D44" s="5" t="inlineStr">
        <is>
          <t>G3</t>
        </is>
      </c>
      <c r="E44" s="5" t="n">
        <v>12</v>
      </c>
      <c r="F44" s="6" t="inlineStr">
        <is>
          <t>Chữ U kín</t>
        </is>
      </c>
      <c r="G44" s="26" t="n">
        <v>2</v>
      </c>
      <c r="H44" s="26" t="n">
        <v>48</v>
      </c>
      <c r="I44" s="7">
        <f>G44*H44</f>
        <v/>
      </c>
      <c r="J44" s="26" t="n">
        <v>1518</v>
      </c>
      <c r="K44" s="26" t="n">
        <v>0</v>
      </c>
      <c r="L44" s="23">
        <f>(J44+K44)/1000</f>
        <v/>
      </c>
      <c r="M44" s="23" t="n">
        <v>0.888</v>
      </c>
      <c r="N44" s="8">
        <f>I44*L44*M44</f>
        <v/>
      </c>
      <c r="O44" s="23">
        <f>N44/1000</f>
        <v/>
      </c>
      <c r="P44" s="6" t="inlineStr">
        <is>
          <t>Đai hộp bệ kê gối</t>
        </is>
      </c>
    </row>
    <row r="45">
      <c r="A45" s="12" t="n">
        <v>40</v>
      </c>
      <c r="B45" s="13" t="inlineStr">
        <is>
          <t>Tường cánh mố</t>
        </is>
      </c>
      <c r="C45" s="13" t="inlineStr">
        <is>
          <t>Tường cánh mố M1, M2</t>
        </is>
      </c>
      <c r="D45" s="12" t="inlineStr">
        <is>
          <t>K1</t>
        </is>
      </c>
      <c r="E45" s="12" t="n">
        <v>22</v>
      </c>
      <c r="F45" s="13" t="inlineStr">
        <is>
          <t>Chữ L đứng</t>
        </is>
      </c>
      <c r="G45" s="27" t="n">
        <v>4</v>
      </c>
      <c r="H45" s="27" t="n">
        <v>18</v>
      </c>
      <c r="I45" s="14">
        <f>G45*H45</f>
        <v/>
      </c>
      <c r="J45" s="27" t="n">
        <v>8496</v>
      </c>
      <c r="K45" s="27" t="n">
        <v>0</v>
      </c>
      <c r="L45" s="24">
        <f>(J45+K45)/1000</f>
        <v/>
      </c>
      <c r="M45" s="24" t="n">
        <v>2.984</v>
      </c>
      <c r="N45" s="15">
        <f>I45*L45*M45</f>
        <v/>
      </c>
      <c r="O45" s="24">
        <f>N45/1000</f>
        <v/>
      </c>
      <c r="P45" s="13" t="inlineStr">
        <is>
          <t>Thép chủ đứng tường cánh</t>
        </is>
      </c>
    </row>
    <row r="46">
      <c r="A46" s="5" t="n">
        <v>41</v>
      </c>
      <c r="B46" s="6" t="inlineStr">
        <is>
          <t>Tường cánh mố</t>
        </is>
      </c>
      <c r="C46" s="6" t="inlineStr">
        <is>
          <t>Tường cánh mố M1, M2</t>
        </is>
      </c>
      <c r="D46" s="5" t="inlineStr">
        <is>
          <t>K1A</t>
        </is>
      </c>
      <c r="E46" s="5" t="n">
        <v>22</v>
      </c>
      <c r="F46" s="6" t="inlineStr">
        <is>
          <t>Chữ L đứng dài</t>
        </is>
      </c>
      <c r="G46" s="26" t="n">
        <v>4</v>
      </c>
      <c r="H46" s="26" t="n">
        <v>18</v>
      </c>
      <c r="I46" s="7">
        <f>G46*H46</f>
        <v/>
      </c>
      <c r="J46" s="26" t="n">
        <v>9496</v>
      </c>
      <c r="K46" s="26" t="n">
        <v>0</v>
      </c>
      <c r="L46" s="23">
        <f>(J46+K46)/1000</f>
        <v/>
      </c>
      <c r="M46" s="23" t="n">
        <v>2.984</v>
      </c>
      <c r="N46" s="8">
        <f>I46*L46*M46</f>
        <v/>
      </c>
      <c r="O46" s="23">
        <f>N46/1000</f>
        <v/>
      </c>
      <c r="P46" s="6" t="inlineStr">
        <is>
          <t>Thép chủ đứng tường cánh</t>
        </is>
      </c>
    </row>
    <row r="47">
      <c r="A47" s="12" t="n">
        <v>42</v>
      </c>
      <c r="B47" s="13" t="inlineStr">
        <is>
          <t>Tường cánh mố</t>
        </is>
      </c>
      <c r="C47" s="13" t="inlineStr">
        <is>
          <t>Tường cánh mố M1, M2</t>
        </is>
      </c>
      <c r="D47" s="12" t="inlineStr">
        <is>
          <t>K2</t>
        </is>
      </c>
      <c r="E47" s="12" t="n">
        <v>22</v>
      </c>
      <c r="F47" s="13" t="inlineStr">
        <is>
          <t>Chữ L</t>
        </is>
      </c>
      <c r="G47" s="27" t="n">
        <v>4</v>
      </c>
      <c r="H47" s="27" t="n">
        <v>18</v>
      </c>
      <c r="I47" s="14">
        <f>G47*H47</f>
        <v/>
      </c>
      <c r="J47" s="27" t="n">
        <v>4200</v>
      </c>
      <c r="K47" s="27" t="n">
        <v>0</v>
      </c>
      <c r="L47" s="24">
        <f>(J47+K47)/1000</f>
        <v/>
      </c>
      <c r="M47" s="24" t="n">
        <v>2.984</v>
      </c>
      <c r="N47" s="15">
        <f>I47*L47*M47</f>
        <v/>
      </c>
      <c r="O47" s="24">
        <f>N47/1000</f>
        <v/>
      </c>
      <c r="P47" s="13" t="inlineStr">
        <is>
          <t>Thép chủ góc tường cánh</t>
        </is>
      </c>
    </row>
    <row r="48">
      <c r="A48" s="5" t="n">
        <v>43</v>
      </c>
      <c r="B48" s="6" t="inlineStr">
        <is>
          <t>Tường cánh mố</t>
        </is>
      </c>
      <c r="C48" s="6" t="inlineStr">
        <is>
          <t>Tường cánh mố M1, M2</t>
        </is>
      </c>
      <c r="D48" s="5" t="inlineStr">
        <is>
          <t>K8</t>
        </is>
      </c>
      <c r="E48" s="5" t="n">
        <v>16</v>
      </c>
      <c r="F48" s="6" t="inlineStr">
        <is>
          <t>Thẳng ngang</t>
        </is>
      </c>
      <c r="G48" s="26" t="n">
        <v>4</v>
      </c>
      <c r="H48" s="26" t="n">
        <v>24</v>
      </c>
      <c r="I48" s="7">
        <f>G48*H48</f>
        <v/>
      </c>
      <c r="J48" s="26" t="n">
        <v>8410</v>
      </c>
      <c r="K48" s="26" t="n">
        <v>0</v>
      </c>
      <c r="L48" s="23">
        <f>(J48+K48)/1000</f>
        <v/>
      </c>
      <c r="M48" s="23" t="n">
        <v>1.578</v>
      </c>
      <c r="N48" s="8">
        <f>I48*L48*M48</f>
        <v/>
      </c>
      <c r="O48" s="23">
        <f>N48/1000</f>
        <v/>
      </c>
      <c r="P48" s="6" t="inlineStr">
        <is>
          <t>Thép đai ngang tường cánh</t>
        </is>
      </c>
    </row>
    <row r="49">
      <c r="A49" s="12" t="n">
        <v>44</v>
      </c>
      <c r="B49" s="13" t="inlineStr">
        <is>
          <t>Tường cánh mố</t>
        </is>
      </c>
      <c r="C49" s="13" t="inlineStr">
        <is>
          <t>Tường cánh mố M1, M2</t>
        </is>
      </c>
      <c r="D49" s="12" t="inlineStr">
        <is>
          <t>K8A</t>
        </is>
      </c>
      <c r="E49" s="12" t="n">
        <v>16</v>
      </c>
      <c r="F49" s="13" t="inlineStr">
        <is>
          <t>Thẳng ngang dài</t>
        </is>
      </c>
      <c r="G49" s="27" t="n">
        <v>4</v>
      </c>
      <c r="H49" s="27" t="n">
        <v>24</v>
      </c>
      <c r="I49" s="14">
        <f>G49*H49</f>
        <v/>
      </c>
      <c r="J49" s="27" t="n">
        <v>9410</v>
      </c>
      <c r="K49" s="27" t="n">
        <v>0</v>
      </c>
      <c r="L49" s="24">
        <f>(J49+K49)/1000</f>
        <v/>
      </c>
      <c r="M49" s="24" t="n">
        <v>1.578</v>
      </c>
      <c r="N49" s="15">
        <f>I49*L49*M49</f>
        <v/>
      </c>
      <c r="O49" s="24">
        <f>N49/1000</f>
        <v/>
      </c>
      <c r="P49" s="13" t="inlineStr">
        <is>
          <t>Thép đai ngang tường cánh</t>
        </is>
      </c>
    </row>
    <row r="50">
      <c r="A50" s="5" t="n">
        <v>45</v>
      </c>
      <c r="B50" s="6" t="inlineStr">
        <is>
          <t>Tường cánh mố</t>
        </is>
      </c>
      <c r="C50" s="6" t="inlineStr">
        <is>
          <t>Tường cánh mố M1, M2</t>
        </is>
      </c>
      <c r="D50" s="5" t="inlineStr">
        <is>
          <t>K14</t>
        </is>
      </c>
      <c r="E50" s="5" t="n">
        <v>14</v>
      </c>
      <c r="F50" s="6" t="inlineStr">
        <is>
          <t>Móc liên kết</t>
        </is>
      </c>
      <c r="G50" s="26" t="n">
        <v>4</v>
      </c>
      <c r="H50" s="26" t="n">
        <v>42</v>
      </c>
      <c r="I50" s="7">
        <f>G50*H50</f>
        <v/>
      </c>
      <c r="J50" s="26" t="n">
        <v>610</v>
      </c>
      <c r="K50" s="26" t="n">
        <v>0</v>
      </c>
      <c r="L50" s="23">
        <f>(J50+K50)/1000</f>
        <v/>
      </c>
      <c r="M50" s="23" t="n">
        <v>1.208</v>
      </c>
      <c r="N50" s="8">
        <f>I50*L50*M50</f>
        <v/>
      </c>
      <c r="O50" s="23">
        <f>N50/1000</f>
        <v/>
      </c>
      <c r="P50" s="6" t="inlineStr">
        <is>
          <t>Thép giằng tường cánh</t>
        </is>
      </c>
    </row>
    <row r="51">
      <c r="A51" s="12" t="n">
        <v>46</v>
      </c>
      <c r="B51" s="13" t="inlineStr">
        <is>
          <t>Bản quá độ</t>
        </is>
      </c>
      <c r="C51" s="13" t="inlineStr">
        <is>
          <t>Bản quá độ hai đầu cầu</t>
        </is>
      </c>
      <c r="D51" s="12" t="inlineStr">
        <is>
          <t>BQ1</t>
        </is>
      </c>
      <c r="E51" s="12" t="n">
        <v>20</v>
      </c>
      <c r="F51" s="13" t="inlineStr">
        <is>
          <t>Chữ L chịu uốn</t>
        </is>
      </c>
      <c r="G51" s="27" t="n">
        <v>2</v>
      </c>
      <c r="H51" s="27" t="n">
        <v>40</v>
      </c>
      <c r="I51" s="14">
        <f>G51*H51</f>
        <v/>
      </c>
      <c r="J51" s="27" t="n">
        <v>5264</v>
      </c>
      <c r="K51" s="27" t="n">
        <v>0</v>
      </c>
      <c r="L51" s="24">
        <f>(J51+K51)/1000</f>
        <v/>
      </c>
      <c r="M51" s="24" t="n">
        <v>2.466</v>
      </c>
      <c r="N51" s="15">
        <f>I51*L51*M51</f>
        <v/>
      </c>
      <c r="O51" s="24">
        <f>N51/1000</f>
        <v/>
      </c>
      <c r="P51" s="13" t="inlineStr">
        <is>
          <t>Thép chịu kéo bản quá độ</t>
        </is>
      </c>
    </row>
    <row r="52">
      <c r="A52" s="5" t="n">
        <v>47</v>
      </c>
      <c r="B52" s="6" t="inlineStr">
        <is>
          <t>Bản quá độ</t>
        </is>
      </c>
      <c r="C52" s="6" t="inlineStr">
        <is>
          <t>Bản quá độ hai đầu cầu</t>
        </is>
      </c>
      <c r="D52" s="5" t="inlineStr">
        <is>
          <t>BQ2</t>
        </is>
      </c>
      <c r="E52" s="5" t="n">
        <v>14</v>
      </c>
      <c r="F52" s="6" t="inlineStr">
        <is>
          <t>Thẳng phân bố</t>
        </is>
      </c>
      <c r="G52" s="26" t="n">
        <v>2</v>
      </c>
      <c r="H52" s="26" t="n">
        <v>30</v>
      </c>
      <c r="I52" s="7">
        <f>G52*H52</f>
        <v/>
      </c>
      <c r="J52" s="26" t="n">
        <v>5264</v>
      </c>
      <c r="K52" s="26" t="n">
        <v>0</v>
      </c>
      <c r="L52" s="23">
        <f>(J52+K52)/1000</f>
        <v/>
      </c>
      <c r="M52" s="23" t="n">
        <v>1.208</v>
      </c>
      <c r="N52" s="8">
        <f>I52*L52*M52</f>
        <v/>
      </c>
      <c r="O52" s="23">
        <f>N52/1000</f>
        <v/>
      </c>
      <c r="P52" s="6" t="inlineStr">
        <is>
          <t>Thép phân bố bản quá độ</t>
        </is>
      </c>
    </row>
    <row r="53">
      <c r="A53" s="12" t="n">
        <v>48</v>
      </c>
      <c r="B53" s="13" t="inlineStr">
        <is>
          <t>Bản quá độ</t>
        </is>
      </c>
      <c r="C53" s="13" t="inlineStr">
        <is>
          <t>Bản quá độ hai đầu cầu</t>
        </is>
      </c>
      <c r="D53" s="12" t="inlineStr">
        <is>
          <t>BQ3</t>
        </is>
      </c>
      <c r="E53" s="12" t="n">
        <v>14</v>
      </c>
      <c r="F53" s="13" t="inlineStr">
        <is>
          <t>Thẳng phân bố dài</t>
        </is>
      </c>
      <c r="G53" s="27" t="n">
        <v>2</v>
      </c>
      <c r="H53" s="27" t="n">
        <v>30</v>
      </c>
      <c r="I53" s="14">
        <f>G53*H53</f>
        <v/>
      </c>
      <c r="J53" s="27" t="n">
        <v>7102</v>
      </c>
      <c r="K53" s="27" t="n">
        <v>0</v>
      </c>
      <c r="L53" s="24">
        <f>(J53+K53)/1000</f>
        <v/>
      </c>
      <c r="M53" s="24" t="n">
        <v>1.208</v>
      </c>
      <c r="N53" s="15">
        <f>I53*L53*M53</f>
        <v/>
      </c>
      <c r="O53" s="24">
        <f>N53/1000</f>
        <v/>
      </c>
      <c r="P53" s="13" t="inlineStr">
        <is>
          <t>Thép phân bố bản quá độ</t>
        </is>
      </c>
    </row>
    <row r="54">
      <c r="A54" s="5" t="n">
        <v>49</v>
      </c>
      <c r="B54" s="6" t="inlineStr">
        <is>
          <t>Bản quá độ</t>
        </is>
      </c>
      <c r="C54" s="6" t="inlineStr">
        <is>
          <t>Bản quá độ hai đầu cầu</t>
        </is>
      </c>
      <c r="D54" s="5" t="inlineStr">
        <is>
          <t>BQ4</t>
        </is>
      </c>
      <c r="E54" s="5" t="n">
        <v>10</v>
      </c>
      <c r="F54" s="6" t="inlineStr">
        <is>
          <t>Móc liên kết</t>
        </is>
      </c>
      <c r="G54" s="26" t="n">
        <v>2</v>
      </c>
      <c r="H54" s="26" t="n">
        <v>50</v>
      </c>
      <c r="I54" s="7">
        <f>G54*H54</f>
        <v/>
      </c>
      <c r="J54" s="26" t="n">
        <v>800</v>
      </c>
      <c r="K54" s="26" t="n">
        <v>0</v>
      </c>
      <c r="L54" s="23">
        <f>(J54+K54)/1000</f>
        <v/>
      </c>
      <c r="M54" s="23" t="n">
        <v>0.617</v>
      </c>
      <c r="N54" s="8">
        <f>I54*L54*M54</f>
        <v/>
      </c>
      <c r="O54" s="23">
        <f>N54/1000</f>
        <v/>
      </c>
      <c r="P54" s="6" t="inlineStr">
        <is>
          <t>Thép giằng bản quá độ</t>
        </is>
      </c>
    </row>
    <row r="55">
      <c r="A55" s="12" t="n">
        <v>50</v>
      </c>
      <c r="B55" s="13" t="inlineStr">
        <is>
          <t>Gờ lan can</t>
        </is>
      </c>
      <c r="C55" s="13" t="inlineStr">
        <is>
          <t>Gờ lan can trên nhịp</t>
        </is>
      </c>
      <c r="D55" s="12" t="inlineStr">
        <is>
          <t>L1</t>
        </is>
      </c>
      <c r="E55" s="12" t="n">
        <v>14</v>
      </c>
      <c r="F55" s="13" t="inlineStr">
        <is>
          <t>Chữ U đứng</t>
        </is>
      </c>
      <c r="G55" s="27" t="n">
        <v>2</v>
      </c>
      <c r="H55" s="27" t="n">
        <v>300</v>
      </c>
      <c r="I55" s="14">
        <f>G55*H55</f>
        <v/>
      </c>
      <c r="J55" s="27" t="n">
        <v>2180</v>
      </c>
      <c r="K55" s="27" t="n">
        <v>0</v>
      </c>
      <c r="L55" s="24">
        <f>(J55+K55)/1000</f>
        <v/>
      </c>
      <c r="M55" s="24" t="n">
        <v>1.208</v>
      </c>
      <c r="N55" s="15">
        <f>I55*L55*M55</f>
        <v/>
      </c>
      <c r="O55" s="24">
        <f>N55/1000</f>
        <v/>
      </c>
      <c r="P55" s="13" t="inlineStr">
        <is>
          <t>Thép đứng gờ lan can</t>
        </is>
      </c>
    </row>
    <row r="56">
      <c r="A56" s="5" t="n">
        <v>51</v>
      </c>
      <c r="B56" s="6" t="inlineStr">
        <is>
          <t>Gờ lan can</t>
        </is>
      </c>
      <c r="C56" s="6" t="inlineStr">
        <is>
          <t>Gờ lan can trên nhịp</t>
        </is>
      </c>
      <c r="D56" s="5" t="inlineStr">
        <is>
          <t>L2</t>
        </is>
      </c>
      <c r="E56" s="5" t="n">
        <v>14</v>
      </c>
      <c r="F56" s="6" t="inlineStr">
        <is>
          <t>Chữ U nằm</t>
        </is>
      </c>
      <c r="G56" s="26" t="n">
        <v>2</v>
      </c>
      <c r="H56" s="26" t="n">
        <v>300</v>
      </c>
      <c r="I56" s="7">
        <f>G56*H56</f>
        <v/>
      </c>
      <c r="J56" s="26" t="n">
        <v>1920</v>
      </c>
      <c r="K56" s="26" t="n">
        <v>0</v>
      </c>
      <c r="L56" s="23">
        <f>(J56+K56)/1000</f>
        <v/>
      </c>
      <c r="M56" s="23" t="n">
        <v>1.208</v>
      </c>
      <c r="N56" s="8">
        <f>I56*L56*M56</f>
        <v/>
      </c>
      <c r="O56" s="23">
        <f>N56/1000</f>
        <v/>
      </c>
      <c r="P56" s="6" t="inlineStr">
        <is>
          <t>Thép đai gờ lan can</t>
        </is>
      </c>
    </row>
    <row r="57">
      <c r="A57" s="12" t="n">
        <v>52</v>
      </c>
      <c r="B57" s="13" t="inlineStr">
        <is>
          <t>Gờ lan can</t>
        </is>
      </c>
      <c r="C57" s="13" t="inlineStr">
        <is>
          <t>Gờ lan can trên nhịp</t>
        </is>
      </c>
      <c r="D57" s="12" t="inlineStr">
        <is>
          <t>L3</t>
        </is>
      </c>
      <c r="E57" s="12" t="n">
        <v>12</v>
      </c>
      <c r="F57" s="13" t="inlineStr">
        <is>
          <t>Thẳng dọc</t>
        </is>
      </c>
      <c r="G57" s="27" t="n">
        <v>2</v>
      </c>
      <c r="H57" s="27" t="n">
        <v>20</v>
      </c>
      <c r="I57" s="14">
        <f>G57*H57</f>
        <v/>
      </c>
      <c r="J57" s="27" t="n">
        <v>15000</v>
      </c>
      <c r="K57" s="27" t="n">
        <v>0</v>
      </c>
      <c r="L57" s="24">
        <f>(J57+K57)/1000</f>
        <v/>
      </c>
      <c r="M57" s="24" t="n">
        <v>0.888</v>
      </c>
      <c r="N57" s="15">
        <f>I57*L57*M57</f>
        <v/>
      </c>
      <c r="O57" s="24">
        <f>N57/1000</f>
        <v/>
      </c>
      <c r="P57" s="13" t="inlineStr">
        <is>
          <t>Thép dọc gờ lan can nhịp</t>
        </is>
      </c>
    </row>
    <row r="58">
      <c r="A58" s="5" t="n">
        <v>53</v>
      </c>
      <c r="B58" s="6" t="inlineStr">
        <is>
          <t>Gờ lan can</t>
        </is>
      </c>
      <c r="C58" s="6" t="inlineStr">
        <is>
          <t>Gờ lan can trên mố</t>
        </is>
      </c>
      <c r="D58" s="5" t="inlineStr">
        <is>
          <t>L3M</t>
        </is>
      </c>
      <c r="E58" s="5" t="n">
        <v>12</v>
      </c>
      <c r="F58" s="6" t="inlineStr">
        <is>
          <t>Thẳng dọc mố</t>
        </is>
      </c>
      <c r="G58" s="26" t="n">
        <v>2</v>
      </c>
      <c r="H58" s="26" t="n">
        <v>40</v>
      </c>
      <c r="I58" s="7">
        <f>G58*H58</f>
        <v/>
      </c>
      <c r="J58" s="26" t="n">
        <v>6000</v>
      </c>
      <c r="K58" s="26" t="n">
        <v>0</v>
      </c>
      <c r="L58" s="23">
        <f>(J58+K58)/1000</f>
        <v/>
      </c>
      <c r="M58" s="23" t="n">
        <v>0.888</v>
      </c>
      <c r="N58" s="8">
        <f>I58*L58*M58</f>
        <v/>
      </c>
      <c r="O58" s="23">
        <f>N58/1000</f>
        <v/>
      </c>
      <c r="P58" s="6" t="inlineStr">
        <is>
          <t>Thép dọc gờ lan can mố</t>
        </is>
      </c>
    </row>
    <row r="59">
      <c r="A59" s="12" t="n">
        <v>54</v>
      </c>
      <c r="B59" s="13" t="inlineStr">
        <is>
          <t>Lưới thép mặt cầu</t>
        </is>
      </c>
      <c r="C59" s="13" t="inlineStr">
        <is>
          <t>Lớp phủ mặt cầu C35</t>
        </is>
      </c>
      <c r="D59" s="12" t="inlineStr">
        <is>
          <t>B1</t>
        </is>
      </c>
      <c r="E59" s="12" t="n">
        <v>6</v>
      </c>
      <c r="F59" s="13" t="inlineStr">
        <is>
          <t>Lưới thép dọc</t>
        </is>
      </c>
      <c r="G59" s="27" t="n">
        <v>1</v>
      </c>
      <c r="H59" s="27" t="n">
        <v>72</v>
      </c>
      <c r="I59" s="14">
        <f>G59*H59</f>
        <v/>
      </c>
      <c r="J59" s="27" t="n">
        <v>15000</v>
      </c>
      <c r="K59" s="27" t="n">
        <v>0</v>
      </c>
      <c r="L59" s="24">
        <f>(J59+K59)/1000</f>
        <v/>
      </c>
      <c r="M59" s="24" t="n">
        <v>0.222</v>
      </c>
      <c r="N59" s="15">
        <f>I59*L59*M59</f>
        <v/>
      </c>
      <c r="O59" s="24">
        <f>N59/1000</f>
        <v/>
      </c>
      <c r="P59" s="13" t="inlineStr">
        <is>
          <t>Lưới thép D6 chống nứt</t>
        </is>
      </c>
    </row>
    <row r="60">
      <c r="A60" s="5" t="n">
        <v>55</v>
      </c>
      <c r="B60" s="6" t="inlineStr">
        <is>
          <t>Lưới thép mặt cầu</t>
        </is>
      </c>
      <c r="C60" s="6" t="inlineStr">
        <is>
          <t>Lớp phủ mặt cầu C35</t>
        </is>
      </c>
      <c r="D60" s="5" t="inlineStr">
        <is>
          <t>B2</t>
        </is>
      </c>
      <c r="E60" s="5" t="n">
        <v>6</v>
      </c>
      <c r="F60" s="6" t="inlineStr">
        <is>
          <t>Lưới thép ngang</t>
        </is>
      </c>
      <c r="G60" s="26" t="n">
        <v>1</v>
      </c>
      <c r="H60" s="26" t="n">
        <v>300</v>
      </c>
      <c r="I60" s="7">
        <f>G60*H60</f>
        <v/>
      </c>
      <c r="J60" s="26" t="n">
        <v>6900</v>
      </c>
      <c r="K60" s="26" t="n">
        <v>0</v>
      </c>
      <c r="L60" s="23">
        <f>(J60+K60)/1000</f>
        <v/>
      </c>
      <c r="M60" s="23" t="n">
        <v>0.222</v>
      </c>
      <c r="N60" s="8">
        <f>I60*L60*M60</f>
        <v/>
      </c>
      <c r="O60" s="23">
        <f>N60/1000</f>
        <v/>
      </c>
      <c r="P60" s="6" t="inlineStr">
        <is>
          <t>Lưới thép D6 ngang cầu</t>
        </is>
      </c>
    </row>
    <row r="61">
      <c r="A61" s="19" t="n"/>
      <c r="B61" s="20" t="inlineStr">
        <is>
          <t>TỔNG CỘNG KHỐI LƯỢNG CỐT THÉP TOÀN CẦU</t>
        </is>
      </c>
      <c r="C61" s="19" t="n"/>
      <c r="D61" s="19" t="n"/>
      <c r="E61" s="19" t="n"/>
      <c r="F61" s="19" t="n"/>
      <c r="G61" s="19" t="n"/>
      <c r="H61" s="19" t="n"/>
      <c r="I61" s="21">
        <f>SUM(I6:I60)</f>
        <v/>
      </c>
      <c r="J61" s="19" t="n"/>
      <c r="K61" s="19" t="n"/>
      <c r="L61" s="19" t="n"/>
      <c r="M61" s="19" t="n"/>
      <c r="N61" s="28">
        <f>SUM(N6:N60)</f>
        <v/>
      </c>
      <c r="O61" s="25">
        <f>SUM(O6:O60)</f>
        <v/>
      </c>
      <c r="P61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O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1" customWidth="1" min="3" max="3"/>
    <col width="39" customWidth="1" min="4" max="4"/>
    <col width="28" customWidth="1" min="5" max="5"/>
    <col width="19" customWidth="1" min="6" max="6"/>
    <col width="21" customWidth="1" min="7" max="7"/>
    <col width="32" customWidth="1" min="8" max="8"/>
    <col width="23" customWidth="1" min="9" max="9"/>
    <col width="29" customWidth="1" min="10" max="10"/>
    <col width="21" customWidth="1" min="11" max="11"/>
    <col width="32" customWidth="1" min="12" max="12"/>
    <col width="19" customWidth="1" min="13" max="13"/>
    <col width="17" customWidth="1" min="14" max="14"/>
    <col width="21" customWidth="1" min="15" max="15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1: CẤP PHỐI ĐỊNH MỨC 1m3 BÊ TÔNG &amp; BẢNG 2: MA TRẬN TẦN SUẤT THÍ NGHIỆM KCS</t>
        </is>
      </c>
    </row>
    <row r="4">
      <c r="B4" s="3" t="inlineStr">
        <is>
          <t>Liên kết động: Khối lượng QS -&gt; Vật liệu thành phần -&gt; Tần suất tổ mẫu KCS (TCVN 3105 &amp; TCVN 11823)</t>
        </is>
      </c>
    </row>
    <row r="6">
      <c r="B6" s="2" t="inlineStr">
        <is>
          <t>I. BẢNG TÍNH CẤP PHỐI ĐỊNH MỨC 1M3 BÊ TÔNG VÀ TỔNG HỢP VẬT LIỆU CẤU THÀNH</t>
        </is>
      </c>
    </row>
    <row r="8" ht="28" customHeight="1">
      <c r="A8" s="4" t="inlineStr">
        <is>
          <t>STT</t>
        </is>
      </c>
      <c r="B8" s="4" t="inlineStr">
        <is>
          <t>Hạng mục kết cấu sử dụng</t>
        </is>
      </c>
      <c r="C8" s="4" t="inlineStr">
        <is>
          <t>Mác bê tông</t>
        </is>
      </c>
      <c r="D8" s="4" t="inlineStr">
        <is>
          <t>Độ sụt (cm)</t>
        </is>
      </c>
      <c r="E8" s="4" t="inlineStr">
        <is>
          <t>Xi măng PCB40 (kg/m3)</t>
        </is>
      </c>
      <c r="F8" s="4" t="inlineStr">
        <is>
          <t>Cát vàng (m3/m3)</t>
        </is>
      </c>
      <c r="G8" s="4" t="inlineStr">
        <is>
          <t>Đá 1x2 (m3/m3)</t>
        </is>
      </c>
      <c r="H8" s="4" t="inlineStr">
        <is>
          <t>Nước sạch (L/m3)</t>
        </is>
      </c>
      <c r="I8" s="4" t="inlineStr">
        <is>
          <t>Phụ gia (L/m3)</t>
        </is>
      </c>
      <c r="J8" s="4" t="inlineStr">
        <is>
          <t>Tổng KL bê tông (m3)</t>
        </is>
      </c>
      <c r="K8" s="4" t="inlineStr">
        <is>
          <t>Xi măng tổng (Tấn)</t>
        </is>
      </c>
      <c r="L8" s="4" t="inlineStr">
        <is>
          <t>Cát vàng tổng (m3)</t>
        </is>
      </c>
      <c r="M8" s="4" t="inlineStr">
        <is>
          <t>Đá 1x2 tổng (m3)</t>
        </is>
      </c>
      <c r="N8" s="4" t="inlineStr">
        <is>
          <t>Nước tổng (m3)</t>
        </is>
      </c>
      <c r="O8" s="4" t="inlineStr">
        <is>
          <t>Phụ gia tổng (Lít)</t>
        </is>
      </c>
    </row>
    <row r="9">
      <c r="A9" s="12" t="n">
        <v>1</v>
      </c>
      <c r="B9" s="13" t="inlineStr">
        <is>
          <t>Bê tông lót đáy móng mố M1, M2</t>
        </is>
      </c>
      <c r="C9" s="12" t="inlineStr">
        <is>
          <t>C10 (M150)</t>
        </is>
      </c>
      <c r="D9" s="12" t="inlineStr">
        <is>
          <t>6 - 8</t>
        </is>
      </c>
      <c r="E9" s="27" t="n">
        <v>245</v>
      </c>
      <c r="F9" s="27" t="n">
        <v>0.52</v>
      </c>
      <c r="G9" s="27" t="n">
        <v>0.88</v>
      </c>
      <c r="H9" s="27" t="n">
        <v>185</v>
      </c>
      <c r="I9" s="27" t="n">
        <v>0</v>
      </c>
      <c r="J9" s="49">
        <f>QS_DIEN_GIAI_CHI_TIET!J20</f>
        <v/>
      </c>
      <c r="K9" s="15">
        <f>J9*E9/1000</f>
        <v/>
      </c>
      <c r="L9" s="15">
        <f>J9*F9</f>
        <v/>
      </c>
      <c r="M9" s="15">
        <f>J9*G9</f>
        <v/>
      </c>
      <c r="N9" s="15">
        <f>J9*H9/1000</f>
        <v/>
      </c>
      <c r="O9" s="17">
        <f>J9*I9</f>
        <v/>
      </c>
    </row>
    <row r="10">
      <c r="A10" s="5" t="n">
        <v>2</v>
      </c>
      <c r="B10" s="6" t="inlineStr">
        <is>
          <t>Bê tông bản quá độ &amp; gờ lan can</t>
        </is>
      </c>
      <c r="C10" s="5" t="inlineStr">
        <is>
          <t>C25 (M300)</t>
        </is>
      </c>
      <c r="D10" s="5" t="inlineStr">
        <is>
          <t>10 - 12</t>
        </is>
      </c>
      <c r="E10" s="26" t="n">
        <v>365</v>
      </c>
      <c r="F10" s="26" t="n">
        <v>0.47</v>
      </c>
      <c r="G10" s="26" t="n">
        <v>0.86</v>
      </c>
      <c r="H10" s="26" t="n">
        <v>175</v>
      </c>
      <c r="I10" s="26" t="n">
        <v>2.5</v>
      </c>
      <c r="J10" s="50">
        <f>QS_DIEN_GIAI_CHI_TIET!J38*0.5 + QS_DIEN_GIAI_CHI_TIET!J50</f>
        <v/>
      </c>
      <c r="K10" s="8">
        <f>J10*E10/1000</f>
        <v/>
      </c>
      <c r="L10" s="8">
        <f>J10*F10</f>
        <v/>
      </c>
      <c r="M10" s="8">
        <f>J10*G10</f>
        <v/>
      </c>
      <c r="N10" s="8">
        <f>J10*H10/1000</f>
        <v/>
      </c>
      <c r="O10" s="10">
        <f>J10*I10</f>
        <v/>
      </c>
    </row>
    <row r="11">
      <c r="A11" s="12" t="n">
        <v>3</v>
      </c>
      <c r="B11" s="13" t="inlineStr">
        <is>
          <t>Bê tông móng mố M1, M2 trên nền đá</t>
        </is>
      </c>
      <c r="C11" s="12" t="inlineStr">
        <is>
          <t>C30 (M350)</t>
        </is>
      </c>
      <c r="D11" s="12" t="inlineStr">
        <is>
          <t>12 - 14</t>
        </is>
      </c>
      <c r="E11" s="27" t="n">
        <v>395</v>
      </c>
      <c r="F11" s="27" t="n">
        <v>0.46</v>
      </c>
      <c r="G11" s="27" t="n">
        <v>0.85</v>
      </c>
      <c r="H11" s="27" t="n">
        <v>170</v>
      </c>
      <c r="I11" s="27" t="n">
        <v>3.2</v>
      </c>
      <c r="J11" s="49">
        <f>QS_DIEN_GIAI_CHI_TIET!J22</f>
        <v/>
      </c>
      <c r="K11" s="15">
        <f>J11*E11/1000</f>
        <v/>
      </c>
      <c r="L11" s="15">
        <f>J11*F11</f>
        <v/>
      </c>
      <c r="M11" s="15">
        <f>J11*G11</f>
        <v/>
      </c>
      <c r="N11" s="15">
        <f>J11*H11/1000</f>
        <v/>
      </c>
      <c r="O11" s="17">
        <f>J11*I11</f>
        <v/>
      </c>
    </row>
    <row r="12">
      <c r="A12" s="5" t="n">
        <v>4</v>
      </c>
      <c r="B12" s="6" t="inlineStr">
        <is>
          <t>Bê tông thân mố, tường cánh M1, M2</t>
        </is>
      </c>
      <c r="C12" s="5" t="inlineStr">
        <is>
          <t>C30 (M350)</t>
        </is>
      </c>
      <c r="D12" s="5" t="inlineStr">
        <is>
          <t>12 - 14</t>
        </is>
      </c>
      <c r="E12" s="26" t="n">
        <v>410</v>
      </c>
      <c r="F12" s="26" t="n">
        <v>0.45</v>
      </c>
      <c r="G12" s="26" t="n">
        <v>0.84</v>
      </c>
      <c r="H12" s="26" t="n">
        <v>168</v>
      </c>
      <c r="I12" s="26" t="n">
        <v>3.5</v>
      </c>
      <c r="J12" s="50">
        <f>QS_DIEN_GIAI_CHI_TIET!J24</f>
        <v/>
      </c>
      <c r="K12" s="8">
        <f>J12*E12/1000</f>
        <v/>
      </c>
      <c r="L12" s="8">
        <f>J12*F12</f>
        <v/>
      </c>
      <c r="M12" s="8">
        <f>J12*G12</f>
        <v/>
      </c>
      <c r="N12" s="8">
        <f>J12*H12/1000</f>
        <v/>
      </c>
      <c r="O12" s="10">
        <f>J12*I12</f>
        <v/>
      </c>
    </row>
    <row r="13">
      <c r="A13" s="12" t="n">
        <v>5</v>
      </c>
      <c r="B13" s="13" t="inlineStr">
        <is>
          <t>Bê tông dầm ngang liên kết nhịp</t>
        </is>
      </c>
      <c r="C13" s="12" t="inlineStr">
        <is>
          <t>C30 (M350)</t>
        </is>
      </c>
      <c r="D13" s="12" t="inlineStr">
        <is>
          <t>14 - 16</t>
        </is>
      </c>
      <c r="E13" s="27" t="n">
        <v>415</v>
      </c>
      <c r="F13" s="27" t="n">
        <v>0.44</v>
      </c>
      <c r="G13" s="27" t="n">
        <v>0.84</v>
      </c>
      <c r="H13" s="27" t="n">
        <v>165</v>
      </c>
      <c r="I13" s="27" t="n">
        <v>3.8</v>
      </c>
      <c r="J13" s="49">
        <f>QS_DIEN_GIAI_CHI_TIET!J38*0.5</f>
        <v/>
      </c>
      <c r="K13" s="15">
        <f>J13*E13/1000</f>
        <v/>
      </c>
      <c r="L13" s="15">
        <f>J13*F13</f>
        <v/>
      </c>
      <c r="M13" s="15">
        <f>J13*G13</f>
        <v/>
      </c>
      <c r="N13" s="15">
        <f>J13*H13/1000</f>
        <v/>
      </c>
      <c r="O13" s="17">
        <f>J13*I13</f>
        <v/>
      </c>
    </row>
    <row r="14">
      <c r="A14" s="5" t="n">
        <v>6</v>
      </c>
      <c r="B14" s="6" t="inlineStr">
        <is>
          <t>Bê tông lớp phủ mặt cầu chống thấm</t>
        </is>
      </c>
      <c r="C14" s="5" t="inlineStr">
        <is>
          <t>C35 (M450)</t>
        </is>
      </c>
      <c r="D14" s="5" t="inlineStr">
        <is>
          <t>12 - 14</t>
        </is>
      </c>
      <c r="E14" s="26" t="n">
        <v>435</v>
      </c>
      <c r="F14" s="26" t="n">
        <v>0.43</v>
      </c>
      <c r="G14" s="26" t="n">
        <v>0.83</v>
      </c>
      <c r="H14" s="26" t="n">
        <v>160</v>
      </c>
      <c r="I14" s="26" t="n">
        <v>4.2</v>
      </c>
      <c r="J14" s="50">
        <f>QS_DIEN_GIAI_CHI_TIET!J44</f>
        <v/>
      </c>
      <c r="K14" s="8">
        <f>J14*E14/1000</f>
        <v/>
      </c>
      <c r="L14" s="8">
        <f>J14*F14</f>
        <v/>
      </c>
      <c r="M14" s="8">
        <f>J14*G14</f>
        <v/>
      </c>
      <c r="N14" s="8">
        <f>J14*H14/1000</f>
        <v/>
      </c>
      <c r="O14" s="10">
        <f>J14*I14</f>
        <v/>
      </c>
    </row>
    <row r="15">
      <c r="A15" s="12" t="n">
        <v>7</v>
      </c>
      <c r="B15" s="13" t="inlineStr">
        <is>
          <t>Bê tông dầm chủ T15m đúc sẵn</t>
        </is>
      </c>
      <c r="C15" s="12" t="inlineStr">
        <is>
          <t>C40 (M500)</t>
        </is>
      </c>
      <c r="D15" s="12" t="inlineStr">
        <is>
          <t>16 - 18</t>
        </is>
      </c>
      <c r="E15" s="27" t="n">
        <v>460</v>
      </c>
      <c r="F15" s="27" t="n">
        <v>0.42</v>
      </c>
      <c r="G15" s="27" t="n">
        <v>0.82</v>
      </c>
      <c r="H15" s="27" t="n">
        <v>155</v>
      </c>
      <c r="I15" s="27" t="n">
        <v>5</v>
      </c>
      <c r="J15" s="49">
        <f>QS_DIEN_GIAI_CHI_TIET!J28</f>
        <v/>
      </c>
      <c r="K15" s="15">
        <f>J15*E15/1000</f>
        <v/>
      </c>
      <c r="L15" s="15">
        <f>J15*F15</f>
        <v/>
      </c>
      <c r="M15" s="15">
        <f>J15*G15</f>
        <v/>
      </c>
      <c r="N15" s="15">
        <f>J15*H15/1000</f>
        <v/>
      </c>
      <c r="O15" s="17">
        <f>J15*I15</f>
        <v/>
      </c>
    </row>
    <row r="16">
      <c r="A16" s="5" t="n">
        <v>8</v>
      </c>
      <c r="B16" s="6" t="inlineStr">
        <is>
          <t>Bê tông tường chắn đất đầu cầu</t>
        </is>
      </c>
      <c r="C16" s="5" t="inlineStr">
        <is>
          <t>C25 (M300)</t>
        </is>
      </c>
      <c r="D16" s="5" t="inlineStr">
        <is>
          <t>10 - 12</t>
        </is>
      </c>
      <c r="E16" s="26" t="n">
        <v>365</v>
      </c>
      <c r="F16" s="26" t="n">
        <v>0.47</v>
      </c>
      <c r="G16" s="26" t="n">
        <v>0.86</v>
      </c>
      <c r="H16" s="26" t="n">
        <v>175</v>
      </c>
      <c r="I16" s="26" t="n">
        <v>2.5</v>
      </c>
      <c r="J16" s="50">
        <f>QS_DIEN_GIAI_CHI_TIET!J58</f>
        <v/>
      </c>
      <c r="K16" s="8">
        <f>J16*E16/1000</f>
        <v/>
      </c>
      <c r="L16" s="8">
        <f>J16*F16</f>
        <v/>
      </c>
      <c r="M16" s="8">
        <f>J16*G16</f>
        <v/>
      </c>
      <c r="N16" s="8">
        <f>J16*H16/1000</f>
        <v/>
      </c>
      <c r="O16" s="10">
        <f>J16*I16</f>
        <v/>
      </c>
    </row>
    <row r="17">
      <c r="A17" s="12" t="n">
        <v>9</v>
      </c>
      <c r="B17" s="13" t="inlineStr">
        <is>
          <t>Vữa không co ngót chèn khe co giãn</t>
        </is>
      </c>
      <c r="C17" s="12" t="inlineStr">
        <is>
          <t>C50 (M600)</t>
        </is>
      </c>
      <c r="D17" s="12" t="inlineStr">
        <is>
          <t>Chảy</t>
        </is>
      </c>
      <c r="E17" s="27" t="n">
        <v>550</v>
      </c>
      <c r="F17" s="27" t="n">
        <v>0.38</v>
      </c>
      <c r="G17" s="27" t="n">
        <v>0.75</v>
      </c>
      <c r="H17" s="27" t="n">
        <v>140</v>
      </c>
      <c r="I17" s="27" t="n">
        <v>6.5</v>
      </c>
      <c r="J17" s="49">
        <f>QS_DIEN_GIAI_CHI_TIET!J54</f>
        <v/>
      </c>
      <c r="K17" s="15">
        <f>J17*E17/1000</f>
        <v/>
      </c>
      <c r="L17" s="15">
        <f>J17*F17</f>
        <v/>
      </c>
      <c r="M17" s="15">
        <f>J17*G17</f>
        <v/>
      </c>
      <c r="N17" s="15">
        <f>J17*H17/1000</f>
        <v/>
      </c>
      <c r="O17" s="17">
        <f>J17*I17</f>
        <v/>
      </c>
    </row>
    <row r="18">
      <c r="A18" s="19" t="n"/>
      <c r="B18" s="20" t="inlineStr">
        <is>
          <t>TỔNG CỘNG TOÀN CÔNG TRÌNH</t>
        </is>
      </c>
      <c r="C18" s="19" t="n"/>
      <c r="D18" s="19" t="n"/>
      <c r="E18" s="19" t="n"/>
      <c r="F18" s="19" t="n"/>
      <c r="G18" s="19" t="n"/>
      <c r="H18" s="19" t="n"/>
      <c r="I18" s="19" t="n"/>
      <c r="J18" s="21">
        <f>SUM(J9:J17)</f>
        <v/>
      </c>
      <c r="K18" s="21">
        <f>SUM(K9:K17)</f>
        <v/>
      </c>
      <c r="L18" s="21">
        <f>SUM(L9:L17)</f>
        <v/>
      </c>
      <c r="M18" s="21">
        <f>SUM(M9:M17)</f>
        <v/>
      </c>
      <c r="N18" s="21">
        <f>SUM(N9:N17)</f>
        <v/>
      </c>
      <c r="O18" s="21">
        <f>SUM(O9:O17)</f>
        <v/>
      </c>
    </row>
    <row r="21">
      <c r="B21" s="2" t="inlineStr">
        <is>
          <t>II. MA TRẬN TẦN SUẤT LẤY MẪU THÍ NGHIỆM KCS (TCVN 3105:2022 &amp; TCVN 11823:2017)</t>
        </is>
      </c>
    </row>
    <row r="23" ht="28" customHeight="1">
      <c r="A23" s="4" t="inlineStr">
        <is>
          <t>Mã VT</t>
        </is>
      </c>
      <c r="B23" s="4" t="inlineStr">
        <is>
          <t>Tên chỉ tiêu / Vật liệu thí nghiệm</t>
        </is>
      </c>
      <c r="C23" s="4" t="inlineStr">
        <is>
          <t>Tiêu chuẩn áp dụng</t>
        </is>
      </c>
      <c r="D23" s="4" t="inlineStr">
        <is>
          <t>Chỉ tiêu kỹ thuật kiểm tra</t>
        </is>
      </c>
      <c r="E23" s="4" t="inlineStr">
        <is>
          <t>Đối tượng / Kết cấu</t>
        </is>
      </c>
      <c r="F23" s="4" t="inlineStr">
        <is>
          <t>Đơn vị tính</t>
        </is>
      </c>
      <c r="G23" s="4" t="inlineStr">
        <is>
          <t>Tổng KL công trình</t>
        </is>
      </c>
      <c r="H23" s="4" t="inlineStr">
        <is>
          <t>Định mức tần suất (KL/tổ mẫu)</t>
        </is>
      </c>
      <c r="I23" s="4" t="inlineStr">
        <is>
          <t>Số tổ mẫu thí nghiệm</t>
        </is>
      </c>
      <c r="J23" s="4" t="inlineStr">
        <is>
          <t>Quy cách tổ mẫu thí nghiệm</t>
        </is>
      </c>
      <c r="K23" s="4" t="inlineStr">
        <is>
          <t>Đơn vị thực hiện</t>
        </is>
      </c>
      <c r="L23" s="4" t="inlineStr">
        <is>
          <t>Điều kiện nghiệm thu</t>
        </is>
      </c>
    </row>
    <row r="24">
      <c r="A24" s="5" t="n">
        <v>1</v>
      </c>
      <c r="B24" s="6" t="inlineStr">
        <is>
          <t>Cốt thép tròn trơn D&lt;=10mm</t>
        </is>
      </c>
      <c r="C24" s="6" t="inlineStr">
        <is>
          <t>TCVN 1651-1:2018</t>
        </is>
      </c>
      <c r="D24" s="6" t="inlineStr">
        <is>
          <t>Kéo, uốn, hình học</t>
        </is>
      </c>
      <c r="E24" s="6" t="inlineStr">
        <is>
          <t>Dầm T, gờ lan can</t>
        </is>
      </c>
      <c r="F24" s="5" t="inlineStr">
        <is>
          <t>Tấn</t>
        </is>
      </c>
      <c r="G24" s="8">
        <f>SUMIFS(THONG_KE_THEP_CHI_TIET!$O$6:$O$399, THONG_KE_THEP_CHI_TIET!$E$6:$E$399, "&lt;=10")</f>
        <v/>
      </c>
      <c r="H24" s="10" t="n">
        <v>20</v>
      </c>
      <c r="I24" s="7">
        <f>ROUNDUP(G24/H24, 0)</f>
        <v/>
      </c>
      <c r="J24" s="6" t="inlineStr">
        <is>
          <t>3 mẫu kéo + 3 mẫu uốn</t>
        </is>
      </c>
      <c r="K24" s="5" t="inlineStr">
        <is>
          <t>LAS-XD</t>
        </is>
      </c>
      <c r="L24" s="6" t="inlineStr">
        <is>
          <t>Chấp thuận trước khi gia công</t>
        </is>
      </c>
    </row>
    <row r="25">
      <c r="A25" s="12" t="n">
        <v>2</v>
      </c>
      <c r="B25" s="13" t="inlineStr">
        <is>
          <t>Cốt thép thanh vằn D12mm</t>
        </is>
      </c>
      <c r="C25" s="13" t="inlineStr">
        <is>
          <t>TCVN 1651-2:2018</t>
        </is>
      </c>
      <c r="D25" s="13" t="inlineStr">
        <is>
          <t>Giới hạn chảy, bền, uốn</t>
        </is>
      </c>
      <c r="E25" s="13" t="inlineStr">
        <is>
          <t>Dầm T, gờ lan can</t>
        </is>
      </c>
      <c r="F25" s="12" t="inlineStr">
        <is>
          <t>Tấn</t>
        </is>
      </c>
      <c r="G25" s="15">
        <f>SUMIFS(THONG_KE_THEP_CHI_TIET!$O$6:$O$399, THONG_KE_THEP_CHI_TIET!$E$6:$E$399, "12")</f>
        <v/>
      </c>
      <c r="H25" s="17" t="n">
        <v>20</v>
      </c>
      <c r="I25" s="14">
        <f>ROUNDUP(G25/H25, 0)</f>
        <v/>
      </c>
      <c r="J25" s="13" t="inlineStr">
        <is>
          <t>3 mẫu kéo + 3 mẫu uốn</t>
        </is>
      </c>
      <c r="K25" s="12" t="inlineStr">
        <is>
          <t>LAS-XD</t>
        </is>
      </c>
      <c r="L25" s="13" t="inlineStr">
        <is>
          <t>Chấp thuận trước khi gia công</t>
        </is>
      </c>
    </row>
    <row r="26">
      <c r="A26" s="5" t="n">
        <v>3</v>
      </c>
      <c r="B26" s="6" t="inlineStr">
        <is>
          <t>Cốt thép thanh vằn D14mm</t>
        </is>
      </c>
      <c r="C26" s="6" t="inlineStr">
        <is>
          <t>TCVN 1651-2:2018</t>
        </is>
      </c>
      <c r="D26" s="6" t="inlineStr">
        <is>
          <t>Giới hạn chảy, bền, uốn</t>
        </is>
      </c>
      <c r="E26" s="6" t="inlineStr">
        <is>
          <t>Dầm T, bản quá độ</t>
        </is>
      </c>
      <c r="F26" s="5" t="inlineStr">
        <is>
          <t>Tấn</t>
        </is>
      </c>
      <c r="G26" s="8">
        <f>SUMIFS(THONG_KE_THEP_CHI_TIET!$O$6:$O$399, THONG_KE_THEP_CHI_TIET!$E$6:$E$399, "14")</f>
        <v/>
      </c>
      <c r="H26" s="10" t="n">
        <v>20</v>
      </c>
      <c r="I26" s="7">
        <f>ROUNDUP(G26/H26, 0)</f>
        <v/>
      </c>
      <c r="J26" s="6" t="inlineStr">
        <is>
          <t>3 mẫu kéo + 3 mẫu uốn</t>
        </is>
      </c>
      <c r="K26" s="5" t="inlineStr">
        <is>
          <t>LAS-XD</t>
        </is>
      </c>
      <c r="L26" s="6" t="inlineStr">
        <is>
          <t>Chấp thuận trước khi gia công</t>
        </is>
      </c>
    </row>
    <row r="27">
      <c r="A27" s="12" t="n">
        <v>4</v>
      </c>
      <c r="B27" s="13" t="inlineStr">
        <is>
          <t>Cốt thép thanh vằn D16mm</t>
        </is>
      </c>
      <c r="C27" s="13" t="inlineStr">
        <is>
          <t>TCVN 1651-2:2018</t>
        </is>
      </c>
      <c r="D27" s="13" t="inlineStr">
        <is>
          <t>Giới hạn chảy, bền, uốn</t>
        </is>
      </c>
      <c r="E27" s="13" t="inlineStr">
        <is>
          <t>Dầm T, mố M1, M2</t>
        </is>
      </c>
      <c r="F27" s="12" t="inlineStr">
        <is>
          <t>Tấn</t>
        </is>
      </c>
      <c r="G27" s="15">
        <f>SUMIFS(THONG_KE_THEP_CHI_TIET!$O$6:$O$399, THONG_KE_THEP_CHI_TIET!$E$6:$E$399, "16")</f>
        <v/>
      </c>
      <c r="H27" s="17" t="n">
        <v>20</v>
      </c>
      <c r="I27" s="14">
        <f>ROUNDUP(G27/H27, 0)</f>
        <v/>
      </c>
      <c r="J27" s="13" t="inlineStr">
        <is>
          <t>3 mẫu kéo + 3 mẫu uốn</t>
        </is>
      </c>
      <c r="K27" s="12" t="inlineStr">
        <is>
          <t>LAS-XD</t>
        </is>
      </c>
      <c r="L27" s="13" t="inlineStr">
        <is>
          <t>Chấp thuận trước khi gia công</t>
        </is>
      </c>
    </row>
    <row r="28">
      <c r="A28" s="5" t="n">
        <v>5</v>
      </c>
      <c r="B28" s="6" t="inlineStr">
        <is>
          <t>Cốt thép thanh vằn D18mm</t>
        </is>
      </c>
      <c r="C28" s="6" t="inlineStr">
        <is>
          <t>TCVN 1651-2:2018</t>
        </is>
      </c>
      <c r="D28" s="6" t="inlineStr">
        <is>
          <t>Giới hạn chảy, bền, uốn</t>
        </is>
      </c>
      <c r="E28" s="6" t="inlineStr">
        <is>
          <t>Dầm T, mố M1, M2</t>
        </is>
      </c>
      <c r="F28" s="5" t="inlineStr">
        <is>
          <t>Tấn</t>
        </is>
      </c>
      <c r="G28" s="8">
        <f>SUMIFS(THONG_KE_THEP_CHI_TIET!$O$6:$O$399, THONG_KE_THEP_CHI_TIET!$E$6:$E$399, "18")</f>
        <v/>
      </c>
      <c r="H28" s="10" t="n">
        <v>20</v>
      </c>
      <c r="I28" s="7">
        <f>ROUNDUP(G28/H28, 0)</f>
        <v/>
      </c>
      <c r="J28" s="6" t="inlineStr">
        <is>
          <t>3 mẫu kéo + 3 mẫu uốn</t>
        </is>
      </c>
      <c r="K28" s="5" t="inlineStr">
        <is>
          <t>LAS-XD</t>
        </is>
      </c>
      <c r="L28" s="6" t="inlineStr">
        <is>
          <t>Chấp thuận trước khi gia công</t>
        </is>
      </c>
    </row>
    <row r="29">
      <c r="A29" s="12" t="n">
        <v>6</v>
      </c>
      <c r="B29" s="13" t="inlineStr">
        <is>
          <t>Cốt thép thanh vằn D20mm</t>
        </is>
      </c>
      <c r="C29" s="13" t="inlineStr">
        <is>
          <t>TCVN 1651-2:2018</t>
        </is>
      </c>
      <c r="D29" s="13" t="inlineStr">
        <is>
          <t>Giới hạn chảy, bền, uốn</t>
        </is>
      </c>
      <c r="E29" s="13" t="inlineStr">
        <is>
          <t>Thân mố, bản quá độ</t>
        </is>
      </c>
      <c r="F29" s="12" t="inlineStr">
        <is>
          <t>Tấn</t>
        </is>
      </c>
      <c r="G29" s="15">
        <f>SUMIFS(THONG_KE_THEP_CHI_TIET!$O$6:$O$399, THONG_KE_THEP_CHI_TIET!$E$6:$E$399, "20")</f>
        <v/>
      </c>
      <c r="H29" s="17" t="n">
        <v>20</v>
      </c>
      <c r="I29" s="14">
        <f>ROUNDUP(G29/H29, 0)</f>
        <v/>
      </c>
      <c r="J29" s="13" t="inlineStr">
        <is>
          <t>3 mẫu kéo + 3 mẫu uốn</t>
        </is>
      </c>
      <c r="K29" s="12" t="inlineStr">
        <is>
          <t>LAS-XD</t>
        </is>
      </c>
      <c r="L29" s="13" t="inlineStr">
        <is>
          <t>Chấp thuận trước khi gia công</t>
        </is>
      </c>
    </row>
    <row r="30">
      <c r="A30" s="5" t="n">
        <v>7</v>
      </c>
      <c r="B30" s="6" t="inlineStr">
        <is>
          <t>Cốt thép thanh vằn D22mm</t>
        </is>
      </c>
      <c r="C30" s="6" t="inlineStr">
        <is>
          <t>TCVN 1651-2:2018</t>
        </is>
      </c>
      <c r="D30" s="6" t="inlineStr">
        <is>
          <t>Giới hạn chảy, bền, uốn</t>
        </is>
      </c>
      <c r="E30" s="6" t="inlineStr">
        <is>
          <t>Tường cánh mố M1, M2</t>
        </is>
      </c>
      <c r="F30" s="5" t="inlineStr">
        <is>
          <t>Tấn</t>
        </is>
      </c>
      <c r="G30" s="8">
        <f>SUMIFS(THONG_KE_THEP_CHI_TIET!$O$6:$O$399, THONG_KE_THEP_CHI_TIET!$E$6:$E$399, "22")</f>
        <v/>
      </c>
      <c r="H30" s="10" t="n">
        <v>20</v>
      </c>
      <c r="I30" s="7">
        <f>ROUNDUP(G30/H30, 0)</f>
        <v/>
      </c>
      <c r="J30" s="6" t="inlineStr">
        <is>
          <t>3 mẫu kéo + 3 mẫu uốn</t>
        </is>
      </c>
      <c r="K30" s="5" t="inlineStr">
        <is>
          <t>LAS-XD</t>
        </is>
      </c>
      <c r="L30" s="6" t="inlineStr">
        <is>
          <t>Chấp thuận trước khi gia công</t>
        </is>
      </c>
    </row>
    <row r="31">
      <c r="A31" s="12" t="n">
        <v>8</v>
      </c>
      <c r="B31" s="13" t="inlineStr">
        <is>
          <t>Cốt thép thanh vằn D25mm</t>
        </is>
      </c>
      <c r="C31" s="13" t="inlineStr">
        <is>
          <t>TCVN 1651-2:2018</t>
        </is>
      </c>
      <c r="D31" s="13" t="inlineStr">
        <is>
          <t>Giới hạn chảy, bền, uốn</t>
        </is>
      </c>
      <c r="E31" s="13" t="inlineStr">
        <is>
          <t>Thân mố chịu lực</t>
        </is>
      </c>
      <c r="F31" s="12" t="inlineStr">
        <is>
          <t>Tấn</t>
        </is>
      </c>
      <c r="G31" s="15">
        <f>SUMIFS(THONG_KE_THEP_CHI_TIET!$O$6:$O$399, THONG_KE_THEP_CHI_TIET!$E$6:$E$399, "25")</f>
        <v/>
      </c>
      <c r="H31" s="17" t="n">
        <v>20</v>
      </c>
      <c r="I31" s="14">
        <f>ROUNDUP(G31/H31, 0)</f>
        <v/>
      </c>
      <c r="J31" s="13" t="inlineStr">
        <is>
          <t>3 mẫu kéo + 3 mẫu uốn</t>
        </is>
      </c>
      <c r="K31" s="12" t="inlineStr">
        <is>
          <t>LAS-XD</t>
        </is>
      </c>
      <c r="L31" s="13" t="inlineStr">
        <is>
          <t>Chấp thuận trước khi gia công</t>
        </is>
      </c>
    </row>
    <row r="32">
      <c r="A32" s="5" t="n">
        <v>9</v>
      </c>
      <c r="B32" s="6" t="inlineStr">
        <is>
          <t>Cốt thép thanh vằn D28mm</t>
        </is>
      </c>
      <c r="C32" s="6" t="inlineStr">
        <is>
          <t>TCVN 1651-2:2018</t>
        </is>
      </c>
      <c r="D32" s="6" t="inlineStr">
        <is>
          <t>Giới hạn chảy, bền, uốn</t>
        </is>
      </c>
      <c r="E32" s="6" t="inlineStr">
        <is>
          <t>Móng mố M1, M2</t>
        </is>
      </c>
      <c r="F32" s="5" t="inlineStr">
        <is>
          <t>Tấn</t>
        </is>
      </c>
      <c r="G32" s="8">
        <f>SUMIFS(THONG_KE_THEP_CHI_TIET!$O$6:$O$399, THONG_KE_THEP_CHI_TIET!$E$6:$E$399, "28")</f>
        <v/>
      </c>
      <c r="H32" s="10" t="n">
        <v>20</v>
      </c>
      <c r="I32" s="7">
        <f>ROUNDUP(G32/H32, 0)</f>
        <v/>
      </c>
      <c r="J32" s="6" t="inlineStr">
        <is>
          <t>3 mẫu kéo + 3 mẫu uốn</t>
        </is>
      </c>
      <c r="K32" s="5" t="inlineStr">
        <is>
          <t>LAS-XD</t>
        </is>
      </c>
      <c r="L32" s="6" t="inlineStr">
        <is>
          <t>Chấp thuận trước khi gia công</t>
        </is>
      </c>
    </row>
    <row r="33">
      <c r="A33" s="12" t="n">
        <v>10</v>
      </c>
      <c r="B33" s="13" t="inlineStr">
        <is>
          <t>Cốt thép thanh vằn D32mm</t>
        </is>
      </c>
      <c r="C33" s="13" t="inlineStr">
        <is>
          <t>TCVN 1651-2:2018</t>
        </is>
      </c>
      <c r="D33" s="13" t="inlineStr">
        <is>
          <t>Giới hạn chảy, bền, uốn</t>
        </is>
      </c>
      <c r="E33" s="13" t="inlineStr">
        <is>
          <t>Chủ dầm T &amp; neo cấy đá</t>
        </is>
      </c>
      <c r="F33" s="12" t="inlineStr">
        <is>
          <t>Tấn</t>
        </is>
      </c>
      <c r="G33" s="15">
        <f>SUMIFS(THONG_KE_THEP_CHI_TIET!$O$6:$O$399, THONG_KE_THEP_CHI_TIET!$E$6:$E$399, "32")</f>
        <v/>
      </c>
      <c r="H33" s="17" t="n">
        <v>20</v>
      </c>
      <c r="I33" s="14">
        <f>ROUNDUP(G33/H33, 0)</f>
        <v/>
      </c>
      <c r="J33" s="13" t="inlineStr">
        <is>
          <t>3 mẫu kéo + 3 mẫu uốn</t>
        </is>
      </c>
      <c r="K33" s="12" t="inlineStr">
        <is>
          <t>LAS-XD</t>
        </is>
      </c>
      <c r="L33" s="13" t="inlineStr">
        <is>
          <t>Chấp thuận trước khi gia công</t>
        </is>
      </c>
    </row>
    <row r="34">
      <c r="A34" s="5" t="n">
        <v>11</v>
      </c>
      <c r="B34" s="6" t="inlineStr">
        <is>
          <t>Thép hình &amp; lan can mạ kẽm</t>
        </is>
      </c>
      <c r="C34" s="6" t="inlineStr">
        <is>
          <t>TCVN 5408:2007</t>
        </is>
      </c>
      <c r="D34" s="6" t="inlineStr">
        <is>
          <t>Độ dày mạ, kéo uốn</t>
        </is>
      </c>
      <c r="E34" s="6" t="inlineStr">
        <is>
          <t>Lan can cầu &amp; khe co giãn</t>
        </is>
      </c>
      <c r="F34" s="5" t="inlineStr">
        <is>
          <t>Tấn</t>
        </is>
      </c>
      <c r="G34" s="8">
        <f>1.27</f>
        <v/>
      </c>
      <c r="H34" s="10" t="n">
        <v>10</v>
      </c>
      <c r="I34" s="7">
        <f>ROUNDUP(G34/H34, 0)</f>
        <v/>
      </c>
      <c r="J34" s="6" t="inlineStr">
        <is>
          <t>3 mẫu ngẫu nhiên</t>
        </is>
      </c>
      <c r="K34" s="5" t="inlineStr">
        <is>
          <t>LAS-XD</t>
        </is>
      </c>
      <c r="L34" s="6" t="inlineStr">
        <is>
          <t>Đạt chiều dày mạ &gt;= 100um</t>
        </is>
      </c>
    </row>
    <row r="35">
      <c r="A35" s="12" t="n">
        <v>12</v>
      </c>
      <c r="B35" s="13" t="inlineStr">
        <is>
          <t>Xi măng Poóc lăng PCB40</t>
        </is>
      </c>
      <c r="C35" s="13" t="inlineStr">
        <is>
          <t>TCVN 6260:2020</t>
        </is>
      </c>
      <c r="D35" s="13" t="inlineStr">
        <is>
          <t>Độ mịn, thời gian đông kết, nén</t>
        </is>
      </c>
      <c r="E35" s="13" t="inlineStr">
        <is>
          <t>Toàn bộ bê tông</t>
        </is>
      </c>
      <c r="F35" s="12" t="inlineStr">
        <is>
          <t>Tấn</t>
        </is>
      </c>
      <c r="G35" s="15">
        <f>K18</f>
        <v/>
      </c>
      <c r="H35" s="17" t="n">
        <v>100</v>
      </c>
      <c r="I35" s="14">
        <f>ROUNDUP(G35/H35, 0)</f>
        <v/>
      </c>
      <c r="J35" s="13" t="inlineStr">
        <is>
          <t>1 tổ 3 mẫu/lô</t>
        </is>
      </c>
      <c r="K35" s="12" t="inlineStr">
        <is>
          <t>LAS-XD</t>
        </is>
      </c>
      <c r="L35" s="13" t="inlineStr">
        <is>
          <t>Chứng chỉ xuất xưởng + TN</t>
        </is>
      </c>
    </row>
    <row r="36">
      <c r="A36" s="5" t="n">
        <v>13</v>
      </c>
      <c r="B36" s="6" t="inlineStr">
        <is>
          <t>Cát vàng đổ bê tông</t>
        </is>
      </c>
      <c r="C36" s="6" t="inlineStr">
        <is>
          <t>TCVN 7570:2006</t>
        </is>
      </c>
      <c r="D36" s="6" t="inlineStr">
        <is>
          <t>Thành phần hạt, hàm lượng bùn sét</t>
        </is>
      </c>
      <c r="E36" s="6" t="inlineStr">
        <is>
          <t>Toàn bộ bê tông</t>
        </is>
      </c>
      <c r="F36" s="5" t="inlineStr">
        <is>
          <t>m3</t>
        </is>
      </c>
      <c r="G36" s="8">
        <f>L18</f>
        <v/>
      </c>
      <c r="H36" s="10" t="n">
        <v>200</v>
      </c>
      <c r="I36" s="7">
        <f>ROUNDUP(G36/H36, 0)</f>
        <v/>
      </c>
      <c r="J36" s="6" t="inlineStr">
        <is>
          <t>1 tổ mẫu/mỏ</t>
        </is>
      </c>
      <c r="K36" s="5" t="inlineStr">
        <is>
          <t>LAS-XD</t>
        </is>
      </c>
      <c r="L36" s="6" t="inlineStr">
        <is>
          <t>Tạp chất &lt; 1.5%</t>
        </is>
      </c>
    </row>
    <row r="37">
      <c r="A37" s="12" t="n">
        <v>14</v>
      </c>
      <c r="B37" s="13" t="inlineStr">
        <is>
          <t>Đá dăm tiêu chuẩn 1x2</t>
        </is>
      </c>
      <c r="C37" s="13" t="inlineStr">
        <is>
          <t>TCVN 7570:2006</t>
        </is>
      </c>
      <c r="D37" s="13" t="inlineStr">
        <is>
          <t>Thành phần hạt, độ nén dập, thoi dẹt</t>
        </is>
      </c>
      <c r="E37" s="13" t="inlineStr">
        <is>
          <t>Toàn bộ bê tông</t>
        </is>
      </c>
      <c r="F37" s="12" t="inlineStr">
        <is>
          <t>m3</t>
        </is>
      </c>
      <c r="G37" s="15">
        <f>M18</f>
        <v/>
      </c>
      <c r="H37" s="17" t="n">
        <v>200</v>
      </c>
      <c r="I37" s="14">
        <f>ROUNDUP(G37/H37, 0)</f>
        <v/>
      </c>
      <c r="J37" s="13" t="inlineStr">
        <is>
          <t>1 tổ mẫu/mỏ</t>
        </is>
      </c>
      <c r="K37" s="12" t="inlineStr">
        <is>
          <t>LAS-XD</t>
        </is>
      </c>
      <c r="L37" s="13" t="inlineStr">
        <is>
          <t>Độ thoi dẹt &lt; 15%</t>
        </is>
      </c>
    </row>
    <row r="38">
      <c r="A38" s="5" t="n">
        <v>15</v>
      </c>
      <c r="B38" s="6" t="inlineStr">
        <is>
          <t>Nước sạch trộn bê tông</t>
        </is>
      </c>
      <c r="C38" s="6" t="inlineStr">
        <is>
          <t>TCVN 4506:2012</t>
        </is>
      </c>
      <c r="D38" s="6" t="inlineStr">
        <is>
          <t>Độ pH, tạp chất hữu cơ, muối</t>
        </is>
      </c>
      <c r="E38" s="6" t="inlineStr">
        <is>
          <t>Toàn bộ bê tông</t>
        </is>
      </c>
      <c r="F38" s="5" t="inlineStr">
        <is>
          <t>m3</t>
        </is>
      </c>
      <c r="G38" s="8">
        <f>N18</f>
        <v/>
      </c>
      <c r="H38" s="10" t="n">
        <v>500</v>
      </c>
      <c r="I38" s="7">
        <f>ROUNDUP(G38/H38, 0)</f>
        <v/>
      </c>
      <c r="J38" s="6" t="inlineStr">
        <is>
          <t>1 mẫu/nguồn</t>
        </is>
      </c>
      <c r="K38" s="5" t="inlineStr">
        <is>
          <t>LAS-XD</t>
        </is>
      </c>
      <c r="L38" s="6" t="inlineStr">
        <is>
          <t>pH = 6 - 8</t>
        </is>
      </c>
    </row>
    <row r="39">
      <c r="A39" s="12" t="n">
        <v>16</v>
      </c>
      <c r="B39" s="13" t="inlineStr">
        <is>
          <t>Phụ gia hóa học bê tông</t>
        </is>
      </c>
      <c r="C39" s="13" t="inlineStr">
        <is>
          <t>TCVN 8826:2011</t>
        </is>
      </c>
      <c r="D39" s="13" t="inlineStr">
        <is>
          <t>Độ giảm nước, ăn mòn cốt thép</t>
        </is>
      </c>
      <c r="E39" s="13" t="inlineStr">
        <is>
          <t>Toàn bộ bê tông</t>
        </is>
      </c>
      <c r="F39" s="12" t="inlineStr">
        <is>
          <t>Lít</t>
        </is>
      </c>
      <c r="G39" s="15">
        <f>O18</f>
        <v/>
      </c>
      <c r="H39" s="17" t="n">
        <v>2000</v>
      </c>
      <c r="I39" s="14">
        <f>ROUNDUP(G39/H39, 0)</f>
        <v/>
      </c>
      <c r="J39" s="13" t="inlineStr">
        <is>
          <t>1 mẫu/lô</t>
        </is>
      </c>
      <c r="K39" s="12" t="inlineStr">
        <is>
          <t>LAS-XD</t>
        </is>
      </c>
      <c r="L39" s="13" t="inlineStr">
        <is>
          <t>Tương thích xi măng</t>
        </is>
      </c>
    </row>
    <row r="40">
      <c r="A40" s="5" t="n">
        <v>17</v>
      </c>
      <c r="B40" s="6" t="inlineStr">
        <is>
          <t>Độ sụt bê tông tại hiện trường</t>
        </is>
      </c>
      <c r="C40" s="6" t="inlineStr">
        <is>
          <t>TCVN 3106:2022</t>
        </is>
      </c>
      <c r="D40" s="6" t="inlineStr">
        <is>
          <t>Đo độ sụt từng xe bồn</t>
        </is>
      </c>
      <c r="E40" s="6" t="inlineStr">
        <is>
          <t>Tất cả các mẻ đổ</t>
        </is>
      </c>
      <c r="F40" s="5" t="inlineStr">
        <is>
          <t>Xe</t>
        </is>
      </c>
      <c r="G40" s="8">
        <f>ROUNDUP(J18/8,0)</f>
        <v/>
      </c>
      <c r="H40" s="10" t="n">
        <v>1</v>
      </c>
      <c r="I40" s="7">
        <f>ROUNDUP(G40/H40, 0)</f>
        <v/>
      </c>
      <c r="J40" s="6" t="inlineStr">
        <is>
          <t>1 lần/xe bồn</t>
        </is>
      </c>
      <c r="K40" s="5" t="inlineStr">
        <is>
          <t>Hiện trường</t>
        </is>
      </c>
      <c r="L40" s="6" t="inlineStr">
        <is>
          <t>Đạt khoảng độ sụt thiết kế</t>
        </is>
      </c>
    </row>
    <row r="41">
      <c r="A41" s="12" t="n">
        <v>18</v>
      </c>
      <c r="B41" s="13" t="inlineStr">
        <is>
          <t>Bê tông lót móng mố C10</t>
        </is>
      </c>
      <c r="C41" s="13" t="inlineStr">
        <is>
          <t>TCVN 3105:2022</t>
        </is>
      </c>
      <c r="D41" s="13" t="inlineStr">
        <is>
          <t>Cường độ nén R28</t>
        </is>
      </c>
      <c r="E41" s="13" t="inlineStr">
        <is>
          <t>Lớp lót móng M1, M2</t>
        </is>
      </c>
      <c r="F41" s="12" t="inlineStr">
        <is>
          <t>m3</t>
        </is>
      </c>
      <c r="G41" s="15">
        <f>J9</f>
        <v/>
      </c>
      <c r="H41" s="17" t="n">
        <v>50</v>
      </c>
      <c r="I41" s="14">
        <f>ROUNDUP(G41/H41, 0)</f>
        <v/>
      </c>
      <c r="J41" s="13" t="inlineStr">
        <is>
          <t>1 tổ 3 viên (15x15x15)</t>
        </is>
      </c>
      <c r="K41" s="12" t="inlineStr">
        <is>
          <t>LAS-XD</t>
        </is>
      </c>
      <c r="L41" s="13" t="inlineStr">
        <is>
          <t>Đạt cường độ R28 &gt;= 10 MPa</t>
        </is>
      </c>
    </row>
    <row r="42">
      <c r="A42" s="5" t="n">
        <v>19</v>
      </c>
      <c r="B42" s="6" t="inlineStr">
        <is>
          <t>Bê tông móng mố M1, M2 C30</t>
        </is>
      </c>
      <c r="C42" s="6" t="inlineStr">
        <is>
          <t>TCVN 3105:2022</t>
        </is>
      </c>
      <c r="D42" s="6" t="inlineStr">
        <is>
          <t>Cường độ nén R7, R28</t>
        </is>
      </c>
      <c r="E42" s="6" t="inlineStr">
        <is>
          <t>Khối móng mố M1, M2</t>
        </is>
      </c>
      <c r="F42" s="5" t="inlineStr">
        <is>
          <t>m3</t>
        </is>
      </c>
      <c r="G42" s="8">
        <f>J11</f>
        <v/>
      </c>
      <c r="H42" s="10" t="n">
        <v>50</v>
      </c>
      <c r="I42" s="7">
        <f>ROUNDUP(G42/H42, 0)</f>
        <v/>
      </c>
      <c r="J42" s="6" t="inlineStr">
        <is>
          <t>3 tổ (R7, R28, lưu)</t>
        </is>
      </c>
      <c r="K42" s="5" t="inlineStr">
        <is>
          <t>LAS-XD</t>
        </is>
      </c>
      <c r="L42" s="6" t="inlineStr">
        <is>
          <t>R28 &gt;= 30 MPa</t>
        </is>
      </c>
    </row>
    <row r="43">
      <c r="A43" s="12" t="n">
        <v>20</v>
      </c>
      <c r="B43" s="13" t="inlineStr">
        <is>
          <t>Bê tông thân mố, tường cánh C30</t>
        </is>
      </c>
      <c r="C43" s="13" t="inlineStr">
        <is>
          <t>TCVN 3105:2022</t>
        </is>
      </c>
      <c r="D43" s="13" t="inlineStr">
        <is>
          <t>Cường độ nén R7, R28</t>
        </is>
      </c>
      <c r="E43" s="13" t="inlineStr">
        <is>
          <t>Thân mố M1, M2</t>
        </is>
      </c>
      <c r="F43" s="12" t="inlineStr">
        <is>
          <t>m3</t>
        </is>
      </c>
      <c r="G43" s="15">
        <f>J12</f>
        <v/>
      </c>
      <c r="H43" s="17" t="n">
        <v>50</v>
      </c>
      <c r="I43" s="14">
        <f>ROUNDUP(G43/H43, 0)</f>
        <v/>
      </c>
      <c r="J43" s="13" t="inlineStr">
        <is>
          <t>3 tổ (R7, R28, lưu)</t>
        </is>
      </c>
      <c r="K43" s="12" t="inlineStr">
        <is>
          <t>LAS-XD</t>
        </is>
      </c>
      <c r="L43" s="13" t="inlineStr">
        <is>
          <t>R28 &gt;= 30 MPa</t>
        </is>
      </c>
    </row>
    <row r="44">
      <c r="A44" s="5" t="n">
        <v>21</v>
      </c>
      <c r="B44" s="6" t="inlineStr">
        <is>
          <t>Bê tông dầm ngang C30</t>
        </is>
      </c>
      <c r="C44" s="6" t="inlineStr">
        <is>
          <t>TCVN 3105:2022</t>
        </is>
      </c>
      <c r="D44" s="6" t="inlineStr">
        <is>
          <t>Cường độ nén R7, R28</t>
        </is>
      </c>
      <c r="E44" s="6" t="inlineStr">
        <is>
          <t>Dầm ngang nhịp 15m</t>
        </is>
      </c>
      <c r="F44" s="5" t="inlineStr">
        <is>
          <t>m3</t>
        </is>
      </c>
      <c r="G44" s="8">
        <f>J13</f>
        <v/>
      </c>
      <c r="H44" s="10" t="n">
        <v>20</v>
      </c>
      <c r="I44" s="7">
        <f>ROUNDUP(G44/H44, 0)</f>
        <v/>
      </c>
      <c r="J44" s="6" t="inlineStr">
        <is>
          <t>2 tổ mẫu</t>
        </is>
      </c>
      <c r="K44" s="5" t="inlineStr">
        <is>
          <t>LAS-XD</t>
        </is>
      </c>
      <c r="L44" s="6" t="inlineStr">
        <is>
          <t>R28 &gt;= 30 MPa</t>
        </is>
      </c>
    </row>
    <row r="45">
      <c r="A45" s="12" t="n">
        <v>22</v>
      </c>
      <c r="B45" s="13" t="inlineStr">
        <is>
          <t>Bê tông dầm chủ T15m C40</t>
        </is>
      </c>
      <c r="C45" s="13" t="inlineStr">
        <is>
          <t>TCVN 3105:2022</t>
        </is>
      </c>
      <c r="D45" s="13" t="inlineStr">
        <is>
          <t>Cường độ nén R3, R7, R28</t>
        </is>
      </c>
      <c r="E45" s="13" t="inlineStr">
        <is>
          <t>4 phiến dầm T15m</t>
        </is>
      </c>
      <c r="F45" s="12" t="inlineStr">
        <is>
          <t>m3</t>
        </is>
      </c>
      <c r="G45" s="15">
        <f>J15</f>
        <v/>
      </c>
      <c r="H45" s="17" t="n">
        <v>10</v>
      </c>
      <c r="I45" s="14">
        <f>ROUNDUP(G45/H45, 0)</f>
        <v/>
      </c>
      <c r="J45" s="13" t="inlineStr">
        <is>
          <t>4 tổ / phiến dầm</t>
        </is>
      </c>
      <c r="K45" s="12" t="inlineStr">
        <is>
          <t>LAS-XD</t>
        </is>
      </c>
      <c r="L45" s="13" t="inlineStr">
        <is>
          <t>Đạt 100% f'c trước khi cẩu</t>
        </is>
      </c>
    </row>
    <row r="46">
      <c r="A46" s="5" t="n">
        <v>23</v>
      </c>
      <c r="B46" s="6" t="inlineStr">
        <is>
          <t>Bê tông lớp phủ mặt cầu C35</t>
        </is>
      </c>
      <c r="C46" s="6" t="inlineStr">
        <is>
          <t>TCVN 3105:2022</t>
        </is>
      </c>
      <c r="D46" s="6" t="inlineStr">
        <is>
          <t>Cường độ nén R7, R28</t>
        </is>
      </c>
      <c r="E46" s="6" t="inlineStr">
        <is>
          <t>Bản mặt cầu</t>
        </is>
      </c>
      <c r="F46" s="5" t="inlineStr">
        <is>
          <t>m3</t>
        </is>
      </c>
      <c r="G46" s="8">
        <f>J14</f>
        <v/>
      </c>
      <c r="H46" s="10" t="n">
        <v>50</v>
      </c>
      <c r="I46" s="7">
        <f>ROUNDUP(G46/H46, 0)</f>
        <v/>
      </c>
      <c r="J46" s="6" t="inlineStr">
        <is>
          <t>3 tổ mẫu</t>
        </is>
      </c>
      <c r="K46" s="5" t="inlineStr">
        <is>
          <t>LAS-XD</t>
        </is>
      </c>
      <c r="L46" s="6" t="inlineStr">
        <is>
          <t>R28 &gt;= 35 MPa</t>
        </is>
      </c>
    </row>
    <row r="47">
      <c r="A47" s="12" t="n">
        <v>24</v>
      </c>
      <c r="B47" s="13" t="inlineStr">
        <is>
          <t>Bê tông bản quá độ C25</t>
        </is>
      </c>
      <c r="C47" s="13" t="inlineStr">
        <is>
          <t>TCVN 3105:2022</t>
        </is>
      </c>
      <c r="D47" s="13" t="inlineStr">
        <is>
          <t>Cường độ nén R7, R28</t>
        </is>
      </c>
      <c r="E47" s="13" t="inlineStr">
        <is>
          <t>Bản quá độ M1, M2</t>
        </is>
      </c>
      <c r="F47" s="12" t="inlineStr">
        <is>
          <t>m3</t>
        </is>
      </c>
      <c r="G47" s="15">
        <f>J10</f>
        <v/>
      </c>
      <c r="H47" s="17" t="n">
        <v>50</v>
      </c>
      <c r="I47" s="14">
        <f>ROUNDUP(G47/H47, 0)</f>
        <v/>
      </c>
      <c r="J47" s="13" t="inlineStr">
        <is>
          <t>2 tổ mẫu</t>
        </is>
      </c>
      <c r="K47" s="12" t="inlineStr">
        <is>
          <t>LAS-XD</t>
        </is>
      </c>
      <c r="L47" s="13" t="inlineStr">
        <is>
          <t>R28 &gt;= 25 MPa</t>
        </is>
      </c>
    </row>
    <row r="48">
      <c r="A48" s="5" t="n">
        <v>25</v>
      </c>
      <c r="B48" s="6" t="inlineStr">
        <is>
          <t>Bê tông gờ lan can C25</t>
        </is>
      </c>
      <c r="C48" s="6" t="inlineStr">
        <is>
          <t>TCVN 3105:2022</t>
        </is>
      </c>
      <c r="D48" s="6" t="inlineStr">
        <is>
          <t>Cường độ nén R28</t>
        </is>
      </c>
      <c r="E48" s="6" t="inlineStr">
        <is>
          <t>Gờ lan can dọc cầu</t>
        </is>
      </c>
      <c r="F48" s="5" t="inlineStr">
        <is>
          <t>m3</t>
        </is>
      </c>
      <c r="G48" s="8">
        <f>J10</f>
        <v/>
      </c>
      <c r="H48" s="10" t="n">
        <v>50</v>
      </c>
      <c r="I48" s="7">
        <f>ROUNDUP(G48/H48, 0)</f>
        <v/>
      </c>
      <c r="J48" s="6" t="inlineStr">
        <is>
          <t>2 tổ mẫu</t>
        </is>
      </c>
      <c r="K48" s="5" t="inlineStr">
        <is>
          <t>LAS-XD</t>
        </is>
      </c>
      <c r="L48" s="6" t="inlineStr">
        <is>
          <t>R28 &gt;= 25 MPa</t>
        </is>
      </c>
    </row>
    <row r="49">
      <c r="A49" s="12" t="n">
        <v>26</v>
      </c>
      <c r="B49" s="13" t="inlineStr">
        <is>
          <t>Vữa chèn khe co giãn C50</t>
        </is>
      </c>
      <c r="C49" s="13" t="inlineStr">
        <is>
          <t>TCVN 9204:2012</t>
        </is>
      </c>
      <c r="D49" s="13" t="inlineStr">
        <is>
          <t>Cường độ nén R3, R28, co ngót</t>
        </is>
      </c>
      <c r="E49" s="13" t="inlineStr">
        <is>
          <t>Mối nối khe co giãn</t>
        </is>
      </c>
      <c r="F49" s="12" t="inlineStr">
        <is>
          <t>m3</t>
        </is>
      </c>
      <c r="G49" s="15">
        <f>J17</f>
        <v/>
      </c>
      <c r="H49" s="17" t="n">
        <v>5</v>
      </c>
      <c r="I49" s="14">
        <f>ROUNDUP(G49/H49, 0)</f>
        <v/>
      </c>
      <c r="J49" s="13" t="inlineStr">
        <is>
          <t>3 tổ viên (7x7x7)</t>
        </is>
      </c>
      <c r="K49" s="12" t="inlineStr">
        <is>
          <t>LAS-XD</t>
        </is>
      </c>
      <c r="L49" s="13" t="inlineStr">
        <is>
          <t>Không co ngót, R28 &gt;= 50 MPa</t>
        </is>
      </c>
    </row>
    <row r="50">
      <c r="A50" s="5" t="n">
        <v>27</v>
      </c>
      <c r="B50" s="6" t="inlineStr">
        <is>
          <t>Thí nghiệm kéo nhổ cốt thép neo cấy đá</t>
        </is>
      </c>
      <c r="C50" s="6" t="inlineStr">
        <is>
          <t>TCVN 9373:2012</t>
        </is>
      </c>
      <c r="D50" s="6" t="inlineStr">
        <is>
          <t>Lực dính bám thanh neo D32</t>
        </is>
      </c>
      <c r="E50" s="6" t="inlineStr">
        <is>
          <t>Thanh neo móng mố M1, M2</t>
        </is>
      </c>
      <c r="F50" s="5" t="inlineStr">
        <is>
          <t>Điểm</t>
        </is>
      </c>
      <c r="G50" s="8" t="n">
        <v>6</v>
      </c>
      <c r="H50" s="10" t="n">
        <v>2</v>
      </c>
      <c r="I50" s="7">
        <f>ROUNDUP(G50/H50, 0)</f>
        <v/>
      </c>
      <c r="J50" s="6" t="inlineStr">
        <is>
          <t>3 thanh ngẫu nhiên/mố</t>
        </is>
      </c>
      <c r="K50" s="5" t="inlineStr">
        <is>
          <t>Viện KHCN</t>
        </is>
      </c>
      <c r="L50" s="6" t="inlineStr">
        <is>
          <t>Lực kéo &gt;= 1.25 fy</t>
        </is>
      </c>
    </row>
    <row r="51">
      <c r="A51" s="12" t="n">
        <v>28</v>
      </c>
      <c r="B51" s="13" t="inlineStr">
        <is>
          <t>Kiểm tra độ bằng phẳng mặt cầu</t>
        </is>
      </c>
      <c r="C51" s="13" t="inlineStr">
        <is>
          <t>TCVN 8864:2011</t>
        </is>
      </c>
      <c r="D51" s="13" t="inlineStr">
        <is>
          <t>Thước 3m và độ nhám</t>
        </is>
      </c>
      <c r="E51" s="13" t="inlineStr">
        <is>
          <t>Mặt cầu sau thảm BTN</t>
        </is>
      </c>
      <c r="F51" s="12" t="inlineStr">
        <is>
          <t>Điểm</t>
        </is>
      </c>
      <c r="G51" s="15" t="n">
        <v>20</v>
      </c>
      <c r="H51" s="17" t="n">
        <v>5</v>
      </c>
      <c r="I51" s="14">
        <f>ROUNDUP(G51/H51, 0)</f>
        <v/>
      </c>
      <c r="J51" s="13" t="inlineStr">
        <is>
          <t>5 mặt cắt trắc ngang</t>
        </is>
      </c>
      <c r="K51" s="12" t="inlineStr">
        <is>
          <t>TVGS</t>
        </is>
      </c>
      <c r="L51" s="13" t="inlineStr">
        <is>
          <t>Khe hở thước &lt;= 3mm</t>
        </is>
      </c>
    </row>
    <row r="52">
      <c r="A52" s="5" t="n">
        <v>29</v>
      </c>
      <c r="B52" s="6" t="inlineStr">
        <is>
          <t>Thử tải tĩnh và động cầu hoàn thành</t>
        </is>
      </c>
      <c r="C52" s="6" t="inlineStr">
        <is>
          <t>TCVN 11823:2017</t>
        </is>
      </c>
      <c r="D52" s="6" t="inlineStr">
        <is>
          <t>Độ võng, ứng suất, dao động</t>
        </is>
      </c>
      <c r="E52" s="6" t="inlineStr">
        <is>
          <t>Nhịp dầm T15m</t>
        </is>
      </c>
      <c r="F52" s="5" t="inlineStr">
        <is>
          <t>Cầu</t>
        </is>
      </c>
      <c r="G52" s="8" t="n">
        <v>1</v>
      </c>
      <c r="H52" s="10" t="n">
        <v>1</v>
      </c>
      <c r="I52" s="7">
        <f>ROUNDUP(G52/H52, 0)</f>
        <v/>
      </c>
      <c r="J52" s="6" t="inlineStr">
        <is>
          <t>Đoàn xe 3 trục tiêu chuẩn</t>
        </is>
      </c>
      <c r="K52" s="5" t="inlineStr">
        <is>
          <t>Cơ quan thẩm định</t>
        </is>
      </c>
      <c r="L52" s="6" t="inlineStr">
        <is>
          <t>Hệ số động K &lt;= K_tk</t>
        </is>
      </c>
    </row>
    <row r="53">
      <c r="A53" s="19" t="n"/>
      <c r="B53" s="20" t="inlineStr">
        <is>
          <t>TỔNG SỐ LƯỢNG MẪU &amp; PHÉP THỬ KCS TOÀN CÔNG TRÌNH</t>
        </is>
      </c>
      <c r="C53" s="19" t="n"/>
      <c r="D53" s="19" t="n"/>
      <c r="E53" s="19" t="n"/>
      <c r="F53" s="19" t="n"/>
      <c r="G53" s="19" t="n"/>
      <c r="H53" s="19" t="n"/>
      <c r="I53" s="47">
        <f>SUM(I24:I52)</f>
        <v/>
      </c>
      <c r="J53" s="19" t="n"/>
      <c r="K53" s="19" t="n"/>
      <c r="L53" s="1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2" customWidth="1" min="4" max="4"/>
    <col width="12" customWidth="1" min="5" max="5"/>
    <col width="29" customWidth="1" min="6" max="6"/>
    <col width="12" customWidth="1" min="7" max="7"/>
    <col width="19" customWidth="1" min="8" max="8"/>
    <col width="20" customWidth="1" min="9" max="9"/>
    <col width="17" customWidth="1" min="10" max="10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PHÂN TÍCH NHU CẦU VẬT TƯ THEO CÔNG TÁC WBS (ĐỊNH MỨC BỘ XÂY DỰNG TT 12/2021/TT-BXD)</t>
        </is>
      </c>
    </row>
    <row r="4">
      <c r="B4" s="3" t="inlineStr">
        <is>
          <t>Phân tích cấp phối vật liệu thành phần: Xi măng, cát, đá, nước, phụ gia, cốt thép, ván khuôn</t>
        </is>
      </c>
    </row>
    <row r="5" ht="28" customHeight="1">
      <c r="A5" s="4" t="inlineStr">
        <is>
          <t>Mã công tác</t>
        </is>
      </c>
      <c r="B5" s="4" t="inlineStr">
        <is>
          <t>Tên công tác WBS</t>
        </is>
      </c>
      <c r="C5" s="4" t="inlineStr">
        <is>
          <t>Đơn vị tính</t>
        </is>
      </c>
      <c r="D5" s="4" t="inlineStr">
        <is>
          <t>Khối lượng công tác</t>
        </is>
      </c>
      <c r="E5" s="4" t="inlineStr">
        <is>
          <t>Mã vật tư</t>
        </is>
      </c>
      <c r="F5" s="4" t="inlineStr">
        <is>
          <t>Tên vật tư thành phần</t>
        </is>
      </c>
      <c r="G5" s="4" t="inlineStr">
        <is>
          <t>Đơn vị VT</t>
        </is>
      </c>
      <c r="H5" s="4" t="inlineStr">
        <is>
          <t>Định mức hao phí</t>
        </is>
      </c>
      <c r="I5" s="4" t="inlineStr">
        <is>
          <t>Khối lượng vật tư</t>
        </is>
      </c>
      <c r="J5" s="4" t="inlineStr">
        <is>
          <t>Ghi chú</t>
        </is>
      </c>
    </row>
    <row r="6">
      <c r="A6" s="5">
        <f>QS_DIEN_GIAI_CHI_TIET!A20</f>
        <v/>
      </c>
      <c r="B6" s="6">
        <f>QS_DIEN_GIAI_CHI_TIET!C20</f>
        <v/>
      </c>
      <c r="C6" s="5">
        <f>QS_DIEN_GIAI_CHI_TIET!D20</f>
        <v/>
      </c>
      <c r="D6" s="23">
        <f>QS_DIEN_GIAI_CHI_TIET!J20</f>
        <v/>
      </c>
      <c r="E6" s="5" t="inlineStr">
        <is>
          <t>XM.PCB40</t>
        </is>
      </c>
      <c r="F6" s="6" t="inlineStr">
        <is>
          <t>Xi măng PCB40</t>
        </is>
      </c>
      <c r="G6" s="5" t="inlineStr">
        <is>
          <t>kg</t>
        </is>
      </c>
      <c r="H6" s="8" t="n">
        <v>420</v>
      </c>
      <c r="I6" s="8">
        <f>D6*H6</f>
        <v/>
      </c>
      <c r="J6" s="6" t="inlineStr">
        <is>
          <t>Định mức TT 12</t>
        </is>
      </c>
    </row>
    <row r="7">
      <c r="A7" s="12">
        <f>QS_DIEN_GIAI_CHI_TIET!A20</f>
        <v/>
      </c>
      <c r="B7" s="13">
        <f>QS_DIEN_GIAI_CHI_TIET!C20</f>
        <v/>
      </c>
      <c r="C7" s="12">
        <f>QS_DIEN_GIAI_CHI_TIET!D20</f>
        <v/>
      </c>
      <c r="D7" s="24">
        <f>QS_DIEN_GIAI_CHI_TIET!J20</f>
        <v/>
      </c>
      <c r="E7" s="12" t="inlineStr">
        <is>
          <t>CAT.VANG</t>
        </is>
      </c>
      <c r="F7" s="13" t="inlineStr">
        <is>
          <t>Cát vàng đổ bê tông</t>
        </is>
      </c>
      <c r="G7" s="12" t="inlineStr">
        <is>
          <t>m3</t>
        </is>
      </c>
      <c r="H7" s="15" t="n">
        <v>0.45</v>
      </c>
      <c r="I7" s="15">
        <f>D7*H7</f>
        <v/>
      </c>
      <c r="J7" s="13" t="inlineStr">
        <is>
          <t>Định mức TT 12</t>
        </is>
      </c>
    </row>
    <row r="8">
      <c r="A8" s="5">
        <f>QS_DIEN_GIAI_CHI_TIET!A20</f>
        <v/>
      </c>
      <c r="B8" s="6">
        <f>QS_DIEN_GIAI_CHI_TIET!C20</f>
        <v/>
      </c>
      <c r="C8" s="5">
        <f>QS_DIEN_GIAI_CHI_TIET!D20</f>
        <v/>
      </c>
      <c r="D8" s="23">
        <f>QS_DIEN_GIAI_CHI_TIET!J20</f>
        <v/>
      </c>
      <c r="E8" s="5" t="inlineStr">
        <is>
          <t>DA.1X2</t>
        </is>
      </c>
      <c r="F8" s="6" t="inlineStr">
        <is>
          <t>Đá dăm tiêu chuẩn 1x2</t>
        </is>
      </c>
      <c r="G8" s="5" t="inlineStr">
        <is>
          <t>m3</t>
        </is>
      </c>
      <c r="H8" s="8" t="n">
        <v>0.85</v>
      </c>
      <c r="I8" s="8">
        <f>D8*H8</f>
        <v/>
      </c>
      <c r="J8" s="6" t="inlineStr">
        <is>
          <t>Định mức TT 12</t>
        </is>
      </c>
    </row>
    <row r="9">
      <c r="A9" s="12">
        <f>QS_DIEN_GIAI_CHI_TIET!A20</f>
        <v/>
      </c>
      <c r="B9" s="13">
        <f>QS_DIEN_GIAI_CHI_TIET!C20</f>
        <v/>
      </c>
      <c r="C9" s="12">
        <f>QS_DIEN_GIAI_CHI_TIET!D20</f>
        <v/>
      </c>
      <c r="D9" s="24">
        <f>QS_DIEN_GIAI_CHI_TIET!J20</f>
        <v/>
      </c>
      <c r="E9" s="12" t="inlineStr">
        <is>
          <t>NUOC</t>
        </is>
      </c>
      <c r="F9" s="13" t="inlineStr">
        <is>
          <t>Nước sạch trộn bê tông</t>
        </is>
      </c>
      <c r="G9" s="12" t="inlineStr">
        <is>
          <t>lít</t>
        </is>
      </c>
      <c r="H9" s="15" t="n">
        <v>175</v>
      </c>
      <c r="I9" s="15">
        <f>D9*H9</f>
        <v/>
      </c>
      <c r="J9" s="13" t="inlineStr">
        <is>
          <t>Định mức TT 12</t>
        </is>
      </c>
    </row>
    <row r="10">
      <c r="A10" s="5">
        <f>QS_DIEN_GIAI_CHI_TIET!A20</f>
        <v/>
      </c>
      <c r="B10" s="6">
        <f>QS_DIEN_GIAI_CHI_TIET!C20</f>
        <v/>
      </c>
      <c r="C10" s="5">
        <f>QS_DIEN_GIAI_CHI_TIET!D20</f>
        <v/>
      </c>
      <c r="D10" s="23">
        <f>QS_DIEN_GIAI_CHI_TIET!J20</f>
        <v/>
      </c>
      <c r="E10" s="5" t="inlineStr">
        <is>
          <t>PHU.GIA</t>
        </is>
      </c>
      <c r="F10" s="6" t="inlineStr">
        <is>
          <t>Phụ gia siêu dẻo giảm nước</t>
        </is>
      </c>
      <c r="G10" s="5" t="inlineStr">
        <is>
          <t>lít</t>
        </is>
      </c>
      <c r="H10" s="8" t="n">
        <v>4.2</v>
      </c>
      <c r="I10" s="8">
        <f>D10*H10</f>
        <v/>
      </c>
      <c r="J10" s="6" t="inlineStr">
        <is>
          <t>Định mức TT 12</t>
        </is>
      </c>
    </row>
    <row r="11">
      <c r="A11" s="12">
        <f>QS_DIEN_GIAI_CHI_TIET!A24</f>
        <v/>
      </c>
      <c r="B11" s="13">
        <f>QS_DIEN_GIAI_CHI_TIET!C24</f>
        <v/>
      </c>
      <c r="C11" s="12">
        <f>QS_DIEN_GIAI_CHI_TIET!D24</f>
        <v/>
      </c>
      <c r="D11" s="24">
        <f>QS_DIEN_GIAI_CHI_TIET!J24</f>
        <v/>
      </c>
      <c r="E11" s="12" t="inlineStr">
        <is>
          <t>THEP.D32</t>
        </is>
      </c>
      <c r="F11" s="13" t="inlineStr">
        <is>
          <t>Thép tròn CB400-V D32</t>
        </is>
      </c>
      <c r="G11" s="12" t="inlineStr">
        <is>
          <t>kg</t>
        </is>
      </c>
      <c r="H11" s="15" t="n">
        <v>1020</v>
      </c>
      <c r="I11" s="15">
        <f>D11*H11</f>
        <v/>
      </c>
      <c r="J11" s="13" t="inlineStr">
        <is>
          <t>Định mức TT 12</t>
        </is>
      </c>
    </row>
    <row r="12">
      <c r="A12" s="5">
        <f>QS_DIEN_GIAI_CHI_TIET!A28</f>
        <v/>
      </c>
      <c r="B12" s="6">
        <f>QS_DIEN_GIAI_CHI_TIET!C28</f>
        <v/>
      </c>
      <c r="C12" s="5">
        <f>QS_DIEN_GIAI_CHI_TIET!D28</f>
        <v/>
      </c>
      <c r="D12" s="23">
        <f>QS_DIEN_GIAI_CHI_TIET!J28</f>
        <v/>
      </c>
      <c r="E12" s="5" t="inlineStr">
        <is>
          <t>XM.PCB40</t>
        </is>
      </c>
      <c r="F12" s="6" t="inlineStr">
        <is>
          <t>Xi măng PCB40</t>
        </is>
      </c>
      <c r="G12" s="5" t="inlineStr">
        <is>
          <t>kg</t>
        </is>
      </c>
      <c r="H12" s="8" t="n">
        <v>380</v>
      </c>
      <c r="I12" s="8">
        <f>D12*H12</f>
        <v/>
      </c>
      <c r="J12" s="6" t="inlineStr">
        <is>
          <t>Định mức TT 12</t>
        </is>
      </c>
    </row>
    <row r="13">
      <c r="A13" s="12">
        <f>QS_DIEN_GIAI_CHI_TIET!A28</f>
        <v/>
      </c>
      <c r="B13" s="13">
        <f>QS_DIEN_GIAI_CHI_TIET!C28</f>
        <v/>
      </c>
      <c r="C13" s="12">
        <f>QS_DIEN_GIAI_CHI_TIET!D28</f>
        <v/>
      </c>
      <c r="D13" s="24">
        <f>QS_DIEN_GIAI_CHI_TIET!J28</f>
        <v/>
      </c>
      <c r="E13" s="12" t="inlineStr">
        <is>
          <t>CAT.VANG</t>
        </is>
      </c>
      <c r="F13" s="13" t="inlineStr">
        <is>
          <t>Cát vàng đổ bê tông</t>
        </is>
      </c>
      <c r="G13" s="12" t="inlineStr">
        <is>
          <t>m3</t>
        </is>
      </c>
      <c r="H13" s="15" t="n">
        <v>0.48</v>
      </c>
      <c r="I13" s="15">
        <f>D13*H13</f>
        <v/>
      </c>
      <c r="J13" s="13" t="inlineStr">
        <is>
          <t>Định mức TT 12</t>
        </is>
      </c>
    </row>
    <row r="14">
      <c r="A14" s="5">
        <f>QS_DIEN_GIAI_CHI_TIET!A28</f>
        <v/>
      </c>
      <c r="B14" s="6">
        <f>QS_DIEN_GIAI_CHI_TIET!C28</f>
        <v/>
      </c>
      <c r="C14" s="5">
        <f>QS_DIEN_GIAI_CHI_TIET!D28</f>
        <v/>
      </c>
      <c r="D14" s="23">
        <f>QS_DIEN_GIAI_CHI_TIET!J28</f>
        <v/>
      </c>
      <c r="E14" s="5" t="inlineStr">
        <is>
          <t>DA.1X2</t>
        </is>
      </c>
      <c r="F14" s="6" t="inlineStr">
        <is>
          <t>Đá dăm tiêu chuẩn 1x2</t>
        </is>
      </c>
      <c r="G14" s="5" t="inlineStr">
        <is>
          <t>m3</t>
        </is>
      </c>
      <c r="H14" s="8" t="n">
        <v>0.88</v>
      </c>
      <c r="I14" s="8">
        <f>D14*H14</f>
        <v/>
      </c>
      <c r="J14" s="6" t="inlineStr">
        <is>
          <t>Định mức TT 12</t>
        </is>
      </c>
    </row>
    <row r="15">
      <c r="A15" s="12">
        <f>QS_DIEN_GIAI_CHI_TIET!A30</f>
        <v/>
      </c>
      <c r="B15" s="13">
        <f>QS_DIEN_GIAI_CHI_TIET!C30</f>
        <v/>
      </c>
      <c r="C15" s="12">
        <f>QS_DIEN_GIAI_CHI_TIET!D30</f>
        <v/>
      </c>
      <c r="D15" s="24">
        <f>QS_DIEN_GIAI_CHI_TIET!J30</f>
        <v/>
      </c>
      <c r="E15" s="12" t="inlineStr">
        <is>
          <t>XM.PCB40</t>
        </is>
      </c>
      <c r="F15" s="13" t="inlineStr">
        <is>
          <t>Xi măng PCB40</t>
        </is>
      </c>
      <c r="G15" s="12" t="inlineStr">
        <is>
          <t>kg</t>
        </is>
      </c>
      <c r="H15" s="15" t="n">
        <v>395</v>
      </c>
      <c r="I15" s="15">
        <f>D15*H15</f>
        <v/>
      </c>
      <c r="J15" s="13" t="inlineStr">
        <is>
          <t>Định mức TT 12</t>
        </is>
      </c>
    </row>
    <row r="16">
      <c r="A16" s="5">
        <f>QS_DIEN_GIAI_CHI_TIET!A30</f>
        <v/>
      </c>
      <c r="B16" s="6">
        <f>QS_DIEN_GIAI_CHI_TIET!C30</f>
        <v/>
      </c>
      <c r="C16" s="5">
        <f>QS_DIEN_GIAI_CHI_TIET!D30</f>
        <v/>
      </c>
      <c r="D16" s="23">
        <f>QS_DIEN_GIAI_CHI_TIET!J30</f>
        <v/>
      </c>
      <c r="E16" s="5" t="inlineStr">
        <is>
          <t>CAT.VANG</t>
        </is>
      </c>
      <c r="F16" s="6" t="inlineStr">
        <is>
          <t>Cát vàng đổ bê tông</t>
        </is>
      </c>
      <c r="G16" s="5" t="inlineStr">
        <is>
          <t>m3</t>
        </is>
      </c>
      <c r="H16" s="8" t="n">
        <v>0.46</v>
      </c>
      <c r="I16" s="8">
        <f>D16*H16</f>
        <v/>
      </c>
      <c r="J16" s="6" t="inlineStr">
        <is>
          <t>Định mức TT 12</t>
        </is>
      </c>
    </row>
    <row r="17">
      <c r="A17" s="12">
        <f>QS_DIEN_GIAI_CHI_TIET!A30</f>
        <v/>
      </c>
      <c r="B17" s="13">
        <f>QS_DIEN_GIAI_CHI_TIET!C30</f>
        <v/>
      </c>
      <c r="C17" s="12">
        <f>QS_DIEN_GIAI_CHI_TIET!D30</f>
        <v/>
      </c>
      <c r="D17" s="24">
        <f>QS_DIEN_GIAI_CHI_TIET!J30</f>
        <v/>
      </c>
      <c r="E17" s="12" t="inlineStr">
        <is>
          <t>DA.1X2</t>
        </is>
      </c>
      <c r="F17" s="13" t="inlineStr">
        <is>
          <t>Đá dăm tiêu chuẩn 1x2</t>
        </is>
      </c>
      <c r="G17" s="12" t="inlineStr">
        <is>
          <t>m3</t>
        </is>
      </c>
      <c r="H17" s="15" t="n">
        <v>0.86</v>
      </c>
      <c r="I17" s="15">
        <f>D17*H17</f>
        <v/>
      </c>
      <c r="J17" s="13" t="inlineStr">
        <is>
          <t>Định mức TT 12</t>
        </is>
      </c>
    </row>
    <row r="18">
      <c r="A18" s="5">
        <f>QS_DIEN_GIAI_CHI_TIET!A39</f>
        <v/>
      </c>
      <c r="B18" s="6">
        <f>QS_DIEN_GIAI_CHI_TIET!C39</f>
        <v/>
      </c>
      <c r="C18" s="5">
        <f>QS_DIEN_GIAI_CHI_TIET!D39</f>
        <v/>
      </c>
      <c r="D18" s="23">
        <f>QS_DIEN_GIAI_CHI_TIET!J39</f>
        <v/>
      </c>
      <c r="E18" s="5" t="inlineStr">
        <is>
          <t>XM.PCB40</t>
        </is>
      </c>
      <c r="F18" s="6" t="inlineStr">
        <is>
          <t>Xi măng PCB40</t>
        </is>
      </c>
      <c r="G18" s="5" t="inlineStr">
        <is>
          <t>kg</t>
        </is>
      </c>
      <c r="H18" s="8" t="n">
        <v>450</v>
      </c>
      <c r="I18" s="8">
        <f>D18*H18</f>
        <v/>
      </c>
      <c r="J18" s="6" t="inlineStr">
        <is>
          <t>Định mức TT 12</t>
        </is>
      </c>
    </row>
    <row r="19">
      <c r="A19" s="12">
        <f>QS_DIEN_GIAI_CHI_TIET!A39</f>
        <v/>
      </c>
      <c r="B19" s="13">
        <f>QS_DIEN_GIAI_CHI_TIET!C39</f>
        <v/>
      </c>
      <c r="C19" s="12">
        <f>QS_DIEN_GIAI_CHI_TIET!D39</f>
        <v/>
      </c>
      <c r="D19" s="24">
        <f>QS_DIEN_GIAI_CHI_TIET!J39</f>
        <v/>
      </c>
      <c r="E19" s="12" t="inlineStr">
        <is>
          <t>CAT.VANG</t>
        </is>
      </c>
      <c r="F19" s="13" t="inlineStr">
        <is>
          <t>Cát vàng đổ bê tông</t>
        </is>
      </c>
      <c r="G19" s="12" t="inlineStr">
        <is>
          <t>m3</t>
        </is>
      </c>
      <c r="H19" s="15" t="n">
        <v>0.44</v>
      </c>
      <c r="I19" s="15">
        <f>D19*H19</f>
        <v/>
      </c>
      <c r="J19" s="13" t="inlineStr">
        <is>
          <t>Định mức TT 12</t>
        </is>
      </c>
    </row>
    <row r="20">
      <c r="A20" s="5">
        <f>QS_DIEN_GIAI_CHI_TIET!A39</f>
        <v/>
      </c>
      <c r="B20" s="6">
        <f>QS_DIEN_GIAI_CHI_TIET!C39</f>
        <v/>
      </c>
      <c r="C20" s="5">
        <f>QS_DIEN_GIAI_CHI_TIET!D39</f>
        <v/>
      </c>
      <c r="D20" s="23">
        <f>QS_DIEN_GIAI_CHI_TIET!J39</f>
        <v/>
      </c>
      <c r="E20" s="5" t="inlineStr">
        <is>
          <t>DA.1X2</t>
        </is>
      </c>
      <c r="F20" s="6" t="inlineStr">
        <is>
          <t>Đá dăm tiêu chuẩn 1x2</t>
        </is>
      </c>
      <c r="G20" s="5" t="inlineStr">
        <is>
          <t>m3</t>
        </is>
      </c>
      <c r="H20" s="8" t="n">
        <v>0.84</v>
      </c>
      <c r="I20" s="8">
        <f>D20*H20</f>
        <v/>
      </c>
      <c r="J20" s="6" t="inlineStr">
        <is>
          <t>Định mức TT 12</t>
        </is>
      </c>
    </row>
    <row r="21">
      <c r="A21" s="12">
        <f>QS_DIEN_GIAI_CHI_TIET!A39</f>
        <v/>
      </c>
      <c r="B21" s="13">
        <f>QS_DIEN_GIAI_CHI_TIET!C39</f>
        <v/>
      </c>
      <c r="C21" s="12">
        <f>QS_DIEN_GIAI_CHI_TIET!D39</f>
        <v/>
      </c>
      <c r="D21" s="24">
        <f>QS_DIEN_GIAI_CHI_TIET!J39</f>
        <v/>
      </c>
      <c r="E21" s="12" t="inlineStr">
        <is>
          <t>PHU.GIA</t>
        </is>
      </c>
      <c r="F21" s="13" t="inlineStr">
        <is>
          <t>Phụ gia siêu dẻo Sikament</t>
        </is>
      </c>
      <c r="G21" s="12" t="inlineStr">
        <is>
          <t>lít</t>
        </is>
      </c>
      <c r="H21" s="15" t="n">
        <v>5.5</v>
      </c>
      <c r="I21" s="15">
        <f>D21*H21</f>
        <v/>
      </c>
      <c r="J21" s="13" t="inlineStr">
        <is>
          <t>Định mức TT 12</t>
        </is>
      </c>
    </row>
    <row r="22">
      <c r="A22" s="5">
        <f>QS_DIEN_GIAI_CHI_TIET!A41</f>
        <v/>
      </c>
      <c r="B22" s="6">
        <f>QS_DIEN_GIAI_CHI_TIET!C41</f>
        <v/>
      </c>
      <c r="C22" s="5">
        <f>QS_DIEN_GIAI_CHI_TIET!D41</f>
        <v/>
      </c>
      <c r="D22" s="23">
        <f>QS_DIEN_GIAI_CHI_TIET!J41</f>
        <v/>
      </c>
      <c r="E22" s="5" t="inlineStr">
        <is>
          <t>THEP.D10</t>
        </is>
      </c>
      <c r="F22" s="6" t="inlineStr">
        <is>
          <t>Thép tròn CB240-T D&lt;=10</t>
        </is>
      </c>
      <c r="G22" s="5" t="inlineStr">
        <is>
          <t>kg</t>
        </is>
      </c>
      <c r="H22" s="8" t="n">
        <v>1020</v>
      </c>
      <c r="I22" s="8">
        <f>D22*H22</f>
        <v/>
      </c>
      <c r="J22" s="6" t="inlineStr">
        <is>
          <t>Định mức TT 12</t>
        </is>
      </c>
    </row>
    <row r="23">
      <c r="A23" s="12">
        <f>QS_DIEN_GIAI_CHI_TIET!A43</f>
        <v/>
      </c>
      <c r="B23" s="13">
        <f>QS_DIEN_GIAI_CHI_TIET!C43</f>
        <v/>
      </c>
      <c r="C23" s="12">
        <f>QS_DIEN_GIAI_CHI_TIET!D43</f>
        <v/>
      </c>
      <c r="D23" s="24">
        <f>QS_DIEN_GIAI_CHI_TIET!J43</f>
        <v/>
      </c>
      <c r="E23" s="12" t="inlineStr">
        <is>
          <t>THEP.D14</t>
        </is>
      </c>
      <c r="F23" s="13" t="inlineStr">
        <is>
          <t>Thép tròn CB400-V 10&lt;D&lt;=18</t>
        </is>
      </c>
      <c r="G23" s="12" t="inlineStr">
        <is>
          <t>kg</t>
        </is>
      </c>
      <c r="H23" s="15" t="n">
        <v>1020</v>
      </c>
      <c r="I23" s="15">
        <f>D23*H23</f>
        <v/>
      </c>
      <c r="J23" s="13" t="inlineStr">
        <is>
          <t>Định mức TT 12</t>
        </is>
      </c>
    </row>
    <row r="24">
      <c r="A24" s="5">
        <f>QS_DIEN_GIAI_CHI_TIET!A45</f>
        <v/>
      </c>
      <c r="B24" s="6">
        <f>QS_DIEN_GIAI_CHI_TIET!C45</f>
        <v/>
      </c>
      <c r="C24" s="5">
        <f>QS_DIEN_GIAI_CHI_TIET!D45</f>
        <v/>
      </c>
      <c r="D24" s="23">
        <f>QS_DIEN_GIAI_CHI_TIET!J45</f>
        <v/>
      </c>
      <c r="E24" s="5" t="inlineStr">
        <is>
          <t>THEP.D32</t>
        </is>
      </c>
      <c r="F24" s="6" t="inlineStr">
        <is>
          <t>Thép tròn CB400-V D&gt;18</t>
        </is>
      </c>
      <c r="G24" s="5" t="inlineStr">
        <is>
          <t>kg</t>
        </is>
      </c>
      <c r="H24" s="8" t="n">
        <v>1020</v>
      </c>
      <c r="I24" s="8">
        <f>D24*H24</f>
        <v/>
      </c>
      <c r="J24" s="6" t="inlineStr">
        <is>
          <t>Định mức TT 12</t>
        </is>
      </c>
    </row>
    <row r="25">
      <c r="A25" s="12">
        <f>QS_DIEN_GIAI_CHI_TIET!A53</f>
        <v/>
      </c>
      <c r="B25" s="13">
        <f>QS_DIEN_GIAI_CHI_TIET!C53</f>
        <v/>
      </c>
      <c r="C25" s="12">
        <f>QS_DIEN_GIAI_CHI_TIET!D53</f>
        <v/>
      </c>
      <c r="D25" s="24">
        <f>QS_DIEN_GIAI_CHI_TIET!J53</f>
        <v/>
      </c>
      <c r="E25" s="12" t="inlineStr">
        <is>
          <t>XM.PCB40</t>
        </is>
      </c>
      <c r="F25" s="13" t="inlineStr">
        <is>
          <t>Xi măng PCB40</t>
        </is>
      </c>
      <c r="G25" s="12" t="inlineStr">
        <is>
          <t>kg</t>
        </is>
      </c>
      <c r="H25" s="15" t="n">
        <v>410</v>
      </c>
      <c r="I25" s="15">
        <f>D25*H25</f>
        <v/>
      </c>
      <c r="J25" s="13" t="inlineStr">
        <is>
          <t>Định mức TT 12</t>
        </is>
      </c>
    </row>
    <row r="26">
      <c r="A26" s="5">
        <f>QS_DIEN_GIAI_CHI_TIET!A53</f>
        <v/>
      </c>
      <c r="B26" s="6">
        <f>QS_DIEN_GIAI_CHI_TIET!C53</f>
        <v/>
      </c>
      <c r="C26" s="5">
        <f>QS_DIEN_GIAI_CHI_TIET!D53</f>
        <v/>
      </c>
      <c r="D26" s="23">
        <f>QS_DIEN_GIAI_CHI_TIET!J53</f>
        <v/>
      </c>
      <c r="E26" s="5" t="inlineStr">
        <is>
          <t>CAT.VANG</t>
        </is>
      </c>
      <c r="F26" s="6" t="inlineStr">
        <is>
          <t>Cát vàng đổ bê tông</t>
        </is>
      </c>
      <c r="G26" s="5" t="inlineStr">
        <is>
          <t>m3</t>
        </is>
      </c>
      <c r="H26" s="8" t="n">
        <v>0.45</v>
      </c>
      <c r="I26" s="8">
        <f>D26*H26</f>
        <v/>
      </c>
      <c r="J26" s="6" t="inlineStr">
        <is>
          <t>Định mức TT 12</t>
        </is>
      </c>
    </row>
    <row r="27">
      <c r="A27" s="12">
        <f>QS_DIEN_GIAI_CHI_TIET!A53</f>
        <v/>
      </c>
      <c r="B27" s="13">
        <f>QS_DIEN_GIAI_CHI_TIET!C53</f>
        <v/>
      </c>
      <c r="C27" s="12">
        <f>QS_DIEN_GIAI_CHI_TIET!D53</f>
        <v/>
      </c>
      <c r="D27" s="24">
        <f>QS_DIEN_GIAI_CHI_TIET!J53</f>
        <v/>
      </c>
      <c r="E27" s="12" t="inlineStr">
        <is>
          <t>DA.1X2</t>
        </is>
      </c>
      <c r="F27" s="13" t="inlineStr">
        <is>
          <t>Đá dăm tiêu chuẩn 1x2</t>
        </is>
      </c>
      <c r="G27" s="12" t="inlineStr">
        <is>
          <t>m3</t>
        </is>
      </c>
      <c r="H27" s="15" t="n">
        <v>0.85</v>
      </c>
      <c r="I27" s="15">
        <f>D27*H27</f>
        <v/>
      </c>
      <c r="J27" s="13" t="inlineStr">
        <is>
          <t>Định mức TT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4" customWidth="1" min="4" max="4"/>
    <col width="26" customWidth="1" min="5" max="5"/>
    <col width="24" customWidth="1" min="6" max="6"/>
    <col width="19" customWidth="1" min="7" max="7"/>
    <col width="20" customWidth="1" min="8" max="8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TỔNG HỢP NHU CẦU VẬT TƯ TOÀN BỘ CÔNG TRÌNH (BILL OF MATERIALS - BOM)</t>
        </is>
      </c>
    </row>
    <row r="4">
      <c r="B4" s="3" t="inlineStr">
        <is>
          <t>Tổng hợp tự động bằng hàm SUMIF từ PHAN_TICH_VAT_TU_WBS - Chuẩn hóa phục vụ cung ứng</t>
        </is>
      </c>
    </row>
    <row r="6" ht="28" customHeight="1">
      <c r="A6" s="4" t="inlineStr">
        <is>
          <t>STT</t>
        </is>
      </c>
      <c r="B6" s="4" t="inlineStr">
        <is>
          <t>Mã vật tư</t>
        </is>
      </c>
      <c r="C6" s="4" t="inlineStr">
        <is>
          <t>Tên quy cách vật tư</t>
        </is>
      </c>
      <c r="D6" s="4" t="inlineStr">
        <is>
          <t>Đơn vị tính</t>
        </is>
      </c>
      <c r="E6" s="4" t="inlineStr">
        <is>
          <t>Tổng khối lượng nhu cầu</t>
        </is>
      </c>
      <c r="F6" s="4" t="inlineStr">
        <is>
          <t>Đơn giá dự toán (VNĐ)</t>
        </is>
      </c>
      <c r="G6" s="4" t="inlineStr">
        <is>
          <t>Thành tiền (VNĐ)</t>
        </is>
      </c>
      <c r="H6" s="4" t="inlineStr">
        <is>
          <t>Ghi chú</t>
        </is>
      </c>
    </row>
    <row r="7">
      <c r="A7" s="12" t="n">
        <v>1</v>
      </c>
      <c r="B7" s="12" t="inlineStr">
        <is>
          <t>XM.PCB40</t>
        </is>
      </c>
      <c r="C7" s="13" t="inlineStr">
        <is>
          <t>Xi măng Poóc lăng hỗn hợp PCB40</t>
        </is>
      </c>
      <c r="D7" s="12" t="inlineStr">
        <is>
          <t>kg</t>
        </is>
      </c>
      <c r="E7" s="15">
        <f>SUMIF(PHAN_TICH_VAT_TU_WBS!$E$6:$E$27, "XM.PCB40", PHAN_TICH_VAT_TU_WBS!$I$6:$I$27)</f>
        <v/>
      </c>
      <c r="F7" s="14" t="n">
        <v>1850</v>
      </c>
      <c r="G7" s="14">
        <f>E7*F7</f>
        <v/>
      </c>
      <c r="H7" s="13" t="inlineStr">
        <is>
          <t>Tổng hợp toàn cầu</t>
        </is>
      </c>
    </row>
    <row r="8">
      <c r="A8" s="5" t="n">
        <v>2</v>
      </c>
      <c r="B8" s="5" t="inlineStr">
        <is>
          <t>CAT.VANG</t>
        </is>
      </c>
      <c r="C8" s="6" t="inlineStr">
        <is>
          <t>Cát vàng đổ bê tông mô đun độ lớn ML &gt;= 2.5</t>
        </is>
      </c>
      <c r="D8" s="5" t="inlineStr">
        <is>
          <t>m3</t>
        </is>
      </c>
      <c r="E8" s="8">
        <f>SUMIF(PHAN_TICH_VAT_TU_WBS!$E$6:$E$27, "CAT.VANG", PHAN_TICH_VAT_TU_WBS!$I$6:$I$27)</f>
        <v/>
      </c>
      <c r="F8" s="7" t="n">
        <v>380000</v>
      </c>
      <c r="G8" s="7">
        <f>E8*F8</f>
        <v/>
      </c>
      <c r="H8" s="6" t="inlineStr">
        <is>
          <t>Tổng hợp toàn cầu</t>
        </is>
      </c>
    </row>
    <row r="9">
      <c r="A9" s="12" t="n">
        <v>3</v>
      </c>
      <c r="B9" s="12" t="inlineStr">
        <is>
          <t>DA.1X2</t>
        </is>
      </c>
      <c r="C9" s="13" t="inlineStr">
        <is>
          <t>Đá dăm tiêu chuẩn 1x2 (Dmax = 20mm)</t>
        </is>
      </c>
      <c r="D9" s="12" t="inlineStr">
        <is>
          <t>m3</t>
        </is>
      </c>
      <c r="E9" s="15">
        <f>SUMIF(PHAN_TICH_VAT_TU_WBS!$E$6:$E$27, "DA.1X2", PHAN_TICH_VAT_TU_WBS!$I$6:$I$27)</f>
        <v/>
      </c>
      <c r="F9" s="14" t="n">
        <v>420000</v>
      </c>
      <c r="G9" s="14">
        <f>E9*F9</f>
        <v/>
      </c>
      <c r="H9" s="13" t="inlineStr">
        <is>
          <t>Tổng hợp toàn cầu</t>
        </is>
      </c>
    </row>
    <row r="10">
      <c r="A10" s="5" t="n">
        <v>4</v>
      </c>
      <c r="B10" s="5" t="inlineStr">
        <is>
          <t>NUOC</t>
        </is>
      </c>
      <c r="C10" s="6" t="inlineStr">
        <is>
          <t>Nước sạch phục vụ trộn và bảo dưỡng bê tông</t>
        </is>
      </c>
      <c r="D10" s="5" t="inlineStr">
        <is>
          <t>lít</t>
        </is>
      </c>
      <c r="E10" s="8">
        <f>SUMIF(PHAN_TICH_VAT_TU_WBS!$E$6:$E$27, "NUOC", PHAN_TICH_VAT_TU_WBS!$I$6:$I$27)</f>
        <v/>
      </c>
      <c r="F10" s="7" t="n">
        <v>25</v>
      </c>
      <c r="G10" s="7">
        <f>E10*F10</f>
        <v/>
      </c>
      <c r="H10" s="6" t="inlineStr">
        <is>
          <t>Tổng hợp toàn cầu</t>
        </is>
      </c>
    </row>
    <row r="11">
      <c r="A11" s="12" t="n">
        <v>5</v>
      </c>
      <c r="B11" s="12" t="inlineStr">
        <is>
          <t>PHU.GIA</t>
        </is>
      </c>
      <c r="C11" s="13" t="inlineStr">
        <is>
          <t>Phụ gia siêu dẻo kéo dài thời gian đông kết</t>
        </is>
      </c>
      <c r="D11" s="12" t="inlineStr">
        <is>
          <t>lít</t>
        </is>
      </c>
      <c r="E11" s="15">
        <f>SUMIF(PHAN_TICH_VAT_TU_WBS!$E$6:$E$27, "PHU.GIA", PHAN_TICH_VAT_TU_WBS!$I$6:$I$27)</f>
        <v/>
      </c>
      <c r="F11" s="14" t="n">
        <v>45000</v>
      </c>
      <c r="G11" s="14">
        <f>E11*F11</f>
        <v/>
      </c>
      <c r="H11" s="13" t="inlineStr">
        <is>
          <t>Tổng hợp toàn cầu</t>
        </is>
      </c>
    </row>
    <row r="12">
      <c r="A12" s="5" t="n">
        <v>6</v>
      </c>
      <c r="B12" s="5" t="inlineStr">
        <is>
          <t>THEP.D10</t>
        </is>
      </c>
      <c r="C12" s="6" t="inlineStr">
        <is>
          <t>Thép tròn trơn cán nóng CB240-T (D&lt;=10mm)</t>
        </is>
      </c>
      <c r="D12" s="5" t="inlineStr">
        <is>
          <t>kg</t>
        </is>
      </c>
      <c r="E12" s="8">
        <f>SUMIF(PHAN_TICH_VAT_TU_WBS!$E$6:$E$27, "THEP.D10", PHAN_TICH_VAT_TU_WBS!$I$6:$I$27)</f>
        <v/>
      </c>
      <c r="F12" s="7" t="n">
        <v>18500</v>
      </c>
      <c r="G12" s="7">
        <f>E12*F12</f>
        <v/>
      </c>
      <c r="H12" s="6" t="inlineStr">
        <is>
          <t>Tổng hợp toàn cầu</t>
        </is>
      </c>
    </row>
    <row r="13">
      <c r="A13" s="12" t="n">
        <v>7</v>
      </c>
      <c r="B13" s="12" t="inlineStr">
        <is>
          <t>THEP.D14</t>
        </is>
      </c>
      <c r="C13" s="13" t="inlineStr">
        <is>
          <t>Thép thanh vằn CB400-V (10&lt;D&lt;=18mm)</t>
        </is>
      </c>
      <c r="D13" s="12" t="inlineStr">
        <is>
          <t>kg</t>
        </is>
      </c>
      <c r="E13" s="15">
        <f>SUMIF(PHAN_TICH_VAT_TU_WBS!$E$6:$E$27, "THEP.D14", PHAN_TICH_VAT_TU_WBS!$I$6:$I$27)</f>
        <v/>
      </c>
      <c r="F13" s="14" t="n">
        <v>18200</v>
      </c>
      <c r="G13" s="14">
        <f>E13*F13</f>
        <v/>
      </c>
      <c r="H13" s="13" t="inlineStr">
        <is>
          <t>Tổng hợp toàn cầu</t>
        </is>
      </c>
    </row>
    <row r="14">
      <c r="A14" s="5" t="n">
        <v>8</v>
      </c>
      <c r="B14" s="5" t="inlineStr">
        <is>
          <t>THEP.D32</t>
        </is>
      </c>
      <c r="C14" s="6" t="inlineStr">
        <is>
          <t>Thép thanh vằn CB400-V (D&gt;18mm)</t>
        </is>
      </c>
      <c r="D14" s="5" t="inlineStr">
        <is>
          <t>kg</t>
        </is>
      </c>
      <c r="E14" s="8">
        <f>SUMIF(PHAN_TICH_VAT_TU_WBS!$E$6:$E$27, "THEP.D32", PHAN_TICH_VAT_TU_WBS!$I$6:$I$27)</f>
        <v/>
      </c>
      <c r="F14" s="7" t="n">
        <v>17900</v>
      </c>
      <c r="G14" s="7">
        <f>E14*F14</f>
        <v/>
      </c>
      <c r="H14" s="6" t="inlineStr">
        <is>
          <t>Tổng hợp toàn cầu</t>
        </is>
      </c>
    </row>
    <row r="15">
      <c r="A15" s="19" t="n"/>
      <c r="B15" s="19" t="n"/>
      <c r="C15" s="19" t="inlineStr">
        <is>
          <t>TỔNG CỘNG CHI PHÍ VẬT LIỆU CHÍNH (VNĐ)</t>
        </is>
      </c>
      <c r="D15" s="19" t="n"/>
      <c r="E15" s="19" t="n"/>
      <c r="F15" s="19" t="n"/>
      <c r="G15" s="47">
        <f>SUM(G7:G14)</f>
        <v/>
      </c>
      <c r="H15" s="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5" customWidth="1" min="4" max="4"/>
    <col width="27" customWidth="1" min="5" max="5"/>
    <col width="17" customWidth="1" min="6" max="6"/>
    <col width="25" customWidth="1" min="7" max="7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TỔNG HỢP DỰ TOÁN KINH PHÍ XÂY DỰNG (G_XD) - CẦU THÔN KHAI HOANG 2, KM14+363.65</t>
        </is>
      </c>
    </row>
    <row r="4">
      <c r="B4" s="3" t="inlineStr">
        <is>
          <t>Căn cứ: TT 11/2021/TT-BXD, NĐ 207/2026/NĐ-CP &amp; Luật Xây dựng số 135/2025/QH15</t>
        </is>
      </c>
    </row>
    <row r="5" ht="28" customHeight="1">
      <c r="A5" s="4" t="inlineStr">
        <is>
          <t>STT</t>
        </is>
      </c>
      <c r="B5" s="4" t="inlineStr">
        <is>
          <t>Khoản mục chi phí</t>
        </is>
      </c>
      <c r="C5" s="4" t="inlineStr">
        <is>
          <t>Ký hiệu</t>
        </is>
      </c>
      <c r="D5" s="4" t="inlineStr">
        <is>
          <t>Cách tính</t>
        </is>
      </c>
      <c r="E5" s="4" t="inlineStr">
        <is>
          <t>Giá trị trước thuế (VNĐ)</t>
        </is>
      </c>
      <c r="F5" s="4" t="inlineStr">
        <is>
          <t>Thuế VAT (VNĐ)</t>
        </is>
      </c>
      <c r="G5" s="4" t="inlineStr">
        <is>
          <t>Giá trị sau thuế (VNĐ)</t>
        </is>
      </c>
    </row>
    <row r="6">
      <c r="A6" s="40" t="inlineStr">
        <is>
          <t>1</t>
        </is>
      </c>
      <c r="B6" s="33" t="inlineStr">
        <is>
          <t>Chi phí trực tiếp</t>
        </is>
      </c>
      <c r="C6" s="40" t="inlineStr">
        <is>
          <t>T</t>
        </is>
      </c>
      <c r="D6" s="41">
        <f>QS_DIEN_GIAI_CHI_TIET!C80</f>
        <v/>
      </c>
      <c r="E6" s="42">
        <f>QS_DIEN_GIAI_CHI_TIET!L80</f>
        <v/>
      </c>
      <c r="F6" s="43" t="n"/>
      <c r="G6" s="43" t="n"/>
    </row>
    <row r="7">
      <c r="A7" s="40" t="inlineStr">
        <is>
          <t>2</t>
        </is>
      </c>
      <c r="B7" s="33" t="inlineStr">
        <is>
          <t>Chi phí gián tiếp</t>
        </is>
      </c>
      <c r="C7" s="40" t="inlineStr">
        <is>
          <t>GT</t>
        </is>
      </c>
      <c r="D7" s="41" t="inlineStr">
        <is>
          <t>T x 7.3% (Công trình giao thông)</t>
        </is>
      </c>
      <c r="E7" s="42">
        <f>E6*0.073</f>
        <v/>
      </c>
      <c r="F7" s="43" t="n"/>
      <c r="G7" s="43" t="n"/>
    </row>
    <row r="8">
      <c r="A8" s="40" t="inlineStr">
        <is>
          <t>3</t>
        </is>
      </c>
      <c r="B8" s="33" t="inlineStr">
        <is>
          <t>Thu nhập chịu thuế tính trước</t>
        </is>
      </c>
      <c r="C8" s="40" t="inlineStr">
        <is>
          <t>TL</t>
        </is>
      </c>
      <c r="D8" s="41" t="inlineStr">
        <is>
          <t>(T + GT) x 5.5%</t>
        </is>
      </c>
      <c r="E8" s="42">
        <f>(E6+E7)*0.055</f>
        <v/>
      </c>
      <c r="F8" s="43" t="n"/>
      <c r="G8" s="43" t="n"/>
    </row>
    <row r="9">
      <c r="A9" s="40" t="inlineStr">
        <is>
          <t>4</t>
        </is>
      </c>
      <c r="B9" s="33" t="inlineStr">
        <is>
          <t>Chi phí xây dựng trước thuế</t>
        </is>
      </c>
      <c r="C9" s="40" t="inlineStr">
        <is>
          <t>G</t>
        </is>
      </c>
      <c r="D9" s="41" t="inlineStr">
        <is>
          <t>T + GT + TL</t>
        </is>
      </c>
      <c r="E9" s="42">
        <f>SUM(E6:E8)</f>
        <v/>
      </c>
      <c r="F9" s="43" t="n"/>
      <c r="G9" s="43" t="n"/>
    </row>
    <row r="10">
      <c r="A10" s="40" t="inlineStr">
        <is>
          <t>5</t>
        </is>
      </c>
      <c r="B10" s="33" t="inlineStr">
        <is>
          <t>Thuế giá trị gia tăng (VAT 10%)</t>
        </is>
      </c>
      <c r="C10" s="40" t="inlineStr">
        <is>
          <t>VAT</t>
        </is>
      </c>
      <c r="D10" s="41" t="inlineStr">
        <is>
          <t>G x 10% (Luật XD 135/2025/QH15)</t>
        </is>
      </c>
      <c r="E10" s="42">
        <f>E9*0.1</f>
        <v/>
      </c>
      <c r="F10" s="43" t="n"/>
      <c r="G10" s="43" t="n"/>
    </row>
    <row r="11">
      <c r="A11" s="44" t="inlineStr">
        <is>
          <t>6</t>
        </is>
      </c>
      <c r="B11" s="38" t="inlineStr">
        <is>
          <t>TỔNG CHI PHÍ XÂY DỰNG SAU THUẾ</t>
        </is>
      </c>
      <c r="C11" s="44" t="inlineStr">
        <is>
          <t>G_XD</t>
        </is>
      </c>
      <c r="D11" s="45" t="inlineStr">
        <is>
          <t>G + VAT</t>
        </is>
      </c>
      <c r="E11" s="46">
        <f>E9+E10</f>
        <v/>
      </c>
      <c r="F11" s="37" t="n"/>
      <c r="G11" s="3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1" customWidth="1" min="4" max="4"/>
    <col width="19" customWidth="1" min="5" max="5"/>
    <col width="22" customWidth="1" min="6" max="6"/>
    <col width="22" customWidth="1" min="7" max="7"/>
    <col width="20" customWidth="1" min="8" max="8"/>
    <col width="20" customWidth="1" min="9" max="9"/>
    <col width="37" customWidth="1" min="10" max="10"/>
    <col width="18" customWidth="1" min="11" max="11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XÁC ĐỊNH GIÁ TRỊ KHỐI LƯỢNG CÔNG VIỆC HOÀN THÀNH THEO HỢP ĐỒNG (PHỤ LỤC 03a - NĐ 99/2021)</t>
        </is>
      </c>
    </row>
    <row r="4">
      <c r="B4" s="3" t="inlineStr">
        <is>
          <t>Kỳ thanh toán: Đợt 1 | Cầu thôn Khai Hoang 2, Km14+363.65 | Hợp đồng số: 09/2026/HĐ-XL</t>
        </is>
      </c>
    </row>
    <row r="5" ht="28" customHeight="1">
      <c r="A5" s="4" t="inlineStr">
        <is>
          <t>TT</t>
        </is>
      </c>
      <c r="B5" s="4" t="inlineStr">
        <is>
          <t>Nội dung công việc</t>
        </is>
      </c>
      <c r="C5" s="4" t="inlineStr">
        <is>
          <t>Đơn vị</t>
        </is>
      </c>
      <c r="D5" s="4" t="inlineStr">
        <is>
          <t>Khối lượng theo HĐ</t>
        </is>
      </c>
      <c r="E5" s="4" t="inlineStr">
        <is>
          <t>Đơn giá HĐ (VNĐ)</t>
        </is>
      </c>
      <c r="F5" s="4" t="inlineStr">
        <is>
          <t>Thành tiền HĐ (VNĐ)</t>
        </is>
      </c>
      <c r="G5" s="4" t="inlineStr">
        <is>
          <t>Khối lượng kỳ trước</t>
        </is>
      </c>
      <c r="H5" s="4" t="inlineStr">
        <is>
          <t>Khối lượng kỳ này</t>
        </is>
      </c>
      <c r="I5" s="4" t="inlineStr">
        <is>
          <t>Lũy kế khối lượng</t>
        </is>
      </c>
      <c r="J5" s="4" t="inlineStr">
        <is>
          <t>Thành tiền thanh toán kỳ này (VNĐ)</t>
        </is>
      </c>
      <c r="K5" s="4" t="inlineStr">
        <is>
          <t>Ghi chú</t>
        </is>
      </c>
    </row>
    <row r="7">
      <c r="A7" s="12" t="n">
        <v>1</v>
      </c>
      <c r="B7" s="13">
        <f>QS_DIEN_GIAI_CHI_TIET!C7</f>
        <v/>
      </c>
      <c r="C7" s="12">
        <f>QS_DIEN_GIAI_CHI_TIET!D7</f>
        <v/>
      </c>
      <c r="D7" s="24">
        <f>QS_DIEN_GIAI_CHI_TIET!J7</f>
        <v/>
      </c>
      <c r="E7" s="14">
        <f>QS_DIEN_GIAI_CHI_TIET!K7</f>
        <v/>
      </c>
      <c r="F7" s="14">
        <f>D7*E7</f>
        <v/>
      </c>
      <c r="G7" s="24" t="n">
        <v>0</v>
      </c>
      <c r="H7" s="24">
        <f>D7*1.0</f>
        <v/>
      </c>
      <c r="I7" s="24">
        <f>G7+H7</f>
        <v/>
      </c>
      <c r="J7" s="14">
        <f>H7*E7</f>
        <v/>
      </c>
      <c r="K7" s="13" t="inlineStr">
        <is>
          <t>Hoàn thành 100%</t>
        </is>
      </c>
    </row>
    <row r="8">
      <c r="A8" s="5" t="n">
        <v>2</v>
      </c>
      <c r="B8" s="6">
        <f>QS_DIEN_GIAI_CHI_TIET!C9</f>
        <v/>
      </c>
      <c r="C8" s="5">
        <f>QS_DIEN_GIAI_CHI_TIET!D9</f>
        <v/>
      </c>
      <c r="D8" s="23">
        <f>QS_DIEN_GIAI_CHI_TIET!J9</f>
        <v/>
      </c>
      <c r="E8" s="7">
        <f>QS_DIEN_GIAI_CHI_TIET!K9</f>
        <v/>
      </c>
      <c r="F8" s="7">
        <f>D8*E8</f>
        <v/>
      </c>
      <c r="G8" s="23" t="n">
        <v>0</v>
      </c>
      <c r="H8" s="23">
        <f>D8*1.0</f>
        <v/>
      </c>
      <c r="I8" s="23">
        <f>G8+H8</f>
        <v/>
      </c>
      <c r="J8" s="7">
        <f>H8*E8</f>
        <v/>
      </c>
      <c r="K8" s="6" t="inlineStr">
        <is>
          <t>Hoàn thành 100%</t>
        </is>
      </c>
    </row>
    <row r="9">
      <c r="A9" s="12" t="n">
        <v>3</v>
      </c>
      <c r="B9" s="13">
        <f>QS_DIEN_GIAI_CHI_TIET!C11</f>
        <v/>
      </c>
      <c r="C9" s="12">
        <f>QS_DIEN_GIAI_CHI_TIET!D11</f>
        <v/>
      </c>
      <c r="D9" s="24">
        <f>QS_DIEN_GIAI_CHI_TIET!J11</f>
        <v/>
      </c>
      <c r="E9" s="14">
        <f>QS_DIEN_GIAI_CHI_TIET!K11</f>
        <v/>
      </c>
      <c r="F9" s="14">
        <f>D9*E9</f>
        <v/>
      </c>
      <c r="G9" s="24" t="n">
        <v>0</v>
      </c>
      <c r="H9" s="24">
        <f>D9*1.0</f>
        <v/>
      </c>
      <c r="I9" s="24">
        <f>G9+H9</f>
        <v/>
      </c>
      <c r="J9" s="14">
        <f>H9*E9</f>
        <v/>
      </c>
      <c r="K9" s="13" t="inlineStr">
        <is>
          <t>Hoàn thành 100%</t>
        </is>
      </c>
    </row>
    <row r="10">
      <c r="A10" s="5" t="n">
        <v>4</v>
      </c>
      <c r="B10" s="6">
        <f>QS_DIEN_GIAI_CHI_TIET!C13</f>
        <v/>
      </c>
      <c r="C10" s="5">
        <f>QS_DIEN_GIAI_CHI_TIET!D13</f>
        <v/>
      </c>
      <c r="D10" s="23">
        <f>QS_DIEN_GIAI_CHI_TIET!J13</f>
        <v/>
      </c>
      <c r="E10" s="7">
        <f>QS_DIEN_GIAI_CHI_TIET!K13</f>
        <v/>
      </c>
      <c r="F10" s="7">
        <f>D10*E10</f>
        <v/>
      </c>
      <c r="G10" s="23" t="n">
        <v>0</v>
      </c>
      <c r="H10" s="23">
        <f>D10*1.0</f>
        <v/>
      </c>
      <c r="I10" s="23">
        <f>G10+H10</f>
        <v/>
      </c>
      <c r="J10" s="7">
        <f>H10*E10</f>
        <v/>
      </c>
      <c r="K10" s="6" t="inlineStr">
        <is>
          <t>Hoàn thành 100%</t>
        </is>
      </c>
    </row>
    <row r="11">
      <c r="A11" s="12" t="n">
        <v>5</v>
      </c>
      <c r="B11" s="13">
        <f>QS_DIEN_GIAI_CHI_TIET!C15</f>
        <v/>
      </c>
      <c r="C11" s="12">
        <f>QS_DIEN_GIAI_CHI_TIET!D15</f>
        <v/>
      </c>
      <c r="D11" s="24">
        <f>QS_DIEN_GIAI_CHI_TIET!J15</f>
        <v/>
      </c>
      <c r="E11" s="14">
        <f>QS_DIEN_GIAI_CHI_TIET!K15</f>
        <v/>
      </c>
      <c r="F11" s="14">
        <f>D11*E11</f>
        <v/>
      </c>
      <c r="G11" s="24" t="n">
        <v>0</v>
      </c>
      <c r="H11" s="24">
        <f>D11*1.0</f>
        <v/>
      </c>
      <c r="I11" s="24">
        <f>G11+H11</f>
        <v/>
      </c>
      <c r="J11" s="14">
        <f>H11*E11</f>
        <v/>
      </c>
      <c r="K11" s="13" t="inlineStr">
        <is>
          <t>Hoàn thành 100%</t>
        </is>
      </c>
    </row>
    <row r="12">
      <c r="A12" s="5" t="n">
        <v>6</v>
      </c>
      <c r="B12" s="6">
        <f>QS_DIEN_GIAI_CHI_TIET!C17</f>
        <v/>
      </c>
      <c r="C12" s="5">
        <f>QS_DIEN_GIAI_CHI_TIET!D17</f>
        <v/>
      </c>
      <c r="D12" s="23">
        <f>QS_DIEN_GIAI_CHI_TIET!J17</f>
        <v/>
      </c>
      <c r="E12" s="7">
        <f>QS_DIEN_GIAI_CHI_TIET!K17</f>
        <v/>
      </c>
      <c r="F12" s="7">
        <f>D12*E12</f>
        <v/>
      </c>
      <c r="G12" s="23" t="n">
        <v>0</v>
      </c>
      <c r="H12" s="23">
        <f>D12*1.0</f>
        <v/>
      </c>
      <c r="I12" s="23">
        <f>G12+H12</f>
        <v/>
      </c>
      <c r="J12" s="7">
        <f>H12*E12</f>
        <v/>
      </c>
      <c r="K12" s="6" t="inlineStr">
        <is>
          <t>Hoàn thành 100%</t>
        </is>
      </c>
    </row>
    <row r="13">
      <c r="A13" s="12" t="n">
        <v>7</v>
      </c>
      <c r="B13" s="13">
        <f>QS_DIEN_GIAI_CHI_TIET!C20</f>
        <v/>
      </c>
      <c r="C13" s="12">
        <f>QS_DIEN_GIAI_CHI_TIET!D20</f>
        <v/>
      </c>
      <c r="D13" s="24">
        <f>QS_DIEN_GIAI_CHI_TIET!J20</f>
        <v/>
      </c>
      <c r="E13" s="14">
        <f>QS_DIEN_GIAI_CHI_TIET!K20</f>
        <v/>
      </c>
      <c r="F13" s="14">
        <f>D13*E13</f>
        <v/>
      </c>
      <c r="G13" s="24" t="n">
        <v>0</v>
      </c>
      <c r="H13" s="24">
        <f>D13*1.0</f>
        <v/>
      </c>
      <c r="I13" s="24">
        <f>G13+H13</f>
        <v/>
      </c>
      <c r="J13" s="14">
        <f>H13*E13</f>
        <v/>
      </c>
      <c r="K13" s="13" t="inlineStr">
        <is>
          <t>Hoàn thành 100%</t>
        </is>
      </c>
    </row>
    <row r="14">
      <c r="A14" s="5" t="n">
        <v>8</v>
      </c>
      <c r="B14" s="6">
        <f>QS_DIEN_GIAI_CHI_TIET!C22</f>
        <v/>
      </c>
      <c r="C14" s="5">
        <f>QS_DIEN_GIAI_CHI_TIET!D22</f>
        <v/>
      </c>
      <c r="D14" s="23">
        <f>QS_DIEN_GIAI_CHI_TIET!J22</f>
        <v/>
      </c>
      <c r="E14" s="7">
        <f>QS_DIEN_GIAI_CHI_TIET!K22</f>
        <v/>
      </c>
      <c r="F14" s="7">
        <f>D14*E14</f>
        <v/>
      </c>
      <c r="G14" s="23" t="n">
        <v>0</v>
      </c>
      <c r="H14" s="23">
        <f>D14*1.0</f>
        <v/>
      </c>
      <c r="I14" s="23">
        <f>G14+H14</f>
        <v/>
      </c>
      <c r="J14" s="7">
        <f>H14*E14</f>
        <v/>
      </c>
      <c r="K14" s="6" t="inlineStr">
        <is>
          <t>Hoàn thành 100%</t>
        </is>
      </c>
    </row>
    <row r="15">
      <c r="A15" s="12" t="n">
        <v>9</v>
      </c>
      <c r="B15" s="13">
        <f>QS_DIEN_GIAI_CHI_TIET!C24</f>
        <v/>
      </c>
      <c r="C15" s="12">
        <f>QS_DIEN_GIAI_CHI_TIET!D24</f>
        <v/>
      </c>
      <c r="D15" s="24">
        <f>QS_DIEN_GIAI_CHI_TIET!J24</f>
        <v/>
      </c>
      <c r="E15" s="14">
        <f>QS_DIEN_GIAI_CHI_TIET!K24</f>
        <v/>
      </c>
      <c r="F15" s="14">
        <f>D15*E15</f>
        <v/>
      </c>
      <c r="G15" s="24" t="n">
        <v>0</v>
      </c>
      <c r="H15" s="24">
        <f>D15*1.0</f>
        <v/>
      </c>
      <c r="I15" s="24">
        <f>G15+H15</f>
        <v/>
      </c>
      <c r="J15" s="14">
        <f>H15*E15</f>
        <v/>
      </c>
      <c r="K15" s="13" t="inlineStr">
        <is>
          <t>Hoàn thành 100%</t>
        </is>
      </c>
    </row>
    <row r="16">
      <c r="A16" s="5" t="n">
        <v>10</v>
      </c>
      <c r="B16" s="6">
        <f>QS_DIEN_GIAI_CHI_TIET!C26</f>
        <v/>
      </c>
      <c r="C16" s="5">
        <f>QS_DIEN_GIAI_CHI_TIET!D26</f>
        <v/>
      </c>
      <c r="D16" s="23">
        <f>QS_DIEN_GIAI_CHI_TIET!J26</f>
        <v/>
      </c>
      <c r="E16" s="7">
        <f>QS_DIEN_GIAI_CHI_TIET!K26</f>
        <v/>
      </c>
      <c r="F16" s="7">
        <f>D16*E16</f>
        <v/>
      </c>
      <c r="G16" s="23" t="n">
        <v>0</v>
      </c>
      <c r="H16" s="23">
        <f>D16*1.0</f>
        <v/>
      </c>
      <c r="I16" s="23">
        <f>G16+H16</f>
        <v/>
      </c>
      <c r="J16" s="7">
        <f>H16*E16</f>
        <v/>
      </c>
      <c r="K16" s="6" t="inlineStr">
        <is>
          <t>Hoàn thành 100%</t>
        </is>
      </c>
    </row>
    <row r="17">
      <c r="A17" s="12" t="n">
        <v>11</v>
      </c>
      <c r="B17" s="13">
        <f>QS_DIEN_GIAI_CHI_TIET!C28</f>
        <v/>
      </c>
      <c r="C17" s="12">
        <f>QS_DIEN_GIAI_CHI_TIET!D28</f>
        <v/>
      </c>
      <c r="D17" s="24">
        <f>QS_DIEN_GIAI_CHI_TIET!J28</f>
        <v/>
      </c>
      <c r="E17" s="14">
        <f>QS_DIEN_GIAI_CHI_TIET!K28</f>
        <v/>
      </c>
      <c r="F17" s="14">
        <f>D17*E17</f>
        <v/>
      </c>
      <c r="G17" s="24" t="n">
        <v>0</v>
      </c>
      <c r="H17" s="24">
        <f>D17*1.0</f>
        <v/>
      </c>
      <c r="I17" s="24">
        <f>G17+H17</f>
        <v/>
      </c>
      <c r="J17" s="14">
        <f>H17*E17</f>
        <v/>
      </c>
      <c r="K17" s="13" t="inlineStr">
        <is>
          <t>Hoàn thành 100%</t>
        </is>
      </c>
    </row>
    <row r="18">
      <c r="A18" s="5" t="n">
        <v>12</v>
      </c>
      <c r="B18" s="6">
        <f>QS_DIEN_GIAI_CHI_TIET!C30</f>
        <v/>
      </c>
      <c r="C18" s="5">
        <f>QS_DIEN_GIAI_CHI_TIET!D30</f>
        <v/>
      </c>
      <c r="D18" s="23">
        <f>QS_DIEN_GIAI_CHI_TIET!J30</f>
        <v/>
      </c>
      <c r="E18" s="7">
        <f>QS_DIEN_GIAI_CHI_TIET!K30</f>
        <v/>
      </c>
      <c r="F18" s="7">
        <f>D18*E18</f>
        <v/>
      </c>
      <c r="G18" s="23" t="n">
        <v>0</v>
      </c>
      <c r="H18" s="23">
        <f>D18*1.0</f>
        <v/>
      </c>
      <c r="I18" s="23">
        <f>G18+H18</f>
        <v/>
      </c>
      <c r="J18" s="7">
        <f>H18*E18</f>
        <v/>
      </c>
      <c r="K18" s="6" t="inlineStr">
        <is>
          <t>Hoàn thành 100%</t>
        </is>
      </c>
    </row>
    <row r="19">
      <c r="A19" s="12" t="n">
        <v>13</v>
      </c>
      <c r="B19" s="13">
        <f>QS_DIEN_GIAI_CHI_TIET!C32</f>
        <v/>
      </c>
      <c r="C19" s="12">
        <f>QS_DIEN_GIAI_CHI_TIET!D32</f>
        <v/>
      </c>
      <c r="D19" s="24">
        <f>QS_DIEN_GIAI_CHI_TIET!J32</f>
        <v/>
      </c>
      <c r="E19" s="14">
        <f>QS_DIEN_GIAI_CHI_TIET!K32</f>
        <v/>
      </c>
      <c r="F19" s="14">
        <f>D19*E19</f>
        <v/>
      </c>
      <c r="G19" s="24" t="n">
        <v>0</v>
      </c>
      <c r="H19" s="24">
        <f>D19*1.0</f>
        <v/>
      </c>
      <c r="I19" s="24">
        <f>G19+H19</f>
        <v/>
      </c>
      <c r="J19" s="14">
        <f>H19*E19</f>
        <v/>
      </c>
      <c r="K19" s="13" t="inlineStr">
        <is>
          <t>Hoàn thành 100%</t>
        </is>
      </c>
    </row>
    <row r="20">
      <c r="A20" s="5" t="n">
        <v>14</v>
      </c>
      <c r="B20" s="6">
        <f>QS_DIEN_GIAI_CHI_TIET!C34</f>
        <v/>
      </c>
      <c r="C20" s="5">
        <f>QS_DIEN_GIAI_CHI_TIET!D34</f>
        <v/>
      </c>
      <c r="D20" s="23">
        <f>QS_DIEN_GIAI_CHI_TIET!J34</f>
        <v/>
      </c>
      <c r="E20" s="7">
        <f>QS_DIEN_GIAI_CHI_TIET!K34</f>
        <v/>
      </c>
      <c r="F20" s="7">
        <f>D20*E20</f>
        <v/>
      </c>
      <c r="G20" s="23" t="n">
        <v>0</v>
      </c>
      <c r="H20" s="23">
        <f>D20*1.0</f>
        <v/>
      </c>
      <c r="I20" s="23">
        <f>G20+H20</f>
        <v/>
      </c>
      <c r="J20" s="7">
        <f>H20*E20</f>
        <v/>
      </c>
      <c r="K20" s="6" t="inlineStr">
        <is>
          <t>Hoàn thành 100%</t>
        </is>
      </c>
    </row>
    <row r="21">
      <c r="A21" s="12" t="n">
        <v>15</v>
      </c>
      <c r="B21" s="13">
        <f>QS_DIEN_GIAI_CHI_TIET!C36</f>
        <v/>
      </c>
      <c r="C21" s="12">
        <f>QS_DIEN_GIAI_CHI_TIET!D36</f>
        <v/>
      </c>
      <c r="D21" s="24">
        <f>QS_DIEN_GIAI_CHI_TIET!J36</f>
        <v/>
      </c>
      <c r="E21" s="14">
        <f>QS_DIEN_GIAI_CHI_TIET!K36</f>
        <v/>
      </c>
      <c r="F21" s="14">
        <f>D21*E21</f>
        <v/>
      </c>
      <c r="G21" s="24" t="n">
        <v>0</v>
      </c>
      <c r="H21" s="24">
        <f>D21*1.0</f>
        <v/>
      </c>
      <c r="I21" s="24">
        <f>G21+H21</f>
        <v/>
      </c>
      <c r="J21" s="14">
        <f>H21*E21</f>
        <v/>
      </c>
      <c r="K21" s="13" t="inlineStr">
        <is>
          <t>Hoàn thành 100%</t>
        </is>
      </c>
    </row>
    <row r="22">
      <c r="A22" s="5" t="n">
        <v>16</v>
      </c>
      <c r="B22" s="6">
        <f>QS_DIEN_GIAI_CHI_TIET!C39</f>
        <v/>
      </c>
      <c r="C22" s="5">
        <f>QS_DIEN_GIAI_CHI_TIET!D39</f>
        <v/>
      </c>
      <c r="D22" s="23">
        <f>QS_DIEN_GIAI_CHI_TIET!J39</f>
        <v/>
      </c>
      <c r="E22" s="7">
        <f>QS_DIEN_GIAI_CHI_TIET!K39</f>
        <v/>
      </c>
      <c r="F22" s="7">
        <f>D22*E22</f>
        <v/>
      </c>
      <c r="G22" s="23" t="n">
        <v>0</v>
      </c>
      <c r="H22" s="23">
        <f>D22*1.0</f>
        <v/>
      </c>
      <c r="I22" s="23">
        <f>G22+H22</f>
        <v/>
      </c>
      <c r="J22" s="7">
        <f>H22*E22</f>
        <v/>
      </c>
      <c r="K22" s="6" t="inlineStr">
        <is>
          <t>Hoàn thành 100%</t>
        </is>
      </c>
    </row>
    <row r="23">
      <c r="A23" s="12" t="n">
        <v>17</v>
      </c>
      <c r="B23" s="13">
        <f>QS_DIEN_GIAI_CHI_TIET!C41</f>
        <v/>
      </c>
      <c r="C23" s="12">
        <f>QS_DIEN_GIAI_CHI_TIET!D41</f>
        <v/>
      </c>
      <c r="D23" s="24">
        <f>QS_DIEN_GIAI_CHI_TIET!J41</f>
        <v/>
      </c>
      <c r="E23" s="14">
        <f>QS_DIEN_GIAI_CHI_TIET!K41</f>
        <v/>
      </c>
      <c r="F23" s="14">
        <f>D23*E23</f>
        <v/>
      </c>
      <c r="G23" s="24" t="n">
        <v>0</v>
      </c>
      <c r="H23" s="24">
        <f>D23*1.0</f>
        <v/>
      </c>
      <c r="I23" s="24">
        <f>G23+H23</f>
        <v/>
      </c>
      <c r="J23" s="14">
        <f>H23*E23</f>
        <v/>
      </c>
      <c r="K23" s="13" t="inlineStr">
        <is>
          <t>Hoàn thành 100%</t>
        </is>
      </c>
    </row>
    <row r="24">
      <c r="A24" s="5" t="n">
        <v>18</v>
      </c>
      <c r="B24" s="6">
        <f>QS_DIEN_GIAI_CHI_TIET!C43</f>
        <v/>
      </c>
      <c r="C24" s="5">
        <f>QS_DIEN_GIAI_CHI_TIET!D43</f>
        <v/>
      </c>
      <c r="D24" s="23">
        <f>QS_DIEN_GIAI_CHI_TIET!J43</f>
        <v/>
      </c>
      <c r="E24" s="7">
        <f>QS_DIEN_GIAI_CHI_TIET!K43</f>
        <v/>
      </c>
      <c r="F24" s="7">
        <f>D24*E24</f>
        <v/>
      </c>
      <c r="G24" s="23" t="n">
        <v>0</v>
      </c>
      <c r="H24" s="23">
        <f>D24*1.0</f>
        <v/>
      </c>
      <c r="I24" s="23">
        <f>G24+H24</f>
        <v/>
      </c>
      <c r="J24" s="7">
        <f>H24*E24</f>
        <v/>
      </c>
      <c r="K24" s="6" t="inlineStr">
        <is>
          <t>Hoàn thành 100%</t>
        </is>
      </c>
    </row>
    <row r="25">
      <c r="A25" s="12" t="n">
        <v>19</v>
      </c>
      <c r="B25" s="13">
        <f>QS_DIEN_GIAI_CHI_TIET!C45</f>
        <v/>
      </c>
      <c r="C25" s="12">
        <f>QS_DIEN_GIAI_CHI_TIET!D45</f>
        <v/>
      </c>
      <c r="D25" s="24">
        <f>QS_DIEN_GIAI_CHI_TIET!J45</f>
        <v/>
      </c>
      <c r="E25" s="14">
        <f>QS_DIEN_GIAI_CHI_TIET!K45</f>
        <v/>
      </c>
      <c r="F25" s="14">
        <f>D25*E25</f>
        <v/>
      </c>
      <c r="G25" s="24" t="n">
        <v>0</v>
      </c>
      <c r="H25" s="24">
        <f>D25*1.0</f>
        <v/>
      </c>
      <c r="I25" s="24">
        <f>G25+H25</f>
        <v/>
      </c>
      <c r="J25" s="14">
        <f>H25*E25</f>
        <v/>
      </c>
      <c r="K25" s="13" t="inlineStr">
        <is>
          <t>Hoàn thành 100%</t>
        </is>
      </c>
    </row>
    <row r="26">
      <c r="A26" s="5" t="n">
        <v>20</v>
      </c>
      <c r="B26" s="6">
        <f>QS_DIEN_GIAI_CHI_TIET!C47</f>
        <v/>
      </c>
      <c r="C26" s="5">
        <f>QS_DIEN_GIAI_CHI_TIET!D47</f>
        <v/>
      </c>
      <c r="D26" s="23">
        <f>QS_DIEN_GIAI_CHI_TIET!J47</f>
        <v/>
      </c>
      <c r="E26" s="7">
        <f>QS_DIEN_GIAI_CHI_TIET!K47</f>
        <v/>
      </c>
      <c r="F26" s="7">
        <f>D26*E26</f>
        <v/>
      </c>
      <c r="G26" s="23" t="n">
        <v>0</v>
      </c>
      <c r="H26" s="23">
        <f>D26*1.0</f>
        <v/>
      </c>
      <c r="I26" s="23">
        <f>G26+H26</f>
        <v/>
      </c>
      <c r="J26" s="7">
        <f>H26*E26</f>
        <v/>
      </c>
      <c r="K26" s="6" t="inlineStr">
        <is>
          <t>Hoàn thành 100%</t>
        </is>
      </c>
    </row>
    <row r="27">
      <c r="A27" s="12" t="n">
        <v>21</v>
      </c>
      <c r="B27" s="13">
        <f>QS_DIEN_GIAI_CHI_TIET!C49</f>
        <v/>
      </c>
      <c r="C27" s="12">
        <f>QS_DIEN_GIAI_CHI_TIET!D49</f>
        <v/>
      </c>
      <c r="D27" s="24">
        <f>QS_DIEN_GIAI_CHI_TIET!J49</f>
        <v/>
      </c>
      <c r="E27" s="14">
        <f>QS_DIEN_GIAI_CHI_TIET!K49</f>
        <v/>
      </c>
      <c r="F27" s="14">
        <f>D27*E27</f>
        <v/>
      </c>
      <c r="G27" s="24" t="n">
        <v>0</v>
      </c>
      <c r="H27" s="24">
        <f>D27*1.0</f>
        <v/>
      </c>
      <c r="I27" s="24">
        <f>G27+H27</f>
        <v/>
      </c>
      <c r="J27" s="14">
        <f>H27*E27</f>
        <v/>
      </c>
      <c r="K27" s="13" t="inlineStr">
        <is>
          <t>Hoàn thành 100%</t>
        </is>
      </c>
    </row>
    <row r="28">
      <c r="A28" s="5" t="n">
        <v>22</v>
      </c>
      <c r="B28" s="6">
        <f>QS_DIEN_GIAI_CHI_TIET!C51</f>
        <v/>
      </c>
      <c r="C28" s="5">
        <f>QS_DIEN_GIAI_CHI_TIET!D51</f>
        <v/>
      </c>
      <c r="D28" s="23">
        <f>QS_DIEN_GIAI_CHI_TIET!J51</f>
        <v/>
      </c>
      <c r="E28" s="7">
        <f>QS_DIEN_GIAI_CHI_TIET!K51</f>
        <v/>
      </c>
      <c r="F28" s="7">
        <f>D28*E28</f>
        <v/>
      </c>
      <c r="G28" s="23" t="n">
        <v>0</v>
      </c>
      <c r="H28" s="23">
        <f>D28*1.0</f>
        <v/>
      </c>
      <c r="I28" s="23">
        <f>G28+H28</f>
        <v/>
      </c>
      <c r="J28" s="7">
        <f>H28*E28</f>
        <v/>
      </c>
      <c r="K28" s="6" t="inlineStr">
        <is>
          <t>Hoàn thành 100%</t>
        </is>
      </c>
    </row>
    <row r="29">
      <c r="A29" s="19" t="n"/>
      <c r="B29" s="19" t="inlineStr">
        <is>
          <t>TỔNG CỘNG GIÁ TRỊ THANH TOÁN (VNĐ)</t>
        </is>
      </c>
      <c r="C29" s="19" t="n"/>
      <c r="D29" s="19" t="n"/>
      <c r="E29" s="19" t="n"/>
      <c r="F29" s="47">
        <f>SUM(F7:F28)</f>
        <v/>
      </c>
      <c r="G29" s="19" t="n"/>
      <c r="H29" s="19" t="n"/>
      <c r="I29" s="19" t="n"/>
      <c r="J29" s="47">
        <f>SUM(J7:J28)</f>
        <v/>
      </c>
      <c r="K29" s="1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9" customWidth="1" min="3" max="3"/>
    <col width="17" customWidth="1" min="4" max="4"/>
    <col width="26" customWidth="1" min="5" max="5"/>
    <col width="23" customWidth="1" min="6" max="6"/>
    <col width="25" customWidth="1" min="7" max="7"/>
    <col width="17" customWidth="1" min="8" max="8"/>
    <col width="15" customWidth="1" min="9" max="9"/>
    <col width="18" customWidth="1" min="10" max="10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TIẾN ĐỘ THI CÔNG CHI TIẾT WBS &amp; PHÂN TÍCH ĐƯỜNG GĂNG (CPM GANTT CHART) - CẦU KM14+363.65</t>
        </is>
      </c>
    </row>
    <row r="4">
      <c r="B4" s="3" t="inlineStr">
        <is>
          <t>Tổng tiến độ: 12 tháng (365 ngày) | Khởi công: 01/10/2026 - Hoàn thành: 30/09/2027</t>
        </is>
      </c>
    </row>
    <row r="5" ht="28" customHeight="1">
      <c r="A5" s="4" t="inlineStr">
        <is>
          <t>Mã WBS</t>
        </is>
      </c>
      <c r="B5" s="4" t="inlineStr">
        <is>
          <t>Tên công tác thi công</t>
        </is>
      </c>
      <c r="C5" s="4" t="inlineStr">
        <is>
          <t>Thời gian (ngày)</t>
        </is>
      </c>
      <c r="D5" s="4" t="inlineStr">
        <is>
          <t>Công tác trước</t>
        </is>
      </c>
      <c r="E5" s="4" t="inlineStr">
        <is>
          <t>Định mức công (công/ĐV)</t>
        </is>
      </c>
      <c r="F5" s="4" t="inlineStr">
        <is>
          <t>Số nhân công (người)</t>
        </is>
      </c>
      <c r="G5" s="4" t="inlineStr">
        <is>
          <t>Tổ đội phụ trách</t>
        </is>
      </c>
      <c r="H5" s="4" t="inlineStr">
        <is>
          <t>Trạng thái CPM</t>
        </is>
      </c>
      <c r="I5" s="4" t="inlineStr">
        <is>
          <t>Ngày bắt đầu</t>
        </is>
      </c>
      <c r="J5" s="4" t="inlineStr">
        <is>
          <t>Ngày hoàn thành</t>
        </is>
      </c>
    </row>
    <row r="6">
      <c r="A6" s="5" t="inlineStr">
        <is>
          <t>WBS.01</t>
        </is>
      </c>
      <c r="B6" s="6" t="inlineStr">
        <is>
          <t>Bàn giao cọc mốc tim tuyến và định vị công trình</t>
        </is>
      </c>
      <c r="C6" s="26" t="n">
        <v>5</v>
      </c>
      <c r="D6" s="5" t="inlineStr">
        <is>
          <t>-</t>
        </is>
      </c>
      <c r="E6" s="26" t="n">
        <v>0.5</v>
      </c>
      <c r="F6" s="26" t="n">
        <v>6</v>
      </c>
      <c r="G6" s="6" t="inlineStr">
        <is>
          <t>Tổ Trắc đạc</t>
        </is>
      </c>
      <c r="H6" s="48" t="inlineStr">
        <is>
          <t>Critical</t>
        </is>
      </c>
      <c r="I6" s="5" t="inlineStr">
        <is>
          <t>2026-10-01</t>
        </is>
      </c>
      <c r="J6" s="5" t="inlineStr">
        <is>
          <t>2026-10-05</t>
        </is>
      </c>
    </row>
    <row r="7">
      <c r="A7" s="12" t="inlineStr">
        <is>
          <t>WBS.02</t>
        </is>
      </c>
      <c r="B7" s="13" t="inlineStr">
        <is>
          <t>Thi công đường công vụ, lán trại và dọn dẹp mặt bằng</t>
        </is>
      </c>
      <c r="C7" s="27" t="n">
        <v>15</v>
      </c>
      <c r="D7" s="12" t="inlineStr">
        <is>
          <t>WBS.01</t>
        </is>
      </c>
      <c r="E7" s="27" t="n">
        <v>1.2</v>
      </c>
      <c r="F7" s="27" t="n">
        <v>18</v>
      </c>
      <c r="G7" s="13" t="inlineStr">
        <is>
          <t>Tổ Thi công nền</t>
        </is>
      </c>
      <c r="H7" s="48" t="inlineStr">
        <is>
          <t>Critical</t>
        </is>
      </c>
      <c r="I7" s="12" t="inlineStr">
        <is>
          <t>2026-10-06</t>
        </is>
      </c>
      <c r="J7" s="12" t="inlineStr">
        <is>
          <t>2026-10-20</t>
        </is>
      </c>
    </row>
    <row r="8">
      <c r="A8" s="5" t="inlineStr">
        <is>
          <t>WBS.03</t>
        </is>
      </c>
      <c r="B8" s="6" t="inlineStr">
        <is>
          <t>Kiểm định vật liệu đầu vào (Xi măng, cát, đá, thép)</t>
        </is>
      </c>
      <c r="C8" s="26" t="n">
        <v>10</v>
      </c>
      <c r="D8" s="5" t="inlineStr">
        <is>
          <t>WBS.01</t>
        </is>
      </c>
      <c r="E8" s="26" t="n">
        <v>0.8</v>
      </c>
      <c r="F8" s="26" t="n">
        <v>4</v>
      </c>
      <c r="G8" s="6" t="inlineStr">
        <is>
          <t>Tổ QA/QC &amp; Lab</t>
        </is>
      </c>
      <c r="H8" s="5" t="inlineStr">
        <is>
          <t>Non-Critical</t>
        </is>
      </c>
      <c r="I8" s="5" t="inlineStr">
        <is>
          <t>2026-10-06</t>
        </is>
      </c>
      <c r="J8" s="5" t="inlineStr">
        <is>
          <t>2026-10-15</t>
        </is>
      </c>
    </row>
    <row r="9">
      <c r="A9" s="12" t="inlineStr">
        <is>
          <t>WBS.04</t>
        </is>
      </c>
      <c r="B9" s="13" t="inlineStr">
        <is>
          <t>Thi công bãi đúc dầm T15m và lắp đặt trạm trộn</t>
        </is>
      </c>
      <c r="C9" s="27" t="n">
        <v>20</v>
      </c>
      <c r="D9" s="12" t="inlineStr">
        <is>
          <t>WBS.02</t>
        </is>
      </c>
      <c r="E9" s="27" t="n">
        <v>2</v>
      </c>
      <c r="F9" s="27" t="n">
        <v>16</v>
      </c>
      <c r="G9" s="13" t="inlineStr">
        <is>
          <t>Tổ Xây dựng bãi</t>
        </is>
      </c>
      <c r="H9" s="12" t="inlineStr">
        <is>
          <t>Non-Critical</t>
        </is>
      </c>
      <c r="I9" s="12" t="inlineStr">
        <is>
          <t>2026-10-21</t>
        </is>
      </c>
      <c r="J9" s="12" t="inlineStr">
        <is>
          <t>2026-11-09</t>
        </is>
      </c>
    </row>
    <row r="10">
      <c r="A10" s="5" t="inlineStr">
        <is>
          <t>WBS.05</t>
        </is>
      </c>
      <c r="B10" s="6" t="inlineStr">
        <is>
          <t>Đào hố móng mố M1 và xử lý nền đá nứt nẻ</t>
        </is>
      </c>
      <c r="C10" s="26" t="n">
        <v>20</v>
      </c>
      <c r="D10" s="5" t="inlineStr">
        <is>
          <t>WBS.02</t>
        </is>
      </c>
      <c r="E10" s="26" t="n">
        <v>1.5</v>
      </c>
      <c r="F10" s="26" t="n">
        <v>14</v>
      </c>
      <c r="G10" s="6" t="inlineStr">
        <is>
          <t>Tổ Cơ giới móng</t>
        </is>
      </c>
      <c r="H10" s="48" t="inlineStr">
        <is>
          <t>Critical</t>
        </is>
      </c>
      <c r="I10" s="5" t="inlineStr">
        <is>
          <t>2026-10-21</t>
        </is>
      </c>
      <c r="J10" s="5" t="inlineStr">
        <is>
          <t>2026-11-09</t>
        </is>
      </c>
    </row>
    <row r="11">
      <c r="A11" s="12" t="inlineStr">
        <is>
          <t>WBS.06</t>
        </is>
      </c>
      <c r="B11" s="13" t="inlineStr">
        <is>
          <t>Khoan cấy cốt thép neo D32 vào nền đá hố móng M1</t>
        </is>
      </c>
      <c r="C11" s="27" t="n">
        <v>10</v>
      </c>
      <c r="D11" s="12" t="inlineStr">
        <is>
          <t>WBS.05</t>
        </is>
      </c>
      <c r="E11" s="27" t="n">
        <v>2.5</v>
      </c>
      <c r="F11" s="27" t="n">
        <v>10</v>
      </c>
      <c r="G11" s="13" t="inlineStr">
        <is>
          <t>Tổ Khoan cấy thép</t>
        </is>
      </c>
      <c r="H11" s="48" t="inlineStr">
        <is>
          <t>Critical</t>
        </is>
      </c>
      <c r="I11" s="12" t="inlineStr">
        <is>
          <t>2026-11-10</t>
        </is>
      </c>
      <c r="J11" s="12" t="inlineStr">
        <is>
          <t>2026-11-19</t>
        </is>
      </c>
    </row>
    <row r="12">
      <c r="A12" s="5" t="inlineStr">
        <is>
          <t>WBS.07</t>
        </is>
      </c>
      <c r="B12" s="6" t="inlineStr">
        <is>
          <t>Đổ bê tông đệm móng mố M1 C10 (M150)</t>
        </is>
      </c>
      <c r="C12" s="26" t="n">
        <v>3</v>
      </c>
      <c r="D12" s="5" t="inlineStr">
        <is>
          <t>WBS.06</t>
        </is>
      </c>
      <c r="E12" s="26" t="n">
        <v>0.6</v>
      </c>
      <c r="F12" s="26" t="n">
        <v>8</v>
      </c>
      <c r="G12" s="6" t="inlineStr">
        <is>
          <t>Tổ Bê tông móng</t>
        </is>
      </c>
      <c r="H12" s="48" t="inlineStr">
        <is>
          <t>Critical</t>
        </is>
      </c>
      <c r="I12" s="5" t="inlineStr">
        <is>
          <t>2026-11-20</t>
        </is>
      </c>
      <c r="J12" s="5" t="inlineStr">
        <is>
          <t>2026-11-22</t>
        </is>
      </c>
    </row>
    <row r="13">
      <c r="A13" s="12" t="inlineStr">
        <is>
          <t>WBS.08</t>
        </is>
      </c>
      <c r="B13" s="13" t="inlineStr">
        <is>
          <t>Gia công lắp dựng cốt thép và ván khuôn móng mố M1</t>
        </is>
      </c>
      <c r="C13" s="27" t="n">
        <v>10</v>
      </c>
      <c r="D13" s="12" t="inlineStr">
        <is>
          <t>WBS.07</t>
        </is>
      </c>
      <c r="E13" s="27" t="n">
        <v>3.2</v>
      </c>
      <c r="F13" s="27" t="n">
        <v>16</v>
      </c>
      <c r="G13" s="13" t="inlineStr">
        <is>
          <t>Tổ Cốt thép ván khuôn</t>
        </is>
      </c>
      <c r="H13" s="48" t="inlineStr">
        <is>
          <t>Critical</t>
        </is>
      </c>
      <c r="I13" s="12" t="inlineStr">
        <is>
          <t>2026-11-23</t>
        </is>
      </c>
      <c r="J13" s="12" t="inlineStr">
        <is>
          <t>2026-12-02</t>
        </is>
      </c>
    </row>
    <row r="14">
      <c r="A14" s="5" t="inlineStr">
        <is>
          <t>WBS.09</t>
        </is>
      </c>
      <c r="B14" s="6" t="inlineStr">
        <is>
          <t>Đổ bê tông móng mố M1 C30 (V = 110 m3)</t>
        </is>
      </c>
      <c r="C14" s="26" t="n">
        <v>4</v>
      </c>
      <c r="D14" s="5" t="inlineStr">
        <is>
          <t>WBS.08</t>
        </is>
      </c>
      <c r="E14" s="26" t="n">
        <v>1.8</v>
      </c>
      <c r="F14" s="26" t="n">
        <v>20</v>
      </c>
      <c r="G14" s="6" t="inlineStr">
        <is>
          <t>Tổ Bê tông thương phẩm</t>
        </is>
      </c>
      <c r="H14" s="48" t="inlineStr">
        <is>
          <t>Critical</t>
        </is>
      </c>
      <c r="I14" s="5" t="inlineStr">
        <is>
          <t>2026-12-03</t>
        </is>
      </c>
      <c r="J14" s="5" t="inlineStr">
        <is>
          <t>2026-12-06</t>
        </is>
      </c>
    </row>
    <row r="15">
      <c r="A15" s="12" t="inlineStr">
        <is>
          <t>WBS.10</t>
        </is>
      </c>
      <c r="B15" s="13" t="inlineStr">
        <is>
          <t>Đào hố móng và khoan cấy thép neo nền đá mố M2</t>
        </is>
      </c>
      <c r="C15" s="27" t="n">
        <v>20</v>
      </c>
      <c r="D15" s="12" t="inlineStr">
        <is>
          <t>WBS.05</t>
        </is>
      </c>
      <c r="E15" s="27" t="n">
        <v>1.5</v>
      </c>
      <c r="F15" s="27" t="n">
        <v>14</v>
      </c>
      <c r="G15" s="13" t="inlineStr">
        <is>
          <t>Tổ Cơ giới móng</t>
        </is>
      </c>
      <c r="H15" s="48" t="inlineStr">
        <is>
          <t>Critical</t>
        </is>
      </c>
      <c r="I15" s="12" t="inlineStr">
        <is>
          <t>2026-11-10</t>
        </is>
      </c>
      <c r="J15" s="12" t="inlineStr">
        <is>
          <t>2026-11-29</t>
        </is>
      </c>
    </row>
    <row r="16">
      <c r="A16" s="5" t="inlineStr">
        <is>
          <t>WBS.11</t>
        </is>
      </c>
      <c r="B16" s="6" t="inlineStr">
        <is>
          <t>Đổ bê tông đệm và bê tông móng mố M2 C30</t>
        </is>
      </c>
      <c r="C16" s="26" t="n">
        <v>12</v>
      </c>
      <c r="D16" s="5" t="inlineStr">
        <is>
          <t>WBS.10</t>
        </is>
      </c>
      <c r="E16" s="26" t="n">
        <v>2</v>
      </c>
      <c r="F16" s="26" t="n">
        <v>18</v>
      </c>
      <c r="G16" s="6" t="inlineStr">
        <is>
          <t>Tổ Bê tông móng</t>
        </is>
      </c>
      <c r="H16" s="48" t="inlineStr">
        <is>
          <t>Critical</t>
        </is>
      </c>
      <c r="I16" s="5" t="inlineStr">
        <is>
          <t>2026-11-30</t>
        </is>
      </c>
      <c r="J16" s="5" t="inlineStr">
        <is>
          <t>2026-12-11</t>
        </is>
      </c>
    </row>
    <row r="17">
      <c r="A17" s="12" t="inlineStr">
        <is>
          <t>WBS.12</t>
        </is>
      </c>
      <c r="B17" s="13" t="inlineStr">
        <is>
          <t>Thi công thân mố, tường ngực và tường cánh M1 C30</t>
        </is>
      </c>
      <c r="C17" s="27" t="n">
        <v>25</v>
      </c>
      <c r="D17" s="12" t="inlineStr">
        <is>
          <t>WBS.09</t>
        </is>
      </c>
      <c r="E17" s="27" t="n">
        <v>3.5</v>
      </c>
      <c r="F17" s="27" t="n">
        <v>22</v>
      </c>
      <c r="G17" s="13" t="inlineStr">
        <is>
          <t>Tổ Cốp pha thân</t>
        </is>
      </c>
      <c r="H17" s="48" t="inlineStr">
        <is>
          <t>Critical</t>
        </is>
      </c>
      <c r="I17" s="12" t="inlineStr">
        <is>
          <t>2026-12-07</t>
        </is>
      </c>
      <c r="J17" s="12" t="inlineStr">
        <is>
          <t>2026-12-31</t>
        </is>
      </c>
    </row>
    <row r="18">
      <c r="A18" s="5" t="inlineStr">
        <is>
          <t>WBS.13</t>
        </is>
      </c>
      <c r="B18" s="6" t="inlineStr">
        <is>
          <t>Thi công thân mố, tường ngực và tường cánh M2 C30</t>
        </is>
      </c>
      <c r="C18" s="26" t="n">
        <v>25</v>
      </c>
      <c r="D18" s="5" t="inlineStr">
        <is>
          <t>WBS.11</t>
        </is>
      </c>
      <c r="E18" s="26" t="n">
        <v>3.5</v>
      </c>
      <c r="F18" s="26" t="n">
        <v>22</v>
      </c>
      <c r="G18" s="6" t="inlineStr">
        <is>
          <t>Tổ Cốp pha thân</t>
        </is>
      </c>
      <c r="H18" s="48" t="inlineStr">
        <is>
          <t>Critical</t>
        </is>
      </c>
      <c r="I18" s="5" t="inlineStr">
        <is>
          <t>2026-12-12</t>
        </is>
      </c>
      <c r="J18" s="5" t="inlineStr">
        <is>
          <t>2027-01-05</t>
        </is>
      </c>
    </row>
    <row r="19">
      <c r="A19" s="12" t="inlineStr">
        <is>
          <t>WBS.14</t>
        </is>
      </c>
      <c r="B19" s="13" t="inlineStr">
        <is>
          <t>Đúc 4 phiến dầm chủ T15m C40 tại bãi đúc dầm</t>
        </is>
      </c>
      <c r="C19" s="27" t="n">
        <v>40</v>
      </c>
      <c r="D19" s="12" t="inlineStr">
        <is>
          <t>WBS.04</t>
        </is>
      </c>
      <c r="E19" s="27" t="n">
        <v>4</v>
      </c>
      <c r="F19" s="27" t="n">
        <v>24</v>
      </c>
      <c r="G19" s="13" t="inlineStr">
        <is>
          <t>Tổ Đúc dầm T</t>
        </is>
      </c>
      <c r="H19" s="48" t="inlineStr">
        <is>
          <t>Critical</t>
        </is>
      </c>
      <c r="I19" s="12" t="inlineStr">
        <is>
          <t>2026-12-15</t>
        </is>
      </c>
      <c r="J19" s="12" t="inlineStr">
        <is>
          <t>2027-01-23</t>
        </is>
      </c>
    </row>
    <row r="20">
      <c r="A20" s="5" t="inlineStr">
        <is>
          <t>WBS.15</t>
        </is>
      </c>
      <c r="B20" s="6" t="inlineStr">
        <is>
          <t>Bảo dưỡng dầm T15m và nghiệm thu xuất xưởng</t>
        </is>
      </c>
      <c r="C20" s="26" t="n">
        <v>14</v>
      </c>
      <c r="D20" s="5" t="inlineStr">
        <is>
          <t>WBS.14</t>
        </is>
      </c>
      <c r="E20" s="26" t="n">
        <v>0.5</v>
      </c>
      <c r="F20" s="26" t="n">
        <v>6</v>
      </c>
      <c r="G20" s="6" t="inlineStr">
        <is>
          <t>Tổ Bảo dưỡng</t>
        </is>
      </c>
      <c r="H20" s="48" t="inlineStr">
        <is>
          <t>Critical</t>
        </is>
      </c>
      <c r="I20" s="5" t="inlineStr">
        <is>
          <t>2027-01-24</t>
        </is>
      </c>
      <c r="J20" s="5" t="inlineStr">
        <is>
          <t>2027-02-06</t>
        </is>
      </c>
    </row>
    <row r="21">
      <c r="A21" s="12" t="inlineStr">
        <is>
          <t>WBS.16</t>
        </is>
      </c>
      <c r="B21" s="13" t="inlineStr">
        <is>
          <t>Lắp đặt đá kê gối và 8 gối cao su bản thép (350x500x84)</t>
        </is>
      </c>
      <c r="C21" s="27" t="n">
        <v>6</v>
      </c>
      <c r="D21" s="12" t="inlineStr">
        <is>
          <t>WBS.12,13</t>
        </is>
      </c>
      <c r="E21" s="27" t="n">
        <v>1.5</v>
      </c>
      <c r="F21" s="27" t="n">
        <v>10</v>
      </c>
      <c r="G21" s="13" t="inlineStr">
        <is>
          <t>Tổ Cơ điện cầu</t>
        </is>
      </c>
      <c r="H21" s="48" t="inlineStr">
        <is>
          <t>Critical</t>
        </is>
      </c>
      <c r="I21" s="12" t="inlineStr">
        <is>
          <t>2027-02-07</t>
        </is>
      </c>
      <c r="J21" s="12" t="inlineStr">
        <is>
          <t>2027-02-12</t>
        </is>
      </c>
    </row>
    <row r="22">
      <c r="A22" s="5" t="inlineStr">
        <is>
          <t>WBS.17</t>
        </is>
      </c>
      <c r="B22" s="6" t="inlineStr">
        <is>
          <t>Lao lắp 4 phiến dầm T15m vào vị trí mố M1-M2</t>
        </is>
      </c>
      <c r="C22" s="26" t="n">
        <v>8</v>
      </c>
      <c r="D22" s="5" t="inlineStr">
        <is>
          <t>WBS.15,16</t>
        </is>
      </c>
      <c r="E22" s="26" t="n">
        <v>5</v>
      </c>
      <c r="F22" s="26" t="n">
        <v>20</v>
      </c>
      <c r="G22" s="6" t="inlineStr">
        <is>
          <t>Tổ Lao lắp dầm</t>
        </is>
      </c>
      <c r="H22" s="48" t="inlineStr">
        <is>
          <t>Critical</t>
        </is>
      </c>
      <c r="I22" s="5" t="inlineStr">
        <is>
          <t>2027-02-13</t>
        </is>
      </c>
      <c r="J22" s="5" t="inlineStr">
        <is>
          <t>2027-02-20</t>
        </is>
      </c>
    </row>
    <row r="23">
      <c r="A23" s="12" t="inlineStr">
        <is>
          <t>WBS.18</t>
        </is>
      </c>
      <c r="B23" s="13" t="inlineStr">
        <is>
          <t>Thi công 3 dầm ngang C30 liên kết dầm chủ</t>
        </is>
      </c>
      <c r="C23" s="27" t="n">
        <v>12</v>
      </c>
      <c r="D23" s="12" t="inlineStr">
        <is>
          <t>WBS.17</t>
        </is>
      </c>
      <c r="E23" s="27" t="n">
        <v>2.8</v>
      </c>
      <c r="F23" s="27" t="n">
        <v>16</v>
      </c>
      <c r="G23" s="13" t="inlineStr">
        <is>
          <t>Tổ Bê tông nhịp</t>
        </is>
      </c>
      <c r="H23" s="48" t="inlineStr">
        <is>
          <t>Critical</t>
        </is>
      </c>
      <c r="I23" s="12" t="inlineStr">
        <is>
          <t>2027-02-21</t>
        </is>
      </c>
      <c r="J23" s="12" t="inlineStr">
        <is>
          <t>2027-03-04</t>
        </is>
      </c>
    </row>
    <row r="24">
      <c r="A24" s="5" t="inlineStr">
        <is>
          <t>WBS.19</t>
        </is>
      </c>
      <c r="B24" s="6" t="inlineStr">
        <is>
          <t>Lắp đặt ván khuôn, lưới thép D6 và đổ bê tông mặt cầu C35</t>
        </is>
      </c>
      <c r="C24" s="26" t="n">
        <v>18</v>
      </c>
      <c r="D24" s="5" t="inlineStr">
        <is>
          <t>WBS.18</t>
        </is>
      </c>
      <c r="E24" s="26" t="n">
        <v>3</v>
      </c>
      <c r="F24" s="26" t="n">
        <v>22</v>
      </c>
      <c r="G24" s="6" t="inlineStr">
        <is>
          <t>Tổ Mặt cầu</t>
        </is>
      </c>
      <c r="H24" s="48" t="inlineStr">
        <is>
          <t>Critical</t>
        </is>
      </c>
      <c r="I24" s="5" t="inlineStr">
        <is>
          <t>2027-03-05</t>
        </is>
      </c>
      <c r="J24" s="5" t="inlineStr">
        <is>
          <t>2027-03-22</t>
        </is>
      </c>
    </row>
    <row r="25">
      <c r="A25" s="12" t="inlineStr">
        <is>
          <t>WBS.20</t>
        </is>
      </c>
      <c r="B25" s="13" t="inlineStr">
        <is>
          <t>Thi công gờ lan can C25 và lắp đặt lan can thép mạ kẽm</t>
        </is>
      </c>
      <c r="C25" s="27" t="n">
        <v>15</v>
      </c>
      <c r="D25" s="12" t="inlineStr">
        <is>
          <t>WBS.19</t>
        </is>
      </c>
      <c r="E25" s="27" t="n">
        <v>2.2</v>
      </c>
      <c r="F25" s="27" t="n">
        <v>14</v>
      </c>
      <c r="G25" s="13" t="inlineStr">
        <is>
          <t>Tổ Lan can</t>
        </is>
      </c>
      <c r="H25" s="48" t="inlineStr">
        <is>
          <t>Critical</t>
        </is>
      </c>
      <c r="I25" s="12" t="inlineStr">
        <is>
          <t>2027-03-23</t>
        </is>
      </c>
      <c r="J25" s="12" t="inlineStr">
        <is>
          <t>2027-04-06</t>
        </is>
      </c>
    </row>
    <row r="26">
      <c r="A26" s="5" t="inlineStr">
        <is>
          <t>WBS.21</t>
        </is>
      </c>
      <c r="B26" s="6" t="inlineStr">
        <is>
          <t>Thi công bản quá độ hai đầu cầu và tường chắn đất C25</t>
        </is>
      </c>
      <c r="C26" s="26" t="n">
        <v>20</v>
      </c>
      <c r="D26" s="5" t="inlineStr">
        <is>
          <t>WBS.19</t>
        </is>
      </c>
      <c r="E26" s="26" t="n">
        <v>2.5</v>
      </c>
      <c r="F26" s="26" t="n">
        <v>16</v>
      </c>
      <c r="G26" s="6" t="inlineStr">
        <is>
          <t>Tổ Đường đầu cầu</t>
        </is>
      </c>
      <c r="H26" s="48" t="inlineStr">
        <is>
          <t>Critical</t>
        </is>
      </c>
      <c r="I26" s="5" t="inlineStr">
        <is>
          <t>2027-03-23</t>
        </is>
      </c>
      <c r="J26" s="5" t="inlineStr">
        <is>
          <t>2027-04-11</t>
        </is>
      </c>
    </row>
    <row r="27">
      <c r="A27" s="12" t="inlineStr">
        <is>
          <t>WBS.22</t>
        </is>
      </c>
      <c r="B27" s="13" t="inlineStr">
        <is>
          <t>Lắp khe co giãn, thảm BTNC 19, thử tải và bàn giao</t>
        </is>
      </c>
      <c r="C27" s="27" t="n">
        <v>20</v>
      </c>
      <c r="D27" s="12" t="inlineStr">
        <is>
          <t>WBS.20,21</t>
        </is>
      </c>
      <c r="E27" s="27" t="n">
        <v>3</v>
      </c>
      <c r="F27" s="27" t="n">
        <v>25</v>
      </c>
      <c r="G27" s="13" t="inlineStr">
        <is>
          <t>Tổ Hoàn thiện</t>
        </is>
      </c>
      <c r="H27" s="48" t="inlineStr">
        <is>
          <t>Critical</t>
        </is>
      </c>
      <c r="I27" s="12" t="inlineStr">
        <is>
          <t>2027-04-12</t>
        </is>
      </c>
      <c r="J27" s="12" t="inlineStr">
        <is>
          <t>2027-05-01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I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4" customWidth="1" min="4" max="4"/>
    <col width="12" customWidth="1" min="5" max="5"/>
    <col width="30" customWidth="1" min="6" max="6"/>
    <col width="25" customWidth="1" min="7" max="7"/>
    <col width="29" customWidth="1" min="8" max="8"/>
    <col width="14" customWidth="1" min="9" max="9"/>
  </cols>
  <sheetData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DANH MỤC HỒ SƠ NGHIỆM THU KỸ THUẬT &amp; CHẤT LƯỢNG KCS (THEO NGHỊ ĐỊNH 207/2026/NĐ-CP)</t>
        </is>
      </c>
    </row>
    <row r="4">
      <c r="B4" s="3" t="inlineStr">
        <is>
          <t>Liên kết 100% ngày nghiệm thu từ TIEN_DO_THI_CONG_WBS và khối lượng từ QS_DIEN_GIAI_CHI_TIET</t>
        </is>
      </c>
    </row>
    <row r="5" ht="28" customHeight="1">
      <c r="A5" s="4" t="inlineStr">
        <is>
          <t>Số TT</t>
        </is>
      </c>
      <c r="B5" s="4" t="inlineStr">
        <is>
          <t>Số hiệu biên bản</t>
        </is>
      </c>
      <c r="C5" s="4" t="inlineStr">
        <is>
          <t>Tên công việc / Hạng mục nghiệm thu</t>
        </is>
      </c>
      <c r="D5" s="4" t="inlineStr">
        <is>
          <t>Khối lượng nghiệm thu</t>
        </is>
      </c>
      <c r="E5" s="4" t="inlineStr">
        <is>
          <t>Đơn vị</t>
        </is>
      </c>
      <c r="F5" s="4" t="inlineStr">
        <is>
          <t>Tiêu chuẩn kỹ thuật áp dụng</t>
        </is>
      </c>
      <c r="G5" s="4" t="inlineStr">
        <is>
          <t>Thành phần nghiệm thu</t>
        </is>
      </c>
      <c r="H5" s="4" t="inlineStr">
        <is>
          <t>Ngày nghiệm thu hoàn thành</t>
        </is>
      </c>
      <c r="I5" s="4" t="inlineStr">
        <is>
          <t>Kết luận</t>
        </is>
      </c>
    </row>
    <row r="6">
      <c r="A6" s="5" t="n">
        <v>1</v>
      </c>
      <c r="B6" s="5" t="inlineStr">
        <is>
          <t>BBNT-01</t>
        </is>
      </c>
      <c r="C6" s="6" t="inlineStr">
        <is>
          <t>Bàn giao cọc mốc tim tuyến và định vị công trình</t>
        </is>
      </c>
      <c r="D6" s="8" t="n">
        <v>1</v>
      </c>
      <c r="E6" s="5" t="inlineStr">
        <is>
          <t>Điểm</t>
        </is>
      </c>
      <c r="F6" s="6" t="inlineStr">
        <is>
          <t>TCVN 4054:2005</t>
        </is>
      </c>
      <c r="G6" s="6" t="inlineStr">
        <is>
          <t>TVGS + Nhà thầu</t>
        </is>
      </c>
      <c r="H6" s="5">
        <f>TIEN_DO_THI_CONG_WBS!J6</f>
        <v/>
      </c>
      <c r="I6" s="5" t="inlineStr">
        <is>
          <t>Đạt yêu cầu</t>
        </is>
      </c>
    </row>
    <row r="7">
      <c r="A7" s="12" t="n">
        <v>2</v>
      </c>
      <c r="B7" s="12" t="inlineStr">
        <is>
          <t>BBNT-02</t>
        </is>
      </c>
      <c r="C7" s="13" t="inlineStr">
        <is>
          <t>Thi công đường công vụ, lán trại và dọn dẹp mặt bằng</t>
        </is>
      </c>
      <c r="D7" s="15" t="n">
        <v>1</v>
      </c>
      <c r="E7" s="12" t="inlineStr">
        <is>
          <t>Gói</t>
        </is>
      </c>
      <c r="F7" s="13" t="inlineStr">
        <is>
          <t>TCVN 4054:2005</t>
        </is>
      </c>
      <c r="G7" s="13" t="inlineStr">
        <is>
          <t>TVGS + Nhà thầu</t>
        </is>
      </c>
      <c r="H7" s="12">
        <f>TIEN_DO_THI_CONG_WBS!J7</f>
        <v/>
      </c>
      <c r="I7" s="12" t="inlineStr">
        <is>
          <t>Đạt yêu cầu</t>
        </is>
      </c>
    </row>
    <row r="8">
      <c r="A8" s="5" t="n">
        <v>3</v>
      </c>
      <c r="B8" s="5" t="inlineStr">
        <is>
          <t>BBNT-03</t>
        </is>
      </c>
      <c r="C8" s="6" t="inlineStr">
        <is>
          <t>Kiểm định vật liệu xây dựng đầu vào (Thép, Xi măng, Cát, Đá)</t>
        </is>
      </c>
      <c r="D8" s="8" t="n">
        <v>1</v>
      </c>
      <c r="E8" s="5" t="inlineStr">
        <is>
          <t>Lô</t>
        </is>
      </c>
      <c r="F8" s="6" t="inlineStr">
        <is>
          <t>TCVN 1651:2018</t>
        </is>
      </c>
      <c r="G8" s="6" t="inlineStr">
        <is>
          <t>TVGS + Nhà thầu + Lab</t>
        </is>
      </c>
      <c r="H8" s="5">
        <f>TIEN_DO_THI_CONG_WBS!J8</f>
        <v/>
      </c>
      <c r="I8" s="5" t="inlineStr">
        <is>
          <t>Đạt yêu cầu</t>
        </is>
      </c>
    </row>
    <row r="9">
      <c r="A9" s="12" t="n">
        <v>4</v>
      </c>
      <c r="B9" s="12" t="inlineStr">
        <is>
          <t>BBNT-04</t>
        </is>
      </c>
      <c r="C9" s="13" t="inlineStr">
        <is>
          <t>Thi công bãi đúc dầm T15m và lắp đặt trạm trộn</t>
        </is>
      </c>
      <c r="D9" s="15" t="n">
        <v>1</v>
      </c>
      <c r="E9" s="12" t="inlineStr">
        <is>
          <t>Bãi</t>
        </is>
      </c>
      <c r="F9" s="13" t="inlineStr">
        <is>
          <t>TCVN 11823:2017</t>
        </is>
      </c>
      <c r="G9" s="13" t="inlineStr">
        <is>
          <t>TVGS + Nhà thầu</t>
        </is>
      </c>
      <c r="H9" s="12">
        <f>TIEN_DO_THI_CONG_WBS!J9</f>
        <v/>
      </c>
      <c r="I9" s="12" t="inlineStr">
        <is>
          <t>Đạt yêu cầu</t>
        </is>
      </c>
    </row>
    <row r="10">
      <c r="A10" s="5" t="n">
        <v>5</v>
      </c>
      <c r="B10" s="5" t="inlineStr">
        <is>
          <t>BBNT-05</t>
        </is>
      </c>
      <c r="C10" s="6" t="inlineStr">
        <is>
          <t>Đào hố móng mố M1 và xử lý bề mặt tầng đá nứt nẻ</t>
        </is>
      </c>
      <c r="D10" s="8" t="n">
        <v>185</v>
      </c>
      <c r="E10" s="5" t="inlineStr">
        <is>
          <t>m3</t>
        </is>
      </c>
      <c r="F10" s="6" t="inlineStr">
        <is>
          <t>TCVN 11823:2017</t>
        </is>
      </c>
      <c r="G10" s="6" t="inlineStr">
        <is>
          <t>TVGS + Nhà thầu</t>
        </is>
      </c>
      <c r="H10" s="5">
        <f>TIEN_DO_THI_CONG_WBS!J10</f>
        <v/>
      </c>
      <c r="I10" s="5" t="inlineStr">
        <is>
          <t>Đạt yêu cầu</t>
        </is>
      </c>
    </row>
    <row r="11">
      <c r="A11" s="12" t="n">
        <v>6</v>
      </c>
      <c r="B11" s="12" t="inlineStr">
        <is>
          <t>BBNT-06</t>
        </is>
      </c>
      <c r="C11" s="13" t="inlineStr">
        <is>
          <t>Khoan cấy cốt thép neo D32 vào nền đá hố móng mố M1</t>
        </is>
      </c>
      <c r="D11" s="15" t="n">
        <v>49</v>
      </c>
      <c r="E11" s="12" t="inlineStr">
        <is>
          <t>lỗ</t>
        </is>
      </c>
      <c r="F11" s="13" t="inlineStr">
        <is>
          <t>TCVN 11823:2017</t>
        </is>
      </c>
      <c r="G11" s="13" t="inlineStr">
        <is>
          <t>TVGS + Nhà thầu</t>
        </is>
      </c>
      <c r="H11" s="12">
        <f>TIEN_DO_THI_CONG_WBS!J11</f>
        <v/>
      </c>
      <c r="I11" s="12" t="inlineStr">
        <is>
          <t>Đạt yêu cầu</t>
        </is>
      </c>
    </row>
    <row r="12">
      <c r="A12" s="5" t="n">
        <v>7</v>
      </c>
      <c r="B12" s="5" t="inlineStr">
        <is>
          <t>BBNT-07</t>
        </is>
      </c>
      <c r="C12" s="6" t="inlineStr">
        <is>
          <t>Đổ bê tông đệm móng mố M1 mác C10 (M150)</t>
        </is>
      </c>
      <c r="D12" s="8" t="n">
        <v>4.67</v>
      </c>
      <c r="E12" s="5" t="inlineStr">
        <is>
          <t>m3</t>
        </is>
      </c>
      <c r="F12" s="6" t="inlineStr">
        <is>
          <t>TCVN 3105:2022</t>
        </is>
      </c>
      <c r="G12" s="6" t="inlineStr">
        <is>
          <t>TVGS + Nhà thầu</t>
        </is>
      </c>
      <c r="H12" s="5">
        <f>TIEN_DO_THI_CONG_WBS!J12</f>
        <v/>
      </c>
      <c r="I12" s="5" t="inlineStr">
        <is>
          <t>Đạt yêu cầu</t>
        </is>
      </c>
    </row>
    <row r="13">
      <c r="A13" s="12" t="n">
        <v>8</v>
      </c>
      <c r="B13" s="12" t="inlineStr">
        <is>
          <t>BBNT-08</t>
        </is>
      </c>
      <c r="C13" s="13" t="inlineStr">
        <is>
          <t>Lắp dựng cốt thép và ván khuôn móng mố M1</t>
        </is>
      </c>
      <c r="D13" s="15" t="n">
        <v>17.5</v>
      </c>
      <c r="E13" s="12" t="inlineStr">
        <is>
          <t>Tấn</t>
        </is>
      </c>
      <c r="F13" s="13" t="inlineStr">
        <is>
          <t>TCVN 1651:2018</t>
        </is>
      </c>
      <c r="G13" s="13" t="inlineStr">
        <is>
          <t>TVGS + Nhà thầu</t>
        </is>
      </c>
      <c r="H13" s="12">
        <f>TIEN_DO_THI_CONG_WBS!J13</f>
        <v/>
      </c>
      <c r="I13" s="12" t="inlineStr">
        <is>
          <t>Đạt yêu cầu</t>
        </is>
      </c>
    </row>
    <row r="14">
      <c r="A14" s="5" t="n">
        <v>9</v>
      </c>
      <c r="B14" s="5" t="inlineStr">
        <is>
          <t>BBNT-09</t>
        </is>
      </c>
      <c r="C14" s="6" t="inlineStr">
        <is>
          <t>Đổ bê tông móng mố M1 mác C30 (M350)</t>
        </is>
      </c>
      <c r="D14" s="8" t="n">
        <v>110</v>
      </c>
      <c r="E14" s="5" t="inlineStr">
        <is>
          <t>m3</t>
        </is>
      </c>
      <c r="F14" s="6" t="inlineStr">
        <is>
          <t>TCVN 3105:2022</t>
        </is>
      </c>
      <c r="G14" s="6" t="inlineStr">
        <is>
          <t>TVGS + Nhà thầu</t>
        </is>
      </c>
      <c r="H14" s="5">
        <f>TIEN_DO_THI_CONG_WBS!J14</f>
        <v/>
      </c>
      <c r="I14" s="5" t="inlineStr">
        <is>
          <t>Đạt yêu cầu</t>
        </is>
      </c>
    </row>
    <row r="15">
      <c r="A15" s="12" t="n">
        <v>10</v>
      </c>
      <c r="B15" s="12" t="inlineStr">
        <is>
          <t>BBNT-10</t>
        </is>
      </c>
      <c r="C15" s="13" t="inlineStr">
        <is>
          <t>Đào hố móng và khoan cấy thép neo nền đá mố M2</t>
        </is>
      </c>
      <c r="D15" s="15" t="n">
        <v>49</v>
      </c>
      <c r="E15" s="12" t="inlineStr">
        <is>
          <t>lỗ</t>
        </is>
      </c>
      <c r="F15" s="13" t="inlineStr">
        <is>
          <t>TCVN 11823:2017</t>
        </is>
      </c>
      <c r="G15" s="13" t="inlineStr">
        <is>
          <t>TVGS + Nhà thầu</t>
        </is>
      </c>
      <c r="H15" s="12">
        <f>TIEN_DO_THI_CONG_WBS!J15</f>
        <v/>
      </c>
      <c r="I15" s="12" t="inlineStr">
        <is>
          <t>Đạt yêu cầu</t>
        </is>
      </c>
    </row>
    <row r="16">
      <c r="A16" s="5" t="n">
        <v>11</v>
      </c>
      <c r="B16" s="5" t="inlineStr">
        <is>
          <t>BBNT-11</t>
        </is>
      </c>
      <c r="C16" s="6" t="inlineStr">
        <is>
          <t>Đổ bê tông đệm và bê tông móng mố M2 C30</t>
        </is>
      </c>
      <c r="D16" s="8" t="n">
        <v>114.67</v>
      </c>
      <c r="E16" s="5" t="inlineStr">
        <is>
          <t>m3</t>
        </is>
      </c>
      <c r="F16" s="6" t="inlineStr">
        <is>
          <t>TCVN 3105:2022</t>
        </is>
      </c>
      <c r="G16" s="6" t="inlineStr">
        <is>
          <t>TVGS + Nhà thầu</t>
        </is>
      </c>
      <c r="H16" s="5">
        <f>TIEN_DO_THI_CONG_WBS!J16</f>
        <v/>
      </c>
      <c r="I16" s="5" t="inlineStr">
        <is>
          <t>Đạt yêu cầu</t>
        </is>
      </c>
    </row>
    <row r="17">
      <c r="A17" s="12" t="n">
        <v>12</v>
      </c>
      <c r="B17" s="12" t="inlineStr">
        <is>
          <t>BBNT-12</t>
        </is>
      </c>
      <c r="C17" s="13" t="inlineStr">
        <is>
          <t>Thi công thân mố, tường ngực và tường cánh M1 C30</t>
        </is>
      </c>
      <c r="D17" s="15" t="n">
        <v>84.64</v>
      </c>
      <c r="E17" s="12" t="inlineStr">
        <is>
          <t>m3</t>
        </is>
      </c>
      <c r="F17" s="13" t="inlineStr">
        <is>
          <t>TCVN 11823:2017</t>
        </is>
      </c>
      <c r="G17" s="13" t="inlineStr">
        <is>
          <t>TVGS + Nhà thầu</t>
        </is>
      </c>
      <c r="H17" s="12">
        <f>TIEN_DO_THI_CONG_WBS!J17</f>
        <v/>
      </c>
      <c r="I17" s="12" t="inlineStr">
        <is>
          <t>Đạt yêu cầu</t>
        </is>
      </c>
    </row>
    <row r="18">
      <c r="A18" s="5" t="n">
        <v>13</v>
      </c>
      <c r="B18" s="5" t="inlineStr">
        <is>
          <t>BBNT-13</t>
        </is>
      </c>
      <c r="C18" s="6" t="inlineStr">
        <is>
          <t>Thi công thân mố, tường ngực và tường cánh M2 C30</t>
        </is>
      </c>
      <c r="D18" s="8" t="n">
        <v>84.64</v>
      </c>
      <c r="E18" s="5" t="inlineStr">
        <is>
          <t>m3</t>
        </is>
      </c>
      <c r="F18" s="6" t="inlineStr">
        <is>
          <t>TCVN 11823:2017</t>
        </is>
      </c>
      <c r="G18" s="6" t="inlineStr">
        <is>
          <t>TVGS + Nhà thầu</t>
        </is>
      </c>
      <c r="H18" s="5">
        <f>TIEN_DO_THI_CONG_WBS!J18</f>
        <v/>
      </c>
      <c r="I18" s="5" t="inlineStr">
        <is>
          <t>Đạt yêu cầu</t>
        </is>
      </c>
    </row>
    <row r="19">
      <c r="A19" s="12" t="n">
        <v>14</v>
      </c>
      <c r="B19" s="12" t="inlineStr">
        <is>
          <t>BBNT-14</t>
        </is>
      </c>
      <c r="C19" s="13" t="inlineStr">
        <is>
          <t>Đúc 4 phiến dầm chủ T15m mác C40 tại bãi đúc dầm</t>
        </is>
      </c>
      <c r="D19" s="15" t="n">
        <v>37</v>
      </c>
      <c r="E19" s="12" t="inlineStr">
        <is>
          <t>m3</t>
        </is>
      </c>
      <c r="F19" s="13" t="inlineStr">
        <is>
          <t>TCVN 11823:2017</t>
        </is>
      </c>
      <c r="G19" s="13" t="inlineStr">
        <is>
          <t>TVGS + Nhà thầu</t>
        </is>
      </c>
      <c r="H19" s="12">
        <f>TIEN_DO_THI_CONG_WBS!J19</f>
        <v/>
      </c>
      <c r="I19" s="12" t="inlineStr">
        <is>
          <t>Đạt yêu cầu</t>
        </is>
      </c>
    </row>
    <row r="20">
      <c r="A20" s="5" t="n">
        <v>15</v>
      </c>
      <c r="B20" s="5" t="inlineStr">
        <is>
          <t>BBNT-15</t>
        </is>
      </c>
      <c r="C20" s="6" t="inlineStr">
        <is>
          <t>Bảo dưỡng bê tông dầm T15m và nghiệm thu xuất xưởng</t>
        </is>
      </c>
      <c r="D20" s="8" t="n">
        <v>4</v>
      </c>
      <c r="E20" s="5" t="inlineStr">
        <is>
          <t>Dầm</t>
        </is>
      </c>
      <c r="F20" s="6" t="inlineStr">
        <is>
          <t>TCVN 3105:2022</t>
        </is>
      </c>
      <c r="G20" s="6" t="inlineStr">
        <is>
          <t>TVGS + Nhà thầu</t>
        </is>
      </c>
      <c r="H20" s="5">
        <f>TIEN_DO_THI_CONG_WBS!J20</f>
        <v/>
      </c>
      <c r="I20" s="5" t="inlineStr">
        <is>
          <t>Đạt yêu cầu</t>
        </is>
      </c>
    </row>
    <row r="21">
      <c r="A21" s="12" t="n">
        <v>16</v>
      </c>
      <c r="B21" s="12" t="inlineStr">
        <is>
          <t>BBNT-16</t>
        </is>
      </c>
      <c r="C21" s="13" t="inlineStr">
        <is>
          <t>Lắp đặt đá kê gối và 8 gối cao su bản thép 350x500x84mm</t>
        </is>
      </c>
      <c r="D21" s="15" t="n">
        <v>8</v>
      </c>
      <c r="E21" s="12" t="inlineStr">
        <is>
          <t>cái</t>
        </is>
      </c>
      <c r="F21" s="13" t="inlineStr">
        <is>
          <t>TCVN 11823:2017</t>
        </is>
      </c>
      <c r="G21" s="13" t="inlineStr">
        <is>
          <t>TVGS + Nhà thầu</t>
        </is>
      </c>
      <c r="H21" s="12">
        <f>TIEN_DO_THI_CONG_WBS!J21</f>
        <v/>
      </c>
      <c r="I21" s="12" t="inlineStr">
        <is>
          <t>Đạt yêu cầu</t>
        </is>
      </c>
    </row>
    <row r="22">
      <c r="A22" s="5" t="n">
        <v>17</v>
      </c>
      <c r="B22" s="5" t="inlineStr">
        <is>
          <t>BBNT-17</t>
        </is>
      </c>
      <c r="C22" s="6" t="inlineStr">
        <is>
          <t>Lao lắp 4 phiến dầm chủ T15m vào vị trí mố M1 - M2</t>
        </is>
      </c>
      <c r="D22" s="8" t="n">
        <v>4</v>
      </c>
      <c r="E22" s="5" t="inlineStr">
        <is>
          <t>Dầm</t>
        </is>
      </c>
      <c r="F22" s="6" t="inlineStr">
        <is>
          <t>TCVN 11823:2017</t>
        </is>
      </c>
      <c r="G22" s="6" t="inlineStr">
        <is>
          <t>TVGS + Nhà thầu</t>
        </is>
      </c>
      <c r="H22" s="5">
        <f>TIEN_DO_THI_CONG_WBS!J22</f>
        <v/>
      </c>
      <c r="I22" s="5" t="inlineStr">
        <is>
          <t>Đạt yêu cầu</t>
        </is>
      </c>
    </row>
    <row r="23">
      <c r="A23" s="12" t="n">
        <v>18</v>
      </c>
      <c r="B23" s="12" t="inlineStr">
        <is>
          <t>BBNT-18</t>
        </is>
      </c>
      <c r="C23" s="13" t="inlineStr">
        <is>
          <t>Thi công 3 dầm ngang C30 liên kết dầm chủ</t>
        </is>
      </c>
      <c r="D23" s="15" t="n">
        <v>2.86</v>
      </c>
      <c r="E23" s="12" t="inlineStr">
        <is>
          <t>m3</t>
        </is>
      </c>
      <c r="F23" s="13" t="inlineStr">
        <is>
          <t>TCVN 11823:2017</t>
        </is>
      </c>
      <c r="G23" s="13" t="inlineStr">
        <is>
          <t>TVGS + Nhà thầu</t>
        </is>
      </c>
      <c r="H23" s="12">
        <f>TIEN_DO_THI_CONG_WBS!J23</f>
        <v/>
      </c>
      <c r="I23" s="12" t="inlineStr">
        <is>
          <t>Đạt yêu cầu</t>
        </is>
      </c>
    </row>
    <row r="24">
      <c r="A24" s="5" t="n">
        <v>19</v>
      </c>
      <c r="B24" s="5" t="inlineStr">
        <is>
          <t>BBNT-19</t>
        </is>
      </c>
      <c r="C24" s="6" t="inlineStr">
        <is>
          <t>Lắp dựng cốt thép và đổ bê tông bản mặt cầu C35 dày 12cm</t>
        </is>
      </c>
      <c r="D24" s="8" t="n">
        <v>14.44</v>
      </c>
      <c r="E24" s="5" t="inlineStr">
        <is>
          <t>m3</t>
        </is>
      </c>
      <c r="F24" s="6" t="inlineStr">
        <is>
          <t>TCVN 3105:2022</t>
        </is>
      </c>
      <c r="G24" s="6" t="inlineStr">
        <is>
          <t>TVGS + Nhà thầu</t>
        </is>
      </c>
      <c r="H24" s="5">
        <f>TIEN_DO_THI_CONG_WBS!J24</f>
        <v/>
      </c>
      <c r="I24" s="5" t="inlineStr">
        <is>
          <t>Đạt yêu cầu</t>
        </is>
      </c>
    </row>
    <row r="25">
      <c r="A25" s="12" t="n">
        <v>20</v>
      </c>
      <c r="B25" s="12" t="inlineStr">
        <is>
          <t>BBNT-20</t>
        </is>
      </c>
      <c r="C25" s="13" t="inlineStr">
        <is>
          <t>Thi công gờ lan can C25 và lắp đặt lan can thép mạ kẽm</t>
        </is>
      </c>
      <c r="D25" s="15" t="n">
        <v>12.56</v>
      </c>
      <c r="E25" s="12" t="inlineStr">
        <is>
          <t>m3</t>
        </is>
      </c>
      <c r="F25" s="13" t="inlineStr">
        <is>
          <t>TCVN 11823:2017</t>
        </is>
      </c>
      <c r="G25" s="13" t="inlineStr">
        <is>
          <t>TVGS + Nhà thầu</t>
        </is>
      </c>
      <c r="H25" s="12">
        <f>TIEN_DO_THI_CONG_WBS!J25</f>
        <v/>
      </c>
      <c r="I25" s="12" t="inlineStr">
        <is>
          <t>Đạt yêu cầu</t>
        </is>
      </c>
    </row>
    <row r="26">
      <c r="A26" s="5" t="n">
        <v>21</v>
      </c>
      <c r="B26" s="5" t="inlineStr">
        <is>
          <t>BBNT-21</t>
        </is>
      </c>
      <c r="C26" s="6" t="inlineStr">
        <is>
          <t>Thi công bản quá độ hai đầu cầu và tường chắn đất C25</t>
        </is>
      </c>
      <c r="D26" s="8" t="n">
        <v>12.53</v>
      </c>
      <c r="E26" s="5" t="inlineStr">
        <is>
          <t>m3</t>
        </is>
      </c>
      <c r="F26" s="6" t="inlineStr">
        <is>
          <t>TCVN 11823:2017</t>
        </is>
      </c>
      <c r="G26" s="6" t="inlineStr">
        <is>
          <t>TVGS + Nhà thầu</t>
        </is>
      </c>
      <c r="H26" s="5">
        <f>TIEN_DO_THI_CONG_WBS!J26</f>
        <v/>
      </c>
      <c r="I26" s="5" t="inlineStr">
        <is>
          <t>Đạt yêu cầu</t>
        </is>
      </c>
    </row>
    <row r="27">
      <c r="A27" s="12" t="n">
        <v>22</v>
      </c>
      <c r="B27" s="12" t="inlineStr">
        <is>
          <t>BBNT-22</t>
        </is>
      </c>
      <c r="C27" s="13" t="inlineStr">
        <is>
          <t>Lắp khe co giãn, thảm BTNC 19, thử tải và bàn giao</t>
        </is>
      </c>
      <c r="D27" s="15" t="n">
        <v>1</v>
      </c>
      <c r="E27" s="12" t="inlineStr">
        <is>
          <t>Cầu</t>
        </is>
      </c>
      <c r="F27" s="13" t="inlineStr">
        <is>
          <t>TCVN 11823:2017</t>
        </is>
      </c>
      <c r="G27" s="13" t="inlineStr">
        <is>
          <t>Chủ đầu tư + TVGS + NT</t>
        </is>
      </c>
      <c r="H27" s="12">
        <f>TIEN_DO_THI_CONG_WBS!J27</f>
        <v/>
      </c>
      <c r="I27" s="12" t="inlineStr">
        <is>
          <t>Đạt yêu cầu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2">
      <c r="B2" s="51" t="inlineStr">
        <is>
          <t>CHỌN SỐ BIÊN BẢN (1 - 22):</t>
        </is>
      </c>
      <c r="C2" s="52" t="n">
        <v>14</v>
      </c>
      <c r="D2" s="53" t="inlineStr">
        <is>
          <t>(Nhập số thứ tự từ 1 đến 22 để tự động nhảy toàn bộ nội dung biên bản A4)</t>
        </is>
      </c>
    </row>
    <row r="4">
      <c r="B4" s="54" t="inlineStr">
        <is>
          <t>CỘNG HÒA XÃ HỘI CHỦ NGHĨA VIỆT NAM</t>
        </is>
      </c>
    </row>
    <row r="5">
      <c r="B5" s="55" t="inlineStr">
        <is>
          <t>Độc lập - Tự do - Hạnh phúc</t>
        </is>
      </c>
    </row>
    <row r="6">
      <c r="B6" s="56" t="inlineStr">
        <is>
          <t>-------------------------</t>
        </is>
      </c>
    </row>
    <row r="8">
      <c r="B8" s="57" t="inlineStr">
        <is>
          <t>BIÊN BẢN LẤY MẪU THÍ NGHIỆM TẠI HIỆN TRƯỜNG</t>
        </is>
      </c>
    </row>
    <row r="9">
      <c r="B9" s="58">
        <f>"Số: " &amp; TEXT(C2, "00") &amp; "/BBNT-XD/KHAI-HOANG-2"</f>
        <v/>
      </c>
    </row>
    <row r="11">
      <c r="B11" s="53" t="inlineStr">
        <is>
          <t>Căn cứ Luật Xây dựng số 135/2025/QH15;</t>
        </is>
      </c>
    </row>
    <row r="12">
      <c r="B12" s="53" t="inlineStr">
        <is>
          <t>Căn cứ Nghị định số 207/2026/NĐ-CP ngày 15/01/2026 của Chính phủ về quản lý chất lượng công trình;</t>
        </is>
      </c>
    </row>
    <row r="13">
      <c r="B13" s="53" t="inlineStr">
        <is>
          <t>Căn cứ Hợp đồng thi công xây dựng số 09/2026/HĐ-XL gói thầu xây lắp Cầu thôn Khai Hoang 2;</t>
        </is>
      </c>
    </row>
    <row r="14">
      <c r="B14" s="53" t="inlineStr">
        <is>
          <t>Căn cứ Hồ sơ thiết kế bản vẽ thi công và Chỉ dẫn kỹ thuật được phê duyệt.</t>
        </is>
      </c>
    </row>
    <row r="16">
      <c r="B16" s="51" t="inlineStr">
        <is>
          <t>1. Tên công trình / Dự án:</t>
        </is>
      </c>
      <c r="C16" t="inlineStr">
        <is>
          <t>Đường từ trung tâm huyện Đồng Văn đi Mốc 450/456, huyện Mèo Vạc, Hà Giang</t>
        </is>
      </c>
    </row>
    <row r="17">
      <c r="B17" s="51" t="inlineStr">
        <is>
          <t>2. Hạng mục công trình:</t>
        </is>
      </c>
      <c r="C17" t="inlineStr">
        <is>
          <t>CẦU THÔN KHAI HOANG 2, KM14+363.65 (Nhịp dầm T 15m)</t>
        </is>
      </c>
    </row>
    <row r="18">
      <c r="B18" s="51" t="inlineStr">
        <is>
          <t>3. Địa điểm xây dựng:</t>
        </is>
      </c>
      <c r="C18" t="inlineStr">
        <is>
          <t>Km14+363.65, Huyện Mèo Vạc, Tỉnh Hà Giang</t>
        </is>
      </c>
    </row>
    <row r="19">
      <c r="B19" s="51" t="inlineStr">
        <is>
          <t>4. Đối tượng nghiệm thu:</t>
        </is>
      </c>
      <c r="C19" s="59">
        <f>VLOOKUP(C2, HOSO_KCS_NGHIEM_THU!$A$6:$H$27, 3, FALSE)</f>
        <v/>
      </c>
    </row>
    <row r="20">
      <c r="B20" s="51" t="inlineStr">
        <is>
          <t>5. Khối lượng nghiệm thu:</t>
        </is>
      </c>
      <c r="C20" s="51">
        <f>TEXT(VLOOKUP(C2, HOSO_KCS_NGHIEM_THU!$A$6:$H$27, 4, FALSE), "#,##0.00") &amp; " " &amp; VLOOKUP(C2, HOSO_KCS_NGHIEM_THU!$A$6:$H$27, 5, FALSE)</f>
        <v/>
      </c>
    </row>
    <row r="21">
      <c r="B21" s="51" t="inlineStr">
        <is>
          <t>6. Tiêu chuẩn kỹ thuật áp dụng:</t>
        </is>
      </c>
      <c r="C21" s="60">
        <f>VLOOKUP(C2, HOSO_KCS_NGHIEM_THU!$A$6:$H$27, 6, FALSE)</f>
        <v/>
      </c>
    </row>
    <row r="22">
      <c r="B22" s="51" t="inlineStr">
        <is>
          <t>7. Thời gian nghiệm thu:</t>
        </is>
      </c>
      <c r="C22" s="60">
        <f>"Bắt đầu: 08 giờ 30 phút - Kết thúc: 11 giờ 30 phút, ngày " &amp; TEXT(VLOOKUP(C2, HOSO_KCS_NGHIEM_THU!$A$6:$H$27, 8, FALSE), "dd/mm/yyyy")</f>
        <v/>
      </c>
    </row>
    <row r="24">
      <c r="B24" s="51" t="inlineStr">
        <is>
          <t>8. Thành phần trực tiếp nghiệm thu:</t>
        </is>
      </c>
    </row>
    <row r="25">
      <c r="B25" s="51" t="inlineStr">
        <is>
          <t>a) Đại diện Tư vấn giám sát (TVGS):</t>
        </is>
      </c>
      <c r="C25" t="inlineStr">
        <is>
          <t>- Ông: Dương Văn Lâm       - Chức vụ: Kỹ sư Giám sát trưởng</t>
        </is>
      </c>
    </row>
    <row r="26">
      <c r="B26" s="51" t="inlineStr">
        <is>
          <t>b) Đại diện Nhà thầu thi công:</t>
        </is>
      </c>
      <c r="C26" t="inlineStr">
        <is>
          <t>- Ông: Trần Việt Hải        - Chức vụ: Chỉ huy trưởng công trường</t>
        </is>
      </c>
    </row>
    <row r="27">
      <c r="C27" t="inlineStr">
        <is>
          <t>- Ông: Ngô Văn Quang        - Chức vụ: Kỹ sư QA/QC hiện trường</t>
        </is>
      </c>
    </row>
    <row r="29">
      <c r="B29" s="51" t="inlineStr">
        <is>
          <t>9. Đánh giá kết quả công việc đã thực hiện:</t>
        </is>
      </c>
    </row>
    <row r="30">
      <c r="B30" s="60" t="inlineStr">
        <is>
          <t>- Về kích thước hình học, cao độ, tim mốc: Đạt yêu cầu theo hồ sơ thiết kế bản vẽ thi công.</t>
        </is>
      </c>
    </row>
    <row r="31">
      <c r="B31" s="60" t="inlineStr">
        <is>
          <t>- Về chất lượng vật liệu, chứng chỉ xuất xưởng, kết quả thí nghiệm KCS: Đạt yêu cầu theo tiêu chuẩn áp dụng.</t>
        </is>
      </c>
    </row>
    <row r="32">
      <c r="B32" s="60" t="inlineStr">
        <is>
          <t>- Về an toàn lao động, vệ sinh môi trường: Tuân thủ đầy đủ biện pháp thi công được duyệt.</t>
        </is>
      </c>
    </row>
    <row r="34">
      <c r="B34" s="51" t="inlineStr">
        <is>
          <t>10. Kết luận nghiệm thu:</t>
        </is>
      </c>
    </row>
    <row r="35">
      <c r="B35" s="61" t="inlineStr">
        <is>
          <t>CHẤP THUẬN NGHIỆM THU CÔNG VIỆC XÂY DỰNG. ĐỒNG Ý CHO PHÉP TRIỂN KHAI BƯỚC THI CÔNG TIẾP THEO.</t>
        </is>
      </c>
    </row>
    <row r="38">
      <c r="B38" s="62" t="inlineStr">
        <is>
          <t>ĐẠI DIỆN NHÀ THẦU THI CÔNG</t>
        </is>
      </c>
      <c r="E38" s="62" t="inlineStr">
        <is>
          <t>ĐẠI DIỆN TƯ VẤN GIÁM SÁT</t>
        </is>
      </c>
    </row>
    <row r="44">
      <c r="B44" s="62" t="inlineStr">
        <is>
          <t>Trần Việt Hải</t>
        </is>
      </c>
      <c r="E44" s="62" t="inlineStr">
        <is>
          <t>Dương Văn Lâm</t>
        </is>
      </c>
    </row>
  </sheetData>
  <mergeCells count="23">
    <mergeCell ref="B8:G8"/>
    <mergeCell ref="B44:D44"/>
    <mergeCell ref="B38:D38"/>
    <mergeCell ref="C26:G26"/>
    <mergeCell ref="C20:G20"/>
    <mergeCell ref="C16:G16"/>
    <mergeCell ref="B9:G9"/>
    <mergeCell ref="C25:G25"/>
    <mergeCell ref="B30:G30"/>
    <mergeCell ref="C22:G22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C19:G19"/>
    <mergeCell ref="E44:G44"/>
    <mergeCell ref="C18:G18"/>
    <mergeCell ref="E38:G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2">
      <c r="B2" s="51" t="inlineStr">
        <is>
          <t>CHỌN MÃ VẬT LIỆU (1 - 16):</t>
        </is>
      </c>
      <c r="C2" s="52" t="n">
        <v>1</v>
      </c>
      <c r="D2" s="53" t="inlineStr">
        <is>
          <t>(Nhập mã từ 1 đến 16 theo danh mục ma trận tần suất thí nghiệm để tự nhảy biên bản)</t>
        </is>
      </c>
    </row>
    <row r="4">
      <c r="B4" s="54" t="inlineStr">
        <is>
          <t>CỘNG HÒA XÃ HỘI CHỦ NGHĨA VIỆT NAM</t>
        </is>
      </c>
    </row>
    <row r="5">
      <c r="B5" s="55" t="inlineStr">
        <is>
          <t>Độc lập - Tự do - Hạnh phúc</t>
        </is>
      </c>
    </row>
    <row r="8">
      <c r="B8" s="57" t="inlineStr">
        <is>
          <t>BIÊN BẢN NGHIỆM THU VẬT LIỆU XÂY DỰNG ĐẦU VÀO</t>
        </is>
      </c>
    </row>
    <row r="9">
      <c r="B9" s="63">
        <f>"Số: " &amp; TEXT(C2, "00") &amp; "/BBNT-VL/KHAI-HOANG-2"</f>
        <v/>
      </c>
    </row>
    <row r="12">
      <c r="B12" s="51" t="inlineStr">
        <is>
          <t>1. Tên vật liệu nghiệm thu:</t>
        </is>
      </c>
      <c r="C12" s="59">
        <f>VLOOKUP(C2, CAP_PHOI_1M3_VA_TAN_SUAT!$A$23:$L$38, 2, FALSE)</f>
        <v/>
      </c>
    </row>
    <row r="13">
      <c r="B13" s="51" t="inlineStr">
        <is>
          <t>2. Khối lượng nghiệm thu lô hàng:</t>
        </is>
      </c>
      <c r="C13" s="51">
        <f>TEXT(VLOOKUP(C2, CAP_PHOI_1M3_VA_TAN_SUAT!$A$23:$L$38, 7, FALSE), "#,##0.00") &amp; " " &amp; VLOOKUP(C2, CAP_PHOI_1M3_VA_TAN_SUAT!$A$23:$L$38, 6, FALSE)</f>
        <v/>
      </c>
    </row>
    <row r="14">
      <c r="B14" s="51" t="inlineStr">
        <is>
          <t>3. Tiêu chuẩn kỹ thuật áp dụng:</t>
        </is>
      </c>
      <c r="C14" s="60">
        <f>VLOOKUP(C2, CAP_PHOI_1M3_VA_TAN_SUAT!$A$23:$L$38, 3, FALSE)</f>
        <v/>
      </c>
    </row>
    <row r="15">
      <c r="B15" s="51" t="inlineStr">
        <is>
          <t>4. Chỉ tiêu kiểm tra chất lượng:</t>
        </is>
      </c>
      <c r="C15" s="60">
        <f>VLOOKUP(C2, CAP_PHOI_1M3_VA_TAN_SUAT!$A$23:$L$38, 4, FALSE)</f>
        <v/>
      </c>
    </row>
    <row r="16">
      <c r="B16" s="51" t="inlineStr">
        <is>
          <t>5. Quy cách và số lượng tổ mẫu thí nghiệm:</t>
        </is>
      </c>
      <c r="C16" s="60">
        <f>VLOOKUP(C2, CAP_PHOI_1M3_VA_TAN_SUAT!$A$23:$L$38, 10, FALSE) &amp; " (Số tổ mẫu: " &amp; VLOOKUP(C2, CAP_PHOI_1M3_VA_TAN_SUAT!$A$23:$L$38, 9, FALSE) &amp; " tổ)"</f>
        <v/>
      </c>
    </row>
    <row r="17">
      <c r="B17" s="51" t="inlineStr">
        <is>
          <t>6. Đơn vị thực hiện thí nghiệm:</t>
        </is>
      </c>
      <c r="C17" s="60">
        <f>VLOOKUP(C2, CAP_PHOI_1M3_VA_TAN_SUAT!$A$23:$L$38, 11, FALSE)</f>
        <v/>
      </c>
    </row>
    <row r="18">
      <c r="B18" s="51" t="inlineStr">
        <is>
          <t>7. Điều kiện nghiệm thu / Chuyển bước:</t>
        </is>
      </c>
      <c r="C18" s="51">
        <f>VLOOKUP(C2, CAP_PHOI_1M3_VA_TAN_SUAT!$A$23:$L$38, 12, FALSE)</f>
        <v/>
      </c>
    </row>
    <row r="20">
      <c r="B20" s="51" t="inlineStr">
        <is>
          <t>8. Kết luận nghiệm thu:</t>
        </is>
      </c>
    </row>
    <row r="21">
      <c r="B21" s="61" t="inlineStr">
        <is>
          <t>VẬT LIỆU ĐẠT TIÊU CHUẨN KỸ THUẬT THEO QUY ĐỊNH. ĐỒNG Ý CHO PHÉP ĐƯA VÀO SỬ DỤNG TRONG THI CÔNG.</t>
        </is>
      </c>
    </row>
    <row r="24">
      <c r="B24" s="62" t="inlineStr">
        <is>
          <t>ĐẠI DIỆN NHÀ THẦU THI CÔNG</t>
        </is>
      </c>
      <c r="E24" s="62" t="inlineStr">
        <is>
          <t>ĐẠI DIỆN TƯ VẤN GIÁM SÁT</t>
        </is>
      </c>
    </row>
    <row r="30">
      <c r="B30" s="62" t="inlineStr">
        <is>
          <t>Trần Việt Hải</t>
        </is>
      </c>
      <c r="E30" s="62" t="inlineStr">
        <is>
          <t>Dương Văn Lâm</t>
        </is>
      </c>
    </row>
  </sheetData>
  <mergeCells count="16">
    <mergeCell ref="B21:G21"/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C18:G18"/>
    <mergeCell ref="B24:D24"/>
    <mergeCell ref="C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2">
      <c r="B2" s="51" t="inlineStr">
        <is>
          <t>CHỌN MÃ HẠNG MỤC LẤY MẪU (17 - 26):</t>
        </is>
      </c>
      <c r="C2" s="52" t="n">
        <v>22</v>
      </c>
      <c r="D2" s="53" t="inlineStr">
        <is>
          <t>(Nhập mã từ 17 đến 26 tương ứng các hạng mục mẫu nén bê tông để tự động điền form)</t>
        </is>
      </c>
    </row>
    <row r="3">
      <c r="B3" s="51" t="inlineStr">
        <is>
          <t>CHỌN NGÀY ĐÚC MẪU (YYYY-MM-DD):</t>
        </is>
      </c>
      <c r="C3" s="64" t="inlineStr">
        <is>
          <t>2026-12-20</t>
        </is>
      </c>
      <c r="D3" s="53" t="inlineStr">
        <is>
          <t>(Tự động tính ngày nén mẫu R7 = Ngày đúc + 7, R28 = Ngày đúc + 28 theo đúng quy định)</t>
        </is>
      </c>
    </row>
    <row r="5">
      <c r="B5" s="54" t="inlineStr">
        <is>
          <t>CỘNG HÒA XÃ HỘI CHỦ NGHĨA VIỆT NAM</t>
        </is>
      </c>
    </row>
    <row r="6">
      <c r="B6" s="55" t="inlineStr">
        <is>
          <t>Độc lập - Tự do - Hạnh phúc</t>
        </is>
      </c>
    </row>
    <row r="9">
      <c r="B9" s="63">
        <f>"Số: " &amp; TEXT(C2, "00") &amp; "/BBLM-HT/KHAI-HOANG-2"</f>
        <v/>
      </c>
    </row>
    <row r="12">
      <c r="B12" s="51" t="inlineStr">
        <is>
          <t>1. Đối tượng và cấu kiện lấy mẫu:</t>
        </is>
      </c>
      <c r="C12" s="59">
        <f>VLOOKUP(C2, CAP_PHOI_1M3_VA_TAN_SUAT!$A$23:$L$51, 2, FALSE)</f>
        <v/>
      </c>
    </row>
    <row r="13">
      <c r="B13" s="51" t="inlineStr">
        <is>
          <t>2. Thể tích bê tông / Quy mô mẻ đổ:</t>
        </is>
      </c>
      <c r="C13" s="51">
        <f>TEXT(VLOOKUP(C2, CAP_PHOI_1M3_VA_TAN_SUAT!$A$23:$L$51, 7, FALSE), "#,##0.00") &amp; " " &amp; VLOOKUP(C2, CAP_PHOI_1M3_VA_TAN_SUAT!$A$23:$L$51, 6, FALSE)</f>
        <v/>
      </c>
    </row>
    <row r="14">
      <c r="B14" s="51" t="inlineStr">
        <is>
          <t>3. Quy định số tổ mẫu bắt buộc:</t>
        </is>
      </c>
      <c r="C14" s="51">
        <f>VLOOKUP(C2, CAP_PHOI_1M3_VA_TAN_SUAT!$A$23:$L$51, 9, FALSE) &amp; " tổ mẫu (" &amp; VLOOKUP(C2, CAP_PHOI_1M3_VA_TAN_SUAT!$A$23:$L$51, 10, FALSE) &amp; ")"</f>
        <v/>
      </c>
    </row>
    <row r="15">
      <c r="B15" s="51" t="inlineStr">
        <is>
          <t>4. Tiêu chuẩn lấy mẫu &amp; thử nghiệm:</t>
        </is>
      </c>
      <c r="C15" s="60">
        <f>VLOOKUP(C2, CAP_PHOI_1M3_VA_TAN_SUAT!$A$23:$L$51, 3, FALSE)</f>
        <v/>
      </c>
    </row>
    <row r="16">
      <c r="B16" s="51" t="inlineStr">
        <is>
          <t>5. Phương pháp bảo dưỡng mẫu:</t>
        </is>
      </c>
      <c r="C16" s="60" t="inlineStr">
        <is>
          <t>Bảo dưỡng ẩm tiêu chuẩn trong phòng thí nghiệm (TCVN 3105:2022)</t>
        </is>
      </c>
    </row>
    <row r="17">
      <c r="B17" s="51" t="inlineStr">
        <is>
          <t>6. Kế hoạch nén kiểm tra cường độ:</t>
        </is>
      </c>
      <c r="C17" s="51">
        <f>"Nén kiểm tra R7 ngày (" &amp; TEXT(DATEVALUE(C3)+7, "dd/mm/yyyy") &amp; "): Đạt &gt;= 70-80% f'c | Nén R28 ngày (" &amp; TEXT(DATEVALUE(C3)+28, "dd/mm/yyyy") &amp; "): Đạt &gt;= 100% f'c"</f>
        <v/>
      </c>
    </row>
    <row r="19">
      <c r="B19" s="51" t="inlineStr">
        <is>
          <t>7. Tình trạng mẫu khi bàn giao:</t>
        </is>
      </c>
    </row>
    <row r="20">
      <c r="B20" s="53" t="inlineStr">
        <is>
          <t>Mẫu đúc nguyên vẹn, bề mặt phẳng đều, dán nhãn ghi rõ ngày đúc, vị trí cấu kiện và ký hiệu tổ mẫu.</t>
        </is>
      </c>
    </row>
    <row r="23">
      <c r="B23" s="62" t="inlineStr">
        <is>
          <t>CÁN BỘ LẤY MẪU THÍ NGHIỆM (LAS-XD)</t>
        </is>
      </c>
      <c r="E23" s="62" t="inlineStr">
        <is>
          <t>GIÁM SÁT HIỆN TRƯỜNG (TVGS)</t>
        </is>
      </c>
    </row>
    <row r="29">
      <c r="B29" s="62" t="inlineStr">
        <is>
          <t>Nguyễn Văn Thí Nghiệm</t>
        </is>
      </c>
      <c r="E29" s="62" t="inlineStr">
        <is>
          <t>Dương Văn Lâm</t>
        </is>
      </c>
    </row>
  </sheetData>
  <mergeCells count="14">
    <mergeCell ref="B20:G20"/>
    <mergeCell ref="C12:G12"/>
    <mergeCell ref="B5:G5"/>
    <mergeCell ref="B23:D23"/>
    <mergeCell ref="C16:G16"/>
    <mergeCell ref="E23:G23"/>
    <mergeCell ref="C15:G15"/>
    <mergeCell ref="B9:G9"/>
    <mergeCell ref="C14:G14"/>
    <mergeCell ref="B29:D29"/>
    <mergeCell ref="C13:G13"/>
    <mergeCell ref="E29:G29"/>
    <mergeCell ref="C17:G1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2026-09-27T08:24:20Z</dcterms:created>
  <dcterms:modified xmlns:dcterms="http://purl.org/dc/terms/" xmlns:xsi="http://www.w3.org/2001/XMLSchema-instance" xsi:type="dcterms:W3CDTF">2026-09-27T08:24:52Z</dcterms:modified>
</cp:coreProperties>
</file>