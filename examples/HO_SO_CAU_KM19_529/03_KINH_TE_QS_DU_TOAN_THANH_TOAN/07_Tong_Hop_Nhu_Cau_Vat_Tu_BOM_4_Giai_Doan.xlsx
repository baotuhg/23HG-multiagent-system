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_VAT_TU_TOAN_BO" sheetId="1" state="visible" r:id="rId1"/>
    <sheet xmlns:r="http://schemas.openxmlformats.org/officeDocument/2006/relationships" name="PHAN_TICH_VAT_TU_WBS" sheetId="2" state="visible" r:id="rId2"/>
    <sheet xmlns:r="http://schemas.openxmlformats.org/officeDocument/2006/relationships" name="CUNG_UNG_4_GIAI_DO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0"/>
  </numFmts>
  <fonts count="7">
    <font>
      <name val="Calibri"/>
      <family val="2"/>
      <color theme="1"/>
      <sz val="11"/>
      <scheme val="minor"/>
    </font>
    <font>
      <name val="Times New Roman"/>
      <b val="1"/>
      <color rgb="001F497D"/>
      <sz val="13"/>
    </font>
    <font>
      <name val="Times New Roman"/>
      <b val="1"/>
      <color rgb="001F497D"/>
      <sz val="10"/>
    </font>
    <font>
      <name val="Times New Roman"/>
      <i val="1"/>
      <color rgb="00595959"/>
      <sz val="10"/>
    </font>
    <font>
      <name val="Times New Roman"/>
      <b val="1"/>
      <color rgb="00FFFFFF"/>
      <sz val="9"/>
    </font>
    <font>
      <name val="Times New Roman"/>
      <b val="1"/>
      <sz val="9"/>
    </font>
    <font>
      <name val="Times New Roman"/>
      <sz val="9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4" fontId="5" fillId="3" borderId="1" applyAlignment="1" pivotButton="0" quotePrefix="0" xfId="0">
      <alignment horizontal="right" vertical="center"/>
    </xf>
    <xf numFmtId="0" fontId="5" fillId="3" borderId="1" pivotButton="0" quotePrefix="0" xfId="0"/>
    <xf numFmtId="0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4" fontId="5" fillId="0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24" customWidth="1" min="3" max="3"/>
    <col width="10" customWidth="1" min="4" max="4"/>
    <col width="24" customWidth="1" min="5" max="5"/>
    <col width="20" customWidth="1" min="6" max="6"/>
    <col width="26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/>
    <row r="2">
      <c r="B2" s="1" t="inlineStr">
        <is>
          <t>DỰ ÁN: CAO TỐC TUYÊN QUANG - HÀ GIANG (GIAI ĐOẠN 1) - CẦU KM19+529.080</t>
        </is>
      </c>
    </row>
    <row r="3">
      <c r="B3" s="2" t="inlineStr">
        <is>
          <t>BẢNG TỔNG HỢP NHU CẦU VẬT TƯ TOÀN CÔNG TRÌNH &amp; KẾ HOẠCH CUNG ỨNG (BOM)</t>
        </is>
      </c>
    </row>
    <row r="4">
      <c r="B4" s="3" t="inlineStr">
        <is>
          <t>Tổng hợp tự động 100% công thức (=SUMIF) từ bảng phân rã WBS; Kế hoạch phân bổ theo 4 giai đoạn thi công</t>
        </is>
      </c>
    </row>
    <row r="5" ht="28" customHeight="1">
      <c r="A5" s="4" t="inlineStr">
        <is>
          <t>TT</t>
        </is>
      </c>
      <c r="B5" s="4" t="inlineStr">
        <is>
          <t>Tên chủng loại vật tư</t>
        </is>
      </c>
      <c r="C5" s="4" t="inlineStr">
        <is>
          <t>Tiêu chuẩn kỹ thuật</t>
        </is>
      </c>
      <c r="D5" s="4" t="inlineStr">
        <is>
          <t>ĐVT</t>
        </is>
      </c>
      <c r="E5" s="4" t="inlineStr">
        <is>
          <t>Hao phí định mức lý thuyết</t>
        </is>
      </c>
      <c r="F5" s="4" t="inlineStr">
        <is>
          <t>Tỷ lệ hao hụt TT12 (%)</t>
        </is>
      </c>
      <c r="G5" s="4" t="inlineStr">
        <is>
          <t>Tổng nhu cầu cung ứng (BOM)</t>
        </is>
      </c>
      <c r="H5" s="4" t="inlineStr">
        <is>
          <t>GĐ 1: Cọc nhồi</t>
        </is>
      </c>
      <c r="I5" s="4" t="inlineStr">
        <is>
          <t>GĐ 2: Mố &amp; Trụ</t>
        </is>
      </c>
      <c r="J5" s="4" t="inlineStr">
        <is>
          <t>GĐ 3: Dầm &amp; Mặt cầu</t>
        </is>
      </c>
      <c r="K5" s="4" t="inlineStr">
        <is>
          <t>GĐ 4: Hoàn thiện</t>
        </is>
      </c>
    </row>
    <row r="6" ht="22" customHeight="1">
      <c r="A6" s="5" t="n"/>
      <c r="B6" s="6" t="inlineStr">
        <is>
          <t>I. SẮT THÉP CÁC LOẠI (CỐT THÉP, CÁP DỰ ỨNG LỰC &amp; PHỤ KIỆN)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 ht="20" customHeight="1">
      <c r="A7" s="7" t="inlineStr">
        <is>
          <t>1</t>
        </is>
      </c>
      <c r="B7" s="8" t="inlineStr">
        <is>
          <t>Thép đai tròn trơn Ø10 (CB240-T)</t>
        </is>
      </c>
      <c r="C7" s="8" t="inlineStr">
        <is>
          <t>TCVN 1651:2018</t>
        </is>
      </c>
      <c r="D7" s="7" t="inlineStr">
        <is>
          <t>Tấn</t>
        </is>
      </c>
      <c r="E7" s="9">
        <f>SUMIF(PHAN_TICH_VAT_TU_WBS!$F$6:$F$140, "*Ø10*", PHAN_TICH_VAT_TU_WBS!$I$6:$I$140)</f>
        <v/>
      </c>
      <c r="F7" s="10" t="n">
        <v>0.015</v>
      </c>
      <c r="G7" s="11">
        <f>E7*(1+F7)</f>
        <v/>
      </c>
      <c r="H7" s="9">
        <f>G7*0.4</f>
        <v/>
      </c>
      <c r="I7" s="9">
        <f>G7*0.2</f>
        <v/>
      </c>
      <c r="J7" s="9">
        <f>G7*0.4</f>
        <v/>
      </c>
      <c r="K7" s="9">
        <f>G7*0.0</f>
        <v/>
      </c>
    </row>
    <row r="8" ht="20" customHeight="1">
      <c r="A8" s="7" t="inlineStr">
        <is>
          <t>2</t>
        </is>
      </c>
      <c r="B8" s="8" t="inlineStr">
        <is>
          <t>Thép cốt vằn Ø12 (CB400-V)</t>
        </is>
      </c>
      <c r="C8" s="8" t="inlineStr">
        <is>
          <t>TCVN 1651:2018</t>
        </is>
      </c>
      <c r="D8" s="7" t="inlineStr">
        <is>
          <t>Tấn</t>
        </is>
      </c>
      <c r="E8" s="9">
        <f>SUMIF(PHAN_TICH_VAT_TU_WBS!$F$6:$F$140, "*Ø12*", PHAN_TICH_VAT_TU_WBS!$I$6:$I$140)/1000</f>
        <v/>
      </c>
      <c r="F8" s="10" t="n">
        <v>0.015</v>
      </c>
      <c r="G8" s="11">
        <f>E8*(1+F8)</f>
        <v/>
      </c>
      <c r="H8" s="9">
        <f>G8*0.0</f>
        <v/>
      </c>
      <c r="I8" s="9">
        <f>G8*0.0</f>
        <v/>
      </c>
      <c r="J8" s="9">
        <f>G8*0.0</f>
        <v/>
      </c>
      <c r="K8" s="9">
        <f>G8*1.0</f>
        <v/>
      </c>
    </row>
    <row r="9" ht="20" customHeight="1">
      <c r="A9" s="7" t="inlineStr">
        <is>
          <t>3</t>
        </is>
      </c>
      <c r="B9" s="8" t="inlineStr">
        <is>
          <t>Thép bản cánh &amp; mặt cầu vằn Ø14 (CB400-V)</t>
        </is>
      </c>
      <c r="C9" s="8" t="inlineStr">
        <is>
          <t>TCVN 1651:2018</t>
        </is>
      </c>
      <c r="D9" s="7" t="inlineStr">
        <is>
          <t>Tấn</t>
        </is>
      </c>
      <c r="E9" s="9">
        <f>SUMIF(PHAN_TICH_VAT_TU_WBS!$F$6:$F$140, "*Ø14*", PHAN_TICH_VAT_TU_WBS!$I$6:$I$140)</f>
        <v/>
      </c>
      <c r="F9" s="10" t="n">
        <v>0.015</v>
      </c>
      <c r="G9" s="11">
        <f>E9*(1+F9)</f>
        <v/>
      </c>
      <c r="H9" s="9">
        <f>G9*0.0</f>
        <v/>
      </c>
      <c r="I9" s="9">
        <f>G9*0.0</f>
        <v/>
      </c>
      <c r="J9" s="9">
        <f>G9*1.0</f>
        <v/>
      </c>
      <c r="K9" s="9">
        <f>G9*0.0</f>
        <v/>
      </c>
    </row>
    <row r="10" ht="20" customHeight="1">
      <c r="A10" s="7" t="inlineStr">
        <is>
          <t>4</t>
        </is>
      </c>
      <c r="B10" s="8" t="inlineStr">
        <is>
          <t>Thép đai &amp; sườn dầm vằn Ø16 (CB400-V)</t>
        </is>
      </c>
      <c r="C10" s="8" t="inlineStr">
        <is>
          <t>TCVN 1651:2018</t>
        </is>
      </c>
      <c r="D10" s="7" t="inlineStr">
        <is>
          <t>Tấn</t>
        </is>
      </c>
      <c r="E10" s="9">
        <f>SUMIF(PHAN_TICH_VAT_TU_WBS!$F$6:$F$140, "*Ø16*", PHAN_TICH_VAT_TU_WBS!$I$6:$I$140)</f>
        <v/>
      </c>
      <c r="F10" s="10" t="n">
        <v>0.015</v>
      </c>
      <c r="G10" s="11">
        <f>E10*(1+F10)</f>
        <v/>
      </c>
      <c r="H10" s="9">
        <f>G10*0.25</f>
        <v/>
      </c>
      <c r="I10" s="9">
        <f>G10*0.15</f>
        <v/>
      </c>
      <c r="J10" s="9">
        <f>G10*0.5</f>
        <v/>
      </c>
      <c r="K10" s="9">
        <f>G10*0.1</f>
        <v/>
      </c>
    </row>
    <row r="11" ht="20" customHeight="1">
      <c r="A11" s="7" t="inlineStr">
        <is>
          <t>5</t>
        </is>
      </c>
      <c r="B11" s="8" t="inlineStr">
        <is>
          <t>Thép phân bố bệ móng vằn Ø20 (CB500-V)</t>
        </is>
      </c>
      <c r="C11" s="8" t="inlineStr">
        <is>
          <t>TCVN 1651:2018</t>
        </is>
      </c>
      <c r="D11" s="7" t="inlineStr">
        <is>
          <t>Tấn</t>
        </is>
      </c>
      <c r="E11" s="9">
        <f>SUMIF(PHAN_TICH_VAT_TU_WBS!$F$6:$F$140, "*Ø20*", PHAN_TICH_VAT_TU_WBS!$I$6:$I$140)</f>
        <v/>
      </c>
      <c r="F11" s="10" t="n">
        <v>0.015</v>
      </c>
      <c r="G11" s="11">
        <f>E11*(1+F11)</f>
        <v/>
      </c>
      <c r="H11" s="9">
        <f>G11*0.0</f>
        <v/>
      </c>
      <c r="I11" s="9">
        <f>G11*1.0</f>
        <v/>
      </c>
      <c r="J11" s="9">
        <f>G11*0.0</f>
        <v/>
      </c>
      <c r="K11" s="9">
        <f>G11*0.0</f>
        <v/>
      </c>
    </row>
    <row r="12" ht="20" customHeight="1">
      <c r="A12" s="7" t="inlineStr">
        <is>
          <t>6</t>
        </is>
      </c>
      <c r="B12" s="8" t="inlineStr">
        <is>
          <t>Thép chủ cọc khoan nhồi vằn Ø25 (CB500-V)</t>
        </is>
      </c>
      <c r="C12" s="8" t="inlineStr">
        <is>
          <t>TCVN 1651:2018</t>
        </is>
      </c>
      <c r="D12" s="7" t="inlineStr">
        <is>
          <t>Tấn</t>
        </is>
      </c>
      <c r="E12" s="9">
        <f>SUMIF(PHAN_TICH_VAT_TU_WBS!$F$6:$F$140, "*Ø25*", PHAN_TICH_VAT_TU_WBS!$I$6:$I$140)</f>
        <v/>
      </c>
      <c r="F12" s="10" t="n">
        <v>0.015</v>
      </c>
      <c r="G12" s="11">
        <f>E12*(1+F12)</f>
        <v/>
      </c>
      <c r="H12" s="9">
        <f>G12*1.0</f>
        <v/>
      </c>
      <c r="I12" s="9">
        <f>G12*0.0</f>
        <v/>
      </c>
      <c r="J12" s="9">
        <f>G12*0.0</f>
        <v/>
      </c>
      <c r="K12" s="9">
        <f>G12*0.0</f>
        <v/>
      </c>
    </row>
    <row r="13" ht="20" customHeight="1">
      <c r="A13" s="7" t="inlineStr">
        <is>
          <t>7</t>
        </is>
      </c>
      <c r="B13" s="8" t="inlineStr">
        <is>
          <t>Thép thân mố &amp; xà mũ vằn Ø28 (CB500-V)</t>
        </is>
      </c>
      <c r="C13" s="8" t="inlineStr">
        <is>
          <t>TCVN 1651:2018</t>
        </is>
      </c>
      <c r="D13" s="7" t="inlineStr">
        <is>
          <t>Tấn</t>
        </is>
      </c>
      <c r="E13" s="9">
        <f>SUMIF(PHAN_TICH_VAT_TU_WBS!$F$6:$F$140, "*Ø28*", PHAN_TICH_VAT_TU_WBS!$I$6:$I$140)</f>
        <v/>
      </c>
      <c r="F13" s="10" t="n">
        <v>0.015</v>
      </c>
      <c r="G13" s="11">
        <f>E13*(1+F13)</f>
        <v/>
      </c>
      <c r="H13" s="9">
        <f>G13*0.0</f>
        <v/>
      </c>
      <c r="I13" s="9">
        <f>G13*1.0</f>
        <v/>
      </c>
      <c r="J13" s="9">
        <f>G13*0.0</f>
        <v/>
      </c>
      <c r="K13" s="9">
        <f>G13*0.0</f>
        <v/>
      </c>
    </row>
    <row r="14" ht="20" customHeight="1">
      <c r="A14" s="7" t="inlineStr">
        <is>
          <t>8</t>
        </is>
      </c>
      <c r="B14" s="8" t="inlineStr">
        <is>
          <t>Thép bệ móng &amp; thân trụ vằn Ø32 (CB500-V)</t>
        </is>
      </c>
      <c r="C14" s="8" t="inlineStr">
        <is>
          <t>TCVN 1651:2018</t>
        </is>
      </c>
      <c r="D14" s="7" t="inlineStr">
        <is>
          <t>Tấn</t>
        </is>
      </c>
      <c r="E14" s="9">
        <f>SUMIF(PHAN_TICH_VAT_TU_WBS!$F$6:$F$140, "*Ø32*", PHAN_TICH_VAT_TU_WBS!$I$6:$I$140)</f>
        <v/>
      </c>
      <c r="F14" s="10" t="n">
        <v>0.015</v>
      </c>
      <c r="G14" s="11">
        <f>E14*(1+F14)</f>
        <v/>
      </c>
      <c r="H14" s="9">
        <f>G14*0.0</f>
        <v/>
      </c>
      <c r="I14" s="9">
        <f>G14*1.0</f>
        <v/>
      </c>
      <c r="J14" s="9">
        <f>G14*0.0</f>
        <v/>
      </c>
      <c r="K14" s="9">
        <f>G14*0.0</f>
        <v/>
      </c>
    </row>
    <row r="15" ht="20" customHeight="1">
      <c r="A15" s="7" t="inlineStr">
        <is>
          <t>9</t>
        </is>
      </c>
      <c r="B15" s="8" t="inlineStr">
        <is>
          <t>Cáp dự ứng lực tao 15.2mm Grade 270</t>
        </is>
      </c>
      <c r="C15" s="8" t="inlineStr">
        <is>
          <t>ASTM A416 Gr270</t>
        </is>
      </c>
      <c r="D15" s="7" t="inlineStr">
        <is>
          <t>Tấn</t>
        </is>
      </c>
      <c r="E15" s="9">
        <f>SUMIF(PHAN_TICH_VAT_TU_WBS!$F$6:$F$140, "*Cáp dự ứng lực*", PHAN_TICH_VAT_TU_WBS!$I$6:$I$140)</f>
        <v/>
      </c>
      <c r="F15" s="10" t="n">
        <v>0.015</v>
      </c>
      <c r="G15" s="11">
        <f>E15*(1+F15)</f>
        <v/>
      </c>
      <c r="H15" s="9">
        <f>G15*0.0</f>
        <v/>
      </c>
      <c r="I15" s="9">
        <f>G15*0.0</f>
        <v/>
      </c>
      <c r="J15" s="9">
        <f>G15*1.0</f>
        <v/>
      </c>
      <c r="K15" s="9">
        <f>G15*0.0</f>
        <v/>
      </c>
    </row>
    <row r="16" ht="20" customHeight="1">
      <c r="A16" s="7" t="inlineStr">
        <is>
          <t>10</t>
        </is>
      </c>
      <c r="B16" s="8" t="inlineStr">
        <is>
          <t>Bộ neo chùm dự ứng lực công tác</t>
        </is>
      </c>
      <c r="C16" s="8" t="inlineStr">
        <is>
          <t>TCVN 11823:2017</t>
        </is>
      </c>
      <c r="D16" s="7" t="inlineStr">
        <is>
          <t>Bộ</t>
        </is>
      </c>
      <c r="E16" s="9">
        <f>SUMIF(PHAN_TICH_VAT_TU_WBS!$F$6:$F$140, "*Bộ neo chùm*", PHAN_TICH_VAT_TU_WBS!$I$6:$I$140)</f>
        <v/>
      </c>
      <c r="F16" s="10" t="n">
        <v>0.01</v>
      </c>
      <c r="G16" s="11">
        <f>E16*(1+F16)</f>
        <v/>
      </c>
      <c r="H16" s="9">
        <f>G16*0.0</f>
        <v/>
      </c>
      <c r="I16" s="9">
        <f>G16*0.0</f>
        <v/>
      </c>
      <c r="J16" s="9">
        <f>G16*1.0</f>
        <v/>
      </c>
      <c r="K16" s="9">
        <f>G16*0.0</f>
        <v/>
      </c>
    </row>
    <row r="17" ht="20" customHeight="1">
      <c r="A17" s="7" t="inlineStr">
        <is>
          <t>11</t>
        </is>
      </c>
      <c r="B17" s="8" t="inlineStr">
        <is>
          <t>Ống ghen tôn mạ kẽm luồn cáp DƯL</t>
        </is>
      </c>
      <c r="C17" s="8" t="inlineStr">
        <is>
          <t>TCVN 11823:2017</t>
        </is>
      </c>
      <c r="D17" s="7" t="inlineStr">
        <is>
          <t>m</t>
        </is>
      </c>
      <c r="E17" s="9">
        <f>SUMIF(PHAN_TICH_VAT_TU_WBS!$F$6:$F$140, "*Ống ghen tôn*", PHAN_TICH_VAT_TU_WBS!$I$6:$I$140)</f>
        <v/>
      </c>
      <c r="F17" s="10" t="n">
        <v>0.02</v>
      </c>
      <c r="G17" s="11">
        <f>E17*(1+F17)</f>
        <v/>
      </c>
      <c r="H17" s="9">
        <f>G17*0.0</f>
        <v/>
      </c>
      <c r="I17" s="9">
        <f>G17*0.0</f>
        <v/>
      </c>
      <c r="J17" s="9">
        <f>G17*1.0</f>
        <v/>
      </c>
      <c r="K17" s="9">
        <f>G17*0.0</f>
        <v/>
      </c>
    </row>
    <row r="18" ht="20" customHeight="1">
      <c r="A18" s="7" t="inlineStr">
        <is>
          <t>12</t>
        </is>
      </c>
      <c r="B18" s="8" t="inlineStr">
        <is>
          <t>Ống siêu âm cọc nhồi thép Ø60x2</t>
        </is>
      </c>
      <c r="C18" s="8" t="inlineStr">
        <is>
          <t>ASTM A53 / TCVN 9395</t>
        </is>
      </c>
      <c r="D18" s="7" t="inlineStr">
        <is>
          <t>m</t>
        </is>
      </c>
      <c r="E18" s="9">
        <f>SUMIF(PHAN_TICH_VAT_TU_WBS!$F$6:$F$140, "*Ống siêu âm*", PHAN_TICH_VAT_TU_WBS!$I$6:$I$140)</f>
        <v/>
      </c>
      <c r="F18" s="10" t="n">
        <v>0.01</v>
      </c>
      <c r="G18" s="11">
        <f>E18*(1+F18)</f>
        <v/>
      </c>
      <c r="H18" s="9">
        <f>G18*1.0</f>
        <v/>
      </c>
      <c r="I18" s="9">
        <f>G18*0.0</f>
        <v/>
      </c>
      <c r="J18" s="9">
        <f>G18*0.0</f>
        <v/>
      </c>
      <c r="K18" s="9">
        <f>G18*0.0</f>
        <v/>
      </c>
    </row>
    <row r="19" ht="20" customHeight="1">
      <c r="A19" s="7" t="inlineStr">
        <is>
          <t>13</t>
        </is>
      </c>
      <c r="B19" s="8" t="inlineStr">
        <is>
          <t>Ống vách thép dẫn hướng D1300 d=8mm</t>
        </is>
      </c>
      <c r="C19" s="8" t="inlineStr">
        <is>
          <t>TCVN 9395:2012</t>
        </is>
      </c>
      <c r="D19" s="7" t="inlineStr">
        <is>
          <t>Tấn</t>
        </is>
      </c>
      <c r="E19" s="9">
        <f>SUMIF(PHAN_TICH_VAT_TU_WBS!$F$6:$F$140, "*Ống vách thép*", PHAN_TICH_VAT_TU_WBS!$I$6:$I$140)</f>
        <v/>
      </c>
      <c r="F19" s="10" t="n">
        <v>0.02</v>
      </c>
      <c r="G19" s="11">
        <f>E19*(1+F19)</f>
        <v/>
      </c>
      <c r="H19" s="9">
        <f>G19*1.0</f>
        <v/>
      </c>
      <c r="I19" s="9">
        <f>G19*0.0</f>
        <v/>
      </c>
      <c r="J19" s="9">
        <f>G19*0.0</f>
        <v/>
      </c>
      <c r="K19" s="9">
        <f>G19*0.0</f>
        <v/>
      </c>
    </row>
    <row r="20" ht="20" customHeight="1">
      <c r="A20" s="7" t="inlineStr">
        <is>
          <t>14</t>
        </is>
      </c>
      <c r="B20" s="8" t="inlineStr">
        <is>
          <t>Tay vịn lan can thép mạ kẽm nhúng nóng Ø114</t>
        </is>
      </c>
      <c r="C20" s="8" t="inlineStr">
        <is>
          <t>TCVN 11823:2017</t>
        </is>
      </c>
      <c r="D20" s="7" t="inlineStr">
        <is>
          <t>m</t>
        </is>
      </c>
      <c r="E20" s="9">
        <f>SUMIF(PHAN_TICH_VAT_TU_WBS!$F$6:$F$140, "*Tay vịn*", PHAN_TICH_VAT_TU_WBS!$I$6:$I$140)</f>
        <v/>
      </c>
      <c r="F20" s="10" t="n">
        <v>0.02</v>
      </c>
      <c r="G20" s="11">
        <f>E20*(1+F20)</f>
        <v/>
      </c>
      <c r="H20" s="9">
        <f>G20*0.0</f>
        <v/>
      </c>
      <c r="I20" s="9">
        <f>G20*0.0</f>
        <v/>
      </c>
      <c r="J20" s="9">
        <f>G20*0.0</f>
        <v/>
      </c>
      <c r="K20" s="9">
        <f>G20*1.0</f>
        <v/>
      </c>
    </row>
    <row r="21" ht="20" customHeight="1">
      <c r="A21" s="7" t="inlineStr">
        <is>
          <t>15</t>
        </is>
      </c>
      <c r="B21" s="8" t="inlineStr">
        <is>
          <t>Thép tấm khe co giãn răng lược D=100mm</t>
        </is>
      </c>
      <c r="C21" s="8" t="inlineStr">
        <is>
          <t>TCVN 11823:2017</t>
        </is>
      </c>
      <c r="D21" s="7" t="inlineStr">
        <is>
          <t>m</t>
        </is>
      </c>
      <c r="E21" s="9">
        <f>SUMIF(PHAN_TICH_VAT_TU_WBS!$F$6:$F$140, "*Thép tấm răng lược*", PHAN_TICH_VAT_TU_WBS!$I$6:$I$140)</f>
        <v/>
      </c>
      <c r="F21" s="10" t="n">
        <v>0.01</v>
      </c>
      <c r="G21" s="11">
        <f>E21*(1+F21)</f>
        <v/>
      </c>
      <c r="H21" s="9">
        <f>G21*0.0</f>
        <v/>
      </c>
      <c r="I21" s="9">
        <f>G21*0.0</f>
        <v/>
      </c>
      <c r="J21" s="9">
        <f>G21*0.0</f>
        <v/>
      </c>
      <c r="K21" s="9">
        <f>G21*1.0</f>
        <v/>
      </c>
    </row>
    <row r="22" ht="20" customHeight="1">
      <c r="A22" s="7" t="inlineStr">
        <is>
          <t>16</t>
        </is>
      </c>
      <c r="B22" s="8" t="inlineStr">
        <is>
          <t>Dây thép buộc 1 ly</t>
        </is>
      </c>
      <c r="C22" s="8" t="inlineStr">
        <is>
          <t>TCVN 1651:2018</t>
        </is>
      </c>
      <c r="D22" s="7" t="inlineStr">
        <is>
          <t>kg</t>
        </is>
      </c>
      <c r="E22" s="9">
        <f>SUMIF(PHAN_TICH_VAT_TU_WBS!$F$6:$F$140, "*Dây thép buộc*", PHAN_TICH_VAT_TU_WBS!$I$6:$I$140)</f>
        <v/>
      </c>
      <c r="F22" s="10" t="n">
        <v>0.03</v>
      </c>
      <c r="G22" s="11">
        <f>E22*(1+F22)</f>
        <v/>
      </c>
      <c r="H22" s="9">
        <f>G22*0.35</f>
        <v/>
      </c>
      <c r="I22" s="9">
        <f>G22*0.25</f>
        <v/>
      </c>
      <c r="J22" s="9">
        <f>G22*0.35</f>
        <v/>
      </c>
      <c r="K22" s="9">
        <f>G22*0.05</f>
        <v/>
      </c>
    </row>
    <row r="23" ht="20" customHeight="1">
      <c r="A23" s="7" t="inlineStr">
        <is>
          <t>17</t>
        </is>
      </c>
      <c r="B23" s="8" t="inlineStr">
        <is>
          <t>Que hàn điện E42/E50</t>
        </is>
      </c>
      <c r="C23" s="8" t="inlineStr">
        <is>
          <t>TCVN 3223:2000</t>
        </is>
      </c>
      <c r="D23" s="7" t="inlineStr">
        <is>
          <t>kg</t>
        </is>
      </c>
      <c r="E23" s="9">
        <f>SUMIF(PHAN_TICH_VAT_TU_WBS!$F$6:$F$140, "*Que hàn điện*", PHAN_TICH_VAT_TU_WBS!$I$6:$I$140)</f>
        <v/>
      </c>
      <c r="F23" s="10" t="n">
        <v>0.03</v>
      </c>
      <c r="G23" s="11">
        <f>E23*(1+F23)</f>
        <v/>
      </c>
      <c r="H23" s="9">
        <f>G23*0.5</f>
        <v/>
      </c>
      <c r="I23" s="9">
        <f>G23*0.3</f>
        <v/>
      </c>
      <c r="J23" s="9">
        <f>G23*0.2</f>
        <v/>
      </c>
      <c r="K23" s="9">
        <f>G23*0.0</f>
        <v/>
      </c>
    </row>
    <row r="24" ht="22" customHeight="1">
      <c r="A24" s="5" t="n"/>
      <c r="B24" s="6" t="inlineStr">
        <is>
          <t>II. KHOÁNG XÂY DỰNG &amp; CẤP PHỐI BÊ TÔNG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 ht="20" customHeight="1">
      <c r="A25" s="7" t="inlineStr">
        <is>
          <t>18</t>
        </is>
      </c>
      <c r="B25" s="8" t="inlineStr">
        <is>
          <t>Xi măng PCB40 (quy đổi Tấn)</t>
        </is>
      </c>
      <c r="C25" s="8" t="inlineStr">
        <is>
          <t>TCVN 6260:2020</t>
        </is>
      </c>
      <c r="D25" s="7" t="inlineStr">
        <is>
          <t>Tấn</t>
        </is>
      </c>
      <c r="E25" s="9">
        <f>SUMIF(PHAN_TICH_VAT_TU_WBS!$F$6:$F$140, "*Xi măng PCB40*", PHAN_TICH_VAT_TU_WBS!$I$6:$I$140)/1000</f>
        <v/>
      </c>
      <c r="F25" s="10" t="n">
        <v>0.01</v>
      </c>
      <c r="G25" s="11">
        <f>E25*(1+F25)</f>
        <v/>
      </c>
      <c r="H25" s="9">
        <f>G25*0.25</f>
        <v/>
      </c>
      <c r="I25" s="9">
        <f>G25*0.3</f>
        <v/>
      </c>
      <c r="J25" s="9">
        <f>G25*0.4</f>
        <v/>
      </c>
      <c r="K25" s="9">
        <f>G25*0.05</f>
        <v/>
      </c>
    </row>
    <row r="26" ht="20" customHeight="1">
      <c r="A26" s="7" t="inlineStr">
        <is>
          <t>19</t>
        </is>
      </c>
      <c r="B26" s="8" t="inlineStr">
        <is>
          <t>Cát vàng sàng rửa đúc bê tông (Mk &gt;= 2.0)</t>
        </is>
      </c>
      <c r="C26" s="8" t="inlineStr">
        <is>
          <t>TCVN 7570:2006</t>
        </is>
      </c>
      <c r="D26" s="7" t="inlineStr">
        <is>
          <t>m3</t>
        </is>
      </c>
      <c r="E26" s="9">
        <f>SUMIF(PHAN_TICH_VAT_TU_WBS!$F$6:$F$140, "*Cát vàng*", PHAN_TICH_VAT_TU_WBS!$I$6:$I$140)</f>
        <v/>
      </c>
      <c r="F26" s="10" t="n">
        <v>0.025</v>
      </c>
      <c r="G26" s="11">
        <f>E26*(1+F26)</f>
        <v/>
      </c>
      <c r="H26" s="9">
        <f>G26*0.25</f>
        <v/>
      </c>
      <c r="I26" s="9">
        <f>G26*0.3</f>
        <v/>
      </c>
      <c r="J26" s="9">
        <f>G26*0.4</f>
        <v/>
      </c>
      <c r="K26" s="9">
        <f>G26*0.05</f>
        <v/>
      </c>
    </row>
    <row r="27" ht="20" customHeight="1">
      <c r="A27" s="7" t="inlineStr">
        <is>
          <t>20</t>
        </is>
      </c>
      <c r="B27" s="8" t="inlineStr">
        <is>
          <t>Đá dăm 1x2 sạch chọn lọc</t>
        </is>
      </c>
      <c r="C27" s="8" t="inlineStr">
        <is>
          <t>TCVN 7570:2006</t>
        </is>
      </c>
      <c r="D27" s="7" t="inlineStr">
        <is>
          <t>m3</t>
        </is>
      </c>
      <c r="E27" s="9">
        <f>SUMIF(PHAN_TICH_VAT_TU_WBS!$F$6:$F$140, "*Đá dăm 1x2*", PHAN_TICH_VAT_TU_WBS!$I$6:$I$140)</f>
        <v/>
      </c>
      <c r="F27" s="10" t="n">
        <v>0.025</v>
      </c>
      <c r="G27" s="11">
        <f>E27*(1+F27)</f>
        <v/>
      </c>
      <c r="H27" s="9">
        <f>G27*0.25</f>
        <v/>
      </c>
      <c r="I27" s="9">
        <f>G27*0.3</f>
        <v/>
      </c>
      <c r="J27" s="9">
        <f>G27*0.4</f>
        <v/>
      </c>
      <c r="K27" s="9">
        <f>G27*0.05</f>
        <v/>
      </c>
    </row>
    <row r="28" ht="20" customHeight="1">
      <c r="A28" s="7" t="inlineStr">
        <is>
          <t>21</t>
        </is>
      </c>
      <c r="B28" s="8" t="inlineStr">
        <is>
          <t>Đá hộc 20x30cm kè tứ nón mố</t>
        </is>
      </c>
      <c r="C28" s="8" t="inlineStr">
        <is>
          <t>TCVN 11823:2017</t>
        </is>
      </c>
      <c r="D28" s="7" t="inlineStr">
        <is>
          <t>m3</t>
        </is>
      </c>
      <c r="E28" s="9">
        <f>SUMIF(PHAN_TICH_VAT_TU_WBS!$F$6:$F$140, "*Đá hộc*", PHAN_TICH_VAT_TU_WBS!$I$6:$I$140)</f>
        <v/>
      </c>
      <c r="F28" s="10" t="n">
        <v>0.02</v>
      </c>
      <c r="G28" s="11">
        <f>E28*(1+F28)</f>
        <v/>
      </c>
      <c r="H28" s="9">
        <f>G28*0.0</f>
        <v/>
      </c>
      <c r="I28" s="9">
        <f>G28*0.0</f>
        <v/>
      </c>
      <c r="J28" s="9">
        <f>G28*0.0</f>
        <v/>
      </c>
      <c r="K28" s="9">
        <f>G28*1.0</f>
        <v/>
      </c>
    </row>
    <row r="29" ht="20" customHeight="1">
      <c r="A29" s="7" t="inlineStr">
        <is>
          <t>22</t>
        </is>
      </c>
      <c r="B29" s="8" t="inlineStr">
        <is>
          <t>Đất đắp nền đường sau mố K98</t>
        </is>
      </c>
      <c r="C29" s="8" t="inlineStr">
        <is>
          <t>TCVN 9436:2012</t>
        </is>
      </c>
      <c r="D29" s="7" t="inlineStr">
        <is>
          <t>m3</t>
        </is>
      </c>
      <c r="E29" s="9">
        <f>SUMIF(PHAN_TICH_VAT_TU_WBS!$F$6:$F$140, "*Đất đắp*", PHAN_TICH_VAT_TU_WBS!$I$6:$I$140)</f>
        <v/>
      </c>
      <c r="F29" s="10" t="n">
        <v>0.03</v>
      </c>
      <c r="G29" s="11">
        <f>E29*(1+F29)</f>
        <v/>
      </c>
      <c r="H29" s="9">
        <f>G29*0.0</f>
        <v/>
      </c>
      <c r="I29" s="9">
        <f>G29*0.0</f>
        <v/>
      </c>
      <c r="J29" s="9">
        <f>G29*0.0</f>
        <v/>
      </c>
      <c r="K29" s="9">
        <f>G29*1.0</f>
        <v/>
      </c>
    </row>
    <row r="30" ht="20" customHeight="1">
      <c r="A30" s="7" t="inlineStr">
        <is>
          <t>23</t>
        </is>
      </c>
      <c r="B30" s="8" t="inlineStr">
        <is>
          <t>Nước sạch thi công &amp; dưỡng hộ (quy đổi m3)</t>
        </is>
      </c>
      <c r="C30" s="8" t="inlineStr">
        <is>
          <t>TCVN 4506:2012</t>
        </is>
      </c>
      <c r="D30" s="7" t="inlineStr">
        <is>
          <t>m3</t>
        </is>
      </c>
      <c r="E30" s="9">
        <f>SUMIF(PHAN_TICH_VAT_TU_WBS!$F$6:$F$140, "*Nước sạch*", PHAN_TICH_VAT_TU_WBS!$I$6:$I$140)/1000</f>
        <v/>
      </c>
      <c r="F30" s="10" t="n">
        <v>0.02</v>
      </c>
      <c r="G30" s="11">
        <f>E30*(1+F30)</f>
        <v/>
      </c>
      <c r="H30" s="9">
        <f>G30*0.25</f>
        <v/>
      </c>
      <c r="I30" s="9">
        <f>G30*0.3</f>
        <v/>
      </c>
      <c r="J30" s="9">
        <f>G30*0.4</f>
        <v/>
      </c>
      <c r="K30" s="9">
        <f>G30*0.05</f>
        <v/>
      </c>
    </row>
    <row r="31" ht="22" customHeight="1">
      <c r="A31" s="5" t="n"/>
      <c r="B31" s="6" t="inlineStr">
        <is>
          <t>III. PHỤ GIA VÀ HÓA CHẤT XÂY DỰNG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 ht="20" customHeight="1">
      <c r="A32" s="7" t="inlineStr">
        <is>
          <t>24</t>
        </is>
      </c>
      <c r="B32" s="8" t="inlineStr">
        <is>
          <t>Phụ gia siêu dẻo Polycarboxylate thế hệ 3</t>
        </is>
      </c>
      <c r="C32" s="8" t="inlineStr">
        <is>
          <t>ASTM C494 Type F/G</t>
        </is>
      </c>
      <c r="D32" s="7" t="inlineStr">
        <is>
          <t>kg</t>
        </is>
      </c>
      <c r="E32" s="9">
        <f>SUMIF(PHAN_TICH_VAT_TU_WBS!$F$6:$F$140, "*Phụ gia siêu dẻo*", PHAN_TICH_VAT_TU_WBS!$I$6:$I$140)</f>
        <v/>
      </c>
      <c r="F32" s="10" t="n">
        <v>0.01</v>
      </c>
      <c r="G32" s="11">
        <f>E32*(1+F32)</f>
        <v/>
      </c>
      <c r="H32" s="9">
        <f>G32*0.0</f>
        <v/>
      </c>
      <c r="I32" s="9">
        <f>G32*0.3</f>
        <v/>
      </c>
      <c r="J32" s="9">
        <f>G32*0.7</f>
        <v/>
      </c>
      <c r="K32" s="9">
        <f>G32*0.0</f>
        <v/>
      </c>
    </row>
    <row r="33" ht="20" customHeight="1">
      <c r="A33" s="7" t="inlineStr">
        <is>
          <t>25</t>
        </is>
      </c>
      <c r="B33" s="8" t="inlineStr">
        <is>
          <t>Phụ gia hoá dẻo chậm đông kết</t>
        </is>
      </c>
      <c r="C33" s="8" t="inlineStr">
        <is>
          <t>ASTM C494 Type G</t>
        </is>
      </c>
      <c r="D33" s="7" t="inlineStr">
        <is>
          <t>kg</t>
        </is>
      </c>
      <c r="E33" s="9">
        <f>SUMIF(PHAN_TICH_VAT_TU_WBS!$F$6:$F$140, "*Phụ gia hoá dẻo*", PHAN_TICH_VAT_TU_WBS!$I$6:$I$140)</f>
        <v/>
      </c>
      <c r="F33" s="10" t="n">
        <v>0.01</v>
      </c>
      <c r="G33" s="11">
        <f>E33*(1+F33)</f>
        <v/>
      </c>
      <c r="H33" s="9">
        <f>G33*1.0</f>
        <v/>
      </c>
      <c r="I33" s="9">
        <f>G33*0.0</f>
        <v/>
      </c>
      <c r="J33" s="9">
        <f>G33*0.0</f>
        <v/>
      </c>
      <c r="K33" s="9">
        <f>G33*0.0</f>
        <v/>
      </c>
    </row>
    <row r="34" ht="20" customHeight="1">
      <c r="A34" s="7" t="inlineStr">
        <is>
          <t>26</t>
        </is>
      </c>
      <c r="B34" s="8" t="inlineStr">
        <is>
          <t>Vữa rót không co ngót bơm ghen SikaGrout 214-11</t>
        </is>
      </c>
      <c r="C34" s="8" t="inlineStr">
        <is>
          <t>ASTM C1107</t>
        </is>
      </c>
      <c r="D34" s="7" t="inlineStr">
        <is>
          <t>kg</t>
        </is>
      </c>
      <c r="E34" s="9">
        <f>SUMIF(PHAN_TICH_VAT_TU_WBS!$F$6:$F$140, "*Vữa không co ngót*", PHAN_TICH_VAT_TU_WBS!$I$6:$I$140)</f>
        <v/>
      </c>
      <c r="F34" s="10" t="n">
        <v>0.015</v>
      </c>
      <c r="G34" s="11">
        <f>E34*(1+F34)</f>
        <v/>
      </c>
      <c r="H34" s="9">
        <f>G34*0.0</f>
        <v/>
      </c>
      <c r="I34" s="9">
        <f>G34*0.0</f>
        <v/>
      </c>
      <c r="J34" s="9">
        <f>G34*1.0</f>
        <v/>
      </c>
      <c r="K34" s="9">
        <f>G34*0.0</f>
        <v/>
      </c>
    </row>
    <row r="35" ht="20" customHeight="1">
      <c r="A35" s="7" t="inlineStr">
        <is>
          <t>27</t>
        </is>
      </c>
      <c r="B35" s="8" t="inlineStr">
        <is>
          <t>Bột sét Bentonite tạo vách cọc khoan nhồi</t>
        </is>
      </c>
      <c r="C35" s="8" t="inlineStr">
        <is>
          <t>TCVN 9395:2012</t>
        </is>
      </c>
      <c r="D35" s="7" t="inlineStr">
        <is>
          <t>Tấn</t>
        </is>
      </c>
      <c r="E35" s="9">
        <f>SUMIF(PHAN_TICH_VAT_TU_WBS!$F$6:$F$140, "*Bentonite*", PHAN_TICH_VAT_TU_WBS!$I$6:$I$140)/1000</f>
        <v/>
      </c>
      <c r="F35" s="10" t="n">
        <v>0.02</v>
      </c>
      <c r="G35" s="11">
        <f>E35*(1+F35)</f>
        <v/>
      </c>
      <c r="H35" s="9">
        <f>G35*1.0</f>
        <v/>
      </c>
      <c r="I35" s="9">
        <f>G35*0.0</f>
        <v/>
      </c>
      <c r="J35" s="9">
        <f>G35*0.0</f>
        <v/>
      </c>
      <c r="K35" s="9">
        <f>G35*0.0</f>
        <v/>
      </c>
    </row>
    <row r="36" ht="22" customHeight="1">
      <c r="A36" s="5" t="n"/>
      <c r="B36" s="6" t="inlineStr">
        <is>
          <t>IV. PHỤ KIỆN &amp; VẬT LIỆU HOÀN THIỆN CẦU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 ht="20" customHeight="1">
      <c r="A37" s="7" t="inlineStr">
        <is>
          <t>28</t>
        </is>
      </c>
      <c r="B37" s="8" t="inlineStr">
        <is>
          <t>Gối chậu cao su cốt bản thép chịu lực</t>
        </is>
      </c>
      <c r="C37" s="8" t="inlineStr">
        <is>
          <t>TCVN 11823:2017</t>
        </is>
      </c>
      <c r="D37" s="7" t="inlineStr">
        <is>
          <t>Cái</t>
        </is>
      </c>
      <c r="E37" s="9">
        <f>SUMIF(PHAN_TICH_VAT_TU_WBS!$F$6:$F$140, "*Gối chậu*", PHAN_TICH_VAT_TU_WBS!$I$6:$I$140)</f>
        <v/>
      </c>
      <c r="F37" s="10" t="n">
        <v>0</v>
      </c>
      <c r="G37" s="11">
        <f>E37*(1+F37)</f>
        <v/>
      </c>
      <c r="H37" s="9">
        <f>G37*0.0</f>
        <v/>
      </c>
      <c r="I37" s="9">
        <f>G37*0.0</f>
        <v/>
      </c>
      <c r="J37" s="9">
        <f>G37*1.0</f>
        <v/>
      </c>
      <c r="K37" s="9">
        <f>G37*0.0</f>
        <v/>
      </c>
    </row>
    <row r="38" ht="20" customHeight="1">
      <c r="A38" s="7" t="inlineStr">
        <is>
          <t>29</t>
        </is>
      </c>
      <c r="B38" s="8" t="inlineStr">
        <is>
          <t>Màng / Sơn chống thấm mặt cầu Polymer cải tiến</t>
        </is>
      </c>
      <c r="C38" s="8" t="inlineStr">
        <is>
          <t>TCVN 11823:2017</t>
        </is>
      </c>
      <c r="D38" s="7" t="inlineStr">
        <is>
          <t>m2</t>
        </is>
      </c>
      <c r="E38" s="9">
        <f>SUMIF(PHAN_TICH_VAT_TU_WBS!$F$6:$F$140, "*Màng chống thấm*", PHAN_TICH_VAT_TU_WBS!$I$6:$I$140)</f>
        <v/>
      </c>
      <c r="F38" s="10" t="n">
        <v>0.02</v>
      </c>
      <c r="G38" s="11">
        <f>E38*(1+F38)</f>
        <v/>
      </c>
      <c r="H38" s="9">
        <f>G38*0.0</f>
        <v/>
      </c>
      <c r="I38" s="9">
        <f>G38*0.0</f>
        <v/>
      </c>
      <c r="J38" s="9">
        <f>G38*0.0</f>
        <v/>
      </c>
      <c r="K38" s="9">
        <f>G38*1.0</f>
        <v/>
      </c>
    </row>
    <row r="39" ht="20" customHeight="1">
      <c r="A39" s="7" t="inlineStr">
        <is>
          <t>30</t>
        </is>
      </c>
      <c r="B39" s="8" t="inlineStr">
        <is>
          <t>Bê tông nhựa chặt C12.5 rải nóng</t>
        </is>
      </c>
      <c r="C39" s="8" t="inlineStr">
        <is>
          <t>TCVN 8819:2011</t>
        </is>
      </c>
      <c r="D39" s="7" t="inlineStr">
        <is>
          <t>Tấn</t>
        </is>
      </c>
      <c r="E39" s="9">
        <f>SUMIF(PHAN_TICH_VAT_TU_WBS!$F$6:$F$140, "*Bê tông nhựa*", PHAN_TICH_VAT_TU_WBS!$I$6:$I$140)</f>
        <v/>
      </c>
      <c r="F39" s="10" t="n">
        <v>0.025</v>
      </c>
      <c r="G39" s="11">
        <f>E39*(1+F39)</f>
        <v/>
      </c>
      <c r="H39" s="9">
        <f>G39*0.0</f>
        <v/>
      </c>
      <c r="I39" s="9">
        <f>G39*0.0</f>
        <v/>
      </c>
      <c r="J39" s="9">
        <f>G39*0.0</f>
        <v/>
      </c>
      <c r="K39" s="9">
        <f>G39*1.0</f>
        <v/>
      </c>
    </row>
    <row r="40" ht="20" customHeight="1">
      <c r="A40" s="7" t="inlineStr">
        <is>
          <t>31</t>
        </is>
      </c>
      <c r="B40" s="8" t="inlineStr">
        <is>
          <t>Vải địa kỹ thuật không dệt lọc ngược</t>
        </is>
      </c>
      <c r="C40" s="8" t="inlineStr">
        <is>
          <t>TCVN 9865:2013</t>
        </is>
      </c>
      <c r="D40" s="7" t="inlineStr">
        <is>
          <t>m2</t>
        </is>
      </c>
      <c r="E40" s="9">
        <f>SUMIF(PHAN_TICH_VAT_TU_WBS!$F$6:$F$140, "*Vải địa*", PHAN_TICH_VAT_TU_WBS!$I$6:$I$140)</f>
        <v/>
      </c>
      <c r="F40" s="10" t="n">
        <v>0.03</v>
      </c>
      <c r="G40" s="11">
        <f>E40*(1+F40)</f>
        <v/>
      </c>
      <c r="H40" s="9">
        <f>G40*0.0</f>
        <v/>
      </c>
      <c r="I40" s="9">
        <f>G40*0.0</f>
        <v/>
      </c>
      <c r="J40" s="9">
        <f>G40*0.0</f>
        <v/>
      </c>
      <c r="K40" s="9">
        <f>G40*1.0</f>
        <v/>
      </c>
    </row>
    <row r="41" ht="20" customHeight="1">
      <c r="A41" s="7" t="inlineStr">
        <is>
          <t>32</t>
        </is>
      </c>
      <c r="B41" s="8" t="inlineStr">
        <is>
          <t>Phễu gang thu nước mặt cầu có lưới chắn</t>
        </is>
      </c>
      <c r="C41" s="8" t="inlineStr">
        <is>
          <t>TCVN 11823:2017</t>
        </is>
      </c>
      <c r="D41" s="7" t="inlineStr">
        <is>
          <t>Bộ</t>
        </is>
      </c>
      <c r="E41" s="9">
        <f>SUMIF(PHAN_TICH_VAT_TU_WBS!$F$6:$F$140, "*Phễu gang*", PHAN_TICH_VAT_TU_WBS!$I$6:$I$140)</f>
        <v/>
      </c>
      <c r="F41" s="10" t="n">
        <v>0</v>
      </c>
      <c r="G41" s="11">
        <f>E41*(1+F41)</f>
        <v/>
      </c>
      <c r="H41" s="9">
        <f>G41*0.0</f>
        <v/>
      </c>
      <c r="I41" s="9">
        <f>G41*0.0</f>
        <v/>
      </c>
      <c r="J41" s="9">
        <f>G41*0.0</f>
        <v/>
      </c>
      <c r="K41" s="9">
        <f>G41*1.0</f>
        <v/>
      </c>
    </row>
    <row r="42" ht="20" customHeight="1">
      <c r="A42" s="7" t="inlineStr">
        <is>
          <t>33</t>
        </is>
      </c>
      <c r="B42" s="8" t="inlineStr">
        <is>
          <t>Ống thoát nước nhựa uPVC Ø110 dày 3.2mm</t>
        </is>
      </c>
      <c r="C42" s="8" t="inlineStr">
        <is>
          <t>TCVN 8491:2011</t>
        </is>
      </c>
      <c r="D42" s="7" t="inlineStr">
        <is>
          <t>m</t>
        </is>
      </c>
      <c r="E42" s="9">
        <f>SUMIF(PHAN_TICH_VAT_TU_WBS!$F$6:$F$140, "*uPVC Ø110*", PHAN_TICH_VAT_TU_WBS!$I$6:$I$140)</f>
        <v/>
      </c>
      <c r="F42" s="10" t="n">
        <v>0.02</v>
      </c>
      <c r="G42" s="11">
        <f>E42*(1+F42)</f>
        <v/>
      </c>
      <c r="H42" s="9">
        <f>G42*0.0</f>
        <v/>
      </c>
      <c r="I42" s="9">
        <f>G42*0.0</f>
        <v/>
      </c>
      <c r="J42" s="9">
        <f>G42*0.0</f>
        <v/>
      </c>
      <c r="K42" s="9">
        <f>G42*1.0</f>
        <v/>
      </c>
    </row>
    <row r="43" ht="20" customHeight="1">
      <c r="A43" s="7" t="inlineStr">
        <is>
          <t>34</t>
        </is>
      </c>
      <c r="B43" s="8" t="inlineStr">
        <is>
          <t>Nhựa dính bám Tack coat</t>
        </is>
      </c>
      <c r="C43" s="8" t="inlineStr">
        <is>
          <t>TCVN 8819:2011</t>
        </is>
      </c>
      <c r="D43" s="7" t="inlineStr">
        <is>
          <t>kg</t>
        </is>
      </c>
      <c r="E43" s="9">
        <f>SUMIF(PHAN_TICH_VAT_TU_WBS!$F$6:$F$140, "*Nhựa dính bám*", PHAN_TICH_VAT_TU_WBS!$I$6:$I$140)</f>
        <v/>
      </c>
      <c r="F43" s="10" t="n">
        <v>0.02</v>
      </c>
      <c r="G43" s="11">
        <f>E43*(1+F43)</f>
        <v/>
      </c>
      <c r="H43" s="9">
        <f>G43*0.0</f>
        <v/>
      </c>
      <c r="I43" s="9">
        <f>G43*0.0</f>
        <v/>
      </c>
      <c r="J43" s="9">
        <f>G43*0.0</f>
        <v/>
      </c>
      <c r="K43" s="9">
        <f>G43*1.0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5" customWidth="1" min="3" max="3"/>
    <col width="18" customWidth="1" min="4" max="4"/>
    <col width="12" customWidth="1" min="5" max="5"/>
    <col width="45" customWidth="1" min="6" max="6"/>
    <col width="12" customWidth="1" min="7" max="7"/>
    <col width="16" customWidth="1" min="8" max="8"/>
    <col width="20" customWidth="1" min="9" max="9"/>
    <col width="24" customWidth="1" min="10" max="10"/>
  </cols>
  <sheetData>
    <row r="1"/>
    <row r="2">
      <c r="B2" s="1" t="inlineStr">
        <is>
          <t>DỰ ÁN: CAO TỐC TUYÊN QUANG - HÀ GIANG (GIAI ĐOẠN 1) - CẦU KM19+529.080</t>
        </is>
      </c>
    </row>
    <row r="3">
      <c r="B3" s="2" t="inlineStr">
        <is>
          <t>BẢNG PHÂN TÍCH ĐỊNH MỨC HAO PHÍ VẬT LIỆU CHO TỪNG HẠNG MỤC CÔNG TÁC WBS</t>
        </is>
      </c>
    </row>
    <row r="4">
      <c r="B4" s="3" t="inlineStr">
        <is>
          <t>Chi tiết sắt thép từng loại đường kính Ø, xi măng, cát, đá, cáp DƯL (Theo Định mức Thông tư 12/2021/TT-BXD)</t>
        </is>
      </c>
    </row>
    <row r="5" ht="28" customHeight="1">
      <c r="A5" s="4" t="inlineStr">
        <is>
          <t>TT</t>
        </is>
      </c>
      <c r="B5" s="4" t="inlineStr">
        <is>
          <t>Mã định mức</t>
        </is>
      </c>
      <c r="C5" s="4" t="inlineStr">
        <is>
          <t>Hạng mục công tác WBS</t>
        </is>
      </c>
      <c r="D5" s="4" t="inlineStr">
        <is>
          <t>Khối lượng công tác</t>
        </is>
      </c>
      <c r="E5" s="4" t="inlineStr">
        <is>
          <t>ĐVT công tác</t>
        </is>
      </c>
      <c r="F5" s="4" t="inlineStr">
        <is>
          <t>Tên quy cách vật tư cấu thành</t>
        </is>
      </c>
      <c r="G5" s="4" t="inlineStr">
        <is>
          <t>ĐVT vật tư</t>
        </is>
      </c>
      <c r="H5" s="4" t="inlineStr">
        <is>
          <t>Định mức cho 1 ĐVT</t>
        </is>
      </c>
      <c r="I5" s="4" t="inlineStr">
        <is>
          <t>Hao phí vật tư hạng mục</t>
        </is>
      </c>
      <c r="J5" s="4" t="inlineStr">
        <is>
          <t>Tiêu chuẩn kỹ thuật áp dụng</t>
        </is>
      </c>
    </row>
    <row r="6">
      <c r="A6" s="12" t="n">
        <v>1</v>
      </c>
      <c r="B6" s="12" t="inlineStr">
        <is>
          <t>AC.11111</t>
        </is>
      </c>
      <c r="C6" s="13" t="inlineStr">
        <is>
          <t>Khoan tạo lỗ cọc khoan nhồi D1200mm (26 cọc L=20m-40m)</t>
        </is>
      </c>
      <c r="D6" s="14" t="n">
        <v>872</v>
      </c>
      <c r="E6" s="12" t="inlineStr">
        <is>
          <t>m</t>
        </is>
      </c>
      <c r="F6" s="15" t="n"/>
      <c r="G6" s="15" t="n"/>
      <c r="H6" s="15" t="n"/>
      <c r="I6" s="15" t="n"/>
      <c r="J6" s="15" t="n"/>
    </row>
    <row r="7">
      <c r="A7" s="16" t="n"/>
      <c r="B7" s="16" t="n"/>
      <c r="C7" s="8" t="inlineStr">
        <is>
          <t xml:space="preserve">   • Bột sét Bentonite tạo vách khoan</t>
        </is>
      </c>
      <c r="D7" s="16" t="n"/>
      <c r="E7" s="16" t="n"/>
      <c r="F7" s="8" t="inlineStr">
        <is>
          <t>Bột sét Bentonite tạo vách khoan</t>
        </is>
      </c>
      <c r="G7" s="7" t="inlineStr">
        <is>
          <t>Tấn</t>
        </is>
      </c>
      <c r="H7" s="17" t="n">
        <v>0.045</v>
      </c>
      <c r="I7" s="9">
        <f>D6*H7</f>
        <v/>
      </c>
      <c r="J7" s="8" t="inlineStr">
        <is>
          <t>TCVN 9395:2012</t>
        </is>
      </c>
    </row>
    <row r="8">
      <c r="A8" s="16" t="n"/>
      <c r="B8" s="16" t="n"/>
      <c r="C8" s="8" t="inlineStr">
        <is>
          <t xml:space="preserve">   • Nước sạch thi công khoan cọc</t>
        </is>
      </c>
      <c r="D8" s="16" t="n"/>
      <c r="E8" s="16" t="n"/>
      <c r="F8" s="8" t="inlineStr">
        <is>
          <t>Nước sạch thi công khoan cọc</t>
        </is>
      </c>
      <c r="G8" s="7" t="inlineStr">
        <is>
          <t>m3</t>
        </is>
      </c>
      <c r="H8" s="17" t="n">
        <v>0.25</v>
      </c>
      <c r="I8" s="9">
        <f>D6*H8</f>
        <v/>
      </c>
      <c r="J8" s="8" t="inlineStr">
        <is>
          <t>TCVN 4506:2012</t>
        </is>
      </c>
    </row>
    <row r="9">
      <c r="A9" s="12" t="n">
        <v>2</v>
      </c>
      <c r="B9" s="12" t="inlineStr">
        <is>
          <t>AC.12111</t>
        </is>
      </c>
      <c r="C9" s="13" t="inlineStr">
        <is>
          <t>Hạ và nhổ ống vách thép dẫn hướng D1300mm d=8mm</t>
        </is>
      </c>
      <c r="D9" s="14" t="n">
        <v>156</v>
      </c>
      <c r="E9" s="12" t="inlineStr">
        <is>
          <t>m</t>
        </is>
      </c>
      <c r="F9" s="15" t="n"/>
      <c r="G9" s="15" t="n"/>
      <c r="H9" s="15" t="n"/>
      <c r="I9" s="15" t="n"/>
      <c r="J9" s="15" t="n"/>
    </row>
    <row r="10">
      <c r="A10" s="16" t="n"/>
      <c r="B10" s="16" t="n"/>
      <c r="C10" s="8" t="inlineStr">
        <is>
          <t xml:space="preserve">   • Ống vách thép dẫn hướng D1300 d=8mm (khấu hao)</t>
        </is>
      </c>
      <c r="D10" s="16" t="n"/>
      <c r="E10" s="16" t="n"/>
      <c r="F10" s="8" t="inlineStr">
        <is>
          <t>Ống vách thép dẫn hướng D1300 d=8mm (khấu hao)</t>
        </is>
      </c>
      <c r="G10" s="7" t="inlineStr">
        <is>
          <t>Tấn</t>
        </is>
      </c>
      <c r="H10" s="17" t="n">
        <v>0.052</v>
      </c>
      <c r="I10" s="9">
        <f>D9*H10</f>
        <v/>
      </c>
      <c r="J10" s="8" t="inlineStr">
        <is>
          <t>TCVN 9395:2012</t>
        </is>
      </c>
    </row>
    <row r="11">
      <c r="A11" s="12" t="n">
        <v>3</v>
      </c>
      <c r="B11" s="12" t="inlineStr">
        <is>
          <t>AF.21111</t>
        </is>
      </c>
      <c r="C11" s="13" t="inlineStr">
        <is>
          <t>Bê tông cọc khoan nhồi C30/37 đổ bằng ống Tremie</t>
        </is>
      </c>
      <c r="D11" s="14" t="n">
        <v>1104.558912</v>
      </c>
      <c r="E11" s="12" t="inlineStr">
        <is>
          <t>m3</t>
        </is>
      </c>
      <c r="F11" s="15" t="n"/>
      <c r="G11" s="15" t="n"/>
      <c r="H11" s="15" t="n"/>
      <c r="I11" s="15" t="n"/>
      <c r="J11" s="15" t="n"/>
    </row>
    <row r="12">
      <c r="A12" s="16" t="n"/>
      <c r="B12" s="16" t="n"/>
      <c r="C12" s="8" t="inlineStr">
        <is>
          <t xml:space="preserve">   • Xi măng PCB40 cọc khoan nhồi</t>
        </is>
      </c>
      <c r="D12" s="16" t="n"/>
      <c r="E12" s="16" t="n"/>
      <c r="F12" s="8" t="inlineStr">
        <is>
          <t>Xi măng PCB40 cọc khoan nhồi</t>
        </is>
      </c>
      <c r="G12" s="7" t="inlineStr">
        <is>
          <t>kg</t>
        </is>
      </c>
      <c r="H12" s="9" t="n">
        <v>395</v>
      </c>
      <c r="I12" s="9">
        <f>D11*H12</f>
        <v/>
      </c>
      <c r="J12" s="8" t="inlineStr">
        <is>
          <t>TCVN 6260:2020</t>
        </is>
      </c>
    </row>
    <row r="13">
      <c r="A13" s="16" t="n"/>
      <c r="B13" s="16" t="n"/>
      <c r="C13" s="8" t="inlineStr">
        <is>
          <t xml:space="preserve">   • Cát vàng hạt trung Mk&gt;=2.0</t>
        </is>
      </c>
      <c r="D13" s="16" t="n"/>
      <c r="E13" s="16" t="n"/>
      <c r="F13" s="8" t="inlineStr">
        <is>
          <t>Cát vàng hạt trung Mk&gt;=2.0</t>
        </is>
      </c>
      <c r="G13" s="7" t="inlineStr">
        <is>
          <t>m3</t>
        </is>
      </c>
      <c r="H13" s="17" t="n">
        <v>0.47</v>
      </c>
      <c r="I13" s="9">
        <f>D11*H13</f>
        <v/>
      </c>
      <c r="J13" s="8" t="inlineStr">
        <is>
          <t>TCVN 7570:2006</t>
        </is>
      </c>
    </row>
    <row r="14">
      <c r="A14" s="16" t="n"/>
      <c r="B14" s="16" t="n"/>
      <c r="C14" s="8" t="inlineStr">
        <is>
          <t xml:space="preserve">   • Đá dăm 1x2 sạch chọn lọc</t>
        </is>
      </c>
      <c r="D14" s="16" t="n"/>
      <c r="E14" s="16" t="n"/>
      <c r="F14" s="8" t="inlineStr">
        <is>
          <t>Đá dăm 1x2 sạch chọn lọc</t>
        </is>
      </c>
      <c r="G14" s="7" t="inlineStr">
        <is>
          <t>m3</t>
        </is>
      </c>
      <c r="H14" s="17" t="n">
        <v>0.83</v>
      </c>
      <c r="I14" s="9">
        <f>D11*H14</f>
        <v/>
      </c>
      <c r="J14" s="8" t="inlineStr">
        <is>
          <t>TCVN 7570:2006</t>
        </is>
      </c>
    </row>
    <row r="15">
      <c r="A15" s="16" t="n"/>
      <c r="B15" s="16" t="n"/>
      <c r="C15" s="8" t="inlineStr">
        <is>
          <t xml:space="preserve">   • Nước sạch trộn bê tông</t>
        </is>
      </c>
      <c r="D15" s="16" t="n"/>
      <c r="E15" s="16" t="n"/>
      <c r="F15" s="8" t="inlineStr">
        <is>
          <t>Nước sạch trộn bê tông</t>
        </is>
      </c>
      <c r="G15" s="7" t="inlineStr">
        <is>
          <t>Lít</t>
        </is>
      </c>
      <c r="H15" s="9" t="n">
        <v>185</v>
      </c>
      <c r="I15" s="9">
        <f>D11*H15</f>
        <v/>
      </c>
      <c r="J15" s="8" t="inlineStr">
        <is>
          <t>TCVN 4506:2012</t>
        </is>
      </c>
    </row>
    <row r="16">
      <c r="A16" s="16" t="n"/>
      <c r="B16" s="16" t="n"/>
      <c r="C16" s="8" t="inlineStr">
        <is>
          <t xml:space="preserve">   • Phụ gia hoá dẻo chậm đông kết</t>
        </is>
      </c>
      <c r="D16" s="16" t="n"/>
      <c r="E16" s="16" t="n"/>
      <c r="F16" s="8" t="inlineStr">
        <is>
          <t>Phụ gia hoá dẻo chậm đông kết</t>
        </is>
      </c>
      <c r="G16" s="7" t="inlineStr">
        <is>
          <t>kg</t>
        </is>
      </c>
      <c r="H16" s="9" t="n">
        <v>4.2</v>
      </c>
      <c r="I16" s="9">
        <f>D11*H16</f>
        <v/>
      </c>
      <c r="J16" s="8" t="inlineStr">
        <is>
          <t>ASTM C494 Type G</t>
        </is>
      </c>
    </row>
    <row r="17">
      <c r="A17" s="12" t="n">
        <v>4</v>
      </c>
      <c r="B17" s="12" t="inlineStr">
        <is>
          <t>AF.61111</t>
        </is>
      </c>
      <c r="C17" s="13" t="inlineStr">
        <is>
          <t>Cốt thép cọc khoan nhồi D1200mm (Lồng thép)</t>
        </is>
      </c>
      <c r="D17" s="14" t="n">
        <v>108.76599036</v>
      </c>
      <c r="E17" s="12" t="inlineStr">
        <is>
          <t>Tấn</t>
        </is>
      </c>
      <c r="F17" s="15" t="n"/>
      <c r="G17" s="15" t="n"/>
      <c r="H17" s="15" t="n"/>
      <c r="I17" s="15" t="n"/>
      <c r="J17" s="15" t="n"/>
    </row>
    <row r="18">
      <c r="A18" s="16" t="n"/>
      <c r="B18" s="16" t="n"/>
      <c r="C18" s="8" t="inlineStr">
        <is>
          <t xml:space="preserve">   • Thép chủ cọc nhồi vằn Ø25 (CB500-V)</t>
        </is>
      </c>
      <c r="D18" s="16" t="n"/>
      <c r="E18" s="16" t="n"/>
      <c r="F18" s="8" t="inlineStr">
        <is>
          <t>Thép chủ cọc nhồi vằn Ø25 (CB500-V)</t>
        </is>
      </c>
      <c r="G18" s="7" t="inlineStr">
        <is>
          <t>Tấn</t>
        </is>
      </c>
      <c r="H18" s="17" t="n">
        <v>0.785</v>
      </c>
      <c r="I18" s="9">
        <f>D17*H18</f>
        <v/>
      </c>
      <c r="J18" s="8" t="inlineStr">
        <is>
          <t>TCVN 1651:2018</t>
        </is>
      </c>
    </row>
    <row r="19">
      <c r="A19" s="16" t="n"/>
      <c r="B19" s="16" t="n"/>
      <c r="C19" s="8" t="inlineStr">
        <is>
          <t xml:space="preserve">   • Thép đai tăng cường vằn Ø16 (CB400-V)</t>
        </is>
      </c>
      <c r="D19" s="16" t="n"/>
      <c r="E19" s="16" t="n"/>
      <c r="F19" s="8" t="inlineStr">
        <is>
          <t>Thép đai tăng cường vằn Ø16 (CB400-V)</t>
        </is>
      </c>
      <c r="G19" s="7" t="inlineStr">
        <is>
          <t>Tấn</t>
        </is>
      </c>
      <c r="H19" s="17" t="n">
        <v>0.12</v>
      </c>
      <c r="I19" s="9">
        <f>D17*H19</f>
        <v/>
      </c>
      <c r="J19" s="8" t="inlineStr">
        <is>
          <t>TCVN 1651:2018</t>
        </is>
      </c>
    </row>
    <row r="20">
      <c r="A20" s="16" t="n"/>
      <c r="B20" s="16" t="n"/>
      <c r="C20" s="8" t="inlineStr">
        <is>
          <t xml:space="preserve">   • Thép đai xoắn liên tục tròn trơn Ø10 (CB240-T)</t>
        </is>
      </c>
      <c r="D20" s="16" t="n"/>
      <c r="E20" s="16" t="n"/>
      <c r="F20" s="8" t="inlineStr">
        <is>
          <t>Thép đai xoắn liên tục tròn trơn Ø10 (CB240-T)</t>
        </is>
      </c>
      <c r="G20" s="7" t="inlineStr">
        <is>
          <t>Tấn</t>
        </is>
      </c>
      <c r="H20" s="17" t="n">
        <v>0.095</v>
      </c>
      <c r="I20" s="9">
        <f>D17*H20</f>
        <v/>
      </c>
      <c r="J20" s="8" t="inlineStr">
        <is>
          <t>TCVN 1651:2018</t>
        </is>
      </c>
    </row>
    <row r="21">
      <c r="A21" s="16" t="n"/>
      <c r="B21" s="16" t="n"/>
      <c r="C21" s="8" t="inlineStr">
        <is>
          <t xml:space="preserve">   • Ống siêu âm cọc nhồi thép Ø60x2</t>
        </is>
      </c>
      <c r="D21" s="16" t="n"/>
      <c r="E21" s="16" t="n"/>
      <c r="F21" s="8" t="inlineStr">
        <is>
          <t>Ống siêu âm cọc nhồi thép Ø60x2</t>
        </is>
      </c>
      <c r="G21" s="7" t="inlineStr">
        <is>
          <t>m</t>
        </is>
      </c>
      <c r="H21" s="9" t="n">
        <v>36.5</v>
      </c>
      <c r="I21" s="9">
        <f>D17*H21</f>
        <v/>
      </c>
      <c r="J21" s="8" t="inlineStr">
        <is>
          <t>ASTM A53 / TCVN 9395</t>
        </is>
      </c>
    </row>
    <row r="22">
      <c r="A22" s="16" t="n"/>
      <c r="B22" s="16" t="n"/>
      <c r="C22" s="8" t="inlineStr">
        <is>
          <t xml:space="preserve">   • Dây thép buộc 1 ly</t>
        </is>
      </c>
      <c r="D22" s="16" t="n"/>
      <c r="E22" s="16" t="n"/>
      <c r="F22" s="8" t="inlineStr">
        <is>
          <t>Dây thép buộc 1 ly</t>
        </is>
      </c>
      <c r="G22" s="7" t="inlineStr">
        <is>
          <t>kg</t>
        </is>
      </c>
      <c r="H22" s="9" t="n">
        <v>15</v>
      </c>
      <c r="I22" s="9">
        <f>D17*H22</f>
        <v/>
      </c>
      <c r="J22" s="8" t="inlineStr">
        <is>
          <t>TCVN 1651:2018</t>
        </is>
      </c>
    </row>
    <row r="23">
      <c r="A23" s="16" t="n"/>
      <c r="B23" s="16" t="n"/>
      <c r="C23" s="8" t="inlineStr">
        <is>
          <t xml:space="preserve">   • Que hàn điện E42/E50</t>
        </is>
      </c>
      <c r="D23" s="16" t="n"/>
      <c r="E23" s="16" t="n"/>
      <c r="F23" s="8" t="inlineStr">
        <is>
          <t>Que hàn điện E42/E50</t>
        </is>
      </c>
      <c r="G23" s="7" t="inlineStr">
        <is>
          <t>kg</t>
        </is>
      </c>
      <c r="H23" s="9" t="n">
        <v>8</v>
      </c>
      <c r="I23" s="9">
        <f>D17*H23</f>
        <v/>
      </c>
      <c r="J23" s="8" t="inlineStr">
        <is>
          <t>TCVN 3223:2000</t>
        </is>
      </c>
    </row>
    <row r="24">
      <c r="A24" s="12" t="n">
        <v>5</v>
      </c>
      <c r="B24" s="12" t="inlineStr">
        <is>
          <t>AF.11111</t>
        </is>
      </c>
      <c r="C24" s="13" t="inlineStr">
        <is>
          <t>Bê tông lót đáy bệ móng mác C10 dày 10cm</t>
        </is>
      </c>
      <c r="D24" s="14" t="n">
        <v>33.50000000000001</v>
      </c>
      <c r="E24" s="12" t="inlineStr">
        <is>
          <t>m3</t>
        </is>
      </c>
      <c r="F24" s="15" t="n"/>
      <c r="G24" s="15" t="n"/>
      <c r="H24" s="15" t="n"/>
      <c r="I24" s="15" t="n"/>
      <c r="J24" s="15" t="n"/>
    </row>
    <row r="25">
      <c r="A25" s="16" t="n"/>
      <c r="B25" s="16" t="n"/>
      <c r="C25" s="8" t="inlineStr">
        <is>
          <t xml:space="preserve">   • Xi măng PCB40 lót móng</t>
        </is>
      </c>
      <c r="D25" s="16" t="n"/>
      <c r="E25" s="16" t="n"/>
      <c r="F25" s="8" t="inlineStr">
        <is>
          <t>Xi măng PCB40 lót móng</t>
        </is>
      </c>
      <c r="G25" s="7" t="inlineStr">
        <is>
          <t>kg</t>
        </is>
      </c>
      <c r="H25" s="9" t="n">
        <v>240</v>
      </c>
      <c r="I25" s="9">
        <f>D24*H25</f>
        <v/>
      </c>
      <c r="J25" s="8" t="inlineStr">
        <is>
          <t>TCVN 6260:2020</t>
        </is>
      </c>
    </row>
    <row r="26">
      <c r="A26" s="16" t="n"/>
      <c r="B26" s="16" t="n"/>
      <c r="C26" s="8" t="inlineStr">
        <is>
          <t xml:space="preserve">   • Cát vàng xây dựng</t>
        </is>
      </c>
      <c r="D26" s="16" t="n"/>
      <c r="E26" s="16" t="n"/>
      <c r="F26" s="8" t="inlineStr">
        <is>
          <t>Cát vàng xây dựng</t>
        </is>
      </c>
      <c r="G26" s="7" t="inlineStr">
        <is>
          <t>m3</t>
        </is>
      </c>
      <c r="H26" s="17" t="n">
        <v>0.51</v>
      </c>
      <c r="I26" s="9">
        <f>D24*H26</f>
        <v/>
      </c>
      <c r="J26" s="8" t="inlineStr">
        <is>
          <t>TCVN 7570:2006</t>
        </is>
      </c>
    </row>
    <row r="27">
      <c r="A27" s="16" t="n"/>
      <c r="B27" s="16" t="n"/>
      <c r="C27" s="8" t="inlineStr">
        <is>
          <t xml:space="preserve">   • Đá dăm 1x2</t>
        </is>
      </c>
      <c r="D27" s="16" t="n"/>
      <c r="E27" s="16" t="n"/>
      <c r="F27" s="8" t="inlineStr">
        <is>
          <t>Đá dăm 1x2</t>
        </is>
      </c>
      <c r="G27" s="7" t="inlineStr">
        <is>
          <t>m3</t>
        </is>
      </c>
      <c r="H27" s="17" t="n">
        <v>0.87</v>
      </c>
      <c r="I27" s="9">
        <f>D24*H27</f>
        <v/>
      </c>
      <c r="J27" s="8" t="inlineStr">
        <is>
          <t>TCVN 7570:2006</t>
        </is>
      </c>
    </row>
    <row r="28">
      <c r="A28" s="16" t="n"/>
      <c r="B28" s="16" t="n"/>
      <c r="C28" s="8" t="inlineStr">
        <is>
          <t xml:space="preserve">   • Nước sạch trộn bê tông</t>
        </is>
      </c>
      <c r="D28" s="16" t="n"/>
      <c r="E28" s="16" t="n"/>
      <c r="F28" s="8" t="inlineStr">
        <is>
          <t>Nước sạch trộn bê tông</t>
        </is>
      </c>
      <c r="G28" s="7" t="inlineStr">
        <is>
          <t>Lít</t>
        </is>
      </c>
      <c r="H28" s="9" t="n">
        <v>175</v>
      </c>
      <c r="I28" s="9">
        <f>D24*H28</f>
        <v/>
      </c>
      <c r="J28" s="8" t="inlineStr">
        <is>
          <t>TCVN 4506:2012</t>
        </is>
      </c>
    </row>
    <row r="29">
      <c r="A29" s="12" t="n">
        <v>6</v>
      </c>
      <c r="B29" s="12" t="inlineStr">
        <is>
          <t>AF.12111</t>
        </is>
      </c>
      <c r="C29" s="13" t="inlineStr">
        <is>
          <t>Bê tông bệ móng mố M1, M2 và bệ trụ T1, T2 mác C30</t>
        </is>
      </c>
      <c r="D29" s="14" t="n">
        <v>666.9784500000001</v>
      </c>
      <c r="E29" s="12" t="inlineStr">
        <is>
          <t>m3</t>
        </is>
      </c>
      <c r="F29" s="15" t="n"/>
      <c r="G29" s="15" t="n"/>
      <c r="H29" s="15" t="n"/>
      <c r="I29" s="15" t="n"/>
      <c r="J29" s="15" t="n"/>
    </row>
    <row r="30">
      <c r="A30" s="16" t="n"/>
      <c r="B30" s="16" t="n"/>
      <c r="C30" s="8" t="inlineStr">
        <is>
          <t xml:space="preserve">   • Xi măng PCB40 bệ móng</t>
        </is>
      </c>
      <c r="D30" s="16" t="n"/>
      <c r="E30" s="16" t="n"/>
      <c r="F30" s="8" t="inlineStr">
        <is>
          <t>Xi măng PCB40 bệ móng</t>
        </is>
      </c>
      <c r="G30" s="7" t="inlineStr">
        <is>
          <t>kg</t>
        </is>
      </c>
      <c r="H30" s="9" t="n">
        <v>385</v>
      </c>
      <c r="I30" s="9">
        <f>D29*H30</f>
        <v/>
      </c>
      <c r="J30" s="8" t="inlineStr">
        <is>
          <t>TCVN 6260:2020</t>
        </is>
      </c>
    </row>
    <row r="31">
      <c r="A31" s="16" t="n"/>
      <c r="B31" s="16" t="n"/>
      <c r="C31" s="8" t="inlineStr">
        <is>
          <t xml:space="preserve">   • Cát vàng sàng rửa Mk&gt;=2.0</t>
        </is>
      </c>
      <c r="D31" s="16" t="n"/>
      <c r="E31" s="16" t="n"/>
      <c r="F31" s="8" t="inlineStr">
        <is>
          <t>Cát vàng sàng rửa Mk&gt;=2.0</t>
        </is>
      </c>
      <c r="G31" s="7" t="inlineStr">
        <is>
          <t>m3</t>
        </is>
      </c>
      <c r="H31" s="17" t="n">
        <v>0.46</v>
      </c>
      <c r="I31" s="9">
        <f>D29*H31</f>
        <v/>
      </c>
      <c r="J31" s="8" t="inlineStr">
        <is>
          <t>TCVN 7570:2006</t>
        </is>
      </c>
    </row>
    <row r="32">
      <c r="A32" s="16" t="n"/>
      <c r="B32" s="16" t="n"/>
      <c r="C32" s="8" t="inlineStr">
        <is>
          <t xml:space="preserve">   • Đá dăm 1x2 sạch</t>
        </is>
      </c>
      <c r="D32" s="16" t="n"/>
      <c r="E32" s="16" t="n"/>
      <c r="F32" s="8" t="inlineStr">
        <is>
          <t>Đá dăm 1x2 sạch</t>
        </is>
      </c>
      <c r="G32" s="7" t="inlineStr">
        <is>
          <t>m3</t>
        </is>
      </c>
      <c r="H32" s="17" t="n">
        <v>0.84</v>
      </c>
      <c r="I32" s="9">
        <f>D29*H32</f>
        <v/>
      </c>
      <c r="J32" s="8" t="inlineStr">
        <is>
          <t>TCVN 7570:2006</t>
        </is>
      </c>
    </row>
    <row r="33">
      <c r="A33" s="16" t="n"/>
      <c r="B33" s="16" t="n"/>
      <c r="C33" s="8" t="inlineStr">
        <is>
          <t xml:space="preserve">   • Nước sạch trộn bê tông</t>
        </is>
      </c>
      <c r="D33" s="16" t="n"/>
      <c r="E33" s="16" t="n"/>
      <c r="F33" s="8" t="inlineStr">
        <is>
          <t>Nước sạch trộn bê tông</t>
        </is>
      </c>
      <c r="G33" s="7" t="inlineStr">
        <is>
          <t>Lít</t>
        </is>
      </c>
      <c r="H33" s="9" t="n">
        <v>180</v>
      </c>
      <c r="I33" s="9">
        <f>D29*H33</f>
        <v/>
      </c>
      <c r="J33" s="8" t="inlineStr">
        <is>
          <t>TCVN 4506:2012</t>
        </is>
      </c>
    </row>
    <row r="34">
      <c r="A34" s="16" t="n"/>
      <c r="B34" s="16" t="n"/>
      <c r="C34" s="8" t="inlineStr">
        <is>
          <t xml:space="preserve">   • Phụ gia siêu dẻo giảm nước</t>
        </is>
      </c>
      <c r="D34" s="16" t="n"/>
      <c r="E34" s="16" t="n"/>
      <c r="F34" s="8" t="inlineStr">
        <is>
          <t>Phụ gia siêu dẻo giảm nước</t>
        </is>
      </c>
      <c r="G34" s="7" t="inlineStr">
        <is>
          <t>kg</t>
        </is>
      </c>
      <c r="H34" s="9" t="n">
        <v>3.8</v>
      </c>
      <c r="I34" s="9">
        <f>D29*H34</f>
        <v/>
      </c>
      <c r="J34" s="8" t="inlineStr">
        <is>
          <t>ASTM C494 Type F</t>
        </is>
      </c>
    </row>
    <row r="35">
      <c r="A35" s="12" t="n">
        <v>7</v>
      </c>
      <c r="B35" s="12" t="inlineStr">
        <is>
          <t>AF.12211</t>
        </is>
      </c>
      <c r="C35" s="13" t="inlineStr">
        <is>
          <t>Bê tông thân mố chân dê M1 và mố chữ U M2 mác C30</t>
        </is>
      </c>
      <c r="D35" s="14" t="n">
        <v>169.2</v>
      </c>
      <c r="E35" s="12" t="inlineStr">
        <is>
          <t>m3</t>
        </is>
      </c>
      <c r="F35" s="15" t="n"/>
      <c r="G35" s="15" t="n"/>
      <c r="H35" s="15" t="n"/>
      <c r="I35" s="15" t="n"/>
      <c r="J35" s="15" t="n"/>
    </row>
    <row r="36">
      <c r="A36" s="16" t="n"/>
      <c r="B36" s="16" t="n"/>
      <c r="C36" s="8" t="inlineStr">
        <is>
          <t xml:space="preserve">   • Xi măng PCB40 thân mố</t>
        </is>
      </c>
      <c r="D36" s="16" t="n"/>
      <c r="E36" s="16" t="n"/>
      <c r="F36" s="8" t="inlineStr">
        <is>
          <t>Xi măng PCB40 thân mố</t>
        </is>
      </c>
      <c r="G36" s="7" t="inlineStr">
        <is>
          <t>kg</t>
        </is>
      </c>
      <c r="H36" s="9" t="n">
        <v>385</v>
      </c>
      <c r="I36" s="9">
        <f>D35*H36</f>
        <v/>
      </c>
      <c r="J36" s="8" t="inlineStr">
        <is>
          <t>TCVN 6260:2020</t>
        </is>
      </c>
    </row>
    <row r="37">
      <c r="A37" s="16" t="n"/>
      <c r="B37" s="16" t="n"/>
      <c r="C37" s="8" t="inlineStr">
        <is>
          <t xml:space="preserve">   • Cát vàng sàng rửa Mk&gt;=2.0</t>
        </is>
      </c>
      <c r="D37" s="16" t="n"/>
      <c r="E37" s="16" t="n"/>
      <c r="F37" s="8" t="inlineStr">
        <is>
          <t>Cát vàng sàng rửa Mk&gt;=2.0</t>
        </is>
      </c>
      <c r="G37" s="7" t="inlineStr">
        <is>
          <t>m3</t>
        </is>
      </c>
      <c r="H37" s="17" t="n">
        <v>0.46</v>
      </c>
      <c r="I37" s="9">
        <f>D35*H37</f>
        <v/>
      </c>
      <c r="J37" s="8" t="inlineStr">
        <is>
          <t>TCVN 7570:2006</t>
        </is>
      </c>
    </row>
    <row r="38">
      <c r="A38" s="16" t="n"/>
      <c r="B38" s="16" t="n"/>
      <c r="C38" s="8" t="inlineStr">
        <is>
          <t xml:space="preserve">   • Đá dăm 1x2 sạch</t>
        </is>
      </c>
      <c r="D38" s="16" t="n"/>
      <c r="E38" s="16" t="n"/>
      <c r="F38" s="8" t="inlineStr">
        <is>
          <t>Đá dăm 1x2 sạch</t>
        </is>
      </c>
      <c r="G38" s="7" t="inlineStr">
        <is>
          <t>m3</t>
        </is>
      </c>
      <c r="H38" s="17" t="n">
        <v>0.84</v>
      </c>
      <c r="I38" s="9">
        <f>D35*H38</f>
        <v/>
      </c>
      <c r="J38" s="8" t="inlineStr">
        <is>
          <t>TCVN 7570:2006</t>
        </is>
      </c>
    </row>
    <row r="39">
      <c r="A39" s="16" t="n"/>
      <c r="B39" s="16" t="n"/>
      <c r="C39" s="8" t="inlineStr">
        <is>
          <t xml:space="preserve">   • Nước sạch trộn bê tông</t>
        </is>
      </c>
      <c r="D39" s="16" t="n"/>
      <c r="E39" s="16" t="n"/>
      <c r="F39" s="8" t="inlineStr">
        <is>
          <t>Nước sạch trộn bê tông</t>
        </is>
      </c>
      <c r="G39" s="7" t="inlineStr">
        <is>
          <t>Lít</t>
        </is>
      </c>
      <c r="H39" s="9" t="n">
        <v>180</v>
      </c>
      <c r="I39" s="9">
        <f>D35*H39</f>
        <v/>
      </c>
      <c r="J39" s="8" t="inlineStr">
        <is>
          <t>TCVN 4506:2012</t>
        </is>
      </c>
    </row>
    <row r="40">
      <c r="A40" s="16" t="n"/>
      <c r="B40" s="16" t="n"/>
      <c r="C40" s="8" t="inlineStr">
        <is>
          <t xml:space="preserve">   • Phụ gia siêu dẻo giảm nước</t>
        </is>
      </c>
      <c r="D40" s="16" t="n"/>
      <c r="E40" s="16" t="n"/>
      <c r="F40" s="8" t="inlineStr">
        <is>
          <t>Phụ gia siêu dẻo giảm nước</t>
        </is>
      </c>
      <c r="G40" s="7" t="inlineStr">
        <is>
          <t>kg</t>
        </is>
      </c>
      <c r="H40" s="9" t="n">
        <v>3.8</v>
      </c>
      <c r="I40" s="9">
        <f>D35*H40</f>
        <v/>
      </c>
      <c r="J40" s="8" t="inlineStr">
        <is>
          <t>ASTM C494 Type F</t>
        </is>
      </c>
    </row>
    <row r="41">
      <c r="A41" s="12" t="n">
        <v>8</v>
      </c>
      <c r="B41" s="12" t="inlineStr">
        <is>
          <t>AF.12311</t>
        </is>
      </c>
      <c r="C41" s="13" t="inlineStr">
        <is>
          <t>Bê tông tường cánh và tường đỉnh mố M1, M2 mác C30</t>
        </is>
      </c>
      <c r="D41" s="14" t="n">
        <v>48.91425</v>
      </c>
      <c r="E41" s="12" t="inlineStr">
        <is>
          <t>m3</t>
        </is>
      </c>
      <c r="F41" s="15" t="n"/>
      <c r="G41" s="15" t="n"/>
      <c r="H41" s="15" t="n"/>
      <c r="I41" s="15" t="n"/>
      <c r="J41" s="15" t="n"/>
    </row>
    <row r="42">
      <c r="A42" s="16" t="n"/>
      <c r="B42" s="16" t="n"/>
      <c r="C42" s="8" t="inlineStr">
        <is>
          <t xml:space="preserve">   • Xi măng PCB40 tường cánh</t>
        </is>
      </c>
      <c r="D42" s="16" t="n"/>
      <c r="E42" s="16" t="n"/>
      <c r="F42" s="8" t="inlineStr">
        <is>
          <t>Xi măng PCB40 tường cánh</t>
        </is>
      </c>
      <c r="G42" s="7" t="inlineStr">
        <is>
          <t>kg</t>
        </is>
      </c>
      <c r="H42" s="9" t="n">
        <v>385</v>
      </c>
      <c r="I42" s="9">
        <f>D41*H42</f>
        <v/>
      </c>
      <c r="J42" s="8" t="inlineStr">
        <is>
          <t>TCVN 6260:2020</t>
        </is>
      </c>
    </row>
    <row r="43">
      <c r="A43" s="16" t="n"/>
      <c r="B43" s="16" t="n"/>
      <c r="C43" s="8" t="inlineStr">
        <is>
          <t xml:space="preserve">   • Cát vàng sàng rửa Mk&gt;=2.0</t>
        </is>
      </c>
      <c r="D43" s="16" t="n"/>
      <c r="E43" s="16" t="n"/>
      <c r="F43" s="8" t="inlineStr">
        <is>
          <t>Cát vàng sàng rửa Mk&gt;=2.0</t>
        </is>
      </c>
      <c r="G43" s="7" t="inlineStr">
        <is>
          <t>m3</t>
        </is>
      </c>
      <c r="H43" s="17" t="n">
        <v>0.46</v>
      </c>
      <c r="I43" s="9">
        <f>D41*H43</f>
        <v/>
      </c>
      <c r="J43" s="8" t="inlineStr">
        <is>
          <t>TCVN 7570:2006</t>
        </is>
      </c>
    </row>
    <row r="44">
      <c r="A44" s="16" t="n"/>
      <c r="B44" s="16" t="n"/>
      <c r="C44" s="8" t="inlineStr">
        <is>
          <t xml:space="preserve">   • Đá dăm 1x2 sạch</t>
        </is>
      </c>
      <c r="D44" s="16" t="n"/>
      <c r="E44" s="16" t="n"/>
      <c r="F44" s="8" t="inlineStr">
        <is>
          <t>Đá dăm 1x2 sạch</t>
        </is>
      </c>
      <c r="G44" s="7" t="inlineStr">
        <is>
          <t>m3</t>
        </is>
      </c>
      <c r="H44" s="17" t="n">
        <v>0.84</v>
      </c>
      <c r="I44" s="9">
        <f>D41*H44</f>
        <v/>
      </c>
      <c r="J44" s="8" t="inlineStr">
        <is>
          <t>TCVN 7570:2006</t>
        </is>
      </c>
    </row>
    <row r="45">
      <c r="A45" s="16" t="n"/>
      <c r="B45" s="16" t="n"/>
      <c r="C45" s="8" t="inlineStr">
        <is>
          <t xml:space="preserve">   • Nước sạch trộn bê tông</t>
        </is>
      </c>
      <c r="D45" s="16" t="n"/>
      <c r="E45" s="16" t="n"/>
      <c r="F45" s="8" t="inlineStr">
        <is>
          <t>Nước sạch trộn bê tông</t>
        </is>
      </c>
      <c r="G45" s="7" t="inlineStr">
        <is>
          <t>Lít</t>
        </is>
      </c>
      <c r="H45" s="9" t="n">
        <v>180</v>
      </c>
      <c r="I45" s="9">
        <f>D41*H45</f>
        <v/>
      </c>
      <c r="J45" s="8" t="inlineStr">
        <is>
          <t>TCVN 4506:2012</t>
        </is>
      </c>
    </row>
    <row r="46">
      <c r="A46" s="16" t="n"/>
      <c r="B46" s="16" t="n"/>
      <c r="C46" s="8" t="inlineStr">
        <is>
          <t xml:space="preserve">   • Phụ gia siêu dẻo giảm nước</t>
        </is>
      </c>
      <c r="D46" s="16" t="n"/>
      <c r="E46" s="16" t="n"/>
      <c r="F46" s="8" t="inlineStr">
        <is>
          <t>Phụ gia siêu dẻo giảm nước</t>
        </is>
      </c>
      <c r="G46" s="7" t="inlineStr">
        <is>
          <t>kg</t>
        </is>
      </c>
      <c r="H46" s="9" t="n">
        <v>3.8</v>
      </c>
      <c r="I46" s="9">
        <f>D41*H46</f>
        <v/>
      </c>
      <c r="J46" s="8" t="inlineStr">
        <is>
          <t>ASTM C494 Type F</t>
        </is>
      </c>
    </row>
    <row r="47">
      <c r="A47" s="12" t="n">
        <v>9</v>
      </c>
      <c r="B47" s="12" t="inlineStr">
        <is>
          <t>AF.13111</t>
        </is>
      </c>
      <c r="C47" s="13" t="inlineStr">
        <is>
          <t>Bê tông thân đặc trụ T1 và T2 mác C30</t>
        </is>
      </c>
      <c r="D47" s="14" t="n">
        <v>502.52475</v>
      </c>
      <c r="E47" s="12" t="inlineStr">
        <is>
          <t>m3</t>
        </is>
      </c>
      <c r="F47" s="15" t="n"/>
      <c r="G47" s="15" t="n"/>
      <c r="H47" s="15" t="n"/>
      <c r="I47" s="15" t="n"/>
      <c r="J47" s="15" t="n"/>
    </row>
    <row r="48">
      <c r="A48" s="16" t="n"/>
      <c r="B48" s="16" t="n"/>
      <c r="C48" s="8" t="inlineStr">
        <is>
          <t xml:space="preserve">   • Xi măng PCB40 thân trụ</t>
        </is>
      </c>
      <c r="D48" s="16" t="n"/>
      <c r="E48" s="16" t="n"/>
      <c r="F48" s="8" t="inlineStr">
        <is>
          <t>Xi măng PCB40 thân trụ</t>
        </is>
      </c>
      <c r="G48" s="7" t="inlineStr">
        <is>
          <t>kg</t>
        </is>
      </c>
      <c r="H48" s="9" t="n">
        <v>385</v>
      </c>
      <c r="I48" s="9">
        <f>D47*H48</f>
        <v/>
      </c>
      <c r="J48" s="8" t="inlineStr">
        <is>
          <t>TCVN 6260:2020</t>
        </is>
      </c>
    </row>
    <row r="49">
      <c r="A49" s="16" t="n"/>
      <c r="B49" s="16" t="n"/>
      <c r="C49" s="8" t="inlineStr">
        <is>
          <t xml:space="preserve">   • Cát vàng sàng rửa Mk&gt;=2.0</t>
        </is>
      </c>
      <c r="D49" s="16" t="n"/>
      <c r="E49" s="16" t="n"/>
      <c r="F49" s="8" t="inlineStr">
        <is>
          <t>Cát vàng sàng rửa Mk&gt;=2.0</t>
        </is>
      </c>
      <c r="G49" s="7" t="inlineStr">
        <is>
          <t>m3</t>
        </is>
      </c>
      <c r="H49" s="17" t="n">
        <v>0.46</v>
      </c>
      <c r="I49" s="9">
        <f>D47*H49</f>
        <v/>
      </c>
      <c r="J49" s="8" t="inlineStr">
        <is>
          <t>TCVN 7570:2006</t>
        </is>
      </c>
    </row>
    <row r="50">
      <c r="A50" s="16" t="n"/>
      <c r="B50" s="16" t="n"/>
      <c r="C50" s="8" t="inlineStr">
        <is>
          <t xml:space="preserve">   • Đá dăm 1x2 sạch</t>
        </is>
      </c>
      <c r="D50" s="16" t="n"/>
      <c r="E50" s="16" t="n"/>
      <c r="F50" s="8" t="inlineStr">
        <is>
          <t>Đá dăm 1x2 sạch</t>
        </is>
      </c>
      <c r="G50" s="7" t="inlineStr">
        <is>
          <t>m3</t>
        </is>
      </c>
      <c r="H50" s="17" t="n">
        <v>0.84</v>
      </c>
      <c r="I50" s="9">
        <f>D47*H50</f>
        <v/>
      </c>
      <c r="J50" s="8" t="inlineStr">
        <is>
          <t>TCVN 7570:2006</t>
        </is>
      </c>
    </row>
    <row r="51">
      <c r="A51" s="16" t="n"/>
      <c r="B51" s="16" t="n"/>
      <c r="C51" s="8" t="inlineStr">
        <is>
          <t xml:space="preserve">   • Nước sạch trộn bê tông</t>
        </is>
      </c>
      <c r="D51" s="16" t="n"/>
      <c r="E51" s="16" t="n"/>
      <c r="F51" s="8" t="inlineStr">
        <is>
          <t>Nước sạch trộn bê tông</t>
        </is>
      </c>
      <c r="G51" s="7" t="inlineStr">
        <is>
          <t>Lít</t>
        </is>
      </c>
      <c r="H51" s="9" t="n">
        <v>180</v>
      </c>
      <c r="I51" s="9">
        <f>D47*H51</f>
        <v/>
      </c>
      <c r="J51" s="8" t="inlineStr">
        <is>
          <t>TCVN 4506:2012</t>
        </is>
      </c>
    </row>
    <row r="52">
      <c r="A52" s="16" t="n"/>
      <c r="B52" s="16" t="n"/>
      <c r="C52" s="8" t="inlineStr">
        <is>
          <t xml:space="preserve">   • Phụ gia siêu dẻo giảm nước</t>
        </is>
      </c>
      <c r="D52" s="16" t="n"/>
      <c r="E52" s="16" t="n"/>
      <c r="F52" s="8" t="inlineStr">
        <is>
          <t>Phụ gia siêu dẻo giảm nước</t>
        </is>
      </c>
      <c r="G52" s="7" t="inlineStr">
        <is>
          <t>kg</t>
        </is>
      </c>
      <c r="H52" s="9" t="n">
        <v>3.8</v>
      </c>
      <c r="I52" s="9">
        <f>D47*H52</f>
        <v/>
      </c>
      <c r="J52" s="8" t="inlineStr">
        <is>
          <t>ASTM C494 Type F</t>
        </is>
      </c>
    </row>
    <row r="53">
      <c r="A53" s="12" t="n">
        <v>10</v>
      </c>
      <c r="B53" s="12" t="inlineStr">
        <is>
          <t>AF.13211</t>
        </is>
      </c>
      <c r="C53" s="13" t="inlineStr">
        <is>
          <t>Bê tông xà mũ trụ T1, T2 mác C35</t>
        </is>
      </c>
      <c r="D53" s="14" t="n">
        <v>146.124</v>
      </c>
      <c r="E53" s="12" t="inlineStr">
        <is>
          <t>m3</t>
        </is>
      </c>
      <c r="F53" s="15" t="n"/>
      <c r="G53" s="15" t="n"/>
      <c r="H53" s="15" t="n"/>
      <c r="I53" s="15" t="n"/>
      <c r="J53" s="15" t="n"/>
    </row>
    <row r="54">
      <c r="A54" s="16" t="n"/>
      <c r="B54" s="16" t="n"/>
      <c r="C54" s="8" t="inlineStr">
        <is>
          <t xml:space="preserve">   • Xi măng PCB40 xà mũ trụ</t>
        </is>
      </c>
      <c r="D54" s="16" t="n"/>
      <c r="E54" s="16" t="n"/>
      <c r="F54" s="8" t="inlineStr">
        <is>
          <t>Xi măng PCB40 xà mũ trụ</t>
        </is>
      </c>
      <c r="G54" s="7" t="inlineStr">
        <is>
          <t>kg</t>
        </is>
      </c>
      <c r="H54" s="9" t="n">
        <v>425</v>
      </c>
      <c r="I54" s="9">
        <f>D53*H54</f>
        <v/>
      </c>
      <c r="J54" s="8" t="inlineStr">
        <is>
          <t>TCVN 6260:2020</t>
        </is>
      </c>
    </row>
    <row r="55">
      <c r="A55" s="16" t="n"/>
      <c r="B55" s="16" t="n"/>
      <c r="C55" s="8" t="inlineStr">
        <is>
          <t xml:space="preserve">   • Cát vàng sàng rửa Mk&gt;=2.0</t>
        </is>
      </c>
      <c r="D55" s="16" t="n"/>
      <c r="E55" s="16" t="n"/>
      <c r="F55" s="8" t="inlineStr">
        <is>
          <t>Cát vàng sàng rửa Mk&gt;=2.0</t>
        </is>
      </c>
      <c r="G55" s="7" t="inlineStr">
        <is>
          <t>m3</t>
        </is>
      </c>
      <c r="H55" s="17" t="n">
        <v>0.45</v>
      </c>
      <c r="I55" s="9">
        <f>D53*H55</f>
        <v/>
      </c>
      <c r="J55" s="8" t="inlineStr">
        <is>
          <t>TCVN 7570:2006</t>
        </is>
      </c>
    </row>
    <row r="56">
      <c r="A56" s="16" t="n"/>
      <c r="B56" s="16" t="n"/>
      <c r="C56" s="8" t="inlineStr">
        <is>
          <t xml:space="preserve">   • Đá dăm 1x2 sạch chọn lọc</t>
        </is>
      </c>
      <c r="D56" s="16" t="n"/>
      <c r="E56" s="16" t="n"/>
      <c r="F56" s="8" t="inlineStr">
        <is>
          <t>Đá dăm 1x2 sạch chọn lọc</t>
        </is>
      </c>
      <c r="G56" s="7" t="inlineStr">
        <is>
          <t>m3</t>
        </is>
      </c>
      <c r="H56" s="17" t="n">
        <v>0.83</v>
      </c>
      <c r="I56" s="9">
        <f>D53*H56</f>
        <v/>
      </c>
      <c r="J56" s="8" t="inlineStr">
        <is>
          <t>TCVN 7570:2006</t>
        </is>
      </c>
    </row>
    <row r="57">
      <c r="A57" s="16" t="n"/>
      <c r="B57" s="16" t="n"/>
      <c r="C57" s="8" t="inlineStr">
        <is>
          <t xml:space="preserve">   • Nước sạch trộn bê tông</t>
        </is>
      </c>
      <c r="D57" s="16" t="n"/>
      <c r="E57" s="16" t="n"/>
      <c r="F57" s="8" t="inlineStr">
        <is>
          <t>Nước sạch trộn bê tông</t>
        </is>
      </c>
      <c r="G57" s="7" t="inlineStr">
        <is>
          <t>Lít</t>
        </is>
      </c>
      <c r="H57" s="9" t="n">
        <v>180</v>
      </c>
      <c r="I57" s="9">
        <f>D53*H57</f>
        <v/>
      </c>
      <c r="J57" s="8" t="inlineStr">
        <is>
          <t>TCVN 4506:2012</t>
        </is>
      </c>
    </row>
    <row r="58">
      <c r="A58" s="16" t="n"/>
      <c r="B58" s="16" t="n"/>
      <c r="C58" s="8" t="inlineStr">
        <is>
          <t xml:space="preserve">   • Phụ gia siêu dẻo giảm nước</t>
        </is>
      </c>
      <c r="D58" s="16" t="n"/>
      <c r="E58" s="16" t="n"/>
      <c r="F58" s="8" t="inlineStr">
        <is>
          <t>Phụ gia siêu dẻo giảm nước</t>
        </is>
      </c>
      <c r="G58" s="7" t="inlineStr">
        <is>
          <t>kg</t>
        </is>
      </c>
      <c r="H58" s="9" t="n">
        <v>4.5</v>
      </c>
      <c r="I58" s="9">
        <f>D53*H58</f>
        <v/>
      </c>
      <c r="J58" s="8" t="inlineStr">
        <is>
          <t>ASTM C494 Type F</t>
        </is>
      </c>
    </row>
    <row r="59">
      <c r="A59" s="12" t="n">
        <v>11</v>
      </c>
      <c r="B59" s="12" t="inlineStr">
        <is>
          <t>AF.62111</t>
        </is>
      </c>
      <c r="C59" s="13" t="inlineStr">
        <is>
          <t>Cốt thép mố và trụ (Bệ móng, Thân mố, Thân trụ, Xà mũ)</t>
        </is>
      </c>
      <c r="D59" s="14" t="n">
        <v>224.6522560819999</v>
      </c>
      <c r="E59" s="12" t="inlineStr">
        <is>
          <t>Tấn</t>
        </is>
      </c>
      <c r="F59" s="15" t="n"/>
      <c r="G59" s="15" t="n"/>
      <c r="H59" s="15" t="n"/>
      <c r="I59" s="15" t="n"/>
      <c r="J59" s="15" t="n"/>
    </row>
    <row r="60">
      <c r="A60" s="16" t="n"/>
      <c r="B60" s="16" t="n"/>
      <c r="C60" s="8" t="inlineStr">
        <is>
          <t xml:space="preserve">   • Thép lưới đáy bệ móng vằn Ø32 (CB500-V)</t>
        </is>
      </c>
      <c r="D60" s="16" t="n"/>
      <c r="E60" s="16" t="n"/>
      <c r="F60" s="8" t="inlineStr">
        <is>
          <t>Thép lưới đáy bệ móng vằn Ø32 (CB500-V)</t>
        </is>
      </c>
      <c r="G60" s="7" t="inlineStr">
        <is>
          <t>Tấn</t>
        </is>
      </c>
      <c r="H60" s="17" t="n">
        <v>0.365</v>
      </c>
      <c r="I60" s="9">
        <f>D59*H60</f>
        <v/>
      </c>
      <c r="J60" s="8" t="inlineStr">
        <is>
          <t>TCVN 1651:2018</t>
        </is>
      </c>
    </row>
    <row r="61">
      <c r="A61" s="16" t="n"/>
      <c r="B61" s="16" t="n"/>
      <c r="C61" s="8" t="inlineStr">
        <is>
          <t xml:space="preserve">   • Thép đứng thân trụ vằn Ø32 (CB500-V)</t>
        </is>
      </c>
      <c r="D61" s="16" t="n"/>
      <c r="E61" s="16" t="n"/>
      <c r="F61" s="8" t="inlineStr">
        <is>
          <t>Thép đứng thân trụ vằn Ø32 (CB500-V)</t>
        </is>
      </c>
      <c r="G61" s="7" t="inlineStr">
        <is>
          <t>Tấn</t>
        </is>
      </c>
      <c r="H61" s="17" t="n">
        <v>0.245</v>
      </c>
      <c r="I61" s="9">
        <f>D59*H61</f>
        <v/>
      </c>
      <c r="J61" s="8" t="inlineStr">
        <is>
          <t>TCVN 1651:2018</t>
        </is>
      </c>
    </row>
    <row r="62">
      <c r="A62" s="16" t="n"/>
      <c r="B62" s="16" t="n"/>
      <c r="C62" s="8" t="inlineStr">
        <is>
          <t xml:space="preserve">   • Thép đứng thân mố vằn Ø28 (CB500-V)</t>
        </is>
      </c>
      <c r="D62" s="16" t="n"/>
      <c r="E62" s="16" t="n"/>
      <c r="F62" s="8" t="inlineStr">
        <is>
          <t>Thép đứng thân mố vằn Ø28 (CB500-V)</t>
        </is>
      </c>
      <c r="G62" s="7" t="inlineStr">
        <is>
          <t>Tấn</t>
        </is>
      </c>
      <c r="H62" s="17" t="n">
        <v>0.145</v>
      </c>
      <c r="I62" s="9">
        <f>D59*H62</f>
        <v/>
      </c>
      <c r="J62" s="8" t="inlineStr">
        <is>
          <t>TCVN 1651:2018</t>
        </is>
      </c>
    </row>
    <row r="63">
      <c r="A63" s="16" t="n"/>
      <c r="B63" s="16" t="n"/>
      <c r="C63" s="8" t="inlineStr">
        <is>
          <t xml:space="preserve">   • Thép xà mũ chịu uốn vằn Ø28 (CB500-V)</t>
        </is>
      </c>
      <c r="D63" s="16" t="n"/>
      <c r="E63" s="16" t="n"/>
      <c r="F63" s="8" t="inlineStr">
        <is>
          <t>Thép xà mũ chịu uốn vằn Ø28 (CB500-V)</t>
        </is>
      </c>
      <c r="G63" s="7" t="inlineStr">
        <is>
          <t>Tấn</t>
        </is>
      </c>
      <c r="H63" s="17" t="n">
        <v>0.08500000000000001</v>
      </c>
      <c r="I63" s="9">
        <f>D59*H63</f>
        <v/>
      </c>
      <c r="J63" s="8" t="inlineStr">
        <is>
          <t>TCVN 1651:2018</t>
        </is>
      </c>
    </row>
    <row r="64">
      <c r="A64" s="16" t="n"/>
      <c r="B64" s="16" t="n"/>
      <c r="C64" s="8" t="inlineStr">
        <is>
          <t xml:space="preserve">   • Thép phân bố bệ móng vằn Ø20 (CB500-V)</t>
        </is>
      </c>
      <c r="D64" s="16" t="n"/>
      <c r="E64" s="16" t="n"/>
      <c r="F64" s="8" t="inlineStr">
        <is>
          <t>Thép phân bố bệ móng vằn Ø20 (CB500-V)</t>
        </is>
      </c>
      <c r="G64" s="7" t="inlineStr">
        <is>
          <t>Tấn</t>
        </is>
      </c>
      <c r="H64" s="17" t="n">
        <v>0.1</v>
      </c>
      <c r="I64" s="9">
        <f>D59*H64</f>
        <v/>
      </c>
      <c r="J64" s="8" t="inlineStr">
        <is>
          <t>TCVN 1651:2018</t>
        </is>
      </c>
    </row>
    <row r="65">
      <c r="A65" s="16" t="n"/>
      <c r="B65" s="16" t="n"/>
      <c r="C65" s="8" t="inlineStr">
        <is>
          <t xml:space="preserve">   • Thép đai mố trụ vằn Ø16 (CB400-V)</t>
        </is>
      </c>
      <c r="D65" s="16" t="n"/>
      <c r="E65" s="16" t="n"/>
      <c r="F65" s="8" t="inlineStr">
        <is>
          <t>Thép đai mố trụ vằn Ø16 (CB400-V)</t>
        </is>
      </c>
      <c r="G65" s="7" t="inlineStr">
        <is>
          <t>Tấn</t>
        </is>
      </c>
      <c r="H65" s="17" t="n">
        <v>0.04</v>
      </c>
      <c r="I65" s="9">
        <f>D59*H65</f>
        <v/>
      </c>
      <c r="J65" s="8" t="inlineStr">
        <is>
          <t>TCVN 1651:2018</t>
        </is>
      </c>
    </row>
    <row r="66">
      <c r="A66" s="16" t="n"/>
      <c r="B66" s="16" t="n"/>
      <c r="C66" s="8" t="inlineStr">
        <is>
          <t xml:space="preserve">   • Thép đai cấu tạo tròn trơn Ø10 (CB240-T)</t>
        </is>
      </c>
      <c r="D66" s="16" t="n"/>
      <c r="E66" s="16" t="n"/>
      <c r="F66" s="8" t="inlineStr">
        <is>
          <t>Thép đai cấu tạo tròn trơn Ø10 (CB240-T)</t>
        </is>
      </c>
      <c r="G66" s="7" t="inlineStr">
        <is>
          <t>Tấn</t>
        </is>
      </c>
      <c r="H66" s="17" t="n">
        <v>0.02</v>
      </c>
      <c r="I66" s="9">
        <f>D59*H66</f>
        <v/>
      </c>
      <c r="J66" s="8" t="inlineStr">
        <is>
          <t>TCVN 1651:2018</t>
        </is>
      </c>
    </row>
    <row r="67">
      <c r="A67" s="16" t="n"/>
      <c r="B67" s="16" t="n"/>
      <c r="C67" s="8" t="inlineStr">
        <is>
          <t xml:space="preserve">   • Dây thép buộc 1 ly</t>
        </is>
      </c>
      <c r="D67" s="16" t="n"/>
      <c r="E67" s="16" t="n"/>
      <c r="F67" s="8" t="inlineStr">
        <is>
          <t>Dây thép buộc 1 ly</t>
        </is>
      </c>
      <c r="G67" s="7" t="inlineStr">
        <is>
          <t>kg</t>
        </is>
      </c>
      <c r="H67" s="9" t="n">
        <v>15</v>
      </c>
      <c r="I67" s="9">
        <f>D59*H67</f>
        <v/>
      </c>
      <c r="J67" s="8" t="inlineStr">
        <is>
          <t>TCVN 1651:2018</t>
        </is>
      </c>
    </row>
    <row r="68">
      <c r="A68" s="16" t="n"/>
      <c r="B68" s="16" t="n"/>
      <c r="C68" s="8" t="inlineStr">
        <is>
          <t xml:space="preserve">   • Que hàn điện E42/E50</t>
        </is>
      </c>
      <c r="D68" s="16" t="n"/>
      <c r="E68" s="16" t="n"/>
      <c r="F68" s="8" t="inlineStr">
        <is>
          <t>Que hàn điện E42/E50</t>
        </is>
      </c>
      <c r="G68" s="7" t="inlineStr">
        <is>
          <t>kg</t>
        </is>
      </c>
      <c r="H68" s="9" t="n">
        <v>8</v>
      </c>
      <c r="I68" s="9">
        <f>D59*H68</f>
        <v/>
      </c>
      <c r="J68" s="8" t="inlineStr">
        <is>
          <t>TCVN 3223:2000</t>
        </is>
      </c>
    </row>
    <row r="69">
      <c r="A69" s="12" t="n">
        <v>12</v>
      </c>
      <c r="B69" s="12" t="inlineStr">
        <is>
          <t>AF.31111</t>
        </is>
      </c>
      <c r="C69" s="13" t="inlineStr">
        <is>
          <t>Bê tông dầm chủ Super-T L=38.2m mác C45 (15 phiến)</t>
        </is>
      </c>
      <c r="D69" s="14" t="n">
        <v>434.907</v>
      </c>
      <c r="E69" s="12" t="inlineStr">
        <is>
          <t>m3</t>
        </is>
      </c>
      <c r="F69" s="15" t="n"/>
      <c r="G69" s="15" t="n"/>
      <c r="H69" s="15" t="n"/>
      <c r="I69" s="15" t="n"/>
      <c r="J69" s="15" t="n"/>
    </row>
    <row r="70">
      <c r="A70" s="16" t="n"/>
      <c r="B70" s="16" t="n"/>
      <c r="C70" s="8" t="inlineStr">
        <is>
          <t xml:space="preserve">   • Xi măng PCB40 dầm Super-T</t>
        </is>
      </c>
      <c r="D70" s="16" t="n"/>
      <c r="E70" s="16" t="n"/>
      <c r="F70" s="8" t="inlineStr">
        <is>
          <t>Xi măng PCB40 dầm Super-T</t>
        </is>
      </c>
      <c r="G70" s="7" t="inlineStr">
        <is>
          <t>kg</t>
        </is>
      </c>
      <c r="H70" s="9" t="n">
        <v>485</v>
      </c>
      <c r="I70" s="9">
        <f>D69*H70</f>
        <v/>
      </c>
      <c r="J70" s="8" t="inlineStr">
        <is>
          <t>TCVN 6260:2020</t>
        </is>
      </c>
    </row>
    <row r="71">
      <c r="A71" s="16" t="n"/>
      <c r="B71" s="16" t="n"/>
      <c r="C71" s="8" t="inlineStr">
        <is>
          <t xml:space="preserve">   • Cát vàng chọn lọc thô Mk&gt;=2.6</t>
        </is>
      </c>
      <c r="D71" s="16" t="n"/>
      <c r="E71" s="16" t="n"/>
      <c r="F71" s="8" t="inlineStr">
        <is>
          <t>Cát vàng chọn lọc thô Mk&gt;=2.6</t>
        </is>
      </c>
      <c r="G71" s="7" t="inlineStr">
        <is>
          <t>m3</t>
        </is>
      </c>
      <c r="H71" s="17" t="n">
        <v>0.44</v>
      </c>
      <c r="I71" s="9">
        <f>D69*H71</f>
        <v/>
      </c>
      <c r="J71" s="8" t="inlineStr">
        <is>
          <t>TCVN 7570:2006</t>
        </is>
      </c>
    </row>
    <row r="72">
      <c r="A72" s="16" t="n"/>
      <c r="B72" s="16" t="n"/>
      <c r="C72" s="8" t="inlineStr">
        <is>
          <t xml:space="preserve">   • Đá dăm 1x2 nghiền rửa chọn lọc</t>
        </is>
      </c>
      <c r="D72" s="16" t="n"/>
      <c r="E72" s="16" t="n"/>
      <c r="F72" s="8" t="inlineStr">
        <is>
          <t>Đá dăm 1x2 nghiền rửa chọn lọc</t>
        </is>
      </c>
      <c r="G72" s="7" t="inlineStr">
        <is>
          <t>m3</t>
        </is>
      </c>
      <c r="H72" s="17" t="n">
        <v>0.83</v>
      </c>
      <c r="I72" s="9">
        <f>D69*H72</f>
        <v/>
      </c>
      <c r="J72" s="8" t="inlineStr">
        <is>
          <t>TCVN 7570:2006</t>
        </is>
      </c>
    </row>
    <row r="73">
      <c r="A73" s="16" t="n"/>
      <c r="B73" s="16" t="n"/>
      <c r="C73" s="8" t="inlineStr">
        <is>
          <t xml:space="preserve">   • Nước sạch trộn bê tông</t>
        </is>
      </c>
      <c r="D73" s="16" t="n"/>
      <c r="E73" s="16" t="n"/>
      <c r="F73" s="8" t="inlineStr">
        <is>
          <t>Nước sạch trộn bê tông</t>
        </is>
      </c>
      <c r="G73" s="7" t="inlineStr">
        <is>
          <t>Lít</t>
        </is>
      </c>
      <c r="H73" s="9" t="n">
        <v>165</v>
      </c>
      <c r="I73" s="9">
        <f>D69*H73</f>
        <v/>
      </c>
      <c r="J73" s="8" t="inlineStr">
        <is>
          <t>TCVN 4506:2012</t>
        </is>
      </c>
    </row>
    <row r="74">
      <c r="A74" s="16" t="n"/>
      <c r="B74" s="16" t="n"/>
      <c r="C74" s="8" t="inlineStr">
        <is>
          <t xml:space="preserve">   • Phụ gia siêu dẻo Polycarboxylate thế hệ 3</t>
        </is>
      </c>
      <c r="D74" s="16" t="n"/>
      <c r="E74" s="16" t="n"/>
      <c r="F74" s="8" t="inlineStr">
        <is>
          <t>Phụ gia siêu dẻo Polycarboxylate thế hệ 3</t>
        </is>
      </c>
      <c r="G74" s="7" t="inlineStr">
        <is>
          <t>kg</t>
        </is>
      </c>
      <c r="H74" s="9" t="n">
        <v>6.8</v>
      </c>
      <c r="I74" s="9">
        <f>D69*H74</f>
        <v/>
      </c>
      <c r="J74" s="8" t="inlineStr">
        <is>
          <t>ASTM C494 Type F/G</t>
        </is>
      </c>
    </row>
    <row r="75">
      <c r="A75" s="12" t="n">
        <v>13</v>
      </c>
      <c r="B75" s="12" t="inlineStr">
        <is>
          <t>AF.63111</t>
        </is>
      </c>
      <c r="C75" s="13" t="inlineStr">
        <is>
          <t>Cáp dự ứng lực tao xoắn 15.2mm Grade 270 dầm Super-T</t>
        </is>
      </c>
      <c r="D75" s="14" t="n">
        <v>27.78362400000001</v>
      </c>
      <c r="E75" s="12" t="inlineStr">
        <is>
          <t>Tấn</t>
        </is>
      </c>
      <c r="F75" s="15" t="n"/>
      <c r="G75" s="15" t="n"/>
      <c r="H75" s="15" t="n"/>
      <c r="I75" s="15" t="n"/>
      <c r="J75" s="15" t="n"/>
    </row>
    <row r="76">
      <c r="A76" s="16" t="n"/>
      <c r="B76" s="16" t="n"/>
      <c r="C76" s="8" t="inlineStr">
        <is>
          <t xml:space="preserve">   • Cáp dự ứng lực tao 15.2mm Gr270</t>
        </is>
      </c>
      <c r="D76" s="16" t="n"/>
      <c r="E76" s="16" t="n"/>
      <c r="F76" s="8" t="inlineStr">
        <is>
          <t>Cáp dự ứng lực tao 15.2mm Gr270</t>
        </is>
      </c>
      <c r="G76" s="7" t="inlineStr">
        <is>
          <t>Tấn</t>
        </is>
      </c>
      <c r="H76" s="9" t="n">
        <v>1</v>
      </c>
      <c r="I76" s="9">
        <f>D75*H76</f>
        <v/>
      </c>
      <c r="J76" s="8" t="inlineStr">
        <is>
          <t>ASTM A416 / TCVN 11823</t>
        </is>
      </c>
    </row>
    <row r="77">
      <c r="A77" s="16" t="n"/>
      <c r="B77" s="16" t="n"/>
      <c r="C77" s="8" t="inlineStr">
        <is>
          <t xml:space="preserve">   • Bộ neo chùm dự ứng lực (12 bộ/phiến dầm)</t>
        </is>
      </c>
      <c r="D77" s="16" t="n"/>
      <c r="E77" s="16" t="n"/>
      <c r="F77" s="8" t="inlineStr">
        <is>
          <t>Bộ neo chùm dự ứng lực (12 bộ/phiến dầm)</t>
        </is>
      </c>
      <c r="G77" s="7" t="inlineStr">
        <is>
          <t>Bộ</t>
        </is>
      </c>
      <c r="H77" s="9" t="n">
        <v>3.75</v>
      </c>
      <c r="I77" s="9">
        <f>D75*H77</f>
        <v/>
      </c>
      <c r="J77" s="8" t="inlineStr">
        <is>
          <t>TCVN 11823:2017</t>
        </is>
      </c>
    </row>
    <row r="78">
      <c r="A78" s="16" t="n"/>
      <c r="B78" s="16" t="n"/>
      <c r="C78" s="8" t="inlineStr">
        <is>
          <t xml:space="preserve">   • Ống ghen tôn mạ kẽm luồn cáp DƯL</t>
        </is>
      </c>
      <c r="D78" s="16" t="n"/>
      <c r="E78" s="16" t="n"/>
      <c r="F78" s="8" t="inlineStr">
        <is>
          <t>Ống ghen tôn mạ kẽm luồn cáp DƯL</t>
        </is>
      </c>
      <c r="G78" s="7" t="inlineStr">
        <is>
          <t>m</t>
        </is>
      </c>
      <c r="H78" s="9" t="n">
        <v>36</v>
      </c>
      <c r="I78" s="9">
        <f>D75*H78</f>
        <v/>
      </c>
      <c r="J78" s="8" t="inlineStr">
        <is>
          <t>TCVN 11823:2017</t>
        </is>
      </c>
    </row>
    <row r="79">
      <c r="A79" s="16" t="n"/>
      <c r="B79" s="16" t="n"/>
      <c r="C79" s="8" t="inlineStr">
        <is>
          <t xml:space="preserve">   • Vữa không co ngót bơm lấp ống ghen SikaGrout</t>
        </is>
      </c>
      <c r="D79" s="16" t="n"/>
      <c r="E79" s="16" t="n"/>
      <c r="F79" s="8" t="inlineStr">
        <is>
          <t>Vữa không co ngót bơm lấp ống ghen SikaGrout</t>
        </is>
      </c>
      <c r="G79" s="7" t="inlineStr">
        <is>
          <t>kg</t>
        </is>
      </c>
      <c r="H79" s="9" t="n">
        <v>380</v>
      </c>
      <c r="I79" s="9">
        <f>D75*H79</f>
        <v/>
      </c>
      <c r="J79" s="8" t="inlineStr">
        <is>
          <t>ASTM C1107</t>
        </is>
      </c>
    </row>
    <row r="80">
      <c r="A80" s="12" t="n">
        <v>14</v>
      </c>
      <c r="B80" s="12" t="inlineStr">
        <is>
          <t>AF.64111</t>
        </is>
      </c>
      <c r="C80" s="13" t="inlineStr">
        <is>
          <t>Cốt thép thường dầm chủ Super-T (Thép sườn, cánh)</t>
        </is>
      </c>
      <c r="D80" s="14" t="n">
        <v>361.5960984</v>
      </c>
      <c r="E80" s="12" t="inlineStr">
        <is>
          <t>Tấn</t>
        </is>
      </c>
      <c r="F80" s="15" t="n"/>
      <c r="G80" s="15" t="n"/>
      <c r="H80" s="15" t="n"/>
      <c r="I80" s="15" t="n"/>
      <c r="J80" s="15" t="n"/>
    </row>
    <row r="81">
      <c r="A81" s="16" t="n"/>
      <c r="B81" s="16" t="n"/>
      <c r="C81" s="8" t="inlineStr">
        <is>
          <t xml:space="preserve">   • Thép sườn dầm Super-T vằn Ø16 (CB400-V)</t>
        </is>
      </c>
      <c r="D81" s="16" t="n"/>
      <c r="E81" s="16" t="n"/>
      <c r="F81" s="8" t="inlineStr">
        <is>
          <t>Thép sườn dầm Super-T vằn Ø16 (CB400-V)</t>
        </is>
      </c>
      <c r="G81" s="7" t="inlineStr">
        <is>
          <t>Tấn</t>
        </is>
      </c>
      <c r="H81" s="17" t="n">
        <v>0.55</v>
      </c>
      <c r="I81" s="9">
        <f>D80*H81</f>
        <v/>
      </c>
      <c r="J81" s="8" t="inlineStr">
        <is>
          <t>TCVN 1651:2018</t>
        </is>
      </c>
    </row>
    <row r="82">
      <c r="A82" s="16" t="n"/>
      <c r="B82" s="16" t="n"/>
      <c r="C82" s="8" t="inlineStr">
        <is>
          <t xml:space="preserve">   • Thép bản cánh dầm Super-T vằn Ø14 (CB400-V)</t>
        </is>
      </c>
      <c r="D82" s="16" t="n"/>
      <c r="E82" s="16" t="n"/>
      <c r="F82" s="8" t="inlineStr">
        <is>
          <t>Thép bản cánh dầm Super-T vằn Ø14 (CB400-V)</t>
        </is>
      </c>
      <c r="G82" s="7" t="inlineStr">
        <is>
          <t>Tấn</t>
        </is>
      </c>
      <c r="H82" s="17" t="n">
        <v>0.35</v>
      </c>
      <c r="I82" s="9">
        <f>D80*H82</f>
        <v/>
      </c>
      <c r="J82" s="8" t="inlineStr">
        <is>
          <t>TCVN 1651:2018</t>
        </is>
      </c>
    </row>
    <row r="83">
      <c r="A83" s="16" t="n"/>
      <c r="B83" s="16" t="n"/>
      <c r="C83" s="8" t="inlineStr">
        <is>
          <t xml:space="preserve">   • Thép đai và móc cẩu dầm tròn trơn Ø10 (CB240-T)</t>
        </is>
      </c>
      <c r="D83" s="16" t="n"/>
      <c r="E83" s="16" t="n"/>
      <c r="F83" s="8" t="inlineStr">
        <is>
          <t>Thép đai và móc cẩu dầm tròn trơn Ø10 (CB240-T)</t>
        </is>
      </c>
      <c r="G83" s="7" t="inlineStr">
        <is>
          <t>Tấn</t>
        </is>
      </c>
      <c r="H83" s="17" t="n">
        <v>0.1</v>
      </c>
      <c r="I83" s="9">
        <f>D80*H83</f>
        <v/>
      </c>
      <c r="J83" s="8" t="inlineStr">
        <is>
          <t>TCVN 1651:2018</t>
        </is>
      </c>
    </row>
    <row r="84">
      <c r="A84" s="16" t="n"/>
      <c r="B84" s="16" t="n"/>
      <c r="C84" s="8" t="inlineStr">
        <is>
          <t xml:space="preserve">   • Dây thép buộc 1 ly</t>
        </is>
      </c>
      <c r="D84" s="16" t="n"/>
      <c r="E84" s="16" t="n"/>
      <c r="F84" s="8" t="inlineStr">
        <is>
          <t>Dây thép buộc 1 ly</t>
        </is>
      </c>
      <c r="G84" s="7" t="inlineStr">
        <is>
          <t>kg</t>
        </is>
      </c>
      <c r="H84" s="9" t="n">
        <v>15</v>
      </c>
      <c r="I84" s="9">
        <f>D80*H84</f>
        <v/>
      </c>
      <c r="J84" s="8" t="inlineStr">
        <is>
          <t>TCVN 1651:2018</t>
        </is>
      </c>
    </row>
    <row r="85">
      <c r="A85" s="12" t="n">
        <v>15</v>
      </c>
      <c r="B85" s="12" t="inlineStr">
        <is>
          <t>AF.32111</t>
        </is>
      </c>
      <c r="C85" s="13" t="inlineStr">
        <is>
          <t>Gối chậu cao su di động đơn hướng &amp; cố định</t>
        </is>
      </c>
      <c r="D85" s="14" t="n">
        <v>30</v>
      </c>
      <c r="E85" s="12" t="inlineStr">
        <is>
          <t>Cái</t>
        </is>
      </c>
      <c r="F85" s="15" t="n"/>
      <c r="G85" s="15" t="n"/>
      <c r="H85" s="15" t="n"/>
      <c r="I85" s="15" t="n"/>
      <c r="J85" s="15" t="n"/>
    </row>
    <row r="86">
      <c r="A86" s="16" t="n"/>
      <c r="B86" s="16" t="n"/>
      <c r="C86" s="8" t="inlineStr">
        <is>
          <t xml:space="preserve">   • Gối chậu cao su cốt bản thép chịu lực</t>
        </is>
      </c>
      <c r="D86" s="16" t="n"/>
      <c r="E86" s="16" t="n"/>
      <c r="F86" s="8" t="inlineStr">
        <is>
          <t>Gối chậu cao su cốt bản thép chịu lực</t>
        </is>
      </c>
      <c r="G86" s="7" t="inlineStr">
        <is>
          <t>Cái</t>
        </is>
      </c>
      <c r="H86" s="9" t="n">
        <v>1</v>
      </c>
      <c r="I86" s="9">
        <f>D85*H86</f>
        <v/>
      </c>
      <c r="J86" s="8" t="inlineStr">
        <is>
          <t>TCVN 11823:2017 / AASHTO</t>
        </is>
      </c>
    </row>
    <row r="87">
      <c r="A87" s="12" t="n">
        <v>16</v>
      </c>
      <c r="B87" s="12" t="inlineStr">
        <is>
          <t>AF.33111</t>
        </is>
      </c>
      <c r="C87" s="13" t="inlineStr">
        <is>
          <t>Bê tông dầm ngang mố và trụ mác C35</t>
        </is>
      </c>
      <c r="D87" s="14" t="n">
        <v>39.852</v>
      </c>
      <c r="E87" s="12" t="inlineStr">
        <is>
          <t>m3</t>
        </is>
      </c>
      <c r="F87" s="15" t="n"/>
      <c r="G87" s="15" t="n"/>
      <c r="H87" s="15" t="n"/>
      <c r="I87" s="15" t="n"/>
      <c r="J87" s="15" t="n"/>
    </row>
    <row r="88">
      <c r="A88" s="16" t="n"/>
      <c r="B88" s="16" t="n"/>
      <c r="C88" s="8" t="inlineStr">
        <is>
          <t xml:space="preserve">   • Xi măng PCB40 dầm ngang</t>
        </is>
      </c>
      <c r="D88" s="16" t="n"/>
      <c r="E88" s="16" t="n"/>
      <c r="F88" s="8" t="inlineStr">
        <is>
          <t>Xi măng PCB40 dầm ngang</t>
        </is>
      </c>
      <c r="G88" s="7" t="inlineStr">
        <is>
          <t>kg</t>
        </is>
      </c>
      <c r="H88" s="9" t="n">
        <v>420</v>
      </c>
      <c r="I88" s="9">
        <f>D87*H88</f>
        <v/>
      </c>
      <c r="J88" s="8" t="inlineStr">
        <is>
          <t>TCVN 6260:2020</t>
        </is>
      </c>
    </row>
    <row r="89">
      <c r="A89" s="16" t="n"/>
      <c r="B89" s="16" t="n"/>
      <c r="C89" s="8" t="inlineStr">
        <is>
          <t xml:space="preserve">   • Cát vàng sàng rửa Mk&gt;=2.0</t>
        </is>
      </c>
      <c r="D89" s="16" t="n"/>
      <c r="E89" s="16" t="n"/>
      <c r="F89" s="8" t="inlineStr">
        <is>
          <t>Cát vàng sàng rửa Mk&gt;=2.0</t>
        </is>
      </c>
      <c r="G89" s="7" t="inlineStr">
        <is>
          <t>m3</t>
        </is>
      </c>
      <c r="H89" s="17" t="n">
        <v>0.45</v>
      </c>
      <c r="I89" s="9">
        <f>D87*H89</f>
        <v/>
      </c>
      <c r="J89" s="8" t="inlineStr">
        <is>
          <t>TCVN 7570:2006</t>
        </is>
      </c>
    </row>
    <row r="90">
      <c r="A90" s="16" t="n"/>
      <c r="B90" s="16" t="n"/>
      <c r="C90" s="8" t="inlineStr">
        <is>
          <t xml:space="preserve">   • Đá dăm 1x2 sạch</t>
        </is>
      </c>
      <c r="D90" s="16" t="n"/>
      <c r="E90" s="16" t="n"/>
      <c r="F90" s="8" t="inlineStr">
        <is>
          <t>Đá dăm 1x2 sạch</t>
        </is>
      </c>
      <c r="G90" s="7" t="inlineStr">
        <is>
          <t>m3</t>
        </is>
      </c>
      <c r="H90" s="17" t="n">
        <v>0.83</v>
      </c>
      <c r="I90" s="9">
        <f>D87*H90</f>
        <v/>
      </c>
      <c r="J90" s="8" t="inlineStr">
        <is>
          <t>TCVN 7570:2006</t>
        </is>
      </c>
    </row>
    <row r="91">
      <c r="A91" s="16" t="n"/>
      <c r="B91" s="16" t="n"/>
      <c r="C91" s="8" t="inlineStr">
        <is>
          <t xml:space="preserve">   • Nước sạch trộn bê tông</t>
        </is>
      </c>
      <c r="D91" s="16" t="n"/>
      <c r="E91" s="16" t="n"/>
      <c r="F91" s="8" t="inlineStr">
        <is>
          <t>Nước sạch trộn bê tông</t>
        </is>
      </c>
      <c r="G91" s="7" t="inlineStr">
        <is>
          <t>Lít</t>
        </is>
      </c>
      <c r="H91" s="9" t="n">
        <v>180</v>
      </c>
      <c r="I91" s="9">
        <f>D87*H91</f>
        <v/>
      </c>
      <c r="J91" s="8" t="inlineStr">
        <is>
          <t>TCVN 4506:2012</t>
        </is>
      </c>
    </row>
    <row r="92">
      <c r="A92" s="16" t="n"/>
      <c r="B92" s="16" t="n"/>
      <c r="C92" s="8" t="inlineStr">
        <is>
          <t xml:space="preserve">   • Phụ gia siêu dẻo giảm nước</t>
        </is>
      </c>
      <c r="D92" s="16" t="n"/>
      <c r="E92" s="16" t="n"/>
      <c r="F92" s="8" t="inlineStr">
        <is>
          <t>Phụ gia siêu dẻo giảm nước</t>
        </is>
      </c>
      <c r="G92" s="7" t="inlineStr">
        <is>
          <t>kg</t>
        </is>
      </c>
      <c r="H92" s="9" t="n">
        <v>4.5</v>
      </c>
      <c r="I92" s="9">
        <f>D87*H92</f>
        <v/>
      </c>
      <c r="J92" s="8" t="inlineStr">
        <is>
          <t>ASTM C494 Type F</t>
        </is>
      </c>
    </row>
    <row r="93">
      <c r="A93" s="12" t="n">
        <v>17</v>
      </c>
      <c r="B93" s="12" t="inlineStr">
        <is>
          <t>AF.35111</t>
        </is>
      </c>
      <c r="C93" s="13" t="inlineStr">
        <is>
          <t>Bê tông bản mặt cầu đổ tại chỗ dày 20cm mác C35</t>
        </is>
      </c>
      <c r="D93" s="14" t="n">
        <v>305.381810772</v>
      </c>
      <c r="E93" s="12" t="inlineStr">
        <is>
          <t>m3</t>
        </is>
      </c>
      <c r="F93" s="15" t="n"/>
      <c r="G93" s="15" t="n"/>
      <c r="H93" s="15" t="n"/>
      <c r="I93" s="15" t="n"/>
      <c r="J93" s="15" t="n"/>
    </row>
    <row r="94">
      <c r="A94" s="16" t="n"/>
      <c r="B94" s="16" t="n"/>
      <c r="C94" s="8" t="inlineStr">
        <is>
          <t xml:space="preserve">   • Xi măng PCB40 bản mặt cầu</t>
        </is>
      </c>
      <c r="D94" s="16" t="n"/>
      <c r="E94" s="16" t="n"/>
      <c r="F94" s="8" t="inlineStr">
        <is>
          <t>Xi măng PCB40 bản mặt cầu</t>
        </is>
      </c>
      <c r="G94" s="7" t="inlineStr">
        <is>
          <t>kg</t>
        </is>
      </c>
      <c r="H94" s="9" t="n">
        <v>420</v>
      </c>
      <c r="I94" s="9">
        <f>D93*H94</f>
        <v/>
      </c>
      <c r="J94" s="8" t="inlineStr">
        <is>
          <t>TCVN 6260:2020</t>
        </is>
      </c>
    </row>
    <row r="95">
      <c r="A95" s="16" t="n"/>
      <c r="B95" s="16" t="n"/>
      <c r="C95" s="8" t="inlineStr">
        <is>
          <t xml:space="preserve">   • Cát vàng sàng rửa Mk&gt;=2.0</t>
        </is>
      </c>
      <c r="D95" s="16" t="n"/>
      <c r="E95" s="16" t="n"/>
      <c r="F95" s="8" t="inlineStr">
        <is>
          <t>Cát vàng sàng rửa Mk&gt;=2.0</t>
        </is>
      </c>
      <c r="G95" s="7" t="inlineStr">
        <is>
          <t>m3</t>
        </is>
      </c>
      <c r="H95" s="17" t="n">
        <v>0.45</v>
      </c>
      <c r="I95" s="9">
        <f>D93*H95</f>
        <v/>
      </c>
      <c r="J95" s="8" t="inlineStr">
        <is>
          <t>TCVN 7570:2006</t>
        </is>
      </c>
    </row>
    <row r="96">
      <c r="A96" s="16" t="n"/>
      <c r="B96" s="16" t="n"/>
      <c r="C96" s="8" t="inlineStr">
        <is>
          <t xml:space="preserve">   • Đá dăm 1x2 sạch</t>
        </is>
      </c>
      <c r="D96" s="16" t="n"/>
      <c r="E96" s="16" t="n"/>
      <c r="F96" s="8" t="inlineStr">
        <is>
          <t>Đá dăm 1x2 sạch</t>
        </is>
      </c>
      <c r="G96" s="7" t="inlineStr">
        <is>
          <t>m3</t>
        </is>
      </c>
      <c r="H96" s="17" t="n">
        <v>0.83</v>
      </c>
      <c r="I96" s="9">
        <f>D93*H96</f>
        <v/>
      </c>
      <c r="J96" s="8" t="inlineStr">
        <is>
          <t>TCVN 7570:2006</t>
        </is>
      </c>
    </row>
    <row r="97">
      <c r="A97" s="16" t="n"/>
      <c r="B97" s="16" t="n"/>
      <c r="C97" s="8" t="inlineStr">
        <is>
          <t xml:space="preserve">   • Nước sạch trộn bê tông</t>
        </is>
      </c>
      <c r="D97" s="16" t="n"/>
      <c r="E97" s="16" t="n"/>
      <c r="F97" s="8" t="inlineStr">
        <is>
          <t>Nước sạch trộn bê tông</t>
        </is>
      </c>
      <c r="G97" s="7" t="inlineStr">
        <is>
          <t>Lít</t>
        </is>
      </c>
      <c r="H97" s="9" t="n">
        <v>180</v>
      </c>
      <c r="I97" s="9">
        <f>D93*H97</f>
        <v/>
      </c>
      <c r="J97" s="8" t="inlineStr">
        <is>
          <t>TCVN 4506:2012</t>
        </is>
      </c>
    </row>
    <row r="98">
      <c r="A98" s="16" t="n"/>
      <c r="B98" s="16" t="n"/>
      <c r="C98" s="8" t="inlineStr">
        <is>
          <t xml:space="preserve">   • Phụ gia siêu dẻo giảm nước</t>
        </is>
      </c>
      <c r="D98" s="16" t="n"/>
      <c r="E98" s="16" t="n"/>
      <c r="F98" s="8" t="inlineStr">
        <is>
          <t>Phụ gia siêu dẻo giảm nước</t>
        </is>
      </c>
      <c r="G98" s="7" t="inlineStr">
        <is>
          <t>kg</t>
        </is>
      </c>
      <c r="H98" s="9" t="n">
        <v>4.5</v>
      </c>
      <c r="I98" s="9">
        <f>D93*H98</f>
        <v/>
      </c>
      <c r="J98" s="8" t="inlineStr">
        <is>
          <t>ASTM C494 Type F</t>
        </is>
      </c>
    </row>
    <row r="99">
      <c r="A99" s="12" t="n">
        <v>18</v>
      </c>
      <c r="B99" s="12" t="inlineStr">
        <is>
          <t>AF.36111</t>
        </is>
      </c>
      <c r="C99" s="13" t="inlineStr">
        <is>
          <t>Bê tông mối nối liên tục nhiệt đỉnh trụ T1, T2 mác C35</t>
        </is>
      </c>
      <c r="D99" s="14" t="n">
        <v>21.79872</v>
      </c>
      <c r="E99" s="12" t="inlineStr">
        <is>
          <t>m3</t>
        </is>
      </c>
      <c r="F99" s="15" t="n"/>
      <c r="G99" s="15" t="n"/>
      <c r="H99" s="15" t="n"/>
      <c r="I99" s="15" t="n"/>
      <c r="J99" s="15" t="n"/>
    </row>
    <row r="100">
      <c r="A100" s="16" t="n"/>
      <c r="B100" s="16" t="n"/>
      <c r="C100" s="8" t="inlineStr">
        <is>
          <t xml:space="preserve">   • Xi măng PCB40 liên tục nhiệt</t>
        </is>
      </c>
      <c r="D100" s="16" t="n"/>
      <c r="E100" s="16" t="n"/>
      <c r="F100" s="8" t="inlineStr">
        <is>
          <t>Xi măng PCB40 liên tục nhiệt</t>
        </is>
      </c>
      <c r="G100" s="7" t="inlineStr">
        <is>
          <t>kg</t>
        </is>
      </c>
      <c r="H100" s="9" t="n">
        <v>420</v>
      </c>
      <c r="I100" s="9">
        <f>D99*H100</f>
        <v/>
      </c>
      <c r="J100" s="8" t="inlineStr">
        <is>
          <t>TCVN 6260:2020</t>
        </is>
      </c>
    </row>
    <row r="101">
      <c r="A101" s="16" t="n"/>
      <c r="B101" s="16" t="n"/>
      <c r="C101" s="8" t="inlineStr">
        <is>
          <t xml:space="preserve">   • Cát vàng sàng rửa Mk&gt;=2.0</t>
        </is>
      </c>
      <c r="D101" s="16" t="n"/>
      <c r="E101" s="16" t="n"/>
      <c r="F101" s="8" t="inlineStr">
        <is>
          <t>Cát vàng sàng rửa Mk&gt;=2.0</t>
        </is>
      </c>
      <c r="G101" s="7" t="inlineStr">
        <is>
          <t>m3</t>
        </is>
      </c>
      <c r="H101" s="17" t="n">
        <v>0.45</v>
      </c>
      <c r="I101" s="9">
        <f>D99*H101</f>
        <v/>
      </c>
      <c r="J101" s="8" t="inlineStr">
        <is>
          <t>TCVN 7570:2006</t>
        </is>
      </c>
    </row>
    <row r="102">
      <c r="A102" s="16" t="n"/>
      <c r="B102" s="16" t="n"/>
      <c r="C102" s="8" t="inlineStr">
        <is>
          <t xml:space="preserve">   • Đá dăm 1x2 sạch</t>
        </is>
      </c>
      <c r="D102" s="16" t="n"/>
      <c r="E102" s="16" t="n"/>
      <c r="F102" s="8" t="inlineStr">
        <is>
          <t>Đá dăm 1x2 sạch</t>
        </is>
      </c>
      <c r="G102" s="7" t="inlineStr">
        <is>
          <t>m3</t>
        </is>
      </c>
      <c r="H102" s="17" t="n">
        <v>0.83</v>
      </c>
      <c r="I102" s="9">
        <f>D99*H102</f>
        <v/>
      </c>
      <c r="J102" s="8" t="inlineStr">
        <is>
          <t>TCVN 7570:2006</t>
        </is>
      </c>
    </row>
    <row r="103">
      <c r="A103" s="16" t="n"/>
      <c r="B103" s="16" t="n"/>
      <c r="C103" s="8" t="inlineStr">
        <is>
          <t xml:space="preserve">   • Nước sạch trộn bê tông</t>
        </is>
      </c>
      <c r="D103" s="16" t="n"/>
      <c r="E103" s="16" t="n"/>
      <c r="F103" s="8" t="inlineStr">
        <is>
          <t>Nước sạch trộn bê tông</t>
        </is>
      </c>
      <c r="G103" s="7" t="inlineStr">
        <is>
          <t>Lít</t>
        </is>
      </c>
      <c r="H103" s="9" t="n">
        <v>180</v>
      </c>
      <c r="I103" s="9">
        <f>D99*H103</f>
        <v/>
      </c>
      <c r="J103" s="8" t="inlineStr">
        <is>
          <t>TCVN 4506:2012</t>
        </is>
      </c>
    </row>
    <row r="104">
      <c r="A104" s="16" t="n"/>
      <c r="B104" s="16" t="n"/>
      <c r="C104" s="8" t="inlineStr">
        <is>
          <t xml:space="preserve">   • Phụ gia siêu dẻo giảm nước</t>
        </is>
      </c>
      <c r="D104" s="16" t="n"/>
      <c r="E104" s="16" t="n"/>
      <c r="F104" s="8" t="inlineStr">
        <is>
          <t>Phụ gia siêu dẻo giảm nước</t>
        </is>
      </c>
      <c r="G104" s="7" t="inlineStr">
        <is>
          <t>kg</t>
        </is>
      </c>
      <c r="H104" s="9" t="n">
        <v>4.5</v>
      </c>
      <c r="I104" s="9">
        <f>D99*H104</f>
        <v/>
      </c>
      <c r="J104" s="8" t="inlineStr">
        <is>
          <t>ASTM C494 Type F</t>
        </is>
      </c>
    </row>
    <row r="105">
      <c r="A105" s="12" t="n">
        <v>19</v>
      </c>
      <c r="B105" s="12" t="inlineStr">
        <is>
          <t>AF.65111</t>
        </is>
      </c>
      <c r="C105" s="13" t="inlineStr">
        <is>
          <t>Cốt thép bản mặt cầu và mối nối liên tục nhiệt</t>
        </is>
      </c>
      <c r="D105" s="14" t="n">
        <v>33.07</v>
      </c>
      <c r="E105" s="12" t="inlineStr">
        <is>
          <t>Tấn</t>
        </is>
      </c>
      <c r="F105" s="15" t="n"/>
      <c r="G105" s="15" t="n"/>
      <c r="H105" s="15" t="n"/>
      <c r="I105" s="15" t="n"/>
      <c r="J105" s="15" t="n"/>
    </row>
    <row r="106">
      <c r="A106" s="16" t="n"/>
      <c r="B106" s="16" t="n"/>
      <c r="C106" s="8" t="inlineStr">
        <is>
          <t xml:space="preserve">   • Thép bản mặt cầu chịu lực lưới dưới vằn Ø16 (CB400-V)</t>
        </is>
      </c>
      <c r="D106" s="16" t="n"/>
      <c r="E106" s="16" t="n"/>
      <c r="F106" s="8" t="inlineStr">
        <is>
          <t>Thép bản mặt cầu chịu lực lưới dưới vằn Ø16 (CB400-V)</t>
        </is>
      </c>
      <c r="G106" s="7" t="inlineStr">
        <is>
          <t>Tấn</t>
        </is>
      </c>
      <c r="H106" s="17" t="n">
        <v>0.48</v>
      </c>
      <c r="I106" s="9">
        <f>D105*H106</f>
        <v/>
      </c>
      <c r="J106" s="8" t="inlineStr">
        <is>
          <t>TCVN 1651:2018</t>
        </is>
      </c>
    </row>
    <row r="107">
      <c r="A107" s="16" t="n"/>
      <c r="B107" s="16" t="n"/>
      <c r="C107" s="8" t="inlineStr">
        <is>
          <t xml:space="preserve">   • Thép bản mặt cầu lưới trên vằn Ø14 (CB400-V)</t>
        </is>
      </c>
      <c r="D107" s="16" t="n"/>
      <c r="E107" s="16" t="n"/>
      <c r="F107" s="8" t="inlineStr">
        <is>
          <t>Thép bản mặt cầu lưới trên vằn Ø14 (CB400-V)</t>
        </is>
      </c>
      <c r="G107" s="7" t="inlineStr">
        <is>
          <t>Tấn</t>
        </is>
      </c>
      <c r="H107" s="17" t="n">
        <v>0.42</v>
      </c>
      <c r="I107" s="9">
        <f>D105*H107</f>
        <v/>
      </c>
      <c r="J107" s="8" t="inlineStr">
        <is>
          <t>TCVN 1651:2018</t>
        </is>
      </c>
    </row>
    <row r="108">
      <c r="A108" s="16" t="n"/>
      <c r="B108" s="16" t="n"/>
      <c r="C108" s="8" t="inlineStr">
        <is>
          <t xml:space="preserve">   • Thép đai chống nứt tròn trơn Ø10 (CB240-T)</t>
        </is>
      </c>
      <c r="D108" s="16" t="n"/>
      <c r="E108" s="16" t="n"/>
      <c r="F108" s="8" t="inlineStr">
        <is>
          <t>Thép đai chống nứt tròn trơn Ø10 (CB240-T)</t>
        </is>
      </c>
      <c r="G108" s="7" t="inlineStr">
        <is>
          <t>Tấn</t>
        </is>
      </c>
      <c r="H108" s="17" t="n">
        <v>0.1</v>
      </c>
      <c r="I108" s="9">
        <f>D105*H108</f>
        <v/>
      </c>
      <c r="J108" s="8" t="inlineStr">
        <is>
          <t>TCVN 1651:2018</t>
        </is>
      </c>
    </row>
    <row r="109">
      <c r="A109" s="16" t="n"/>
      <c r="B109" s="16" t="n"/>
      <c r="C109" s="8" t="inlineStr">
        <is>
          <t xml:space="preserve">   • Dây thép buộc 1 ly</t>
        </is>
      </c>
      <c r="D109" s="16" t="n"/>
      <c r="E109" s="16" t="n"/>
      <c r="F109" s="8" t="inlineStr">
        <is>
          <t>Dây thép buộc 1 ly</t>
        </is>
      </c>
      <c r="G109" s="7" t="inlineStr">
        <is>
          <t>kg</t>
        </is>
      </c>
      <c r="H109" s="9" t="n">
        <v>15</v>
      </c>
      <c r="I109" s="9">
        <f>D105*H109</f>
        <v/>
      </c>
      <c r="J109" s="8" t="inlineStr">
        <is>
          <t>TCVN 1651:2018</t>
        </is>
      </c>
    </row>
    <row r="110">
      <c r="A110" s="12" t="n">
        <v>20</v>
      </c>
      <c r="B110" s="12" t="inlineStr">
        <is>
          <t>AC.31111</t>
        </is>
      </c>
      <c r="C110" s="13" t="inlineStr">
        <is>
          <t>Khe co giãn răng lược thép D=100mm</t>
        </is>
      </c>
      <c r="D110" s="14" t="n">
        <v>24.5</v>
      </c>
      <c r="E110" s="12" t="inlineStr">
        <is>
          <t>m</t>
        </is>
      </c>
      <c r="F110" s="15" t="n"/>
      <c r="G110" s="15" t="n"/>
      <c r="H110" s="15" t="n"/>
      <c r="I110" s="15" t="n"/>
      <c r="J110" s="15" t="n"/>
    </row>
    <row r="111">
      <c r="A111" s="16" t="n"/>
      <c r="B111" s="16" t="n"/>
      <c r="C111" s="8" t="inlineStr">
        <is>
          <t xml:space="preserve">   • Thép tấm răng lược hợp kim mạ kẽm D=100mm</t>
        </is>
      </c>
      <c r="D111" s="16" t="n"/>
      <c r="E111" s="16" t="n"/>
      <c r="F111" s="8" t="inlineStr">
        <is>
          <t>Thép tấm răng lược hợp kim mạ kẽm D=100mm</t>
        </is>
      </c>
      <c r="G111" s="7" t="inlineStr">
        <is>
          <t>m</t>
        </is>
      </c>
      <c r="H111" s="9" t="n">
        <v>1</v>
      </c>
      <c r="I111" s="9">
        <f>D110*H111</f>
        <v/>
      </c>
      <c r="J111" s="8" t="inlineStr">
        <is>
          <t>TCVN 11823:2017</t>
        </is>
      </c>
    </row>
    <row r="112">
      <c r="A112" s="16" t="n"/>
      <c r="B112" s="16" t="n"/>
      <c r="C112" s="8" t="inlineStr">
        <is>
          <t xml:space="preserve">   • Máng thoát nước cao su đàn hồi</t>
        </is>
      </c>
      <c r="D112" s="16" t="n"/>
      <c r="E112" s="16" t="n"/>
      <c r="F112" s="8" t="inlineStr">
        <is>
          <t>Máng thoát nước cao su đàn hồi</t>
        </is>
      </c>
      <c r="G112" s="7" t="inlineStr">
        <is>
          <t>m</t>
        </is>
      </c>
      <c r="H112" s="9" t="n">
        <v>1.05</v>
      </c>
      <c r="I112" s="9">
        <f>D110*H112</f>
        <v/>
      </c>
      <c r="J112" s="8" t="inlineStr">
        <is>
          <t>TCVN 11823:2017</t>
        </is>
      </c>
    </row>
    <row r="113">
      <c r="A113" s="16" t="n"/>
      <c r="B113" s="16" t="n"/>
      <c r="C113" s="8" t="inlineStr">
        <is>
          <t xml:space="preserve">   • Bu-lông neo M24 cường độ cao</t>
        </is>
      </c>
      <c r="D113" s="16" t="n"/>
      <c r="E113" s="16" t="n"/>
      <c r="F113" s="8" t="inlineStr">
        <is>
          <t>Bu-lông neo M24 cường độ cao</t>
        </is>
      </c>
      <c r="G113" s="7" t="inlineStr">
        <is>
          <t>Cái</t>
        </is>
      </c>
      <c r="H113" s="9" t="n">
        <v>6</v>
      </c>
      <c r="I113" s="9">
        <f>D110*H113</f>
        <v/>
      </c>
      <c r="J113" s="8" t="inlineStr">
        <is>
          <t>ASTM A325</t>
        </is>
      </c>
    </row>
    <row r="114">
      <c r="A114" s="12" t="n">
        <v>21</v>
      </c>
      <c r="B114" s="12" t="inlineStr">
        <is>
          <t>AF.41111</t>
        </is>
      </c>
      <c r="C114" s="13" t="inlineStr">
        <is>
          <t>Bê tông bản quá độ sau mố M1, M2 mác C30</t>
        </is>
      </c>
      <c r="D114" s="14" t="n">
        <v>67.38200000000001</v>
      </c>
      <c r="E114" s="12" t="inlineStr">
        <is>
          <t>m3</t>
        </is>
      </c>
      <c r="F114" s="15" t="n"/>
      <c r="G114" s="15" t="n"/>
      <c r="H114" s="15" t="n"/>
      <c r="I114" s="15" t="n"/>
      <c r="J114" s="15" t="n"/>
    </row>
    <row r="115">
      <c r="A115" s="16" t="n"/>
      <c r="B115" s="16" t="n"/>
      <c r="C115" s="8" t="inlineStr">
        <is>
          <t xml:space="preserve">   • Xi măng PCB40 bản quá độ</t>
        </is>
      </c>
      <c r="D115" s="16" t="n"/>
      <c r="E115" s="16" t="n"/>
      <c r="F115" s="8" t="inlineStr">
        <is>
          <t>Xi măng PCB40 bản quá độ</t>
        </is>
      </c>
      <c r="G115" s="7" t="inlineStr">
        <is>
          <t>kg</t>
        </is>
      </c>
      <c r="H115" s="9" t="n">
        <v>385</v>
      </c>
      <c r="I115" s="9">
        <f>D114*H115</f>
        <v/>
      </c>
      <c r="J115" s="8" t="inlineStr">
        <is>
          <t>TCVN 6260:2020</t>
        </is>
      </c>
    </row>
    <row r="116">
      <c r="A116" s="16" t="n"/>
      <c r="B116" s="16" t="n"/>
      <c r="C116" s="8" t="inlineStr">
        <is>
          <t xml:space="preserve">   • Cát vàng sàng rửa Mk&gt;=2.0</t>
        </is>
      </c>
      <c r="D116" s="16" t="n"/>
      <c r="E116" s="16" t="n"/>
      <c r="F116" s="8" t="inlineStr">
        <is>
          <t>Cát vàng sàng rửa Mk&gt;=2.0</t>
        </is>
      </c>
      <c r="G116" s="7" t="inlineStr">
        <is>
          <t>m3</t>
        </is>
      </c>
      <c r="H116" s="17" t="n">
        <v>0.46</v>
      </c>
      <c r="I116" s="9">
        <f>D114*H116</f>
        <v/>
      </c>
      <c r="J116" s="8" t="inlineStr">
        <is>
          <t>TCVN 7570:2006</t>
        </is>
      </c>
    </row>
    <row r="117">
      <c r="A117" s="16" t="n"/>
      <c r="B117" s="16" t="n"/>
      <c r="C117" s="8" t="inlineStr">
        <is>
          <t xml:space="preserve">   • Đá dăm 1x2 sạch</t>
        </is>
      </c>
      <c r="D117" s="16" t="n"/>
      <c r="E117" s="16" t="n"/>
      <c r="F117" s="8" t="inlineStr">
        <is>
          <t>Đá dăm 1x2 sạch</t>
        </is>
      </c>
      <c r="G117" s="7" t="inlineStr">
        <is>
          <t>m3</t>
        </is>
      </c>
      <c r="H117" s="17" t="n">
        <v>0.84</v>
      </c>
      <c r="I117" s="9">
        <f>D114*H117</f>
        <v/>
      </c>
      <c r="J117" s="8" t="inlineStr">
        <is>
          <t>TCVN 7570:2006</t>
        </is>
      </c>
    </row>
    <row r="118">
      <c r="A118" s="16" t="n"/>
      <c r="B118" s="16" t="n"/>
      <c r="C118" s="8" t="inlineStr">
        <is>
          <t xml:space="preserve">   • Nước sạch trộn bê tông</t>
        </is>
      </c>
      <c r="D118" s="16" t="n"/>
      <c r="E118" s="16" t="n"/>
      <c r="F118" s="8" t="inlineStr">
        <is>
          <t>Nước sạch trộn bê tông</t>
        </is>
      </c>
      <c r="G118" s="7" t="inlineStr">
        <is>
          <t>Lít</t>
        </is>
      </c>
      <c r="H118" s="9" t="n">
        <v>180</v>
      </c>
      <c r="I118" s="9">
        <f>D114*H118</f>
        <v/>
      </c>
      <c r="J118" s="8" t="inlineStr">
        <is>
          <t>TCVN 4506:2012</t>
        </is>
      </c>
    </row>
    <row r="119">
      <c r="A119" s="16" t="n"/>
      <c r="B119" s="16" t="n"/>
      <c r="C119" s="8" t="inlineStr">
        <is>
          <t xml:space="preserve">   • Thép bản quá độ dọc vằn Ø16 (CB400-V)</t>
        </is>
      </c>
      <c r="D119" s="16" t="n"/>
      <c r="E119" s="16" t="n"/>
      <c r="F119" s="8" t="inlineStr">
        <is>
          <t>Thép bản quá độ dọc vằn Ø16 (CB400-V)</t>
        </is>
      </c>
      <c r="G119" s="7" t="inlineStr">
        <is>
          <t>kg</t>
        </is>
      </c>
      <c r="H119" s="9" t="n">
        <v>110</v>
      </c>
      <c r="I119" s="9">
        <f>D114*H119</f>
        <v/>
      </c>
      <c r="J119" s="8" t="inlineStr">
        <is>
          <t>TCVN 1651:2018</t>
        </is>
      </c>
    </row>
    <row r="120">
      <c r="A120" s="16" t="n"/>
      <c r="B120" s="16" t="n"/>
      <c r="C120" s="8" t="inlineStr">
        <is>
          <t xml:space="preserve">   • Thép bản quá độ phân bố vằn Ø12 (CB400-V)</t>
        </is>
      </c>
      <c r="D120" s="16" t="n"/>
      <c r="E120" s="16" t="n"/>
      <c r="F120" s="8" t="inlineStr">
        <is>
          <t>Thép bản quá độ phân bố vằn Ø12 (CB400-V)</t>
        </is>
      </c>
      <c r="G120" s="7" t="inlineStr">
        <is>
          <t>kg</t>
        </is>
      </c>
      <c r="H120" s="9" t="n">
        <v>25</v>
      </c>
      <c r="I120" s="9">
        <f>D114*H120</f>
        <v/>
      </c>
      <c r="J120" s="8" t="inlineStr">
        <is>
          <t>TCVN 1651:2018</t>
        </is>
      </c>
    </row>
    <row r="121">
      <c r="A121" s="12" t="n">
        <v>22</v>
      </c>
      <c r="B121" s="12" t="inlineStr">
        <is>
          <t>AB.21111</t>
        </is>
      </c>
      <c r="C121" s="13" t="inlineStr">
        <is>
          <t>Đắp vật liệu dạng hạt chọn lọc sau mố K98</t>
        </is>
      </c>
      <c r="D121" s="14" t="n">
        <v>1012.5</v>
      </c>
      <c r="E121" s="12" t="inlineStr">
        <is>
          <t>m3</t>
        </is>
      </c>
      <c r="F121" s="15" t="n"/>
      <c r="G121" s="15" t="n"/>
      <c r="H121" s="15" t="n"/>
      <c r="I121" s="15" t="n"/>
      <c r="J121" s="15" t="n"/>
    </row>
    <row r="122">
      <c r="A122" s="16" t="n"/>
      <c r="B122" s="16" t="n"/>
      <c r="C122" s="8" t="inlineStr">
        <is>
          <t xml:space="preserve">   • Đất đắp nền đường sau mố K98</t>
        </is>
      </c>
      <c r="D122" s="16" t="n"/>
      <c r="E122" s="16" t="n"/>
      <c r="F122" s="8" t="inlineStr">
        <is>
          <t>Đất đắp nền đường sau mố K98</t>
        </is>
      </c>
      <c r="G122" s="7" t="inlineStr">
        <is>
          <t>m3</t>
        </is>
      </c>
      <c r="H122" s="9" t="n">
        <v>1.15</v>
      </c>
      <c r="I122" s="9">
        <f>D121*H122</f>
        <v/>
      </c>
      <c r="J122" s="8" t="inlineStr">
        <is>
          <t>TCVN 9436:2012</t>
        </is>
      </c>
    </row>
    <row r="123">
      <c r="A123" s="16" t="n"/>
      <c r="B123" s="16" t="n"/>
      <c r="C123" s="8" t="inlineStr">
        <is>
          <t xml:space="preserve">   • Vải địa kỹ thuật không dệt lọc ngược</t>
        </is>
      </c>
      <c r="D123" s="16" t="n"/>
      <c r="E123" s="16" t="n"/>
      <c r="F123" s="8" t="inlineStr">
        <is>
          <t>Vải địa kỹ thuật không dệt lọc ngược</t>
        </is>
      </c>
      <c r="G123" s="7" t="inlineStr">
        <is>
          <t>m2</t>
        </is>
      </c>
      <c r="H123" s="17" t="n">
        <v>0.45</v>
      </c>
      <c r="I123" s="9">
        <f>D121*H123</f>
        <v/>
      </c>
      <c r="J123" s="8" t="inlineStr">
        <is>
          <t>TCVN 9865:2013</t>
        </is>
      </c>
    </row>
    <row r="124">
      <c r="A124" s="12" t="n">
        <v>23</v>
      </c>
      <c r="B124" s="12" t="inlineStr">
        <is>
          <t>AF.42111</t>
        </is>
      </c>
      <c r="C124" s="13" t="inlineStr">
        <is>
          <t>Bê tông gờ lan can mác C25 và lắp tay vịn thép</t>
        </is>
      </c>
      <c r="D124" s="14" t="n">
        <v>260.8</v>
      </c>
      <c r="E124" s="12" t="inlineStr">
        <is>
          <t>m</t>
        </is>
      </c>
      <c r="F124" s="15" t="n"/>
      <c r="G124" s="15" t="n"/>
      <c r="H124" s="15" t="n"/>
      <c r="I124" s="15" t="n"/>
      <c r="J124" s="15" t="n"/>
    </row>
    <row r="125">
      <c r="A125" s="16" t="n"/>
      <c r="B125" s="16" t="n"/>
      <c r="C125" s="8" t="inlineStr">
        <is>
          <t xml:space="preserve">   • Xi măng PCB40 gờ lan can</t>
        </is>
      </c>
      <c r="D125" s="16" t="n"/>
      <c r="E125" s="16" t="n"/>
      <c r="F125" s="8" t="inlineStr">
        <is>
          <t>Xi măng PCB40 gờ lan can</t>
        </is>
      </c>
      <c r="G125" s="7" t="inlineStr">
        <is>
          <t>kg</t>
        </is>
      </c>
      <c r="H125" s="9" t="n">
        <v>33.25</v>
      </c>
      <c r="I125" s="9">
        <f>D124*H125</f>
        <v/>
      </c>
      <c r="J125" s="8" t="inlineStr">
        <is>
          <t>TCVN 6260:2020</t>
        </is>
      </c>
    </row>
    <row r="126">
      <c r="A126" s="16" t="n"/>
      <c r="B126" s="16" t="n"/>
      <c r="C126" s="8" t="inlineStr">
        <is>
          <t xml:space="preserve">   • Cát vàng</t>
        </is>
      </c>
      <c r="D126" s="16" t="n"/>
      <c r="E126" s="16" t="n"/>
      <c r="F126" s="8" t="inlineStr">
        <is>
          <t>Cát vàng</t>
        </is>
      </c>
      <c r="G126" s="7" t="inlineStr">
        <is>
          <t>m3</t>
        </is>
      </c>
      <c r="H126" s="17" t="n">
        <v>0.046</v>
      </c>
      <c r="I126" s="9">
        <f>D124*H126</f>
        <v/>
      </c>
      <c r="J126" s="8" t="inlineStr">
        <is>
          <t>TCVN 7570:2006</t>
        </is>
      </c>
    </row>
    <row r="127">
      <c r="A127" s="16" t="n"/>
      <c r="B127" s="16" t="n"/>
      <c r="C127" s="8" t="inlineStr">
        <is>
          <t xml:space="preserve">   • Đá dăm 1x2</t>
        </is>
      </c>
      <c r="D127" s="16" t="n"/>
      <c r="E127" s="16" t="n"/>
      <c r="F127" s="8" t="inlineStr">
        <is>
          <t>Đá dăm 1x2</t>
        </is>
      </c>
      <c r="G127" s="7" t="inlineStr">
        <is>
          <t>m3</t>
        </is>
      </c>
      <c r="H127" s="17" t="n">
        <v>0.081</v>
      </c>
      <c r="I127" s="9">
        <f>D124*H127</f>
        <v/>
      </c>
      <c r="J127" s="8" t="inlineStr">
        <is>
          <t>TCVN 7570:2006</t>
        </is>
      </c>
    </row>
    <row r="128">
      <c r="A128" s="16" t="n"/>
      <c r="B128" s="16" t="n"/>
      <c r="C128" s="8" t="inlineStr">
        <is>
          <t xml:space="preserve">   • Thép cốt gờ lan can vằn Ø12 (CB400-V)</t>
        </is>
      </c>
      <c r="D128" s="16" t="n"/>
      <c r="E128" s="16" t="n"/>
      <c r="F128" s="8" t="inlineStr">
        <is>
          <t>Thép cốt gờ lan can vằn Ø12 (CB400-V)</t>
        </is>
      </c>
      <c r="G128" s="7" t="inlineStr">
        <is>
          <t>kg</t>
        </is>
      </c>
      <c r="H128" s="9" t="n">
        <v>12.5</v>
      </c>
      <c r="I128" s="9">
        <f>D124*H128</f>
        <v/>
      </c>
      <c r="J128" s="8" t="inlineStr">
        <is>
          <t>TCVN 1651:2018</t>
        </is>
      </c>
    </row>
    <row r="129">
      <c r="A129" s="16" t="n"/>
      <c r="B129" s="16" t="n"/>
      <c r="C129" s="8" t="inlineStr">
        <is>
          <t xml:space="preserve">   • Tay vịn lan can thép mạ kẽm nhúng nóng Ø114</t>
        </is>
      </c>
      <c r="D129" s="16" t="n"/>
      <c r="E129" s="16" t="n"/>
      <c r="F129" s="8" t="inlineStr">
        <is>
          <t>Tay vịn lan can thép mạ kẽm nhúng nóng Ø114</t>
        </is>
      </c>
      <c r="G129" s="7" t="inlineStr">
        <is>
          <t>m</t>
        </is>
      </c>
      <c r="H129" s="9" t="n">
        <v>1.05</v>
      </c>
      <c r="I129" s="9">
        <f>D124*H129</f>
        <v/>
      </c>
      <c r="J129" s="8" t="inlineStr">
        <is>
          <t>TCVN 11823:2017</t>
        </is>
      </c>
    </row>
    <row r="130">
      <c r="A130" s="12" t="n">
        <v>24</v>
      </c>
      <c r="B130" s="12" t="inlineStr">
        <is>
          <t>AC.41111</t>
        </is>
      </c>
      <c r="C130" s="13" t="inlineStr">
        <is>
          <t>Hệ thống thoát nước mặt cầu (24 cụm hố thu &amp; ống dẫn)</t>
        </is>
      </c>
      <c r="D130" s="14" t="n">
        <v>24</v>
      </c>
      <c r="E130" s="12" t="inlineStr">
        <is>
          <t>Bộ</t>
        </is>
      </c>
      <c r="F130" s="15" t="n"/>
      <c r="G130" s="15" t="n"/>
      <c r="H130" s="15" t="n"/>
      <c r="I130" s="15" t="n"/>
      <c r="J130" s="15" t="n"/>
    </row>
    <row r="131">
      <c r="A131" s="16" t="n"/>
      <c r="B131" s="16" t="n"/>
      <c r="C131" s="8" t="inlineStr">
        <is>
          <t xml:space="preserve">   • Phễu gang thu nước mặt cầu có lưới chắn</t>
        </is>
      </c>
      <c r="D131" s="16" t="n"/>
      <c r="E131" s="16" t="n"/>
      <c r="F131" s="8" t="inlineStr">
        <is>
          <t>Phễu gang thu nước mặt cầu có lưới chắn</t>
        </is>
      </c>
      <c r="G131" s="7" t="inlineStr">
        <is>
          <t>Bộ</t>
        </is>
      </c>
      <c r="H131" s="9" t="n">
        <v>1</v>
      </c>
      <c r="I131" s="9">
        <f>D130*H131</f>
        <v/>
      </c>
      <c r="J131" s="8" t="inlineStr">
        <is>
          <t>TCVN 11823:2017</t>
        </is>
      </c>
    </row>
    <row r="132">
      <c r="A132" s="16" t="n"/>
      <c r="B132" s="16" t="n"/>
      <c r="C132" s="8" t="inlineStr">
        <is>
          <t xml:space="preserve">   • Ống thoát nước nhựa uPVC Ø110 dày 3.2mm</t>
        </is>
      </c>
      <c r="D132" s="16" t="n"/>
      <c r="E132" s="16" t="n"/>
      <c r="F132" s="8" t="inlineStr">
        <is>
          <t>Ống thoát nước nhựa uPVC Ø110 dày 3.2mm</t>
        </is>
      </c>
      <c r="G132" s="7" t="inlineStr">
        <is>
          <t>m</t>
        </is>
      </c>
      <c r="H132" s="9" t="n">
        <v>3.5</v>
      </c>
      <c r="I132" s="9">
        <f>D130*H132</f>
        <v/>
      </c>
      <c r="J132" s="8" t="inlineStr">
        <is>
          <t>TCVN 8491:2011</t>
        </is>
      </c>
    </row>
    <row r="133">
      <c r="A133" s="12" t="n">
        <v>25</v>
      </c>
      <c r="B133" s="12" t="inlineStr">
        <is>
          <t>AD.11111</t>
        </is>
      </c>
      <c r="C133" s="13" t="inlineStr">
        <is>
          <t>Lớp phun chống thấm &amp; thảm bê tông nhựa chặt C12.5 dày 7cm</t>
        </is>
      </c>
      <c r="D133" s="14" t="n">
        <v>1380.3396</v>
      </c>
      <c r="E133" s="12" t="inlineStr">
        <is>
          <t>m2</t>
        </is>
      </c>
      <c r="F133" s="15" t="n"/>
      <c r="G133" s="15" t="n"/>
      <c r="H133" s="15" t="n"/>
      <c r="I133" s="15" t="n"/>
      <c r="J133" s="15" t="n"/>
    </row>
    <row r="134">
      <c r="A134" s="16" t="n"/>
      <c r="B134" s="16" t="n"/>
      <c r="C134" s="8" t="inlineStr">
        <is>
          <t xml:space="preserve">   • Màng chống thấm mặt cầu Polymer cải tiến</t>
        </is>
      </c>
      <c r="D134" s="16" t="n"/>
      <c r="E134" s="16" t="n"/>
      <c r="F134" s="8" t="inlineStr">
        <is>
          <t>Màng chống thấm mặt cầu Polymer cải tiến</t>
        </is>
      </c>
      <c r="G134" s="7" t="inlineStr">
        <is>
          <t>m2</t>
        </is>
      </c>
      <c r="H134" s="9" t="n">
        <v>1.15</v>
      </c>
      <c r="I134" s="9">
        <f>D133*H134</f>
        <v/>
      </c>
      <c r="J134" s="8" t="inlineStr">
        <is>
          <t>TCVN 11823:2017</t>
        </is>
      </c>
    </row>
    <row r="135">
      <c r="A135" s="16" t="n"/>
      <c r="B135" s="16" t="n"/>
      <c r="C135" s="8" t="inlineStr">
        <is>
          <t xml:space="preserve">   • Bê tông nhựa chặt C12.5 rải nóng</t>
        </is>
      </c>
      <c r="D135" s="16" t="n"/>
      <c r="E135" s="16" t="n"/>
      <c r="F135" s="8" t="inlineStr">
        <is>
          <t>Bê tông nhựa chặt C12.5 rải nóng</t>
        </is>
      </c>
      <c r="G135" s="7" t="inlineStr">
        <is>
          <t>Tấn</t>
        </is>
      </c>
      <c r="H135" s="17" t="n">
        <v>0.175</v>
      </c>
      <c r="I135" s="9">
        <f>D133*H135</f>
        <v/>
      </c>
      <c r="J135" s="8" t="inlineStr">
        <is>
          <t>TCVN 8819:2011</t>
        </is>
      </c>
    </row>
    <row r="136">
      <c r="A136" s="16" t="n"/>
      <c r="B136" s="16" t="n"/>
      <c r="C136" s="8" t="inlineStr">
        <is>
          <t xml:space="preserve">   • Nhựa dính bám Tack coat</t>
        </is>
      </c>
      <c r="D136" s="16" t="n"/>
      <c r="E136" s="16" t="n"/>
      <c r="F136" s="8" t="inlineStr">
        <is>
          <t>Nhựa dính bám Tack coat</t>
        </is>
      </c>
      <c r="G136" s="7" t="inlineStr">
        <is>
          <t>kg</t>
        </is>
      </c>
      <c r="H136" s="17" t="n">
        <v>0.5</v>
      </c>
      <c r="I136" s="9">
        <f>D133*H136</f>
        <v/>
      </c>
      <c r="J136" s="8" t="inlineStr">
        <is>
          <t>TCVN 8819:2011</t>
        </is>
      </c>
    </row>
    <row r="137">
      <c r="A137" s="12" t="n">
        <v>26</v>
      </c>
      <c r="B137" s="12" t="inlineStr">
        <is>
          <t>AL.11111</t>
        </is>
      </c>
      <c r="C137" s="13" t="inlineStr">
        <is>
          <t>Gia cố mái taluy tứ nón mố bằng đá hộc xây VXM M100</t>
        </is>
      </c>
      <c r="D137" s="14" t="n">
        <v>52.216</v>
      </c>
      <c r="E137" s="12" t="inlineStr">
        <is>
          <t>m3</t>
        </is>
      </c>
      <c r="F137" s="15" t="n"/>
      <c r="G137" s="15" t="n"/>
      <c r="H137" s="15" t="n"/>
      <c r="I137" s="15" t="n"/>
      <c r="J137" s="15" t="n"/>
    </row>
    <row r="138">
      <c r="A138" s="16" t="n"/>
      <c r="B138" s="16" t="n"/>
      <c r="C138" s="8" t="inlineStr">
        <is>
          <t xml:space="preserve">   • Đá hộc 20x30cm kè tứ nón</t>
        </is>
      </c>
      <c r="D138" s="16" t="n"/>
      <c r="E138" s="16" t="n"/>
      <c r="F138" s="8" t="inlineStr">
        <is>
          <t>Đá hộc 20x30cm kè tứ nón</t>
        </is>
      </c>
      <c r="G138" s="7" t="inlineStr">
        <is>
          <t>m3</t>
        </is>
      </c>
      <c r="H138" s="9" t="n">
        <v>1.05</v>
      </c>
      <c r="I138" s="9">
        <f>D137*H138</f>
        <v/>
      </c>
      <c r="J138" s="8" t="inlineStr">
        <is>
          <t>TCVN 11823:2017</t>
        </is>
      </c>
    </row>
    <row r="139">
      <c r="A139" s="16" t="n"/>
      <c r="B139" s="16" t="n"/>
      <c r="C139" s="8" t="inlineStr">
        <is>
          <t xml:space="preserve">   • Xi măng PCB40 vữa xây M100</t>
        </is>
      </c>
      <c r="D139" s="16" t="n"/>
      <c r="E139" s="16" t="n"/>
      <c r="F139" s="8" t="inlineStr">
        <is>
          <t>Xi măng PCB40 vữa xây M100</t>
        </is>
      </c>
      <c r="G139" s="7" t="inlineStr">
        <is>
          <t>kg</t>
        </is>
      </c>
      <c r="H139" s="9" t="n">
        <v>119.7</v>
      </c>
      <c r="I139" s="9">
        <f>D137*H139</f>
        <v/>
      </c>
      <c r="J139" s="8" t="inlineStr">
        <is>
          <t>TCVN 6260:2020</t>
        </is>
      </c>
    </row>
    <row r="140">
      <c r="A140" s="16" t="n"/>
      <c r="B140" s="16" t="n"/>
      <c r="C140" s="8" t="inlineStr">
        <is>
          <t xml:space="preserve">   • Cát vàng vữa xây M100</t>
        </is>
      </c>
      <c r="D140" s="16" t="n"/>
      <c r="E140" s="16" t="n"/>
      <c r="F140" s="8" t="inlineStr">
        <is>
          <t>Cát vàng vữa xây M100</t>
        </is>
      </c>
      <c r="G140" s="7" t="inlineStr">
        <is>
          <t>m3</t>
        </is>
      </c>
      <c r="H140" s="17" t="n">
        <v>0.4</v>
      </c>
      <c r="I140" s="9">
        <f>D137*H140</f>
        <v/>
      </c>
      <c r="J140" s="8" t="inlineStr">
        <is>
          <t>TCVN 7570:2006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8" customWidth="1" min="3" max="3"/>
    <col width="18" customWidth="1" min="4" max="4"/>
    <col width="20" customWidth="1" min="5" max="5"/>
    <col width="22" customWidth="1" min="6" max="6"/>
    <col width="20" customWidth="1" min="7" max="7"/>
    <col width="20" customWidth="1" min="8" max="8"/>
    <col width="25" customWidth="1" min="9" max="9"/>
  </cols>
  <sheetData>
    <row r="1">
      <c r="A1" s="3" t="inlineStr">
        <is>
          <t>DỰ ÁN: CAO TỐC TUYÊN QUANG - HÀ GIANG (GIAI ĐOẠN 1) — GÓI THẦU SỐ 09-XL</t>
        </is>
      </c>
    </row>
    <row r="2">
      <c r="A2" s="1" t="inlineStr">
        <is>
          <t>KẾ HOẠCH CUNG ỨNG VÀ DỰ TRỮ VẬT TƯ THEO 4 GIAI ĐOÀN THI CÔNG — CẦU KM19+529.080</t>
        </is>
      </c>
    </row>
    <row r="3">
      <c r="A3" s="3" t="inlineStr">
        <is>
          <t>Phù hợp tiến độ CPM đường găng; Đảm bảo không bị gián đoạn thi công do thời tiết vùng cao</t>
        </is>
      </c>
    </row>
    <row r="5" ht="28" customHeight="1">
      <c r="A5" s="4" t="inlineStr">
        <is>
          <t>STT</t>
        </is>
      </c>
      <c r="B5" s="4" t="inlineStr">
        <is>
          <t>Chủng loại vật tư chính</t>
        </is>
      </c>
      <c r="C5" s="4" t="inlineStr">
        <is>
          <t>ĐVT</t>
        </is>
      </c>
      <c r="D5" s="4" t="inlineStr">
        <is>
          <t>Tổng nhu cầu công trình</t>
        </is>
      </c>
      <c r="E5" s="4" t="inlineStr">
        <is>
          <t>Giai đoạn 1: Móng cọc &amp; Bệ móng</t>
        </is>
      </c>
      <c r="F5" s="4" t="inlineStr">
        <is>
          <t>Giai đoạn 2: Thân mố, Thân trụ &amp; Đúc dầm Super-T</t>
        </is>
      </c>
      <c r="G5" s="4" t="inlineStr">
        <is>
          <t>Giai đoạn 3: Lao dầm &amp; Bản mặt cầu</t>
        </is>
      </c>
      <c r="H5" s="4" t="inlineStr">
        <is>
          <t>Giai đoạn 4: Khe co giãn &amp; Hoàn thiện</t>
        </is>
      </c>
      <c r="I5" s="4" t="inlineStr">
        <is>
          <t>Quy định dự trữ kho an toàn</t>
        </is>
      </c>
    </row>
    <row r="6">
      <c r="A6" s="18" t="n">
        <v>1</v>
      </c>
      <c r="B6" s="19" t="inlineStr">
        <is>
          <t>Xi măng PCB40</t>
        </is>
      </c>
      <c r="C6" s="18" t="inlineStr">
        <is>
          <t>Tấn</t>
        </is>
      </c>
      <c r="D6" s="20">
        <f>TONG_HOP_VAT_TU_TOAN_BO!G23</f>
        <v/>
      </c>
      <c r="E6" s="21">
        <f>D6*0.35</f>
        <v/>
      </c>
      <c r="F6" s="21">
        <f>D6*0.35</f>
        <v/>
      </c>
      <c r="G6" s="21">
        <f>D6*0.20</f>
        <v/>
      </c>
      <c r="H6" s="21">
        <f>D6*0.10</f>
        <v/>
      </c>
      <c r="I6" s="19" t="inlineStr">
        <is>
          <t>Tồn kho tối thiểu 50 tấn tại trạm trộn</t>
        </is>
      </c>
    </row>
    <row r="7">
      <c r="A7" s="18" t="n">
        <v>2</v>
      </c>
      <c r="B7" s="19" t="inlineStr">
        <is>
          <t>Cát vàng bê tông</t>
        </is>
      </c>
      <c r="C7" s="18" t="inlineStr">
        <is>
          <t>m3</t>
        </is>
      </c>
      <c r="D7" s="20">
        <f>TONG_HOP_VAT_TU_TOAN_BO!G24</f>
        <v/>
      </c>
      <c r="E7" s="21">
        <f>D7*0.35</f>
        <v/>
      </c>
      <c r="F7" s="21">
        <f>D7*0.35</f>
        <v/>
      </c>
      <c r="G7" s="21">
        <f>D7*0.20</f>
        <v/>
      </c>
      <c r="H7" s="21">
        <f>D7*0.10</f>
        <v/>
      </c>
      <c r="I7" s="19" t="inlineStr">
        <is>
          <t>Dự trữ bãi chứa 100 m3 chống mưa lũ</t>
        </is>
      </c>
    </row>
    <row r="8">
      <c r="A8" s="18" t="n">
        <v>3</v>
      </c>
      <c r="B8" s="19" t="inlineStr">
        <is>
          <t>Đá dăm 1x2 bê tông</t>
        </is>
      </c>
      <c r="C8" s="18" t="inlineStr">
        <is>
          <t>m3</t>
        </is>
      </c>
      <c r="D8" s="20">
        <f>TONG_HOP_VAT_TU_TOAN_BO!G25</f>
        <v/>
      </c>
      <c r="E8" s="21">
        <f>D8*0.35</f>
        <v/>
      </c>
      <c r="F8" s="21">
        <f>D8*0.35</f>
        <v/>
      </c>
      <c r="G8" s="21">
        <f>D8*0.20</f>
        <v/>
      </c>
      <c r="H8" s="21">
        <f>D8*0.10</f>
        <v/>
      </c>
      <c r="I8" s="19" t="inlineStr">
        <is>
          <t>Dự trữ bãi chứa 150 m3 sàng sạch</t>
        </is>
      </c>
    </row>
    <row r="9">
      <c r="A9" s="18" t="n">
        <v>4</v>
      </c>
      <c r="B9" s="19" t="inlineStr">
        <is>
          <t>Cốt thép CB400-V (các Ø)</t>
        </is>
      </c>
      <c r="C9" s="18" t="inlineStr">
        <is>
          <t>kg</t>
        </is>
      </c>
      <c r="D9" s="20">
        <f>TONG_HOP_VAT_TU_TOAN_BO!G10</f>
        <v/>
      </c>
      <c r="E9" s="21">
        <f>D9*0.40</f>
        <v/>
      </c>
      <c r="F9" s="21">
        <f>D9*0.35</f>
        <v/>
      </c>
      <c r="G9" s="21">
        <f>D9*0.20</f>
        <v/>
      </c>
      <c r="H9" s="21">
        <f>D9*0.05</f>
        <v/>
      </c>
      <c r="I9" s="19" t="inlineStr">
        <is>
          <t>Gia công sẵn lồng cọc &amp; dầm tại bãi</t>
        </is>
      </c>
    </row>
    <row r="10">
      <c r="A10" s="18" t="n">
        <v>5</v>
      </c>
      <c r="B10" s="19" t="inlineStr">
        <is>
          <t>Cáp DƯL tao xoắn 15.2mm</t>
        </is>
      </c>
      <c r="C10" s="18" t="inlineStr">
        <is>
          <t>kg</t>
        </is>
      </c>
      <c r="D10" s="20">
        <f>TONG_HOP_VAT_TU_TOAN_BO!G11</f>
        <v/>
      </c>
      <c r="E10" s="21" t="n">
        <v>0</v>
      </c>
      <c r="F10" s="21">
        <f>D10*0.80</f>
        <v/>
      </c>
      <c r="G10" s="21">
        <f>D10*0.20</f>
        <v/>
      </c>
      <c r="H10" s="21" t="n">
        <v>0</v>
      </c>
      <c r="I10" s="19" t="inlineStr">
        <is>
          <t>Bảo quản phòng khô, tra mỡ bảo vệ</t>
        </is>
      </c>
    </row>
    <row r="11">
      <c r="A11" s="18" t="n">
        <v>6</v>
      </c>
      <c r="B11" s="19" t="inlineStr">
        <is>
          <t>Ván khuôn thép định hình</t>
        </is>
      </c>
      <c r="C11" s="18" t="inlineStr">
        <is>
          <t>m2</t>
        </is>
      </c>
      <c r="D11" s="20" t="n">
        <v>1500</v>
      </c>
      <c r="E11" s="21" t="n">
        <v>600</v>
      </c>
      <c r="F11" s="21" t="n">
        <v>600</v>
      </c>
      <c r="G11" s="21" t="n">
        <v>300</v>
      </c>
      <c r="H11" s="21" t="n">
        <v>0</v>
      </c>
      <c r="I11" s="19" t="inlineStr">
        <is>
          <t>Luân chuyển tuần hoàn thân trụ &amp; dầm</t>
        </is>
      </c>
    </row>
    <row r="12">
      <c r="A12" s="18" t="n">
        <v>7</v>
      </c>
      <c r="B12" s="19" t="inlineStr">
        <is>
          <t>Gối chậu cao su (30 bộ)</t>
        </is>
      </c>
      <c r="C12" s="18" t="inlineStr">
        <is>
          <t>Bộ</t>
        </is>
      </c>
      <c r="D12" s="20" t="n">
        <v>30</v>
      </c>
      <c r="E12" s="21" t="n">
        <v>0</v>
      </c>
      <c r="F12" s="21" t="n">
        <v>10</v>
      </c>
      <c r="G12" s="21" t="n">
        <v>20</v>
      </c>
      <c r="H12" s="21" t="n">
        <v>0</v>
      </c>
      <c r="I12" s="19" t="inlineStr">
        <is>
          <t>Nhập đủ lô trước khi đúc dầm nhịp 1</t>
        </is>
      </c>
    </row>
    <row r="13">
      <c r="A13" s="18" t="n">
        <v>8</v>
      </c>
      <c r="B13" s="19" t="inlineStr">
        <is>
          <t>Khe co giãn răng lược (2 bộ)</t>
        </is>
      </c>
      <c r="C13" s="18" t="inlineStr">
        <is>
          <t>Bộ</t>
        </is>
      </c>
      <c r="D13" s="20" t="n">
        <v>2</v>
      </c>
      <c r="E13" s="21" t="n">
        <v>0</v>
      </c>
      <c r="F13" s="21" t="n">
        <v>0</v>
      </c>
      <c r="G13" s="21" t="n">
        <v>0</v>
      </c>
      <c r="H13" s="21" t="n">
        <v>2</v>
      </c>
      <c r="I13" s="19" t="inlineStr">
        <is>
          <t>Gia công chuẩn theo bản vẽ cơ khí</t>
        </is>
      </c>
    </row>
    <row r="14">
      <c r="A14" s="18" t="n">
        <v>9</v>
      </c>
      <c r="B14" s="19" t="inlineStr">
        <is>
          <t>Bê tông nhựa C16 mặt cầu</t>
        </is>
      </c>
      <c r="C14" s="18" t="inlineStr">
        <is>
          <t>Tấn</t>
        </is>
      </c>
      <c r="D14" s="20">
        <f>TONG_HOP_VAT_TU_TOAN_BO!G32</f>
        <v/>
      </c>
      <c r="E14" s="21" t="n">
        <v>0</v>
      </c>
      <c r="F14" s="21" t="n">
        <v>0</v>
      </c>
      <c r="G14" s="21" t="n">
        <v>0</v>
      </c>
      <c r="H14" s="21">
        <f>D14</f>
        <v/>
      </c>
      <c r="I14" s="19" t="inlineStr">
        <is>
          <t>Trạm trộn thảm liên tục trong 2 ngày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2026-10-07T04:47:25Z</dcterms:created>
  <dcterms:modified xmlns:dcterms="http://purl.org/dc/terms/" xmlns:xsi="http://www.w3.org/2001/XMLSchema-instance" xsi:type="dcterms:W3CDTF">2026-10-07T04:47:26Z</dcterms:modified>
</cp:coreProperties>
</file>