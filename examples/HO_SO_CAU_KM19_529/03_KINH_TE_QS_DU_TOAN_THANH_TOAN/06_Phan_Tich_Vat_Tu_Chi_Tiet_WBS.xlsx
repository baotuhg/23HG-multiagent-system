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_TICH_VAT_TU_WBS" sheetId="1" state="visible" r:id="rId1"/>
    <sheet xmlns:r="http://schemas.openxmlformats.org/officeDocument/2006/relationships" name="QS_DIEN_GIAI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7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4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3" fontId="5" fillId="0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4" fontId="6" fillId="4" borderId="1" pivotButton="0" quotePrefix="0" xfId="0"/>
    <xf numFmtId="164" fontId="5" fillId="0" borderId="1" pivotButton="0" quotePrefix="0" xfId="0"/>
    <xf numFmtId="164" fontId="6" fillId="4" borderId="1" pivotButton="0" quotePrefix="0" xfId="0"/>
    <xf numFmtId="0" fontId="5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3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8" customWidth="1" min="4" max="4"/>
    <col width="12" customWidth="1" min="5" max="5"/>
    <col width="45" customWidth="1" min="6" max="6"/>
    <col width="12" customWidth="1" min="7" max="7"/>
    <col width="16" customWidth="1" min="8" max="8"/>
    <col width="20" customWidth="1" min="9" max="9"/>
    <col width="24" customWidth="1" min="10" max="10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PHÂN TÍCH ĐỊNH MỨC HAO PHÍ VẬT LIỆU CHO TỪNG HẠNG MỤC CÔNG TÁC WBS</t>
        </is>
      </c>
    </row>
    <row r="4">
      <c r="B4" s="3" t="inlineStr">
        <is>
          <t>Chi tiết sắt thép từng loại đường kính Ø, xi măng, cát, đá, cáp DƯL (Theo Định mức Thông tư 12/2021/TT-BXD)</t>
        </is>
      </c>
    </row>
    <row r="5" ht="28" customHeight="1">
      <c r="A5" s="4" t="inlineStr">
        <is>
          <t>TT</t>
        </is>
      </c>
      <c r="B5" s="4" t="inlineStr">
        <is>
          <t>Mã định mức</t>
        </is>
      </c>
      <c r="C5" s="4" t="inlineStr">
        <is>
          <t>Hạng mục công tác WBS</t>
        </is>
      </c>
      <c r="D5" s="4" t="inlineStr">
        <is>
          <t>Khối lượng công tác</t>
        </is>
      </c>
      <c r="E5" s="4" t="inlineStr">
        <is>
          <t>ĐVT công tác</t>
        </is>
      </c>
      <c r="F5" s="4" t="inlineStr">
        <is>
          <t>Tên quy cách vật tư cấu thành</t>
        </is>
      </c>
      <c r="G5" s="4" t="inlineStr">
        <is>
          <t>ĐVT vật tư</t>
        </is>
      </c>
      <c r="H5" s="4" t="inlineStr">
        <is>
          <t>Định mức cho 1 ĐVT</t>
        </is>
      </c>
      <c r="I5" s="4" t="inlineStr">
        <is>
          <t>Hao phí vật tư hạng mục</t>
        </is>
      </c>
      <c r="J5" s="4" t="inlineStr">
        <is>
          <t>Tiêu chuẩn kỹ thuật áp dụng</t>
        </is>
      </c>
    </row>
    <row r="6">
      <c r="A6" s="5" t="n">
        <v>1</v>
      </c>
      <c r="B6" s="5" t="inlineStr">
        <is>
          <t>AC.11111</t>
        </is>
      </c>
      <c r="C6" s="6" t="inlineStr">
        <is>
          <t>Khoan tạo lỗ cọc khoan nhồi D1200mm (26 cọc L=20m-40m)</t>
        </is>
      </c>
      <c r="D6" s="7">
        <f>QS_DIEN_GIAI_CHI_TIET!J7</f>
        <v/>
      </c>
      <c r="E6" s="5" t="inlineStr">
        <is>
          <t>m</t>
        </is>
      </c>
      <c r="F6" s="8" t="n"/>
      <c r="G6" s="8" t="n"/>
      <c r="H6" s="8" t="n"/>
      <c r="I6" s="8" t="n"/>
      <c r="J6" s="8" t="n"/>
    </row>
    <row r="7">
      <c r="A7" s="9" t="n"/>
      <c r="B7" s="9" t="n"/>
      <c r="C7" s="10" t="inlineStr">
        <is>
          <t xml:space="preserve">   • Bột sét Bentonite tạo vách khoan</t>
        </is>
      </c>
      <c r="D7" s="9" t="n"/>
      <c r="E7" s="9" t="n"/>
      <c r="F7" s="10" t="inlineStr">
        <is>
          <t>Bột sét Bentonite tạo vách khoan</t>
        </is>
      </c>
      <c r="G7" s="11" t="inlineStr">
        <is>
          <t>Tấn</t>
        </is>
      </c>
      <c r="H7" s="12" t="n">
        <v>0.045</v>
      </c>
      <c r="I7" s="13">
        <f>D6*H7</f>
        <v/>
      </c>
      <c r="J7" s="10" t="inlineStr">
        <is>
          <t>TCVN 9395:2012</t>
        </is>
      </c>
    </row>
    <row r="8">
      <c r="A8" s="9" t="n"/>
      <c r="B8" s="9" t="n"/>
      <c r="C8" s="10" t="inlineStr">
        <is>
          <t xml:space="preserve">   • Nước sạch thi công khoan cọc</t>
        </is>
      </c>
      <c r="D8" s="9" t="n"/>
      <c r="E8" s="9" t="n"/>
      <c r="F8" s="10" t="inlineStr">
        <is>
          <t>Nước sạch thi công khoan cọc</t>
        </is>
      </c>
      <c r="G8" s="11" t="inlineStr">
        <is>
          <t>m3</t>
        </is>
      </c>
      <c r="H8" s="12" t="n">
        <v>0.25</v>
      </c>
      <c r="I8" s="13">
        <f>D6*H8</f>
        <v/>
      </c>
      <c r="J8" s="10" t="inlineStr">
        <is>
          <t>TCVN 4506:2012</t>
        </is>
      </c>
    </row>
    <row r="9">
      <c r="A9" s="5" t="n">
        <v>2</v>
      </c>
      <c r="B9" s="5" t="inlineStr">
        <is>
          <t>AC.12111</t>
        </is>
      </c>
      <c r="C9" s="6" t="inlineStr">
        <is>
          <t>Hạ và nhổ ống vách thép dẫn hướng D1300mm d=8mm</t>
        </is>
      </c>
      <c r="D9" s="7">
        <f>QS_DIEN_GIAI_CHI_TIET!J12</f>
        <v/>
      </c>
      <c r="E9" s="5" t="inlineStr">
        <is>
          <t>m</t>
        </is>
      </c>
      <c r="F9" s="8" t="n"/>
      <c r="G9" s="8" t="n"/>
      <c r="H9" s="8" t="n"/>
      <c r="I9" s="8" t="n"/>
      <c r="J9" s="8" t="n"/>
    </row>
    <row r="10">
      <c r="A10" s="9" t="n"/>
      <c r="B10" s="9" t="n"/>
      <c r="C10" s="10" t="inlineStr">
        <is>
          <t xml:space="preserve">   • Ống vách thép dẫn hướng D1300 d=8mm (khấu hao)</t>
        </is>
      </c>
      <c r="D10" s="9" t="n"/>
      <c r="E10" s="9" t="n"/>
      <c r="F10" s="10" t="inlineStr">
        <is>
          <t>Ống vách thép dẫn hướng D1300 d=8mm (khấu hao)</t>
        </is>
      </c>
      <c r="G10" s="11" t="inlineStr">
        <is>
          <t>Tấn</t>
        </is>
      </c>
      <c r="H10" s="12" t="n">
        <v>0.052</v>
      </c>
      <c r="I10" s="13">
        <f>D9*H10</f>
        <v/>
      </c>
      <c r="J10" s="10" t="inlineStr">
        <is>
          <t>TCVN 9395:2012</t>
        </is>
      </c>
    </row>
    <row r="11">
      <c r="A11" s="5" t="n">
        <v>3</v>
      </c>
      <c r="B11" s="5" t="inlineStr">
        <is>
          <t>AF.21111</t>
        </is>
      </c>
      <c r="C11" s="6" t="inlineStr">
        <is>
          <t>Bê tông cọc khoan nhồi C30/37 đổ bằng ống Tremie</t>
        </is>
      </c>
      <c r="D11" s="7">
        <f>QS_DIEN_GIAI_CHI_TIET!J17</f>
        <v/>
      </c>
      <c r="E11" s="5" t="inlineStr">
        <is>
          <t>m3</t>
        </is>
      </c>
      <c r="F11" s="8" t="n"/>
      <c r="G11" s="8" t="n"/>
      <c r="H11" s="8" t="n"/>
      <c r="I11" s="8" t="n"/>
      <c r="J11" s="8" t="n"/>
    </row>
    <row r="12">
      <c r="A12" s="9" t="n"/>
      <c r="B12" s="9" t="n"/>
      <c r="C12" s="10" t="inlineStr">
        <is>
          <t xml:space="preserve">   • Xi măng PCB40 cọc khoan nhồi</t>
        </is>
      </c>
      <c r="D12" s="9" t="n"/>
      <c r="E12" s="9" t="n"/>
      <c r="F12" s="10" t="inlineStr">
        <is>
          <t>Xi măng PCB40 cọc khoan nhồi</t>
        </is>
      </c>
      <c r="G12" s="11" t="inlineStr">
        <is>
          <t>kg</t>
        </is>
      </c>
      <c r="H12" s="13" t="n">
        <v>395</v>
      </c>
      <c r="I12" s="13">
        <f>D11*H12</f>
        <v/>
      </c>
      <c r="J12" s="10" t="inlineStr">
        <is>
          <t>TCVN 6260:2020</t>
        </is>
      </c>
    </row>
    <row r="13">
      <c r="A13" s="9" t="n"/>
      <c r="B13" s="9" t="n"/>
      <c r="C13" s="10" t="inlineStr">
        <is>
          <t xml:space="preserve">   • Cát vàng hạt trung Mk&gt;=2.0</t>
        </is>
      </c>
      <c r="D13" s="9" t="n"/>
      <c r="E13" s="9" t="n"/>
      <c r="F13" s="10" t="inlineStr">
        <is>
          <t>Cát vàng hạt trung Mk&gt;=2.0</t>
        </is>
      </c>
      <c r="G13" s="11" t="inlineStr">
        <is>
          <t>m3</t>
        </is>
      </c>
      <c r="H13" s="12" t="n">
        <v>0.47</v>
      </c>
      <c r="I13" s="13">
        <f>D11*H13</f>
        <v/>
      </c>
      <c r="J13" s="10" t="inlineStr">
        <is>
          <t>TCVN 7570:2006</t>
        </is>
      </c>
    </row>
    <row r="14">
      <c r="A14" s="9" t="n"/>
      <c r="B14" s="9" t="n"/>
      <c r="C14" s="10" t="inlineStr">
        <is>
          <t xml:space="preserve">   • Đá dăm 1x2 sạch chọn lọc</t>
        </is>
      </c>
      <c r="D14" s="9" t="n"/>
      <c r="E14" s="9" t="n"/>
      <c r="F14" s="10" t="inlineStr">
        <is>
          <t>Đá dăm 1x2 sạch chọn lọc</t>
        </is>
      </c>
      <c r="G14" s="11" t="inlineStr">
        <is>
          <t>m3</t>
        </is>
      </c>
      <c r="H14" s="12" t="n">
        <v>0.83</v>
      </c>
      <c r="I14" s="13">
        <f>D11*H14</f>
        <v/>
      </c>
      <c r="J14" s="10" t="inlineStr">
        <is>
          <t>TCVN 7570:2006</t>
        </is>
      </c>
    </row>
    <row r="15">
      <c r="A15" s="9" t="n"/>
      <c r="B15" s="9" t="n"/>
      <c r="C15" s="10" t="inlineStr">
        <is>
          <t xml:space="preserve">   • Nước sạch trộn bê tông</t>
        </is>
      </c>
      <c r="D15" s="9" t="n"/>
      <c r="E15" s="9" t="n"/>
      <c r="F15" s="10" t="inlineStr">
        <is>
          <t>Nước sạch trộn bê tông</t>
        </is>
      </c>
      <c r="G15" s="11" t="inlineStr">
        <is>
          <t>Lít</t>
        </is>
      </c>
      <c r="H15" s="13" t="n">
        <v>185</v>
      </c>
      <c r="I15" s="13">
        <f>D11*H15</f>
        <v/>
      </c>
      <c r="J15" s="10" t="inlineStr">
        <is>
          <t>TCVN 4506:2012</t>
        </is>
      </c>
    </row>
    <row r="16">
      <c r="A16" s="9" t="n"/>
      <c r="B16" s="9" t="n"/>
      <c r="C16" s="10" t="inlineStr">
        <is>
          <t xml:space="preserve">   • Phụ gia hoá dẻo chậm đông kết</t>
        </is>
      </c>
      <c r="D16" s="9" t="n"/>
      <c r="E16" s="9" t="n"/>
      <c r="F16" s="10" t="inlineStr">
        <is>
          <t>Phụ gia hoá dẻo chậm đông kết</t>
        </is>
      </c>
      <c r="G16" s="11" t="inlineStr">
        <is>
          <t>kg</t>
        </is>
      </c>
      <c r="H16" s="13" t="n">
        <v>4.2</v>
      </c>
      <c r="I16" s="13">
        <f>D11*H16</f>
        <v/>
      </c>
      <c r="J16" s="10" t="inlineStr">
        <is>
          <t>ASTM C494 Type G</t>
        </is>
      </c>
    </row>
    <row r="17">
      <c r="A17" s="5" t="n">
        <v>4</v>
      </c>
      <c r="B17" s="5" t="inlineStr">
        <is>
          <t>AF.61111</t>
        </is>
      </c>
      <c r="C17" s="6" t="inlineStr">
        <is>
          <t>Cốt thép cọc khoan nhồi D1200mm (Lồng thép)</t>
        </is>
      </c>
      <c r="D17" s="7">
        <f>QS_DIEN_GIAI_CHI_TIET!J22</f>
        <v/>
      </c>
      <c r="E17" s="5" t="inlineStr">
        <is>
          <t>Tấn</t>
        </is>
      </c>
      <c r="F17" s="8" t="n"/>
      <c r="G17" s="8" t="n"/>
      <c r="H17" s="8" t="n"/>
      <c r="I17" s="8" t="n"/>
      <c r="J17" s="8" t="n"/>
    </row>
    <row r="18">
      <c r="A18" s="9" t="n"/>
      <c r="B18" s="9" t="n"/>
      <c r="C18" s="10" t="inlineStr">
        <is>
          <t xml:space="preserve">   • Thép chủ cọc nhồi vằn Ø25 (CB500-V)</t>
        </is>
      </c>
      <c r="D18" s="9" t="n"/>
      <c r="E18" s="9" t="n"/>
      <c r="F18" s="10" t="inlineStr">
        <is>
          <t>Thép chủ cọc nhồi vằn Ø25 (CB500-V)</t>
        </is>
      </c>
      <c r="G18" s="11" t="inlineStr">
        <is>
          <t>Tấn</t>
        </is>
      </c>
      <c r="H18" s="12" t="n">
        <v>0.785</v>
      </c>
      <c r="I18" s="13">
        <f>D17*H18</f>
        <v/>
      </c>
      <c r="J18" s="10" t="inlineStr">
        <is>
          <t>TCVN 1651:2018</t>
        </is>
      </c>
    </row>
    <row r="19">
      <c r="A19" s="9" t="n"/>
      <c r="B19" s="9" t="n"/>
      <c r="C19" s="10" t="inlineStr">
        <is>
          <t xml:space="preserve">   • Thép đai tăng cường vằn Ø16 (CB400-V)</t>
        </is>
      </c>
      <c r="D19" s="9" t="n"/>
      <c r="E19" s="9" t="n"/>
      <c r="F19" s="10" t="inlineStr">
        <is>
          <t>Thép đai tăng cường vằn Ø16 (CB400-V)</t>
        </is>
      </c>
      <c r="G19" s="11" t="inlineStr">
        <is>
          <t>Tấn</t>
        </is>
      </c>
      <c r="H19" s="12" t="n">
        <v>0.12</v>
      </c>
      <c r="I19" s="13">
        <f>D17*H19</f>
        <v/>
      </c>
      <c r="J19" s="10" t="inlineStr">
        <is>
          <t>TCVN 1651:2018</t>
        </is>
      </c>
    </row>
    <row r="20">
      <c r="A20" s="9" t="n"/>
      <c r="B20" s="9" t="n"/>
      <c r="C20" s="10" t="inlineStr">
        <is>
          <t xml:space="preserve">   • Thép đai xoắn liên tục tròn trơn Ø10 (CB240-T)</t>
        </is>
      </c>
      <c r="D20" s="9" t="n"/>
      <c r="E20" s="9" t="n"/>
      <c r="F20" s="10" t="inlineStr">
        <is>
          <t>Thép đai xoắn liên tục tròn trơn Ø10 (CB240-T)</t>
        </is>
      </c>
      <c r="G20" s="11" t="inlineStr">
        <is>
          <t>Tấn</t>
        </is>
      </c>
      <c r="H20" s="12" t="n">
        <v>0.095</v>
      </c>
      <c r="I20" s="13">
        <f>D17*H20</f>
        <v/>
      </c>
      <c r="J20" s="10" t="inlineStr">
        <is>
          <t>TCVN 1651:2018</t>
        </is>
      </c>
    </row>
    <row r="21">
      <c r="A21" s="9" t="n"/>
      <c r="B21" s="9" t="n"/>
      <c r="C21" s="10" t="inlineStr">
        <is>
          <t xml:space="preserve">   • Ống siêu âm cọc nhồi thép Ø60x2</t>
        </is>
      </c>
      <c r="D21" s="9" t="n"/>
      <c r="E21" s="9" t="n"/>
      <c r="F21" s="10" t="inlineStr">
        <is>
          <t>Ống siêu âm cọc nhồi thép Ø60x2</t>
        </is>
      </c>
      <c r="G21" s="11" t="inlineStr">
        <is>
          <t>m</t>
        </is>
      </c>
      <c r="H21" s="13" t="n">
        <v>36.5</v>
      </c>
      <c r="I21" s="13">
        <f>D17*H21</f>
        <v/>
      </c>
      <c r="J21" s="10" t="inlineStr">
        <is>
          <t>ASTM A53 / TCVN 9395</t>
        </is>
      </c>
    </row>
    <row r="22">
      <c r="A22" s="9" t="n"/>
      <c r="B22" s="9" t="n"/>
      <c r="C22" s="10" t="inlineStr">
        <is>
          <t xml:space="preserve">   • Dây thép buộc 1 ly</t>
        </is>
      </c>
      <c r="D22" s="9" t="n"/>
      <c r="E22" s="9" t="n"/>
      <c r="F22" s="10" t="inlineStr">
        <is>
          <t>Dây thép buộc 1 ly</t>
        </is>
      </c>
      <c r="G22" s="11" t="inlineStr">
        <is>
          <t>kg</t>
        </is>
      </c>
      <c r="H22" s="13" t="n">
        <v>15</v>
      </c>
      <c r="I22" s="13">
        <f>D17*H22</f>
        <v/>
      </c>
      <c r="J22" s="10" t="inlineStr">
        <is>
          <t>TCVN 1651:2018</t>
        </is>
      </c>
    </row>
    <row r="23">
      <c r="A23" s="9" t="n"/>
      <c r="B23" s="9" t="n"/>
      <c r="C23" s="10" t="inlineStr">
        <is>
          <t xml:space="preserve">   • Que hàn điện E42/E50</t>
        </is>
      </c>
      <c r="D23" s="9" t="n"/>
      <c r="E23" s="9" t="n"/>
      <c r="F23" s="10" t="inlineStr">
        <is>
          <t>Que hàn điện E42/E50</t>
        </is>
      </c>
      <c r="G23" s="11" t="inlineStr">
        <is>
          <t>kg</t>
        </is>
      </c>
      <c r="H23" s="13" t="n">
        <v>8</v>
      </c>
      <c r="I23" s="13">
        <f>D17*H23</f>
        <v/>
      </c>
      <c r="J23" s="10" t="inlineStr">
        <is>
          <t>TCVN 3223:2000</t>
        </is>
      </c>
    </row>
    <row r="24">
      <c r="A24" s="5" t="n">
        <v>5</v>
      </c>
      <c r="B24" s="5" t="inlineStr">
        <is>
          <t>AF.11111</t>
        </is>
      </c>
      <c r="C24" s="6" t="inlineStr">
        <is>
          <t>Bê tông lót đáy bệ móng mác C10 dày 10cm</t>
        </is>
      </c>
      <c r="D24" s="7">
        <f>QS_DIEN_GIAI_CHI_TIET!J34</f>
        <v/>
      </c>
      <c r="E24" s="5" t="inlineStr">
        <is>
          <t>m3</t>
        </is>
      </c>
      <c r="F24" s="8" t="n"/>
      <c r="G24" s="8" t="n"/>
      <c r="H24" s="8" t="n"/>
      <c r="I24" s="8" t="n"/>
      <c r="J24" s="8" t="n"/>
    </row>
    <row r="25">
      <c r="A25" s="9" t="n"/>
      <c r="B25" s="9" t="n"/>
      <c r="C25" s="10" t="inlineStr">
        <is>
          <t xml:space="preserve">   • Xi măng PCB40 lót móng</t>
        </is>
      </c>
      <c r="D25" s="9" t="n"/>
      <c r="E25" s="9" t="n"/>
      <c r="F25" s="10" t="inlineStr">
        <is>
          <t>Xi măng PCB40 lót móng</t>
        </is>
      </c>
      <c r="G25" s="11" t="inlineStr">
        <is>
          <t>kg</t>
        </is>
      </c>
      <c r="H25" s="13" t="n">
        <v>240</v>
      </c>
      <c r="I25" s="13">
        <f>D24*H25</f>
        <v/>
      </c>
      <c r="J25" s="10" t="inlineStr">
        <is>
          <t>TCVN 6260:2020</t>
        </is>
      </c>
    </row>
    <row r="26">
      <c r="A26" s="9" t="n"/>
      <c r="B26" s="9" t="n"/>
      <c r="C26" s="10" t="inlineStr">
        <is>
          <t xml:space="preserve">   • Cát vàng xây dựng</t>
        </is>
      </c>
      <c r="D26" s="9" t="n"/>
      <c r="E26" s="9" t="n"/>
      <c r="F26" s="10" t="inlineStr">
        <is>
          <t>Cát vàng xây dựng</t>
        </is>
      </c>
      <c r="G26" s="11" t="inlineStr">
        <is>
          <t>m3</t>
        </is>
      </c>
      <c r="H26" s="12" t="n">
        <v>0.51</v>
      </c>
      <c r="I26" s="13">
        <f>D24*H26</f>
        <v/>
      </c>
      <c r="J26" s="10" t="inlineStr">
        <is>
          <t>TCVN 7570:2006</t>
        </is>
      </c>
    </row>
    <row r="27">
      <c r="A27" s="9" t="n"/>
      <c r="B27" s="9" t="n"/>
      <c r="C27" s="10" t="inlineStr">
        <is>
          <t xml:space="preserve">   • Đá dăm 1x2</t>
        </is>
      </c>
      <c r="D27" s="9" t="n"/>
      <c r="E27" s="9" t="n"/>
      <c r="F27" s="10" t="inlineStr">
        <is>
          <t>Đá dăm 1x2</t>
        </is>
      </c>
      <c r="G27" s="11" t="inlineStr">
        <is>
          <t>m3</t>
        </is>
      </c>
      <c r="H27" s="12" t="n">
        <v>0.87</v>
      </c>
      <c r="I27" s="13">
        <f>D24*H27</f>
        <v/>
      </c>
      <c r="J27" s="10" t="inlineStr">
        <is>
          <t>TCVN 7570:2006</t>
        </is>
      </c>
    </row>
    <row r="28">
      <c r="A28" s="9" t="n"/>
      <c r="B28" s="9" t="n"/>
      <c r="C28" s="10" t="inlineStr">
        <is>
          <t xml:space="preserve">   • Nước sạch trộn bê tông</t>
        </is>
      </c>
      <c r="D28" s="9" t="n"/>
      <c r="E28" s="9" t="n"/>
      <c r="F28" s="10" t="inlineStr">
        <is>
          <t>Nước sạch trộn bê tông</t>
        </is>
      </c>
      <c r="G28" s="11" t="inlineStr">
        <is>
          <t>Lít</t>
        </is>
      </c>
      <c r="H28" s="13" t="n">
        <v>175</v>
      </c>
      <c r="I28" s="13">
        <f>D24*H28</f>
        <v/>
      </c>
      <c r="J28" s="10" t="inlineStr">
        <is>
          <t>TCVN 4506:2012</t>
        </is>
      </c>
    </row>
    <row r="29">
      <c r="A29" s="5" t="n">
        <v>6</v>
      </c>
      <c r="B29" s="5" t="inlineStr">
        <is>
          <t>AF.12111</t>
        </is>
      </c>
      <c r="C29" s="6" t="inlineStr">
        <is>
          <t>Bê tông bệ móng mố M1, M2 và bệ trụ T1, T2 mác C30</t>
        </is>
      </c>
      <c r="D29" s="7">
        <f>QS_DIEN_GIAI_CHI_TIET!J39</f>
        <v/>
      </c>
      <c r="E29" s="5" t="inlineStr">
        <is>
          <t>m3</t>
        </is>
      </c>
      <c r="F29" s="8" t="n"/>
      <c r="G29" s="8" t="n"/>
      <c r="H29" s="8" t="n"/>
      <c r="I29" s="8" t="n"/>
      <c r="J29" s="8" t="n"/>
    </row>
    <row r="30">
      <c r="A30" s="9" t="n"/>
      <c r="B30" s="9" t="n"/>
      <c r="C30" s="10" t="inlineStr">
        <is>
          <t xml:space="preserve">   • Xi măng PCB40 bệ móng</t>
        </is>
      </c>
      <c r="D30" s="9" t="n"/>
      <c r="E30" s="9" t="n"/>
      <c r="F30" s="10" t="inlineStr">
        <is>
          <t>Xi măng PCB40 bệ móng</t>
        </is>
      </c>
      <c r="G30" s="11" t="inlineStr">
        <is>
          <t>kg</t>
        </is>
      </c>
      <c r="H30" s="13" t="n">
        <v>385</v>
      </c>
      <c r="I30" s="13">
        <f>D29*H30</f>
        <v/>
      </c>
      <c r="J30" s="10" t="inlineStr">
        <is>
          <t>TCVN 6260:2020</t>
        </is>
      </c>
    </row>
    <row r="31">
      <c r="A31" s="9" t="n"/>
      <c r="B31" s="9" t="n"/>
      <c r="C31" s="10" t="inlineStr">
        <is>
          <t xml:space="preserve">   • Cát vàng sàng rửa Mk&gt;=2.0</t>
        </is>
      </c>
      <c r="D31" s="9" t="n"/>
      <c r="E31" s="9" t="n"/>
      <c r="F31" s="10" t="inlineStr">
        <is>
          <t>Cát vàng sàng rửa Mk&gt;=2.0</t>
        </is>
      </c>
      <c r="G31" s="11" t="inlineStr">
        <is>
          <t>m3</t>
        </is>
      </c>
      <c r="H31" s="12" t="n">
        <v>0.46</v>
      </c>
      <c r="I31" s="13">
        <f>D29*H31</f>
        <v/>
      </c>
      <c r="J31" s="10" t="inlineStr">
        <is>
          <t>TCVN 7570:2006</t>
        </is>
      </c>
    </row>
    <row r="32">
      <c r="A32" s="9" t="n"/>
      <c r="B32" s="9" t="n"/>
      <c r="C32" s="10" t="inlineStr">
        <is>
          <t xml:space="preserve">   • Đá dăm 1x2 sạch</t>
        </is>
      </c>
      <c r="D32" s="9" t="n"/>
      <c r="E32" s="9" t="n"/>
      <c r="F32" s="10" t="inlineStr">
        <is>
          <t>Đá dăm 1x2 sạch</t>
        </is>
      </c>
      <c r="G32" s="11" t="inlineStr">
        <is>
          <t>m3</t>
        </is>
      </c>
      <c r="H32" s="12" t="n">
        <v>0.84</v>
      </c>
      <c r="I32" s="13">
        <f>D29*H32</f>
        <v/>
      </c>
      <c r="J32" s="10" t="inlineStr">
        <is>
          <t>TCVN 7570:2006</t>
        </is>
      </c>
    </row>
    <row r="33">
      <c r="A33" s="9" t="n"/>
      <c r="B33" s="9" t="n"/>
      <c r="C33" s="10" t="inlineStr">
        <is>
          <t xml:space="preserve">   • Nước sạch trộn bê tông</t>
        </is>
      </c>
      <c r="D33" s="9" t="n"/>
      <c r="E33" s="9" t="n"/>
      <c r="F33" s="10" t="inlineStr">
        <is>
          <t>Nước sạch trộn bê tông</t>
        </is>
      </c>
      <c r="G33" s="11" t="inlineStr">
        <is>
          <t>Lít</t>
        </is>
      </c>
      <c r="H33" s="13" t="n">
        <v>180</v>
      </c>
      <c r="I33" s="13">
        <f>D29*H33</f>
        <v/>
      </c>
      <c r="J33" s="10" t="inlineStr">
        <is>
          <t>TCVN 4506:2012</t>
        </is>
      </c>
    </row>
    <row r="34">
      <c r="A34" s="9" t="n"/>
      <c r="B34" s="9" t="n"/>
      <c r="C34" s="10" t="inlineStr">
        <is>
          <t xml:space="preserve">   • Phụ gia siêu dẻo giảm nước</t>
        </is>
      </c>
      <c r="D34" s="9" t="n"/>
      <c r="E34" s="9" t="n"/>
      <c r="F34" s="10" t="inlineStr">
        <is>
          <t>Phụ gia siêu dẻo giảm nước</t>
        </is>
      </c>
      <c r="G34" s="11" t="inlineStr">
        <is>
          <t>kg</t>
        </is>
      </c>
      <c r="H34" s="13" t="n">
        <v>3.8</v>
      </c>
      <c r="I34" s="13">
        <f>D29*H34</f>
        <v/>
      </c>
      <c r="J34" s="10" t="inlineStr">
        <is>
          <t>ASTM C494 Type F</t>
        </is>
      </c>
    </row>
    <row r="35">
      <c r="A35" s="5" t="n">
        <v>7</v>
      </c>
      <c r="B35" s="5" t="inlineStr">
        <is>
          <t>AF.12211</t>
        </is>
      </c>
      <c r="C35" s="6" t="inlineStr">
        <is>
          <t>Bê tông thân mố chân dê M1 và mố chữ U M2 mác C30</t>
        </is>
      </c>
      <c r="D35" s="7">
        <f>QS_DIEN_GIAI_CHI_TIET!J44</f>
        <v/>
      </c>
      <c r="E35" s="5" t="inlineStr">
        <is>
          <t>m3</t>
        </is>
      </c>
      <c r="F35" s="8" t="n"/>
      <c r="G35" s="8" t="n"/>
      <c r="H35" s="8" t="n"/>
      <c r="I35" s="8" t="n"/>
      <c r="J35" s="8" t="n"/>
    </row>
    <row r="36">
      <c r="A36" s="9" t="n"/>
      <c r="B36" s="9" t="n"/>
      <c r="C36" s="10" t="inlineStr">
        <is>
          <t xml:space="preserve">   • Xi măng PCB40 thân mố</t>
        </is>
      </c>
      <c r="D36" s="9" t="n"/>
      <c r="E36" s="9" t="n"/>
      <c r="F36" s="10" t="inlineStr">
        <is>
          <t>Xi măng PCB40 thân mố</t>
        </is>
      </c>
      <c r="G36" s="11" t="inlineStr">
        <is>
          <t>kg</t>
        </is>
      </c>
      <c r="H36" s="13" t="n">
        <v>385</v>
      </c>
      <c r="I36" s="13">
        <f>D35*H36</f>
        <v/>
      </c>
      <c r="J36" s="10" t="inlineStr">
        <is>
          <t>TCVN 6260:2020</t>
        </is>
      </c>
    </row>
    <row r="37">
      <c r="A37" s="9" t="n"/>
      <c r="B37" s="9" t="n"/>
      <c r="C37" s="10" t="inlineStr">
        <is>
          <t xml:space="preserve">   • Cát vàng sàng rửa Mk&gt;=2.0</t>
        </is>
      </c>
      <c r="D37" s="9" t="n"/>
      <c r="E37" s="9" t="n"/>
      <c r="F37" s="10" t="inlineStr">
        <is>
          <t>Cát vàng sàng rửa Mk&gt;=2.0</t>
        </is>
      </c>
      <c r="G37" s="11" t="inlineStr">
        <is>
          <t>m3</t>
        </is>
      </c>
      <c r="H37" s="12" t="n">
        <v>0.46</v>
      </c>
      <c r="I37" s="13">
        <f>D35*H37</f>
        <v/>
      </c>
      <c r="J37" s="10" t="inlineStr">
        <is>
          <t>TCVN 7570:2006</t>
        </is>
      </c>
    </row>
    <row r="38">
      <c r="A38" s="9" t="n"/>
      <c r="B38" s="9" t="n"/>
      <c r="C38" s="10" t="inlineStr">
        <is>
          <t xml:space="preserve">   • Đá dăm 1x2 sạch</t>
        </is>
      </c>
      <c r="D38" s="9" t="n"/>
      <c r="E38" s="9" t="n"/>
      <c r="F38" s="10" t="inlineStr">
        <is>
          <t>Đá dăm 1x2 sạch</t>
        </is>
      </c>
      <c r="G38" s="11" t="inlineStr">
        <is>
          <t>m3</t>
        </is>
      </c>
      <c r="H38" s="12" t="n">
        <v>0.84</v>
      </c>
      <c r="I38" s="13">
        <f>D35*H38</f>
        <v/>
      </c>
      <c r="J38" s="10" t="inlineStr">
        <is>
          <t>TCVN 7570:2006</t>
        </is>
      </c>
    </row>
    <row r="39">
      <c r="A39" s="9" t="n"/>
      <c r="B39" s="9" t="n"/>
      <c r="C39" s="10" t="inlineStr">
        <is>
          <t xml:space="preserve">   • Nước sạch trộn bê tông</t>
        </is>
      </c>
      <c r="D39" s="9" t="n"/>
      <c r="E39" s="9" t="n"/>
      <c r="F39" s="10" t="inlineStr">
        <is>
          <t>Nước sạch trộn bê tông</t>
        </is>
      </c>
      <c r="G39" s="11" t="inlineStr">
        <is>
          <t>Lít</t>
        </is>
      </c>
      <c r="H39" s="13" t="n">
        <v>180</v>
      </c>
      <c r="I39" s="13">
        <f>D35*H39</f>
        <v/>
      </c>
      <c r="J39" s="10" t="inlineStr">
        <is>
          <t>TCVN 4506:2012</t>
        </is>
      </c>
    </row>
    <row r="40">
      <c r="A40" s="9" t="n"/>
      <c r="B40" s="9" t="n"/>
      <c r="C40" s="10" t="inlineStr">
        <is>
          <t xml:space="preserve">   • Phụ gia siêu dẻo giảm nước</t>
        </is>
      </c>
      <c r="D40" s="9" t="n"/>
      <c r="E40" s="9" t="n"/>
      <c r="F40" s="10" t="inlineStr">
        <is>
          <t>Phụ gia siêu dẻo giảm nước</t>
        </is>
      </c>
      <c r="G40" s="11" t="inlineStr">
        <is>
          <t>kg</t>
        </is>
      </c>
      <c r="H40" s="13" t="n">
        <v>3.8</v>
      </c>
      <c r="I40" s="13">
        <f>D35*H40</f>
        <v/>
      </c>
      <c r="J40" s="10" t="inlineStr">
        <is>
          <t>ASTM C494 Type F</t>
        </is>
      </c>
    </row>
    <row r="41">
      <c r="A41" s="5" t="n">
        <v>8</v>
      </c>
      <c r="B41" s="5" t="inlineStr">
        <is>
          <t>AF.12311</t>
        </is>
      </c>
      <c r="C41" s="6" t="inlineStr">
        <is>
          <t>Bê tông tường cánh và tường đỉnh mố M1, M2 mác C30</t>
        </is>
      </c>
      <c r="D41" s="7">
        <f>QS_DIEN_GIAI_CHI_TIET!J47</f>
        <v/>
      </c>
      <c r="E41" s="5" t="inlineStr">
        <is>
          <t>m3</t>
        </is>
      </c>
      <c r="F41" s="8" t="n"/>
      <c r="G41" s="8" t="n"/>
      <c r="H41" s="8" t="n"/>
      <c r="I41" s="8" t="n"/>
      <c r="J41" s="8" t="n"/>
    </row>
    <row r="42">
      <c r="A42" s="9" t="n"/>
      <c r="B42" s="9" t="n"/>
      <c r="C42" s="10" t="inlineStr">
        <is>
          <t xml:space="preserve">   • Xi măng PCB40 tường cánh</t>
        </is>
      </c>
      <c r="D42" s="9" t="n"/>
      <c r="E42" s="9" t="n"/>
      <c r="F42" s="10" t="inlineStr">
        <is>
          <t>Xi măng PCB40 tường cánh</t>
        </is>
      </c>
      <c r="G42" s="11" t="inlineStr">
        <is>
          <t>kg</t>
        </is>
      </c>
      <c r="H42" s="13" t="n">
        <v>385</v>
      </c>
      <c r="I42" s="13">
        <f>D41*H42</f>
        <v/>
      </c>
      <c r="J42" s="10" t="inlineStr">
        <is>
          <t>TCVN 6260:2020</t>
        </is>
      </c>
    </row>
    <row r="43">
      <c r="A43" s="9" t="n"/>
      <c r="B43" s="9" t="n"/>
      <c r="C43" s="10" t="inlineStr">
        <is>
          <t xml:space="preserve">   • Cát vàng sàng rửa Mk&gt;=2.0</t>
        </is>
      </c>
      <c r="D43" s="9" t="n"/>
      <c r="E43" s="9" t="n"/>
      <c r="F43" s="10" t="inlineStr">
        <is>
          <t>Cát vàng sàng rửa Mk&gt;=2.0</t>
        </is>
      </c>
      <c r="G43" s="11" t="inlineStr">
        <is>
          <t>m3</t>
        </is>
      </c>
      <c r="H43" s="12" t="n">
        <v>0.46</v>
      </c>
      <c r="I43" s="13">
        <f>D41*H43</f>
        <v/>
      </c>
      <c r="J43" s="10" t="inlineStr">
        <is>
          <t>TCVN 7570:2006</t>
        </is>
      </c>
    </row>
    <row r="44">
      <c r="A44" s="9" t="n"/>
      <c r="B44" s="9" t="n"/>
      <c r="C44" s="10" t="inlineStr">
        <is>
          <t xml:space="preserve">   • Đá dăm 1x2 sạch</t>
        </is>
      </c>
      <c r="D44" s="9" t="n"/>
      <c r="E44" s="9" t="n"/>
      <c r="F44" s="10" t="inlineStr">
        <is>
          <t>Đá dăm 1x2 sạch</t>
        </is>
      </c>
      <c r="G44" s="11" t="inlineStr">
        <is>
          <t>m3</t>
        </is>
      </c>
      <c r="H44" s="12" t="n">
        <v>0.84</v>
      </c>
      <c r="I44" s="13">
        <f>D41*H44</f>
        <v/>
      </c>
      <c r="J44" s="10" t="inlineStr">
        <is>
          <t>TCVN 7570:2006</t>
        </is>
      </c>
    </row>
    <row r="45">
      <c r="A45" s="9" t="n"/>
      <c r="B45" s="9" t="n"/>
      <c r="C45" s="10" t="inlineStr">
        <is>
          <t xml:space="preserve">   • Nước sạch trộn bê tông</t>
        </is>
      </c>
      <c r="D45" s="9" t="n"/>
      <c r="E45" s="9" t="n"/>
      <c r="F45" s="10" t="inlineStr">
        <is>
          <t>Nước sạch trộn bê tông</t>
        </is>
      </c>
      <c r="G45" s="11" t="inlineStr">
        <is>
          <t>Lít</t>
        </is>
      </c>
      <c r="H45" s="13" t="n">
        <v>180</v>
      </c>
      <c r="I45" s="13">
        <f>D41*H45</f>
        <v/>
      </c>
      <c r="J45" s="10" t="inlineStr">
        <is>
          <t>TCVN 4506:2012</t>
        </is>
      </c>
    </row>
    <row r="46">
      <c r="A46" s="9" t="n"/>
      <c r="B46" s="9" t="n"/>
      <c r="C46" s="10" t="inlineStr">
        <is>
          <t xml:space="preserve">   • Phụ gia siêu dẻo giảm nước</t>
        </is>
      </c>
      <c r="D46" s="9" t="n"/>
      <c r="E46" s="9" t="n"/>
      <c r="F46" s="10" t="inlineStr">
        <is>
          <t>Phụ gia siêu dẻo giảm nước</t>
        </is>
      </c>
      <c r="G46" s="11" t="inlineStr">
        <is>
          <t>kg</t>
        </is>
      </c>
      <c r="H46" s="13" t="n">
        <v>3.8</v>
      </c>
      <c r="I46" s="13">
        <f>D41*H46</f>
        <v/>
      </c>
      <c r="J46" s="10" t="inlineStr">
        <is>
          <t>ASTM C494 Type F</t>
        </is>
      </c>
    </row>
    <row r="47">
      <c r="A47" s="5" t="n">
        <v>9</v>
      </c>
      <c r="B47" s="5" t="inlineStr">
        <is>
          <t>AF.13111</t>
        </is>
      </c>
      <c r="C47" s="6" t="inlineStr">
        <is>
          <t>Bê tông thân đặc trụ T1 và T2 mác C30</t>
        </is>
      </c>
      <c r="D47" s="7">
        <f>QS_DIEN_GIAI_CHI_TIET!J50</f>
        <v/>
      </c>
      <c r="E47" s="5" t="inlineStr">
        <is>
          <t>m3</t>
        </is>
      </c>
      <c r="F47" s="8" t="n"/>
      <c r="G47" s="8" t="n"/>
      <c r="H47" s="8" t="n"/>
      <c r="I47" s="8" t="n"/>
      <c r="J47" s="8" t="n"/>
    </row>
    <row r="48">
      <c r="A48" s="9" t="n"/>
      <c r="B48" s="9" t="n"/>
      <c r="C48" s="10" t="inlineStr">
        <is>
          <t xml:space="preserve">   • Xi măng PCB40 thân trụ</t>
        </is>
      </c>
      <c r="D48" s="9" t="n"/>
      <c r="E48" s="9" t="n"/>
      <c r="F48" s="10" t="inlineStr">
        <is>
          <t>Xi măng PCB40 thân trụ</t>
        </is>
      </c>
      <c r="G48" s="11" t="inlineStr">
        <is>
          <t>kg</t>
        </is>
      </c>
      <c r="H48" s="13" t="n">
        <v>385</v>
      </c>
      <c r="I48" s="13">
        <f>D47*H48</f>
        <v/>
      </c>
      <c r="J48" s="10" t="inlineStr">
        <is>
          <t>TCVN 6260:2020</t>
        </is>
      </c>
    </row>
    <row r="49">
      <c r="A49" s="9" t="n"/>
      <c r="B49" s="9" t="n"/>
      <c r="C49" s="10" t="inlineStr">
        <is>
          <t xml:space="preserve">   • Cát vàng sàng rửa Mk&gt;=2.0</t>
        </is>
      </c>
      <c r="D49" s="9" t="n"/>
      <c r="E49" s="9" t="n"/>
      <c r="F49" s="10" t="inlineStr">
        <is>
          <t>Cát vàng sàng rửa Mk&gt;=2.0</t>
        </is>
      </c>
      <c r="G49" s="11" t="inlineStr">
        <is>
          <t>m3</t>
        </is>
      </c>
      <c r="H49" s="12" t="n">
        <v>0.46</v>
      </c>
      <c r="I49" s="13">
        <f>D47*H49</f>
        <v/>
      </c>
      <c r="J49" s="10" t="inlineStr">
        <is>
          <t>TCVN 7570:2006</t>
        </is>
      </c>
    </row>
    <row r="50">
      <c r="A50" s="9" t="n"/>
      <c r="B50" s="9" t="n"/>
      <c r="C50" s="10" t="inlineStr">
        <is>
          <t xml:space="preserve">   • Đá dăm 1x2 sạch</t>
        </is>
      </c>
      <c r="D50" s="9" t="n"/>
      <c r="E50" s="9" t="n"/>
      <c r="F50" s="10" t="inlineStr">
        <is>
          <t>Đá dăm 1x2 sạch</t>
        </is>
      </c>
      <c r="G50" s="11" t="inlineStr">
        <is>
          <t>m3</t>
        </is>
      </c>
      <c r="H50" s="12" t="n">
        <v>0.84</v>
      </c>
      <c r="I50" s="13">
        <f>D47*H50</f>
        <v/>
      </c>
      <c r="J50" s="10" t="inlineStr">
        <is>
          <t>TCVN 7570:2006</t>
        </is>
      </c>
    </row>
    <row r="51">
      <c r="A51" s="9" t="n"/>
      <c r="B51" s="9" t="n"/>
      <c r="C51" s="10" t="inlineStr">
        <is>
          <t xml:space="preserve">   • Nước sạch trộn bê tông</t>
        </is>
      </c>
      <c r="D51" s="9" t="n"/>
      <c r="E51" s="9" t="n"/>
      <c r="F51" s="10" t="inlineStr">
        <is>
          <t>Nước sạch trộn bê tông</t>
        </is>
      </c>
      <c r="G51" s="11" t="inlineStr">
        <is>
          <t>Lít</t>
        </is>
      </c>
      <c r="H51" s="13" t="n">
        <v>180</v>
      </c>
      <c r="I51" s="13">
        <f>D47*H51</f>
        <v/>
      </c>
      <c r="J51" s="10" t="inlineStr">
        <is>
          <t>TCVN 4506:2012</t>
        </is>
      </c>
    </row>
    <row r="52">
      <c r="A52" s="9" t="n"/>
      <c r="B52" s="9" t="n"/>
      <c r="C52" s="10" t="inlineStr">
        <is>
          <t xml:space="preserve">   • Phụ gia siêu dẻo giảm nước</t>
        </is>
      </c>
      <c r="D52" s="9" t="n"/>
      <c r="E52" s="9" t="n"/>
      <c r="F52" s="10" t="inlineStr">
        <is>
          <t>Phụ gia siêu dẻo giảm nước</t>
        </is>
      </c>
      <c r="G52" s="11" t="inlineStr">
        <is>
          <t>kg</t>
        </is>
      </c>
      <c r="H52" s="13" t="n">
        <v>3.8</v>
      </c>
      <c r="I52" s="13">
        <f>D47*H52</f>
        <v/>
      </c>
      <c r="J52" s="10" t="inlineStr">
        <is>
          <t>ASTM C494 Type F</t>
        </is>
      </c>
    </row>
    <row r="53">
      <c r="A53" s="5" t="n">
        <v>10</v>
      </c>
      <c r="B53" s="5" t="inlineStr">
        <is>
          <t>AF.13211</t>
        </is>
      </c>
      <c r="C53" s="6" t="inlineStr">
        <is>
          <t>Bê tông xà mũ trụ T1, T2 mác C35</t>
        </is>
      </c>
      <c r="D53" s="7">
        <f>QS_DIEN_GIAI_CHI_TIET!J53</f>
        <v/>
      </c>
      <c r="E53" s="5" t="inlineStr">
        <is>
          <t>m3</t>
        </is>
      </c>
      <c r="F53" s="8" t="n"/>
      <c r="G53" s="8" t="n"/>
      <c r="H53" s="8" t="n"/>
      <c r="I53" s="8" t="n"/>
      <c r="J53" s="8" t="n"/>
    </row>
    <row r="54">
      <c r="A54" s="9" t="n"/>
      <c r="B54" s="9" t="n"/>
      <c r="C54" s="10" t="inlineStr">
        <is>
          <t xml:space="preserve">   • Xi măng PCB40 xà mũ trụ</t>
        </is>
      </c>
      <c r="D54" s="9" t="n"/>
      <c r="E54" s="9" t="n"/>
      <c r="F54" s="10" t="inlineStr">
        <is>
          <t>Xi măng PCB40 xà mũ trụ</t>
        </is>
      </c>
      <c r="G54" s="11" t="inlineStr">
        <is>
          <t>kg</t>
        </is>
      </c>
      <c r="H54" s="13" t="n">
        <v>425</v>
      </c>
      <c r="I54" s="13">
        <f>D53*H54</f>
        <v/>
      </c>
      <c r="J54" s="10" t="inlineStr">
        <is>
          <t>TCVN 6260:2020</t>
        </is>
      </c>
    </row>
    <row r="55">
      <c r="A55" s="9" t="n"/>
      <c r="B55" s="9" t="n"/>
      <c r="C55" s="10" t="inlineStr">
        <is>
          <t xml:space="preserve">   • Cát vàng sàng rửa Mk&gt;=2.0</t>
        </is>
      </c>
      <c r="D55" s="9" t="n"/>
      <c r="E55" s="9" t="n"/>
      <c r="F55" s="10" t="inlineStr">
        <is>
          <t>Cát vàng sàng rửa Mk&gt;=2.0</t>
        </is>
      </c>
      <c r="G55" s="11" t="inlineStr">
        <is>
          <t>m3</t>
        </is>
      </c>
      <c r="H55" s="12" t="n">
        <v>0.45</v>
      </c>
      <c r="I55" s="13">
        <f>D53*H55</f>
        <v/>
      </c>
      <c r="J55" s="10" t="inlineStr">
        <is>
          <t>TCVN 7570:2006</t>
        </is>
      </c>
    </row>
    <row r="56">
      <c r="A56" s="9" t="n"/>
      <c r="B56" s="9" t="n"/>
      <c r="C56" s="10" t="inlineStr">
        <is>
          <t xml:space="preserve">   • Đá dăm 1x2 sạch chọn lọc</t>
        </is>
      </c>
      <c r="D56" s="9" t="n"/>
      <c r="E56" s="9" t="n"/>
      <c r="F56" s="10" t="inlineStr">
        <is>
          <t>Đá dăm 1x2 sạch chọn lọc</t>
        </is>
      </c>
      <c r="G56" s="11" t="inlineStr">
        <is>
          <t>m3</t>
        </is>
      </c>
      <c r="H56" s="12" t="n">
        <v>0.83</v>
      </c>
      <c r="I56" s="13">
        <f>D53*H56</f>
        <v/>
      </c>
      <c r="J56" s="10" t="inlineStr">
        <is>
          <t>TCVN 7570:2006</t>
        </is>
      </c>
    </row>
    <row r="57">
      <c r="A57" s="9" t="n"/>
      <c r="B57" s="9" t="n"/>
      <c r="C57" s="10" t="inlineStr">
        <is>
          <t xml:space="preserve">   • Nước sạch trộn bê tông</t>
        </is>
      </c>
      <c r="D57" s="9" t="n"/>
      <c r="E57" s="9" t="n"/>
      <c r="F57" s="10" t="inlineStr">
        <is>
          <t>Nước sạch trộn bê tông</t>
        </is>
      </c>
      <c r="G57" s="11" t="inlineStr">
        <is>
          <t>Lít</t>
        </is>
      </c>
      <c r="H57" s="13" t="n">
        <v>180</v>
      </c>
      <c r="I57" s="13">
        <f>D53*H57</f>
        <v/>
      </c>
      <c r="J57" s="10" t="inlineStr">
        <is>
          <t>TCVN 4506:2012</t>
        </is>
      </c>
    </row>
    <row r="58">
      <c r="A58" s="9" t="n"/>
      <c r="B58" s="9" t="n"/>
      <c r="C58" s="10" t="inlineStr">
        <is>
          <t xml:space="preserve">   • Phụ gia siêu dẻo giảm nước</t>
        </is>
      </c>
      <c r="D58" s="9" t="n"/>
      <c r="E58" s="9" t="n"/>
      <c r="F58" s="10" t="inlineStr">
        <is>
          <t>Phụ gia siêu dẻo giảm nước</t>
        </is>
      </c>
      <c r="G58" s="11" t="inlineStr">
        <is>
          <t>kg</t>
        </is>
      </c>
      <c r="H58" s="13" t="n">
        <v>4.5</v>
      </c>
      <c r="I58" s="13">
        <f>D53*H58</f>
        <v/>
      </c>
      <c r="J58" s="10" t="inlineStr">
        <is>
          <t>ASTM C494 Type F</t>
        </is>
      </c>
    </row>
    <row r="59">
      <c r="A59" s="5" t="n">
        <v>11</v>
      </c>
      <c r="B59" s="5" t="inlineStr">
        <is>
          <t>AF.62111</t>
        </is>
      </c>
      <c r="C59" s="6" t="inlineStr">
        <is>
          <t>Cốt thép mố và trụ (Bệ móng, Thân mố, Thân trụ, Xà mũ)</t>
        </is>
      </c>
      <c r="D59" s="7">
        <f>QS_DIEN_GIAI_CHI_TIET!J56</f>
        <v/>
      </c>
      <c r="E59" s="5" t="inlineStr">
        <is>
          <t>Tấn</t>
        </is>
      </c>
      <c r="F59" s="8" t="n"/>
      <c r="G59" s="8" t="n"/>
      <c r="H59" s="8" t="n"/>
      <c r="I59" s="8" t="n"/>
      <c r="J59" s="8" t="n"/>
    </row>
    <row r="60">
      <c r="A60" s="9" t="n"/>
      <c r="B60" s="9" t="n"/>
      <c r="C60" s="10" t="inlineStr">
        <is>
          <t xml:space="preserve">   • Thép lưới đáy bệ móng vằn Ø32 (CB500-V)</t>
        </is>
      </c>
      <c r="D60" s="9" t="n"/>
      <c r="E60" s="9" t="n"/>
      <c r="F60" s="10" t="inlineStr">
        <is>
          <t>Thép lưới đáy bệ móng vằn Ø32 (CB500-V)</t>
        </is>
      </c>
      <c r="G60" s="11" t="inlineStr">
        <is>
          <t>Tấn</t>
        </is>
      </c>
      <c r="H60" s="12" t="n">
        <v>0.365</v>
      </c>
      <c r="I60" s="13">
        <f>D59*H60</f>
        <v/>
      </c>
      <c r="J60" s="10" t="inlineStr">
        <is>
          <t>TCVN 1651:2018</t>
        </is>
      </c>
    </row>
    <row r="61">
      <c r="A61" s="9" t="n"/>
      <c r="B61" s="9" t="n"/>
      <c r="C61" s="10" t="inlineStr">
        <is>
          <t xml:space="preserve">   • Thép đứng thân trụ vằn Ø32 (CB500-V)</t>
        </is>
      </c>
      <c r="D61" s="9" t="n"/>
      <c r="E61" s="9" t="n"/>
      <c r="F61" s="10" t="inlineStr">
        <is>
          <t>Thép đứng thân trụ vằn Ø32 (CB500-V)</t>
        </is>
      </c>
      <c r="G61" s="11" t="inlineStr">
        <is>
          <t>Tấn</t>
        </is>
      </c>
      <c r="H61" s="12" t="n">
        <v>0.245</v>
      </c>
      <c r="I61" s="13">
        <f>D59*H61</f>
        <v/>
      </c>
      <c r="J61" s="10" t="inlineStr">
        <is>
          <t>TCVN 1651:2018</t>
        </is>
      </c>
    </row>
    <row r="62">
      <c r="A62" s="9" t="n"/>
      <c r="B62" s="9" t="n"/>
      <c r="C62" s="10" t="inlineStr">
        <is>
          <t xml:space="preserve">   • Thép đứng thân mố vằn Ø28 (CB500-V)</t>
        </is>
      </c>
      <c r="D62" s="9" t="n"/>
      <c r="E62" s="9" t="n"/>
      <c r="F62" s="10" t="inlineStr">
        <is>
          <t>Thép đứng thân mố vằn Ø28 (CB500-V)</t>
        </is>
      </c>
      <c r="G62" s="11" t="inlineStr">
        <is>
          <t>Tấn</t>
        </is>
      </c>
      <c r="H62" s="12" t="n">
        <v>0.145</v>
      </c>
      <c r="I62" s="13">
        <f>D59*H62</f>
        <v/>
      </c>
      <c r="J62" s="10" t="inlineStr">
        <is>
          <t>TCVN 1651:2018</t>
        </is>
      </c>
    </row>
    <row r="63">
      <c r="A63" s="9" t="n"/>
      <c r="B63" s="9" t="n"/>
      <c r="C63" s="10" t="inlineStr">
        <is>
          <t xml:space="preserve">   • Thép xà mũ chịu uốn vằn Ø28 (CB500-V)</t>
        </is>
      </c>
      <c r="D63" s="9" t="n"/>
      <c r="E63" s="9" t="n"/>
      <c r="F63" s="10" t="inlineStr">
        <is>
          <t>Thép xà mũ chịu uốn vằn Ø28 (CB500-V)</t>
        </is>
      </c>
      <c r="G63" s="11" t="inlineStr">
        <is>
          <t>Tấn</t>
        </is>
      </c>
      <c r="H63" s="12" t="n">
        <v>0.08500000000000001</v>
      </c>
      <c r="I63" s="13">
        <f>D59*H63</f>
        <v/>
      </c>
      <c r="J63" s="10" t="inlineStr">
        <is>
          <t>TCVN 1651:2018</t>
        </is>
      </c>
    </row>
    <row r="64">
      <c r="A64" s="9" t="n"/>
      <c r="B64" s="9" t="n"/>
      <c r="C64" s="10" t="inlineStr">
        <is>
          <t xml:space="preserve">   • Thép phân bố bệ móng vằn Ø20 (CB500-V)</t>
        </is>
      </c>
      <c r="D64" s="9" t="n"/>
      <c r="E64" s="9" t="n"/>
      <c r="F64" s="10" t="inlineStr">
        <is>
          <t>Thép phân bố bệ móng vằn Ø20 (CB500-V)</t>
        </is>
      </c>
      <c r="G64" s="11" t="inlineStr">
        <is>
          <t>Tấn</t>
        </is>
      </c>
      <c r="H64" s="12" t="n">
        <v>0.1</v>
      </c>
      <c r="I64" s="13">
        <f>D59*H64</f>
        <v/>
      </c>
      <c r="J64" s="10" t="inlineStr">
        <is>
          <t>TCVN 1651:2018</t>
        </is>
      </c>
    </row>
    <row r="65">
      <c r="A65" s="9" t="n"/>
      <c r="B65" s="9" t="n"/>
      <c r="C65" s="10" t="inlineStr">
        <is>
          <t xml:space="preserve">   • Thép đai mố trụ vằn Ø16 (CB400-V)</t>
        </is>
      </c>
      <c r="D65" s="9" t="n"/>
      <c r="E65" s="9" t="n"/>
      <c r="F65" s="10" t="inlineStr">
        <is>
          <t>Thép đai mố trụ vằn Ø16 (CB400-V)</t>
        </is>
      </c>
      <c r="G65" s="11" t="inlineStr">
        <is>
          <t>Tấn</t>
        </is>
      </c>
      <c r="H65" s="12" t="n">
        <v>0.04</v>
      </c>
      <c r="I65" s="13">
        <f>D59*H65</f>
        <v/>
      </c>
      <c r="J65" s="10" t="inlineStr">
        <is>
          <t>TCVN 1651:2018</t>
        </is>
      </c>
    </row>
    <row r="66">
      <c r="A66" s="9" t="n"/>
      <c r="B66" s="9" t="n"/>
      <c r="C66" s="10" t="inlineStr">
        <is>
          <t xml:space="preserve">   • Thép đai cấu tạo tròn trơn Ø10 (CB240-T)</t>
        </is>
      </c>
      <c r="D66" s="9" t="n"/>
      <c r="E66" s="9" t="n"/>
      <c r="F66" s="10" t="inlineStr">
        <is>
          <t>Thép đai cấu tạo tròn trơn Ø10 (CB240-T)</t>
        </is>
      </c>
      <c r="G66" s="11" t="inlineStr">
        <is>
          <t>Tấn</t>
        </is>
      </c>
      <c r="H66" s="12" t="n">
        <v>0.02</v>
      </c>
      <c r="I66" s="13">
        <f>D59*H66</f>
        <v/>
      </c>
      <c r="J66" s="10" t="inlineStr">
        <is>
          <t>TCVN 1651:2018</t>
        </is>
      </c>
    </row>
    <row r="67">
      <c r="A67" s="9" t="n"/>
      <c r="B67" s="9" t="n"/>
      <c r="C67" s="10" t="inlineStr">
        <is>
          <t xml:space="preserve">   • Dây thép buộc 1 ly</t>
        </is>
      </c>
      <c r="D67" s="9" t="n"/>
      <c r="E67" s="9" t="n"/>
      <c r="F67" s="10" t="inlineStr">
        <is>
          <t>Dây thép buộc 1 ly</t>
        </is>
      </c>
      <c r="G67" s="11" t="inlineStr">
        <is>
          <t>kg</t>
        </is>
      </c>
      <c r="H67" s="13" t="n">
        <v>15</v>
      </c>
      <c r="I67" s="13">
        <f>D59*H67</f>
        <v/>
      </c>
      <c r="J67" s="10" t="inlineStr">
        <is>
          <t>TCVN 1651:2018</t>
        </is>
      </c>
    </row>
    <row r="68">
      <c r="A68" s="9" t="n"/>
      <c r="B68" s="9" t="n"/>
      <c r="C68" s="10" t="inlineStr">
        <is>
          <t xml:space="preserve">   • Que hàn điện E42/E50</t>
        </is>
      </c>
      <c r="D68" s="9" t="n"/>
      <c r="E68" s="9" t="n"/>
      <c r="F68" s="10" t="inlineStr">
        <is>
          <t>Que hàn điện E42/E50</t>
        </is>
      </c>
      <c r="G68" s="11" t="inlineStr">
        <is>
          <t>kg</t>
        </is>
      </c>
      <c r="H68" s="13" t="n">
        <v>8</v>
      </c>
      <c r="I68" s="13">
        <f>D59*H68</f>
        <v/>
      </c>
      <c r="J68" s="10" t="inlineStr">
        <is>
          <t>TCVN 3223:2000</t>
        </is>
      </c>
    </row>
    <row r="69">
      <c r="A69" s="5" t="n">
        <v>12</v>
      </c>
      <c r="B69" s="5" t="inlineStr">
        <is>
          <t>AF.31111</t>
        </is>
      </c>
      <c r="C69" s="6" t="inlineStr">
        <is>
          <t>Bê tông dầm chủ Super-T L=38.2m mác C45 (15 phiến)</t>
        </is>
      </c>
      <c r="D69" s="7">
        <f>QS_DIEN_GIAI_CHI_TIET!J62</f>
        <v/>
      </c>
      <c r="E69" s="5" t="inlineStr">
        <is>
          <t>m3</t>
        </is>
      </c>
      <c r="F69" s="8" t="n"/>
      <c r="G69" s="8" t="n"/>
      <c r="H69" s="8" t="n"/>
      <c r="I69" s="8" t="n"/>
      <c r="J69" s="8" t="n"/>
    </row>
    <row r="70">
      <c r="A70" s="9" t="n"/>
      <c r="B70" s="9" t="n"/>
      <c r="C70" s="10" t="inlineStr">
        <is>
          <t xml:space="preserve">   • Xi măng PCB40 dầm Super-T</t>
        </is>
      </c>
      <c r="D70" s="9" t="n"/>
      <c r="E70" s="9" t="n"/>
      <c r="F70" s="10" t="inlineStr">
        <is>
          <t>Xi măng PCB40 dầm Super-T</t>
        </is>
      </c>
      <c r="G70" s="11" t="inlineStr">
        <is>
          <t>kg</t>
        </is>
      </c>
      <c r="H70" s="13" t="n">
        <v>485</v>
      </c>
      <c r="I70" s="13">
        <f>D69*H70</f>
        <v/>
      </c>
      <c r="J70" s="10" t="inlineStr">
        <is>
          <t>TCVN 6260:2020</t>
        </is>
      </c>
    </row>
    <row r="71">
      <c r="A71" s="9" t="n"/>
      <c r="B71" s="9" t="n"/>
      <c r="C71" s="10" t="inlineStr">
        <is>
          <t xml:space="preserve">   • Cát vàng chọn lọc thô Mk&gt;=2.6</t>
        </is>
      </c>
      <c r="D71" s="9" t="n"/>
      <c r="E71" s="9" t="n"/>
      <c r="F71" s="10" t="inlineStr">
        <is>
          <t>Cát vàng chọn lọc thô Mk&gt;=2.6</t>
        </is>
      </c>
      <c r="G71" s="11" t="inlineStr">
        <is>
          <t>m3</t>
        </is>
      </c>
      <c r="H71" s="12" t="n">
        <v>0.44</v>
      </c>
      <c r="I71" s="13">
        <f>D69*H71</f>
        <v/>
      </c>
      <c r="J71" s="10" t="inlineStr">
        <is>
          <t>TCVN 7570:2006</t>
        </is>
      </c>
    </row>
    <row r="72">
      <c r="A72" s="9" t="n"/>
      <c r="B72" s="9" t="n"/>
      <c r="C72" s="10" t="inlineStr">
        <is>
          <t xml:space="preserve">   • Đá dăm 1x2 nghiền rửa chọn lọc</t>
        </is>
      </c>
      <c r="D72" s="9" t="n"/>
      <c r="E72" s="9" t="n"/>
      <c r="F72" s="10" t="inlineStr">
        <is>
          <t>Đá dăm 1x2 nghiền rửa chọn lọc</t>
        </is>
      </c>
      <c r="G72" s="11" t="inlineStr">
        <is>
          <t>m3</t>
        </is>
      </c>
      <c r="H72" s="12" t="n">
        <v>0.83</v>
      </c>
      <c r="I72" s="13">
        <f>D69*H72</f>
        <v/>
      </c>
      <c r="J72" s="10" t="inlineStr">
        <is>
          <t>TCVN 7570:2006</t>
        </is>
      </c>
    </row>
    <row r="73">
      <c r="A73" s="9" t="n"/>
      <c r="B73" s="9" t="n"/>
      <c r="C73" s="10" t="inlineStr">
        <is>
          <t xml:space="preserve">   • Nước sạch trộn bê tông</t>
        </is>
      </c>
      <c r="D73" s="9" t="n"/>
      <c r="E73" s="9" t="n"/>
      <c r="F73" s="10" t="inlineStr">
        <is>
          <t>Nước sạch trộn bê tông</t>
        </is>
      </c>
      <c r="G73" s="11" t="inlineStr">
        <is>
          <t>Lít</t>
        </is>
      </c>
      <c r="H73" s="13" t="n">
        <v>165</v>
      </c>
      <c r="I73" s="13">
        <f>D69*H73</f>
        <v/>
      </c>
      <c r="J73" s="10" t="inlineStr">
        <is>
          <t>TCVN 4506:2012</t>
        </is>
      </c>
    </row>
    <row r="74">
      <c r="A74" s="9" t="n"/>
      <c r="B74" s="9" t="n"/>
      <c r="C74" s="10" t="inlineStr">
        <is>
          <t xml:space="preserve">   • Phụ gia siêu dẻo Polycarboxylate thế hệ 3</t>
        </is>
      </c>
      <c r="D74" s="9" t="n"/>
      <c r="E74" s="9" t="n"/>
      <c r="F74" s="10" t="inlineStr">
        <is>
          <t>Phụ gia siêu dẻo Polycarboxylate thế hệ 3</t>
        </is>
      </c>
      <c r="G74" s="11" t="inlineStr">
        <is>
          <t>kg</t>
        </is>
      </c>
      <c r="H74" s="13" t="n">
        <v>6.8</v>
      </c>
      <c r="I74" s="13">
        <f>D69*H74</f>
        <v/>
      </c>
      <c r="J74" s="10" t="inlineStr">
        <is>
          <t>ASTM C494 Type F/G</t>
        </is>
      </c>
    </row>
    <row r="75">
      <c r="A75" s="5" t="n">
        <v>13</v>
      </c>
      <c r="B75" s="5" t="inlineStr">
        <is>
          <t>AF.63111</t>
        </is>
      </c>
      <c r="C75" s="6" t="inlineStr">
        <is>
          <t>Cáp dự ứng lực tao xoắn 15.2mm Grade 270 dầm Super-T</t>
        </is>
      </c>
      <c r="D75" s="7">
        <f>QS_DIEN_GIAI_CHI_TIET!J64</f>
        <v/>
      </c>
      <c r="E75" s="5" t="inlineStr">
        <is>
          <t>Tấn</t>
        </is>
      </c>
      <c r="F75" s="8" t="n"/>
      <c r="G75" s="8" t="n"/>
      <c r="H75" s="8" t="n"/>
      <c r="I75" s="8" t="n"/>
      <c r="J75" s="8" t="n"/>
    </row>
    <row r="76">
      <c r="A76" s="9" t="n"/>
      <c r="B76" s="9" t="n"/>
      <c r="C76" s="10" t="inlineStr">
        <is>
          <t xml:space="preserve">   • Cáp dự ứng lực tao 15.2mm Gr270</t>
        </is>
      </c>
      <c r="D76" s="9" t="n"/>
      <c r="E76" s="9" t="n"/>
      <c r="F76" s="10" t="inlineStr">
        <is>
          <t>Cáp dự ứng lực tao 15.2mm Gr270</t>
        </is>
      </c>
      <c r="G76" s="11" t="inlineStr">
        <is>
          <t>Tấn</t>
        </is>
      </c>
      <c r="H76" s="13" t="n">
        <v>1</v>
      </c>
      <c r="I76" s="13">
        <f>D75*H76</f>
        <v/>
      </c>
      <c r="J76" s="10" t="inlineStr">
        <is>
          <t>ASTM A416 / TCVN 11823</t>
        </is>
      </c>
    </row>
    <row r="77">
      <c r="A77" s="9" t="n"/>
      <c r="B77" s="9" t="n"/>
      <c r="C77" s="10" t="inlineStr">
        <is>
          <t xml:space="preserve">   • Bộ neo chùm dự ứng lực (12 bộ/phiến dầm)</t>
        </is>
      </c>
      <c r="D77" s="9" t="n"/>
      <c r="E77" s="9" t="n"/>
      <c r="F77" s="10" t="inlineStr">
        <is>
          <t>Bộ neo chùm dự ứng lực (12 bộ/phiến dầm)</t>
        </is>
      </c>
      <c r="G77" s="11" t="inlineStr">
        <is>
          <t>Bộ</t>
        </is>
      </c>
      <c r="H77" s="13" t="n">
        <v>3.75</v>
      </c>
      <c r="I77" s="13">
        <f>D75*H77</f>
        <v/>
      </c>
      <c r="J77" s="10" t="inlineStr">
        <is>
          <t>TCVN 11823:2017</t>
        </is>
      </c>
    </row>
    <row r="78">
      <c r="A78" s="9" t="n"/>
      <c r="B78" s="9" t="n"/>
      <c r="C78" s="10" t="inlineStr">
        <is>
          <t xml:space="preserve">   • Ống ghen tôn mạ kẽm luồn cáp DƯL</t>
        </is>
      </c>
      <c r="D78" s="9" t="n"/>
      <c r="E78" s="9" t="n"/>
      <c r="F78" s="10" t="inlineStr">
        <is>
          <t>Ống ghen tôn mạ kẽm luồn cáp DƯL</t>
        </is>
      </c>
      <c r="G78" s="11" t="inlineStr">
        <is>
          <t>m</t>
        </is>
      </c>
      <c r="H78" s="13" t="n">
        <v>36</v>
      </c>
      <c r="I78" s="13">
        <f>D75*H78</f>
        <v/>
      </c>
      <c r="J78" s="10" t="inlineStr">
        <is>
          <t>TCVN 11823:2017</t>
        </is>
      </c>
    </row>
    <row r="79">
      <c r="A79" s="9" t="n"/>
      <c r="B79" s="9" t="n"/>
      <c r="C79" s="10" t="inlineStr">
        <is>
          <t xml:space="preserve">   • Vữa không co ngót bơm lấp ống ghen SikaGrout</t>
        </is>
      </c>
      <c r="D79" s="9" t="n"/>
      <c r="E79" s="9" t="n"/>
      <c r="F79" s="10" t="inlineStr">
        <is>
          <t>Vữa không co ngót bơm lấp ống ghen SikaGrout</t>
        </is>
      </c>
      <c r="G79" s="11" t="inlineStr">
        <is>
          <t>kg</t>
        </is>
      </c>
      <c r="H79" s="13" t="n">
        <v>380</v>
      </c>
      <c r="I79" s="13">
        <f>D75*H79</f>
        <v/>
      </c>
      <c r="J79" s="10" t="inlineStr">
        <is>
          <t>ASTM C1107</t>
        </is>
      </c>
    </row>
    <row r="80">
      <c r="A80" s="5" t="n">
        <v>14</v>
      </c>
      <c r="B80" s="5" t="inlineStr">
        <is>
          <t>AF.64111</t>
        </is>
      </c>
      <c r="C80" s="6" t="inlineStr">
        <is>
          <t>Cốt thép thường dầm chủ Super-T (Thép sườn, cánh)</t>
        </is>
      </c>
      <c r="D80" s="7">
        <f>QS_DIEN_GIAI_CHI_TIET!J66</f>
        <v/>
      </c>
      <c r="E80" s="5" t="inlineStr">
        <is>
          <t>Tấn</t>
        </is>
      </c>
      <c r="F80" s="8" t="n"/>
      <c r="G80" s="8" t="n"/>
      <c r="H80" s="8" t="n"/>
      <c r="I80" s="8" t="n"/>
      <c r="J80" s="8" t="n"/>
    </row>
    <row r="81">
      <c r="A81" s="9" t="n"/>
      <c r="B81" s="9" t="n"/>
      <c r="C81" s="10" t="inlineStr">
        <is>
          <t xml:space="preserve">   • Thép sườn dầm Super-T vằn Ø16 (CB400-V)</t>
        </is>
      </c>
      <c r="D81" s="9" t="n"/>
      <c r="E81" s="9" t="n"/>
      <c r="F81" s="10" t="inlineStr">
        <is>
          <t>Thép sườn dầm Super-T vằn Ø16 (CB400-V)</t>
        </is>
      </c>
      <c r="G81" s="11" t="inlineStr">
        <is>
          <t>Tấn</t>
        </is>
      </c>
      <c r="H81" s="12" t="n">
        <v>0.55</v>
      </c>
      <c r="I81" s="13">
        <f>D80*H81</f>
        <v/>
      </c>
      <c r="J81" s="10" t="inlineStr">
        <is>
          <t>TCVN 1651:2018</t>
        </is>
      </c>
    </row>
    <row r="82">
      <c r="A82" s="9" t="n"/>
      <c r="B82" s="9" t="n"/>
      <c r="C82" s="10" t="inlineStr">
        <is>
          <t xml:space="preserve">   • Thép bản cánh dầm Super-T vằn Ø14 (CB400-V)</t>
        </is>
      </c>
      <c r="D82" s="9" t="n"/>
      <c r="E82" s="9" t="n"/>
      <c r="F82" s="10" t="inlineStr">
        <is>
          <t>Thép bản cánh dầm Super-T vằn Ø14 (CB400-V)</t>
        </is>
      </c>
      <c r="G82" s="11" t="inlineStr">
        <is>
          <t>Tấn</t>
        </is>
      </c>
      <c r="H82" s="12" t="n">
        <v>0.35</v>
      </c>
      <c r="I82" s="13">
        <f>D80*H82</f>
        <v/>
      </c>
      <c r="J82" s="10" t="inlineStr">
        <is>
          <t>TCVN 1651:2018</t>
        </is>
      </c>
    </row>
    <row r="83">
      <c r="A83" s="9" t="n"/>
      <c r="B83" s="9" t="n"/>
      <c r="C83" s="10" t="inlineStr">
        <is>
          <t xml:space="preserve">   • Thép đai và móc cẩu dầm tròn trơn Ø10 (CB240-T)</t>
        </is>
      </c>
      <c r="D83" s="9" t="n"/>
      <c r="E83" s="9" t="n"/>
      <c r="F83" s="10" t="inlineStr">
        <is>
          <t>Thép đai và móc cẩu dầm tròn trơn Ø10 (CB240-T)</t>
        </is>
      </c>
      <c r="G83" s="11" t="inlineStr">
        <is>
          <t>Tấn</t>
        </is>
      </c>
      <c r="H83" s="12" t="n">
        <v>0.1</v>
      </c>
      <c r="I83" s="13">
        <f>D80*H83</f>
        <v/>
      </c>
      <c r="J83" s="10" t="inlineStr">
        <is>
          <t>TCVN 1651:2018</t>
        </is>
      </c>
    </row>
    <row r="84">
      <c r="A84" s="9" t="n"/>
      <c r="B84" s="9" t="n"/>
      <c r="C84" s="10" t="inlineStr">
        <is>
          <t xml:space="preserve">   • Dây thép buộc 1 ly</t>
        </is>
      </c>
      <c r="D84" s="9" t="n"/>
      <c r="E84" s="9" t="n"/>
      <c r="F84" s="10" t="inlineStr">
        <is>
          <t>Dây thép buộc 1 ly</t>
        </is>
      </c>
      <c r="G84" s="11" t="inlineStr">
        <is>
          <t>kg</t>
        </is>
      </c>
      <c r="H84" s="13" t="n">
        <v>15</v>
      </c>
      <c r="I84" s="13">
        <f>D80*H84</f>
        <v/>
      </c>
      <c r="J84" s="10" t="inlineStr">
        <is>
          <t>TCVN 1651:2018</t>
        </is>
      </c>
    </row>
    <row r="85">
      <c r="A85" s="5" t="n">
        <v>15</v>
      </c>
      <c r="B85" s="5" t="inlineStr">
        <is>
          <t>AF.32111</t>
        </is>
      </c>
      <c r="C85" s="6" t="inlineStr">
        <is>
          <t>Gối chậu cao su di động đơn hướng &amp; cố định</t>
        </is>
      </c>
      <c r="D85" s="7">
        <f>QS_DIEN_GIAI_CHI_TIET!J70</f>
        <v/>
      </c>
      <c r="E85" s="5" t="inlineStr">
        <is>
          <t>Cái</t>
        </is>
      </c>
      <c r="F85" s="8" t="n"/>
      <c r="G85" s="8" t="n"/>
      <c r="H85" s="8" t="n"/>
      <c r="I85" s="8" t="n"/>
      <c r="J85" s="8" t="n"/>
    </row>
    <row r="86">
      <c r="A86" s="9" t="n"/>
      <c r="B86" s="9" t="n"/>
      <c r="C86" s="10" t="inlineStr">
        <is>
          <t xml:space="preserve">   • Gối chậu cao su cốt bản thép chịu lực</t>
        </is>
      </c>
      <c r="D86" s="9" t="n"/>
      <c r="E86" s="9" t="n"/>
      <c r="F86" s="10" t="inlineStr">
        <is>
          <t>Gối chậu cao su cốt bản thép chịu lực</t>
        </is>
      </c>
      <c r="G86" s="11" t="inlineStr">
        <is>
          <t>Cái</t>
        </is>
      </c>
      <c r="H86" s="13" t="n">
        <v>1</v>
      </c>
      <c r="I86" s="13">
        <f>D85*H86</f>
        <v/>
      </c>
      <c r="J86" s="10" t="inlineStr">
        <is>
          <t>TCVN 11823:2017 / AASHTO</t>
        </is>
      </c>
    </row>
    <row r="87">
      <c r="A87" s="5" t="n">
        <v>16</v>
      </c>
      <c r="B87" s="5" t="inlineStr">
        <is>
          <t>AF.33111</t>
        </is>
      </c>
      <c r="C87" s="6" t="inlineStr">
        <is>
          <t>Bê tông dầm ngang mố và trụ mác C35</t>
        </is>
      </c>
      <c r="D87" s="7">
        <f>QS_DIEN_GIAI_CHI_TIET!J73</f>
        <v/>
      </c>
      <c r="E87" s="5" t="inlineStr">
        <is>
          <t>m3</t>
        </is>
      </c>
      <c r="F87" s="8" t="n"/>
      <c r="G87" s="8" t="n"/>
      <c r="H87" s="8" t="n"/>
      <c r="I87" s="8" t="n"/>
      <c r="J87" s="8" t="n"/>
    </row>
    <row r="88">
      <c r="A88" s="9" t="n"/>
      <c r="B88" s="9" t="n"/>
      <c r="C88" s="10" t="inlineStr">
        <is>
          <t xml:space="preserve">   • Xi măng PCB40 dầm ngang</t>
        </is>
      </c>
      <c r="D88" s="9" t="n"/>
      <c r="E88" s="9" t="n"/>
      <c r="F88" s="10" t="inlineStr">
        <is>
          <t>Xi măng PCB40 dầm ngang</t>
        </is>
      </c>
      <c r="G88" s="11" t="inlineStr">
        <is>
          <t>kg</t>
        </is>
      </c>
      <c r="H88" s="13" t="n">
        <v>420</v>
      </c>
      <c r="I88" s="13">
        <f>D87*H88</f>
        <v/>
      </c>
      <c r="J88" s="10" t="inlineStr">
        <is>
          <t>TCVN 6260:2020</t>
        </is>
      </c>
    </row>
    <row r="89">
      <c r="A89" s="9" t="n"/>
      <c r="B89" s="9" t="n"/>
      <c r="C89" s="10" t="inlineStr">
        <is>
          <t xml:space="preserve">   • Cát vàng sàng rửa Mk&gt;=2.0</t>
        </is>
      </c>
      <c r="D89" s="9" t="n"/>
      <c r="E89" s="9" t="n"/>
      <c r="F89" s="10" t="inlineStr">
        <is>
          <t>Cát vàng sàng rửa Mk&gt;=2.0</t>
        </is>
      </c>
      <c r="G89" s="11" t="inlineStr">
        <is>
          <t>m3</t>
        </is>
      </c>
      <c r="H89" s="12" t="n">
        <v>0.45</v>
      </c>
      <c r="I89" s="13">
        <f>D87*H89</f>
        <v/>
      </c>
      <c r="J89" s="10" t="inlineStr">
        <is>
          <t>TCVN 7570:2006</t>
        </is>
      </c>
    </row>
    <row r="90">
      <c r="A90" s="9" t="n"/>
      <c r="B90" s="9" t="n"/>
      <c r="C90" s="10" t="inlineStr">
        <is>
          <t xml:space="preserve">   • Đá dăm 1x2 sạch</t>
        </is>
      </c>
      <c r="D90" s="9" t="n"/>
      <c r="E90" s="9" t="n"/>
      <c r="F90" s="10" t="inlineStr">
        <is>
          <t>Đá dăm 1x2 sạch</t>
        </is>
      </c>
      <c r="G90" s="11" t="inlineStr">
        <is>
          <t>m3</t>
        </is>
      </c>
      <c r="H90" s="12" t="n">
        <v>0.83</v>
      </c>
      <c r="I90" s="13">
        <f>D87*H90</f>
        <v/>
      </c>
      <c r="J90" s="10" t="inlineStr">
        <is>
          <t>TCVN 7570:2006</t>
        </is>
      </c>
    </row>
    <row r="91">
      <c r="A91" s="9" t="n"/>
      <c r="B91" s="9" t="n"/>
      <c r="C91" s="10" t="inlineStr">
        <is>
          <t xml:space="preserve">   • Nước sạch trộn bê tông</t>
        </is>
      </c>
      <c r="D91" s="9" t="n"/>
      <c r="E91" s="9" t="n"/>
      <c r="F91" s="10" t="inlineStr">
        <is>
          <t>Nước sạch trộn bê tông</t>
        </is>
      </c>
      <c r="G91" s="11" t="inlineStr">
        <is>
          <t>Lít</t>
        </is>
      </c>
      <c r="H91" s="13" t="n">
        <v>180</v>
      </c>
      <c r="I91" s="13">
        <f>D87*H91</f>
        <v/>
      </c>
      <c r="J91" s="10" t="inlineStr">
        <is>
          <t>TCVN 4506:2012</t>
        </is>
      </c>
    </row>
    <row r="92">
      <c r="A92" s="9" t="n"/>
      <c r="B92" s="9" t="n"/>
      <c r="C92" s="10" t="inlineStr">
        <is>
          <t xml:space="preserve">   • Phụ gia siêu dẻo giảm nước</t>
        </is>
      </c>
      <c r="D92" s="9" t="n"/>
      <c r="E92" s="9" t="n"/>
      <c r="F92" s="10" t="inlineStr">
        <is>
          <t>Phụ gia siêu dẻo giảm nước</t>
        </is>
      </c>
      <c r="G92" s="11" t="inlineStr">
        <is>
          <t>kg</t>
        </is>
      </c>
      <c r="H92" s="13" t="n">
        <v>4.5</v>
      </c>
      <c r="I92" s="13">
        <f>D87*H92</f>
        <v/>
      </c>
      <c r="J92" s="10" t="inlineStr">
        <is>
          <t>ASTM C494 Type F</t>
        </is>
      </c>
    </row>
    <row r="93">
      <c r="A93" s="5" t="n">
        <v>17</v>
      </c>
      <c r="B93" s="5" t="inlineStr">
        <is>
          <t>AF.35111</t>
        </is>
      </c>
      <c r="C93" s="6" t="inlineStr">
        <is>
          <t>Bê tông bản mặt cầu đổ tại chỗ dày 20cm mác C35</t>
        </is>
      </c>
      <c r="D93" s="7">
        <f>QS_DIEN_GIAI_CHI_TIET!J77</f>
        <v/>
      </c>
      <c r="E93" s="5" t="inlineStr">
        <is>
          <t>m3</t>
        </is>
      </c>
      <c r="F93" s="8" t="n"/>
      <c r="G93" s="8" t="n"/>
      <c r="H93" s="8" t="n"/>
      <c r="I93" s="8" t="n"/>
      <c r="J93" s="8" t="n"/>
    </row>
    <row r="94">
      <c r="A94" s="9" t="n"/>
      <c r="B94" s="9" t="n"/>
      <c r="C94" s="10" t="inlineStr">
        <is>
          <t xml:space="preserve">   • Xi măng PCB40 bản mặt cầu</t>
        </is>
      </c>
      <c r="D94" s="9" t="n"/>
      <c r="E94" s="9" t="n"/>
      <c r="F94" s="10" t="inlineStr">
        <is>
          <t>Xi măng PCB40 bản mặt cầu</t>
        </is>
      </c>
      <c r="G94" s="11" t="inlineStr">
        <is>
          <t>kg</t>
        </is>
      </c>
      <c r="H94" s="13" t="n">
        <v>420</v>
      </c>
      <c r="I94" s="13">
        <f>D93*H94</f>
        <v/>
      </c>
      <c r="J94" s="10" t="inlineStr">
        <is>
          <t>TCVN 6260:2020</t>
        </is>
      </c>
    </row>
    <row r="95">
      <c r="A95" s="9" t="n"/>
      <c r="B95" s="9" t="n"/>
      <c r="C95" s="10" t="inlineStr">
        <is>
          <t xml:space="preserve">   • Cát vàng sàng rửa Mk&gt;=2.0</t>
        </is>
      </c>
      <c r="D95" s="9" t="n"/>
      <c r="E95" s="9" t="n"/>
      <c r="F95" s="10" t="inlineStr">
        <is>
          <t>Cát vàng sàng rửa Mk&gt;=2.0</t>
        </is>
      </c>
      <c r="G95" s="11" t="inlineStr">
        <is>
          <t>m3</t>
        </is>
      </c>
      <c r="H95" s="12" t="n">
        <v>0.45</v>
      </c>
      <c r="I95" s="13">
        <f>D93*H95</f>
        <v/>
      </c>
      <c r="J95" s="10" t="inlineStr">
        <is>
          <t>TCVN 7570:2006</t>
        </is>
      </c>
    </row>
    <row r="96">
      <c r="A96" s="9" t="n"/>
      <c r="B96" s="9" t="n"/>
      <c r="C96" s="10" t="inlineStr">
        <is>
          <t xml:space="preserve">   • Đá dăm 1x2 sạch</t>
        </is>
      </c>
      <c r="D96" s="9" t="n"/>
      <c r="E96" s="9" t="n"/>
      <c r="F96" s="10" t="inlineStr">
        <is>
          <t>Đá dăm 1x2 sạch</t>
        </is>
      </c>
      <c r="G96" s="11" t="inlineStr">
        <is>
          <t>m3</t>
        </is>
      </c>
      <c r="H96" s="12" t="n">
        <v>0.83</v>
      </c>
      <c r="I96" s="13">
        <f>D93*H96</f>
        <v/>
      </c>
      <c r="J96" s="10" t="inlineStr">
        <is>
          <t>TCVN 7570:2006</t>
        </is>
      </c>
    </row>
    <row r="97">
      <c r="A97" s="9" t="n"/>
      <c r="B97" s="9" t="n"/>
      <c r="C97" s="10" t="inlineStr">
        <is>
          <t xml:space="preserve">   • Nước sạch trộn bê tông</t>
        </is>
      </c>
      <c r="D97" s="9" t="n"/>
      <c r="E97" s="9" t="n"/>
      <c r="F97" s="10" t="inlineStr">
        <is>
          <t>Nước sạch trộn bê tông</t>
        </is>
      </c>
      <c r="G97" s="11" t="inlineStr">
        <is>
          <t>Lít</t>
        </is>
      </c>
      <c r="H97" s="13" t="n">
        <v>180</v>
      </c>
      <c r="I97" s="13">
        <f>D93*H97</f>
        <v/>
      </c>
      <c r="J97" s="10" t="inlineStr">
        <is>
          <t>TCVN 4506:2012</t>
        </is>
      </c>
    </row>
    <row r="98">
      <c r="A98" s="9" t="n"/>
      <c r="B98" s="9" t="n"/>
      <c r="C98" s="10" t="inlineStr">
        <is>
          <t xml:space="preserve">   • Phụ gia siêu dẻo giảm nước</t>
        </is>
      </c>
      <c r="D98" s="9" t="n"/>
      <c r="E98" s="9" t="n"/>
      <c r="F98" s="10" t="inlineStr">
        <is>
          <t>Phụ gia siêu dẻo giảm nước</t>
        </is>
      </c>
      <c r="G98" s="11" t="inlineStr">
        <is>
          <t>kg</t>
        </is>
      </c>
      <c r="H98" s="13" t="n">
        <v>4.5</v>
      </c>
      <c r="I98" s="13">
        <f>D93*H98</f>
        <v/>
      </c>
      <c r="J98" s="10" t="inlineStr">
        <is>
          <t>ASTM C494 Type F</t>
        </is>
      </c>
    </row>
    <row r="99">
      <c r="A99" s="5" t="n">
        <v>18</v>
      </c>
      <c r="B99" s="5" t="inlineStr">
        <is>
          <t>AF.36111</t>
        </is>
      </c>
      <c r="C99" s="6" t="inlineStr">
        <is>
          <t>Bê tông mối nối liên tục nhiệt đỉnh trụ T1, T2 mác C35</t>
        </is>
      </c>
      <c r="D99" s="7">
        <f>QS_DIEN_GIAI_CHI_TIET!J79</f>
        <v/>
      </c>
      <c r="E99" s="5" t="inlineStr">
        <is>
          <t>m3</t>
        </is>
      </c>
      <c r="F99" s="8" t="n"/>
      <c r="G99" s="8" t="n"/>
      <c r="H99" s="8" t="n"/>
      <c r="I99" s="8" t="n"/>
      <c r="J99" s="8" t="n"/>
    </row>
    <row r="100">
      <c r="A100" s="9" t="n"/>
      <c r="B100" s="9" t="n"/>
      <c r="C100" s="10" t="inlineStr">
        <is>
          <t xml:space="preserve">   • Xi măng PCB40 liên tục nhiệt</t>
        </is>
      </c>
      <c r="D100" s="9" t="n"/>
      <c r="E100" s="9" t="n"/>
      <c r="F100" s="10" t="inlineStr">
        <is>
          <t>Xi măng PCB40 liên tục nhiệt</t>
        </is>
      </c>
      <c r="G100" s="11" t="inlineStr">
        <is>
          <t>kg</t>
        </is>
      </c>
      <c r="H100" s="13" t="n">
        <v>420</v>
      </c>
      <c r="I100" s="13">
        <f>D99*H100</f>
        <v/>
      </c>
      <c r="J100" s="10" t="inlineStr">
        <is>
          <t>TCVN 6260:2020</t>
        </is>
      </c>
    </row>
    <row r="101">
      <c r="A101" s="9" t="n"/>
      <c r="B101" s="9" t="n"/>
      <c r="C101" s="10" t="inlineStr">
        <is>
          <t xml:space="preserve">   • Cát vàng sàng rửa Mk&gt;=2.0</t>
        </is>
      </c>
      <c r="D101" s="9" t="n"/>
      <c r="E101" s="9" t="n"/>
      <c r="F101" s="10" t="inlineStr">
        <is>
          <t>Cát vàng sàng rửa Mk&gt;=2.0</t>
        </is>
      </c>
      <c r="G101" s="11" t="inlineStr">
        <is>
          <t>m3</t>
        </is>
      </c>
      <c r="H101" s="12" t="n">
        <v>0.45</v>
      </c>
      <c r="I101" s="13">
        <f>D99*H101</f>
        <v/>
      </c>
      <c r="J101" s="10" t="inlineStr">
        <is>
          <t>TCVN 7570:2006</t>
        </is>
      </c>
    </row>
    <row r="102">
      <c r="A102" s="9" t="n"/>
      <c r="B102" s="9" t="n"/>
      <c r="C102" s="10" t="inlineStr">
        <is>
          <t xml:space="preserve">   • Đá dăm 1x2 sạch</t>
        </is>
      </c>
      <c r="D102" s="9" t="n"/>
      <c r="E102" s="9" t="n"/>
      <c r="F102" s="10" t="inlineStr">
        <is>
          <t>Đá dăm 1x2 sạch</t>
        </is>
      </c>
      <c r="G102" s="11" t="inlineStr">
        <is>
          <t>m3</t>
        </is>
      </c>
      <c r="H102" s="12" t="n">
        <v>0.83</v>
      </c>
      <c r="I102" s="13">
        <f>D99*H102</f>
        <v/>
      </c>
      <c r="J102" s="10" t="inlineStr">
        <is>
          <t>TCVN 7570:2006</t>
        </is>
      </c>
    </row>
    <row r="103">
      <c r="A103" s="9" t="n"/>
      <c r="B103" s="9" t="n"/>
      <c r="C103" s="10" t="inlineStr">
        <is>
          <t xml:space="preserve">   • Nước sạch trộn bê tông</t>
        </is>
      </c>
      <c r="D103" s="9" t="n"/>
      <c r="E103" s="9" t="n"/>
      <c r="F103" s="10" t="inlineStr">
        <is>
          <t>Nước sạch trộn bê tông</t>
        </is>
      </c>
      <c r="G103" s="11" t="inlineStr">
        <is>
          <t>Lít</t>
        </is>
      </c>
      <c r="H103" s="13" t="n">
        <v>180</v>
      </c>
      <c r="I103" s="13">
        <f>D99*H103</f>
        <v/>
      </c>
      <c r="J103" s="10" t="inlineStr">
        <is>
          <t>TCVN 4506:2012</t>
        </is>
      </c>
    </row>
    <row r="104">
      <c r="A104" s="9" t="n"/>
      <c r="B104" s="9" t="n"/>
      <c r="C104" s="10" t="inlineStr">
        <is>
          <t xml:space="preserve">   • Phụ gia siêu dẻo giảm nước</t>
        </is>
      </c>
      <c r="D104" s="9" t="n"/>
      <c r="E104" s="9" t="n"/>
      <c r="F104" s="10" t="inlineStr">
        <is>
          <t>Phụ gia siêu dẻo giảm nước</t>
        </is>
      </c>
      <c r="G104" s="11" t="inlineStr">
        <is>
          <t>kg</t>
        </is>
      </c>
      <c r="H104" s="13" t="n">
        <v>4.5</v>
      </c>
      <c r="I104" s="13">
        <f>D99*H104</f>
        <v/>
      </c>
      <c r="J104" s="10" t="inlineStr">
        <is>
          <t>ASTM C494 Type F</t>
        </is>
      </c>
    </row>
    <row r="105">
      <c r="A105" s="5" t="n">
        <v>19</v>
      </c>
      <c r="B105" s="5" t="inlineStr">
        <is>
          <t>AF.65111</t>
        </is>
      </c>
      <c r="C105" s="6" t="inlineStr">
        <is>
          <t>Cốt thép bản mặt cầu và mối nối liên tục nhiệt</t>
        </is>
      </c>
      <c r="D105" s="7">
        <f>QS_DIEN_GIAI_CHI_TIET!J81</f>
        <v/>
      </c>
      <c r="E105" s="5" t="inlineStr">
        <is>
          <t>Tấn</t>
        </is>
      </c>
      <c r="F105" s="8" t="n"/>
      <c r="G105" s="8" t="n"/>
      <c r="H105" s="8" t="n"/>
      <c r="I105" s="8" t="n"/>
      <c r="J105" s="8" t="n"/>
    </row>
    <row r="106">
      <c r="A106" s="9" t="n"/>
      <c r="B106" s="9" t="n"/>
      <c r="C106" s="10" t="inlineStr">
        <is>
          <t xml:space="preserve">   • Thép bản mặt cầu chịu lực lưới dưới vằn Ø16 (CB400-V)</t>
        </is>
      </c>
      <c r="D106" s="9" t="n"/>
      <c r="E106" s="9" t="n"/>
      <c r="F106" s="10" t="inlineStr">
        <is>
          <t>Thép bản mặt cầu chịu lực lưới dưới vằn Ø16 (CB400-V)</t>
        </is>
      </c>
      <c r="G106" s="11" t="inlineStr">
        <is>
          <t>Tấn</t>
        </is>
      </c>
      <c r="H106" s="12" t="n">
        <v>0.48</v>
      </c>
      <c r="I106" s="13">
        <f>D105*H106</f>
        <v/>
      </c>
      <c r="J106" s="10" t="inlineStr">
        <is>
          <t>TCVN 1651:2018</t>
        </is>
      </c>
    </row>
    <row r="107">
      <c r="A107" s="9" t="n"/>
      <c r="B107" s="9" t="n"/>
      <c r="C107" s="10" t="inlineStr">
        <is>
          <t xml:space="preserve">   • Thép bản mặt cầu lưới trên vằn Ø14 (CB400-V)</t>
        </is>
      </c>
      <c r="D107" s="9" t="n"/>
      <c r="E107" s="9" t="n"/>
      <c r="F107" s="10" t="inlineStr">
        <is>
          <t>Thép bản mặt cầu lưới trên vằn Ø14 (CB400-V)</t>
        </is>
      </c>
      <c r="G107" s="11" t="inlineStr">
        <is>
          <t>Tấn</t>
        </is>
      </c>
      <c r="H107" s="12" t="n">
        <v>0.42</v>
      </c>
      <c r="I107" s="13">
        <f>D105*H107</f>
        <v/>
      </c>
      <c r="J107" s="10" t="inlineStr">
        <is>
          <t>TCVN 1651:2018</t>
        </is>
      </c>
    </row>
    <row r="108">
      <c r="A108" s="9" t="n"/>
      <c r="B108" s="9" t="n"/>
      <c r="C108" s="10" t="inlineStr">
        <is>
          <t xml:space="preserve">   • Thép đai chống nứt tròn trơn Ø10 (CB240-T)</t>
        </is>
      </c>
      <c r="D108" s="9" t="n"/>
      <c r="E108" s="9" t="n"/>
      <c r="F108" s="10" t="inlineStr">
        <is>
          <t>Thép đai chống nứt tròn trơn Ø10 (CB240-T)</t>
        </is>
      </c>
      <c r="G108" s="11" t="inlineStr">
        <is>
          <t>Tấn</t>
        </is>
      </c>
      <c r="H108" s="12" t="n">
        <v>0.1</v>
      </c>
      <c r="I108" s="13">
        <f>D105*H108</f>
        <v/>
      </c>
      <c r="J108" s="10" t="inlineStr">
        <is>
          <t>TCVN 1651:2018</t>
        </is>
      </c>
    </row>
    <row r="109">
      <c r="A109" s="9" t="n"/>
      <c r="B109" s="9" t="n"/>
      <c r="C109" s="10" t="inlineStr">
        <is>
          <t xml:space="preserve">   • Dây thép buộc 1 ly</t>
        </is>
      </c>
      <c r="D109" s="9" t="n"/>
      <c r="E109" s="9" t="n"/>
      <c r="F109" s="10" t="inlineStr">
        <is>
          <t>Dây thép buộc 1 ly</t>
        </is>
      </c>
      <c r="G109" s="11" t="inlineStr">
        <is>
          <t>kg</t>
        </is>
      </c>
      <c r="H109" s="13" t="n">
        <v>15</v>
      </c>
      <c r="I109" s="13">
        <f>D105*H109</f>
        <v/>
      </c>
      <c r="J109" s="10" t="inlineStr">
        <is>
          <t>TCVN 1651:2018</t>
        </is>
      </c>
    </row>
    <row r="110">
      <c r="A110" s="5" t="n">
        <v>20</v>
      </c>
      <c r="B110" s="5" t="inlineStr">
        <is>
          <t>AC.31111</t>
        </is>
      </c>
      <c r="C110" s="6" t="inlineStr">
        <is>
          <t>Khe co giãn răng lược thép D=100mm</t>
        </is>
      </c>
      <c r="D110" s="7">
        <f>QS_DIEN_GIAI_CHI_TIET!J83</f>
        <v/>
      </c>
      <c r="E110" s="5" t="inlineStr">
        <is>
          <t>m</t>
        </is>
      </c>
      <c r="F110" s="8" t="n"/>
      <c r="G110" s="8" t="n"/>
      <c r="H110" s="8" t="n"/>
      <c r="I110" s="8" t="n"/>
      <c r="J110" s="8" t="n"/>
    </row>
    <row r="111">
      <c r="A111" s="9" t="n"/>
      <c r="B111" s="9" t="n"/>
      <c r="C111" s="10" t="inlineStr">
        <is>
          <t xml:space="preserve">   • Thép tấm răng lược hợp kim mạ kẽm D=100mm</t>
        </is>
      </c>
      <c r="D111" s="9" t="n"/>
      <c r="E111" s="9" t="n"/>
      <c r="F111" s="10" t="inlineStr">
        <is>
          <t>Thép tấm răng lược hợp kim mạ kẽm D=100mm</t>
        </is>
      </c>
      <c r="G111" s="11" t="inlineStr">
        <is>
          <t>m</t>
        </is>
      </c>
      <c r="H111" s="13" t="n">
        <v>1</v>
      </c>
      <c r="I111" s="13">
        <f>D110*H111</f>
        <v/>
      </c>
      <c r="J111" s="10" t="inlineStr">
        <is>
          <t>TCVN 11823:2017</t>
        </is>
      </c>
    </row>
    <row r="112">
      <c r="A112" s="9" t="n"/>
      <c r="B112" s="9" t="n"/>
      <c r="C112" s="10" t="inlineStr">
        <is>
          <t xml:space="preserve">   • Máng thoát nước cao su đàn hồi</t>
        </is>
      </c>
      <c r="D112" s="9" t="n"/>
      <c r="E112" s="9" t="n"/>
      <c r="F112" s="10" t="inlineStr">
        <is>
          <t>Máng thoát nước cao su đàn hồi</t>
        </is>
      </c>
      <c r="G112" s="11" t="inlineStr">
        <is>
          <t>m</t>
        </is>
      </c>
      <c r="H112" s="13" t="n">
        <v>1.05</v>
      </c>
      <c r="I112" s="13">
        <f>D110*H112</f>
        <v/>
      </c>
      <c r="J112" s="10" t="inlineStr">
        <is>
          <t>TCVN 11823:2017</t>
        </is>
      </c>
    </row>
    <row r="113">
      <c r="A113" s="9" t="n"/>
      <c r="B113" s="9" t="n"/>
      <c r="C113" s="10" t="inlineStr">
        <is>
          <t xml:space="preserve">   • Bu-lông neo M24 cường độ cao</t>
        </is>
      </c>
      <c r="D113" s="9" t="n"/>
      <c r="E113" s="9" t="n"/>
      <c r="F113" s="10" t="inlineStr">
        <is>
          <t>Bu-lông neo M24 cường độ cao</t>
        </is>
      </c>
      <c r="G113" s="11" t="inlineStr">
        <is>
          <t>Cái</t>
        </is>
      </c>
      <c r="H113" s="13" t="n">
        <v>6</v>
      </c>
      <c r="I113" s="13">
        <f>D110*H113</f>
        <v/>
      </c>
      <c r="J113" s="10" t="inlineStr">
        <is>
          <t>ASTM A325</t>
        </is>
      </c>
    </row>
    <row r="114">
      <c r="A114" s="5" t="n">
        <v>21</v>
      </c>
      <c r="B114" s="5" t="inlineStr">
        <is>
          <t>AF.41111</t>
        </is>
      </c>
      <c r="C114" s="6" t="inlineStr">
        <is>
          <t>Bê tông bản quá độ sau mố M1, M2 mác C30</t>
        </is>
      </c>
      <c r="D114" s="7">
        <f>QS_DIEN_GIAI_CHI_TIET!J86</f>
        <v/>
      </c>
      <c r="E114" s="5" t="inlineStr">
        <is>
          <t>m3</t>
        </is>
      </c>
      <c r="F114" s="8" t="n"/>
      <c r="G114" s="8" t="n"/>
      <c r="H114" s="8" t="n"/>
      <c r="I114" s="8" t="n"/>
      <c r="J114" s="8" t="n"/>
    </row>
    <row r="115">
      <c r="A115" s="9" t="n"/>
      <c r="B115" s="9" t="n"/>
      <c r="C115" s="10" t="inlineStr">
        <is>
          <t xml:space="preserve">   • Xi măng PCB40 bản quá độ</t>
        </is>
      </c>
      <c r="D115" s="9" t="n"/>
      <c r="E115" s="9" t="n"/>
      <c r="F115" s="10" t="inlineStr">
        <is>
          <t>Xi măng PCB40 bản quá độ</t>
        </is>
      </c>
      <c r="G115" s="11" t="inlineStr">
        <is>
          <t>kg</t>
        </is>
      </c>
      <c r="H115" s="13" t="n">
        <v>385</v>
      </c>
      <c r="I115" s="13">
        <f>D114*H115</f>
        <v/>
      </c>
      <c r="J115" s="10" t="inlineStr">
        <is>
          <t>TCVN 6260:2020</t>
        </is>
      </c>
    </row>
    <row r="116">
      <c r="A116" s="9" t="n"/>
      <c r="B116" s="9" t="n"/>
      <c r="C116" s="10" t="inlineStr">
        <is>
          <t xml:space="preserve">   • Cát vàng sàng rửa Mk&gt;=2.0</t>
        </is>
      </c>
      <c r="D116" s="9" t="n"/>
      <c r="E116" s="9" t="n"/>
      <c r="F116" s="10" t="inlineStr">
        <is>
          <t>Cát vàng sàng rửa Mk&gt;=2.0</t>
        </is>
      </c>
      <c r="G116" s="11" t="inlineStr">
        <is>
          <t>m3</t>
        </is>
      </c>
      <c r="H116" s="12" t="n">
        <v>0.46</v>
      </c>
      <c r="I116" s="13">
        <f>D114*H116</f>
        <v/>
      </c>
      <c r="J116" s="10" t="inlineStr">
        <is>
          <t>TCVN 7570:2006</t>
        </is>
      </c>
    </row>
    <row r="117">
      <c r="A117" s="9" t="n"/>
      <c r="B117" s="9" t="n"/>
      <c r="C117" s="10" t="inlineStr">
        <is>
          <t xml:space="preserve">   • Đá dăm 1x2 sạch</t>
        </is>
      </c>
      <c r="D117" s="9" t="n"/>
      <c r="E117" s="9" t="n"/>
      <c r="F117" s="10" t="inlineStr">
        <is>
          <t>Đá dăm 1x2 sạch</t>
        </is>
      </c>
      <c r="G117" s="11" t="inlineStr">
        <is>
          <t>m3</t>
        </is>
      </c>
      <c r="H117" s="12" t="n">
        <v>0.84</v>
      </c>
      <c r="I117" s="13">
        <f>D114*H117</f>
        <v/>
      </c>
      <c r="J117" s="10" t="inlineStr">
        <is>
          <t>TCVN 7570:2006</t>
        </is>
      </c>
    </row>
    <row r="118">
      <c r="A118" s="9" t="n"/>
      <c r="B118" s="9" t="n"/>
      <c r="C118" s="10" t="inlineStr">
        <is>
          <t xml:space="preserve">   • Nước sạch trộn bê tông</t>
        </is>
      </c>
      <c r="D118" s="9" t="n"/>
      <c r="E118" s="9" t="n"/>
      <c r="F118" s="10" t="inlineStr">
        <is>
          <t>Nước sạch trộn bê tông</t>
        </is>
      </c>
      <c r="G118" s="11" t="inlineStr">
        <is>
          <t>Lít</t>
        </is>
      </c>
      <c r="H118" s="13" t="n">
        <v>180</v>
      </c>
      <c r="I118" s="13">
        <f>D114*H118</f>
        <v/>
      </c>
      <c r="J118" s="10" t="inlineStr">
        <is>
          <t>TCVN 4506:2012</t>
        </is>
      </c>
    </row>
    <row r="119">
      <c r="A119" s="9" t="n"/>
      <c r="B119" s="9" t="n"/>
      <c r="C119" s="10" t="inlineStr">
        <is>
          <t xml:space="preserve">   • Thép bản quá độ dọc vằn Ø16 (CB400-V)</t>
        </is>
      </c>
      <c r="D119" s="9" t="n"/>
      <c r="E119" s="9" t="n"/>
      <c r="F119" s="10" t="inlineStr">
        <is>
          <t>Thép bản quá độ dọc vằn Ø16 (CB400-V)</t>
        </is>
      </c>
      <c r="G119" s="11" t="inlineStr">
        <is>
          <t>kg</t>
        </is>
      </c>
      <c r="H119" s="13" t="n">
        <v>110</v>
      </c>
      <c r="I119" s="13">
        <f>D114*H119</f>
        <v/>
      </c>
      <c r="J119" s="10" t="inlineStr">
        <is>
          <t>TCVN 1651:2018</t>
        </is>
      </c>
    </row>
    <row r="120">
      <c r="A120" s="9" t="n"/>
      <c r="B120" s="9" t="n"/>
      <c r="C120" s="10" t="inlineStr">
        <is>
          <t xml:space="preserve">   • Thép bản quá độ phân bố vằn Ø12 (CB400-V)</t>
        </is>
      </c>
      <c r="D120" s="9" t="n"/>
      <c r="E120" s="9" t="n"/>
      <c r="F120" s="10" t="inlineStr">
        <is>
          <t>Thép bản quá độ phân bố vằn Ø12 (CB400-V)</t>
        </is>
      </c>
      <c r="G120" s="11" t="inlineStr">
        <is>
          <t>kg</t>
        </is>
      </c>
      <c r="H120" s="13" t="n">
        <v>25</v>
      </c>
      <c r="I120" s="13">
        <f>D114*H120</f>
        <v/>
      </c>
      <c r="J120" s="10" t="inlineStr">
        <is>
          <t>TCVN 1651:2018</t>
        </is>
      </c>
    </row>
    <row r="121">
      <c r="A121" s="5" t="n">
        <v>22</v>
      </c>
      <c r="B121" s="5" t="inlineStr">
        <is>
          <t>AB.21111</t>
        </is>
      </c>
      <c r="C121" s="6" t="inlineStr">
        <is>
          <t>Đắp vật liệu dạng hạt chọn lọc sau mố K98</t>
        </is>
      </c>
      <c r="D121" s="7">
        <f>QS_DIEN_GIAI_CHI_TIET!J89</f>
        <v/>
      </c>
      <c r="E121" s="5" t="inlineStr">
        <is>
          <t>m3</t>
        </is>
      </c>
      <c r="F121" s="8" t="n"/>
      <c r="G121" s="8" t="n"/>
      <c r="H121" s="8" t="n"/>
      <c r="I121" s="8" t="n"/>
      <c r="J121" s="8" t="n"/>
    </row>
    <row r="122">
      <c r="A122" s="9" t="n"/>
      <c r="B122" s="9" t="n"/>
      <c r="C122" s="10" t="inlineStr">
        <is>
          <t xml:space="preserve">   • Đất đắp nền đường sau mố K98</t>
        </is>
      </c>
      <c r="D122" s="9" t="n"/>
      <c r="E122" s="9" t="n"/>
      <c r="F122" s="10" t="inlineStr">
        <is>
          <t>Đất đắp nền đường sau mố K98</t>
        </is>
      </c>
      <c r="G122" s="11" t="inlineStr">
        <is>
          <t>m3</t>
        </is>
      </c>
      <c r="H122" s="13" t="n">
        <v>1.15</v>
      </c>
      <c r="I122" s="13">
        <f>D121*H122</f>
        <v/>
      </c>
      <c r="J122" s="10" t="inlineStr">
        <is>
          <t>TCVN 9436:2012</t>
        </is>
      </c>
    </row>
    <row r="123">
      <c r="A123" s="9" t="n"/>
      <c r="B123" s="9" t="n"/>
      <c r="C123" s="10" t="inlineStr">
        <is>
          <t xml:space="preserve">   • Vải địa kỹ thuật không dệt lọc ngược</t>
        </is>
      </c>
      <c r="D123" s="9" t="n"/>
      <c r="E123" s="9" t="n"/>
      <c r="F123" s="10" t="inlineStr">
        <is>
          <t>Vải địa kỹ thuật không dệt lọc ngược</t>
        </is>
      </c>
      <c r="G123" s="11" t="inlineStr">
        <is>
          <t>m2</t>
        </is>
      </c>
      <c r="H123" s="12" t="n">
        <v>0.45</v>
      </c>
      <c r="I123" s="13">
        <f>D121*H123</f>
        <v/>
      </c>
      <c r="J123" s="10" t="inlineStr">
        <is>
          <t>TCVN 9865:2013</t>
        </is>
      </c>
    </row>
    <row r="124">
      <c r="A124" s="5" t="n">
        <v>23</v>
      </c>
      <c r="B124" s="5" t="inlineStr">
        <is>
          <t>AF.42111</t>
        </is>
      </c>
      <c r="C124" s="6" t="inlineStr">
        <is>
          <t>Bê tông gờ lan can mác C25 và lắp tay vịn thép</t>
        </is>
      </c>
      <c r="D124" s="7">
        <f>QS_DIEN_GIAI_CHI_TIET!J91</f>
        <v/>
      </c>
      <c r="E124" s="5" t="inlineStr">
        <is>
          <t>m</t>
        </is>
      </c>
      <c r="F124" s="8" t="n"/>
      <c r="G124" s="8" t="n"/>
      <c r="H124" s="8" t="n"/>
      <c r="I124" s="8" t="n"/>
      <c r="J124" s="8" t="n"/>
    </row>
    <row r="125">
      <c r="A125" s="9" t="n"/>
      <c r="B125" s="9" t="n"/>
      <c r="C125" s="10" t="inlineStr">
        <is>
          <t xml:space="preserve">   • Xi măng PCB40 gờ lan can</t>
        </is>
      </c>
      <c r="D125" s="9" t="n"/>
      <c r="E125" s="9" t="n"/>
      <c r="F125" s="10" t="inlineStr">
        <is>
          <t>Xi măng PCB40 gờ lan can</t>
        </is>
      </c>
      <c r="G125" s="11" t="inlineStr">
        <is>
          <t>kg</t>
        </is>
      </c>
      <c r="H125" s="13" t="n">
        <v>33.25</v>
      </c>
      <c r="I125" s="13">
        <f>D124*H125</f>
        <v/>
      </c>
      <c r="J125" s="10" t="inlineStr">
        <is>
          <t>TCVN 6260:2020</t>
        </is>
      </c>
    </row>
    <row r="126">
      <c r="A126" s="9" t="n"/>
      <c r="B126" s="9" t="n"/>
      <c r="C126" s="10" t="inlineStr">
        <is>
          <t xml:space="preserve">   • Cát vàng</t>
        </is>
      </c>
      <c r="D126" s="9" t="n"/>
      <c r="E126" s="9" t="n"/>
      <c r="F126" s="10" t="inlineStr">
        <is>
          <t>Cát vàng</t>
        </is>
      </c>
      <c r="G126" s="11" t="inlineStr">
        <is>
          <t>m3</t>
        </is>
      </c>
      <c r="H126" s="12" t="n">
        <v>0.046</v>
      </c>
      <c r="I126" s="13">
        <f>D124*H126</f>
        <v/>
      </c>
      <c r="J126" s="10" t="inlineStr">
        <is>
          <t>TCVN 7570:2006</t>
        </is>
      </c>
    </row>
    <row r="127">
      <c r="A127" s="9" t="n"/>
      <c r="B127" s="9" t="n"/>
      <c r="C127" s="10" t="inlineStr">
        <is>
          <t xml:space="preserve">   • Đá dăm 1x2</t>
        </is>
      </c>
      <c r="D127" s="9" t="n"/>
      <c r="E127" s="9" t="n"/>
      <c r="F127" s="10" t="inlineStr">
        <is>
          <t>Đá dăm 1x2</t>
        </is>
      </c>
      <c r="G127" s="11" t="inlineStr">
        <is>
          <t>m3</t>
        </is>
      </c>
      <c r="H127" s="12" t="n">
        <v>0.081</v>
      </c>
      <c r="I127" s="13">
        <f>D124*H127</f>
        <v/>
      </c>
      <c r="J127" s="10" t="inlineStr">
        <is>
          <t>TCVN 7570:2006</t>
        </is>
      </c>
    </row>
    <row r="128">
      <c r="A128" s="9" t="n"/>
      <c r="B128" s="9" t="n"/>
      <c r="C128" s="10" t="inlineStr">
        <is>
          <t xml:space="preserve">   • Thép cốt gờ lan can vằn Ø12 (CB400-V)</t>
        </is>
      </c>
      <c r="D128" s="9" t="n"/>
      <c r="E128" s="9" t="n"/>
      <c r="F128" s="10" t="inlineStr">
        <is>
          <t>Thép cốt gờ lan can vằn Ø12 (CB400-V)</t>
        </is>
      </c>
      <c r="G128" s="11" t="inlineStr">
        <is>
          <t>kg</t>
        </is>
      </c>
      <c r="H128" s="13" t="n">
        <v>12.5</v>
      </c>
      <c r="I128" s="13">
        <f>D124*H128</f>
        <v/>
      </c>
      <c r="J128" s="10" t="inlineStr">
        <is>
          <t>TCVN 1651:2018</t>
        </is>
      </c>
    </row>
    <row r="129">
      <c r="A129" s="9" t="n"/>
      <c r="B129" s="9" t="n"/>
      <c r="C129" s="10" t="inlineStr">
        <is>
          <t xml:space="preserve">   • Tay vịn lan can thép mạ kẽm nhúng nóng Ø114</t>
        </is>
      </c>
      <c r="D129" s="9" t="n"/>
      <c r="E129" s="9" t="n"/>
      <c r="F129" s="10" t="inlineStr">
        <is>
          <t>Tay vịn lan can thép mạ kẽm nhúng nóng Ø114</t>
        </is>
      </c>
      <c r="G129" s="11" t="inlineStr">
        <is>
          <t>m</t>
        </is>
      </c>
      <c r="H129" s="13" t="n">
        <v>1.05</v>
      </c>
      <c r="I129" s="13">
        <f>D124*H129</f>
        <v/>
      </c>
      <c r="J129" s="10" t="inlineStr">
        <is>
          <t>TCVN 11823:2017</t>
        </is>
      </c>
    </row>
    <row r="130">
      <c r="A130" s="5" t="n">
        <v>24</v>
      </c>
      <c r="B130" s="5" t="inlineStr">
        <is>
          <t>AC.41111</t>
        </is>
      </c>
      <c r="C130" s="6" t="inlineStr">
        <is>
          <t>Hệ thống thoát nước mặt cầu (24 cụm hố thu &amp; ống dẫn)</t>
        </is>
      </c>
      <c r="D130" s="7">
        <f>QS_DIEN_GIAI_CHI_TIET!J93</f>
        <v/>
      </c>
      <c r="E130" s="5" t="inlineStr">
        <is>
          <t>Bộ</t>
        </is>
      </c>
      <c r="F130" s="8" t="n"/>
      <c r="G130" s="8" t="n"/>
      <c r="H130" s="8" t="n"/>
      <c r="I130" s="8" t="n"/>
      <c r="J130" s="8" t="n"/>
    </row>
    <row r="131">
      <c r="A131" s="9" t="n"/>
      <c r="B131" s="9" t="n"/>
      <c r="C131" s="10" t="inlineStr">
        <is>
          <t xml:space="preserve">   • Phễu gang thu nước mặt cầu có lưới chắn</t>
        </is>
      </c>
      <c r="D131" s="9" t="n"/>
      <c r="E131" s="9" t="n"/>
      <c r="F131" s="10" t="inlineStr">
        <is>
          <t>Phễu gang thu nước mặt cầu có lưới chắn</t>
        </is>
      </c>
      <c r="G131" s="11" t="inlineStr">
        <is>
          <t>Bộ</t>
        </is>
      </c>
      <c r="H131" s="13" t="n">
        <v>1</v>
      </c>
      <c r="I131" s="13">
        <f>D130*H131</f>
        <v/>
      </c>
      <c r="J131" s="10" t="inlineStr">
        <is>
          <t>TCVN 11823:2017</t>
        </is>
      </c>
    </row>
    <row r="132">
      <c r="A132" s="9" t="n"/>
      <c r="B132" s="9" t="n"/>
      <c r="C132" s="10" t="inlineStr">
        <is>
          <t xml:space="preserve">   • Ống thoát nước nhựa uPVC Ø110 dày 3.2mm</t>
        </is>
      </c>
      <c r="D132" s="9" t="n"/>
      <c r="E132" s="9" t="n"/>
      <c r="F132" s="10" t="inlineStr">
        <is>
          <t>Ống thoát nước nhựa uPVC Ø110 dày 3.2mm</t>
        </is>
      </c>
      <c r="G132" s="11" t="inlineStr">
        <is>
          <t>m</t>
        </is>
      </c>
      <c r="H132" s="13" t="n">
        <v>3.5</v>
      </c>
      <c r="I132" s="13">
        <f>D130*H132</f>
        <v/>
      </c>
      <c r="J132" s="10" t="inlineStr">
        <is>
          <t>TCVN 8491:2011</t>
        </is>
      </c>
    </row>
    <row r="133">
      <c r="A133" s="5" t="n">
        <v>25</v>
      </c>
      <c r="B133" s="5" t="inlineStr">
        <is>
          <t>AD.11111</t>
        </is>
      </c>
      <c r="C133" s="6" t="inlineStr">
        <is>
          <t>Lớp phun chống thấm &amp; thảm bê tông nhựa chặt C12.5 dày 7cm</t>
        </is>
      </c>
      <c r="D133" s="7">
        <f>QS_DIEN_GIAI_CHI_TIET!J95</f>
        <v/>
      </c>
      <c r="E133" s="5" t="inlineStr">
        <is>
          <t>m2</t>
        </is>
      </c>
      <c r="F133" s="8" t="n"/>
      <c r="G133" s="8" t="n"/>
      <c r="H133" s="8" t="n"/>
      <c r="I133" s="8" t="n"/>
      <c r="J133" s="8" t="n"/>
    </row>
    <row r="134">
      <c r="A134" s="9" t="n"/>
      <c r="B134" s="9" t="n"/>
      <c r="C134" s="10" t="inlineStr">
        <is>
          <t xml:space="preserve">   • Màng chống thấm mặt cầu Polymer cải tiến</t>
        </is>
      </c>
      <c r="D134" s="9" t="n"/>
      <c r="E134" s="9" t="n"/>
      <c r="F134" s="10" t="inlineStr">
        <is>
          <t>Màng chống thấm mặt cầu Polymer cải tiến</t>
        </is>
      </c>
      <c r="G134" s="11" t="inlineStr">
        <is>
          <t>m2</t>
        </is>
      </c>
      <c r="H134" s="13" t="n">
        <v>1.15</v>
      </c>
      <c r="I134" s="13">
        <f>D133*H134</f>
        <v/>
      </c>
      <c r="J134" s="10" t="inlineStr">
        <is>
          <t>TCVN 11823:2017</t>
        </is>
      </c>
    </row>
    <row r="135">
      <c r="A135" s="9" t="n"/>
      <c r="B135" s="9" t="n"/>
      <c r="C135" s="10" t="inlineStr">
        <is>
          <t xml:space="preserve">   • Bê tông nhựa chặt C12.5 rải nóng</t>
        </is>
      </c>
      <c r="D135" s="9" t="n"/>
      <c r="E135" s="9" t="n"/>
      <c r="F135" s="10" t="inlineStr">
        <is>
          <t>Bê tông nhựa chặt C12.5 rải nóng</t>
        </is>
      </c>
      <c r="G135" s="11" t="inlineStr">
        <is>
          <t>Tấn</t>
        </is>
      </c>
      <c r="H135" s="12" t="n">
        <v>0.175</v>
      </c>
      <c r="I135" s="13">
        <f>D133*H135</f>
        <v/>
      </c>
      <c r="J135" s="10" t="inlineStr">
        <is>
          <t>TCVN 8819:2011</t>
        </is>
      </c>
    </row>
    <row r="136">
      <c r="A136" s="9" t="n"/>
      <c r="B136" s="9" t="n"/>
      <c r="C136" s="10" t="inlineStr">
        <is>
          <t xml:space="preserve">   • Nhựa dính bám Tack coat</t>
        </is>
      </c>
      <c r="D136" s="9" t="n"/>
      <c r="E136" s="9" t="n"/>
      <c r="F136" s="10" t="inlineStr">
        <is>
          <t>Nhựa dính bám Tack coat</t>
        </is>
      </c>
      <c r="G136" s="11" t="inlineStr">
        <is>
          <t>kg</t>
        </is>
      </c>
      <c r="H136" s="12" t="n">
        <v>0.5</v>
      </c>
      <c r="I136" s="13">
        <f>D133*H136</f>
        <v/>
      </c>
      <c r="J136" s="10" t="inlineStr">
        <is>
          <t>TCVN 8819:2011</t>
        </is>
      </c>
    </row>
    <row r="137">
      <c r="A137" s="5" t="n">
        <v>26</v>
      </c>
      <c r="B137" s="5" t="inlineStr">
        <is>
          <t>AL.11111</t>
        </is>
      </c>
      <c r="C137" s="6" t="inlineStr">
        <is>
          <t>Gia cố mái taluy tứ nón mố bằng đá hộc xây VXM M100</t>
        </is>
      </c>
      <c r="D137" s="7">
        <f>QS_DIEN_GIAI_CHI_TIET!J97</f>
        <v/>
      </c>
      <c r="E137" s="5" t="inlineStr">
        <is>
          <t>m3</t>
        </is>
      </c>
      <c r="F137" s="8" t="n"/>
      <c r="G137" s="8" t="n"/>
      <c r="H137" s="8" t="n"/>
      <c r="I137" s="8" t="n"/>
      <c r="J137" s="8" t="n"/>
    </row>
    <row r="138">
      <c r="A138" s="9" t="n"/>
      <c r="B138" s="9" t="n"/>
      <c r="C138" s="10" t="inlineStr">
        <is>
          <t xml:space="preserve">   • Đá hộc 20x30cm kè tứ nón</t>
        </is>
      </c>
      <c r="D138" s="9" t="n"/>
      <c r="E138" s="9" t="n"/>
      <c r="F138" s="10" t="inlineStr">
        <is>
          <t>Đá hộc 20x30cm kè tứ nón</t>
        </is>
      </c>
      <c r="G138" s="11" t="inlineStr">
        <is>
          <t>m3</t>
        </is>
      </c>
      <c r="H138" s="13" t="n">
        <v>1.05</v>
      </c>
      <c r="I138" s="13">
        <f>D137*H138</f>
        <v/>
      </c>
      <c r="J138" s="10" t="inlineStr">
        <is>
          <t>TCVN 11823:2017</t>
        </is>
      </c>
    </row>
    <row r="139">
      <c r="A139" s="9" t="n"/>
      <c r="B139" s="9" t="n"/>
      <c r="C139" s="10" t="inlineStr">
        <is>
          <t xml:space="preserve">   • Xi măng PCB40 vữa xây M100</t>
        </is>
      </c>
      <c r="D139" s="9" t="n"/>
      <c r="E139" s="9" t="n"/>
      <c r="F139" s="10" t="inlineStr">
        <is>
          <t>Xi măng PCB40 vữa xây M100</t>
        </is>
      </c>
      <c r="G139" s="11" t="inlineStr">
        <is>
          <t>kg</t>
        </is>
      </c>
      <c r="H139" s="13" t="n">
        <v>119.7</v>
      </c>
      <c r="I139" s="13">
        <f>D137*H139</f>
        <v/>
      </c>
      <c r="J139" s="10" t="inlineStr">
        <is>
          <t>TCVN 6260:2020</t>
        </is>
      </c>
    </row>
    <row r="140">
      <c r="A140" s="9" t="n"/>
      <c r="B140" s="9" t="n"/>
      <c r="C140" s="10" t="inlineStr">
        <is>
          <t xml:space="preserve">   • Cát vàng vữa xây M100</t>
        </is>
      </c>
      <c r="D140" s="9" t="n"/>
      <c r="E140" s="9" t="n"/>
      <c r="F140" s="10" t="inlineStr">
        <is>
          <t>Cát vàng vữa xây M100</t>
        </is>
      </c>
      <c r="G140" s="11" t="inlineStr">
        <is>
          <t>m3</t>
        </is>
      </c>
      <c r="H140" s="12" t="n">
        <v>0.4</v>
      </c>
      <c r="I140" s="13">
        <f>D137*H140</f>
        <v/>
      </c>
      <c r="J140" s="10" t="inlineStr">
        <is>
          <t>TCVN 7570:2006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14" t="inlineStr">
        <is>
          <t>PHẦN I: THI CÔNG CỌC KHOAN NHỒI D1200MM &amp; THÍ NGHIỆM KIỂM SOÁT</t>
        </is>
      </c>
    </row>
    <row r="7" ht="22" customHeight="1">
      <c r="A7" s="15" t="inlineStr">
        <is>
          <t>1</t>
        </is>
      </c>
      <c r="B7" s="15" t="inlineStr">
        <is>
          <t>AC.11111</t>
        </is>
      </c>
      <c r="C7" s="16" t="inlineStr">
        <is>
          <t>Khoan tạo lỗ cọc khoan nhồi D1200mm vào đất và đá gốc (26 cọc)</t>
        </is>
      </c>
      <c r="D7" s="15" t="inlineStr">
        <is>
          <t>m</t>
        </is>
      </c>
      <c r="E7" s="9" t="n"/>
      <c r="F7" s="9" t="n"/>
      <c r="G7" s="9" t="n"/>
      <c r="H7" s="9" t="n"/>
      <c r="I7" s="9" t="n"/>
      <c r="J7" s="17">
        <f>SUM(J8:J11)</f>
        <v/>
      </c>
      <c r="K7" s="18" t="n">
        <v>2850000</v>
      </c>
      <c r="L7" s="19">
        <f>J7*K7</f>
        <v/>
      </c>
    </row>
    <row r="8" ht="19" customHeight="1">
      <c r="A8" s="20" t="n"/>
      <c r="B8" s="20" t="n"/>
      <c r="C8" s="21" t="inlineStr">
        <is>
          <t>- Cọc mố M1: 3 cọc chiều sâu L=20.0m</t>
        </is>
      </c>
      <c r="D8" s="22" t="inlineStr">
        <is>
          <t>m</t>
        </is>
      </c>
      <c r="E8" s="23" t="n">
        <v>3</v>
      </c>
      <c r="F8" s="23" t="n">
        <v>20</v>
      </c>
      <c r="G8" s="23" t="n">
        <v>1</v>
      </c>
      <c r="H8" s="23" t="n">
        <v>1</v>
      </c>
      <c r="I8" s="24" t="n">
        <v>1</v>
      </c>
      <c r="J8" s="25">
        <f>E8*F8*G8*H8*I8</f>
        <v/>
      </c>
      <c r="K8" s="20" t="n"/>
      <c r="L8" s="20" t="n"/>
    </row>
    <row r="9" ht="19" customHeight="1">
      <c r="A9" s="20" t="n"/>
      <c r="B9" s="20" t="n"/>
      <c r="C9" s="21" t="inlineStr">
        <is>
          <t>- Cọc trụ T1: 8 cọc chiều sâu L=40.0m</t>
        </is>
      </c>
      <c r="D9" s="22" t="inlineStr">
        <is>
          <t>m</t>
        </is>
      </c>
      <c r="E9" s="23" t="n">
        <v>8</v>
      </c>
      <c r="F9" s="23" t="n">
        <v>40</v>
      </c>
      <c r="G9" s="23" t="n">
        <v>1</v>
      </c>
      <c r="H9" s="23" t="n">
        <v>1</v>
      </c>
      <c r="I9" s="24" t="n">
        <v>1</v>
      </c>
      <c r="J9" s="25">
        <f>E9*F9*G9*H9*I9</f>
        <v/>
      </c>
      <c r="K9" s="20" t="n"/>
      <c r="L9" s="20" t="n"/>
    </row>
    <row r="10" ht="19" customHeight="1">
      <c r="A10" s="20" t="n"/>
      <c r="B10" s="20" t="n"/>
      <c r="C10" s="21" t="inlineStr">
        <is>
          <t>- Cọc trụ T2: 8 cọc chiều sâu L=30.0m</t>
        </is>
      </c>
      <c r="D10" s="22" t="inlineStr">
        <is>
          <t>m</t>
        </is>
      </c>
      <c r="E10" s="23" t="n">
        <v>8</v>
      </c>
      <c r="F10" s="23" t="n">
        <v>30</v>
      </c>
      <c r="G10" s="23" t="n">
        <v>1</v>
      </c>
      <c r="H10" s="23" t="n">
        <v>1</v>
      </c>
      <c r="I10" s="24" t="n">
        <v>1</v>
      </c>
      <c r="J10" s="25">
        <f>E10*F10*G10*H10*I10</f>
        <v/>
      </c>
      <c r="K10" s="20" t="n"/>
      <c r="L10" s="20" t="n"/>
    </row>
    <row r="11" ht="19" customHeight="1">
      <c r="A11" s="20" t="n"/>
      <c r="B11" s="20" t="n"/>
      <c r="C11" s="21" t="inlineStr">
        <is>
          <t>- Cọc mố M2: 7 cọc chiều sâu L=36.0m</t>
        </is>
      </c>
      <c r="D11" s="22" t="inlineStr">
        <is>
          <t>m</t>
        </is>
      </c>
      <c r="E11" s="23" t="n">
        <v>7</v>
      </c>
      <c r="F11" s="23" t="n">
        <v>36</v>
      </c>
      <c r="G11" s="23" t="n">
        <v>1</v>
      </c>
      <c r="H11" s="23" t="n">
        <v>1</v>
      </c>
      <c r="I11" s="24" t="n">
        <v>1</v>
      </c>
      <c r="J11" s="25">
        <f>E11*F11*G11*H11*I11</f>
        <v/>
      </c>
      <c r="K11" s="20" t="n"/>
      <c r="L11" s="20" t="n"/>
    </row>
    <row r="12" ht="22" customHeight="1">
      <c r="A12" s="15" t="inlineStr">
        <is>
          <t>2</t>
        </is>
      </c>
      <c r="B12" s="15" t="inlineStr">
        <is>
          <t>AC.12111</t>
        </is>
      </c>
      <c r="C12" s="16" t="inlineStr">
        <is>
          <t>Hạ và nhổ ống vách thép dẫn hướng D1300mm d=8mm (luân chuyển)</t>
        </is>
      </c>
      <c r="D12" s="15" t="inlineStr">
        <is>
          <t>m</t>
        </is>
      </c>
      <c r="E12" s="9" t="n"/>
      <c r="F12" s="9" t="n"/>
      <c r="G12" s="9" t="n"/>
      <c r="H12" s="9" t="n"/>
      <c r="I12" s="9" t="n"/>
      <c r="J12" s="17">
        <f>SUM(J13:J16)</f>
        <v/>
      </c>
      <c r="K12" s="18" t="n">
        <v>1450000</v>
      </c>
      <c r="L12" s="19">
        <f>J12*K12</f>
        <v/>
      </c>
    </row>
    <row r="13" ht="19" customHeight="1">
      <c r="A13" s="20" t="n"/>
      <c r="B13" s="20" t="n"/>
      <c r="C13" s="21" t="inlineStr">
        <is>
          <t>- Ống vách thép cọc mố M1 (3 cọc x 6m)</t>
        </is>
      </c>
      <c r="D13" s="22" t="inlineStr">
        <is>
          <t>m</t>
        </is>
      </c>
      <c r="E13" s="23" t="n">
        <v>3</v>
      </c>
      <c r="F13" s="23" t="n">
        <v>6</v>
      </c>
      <c r="G13" s="23" t="n">
        <v>1</v>
      </c>
      <c r="H13" s="23" t="n">
        <v>1</v>
      </c>
      <c r="I13" s="24" t="n">
        <v>1</v>
      </c>
      <c r="J13" s="25">
        <f>E13*F13*G13*H13*I13</f>
        <v/>
      </c>
      <c r="K13" s="20" t="n"/>
      <c r="L13" s="20" t="n"/>
    </row>
    <row r="14" ht="19" customHeight="1">
      <c r="A14" s="20" t="n"/>
      <c r="B14" s="20" t="n"/>
      <c r="C14" s="21" t="inlineStr">
        <is>
          <t>- Ống vách thép cọc trụ T1 (8 cọc x 6m)</t>
        </is>
      </c>
      <c r="D14" s="22" t="inlineStr">
        <is>
          <t>m</t>
        </is>
      </c>
      <c r="E14" s="23" t="n">
        <v>8</v>
      </c>
      <c r="F14" s="23" t="n">
        <v>6</v>
      </c>
      <c r="G14" s="23" t="n">
        <v>1</v>
      </c>
      <c r="H14" s="23" t="n">
        <v>1</v>
      </c>
      <c r="I14" s="24" t="n">
        <v>1</v>
      </c>
      <c r="J14" s="25">
        <f>E14*F14*G14*H14*I14</f>
        <v/>
      </c>
      <c r="K14" s="20" t="n"/>
      <c r="L14" s="20" t="n"/>
    </row>
    <row r="15" ht="19" customHeight="1">
      <c r="A15" s="20" t="n"/>
      <c r="B15" s="20" t="n"/>
      <c r="C15" s="21" t="inlineStr">
        <is>
          <t>- Ống vách thép cọc trụ T2 (8 cọc x 6m)</t>
        </is>
      </c>
      <c r="D15" s="22" t="inlineStr">
        <is>
          <t>m</t>
        </is>
      </c>
      <c r="E15" s="23" t="n">
        <v>8</v>
      </c>
      <c r="F15" s="23" t="n">
        <v>6</v>
      </c>
      <c r="G15" s="23" t="n">
        <v>1</v>
      </c>
      <c r="H15" s="23" t="n">
        <v>1</v>
      </c>
      <c r="I15" s="24" t="n">
        <v>1</v>
      </c>
      <c r="J15" s="25">
        <f>E15*F15*G15*H15*I15</f>
        <v/>
      </c>
      <c r="K15" s="20" t="n"/>
      <c r="L15" s="20" t="n"/>
    </row>
    <row r="16" ht="19" customHeight="1">
      <c r="A16" s="20" t="n"/>
      <c r="B16" s="20" t="n"/>
      <c r="C16" s="21" t="inlineStr">
        <is>
          <t>- Ống vách thép cọc mố M2 (7 cọc x 6m)</t>
        </is>
      </c>
      <c r="D16" s="22" t="inlineStr">
        <is>
          <t>m</t>
        </is>
      </c>
      <c r="E16" s="23" t="n">
        <v>7</v>
      </c>
      <c r="F16" s="23" t="n">
        <v>6</v>
      </c>
      <c r="G16" s="23" t="n">
        <v>1</v>
      </c>
      <c r="H16" s="23" t="n">
        <v>1</v>
      </c>
      <c r="I16" s="24" t="n">
        <v>1</v>
      </c>
      <c r="J16" s="25">
        <f>E16*F16*G16*H16*I16</f>
        <v/>
      </c>
      <c r="K16" s="20" t="n"/>
      <c r="L16" s="20" t="n"/>
    </row>
    <row r="17" ht="22" customHeight="1">
      <c r="A17" s="15" t="inlineStr">
        <is>
          <t>3</t>
        </is>
      </c>
      <c r="B17" s="15" t="inlineStr">
        <is>
          <t>AF.21111</t>
        </is>
      </c>
      <c r="C17" s="16" t="inlineStr">
        <is>
          <t>Bê tông cọc khoan nhồi C30/37 đổ bằng phương pháp rút ống tremie</t>
        </is>
      </c>
      <c r="D17" s="15" t="inlineStr">
        <is>
          <t>m3</t>
        </is>
      </c>
      <c r="E17" s="9" t="n"/>
      <c r="F17" s="9" t="n"/>
      <c r="G17" s="9" t="n"/>
      <c r="H17" s="9" t="n"/>
      <c r="I17" s="9" t="n"/>
      <c r="J17" s="17">
        <f>SUM(J18:J21)</f>
        <v/>
      </c>
      <c r="K17" s="18" t="n">
        <v>1650000</v>
      </c>
      <c r="L17" s="19">
        <f>J17*K17</f>
        <v/>
      </c>
    </row>
    <row r="18" ht="19" customHeight="1">
      <c r="A18" s="20" t="n"/>
      <c r="B18" s="20" t="n"/>
      <c r="C18" s="21" t="inlineStr">
        <is>
          <t>- Bê tông 3 cọc mố M1 (L=20m, D=1.2m, hs nở thành 1.12)</t>
        </is>
      </c>
      <c r="D18" s="22" t="inlineStr">
        <is>
          <t>m3</t>
        </is>
      </c>
      <c r="E18" s="23" t="n">
        <v>3</v>
      </c>
      <c r="F18" s="23" t="n">
        <v>20</v>
      </c>
      <c r="G18" s="23" t="n">
        <v>0.6</v>
      </c>
      <c r="H18" s="23" t="n">
        <v>0.6</v>
      </c>
      <c r="I18" s="24" t="n">
        <v>3.5186</v>
      </c>
      <c r="J18" s="25">
        <f>E18*F18*G18*H18*I18</f>
        <v/>
      </c>
      <c r="K18" s="20" t="n"/>
      <c r="L18" s="20" t="n"/>
    </row>
    <row r="19" ht="19" customHeight="1">
      <c r="A19" s="20" t="n"/>
      <c r="B19" s="20" t="n"/>
      <c r="C19" s="21" t="inlineStr">
        <is>
          <t>- Bê tông 8 cọc trụ T1 (L=40m, D=1.2m, hs nở thành 1.12)</t>
        </is>
      </c>
      <c r="D19" s="22" t="inlineStr">
        <is>
          <t>m3</t>
        </is>
      </c>
      <c r="E19" s="23" t="n">
        <v>8</v>
      </c>
      <c r="F19" s="23" t="n">
        <v>40</v>
      </c>
      <c r="G19" s="23" t="n">
        <v>0.6</v>
      </c>
      <c r="H19" s="23" t="n">
        <v>0.6</v>
      </c>
      <c r="I19" s="24" t="n">
        <v>3.5186</v>
      </c>
      <c r="J19" s="25">
        <f>E19*F19*G19*H19*I19</f>
        <v/>
      </c>
      <c r="K19" s="20" t="n"/>
      <c r="L19" s="20" t="n"/>
    </row>
    <row r="20" ht="19" customHeight="1">
      <c r="A20" s="20" t="n"/>
      <c r="B20" s="20" t="n"/>
      <c r="C20" s="21" t="inlineStr">
        <is>
          <t>- Bê tông 8 cọc trụ T2 (L=30m, D=1.2m, hs nở thành 1.12)</t>
        </is>
      </c>
      <c r="D20" s="22" t="inlineStr">
        <is>
          <t>m3</t>
        </is>
      </c>
      <c r="E20" s="23" t="n">
        <v>8</v>
      </c>
      <c r="F20" s="23" t="n">
        <v>30</v>
      </c>
      <c r="G20" s="23" t="n">
        <v>0.6</v>
      </c>
      <c r="H20" s="23" t="n">
        <v>0.6</v>
      </c>
      <c r="I20" s="24" t="n">
        <v>3.5186</v>
      </c>
      <c r="J20" s="25">
        <f>E20*F20*G20*H20*I20</f>
        <v/>
      </c>
      <c r="K20" s="20" t="n"/>
      <c r="L20" s="20" t="n"/>
    </row>
    <row r="21" ht="19" customHeight="1">
      <c r="A21" s="20" t="n"/>
      <c r="B21" s="20" t="n"/>
      <c r="C21" s="21" t="inlineStr">
        <is>
          <t>- Bê tông 7 cọc mố M2 (L=36m, D=1.2m, hs nở thành 1.12)</t>
        </is>
      </c>
      <c r="D21" s="22" t="inlineStr">
        <is>
          <t>m3</t>
        </is>
      </c>
      <c r="E21" s="23" t="n">
        <v>7</v>
      </c>
      <c r="F21" s="23" t="n">
        <v>36</v>
      </c>
      <c r="G21" s="23" t="n">
        <v>0.6</v>
      </c>
      <c r="H21" s="23" t="n">
        <v>0.6</v>
      </c>
      <c r="I21" s="24" t="n">
        <v>3.5186</v>
      </c>
      <c r="J21" s="25">
        <f>E21*F21*G21*H21*I21</f>
        <v/>
      </c>
      <c r="K21" s="20" t="n"/>
      <c r="L21" s="20" t="n"/>
    </row>
    <row r="22" ht="22" customHeight="1">
      <c r="A22" s="15" t="inlineStr">
        <is>
          <t>4</t>
        </is>
      </c>
      <c r="B22" s="15" t="inlineStr">
        <is>
          <t>AF.61111</t>
        </is>
      </c>
      <c r="C22" s="16" t="inlineStr">
        <is>
          <t>Cốt thép cọc khoan nhồi D1200mm (Thép chủ D25, đai D16, D10)</t>
        </is>
      </c>
      <c r="D22" s="15" t="inlineStr">
        <is>
          <t>Tấn</t>
        </is>
      </c>
      <c r="E22" s="9" t="n"/>
      <c r="F22" s="9" t="n"/>
      <c r="G22" s="9" t="n"/>
      <c r="H22" s="9" t="n"/>
      <c r="I22" s="9" t="n"/>
      <c r="J22" s="26" t="n">
        <v>108.76599036</v>
      </c>
      <c r="K22" s="18" t="n">
        <v>18500000</v>
      </c>
      <c r="L22" s="19">
        <f>J22*K22</f>
        <v/>
      </c>
    </row>
    <row r="23" ht="19" customHeight="1">
      <c r="A23" s="20" t="n"/>
      <c r="B23" s="20" t="n"/>
      <c r="C23" s="21" t="inlineStr">
        <is>
          <t>- Cốt thép cọc mố M1 (3 cọc x 5.889 tấn/cọc)</t>
        </is>
      </c>
      <c r="D23" s="22" t="inlineStr">
        <is>
          <t>Tấn</t>
        </is>
      </c>
      <c r="E23" s="23" t="n">
        <v>3</v>
      </c>
      <c r="F23" s="23" t="n">
        <v>5.889</v>
      </c>
      <c r="G23" s="23" t="n">
        <v>1</v>
      </c>
      <c r="H23" s="23" t="n">
        <v>1</v>
      </c>
      <c r="I23" s="24" t="n">
        <v>1</v>
      </c>
      <c r="J23" s="25">
        <f>E23*F23*G23*H23*I23</f>
        <v/>
      </c>
      <c r="K23" s="20" t="n"/>
      <c r="L23" s="20" t="n"/>
    </row>
    <row r="24" ht="19" customHeight="1">
      <c r="A24" s="20" t="n"/>
      <c r="B24" s="20" t="n"/>
      <c r="C24" s="21" t="inlineStr">
        <is>
          <t>- Cốt thép cọc trụ T1 (8 cọc x 4.845 tấn/cọc)</t>
        </is>
      </c>
      <c r="D24" s="22" t="inlineStr">
        <is>
          <t>Tấn</t>
        </is>
      </c>
      <c r="E24" s="23" t="n">
        <v>8</v>
      </c>
      <c r="F24" s="23" t="n">
        <v>4.845</v>
      </c>
      <c r="G24" s="23" t="n">
        <v>1</v>
      </c>
      <c r="H24" s="23" t="n">
        <v>1</v>
      </c>
      <c r="I24" s="24" t="n">
        <v>1</v>
      </c>
      <c r="J24" s="25">
        <f>E24*F24*G24*H24*I24</f>
        <v/>
      </c>
      <c r="K24" s="20" t="n"/>
      <c r="L24" s="20" t="n"/>
    </row>
    <row r="25" ht="19" customHeight="1">
      <c r="A25" s="20" t="n"/>
      <c r="B25" s="20" t="n"/>
      <c r="C25" s="21" t="inlineStr">
        <is>
          <t>- Cốt thép cọc trụ T2 (8 cọc x 3.687 tấn/cọc)</t>
        </is>
      </c>
      <c r="D25" s="22" t="inlineStr">
        <is>
          <t>Tấn</t>
        </is>
      </c>
      <c r="E25" s="23" t="n">
        <v>8</v>
      </c>
      <c r="F25" s="23" t="n">
        <v>3.687</v>
      </c>
      <c r="G25" s="23" t="n">
        <v>1</v>
      </c>
      <c r="H25" s="23" t="n">
        <v>1</v>
      </c>
      <c r="I25" s="24" t="n">
        <v>1</v>
      </c>
      <c r="J25" s="25">
        <f>E25*F25*G25*H25*I25</f>
        <v/>
      </c>
      <c r="K25" s="20" t="n"/>
      <c r="L25" s="20" t="n"/>
    </row>
    <row r="26" ht="19" customHeight="1">
      <c r="A26" s="20" t="n"/>
      <c r="B26" s="20" t="n"/>
      <c r="C26" s="21" t="inlineStr">
        <is>
          <t>- Cốt thép cọc mố M2 (7 cọc x 4.721 tấn/cọc)</t>
        </is>
      </c>
      <c r="D26" s="22" t="inlineStr">
        <is>
          <t>Tấn</t>
        </is>
      </c>
      <c r="E26" s="23" t="n">
        <v>7</v>
      </c>
      <c r="F26" s="23" t="n">
        <v>4.721</v>
      </c>
      <c r="G26" s="23" t="n">
        <v>1</v>
      </c>
      <c r="H26" s="23" t="n">
        <v>1</v>
      </c>
      <c r="I26" s="24" t="n">
        <v>1</v>
      </c>
      <c r="J26" s="25">
        <f>E26*F26*G26*H26*I26</f>
        <v/>
      </c>
      <c r="K26" s="20" t="n"/>
      <c r="L26" s="20" t="n"/>
    </row>
    <row r="27" ht="22" customHeight="1">
      <c r="A27" s="15" t="inlineStr">
        <is>
          <t>5</t>
        </is>
      </c>
      <c r="B27" s="15" t="inlineStr">
        <is>
          <t>AC.13111</t>
        </is>
      </c>
      <c r="C27" s="16" t="inlineStr">
        <is>
          <t>Đập đầu cọc khoan nhồi nhô lên đáy bệ ngàm vào kết cấu</t>
        </is>
      </c>
      <c r="D27" s="15" t="inlineStr">
        <is>
          <t>m3</t>
        </is>
      </c>
      <c r="E27" s="9" t="n"/>
      <c r="F27" s="9" t="n"/>
      <c r="G27" s="9" t="n"/>
      <c r="H27" s="9" t="n"/>
      <c r="I27" s="9" t="n"/>
      <c r="J27" s="17">
        <f>SUM(J28:J28)</f>
        <v/>
      </c>
      <c r="K27" s="18" t="n">
        <v>550000</v>
      </c>
      <c r="L27" s="19">
        <f>J27*K27</f>
        <v/>
      </c>
    </row>
    <row r="28" ht="19" customHeight="1">
      <c r="A28" s="20" t="n"/>
      <c r="B28" s="20" t="n"/>
      <c r="C28" s="21" t="inlineStr">
        <is>
          <t>- Đập đầu 26 cọc khoan nhồi (chiều cao đập h=1.0m)</t>
        </is>
      </c>
      <c r="D28" s="22" t="inlineStr">
        <is>
          <t>m3</t>
        </is>
      </c>
      <c r="E28" s="23" t="n">
        <v>26</v>
      </c>
      <c r="F28" s="23" t="n">
        <v>1</v>
      </c>
      <c r="G28" s="23" t="n">
        <v>0.6</v>
      </c>
      <c r="H28" s="23" t="n">
        <v>0.6</v>
      </c>
      <c r="I28" s="24" t="n">
        <v>3.1416</v>
      </c>
      <c r="J28" s="25">
        <f>E28*F28*G28*H28*I28</f>
        <v/>
      </c>
      <c r="K28" s="20" t="n"/>
      <c r="L28" s="20" t="n"/>
    </row>
    <row r="29" ht="22" customHeight="1">
      <c r="A29" s="15" t="inlineStr">
        <is>
          <t>6</t>
        </is>
      </c>
      <c r="B29" s="15" t="inlineStr">
        <is>
          <t>TN.11111</t>
        </is>
      </c>
      <c r="C29" s="16" t="inlineStr">
        <is>
          <t>Thí nghiệm kiểm soát cọc (Siêu âm 156 mặt cắt, PDA 9434kN, lấy lõi 4 cọc)</t>
        </is>
      </c>
      <c r="D29" s="15" t="inlineStr">
        <is>
          <t>Gói</t>
        </is>
      </c>
      <c r="E29" s="9" t="n"/>
      <c r="F29" s="9" t="n"/>
      <c r="G29" s="9" t="n"/>
      <c r="H29" s="9" t="n"/>
      <c r="I29" s="9" t="n"/>
      <c r="J29" s="17">
        <f>SUM(J30:J30)</f>
        <v/>
      </c>
      <c r="K29" s="18" t="n">
        <v>450000000</v>
      </c>
      <c r="L29" s="19">
        <f>J29*K29</f>
        <v/>
      </c>
    </row>
    <row r="30" ht="19" customHeight="1">
      <c r="A30" s="20" t="n"/>
      <c r="B30" s="20" t="n"/>
      <c r="C30" s="21" t="inlineStr">
        <is>
          <t>- Gói thí nghiệm siêu âm 100% cọc, nén động PDA trụ T1 &amp; khoan lấy lõi</t>
        </is>
      </c>
      <c r="D30" s="22" t="inlineStr">
        <is>
          <t>Gói</t>
        </is>
      </c>
      <c r="E30" s="23" t="n">
        <v>1</v>
      </c>
      <c r="F30" s="23" t="n">
        <v>1</v>
      </c>
      <c r="G30" s="23" t="n">
        <v>1</v>
      </c>
      <c r="H30" s="23" t="n">
        <v>1</v>
      </c>
      <c r="I30" s="24" t="n">
        <v>1</v>
      </c>
      <c r="J30" s="25">
        <f>E30*F30*G30*H30*I30</f>
        <v/>
      </c>
      <c r="K30" s="20" t="n"/>
      <c r="L30" s="20" t="n"/>
    </row>
    <row r="31" ht="24" customHeight="1">
      <c r="A31" s="14" t="inlineStr">
        <is>
          <t>PHẦN II: KẾT CẤU PHẦN DƯỚI (BỆ, THÂN, XÀ MŨ MỐ M1, M2 &amp; TRỤ T1, T2)</t>
        </is>
      </c>
    </row>
    <row r="32" ht="22" customHeight="1">
      <c r="A32" s="15" t="inlineStr">
        <is>
          <t>7</t>
        </is>
      </c>
      <c r="B32" s="15" t="inlineStr">
        <is>
          <t>AB.11111</t>
        </is>
      </c>
      <c r="C32" s="16" t="inlineStr">
        <is>
          <t>Đào đất đá hố móng bệ mố M1, M2 và bệ trụ T1, T2 (Link Sheet Đào Đắp)</t>
        </is>
      </c>
      <c r="D32" s="15" t="inlineStr">
        <is>
          <t>m3</t>
        </is>
      </c>
      <c r="E32" s="9" t="n"/>
      <c r="F32" s="9" t="n"/>
      <c r="G32" s="9" t="n"/>
      <c r="H32" s="9" t="n"/>
      <c r="I32" s="9" t="n"/>
      <c r="J32" s="17">
        <f>SUM(J33:J33)</f>
        <v/>
      </c>
      <c r="K32" s="18" t="n">
        <v>145000</v>
      </c>
      <c r="L32" s="19">
        <f>J32*K32</f>
        <v/>
      </c>
    </row>
    <row r="33" ht="19" customHeight="1">
      <c r="A33" s="20" t="n"/>
      <c r="B33" s="20" t="n"/>
      <c r="C33" s="21" t="inlineStr">
        <is>
          <t>- Đào đất đá hố móng bệ mố M1,M2 &amp; bệ trụ T1,T2 → =KHOI_LUONG_DAO_DAP!F21</t>
        </is>
      </c>
      <c r="D33" s="22" t="inlineStr">
        <is>
          <t>m3</t>
        </is>
      </c>
      <c r="E33" s="23" t="n">
        <v>1</v>
      </c>
      <c r="F33" s="23" t="n">
        <v>1</v>
      </c>
      <c r="G33" s="23" t="n">
        <v>1</v>
      </c>
      <c r="H33" s="23" t="n">
        <v>1</v>
      </c>
      <c r="I33" s="24" t="n">
        <v>1</v>
      </c>
      <c r="J33" s="27" t="n">
        <v>6245</v>
      </c>
      <c r="K33" s="20" t="n"/>
      <c r="L33" s="20" t="n"/>
    </row>
    <row r="34" ht="22" customHeight="1">
      <c r="A34" s="15" t="inlineStr">
        <is>
          <t>8</t>
        </is>
      </c>
      <c r="B34" s="15" t="inlineStr">
        <is>
          <t>AF.11111</t>
        </is>
      </c>
      <c r="C34" s="16" t="inlineStr">
        <is>
          <t>Bê tông lót đáy bệ móng mác C10 dày 10cm</t>
        </is>
      </c>
      <c r="D34" s="15" t="inlineStr">
        <is>
          <t>m3</t>
        </is>
      </c>
      <c r="E34" s="9" t="n"/>
      <c r="F34" s="9" t="n"/>
      <c r="G34" s="9" t="n"/>
      <c r="H34" s="9" t="n"/>
      <c r="I34" s="9" t="n"/>
      <c r="J34" s="17">
        <f>SUM(J35:J38)</f>
        <v/>
      </c>
      <c r="K34" s="18" t="n">
        <v>1150000</v>
      </c>
      <c r="L34" s="19">
        <f>J34*K34</f>
        <v/>
      </c>
    </row>
    <row r="35" ht="19" customHeight="1">
      <c r="A35" s="20" t="n"/>
      <c r="B35" s="20" t="n"/>
      <c r="C35" s="21" t="inlineStr">
        <is>
          <t>- Lớp bê tông lót đáy bệ mố M1 chân dê</t>
        </is>
      </c>
      <c r="D35" s="22" t="inlineStr">
        <is>
          <t>m3</t>
        </is>
      </c>
      <c r="E35" s="23" t="n">
        <v>1</v>
      </c>
      <c r="F35" s="23" t="n">
        <v>12.5</v>
      </c>
      <c r="G35" s="23" t="n">
        <v>6</v>
      </c>
      <c r="H35" s="23" t="n">
        <v>0.1</v>
      </c>
      <c r="I35" s="24" t="n">
        <v>1</v>
      </c>
      <c r="J35" s="25">
        <f>E35*F35*G35*H35*I35</f>
        <v/>
      </c>
      <c r="K35" s="20" t="n"/>
      <c r="L35" s="20" t="n"/>
    </row>
    <row r="36" ht="19" customHeight="1">
      <c r="A36" s="20" t="n"/>
      <c r="B36" s="20" t="n"/>
      <c r="C36" s="21" t="inlineStr">
        <is>
          <t>- Lớp bê tông lót đáy bệ mố M2 chữ U</t>
        </is>
      </c>
      <c r="D36" s="22" t="inlineStr">
        <is>
          <t>m3</t>
        </is>
      </c>
      <c r="E36" s="23" t="n">
        <v>1</v>
      </c>
      <c r="F36" s="23" t="n">
        <v>14</v>
      </c>
      <c r="G36" s="23" t="n">
        <v>6.5</v>
      </c>
      <c r="H36" s="23" t="n">
        <v>0.1</v>
      </c>
      <c r="I36" s="24" t="n">
        <v>1</v>
      </c>
      <c r="J36" s="25">
        <f>E36*F36*G36*H36*I36</f>
        <v/>
      </c>
      <c r="K36" s="20" t="n"/>
      <c r="L36" s="20" t="n"/>
    </row>
    <row r="37" ht="19" customHeight="1">
      <c r="A37" s="20" t="n"/>
      <c r="B37" s="20" t="n"/>
      <c r="C37" s="21" t="inlineStr">
        <is>
          <t>- Lớp bê tông lót đáy bệ trụ T1</t>
        </is>
      </c>
      <c r="D37" s="22" t="inlineStr">
        <is>
          <t>m3</t>
        </is>
      </c>
      <c r="E37" s="23" t="n">
        <v>1</v>
      </c>
      <c r="F37" s="23" t="n">
        <v>13</v>
      </c>
      <c r="G37" s="23" t="n">
        <v>6.5</v>
      </c>
      <c r="H37" s="23" t="n">
        <v>0.1</v>
      </c>
      <c r="I37" s="24" t="n">
        <v>1</v>
      </c>
      <c r="J37" s="25">
        <f>E37*F37*G37*H37*I37</f>
        <v/>
      </c>
      <c r="K37" s="20" t="n"/>
      <c r="L37" s="20" t="n"/>
    </row>
    <row r="38" ht="19" customHeight="1">
      <c r="A38" s="20" t="n"/>
      <c r="B38" s="20" t="n"/>
      <c r="C38" s="21" t="inlineStr">
        <is>
          <t>- Lớp bê tông lót đáy bệ trụ T2</t>
        </is>
      </c>
      <c r="D38" s="22" t="inlineStr">
        <is>
          <t>m3</t>
        </is>
      </c>
      <c r="E38" s="23" t="n">
        <v>1</v>
      </c>
      <c r="F38" s="23" t="n">
        <v>13</v>
      </c>
      <c r="G38" s="23" t="n">
        <v>6.5</v>
      </c>
      <c r="H38" s="23" t="n">
        <v>0.1</v>
      </c>
      <c r="I38" s="24" t="n">
        <v>1</v>
      </c>
      <c r="J38" s="25">
        <f>E38*F38*G38*H38*I38</f>
        <v/>
      </c>
      <c r="K38" s="20" t="n"/>
      <c r="L38" s="20" t="n"/>
    </row>
    <row r="39" ht="22" customHeight="1">
      <c r="A39" s="15" t="inlineStr">
        <is>
          <t>9</t>
        </is>
      </c>
      <c r="B39" s="15" t="inlineStr">
        <is>
          <t>AF.12111</t>
        </is>
      </c>
      <c r="C39" s="16" t="inlineStr">
        <is>
          <t>Bê tông bệ móng mố M1, M2 và bệ trụ T1, T2 mác C30</t>
        </is>
      </c>
      <c r="D39" s="15" t="inlineStr">
        <is>
          <t>m3</t>
        </is>
      </c>
      <c r="E39" s="9" t="n"/>
      <c r="F39" s="9" t="n"/>
      <c r="G39" s="9" t="n"/>
      <c r="H39" s="9" t="n"/>
      <c r="I39" s="9" t="n"/>
      <c r="J39" s="17">
        <f>SUM(J40:J43)</f>
        <v/>
      </c>
      <c r="K39" s="18" t="n">
        <v>1480000</v>
      </c>
      <c r="L39" s="19">
        <f>J39*K39</f>
        <v/>
      </c>
    </row>
    <row r="40" ht="19" customHeight="1">
      <c r="A40" s="20" t="n"/>
      <c r="B40" s="20" t="n"/>
      <c r="C40" s="21" t="inlineStr">
        <is>
          <t>- Bệ móng mố M1 chân dê (chiều cao bệ h=2.0m)</t>
        </is>
      </c>
      <c r="D40" s="22" t="inlineStr">
        <is>
          <t>m3</t>
        </is>
      </c>
      <c r="E40" s="23" t="n">
        <v>1</v>
      </c>
      <c r="F40" s="23" t="n">
        <v>12</v>
      </c>
      <c r="G40" s="23" t="n">
        <v>5.5</v>
      </c>
      <c r="H40" s="23" t="n">
        <v>2</v>
      </c>
      <c r="I40" s="24" t="n">
        <v>1.1287</v>
      </c>
      <c r="J40" s="25">
        <f>E40*F40*G40*H40*I40</f>
        <v/>
      </c>
      <c r="K40" s="20" t="n"/>
      <c r="L40" s="20" t="n"/>
    </row>
    <row r="41" ht="19" customHeight="1">
      <c r="A41" s="20" t="n"/>
      <c r="B41" s="20" t="n"/>
      <c r="C41" s="21" t="inlineStr">
        <is>
          <t>- Bệ móng mố M2 chữ U (chiều cao bệ h=2.0m)</t>
        </is>
      </c>
      <c r="D41" s="22" t="inlineStr">
        <is>
          <t>m3</t>
        </is>
      </c>
      <c r="E41" s="23" t="n">
        <v>1</v>
      </c>
      <c r="F41" s="23" t="n">
        <v>13.5</v>
      </c>
      <c r="G41" s="23" t="n">
        <v>5.5</v>
      </c>
      <c r="H41" s="23" t="n">
        <v>2</v>
      </c>
      <c r="I41" s="24" t="n">
        <v>1.0033</v>
      </c>
      <c r="J41" s="25">
        <f>E41*F41*G41*H41*I41</f>
        <v/>
      </c>
      <c r="K41" s="20" t="n"/>
      <c r="L41" s="20" t="n"/>
    </row>
    <row r="42" ht="19" customHeight="1">
      <c r="A42" s="20" t="n"/>
      <c r="B42" s="20" t="n"/>
      <c r="C42" s="21" t="inlineStr">
        <is>
          <t>- Bệ móng trụ T1 thân đặc (chiều cao bệ h=2.5m)</t>
        </is>
      </c>
      <c r="D42" s="22" t="inlineStr">
        <is>
          <t>m3</t>
        </is>
      </c>
      <c r="E42" s="23" t="n">
        <v>1</v>
      </c>
      <c r="F42" s="23" t="n">
        <v>12.3</v>
      </c>
      <c r="G42" s="23" t="n">
        <v>6</v>
      </c>
      <c r="H42" s="23" t="n">
        <v>2.5</v>
      </c>
      <c r="I42" s="24" t="n">
        <v>1</v>
      </c>
      <c r="J42" s="25">
        <f>E42*F42*G42*H42*I42</f>
        <v/>
      </c>
      <c r="K42" s="20" t="n"/>
      <c r="L42" s="20" t="n"/>
    </row>
    <row r="43" ht="19" customHeight="1">
      <c r="A43" s="20" t="n"/>
      <c r="B43" s="20" t="n"/>
      <c r="C43" s="21" t="inlineStr">
        <is>
          <t>- Bệ móng trụ T2 thân đặc (chiều cao bệ h=2.5m)</t>
        </is>
      </c>
      <c r="D43" s="22" t="inlineStr">
        <is>
          <t>m3</t>
        </is>
      </c>
      <c r="E43" s="23" t="n">
        <v>1</v>
      </c>
      <c r="F43" s="23" t="n">
        <v>12.3</v>
      </c>
      <c r="G43" s="23" t="n">
        <v>6</v>
      </c>
      <c r="H43" s="23" t="n">
        <v>2.5</v>
      </c>
      <c r="I43" s="24" t="n">
        <v>1</v>
      </c>
      <c r="J43" s="25">
        <f>E43*F43*G43*H43*I43</f>
        <v/>
      </c>
      <c r="K43" s="20" t="n"/>
      <c r="L43" s="20" t="n"/>
    </row>
    <row r="44" ht="22" customHeight="1">
      <c r="A44" s="15" t="inlineStr">
        <is>
          <t>10</t>
        </is>
      </c>
      <c r="B44" s="15" t="inlineStr">
        <is>
          <t>AF.12211</t>
        </is>
      </c>
      <c r="C44" s="16" t="inlineStr">
        <is>
          <t>Bê tông thân mố chân dê M1 và mố chữ U M2 mác C30</t>
        </is>
      </c>
      <c r="D44" s="15" t="inlineStr">
        <is>
          <t>m3</t>
        </is>
      </c>
      <c r="E44" s="9" t="n"/>
      <c r="F44" s="9" t="n"/>
      <c r="G44" s="9" t="n"/>
      <c r="H44" s="9" t="n"/>
      <c r="I44" s="9" t="n"/>
      <c r="J44" s="17">
        <f>SUM(J45:J46)</f>
        <v/>
      </c>
      <c r="K44" s="18" t="n">
        <v>1520000</v>
      </c>
      <c r="L44" s="19">
        <f>J44*K44</f>
        <v/>
      </c>
    </row>
    <row r="45" ht="19" customHeight="1">
      <c r="A45" s="20" t="n"/>
      <c r="B45" s="20" t="n"/>
      <c r="C45" s="21" t="inlineStr">
        <is>
          <t>- Thân mố M1 chân dê</t>
        </is>
      </c>
      <c r="D45" s="22" t="inlineStr">
        <is>
          <t>m3</t>
        </is>
      </c>
      <c r="E45" s="23" t="n">
        <v>1</v>
      </c>
      <c r="F45" s="23" t="n">
        <v>11.75</v>
      </c>
      <c r="G45" s="23" t="n">
        <v>1.2</v>
      </c>
      <c r="H45" s="23" t="n">
        <v>6</v>
      </c>
      <c r="I45" s="24" t="n">
        <v>1</v>
      </c>
      <c r="J45" s="25">
        <f>E45*F45*G45*H45*I45</f>
        <v/>
      </c>
      <c r="K45" s="20" t="n"/>
      <c r="L45" s="20" t="n"/>
    </row>
    <row r="46" ht="19" customHeight="1">
      <c r="A46" s="20" t="n"/>
      <c r="B46" s="20" t="n"/>
      <c r="C46" s="21" t="inlineStr">
        <is>
          <t>- Thân mố M2 chữ U (tường thân trước)</t>
        </is>
      </c>
      <c r="D46" s="22" t="inlineStr">
        <is>
          <t>m3</t>
        </is>
      </c>
      <c r="E46" s="23" t="n">
        <v>1</v>
      </c>
      <c r="F46" s="23" t="n">
        <v>11.75</v>
      </c>
      <c r="G46" s="23" t="n">
        <v>1.2</v>
      </c>
      <c r="H46" s="23" t="n">
        <v>6</v>
      </c>
      <c r="I46" s="24" t="n">
        <v>1</v>
      </c>
      <c r="J46" s="25">
        <f>E46*F46*G46*H46*I46</f>
        <v/>
      </c>
      <c r="K46" s="20" t="n"/>
      <c r="L46" s="20" t="n"/>
    </row>
    <row r="47" ht="22" customHeight="1">
      <c r="A47" s="15" t="inlineStr">
        <is>
          <t>11</t>
        </is>
      </c>
      <c r="B47" s="15" t="inlineStr">
        <is>
          <t>AF.12311</t>
        </is>
      </c>
      <c r="C47" s="16" t="inlineStr">
        <is>
          <t>Bê tông tường cánh và tường đỉnh mố M1, M2 mác C30</t>
        </is>
      </c>
      <c r="D47" s="15" t="inlineStr">
        <is>
          <t>m3</t>
        </is>
      </c>
      <c r="E47" s="9" t="n"/>
      <c r="F47" s="9" t="n"/>
      <c r="G47" s="9" t="n"/>
      <c r="H47" s="9" t="n"/>
      <c r="I47" s="9" t="n"/>
      <c r="J47" s="17">
        <f>SUM(J48:J49)</f>
        <v/>
      </c>
      <c r="K47" s="18" t="n">
        <v>1520000</v>
      </c>
      <c r="L47" s="19">
        <f>J47*K47</f>
        <v/>
      </c>
    </row>
    <row r="48" ht="19" customHeight="1">
      <c r="A48" s="20" t="n"/>
      <c r="B48" s="20" t="n"/>
      <c r="C48" s="21" t="inlineStr">
        <is>
          <t>- Tường đỉnh mố M1 và M2</t>
        </is>
      </c>
      <c r="D48" s="22" t="inlineStr">
        <is>
          <t>m3</t>
        </is>
      </c>
      <c r="E48" s="23" t="n">
        <v>2</v>
      </c>
      <c r="F48" s="23" t="n">
        <v>11.75</v>
      </c>
      <c r="G48" s="23" t="n">
        <v>0.45</v>
      </c>
      <c r="H48" s="23" t="n">
        <v>2.71</v>
      </c>
      <c r="I48" s="24" t="n">
        <v>1</v>
      </c>
      <c r="J48" s="25">
        <f>E48*F48*G48*H48*I48</f>
        <v/>
      </c>
      <c r="K48" s="20" t="n"/>
      <c r="L48" s="20" t="n"/>
    </row>
    <row r="49" ht="19" customHeight="1">
      <c r="A49" s="20" t="n"/>
      <c r="B49" s="20" t="n"/>
      <c r="C49" s="21" t="inlineStr">
        <is>
          <t>- Tường cánh mố M1 và M2 (4 tường cánh vát)</t>
        </is>
      </c>
      <c r="D49" s="22" t="inlineStr">
        <is>
          <t>m3</t>
        </is>
      </c>
      <c r="E49" s="23" t="n">
        <v>4</v>
      </c>
      <c r="F49" s="23" t="n">
        <v>7.5</v>
      </c>
      <c r="G49" s="23" t="n">
        <v>0.4</v>
      </c>
      <c r="H49" s="23" t="n">
        <v>4.22</v>
      </c>
      <c r="I49" s="24" t="n">
        <v>0.4</v>
      </c>
      <c r="J49" s="25">
        <f>E49*F49*G49*H49*I49</f>
        <v/>
      </c>
      <c r="K49" s="20" t="n"/>
      <c r="L49" s="20" t="n"/>
    </row>
    <row r="50" ht="22" customHeight="1">
      <c r="A50" s="15" t="inlineStr">
        <is>
          <t>12</t>
        </is>
      </c>
      <c r="B50" s="15" t="inlineStr">
        <is>
          <t>AF.13111</t>
        </is>
      </c>
      <c r="C50" s="16" t="inlineStr">
        <is>
          <t>Bê tông thân đặc trụ T1 và T2 mác C30</t>
        </is>
      </c>
      <c r="D50" s="15" t="inlineStr">
        <is>
          <t>m3</t>
        </is>
      </c>
      <c r="E50" s="9" t="n"/>
      <c r="F50" s="9" t="n"/>
      <c r="G50" s="9" t="n"/>
      <c r="H50" s="9" t="n"/>
      <c r="I50" s="9" t="n"/>
      <c r="J50" s="17">
        <f>SUM(J51:J52)</f>
        <v/>
      </c>
      <c r="K50" s="18" t="n">
        <v>1550000</v>
      </c>
      <c r="L50" s="19">
        <f>J50*K50</f>
        <v/>
      </c>
    </row>
    <row r="51" ht="19" customHeight="1">
      <c r="A51" s="20" t="n"/>
      <c r="B51" s="20" t="n"/>
      <c r="C51" s="21" t="inlineStr">
        <is>
          <t>- Thân đặc trụ T1 (chiều cao trụ H=14.5m)</t>
        </is>
      </c>
      <c r="D51" s="22" t="inlineStr">
        <is>
          <t>m3</t>
        </is>
      </c>
      <c r="E51" s="23" t="n">
        <v>1</v>
      </c>
      <c r="F51" s="23" t="n">
        <v>9.75</v>
      </c>
      <c r="G51" s="23" t="n">
        <v>2</v>
      </c>
      <c r="H51" s="23" t="n">
        <v>14.5</v>
      </c>
      <c r="I51" s="24" t="n">
        <v>0.995</v>
      </c>
      <c r="J51" s="25">
        <f>E51*F51*G51*H51*I51</f>
        <v/>
      </c>
      <c r="K51" s="20" t="n"/>
      <c r="L51" s="20" t="n"/>
    </row>
    <row r="52" ht="19" customHeight="1">
      <c r="A52" s="20" t="n"/>
      <c r="B52" s="20" t="n"/>
      <c r="C52" s="21" t="inlineStr">
        <is>
          <t>- Thân đặc trụ T2 (chiều cao trụ H=11.4m)</t>
        </is>
      </c>
      <c r="D52" s="22" t="inlineStr">
        <is>
          <t>m3</t>
        </is>
      </c>
      <c r="E52" s="23" t="n">
        <v>1</v>
      </c>
      <c r="F52" s="23" t="n">
        <v>9.75</v>
      </c>
      <c r="G52" s="23" t="n">
        <v>2</v>
      </c>
      <c r="H52" s="23" t="n">
        <v>11.4</v>
      </c>
      <c r="I52" s="24" t="n">
        <v>0.995</v>
      </c>
      <c r="J52" s="25">
        <f>E52*F52*G52*H52*I52</f>
        <v/>
      </c>
      <c r="K52" s="20" t="n"/>
      <c r="L52" s="20" t="n"/>
    </row>
    <row r="53" ht="22" customHeight="1">
      <c r="A53" s="15" t="inlineStr">
        <is>
          <t>13</t>
        </is>
      </c>
      <c r="B53" s="15" t="inlineStr">
        <is>
          <t>AF.13211</t>
        </is>
      </c>
      <c r="C53" s="16" t="inlineStr">
        <is>
          <t>Bê tông xà mũ trụ T1, T2 mác C30</t>
        </is>
      </c>
      <c r="D53" s="15" t="inlineStr">
        <is>
          <t>m3</t>
        </is>
      </c>
      <c r="E53" s="9" t="n"/>
      <c r="F53" s="9" t="n"/>
      <c r="G53" s="9" t="n"/>
      <c r="H53" s="9" t="n"/>
      <c r="I53" s="9" t="n"/>
      <c r="J53" s="17">
        <f>SUM(J54:J55)</f>
        <v/>
      </c>
      <c r="K53" s="18" t="n">
        <v>1580000</v>
      </c>
      <c r="L53" s="19">
        <f>J53*K53</f>
        <v/>
      </c>
    </row>
    <row r="54" ht="19" customHeight="1">
      <c r="A54" s="20" t="n"/>
      <c r="B54" s="20" t="n"/>
      <c r="C54" s="21" t="inlineStr">
        <is>
          <t>- Xà mũ trụ T1 (kích thước vát 12.3m x 3.3m x 1.8m)</t>
        </is>
      </c>
      <c r="D54" s="22" t="inlineStr">
        <is>
          <t>m3</t>
        </is>
      </c>
      <c r="E54" s="23" t="n">
        <v>1</v>
      </c>
      <c r="F54" s="23" t="n">
        <v>12.3</v>
      </c>
      <c r="G54" s="23" t="n">
        <v>3.3</v>
      </c>
      <c r="H54" s="23" t="n">
        <v>1.8</v>
      </c>
      <c r="I54" s="24" t="n">
        <v>1</v>
      </c>
      <c r="J54" s="25">
        <f>E54*F54*G54*H54*I54</f>
        <v/>
      </c>
      <c r="K54" s="20" t="n"/>
      <c r="L54" s="20" t="n"/>
    </row>
    <row r="55" ht="19" customHeight="1">
      <c r="A55" s="20" t="n"/>
      <c r="B55" s="20" t="n"/>
      <c r="C55" s="21" t="inlineStr">
        <is>
          <t>- Xà mũ trụ T2 (kích thước vát 12.3m x 3.3m x 1.8m)</t>
        </is>
      </c>
      <c r="D55" s="22" t="inlineStr">
        <is>
          <t>m3</t>
        </is>
      </c>
      <c r="E55" s="23" t="n">
        <v>1</v>
      </c>
      <c r="F55" s="23" t="n">
        <v>12.3</v>
      </c>
      <c r="G55" s="23" t="n">
        <v>3.3</v>
      </c>
      <c r="H55" s="23" t="n">
        <v>1.8</v>
      </c>
      <c r="I55" s="24" t="n">
        <v>1</v>
      </c>
      <c r="J55" s="25">
        <f>E55*F55*G55*H55*I55</f>
        <v/>
      </c>
      <c r="K55" s="20" t="n"/>
      <c r="L55" s="20" t="n"/>
    </row>
    <row r="56" ht="22" customHeight="1">
      <c r="A56" s="15" t="inlineStr">
        <is>
          <t>14</t>
        </is>
      </c>
      <c r="B56" s="15" t="inlineStr">
        <is>
          <t>AF.62111</t>
        </is>
      </c>
      <c r="C56" s="16" t="inlineStr">
        <is>
          <t>Cốt thép mố và trụ (D&lt;=10, 10&lt;D&lt;=18, D&gt;18)</t>
        </is>
      </c>
      <c r="D56" s="15" t="inlineStr">
        <is>
          <t>Tấn</t>
        </is>
      </c>
      <c r="E56" s="9" t="n"/>
      <c r="F56" s="9" t="n"/>
      <c r="G56" s="9" t="n"/>
      <c r="H56" s="9" t="n"/>
      <c r="I56" s="9" t="n"/>
      <c r="J56" s="26" t="n">
        <v>224.6522560819999</v>
      </c>
      <c r="K56" s="18" t="n">
        <v>18500000</v>
      </c>
      <c r="L56" s="19">
        <f>J56*K56</f>
        <v/>
      </c>
    </row>
    <row r="57" ht="19" customHeight="1">
      <c r="A57" s="20" t="n"/>
      <c r="B57" s="20" t="n"/>
      <c r="C57" s="21" t="inlineStr">
        <is>
          <t>- Cốt thép mố M1 (tổng hợp bản vẽ Trang 31)</t>
        </is>
      </c>
      <c r="D57" s="22" t="inlineStr">
        <is>
          <t>Tấn</t>
        </is>
      </c>
      <c r="E57" s="23" t="n">
        <v>1</v>
      </c>
      <c r="F57" s="23" t="n">
        <v>23.45</v>
      </c>
      <c r="G57" s="23" t="n">
        <v>1</v>
      </c>
      <c r="H57" s="23" t="n">
        <v>1</v>
      </c>
      <c r="I57" s="24" t="n">
        <v>1</v>
      </c>
      <c r="J57" s="25">
        <f>E57*F57*G57*H57*I57</f>
        <v/>
      </c>
      <c r="K57" s="20" t="n"/>
      <c r="L57" s="20" t="n"/>
    </row>
    <row r="58" ht="19" customHeight="1">
      <c r="A58" s="20" t="n"/>
      <c r="B58" s="20" t="n"/>
      <c r="C58" s="21" t="inlineStr">
        <is>
          <t>- Cốt thép mố M2 (tổng hợp bản vẽ Trang 40)</t>
        </is>
      </c>
      <c r="D58" s="22" t="inlineStr">
        <is>
          <t>Tấn</t>
        </is>
      </c>
      <c r="E58" s="23" t="n">
        <v>1</v>
      </c>
      <c r="F58" s="23" t="n">
        <v>31.85</v>
      </c>
      <c r="G58" s="23" t="n">
        <v>1</v>
      </c>
      <c r="H58" s="23" t="n">
        <v>1</v>
      </c>
      <c r="I58" s="24" t="n">
        <v>1</v>
      </c>
      <c r="J58" s="25">
        <f>E58*F58*G58*H58*I58</f>
        <v/>
      </c>
      <c r="K58" s="20" t="n"/>
      <c r="L58" s="20" t="n"/>
    </row>
    <row r="59" ht="19" customHeight="1">
      <c r="A59" s="20" t="n"/>
      <c r="B59" s="20" t="n"/>
      <c r="C59" s="21" t="inlineStr">
        <is>
          <t>- Cốt thép trụ T1 (bệ, thân, xà mũ)</t>
        </is>
      </c>
      <c r="D59" s="22" t="inlineStr">
        <is>
          <t>Tấn</t>
        </is>
      </c>
      <c r="E59" s="23" t="n">
        <v>1</v>
      </c>
      <c r="F59" s="23" t="n">
        <v>38.6</v>
      </c>
      <c r="G59" s="23" t="n">
        <v>1</v>
      </c>
      <c r="H59" s="23" t="n">
        <v>1</v>
      </c>
      <c r="I59" s="24" t="n">
        <v>1</v>
      </c>
      <c r="J59" s="25">
        <f>E59*F59*G59*H59*I59</f>
        <v/>
      </c>
      <c r="K59" s="20" t="n"/>
      <c r="L59" s="20" t="n"/>
    </row>
    <row r="60" ht="19" customHeight="1">
      <c r="A60" s="20" t="n"/>
      <c r="B60" s="20" t="n"/>
      <c r="C60" s="21" t="inlineStr">
        <is>
          <t>- Cốt thép trụ T2 (bệ, thân, xà mũ)</t>
        </is>
      </c>
      <c r="D60" s="22" t="inlineStr">
        <is>
          <t>Tấn</t>
        </is>
      </c>
      <c r="E60" s="23" t="n">
        <v>1</v>
      </c>
      <c r="F60" s="23" t="n">
        <v>34.2</v>
      </c>
      <c r="G60" s="23" t="n">
        <v>1</v>
      </c>
      <c r="H60" s="23" t="n">
        <v>1</v>
      </c>
      <c r="I60" s="24" t="n">
        <v>1</v>
      </c>
      <c r="J60" s="25">
        <f>E60*F60*G60*H60*I60</f>
        <v/>
      </c>
      <c r="K60" s="20" t="n"/>
      <c r="L60" s="20" t="n"/>
    </row>
    <row r="61" ht="24" customHeight="1">
      <c r="A61" s="14" t="inlineStr">
        <is>
          <t>PHẦN III: KẾT CẤU PHẦN TRÊN (15 PHIẾN DẦM SUPER-T L=38.2M, BẢN MẶT CẦU)</t>
        </is>
      </c>
    </row>
    <row r="62" ht="22" customHeight="1">
      <c r="A62" s="15" t="inlineStr">
        <is>
          <t>15</t>
        </is>
      </c>
      <c r="B62" s="15" t="inlineStr">
        <is>
          <t>AF.31111</t>
        </is>
      </c>
      <c r="C62" s="16" t="inlineStr">
        <is>
          <t>Bê tông dầm chủ Super-T L=38.2m mác cao C45/55</t>
        </is>
      </c>
      <c r="D62" s="15" t="inlineStr">
        <is>
          <t>m3</t>
        </is>
      </c>
      <c r="E62" s="9" t="n"/>
      <c r="F62" s="9" t="n"/>
      <c r="G62" s="9" t="n"/>
      <c r="H62" s="9" t="n"/>
      <c r="I62" s="9" t="n"/>
      <c r="J62" s="17">
        <f>SUM(J63:J63)</f>
        <v/>
      </c>
      <c r="K62" s="18" t="n">
        <v>2150000</v>
      </c>
      <c r="L62" s="19">
        <f>J62*K62</f>
        <v/>
      </c>
    </row>
    <row r="63" ht="19" customHeight="1">
      <c r="A63" s="20" t="n"/>
      <c r="B63" s="20" t="n"/>
      <c r="C63" s="21" t="inlineStr">
        <is>
          <t>- Bê tông 15 phiến dầm Super-T (chiều dài L=38.2m, F_tb=0.759m2)</t>
        </is>
      </c>
      <c r="D63" s="22" t="inlineStr">
        <is>
          <t>m3</t>
        </is>
      </c>
      <c r="E63" s="23" t="n">
        <v>15</v>
      </c>
      <c r="F63" s="23" t="n">
        <v>38.2</v>
      </c>
      <c r="G63" s="23" t="n">
        <v>0.759</v>
      </c>
      <c r="H63" s="23" t="n">
        <v>1</v>
      </c>
      <c r="I63" s="24" t="n">
        <v>1</v>
      </c>
      <c r="J63" s="25">
        <f>E63*F63*G63*H63*I63</f>
        <v/>
      </c>
      <c r="K63" s="20" t="n"/>
      <c r="L63" s="20" t="n"/>
    </row>
    <row r="64" ht="22" customHeight="1">
      <c r="A64" s="15" t="inlineStr">
        <is>
          <t>16</t>
        </is>
      </c>
      <c r="B64" s="15" t="inlineStr">
        <is>
          <t>AF.63111</t>
        </is>
      </c>
      <c r="C64" s="16" t="inlineStr">
        <is>
          <t>Cáp dự ứng lực tao xoắn 15.2mm Grade 270 kéo căng trước/sau</t>
        </is>
      </c>
      <c r="D64" s="15" t="inlineStr">
        <is>
          <t>Tấn</t>
        </is>
      </c>
      <c r="E64" s="9" t="n"/>
      <c r="F64" s="9" t="n"/>
      <c r="G64" s="9" t="n"/>
      <c r="H64" s="9" t="n"/>
      <c r="I64" s="9" t="n"/>
      <c r="J64" s="26" t="n">
        <v>27.78362400000001</v>
      </c>
      <c r="K64" s="18" t="n">
        <v>42000000</v>
      </c>
      <c r="L64" s="19">
        <f>J64*K64</f>
        <v/>
      </c>
    </row>
    <row r="65" ht="19" customHeight="1">
      <c r="A65" s="20" t="n"/>
      <c r="B65" s="20" t="n"/>
      <c r="C65" s="21" t="inlineStr">
        <is>
          <t>- Cáp DUL 15 phiến dầm Super-T (15 phiến x 1.994 tấn/phiến)</t>
        </is>
      </c>
      <c r="D65" s="22" t="inlineStr">
        <is>
          <t>Tấn</t>
        </is>
      </c>
      <c r="E65" s="23" t="n">
        <v>15</v>
      </c>
      <c r="F65" s="23" t="n">
        <v>1.994</v>
      </c>
      <c r="G65" s="23" t="n">
        <v>1</v>
      </c>
      <c r="H65" s="23" t="n">
        <v>1</v>
      </c>
      <c r="I65" s="24" t="n">
        <v>1</v>
      </c>
      <c r="J65" s="25">
        <f>E65*F65*G65*H65*I65</f>
        <v/>
      </c>
      <c r="K65" s="20" t="n"/>
      <c r="L65" s="20" t="n"/>
    </row>
    <row r="66" ht="22" customHeight="1">
      <c r="A66" s="15" t="inlineStr">
        <is>
          <t>17</t>
        </is>
      </c>
      <c r="B66" s="15" t="inlineStr">
        <is>
          <t>AF.64111</t>
        </is>
      </c>
      <c r="C66" s="16" t="inlineStr">
        <is>
          <t>Cốt thép thường dầm chủ Super-T (D10, D14, D16, D20)</t>
        </is>
      </c>
      <c r="D66" s="15" t="inlineStr">
        <is>
          <t>Tấn</t>
        </is>
      </c>
      <c r="E66" s="9" t="n"/>
      <c r="F66" s="9" t="n"/>
      <c r="G66" s="9" t="n"/>
      <c r="H66" s="9" t="n"/>
      <c r="I66" s="9" t="n"/>
      <c r="J66" s="26" t="n">
        <v>361.5960984</v>
      </c>
      <c r="K66" s="18" t="n">
        <v>18800000</v>
      </c>
      <c r="L66" s="19">
        <f>J66*K66</f>
        <v/>
      </c>
    </row>
    <row r="67" ht="19" customHeight="1">
      <c r="A67" s="20" t="n"/>
      <c r="B67" s="20" t="n"/>
      <c r="C67" s="21" t="inlineStr">
        <is>
          <t>- Cốt thép thường 15 phiến dầm Super-T (15 phiến x 6.042 tấn/phiến)</t>
        </is>
      </c>
      <c r="D67" s="22" t="inlineStr">
        <is>
          <t>Tấn</t>
        </is>
      </c>
      <c r="E67" s="23" t="n">
        <v>15</v>
      </c>
      <c r="F67" s="23" t="n">
        <v>6.042</v>
      </c>
      <c r="G67" s="23" t="n">
        <v>1</v>
      </c>
      <c r="H67" s="23" t="n">
        <v>1</v>
      </c>
      <c r="I67" s="24" t="n">
        <v>1</v>
      </c>
      <c r="J67" s="25">
        <f>E67*F67*G67*H67*I67</f>
        <v/>
      </c>
      <c r="K67" s="20" t="n"/>
      <c r="L67" s="20" t="n"/>
    </row>
    <row r="68" ht="22" customHeight="1">
      <c r="A68" s="15" t="inlineStr">
        <is>
          <t>18</t>
        </is>
      </c>
      <c r="B68" s="15" t="inlineStr">
        <is>
          <t>AC.21111</t>
        </is>
      </c>
      <c r="C68" s="16" t="inlineStr">
        <is>
          <t>Vận chuyển và lao lắp 15 phiến dầm Super-T bằng giá lao dầm ray P43</t>
        </is>
      </c>
      <c r="D68" s="15" t="inlineStr">
        <is>
          <t>Phiến</t>
        </is>
      </c>
      <c r="E68" s="9" t="n"/>
      <c r="F68" s="9" t="n"/>
      <c r="G68" s="9" t="n"/>
      <c r="H68" s="9" t="n"/>
      <c r="I68" s="9" t="n"/>
      <c r="J68" s="17">
        <f>SUM(J69:J69)</f>
        <v/>
      </c>
      <c r="K68" s="18" t="n">
        <v>18500000</v>
      </c>
      <c r="L68" s="19">
        <f>J68*K68</f>
        <v/>
      </c>
    </row>
    <row r="69" ht="19" customHeight="1">
      <c r="A69" s="20" t="n"/>
      <c r="B69" s="20" t="n"/>
      <c r="C69" s="21" t="inlineStr">
        <is>
          <t>- Lao lắp hoàn chỉnh 15 phiến dầm vào 3 nhịp (3 nhịp x 5 phiến)</t>
        </is>
      </c>
      <c r="D69" s="22" t="inlineStr">
        <is>
          <t>Phiến</t>
        </is>
      </c>
      <c r="E69" s="23" t="n">
        <v>3</v>
      </c>
      <c r="F69" s="23" t="n">
        <v>5</v>
      </c>
      <c r="G69" s="23" t="n">
        <v>1</v>
      </c>
      <c r="H69" s="23" t="n">
        <v>1</v>
      </c>
      <c r="I69" s="24" t="n">
        <v>1</v>
      </c>
      <c r="J69" s="25">
        <f>E69*F69*G69*H69*I69</f>
        <v/>
      </c>
      <c r="K69" s="20" t="n"/>
      <c r="L69" s="20" t="n"/>
    </row>
    <row r="70" ht="22" customHeight="1">
      <c r="A70" s="15" t="inlineStr">
        <is>
          <t>19</t>
        </is>
      </c>
      <c r="B70" s="15" t="inlineStr">
        <is>
          <t>AF.32111</t>
        </is>
      </c>
      <c r="C70" s="16" t="inlineStr">
        <is>
          <t>Gối chậu cao su di động đơn hướng và song hướng</t>
        </is>
      </c>
      <c r="D70" s="15" t="inlineStr">
        <is>
          <t>Cái</t>
        </is>
      </c>
      <c r="E70" s="9" t="n"/>
      <c r="F70" s="9" t="n"/>
      <c r="G70" s="9" t="n"/>
      <c r="H70" s="9" t="n"/>
      <c r="I70" s="9" t="n"/>
      <c r="J70" s="17">
        <f>SUM(J71:J72)</f>
        <v/>
      </c>
      <c r="K70" s="18" t="n">
        <v>12500000</v>
      </c>
      <c r="L70" s="19">
        <f>J70*K70</f>
        <v/>
      </c>
    </row>
    <row r="71" ht="19" customHeight="1">
      <c r="A71" s="20" t="n"/>
      <c r="B71" s="20" t="n"/>
      <c r="C71" s="21" t="inlineStr">
        <is>
          <t>- Gối chậu đơn hướng (15 vị trí trên mố và trụ)</t>
        </is>
      </c>
      <c r="D71" s="22" t="inlineStr">
        <is>
          <t>Cái</t>
        </is>
      </c>
      <c r="E71" s="23" t="n">
        <v>15</v>
      </c>
      <c r="F71" s="23" t="n">
        <v>1</v>
      </c>
      <c r="G71" s="23" t="n">
        <v>1</v>
      </c>
      <c r="H71" s="23" t="n">
        <v>1</v>
      </c>
      <c r="I71" s="24" t="n">
        <v>1</v>
      </c>
      <c r="J71" s="25">
        <f>E71*F71*G71*H71*I71</f>
        <v/>
      </c>
      <c r="K71" s="20" t="n"/>
      <c r="L71" s="20" t="n"/>
    </row>
    <row r="72" ht="19" customHeight="1">
      <c r="A72" s="20" t="n"/>
      <c r="B72" s="20" t="n"/>
      <c r="C72" s="21" t="inlineStr">
        <is>
          <t>- Gối chậu song hướng (15 vị trí trên mố và trụ)</t>
        </is>
      </c>
      <c r="D72" s="22" t="inlineStr">
        <is>
          <t>Cái</t>
        </is>
      </c>
      <c r="E72" s="23" t="n">
        <v>15</v>
      </c>
      <c r="F72" s="23" t="n">
        <v>1</v>
      </c>
      <c r="G72" s="23" t="n">
        <v>1</v>
      </c>
      <c r="H72" s="23" t="n">
        <v>1</v>
      </c>
      <c r="I72" s="24" t="n">
        <v>1</v>
      </c>
      <c r="J72" s="25">
        <f>E72*F72*G72*H72*I72</f>
        <v/>
      </c>
      <c r="K72" s="20" t="n"/>
      <c r="L72" s="20" t="n"/>
    </row>
    <row r="73" ht="22" customHeight="1">
      <c r="A73" s="15" t="inlineStr">
        <is>
          <t>20</t>
        </is>
      </c>
      <c r="B73" s="15" t="inlineStr">
        <is>
          <t>AF.33111</t>
        </is>
      </c>
      <c r="C73" s="16" t="inlineStr">
        <is>
          <t>Bê tông dầm ngang mố và trụ mác C35</t>
        </is>
      </c>
      <c r="D73" s="15" t="inlineStr">
        <is>
          <t>m3</t>
        </is>
      </c>
      <c r="E73" s="9" t="n"/>
      <c r="F73" s="9" t="n"/>
      <c r="G73" s="9" t="n"/>
      <c r="H73" s="9" t="n"/>
      <c r="I73" s="9" t="n"/>
      <c r="J73" s="17">
        <f>SUM(J74:J74)</f>
        <v/>
      </c>
      <c r="K73" s="18" t="n">
        <v>1650000</v>
      </c>
      <c r="L73" s="19">
        <f>J73*K73</f>
        <v/>
      </c>
    </row>
    <row r="74" ht="19" customHeight="1">
      <c r="A74" s="20" t="n"/>
      <c r="B74" s="20" t="n"/>
      <c r="C74" s="21" t="inlineStr">
        <is>
          <t>- Dầm ngang tại 2 mố và 2 trụ</t>
        </is>
      </c>
      <c r="D74" s="22" t="inlineStr">
        <is>
          <t>m3</t>
        </is>
      </c>
      <c r="E74" s="23" t="n">
        <v>4</v>
      </c>
      <c r="F74" s="23" t="n">
        <v>12.3</v>
      </c>
      <c r="G74" s="23" t="n">
        <v>0.45</v>
      </c>
      <c r="H74" s="23" t="n">
        <v>1.8</v>
      </c>
      <c r="I74" s="24" t="n">
        <v>1</v>
      </c>
      <c r="J74" s="25">
        <f>E74*F74*G74*H74*I74</f>
        <v/>
      </c>
      <c r="K74" s="20" t="n"/>
      <c r="L74" s="20" t="n"/>
    </row>
    <row r="75" ht="22" customHeight="1">
      <c r="A75" s="15" t="inlineStr">
        <is>
          <t>21</t>
        </is>
      </c>
      <c r="B75" s="15" t="inlineStr">
        <is>
          <t>AF.34111</t>
        </is>
      </c>
      <c r="C75" s="16" t="inlineStr">
        <is>
          <t>Cung cấp và lắp đặt tấm ván khuôn đúc sẵn đáy bản mặt cầu</t>
        </is>
      </c>
      <c r="D75" s="15" t="inlineStr">
        <is>
          <t>Tấm</t>
        </is>
      </c>
      <c r="E75" s="9" t="n"/>
      <c r="F75" s="9" t="n"/>
      <c r="G75" s="9" t="n"/>
      <c r="H75" s="9" t="n"/>
      <c r="I75" s="9" t="n"/>
      <c r="J75" s="17">
        <f>SUM(J76:J76)</f>
        <v/>
      </c>
      <c r="K75" s="18" t="n">
        <v>285000</v>
      </c>
      <c r="L75" s="19">
        <f>J75*K75</f>
        <v/>
      </c>
    </row>
    <row r="76" ht="19" customHeight="1">
      <c r="A76" s="20" t="n"/>
      <c r="B76" s="20" t="n"/>
      <c r="C76" s="21" t="inlineStr">
        <is>
          <t>- Tấm ván khuôn đúc sẵn (510 tấm toàn cầu)</t>
        </is>
      </c>
      <c r="D76" s="22" t="inlineStr">
        <is>
          <t>Tấm</t>
        </is>
      </c>
      <c r="E76" s="23" t="n">
        <v>510</v>
      </c>
      <c r="F76" s="23" t="n">
        <v>1</v>
      </c>
      <c r="G76" s="23" t="n">
        <v>1</v>
      </c>
      <c r="H76" s="23" t="n">
        <v>1</v>
      </c>
      <c r="I76" s="24" t="n">
        <v>1</v>
      </c>
      <c r="J76" s="25">
        <f>E76*F76*G76*H76*I76</f>
        <v/>
      </c>
      <c r="K76" s="20" t="n"/>
      <c r="L76" s="20" t="n"/>
    </row>
    <row r="77" ht="22" customHeight="1">
      <c r="A77" s="15" t="inlineStr">
        <is>
          <t>22</t>
        </is>
      </c>
      <c r="B77" s="15" t="inlineStr">
        <is>
          <t>AF.35111</t>
        </is>
      </c>
      <c r="C77" s="16" t="inlineStr">
        <is>
          <t>Bê tông bản mặt cầu đổ tại chỗ dày 180mm mác C35</t>
        </is>
      </c>
      <c r="D77" s="15" t="inlineStr">
        <is>
          <t>m3</t>
        </is>
      </c>
      <c r="E77" s="9" t="n"/>
      <c r="F77" s="9" t="n"/>
      <c r="G77" s="9" t="n"/>
      <c r="H77" s="9" t="n"/>
      <c r="I77" s="9" t="n"/>
      <c r="J77" s="17">
        <f>SUM(J78:J78)</f>
        <v/>
      </c>
      <c r="K77" s="18" t="n">
        <v>1680000</v>
      </c>
      <c r="L77" s="19">
        <f>J77*K77</f>
        <v/>
      </c>
    </row>
    <row r="78" ht="19" customHeight="1">
      <c r="A78" s="20" t="n"/>
      <c r="B78" s="20" t="n"/>
      <c r="C78" s="21" t="inlineStr">
        <is>
          <t>- Bê tông bản mặt cầu 3 nhịp (L=118.2m, B=12.615m, d=0.18m, trừ dầm)</t>
        </is>
      </c>
      <c r="D78" s="22" t="inlineStr">
        <is>
          <t>m3</t>
        </is>
      </c>
      <c r="E78" s="23" t="n">
        <v>1</v>
      </c>
      <c r="F78" s="23" t="n">
        <v>118.2</v>
      </c>
      <c r="G78" s="23" t="n">
        <v>12.615</v>
      </c>
      <c r="H78" s="23" t="n">
        <v>0.18</v>
      </c>
      <c r="I78" s="24" t="n">
        <v>1.1378</v>
      </c>
      <c r="J78" s="25">
        <f>E78*F78*G78*H78*I78</f>
        <v/>
      </c>
      <c r="K78" s="20" t="n"/>
      <c r="L78" s="20" t="n"/>
    </row>
    <row r="79" ht="22" customHeight="1">
      <c r="A79" s="15" t="inlineStr">
        <is>
          <t>23</t>
        </is>
      </c>
      <c r="B79" s="15" t="inlineStr">
        <is>
          <t>AF.36111</t>
        </is>
      </c>
      <c r="C79" s="16" t="inlineStr">
        <is>
          <t>Bê tông mối nối liên tục nhiệt đỉnh trụ T1, T2 mác C35</t>
        </is>
      </c>
      <c r="D79" s="15" t="inlineStr">
        <is>
          <t>m3</t>
        </is>
      </c>
      <c r="E79" s="9" t="n"/>
      <c r="F79" s="9" t="n"/>
      <c r="G79" s="9" t="n"/>
      <c r="H79" s="9" t="n"/>
      <c r="I79" s="9" t="n"/>
      <c r="J79" s="17">
        <f>SUM(J80:J80)</f>
        <v/>
      </c>
      <c r="K79" s="18" t="n">
        <v>1700000</v>
      </c>
      <c r="L79" s="19">
        <f>J79*K79</f>
        <v/>
      </c>
    </row>
    <row r="80" ht="19" customHeight="1">
      <c r="A80" s="20" t="n"/>
      <c r="B80" s="20" t="n"/>
      <c r="C80" s="21" t="inlineStr">
        <is>
          <t>- Bản liên tục nhiệt tại trụ T1 và T2</t>
        </is>
      </c>
      <c r="D80" s="22" t="inlineStr">
        <is>
          <t>m3</t>
        </is>
      </c>
      <c r="E80" s="23" t="n">
        <v>2</v>
      </c>
      <c r="F80" s="23" t="n">
        <v>12.615</v>
      </c>
      <c r="G80" s="23" t="n">
        <v>4</v>
      </c>
      <c r="H80" s="23" t="n">
        <v>0.216</v>
      </c>
      <c r="I80" s="24" t="n">
        <v>1</v>
      </c>
      <c r="J80" s="25">
        <f>E80*F80*G80*H80*I80</f>
        <v/>
      </c>
      <c r="K80" s="20" t="n"/>
      <c r="L80" s="20" t="n"/>
    </row>
    <row r="81" ht="22" customHeight="1">
      <c r="A81" s="15" t="inlineStr">
        <is>
          <t>24</t>
        </is>
      </c>
      <c r="B81" s="15" t="inlineStr">
        <is>
          <t>AF.65111</t>
        </is>
      </c>
      <c r="C81" s="16" t="inlineStr">
        <is>
          <t>Cốt thép bản mặt cầu và mối nối liên tục nhiệt (D14, D16)</t>
        </is>
      </c>
      <c r="D81" s="15" t="inlineStr">
        <is>
          <t>Tấn</t>
        </is>
      </c>
      <c r="E81" s="9" t="n"/>
      <c r="F81" s="9" t="n"/>
      <c r="G81" s="9" t="n"/>
      <c r="H81" s="9" t="n"/>
      <c r="I81" s="9" t="n"/>
      <c r="J81" s="17">
        <f>SUM(J82:J82)</f>
        <v/>
      </c>
      <c r="K81" s="18" t="n">
        <v>18500000</v>
      </c>
      <c r="L81" s="19">
        <f>J81*K81</f>
        <v/>
      </c>
    </row>
    <row r="82" ht="19" customHeight="1">
      <c r="A82" s="20" t="n"/>
      <c r="B82" s="20" t="n"/>
      <c r="C82" s="21" t="inlineStr">
        <is>
          <t>- Thép bản mặt cầu loại 1, loại 2, loại 3 &amp; liên tục nhiệt</t>
        </is>
      </c>
      <c r="D82" s="22" t="inlineStr">
        <is>
          <t>Tấn</t>
        </is>
      </c>
      <c r="E82" s="23" t="n">
        <v>1</v>
      </c>
      <c r="F82" s="23" t="n">
        <v>33.07</v>
      </c>
      <c r="G82" s="23" t="n">
        <v>1</v>
      </c>
      <c r="H82" s="23" t="n">
        <v>1</v>
      </c>
      <c r="I82" s="24" t="n">
        <v>1</v>
      </c>
      <c r="J82" s="25">
        <f>E82*F82*G82*H82*I82</f>
        <v/>
      </c>
      <c r="K82" s="20" t="n"/>
      <c r="L82" s="20" t="n"/>
    </row>
    <row r="83" ht="22" customHeight="1">
      <c r="A83" s="15" t="inlineStr">
        <is>
          <t>25</t>
        </is>
      </c>
      <c r="B83" s="15" t="inlineStr">
        <is>
          <t>AC.31111</t>
        </is>
      </c>
      <c r="C83" s="16" t="inlineStr">
        <is>
          <t>Khe co giãn răng lược thép D=100mm mạ kẽm nhúng nóng</t>
        </is>
      </c>
      <c r="D83" s="15" t="inlineStr">
        <is>
          <t>m</t>
        </is>
      </c>
      <c r="E83" s="9" t="n"/>
      <c r="F83" s="9" t="n"/>
      <c r="G83" s="9" t="n"/>
      <c r="H83" s="9" t="n"/>
      <c r="I83" s="9" t="n"/>
      <c r="J83" s="17">
        <f>SUM(J84:J84)</f>
        <v/>
      </c>
      <c r="K83" s="18" t="n">
        <v>8500000</v>
      </c>
      <c r="L83" s="19">
        <f>J83*K83</f>
        <v/>
      </c>
    </row>
    <row r="84" ht="19" customHeight="1">
      <c r="A84" s="20" t="n"/>
      <c r="B84" s="20" t="n"/>
      <c r="C84" s="21" t="inlineStr">
        <is>
          <t>- Khe co giãn mố M1 và M2 (2 vị trí x 12.25m)</t>
        </is>
      </c>
      <c r="D84" s="22" t="inlineStr">
        <is>
          <t>m</t>
        </is>
      </c>
      <c r="E84" s="23" t="n">
        <v>2</v>
      </c>
      <c r="F84" s="23" t="n">
        <v>12.25</v>
      </c>
      <c r="G84" s="23" t="n">
        <v>1</v>
      </c>
      <c r="H84" s="23" t="n">
        <v>1</v>
      </c>
      <c r="I84" s="24" t="n">
        <v>1</v>
      </c>
      <c r="J84" s="25">
        <f>E84*F84*G84*H84*I84</f>
        <v/>
      </c>
      <c r="K84" s="20" t="n"/>
      <c r="L84" s="20" t="n"/>
    </row>
    <row r="85" ht="24" customHeight="1">
      <c r="A85" s="14" t="inlineStr">
        <is>
          <t>PHẦN IV: KẾT CẤU PHỤ TRỢ, ĐƯỜNG ĐẦU CẦU &amp; HOÀN THIỆN TOÀN CẦU</t>
        </is>
      </c>
    </row>
    <row r="86" ht="22" customHeight="1">
      <c r="A86" s="15" t="inlineStr">
        <is>
          <t>26</t>
        </is>
      </c>
      <c r="B86" s="15" t="inlineStr">
        <is>
          <t>AF.41111</t>
        </is>
      </c>
      <c r="C86" s="16" t="inlineStr">
        <is>
          <t>Bê tông bản quá độ sau mố M1, M2 mác C25</t>
        </is>
      </c>
      <c r="D86" s="15" t="inlineStr">
        <is>
          <t>m3</t>
        </is>
      </c>
      <c r="E86" s="9" t="n"/>
      <c r="F86" s="9" t="n"/>
      <c r="G86" s="9" t="n"/>
      <c r="H86" s="9" t="n"/>
      <c r="I86" s="9" t="n"/>
      <c r="J86" s="17">
        <f>SUM(J87:J88)</f>
        <v/>
      </c>
      <c r="K86" s="18" t="n">
        <v>1450000</v>
      </c>
      <c r="L86" s="19">
        <f>J86*K86</f>
        <v/>
      </c>
    </row>
    <row r="87" ht="19" customHeight="1">
      <c r="A87" s="20" t="n"/>
      <c r="B87" s="20" t="n"/>
      <c r="C87" s="21" t="inlineStr">
        <is>
          <t>- Bản quá độ sau mố M1 (L=8.0m, B=12.5m, d=0.35m)</t>
        </is>
      </c>
      <c r="D87" s="22" t="inlineStr">
        <is>
          <t>m3</t>
        </is>
      </c>
      <c r="E87" s="23" t="n">
        <v>1</v>
      </c>
      <c r="F87" s="23" t="n">
        <v>8</v>
      </c>
      <c r="G87" s="23" t="n">
        <v>12.5</v>
      </c>
      <c r="H87" s="23" t="n">
        <v>0.35</v>
      </c>
      <c r="I87" s="24" t="n">
        <v>0.9626</v>
      </c>
      <c r="J87" s="25">
        <f>E87*F87*G87*H87*I87</f>
        <v/>
      </c>
      <c r="K87" s="20" t="n"/>
      <c r="L87" s="20" t="n"/>
    </row>
    <row r="88" ht="19" customHeight="1">
      <c r="A88" s="20" t="n"/>
      <c r="B88" s="20" t="n"/>
      <c r="C88" s="21" t="inlineStr">
        <is>
          <t>- Bản quá độ sau mố M2 (L=8.0m, B=12.5m, d=0.35m)</t>
        </is>
      </c>
      <c r="D88" s="22" t="inlineStr">
        <is>
          <t>m3</t>
        </is>
      </c>
      <c r="E88" s="23" t="n">
        <v>1</v>
      </c>
      <c r="F88" s="23" t="n">
        <v>8</v>
      </c>
      <c r="G88" s="23" t="n">
        <v>12.5</v>
      </c>
      <c r="H88" s="23" t="n">
        <v>0.35</v>
      </c>
      <c r="I88" s="24" t="n">
        <v>0.9626</v>
      </c>
      <c r="J88" s="25">
        <f>E88*F88*G88*H88*I88</f>
        <v/>
      </c>
      <c r="K88" s="20" t="n"/>
      <c r="L88" s="20" t="n"/>
    </row>
    <row r="89" ht="22" customHeight="1">
      <c r="A89" s="15" t="inlineStr">
        <is>
          <t>27</t>
        </is>
      </c>
      <c r="B89" s="15" t="inlineStr">
        <is>
          <t>AB.21111</t>
        </is>
      </c>
      <c r="C89" s="16" t="inlineStr">
        <is>
          <t>Đắp vật liệu dạng hạt chọn lọc sau mố đầm chặt K &gt;= 0.98</t>
        </is>
      </c>
      <c r="D89" s="15" t="inlineStr">
        <is>
          <t>m3</t>
        </is>
      </c>
      <c r="E89" s="9" t="n"/>
      <c r="F89" s="9" t="n"/>
      <c r="G89" s="9" t="n"/>
      <c r="H89" s="9" t="n"/>
      <c r="I89" s="9" t="n"/>
      <c r="J89" s="17">
        <f>SUM(J90:J90)</f>
        <v/>
      </c>
      <c r="K89" s="18" t="n">
        <v>185000</v>
      </c>
      <c r="L89" s="19">
        <f>J89*K89</f>
        <v/>
      </c>
    </row>
    <row r="90" ht="19" customHeight="1">
      <c r="A90" s="20" t="n"/>
      <c r="B90" s="20" t="n"/>
      <c r="C90" s="21" t="inlineStr">
        <is>
          <t>- Đoạn đắp chuyển tiếp sau mố M1 và M2</t>
        </is>
      </c>
      <c r="D90" s="22" t="inlineStr">
        <is>
          <t>m3</t>
        </is>
      </c>
      <c r="E90" s="23" t="n">
        <v>2</v>
      </c>
      <c r="F90" s="23" t="n">
        <v>18</v>
      </c>
      <c r="G90" s="23" t="n">
        <v>12.5</v>
      </c>
      <c r="H90" s="23" t="n">
        <v>4.5</v>
      </c>
      <c r="I90" s="24" t="n">
        <v>0.5</v>
      </c>
      <c r="J90" s="25">
        <f>E90*F90*G90*H90*I90</f>
        <v/>
      </c>
      <c r="K90" s="20" t="n"/>
      <c r="L90" s="20" t="n"/>
    </row>
    <row r="91" ht="22" customHeight="1">
      <c r="A91" s="15" t="inlineStr">
        <is>
          <t>28</t>
        </is>
      </c>
      <c r="B91" s="15" t="inlineStr">
        <is>
          <t>AF.42111</t>
        </is>
      </c>
      <c r="C91" s="16" t="inlineStr">
        <is>
          <t>Bê tông gờ lan can mác C25 và lắp tay vịn thép mạ kẽm</t>
        </is>
      </c>
      <c r="D91" s="15" t="inlineStr">
        <is>
          <t>m</t>
        </is>
      </c>
      <c r="E91" s="9" t="n"/>
      <c r="F91" s="9" t="n"/>
      <c r="G91" s="9" t="n"/>
      <c r="H91" s="9" t="n"/>
      <c r="I91" s="9" t="n"/>
      <c r="J91" s="17">
        <f>SUM(J92:J92)</f>
        <v/>
      </c>
      <c r="K91" s="18" t="n">
        <v>1650000</v>
      </c>
      <c r="L91" s="19">
        <f>J91*K91</f>
        <v/>
      </c>
    </row>
    <row r="92" ht="19" customHeight="1">
      <c r="A92" s="20" t="n"/>
      <c r="B92" s="20" t="n"/>
      <c r="C92" s="21" t="inlineStr">
        <is>
          <t>- Lan can 2 bên suốt chiều dài cầu (2 bên x 130.4m)</t>
        </is>
      </c>
      <c r="D92" s="22" t="inlineStr">
        <is>
          <t>m</t>
        </is>
      </c>
      <c r="E92" s="23" t="n">
        <v>2</v>
      </c>
      <c r="F92" s="23" t="n">
        <v>130.4</v>
      </c>
      <c r="G92" s="23" t="n">
        <v>1</v>
      </c>
      <c r="H92" s="23" t="n">
        <v>1</v>
      </c>
      <c r="I92" s="24" t="n">
        <v>1</v>
      </c>
      <c r="J92" s="25">
        <f>E92*F92*G92*H92*I92</f>
        <v/>
      </c>
      <c r="K92" s="20" t="n"/>
      <c r="L92" s="20" t="n"/>
    </row>
    <row r="93" ht="22" customHeight="1">
      <c r="A93" s="15" t="inlineStr">
        <is>
          <t>29</t>
        </is>
      </c>
      <c r="B93" s="15" t="inlineStr">
        <is>
          <t>AC.41111</t>
        </is>
      </c>
      <c r="C93" s="16" t="inlineStr">
        <is>
          <t>Hệ thống thoát nước mặt cầu (24 bộ hố ga gang &amp; ống PVC D150)</t>
        </is>
      </c>
      <c r="D93" s="15" t="inlineStr">
        <is>
          <t>Bộ</t>
        </is>
      </c>
      <c r="E93" s="9" t="n"/>
      <c r="F93" s="9" t="n"/>
      <c r="G93" s="9" t="n"/>
      <c r="H93" s="9" t="n"/>
      <c r="I93" s="9" t="n"/>
      <c r="J93" s="17">
        <f>SUM(J94:J94)</f>
        <v/>
      </c>
      <c r="K93" s="18" t="n">
        <v>2850000</v>
      </c>
      <c r="L93" s="19">
        <f>J93*K93</f>
        <v/>
      </c>
    </row>
    <row r="94" ht="19" customHeight="1">
      <c r="A94" s="20" t="n"/>
      <c r="B94" s="20" t="n"/>
      <c r="C94" s="21" t="inlineStr">
        <is>
          <t>- Cụm hố ga gang xám có lưới chắn rác và ống xả D150</t>
        </is>
      </c>
      <c r="D94" s="22" t="inlineStr">
        <is>
          <t>Bộ</t>
        </is>
      </c>
      <c r="E94" s="23" t="n">
        <v>24</v>
      </c>
      <c r="F94" s="23" t="n">
        <v>1</v>
      </c>
      <c r="G94" s="23" t="n">
        <v>1</v>
      </c>
      <c r="H94" s="23" t="n">
        <v>1</v>
      </c>
      <c r="I94" s="24" t="n">
        <v>1</v>
      </c>
      <c r="J94" s="25">
        <f>E94*F94*G94*H94*I94</f>
        <v/>
      </c>
      <c r="K94" s="20" t="n"/>
      <c r="L94" s="20" t="n"/>
    </row>
    <row r="95" ht="22" customHeight="1">
      <c r="A95" s="15" t="inlineStr">
        <is>
          <t>30</t>
        </is>
      </c>
      <c r="B95" s="15" t="inlineStr">
        <is>
          <t>AD.11111</t>
        </is>
      </c>
      <c r="C95" s="16" t="inlineStr">
        <is>
          <t>Lớp phun chống thấm &amp; thảm bê tông nhựa chặt C16 dày 7cm mặt cầu</t>
        </is>
      </c>
      <c r="D95" s="15" t="inlineStr">
        <is>
          <t>m2</t>
        </is>
      </c>
      <c r="E95" s="9" t="n"/>
      <c r="F95" s="9" t="n"/>
      <c r="G95" s="9" t="n"/>
      <c r="H95" s="9" t="n"/>
      <c r="I95" s="9" t="n"/>
      <c r="J95" s="17">
        <f>SUM(J96:J96)</f>
        <v/>
      </c>
      <c r="K95" s="18" t="n">
        <v>385000</v>
      </c>
      <c r="L95" s="19">
        <f>J95*K95</f>
        <v/>
      </c>
    </row>
    <row r="96" ht="19" customHeight="1">
      <c r="A96" s="20" t="n"/>
      <c r="B96" s="20" t="n"/>
      <c r="C96" s="21" t="inlineStr">
        <is>
          <t>- Diện tích mặt cầu xe chạy (L=118.2m x B=11.68m)</t>
        </is>
      </c>
      <c r="D96" s="22" t="inlineStr">
        <is>
          <t>m2</t>
        </is>
      </c>
      <c r="E96" s="23" t="n">
        <v>1</v>
      </c>
      <c r="F96" s="23" t="n">
        <v>118.2</v>
      </c>
      <c r="G96" s="23" t="n">
        <v>11.678</v>
      </c>
      <c r="H96" s="23" t="n">
        <v>1</v>
      </c>
      <c r="I96" s="24" t="n">
        <v>1</v>
      </c>
      <c r="J96" s="25">
        <f>E96*F96*G96*H96*I96</f>
        <v/>
      </c>
      <c r="K96" s="20" t="n"/>
      <c r="L96" s="20" t="n"/>
    </row>
    <row r="97" ht="22" customHeight="1">
      <c r="A97" s="15" t="inlineStr">
        <is>
          <t>31</t>
        </is>
      </c>
      <c r="B97" s="15" t="inlineStr">
        <is>
          <t>AL.11111</t>
        </is>
      </c>
      <c r="C97" s="16" t="inlineStr">
        <is>
          <t>Gia cố mái taluy tứ nón mố bằng đá hộc xây vữa VXM M100</t>
        </is>
      </c>
      <c r="D97" s="15" t="inlineStr">
        <is>
          <t>m3</t>
        </is>
      </c>
      <c r="E97" s="9" t="n"/>
      <c r="F97" s="9" t="n"/>
      <c r="G97" s="9" t="n"/>
      <c r="H97" s="9" t="n"/>
      <c r="I97" s="9" t="n"/>
      <c r="J97" s="17">
        <f>SUM(J98:J98)</f>
        <v/>
      </c>
      <c r="K97" s="18" t="n">
        <v>850000</v>
      </c>
      <c r="L97" s="19">
        <f>J97*K97</f>
        <v/>
      </c>
    </row>
    <row r="98" ht="19" customHeight="1">
      <c r="A98" s="20" t="n"/>
      <c r="B98" s="20" t="n"/>
      <c r="C98" s="21" t="inlineStr">
        <is>
          <t>- Tứ nón và chân khay đá hộc mố M1, M2</t>
        </is>
      </c>
      <c r="D98" s="22" t="inlineStr">
        <is>
          <t>m3</t>
        </is>
      </c>
      <c r="E98" s="23" t="n">
        <v>1</v>
      </c>
      <c r="F98" s="23" t="n">
        <v>52.216</v>
      </c>
      <c r="G98" s="23" t="n">
        <v>1</v>
      </c>
      <c r="H98" s="23" t="n">
        <v>1</v>
      </c>
      <c r="I98" s="24" t="n">
        <v>1</v>
      </c>
      <c r="J98" s="25">
        <f>E98*F98*G98*H98*I98</f>
        <v/>
      </c>
      <c r="K98" s="20" t="n"/>
      <c r="L98" s="20" t="n"/>
    </row>
    <row r="99" ht="22" customHeight="1">
      <c r="A99" s="15" t="inlineStr">
        <is>
          <t>32</t>
        </is>
      </c>
      <c r="B99" s="15" t="inlineStr">
        <is>
          <t>TN.21111</t>
        </is>
      </c>
      <c r="C99" s="16" t="inlineStr">
        <is>
          <t>Thử tải tĩnh/động cầu &amp; kiểm định an toàn chịu lực trước khi bàn giao</t>
        </is>
      </c>
      <c r="D99" s="15" t="inlineStr">
        <is>
          <t>Gói</t>
        </is>
      </c>
      <c r="E99" s="9" t="n"/>
      <c r="F99" s="9" t="n"/>
      <c r="G99" s="9" t="n"/>
      <c r="H99" s="9" t="n"/>
      <c r="I99" s="9" t="n"/>
      <c r="J99" s="17">
        <f>SUM(J100:J100)</f>
        <v/>
      </c>
      <c r="K99" s="18" t="n">
        <v>350000000</v>
      </c>
      <c r="L99" s="19">
        <f>J99*K99</f>
        <v/>
      </c>
    </row>
    <row r="100" ht="19" customHeight="1">
      <c r="A100" s="20" t="n"/>
      <c r="B100" s="20" t="n"/>
      <c r="C100" s="21" t="inlineStr">
        <is>
          <t>- Trọn gói thử tải xe tải nặng theo đề cương phê duyệt</t>
        </is>
      </c>
      <c r="D100" s="22" t="inlineStr">
        <is>
          <t>Gói</t>
        </is>
      </c>
      <c r="E100" s="23" t="n">
        <v>1</v>
      </c>
      <c r="F100" s="23" t="n">
        <v>1</v>
      </c>
      <c r="G100" s="23" t="n">
        <v>1</v>
      </c>
      <c r="H100" s="23" t="n">
        <v>1</v>
      </c>
      <c r="I100" s="24" t="n">
        <v>1</v>
      </c>
      <c r="J100" s="25">
        <f>E100*F100*G100*H100*I100</f>
        <v/>
      </c>
      <c r="K100" s="20" t="n"/>
      <c r="L100" s="20" t="n"/>
    </row>
    <row r="101" ht="26" customHeight="1">
      <c r="A101" s="28" t="inlineStr">
        <is>
          <t>TỔNG CỘNG CHI PHÍ TRỰC TIẾP (T) (VNĐ)</t>
        </is>
      </c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30" t="n"/>
      <c r="L101" s="31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2026-10-07T04:47:25Z</dcterms:created>
  <dcterms:modified xmlns:dcterms="http://purl.org/dc/terms/" xmlns:xsi="http://www.w3.org/2001/XMLSchema-instance" xsi:type="dcterms:W3CDTF">2026-10-07T04:47:25Z</dcterms:modified>
</cp:coreProperties>
</file>