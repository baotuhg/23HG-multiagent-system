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I_LUONG_DAO_DAP" sheetId="1" state="visible" r:id="rId1"/>
    <sheet xmlns:r="http://schemas.openxmlformats.org/officeDocument/2006/relationships" name="CHI_TIET_DAO_MONG_MO_TRU" sheetId="2" state="visible" r:id="rId2"/>
    <sheet xmlns:r="http://schemas.openxmlformats.org/officeDocument/2006/relationships" name="CHI_TIET_DAP_DAU_CAU_K95_K9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0" fontId="6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4" fontId="6" fillId="4" borderId="2" pivotButton="0" quotePrefix="0" xfId="0"/>
    <xf numFmtId="0" fontId="0" fillId="4" borderId="2" pivotButton="0" quotePrefix="0" xfId="0"/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/>
    </xf>
    <xf numFmtId="1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5" t="inlineStr">
        <is>
          <t>I. ĐƯỜNG CÔNG VỤ NHÁNH 6 (TIẾP CẬN CẦU KM19+529.080)</t>
        </is>
      </c>
    </row>
    <row r="7" ht="20" customHeight="1">
      <c r="A7" s="6" t="inlineStr">
        <is>
          <t>1</t>
        </is>
      </c>
      <c r="B7" s="7" t="inlineStr">
        <is>
          <t>Km 0+00.00 đến Km 0+10.00</t>
        </is>
      </c>
      <c r="C7" s="8" t="n">
        <v>10</v>
      </c>
      <c r="D7" s="8" t="n">
        <v>51.47</v>
      </c>
      <c r="E7" s="8" t="n">
        <v>33.55</v>
      </c>
      <c r="F7" s="9">
        <f>((D7+E7)/2)*C7</f>
        <v/>
      </c>
      <c r="G7" s="8" t="n">
        <v>0</v>
      </c>
      <c r="H7" s="8" t="n">
        <v>0</v>
      </c>
      <c r="I7" s="9">
        <f>((G7+H7)/2)*C7</f>
        <v/>
      </c>
      <c r="J7" s="6" t="inlineStr">
        <is>
          <t>Chuẩn hình học</t>
        </is>
      </c>
    </row>
    <row r="8" ht="20" customHeight="1">
      <c r="A8" s="6" t="inlineStr">
        <is>
          <t>2</t>
        </is>
      </c>
      <c r="B8" s="7" t="inlineStr">
        <is>
          <t>Km 0+10.00 đến cọc TD1 (Km 0+18.12)</t>
        </is>
      </c>
      <c r="C8" s="8" t="n">
        <v>8.119999999999999</v>
      </c>
      <c r="D8" s="8" t="n">
        <v>33.55</v>
      </c>
      <c r="E8" s="8" t="n">
        <v>10.5</v>
      </c>
      <c r="F8" s="9">
        <f>((D8+E8)/2)*C8</f>
        <v/>
      </c>
      <c r="G8" s="8" t="n">
        <v>0</v>
      </c>
      <c r="H8" s="8" t="n">
        <v>0</v>
      </c>
      <c r="I8" s="9">
        <f>((G8+H8)/2)*C8</f>
        <v/>
      </c>
      <c r="J8" s="6" t="inlineStr">
        <is>
          <t>Chuẩn hình học</t>
        </is>
      </c>
    </row>
    <row r="9" ht="20" customHeight="1">
      <c r="A9" s="6" t="inlineStr">
        <is>
          <t>3</t>
        </is>
      </c>
      <c r="B9" s="7" t="inlineStr">
        <is>
          <t>Cọc TD1 đến cọc 2 (Km 0+20.00)</t>
        </is>
      </c>
      <c r="C9" s="8" t="n">
        <v>1.88</v>
      </c>
      <c r="D9" s="8" t="n">
        <v>10.5</v>
      </c>
      <c r="E9" s="8" t="n">
        <v>9.18</v>
      </c>
      <c r="F9" s="9">
        <f>((D9+E9)/2)*C9</f>
        <v/>
      </c>
      <c r="G9" s="8" t="n">
        <v>0</v>
      </c>
      <c r="H9" s="8" t="n">
        <v>0</v>
      </c>
      <c r="I9" s="9">
        <f>((G9+H9)/2)*C9</f>
        <v/>
      </c>
      <c r="J9" s="6" t="inlineStr">
        <is>
          <t>Chuẩn hình học</t>
        </is>
      </c>
    </row>
    <row r="10" ht="20" customHeight="1">
      <c r="A10" s="6" t="inlineStr">
        <is>
          <t>4</t>
        </is>
      </c>
      <c r="B10" s="7" t="inlineStr">
        <is>
          <t>Cọc 2 đến cọc P1 (Km 0+21.65)</t>
        </is>
      </c>
      <c r="C10" s="8" t="n">
        <v>1.65</v>
      </c>
      <c r="D10" s="8" t="n">
        <v>9.18</v>
      </c>
      <c r="E10" s="8" t="n">
        <v>9.02</v>
      </c>
      <c r="F10" s="9">
        <f>((D10+E10)/2)*C10</f>
        <v/>
      </c>
      <c r="G10" s="8" t="n">
        <v>0</v>
      </c>
      <c r="H10" s="8" t="n">
        <v>0.22</v>
      </c>
      <c r="I10" s="9">
        <f>((G10+H10)/2)*C10</f>
        <v/>
      </c>
      <c r="J10" s="6" t="inlineStr">
        <is>
          <t>Chuẩn hình học</t>
        </is>
      </c>
    </row>
    <row r="11" ht="20" customHeight="1">
      <c r="A11" s="6" t="inlineStr">
        <is>
          <t>5</t>
        </is>
      </c>
      <c r="B11" s="7" t="inlineStr">
        <is>
          <t>Cọc P1 đến cọc TC1 (Km 0+25.17)</t>
        </is>
      </c>
      <c r="C11" s="8" t="n">
        <v>3.52</v>
      </c>
      <c r="D11" s="8" t="n">
        <v>9.02</v>
      </c>
      <c r="E11" s="8" t="n">
        <v>11.58</v>
      </c>
      <c r="F11" s="9">
        <f>((D11+E11)/2)*C11</f>
        <v/>
      </c>
      <c r="G11" s="8" t="n">
        <v>0.22</v>
      </c>
      <c r="H11" s="8" t="n">
        <v>3.2</v>
      </c>
      <c r="I11" s="9">
        <f>((G11+H11)/2)*C11</f>
        <v/>
      </c>
      <c r="J11" s="6" t="inlineStr">
        <is>
          <t>Chuẩn hình học</t>
        </is>
      </c>
    </row>
    <row r="12" ht="20" customHeight="1">
      <c r="A12" s="6" t="inlineStr">
        <is>
          <t>6</t>
        </is>
      </c>
      <c r="B12" s="7" t="inlineStr">
        <is>
          <t>Cọc TC1 đến cọc 3 (Km 0+30.00)</t>
        </is>
      </c>
      <c r="C12" s="8" t="n">
        <v>4.83</v>
      </c>
      <c r="D12" s="8" t="n">
        <v>11.58</v>
      </c>
      <c r="E12" s="8" t="n">
        <v>20.34</v>
      </c>
      <c r="F12" s="9">
        <f>((D12+E12)/2)*C12</f>
        <v/>
      </c>
      <c r="G12" s="8" t="n">
        <v>3.2</v>
      </c>
      <c r="H12" s="8" t="n">
        <v>0</v>
      </c>
      <c r="I12" s="9">
        <f>((G12+H12)/2)*C12</f>
        <v/>
      </c>
      <c r="J12" s="6" t="inlineStr">
        <is>
          <t>Chuẩn hình học</t>
        </is>
      </c>
    </row>
    <row r="13" ht="20" customHeight="1">
      <c r="A13" s="6" t="inlineStr">
        <is>
          <t>7</t>
        </is>
      </c>
      <c r="B13" s="7" t="inlineStr">
        <is>
          <t>Cọc 3 đến cọc 4 (Km 0+40.00)</t>
        </is>
      </c>
      <c r="C13" s="8" t="n">
        <v>10</v>
      </c>
      <c r="D13" s="8" t="n">
        <v>20.34</v>
      </c>
      <c r="E13" s="8" t="n">
        <v>51.82</v>
      </c>
      <c r="F13" s="9">
        <f>((D13+E13)/2)*C13</f>
        <v/>
      </c>
      <c r="G13" s="8" t="n">
        <v>0</v>
      </c>
      <c r="H13" s="8" t="n">
        <v>0</v>
      </c>
      <c r="I13" s="9">
        <f>((G13+H13)/2)*C13</f>
        <v/>
      </c>
      <c r="J13" s="6" t="inlineStr">
        <is>
          <t>Chuẩn hình học</t>
        </is>
      </c>
    </row>
    <row r="14" ht="20" customHeight="1">
      <c r="A14" s="6" t="inlineStr">
        <is>
          <t>8</t>
        </is>
      </c>
      <c r="B14" s="7" t="inlineStr">
        <is>
          <t>Km 0+40.00 đến Km 0+80.00 (Nhánh tiếp cận trụ T1)</t>
        </is>
      </c>
      <c r="C14" s="8" t="n">
        <v>40</v>
      </c>
      <c r="D14" s="8" t="n">
        <v>51.82</v>
      </c>
      <c r="E14" s="8" t="n">
        <v>28.4</v>
      </c>
      <c r="F14" s="9">
        <f>((D14+E14)/2)*C14</f>
        <v/>
      </c>
      <c r="G14" s="8" t="n">
        <v>0</v>
      </c>
      <c r="H14" s="8" t="n">
        <v>0</v>
      </c>
      <c r="I14" s="9">
        <f>((G14+H14)/2)*C14</f>
        <v/>
      </c>
      <c r="J14" s="6" t="inlineStr">
        <is>
          <t>Chuẩn hình học</t>
        </is>
      </c>
    </row>
    <row r="15" ht="20" customHeight="1">
      <c r="A15" s="6" t="inlineStr">
        <is>
          <t>9</t>
        </is>
      </c>
      <c r="B15" s="7" t="inlineStr">
        <is>
          <t>Km 0+80.00 đến Km 0+120.00 (Nhánh tiếp cận trụ T2)</t>
        </is>
      </c>
      <c r="C15" s="8" t="n">
        <v>40</v>
      </c>
      <c r="D15" s="8" t="n">
        <v>28.4</v>
      </c>
      <c r="E15" s="8" t="n">
        <v>16.5</v>
      </c>
      <c r="F15" s="9">
        <f>((D15+E15)/2)*C15</f>
        <v/>
      </c>
      <c r="G15" s="8" t="n">
        <v>0</v>
      </c>
      <c r="H15" s="8" t="n">
        <v>0.5</v>
      </c>
      <c r="I15" s="9">
        <f>((G15+H15)/2)*C15</f>
        <v/>
      </c>
      <c r="J15" s="6" t="inlineStr">
        <is>
          <t>Chuẩn hình học</t>
        </is>
      </c>
    </row>
    <row r="16" ht="24" customHeight="1">
      <c r="A16" s="5" t="inlineStr">
        <is>
          <t>II. HỐ MÓNG BỆ MỐ M1, M2 VÀ BỆ TRỤ T1, T2</t>
        </is>
      </c>
    </row>
    <row r="17" ht="20" customHeight="1">
      <c r="A17" s="6" t="inlineStr">
        <is>
          <t>10</t>
        </is>
      </c>
      <c r="B17" s="7" t="inlineStr">
        <is>
          <t>Đào đất đá hố móng bệ mố M1 chân dê (Km19+463.88)</t>
        </is>
      </c>
      <c r="C17" s="8" t="n">
        <v>12</v>
      </c>
      <c r="D17" s="8" t="n">
        <v>36.5</v>
      </c>
      <c r="E17" s="8" t="n">
        <v>36.5</v>
      </c>
      <c r="F17" s="9">
        <f>((D17+E17)/2)*C17</f>
        <v/>
      </c>
      <c r="G17" s="8" t="n">
        <v>0</v>
      </c>
      <c r="H17" s="8" t="n">
        <v>0</v>
      </c>
      <c r="I17" s="9">
        <f>((G17+H17)/2)*C17</f>
        <v/>
      </c>
      <c r="J17" s="6" t="inlineStr">
        <is>
          <t>Chuẩn hình học</t>
        </is>
      </c>
    </row>
    <row r="18" ht="20" customHeight="1">
      <c r="A18" s="6" t="inlineStr">
        <is>
          <t>11</t>
        </is>
      </c>
      <c r="B18" s="7" t="inlineStr">
        <is>
          <t>Đào đất đá hố móng bệ mố M2 chữ U (Km19+594.28)</t>
        </is>
      </c>
      <c r="C18" s="8" t="n">
        <v>14</v>
      </c>
      <c r="D18" s="8" t="n">
        <v>42</v>
      </c>
      <c r="E18" s="8" t="n">
        <v>42</v>
      </c>
      <c r="F18" s="9">
        <f>((D18+E18)/2)*C18</f>
        <v/>
      </c>
      <c r="G18" s="8" t="n">
        <v>0</v>
      </c>
      <c r="H18" s="8" t="n">
        <v>0</v>
      </c>
      <c r="I18" s="9">
        <f>((G18+H18)/2)*C18</f>
        <v/>
      </c>
      <c r="J18" s="6" t="inlineStr">
        <is>
          <t>Chuẩn hình học</t>
        </is>
      </c>
    </row>
    <row r="19" ht="20" customHeight="1">
      <c r="A19" s="6" t="inlineStr">
        <is>
          <t>12</t>
        </is>
      </c>
      <c r="B19" s="7" t="inlineStr">
        <is>
          <t>Đào đất đá hố móng bệ trụ T1 (Km19+502.98)</t>
        </is>
      </c>
      <c r="C19" s="8" t="n">
        <v>15</v>
      </c>
      <c r="D19" s="8" t="n">
        <v>55</v>
      </c>
      <c r="E19" s="8" t="n">
        <v>55</v>
      </c>
      <c r="F19" s="9">
        <f>((D19+E19)/2)*C19</f>
        <v/>
      </c>
      <c r="G19" s="8" t="n">
        <v>0</v>
      </c>
      <c r="H19" s="8" t="n">
        <v>0</v>
      </c>
      <c r="I19" s="9">
        <f>((G19+H19)/2)*C19</f>
        <v/>
      </c>
      <c r="J19" s="6" t="inlineStr">
        <is>
          <t>Chuẩn hình học</t>
        </is>
      </c>
    </row>
    <row r="20" ht="20" customHeight="1">
      <c r="A20" s="6" t="inlineStr">
        <is>
          <t>13</t>
        </is>
      </c>
      <c r="B20" s="7" t="inlineStr">
        <is>
          <t>Đào đất đá hố móng bệ trụ T2 (Km19+542.98)</t>
        </is>
      </c>
      <c r="C20" s="8" t="n">
        <v>15</v>
      </c>
      <c r="D20" s="8" t="n">
        <v>52</v>
      </c>
      <c r="E20" s="8" t="n">
        <v>52</v>
      </c>
      <c r="F20" s="9">
        <f>((D20+E20)/2)*C20</f>
        <v/>
      </c>
      <c r="G20" s="8" t="n">
        <v>0</v>
      </c>
      <c r="H20" s="8" t="n">
        <v>0</v>
      </c>
      <c r="I20" s="9">
        <f>((G20+H20)/2)*C20</f>
        <v/>
      </c>
      <c r="J20" s="6" t="inlineStr">
        <is>
          <t>Chuẩn hình học</t>
        </is>
      </c>
    </row>
    <row r="21" ht="24" customHeight="1">
      <c r="A21" s="10" t="inlineStr">
        <is>
          <t>TỔNG CỘNG KHỐI LƯỢNG ĐÀO ĐẮP (M3)</t>
        </is>
      </c>
      <c r="B21" s="11" t="n"/>
      <c r="C21" s="11" t="n"/>
      <c r="D21" s="11" t="n"/>
      <c r="E21" s="12" t="n"/>
      <c r="F21" s="13">
        <f>F7+F8+F9+F10+F11+F12+F13+F14+F15+F17+F18+F19+F20</f>
        <v/>
      </c>
      <c r="G21" s="14" t="n"/>
      <c r="H21" s="14" t="n"/>
      <c r="I21" s="13">
        <f>I7+I8+I9+I10+I11+I12+I13+I14+I15+I17+I18+I19+I20</f>
        <v/>
      </c>
      <c r="J21" s="14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  <col width="30" customWidth="1" min="10" max="10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DIỄN GIẢI KÍCH THƯỚC HÌNH HỌC HỐ MÓNG MỐ M1, M2 &amp; BỆ TRỤ T1, T2</t>
        </is>
      </c>
    </row>
    <row r="3">
      <c r="A3" s="3" t="inlineStr">
        <is>
          <t>Hồ sơ thiết kế BVTC; Bệ móng cọc D1200 ngàm sâu vào tầng cuội sỏi / đá phong hóa</t>
        </is>
      </c>
    </row>
    <row r="5" ht="28" customHeight="1">
      <c r="A5" s="4" t="inlineStr">
        <is>
          <t>STT</t>
        </is>
      </c>
      <c r="B5" s="4" t="inlineStr">
        <is>
          <t>Hố móng cấu kiện</t>
        </is>
      </c>
      <c r="C5" s="4" t="inlineStr">
        <is>
          <t>Lý trình</t>
        </is>
      </c>
      <c r="D5" s="4" t="inlineStr">
        <is>
          <t>Kích thước Dài (m)</t>
        </is>
      </c>
      <c r="E5" s="4" t="inlineStr">
        <is>
          <t>Kích thước Rộng (m)</t>
        </is>
      </c>
      <c r="F5" s="4" t="inlineStr">
        <is>
          <t>Chiều sâu TB (m)</t>
        </is>
      </c>
      <c r="G5" s="4" t="inlineStr">
        <is>
          <t>Độ dốc taluy</t>
        </is>
      </c>
      <c r="H5" s="4" t="inlineStr">
        <is>
          <t>Khối lượng Đất C3 (m3)</t>
        </is>
      </c>
      <c r="I5" s="4" t="inlineStr">
        <is>
          <t>Khối lượng Đá C3 (m3)</t>
        </is>
      </c>
      <c r="J5" s="4" t="inlineStr">
        <is>
          <t>Biện pháp thi công</t>
        </is>
      </c>
    </row>
    <row r="6">
      <c r="A6" s="6" t="n">
        <v>1</v>
      </c>
      <c r="B6" s="15" t="inlineStr">
        <is>
          <t>Hố móng bệ mố M1 (chân dê)</t>
        </is>
      </c>
      <c r="C6" s="6" t="inlineStr">
        <is>
          <t>Km19+463.88</t>
        </is>
      </c>
      <c r="D6" s="8" t="n">
        <v>12</v>
      </c>
      <c r="E6" s="8" t="n">
        <v>7.5</v>
      </c>
      <c r="F6" s="8" t="n">
        <v>4.2</v>
      </c>
      <c r="G6" s="16" t="n">
        <v>1</v>
      </c>
      <c r="H6" s="17">
        <f>D6*E6*1.8*G6</f>
        <v/>
      </c>
      <c r="I6" s="17">
        <f>D6*E6*(F6-1.8)*G6</f>
        <v/>
      </c>
      <c r="J6" s="15" t="inlineStr">
        <is>
          <t>Máy đào 1.25m3 kết hợp búa đập đá</t>
        </is>
      </c>
    </row>
    <row r="7">
      <c r="A7" s="6" t="n">
        <v>2</v>
      </c>
      <c r="B7" s="15" t="inlineStr">
        <is>
          <t>Hố móng bệ trụ T1</t>
        </is>
      </c>
      <c r="C7" s="6" t="inlineStr">
        <is>
          <t>Km19+502.98</t>
        </is>
      </c>
      <c r="D7" s="8" t="n">
        <v>15</v>
      </c>
      <c r="E7" s="8" t="n">
        <v>9.5</v>
      </c>
      <c r="F7" s="8" t="n">
        <v>4.8</v>
      </c>
      <c r="G7" s="16" t="n">
        <v>1</v>
      </c>
      <c r="H7" s="17">
        <f>D7*E7*2.2*G7</f>
        <v/>
      </c>
      <c r="I7" s="17">
        <f>D7*E7*(F7-2.2)*G7</f>
        <v/>
      </c>
      <c r="J7" s="15" t="inlineStr">
        <is>
          <t>Máy đào gầu sâu hạ tầng phủ đá</t>
        </is>
      </c>
    </row>
    <row r="8">
      <c r="A8" s="6" t="n">
        <v>3</v>
      </c>
      <c r="B8" s="15" t="inlineStr">
        <is>
          <t>Hố móng bệ trụ T2</t>
        </is>
      </c>
      <c r="C8" s="6" t="inlineStr">
        <is>
          <t>Km19+542.98</t>
        </is>
      </c>
      <c r="D8" s="8" t="n">
        <v>15</v>
      </c>
      <c r="E8" s="8" t="n">
        <v>9.5</v>
      </c>
      <c r="F8" s="8" t="n">
        <v>4.5</v>
      </c>
      <c r="G8" s="16" t="n">
        <v>1</v>
      </c>
      <c r="H8" s="17">
        <f>D8*E8*2.0*G8</f>
        <v/>
      </c>
      <c r="I8" s="17">
        <f>D8*E8*(F8-2.0)*G8</f>
        <v/>
      </c>
      <c r="J8" s="15" t="inlineStr">
        <is>
          <t>Máy đào gầu sâu hạ tầng phủ đá</t>
        </is>
      </c>
    </row>
    <row r="9">
      <c r="A9" s="6" t="n">
        <v>4</v>
      </c>
      <c r="B9" s="15" t="inlineStr">
        <is>
          <t>Hố móng bệ mố M2 (chữ U)</t>
        </is>
      </c>
      <c r="C9" s="6" t="inlineStr">
        <is>
          <t>Km19+594.28</t>
        </is>
      </c>
      <c r="D9" s="8" t="n">
        <v>14</v>
      </c>
      <c r="E9" s="8" t="n">
        <v>8.5</v>
      </c>
      <c r="F9" s="8" t="n">
        <v>4.6</v>
      </c>
      <c r="G9" s="16" t="n">
        <v>1</v>
      </c>
      <c r="H9" s="17">
        <f>D9*E9*2.1*G9</f>
        <v/>
      </c>
      <c r="I9" s="17">
        <f>D9*E9*(F9-2.1)*G9</f>
        <v/>
      </c>
      <c r="J9" s="15" t="inlineStr">
        <is>
          <t>Máy đào kết hợp phá đá ngàm móng</t>
        </is>
      </c>
    </row>
    <row r="10">
      <c r="B10" s="18" t="inlineStr">
        <is>
          <t>TỔNG CỘNG ĐÀO HỐ MÓNG</t>
        </is>
      </c>
      <c r="H10" s="19">
        <f>SUM(H6:H9)</f>
        <v/>
      </c>
      <c r="I10" s="19">
        <f>SUM(I6:I9)</f>
        <v/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30" customWidth="1" min="9" max="9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KẾ HOẠCH ĐẮP ĐẤT CHỌN LỌC ĐẦU CẦU &amp; SAU MỐ — CẦU KM19+529.080</t>
        </is>
      </c>
    </row>
    <row r="3">
      <c r="A3" s="3" t="inlineStr">
        <is>
          <t>TCVN 9436:2012; Đầm cóc Mikasa 80kg trong phạm vi 2.0m sau mang mố, lu rung 10T ngoài phạm vi</t>
        </is>
      </c>
    </row>
    <row r="5" ht="28" customHeight="1">
      <c r="A5" s="4" t="inlineStr">
        <is>
          <t>STT</t>
        </is>
      </c>
      <c r="B5" s="4" t="inlineStr">
        <is>
          <t>Hạng mục đắp</t>
        </is>
      </c>
      <c r="C5" s="4" t="inlineStr">
        <is>
          <t>Vị trí áp dụng</t>
        </is>
      </c>
      <c r="D5" s="4" t="inlineStr">
        <is>
          <t>Chiều dày lớp đầm (cm)</t>
        </is>
      </c>
      <c r="E5" s="4" t="inlineStr">
        <is>
          <t>Diện tích TB (m2)</t>
        </is>
      </c>
      <c r="F5" s="4" t="inlineStr">
        <is>
          <t>Chiều cao đắp (m)</t>
        </is>
      </c>
      <c r="G5" s="4" t="inlineStr">
        <is>
          <t>Độ chặt K yêu cầu</t>
        </is>
      </c>
      <c r="H5" s="4" t="inlineStr">
        <is>
          <t>Thể tích đắp (m3)</t>
        </is>
      </c>
      <c r="I5" s="4" t="inlineStr">
        <is>
          <t>Thiết bị lu lèn</t>
        </is>
      </c>
    </row>
    <row r="6">
      <c r="A6" s="6" t="n">
        <v>1</v>
      </c>
      <c r="B6" s="15" t="inlineStr">
        <is>
          <t>Lòng mố chữ U mố M2 - Đợt 1</t>
        </is>
      </c>
      <c r="C6" s="6" t="inlineStr">
        <is>
          <t>Mố M2 (Km19+594.28)</t>
        </is>
      </c>
      <c r="D6" s="20" t="n">
        <v>15</v>
      </c>
      <c r="E6" s="8" t="n">
        <v>68.5</v>
      </c>
      <c r="F6" s="8" t="n">
        <v>2.2</v>
      </c>
      <c r="G6" s="6" t="inlineStr">
        <is>
          <t>K &gt;= 0.98</t>
        </is>
      </c>
      <c r="H6" s="17">
        <f>E6*F6</f>
        <v/>
      </c>
      <c r="I6" s="15" t="inlineStr">
        <is>
          <t>Đầm cóc Mikasa 80kg</t>
        </is>
      </c>
    </row>
    <row r="7">
      <c r="A7" s="6" t="n">
        <v>2</v>
      </c>
      <c r="B7" s="15" t="inlineStr">
        <is>
          <t>Lòng mố chữ U mố M2 - Đợt 2</t>
        </is>
      </c>
      <c r="C7" s="6" t="inlineStr">
        <is>
          <t>Mố M2 (Km19+594.28)</t>
        </is>
      </c>
      <c r="D7" s="20" t="n">
        <v>15</v>
      </c>
      <c r="E7" s="8" t="n">
        <v>65</v>
      </c>
      <c r="F7" s="8" t="n">
        <v>2.4</v>
      </c>
      <c r="G7" s="6" t="inlineStr">
        <is>
          <t>K &gt;= 0.98</t>
        </is>
      </c>
      <c r="H7" s="17">
        <f>E7*F7</f>
        <v/>
      </c>
      <c r="I7" s="15" t="inlineStr">
        <is>
          <t>Đầm cóc Mikasa 80kg</t>
        </is>
      </c>
    </row>
    <row r="8">
      <c r="A8" s="6" t="n">
        <v>3</v>
      </c>
      <c r="B8" s="15" t="inlineStr">
        <is>
          <t>Đắp sau mố M1 đoạn quá độ</t>
        </is>
      </c>
      <c r="C8" s="6" t="inlineStr">
        <is>
          <t>Sau mố M1 L=20m</t>
        </is>
      </c>
      <c r="D8" s="20" t="n">
        <v>20</v>
      </c>
      <c r="E8" s="8" t="n">
        <v>110</v>
      </c>
      <c r="F8" s="8" t="n">
        <v>3.8</v>
      </c>
      <c r="G8" s="6" t="inlineStr">
        <is>
          <t>K &gt;= 0.95</t>
        </is>
      </c>
      <c r="H8" s="17">
        <f>E8*F8</f>
        <v/>
      </c>
      <c r="I8" s="15" t="inlineStr">
        <is>
          <t>Lu rung 10T kết hợp lu nhỏ</t>
        </is>
      </c>
    </row>
    <row r="9">
      <c r="A9" s="6" t="n">
        <v>4</v>
      </c>
      <c r="B9" s="15" t="inlineStr">
        <is>
          <t>Đắp sau mố M2 đoạn quá độ</t>
        </is>
      </c>
      <c r="C9" s="6" t="inlineStr">
        <is>
          <t>Sau mố M2 L=20m</t>
        </is>
      </c>
      <c r="D9" s="20" t="n">
        <v>20</v>
      </c>
      <c r="E9" s="8" t="n">
        <v>115</v>
      </c>
      <c r="F9" s="8" t="n">
        <v>4.2</v>
      </c>
      <c r="G9" s="6" t="inlineStr">
        <is>
          <t>K &gt;= 0.95</t>
        </is>
      </c>
      <c r="H9" s="17">
        <f>E9*F9</f>
        <v/>
      </c>
      <c r="I9" s="15" t="inlineStr">
        <is>
          <t>Lu rung 10T kết hợp lu nhỏ</t>
        </is>
      </c>
    </row>
    <row r="10">
      <c r="A10" s="6" t="n">
        <v>5</v>
      </c>
      <c r="B10" s="15" t="inlineStr">
        <is>
          <t>Đắp đất tạo mái taluy tứ nón M1, M2</t>
        </is>
      </c>
      <c r="C10" s="6" t="inlineStr">
        <is>
          <t>Hai đầu cầu</t>
        </is>
      </c>
      <c r="D10" s="20" t="n">
        <v>20</v>
      </c>
      <c r="E10" s="8" t="n">
        <v>85</v>
      </c>
      <c r="F10" s="8" t="n">
        <v>3.5</v>
      </c>
      <c r="G10" s="6" t="inlineStr">
        <is>
          <t>K &gt;= 0.95</t>
        </is>
      </c>
      <c r="H10" s="17">
        <f>E10*F10</f>
        <v/>
      </c>
      <c r="I10" s="15" t="inlineStr">
        <is>
          <t>Đầm cóc kết hợp vỗ mái</t>
        </is>
      </c>
    </row>
    <row r="11">
      <c r="B11" s="18" t="inlineStr">
        <is>
          <t>TỔNG CỘNG THỂ TÍCH ĐẤT ĐẮP</t>
        </is>
      </c>
      <c r="H11" s="19">
        <f>SUM(H6:H10)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2026-10-07T04:47:19Z</dcterms:created>
  <dcterms:modified xmlns:dcterms="http://purl.org/dc/terms/" xmlns:xsi="http://www.w3.org/2001/XMLSchema-instance" xsi:type="dcterms:W3CDTF">2026-10-07T04:47:19Z</dcterms:modified>
</cp:coreProperties>
</file>