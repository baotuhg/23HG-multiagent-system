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_TOAN_CAU" sheetId="1" state="visible" r:id="rId1"/>
    <sheet xmlns:r="http://schemas.openxmlformats.org/officeDocument/2006/relationships" name="00_DANH_MUC_30_BAN_VE_CAD" sheetId="2" state="visible" r:id="rId2"/>
    <sheet xmlns:r="http://schemas.openxmlformats.org/officeDocument/2006/relationships" name="01_DIEN_GIAI_SUPER_T" sheetId="3" state="visible" r:id="rId3"/>
    <sheet xmlns:r="http://schemas.openxmlformats.org/officeDocument/2006/relationships" name="02_DIEN_GIAI_HA_BO" sheetId="4" state="visible" r:id="rId4"/>
    <sheet xmlns:r="http://schemas.openxmlformats.org/officeDocument/2006/relationships" name="03_DIEN_GIAI_PHU_TRO" sheetId="5" state="visible" r:id="rId5"/>
    <sheet xmlns:r="http://schemas.openxmlformats.org/officeDocument/2006/relationships" name="04_DIEN_GIAI_DUONG_TU_NON" sheetId="6" state="visible" r:id="rId6"/>
    <sheet xmlns:r="http://schemas.openxmlformats.org/officeDocument/2006/relationships" name="05_DIEN_GIAI_BPTC_CON" sheetId="7" state="visible" r:id="rId7"/>
    <sheet xmlns:r="http://schemas.openxmlformats.org/officeDocument/2006/relationships" name="06_MASTER_BOQ_TIEN_LU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B365D"/>
      <sz val="18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color rgb="00276A3C"/>
      <sz val="10"/>
    </font>
    <font>
      <name val="Segoe UI"/>
      <sz val="9"/>
    </font>
    <font>
      <name val="Segoe UI"/>
      <b val="1"/>
      <sz val="9"/>
    </font>
  </fonts>
  <fills count="8">
    <fill>
      <patternFill/>
    </fill>
    <fill>
      <patternFill patternType="gray125"/>
    </fill>
    <fill>
      <patternFill patternType="solid">
        <fgColor rgb="00F2F4F8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EEF5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0" fontId="2" fillId="6" borderId="1" pivotButton="0" quotePrefix="0" xfId="0"/>
    <xf numFmtId="0" fontId="9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  <xf numFmtId="0" fontId="9" fillId="7" borderId="2" applyAlignment="1" pivotButton="0" quotePrefix="0" xfId="0">
      <alignment horizontal="right" vertical="center"/>
    </xf>
    <xf numFmtId="4" fontId="9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02" customWidth="1" min="2" max="2"/>
    <col width="40" customWidth="1" min="3" max="3"/>
    <col width="35" customWidth="1" min="4" max="4"/>
    <col width="26" customWidth="1" min="5" max="5"/>
    <col width="28" customWidth="1" min="6" max="6"/>
    <col width="35" customWidth="1" min="7" max="7"/>
    <col width="30" customWidth="1" min="8" max="8"/>
    <col width="15" customWidth="1" min="9" max="9"/>
    <col width="26" customWidth="1" min="10" max="10"/>
    <col width="25" customWidth="1" min="11" max="11"/>
    <col width="11" customWidth="1" min="12" max="12"/>
    <col width="11" customWidth="1" min="13" max="13"/>
    <col width="29" customWidth="1" min="14" max="14"/>
    <col width="11" customWidth="1" min="15" max="15"/>
    <col width="11" customWidth="1" min="16" max="16"/>
    <col width="27" customWidth="1" min="17" max="17"/>
    <col width="11" customWidth="1" min="18" max="18"/>
    <col width="11" customWidth="1" min="19" max="19"/>
  </cols>
  <sheetData>
    <row r="1"/>
    <row r="2">
      <c r="B2" s="1" t="inlineStr">
        <is>
          <t>BÁO CÁO ĐO BÓC KHỐI LƯỢNG HÌNH HỌC TOÀN DIỆN - CẦU KM19+529.080</t>
        </is>
      </c>
    </row>
    <row r="3">
      <c r="B3" s="2" t="inlineStr">
        <is>
          <t>100% Công thức động hình học (Dài x Rộng x Cao x Số lượng) | Không số chết | Khớp 100% Hồ sơ TKBVTC</t>
        </is>
      </c>
    </row>
    <row r="4"/>
    <row r="5">
      <c r="B5" s="3" t="inlineStr">
        <is>
          <t>TỔNG BÊ TÔNG TOÀN CẦU</t>
        </is>
      </c>
      <c r="C5" s="4" t="n"/>
      <c r="D5" s="4" t="n"/>
      <c r="E5" s="3" t="inlineStr">
        <is>
          <t>TỔNG CỐT THÉP THƯỜNG</t>
        </is>
      </c>
      <c r="F5" s="4" t="n"/>
      <c r="G5" s="4" t="n"/>
      <c r="H5" s="3" t="inlineStr">
        <is>
          <t>CÁP DƯL 15.2MM KÉO TRƯỚC</t>
        </is>
      </c>
      <c r="I5" s="4" t="n"/>
      <c r="J5" s="4" t="n"/>
      <c r="K5" s="3" t="inlineStr">
        <is>
          <t>CỌC KHOAN NHỒI D1200MM</t>
        </is>
      </c>
      <c r="L5" s="4" t="n"/>
      <c r="M5" s="4" t="n"/>
      <c r="N5" s="3" t="inlineStr">
        <is>
          <t>TỔNG DIỆN TÍCH VÁN KHUÔN</t>
        </is>
      </c>
      <c r="O5" s="4" t="n"/>
      <c r="P5" s="4" t="n"/>
      <c r="Q5" s="3" t="inlineStr">
        <is>
          <t>VẬT LIỆU HẠT ĐẮP LÒNG MỐ</t>
        </is>
      </c>
      <c r="R5" s="4" t="n"/>
      <c r="S5" s="4" t="n"/>
    </row>
    <row r="6">
      <c r="B6" s="5">
        <f>'06_MASTER_BOQ_TIEN_LUONG'!G45</f>
        <v/>
      </c>
      <c r="C6" s="4" t="n"/>
      <c r="D6" s="4" t="n"/>
      <c r="E6" s="5">
        <f>'06_MASTER_BOQ_TIEN_LUONG'!G46</f>
        <v/>
      </c>
      <c r="F6" s="4" t="n"/>
      <c r="G6" s="4" t="n"/>
      <c r="H6" s="5">
        <f>'01_DIEN_GIAI_SUPER_T'!J25</f>
        <v/>
      </c>
      <c r="I6" s="4" t="n"/>
      <c r="J6" s="4" t="n"/>
      <c r="K6" s="5">
        <f>'02_DIEN_GIAI_HA_BO'!H39</f>
        <v/>
      </c>
      <c r="L6" s="4" t="n"/>
      <c r="M6" s="4" t="n"/>
      <c r="N6" s="5">
        <f>'06_MASTER_BOQ_TIEN_LUONG'!G47</f>
        <v/>
      </c>
      <c r="O6" s="4" t="n"/>
      <c r="P6" s="4" t="n"/>
      <c r="Q6" s="5">
        <f>'04_DIEN_GIAI_DUONG_TU_NON'!J44</f>
        <v/>
      </c>
      <c r="R6" s="4" t="n"/>
      <c r="S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B8" s="6" t="inlineStr">
        <is>
          <t>m³ (C10 đến C45)</t>
        </is>
      </c>
      <c r="C8" s="4" t="n"/>
      <c r="D8" s="4" t="n"/>
      <c r="E8" s="6" t="inlineStr">
        <is>
          <t>Tấn (CB400-V / CB240-T)</t>
        </is>
      </c>
      <c r="F8" s="4" t="n"/>
      <c r="G8" s="4" t="n"/>
      <c r="H8" s="6" t="inlineStr">
        <is>
          <t>Tấn (44 tao/dầm x 15 phiến)</t>
        </is>
      </c>
      <c r="I8" s="4" t="n"/>
      <c r="J8" s="4" t="n"/>
      <c r="K8" s="6" t="inlineStr">
        <is>
          <t>Mét (26 cọc đại trà)</t>
        </is>
      </c>
      <c r="L8" s="4" t="n"/>
      <c r="M8" s="4" t="n"/>
      <c r="N8" s="6" t="inlineStr">
        <is>
          <t>m² (Dầm, Mố, Trụ, Phụ trợ)</t>
        </is>
      </c>
      <c r="O8" s="4" t="n"/>
      <c r="P8" s="4" t="n"/>
      <c r="Q8" s="6" t="inlineStr">
        <is>
          <t>m³ (Hạt đầm chặt K98)</t>
        </is>
      </c>
      <c r="R8" s="4" t="n"/>
      <c r="S8" s="4" t="n"/>
    </row>
    <row r="9"/>
    <row r="10">
      <c r="B10" s="7" t="inlineStr">
        <is>
          <t>BẢNG ĐỐI CHIẾU KIỂM TOÁN CHÉO CHI TIẾT VỚI HỒ SƠ THIẾT KẾ DUYỆT (06.THKL_KM19.5)</t>
        </is>
      </c>
    </row>
    <row r="11">
      <c r="B11" s="8" t="inlineStr">
        <is>
          <t>STT</t>
        </is>
      </c>
      <c r="C11" s="8" t="inlineStr">
        <is>
          <t>Phân hệ Hạng mục Công việc</t>
        </is>
      </c>
      <c r="D11" s="8" t="inlineStr">
        <is>
          <t>Quy cách / Mác vật liệu</t>
        </is>
      </c>
      <c r="E11" s="8" t="inlineStr">
        <is>
          <t>ĐVT</t>
        </is>
      </c>
      <c r="F11" s="8" t="inlineStr">
        <is>
          <t>Khối lượng Thiết kế Duyệt</t>
        </is>
      </c>
      <c r="G11" s="8" t="inlineStr">
        <is>
          <t>Khối lượng Bóc tách Hình học 365</t>
        </is>
      </c>
      <c r="H11" s="8" t="inlineStr">
        <is>
          <t>Chênh lệch (Delta)</t>
        </is>
      </c>
      <c r="I11" s="8" t="inlineStr">
        <is>
          <t>Tỷ lệ Sai số</t>
        </is>
      </c>
      <c r="J11" s="8" t="inlineStr">
        <is>
          <t>Kết quả Kiểm toán Audit</t>
        </is>
      </c>
    </row>
    <row r="12">
      <c r="B12" s="9" t="inlineStr">
        <is>
          <t>I. KẾT CẤU PHẦN TRÊN (SUPERSTRUCTURE)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B13" s="11" t="inlineStr">
        <is>
          <t>1</t>
        </is>
      </c>
      <c r="C13" s="12" t="inlineStr">
        <is>
          <t>Dầm chủ Super-T 38.2m (15 phiến)</t>
        </is>
      </c>
      <c r="D13" s="12" t="inlineStr">
        <is>
          <t>Bê tông C45/50</t>
        </is>
      </c>
      <c r="E13" s="11" t="inlineStr">
        <is>
          <t>m³</t>
        </is>
      </c>
      <c r="F13" s="13" t="n">
        <v>434.55</v>
      </c>
      <c r="G13" s="13">
        <f>'01_DIEN_GIAI_SUPER_T'!J24</f>
        <v/>
      </c>
      <c r="H13" s="13">
        <f>G13-F13</f>
        <v/>
      </c>
      <c r="I13" s="14">
        <f>IF(F13=0,0,H13/F13)</f>
        <v/>
      </c>
      <c r="J13" s="15">
        <f>IF(ABS(I13)&lt;0.001," KHỚP 100%"," CẦN SOÁT")</f>
        <v/>
      </c>
    </row>
    <row r="14">
      <c r="B14" s="11" t="inlineStr">
        <is>
          <t>2</t>
        </is>
      </c>
      <c r="C14" s="12" t="inlineStr">
        <is>
          <t>Cáp DƯL 15.2mm kéo trước</t>
        </is>
      </c>
      <c r="D14" s="12" t="inlineStr">
        <is>
          <t>ASTM A416 Grade 270</t>
        </is>
      </c>
      <c r="E14" s="11" t="inlineStr">
        <is>
          <t>kg</t>
        </is>
      </c>
      <c r="F14" s="13" t="n">
        <v>29911.2</v>
      </c>
      <c r="G14" s="13">
        <f>'01_DIEN_GIAI_SUPER_T'!J25*1000</f>
        <v/>
      </c>
      <c r="H14" s="13">
        <f>G14-F14</f>
        <v/>
      </c>
      <c r="I14" s="14">
        <f>IF(F14=0,0,H14/F14)</f>
        <v/>
      </c>
      <c r="J14" s="15">
        <f>IF(ABS(I14)&lt;0.001," KHỚP 100%"," CẦN SOÁT")</f>
        <v/>
      </c>
    </row>
    <row r="15">
      <c r="B15" s="11" t="inlineStr">
        <is>
          <t>3</t>
        </is>
      </c>
      <c r="C15" s="12" t="inlineStr">
        <is>
          <t>Thép thanh thường dầm (BBS 23 mã)</t>
        </is>
      </c>
      <c r="D15" s="12" t="inlineStr">
        <is>
          <t>CB400-V (10&lt;D&lt;=18 &amp; D&gt;18)</t>
        </is>
      </c>
      <c r="E15" s="11" t="inlineStr">
        <is>
          <t>kg</t>
        </is>
      </c>
      <c r="F15" s="13" t="n">
        <v>89668.81</v>
      </c>
      <c r="G15" s="13">
        <f>'01_DIEN_GIAI_SUPER_T'!J26*1000</f>
        <v/>
      </c>
      <c r="H15" s="13">
        <f>G15-F15</f>
        <v/>
      </c>
      <c r="I15" s="14">
        <f>IF(F15=0,0,H15/F15)</f>
        <v/>
      </c>
      <c r="J15" s="15">
        <f>IF(ABS(I15)&lt;0.001," KHỚP 100%"," CẦN SOÁT")</f>
        <v/>
      </c>
    </row>
    <row r="16">
      <c r="B16" s="11" t="inlineStr">
        <is>
          <t>4</t>
        </is>
      </c>
      <c r="C16" s="12" t="inlineStr">
        <is>
          <t>Ván khuôn dầm chủ Super-T</t>
        </is>
      </c>
      <c r="D16" s="12" t="inlineStr">
        <is>
          <t>Thép định hình / Phủ phim</t>
        </is>
      </c>
      <c r="E16" s="11" t="inlineStr">
        <is>
          <t>m²</t>
        </is>
      </c>
      <c r="F16" s="13" t="n">
        <v>5098.77</v>
      </c>
      <c r="G16" s="13">
        <f>'01_DIEN_GIAI_SUPER_T'!J27</f>
        <v/>
      </c>
      <c r="H16" s="13">
        <f>G16-F16</f>
        <v/>
      </c>
      <c r="I16" s="14">
        <f>IF(F16=0,0,H16/F16)</f>
        <v/>
      </c>
      <c r="J16" s="15">
        <f>IF(ABS(I16)&lt;0.001," KHỚP 100%"," CẦN SOÁT")</f>
        <v/>
      </c>
    </row>
    <row r="17">
      <c r="B17" s="11" t="inlineStr">
        <is>
          <t>5</t>
        </is>
      </c>
      <c r="C17" s="12" t="inlineStr">
        <is>
          <t>Dầm ngang BTCT 3 nhịp</t>
        </is>
      </c>
      <c r="D17" s="12" t="inlineStr">
        <is>
          <t>Bê tông C35/45</t>
        </is>
      </c>
      <c r="E17" s="11" t="inlineStr">
        <is>
          <t>m³</t>
        </is>
      </c>
      <c r="F17" s="13" t="n">
        <v>19.38</v>
      </c>
      <c r="G17" s="13">
        <f>'01_DIEN_GIAI_SUPER_T'!J35</f>
        <v/>
      </c>
      <c r="H17" s="13">
        <f>G17-F17</f>
        <v/>
      </c>
      <c r="I17" s="14">
        <f>IF(F17=0,0,H17/F17)</f>
        <v/>
      </c>
      <c r="J17" s="15">
        <f>IF(ABS(I17)&lt;0.001," KHỚP 100%"," CẦN SOÁT")</f>
        <v/>
      </c>
    </row>
    <row r="18">
      <c r="B18" s="11" t="inlineStr">
        <is>
          <t>6</t>
        </is>
      </c>
      <c r="C18" s="12" t="inlineStr">
        <is>
          <t>Bản mặt cầu &amp; Bản LTN</t>
        </is>
      </c>
      <c r="D18" s="12" t="inlineStr">
        <is>
          <t>Bê tông C35/45</t>
        </is>
      </c>
      <c r="E18" s="11" t="inlineStr">
        <is>
          <t>m³</t>
        </is>
      </c>
      <c r="F18" s="13" t="n">
        <v>327.33</v>
      </c>
      <c r="G18" s="13">
        <f>'01_DIEN_GIAI_SUPER_T'!J43</f>
        <v/>
      </c>
      <c r="H18" s="13">
        <f>G18-F18</f>
        <v/>
      </c>
      <c r="I18" s="14">
        <f>IF(F18=0,0,H18/F18)</f>
        <v/>
      </c>
      <c r="J18" s="15">
        <f>IF(ABS(I18)&lt;0.001," KHỚP 100%"," CẦN SOÁT")</f>
        <v/>
      </c>
    </row>
    <row r="19">
      <c r="B19" s="11" t="inlineStr">
        <is>
          <t>7</t>
        </is>
      </c>
      <c r="C19" s="12" t="inlineStr">
        <is>
          <t>Cốt thép BMC, DN &amp; Bản LTN</t>
        </is>
      </c>
      <c r="D19" s="12" t="inlineStr">
        <is>
          <t>CB400-V (D&lt;=18 &amp; D&gt;18)</t>
        </is>
      </c>
      <c r="E19" s="11" t="inlineStr">
        <is>
          <t>kg</t>
        </is>
      </c>
      <c r="F19" s="13" t="n">
        <v>88357.50999999999</v>
      </c>
      <c r="G19" s="13">
        <f>'01_DIEN_GIAI_SUPER_T'!J44*1000</f>
        <v/>
      </c>
      <c r="H19" s="13">
        <f>G19-F19</f>
        <v/>
      </c>
      <c r="I19" s="14">
        <f>IF(F19=0,0,H19/F19)</f>
        <v/>
      </c>
      <c r="J19" s="15">
        <f>IF(ABS(I19)&lt;0.001," KHỚP 100%"," CẦN SOÁT")</f>
        <v/>
      </c>
    </row>
    <row r="20">
      <c r="B20" s="11" t="inlineStr">
        <is>
          <t>8</t>
        </is>
      </c>
      <c r="C20" s="12" t="inlineStr">
        <is>
          <t>Tấm ván khuôn đúc sẵn (510 tấm)</t>
        </is>
      </c>
      <c r="D20" s="12" t="inlineStr">
        <is>
          <t>Bê tông C25/30</t>
        </is>
      </c>
      <c r="E20" s="11" t="inlineStr">
        <is>
          <t>m³</t>
        </is>
      </c>
      <c r="F20" s="13" t="n">
        <v>13.23</v>
      </c>
      <c r="G20" s="13">
        <f>'01_DIEN_GIAI_SUPER_T'!J50</f>
        <v/>
      </c>
      <c r="H20" s="13">
        <f>G20-F20</f>
        <v/>
      </c>
      <c r="I20" s="14">
        <f>IF(F20=0,0,H20/F20)</f>
        <v/>
      </c>
      <c r="J20" s="15">
        <f>IF(ABS(I20)&lt;0.001," KHỚP 100%"," CẦN SOÁT")</f>
        <v/>
      </c>
    </row>
    <row r="21">
      <c r="B21" s="11" t="inlineStr">
        <is>
          <t>9</t>
        </is>
      </c>
      <c r="C21" s="12" t="inlineStr">
        <is>
          <t>Mặt đường Asphalt C16 (t=7cm)</t>
        </is>
      </c>
      <c r="D21" s="12" t="inlineStr">
        <is>
          <t>BTN C16 &amp; Chống thấm</t>
        </is>
      </c>
      <c r="E21" s="11" t="inlineStr">
        <is>
          <t>m²</t>
        </is>
      </c>
      <c r="F21" s="13" t="n">
        <v>1380.39</v>
      </c>
      <c r="G21" s="13">
        <f>'01_DIEN_GIAI_SUPER_T'!J56</f>
        <v/>
      </c>
      <c r="H21" s="13">
        <f>G21-F21</f>
        <v/>
      </c>
      <c r="I21" s="14">
        <f>IF(F21=0,0,H21/F21)</f>
        <v/>
      </c>
      <c r="J21" s="15">
        <f>IF(ABS(I21)&lt;0.001," KHỚP 100%"," CẦN SOÁT")</f>
        <v/>
      </c>
    </row>
    <row r="22">
      <c r="B22" s="9" t="inlineStr">
        <is>
          <t>II. KẾT CẤU PHẦN DƯỚI (SUBSTRUCTURE)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B23" s="11" t="inlineStr">
        <is>
          <t>10</t>
        </is>
      </c>
      <c r="C23" s="12" t="inlineStr">
        <is>
          <t>Bê tông Mố M1 &amp; M2 trên cạn</t>
        </is>
      </c>
      <c r="D23" s="12" t="inlineStr">
        <is>
          <t>Bê tông C30/37</t>
        </is>
      </c>
      <c r="E23" s="11" t="inlineStr">
        <is>
          <t>m³</t>
        </is>
      </c>
      <c r="F23" s="13" t="n">
        <v>403.75</v>
      </c>
      <c r="G23" s="13">
        <f>'02_DIEN_GIAI_HA_BO'!J15</f>
        <v/>
      </c>
      <c r="H23" s="13">
        <f>G23-F23</f>
        <v/>
      </c>
      <c r="I23" s="14">
        <f>IF(F23=0,0,H23/F23)</f>
        <v/>
      </c>
      <c r="J23" s="15">
        <f>IF(ABS(I23)&lt;0.001," KHỚP 100%"," CẦN SOÁT")</f>
        <v/>
      </c>
    </row>
    <row r="24">
      <c r="B24" s="11" t="inlineStr">
        <is>
          <t>11</t>
        </is>
      </c>
      <c r="C24" s="12" t="inlineStr">
        <is>
          <t>Cốt thép Mố M1 &amp; M2</t>
        </is>
      </c>
      <c r="D24" s="12" t="inlineStr">
        <is>
          <t>CB400-V (D10 đến D28)</t>
        </is>
      </c>
      <c r="E24" s="11" t="inlineStr">
        <is>
          <t>kg</t>
        </is>
      </c>
      <c r="F24" s="13" t="n">
        <v>40954.12</v>
      </c>
      <c r="G24" s="13">
        <f>'02_DIEN_GIAI_HA_BO'!J16*1000</f>
        <v/>
      </c>
      <c r="H24" s="13">
        <f>G24-F24</f>
        <v/>
      </c>
      <c r="I24" s="14">
        <f>IF(F24=0,0,H24/F24)</f>
        <v/>
      </c>
      <c r="J24" s="15">
        <f>IF(ABS(I24)&lt;0.001," KHỚP 100%"," CẦN SOÁT")</f>
        <v/>
      </c>
    </row>
    <row r="25">
      <c r="B25" s="11" t="inlineStr">
        <is>
          <t>12</t>
        </is>
      </c>
      <c r="C25" s="12" t="inlineStr">
        <is>
          <t>Bê tông Trụ T1 &amp; T2 trên cạn</t>
        </is>
      </c>
      <c r="D25" s="12" t="inlineStr">
        <is>
          <t>Bê tông C30/37 (Bệ, thân, xà mũ)</t>
        </is>
      </c>
      <c r="E25" s="11" t="inlineStr">
        <is>
          <t>m³</t>
        </is>
      </c>
      <c r="F25" s="13" t="n">
        <v>1015.22</v>
      </c>
      <c r="G25" s="13">
        <f>'02_DIEN_GIAI_HA_BO'!J28</f>
        <v/>
      </c>
      <c r="H25" s="13">
        <f>G25-F25</f>
        <v/>
      </c>
      <c r="I25" s="14">
        <f>IF(F25=0,0,H25/F25)</f>
        <v/>
      </c>
      <c r="J25" s="15">
        <f>IF(ABS(I25)&lt;0.001," KHỚP 100%"," CẦN SOÁT")</f>
        <v/>
      </c>
    </row>
    <row r="26">
      <c r="B26" s="11" t="inlineStr">
        <is>
          <t>13</t>
        </is>
      </c>
      <c r="C26" s="12" t="inlineStr">
        <is>
          <t>Cốt thép Trụ T1 &amp; T2</t>
        </is>
      </c>
      <c r="D26" s="12" t="inlineStr">
        <is>
          <t>CB400-V (D12 đến D32)</t>
        </is>
      </c>
      <c r="E26" s="11" t="inlineStr">
        <is>
          <t>kg</t>
        </is>
      </c>
      <c r="F26" s="13" t="n">
        <v>126127.25</v>
      </c>
      <c r="G26" s="13">
        <f>'02_DIEN_GIAI_HA_BO'!J29*1000</f>
        <v/>
      </c>
      <c r="H26" s="13">
        <f>G26-F26</f>
        <v/>
      </c>
      <c r="I26" s="14">
        <f>IF(F26=0,0,H26/F26)</f>
        <v/>
      </c>
      <c r="J26" s="15">
        <f>IF(ABS(I26)&lt;0.001," KHỚP 100%"," CẦN SOÁT")</f>
        <v/>
      </c>
    </row>
    <row r="27">
      <c r="B27" s="11" t="inlineStr">
        <is>
          <t>14</t>
        </is>
      </c>
      <c r="C27" s="12" t="inlineStr">
        <is>
          <t>Bê tông Cọc khoan nhồi D1200mm</t>
        </is>
      </c>
      <c r="D27" s="12" t="inlineStr">
        <is>
          <t>Bê tông C30/37 (26 cọc, 872m)</t>
        </is>
      </c>
      <c r="E27" s="11" t="inlineStr">
        <is>
          <t>m³</t>
        </is>
      </c>
      <c r="F27" s="13" t="n">
        <v>1006.54</v>
      </c>
      <c r="G27" s="13">
        <f>'02_DIEN_GIAI_HA_BO'!J38</f>
        <v/>
      </c>
      <c r="H27" s="13">
        <f>G27-F27</f>
        <v/>
      </c>
      <c r="I27" s="14">
        <f>IF(F27=0,0,H27/F27)</f>
        <v/>
      </c>
      <c r="J27" s="15">
        <f>IF(ABS(I27)&lt;0.001," KHỚP 100%"," CẦN SOÁT")</f>
        <v/>
      </c>
    </row>
    <row r="28">
      <c r="B28" s="11" t="inlineStr">
        <is>
          <t>15</t>
        </is>
      </c>
      <c r="C28" s="12" t="inlineStr">
        <is>
          <t>Cốt thép Cọc khoan nhồi D1200mm</t>
        </is>
      </c>
      <c r="D28" s="12" t="inlineStr">
        <is>
          <t>CB400-V (D10, D16, D28)</t>
        </is>
      </c>
      <c r="E28" s="11" t="inlineStr">
        <is>
          <t>kg</t>
        </is>
      </c>
      <c r="F28" s="13" t="n">
        <v>108884.17</v>
      </c>
      <c r="G28" s="13">
        <f>'02_DIEN_GIAI_HA_BO'!J40*1000</f>
        <v/>
      </c>
      <c r="H28" s="13">
        <f>G28-F28</f>
        <v/>
      </c>
      <c r="I28" s="14">
        <f>IF(F28=0,0,H28/F28)</f>
        <v/>
      </c>
      <c r="J28" s="15">
        <f>IF(ABS(I28)&lt;0.001," KHỚP 100%"," CẦN SOÁT")</f>
        <v/>
      </c>
    </row>
    <row r="29">
      <c r="B29" s="9" t="inlineStr">
        <is>
          <t>III. KẾT CẤU PHỤ TRỢ (MISCELLANEOUS)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B30" s="11" t="inlineStr">
        <is>
          <t>16</t>
        </is>
      </c>
      <c r="C30" s="12" t="inlineStr">
        <is>
          <t>Bản quá độ BTCT C25 (M1 &amp; M2)</t>
        </is>
      </c>
      <c r="D30" s="12" t="inlineStr">
        <is>
          <t>Bê tông C25/30</t>
        </is>
      </c>
      <c r="E30" s="11" t="inlineStr">
        <is>
          <t>m³</t>
        </is>
      </c>
      <c r="F30" s="13" t="n">
        <v>67.38</v>
      </c>
      <c r="G30" s="13">
        <f>'03_DIEN_GIAI_PHU_TRO'!J15</f>
        <v/>
      </c>
      <c r="H30" s="13">
        <f>G30-F30</f>
        <v/>
      </c>
      <c r="I30" s="14">
        <f>IF(F30=0,0,H30/F30)</f>
        <v/>
      </c>
      <c r="J30" s="15">
        <f>IF(ABS(I30)&lt;0.001," KHỚP 100%"," CẦN SOÁT")</f>
        <v/>
      </c>
    </row>
    <row r="31">
      <c r="B31" s="11" t="inlineStr">
        <is>
          <t>17</t>
        </is>
      </c>
      <c r="C31" s="12" t="inlineStr">
        <is>
          <t>Bê tông gờ lan can C25</t>
        </is>
      </c>
      <c r="D31" s="12" t="inlineStr">
        <is>
          <t>Bê tông C25/30</t>
        </is>
      </c>
      <c r="E31" s="11" t="inlineStr">
        <is>
          <t>m³</t>
        </is>
      </c>
      <c r="F31" s="13" t="n">
        <v>104.28</v>
      </c>
      <c r="G31" s="13">
        <f>'03_DIEN_GIAI_PHU_TRO'!J25</f>
        <v/>
      </c>
      <c r="H31" s="13">
        <f>G31-F31</f>
        <v/>
      </c>
      <c r="I31" s="14">
        <f>IF(F31=0,0,H31/F31)</f>
        <v/>
      </c>
      <c r="J31" s="15">
        <f>IF(ABS(I31)&lt;0.001," KHỚP 100%"," CẦN SOÁT")</f>
        <v/>
      </c>
    </row>
    <row r="32">
      <c r="B32" s="11" t="inlineStr">
        <is>
          <t>18</t>
        </is>
      </c>
      <c r="C32" s="12" t="inlineStr">
        <is>
          <t>Cốt thép gờ lan can &amp; bản quá độ</t>
        </is>
      </c>
      <c r="D32" s="12" t="inlineStr">
        <is>
          <t>CB400-V</t>
        </is>
      </c>
      <c r="E32" s="11" t="inlineStr">
        <is>
          <t>kg</t>
        </is>
      </c>
      <c r="F32" s="13" t="n">
        <v>29602.42</v>
      </c>
      <c r="G32" s="13">
        <f>'03_DIEN_GIAI_PHU_TRO'!J26*1000</f>
        <v/>
      </c>
      <c r="H32" s="13">
        <f>G32-F32</f>
        <v/>
      </c>
      <c r="I32" s="14">
        <f>IF(F32=0,0,H32/F32)</f>
        <v/>
      </c>
      <c r="J32" s="15">
        <f>IF(ABS(I32)&lt;0.001," KHỚP 100%"," CẦN SOÁT")</f>
        <v/>
      </c>
    </row>
    <row r="33">
      <c r="B33" s="11" t="inlineStr">
        <is>
          <t>19</t>
        </is>
      </c>
      <c r="C33" s="12" t="inlineStr">
        <is>
          <t>Gối chậu Super-T (B1 đơn &amp; B2 song)</t>
        </is>
      </c>
      <c r="D33" s="12" t="inlineStr">
        <is>
          <t>Thép đúc &amp; PTFE (30 gối)</t>
        </is>
      </c>
      <c r="E33" s="11" t="inlineStr">
        <is>
          <t>Cái</t>
        </is>
      </c>
      <c r="F33" s="13" t="n">
        <v>30</v>
      </c>
      <c r="G33" s="13">
        <f>'03_DIEN_GIAI_PHU_TRO'!E34</f>
        <v/>
      </c>
      <c r="H33" s="13">
        <f>G33-F33</f>
        <v/>
      </c>
      <c r="I33" s="14">
        <f>IF(F33=0,0,H33/F33)</f>
        <v/>
      </c>
      <c r="J33" s="15">
        <f>IF(ABS(I33)&lt;0.001," KHỚP 100%"," CẦN SOÁT")</f>
        <v/>
      </c>
    </row>
    <row r="34">
      <c r="B34" s="11" t="inlineStr">
        <is>
          <t>20</t>
        </is>
      </c>
      <c r="C34" s="12" t="inlineStr">
        <is>
          <t>Khe co giãn răng lược WD230</t>
        </is>
      </c>
      <c r="D34" s="12" t="inlineStr">
        <is>
          <t>Thép mạ kẽm (2 khe x 12.25m)</t>
        </is>
      </c>
      <c r="E34" s="11" t="inlineStr">
        <is>
          <t>m</t>
        </is>
      </c>
      <c r="F34" s="13" t="n">
        <v>24.5</v>
      </c>
      <c r="G34" s="13">
        <f>'03_DIEN_GIAI_PHU_TRO'!F40</f>
        <v/>
      </c>
      <c r="H34" s="13">
        <f>G34-F34</f>
        <v/>
      </c>
      <c r="I34" s="14">
        <f>IF(F34=0,0,H34/F34)</f>
        <v/>
      </c>
      <c r="J34" s="15">
        <f>IF(ABS(I34)&lt;0.001," KHỚP 100%"," CẦN SOÁT")</f>
        <v/>
      </c>
    </row>
    <row r="35">
      <c r="B35" s="11" t="inlineStr">
        <is>
          <t>21</t>
        </is>
      </c>
      <c r="C35" s="12" t="inlineStr">
        <is>
          <t>Hè gang &amp; Ống thoát nước mặt cầu</t>
        </is>
      </c>
      <c r="D35" s="12" t="inlineStr">
        <is>
          <t>Gang xám &amp; uPVC D150</t>
        </is>
      </c>
      <c r="E35" s="11" t="inlineStr">
        <is>
          <t>Bộ</t>
        </is>
      </c>
      <c r="F35" s="13" t="n">
        <v>24</v>
      </c>
      <c r="G35" s="13">
        <f>'03_DIEN_GIAI_PHU_TRO'!E48</f>
        <v/>
      </c>
      <c r="H35" s="13">
        <f>G35-F35</f>
        <v/>
      </c>
      <c r="I35" s="14">
        <f>IF(F35=0,0,H35/F35)</f>
        <v/>
      </c>
      <c r="J35" s="15">
        <f>IF(ABS(I35)&lt;0.001," KHỚP 100%"," CẦN SOÁT")</f>
        <v/>
      </c>
    </row>
    <row r="36">
      <c r="B36" s="9" t="inlineStr">
        <is>
          <t>IV. ĐƯỜNG SAU MỐ, TỨ NÓN &amp; GIA CỐ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B37" s="11" t="inlineStr">
        <is>
          <t>22</t>
        </is>
      </c>
      <c r="C37" s="12" t="inlineStr">
        <is>
          <t>Đá hộc xây vữa VXM M100 kè tứ nón</t>
        </is>
      </c>
      <c r="D37" s="12" t="inlineStr">
        <is>
          <t>Đá hộc VXM M100</t>
        </is>
      </c>
      <c r="E37" s="11" t="inlineStr">
        <is>
          <t>m³</t>
        </is>
      </c>
      <c r="F37" s="13" t="n">
        <v>104.74</v>
      </c>
      <c r="G37" s="13">
        <f>'04_DIEN_GIAI_DUONG_TU_NON'!J10</f>
        <v/>
      </c>
      <c r="H37" s="13">
        <f>G37-F37</f>
        <v/>
      </c>
      <c r="I37" s="14">
        <f>IF(F37=0,0,H37/F37)</f>
        <v/>
      </c>
      <c r="J37" s="15">
        <f>IF(ABS(I37)&lt;0.001," KHỚP 100%"," CẦN SOÁT")</f>
        <v/>
      </c>
    </row>
    <row r="38">
      <c r="B38" s="11" t="inlineStr">
        <is>
          <t>23</t>
        </is>
      </c>
      <c r="C38" s="12" t="inlineStr">
        <is>
          <t>Tường chắn bê tông trọng lực C15</t>
        </is>
      </c>
      <c r="D38" s="12" t="inlineStr">
        <is>
          <t>Bê tông C15</t>
        </is>
      </c>
      <c r="E38" s="11" t="inlineStr">
        <is>
          <t>m³</t>
        </is>
      </c>
      <c r="F38" s="13" t="n">
        <v>115.88</v>
      </c>
      <c r="G38" s="13">
        <f>'04_DIEN_GIAI_DUONG_TU_NON'!J16</f>
        <v/>
      </c>
      <c r="H38" s="13">
        <f>G38-F38</f>
        <v/>
      </c>
      <c r="I38" s="14">
        <f>IF(F38=0,0,H38/F38)</f>
        <v/>
      </c>
      <c r="J38" s="15">
        <f>IF(ABS(I38)&lt;0.001," KHỚP 100%"," CẦN SOÁT")</f>
        <v/>
      </c>
    </row>
    <row r="39">
      <c r="B39" s="11" t="inlineStr">
        <is>
          <t>24</t>
        </is>
      </c>
      <c r="C39" s="12" t="inlineStr">
        <is>
          <t>Áo đường vuốt nối 10m đầu cầu</t>
        </is>
      </c>
      <c r="D39" s="12" t="inlineStr">
        <is>
          <t>BTN rỗng 12.5 &amp; BTNC 19</t>
        </is>
      </c>
      <c r="E39" s="11" t="inlineStr">
        <is>
          <t>m²</t>
        </is>
      </c>
      <c r="F39" s="13" t="n">
        <v>387.97</v>
      </c>
      <c r="G39" s="13">
        <f>'04_DIEN_GIAI_DUONG_TU_NON'!J30</f>
        <v/>
      </c>
      <c r="H39" s="13">
        <f>G39-F39</f>
        <v/>
      </c>
      <c r="I39" s="14">
        <f>IF(F39=0,0,H39/F39)</f>
        <v/>
      </c>
      <c r="J39" s="15">
        <f>IF(ABS(I39)&lt;0.001," KHỚP 100%"," CẦN SOÁT")</f>
        <v/>
      </c>
    </row>
    <row r="40">
      <c r="B40" s="11" t="inlineStr">
        <is>
          <t>25</t>
        </is>
      </c>
      <c r="C40" s="12" t="inlineStr">
        <is>
          <t>Vật liệu hạt chọn lọc đắp lòng mố K98</t>
        </is>
      </c>
      <c r="D40" s="12" t="inlineStr">
        <is>
          <t>Hạt chọn lọc đầm nén K98</t>
        </is>
      </c>
      <c r="E40" s="11" t="inlineStr">
        <is>
          <t>m³</t>
        </is>
      </c>
      <c r="F40" s="13" t="n">
        <v>1012.96</v>
      </c>
      <c r="G40" s="13">
        <f>'04_DIEN_GIAI_DUONG_TU_NON'!J44</f>
        <v/>
      </c>
      <c r="H40" s="13">
        <f>G40-F40</f>
        <v/>
      </c>
      <c r="I40" s="14">
        <f>IF(F40=0,0,H40/F40)</f>
        <v/>
      </c>
      <c r="J40" s="15">
        <f>IF(ABS(I40)&lt;0.001," KHỚP 100%"," CẦN SOÁT")</f>
        <v/>
      </c>
    </row>
  </sheetData>
  <mergeCells count="22">
    <mergeCell ref="N6:P7"/>
    <mergeCell ref="Q5:S5"/>
    <mergeCell ref="B8:D8"/>
    <mergeCell ref="N5:P5"/>
    <mergeCell ref="N8:P8"/>
    <mergeCell ref="K6:M7"/>
    <mergeCell ref="B29:J29"/>
    <mergeCell ref="K8:M8"/>
    <mergeCell ref="H6:J7"/>
    <mergeCell ref="B5:D5"/>
    <mergeCell ref="H5:J5"/>
    <mergeCell ref="B36:J36"/>
    <mergeCell ref="H8:J8"/>
    <mergeCell ref="E6:G7"/>
    <mergeCell ref="Q6:S7"/>
    <mergeCell ref="B6:D7"/>
    <mergeCell ref="E5:G5"/>
    <mergeCell ref="K5:M5"/>
    <mergeCell ref="B22:J22"/>
    <mergeCell ref="E8:G8"/>
    <mergeCell ref="Q8:S8"/>
    <mergeCell ref="B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66" customWidth="1" min="2" max="2"/>
    <col width="17" customWidth="1" min="3" max="3"/>
    <col width="53" customWidth="1" min="4" max="4"/>
    <col width="45" customWidth="1" min="5" max="5"/>
    <col width="32" customWidth="1" min="6" max="6"/>
    <col width="20" customWidth="1" min="7" max="7"/>
    <col width="85" customWidth="1" min="8" max="8"/>
    <col width="20" customWidth="1" min="9" max="9"/>
  </cols>
  <sheetData>
    <row r="1"/>
    <row r="2">
      <c r="B2" s="1" t="inlineStr">
        <is>
          <t>DANH MỤC TOÀN BỘ 30 BẢN VẼ THIẾT KẾ THI CÔNG - CẦU KM19+529.080</t>
        </is>
      </c>
    </row>
    <row r="3">
      <c r="B3" s="2" t="inlineStr">
        <is>
          <t>Quét, đo bóc hình học và liên kết kiểm toán 100% hồ sơ bản vẽ</t>
        </is>
      </c>
    </row>
    <row r="4"/>
    <row r="5">
      <c r="B5" s="8" t="inlineStr">
        <is>
          <t>STT</t>
        </is>
      </c>
      <c r="C5" s="8" t="inlineStr">
        <is>
          <t>Ký hiệu Bản vẽ</t>
        </is>
      </c>
      <c r="D5" s="8" t="inlineStr">
        <is>
          <t>Tên Bản vẽ Thiết kế Kỹ thuật Thi công</t>
        </is>
      </c>
      <c r="E5" s="8" t="inlineStr">
        <is>
          <t>Tên Tệp DWG</t>
        </is>
      </c>
      <c r="F5" s="8" t="inlineStr">
        <is>
          <t>Thư mục Lưu trữ</t>
        </is>
      </c>
      <c r="G5" s="8" t="inlineStr">
        <is>
          <t>Hạng mục Cấu kiện</t>
        </is>
      </c>
      <c r="H5" s="8" t="inlineStr">
        <is>
          <t>Mục tiêu Đo bóc Khối lượng</t>
        </is>
      </c>
      <c r="I5" s="8" t="inlineStr">
        <is>
          <t>Tình trạng Đo bóc</t>
        </is>
      </c>
    </row>
    <row r="6">
      <c r="B6" s="11" t="inlineStr">
        <is>
          <t>1</t>
        </is>
      </c>
      <c r="C6" s="11" t="inlineStr">
        <is>
          <t>01.GEN-01</t>
        </is>
      </c>
      <c r="D6" s="12" t="inlineStr">
        <is>
          <t>Bình đồ và Bố trí chung Cầu Km19+500 Super-T</t>
        </is>
      </c>
      <c r="E6" s="12" t="inlineStr">
        <is>
          <t>BTC CAU KM19+500 SUPER-T.dwg</t>
        </is>
      </c>
      <c r="F6" s="12" t="inlineStr">
        <is>
          <t>01. GEN\06.CAU KM19+529.08</t>
        </is>
      </c>
      <c r="G6" s="11" t="inlineStr">
        <is>
          <t>Toàn cầu</t>
        </is>
      </c>
      <c r="H6" s="12" t="inlineStr">
        <is>
          <t>Sơ đồ nhịp 39.1+40+39.1m, khẩu độ thoát nước, cao độ móng mố trụ</t>
        </is>
      </c>
      <c r="I6" s="15" t="inlineStr">
        <is>
          <t xml:space="preserve"> ĐÃ ĐO BÓC 100%</t>
        </is>
      </c>
    </row>
    <row r="7">
      <c r="B7" s="11" t="inlineStr">
        <is>
          <t>2</t>
        </is>
      </c>
      <c r="C7" s="11" t="inlineStr">
        <is>
          <t>01.GEN-02</t>
        </is>
      </c>
      <c r="D7" s="12" t="inlineStr">
        <is>
          <t>Trắc dọc Cầu Km19+529.080</t>
        </is>
      </c>
      <c r="E7" s="12" t="inlineStr">
        <is>
          <t>03.TD_Km19.5.dwg</t>
        </is>
      </c>
      <c r="F7" s="12" t="inlineStr">
        <is>
          <t>01. GEN\06.CAU KM19+529.08</t>
        </is>
      </c>
      <c r="G7" s="11" t="inlineStr">
        <is>
          <t>Toàn cầu</t>
        </is>
      </c>
      <c r="H7" s="12" t="inlineStr">
        <is>
          <t>Độ dốc dọc i=1.5%, bán kính đường cong R, chiều dài toàn cầu L=118.2m</t>
        </is>
      </c>
      <c r="I7" s="15" t="inlineStr">
        <is>
          <t xml:space="preserve"> ĐÃ ĐO BÓC 100%</t>
        </is>
      </c>
    </row>
    <row r="8">
      <c r="B8" s="11" t="inlineStr">
        <is>
          <t>3</t>
        </is>
      </c>
      <c r="C8" s="11" t="inlineStr">
        <is>
          <t>02.SUP-01</t>
        </is>
      </c>
      <c r="D8" s="12" t="inlineStr">
        <is>
          <t>Bố trí chung Nhịp Cầu Km19+529.08</t>
        </is>
      </c>
      <c r="E8" s="12" t="inlineStr">
        <is>
          <t>01.BO TRI CHUNG NHIP-Cau km19.5.dwg</t>
        </is>
      </c>
      <c r="F8" s="12" t="inlineStr">
        <is>
          <t>02. SUP\SUPER T 38.2</t>
        </is>
      </c>
      <c r="G8" s="11" t="inlineStr">
        <is>
          <t>Kết cấu nhịp</t>
        </is>
      </c>
      <c r="H8" s="12" t="inlineStr">
        <is>
          <t>Khoảng cách tim dầm 2.15-2.27m, 5 dầm/nhịp x 3 nhịp = 15 dầm</t>
        </is>
      </c>
      <c r="I8" s="15" t="inlineStr">
        <is>
          <t xml:space="preserve"> ĐÃ ĐO BÓC 100%</t>
        </is>
      </c>
    </row>
    <row r="9">
      <c r="B9" s="11" t="inlineStr">
        <is>
          <t>4</t>
        </is>
      </c>
      <c r="C9" s="11" t="inlineStr">
        <is>
          <t>02.SUP-02</t>
        </is>
      </c>
      <c r="D9" s="12" t="inlineStr">
        <is>
          <t>Bố trí chung Kích thước Hình học Dầm Super-T 38.2m</t>
        </is>
      </c>
      <c r="E9" s="12" t="inlineStr">
        <is>
          <t>02. BO TRI CHUNG DAM.dwg</t>
        </is>
      </c>
      <c r="F9" s="12" t="inlineStr">
        <is>
          <t>02. SUP\SUPER T 38.2</t>
        </is>
      </c>
      <c r="G9" s="11" t="inlineStr">
        <is>
          <t>Dầm chủ Super-T</t>
        </is>
      </c>
      <c r="H9" s="12" t="inlineStr">
        <is>
          <t>Phân đốt L1=1.4m (đầu đặc), L2=3.45m (vát sườn), L3=33.35m (chữ U)</t>
        </is>
      </c>
      <c r="I9" s="15" t="inlineStr">
        <is>
          <t xml:space="preserve"> ĐÃ ĐO BÓC 100%</t>
        </is>
      </c>
    </row>
    <row r="10">
      <c r="B10" s="11" t="inlineStr">
        <is>
          <t>5</t>
        </is>
      </c>
      <c r="C10" s="11" t="inlineStr">
        <is>
          <t>02.SUP-03</t>
        </is>
      </c>
      <c r="D10" s="12" t="inlineStr">
        <is>
          <t>Bố trí Cáp DƯL 15.2mm &amp; Ống PVC De-bonding</t>
        </is>
      </c>
      <c r="E10" s="12" t="inlineStr">
        <is>
          <t>03. CAP DUL .dwg</t>
        </is>
      </c>
      <c r="F10" s="12" t="inlineStr">
        <is>
          <t>02. SUP\SUPER T 38.2</t>
        </is>
      </c>
      <c r="G10" s="11" t="inlineStr">
        <is>
          <t>Cáp DƯL</t>
        </is>
      </c>
      <c r="H10" s="12" t="inlineStr">
        <is>
          <t>44 tao cáp 15.2mm/dầm, 6 nhóm de-bonding, ống PVC D18/22 L=240m/dầm</t>
        </is>
      </c>
      <c r="I10" s="15" t="inlineStr">
        <is>
          <t xml:space="preserve"> ĐÃ ĐO BÓC 100%</t>
        </is>
      </c>
    </row>
    <row r="11">
      <c r="B11" s="11" t="inlineStr">
        <is>
          <t>6</t>
        </is>
      </c>
      <c r="C11" s="11" t="inlineStr">
        <is>
          <t>02.SUP-04</t>
        </is>
      </c>
      <c r="D11" s="12" t="inlineStr">
        <is>
          <t>Bố trí Cốt thép thường Dầm chủ Super-T</t>
        </is>
      </c>
      <c r="E11" s="12" t="inlineStr">
        <is>
          <t>04. COT THEP DAM.dwg</t>
        </is>
      </c>
      <c r="F11" s="12" t="inlineStr">
        <is>
          <t>02. SUP\SUPER T 38.2</t>
        </is>
      </c>
      <c r="G11" s="11" t="inlineStr">
        <is>
          <t>Cốt thép dầm</t>
        </is>
      </c>
      <c r="H11" s="12" t="inlineStr">
        <is>
          <t>BBS 23 mã hiệu G1a-G18, K1a-b, tấm đệm đáy dầm 370x540x20mm</t>
        </is>
      </c>
      <c r="I11" s="15" t="inlineStr">
        <is>
          <t xml:space="preserve"> ĐÃ ĐO BÓC 100%</t>
        </is>
      </c>
    </row>
    <row r="12">
      <c r="B12" s="11" t="inlineStr">
        <is>
          <t>7</t>
        </is>
      </c>
      <c r="C12" s="11" t="inlineStr">
        <is>
          <t>02.SUP-05</t>
        </is>
      </c>
      <c r="D12" s="12" t="inlineStr">
        <is>
          <t>Bố trí chung &amp; Cốt thép Dầm ngang BTCT</t>
        </is>
      </c>
      <c r="E12" s="12" t="inlineStr">
        <is>
          <t>05 DAM NGANG.dwg</t>
        </is>
      </c>
      <c r="F12" s="12" t="inlineStr">
        <is>
          <t>02. SUP\SUPER T 38.2</t>
        </is>
      </c>
      <c r="G12" s="11" t="inlineStr">
        <is>
          <t>Dầm ngang</t>
        </is>
      </c>
      <c r="H12" s="12" t="inlineStr">
        <is>
          <t>Dầm ngang đầu dầm M1/M2 và trụ T1/T2, BT C35 V=19.38 m³, Thép 2.76T</t>
        </is>
      </c>
      <c r="I12" s="15" t="inlineStr">
        <is>
          <t xml:space="preserve"> ĐÃ ĐO BÓC 100%</t>
        </is>
      </c>
    </row>
    <row r="13">
      <c r="B13" s="11" t="inlineStr">
        <is>
          <t>8</t>
        </is>
      </c>
      <c r="C13" s="11" t="inlineStr">
        <is>
          <t>02.SUP-06</t>
        </is>
      </c>
      <c r="D13" s="12" t="inlineStr">
        <is>
          <t>Bố trí Tấm ván khuôn BTCT đúc sẵn C25</t>
        </is>
      </c>
      <c r="E13" s="12" t="inlineStr">
        <is>
          <t>06. TAM DUC SAN.dwg</t>
        </is>
      </c>
      <c r="F13" s="12" t="inlineStr">
        <is>
          <t>02. SUP\SUPER T 38.2</t>
        </is>
      </c>
      <c r="G13" s="11" t="inlineStr">
        <is>
          <t>Tấm đúc sẵn</t>
        </is>
      </c>
      <c r="H13" s="12" t="inlineStr">
        <is>
          <t>510 tấm BT C25 V=13.23 m³, thép D6/D8 2.32T, ván khuôn 504.75 m²</t>
        </is>
      </c>
      <c r="I13" s="15" t="inlineStr">
        <is>
          <t xml:space="preserve"> ĐÃ ĐO BÓC 100%</t>
        </is>
      </c>
    </row>
    <row r="14">
      <c r="B14" s="11" t="inlineStr">
        <is>
          <t>9</t>
        </is>
      </c>
      <c r="C14" s="11" t="inlineStr">
        <is>
          <t>02.SUP-07</t>
        </is>
      </c>
      <c r="D14" s="12" t="inlineStr">
        <is>
          <t>Bố trí Bản mặt cầu &amp; Bản liên tục nhiệt</t>
        </is>
      </c>
      <c r="E14" s="12" t="inlineStr">
        <is>
          <t>07.BAN MAT CAU + LTN.dwg</t>
        </is>
      </c>
      <c r="F14" s="12" t="inlineStr">
        <is>
          <t>02. SUP\SUPER T 38.2</t>
        </is>
      </c>
      <c r="G14" s="11" t="inlineStr">
        <is>
          <t>Mặt cầu &amp; LTN</t>
        </is>
      </c>
      <c r="H14" s="12" t="inlineStr">
        <is>
          <t>BT C35 V=327.33 m³, Thép 88.36T, cao su đệm 20mm, xốp chèn khe</t>
        </is>
      </c>
      <c r="I14" s="15" t="inlineStr">
        <is>
          <t xml:space="preserve"> ĐÃ ĐO BÓC 100%</t>
        </is>
      </c>
    </row>
    <row r="15">
      <c r="B15" s="11" t="inlineStr">
        <is>
          <t>10</t>
        </is>
      </c>
      <c r="C15" s="11" t="inlineStr">
        <is>
          <t>03.SUB-01</t>
        </is>
      </c>
      <c r="D15" s="12" t="inlineStr">
        <is>
          <t>Bố trí chung &amp; Cốt thép Mố M1 và Mố M2</t>
        </is>
      </c>
      <c r="E15" s="12" t="inlineStr">
        <is>
          <t>01.MO-KM19.5.dwg</t>
        </is>
      </c>
      <c r="F15" s="12" t="inlineStr">
        <is>
          <t>03. SUB\01. mo</t>
        </is>
      </c>
      <c r="G15" s="11" t="inlineStr">
        <is>
          <t>Mố M1, M2</t>
        </is>
      </c>
      <c r="H15" s="12" t="inlineStr">
        <is>
          <t>Bệ mố, thân mố, tường đỉnh, tường cánh, đệm đá kê gối, BT C30: 403.75 m³</t>
        </is>
      </c>
      <c r="I15" s="15" t="inlineStr">
        <is>
          <t xml:space="preserve"> ĐÃ ĐO BÓC 100%</t>
        </is>
      </c>
    </row>
    <row r="16">
      <c r="B16" s="11" t="inlineStr">
        <is>
          <t>11</t>
        </is>
      </c>
      <c r="C16" s="11" t="inlineStr">
        <is>
          <t>03.SUB-02</t>
        </is>
      </c>
      <c r="D16" s="12" t="inlineStr">
        <is>
          <t>Bố trí chung &amp; Cốt thép Trụ T1 và Trụ T2</t>
        </is>
      </c>
      <c r="E16" s="12" t="inlineStr">
        <is>
          <t>Trụ-19+500.dwg</t>
        </is>
      </c>
      <c r="F16" s="12" t="inlineStr">
        <is>
          <t>03. SUB\02.tru</t>
        </is>
      </c>
      <c r="G16" s="11" t="inlineStr">
        <is>
          <t>Trụ T1, T2</t>
        </is>
      </c>
      <c r="H16" s="12" t="inlineStr">
        <is>
          <t>Bệ trụ, 2 thân cột ovan H=14m &amp; 18m, xà mũ, BT C30: 1,015.22 m³</t>
        </is>
      </c>
      <c r="I16" s="15" t="inlineStr">
        <is>
          <t xml:space="preserve"> ĐÃ ĐO BÓC 100%</t>
        </is>
      </c>
    </row>
    <row r="17">
      <c r="B17" s="11" t="inlineStr">
        <is>
          <t>12</t>
        </is>
      </c>
      <c r="C17" s="11" t="inlineStr">
        <is>
          <t>03.SUB-03</t>
        </is>
      </c>
      <c r="D17" s="12" t="inlineStr">
        <is>
          <t>Bố trí Cọc khoan nhồi D1200mm đại trà (26 cọc)</t>
        </is>
      </c>
      <c r="E17" s="12" t="inlineStr">
        <is>
          <t>04.D1200-19.5.dwg</t>
        </is>
      </c>
      <c r="F17" s="12" t="inlineStr">
        <is>
          <t>03. SUB\03. COC</t>
        </is>
      </c>
      <c r="G17" s="11" t="inlineStr">
        <is>
          <t>Cọc D1200</t>
        </is>
      </c>
      <c r="H17" s="12" t="inlineStr">
        <is>
          <t>M1: 4 cọc (L=20m), M2: 4 cọc (L=36m), T1: 9 cọc (40m), T2: 9 cọc (32m)</t>
        </is>
      </c>
      <c r="I17" s="15" t="inlineStr">
        <is>
          <t xml:space="preserve"> ĐÃ ĐO BÓC 100%</t>
        </is>
      </c>
    </row>
    <row r="18">
      <c r="B18" s="11" t="inlineStr">
        <is>
          <t>13</t>
        </is>
      </c>
      <c r="C18" s="11" t="inlineStr">
        <is>
          <t>03.SUB-04</t>
        </is>
      </c>
      <c r="D18" s="12" t="inlineStr">
        <is>
          <t>Bố trí Cọc khoan nhồi thí nghiệm PDA &amp; nén tĩnh</t>
        </is>
      </c>
      <c r="E18" s="12" t="inlineStr">
        <is>
          <t>04.TN-CKN,D1200-19.5.dwg</t>
        </is>
      </c>
      <c r="F18" s="12" t="inlineStr">
        <is>
          <t>03. SUB\03. COC</t>
        </is>
      </c>
      <c r="G18" s="11" t="inlineStr">
        <is>
          <t>Cọc thí nghiệm</t>
        </is>
      </c>
      <c r="H18" s="12" t="inlineStr">
        <is>
          <t>2 cọc thí nghiệm PDA kiểm tra sức chịu tải động và ống sonic</t>
        </is>
      </c>
      <c r="I18" s="15" t="inlineStr">
        <is>
          <t xml:space="preserve"> ĐÃ ĐO BÓC 100%</t>
        </is>
      </c>
    </row>
    <row r="19">
      <c r="B19" s="11" t="inlineStr">
        <is>
          <t>14</t>
        </is>
      </c>
      <c r="C19" s="11" t="inlineStr">
        <is>
          <t>04.MIS-01</t>
        </is>
      </c>
      <c r="D19" s="12" t="inlineStr">
        <is>
          <t>Bố trí Gối cầu Super-T &amp; Đá kê gối</t>
        </is>
      </c>
      <c r="E19" s="12" t="inlineStr">
        <is>
          <t>01.GỐI-km19+500.dwg</t>
        </is>
      </c>
      <c r="F19" s="12" t="inlineStr">
        <is>
          <t>04. MIS\04.kck\01.Goi</t>
        </is>
      </c>
      <c r="G19" s="11" t="inlineStr">
        <is>
          <t>Gối cầu</t>
        </is>
      </c>
      <c r="H19" s="12" t="inlineStr">
        <is>
          <t>30 gối chậu (15 đơn hướng B1, 15 song hướng B2), bản đệm mạ kẽm</t>
        </is>
      </c>
      <c r="I19" s="15" t="inlineStr">
        <is>
          <t xml:space="preserve"> ĐÃ ĐO BÓC 100%</t>
        </is>
      </c>
    </row>
    <row r="20">
      <c r="B20" s="11" t="inlineStr">
        <is>
          <t>15</t>
        </is>
      </c>
      <c r="C20" s="11" t="inlineStr">
        <is>
          <t>04.MIS-02</t>
        </is>
      </c>
      <c r="D20" s="12" t="inlineStr">
        <is>
          <t>Chi tiết Gờ lan can &amp; Lan can tay vịn thép mạ kẽm</t>
        </is>
      </c>
      <c r="E20" s="12" t="inlineStr">
        <is>
          <t>Lan Can-19.5.dwg</t>
        </is>
      </c>
      <c r="F20" s="12" t="inlineStr">
        <is>
          <t>04. MIS\04.kck\02.GO LAN CAN</t>
        </is>
      </c>
      <c r="G20" s="11" t="inlineStr">
        <is>
          <t>Gờ &amp; Lan can</t>
        </is>
      </c>
      <c r="H20" s="12" t="inlineStr">
        <is>
          <t>Gờ BT C25: 104.28 m³, Thép 20.07T, ống D114/D76 mạ kẽm 1.22T</t>
        </is>
      </c>
      <c r="I20" s="15" t="inlineStr">
        <is>
          <t xml:space="preserve"> ĐÃ ĐO BÓC 100%</t>
        </is>
      </c>
    </row>
    <row r="21">
      <c r="B21" s="11" t="inlineStr">
        <is>
          <t>16</t>
        </is>
      </c>
      <c r="C21" s="11" t="inlineStr">
        <is>
          <t>04.MIS-03</t>
        </is>
      </c>
      <c r="D21" s="12" t="inlineStr">
        <is>
          <t>Chi tiết Khe co giãn răng lược WD230</t>
        </is>
      </c>
      <c r="E21" s="12" t="inlineStr">
        <is>
          <t>Khe Co Gian.dwg</t>
        </is>
      </c>
      <c r="F21" s="12" t="inlineStr">
        <is>
          <t>04. MIS\04.kck\03.KHE CO GIAN</t>
        </is>
      </c>
      <c r="G21" s="11" t="inlineStr">
        <is>
          <t>Khe co giãn</t>
        </is>
      </c>
      <c r="H21" s="12" t="inlineStr">
        <is>
          <t>2 khe x 12.25m = 24.5m, bê tông không co ngót C40: 4.67 m³, thép 1.36T</t>
        </is>
      </c>
      <c r="I21" s="15" t="inlineStr">
        <is>
          <t xml:space="preserve"> ĐÃ ĐO BÓC 100%</t>
        </is>
      </c>
    </row>
    <row r="22">
      <c r="B22" s="11" t="inlineStr">
        <is>
          <t>17</t>
        </is>
      </c>
      <c r="C22" s="11" t="inlineStr">
        <is>
          <t>04.MIS-04</t>
        </is>
      </c>
      <c r="D22" s="12" t="inlineStr">
        <is>
          <t>Chi tiết Hệ thống thoát nước mặt cầu</t>
        </is>
      </c>
      <c r="E22" s="12" t="inlineStr">
        <is>
          <t>THOÁT NƯỚC.dwg</t>
        </is>
      </c>
      <c r="F22" s="12" t="inlineStr">
        <is>
          <t>04. MIS\04.kck\04. THOAT NUOC</t>
        </is>
      </c>
      <c r="G22" s="11" t="inlineStr">
        <is>
          <t>Thoát nước</t>
        </is>
      </c>
      <c r="H22" s="12" t="inlineStr">
        <is>
          <t>24 bộ hè gang thu nước, ống uPVC D150: 39.86m, ống xoắn dọc: 129.23m</t>
        </is>
      </c>
      <c r="I22" s="15" t="inlineStr">
        <is>
          <t xml:space="preserve"> ĐÃ ĐO BÓC 100%</t>
        </is>
      </c>
    </row>
    <row r="23">
      <c r="B23" s="11" t="inlineStr">
        <is>
          <t>18</t>
        </is>
      </c>
      <c r="C23" s="11" t="inlineStr">
        <is>
          <t>04.MIS-05</t>
        </is>
      </c>
      <c r="D23" s="12" t="inlineStr">
        <is>
          <t>Chi tiết Gia cố Tứ nón &amp; Kè mố M1, M2</t>
        </is>
      </c>
      <c r="E23" s="12" t="inlineStr">
        <is>
          <t>190625_tu non-19.5 cn ddc.dwg</t>
        </is>
      </c>
      <c r="F23" s="12" t="inlineStr">
        <is>
          <t>04. MIS\04.kck\05. tu non</t>
        </is>
      </c>
      <c r="G23" s="11" t="inlineStr">
        <is>
          <t>Tứ nón</t>
        </is>
      </c>
      <c r="H23" s="12" t="inlineStr">
        <is>
          <t>Đá hộc xây vữa M100: 104.74 m³, chân khay đá hộc, tường chắn BT C15</t>
        </is>
      </c>
      <c r="I23" s="15" t="inlineStr">
        <is>
          <t xml:space="preserve"> ĐÃ ĐO BÓC 100%</t>
        </is>
      </c>
    </row>
    <row r="24">
      <c r="B24" s="11" t="inlineStr">
        <is>
          <t>19</t>
        </is>
      </c>
      <c r="C24" s="11" t="inlineStr">
        <is>
          <t>04.MIS-06</t>
        </is>
      </c>
      <c r="D24" s="12" t="inlineStr">
        <is>
          <t>Mặt cắt ngang điển hình cầu &amp; Tứ nón</t>
        </is>
      </c>
      <c r="E24" s="12" t="inlineStr">
        <is>
          <t>04_MCN Cau Km19+500.dwg</t>
        </is>
      </c>
      <c r="F24" s="12" t="inlineStr">
        <is>
          <t>04. MIS\04.kck\05. tu non\MCN</t>
        </is>
      </c>
      <c r="G24" s="11" t="inlineStr">
        <is>
          <t>MCN Cầu</t>
        </is>
      </c>
      <c r="H24" s="12" t="inlineStr">
        <is>
          <t>Mặt cắt ngang khổ cầu B=12m (4 làn xe tiêu chuẩn cao tốc)</t>
        </is>
      </c>
      <c r="I24" s="15" t="inlineStr">
        <is>
          <t xml:space="preserve"> ĐÃ ĐO BÓC 100%</t>
        </is>
      </c>
    </row>
    <row r="25">
      <c r="B25" s="11" t="inlineStr">
        <is>
          <t>20</t>
        </is>
      </c>
      <c r="C25" s="11" t="inlineStr">
        <is>
          <t>04.MIS-07</t>
        </is>
      </c>
      <c r="D25" s="12" t="inlineStr">
        <is>
          <t>Chi tiết Bản quá độ BTCT C25 mố M1, M2</t>
        </is>
      </c>
      <c r="E25" s="12" t="inlineStr">
        <is>
          <t>BẢN QUÁ ĐỘ.dwg</t>
        </is>
      </c>
      <c r="F25" s="12" t="inlineStr">
        <is>
          <t>04. MIS\04.kck\06.BAN QUA DO</t>
        </is>
      </c>
      <c r="G25" s="11" t="inlineStr">
        <is>
          <t>Bản quá độ</t>
        </is>
      </c>
      <c r="H25" s="12" t="inlineStr">
        <is>
          <t>BT C25 V=67.38 m³, đệm C10: 15.94 m³, cốt thép 9.53T, cao su 20mm</t>
        </is>
      </c>
      <c r="I25" s="15" t="inlineStr">
        <is>
          <t xml:space="preserve"> ĐÃ ĐO BÓC 100%</t>
        </is>
      </c>
    </row>
    <row r="26">
      <c r="B26" s="11" t="inlineStr">
        <is>
          <t>21</t>
        </is>
      </c>
      <c r="C26" s="11" t="inlineStr">
        <is>
          <t>05.CON-01</t>
        </is>
      </c>
      <c r="D26" s="12" t="inlineStr">
        <is>
          <t>Bình đồ mặt bằng tổng thể Công trường thi công</t>
        </is>
      </c>
      <c r="E26" s="12" t="inlineStr">
        <is>
          <t>00.Binh do cau-bptc-Km19+500.dwg</t>
        </is>
      </c>
      <c r="F26" s="12" t="inlineStr">
        <is>
          <t>05. CON\BDCT 19.5</t>
        </is>
      </c>
      <c r="G26" s="11" t="inlineStr">
        <is>
          <t>Mặt bằng</t>
        </is>
      </c>
      <c r="H26" s="12" t="inlineStr">
        <is>
          <t>Bố trí lán trại, bãi đúc dầm Super-T, trạm trộn BT, đường công vụ</t>
        </is>
      </c>
      <c r="I26" s="15" t="inlineStr">
        <is>
          <t xml:space="preserve"> ĐÃ ĐO BÓC 100%</t>
        </is>
      </c>
    </row>
    <row r="27">
      <c r="B27" s="11" t="inlineStr">
        <is>
          <t>22</t>
        </is>
      </c>
      <c r="C27" s="11" t="inlineStr">
        <is>
          <t>05.CON-02</t>
        </is>
      </c>
      <c r="D27" s="12" t="inlineStr">
        <is>
          <t>Thiết kế Trắc dọc &amp; Trắc ngang Đường công vụ DCV6</t>
        </is>
      </c>
      <c r="E27" s="12" t="inlineStr">
        <is>
          <t>01.DCV6(KM19+500).dwg</t>
        </is>
      </c>
      <c r="F27" s="12" t="inlineStr">
        <is>
          <t>05. CON\DUONG CONG VU</t>
        </is>
      </c>
      <c r="G27" s="11" t="inlineStr">
        <is>
          <t>Đường công vụ</t>
        </is>
      </c>
      <c r="H27" s="12" t="inlineStr">
        <is>
          <t>Đào đắp nền đường tiếp cận mố M1, M2, trụ T1, T2; CPĐD loại II</t>
        </is>
      </c>
      <c r="I27" s="15" t="inlineStr">
        <is>
          <t xml:space="preserve"> ĐÃ ĐO BÓC 100%</t>
        </is>
      </c>
    </row>
    <row r="28">
      <c r="B28" s="11" t="inlineStr">
        <is>
          <t>23</t>
        </is>
      </c>
      <c r="C28" s="11" t="inlineStr">
        <is>
          <t>05.CON-03</t>
        </is>
      </c>
      <c r="D28" s="12" t="inlineStr">
        <is>
          <t>Biện pháp tổ chức thi công Mố M1, M2</t>
        </is>
      </c>
      <c r="E28" s="12" t="inlineStr">
        <is>
          <t>02.BPTC MO.dwg</t>
        </is>
      </c>
      <c r="F28" s="12" t="inlineStr">
        <is>
          <t>05. CON</t>
        </is>
      </c>
      <c r="G28" s="11" t="inlineStr">
        <is>
          <t>BPTC Mố</t>
        </is>
      </c>
      <c r="H28" s="12" t="inlineStr">
        <is>
          <t>Đào hố móng, kè cừ vách đất, đà giáo ván khuôn bệ mố &amp; thân mố</t>
        </is>
      </c>
      <c r="I28" s="15" t="inlineStr">
        <is>
          <t xml:space="preserve"> ĐÃ ĐO BÓC 100%</t>
        </is>
      </c>
    </row>
    <row r="29">
      <c r="B29" s="11" t="inlineStr">
        <is>
          <t>24</t>
        </is>
      </c>
      <c r="C29" s="11" t="inlineStr">
        <is>
          <t>05.CON-04</t>
        </is>
      </c>
      <c r="D29" s="12" t="inlineStr">
        <is>
          <t>Biện pháp tổ chức thi công Trụ T1, T2</t>
        </is>
      </c>
      <c r="E29" s="12" t="inlineStr">
        <is>
          <t>03.Thi cong tru.dwg</t>
        </is>
      </c>
      <c r="F29" s="12" t="inlineStr">
        <is>
          <t>05. CON</t>
        </is>
      </c>
      <c r="G29" s="11" t="inlineStr">
        <is>
          <t>BPTC Trụ</t>
        </is>
      </c>
      <c r="H29" s="12" t="inlineStr">
        <is>
          <t>Hệ sàn đạo thi công trụ cao 18m, đà giáo đỡ xà mũ trụ, ván khuôn thép leo</t>
        </is>
      </c>
      <c r="I29" s="15" t="inlineStr">
        <is>
          <t xml:space="preserve"> ĐÃ ĐO BÓC 100%</t>
        </is>
      </c>
    </row>
    <row r="30">
      <c r="B30" s="11" t="inlineStr">
        <is>
          <t>25</t>
        </is>
      </c>
      <c r="C30" s="11" t="inlineStr">
        <is>
          <t>05.CON-05</t>
        </is>
      </c>
      <c r="D30" s="12" t="inlineStr">
        <is>
          <t>Biện pháp lao lắp Dầm Super-T 38.2m bằng Xe lao</t>
        </is>
      </c>
      <c r="E30" s="12" t="inlineStr">
        <is>
          <t>04. BPTC KET CAU NHIP.dwg</t>
        </is>
      </c>
      <c r="F30" s="12" t="inlineStr">
        <is>
          <t>05. CON</t>
        </is>
      </c>
      <c r="G30" s="11" t="inlineStr">
        <is>
          <t>Lao lắp dầm</t>
        </is>
      </c>
      <c r="H30" s="12" t="inlineStr">
        <is>
          <t>Giá lao dầm 130T, hệ ray P43 (13.07T), xe goòng, tà vẹt gỗ 268 cái</t>
        </is>
      </c>
      <c r="I30" s="15" t="inlineStr">
        <is>
          <t xml:space="preserve"> ĐÃ ĐO BÓC 100%</t>
        </is>
      </c>
    </row>
    <row r="31">
      <c r="B31" s="11" t="inlineStr">
        <is>
          <t>26</t>
        </is>
      </c>
      <c r="C31" s="11" t="inlineStr">
        <is>
          <t>05.CON-06</t>
        </is>
      </c>
      <c r="D31" s="12" t="inlineStr">
        <is>
          <t>Biện pháp thi công Bệ đúc Dầm Super-T tại bãi đúc</t>
        </is>
      </c>
      <c r="E31" s="12" t="inlineStr">
        <is>
          <t>05.BPTC Be duc dam SuperT.dwg</t>
        </is>
      </c>
      <c r="F31" s="12" t="inlineStr">
        <is>
          <t>05. CON</t>
        </is>
      </c>
      <c r="G31" s="11" t="inlineStr">
        <is>
          <t>Bệ đúc dầm</t>
        </is>
      </c>
      <c r="H31" s="12" t="inlineStr">
        <is>
          <t>Bệ đúc BT C20/C25, thép D20 (1.62T), thép hình kê đáy dầm 2U120, ray</t>
        </is>
      </c>
      <c r="I31" s="15" t="inlineStr">
        <is>
          <t xml:space="preserve"> ĐÃ ĐO BÓC 100%</t>
        </is>
      </c>
    </row>
    <row r="32">
      <c r="B32" s="11" t="inlineStr">
        <is>
          <t>27</t>
        </is>
      </c>
      <c r="C32" s="11" t="inlineStr">
        <is>
          <t>05.CON-07</t>
        </is>
      </c>
      <c r="D32" s="12" t="inlineStr">
        <is>
          <t>Biện pháp thi công Bản mặt cầu &amp; Dầm ngang</t>
        </is>
      </c>
      <c r="E32" s="12" t="inlineStr">
        <is>
          <t>06.Thi cong Mat cau.dwg</t>
        </is>
      </c>
      <c r="F32" s="12" t="inlineStr">
        <is>
          <t>05. CON</t>
        </is>
      </c>
      <c r="G32" s="11" t="inlineStr">
        <is>
          <t>BPTC Mặt cầu</t>
        </is>
      </c>
      <c r="H32" s="12" t="inlineStr">
        <is>
          <t>Đà giáo treo, xe đúc gờ lan can di động, thiết bị san gạt bê tông mặt cầu</t>
        </is>
      </c>
      <c r="I32" s="15" t="inlineStr">
        <is>
          <t xml:space="preserve"> ĐÃ ĐO BÓC 100%</t>
        </is>
      </c>
    </row>
    <row r="33">
      <c r="B33" s="11" t="inlineStr">
        <is>
          <t>28</t>
        </is>
      </c>
      <c r="C33" s="11" t="inlineStr">
        <is>
          <t>05.CON-08</t>
        </is>
      </c>
      <c r="D33" s="12" t="inlineStr">
        <is>
          <t>Bố trí Trạm trộn bê tông xi măng BM60P</t>
        </is>
      </c>
      <c r="E33" s="12" t="inlineStr">
        <is>
          <t>07.Tram tron BM60P (silo 80t, pheu 9m).dwg</t>
        </is>
      </c>
      <c r="F33" s="12" t="inlineStr">
        <is>
          <t>05. CON</t>
        </is>
      </c>
      <c r="G33" s="11" t="inlineStr">
        <is>
          <t>Trạm trộn BT</t>
        </is>
      </c>
      <c r="H33" s="12" t="inlineStr">
        <is>
          <t>Trạm trộn công suất 60 m³/h, 2 silo xi măng 80T, phễu cấp liệu 9m</t>
        </is>
      </c>
      <c r="I33" s="15" t="inlineStr">
        <is>
          <t xml:space="preserve"> ĐÃ ĐO BÓC 100%</t>
        </is>
      </c>
    </row>
    <row r="34">
      <c r="B34" s="11" t="inlineStr">
        <is>
          <t>29</t>
        </is>
      </c>
      <c r="C34" s="11" t="inlineStr">
        <is>
          <t>05.CON-09</t>
        </is>
      </c>
      <c r="D34" s="12" t="inlineStr">
        <is>
          <t>Bố trí Trạm biến áp cấp điện thi công</t>
        </is>
      </c>
      <c r="E34" s="12" t="inlineStr">
        <is>
          <t>08.Tram bien ap.dwg</t>
        </is>
      </c>
      <c r="F34" s="12" t="inlineStr">
        <is>
          <t>05. CON</t>
        </is>
      </c>
      <c r="G34" s="11" t="inlineStr">
        <is>
          <t>Trạm biến áp</t>
        </is>
      </c>
      <c r="H34" s="12" t="inlineStr">
        <is>
          <t>Trạm biến áp 400kVA cấp nguồn điện trạm trộn, máy khoan cọc, trạm bơm</t>
        </is>
      </c>
      <c r="I34" s="15" t="inlineStr">
        <is>
          <t xml:space="preserve"> ĐÃ ĐO BÓC 100%</t>
        </is>
      </c>
    </row>
    <row r="35">
      <c r="B35" s="11" t="inlineStr">
        <is>
          <t>30</t>
        </is>
      </c>
      <c r="C35" s="11" t="inlineStr">
        <is>
          <t>05.CON-10</t>
        </is>
      </c>
      <c r="D35" s="12" t="inlineStr">
        <is>
          <t>Tiến độ thi công tổng thể Công trình Cầu</t>
        </is>
      </c>
      <c r="E35" s="12" t="inlineStr">
        <is>
          <t>09.TIEN DO THI CONG.dwg</t>
        </is>
      </c>
      <c r="F35" s="12" t="inlineStr">
        <is>
          <t>05. CON</t>
        </is>
      </c>
      <c r="G35" s="11" t="inlineStr">
        <is>
          <t>Tiến độ tổng thể</t>
        </is>
      </c>
      <c r="H35" s="12" t="inlineStr">
        <is>
          <t>Kế hoạch thi công 4 giai đoạn: Cọc khoan nhồi -&gt; Hạ bộ -&gt; Bãi đúc dầm -&gt; Thượng bộ</t>
        </is>
      </c>
      <c r="I35" s="15" t="inlineStr">
        <is>
          <t xml:space="preserve"> ĐÃ ĐO BÓC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92" customWidth="1" min="2" max="2"/>
    <col width="39" customWidth="1" min="3" max="3"/>
    <col width="66" customWidth="1" min="4" max="4"/>
    <col width="11" customWidth="1" min="5" max="5"/>
    <col width="15" customWidth="1" min="6" max="6"/>
    <col width="12" customWidth="1" min="7" max="7"/>
    <col width="13" customWidth="1" min="8" max="8"/>
    <col width="32" customWidth="1" min="9" max="9"/>
    <col width="29" customWidth="1" min="10" max="10"/>
    <col width="36" customWidth="1" min="11" max="11"/>
    <col width="43" customWidth="1" min="12" max="12"/>
  </cols>
  <sheetData>
    <row r="1"/>
    <row r="2">
      <c r="B2" s="1" t="inlineStr">
        <is>
          <t>BẢNG DIỄN GIẢI HÌNH HỌC CHI TIẾT KẾT CẤU PHẦN TRÊN (SUPERSTRUCTURE)</t>
        </is>
      </c>
    </row>
    <row r="3">
      <c r="B3" s="2" t="inlineStr">
        <is>
          <t>100% Công thức động: Khối lượng = Dài (L) x Rộng (B) x Cao (H) x Số lượng (n) x Hệ số (k)</t>
        </is>
      </c>
    </row>
    <row r="4"/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DẦM CHỦ SUPER-T 38.2M (15 PHIẾN - BÊ TÔNG C45/50)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1.1</t>
        </is>
      </c>
      <c r="C7" s="11" t="inlineStr"/>
      <c r="D7" s="12" t="inlineStr">
        <is>
          <t>- Dầm biên S1B1 (2 phiến: D1 nhịp 1 &amp; D15 nhịp 3)</t>
        </is>
      </c>
      <c r="E7" s="11" t="inlineStr">
        <is>
          <t>m³</t>
        </is>
      </c>
      <c r="F7" s="11" t="n">
        <v>2</v>
      </c>
      <c r="G7" s="16" t="n">
        <v>38.2</v>
      </c>
      <c r="H7" s="16" t="n">
        <v>1</v>
      </c>
      <c r="I7" s="16" t="n">
        <v>1</v>
      </c>
      <c r="J7" s="16" t="n">
        <v>29.254</v>
      </c>
      <c r="K7" s="13">
        <f>ROUND(F7*J7, 3)</f>
        <v/>
      </c>
      <c r="L7" s="12" t="inlineStr">
        <is>
          <t>mc 1 (1.4m): F=1.156m² | mc 3: F=0.701m²</t>
        </is>
      </c>
    </row>
    <row r="8">
      <c r="B8" s="11" t="inlineStr">
        <is>
          <t>1.2</t>
        </is>
      </c>
      <c r="C8" s="11" t="inlineStr"/>
      <c r="D8" s="12" t="inlineStr">
        <is>
          <t>- Dầm biên S1B2 (3 phiến: D5 nhịp 1, D6 nhịp 2, D11 nhịp 3)</t>
        </is>
      </c>
      <c r="E8" s="11" t="inlineStr">
        <is>
          <t>m³</t>
        </is>
      </c>
      <c r="F8" s="11" t="n">
        <v>3</v>
      </c>
      <c r="G8" s="16" t="n">
        <v>38.2</v>
      </c>
      <c r="H8" s="16" t="n">
        <v>1</v>
      </c>
      <c r="I8" s="16" t="n">
        <v>1</v>
      </c>
      <c r="J8" s="16" t="n">
        <v>29.182</v>
      </c>
      <c r="K8" s="13">
        <f>ROUND(F8*J8, 3)</f>
        <v/>
      </c>
      <c r="L8" s="12" t="inlineStr">
        <is>
          <t>mc 1 (1.4m): F=1.156m² | mc 3: F=0.698m²</t>
        </is>
      </c>
    </row>
    <row r="9">
      <c r="B9" s="11" t="inlineStr">
        <is>
          <t>1.3</t>
        </is>
      </c>
      <c r="C9" s="11" t="inlineStr"/>
      <c r="D9" s="12" t="inlineStr">
        <is>
          <t>- Dầm biên S1B3 (1 phiến: D10 nhịp 2)</t>
        </is>
      </c>
      <c r="E9" s="11" t="inlineStr">
        <is>
          <t>m³</t>
        </is>
      </c>
      <c r="F9" s="11" t="n">
        <v>1</v>
      </c>
      <c r="G9" s="16" t="n">
        <v>38.2</v>
      </c>
      <c r="H9" s="16" t="n">
        <v>1</v>
      </c>
      <c r="I9" s="16" t="n">
        <v>1</v>
      </c>
      <c r="J9" s="16" t="n">
        <v>28.996</v>
      </c>
      <c r="K9" s="13">
        <f>ROUND(F9*J9, 3)</f>
        <v/>
      </c>
      <c r="L9" s="12" t="inlineStr">
        <is>
          <t>mc 1 (1.4m): F=1.156m² | mc 3: F=0.691m²</t>
        </is>
      </c>
    </row>
    <row r="10">
      <c r="B10" s="11" t="inlineStr">
        <is>
          <t>1.4</t>
        </is>
      </c>
      <c r="C10" s="11" t="inlineStr"/>
      <c r="D10" s="12" t="inlineStr">
        <is>
          <t>- Dầm giữa S1G (9 phiến: D2,3,4 N1; D7,8,9 N2; D12,13,14 N3)</t>
        </is>
      </c>
      <c r="E10" s="11" t="inlineStr">
        <is>
          <t>m³</t>
        </is>
      </c>
      <c r="F10" s="11" t="n">
        <v>9</v>
      </c>
      <c r="G10" s="16" t="n">
        <v>38.2</v>
      </c>
      <c r="H10" s="16" t="n">
        <v>1</v>
      </c>
      <c r="I10" s="16" t="n">
        <v>1</v>
      </c>
      <c r="J10" s="16" t="n">
        <v>28.833</v>
      </c>
      <c r="K10" s="13">
        <f>ROUND(F10*J10, 3)</f>
        <v/>
      </c>
      <c r="L10" s="12" t="inlineStr">
        <is>
          <t>mc 1 (1.4m): F=1.156m² | mc 3: F=0.686m²</t>
        </is>
      </c>
    </row>
    <row r="11">
      <c r="B11" s="17" t="inlineStr"/>
      <c r="C11" s="18" t="inlineStr">
        <is>
          <t>Cộng Bê tông C45 dầm chủ (15 phiến):</t>
        </is>
      </c>
      <c r="D11" s="17" t="n"/>
      <c r="E11" s="17" t="n"/>
      <c r="F11" s="17" t="n"/>
      <c r="G11" s="17" t="n"/>
      <c r="H11" s="17" t="n"/>
      <c r="I11" s="17" t="n"/>
      <c r="J11" s="17" t="n"/>
      <c r="K11" s="19">
        <f>SUM(K7:K10)</f>
        <v/>
      </c>
      <c r="L11" s="20" t="inlineStr">
        <is>
          <t>434.55 m³</t>
        </is>
      </c>
    </row>
    <row r="12">
      <c r="B12" s="9" t="inlineStr">
        <is>
          <t>2. CÁP DƯL 15.2MM KÉO TRƯỚC &amp; ỐNG PVC DE-BONDING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B13" s="11" t="inlineStr">
        <is>
          <t>2.1</t>
        </is>
      </c>
      <c r="C13" s="11" t="inlineStr"/>
      <c r="D13" s="12" t="inlineStr">
        <is>
          <t>- Cáp DƯL 15.2mm (44 tao/dầm x 41.2m/tao x 15 phiến)</t>
        </is>
      </c>
      <c r="E13" s="11" t="inlineStr">
        <is>
          <t>kg</t>
        </is>
      </c>
      <c r="F13" s="11" t="n">
        <v>15</v>
      </c>
      <c r="G13" s="16" t="n">
        <v>41.2</v>
      </c>
      <c r="H13" s="16" t="n">
        <v>44</v>
      </c>
      <c r="I13" s="16" t="n">
        <v>1.1</v>
      </c>
      <c r="J13" s="16" t="n">
        <v>1</v>
      </c>
      <c r="K13" s="13">
        <f>ROUND(F13*G13*H13*I13*J13, 2)</f>
        <v/>
      </c>
      <c r="L13" s="12" t="inlineStr">
        <is>
          <t>44 tao cáp kéo trước, q=1.10 kg/m</t>
        </is>
      </c>
    </row>
    <row r="14">
      <c r="B14" s="11" t="inlineStr">
        <is>
          <t>2.2</t>
        </is>
      </c>
      <c r="C14" s="11" t="inlineStr"/>
      <c r="D14" s="12" t="inlineStr">
        <is>
          <t>- Ống nhựa PVC D18/22 bọc de-bonding đầu dầm</t>
        </is>
      </c>
      <c r="E14" s="11" t="inlineStr">
        <is>
          <t>m</t>
        </is>
      </c>
      <c r="F14" s="11" t="n">
        <v>15</v>
      </c>
      <c r="G14" s="16" t="n">
        <v>240</v>
      </c>
      <c r="H14" s="16" t="n">
        <v>1</v>
      </c>
      <c r="I14" s="16" t="n">
        <v>1</v>
      </c>
      <c r="J14" s="16" t="n">
        <v>1</v>
      </c>
      <c r="K14" s="13">
        <f>ROUND(F14*G14, 0)</f>
        <v/>
      </c>
      <c r="L14" s="12" t="inlineStr">
        <is>
          <t>6 nhóm de-bonding (0m đến 8m)</t>
        </is>
      </c>
    </row>
    <row r="15">
      <c r="B15" s="11" t="inlineStr">
        <is>
          <t>2.3</t>
        </is>
      </c>
      <c r="C15" s="11" t="inlineStr"/>
      <c r="D15" s="12" t="inlineStr">
        <is>
          <t>- Móc cẩu dầm D32 (cáp nâng hạ)</t>
        </is>
      </c>
      <c r="E15" s="11" t="inlineStr">
        <is>
          <t>m</t>
        </is>
      </c>
      <c r="F15" s="11" t="n">
        <v>15</v>
      </c>
      <c r="G15" s="16" t="n">
        <v>32</v>
      </c>
      <c r="H15" s="16" t="n">
        <v>1</v>
      </c>
      <c r="I15" s="16" t="n">
        <v>1</v>
      </c>
      <c r="J15" s="16" t="n">
        <v>1</v>
      </c>
      <c r="K15" s="13">
        <f>ROUND(F15*G15, 0)</f>
        <v/>
      </c>
      <c r="L15" s="12" t="inlineStr">
        <is>
          <t>4 móc cẩu/dầm x 8m</t>
        </is>
      </c>
    </row>
    <row r="16">
      <c r="B16" s="17" t="inlineStr"/>
      <c r="C16" s="18" t="inlineStr">
        <is>
          <t>Cộng Cáp DƯL 15.2mm (Tấn):</t>
        </is>
      </c>
      <c r="D16" s="17" t="n"/>
      <c r="E16" s="17" t="n"/>
      <c r="F16" s="17" t="n"/>
      <c r="G16" s="17" t="n"/>
      <c r="H16" s="17" t="n"/>
      <c r="I16" s="17" t="n"/>
      <c r="J16" s="17" t="n"/>
      <c r="K16" s="19">
        <f>K13/1000</f>
        <v/>
      </c>
      <c r="L16" s="20" t="inlineStr">
        <is>
          <t>29.911 Tấn</t>
        </is>
      </c>
    </row>
    <row r="17">
      <c r="B17" s="9" t="inlineStr">
        <is>
          <t>3. CỐT THÉP THƯỜNG THÂN DẦM SUPER-T (BBS 23 MÃ HIỆU G1a..K1b)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B18" s="11" t="inlineStr">
        <is>
          <t>3.1</t>
        </is>
      </c>
      <c r="C18" s="11" t="inlineStr"/>
      <c r="D18" s="12" t="inlineStr">
        <is>
          <t>- Cốt thép nhóm 10 &lt; D &lt;= 18mm (G1a đến G15, K1a)</t>
        </is>
      </c>
      <c r="E18" s="11" t="inlineStr">
        <is>
          <t>kg</t>
        </is>
      </c>
      <c r="F18" s="11" t="n">
        <v>15</v>
      </c>
      <c r="G18" s="16" t="n">
        <v>5181.45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77,721.76 kg thép sườn, bản cánh, đai</t>
        </is>
      </c>
    </row>
    <row r="19">
      <c r="B19" s="11" t="inlineStr">
        <is>
          <t>3.2</t>
        </is>
      </c>
      <c r="C19" s="11" t="inlineStr"/>
      <c r="D19" s="12" t="inlineStr">
        <is>
          <t>- Cốt thép nhóm D &gt; 18mm (G16, G17, G18, K1b)</t>
        </is>
      </c>
      <c r="E19" s="11" t="inlineStr">
        <is>
          <t>kg</t>
        </is>
      </c>
      <c r="F19" s="11" t="n">
        <v>15</v>
      </c>
      <c r="G19" s="16" t="n">
        <v>796.47</v>
      </c>
      <c r="H19" s="16" t="n">
        <v>1</v>
      </c>
      <c r="I19" s="16" t="n">
        <v>1</v>
      </c>
      <c r="J19" s="16" t="n">
        <v>1</v>
      </c>
      <c r="K19" s="13">
        <f>ROUND(F19*G19, 2)</f>
        <v/>
      </c>
      <c r="L19" s="12" t="inlineStr">
        <is>
          <t>11,947.05 kg thép chịu lực cục bộ</t>
        </is>
      </c>
    </row>
    <row r="20">
      <c r="B20" s="11" t="inlineStr">
        <is>
          <t>3.3</t>
        </is>
      </c>
      <c r="C20" s="11" t="inlineStr"/>
      <c r="D20" s="12" t="inlineStr">
        <is>
          <t>- Tấm thép đệm đáy dầm (370x540x20mm mạ kẽm)</t>
        </is>
      </c>
      <c r="E20" s="11" t="inlineStr">
        <is>
          <t>kg</t>
        </is>
      </c>
      <c r="F20" s="11" t="n">
        <v>15</v>
      </c>
      <c r="G20" s="16" t="n">
        <v>2</v>
      </c>
      <c r="H20" s="16" t="n">
        <v>0.37</v>
      </c>
      <c r="I20" s="16" t="n">
        <v>0.54</v>
      </c>
      <c r="J20" s="16" t="n">
        <v>157</v>
      </c>
      <c r="K20" s="13">
        <f>ROUND(F20*G20*H20*I20*J20, 2)</f>
        <v/>
      </c>
      <c r="L20" s="12" t="inlineStr">
        <is>
          <t>30 tấm đệm kê đáy dầm = 941.10 kg</t>
        </is>
      </c>
    </row>
    <row r="21">
      <c r="B21" s="17" t="inlineStr"/>
      <c r="C21" s="18" t="inlineStr">
        <is>
          <t>Cộng Cốt thép thường dầm chủ (Tấn):</t>
        </is>
      </c>
      <c r="D21" s="17" t="n"/>
      <c r="E21" s="17" t="n"/>
      <c r="F21" s="17" t="n"/>
      <c r="G21" s="17" t="n"/>
      <c r="H21" s="17" t="n"/>
      <c r="I21" s="17" t="n"/>
      <c r="J21" s="17" t="n"/>
      <c r="K21" s="19">
        <f>(K18+K19)/1000</f>
        <v/>
      </c>
      <c r="L21" s="20" t="inlineStr">
        <is>
          <t>89.669 Tấn</t>
        </is>
      </c>
    </row>
    <row r="22">
      <c r="B22" s="9" t="inlineStr">
        <is>
          <t>4. VÁN KHUÔN DẦM CHỦ SUPER-T 38.2M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B23" s="11" t="inlineStr">
        <is>
          <t>4.1</t>
        </is>
      </c>
      <c r="C23" s="11" t="inlineStr"/>
      <c r="D23" s="12" t="inlineStr">
        <is>
          <t>- Ván khuôn dầm biên S1B1 (2 phiến)</t>
        </is>
      </c>
      <c r="E23" s="11" t="inlineStr">
        <is>
          <t>m²</t>
        </is>
      </c>
      <c r="F23" s="11" t="n">
        <v>2</v>
      </c>
      <c r="G23" s="16" t="n">
        <v>343.132</v>
      </c>
      <c r="H23" s="16" t="n">
        <v>1</v>
      </c>
      <c r="I23" s="16" t="n">
        <v>1</v>
      </c>
      <c r="J23" s="16" t="n">
        <v>1</v>
      </c>
      <c r="K23" s="13">
        <f>ROUND(F23*G23, 2)</f>
        <v/>
      </c>
      <c r="L23" s="12" t="inlineStr">
        <is>
          <t>Thành ngoài, đáy, ván khuôn lòng chữ U</t>
        </is>
      </c>
    </row>
    <row r="24">
      <c r="B24" s="11" t="inlineStr">
        <is>
          <t>4.2</t>
        </is>
      </c>
      <c r="C24" s="11" t="inlineStr"/>
      <c r="D24" s="12" t="inlineStr">
        <is>
          <t>- Ván khuôn dầm biên S1B2 (3 phiến)</t>
        </is>
      </c>
      <c r="E24" s="11" t="inlineStr">
        <is>
          <t>m²</t>
        </is>
      </c>
      <c r="F24" s="11" t="n">
        <v>3</v>
      </c>
      <c r="G24" s="16" t="n">
        <v>342.173</v>
      </c>
      <c r="H24" s="16" t="n">
        <v>1</v>
      </c>
      <c r="I24" s="16" t="n">
        <v>1</v>
      </c>
      <c r="J24" s="16" t="n">
        <v>1</v>
      </c>
      <c r="K24" s="13">
        <f>ROUND(F24*G24, 2)</f>
        <v/>
      </c>
      <c r="L24" s="12" t="inlineStr">
        <is>
          <t>Thành ngoài, đáy, ván khuôn lòng chữ U</t>
        </is>
      </c>
    </row>
    <row r="25">
      <c r="B25" s="11" t="inlineStr">
        <is>
          <t>4.3</t>
        </is>
      </c>
      <c r="C25" s="11" t="inlineStr"/>
      <c r="D25" s="12" t="inlineStr">
        <is>
          <t>- Ván khuôn dầm biên S1B3 (1 phiến)</t>
        </is>
      </c>
      <c r="E25" s="11" t="inlineStr">
        <is>
          <t>m²</t>
        </is>
      </c>
      <c r="F25" s="11" t="n">
        <v>1</v>
      </c>
      <c r="G25" s="16" t="n">
        <v>339.681</v>
      </c>
      <c r="H25" s="16" t="n">
        <v>1</v>
      </c>
      <c r="I25" s="16" t="n">
        <v>1</v>
      </c>
      <c r="J25" s="16" t="n">
        <v>1</v>
      </c>
      <c r="K25" s="13">
        <f>ROUND(F25*G25, 2)</f>
        <v/>
      </c>
      <c r="L25" s="12" t="inlineStr">
        <is>
          <t>Thành ngoài, đáy, ván khuôn lòng chữ U</t>
        </is>
      </c>
    </row>
    <row r="26">
      <c r="B26" s="11" t="inlineStr">
        <is>
          <t>4.4</t>
        </is>
      </c>
      <c r="C26" s="11" t="inlineStr"/>
      <c r="D26" s="12" t="inlineStr">
        <is>
          <t>- Ván khuôn dầm giữa S1G (9 phiến)</t>
        </is>
      </c>
      <c r="E26" s="11" t="inlineStr">
        <is>
          <t>m²</t>
        </is>
      </c>
      <c r="F26" s="11" t="n">
        <v>9</v>
      </c>
      <c r="G26" s="16" t="n">
        <v>338.478</v>
      </c>
      <c r="H26" s="16" t="n">
        <v>1</v>
      </c>
      <c r="I26" s="16" t="n">
        <v>1</v>
      </c>
      <c r="J26" s="16" t="n">
        <v>1</v>
      </c>
      <c r="K26" s="13">
        <f>ROUND(F26*G26, 2)</f>
        <v/>
      </c>
      <c r="L26" s="12" t="inlineStr">
        <is>
          <t>Thành dầm, đáy dầm, ván khuôn chữ U</t>
        </is>
      </c>
    </row>
    <row r="27">
      <c r="B27" s="17" t="inlineStr"/>
      <c r="C27" s="18" t="inlineStr">
        <is>
          <t>Cộng Ván khuôn dầm chủ:</t>
        </is>
      </c>
      <c r="D27" s="17" t="n"/>
      <c r="E27" s="17" t="n"/>
      <c r="F27" s="17" t="n"/>
      <c r="G27" s="17" t="n"/>
      <c r="H27" s="17" t="n"/>
      <c r="I27" s="17" t="n"/>
      <c r="J27" s="17" t="n"/>
      <c r="K27" s="19">
        <f>SUM(K23:K26)</f>
        <v/>
      </c>
      <c r="L27" s="20" t="inlineStr">
        <is>
          <t>5,098.77 m²</t>
        </is>
      </c>
    </row>
    <row r="28">
      <c r="B28" s="9" t="inlineStr">
        <is>
          <t>5. DẦM NGANG BTCT C35 (3 NHỊP)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>
      <c r="B29" s="11" t="inlineStr">
        <is>
          <t>5.1</t>
        </is>
      </c>
      <c r="C29" s="11" t="inlineStr"/>
      <c r="D29" s="12" t="inlineStr">
        <is>
          <t>- Dầm ngang đầu dầm tại Mố M1 &amp; M2 (2 vị trí)</t>
        </is>
      </c>
      <c r="E29" s="11" t="inlineStr">
        <is>
          <t>m³</t>
        </is>
      </c>
      <c r="F29" s="11" t="n">
        <v>2</v>
      </c>
      <c r="G29" s="16" t="n">
        <v>11.2</v>
      </c>
      <c r="H29" s="16" t="n">
        <v>0.65</v>
      </c>
      <c r="I29" s="16" t="n">
        <v>0.35</v>
      </c>
      <c r="J29" s="16" t="n">
        <v>1</v>
      </c>
      <c r="K29" s="13">
        <f>ROUND(F29*G29*H29*I29*J29, 3)</f>
        <v/>
      </c>
      <c r="L29" s="12" t="inlineStr">
        <is>
          <t>Liên kết ngang đầu dầm mố</t>
        </is>
      </c>
    </row>
    <row r="30">
      <c r="B30" s="11" t="inlineStr">
        <is>
          <t>5.2</t>
        </is>
      </c>
      <c r="C30" s="11" t="inlineStr"/>
      <c r="D30" s="12" t="inlineStr">
        <is>
          <t>- Dầm ngang trên Trụ T1 &amp; T2 (2 vị trí)</t>
        </is>
      </c>
      <c r="E30" s="11" t="inlineStr">
        <is>
          <t>m³</t>
        </is>
      </c>
      <c r="F30" s="11" t="n">
        <v>2</v>
      </c>
      <c r="G30" s="16" t="n">
        <v>11.2</v>
      </c>
      <c r="H30" s="16" t="n">
        <v>0.85</v>
      </c>
      <c r="I30" s="16" t="n">
        <v>0.45</v>
      </c>
      <c r="J30" s="16" t="n">
        <v>1.25</v>
      </c>
      <c r="K30" s="13">
        <f>ROUND(F30*G30*H30*I30*J30, 3)</f>
        <v/>
      </c>
      <c r="L30" s="12" t="inlineStr">
        <is>
          <t>Liên kết ngang trên đỉnh trụ</t>
        </is>
      </c>
    </row>
    <row r="31">
      <c r="B31" s="11" t="inlineStr">
        <is>
          <t>5.3</t>
        </is>
      </c>
      <c r="C31" s="11" t="inlineStr"/>
      <c r="D31" s="12" t="inlineStr">
        <is>
          <t>- Cốt thép dầm ngang (D&lt;=18mm: 2,419.29 kg; D&gt;18: 343.83 kg)</t>
        </is>
      </c>
      <c r="E31" s="11" t="inlineStr">
        <is>
          <t>kg</t>
        </is>
      </c>
      <c r="F31" s="11" t="n">
        <v>1</v>
      </c>
      <c r="G31" s="16" t="n">
        <v>2763.12</v>
      </c>
      <c r="H31" s="16" t="n">
        <v>1</v>
      </c>
      <c r="I31" s="16" t="n">
        <v>1</v>
      </c>
      <c r="J31" s="16" t="n">
        <v>1</v>
      </c>
      <c r="K31" s="13">
        <f>ROUND(F31*G31, 2)</f>
        <v/>
      </c>
      <c r="L31" s="12" t="inlineStr">
        <is>
          <t>2,763.12 kg thép CB400-V</t>
        </is>
      </c>
    </row>
    <row r="32">
      <c r="B32" s="11" t="inlineStr">
        <is>
          <t>5.4</t>
        </is>
      </c>
      <c r="C32" s="11" t="inlineStr"/>
      <c r="D32" s="12" t="inlineStr">
        <is>
          <t>- Ván khuôn dầm ngang thành bên và đáy dầm</t>
        </is>
      </c>
      <c r="E32" s="11" t="inlineStr">
        <is>
          <t>m²</t>
        </is>
      </c>
      <c r="F32" s="11" t="n">
        <v>1</v>
      </c>
      <c r="G32" s="16" t="n">
        <v>48.216</v>
      </c>
      <c r="H32" s="16" t="n">
        <v>1</v>
      </c>
      <c r="I32" s="16" t="n">
        <v>1</v>
      </c>
      <c r="J32" s="16" t="n">
        <v>1</v>
      </c>
      <c r="K32" s="13">
        <f>ROUND(F32*G32, 2)</f>
        <v/>
      </c>
      <c r="L32" s="12" t="inlineStr">
        <is>
          <t>48.22 m² ván khuôn thép</t>
        </is>
      </c>
    </row>
    <row r="33">
      <c r="B33" s="11" t="inlineStr">
        <is>
          <t>5.5</t>
        </is>
      </c>
      <c r="C33" s="11" t="inlineStr"/>
      <c r="D33" s="12" t="inlineStr">
        <is>
          <t>- Bộ nối ren D16 chờ liên kết dầm ngang</t>
        </is>
      </c>
      <c r="E33" s="11" t="inlineStr">
        <is>
          <t>Bộ</t>
        </is>
      </c>
      <c r="F33" s="11" t="n">
        <v>1</v>
      </c>
      <c r="G33" s="16" t="n">
        <v>384</v>
      </c>
      <c r="H33" s="16" t="n">
        <v>1</v>
      </c>
      <c r="I33" s="16" t="n">
        <v>1</v>
      </c>
      <c r="J33" s="16" t="n">
        <v>1</v>
      </c>
      <c r="K33" s="13">
        <f>ROUND(F33*G33, 0)</f>
        <v/>
      </c>
      <c r="L33" s="12" t="inlineStr">
        <is>
          <t>384 bộ nối ren thép</t>
        </is>
      </c>
    </row>
    <row r="34">
      <c r="B34" s="17" t="inlineStr"/>
      <c r="C34" s="18" t="inlineStr">
        <is>
          <t>Cộng Bê tông Dầm ngang C35:</t>
        </is>
      </c>
      <c r="D34" s="17" t="n"/>
      <c r="E34" s="17" t="n"/>
      <c r="F34" s="17" t="n"/>
      <c r="G34" s="17" t="n"/>
      <c r="H34" s="17" t="n"/>
      <c r="I34" s="17" t="n"/>
      <c r="J34" s="17" t="n"/>
      <c r="K34" s="19">
        <f>SUM(K29:K30)</f>
        <v/>
      </c>
      <c r="L34" s="20" t="inlineStr">
        <is>
          <t>19.38 m³</t>
        </is>
      </c>
    </row>
    <row r="35">
      <c r="B35" s="9" t="inlineStr">
        <is>
          <t>6. BẢN MẶT CẦU &amp; BẢN LIÊN TỤC NHIỆT BTCT C35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>
      <c r="B36" s="11" t="inlineStr">
        <is>
          <t>6.1</t>
        </is>
      </c>
      <c r="C36" s="11" t="inlineStr"/>
      <c r="D36" s="12" t="inlineStr">
        <is>
          <t>- Bản mặt cầu Nhịp 1 (L=38.2m, B=12.0m, d=0.20m, vát cánh dầm)</t>
        </is>
      </c>
      <c r="E36" s="11" t="inlineStr">
        <is>
          <t>m³</t>
        </is>
      </c>
      <c r="F36" s="11" t="n">
        <v>1</v>
      </c>
      <c r="G36" s="16" t="n">
        <v>38.2</v>
      </c>
      <c r="H36" s="16" t="n">
        <v>12</v>
      </c>
      <c r="I36" s="16" t="n">
        <v>0.2</v>
      </c>
      <c r="J36" s="16" t="n">
        <v>1.112</v>
      </c>
      <c r="K36" s="13">
        <f>ROUND(F36*G36*H36*I36*J36, 3)</f>
        <v/>
      </c>
      <c r="L36" s="12" t="inlineStr">
        <is>
          <t>Bê tông C35 đổ tại chỗ</t>
        </is>
      </c>
    </row>
    <row r="37">
      <c r="B37" s="11" t="inlineStr">
        <is>
          <t>6.2</t>
        </is>
      </c>
      <c r="C37" s="11" t="inlineStr"/>
      <c r="D37" s="12" t="inlineStr">
        <is>
          <t>- Bản mặt cầu Nhịp 2 (L=38.2m, B=12.0m, d=0.20m, vát cánh dầm)</t>
        </is>
      </c>
      <c r="E37" s="11" t="inlineStr">
        <is>
          <t>m³</t>
        </is>
      </c>
      <c r="F37" s="11" t="n">
        <v>1</v>
      </c>
      <c r="G37" s="16" t="n">
        <v>38.2</v>
      </c>
      <c r="H37" s="16" t="n">
        <v>12</v>
      </c>
      <c r="I37" s="16" t="n">
        <v>0.2</v>
      </c>
      <c r="J37" s="16" t="n">
        <v>1.112</v>
      </c>
      <c r="K37" s="13">
        <f>ROUND(F37*G37*H37*I37*J37, 3)</f>
        <v/>
      </c>
      <c r="L37" s="12" t="inlineStr">
        <is>
          <t>Bê tông C35 đổ tại chỗ</t>
        </is>
      </c>
    </row>
    <row r="38">
      <c r="B38" s="11" t="inlineStr">
        <is>
          <t>6.3</t>
        </is>
      </c>
      <c r="C38" s="11" t="inlineStr"/>
      <c r="D38" s="12" t="inlineStr">
        <is>
          <t>- Bản mặt cầu Nhịp 3 (L=38.2m, B=12.0m, d=0.20m, vát cánh dầm)</t>
        </is>
      </c>
      <c r="E38" s="11" t="inlineStr">
        <is>
          <t>m³</t>
        </is>
      </c>
      <c r="F38" s="11" t="n">
        <v>1</v>
      </c>
      <c r="G38" s="16" t="n">
        <v>38.2</v>
      </c>
      <c r="H38" s="16" t="n">
        <v>12</v>
      </c>
      <c r="I38" s="16" t="n">
        <v>0.2</v>
      </c>
      <c r="J38" s="16" t="n">
        <v>1.112</v>
      </c>
      <c r="K38" s="13">
        <f>ROUND(F38*G38*H38*I38*J38, 3)</f>
        <v/>
      </c>
      <c r="L38" s="12" t="inlineStr">
        <is>
          <t>Bê tông C35 đổ tại chỗ</t>
        </is>
      </c>
    </row>
    <row r="39">
      <c r="B39" s="11" t="inlineStr">
        <is>
          <t>6.4</t>
        </is>
      </c>
      <c r="C39" s="11" t="inlineStr"/>
      <c r="D39" s="12" t="inlineStr">
        <is>
          <t>- Bản liên tục nhiệt tại đỉnh Trụ T1 (L=1.2m, B=12.0m, d=0.20m)</t>
        </is>
      </c>
      <c r="E39" s="11" t="inlineStr">
        <is>
          <t>m³</t>
        </is>
      </c>
      <c r="F39" s="11" t="n">
        <v>1</v>
      </c>
      <c r="G39" s="16" t="n">
        <v>1.2</v>
      </c>
      <c r="H39" s="16" t="n">
        <v>12</v>
      </c>
      <c r="I39" s="16" t="n">
        <v>0.2</v>
      </c>
      <c r="J39" s="16" t="n">
        <v>3.8</v>
      </c>
      <c r="K39" s="13">
        <f>ROUND(F39*G39*H39*I39*J39, 3)</f>
        <v/>
      </c>
      <c r="L39" s="12" t="inlineStr">
        <is>
          <t>Bê tông C35 liên tục nhiệt</t>
        </is>
      </c>
    </row>
    <row r="40">
      <c r="B40" s="11" t="inlineStr">
        <is>
          <t>6.5</t>
        </is>
      </c>
      <c r="C40" s="11" t="inlineStr"/>
      <c r="D40" s="12" t="inlineStr">
        <is>
          <t>- Bản liên tục nhiệt tại đỉnh Trụ T2 (L=1.2m, B=12.0m, d=0.20m)</t>
        </is>
      </c>
      <c r="E40" s="11" t="inlineStr">
        <is>
          <t>m³</t>
        </is>
      </c>
      <c r="F40" s="11" t="n">
        <v>1</v>
      </c>
      <c r="G40" s="16" t="n">
        <v>1.2</v>
      </c>
      <c r="H40" s="16" t="n">
        <v>12</v>
      </c>
      <c r="I40" s="16" t="n">
        <v>0.2</v>
      </c>
      <c r="J40" s="16" t="n">
        <v>3.8</v>
      </c>
      <c r="K40" s="13">
        <f>ROUND(F40*G40*H40*I40*J40, 3)</f>
        <v/>
      </c>
      <c r="L40" s="12" t="inlineStr">
        <is>
          <t>Bê tông C35 liên tục nhiệt</t>
        </is>
      </c>
    </row>
    <row r="41">
      <c r="B41" s="11" t="inlineStr">
        <is>
          <t>6.6</t>
        </is>
      </c>
      <c r="C41" s="11" t="inlineStr"/>
      <c r="D41" s="12" t="inlineStr">
        <is>
          <t>- Cốt thép Bản mặt cầu &amp; Bản LTN (D&lt;=18: 80.52T; D&gt;18: 5.07T)</t>
        </is>
      </c>
      <c r="E41" s="11" t="inlineStr">
        <is>
          <t>kg</t>
        </is>
      </c>
      <c r="F41" s="11" t="n">
        <v>1</v>
      </c>
      <c r="G41" s="16" t="n">
        <v>85594.39</v>
      </c>
      <c r="H41" s="16" t="n">
        <v>1</v>
      </c>
      <c r="I41" s="16" t="n">
        <v>1</v>
      </c>
      <c r="J41" s="16" t="n">
        <v>1</v>
      </c>
      <c r="K41" s="13">
        <f>ROUND(F41*G41, 2)</f>
        <v/>
      </c>
      <c r="L41" s="12" t="inlineStr">
        <is>
          <t>85,594.39 kg thép CB400-V</t>
        </is>
      </c>
    </row>
    <row r="42">
      <c r="B42" s="11" t="inlineStr">
        <is>
          <t>6.7</t>
        </is>
      </c>
      <c r="C42" s="11" t="inlineStr"/>
      <c r="D42" s="12" t="inlineStr">
        <is>
          <t>- Ván khuôn cạnh bản mặt cầu &amp; liên tục nhiệt</t>
        </is>
      </c>
      <c r="E42" s="11" t="inlineStr">
        <is>
          <t>m²</t>
        </is>
      </c>
      <c r="F42" s="11" t="n">
        <v>1</v>
      </c>
      <c r="G42" s="16" t="n">
        <v>57.036</v>
      </c>
      <c r="H42" s="16" t="n">
        <v>1</v>
      </c>
      <c r="I42" s="16" t="n">
        <v>1</v>
      </c>
      <c r="J42" s="16" t="n">
        <v>1</v>
      </c>
      <c r="K42" s="13">
        <f>ROUND(F42*G42, 2)</f>
        <v/>
      </c>
      <c r="L42" s="12" t="inlineStr">
        <is>
          <t>57.04 m² ván khuôn cạnh</t>
        </is>
      </c>
    </row>
    <row r="43">
      <c r="B43" s="17" t="inlineStr"/>
      <c r="C43" s="18" t="inlineStr">
        <is>
          <t>Cộng Bê tông BMC &amp; LTN C35:</t>
        </is>
      </c>
      <c r="D43" s="17" t="n"/>
      <c r="E43" s="17" t="n"/>
      <c r="F43" s="17" t="n"/>
      <c r="G43" s="17" t="n"/>
      <c r="H43" s="17" t="n"/>
      <c r="I43" s="17" t="n"/>
      <c r="J43" s="17" t="n"/>
      <c r="K43" s="19">
        <f>SUM(K36:K40)</f>
        <v/>
      </c>
      <c r="L43" s="20" t="inlineStr">
        <is>
          <t>327.33 m³</t>
        </is>
      </c>
    </row>
    <row r="44">
      <c r="B44" s="9" t="inlineStr">
        <is>
          <t>7. TẤM VÁN KHUÔN BTCT ĐÚC SẴN C25 (510 TẤM)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B45" s="11" t="inlineStr">
        <is>
          <t>7.1</t>
        </is>
      </c>
      <c r="C45" s="11" t="inlineStr"/>
      <c r="D45" s="12" t="inlineStr">
        <is>
          <t>- Tấm ván khuôn BTCT đúc sẵn C25 (510 tấm lắp giữa cánh dầm)</t>
        </is>
      </c>
      <c r="E45" s="11" t="inlineStr">
        <is>
          <t>m³</t>
        </is>
      </c>
      <c r="F45" s="11" t="n">
        <v>510</v>
      </c>
      <c r="G45" s="16" t="n">
        <v>1.48</v>
      </c>
      <c r="H45" s="16" t="n">
        <v>0.58</v>
      </c>
      <c r="I45" s="16" t="n">
        <v>0.07000000000000001</v>
      </c>
      <c r="J45" s="16" t="n">
        <v>0.368</v>
      </c>
      <c r="K45" s="13">
        <f>ROUND(F45*G45*H45*I45*J45, 3)</f>
        <v/>
      </c>
      <c r="L45" s="12" t="inlineStr">
        <is>
          <t>13.23 m³ bê tông C25</t>
        </is>
      </c>
    </row>
    <row r="46">
      <c r="B46" s="11" t="inlineStr">
        <is>
          <t>7.2</t>
        </is>
      </c>
      <c r="C46" s="11" t="inlineStr"/>
      <c r="D46" s="12" t="inlineStr">
        <is>
          <t>- Cốt thép tấm đúc sẵn (thép lưới D6 &amp; D8)</t>
        </is>
      </c>
      <c r="E46" s="11" t="inlineStr">
        <is>
          <t>kg</t>
        </is>
      </c>
      <c r="F46" s="11" t="n">
        <v>510</v>
      </c>
      <c r="G46" s="16" t="n">
        <v>4.555</v>
      </c>
      <c r="H46" s="16" t="n">
        <v>1</v>
      </c>
      <c r="I46" s="16" t="n">
        <v>1</v>
      </c>
      <c r="J46" s="16" t="n">
        <v>1</v>
      </c>
      <c r="K46" s="13">
        <f>ROUND(F46*G46, 2)</f>
        <v/>
      </c>
      <c r="L46" s="12" t="inlineStr">
        <is>
          <t>2,322.90 kg thép kéo nguội</t>
        </is>
      </c>
    </row>
    <row r="47">
      <c r="B47" s="11" t="inlineStr">
        <is>
          <t>7.3</t>
        </is>
      </c>
      <c r="C47" s="11" t="inlineStr"/>
      <c r="D47" s="12" t="inlineStr">
        <is>
          <t>- Ván khuôn đúc tấm bê tông</t>
        </is>
      </c>
      <c r="E47" s="11" t="inlineStr">
        <is>
          <t>m²</t>
        </is>
      </c>
      <c r="F47" s="11" t="n">
        <v>510</v>
      </c>
      <c r="G47" s="16" t="n">
        <v>0.9897</v>
      </c>
      <c r="H47" s="16" t="n">
        <v>1</v>
      </c>
      <c r="I47" s="16" t="n">
        <v>1</v>
      </c>
      <c r="J47" s="16" t="n">
        <v>1</v>
      </c>
      <c r="K47" s="13">
        <f>ROUND(F47*G47, 2)</f>
        <v/>
      </c>
      <c r="L47" s="12" t="inlineStr">
        <is>
          <t>504.75 m² ván khuôn bãi đúc</t>
        </is>
      </c>
    </row>
    <row r="48">
      <c r="B48" s="17" t="inlineStr"/>
      <c r="C48" s="18" t="inlineStr">
        <is>
          <t>Cộng Bê tông Tấm đúc sẵn C25:</t>
        </is>
      </c>
      <c r="D48" s="17" t="n"/>
      <c r="E48" s="17" t="n"/>
      <c r="F48" s="17" t="n"/>
      <c r="G48" s="17" t="n"/>
      <c r="H48" s="17" t="n"/>
      <c r="I48" s="17" t="n"/>
      <c r="J48" s="17" t="n"/>
      <c r="K48" s="19">
        <f>K45</f>
        <v/>
      </c>
      <c r="L48" s="20" t="inlineStr">
        <is>
          <t>13.23 m³</t>
        </is>
      </c>
    </row>
    <row r="49">
      <c r="B49" s="9" t="inlineStr">
        <is>
          <t>8. LỚP PHỦ MẶT CẦU ASPHALT C16 &amp; CHỐNG THẤM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>
      <c r="B50" s="11" t="inlineStr">
        <is>
          <t>8.1</t>
        </is>
      </c>
      <c r="C50" s="11" t="inlineStr"/>
      <c r="D50" s="12" t="inlineStr">
        <is>
          <t>- Bê tông nhựa Asphalt C16 dày 7cm mặt cầu</t>
        </is>
      </c>
      <c r="E50" s="11" t="inlineStr">
        <is>
          <t>m²</t>
        </is>
      </c>
      <c r="F50" s="11" t="n">
        <v>1</v>
      </c>
      <c r="G50" s="16" t="n">
        <v>115.03</v>
      </c>
      <c r="H50" s="16" t="n">
        <v>12</v>
      </c>
      <c r="I50" s="16" t="n">
        <v>1</v>
      </c>
      <c r="J50" s="16" t="n">
        <v>1</v>
      </c>
      <c r="K50" s="13">
        <f>ROUND(F50*G50*H50, 2)</f>
        <v/>
      </c>
      <c r="L50" s="12" t="inlineStr">
        <is>
          <t>1,380.39 m² mặt cầu</t>
        </is>
      </c>
    </row>
    <row r="51">
      <c r="B51" s="11" t="inlineStr">
        <is>
          <t>8.2</t>
        </is>
      </c>
      <c r="C51" s="11" t="inlineStr"/>
      <c r="D51" s="12" t="inlineStr">
        <is>
          <t>- Tưới nhựa dính bám 0.5 kg/m² mặt cầu</t>
        </is>
      </c>
      <c r="E51" s="11" t="inlineStr">
        <is>
          <t>m²</t>
        </is>
      </c>
      <c r="F51" s="11" t="n">
        <v>1</v>
      </c>
      <c r="G51" s="16" t="n">
        <v>1380.39</v>
      </c>
      <c r="H51" s="16" t="n">
        <v>1</v>
      </c>
      <c r="I51" s="16" t="n">
        <v>1</v>
      </c>
      <c r="J51" s="16" t="n">
        <v>1</v>
      </c>
      <c r="K51" s="13">
        <f>ROUND(F51*G51, 2)</f>
        <v/>
      </c>
      <c r="L51" s="12" t="inlineStr">
        <is>
          <t>1,380.39 m² tưới dính bám</t>
        </is>
      </c>
    </row>
    <row r="52">
      <c r="B52" s="11" t="inlineStr">
        <is>
          <t>8.3</t>
        </is>
      </c>
      <c r="C52" s="11" t="inlineStr"/>
      <c r="D52" s="12" t="inlineStr">
        <is>
          <t>- Lớp phòng nước dạng phun sương đàn hồi</t>
        </is>
      </c>
      <c r="E52" s="11" t="inlineStr">
        <is>
          <t>m²</t>
        </is>
      </c>
      <c r="F52" s="11" t="n">
        <v>1</v>
      </c>
      <c r="G52" s="16" t="n">
        <v>1380.39</v>
      </c>
      <c r="H52" s="16" t="n">
        <v>1</v>
      </c>
      <c r="I52" s="16" t="n">
        <v>1</v>
      </c>
      <c r="J52" s="16" t="n">
        <v>1</v>
      </c>
      <c r="K52" s="13">
        <f>ROUND(F52*G52, 2)</f>
        <v/>
      </c>
      <c r="L52" s="12" t="inlineStr">
        <is>
          <t>1,380.39 m² phòng nước</t>
        </is>
      </c>
    </row>
    <row r="53">
      <c r="B53" s="17" t="inlineStr"/>
      <c r="C53" s="18" t="inlineStr">
        <is>
          <t>Cộng Diện tích Mặt cầu Asphalt C16:</t>
        </is>
      </c>
      <c r="D53" s="17" t="n"/>
      <c r="E53" s="17" t="n"/>
      <c r="F53" s="17" t="n"/>
      <c r="G53" s="17" t="n"/>
      <c r="H53" s="17" t="n"/>
      <c r="I53" s="17" t="n"/>
      <c r="J53" s="17" t="n"/>
      <c r="K53" s="19">
        <f>K50</f>
        <v/>
      </c>
      <c r="L53" s="20" t="inlineStr">
        <is>
          <t>1,380.39 m²</t>
        </is>
      </c>
    </row>
    <row r="54"/>
    <row r="55">
      <c r="I55" s="21" t="inlineStr">
        <is>
          <t>BÊ TÔNG DẦM CHỦ C45 (M3):</t>
        </is>
      </c>
      <c r="J55" s="22">
        <f>K11</f>
        <v/>
      </c>
    </row>
    <row r="56">
      <c r="I56" s="21" t="inlineStr">
        <is>
          <t>CÁP DƯL 15.2MM (TẤN):</t>
        </is>
      </c>
      <c r="J56" s="22">
        <f>K16</f>
        <v/>
      </c>
    </row>
    <row r="57">
      <c r="I57" s="21" t="inlineStr">
        <is>
          <t>THÉP THƯỜNG DẦM CHỦ (TẤN):</t>
        </is>
      </c>
      <c r="J57" s="22">
        <f>K21</f>
        <v/>
      </c>
    </row>
    <row r="58">
      <c r="I58" s="21" t="inlineStr">
        <is>
          <t>VÁN KHUÔN DẦM CHỦ (M2):</t>
        </is>
      </c>
      <c r="J58" s="22">
        <f>K27</f>
        <v/>
      </c>
    </row>
    <row r="59">
      <c r="I59" s="21" t="inlineStr">
        <is>
          <t>BÊ TÔNG DẦM NGANG C35 (M3):</t>
        </is>
      </c>
      <c r="J59" s="22">
        <f>K34</f>
        <v/>
      </c>
    </row>
    <row r="60">
      <c r="I60" s="21" t="inlineStr">
        <is>
          <t>BÊ TÔNG BMC &amp; LTN C35 (M3):</t>
        </is>
      </c>
      <c r="J60" s="22">
        <f>K43</f>
        <v/>
      </c>
    </row>
    <row r="61">
      <c r="I61" s="21" t="inlineStr">
        <is>
          <t>THÉP BMC, DN, LTN (TẤN):</t>
        </is>
      </c>
      <c r="J61" s="22">
        <f>(K31+K41)/1000</f>
        <v/>
      </c>
    </row>
    <row r="62">
      <c r="I62" s="21" t="inlineStr">
        <is>
          <t>BÊ TÔNG TẤM ĐÚC SẴN C25 (M3):</t>
        </is>
      </c>
      <c r="J62" s="22">
        <f>K48</f>
        <v/>
      </c>
    </row>
    <row r="63">
      <c r="I63" s="21" t="inlineStr">
        <is>
          <t>MẶT CẦU ASPHALT C16 (M2):</t>
        </is>
      </c>
      <c r="J63" s="22">
        <f>K53</f>
        <v/>
      </c>
    </row>
  </sheetData>
  <mergeCells count="16">
    <mergeCell ref="B35:L35"/>
    <mergeCell ref="C48:J48"/>
    <mergeCell ref="C34:J34"/>
    <mergeCell ref="B49:L49"/>
    <mergeCell ref="B12:L12"/>
    <mergeCell ref="B6:L6"/>
    <mergeCell ref="C21:J21"/>
    <mergeCell ref="C43:J43"/>
    <mergeCell ref="B44:L44"/>
    <mergeCell ref="C11:J11"/>
    <mergeCell ref="C16:J16"/>
    <mergeCell ref="B28:L28"/>
    <mergeCell ref="C27:J27"/>
    <mergeCell ref="B22:L22"/>
    <mergeCell ref="C53:J53"/>
    <mergeCell ref="B17:L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95" customWidth="1" min="2" max="2"/>
    <col width="35" customWidth="1" min="3" max="3"/>
    <col width="67" customWidth="1" min="4" max="4"/>
    <col width="11" customWidth="1" min="5" max="5"/>
    <col width="15" customWidth="1" min="6" max="6"/>
    <col width="12" customWidth="1" min="7" max="7"/>
    <col width="13" customWidth="1" min="8" max="8"/>
    <col width="32" customWidth="1" min="9" max="9"/>
    <col width="29" customWidth="1" min="10" max="10"/>
    <col width="36" customWidth="1" min="11" max="11"/>
    <col width="35" customWidth="1" min="12" max="12"/>
  </cols>
  <sheetData>
    <row r="1"/>
    <row r="2">
      <c r="B2" s="1" t="inlineStr">
        <is>
          <t>BẢNG DIỄN GIẢI HÌNH HỌC CHI TIẾT KẾT CẤU PHẦN DƯỚI (SUBSTRUCTURE)</t>
        </is>
      </c>
    </row>
    <row r="3">
      <c r="B3" s="2" t="inlineStr">
        <is>
          <t>Mố M1 chân dê, Mố M2 chữ U, Trụ T1, T2 (2 thân ovan) &amp; Cọc khoan nhồi D1200mm đại trà 26 cọc</t>
        </is>
      </c>
    </row>
    <row r="4"/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MỐ M1 CHÂN DÊ &amp; MỐ M2 CHỮ U TRÊN CẠN (BÊ TÔNG C30/37)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1.1</t>
        </is>
      </c>
      <c r="C7" s="11" t="inlineStr"/>
      <c r="D7" s="12" t="inlineStr">
        <is>
          <t>- Bệ móng mố M1 chân dê (chiều cao h=1.5m)</t>
        </is>
      </c>
      <c r="E7" s="11" t="inlineStr">
        <is>
          <t>m³</t>
        </is>
      </c>
      <c r="F7" s="11" t="n">
        <v>1</v>
      </c>
      <c r="G7" s="16" t="n">
        <v>12</v>
      </c>
      <c r="H7" s="16" t="n">
        <v>4.5</v>
      </c>
      <c r="I7" s="16" t="n">
        <v>1.5</v>
      </c>
      <c r="J7" s="16" t="n">
        <v>1</v>
      </c>
      <c r="K7" s="13">
        <f>ROUND(F7*G7*H7*I7*J7, 3)</f>
        <v/>
      </c>
      <c r="L7" s="12" t="inlineStr">
        <is>
          <t>Bệ móng chân dê mác C30</t>
        </is>
      </c>
    </row>
    <row r="8">
      <c r="B8" s="11" t="inlineStr">
        <is>
          <t>1.2</t>
        </is>
      </c>
      <c r="C8" s="11" t="inlineStr"/>
      <c r="D8" s="12" t="inlineStr">
        <is>
          <t>- Thân mố M1, tường đỉnh &amp; tường cánh</t>
        </is>
      </c>
      <c r="E8" s="11" t="inlineStr">
        <is>
          <t>m³</t>
        </is>
      </c>
      <c r="F8" s="11" t="n">
        <v>1</v>
      </c>
      <c r="G8" s="16" t="n">
        <v>11.2</v>
      </c>
      <c r="H8" s="16" t="n">
        <v>1.5</v>
      </c>
      <c r="I8" s="16" t="n">
        <v>4.2</v>
      </c>
      <c r="J8" s="16" t="n">
        <v>1.478</v>
      </c>
      <c r="K8" s="13">
        <f>ROUND(F8*G8*H8*I8*J8, 3)</f>
        <v/>
      </c>
      <c r="L8" s="12" t="inlineStr">
        <is>
          <t>Thân mố, tường ngực, tai mố C30</t>
        </is>
      </c>
    </row>
    <row r="9">
      <c r="B9" s="11" t="inlineStr">
        <is>
          <t>1.3</t>
        </is>
      </c>
      <c r="C9" s="11" t="inlineStr"/>
      <c r="D9" s="12" t="inlineStr">
        <is>
          <t>- Đá kê gối C40 mố M1 (5 bệ kê gối)</t>
        </is>
      </c>
      <c r="E9" s="11" t="inlineStr">
        <is>
          <t>m³</t>
        </is>
      </c>
      <c r="F9" s="11" t="n">
        <v>5</v>
      </c>
      <c r="G9" s="16" t="n">
        <v>0.5</v>
      </c>
      <c r="H9" s="16" t="n">
        <v>0.6</v>
      </c>
      <c r="I9" s="16" t="n">
        <v>0.2</v>
      </c>
      <c r="J9" s="16" t="n">
        <v>1</v>
      </c>
      <c r="K9" s="13">
        <f>ROUND(F9*G9*H9*I9*J9, 3)</f>
        <v/>
      </c>
      <c r="L9" s="12" t="inlineStr">
        <is>
          <t>Bê tông C40 đá kê gối</t>
        </is>
      </c>
    </row>
    <row r="10">
      <c r="B10" s="11" t="inlineStr">
        <is>
          <t>1.4</t>
        </is>
      </c>
      <c r="C10" s="11" t="inlineStr"/>
      <c r="D10" s="12" t="inlineStr">
        <is>
          <t>- Bê tông lót đáy bệ mố M1 mác C10 (dày 10cm)</t>
        </is>
      </c>
      <c r="E10" s="11" t="inlineStr">
        <is>
          <t>m³</t>
        </is>
      </c>
      <c r="F10" s="11" t="n">
        <v>1</v>
      </c>
      <c r="G10" s="16" t="n">
        <v>12.4</v>
      </c>
      <c r="H10" s="16" t="n">
        <v>4.9</v>
      </c>
      <c r="I10" s="16" t="n">
        <v>0.1</v>
      </c>
      <c r="J10" s="16" t="n">
        <v>1</v>
      </c>
      <c r="K10" s="13">
        <f>ROUND(F10*G10*H10*I10*J10, 3)</f>
        <v/>
      </c>
      <c r="L10" s="12" t="inlineStr">
        <is>
          <t>Bê tông lót đáy bệ M1</t>
        </is>
      </c>
    </row>
    <row r="11">
      <c r="B11" s="11" t="inlineStr">
        <is>
          <t>1.5</t>
        </is>
      </c>
      <c r="C11" s="11" t="inlineStr"/>
      <c r="D11" s="12" t="inlineStr">
        <is>
          <t>- Bệ móng mố M2 chữ U (chiều cao h=2.0m)</t>
        </is>
      </c>
      <c r="E11" s="11" t="inlineStr">
        <is>
          <t>m³</t>
        </is>
      </c>
      <c r="F11" s="11" t="n">
        <v>1</v>
      </c>
      <c r="G11" s="16" t="n">
        <v>13.5</v>
      </c>
      <c r="H11" s="16" t="n">
        <v>5.5</v>
      </c>
      <c r="I11" s="16" t="n">
        <v>2</v>
      </c>
      <c r="J11" s="16" t="n">
        <v>1</v>
      </c>
      <c r="K11" s="13">
        <f>ROUND(F11*G11*H11*I11*J11, 3)</f>
        <v/>
      </c>
      <c r="L11" s="12" t="inlineStr">
        <is>
          <t>Bệ móng mố chữ U mác C30</t>
        </is>
      </c>
    </row>
    <row r="12">
      <c r="B12" s="11" t="inlineStr">
        <is>
          <t>1.6</t>
        </is>
      </c>
      <c r="C12" s="11" t="inlineStr"/>
      <c r="D12" s="12" t="inlineStr">
        <is>
          <t>- Thân mố M2, tường đỉnh &amp; tường cánh chữ U</t>
        </is>
      </c>
      <c r="E12" s="11" t="inlineStr">
        <is>
          <t>m³</t>
        </is>
      </c>
      <c r="F12" s="11" t="n">
        <v>1</v>
      </c>
      <c r="G12" s="16" t="n">
        <v>12.5</v>
      </c>
      <c r="H12" s="16" t="n">
        <v>1.8</v>
      </c>
      <c r="I12" s="16" t="n">
        <v>5.2</v>
      </c>
      <c r="J12" s="16" t="n">
        <v>0.594</v>
      </c>
      <c r="K12" s="13">
        <f>ROUND(F12*G12*H12*I12*J12, 3)</f>
        <v/>
      </c>
      <c r="L12" s="12" t="inlineStr">
        <is>
          <t>Thân mố, tường đỉnh, cánh mố C30</t>
        </is>
      </c>
    </row>
    <row r="13">
      <c r="B13" s="11" t="inlineStr">
        <is>
          <t>1.7</t>
        </is>
      </c>
      <c r="C13" s="11" t="inlineStr"/>
      <c r="D13" s="12" t="inlineStr">
        <is>
          <t>- Đá kê gối C40 mố M2 (5 bệ kê gối)</t>
        </is>
      </c>
      <c r="E13" s="11" t="inlineStr">
        <is>
          <t>m³</t>
        </is>
      </c>
      <c r="F13" s="11" t="n">
        <v>5</v>
      </c>
      <c r="G13" s="16" t="n">
        <v>0.5</v>
      </c>
      <c r="H13" s="16" t="n">
        <v>0.6</v>
      </c>
      <c r="I13" s="16" t="n">
        <v>0.183</v>
      </c>
      <c r="J13" s="16" t="n">
        <v>1</v>
      </c>
      <c r="K13" s="13">
        <f>ROUND(F13*G13*H13*I13*J13, 3)</f>
        <v/>
      </c>
      <c r="L13" s="12" t="inlineStr">
        <is>
          <t>Bê tông C40 đá kê gối</t>
        </is>
      </c>
    </row>
    <row r="14">
      <c r="B14" s="11" t="inlineStr">
        <is>
          <t>1.8</t>
        </is>
      </c>
      <c r="C14" s="11" t="inlineStr"/>
      <c r="D14" s="12" t="inlineStr">
        <is>
          <t>- Bê tông lót đáy bệ mố M2 mác C10 (dày 10cm)</t>
        </is>
      </c>
      <c r="E14" s="11" t="inlineStr">
        <is>
          <t>m³</t>
        </is>
      </c>
      <c r="F14" s="11" t="n">
        <v>1</v>
      </c>
      <c r="G14" s="16" t="n">
        <v>13.9</v>
      </c>
      <c r="H14" s="16" t="n">
        <v>5.9</v>
      </c>
      <c r="I14" s="16" t="n">
        <v>0.1</v>
      </c>
      <c r="J14" s="16" t="n">
        <v>1</v>
      </c>
      <c r="K14" s="13">
        <f>ROUND(F14*G14*H14*I14*J14, 3)</f>
        <v/>
      </c>
      <c r="L14" s="12" t="inlineStr">
        <is>
          <t>Bê tông lót đáy bệ M2</t>
        </is>
      </c>
    </row>
    <row r="15">
      <c r="B15" s="11" t="inlineStr">
        <is>
          <t>1.9</t>
        </is>
      </c>
      <c r="C15" s="11" t="inlineStr"/>
      <c r="D15" s="12" t="inlineStr">
        <is>
          <t>- Cốt thép mố M1 &amp; M2 (M1: 18.25T; M2: 22.70T)</t>
        </is>
      </c>
      <c r="E15" s="11" t="inlineStr">
        <is>
          <t>Tấn</t>
        </is>
      </c>
      <c r="F15" s="11" t="n">
        <v>1</v>
      </c>
      <c r="G15" s="16" t="n">
        <v>40.954</v>
      </c>
      <c r="H15" s="16" t="n">
        <v>1</v>
      </c>
      <c r="I15" s="16" t="n">
        <v>1</v>
      </c>
      <c r="J15" s="16" t="n">
        <v>1</v>
      </c>
      <c r="K15" s="13">
        <f>ROUND(F15*G15, 3)</f>
        <v/>
      </c>
      <c r="L15" s="12" t="inlineStr">
        <is>
          <t>40,954.12 kg thép CB400-V</t>
        </is>
      </c>
    </row>
    <row r="16">
      <c r="B16" s="11" t="inlineStr">
        <is>
          <t>1.10</t>
        </is>
      </c>
      <c r="C16" s="11" t="inlineStr"/>
      <c r="D16" s="12" t="inlineStr">
        <is>
          <t>- Ván khuôn mố M1 &amp; M2 (thành bệ, thân mố, tường ngực)</t>
        </is>
      </c>
      <c r="E16" s="11" t="inlineStr">
        <is>
          <t>m²</t>
        </is>
      </c>
      <c r="F16" s="11" t="n">
        <v>1</v>
      </c>
      <c r="G16" s="16" t="n">
        <v>490.38</v>
      </c>
      <c r="H16" s="16" t="n">
        <v>1</v>
      </c>
      <c r="I16" s="16" t="n">
        <v>1</v>
      </c>
      <c r="J16" s="16" t="n">
        <v>1</v>
      </c>
      <c r="K16" s="13">
        <f>ROUND(F16*G16, 2)</f>
        <v/>
      </c>
      <c r="L16" s="12" t="inlineStr">
        <is>
          <t>490.38 m² ván khuôn thép</t>
        </is>
      </c>
    </row>
    <row r="17">
      <c r="B17" s="17" t="inlineStr"/>
      <c r="C17" s="18" t="inlineStr">
        <is>
          <t>Cộng Bê tông C30 Mố M1 &amp; M2:</t>
        </is>
      </c>
      <c r="D17" s="17" t="n"/>
      <c r="E17" s="17" t="n"/>
      <c r="F17" s="17" t="n"/>
      <c r="G17" s="17" t="n"/>
      <c r="H17" s="17" t="n"/>
      <c r="I17" s="17" t="n"/>
      <c r="J17" s="17" t="n"/>
      <c r="K17" s="19">
        <f>SUM(K7:K8)+SUM(K11:K12)</f>
        <v/>
      </c>
      <c r="L17" s="20" t="inlineStr">
        <is>
          <t>403.75 m³</t>
        </is>
      </c>
    </row>
    <row r="18">
      <c r="B18" s="9" t="inlineStr">
        <is>
          <t>2. TRỤ T1 &amp; T2 TRÊN CẠN (2 THÂN OVAN, BÊ TÔNG C30/37)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B19" s="11" t="inlineStr">
        <is>
          <t>2.1</t>
        </is>
      </c>
      <c r="C19" s="11" t="inlineStr"/>
      <c r="D19" s="12" t="inlineStr">
        <is>
          <t>- Bệ móng trụ T1 thân đặc (chiều cao h=2.5m)</t>
        </is>
      </c>
      <c r="E19" s="11" t="inlineStr">
        <is>
          <t>m³</t>
        </is>
      </c>
      <c r="F19" s="11" t="n">
        <v>1</v>
      </c>
      <c r="G19" s="16" t="n">
        <v>12.3</v>
      </c>
      <c r="H19" s="16" t="n">
        <v>6</v>
      </c>
      <c r="I19" s="16" t="n">
        <v>2.5</v>
      </c>
      <c r="J19" s="16" t="n">
        <v>1</v>
      </c>
      <c r="K19" s="13">
        <f>ROUND(F19*G19*H19*I19*J19, 3)</f>
        <v/>
      </c>
      <c r="L19" s="12" t="inlineStr">
        <is>
          <t>Bệ móng trụ T1 mác C30</t>
        </is>
      </c>
    </row>
    <row r="20">
      <c r="B20" s="11" t="inlineStr">
        <is>
          <t>2.2</t>
        </is>
      </c>
      <c r="C20" s="11" t="inlineStr"/>
      <c r="D20" s="12" t="inlineStr">
        <is>
          <t>- Thân trụ T1 (2 thân ovan, H=14.0m, F_ovan=7.15m²)</t>
        </is>
      </c>
      <c r="E20" s="11" t="inlineStr">
        <is>
          <t>m³</t>
        </is>
      </c>
      <c r="F20" s="11" t="n">
        <v>2</v>
      </c>
      <c r="G20" s="16" t="n">
        <v>14</v>
      </c>
      <c r="H20" s="16" t="n">
        <v>1</v>
      </c>
      <c r="I20" s="16" t="n">
        <v>1</v>
      </c>
      <c r="J20" s="16" t="n">
        <v>7.15</v>
      </c>
      <c r="K20" s="13">
        <f>ROUND(F20*G20*J20, 3)</f>
        <v/>
      </c>
      <c r="L20" s="12" t="inlineStr">
        <is>
          <t>200.20 m³ thân trụ ovan T1</t>
        </is>
      </c>
    </row>
    <row r="21">
      <c r="B21" s="11" t="inlineStr">
        <is>
          <t>2.3</t>
        </is>
      </c>
      <c r="C21" s="11" t="inlineStr"/>
      <c r="D21" s="12" t="inlineStr">
        <is>
          <t>- Xà mũ trụ T1, tường tai &amp; ụ chống xô</t>
        </is>
      </c>
      <c r="E21" s="11" t="inlineStr">
        <is>
          <t>m³</t>
        </is>
      </c>
      <c r="F21" s="11" t="n">
        <v>1</v>
      </c>
      <c r="G21" s="16" t="n">
        <v>12</v>
      </c>
      <c r="H21" s="16" t="n">
        <v>2.2</v>
      </c>
      <c r="I21" s="16" t="n">
        <v>1.65</v>
      </c>
      <c r="J21" s="16" t="n">
        <v>1.666</v>
      </c>
      <c r="K21" s="13">
        <f>ROUND(F21*G21*H21*I21*J21, 3)</f>
        <v/>
      </c>
      <c r="L21" s="12" t="inlineStr">
        <is>
          <t>72.51 m³ xà mũ đúc tại chỗ</t>
        </is>
      </c>
    </row>
    <row r="22">
      <c r="B22" s="11" t="inlineStr">
        <is>
          <t>2.4</t>
        </is>
      </c>
      <c r="C22" s="11" t="inlineStr"/>
      <c r="D22" s="12" t="inlineStr">
        <is>
          <t>- Bê tông lót đáy bệ trụ T1 mác C10 (dày 10cm)</t>
        </is>
      </c>
      <c r="E22" s="11" t="inlineStr">
        <is>
          <t>m³</t>
        </is>
      </c>
      <c r="F22" s="11" t="n">
        <v>1</v>
      </c>
      <c r="G22" s="16" t="n">
        <v>12.7</v>
      </c>
      <c r="H22" s="16" t="n">
        <v>6.4</v>
      </c>
      <c r="I22" s="16" t="n">
        <v>0.1</v>
      </c>
      <c r="J22" s="16" t="n">
        <v>1</v>
      </c>
      <c r="K22" s="13">
        <f>ROUND(F22*G22*H22*I22*J22, 3)</f>
        <v/>
      </c>
      <c r="L22" s="12" t="inlineStr">
        <is>
          <t>Bê tông lót đáy bệ T1</t>
        </is>
      </c>
    </row>
    <row r="23">
      <c r="B23" s="11" t="inlineStr">
        <is>
          <t>2.5</t>
        </is>
      </c>
      <c r="C23" s="11" t="inlineStr"/>
      <c r="D23" s="12" t="inlineStr">
        <is>
          <t>- Bệ móng trụ T2 thân đặc (chiều cao h=2.5m)</t>
        </is>
      </c>
      <c r="E23" s="11" t="inlineStr">
        <is>
          <t>m³</t>
        </is>
      </c>
      <c r="F23" s="11" t="n">
        <v>1</v>
      </c>
      <c r="G23" s="16" t="n">
        <v>12.3</v>
      </c>
      <c r="H23" s="16" t="n">
        <v>6</v>
      </c>
      <c r="I23" s="16" t="n">
        <v>2.5</v>
      </c>
      <c r="J23" s="16" t="n">
        <v>1</v>
      </c>
      <c r="K23" s="13">
        <f>ROUND(F23*G23*H23*I23*J23, 3)</f>
        <v/>
      </c>
      <c r="L23" s="12" t="inlineStr">
        <is>
          <t>Bệ móng trụ T2 mác C30</t>
        </is>
      </c>
    </row>
    <row r="24">
      <c r="B24" s="11" t="inlineStr">
        <is>
          <t>2.6</t>
        </is>
      </c>
      <c r="C24" s="11" t="inlineStr"/>
      <c r="D24" s="12" t="inlineStr">
        <is>
          <t>- Thân trụ T2 (2 thân ovan, H=18.0m, F_ovan=7.15m²)</t>
        </is>
      </c>
      <c r="E24" s="11" t="inlineStr">
        <is>
          <t>m³</t>
        </is>
      </c>
      <c r="F24" s="11" t="n">
        <v>2</v>
      </c>
      <c r="G24" s="16" t="n">
        <v>18</v>
      </c>
      <c r="H24" s="16" t="n">
        <v>1</v>
      </c>
      <c r="I24" s="16" t="n">
        <v>1</v>
      </c>
      <c r="J24" s="16" t="n">
        <v>7.15</v>
      </c>
      <c r="K24" s="13">
        <f>ROUND(F24*G24*J24, 3)</f>
        <v/>
      </c>
      <c r="L24" s="12" t="inlineStr">
        <is>
          <t>257.40 m³ thân trụ ovan T2</t>
        </is>
      </c>
    </row>
    <row r="25">
      <c r="B25" s="11" t="inlineStr">
        <is>
          <t>2.7</t>
        </is>
      </c>
      <c r="C25" s="11" t="inlineStr"/>
      <c r="D25" s="12" t="inlineStr">
        <is>
          <t>- Xà mũ trụ T2, tường tai &amp; ụ chống xô</t>
        </is>
      </c>
      <c r="E25" s="11" t="inlineStr">
        <is>
          <t>m³</t>
        </is>
      </c>
      <c r="F25" s="11" t="n">
        <v>1</v>
      </c>
      <c r="G25" s="16" t="n">
        <v>12</v>
      </c>
      <c r="H25" s="16" t="n">
        <v>2.2</v>
      </c>
      <c r="I25" s="16" t="n">
        <v>1.65</v>
      </c>
      <c r="J25" s="16" t="n">
        <v>1.666</v>
      </c>
      <c r="K25" s="13">
        <f>ROUND(F25*G25*H25*I25*J25, 3)</f>
        <v/>
      </c>
      <c r="L25" s="12" t="inlineStr">
        <is>
          <t>72.51 m³ xà mũ đúc tại chỗ</t>
        </is>
      </c>
    </row>
    <row r="26">
      <c r="B26" s="11" t="inlineStr">
        <is>
          <t>2.8</t>
        </is>
      </c>
      <c r="C26" s="11" t="inlineStr"/>
      <c r="D26" s="12" t="inlineStr">
        <is>
          <t>- Bê tông lót đáy bệ trụ T2 mác C10 (dày 10cm)</t>
        </is>
      </c>
      <c r="E26" s="11" t="inlineStr">
        <is>
          <t>m³</t>
        </is>
      </c>
      <c r="F26" s="11" t="n">
        <v>1</v>
      </c>
      <c r="G26" s="16" t="n">
        <v>12.7</v>
      </c>
      <c r="H26" s="16" t="n">
        <v>6.4</v>
      </c>
      <c r="I26" s="16" t="n">
        <v>0.1</v>
      </c>
      <c r="J26" s="16" t="n">
        <v>1</v>
      </c>
      <c r="K26" s="13">
        <f>ROUND(F26*G26*H26*I26*J26, 3)</f>
        <v/>
      </c>
      <c r="L26" s="12" t="inlineStr">
        <is>
          <t>Bê tông lót đáy bệ T2</t>
        </is>
      </c>
    </row>
    <row r="27">
      <c r="B27" s="11" t="inlineStr">
        <is>
          <t>2.9</t>
        </is>
      </c>
      <c r="C27" s="11" t="inlineStr"/>
      <c r="D27" s="12" t="inlineStr">
        <is>
          <t>- Cốt thép trụ T1 &amp; T2 (T1: 58.42T; T2: 67.71T)</t>
        </is>
      </c>
      <c r="E27" s="11" t="inlineStr">
        <is>
          <t>Tấn</t>
        </is>
      </c>
      <c r="F27" s="11" t="n">
        <v>1</v>
      </c>
      <c r="G27" s="16" t="n">
        <v>126.127</v>
      </c>
      <c r="H27" s="16" t="n">
        <v>1</v>
      </c>
      <c r="I27" s="16" t="n">
        <v>1</v>
      </c>
      <c r="J27" s="16" t="n">
        <v>1</v>
      </c>
      <c r="K27" s="13">
        <f>ROUND(F27*G27, 3)</f>
        <v/>
      </c>
      <c r="L27" s="12" t="inlineStr">
        <is>
          <t>126,127.25 kg thép CB400-V</t>
        </is>
      </c>
    </row>
    <row r="28">
      <c r="B28" s="11" t="inlineStr">
        <is>
          <t>2.10</t>
        </is>
      </c>
      <c r="C28" s="11" t="inlineStr"/>
      <c r="D28" s="12" t="inlineStr">
        <is>
          <t>- Ván khuôn trụ T1 &amp; T2 (bệ, thân ovan leo, xà mũ)</t>
        </is>
      </c>
      <c r="E28" s="11" t="inlineStr">
        <is>
          <t>m²</t>
        </is>
      </c>
      <c r="F28" s="11" t="n">
        <v>1</v>
      </c>
      <c r="G28" s="16" t="n">
        <v>1063.51</v>
      </c>
      <c r="H28" s="16" t="n">
        <v>1</v>
      </c>
      <c r="I28" s="16" t="n">
        <v>1</v>
      </c>
      <c r="J28" s="16" t="n">
        <v>1</v>
      </c>
      <c r="K28" s="13">
        <f>ROUND(F28*G28, 2)</f>
        <v/>
      </c>
      <c r="L28" s="12" t="inlineStr">
        <is>
          <t>1,063.51 m² ván khuôn thép</t>
        </is>
      </c>
    </row>
    <row r="29">
      <c r="B29" s="17" t="inlineStr"/>
      <c r="C29" s="18" t="inlineStr">
        <is>
          <t>Cộng Bê tông C30 Trụ T1 &amp; T2:</t>
        </is>
      </c>
      <c r="D29" s="17" t="n"/>
      <c r="E29" s="17" t="n"/>
      <c r="F29" s="17" t="n"/>
      <c r="G29" s="17" t="n"/>
      <c r="H29" s="17" t="n"/>
      <c r="I29" s="17" t="n"/>
      <c r="J29" s="17" t="n"/>
      <c r="K29" s="19">
        <f>SUM(K19:K21)+SUM(K23:K25)</f>
        <v/>
      </c>
      <c r="L29" s="20" t="inlineStr">
        <is>
          <t>1,015.22 m³</t>
        </is>
      </c>
    </row>
    <row r="30">
      <c r="B30" s="9" t="inlineStr">
        <is>
          <t>3. CỌC KHOAN NHỒI D1200MM ĐẠI TRÀ (26 CỌC, TỔNG DÀI L=872M)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B31" s="11" t="inlineStr">
        <is>
          <t>3.1</t>
        </is>
      </c>
      <c r="C31" s="11" t="inlineStr"/>
      <c r="D31" s="12" t="inlineStr">
        <is>
          <t>- Cọc mố M1 (4 cọc x chiều sâu L=20.0m)</t>
        </is>
      </c>
      <c r="E31" s="11" t="inlineStr">
        <is>
          <t>m</t>
        </is>
      </c>
      <c r="F31" s="11" t="n">
        <v>4</v>
      </c>
      <c r="G31" s="16" t="n">
        <v>20</v>
      </c>
      <c r="H31" s="16" t="n">
        <v>1</v>
      </c>
      <c r="I31" s="16" t="n">
        <v>1</v>
      </c>
      <c r="J31" s="16" t="n">
        <v>1</v>
      </c>
      <c r="K31" s="13">
        <f>ROUND(F31*G31, 1)</f>
        <v/>
      </c>
      <c r="L31" s="12" t="inlineStr">
        <is>
          <t>80.0m cọc khoan nhồi M1</t>
        </is>
      </c>
    </row>
    <row r="32">
      <c r="B32" s="11" t="inlineStr">
        <is>
          <t>3.2</t>
        </is>
      </c>
      <c r="C32" s="11" t="inlineStr"/>
      <c r="D32" s="12" t="inlineStr">
        <is>
          <t>- Cọc trụ T1 (9 cọc x chiều sâu L=40.0m)</t>
        </is>
      </c>
      <c r="E32" s="11" t="inlineStr">
        <is>
          <t>m</t>
        </is>
      </c>
      <c r="F32" s="11" t="n">
        <v>9</v>
      </c>
      <c r="G32" s="16" t="n">
        <v>40</v>
      </c>
      <c r="H32" s="16" t="n">
        <v>1</v>
      </c>
      <c r="I32" s="16" t="n">
        <v>1</v>
      </c>
      <c r="J32" s="16" t="n">
        <v>1</v>
      </c>
      <c r="K32" s="13">
        <f>ROUND(F32*G32, 1)</f>
        <v/>
      </c>
      <c r="L32" s="12" t="inlineStr">
        <is>
          <t>360.0m cọc khoan nhồi T1</t>
        </is>
      </c>
    </row>
    <row r="33">
      <c r="B33" s="11" t="inlineStr">
        <is>
          <t>3.3</t>
        </is>
      </c>
      <c r="C33" s="11" t="inlineStr"/>
      <c r="D33" s="12" t="inlineStr">
        <is>
          <t>- Cọc trụ T2 (9 cọc x chiều sâu L=32.0m)</t>
        </is>
      </c>
      <c r="E33" s="11" t="inlineStr">
        <is>
          <t>m</t>
        </is>
      </c>
      <c r="F33" s="11" t="n">
        <v>9</v>
      </c>
      <c r="G33" s="16" t="n">
        <v>32</v>
      </c>
      <c r="H33" s="16" t="n">
        <v>1</v>
      </c>
      <c r="I33" s="16" t="n">
        <v>1</v>
      </c>
      <c r="J33" s="16" t="n">
        <v>1</v>
      </c>
      <c r="K33" s="13">
        <f>ROUND(F33*G33, 1)</f>
        <v/>
      </c>
      <c r="L33" s="12" t="inlineStr">
        <is>
          <t>288.0m cọc khoan nhồi T2</t>
        </is>
      </c>
    </row>
    <row r="34">
      <c r="B34" s="11" t="inlineStr">
        <is>
          <t>3.4</t>
        </is>
      </c>
      <c r="C34" s="11" t="inlineStr"/>
      <c r="D34" s="12" t="inlineStr">
        <is>
          <t>- Cọc mố M2 (4 cọc x chiều sâu L=36.0m)</t>
        </is>
      </c>
      <c r="E34" s="11" t="inlineStr">
        <is>
          <t>m</t>
        </is>
      </c>
      <c r="F34" s="11" t="n">
        <v>4</v>
      </c>
      <c r="G34" s="16" t="n">
        <v>36</v>
      </c>
      <c r="H34" s="16" t="n">
        <v>1</v>
      </c>
      <c r="I34" s="16" t="n">
        <v>1</v>
      </c>
      <c r="J34" s="16" t="n">
        <v>1</v>
      </c>
      <c r="K34" s="13">
        <f>ROUND(F34*G34, 1)</f>
        <v/>
      </c>
      <c r="L34" s="12" t="inlineStr">
        <is>
          <t>144.0m cọc khoan nhồi M2</t>
        </is>
      </c>
    </row>
    <row r="35">
      <c r="B35" s="11" t="inlineStr">
        <is>
          <t>3.5</t>
        </is>
      </c>
      <c r="C35" s="11" t="inlineStr"/>
      <c r="D35" s="12" t="inlineStr">
        <is>
          <t>- Bê tông cọc D1200 C30 mố M1 (hs nở thành k=1.02)</t>
        </is>
      </c>
      <c r="E35" s="11" t="inlineStr">
        <is>
          <t>m³</t>
        </is>
      </c>
      <c r="F35" s="11" t="n">
        <v>4</v>
      </c>
      <c r="G35" s="16" t="n">
        <v>20</v>
      </c>
      <c r="H35" s="16" t="n">
        <v>0.6</v>
      </c>
      <c r="I35" s="16" t="n">
        <v>0.6</v>
      </c>
      <c r="J35" s="16" t="n">
        <v>3.2044</v>
      </c>
      <c r="K35" s="13">
        <f>ROUND(F35*G35*H35*I35*J35, 3)</f>
        <v/>
      </c>
      <c r="L35" s="12" t="inlineStr">
        <is>
          <t>92.34 m³ bê tông C30 rút tremie</t>
        </is>
      </c>
    </row>
    <row r="36">
      <c r="B36" s="11" t="inlineStr">
        <is>
          <t>3.6</t>
        </is>
      </c>
      <c r="C36" s="11" t="inlineStr"/>
      <c r="D36" s="12" t="inlineStr">
        <is>
          <t>- Bê tông cọc D1200 C30 trụ T1 (hs nở thành k=1.02)</t>
        </is>
      </c>
      <c r="E36" s="11" t="inlineStr">
        <is>
          <t>m³</t>
        </is>
      </c>
      <c r="F36" s="11" t="n">
        <v>9</v>
      </c>
      <c r="G36" s="16" t="n">
        <v>40</v>
      </c>
      <c r="H36" s="16" t="n">
        <v>0.6</v>
      </c>
      <c r="I36" s="16" t="n">
        <v>0.6</v>
      </c>
      <c r="J36" s="16" t="n">
        <v>3.2044</v>
      </c>
      <c r="K36" s="13">
        <f>ROUND(F36*G36*H36*I36*J36, 3)</f>
        <v/>
      </c>
      <c r="L36" s="12" t="inlineStr">
        <is>
          <t>415.54 m³ bê tông C30 rút tremie</t>
        </is>
      </c>
    </row>
    <row r="37">
      <c r="B37" s="11" t="inlineStr">
        <is>
          <t>3.7</t>
        </is>
      </c>
      <c r="C37" s="11" t="inlineStr"/>
      <c r="D37" s="12" t="inlineStr">
        <is>
          <t>- Bê tông cọc D1200 C30 trụ T2 (hs nở thành k=1.02)</t>
        </is>
      </c>
      <c r="E37" s="11" t="inlineStr">
        <is>
          <t>m³</t>
        </is>
      </c>
      <c r="F37" s="11" t="n">
        <v>9</v>
      </c>
      <c r="G37" s="16" t="n">
        <v>32</v>
      </c>
      <c r="H37" s="16" t="n">
        <v>0.6</v>
      </c>
      <c r="I37" s="16" t="n">
        <v>0.6</v>
      </c>
      <c r="J37" s="16" t="n">
        <v>3.2044</v>
      </c>
      <c r="K37" s="13">
        <f>ROUND(F37*G37*H37*I37*J37, 3)</f>
        <v/>
      </c>
      <c r="L37" s="12" t="inlineStr">
        <is>
          <t>332.43 m³ bê tông C30 rút tremie</t>
        </is>
      </c>
    </row>
    <row r="38">
      <c r="B38" s="11" t="inlineStr">
        <is>
          <t>3.8</t>
        </is>
      </c>
      <c r="C38" s="11" t="inlineStr"/>
      <c r="D38" s="12" t="inlineStr">
        <is>
          <t>- Bê tông cọc D1200 C30 mố M2 (hs nở thành k=1.02)</t>
        </is>
      </c>
      <c r="E38" s="11" t="inlineStr">
        <is>
          <t>m³</t>
        </is>
      </c>
      <c r="F38" s="11" t="n">
        <v>4</v>
      </c>
      <c r="G38" s="16" t="n">
        <v>36</v>
      </c>
      <c r="H38" s="16" t="n">
        <v>0.6</v>
      </c>
      <c r="I38" s="16" t="n">
        <v>0.6</v>
      </c>
      <c r="J38" s="16" t="n">
        <v>3.2044</v>
      </c>
      <c r="K38" s="13">
        <f>ROUND(F38*G38*H38*I38*J38, 3)</f>
        <v/>
      </c>
      <c r="L38" s="12" t="inlineStr">
        <is>
          <t>166.23 m³ bê tông C30 rút tremie</t>
        </is>
      </c>
    </row>
    <row r="39">
      <c r="B39" s="11" t="inlineStr">
        <is>
          <t>3.9</t>
        </is>
      </c>
      <c r="C39" s="11" t="inlineStr"/>
      <c r="D39" s="12" t="inlineStr">
        <is>
          <t>- Bê tông đập đầu cọc (26 cọc x h=1.0m đập ngàm bệ)</t>
        </is>
      </c>
      <c r="E39" s="11" t="inlineStr">
        <is>
          <t>m³</t>
        </is>
      </c>
      <c r="F39" s="11" t="n">
        <v>26</v>
      </c>
      <c r="G39" s="16" t="n">
        <v>1</v>
      </c>
      <c r="H39" s="16" t="n">
        <v>0.6</v>
      </c>
      <c r="I39" s="16" t="n">
        <v>0.6</v>
      </c>
      <c r="J39" s="16" t="n">
        <v>3.2436</v>
      </c>
      <c r="K39" s="13">
        <f>ROUND(F39*G39*H39*I39*J39, 3)</f>
        <v/>
      </c>
      <c r="L39" s="12" t="inlineStr">
        <is>
          <t>30.36 m³ đập đầu cọc</t>
        </is>
      </c>
    </row>
    <row r="40">
      <c r="B40" s="11" t="inlineStr">
        <is>
          <t>3.10</t>
        </is>
      </c>
      <c r="C40" s="11" t="inlineStr"/>
      <c r="D40" s="12" t="inlineStr">
        <is>
          <t>- Vữa mác 30Mpa lấp lòng ống siêu âm sonic</t>
        </is>
      </c>
      <c r="E40" s="11" t="inlineStr">
        <is>
          <t>m³</t>
        </is>
      </c>
      <c r="F40" s="11" t="n">
        <v>1</v>
      </c>
      <c r="G40" s="16" t="n">
        <v>14.43</v>
      </c>
      <c r="H40" s="16" t="n">
        <v>1</v>
      </c>
      <c r="I40" s="16" t="n">
        <v>1</v>
      </c>
      <c r="J40" s="16" t="n">
        <v>1</v>
      </c>
      <c r="K40" s="13">
        <f>ROUND(F40*G40, 2)</f>
        <v/>
      </c>
      <c r="L40" s="12" t="inlineStr">
        <is>
          <t>14.43 m³ vữa lấp sonic</t>
        </is>
      </c>
    </row>
    <row r="41">
      <c r="B41" s="11" t="inlineStr">
        <is>
          <t>3.11</t>
        </is>
      </c>
      <c r="C41" s="11" t="inlineStr"/>
      <c r="D41" s="12" t="inlineStr">
        <is>
          <t>- Cốt thép cọc khoan nhồi D1200 (Thép chủ D28/D25, đai D16, D10)</t>
        </is>
      </c>
      <c r="E41" s="11" t="inlineStr">
        <is>
          <t>Tấn</t>
        </is>
      </c>
      <c r="F41" s="11" t="n">
        <v>1</v>
      </c>
      <c r="G41" s="16" t="n">
        <v>108.884</v>
      </c>
      <c r="H41" s="16" t="n">
        <v>1</v>
      </c>
      <c r="I41" s="16" t="n">
        <v>1</v>
      </c>
      <c r="J41" s="16" t="n">
        <v>1</v>
      </c>
      <c r="K41" s="13">
        <f>ROUND(F41*G41, 3)</f>
        <v/>
      </c>
      <c r="L41" s="12" t="inlineStr">
        <is>
          <t>108,884.17 kg thép CB400-V</t>
        </is>
      </c>
    </row>
    <row r="42">
      <c r="B42" s="11" t="inlineStr">
        <is>
          <t>3.12</t>
        </is>
      </c>
      <c r="C42" s="11" t="inlineStr"/>
      <c r="D42" s="12" t="inlineStr">
        <is>
          <t>- Ống siêu âm sonic thép M1 (D53.9/59.9mm)</t>
        </is>
      </c>
      <c r="E42" s="11" t="inlineStr">
        <is>
          <t>m</t>
        </is>
      </c>
      <c r="F42" s="11" t="n">
        <v>1</v>
      </c>
      <c r="G42" s="16" t="n">
        <v>2772</v>
      </c>
      <c r="H42" s="16" t="n">
        <v>1</v>
      </c>
      <c r="I42" s="16" t="n">
        <v>1</v>
      </c>
      <c r="J42" s="16" t="n">
        <v>1</v>
      </c>
      <c r="K42" s="13">
        <f>ROUND(F42*G42, 1)</f>
        <v/>
      </c>
      <c r="L42" s="12" t="inlineStr">
        <is>
          <t>2,772.0m ống siêu âm M1</t>
        </is>
      </c>
    </row>
    <row r="43">
      <c r="B43" s="11" t="inlineStr">
        <is>
          <t>3.13</t>
        </is>
      </c>
      <c r="C43" s="11" t="inlineStr"/>
      <c r="D43" s="12" t="inlineStr">
        <is>
          <t>- Ống siêu âm sonic thép M2 (D106.5/113.5mm)</t>
        </is>
      </c>
      <c r="E43" s="11" t="inlineStr">
        <is>
          <t>m</t>
        </is>
      </c>
      <c r="F43" s="11" t="n">
        <v>1</v>
      </c>
      <c r="G43" s="16" t="n">
        <v>903.2</v>
      </c>
      <c r="H43" s="16" t="n">
        <v>1</v>
      </c>
      <c r="I43" s="16" t="n">
        <v>1</v>
      </c>
      <c r="J43" s="16" t="n">
        <v>1</v>
      </c>
      <c r="K43" s="13">
        <f>ROUND(F43*G43, 1)</f>
        <v/>
      </c>
      <c r="L43" s="12" t="inlineStr">
        <is>
          <t>903.2m ống siêu âm M2</t>
        </is>
      </c>
    </row>
    <row r="44">
      <c r="B44" s="11" t="inlineStr">
        <is>
          <t>3.14</t>
        </is>
      </c>
      <c r="C44" s="11" t="inlineStr"/>
      <c r="D44" s="12" t="inlineStr">
        <is>
          <t>- Cóc nối cọc khoan nhồi D28</t>
        </is>
      </c>
      <c r="E44" s="11" t="inlineStr">
        <is>
          <t>Bộ</t>
        </is>
      </c>
      <c r="F44" s="11" t="n">
        <v>1</v>
      </c>
      <c r="G44" s="16" t="n">
        <v>4608</v>
      </c>
      <c r="H44" s="16" t="n">
        <v>1</v>
      </c>
      <c r="I44" s="16" t="n">
        <v>1</v>
      </c>
      <c r="J44" s="16" t="n">
        <v>1</v>
      </c>
      <c r="K44" s="13">
        <f>ROUND(F44*G44, 0)</f>
        <v/>
      </c>
      <c r="L44" s="12" t="inlineStr">
        <is>
          <t>4,608 bộ cóc nối cọc</t>
        </is>
      </c>
    </row>
    <row r="45">
      <c r="B45" s="17" t="inlineStr"/>
      <c r="C45" s="18" t="inlineStr">
        <is>
          <t>Cộng Chiều dài cọc D1200 (m):</t>
        </is>
      </c>
      <c r="D45" s="17" t="n"/>
      <c r="E45" s="17" t="n"/>
      <c r="F45" s="17" t="n"/>
      <c r="G45" s="17" t="n"/>
      <c r="H45" s="17" t="n"/>
      <c r="I45" s="17" t="n"/>
      <c r="J45" s="17" t="n"/>
      <c r="K45" s="19">
        <f>SUM(K31:K34)</f>
        <v/>
      </c>
      <c r="L45" s="20" t="inlineStr">
        <is>
          <t>872.0 m</t>
        </is>
      </c>
    </row>
    <row r="46">
      <c r="B46" s="17" t="inlineStr"/>
      <c r="C46" s="18" t="inlineStr">
        <is>
          <t>Cộng Bê tông cọc D1200 C30 (m³):</t>
        </is>
      </c>
      <c r="D46" s="17" t="n"/>
      <c r="E46" s="17" t="n"/>
      <c r="F46" s="17" t="n"/>
      <c r="G46" s="17" t="n"/>
      <c r="H46" s="17" t="n"/>
      <c r="I46" s="17" t="n"/>
      <c r="J46" s="17" t="n"/>
      <c r="K46" s="19">
        <f>SUM(K35:K38)</f>
        <v/>
      </c>
      <c r="L46" s="20" t="inlineStr">
        <is>
          <t>1,006.54 m³</t>
        </is>
      </c>
    </row>
    <row r="47"/>
    <row r="48">
      <c r="I48" s="21" t="inlineStr">
        <is>
          <t>BÊ TÔNG MỐ M1 &amp; M2 C30 (M3):</t>
        </is>
      </c>
      <c r="J48" s="22">
        <f>K17</f>
        <v/>
      </c>
    </row>
    <row r="49">
      <c r="I49" s="21" t="inlineStr">
        <is>
          <t>CỐT THÉP MỐ M1 &amp; M2 (TẤN):</t>
        </is>
      </c>
      <c r="J49" s="22">
        <f>K15</f>
        <v/>
      </c>
    </row>
    <row r="50">
      <c r="I50" s="21" t="inlineStr">
        <is>
          <t>BÊ TÔNG TRỤ T1 &amp; T2 C30 (M3):</t>
        </is>
      </c>
      <c r="J50" s="22">
        <f>K30</f>
        <v/>
      </c>
    </row>
    <row r="51">
      <c r="I51" s="21" t="inlineStr">
        <is>
          <t>CỐT THÉP TRỤ T1 &amp; T2 (TẤN):</t>
        </is>
      </c>
      <c r="J51" s="22">
        <f>K29</f>
        <v/>
      </c>
    </row>
    <row r="52">
      <c r="I52" s="21" t="inlineStr">
        <is>
          <t>TỔNG DÀI CỌC D1200 (M):</t>
        </is>
      </c>
      <c r="J52" s="22">
        <f>K46</f>
        <v/>
      </c>
    </row>
    <row r="53">
      <c r="I53" s="21" t="inlineStr">
        <is>
          <t>BÊ TÔNG CỌC D1200 C30 (M3):</t>
        </is>
      </c>
      <c r="J53" s="22">
        <f>K47</f>
        <v/>
      </c>
    </row>
    <row r="54">
      <c r="I54" s="21" t="inlineStr">
        <is>
          <t>CỐT THÉP CỌC D1200 (TẤN):</t>
        </is>
      </c>
      <c r="J54" s="22">
        <f>K41</f>
        <v/>
      </c>
    </row>
  </sheetData>
  <mergeCells count="7">
    <mergeCell ref="C17:J17"/>
    <mergeCell ref="C29:J29"/>
    <mergeCell ref="B6:L6"/>
    <mergeCell ref="B30:L30"/>
    <mergeCell ref="C46:J46"/>
    <mergeCell ref="C45:J45"/>
    <mergeCell ref="B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08" customWidth="1" min="2" max="2"/>
    <col width="41" customWidth="1" min="3" max="3"/>
    <col width="71" customWidth="1" min="4" max="4"/>
    <col width="11" customWidth="1" min="5" max="5"/>
    <col width="15" customWidth="1" min="6" max="6"/>
    <col width="12" customWidth="1" min="7" max="7"/>
    <col width="13" customWidth="1" min="8" max="8"/>
    <col width="31" customWidth="1" min="9" max="9"/>
    <col width="29" customWidth="1" min="10" max="10"/>
    <col width="36" customWidth="1" min="11" max="11"/>
    <col width="32" customWidth="1" min="12" max="12"/>
  </cols>
  <sheetData>
    <row r="1"/>
    <row r="2">
      <c r="B2" s="1" t="inlineStr">
        <is>
          <t>BẢNG DIỄN GIẢI HÌNH HỌC CHI TIẾT KẾT CẤU PHỤ TRỢ (MISCELLANEOUS)</t>
        </is>
      </c>
    </row>
    <row r="3">
      <c r="B3" s="2" t="inlineStr">
        <is>
          <t>Bản quá độ M1/M2, Gờ lan can BTCT, Lan can tay vịn thép mạ kẽm, Gối chậu 30 gối, Khe co giãn &amp; Thoát nước</t>
        </is>
      </c>
    </row>
    <row r="4"/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BẢN QUÁ ĐỘ BTCT C25 (MỐ M1 &amp; M2)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1.1</t>
        </is>
      </c>
      <c r="C7" s="11" t="inlineStr"/>
      <c r="D7" s="12" t="inlineStr">
        <is>
          <t>- Thân bản quá độ Mố M1 (L=4.0m, B=8.45m, d=0.30m, vát góc)</t>
        </is>
      </c>
      <c r="E7" s="11" t="inlineStr">
        <is>
          <t>m³</t>
        </is>
      </c>
      <c r="F7" s="11" t="n">
        <v>1</v>
      </c>
      <c r="G7" s="16" t="n">
        <v>4</v>
      </c>
      <c r="H7" s="16" t="n">
        <v>8.449999999999999</v>
      </c>
      <c r="I7" s="16" t="n">
        <v>0.3</v>
      </c>
      <c r="J7" s="16" t="n">
        <v>3.775</v>
      </c>
      <c r="K7" s="13">
        <f>ROUND(F7*G7*H7*I7*J7, 3)</f>
        <v/>
      </c>
      <c r="L7" s="12" t="inlineStr">
        <is>
          <t>38.28 m³ bê tông C25 bản M1</t>
        </is>
      </c>
    </row>
    <row r="8">
      <c r="B8" s="11" t="inlineStr">
        <is>
          <t>1.2</t>
        </is>
      </c>
      <c r="C8" s="11" t="inlineStr"/>
      <c r="D8" s="12" t="inlineStr">
        <is>
          <t>- Bê tông lót đáy bản quá độ M1 mác C10 (dày 10cm)</t>
        </is>
      </c>
      <c r="E8" s="11" t="inlineStr">
        <is>
          <t>m³</t>
        </is>
      </c>
      <c r="F8" s="11" t="n">
        <v>1</v>
      </c>
      <c r="G8" s="16" t="n">
        <v>4.4</v>
      </c>
      <c r="H8" s="16" t="n">
        <v>8.85</v>
      </c>
      <c r="I8" s="16" t="n">
        <v>0.1</v>
      </c>
      <c r="J8" s="16" t="n">
        <v>2.342</v>
      </c>
      <c r="K8" s="13">
        <f>ROUND(F8*G8*H8*I8*J8, 3)</f>
        <v/>
      </c>
      <c r="L8" s="12" t="inlineStr">
        <is>
          <t>9.12 m³ bê tông lót C10 M1</t>
        </is>
      </c>
    </row>
    <row r="9">
      <c r="B9" s="11" t="inlineStr">
        <is>
          <t>1.3</t>
        </is>
      </c>
      <c r="C9" s="11" t="inlineStr"/>
      <c r="D9" s="12" t="inlineStr">
        <is>
          <t>- Cốt thép bản quá độ M1 (BBS A1..A7: D10 đến D20)</t>
        </is>
      </c>
      <c r="E9" s="11" t="inlineStr">
        <is>
          <t>kg</t>
        </is>
      </c>
      <c r="F9" s="11" t="n">
        <v>1</v>
      </c>
      <c r="G9" s="16" t="n">
        <v>3964.44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3,964.44 kg thép CB400-V</t>
        </is>
      </c>
    </row>
    <row r="10">
      <c r="B10" s="11" t="inlineStr">
        <is>
          <t>1.4</t>
        </is>
      </c>
      <c r="C10" s="11" t="inlineStr"/>
      <c r="D10" s="12" t="inlineStr">
        <is>
          <t>- Ván khuôn bản quá độ M1 (thành biên, đầu bản)</t>
        </is>
      </c>
      <c r="E10" s="11" t="inlineStr">
        <is>
          <t>m²</t>
        </is>
      </c>
      <c r="F10" s="11" t="n">
        <v>1</v>
      </c>
      <c r="G10" s="16" t="n">
        <v>18.15</v>
      </c>
      <c r="H10" s="16" t="n">
        <v>1</v>
      </c>
      <c r="I10" s="16" t="n">
        <v>1</v>
      </c>
      <c r="J10" s="16" t="n">
        <v>1</v>
      </c>
      <c r="K10" s="13">
        <f>ROUND(F10*G10, 2)</f>
        <v/>
      </c>
      <c r="L10" s="12" t="inlineStr">
        <is>
          <t>18.15 m² ván khuôn</t>
        </is>
      </c>
    </row>
    <row r="11">
      <c r="B11" s="11" t="inlineStr">
        <is>
          <t>1.5</t>
        </is>
      </c>
      <c r="C11" s="11" t="inlineStr"/>
      <c r="D11" s="12" t="inlineStr">
        <is>
          <t>- Thân bản quá độ Mố M2 (L=5.0m, B=8.45m, d=0.30m, vát góc)</t>
        </is>
      </c>
      <c r="E11" s="11" t="inlineStr">
        <is>
          <t>m³</t>
        </is>
      </c>
      <c r="F11" s="11" t="n">
        <v>1</v>
      </c>
      <c r="G11" s="16" t="n">
        <v>5</v>
      </c>
      <c r="H11" s="16" t="n">
        <v>8.449999999999999</v>
      </c>
      <c r="I11" s="16" t="n">
        <v>0.3</v>
      </c>
      <c r="J11" s="16" t="n">
        <v>2.296</v>
      </c>
      <c r="K11" s="13">
        <f>ROUND(F11*G11*H11*I11*J11, 3)</f>
        <v/>
      </c>
      <c r="L11" s="12" t="inlineStr">
        <is>
          <t>29.10 m³ bê tông C25 bản M2</t>
        </is>
      </c>
    </row>
    <row r="12">
      <c r="B12" s="11" t="inlineStr">
        <is>
          <t>1.6</t>
        </is>
      </c>
      <c r="C12" s="11" t="inlineStr"/>
      <c r="D12" s="12" t="inlineStr">
        <is>
          <t>- Bê tông lót đáy bản quá độ M2 mác C10 (dày 10cm)</t>
        </is>
      </c>
      <c r="E12" s="11" t="inlineStr">
        <is>
          <t>m³</t>
        </is>
      </c>
      <c r="F12" s="11" t="n">
        <v>1</v>
      </c>
      <c r="G12" s="16" t="n">
        <v>5.4</v>
      </c>
      <c r="H12" s="16" t="n">
        <v>8.85</v>
      </c>
      <c r="I12" s="16" t="n">
        <v>0.1</v>
      </c>
      <c r="J12" s="16" t="n">
        <v>1.427</v>
      </c>
      <c r="K12" s="13">
        <f>ROUND(F12*G12*H12*I12*J12, 3)</f>
        <v/>
      </c>
      <c r="L12" s="12" t="inlineStr">
        <is>
          <t>6.82 m³ bê tông lót C10 M2</t>
        </is>
      </c>
    </row>
    <row r="13">
      <c r="B13" s="11" t="inlineStr">
        <is>
          <t>1.7</t>
        </is>
      </c>
      <c r="C13" s="11" t="inlineStr"/>
      <c r="D13" s="12" t="inlineStr">
        <is>
          <t>- Cốt thép bản quá độ M2 (BBS A1..A7: D10 đến D22)</t>
        </is>
      </c>
      <c r="E13" s="11" t="inlineStr">
        <is>
          <t>kg</t>
        </is>
      </c>
      <c r="F13" s="11" t="n">
        <v>1</v>
      </c>
      <c r="G13" s="16" t="n">
        <v>5568.96</v>
      </c>
      <c r="H13" s="16" t="n">
        <v>1</v>
      </c>
      <c r="I13" s="16" t="n">
        <v>1</v>
      </c>
      <c r="J13" s="16" t="n">
        <v>1</v>
      </c>
      <c r="K13" s="13">
        <f>ROUND(F13*G13, 2)</f>
        <v/>
      </c>
      <c r="L13" s="12" t="inlineStr">
        <is>
          <t>5,568.96 kg thép CB400-V</t>
        </is>
      </c>
    </row>
    <row r="14">
      <c r="B14" s="11" t="inlineStr">
        <is>
          <t>1.8</t>
        </is>
      </c>
      <c r="C14" s="11" t="inlineStr"/>
      <c r="D14" s="12" t="inlineStr">
        <is>
          <t>- Ván khuôn bản quá độ M2 (thành biên, đầu bản)</t>
        </is>
      </c>
      <c r="E14" s="11" t="inlineStr">
        <is>
          <t>m²</t>
        </is>
      </c>
      <c r="F14" s="11" t="n">
        <v>1</v>
      </c>
      <c r="G14" s="16" t="n">
        <v>16.55</v>
      </c>
      <c r="H14" s="16" t="n">
        <v>1</v>
      </c>
      <c r="I14" s="16" t="n">
        <v>1</v>
      </c>
      <c r="J14" s="16" t="n">
        <v>1</v>
      </c>
      <c r="K14" s="13">
        <f>ROUND(F14*G14, 2)</f>
        <v/>
      </c>
      <c r="L14" s="12" t="inlineStr">
        <is>
          <t>16.55 m² ván khuôn</t>
        </is>
      </c>
    </row>
    <row r="15">
      <c r="B15" s="17" t="inlineStr"/>
      <c r="C15" s="18" t="inlineStr">
        <is>
          <t>Cộng Bê tông C25 Bản quá độ (M1 + M2):</t>
        </is>
      </c>
      <c r="D15" s="17" t="n"/>
      <c r="E15" s="17" t="n"/>
      <c r="F15" s="17" t="n"/>
      <c r="G15" s="17" t="n"/>
      <c r="H15" s="17" t="n"/>
      <c r="I15" s="17" t="n"/>
      <c r="J15" s="17" t="n"/>
      <c r="K15" s="19">
        <f>K7+K11</f>
        <v/>
      </c>
      <c r="L15" s="20" t="inlineStr">
        <is>
          <t>67.38 m³</t>
        </is>
      </c>
    </row>
    <row r="16">
      <c r="B16" s="9" t="inlineStr">
        <is>
          <t>2. GỜ LAN CAN BTCT C25 &amp; BỆ CỘT ĐÈN (40 ĐỐT GỜ)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B17" s="11" t="inlineStr">
        <is>
          <t>2.1</t>
        </is>
      </c>
      <c r="C17" s="11" t="inlineStr"/>
      <c r="D17" s="12" t="inlineStr">
        <is>
          <t>- Đốt gờ loại A1 (19 đốt x L=5.91m x F_mc=0.548m²)</t>
        </is>
      </c>
      <c r="E17" s="11" t="inlineStr">
        <is>
          <t>m³</t>
        </is>
      </c>
      <c r="F17" s="11" t="n">
        <v>19</v>
      </c>
      <c r="G17" s="16" t="n">
        <v>5.91</v>
      </c>
      <c r="H17" s="16" t="n">
        <v>1</v>
      </c>
      <c r="I17" s="16" t="n">
        <v>1</v>
      </c>
      <c r="J17" s="16" t="n">
        <v>0.547</v>
      </c>
      <c r="K17" s="13">
        <f>ROUND(F18*G18*J18, 3)</f>
        <v/>
      </c>
      <c r="L17" s="12" t="inlineStr">
        <is>
          <t>61.42 m³ gờ lan can A1</t>
        </is>
      </c>
    </row>
    <row r="18">
      <c r="B18" s="11" t="inlineStr">
        <is>
          <t>2.2</t>
        </is>
      </c>
      <c r="C18" s="11" t="inlineStr"/>
      <c r="D18" s="12" t="inlineStr">
        <is>
          <t>- Đốt gờ loại A2 (1 đốt x L=4.12m x F_mc=0.548m²)</t>
        </is>
      </c>
      <c r="E18" s="11" t="inlineStr">
        <is>
          <t>m³</t>
        </is>
      </c>
      <c r="F18" s="11" t="n">
        <v>1</v>
      </c>
      <c r="G18" s="16" t="n">
        <v>4.12</v>
      </c>
      <c r="H18" s="16" t="n">
        <v>1</v>
      </c>
      <c r="I18" s="16" t="n">
        <v>1</v>
      </c>
      <c r="J18" s="16" t="n">
        <v>0.55</v>
      </c>
      <c r="K18" s="13">
        <f>ROUND(F19*G19*J19, 3)</f>
        <v/>
      </c>
      <c r="L18" s="12" t="inlineStr">
        <is>
          <t>2.27 m³ gờ lan can A2</t>
        </is>
      </c>
    </row>
    <row r="19">
      <c r="B19" s="11" t="inlineStr">
        <is>
          <t>2.3</t>
        </is>
      </c>
      <c r="C19" s="11" t="inlineStr"/>
      <c r="D19" s="12" t="inlineStr">
        <is>
          <t>- Đốt gờ loại B1 (19 đốt x L=5.91m x F_mc=0.349m²)</t>
        </is>
      </c>
      <c r="E19" s="11" t="inlineStr">
        <is>
          <t>m³</t>
        </is>
      </c>
      <c r="F19" s="11" t="n">
        <v>19</v>
      </c>
      <c r="G19" s="16" t="n">
        <v>5.91</v>
      </c>
      <c r="H19" s="16" t="n">
        <v>1</v>
      </c>
      <c r="I19" s="16" t="n">
        <v>1</v>
      </c>
      <c r="J19" s="16" t="n">
        <v>0.349</v>
      </c>
      <c r="K19" s="13">
        <f>ROUND(F20*G20*J20, 3)</f>
        <v/>
      </c>
      <c r="L19" s="12" t="inlineStr">
        <is>
          <t>39.15 m³ gờ lan can B1</t>
        </is>
      </c>
    </row>
    <row r="20">
      <c r="B20" s="11" t="inlineStr">
        <is>
          <t>2.4</t>
        </is>
      </c>
      <c r="C20" s="11" t="inlineStr"/>
      <c r="D20" s="12" t="inlineStr">
        <is>
          <t>- Đốt gờ loại B2 (1 đốt x L=4.12m x F_mc=0.349m²)</t>
        </is>
      </c>
      <c r="E20" s="11" t="inlineStr">
        <is>
          <t>m³</t>
        </is>
      </c>
      <c r="F20" s="11" t="n">
        <v>1</v>
      </c>
      <c r="G20" s="16" t="n">
        <v>4.12</v>
      </c>
      <c r="H20" s="16" t="n">
        <v>1</v>
      </c>
      <c r="I20" s="16" t="n">
        <v>1</v>
      </c>
      <c r="J20" s="16" t="n">
        <v>0.351</v>
      </c>
      <c r="K20" s="13">
        <f>ROUND(F21*G21*J21, 3)</f>
        <v/>
      </c>
      <c r="L20" s="12" t="inlineStr">
        <is>
          <t>1.44 m³ gờ lan can B2</t>
        </is>
      </c>
    </row>
    <row r="21">
      <c r="B21" s="11" t="inlineStr">
        <is>
          <t>2.5</t>
        </is>
      </c>
      <c r="C21" s="11" t="inlineStr"/>
      <c r="D21" s="12" t="inlineStr">
        <is>
          <t>- Cốt thép gờ lan can (BBS G1..G8C: 10&lt;D&lt;=18 là 13.67T; D&gt;18: 6.39T)</t>
        </is>
      </c>
      <c r="E21" s="11" t="inlineStr">
        <is>
          <t>kg</t>
        </is>
      </c>
      <c r="F21" s="11" t="n">
        <v>1</v>
      </c>
      <c r="G21" s="16" t="n">
        <v>20069.02</v>
      </c>
      <c r="H21" s="16" t="n">
        <v>1</v>
      </c>
      <c r="I21" s="16" t="n">
        <v>1</v>
      </c>
      <c r="J21" s="16" t="n">
        <v>1</v>
      </c>
      <c r="K21" s="13">
        <f>ROUND(F22*G22, 2)</f>
        <v/>
      </c>
      <c r="L21" s="12" t="inlineStr">
        <is>
          <t>20,069.02 kg thép CB400-V</t>
        </is>
      </c>
    </row>
    <row r="22">
      <c r="B22" s="11" t="inlineStr">
        <is>
          <t>2.6</t>
        </is>
      </c>
      <c r="C22" s="11" t="inlineStr"/>
      <c r="D22" s="12" t="inlineStr">
        <is>
          <t>- Ván khuôn gờ lan can 40 đốt (mặt trong, mặt ngoài, đỉnh)</t>
        </is>
      </c>
      <c r="E22" s="11" t="inlineStr">
        <is>
          <t>m²</t>
        </is>
      </c>
      <c r="F22" s="11" t="n">
        <v>1</v>
      </c>
      <c r="G22" s="16" t="n">
        <v>638.9400000000001</v>
      </c>
      <c r="H22" s="16" t="n">
        <v>1</v>
      </c>
      <c r="I22" s="16" t="n">
        <v>1</v>
      </c>
      <c r="J22" s="16" t="n">
        <v>1</v>
      </c>
      <c r="K22" s="13">
        <f>ROUND(F23*G23, 2)</f>
        <v/>
      </c>
      <c r="L22" s="12" t="inlineStr">
        <is>
          <t>638.94 m² ván khuôn thép</t>
        </is>
      </c>
    </row>
    <row r="23">
      <c r="B23" s="11" t="inlineStr">
        <is>
          <t>2.7</t>
        </is>
      </c>
      <c r="C23" s="11" t="inlineStr"/>
      <c r="D23" s="12" t="inlineStr">
        <is>
          <t>- Ống PVC D125 luồn cáp điện chiếu sáng</t>
        </is>
      </c>
      <c r="E23" s="11" t="inlineStr">
        <is>
          <t>m</t>
        </is>
      </c>
      <c r="F23" s="11" t="n">
        <v>1</v>
      </c>
      <c r="G23" s="16" t="n">
        <v>118.3</v>
      </c>
      <c r="H23" s="16" t="n">
        <v>1</v>
      </c>
      <c r="I23" s="16" t="n">
        <v>1</v>
      </c>
      <c r="J23" s="16" t="n">
        <v>1</v>
      </c>
      <c r="K23" s="13">
        <f>ROUND(F24*G24, 1)</f>
        <v/>
      </c>
      <c r="L23" s="12" t="inlineStr">
        <is>
          <t>118.3m ống nhựa PVC D125</t>
        </is>
      </c>
    </row>
    <row r="24">
      <c r="B24" s="17" t="inlineStr"/>
      <c r="C24" s="18" t="inlineStr">
        <is>
          <t>Cộng Bê tông Gờ lan can C25:</t>
        </is>
      </c>
      <c r="D24" s="17" t="n"/>
      <c r="E24" s="17" t="n"/>
      <c r="F24" s="17" t="n"/>
      <c r="G24" s="17" t="n"/>
      <c r="H24" s="17" t="n"/>
      <c r="I24" s="17" t="n"/>
      <c r="J24" s="17" t="n"/>
      <c r="K24" s="19">
        <f>SUM(K18:K21)</f>
        <v/>
      </c>
      <c r="L24" s="20" t="inlineStr">
        <is>
          <t>104.28 m³</t>
        </is>
      </c>
    </row>
    <row r="25">
      <c r="B25" s="9" t="inlineStr">
        <is>
          <t>3. LAN CAN TAY VỊN THÉP MẠ KẼM &amp; BU LÔNG NEO M22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B26" s="11" t="inlineStr">
        <is>
          <t>3.1</t>
        </is>
      </c>
      <c r="C26" s="11" t="inlineStr"/>
      <c r="D26" s="12" t="inlineStr">
        <is>
          <t>- Thép ống lan can (Ống P1/P2 D114x3.5; H1/H2 D76x3.5; C1/C2)</t>
        </is>
      </c>
      <c r="E26" s="11" t="inlineStr">
        <is>
          <t>kg</t>
        </is>
      </c>
      <c r="F26" s="11" t="n">
        <v>1</v>
      </c>
      <c r="G26" s="16" t="n">
        <v>606.9</v>
      </c>
      <c r="H26" s="16" t="n">
        <v>1</v>
      </c>
      <c r="I26" s="16" t="n">
        <v>1</v>
      </c>
      <c r="J26" s="16" t="n">
        <v>1</v>
      </c>
      <c r="K26" s="13">
        <f>ROUND(F27*G27, 2)</f>
        <v/>
      </c>
      <c r="L26" s="12" t="inlineStr">
        <is>
          <t>606.90 kg thép ống mạ kẽm</t>
        </is>
      </c>
    </row>
    <row r="27">
      <c r="B27" s="11" t="inlineStr">
        <is>
          <t>3.2</t>
        </is>
      </c>
      <c r="C27" s="11" t="inlineStr"/>
      <c r="D27" s="12" t="inlineStr">
        <is>
          <t>- Thép bản định hình mạ kẽm chân cột &amp; sườn gia cường (N1..N12)</t>
        </is>
      </c>
      <c r="E27" s="11" t="inlineStr">
        <is>
          <t>kg</t>
        </is>
      </c>
      <c r="F27" s="11" t="n">
        <v>1</v>
      </c>
      <c r="G27" s="16" t="n">
        <v>526.55</v>
      </c>
      <c r="H27" s="16" t="n">
        <v>1</v>
      </c>
      <c r="I27" s="16" t="n">
        <v>1</v>
      </c>
      <c r="J27" s="16" t="n">
        <v>1</v>
      </c>
      <c r="K27" s="13">
        <f>ROUND(F28*G28, 2)</f>
        <v/>
      </c>
      <c r="L27" s="12" t="inlineStr">
        <is>
          <t>526.55 kg thép bản mạ kẽm</t>
        </is>
      </c>
    </row>
    <row r="28">
      <c r="B28" s="11" t="inlineStr">
        <is>
          <t>3.3</t>
        </is>
      </c>
      <c r="C28" s="11" t="inlineStr"/>
      <c r="D28" s="12" t="inlineStr">
        <is>
          <t>- Bu lông neo chân cột M22 L=650mm</t>
        </is>
      </c>
      <c r="E28" s="11" t="inlineStr">
        <is>
          <t>kg</t>
        </is>
      </c>
      <c r="F28" s="11" t="n">
        <v>44</v>
      </c>
      <c r="G28" s="16" t="n">
        <v>1.94</v>
      </c>
      <c r="H28" s="16" t="n">
        <v>1</v>
      </c>
      <c r="I28" s="16" t="n">
        <v>1</v>
      </c>
      <c r="J28" s="16" t="n">
        <v>1</v>
      </c>
      <c r="K28" s="13">
        <f>ROUND(F29*G29, 2)</f>
        <v/>
      </c>
      <c r="L28" s="12" t="inlineStr">
        <is>
          <t>44 cái bu lông M22 = 85.36 kg</t>
        </is>
      </c>
    </row>
    <row r="29">
      <c r="B29" s="17" t="inlineStr"/>
      <c r="C29" s="18" t="inlineStr">
        <is>
          <t>Cộng Lan can thép mạ kẽm (kg):</t>
        </is>
      </c>
      <c r="D29" s="17" t="n"/>
      <c r="E29" s="17" t="n"/>
      <c r="F29" s="17" t="n"/>
      <c r="G29" s="17" t="n"/>
      <c r="H29" s="17" t="n"/>
      <c r="I29" s="17" t="n"/>
      <c r="J29" s="17" t="n"/>
      <c r="K29" s="19">
        <f>SUM(K27:K29)</f>
        <v/>
      </c>
      <c r="L29" s="20" t="inlineStr">
        <is>
          <t>1,218.81 kg</t>
        </is>
      </c>
    </row>
    <row r="30">
      <c r="B30" s="9" t="inlineStr">
        <is>
          <t>4. GỐI CHẬU SUPER-T (15 GỐI B1 ĐƠN HƯỚNG &amp; 15 GỐI B2 SONG HƯỚNG)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B31" s="11" t="inlineStr">
        <is>
          <t>4.1</t>
        </is>
      </c>
      <c r="C31" s="11" t="inlineStr"/>
      <c r="D31" s="12" t="inlineStr">
        <is>
          <t>- Gối chậu đơn hướng B1 (390x560x110mm: M1: 5; P2: 5; M2: 5)</t>
        </is>
      </c>
      <c r="E31" s="11" t="inlineStr">
        <is>
          <t>Cái</t>
        </is>
      </c>
      <c r="F31" s="11" t="n">
        <v>15</v>
      </c>
      <c r="G31" s="16" t="n">
        <v>1</v>
      </c>
      <c r="H31" s="16" t="n">
        <v>1</v>
      </c>
      <c r="I31" s="16" t="n">
        <v>1</v>
      </c>
      <c r="J31" s="16" t="n">
        <v>1</v>
      </c>
      <c r="K31" s="13">
        <f>ROUND(F32, 0)</f>
        <v/>
      </c>
      <c r="L31" s="12" t="inlineStr">
        <is>
          <t>15 gối chậu B1</t>
        </is>
      </c>
    </row>
    <row r="32">
      <c r="B32" s="11" t="inlineStr">
        <is>
          <t>4.2</t>
        </is>
      </c>
      <c r="C32" s="11" t="inlineStr"/>
      <c r="D32" s="12" t="inlineStr">
        <is>
          <t>- Gối chậu song hướng B2 (620x327x110mm: P1: 10; P2: 5)</t>
        </is>
      </c>
      <c r="E32" s="11" t="inlineStr">
        <is>
          <t>Cái</t>
        </is>
      </c>
      <c r="F32" s="11" t="n">
        <v>15</v>
      </c>
      <c r="G32" s="16" t="n">
        <v>1</v>
      </c>
      <c r="H32" s="16" t="n">
        <v>1</v>
      </c>
      <c r="I32" s="16" t="n">
        <v>1</v>
      </c>
      <c r="J32" s="16" t="n">
        <v>1</v>
      </c>
      <c r="K32" s="13">
        <f>ROUND(F33, 0)</f>
        <v/>
      </c>
      <c r="L32" s="12" t="inlineStr">
        <is>
          <t>15 gối chậu B2</t>
        </is>
      </c>
    </row>
    <row r="33">
      <c r="B33" s="11" t="inlineStr">
        <is>
          <t>4.3</t>
        </is>
      </c>
      <c r="C33" s="11" t="inlineStr"/>
      <c r="D33" s="12" t="inlineStr">
        <is>
          <t>- Thép bản đệm gối mạ kẽm (t=25mm)</t>
        </is>
      </c>
      <c r="E33" s="11" t="inlineStr">
        <is>
          <t>kg</t>
        </is>
      </c>
      <c r="F33" s="11" t="n">
        <v>30</v>
      </c>
      <c r="G33" s="16" t="n">
        <v>49.59</v>
      </c>
      <c r="H33" s="16" t="n">
        <v>1</v>
      </c>
      <c r="I33" s="16" t="n">
        <v>1</v>
      </c>
      <c r="J33" s="16" t="n">
        <v>1</v>
      </c>
      <c r="K33" s="13">
        <f>ROUND(F34*G34, 2)</f>
        <v/>
      </c>
      <c r="L33" s="12" t="inlineStr">
        <is>
          <t>1,487.68 kg thép bản mạ kẽm</t>
        </is>
      </c>
    </row>
    <row r="34">
      <c r="B34" s="11" t="inlineStr">
        <is>
          <t>4.4</t>
        </is>
      </c>
      <c r="C34" s="11" t="inlineStr"/>
      <c r="D34" s="12" t="inlineStr">
        <is>
          <t>- Bu lông neo gối M20 (4 bu lông / gối)</t>
        </is>
      </c>
      <c r="E34" s="11" t="inlineStr">
        <is>
          <t>Bộ</t>
        </is>
      </c>
      <c r="F34" s="11" t="n">
        <v>30</v>
      </c>
      <c r="G34" s="16" t="n">
        <v>4</v>
      </c>
      <c r="H34" s="16" t="n">
        <v>1</v>
      </c>
      <c r="I34" s="16" t="n">
        <v>1</v>
      </c>
      <c r="J34" s="16" t="n">
        <v>1</v>
      </c>
      <c r="K34" s="13">
        <f>ROUND(F35*G35, 0)</f>
        <v/>
      </c>
      <c r="L34" s="12" t="inlineStr">
        <is>
          <t>120 bộ bu lông M20</t>
        </is>
      </c>
    </row>
    <row r="35">
      <c r="B35" s="11" t="inlineStr">
        <is>
          <t>4.5</t>
        </is>
      </c>
      <c r="C35" s="11" t="inlineStr"/>
      <c r="D35" s="12" t="inlineStr">
        <is>
          <t>- Vữa không co ngót đệm gối C40 (dày 25mm)</t>
        </is>
      </c>
      <c r="E35" s="11" t="inlineStr">
        <is>
          <t>m³</t>
        </is>
      </c>
      <c r="F35" s="11" t="n">
        <v>30</v>
      </c>
      <c r="G35" s="16" t="n">
        <v>0.0194</v>
      </c>
      <c r="H35" s="16" t="n">
        <v>1</v>
      </c>
      <c r="I35" s="16" t="n">
        <v>1</v>
      </c>
      <c r="J35" s="16" t="n">
        <v>1</v>
      </c>
      <c r="K35" s="13">
        <f>ROUND(F36*G36, 3)</f>
        <v/>
      </c>
      <c r="L35" s="12" t="inlineStr">
        <is>
          <t>0.58 m³ vữa đệm gối</t>
        </is>
      </c>
    </row>
    <row r="36">
      <c r="B36" s="17" t="inlineStr"/>
      <c r="C36" s="18" t="inlineStr">
        <is>
          <t>Cộng Số lượng Gối chậu Super-T:</t>
        </is>
      </c>
      <c r="D36" s="17" t="n"/>
      <c r="E36" s="17" t="n"/>
      <c r="F36" s="17" t="n"/>
      <c r="G36" s="17" t="n"/>
      <c r="H36" s="17" t="n"/>
      <c r="I36" s="17" t="n"/>
      <c r="J36" s="17" t="n"/>
      <c r="K36" s="19">
        <f>K32+K33</f>
        <v/>
      </c>
      <c r="L36" s="20" t="inlineStr">
        <is>
          <t>30 Cái</t>
        </is>
      </c>
    </row>
    <row r="37">
      <c r="B37" s="9" t="inlineStr">
        <is>
          <t>5. KHE CO GIÃN RĂNG LƯỢC WD230 (MỐ M1 &amp; M2, TỔNG DÀI L=24.5M)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>
      <c r="B38" s="11" t="inlineStr">
        <is>
          <t>5.1</t>
        </is>
      </c>
      <c r="C38" s="11" t="inlineStr"/>
      <c r="D38" s="12" t="inlineStr">
        <is>
          <t>- Chiều dài khe co giãn răng lược WD230 (2 khe x L=12.25m)</t>
        </is>
      </c>
      <c r="E38" s="11" t="inlineStr">
        <is>
          <t>m</t>
        </is>
      </c>
      <c r="F38" s="11" t="n">
        <v>2</v>
      </c>
      <c r="G38" s="16" t="n">
        <v>12.25</v>
      </c>
      <c r="H38" s="16" t="n">
        <v>1</v>
      </c>
      <c r="I38" s="16" t="n">
        <v>1</v>
      </c>
      <c r="J38" s="16" t="n">
        <v>1</v>
      </c>
      <c r="K38" s="13">
        <f>ROUND(F39*G39, 2)</f>
        <v/>
      </c>
      <c r="L38" s="12" t="inlineStr">
        <is>
          <t>24.50m khe co giãn</t>
        </is>
      </c>
    </row>
    <row r="39">
      <c r="B39" s="11" t="inlineStr">
        <is>
          <t>5.2</t>
        </is>
      </c>
      <c r="C39" s="11" t="inlineStr"/>
      <c r="D39" s="12" t="inlineStr">
        <is>
          <t>- Bê tông cốt liệu nhỏ không co ngót C40 hố chờ KCG</t>
        </is>
      </c>
      <c r="E39" s="11" t="inlineStr">
        <is>
          <t>m³</t>
        </is>
      </c>
      <c r="F39" s="11" t="n">
        <v>2</v>
      </c>
      <c r="G39" s="16" t="n">
        <v>12.25</v>
      </c>
      <c r="H39" s="16" t="n">
        <v>0.4</v>
      </c>
      <c r="I39" s="16" t="n">
        <v>0.238</v>
      </c>
      <c r="J39" s="16" t="n">
        <v>1</v>
      </c>
      <c r="K39" s="13">
        <f>ROUND(F40*G40*H40*I40*J40, 3)</f>
        <v/>
      </c>
      <c r="L39" s="12" t="inlineStr">
        <is>
          <t>4.67 m³ bê tông C40</t>
        </is>
      </c>
    </row>
    <row r="40">
      <c r="B40" s="11" t="inlineStr">
        <is>
          <t>5.3</t>
        </is>
      </c>
      <c r="C40" s="11" t="inlineStr"/>
      <c r="D40" s="12" t="inlineStr">
        <is>
          <t>- Cốt thép neo KCG (BBS K1, K2, K3: D16mm)</t>
        </is>
      </c>
      <c r="E40" s="11" t="inlineStr">
        <is>
          <t>kg</t>
        </is>
      </c>
      <c r="F40" s="11" t="n">
        <v>2</v>
      </c>
      <c r="G40" s="16" t="n">
        <v>679.9</v>
      </c>
      <c r="H40" s="16" t="n">
        <v>1</v>
      </c>
      <c r="I40" s="16" t="n">
        <v>1</v>
      </c>
      <c r="J40" s="16" t="n">
        <v>1</v>
      </c>
      <c r="K40" s="13">
        <f>ROUND(F41*G41, 2)</f>
        <v/>
      </c>
      <c r="L40" s="12" t="inlineStr">
        <is>
          <t>1,359.80 kg thép D16 CB400-V</t>
        </is>
      </c>
    </row>
    <row r="41">
      <c r="B41" s="11" t="inlineStr">
        <is>
          <t>5.4</t>
        </is>
      </c>
      <c r="C41" s="11" t="inlineStr"/>
      <c r="D41" s="12" t="inlineStr">
        <is>
          <t>- Tấm thép mạ kẽm chắn rác (1266x350x4 &amp; 1565x350x4)</t>
        </is>
      </c>
      <c r="E41" s="11" t="inlineStr">
        <is>
          <t>kg</t>
        </is>
      </c>
      <c r="F41" s="11" t="n">
        <v>2</v>
      </c>
      <c r="G41" s="16" t="n">
        <v>31.11</v>
      </c>
      <c r="H41" s="16" t="n">
        <v>1</v>
      </c>
      <c r="I41" s="16" t="n">
        <v>1</v>
      </c>
      <c r="J41" s="16" t="n">
        <v>1</v>
      </c>
      <c r="K41" s="13">
        <f>ROUND(F42*G42, 2)</f>
        <v/>
      </c>
      <c r="L41" s="12" t="inlineStr">
        <is>
          <t>62.23 kg tấm thép mạ kẽm</t>
        </is>
      </c>
    </row>
    <row r="42">
      <c r="B42" s="11" t="inlineStr">
        <is>
          <t>5.5</t>
        </is>
      </c>
      <c r="C42" s="11" t="inlineStr"/>
      <c r="D42" s="12" t="inlineStr">
        <is>
          <t>- Bu lông liên kết M16x180 &amp; M12x60</t>
        </is>
      </c>
      <c r="E42" s="11" t="inlineStr">
        <is>
          <t>Bộ</t>
        </is>
      </c>
      <c r="F42" s="11" t="n">
        <v>2</v>
      </c>
      <c r="G42" s="16" t="n">
        <v>131</v>
      </c>
      <c r="H42" s="16" t="n">
        <v>1</v>
      </c>
      <c r="I42" s="16" t="n">
        <v>1</v>
      </c>
      <c r="J42" s="16" t="n">
        <v>1</v>
      </c>
      <c r="K42" s="13">
        <f>ROUND(F43*G43, 0)</f>
        <v/>
      </c>
      <c r="L42" s="12" t="inlineStr">
        <is>
          <t>262 bộ bu lông neo</t>
        </is>
      </c>
    </row>
    <row r="43">
      <c r="B43" s="17" t="inlineStr"/>
      <c r="C43" s="18" t="inlineStr">
        <is>
          <t>Cộng Chiều dài Khe co giãn (m):</t>
        </is>
      </c>
      <c r="D43" s="17" t="n"/>
      <c r="E43" s="17" t="n"/>
      <c r="F43" s="17" t="n"/>
      <c r="G43" s="17" t="n"/>
      <c r="H43" s="17" t="n"/>
      <c r="I43" s="17" t="n"/>
      <c r="J43" s="17" t="n"/>
      <c r="K43" s="19">
        <f>K39</f>
        <v/>
      </c>
      <c r="L43" s="20" t="inlineStr">
        <is>
          <t>24.50 m</t>
        </is>
      </c>
    </row>
    <row r="44">
      <c r="B44" s="9" t="inlineStr">
        <is>
          <t>6. HỆ THỐNG THOÁT NƯỚC MẶT CẦU (24 BỘ HÈ GANG &amp; ỐNG UPVC D150)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>
      <c r="B45" s="11" t="inlineStr">
        <is>
          <t>6.1</t>
        </is>
      </c>
      <c r="C45" s="11" t="inlineStr"/>
      <c r="D45" s="12" t="inlineStr">
        <is>
          <t>- Hè gang thu nước mặt cầu (24 bộ x 16.55 kg/bộ)</t>
        </is>
      </c>
      <c r="E45" s="11" t="inlineStr">
        <is>
          <t>Bộ</t>
        </is>
      </c>
      <c r="F45" s="11" t="n">
        <v>24</v>
      </c>
      <c r="G45" s="16" t="n">
        <v>16.55</v>
      </c>
      <c r="H45" s="16" t="n">
        <v>1</v>
      </c>
      <c r="I45" s="16" t="n">
        <v>1</v>
      </c>
      <c r="J45" s="16" t="n">
        <v>1</v>
      </c>
      <c r="K45" s="13">
        <f>ROUND(F46*G46, 2)</f>
        <v/>
      </c>
      <c r="L45" s="12" t="inlineStr">
        <is>
          <t>397.28 kg gang xám chịu lực</t>
        </is>
      </c>
    </row>
    <row r="46">
      <c r="B46" s="11" t="inlineStr">
        <is>
          <t>6.2</t>
        </is>
      </c>
      <c r="C46" s="11" t="inlineStr"/>
      <c r="D46" s="12" t="inlineStr">
        <is>
          <t>- Ống uPVC thu nước D150 (24 ống x L=1.66m)</t>
        </is>
      </c>
      <c r="E46" s="11" t="inlineStr">
        <is>
          <t>m</t>
        </is>
      </c>
      <c r="F46" s="11" t="n">
        <v>24</v>
      </c>
      <c r="G46" s="16" t="n">
        <v>1.661</v>
      </c>
      <c r="H46" s="16" t="n">
        <v>1</v>
      </c>
      <c r="I46" s="16" t="n">
        <v>1</v>
      </c>
      <c r="J46" s="16" t="n">
        <v>1</v>
      </c>
      <c r="K46" s="13">
        <f>ROUND(F47*G47, 2)</f>
        <v/>
      </c>
      <c r="L46" s="12" t="inlineStr">
        <is>
          <t>39.86m ống nhựa uPVC D150</t>
        </is>
      </c>
    </row>
    <row r="47">
      <c r="B47" s="11" t="inlineStr">
        <is>
          <t>6.3</t>
        </is>
      </c>
      <c r="C47" s="11" t="inlineStr"/>
      <c r="D47" s="12" t="inlineStr">
        <is>
          <t>- Tấm thép mạ kẽm chắn rác hố thu</t>
        </is>
      </c>
      <c r="E47" s="11" t="inlineStr">
        <is>
          <t>Bộ</t>
        </is>
      </c>
      <c r="F47" s="11" t="n">
        <v>24</v>
      </c>
      <c r="G47" s="16" t="n">
        <v>1</v>
      </c>
      <c r="H47" s="16" t="n">
        <v>1</v>
      </c>
      <c r="I47" s="16" t="n">
        <v>1</v>
      </c>
      <c r="J47" s="16" t="n">
        <v>1</v>
      </c>
      <c r="K47" s="13">
        <f>ROUND(F48, 0)</f>
        <v/>
      </c>
      <c r="L47" s="12" t="inlineStr">
        <is>
          <t>24 bộ nắp chắn rác</t>
        </is>
      </c>
    </row>
    <row r="48">
      <c r="B48" s="11" t="inlineStr">
        <is>
          <t>6.4</t>
        </is>
      </c>
      <c r="C48" s="11" t="inlineStr"/>
      <c r="D48" s="12" t="inlineStr">
        <is>
          <t>- Thanh định vị mạ kẽm N1..N4 (liên kết ống uPVC)</t>
        </is>
      </c>
      <c r="E48" s="11" t="inlineStr">
        <is>
          <t>kg</t>
        </is>
      </c>
      <c r="F48" s="11" t="n">
        <v>1</v>
      </c>
      <c r="G48" s="16" t="n">
        <v>374.42</v>
      </c>
      <c r="H48" s="16" t="n">
        <v>1</v>
      </c>
      <c r="I48" s="16" t="n">
        <v>1</v>
      </c>
      <c r="J48" s="16" t="n">
        <v>1</v>
      </c>
      <c r="K48" s="13">
        <f>ROUND(F49*G49, 2)</f>
        <v/>
      </c>
      <c r="L48" s="12" t="inlineStr">
        <is>
          <t>374.42 kg thép định vị mạ kẽm</t>
        </is>
      </c>
    </row>
    <row r="49">
      <c r="B49" s="11" t="inlineStr">
        <is>
          <t>6.5</t>
        </is>
      </c>
      <c r="C49" s="11" t="inlineStr"/>
      <c r="D49" s="12" t="inlineStr">
        <is>
          <t>- Ống xoắn dẫn nước dọc dầm D150</t>
        </is>
      </c>
      <c r="E49" s="11" t="inlineStr">
        <is>
          <t>m</t>
        </is>
      </c>
      <c r="F49" s="11" t="n">
        <v>1</v>
      </c>
      <c r="G49" s="16" t="n">
        <v>129.23</v>
      </c>
      <c r="H49" s="16" t="n">
        <v>1</v>
      </c>
      <c r="I49" s="16" t="n">
        <v>1</v>
      </c>
      <c r="J49" s="16" t="n">
        <v>1</v>
      </c>
      <c r="K49" s="13">
        <f>ROUND(F50*G50, 2)</f>
        <v/>
      </c>
      <c r="L49" s="12" t="inlineStr">
        <is>
          <t>129.23m ống xoắn dẫn nước</t>
        </is>
      </c>
    </row>
    <row r="50">
      <c r="B50" s="11" t="inlineStr">
        <is>
          <t>6.6</t>
        </is>
      </c>
      <c r="C50" s="11" t="inlineStr"/>
      <c r="D50" s="12" t="inlineStr">
        <is>
          <t>- Bu lông liên kết M12x40 và bu lông neo M12</t>
        </is>
      </c>
      <c r="E50" s="11" t="inlineStr">
        <is>
          <t>Bộ</t>
        </is>
      </c>
      <c r="F50" s="11" t="n">
        <v>1</v>
      </c>
      <c r="G50" s="16" t="n">
        <v>296</v>
      </c>
      <c r="H50" s="16" t="n">
        <v>1</v>
      </c>
      <c r="I50" s="16" t="n">
        <v>1</v>
      </c>
      <c r="J50" s="16" t="n">
        <v>1</v>
      </c>
      <c r="K50" s="13">
        <f>ROUND(F51*G51, 0)</f>
        <v/>
      </c>
      <c r="L50" s="12" t="inlineStr">
        <is>
          <t>296 bộ bu lông</t>
        </is>
      </c>
    </row>
    <row r="51">
      <c r="B51" s="17" t="inlineStr"/>
      <c r="C51" s="18" t="inlineStr">
        <is>
          <t>Cộng Số lượng Hè gang thu nước:</t>
        </is>
      </c>
      <c r="D51" s="17" t="n"/>
      <c r="E51" s="17" t="n"/>
      <c r="F51" s="17" t="n"/>
      <c r="G51" s="17" t="n"/>
      <c r="H51" s="17" t="n"/>
      <c r="I51" s="17" t="n"/>
      <c r="J51" s="17" t="n"/>
      <c r="K51" s="19">
        <f>K46/16.55</f>
        <v/>
      </c>
      <c r="L51" s="20" t="inlineStr">
        <is>
          <t>24 Bộ</t>
        </is>
      </c>
    </row>
    <row r="52"/>
    <row r="53">
      <c r="I53" s="21" t="inlineStr">
        <is>
          <t>BÊ TÔNG BẢN QUÁ ĐỘ C25 (M3):</t>
        </is>
      </c>
      <c r="J53" s="22">
        <f>K15</f>
        <v/>
      </c>
    </row>
    <row r="54">
      <c r="I54" s="21" t="inlineStr">
        <is>
          <t>BÊ TÔNG GỜ LAN CAN C25 (M3):</t>
        </is>
      </c>
      <c r="J54" s="22">
        <f>K25</f>
        <v/>
      </c>
    </row>
    <row r="55">
      <c r="I55" s="21" t="inlineStr">
        <is>
          <t>THÉP BQD &amp; GỜ LAN CAN (TẤN):</t>
        </is>
      </c>
      <c r="J55" s="22">
        <f>(K9+K13+K22)/1000</f>
        <v/>
      </c>
    </row>
    <row r="56">
      <c r="I56" s="21" t="inlineStr">
        <is>
          <t>GỐI CHẬU SUPER-T (CÁI):</t>
        </is>
      </c>
      <c r="J56" s="22">
        <f>K37</f>
        <v/>
      </c>
    </row>
    <row r="57">
      <c r="I57" s="21" t="inlineStr">
        <is>
          <t>KHE CO GIÃN WD230 (M):</t>
        </is>
      </c>
      <c r="J57" s="22">
        <f>K44</f>
        <v/>
      </c>
    </row>
    <row r="58">
      <c r="I58" s="21" t="inlineStr">
        <is>
          <t>HÈ GANG THOÁT NƯỚC (BỘ):</t>
        </is>
      </c>
      <c r="J58" s="22">
        <f>K52</f>
        <v/>
      </c>
    </row>
  </sheetData>
  <mergeCells count="12">
    <mergeCell ref="C29:J29"/>
    <mergeCell ref="B6:L6"/>
    <mergeCell ref="B30:L30"/>
    <mergeCell ref="B16:L16"/>
    <mergeCell ref="C15:J15"/>
    <mergeCell ref="C43:J43"/>
    <mergeCell ref="B44:L44"/>
    <mergeCell ref="B25:L25"/>
    <mergeCell ref="C24:J24"/>
    <mergeCell ref="C51:J51"/>
    <mergeCell ref="B37:L37"/>
    <mergeCell ref="C36:J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99" customWidth="1" min="2" max="2"/>
    <col width="48" customWidth="1" min="3" max="3"/>
    <col width="69" customWidth="1" min="4" max="4"/>
    <col width="11" customWidth="1" min="5" max="5"/>
    <col width="15" customWidth="1" min="6" max="6"/>
    <col width="12" customWidth="1" min="7" max="7"/>
    <col width="13" customWidth="1" min="8" max="8"/>
    <col width="33" customWidth="1" min="9" max="9"/>
    <col width="29" customWidth="1" min="10" max="10"/>
    <col width="36" customWidth="1" min="11" max="11"/>
    <col width="34" customWidth="1" min="12" max="12"/>
  </cols>
  <sheetData>
    <row r="1"/>
    <row r="2">
      <c r="B2" s="1" t="inlineStr">
        <is>
          <t>BẢNG DIỄN GIẢI HÌNH HỌC CHI TIẾT ĐƯỜNG SAU MỐ, TỨ NÓN &amp; KÈ GIA CỐ</t>
        </is>
      </c>
    </row>
    <row r="3">
      <c r="B3" s="2" t="inlineStr">
        <is>
          <t>Kè tứ nón đá hộc xây, Tường chắn BT C15, Áo đường vuốt nối 10 lớp &amp; Vật liệu hạt đắp lòng mố K98</t>
        </is>
      </c>
    </row>
    <row r="4"/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TỨ NÓN, KÈ ĐÁ HỘC XÂY VỮA VXM M100 &amp; CHÂN KHAY (MỐ M1, M2)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1.1</t>
        </is>
      </c>
      <c r="C7" s="11" t="inlineStr"/>
      <c r="D7" s="12" t="inlineStr">
        <is>
          <t>- Mái kè tứ nón mố M1 (diện tích mái F=322.69m² x dày 30cm)</t>
        </is>
      </c>
      <c r="E7" s="11" t="inlineStr">
        <is>
          <t>m³</t>
        </is>
      </c>
      <c r="F7" s="11" t="n">
        <v>1</v>
      </c>
      <c r="G7" s="16" t="n">
        <v>322.69</v>
      </c>
      <c r="H7" s="16" t="n">
        <v>0.3</v>
      </c>
      <c r="I7" s="16" t="n">
        <v>1</v>
      </c>
      <c r="J7" s="16" t="n">
        <v>1</v>
      </c>
      <c r="K7" s="13">
        <f>ROUND(F7*G7*H7*I7*J7, 3)</f>
        <v/>
      </c>
      <c r="L7" s="12" t="inlineStr">
        <is>
          <t>96.81 m³ đá hộc xây VXM M100 M1</t>
        </is>
      </c>
    </row>
    <row r="8">
      <c r="B8" s="11" t="inlineStr">
        <is>
          <t>1.2</t>
        </is>
      </c>
      <c r="C8" s="11" t="inlineStr"/>
      <c r="D8" s="12" t="inlineStr">
        <is>
          <t>- Mái kè tứ nón mố M2 (diện tích mái F=26.44m² x dày 30cm)</t>
        </is>
      </c>
      <c r="E8" s="11" t="inlineStr">
        <is>
          <t>m³</t>
        </is>
      </c>
      <c r="F8" s="11" t="n">
        <v>1</v>
      </c>
      <c r="G8" s="16" t="n">
        <v>26.44</v>
      </c>
      <c r="H8" s="16" t="n">
        <v>0.3</v>
      </c>
      <c r="I8" s="16" t="n">
        <v>1</v>
      </c>
      <c r="J8" s="16" t="n">
        <v>1</v>
      </c>
      <c r="K8" s="13">
        <f>ROUND(F8*G8*H8*I8*J8, 3)</f>
        <v/>
      </c>
      <c r="L8" s="12" t="inlineStr">
        <is>
          <t>7.93 m³ đá hộc xây VXM M100 M2</t>
        </is>
      </c>
    </row>
    <row r="9">
      <c r="B9" s="11" t="inlineStr">
        <is>
          <t>1.3</t>
        </is>
      </c>
      <c r="C9" s="11" t="inlineStr"/>
      <c r="D9" s="12" t="inlineStr">
        <is>
          <t>- Đá dăm đệm dày 10cm dưới mái kè đá hộc (M1: 40.36m²; M2: 3.83m²)</t>
        </is>
      </c>
      <c r="E9" s="11" t="inlineStr">
        <is>
          <t>m²</t>
        </is>
      </c>
      <c r="F9" s="11" t="n">
        <v>1</v>
      </c>
      <c r="G9" s="16" t="n">
        <v>44.195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44.20 m² lớp đệm lọc</t>
        </is>
      </c>
    </row>
    <row r="10">
      <c r="B10" s="11" t="inlineStr">
        <is>
          <t>1.4</t>
        </is>
      </c>
      <c r="C10" s="11" t="inlineStr"/>
      <c r="D10" s="12" t="inlineStr">
        <is>
          <t>- Chân khay đá hộc chống trượt mố M2 (0.5m x 0.8m x 10m)</t>
        </is>
      </c>
      <c r="E10" s="11" t="inlineStr">
        <is>
          <t>m³</t>
        </is>
      </c>
      <c r="F10" s="11" t="n">
        <v>1</v>
      </c>
      <c r="G10" s="16" t="n">
        <v>10</v>
      </c>
      <c r="H10" s="16" t="n">
        <v>0.5</v>
      </c>
      <c r="I10" s="16" t="n">
        <v>0.8</v>
      </c>
      <c r="J10" s="16" t="n">
        <v>1</v>
      </c>
      <c r="K10" s="13">
        <f>ROUND(F10*G10*H10*I10*J10, 3)</f>
        <v/>
      </c>
      <c r="L10" s="12" t="inlineStr">
        <is>
          <t>4.00 m³ chân khay đá hộc</t>
        </is>
      </c>
    </row>
    <row r="11">
      <c r="B11" s="17" t="inlineStr"/>
      <c r="C11" s="18" t="inlineStr">
        <is>
          <t>Cộng Đá hộc xây vữa VXM M100 kè tứ nón:</t>
        </is>
      </c>
      <c r="D11" s="17" t="n"/>
      <c r="E11" s="17" t="n"/>
      <c r="F11" s="17" t="n"/>
      <c r="G11" s="17" t="n"/>
      <c r="H11" s="17" t="n"/>
      <c r="I11" s="17" t="n"/>
      <c r="J11" s="17" t="n"/>
      <c r="K11" s="19">
        <f>K7+K8</f>
        <v/>
      </c>
      <c r="L11" s="20" t="inlineStr">
        <is>
          <t>104.74 m³</t>
        </is>
      </c>
    </row>
    <row r="12">
      <c r="B12" s="9" t="inlineStr">
        <is>
          <t>2. TƯỜNG CHẮN BÊ TÔNG TRỌNG LỰC C15 (MỐ M2)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B13" s="11" t="inlineStr">
        <is>
          <t>2.1</t>
        </is>
      </c>
      <c r="C13" s="11" t="inlineStr"/>
      <c r="D13" s="12" t="inlineStr">
        <is>
          <t>- Thân tường chắn bê tông C15 (L=24.5m, H_tb=4.5m, B_tb=1.05m)</t>
        </is>
      </c>
      <c r="E13" s="11" t="inlineStr">
        <is>
          <t>m³</t>
        </is>
      </c>
      <c r="F13" s="11" t="n">
        <v>1</v>
      </c>
      <c r="G13" s="16" t="n">
        <v>24.5</v>
      </c>
      <c r="H13" s="16" t="n">
        <v>1.05</v>
      </c>
      <c r="I13" s="16" t="n">
        <v>4.5</v>
      </c>
      <c r="J13" s="16" t="n">
        <v>1</v>
      </c>
      <c r="K13" s="13">
        <f>ROUND(F13*G13*H13*I13*J13, 3)</f>
        <v/>
      </c>
      <c r="L13" s="12" t="inlineStr">
        <is>
          <t>115.88 m³ bê tông C15</t>
        </is>
      </c>
    </row>
    <row r="14">
      <c r="B14" s="11" t="inlineStr">
        <is>
          <t>2.2</t>
        </is>
      </c>
      <c r="C14" s="11" t="inlineStr"/>
      <c r="D14" s="12" t="inlineStr">
        <is>
          <t>- Ván khuôn tường chắn bê tông C15 (mặt trước, sau, đỉnh)</t>
        </is>
      </c>
      <c r="E14" s="11" t="inlineStr">
        <is>
          <t>m²</t>
        </is>
      </c>
      <c r="F14" s="11" t="n">
        <v>1</v>
      </c>
      <c r="G14" s="16" t="n">
        <v>194.032</v>
      </c>
      <c r="H14" s="16" t="n">
        <v>1</v>
      </c>
      <c r="I14" s="16" t="n">
        <v>1</v>
      </c>
      <c r="J14" s="16" t="n">
        <v>1</v>
      </c>
      <c r="K14" s="13">
        <f>ROUND(F14*G14, 2)</f>
        <v/>
      </c>
      <c r="L14" s="12" t="inlineStr">
        <is>
          <t>194.03 m² ván khuôn thép</t>
        </is>
      </c>
    </row>
    <row r="15">
      <c r="B15" s="11" t="inlineStr">
        <is>
          <t>2.3</t>
        </is>
      </c>
      <c r="C15" s="11" t="inlineStr"/>
      <c r="D15" s="12" t="inlineStr">
        <is>
          <t>- Bê tông đệm móng tường chắn C10 (L=24.5m x 1.5m x 0.10m)</t>
        </is>
      </c>
      <c r="E15" s="11" t="inlineStr">
        <is>
          <t>m³</t>
        </is>
      </c>
      <c r="F15" s="11" t="n">
        <v>1</v>
      </c>
      <c r="G15" s="16" t="n">
        <v>24.5</v>
      </c>
      <c r="H15" s="16" t="n">
        <v>1.5</v>
      </c>
      <c r="I15" s="16" t="n">
        <v>0.1</v>
      </c>
      <c r="J15" s="16" t="n">
        <v>0.993</v>
      </c>
      <c r="K15" s="13">
        <f>ROUND(F15*G15*H15*I15*J15, 3)</f>
        <v/>
      </c>
      <c r="L15" s="12" t="inlineStr">
        <is>
          <t>3.65 m³ bê tông lót C10</t>
        </is>
      </c>
    </row>
    <row r="16">
      <c r="B16" s="11" t="inlineStr">
        <is>
          <t>2.4</t>
        </is>
      </c>
      <c r="C16" s="11" t="inlineStr"/>
      <c r="D16" s="12" t="inlineStr">
        <is>
          <t>- Ống thoát nước tường chắn PVC D90</t>
        </is>
      </c>
      <c r="E16" s="11" t="inlineStr">
        <is>
          <t>m</t>
        </is>
      </c>
      <c r="F16" s="11" t="n">
        <v>1</v>
      </c>
      <c r="G16" s="16" t="n">
        <v>21.4</v>
      </c>
      <c r="H16" s="16" t="n">
        <v>1</v>
      </c>
      <c r="I16" s="16" t="n">
        <v>1</v>
      </c>
      <c r="J16" s="16" t="n">
        <v>1</v>
      </c>
      <c r="K16" s="13">
        <f>ROUND(F16*G16, 1)</f>
        <v/>
      </c>
      <c r="L16" s="12" t="inlineStr">
        <is>
          <t>21.4m ống thoát nước</t>
        </is>
      </c>
    </row>
    <row r="17">
      <c r="B17" s="11" t="inlineStr">
        <is>
          <t>2.5</t>
        </is>
      </c>
      <c r="C17" s="11" t="inlineStr"/>
      <c r="D17" s="12" t="inlineStr">
        <is>
          <t>- Quét Bitum 2 lớp mặt sau tường chắn</t>
        </is>
      </c>
      <c r="E17" s="11" t="inlineStr">
        <is>
          <t>m²</t>
        </is>
      </c>
      <c r="F17" s="11" t="n">
        <v>1</v>
      </c>
      <c r="G17" s="16" t="n">
        <v>119.2</v>
      </c>
      <c r="H17" s="16" t="n">
        <v>1</v>
      </c>
      <c r="I17" s="16" t="n">
        <v>1</v>
      </c>
      <c r="J17" s="16" t="n">
        <v>1</v>
      </c>
      <c r="K17" s="13">
        <f>ROUND(F17*G17, 2)</f>
        <v/>
      </c>
      <c r="L17" s="12" t="inlineStr">
        <is>
          <t>119.20 m² quét phòng nước</t>
        </is>
      </c>
    </row>
    <row r="18">
      <c r="B18" s="11" t="inlineStr">
        <is>
          <t>2.6</t>
        </is>
      </c>
      <c r="C18" s="11" t="inlineStr"/>
      <c r="D18" s="12" t="inlineStr">
        <is>
          <t>- Đắp đất hoàn trả hố móng tường chắn K90</t>
        </is>
      </c>
      <c r="E18" s="11" t="inlineStr">
        <is>
          <t>m³</t>
        </is>
      </c>
      <c r="F18" s="11" t="n">
        <v>1</v>
      </c>
      <c r="G18" s="16" t="n">
        <v>14.27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14.27 m³ đắp hoàn trả</t>
        </is>
      </c>
    </row>
    <row r="19">
      <c r="B19" s="17" t="inlineStr"/>
      <c r="C19" s="18" t="inlineStr">
        <is>
          <t>Cộng Bê tông Tường chắn C15:</t>
        </is>
      </c>
      <c r="D19" s="17" t="n"/>
      <c r="E19" s="17" t="n"/>
      <c r="F19" s="17" t="n"/>
      <c r="G19" s="17" t="n"/>
      <c r="H19" s="17" t="n"/>
      <c r="I19" s="17" t="n"/>
      <c r="J19" s="17" t="n"/>
      <c r="K19" s="19">
        <f>K13</f>
        <v/>
      </c>
      <c r="L19" s="20" t="inlineStr">
        <is>
          <t>115.88 m³</t>
        </is>
      </c>
    </row>
    <row r="20">
      <c r="B20" s="9" t="inlineStr">
        <is>
          <t>3. KẾT CẤU ÁO ĐƯỜNG VUỐT NỐI 10M ĐẦU CẦU (MỐ M1 &amp; M2, TỔNG S=387.97M²)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B21" s="11" t="inlineStr">
        <is>
          <t>3.1</t>
        </is>
      </c>
      <c r="C21" s="11" t="inlineStr"/>
      <c r="D21" s="12" t="inlineStr">
        <is>
          <t>- Lớp hỗn hợp nhựa rỗng thoát nước 12.5 (dày 4cm)</t>
        </is>
      </c>
      <c r="E21" s="11" t="inlineStr">
        <is>
          <t>m²</t>
        </is>
      </c>
      <c r="F21" s="11" t="n">
        <v>2</v>
      </c>
      <c r="G21" s="16" t="n">
        <v>193.9825</v>
      </c>
      <c r="H21" s="16" t="n">
        <v>1</v>
      </c>
      <c r="I21" s="16" t="n">
        <v>1</v>
      </c>
      <c r="J21" s="16" t="n">
        <v>1</v>
      </c>
      <c r="K21" s="13">
        <f>ROUND(F21*G21, 2)</f>
        <v/>
      </c>
      <c r="L21" s="12" t="inlineStr">
        <is>
          <t>387.97 m² lớp mặt trên</t>
        </is>
      </c>
    </row>
    <row r="22">
      <c r="B22" s="11" t="inlineStr">
        <is>
          <t>3.2</t>
        </is>
      </c>
      <c r="C22" s="11" t="inlineStr"/>
      <c r="D22" s="12" t="inlineStr">
        <is>
          <t>- Tưới nhựa dính bám polyme 0.5 kg/m²</t>
        </is>
      </c>
      <c r="E22" s="11" t="inlineStr">
        <is>
          <t>m²</t>
        </is>
      </c>
      <c r="F22" s="11" t="n">
        <v>2</v>
      </c>
      <c r="G22" s="16" t="n">
        <v>193.9825</v>
      </c>
      <c r="H22" s="16" t="n">
        <v>1</v>
      </c>
      <c r="I22" s="16" t="n">
        <v>1</v>
      </c>
      <c r="J22" s="16" t="n">
        <v>1</v>
      </c>
      <c r="K22" s="13">
        <f>ROUND(F22*G22, 2)</f>
        <v/>
      </c>
      <c r="L22" s="12" t="inlineStr">
        <is>
          <t>387.97 m² tưới dính bám</t>
        </is>
      </c>
    </row>
    <row r="23">
      <c r="B23" s="11" t="inlineStr">
        <is>
          <t>3.3</t>
        </is>
      </c>
      <c r="C23" s="11" t="inlineStr"/>
      <c r="D23" s="12" t="inlineStr">
        <is>
          <t>- Bê tông nhựa chặt BTNC 19 (dày 7cm)</t>
        </is>
      </c>
      <c r="E23" s="11" t="inlineStr">
        <is>
          <t>m²</t>
        </is>
      </c>
      <c r="F23" s="11" t="n">
        <v>2</v>
      </c>
      <c r="G23" s="16" t="n">
        <v>193.9825</v>
      </c>
      <c r="H23" s="16" t="n">
        <v>1</v>
      </c>
      <c r="I23" s="16" t="n">
        <v>1</v>
      </c>
      <c r="J23" s="16" t="n">
        <v>1</v>
      </c>
      <c r="K23" s="13">
        <f>ROUND(F23*G23, 2)</f>
        <v/>
      </c>
      <c r="L23" s="12" t="inlineStr">
        <is>
          <t>387.97 m² BTNC 19</t>
        </is>
      </c>
    </row>
    <row r="24">
      <c r="B24" s="11" t="inlineStr">
        <is>
          <t>3.4</t>
        </is>
      </c>
      <c r="C24" s="11" t="inlineStr"/>
      <c r="D24" s="12" t="inlineStr">
        <is>
          <t>- Tưới nhựa dính bám 0.5 kg/m²</t>
        </is>
      </c>
      <c r="E24" s="11" t="inlineStr">
        <is>
          <t>m²</t>
        </is>
      </c>
      <c r="F24" s="11" t="n">
        <v>2</v>
      </c>
      <c r="G24" s="16" t="n">
        <v>193.9825</v>
      </c>
      <c r="H24" s="16" t="n">
        <v>1</v>
      </c>
      <c r="I24" s="16" t="n">
        <v>1</v>
      </c>
      <c r="J24" s="16" t="n">
        <v>1</v>
      </c>
      <c r="K24" s="13">
        <f>ROUND(F24*G24, 2)</f>
        <v/>
      </c>
      <c r="L24" s="12" t="inlineStr">
        <is>
          <t>387.97 m² tưới dính bám</t>
        </is>
      </c>
    </row>
    <row r="25">
      <c r="B25" s="11" t="inlineStr">
        <is>
          <t>3.5</t>
        </is>
      </c>
      <c r="C25" s="11" t="inlineStr"/>
      <c r="D25" s="12" t="inlineStr">
        <is>
          <t>- Hỗn hợp đá chặt gia cố nhựa nóng 25 (dày 8cm)</t>
        </is>
      </c>
      <c r="E25" s="11" t="inlineStr">
        <is>
          <t>m³</t>
        </is>
      </c>
      <c r="F25" s="11" t="n">
        <v>2</v>
      </c>
      <c r="G25" s="16" t="n">
        <v>193.9825</v>
      </c>
      <c r="H25" s="16" t="n">
        <v>0.08</v>
      </c>
      <c r="I25" s="16" t="n">
        <v>1</v>
      </c>
      <c r="J25" s="16" t="n">
        <v>1</v>
      </c>
      <c r="K25" s="13">
        <f>ROUND(F25*G25*H25, 2)</f>
        <v/>
      </c>
      <c r="L25" s="12" t="inlineStr">
        <is>
          <t>31.04 m³ đá đen gia cố</t>
        </is>
      </c>
    </row>
    <row r="26">
      <c r="B26" s="11" t="inlineStr">
        <is>
          <t>3.6</t>
        </is>
      </c>
      <c r="C26" s="11" t="inlineStr"/>
      <c r="D26" s="12" t="inlineStr">
        <is>
          <t>- Tưới nhựa thấm bám tiêu chuẩn 1.0 kg/m²</t>
        </is>
      </c>
      <c r="E26" s="11" t="inlineStr">
        <is>
          <t>m²</t>
        </is>
      </c>
      <c r="F26" s="11" t="n">
        <v>2</v>
      </c>
      <c r="G26" s="16" t="n">
        <v>193.9825</v>
      </c>
      <c r="H26" s="16" t="n">
        <v>1</v>
      </c>
      <c r="I26" s="16" t="n">
        <v>1</v>
      </c>
      <c r="J26" s="16" t="n">
        <v>1</v>
      </c>
      <c r="K26" s="13">
        <f>ROUND(F26*G26, 2)</f>
        <v/>
      </c>
      <c r="L26" s="12" t="inlineStr">
        <is>
          <t>387.97 m² tưới thấm bám</t>
        </is>
      </c>
    </row>
    <row r="27">
      <c r="B27" s="11" t="inlineStr">
        <is>
          <t>3.7</t>
        </is>
      </c>
      <c r="C27" s="11" t="inlineStr"/>
      <c r="D27" s="12" t="inlineStr">
        <is>
          <t>- Cấp phối đá dăm gia cố xi măng 5% (dày 14cm)</t>
        </is>
      </c>
      <c r="E27" s="11" t="inlineStr">
        <is>
          <t>m³</t>
        </is>
      </c>
      <c r="F27" s="11" t="n">
        <v>1</v>
      </c>
      <c r="G27" s="16" t="n">
        <v>53.46</v>
      </c>
      <c r="H27" s="16" t="n">
        <v>1</v>
      </c>
      <c r="I27" s="16" t="n">
        <v>1</v>
      </c>
      <c r="J27" s="16" t="n">
        <v>1</v>
      </c>
      <c r="K27" s="13">
        <f>ROUND(F27*G27, 2)</f>
        <v/>
      </c>
      <c r="L27" s="12" t="inlineStr">
        <is>
          <t>53.46 m³ móng bán cứng</t>
        </is>
      </c>
    </row>
    <row r="28">
      <c r="B28" s="11" t="inlineStr">
        <is>
          <t>3.8</t>
        </is>
      </c>
      <c r="C28" s="11" t="inlineStr"/>
      <c r="D28" s="12" t="inlineStr">
        <is>
          <t>- Lớp móng dưới CPĐD loại 1 (dày 30cm)</t>
        </is>
      </c>
      <c r="E28" s="11" t="inlineStr">
        <is>
          <t>m³</t>
        </is>
      </c>
      <c r="F28" s="11" t="n">
        <v>1</v>
      </c>
      <c r="G28" s="16" t="n">
        <v>82.76000000000001</v>
      </c>
      <c r="H28" s="16" t="n">
        <v>1</v>
      </c>
      <c r="I28" s="16" t="n">
        <v>1</v>
      </c>
      <c r="J28" s="16" t="n">
        <v>1</v>
      </c>
      <c r="K28" s="13">
        <f>ROUND(F28*G28, 2)</f>
        <v/>
      </c>
      <c r="L28" s="12" t="inlineStr">
        <is>
          <t>82.76 m³ móng dưới CPĐD</t>
        </is>
      </c>
    </row>
    <row r="29">
      <c r="B29" s="11" t="inlineStr">
        <is>
          <t>3.9</t>
        </is>
      </c>
      <c r="C29" s="11" t="inlineStr"/>
      <c r="D29" s="12" t="inlineStr">
        <is>
          <t>- Đắp đất nền đường K98 dày 30cm &amp; K95</t>
        </is>
      </c>
      <c r="E29" s="11" t="inlineStr">
        <is>
          <t>m³</t>
        </is>
      </c>
      <c r="F29" s="11" t="n">
        <v>1</v>
      </c>
      <c r="G29" s="16" t="n">
        <v>117.68</v>
      </c>
      <c r="H29" s="16" t="n">
        <v>1</v>
      </c>
      <c r="I29" s="16" t="n">
        <v>1</v>
      </c>
      <c r="J29" s="16" t="n">
        <v>1</v>
      </c>
      <c r="K29" s="13">
        <f>ROUND(F29*G29, 2)</f>
        <v/>
      </c>
      <c r="L29" s="12" t="inlineStr">
        <is>
          <t>117.68 m³ đắp nền K95/K98</t>
        </is>
      </c>
    </row>
    <row r="30">
      <c r="B30" s="17" t="inlineStr"/>
      <c r="C30" s="18" t="inlineStr">
        <is>
          <t>Cộng Diện tích Áo đường vuốt nối 10m đầu cầu:</t>
        </is>
      </c>
      <c r="D30" s="17" t="n"/>
      <c r="E30" s="17" t="n"/>
      <c r="F30" s="17" t="n"/>
      <c r="G30" s="17" t="n"/>
      <c r="H30" s="17" t="n"/>
      <c r="I30" s="17" t="n"/>
      <c r="J30" s="17" t="n"/>
      <c r="K30" s="19">
        <f>K21</f>
        <v/>
      </c>
      <c r="L30" s="20" t="inlineStr">
        <is>
          <t>387.97 m²</t>
        </is>
      </c>
    </row>
    <row r="31">
      <c r="B31" s="9" t="inlineStr">
        <is>
          <t>4. VẬT LIỆU DẠNG HẠT THOÁT NƯỚC GIẢM TẢI ĐẮP LÒNG MỐ K98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B32" s="11" t="inlineStr">
        <is>
          <t>4.1</t>
        </is>
      </c>
      <c r="C32" s="11" t="inlineStr"/>
      <c r="D32" s="12" t="inlineStr">
        <is>
          <t>- Vật liệu hạt chọn lọc thoát nước đắp lòng mố M1</t>
        </is>
      </c>
      <c r="E32" s="11" t="inlineStr">
        <is>
          <t>m³</t>
        </is>
      </c>
      <c r="F32" s="11" t="n">
        <v>1</v>
      </c>
      <c r="G32" s="16" t="n">
        <v>194.369</v>
      </c>
      <c r="H32" s="16" t="n">
        <v>1</v>
      </c>
      <c r="I32" s="16" t="n">
        <v>1</v>
      </c>
      <c r="J32" s="16" t="n">
        <v>1</v>
      </c>
      <c r="K32" s="13">
        <f>ROUND(F32*G32, 2)</f>
        <v/>
      </c>
      <c r="L32" s="12" t="inlineStr">
        <is>
          <t>194.37 m³ lòng mố M1</t>
        </is>
      </c>
    </row>
    <row r="33">
      <c r="B33" s="11" t="inlineStr">
        <is>
          <t>4.2</t>
        </is>
      </c>
      <c r="C33" s="11" t="inlineStr"/>
      <c r="D33" s="12" t="inlineStr">
        <is>
          <t>- Vật liệu hạt chọn lọc thoát nước đắp lòng mố M2</t>
        </is>
      </c>
      <c r="E33" s="11" t="inlineStr">
        <is>
          <t>m³</t>
        </is>
      </c>
      <c r="F33" s="11" t="n">
        <v>1</v>
      </c>
      <c r="G33" s="16" t="n">
        <v>818.586</v>
      </c>
      <c r="H33" s="16" t="n">
        <v>1</v>
      </c>
      <c r="I33" s="16" t="n">
        <v>1</v>
      </c>
      <c r="J33" s="16" t="n">
        <v>1</v>
      </c>
      <c r="K33" s="13">
        <f>ROUND(F33*G33, 2)</f>
        <v/>
      </c>
      <c r="L33" s="12" t="inlineStr">
        <is>
          <t>818.59 m³ lòng mố M2</t>
        </is>
      </c>
    </row>
    <row r="34">
      <c r="B34" s="17" t="inlineStr"/>
      <c r="C34" s="18" t="inlineStr">
        <is>
          <t>Cộng Vật liệu hạt đắp lòng mố K98:</t>
        </is>
      </c>
      <c r="D34" s="17" t="n"/>
      <c r="E34" s="17" t="n"/>
      <c r="F34" s="17" t="n"/>
      <c r="G34" s="17" t="n"/>
      <c r="H34" s="17" t="n"/>
      <c r="I34" s="17" t="n"/>
      <c r="J34" s="17" t="n"/>
      <c r="K34" s="19">
        <f>SUM(K32:K33)</f>
        <v/>
      </c>
      <c r="L34" s="20" t="inlineStr">
        <is>
          <t>1,012.96 m³</t>
        </is>
      </c>
    </row>
    <row r="35"/>
    <row r="36">
      <c r="I36" s="21" t="inlineStr">
        <is>
          <t>ĐÁ HỘC XÂY VỮA M100 (M3):</t>
        </is>
      </c>
      <c r="J36" s="22">
        <f>K11</f>
        <v/>
      </c>
    </row>
    <row r="37">
      <c r="I37" s="21" t="inlineStr">
        <is>
          <t>TƯỜNG CHẮN BÊ TÔNG C15 (M3):</t>
        </is>
      </c>
      <c r="J37" s="22">
        <f>K19</f>
        <v/>
      </c>
    </row>
    <row r="38">
      <c r="I38" s="21" t="inlineStr">
        <is>
          <t>ÁO ĐƯỜNG VUỐT NỐI (M2):</t>
        </is>
      </c>
      <c r="J38" s="22">
        <f>K30</f>
        <v/>
      </c>
    </row>
    <row r="39">
      <c r="I39" s="21" t="inlineStr">
        <is>
          <t>VẬT LIỆU HẠT ĐẮP LÒNG MỐ (M3):</t>
        </is>
      </c>
      <c r="J39" s="22">
        <f>K34</f>
        <v/>
      </c>
    </row>
  </sheetData>
  <mergeCells count="8">
    <mergeCell ref="C34:J34"/>
    <mergeCell ref="B12:L12"/>
    <mergeCell ref="B6:L6"/>
    <mergeCell ref="C30:J30"/>
    <mergeCell ref="C11:J11"/>
    <mergeCell ref="B20:L20"/>
    <mergeCell ref="C19:J19"/>
    <mergeCell ref="B31:L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94" customWidth="1" min="2" max="2"/>
    <col width="41" customWidth="1" min="3" max="3"/>
    <col width="68" customWidth="1" min="4" max="4"/>
    <col width="11" customWidth="1" min="5" max="5"/>
    <col width="15" customWidth="1" min="6" max="6"/>
    <col width="12" customWidth="1" min="7" max="7"/>
    <col width="13" customWidth="1" min="8" max="8"/>
    <col width="16" customWidth="1" min="9" max="9"/>
    <col width="29" customWidth="1" min="10" max="10"/>
    <col width="36" customWidth="1" min="11" max="11"/>
    <col width="30" customWidth="1" min="12" max="12"/>
  </cols>
  <sheetData>
    <row r="1"/>
    <row r="2">
      <c r="B2" s="1" t="inlineStr">
        <is>
          <t>BẢNG DIỄN GIẢI HÌNH HỌC CHI TIẾT BIỆN PHÁP THI CÔNG &amp; CÔNG TRÌNH PHỤ TRỢ</t>
        </is>
      </c>
    </row>
    <row r="3">
      <c r="B3" s="2" t="inlineStr">
        <is>
          <t>Bệ đúc dầm Super-T, Đường công vụ DCV6/DCV6A, Xe lao dầm 130T &amp; Đà giáo sàn công tác mố trụ</t>
        </is>
      </c>
    </row>
    <row r="4"/>
    <row r="5">
      <c r="B5" s="8" t="inlineStr">
        <is>
          <t>STT</t>
        </is>
      </c>
      <c r="C5" s="8" t="inlineStr">
        <is>
          <t>Mã hiệu</t>
        </is>
      </c>
      <c r="D5" s="8" t="inlineStr">
        <is>
          <t>Bộ phận kết cấu &amp; Diễn giải hình học chi tiết</t>
        </is>
      </c>
      <c r="E5" s="8" t="inlineStr">
        <is>
          <t>ĐVT</t>
        </is>
      </c>
      <c r="F5" s="8" t="inlineStr">
        <is>
          <t>n (Số lượng)</t>
        </is>
      </c>
      <c r="G5" s="8" t="inlineStr">
        <is>
          <t>Dài L (m)</t>
        </is>
      </c>
      <c r="H5" s="8" t="inlineStr">
        <is>
          <t>Rộng B (m)</t>
        </is>
      </c>
      <c r="I5" s="8" t="inlineStr">
        <is>
          <t>Cao/Dày H (m)</t>
        </is>
      </c>
      <c r="J5" s="8" t="inlineStr">
        <is>
          <t>Hệ số k / Diện tích F (m²)</t>
        </is>
      </c>
      <c r="K5" s="8" t="inlineStr">
        <is>
          <t>Khối lượng Bóc tách (Formula 365)</t>
        </is>
      </c>
      <c r="L5" s="8" t="inlineStr">
        <is>
          <t>Ghi chú &amp; Ký hiệu CAD</t>
        </is>
      </c>
    </row>
    <row r="6">
      <c r="B6" s="9" t="inlineStr">
        <is>
          <t>1. BỆ ĐÚC DẦM SUPER-T 38.2M TẠI BÃI ĐÚC (04 BỆ ĐÚC)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B7" s="11" t="inlineStr">
        <is>
          <t>1.1</t>
        </is>
      </c>
      <c r="C7" s="11" t="inlineStr"/>
      <c r="D7" s="12" t="inlineStr">
        <is>
          <t>- Đào đất hố móng bệ đúc dầm (4 bệ x 40m x 2.2m x 0.35m)</t>
        </is>
      </c>
      <c r="E7" s="11" t="inlineStr">
        <is>
          <t>m³</t>
        </is>
      </c>
      <c r="F7" s="11" t="n">
        <v>4</v>
      </c>
      <c r="G7" s="16" t="n">
        <v>40</v>
      </c>
      <c r="H7" s="16" t="n">
        <v>2.2</v>
      </c>
      <c r="I7" s="16" t="n">
        <v>0.35</v>
      </c>
      <c r="J7" s="16" t="n">
        <v>1</v>
      </c>
      <c r="K7" s="13">
        <f>ROUND(F7*G7*H7*I7*J7, 3)</f>
        <v/>
      </c>
      <c r="L7" s="12" t="inlineStr">
        <is>
          <t>123.60 m³ đào đất bãi đúc</t>
        </is>
      </c>
    </row>
    <row r="8">
      <c r="B8" s="11" t="inlineStr">
        <is>
          <t>1.2</t>
        </is>
      </c>
      <c r="C8" s="11" t="inlineStr"/>
      <c r="D8" s="12" t="inlineStr">
        <is>
          <t>- Đầm chặt đất nền bệ đúc dầm</t>
        </is>
      </c>
      <c r="E8" s="11" t="inlineStr">
        <is>
          <t>m²</t>
        </is>
      </c>
      <c r="F8" s="11" t="n">
        <v>4</v>
      </c>
      <c r="G8" s="16" t="n">
        <v>40.5</v>
      </c>
      <c r="H8" s="16" t="n">
        <v>1</v>
      </c>
      <c r="I8" s="16" t="n">
        <v>1</v>
      </c>
      <c r="J8" s="16" t="n">
        <v>1</v>
      </c>
      <c r="K8" s="13">
        <f>ROUND(F8*G8, 2)</f>
        <v/>
      </c>
      <c r="L8" s="12" t="inlineStr">
        <is>
          <t>162.00 m² đầm nền</t>
        </is>
      </c>
    </row>
    <row r="9">
      <c r="B9" s="11" t="inlineStr">
        <is>
          <t>1.3</t>
        </is>
      </c>
      <c r="C9" s="11" t="inlineStr"/>
      <c r="D9" s="12" t="inlineStr">
        <is>
          <t>- Đá dăm đệm bệ đúc dày 10cm</t>
        </is>
      </c>
      <c r="E9" s="11" t="inlineStr">
        <is>
          <t>m³</t>
        </is>
      </c>
      <c r="F9" s="11" t="n">
        <v>4</v>
      </c>
      <c r="G9" s="16" t="n">
        <v>25.38</v>
      </c>
      <c r="H9" s="16" t="n">
        <v>1</v>
      </c>
      <c r="I9" s="16" t="n">
        <v>1</v>
      </c>
      <c r="J9" s="16" t="n">
        <v>1</v>
      </c>
      <c r="K9" s="13">
        <f>ROUND(F9*G9, 2)</f>
        <v/>
      </c>
      <c r="L9" s="12" t="inlineStr">
        <is>
          <t>101.52 m³ đá dăm</t>
        </is>
      </c>
    </row>
    <row r="10">
      <c r="B10" s="11" t="inlineStr">
        <is>
          <t>1.4</t>
        </is>
      </c>
      <c r="C10" s="11" t="inlineStr"/>
      <c r="D10" s="12" t="inlineStr">
        <is>
          <t>- Bê tông bệ đúc dầm C20 (thân bệ dày 30cm &amp; đầu bệ)</t>
        </is>
      </c>
      <c r="E10" s="11" t="inlineStr">
        <is>
          <t>m³</t>
        </is>
      </c>
      <c r="F10" s="11" t="n">
        <v>4</v>
      </c>
      <c r="G10" s="16" t="n">
        <v>17.1</v>
      </c>
      <c r="H10" s="16" t="n">
        <v>1</v>
      </c>
      <c r="I10" s="16" t="n">
        <v>1</v>
      </c>
      <c r="J10" s="16" t="n">
        <v>1</v>
      </c>
      <c r="K10" s="13">
        <f>ROUND(F10*G10, 2)</f>
        <v/>
      </c>
      <c r="L10" s="12" t="inlineStr">
        <is>
          <t>68.40 m³ bê tông C20</t>
        </is>
      </c>
    </row>
    <row r="11">
      <c r="B11" s="11" t="inlineStr">
        <is>
          <t>1.5</t>
        </is>
      </c>
      <c r="C11" s="11" t="inlineStr"/>
      <c r="D11" s="12" t="inlineStr">
        <is>
          <t>- Cốt thép bệ đúc dầm D20 (thép lưới &amp; neo đầu bệ)</t>
        </is>
      </c>
      <c r="E11" s="11" t="inlineStr">
        <is>
          <t>Tấn</t>
        </is>
      </c>
      <c r="F11" s="11" t="n">
        <v>4</v>
      </c>
      <c r="G11" s="16" t="n">
        <v>1.619</v>
      </c>
      <c r="H11" s="16" t="n">
        <v>1</v>
      </c>
      <c r="I11" s="16" t="n">
        <v>1</v>
      </c>
      <c r="J11" s="16" t="n">
        <v>1</v>
      </c>
      <c r="K11" s="13">
        <f>ROUND(F11*G11, 3)</f>
        <v/>
      </c>
      <c r="L11" s="12" t="inlineStr">
        <is>
          <t>6.477 Tấn thép D20</t>
        </is>
      </c>
    </row>
    <row r="12">
      <c r="B12" s="11" t="inlineStr">
        <is>
          <t>1.6</t>
        </is>
      </c>
      <c r="C12" s="11" t="inlineStr"/>
      <c r="D12" s="12" t="inlineStr">
        <is>
          <t>- Thép hình kê đáy dầm 2U120 &amp; I200</t>
        </is>
      </c>
      <c r="E12" s="11" t="inlineStr">
        <is>
          <t>Tấn</t>
        </is>
      </c>
      <c r="F12" s="11" t="n">
        <v>4</v>
      </c>
      <c r="G12" s="16" t="n">
        <v>1.015</v>
      </c>
      <c r="H12" s="16" t="n">
        <v>1</v>
      </c>
      <c r="I12" s="16" t="n">
        <v>1</v>
      </c>
      <c r="J12" s="16" t="n">
        <v>1</v>
      </c>
      <c r="K12" s="13">
        <f>ROUND(F12*G12, 3)</f>
        <v/>
      </c>
      <c r="L12" s="12" t="inlineStr">
        <is>
          <t>4.060 Tấn thép hình kê</t>
        </is>
      </c>
    </row>
    <row r="13">
      <c r="B13" s="11" t="inlineStr">
        <is>
          <t>1.7</t>
        </is>
      </c>
      <c r="C13" s="11" t="inlineStr"/>
      <c r="D13" s="12" t="inlineStr">
        <is>
          <t>- Ván khuôn bệ đúc dầm (đáy dầm, thành dầm &amp; ván khuôn đệm)</t>
        </is>
      </c>
      <c r="E13" s="11" t="inlineStr">
        <is>
          <t>m²</t>
        </is>
      </c>
      <c r="F13" s="11" t="n">
        <v>4</v>
      </c>
      <c r="G13" s="16" t="n">
        <v>115.93</v>
      </c>
      <c r="H13" s="16" t="n">
        <v>1</v>
      </c>
      <c r="I13" s="16" t="n">
        <v>1</v>
      </c>
      <c r="J13" s="16" t="n">
        <v>1</v>
      </c>
      <c r="K13" s="13">
        <f>ROUND(F13*G13, 2)</f>
        <v/>
      </c>
      <c r="L13" s="12" t="inlineStr">
        <is>
          <t>463.70 m² ván khuôn bãi đúc</t>
        </is>
      </c>
    </row>
    <row r="14">
      <c r="B14" s="17" t="inlineStr"/>
      <c r="C14" s="18" t="inlineStr">
        <is>
          <t>Cộng Bê tông Bệ đúc dầm C20:</t>
        </is>
      </c>
      <c r="D14" s="17" t="n"/>
      <c r="E14" s="17" t="n"/>
      <c r="F14" s="17" t="n"/>
      <c r="G14" s="17" t="n"/>
      <c r="H14" s="17" t="n"/>
      <c r="I14" s="17" t="n"/>
      <c r="J14" s="17" t="n"/>
      <c r="K14" s="19">
        <f>K10</f>
        <v/>
      </c>
      <c r="L14" s="20" t="inlineStr">
        <is>
          <t>68.40 m³</t>
        </is>
      </c>
    </row>
    <row r="15">
      <c r="B15" s="9" t="inlineStr">
        <is>
          <t>2. ĐƯỜNG CÔNG VỤ TIẾP CẬN THI CÔNG DCV6 &amp; DCV6A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B16" s="11" t="inlineStr">
        <is>
          <t>2.1</t>
        </is>
      </c>
      <c r="C16" s="11" t="inlineStr"/>
      <c r="D16" s="12" t="inlineStr">
        <is>
          <t>- Đào đất nền đường công vụ DCV6 (tiếp cận M1 &amp; T1, 10 cọc)</t>
        </is>
      </c>
      <c r="E16" s="11" t="inlineStr">
        <is>
          <t>m³</t>
        </is>
      </c>
      <c r="F16" s="11" t="n">
        <v>1</v>
      </c>
      <c r="G16" s="16" t="n">
        <v>2860.5</v>
      </c>
      <c r="H16" s="16" t="n">
        <v>1</v>
      </c>
      <c r="I16" s="16" t="n">
        <v>1</v>
      </c>
      <c r="J16" s="16" t="n">
        <v>1</v>
      </c>
      <c r="K16" s="13">
        <f>ROUND(F16*G16, 2)</f>
        <v/>
      </c>
      <c r="L16" s="12" t="inlineStr">
        <is>
          <t>Đào nền đường DCV6</t>
        </is>
      </c>
    </row>
    <row r="17">
      <c r="B17" s="11" t="inlineStr">
        <is>
          <t>2.2</t>
        </is>
      </c>
      <c r="C17" s="11" t="inlineStr"/>
      <c r="D17" s="12" t="inlineStr">
        <is>
          <t>- Đắp đất nền đường công vụ DCV6</t>
        </is>
      </c>
      <c r="E17" s="11" t="inlineStr">
        <is>
          <t>m³</t>
        </is>
      </c>
      <c r="F17" s="11" t="n">
        <v>1</v>
      </c>
      <c r="G17" s="16" t="n">
        <v>412.3</v>
      </c>
      <c r="H17" s="16" t="n">
        <v>1</v>
      </c>
      <c r="I17" s="16" t="n">
        <v>1</v>
      </c>
      <c r="J17" s="16" t="n">
        <v>1</v>
      </c>
      <c r="K17" s="13">
        <f>ROUND(F17*G17, 2)</f>
        <v/>
      </c>
      <c r="L17" s="12" t="inlineStr">
        <is>
          <t>Đắp nền đường DCV6</t>
        </is>
      </c>
    </row>
    <row r="18">
      <c r="B18" s="11" t="inlineStr">
        <is>
          <t>2.3</t>
        </is>
      </c>
      <c r="C18" s="11" t="inlineStr"/>
      <c r="D18" s="12" t="inlineStr">
        <is>
          <t>- Mặt đường cấp phối đá dăm loại II dày 20cm DCV6</t>
        </is>
      </c>
      <c r="E18" s="11" t="inlineStr">
        <is>
          <t>m³</t>
        </is>
      </c>
      <c r="F18" s="11" t="n">
        <v>1</v>
      </c>
      <c r="G18" s="16" t="n">
        <v>345</v>
      </c>
      <c r="H18" s="16" t="n">
        <v>1</v>
      </c>
      <c r="I18" s="16" t="n">
        <v>1</v>
      </c>
      <c r="J18" s="16" t="n">
        <v>1</v>
      </c>
      <c r="K18" s="13">
        <f>ROUND(F18*G18, 2)</f>
        <v/>
      </c>
      <c r="L18" s="12" t="inlineStr">
        <is>
          <t>Mặt đường cấp phối DCV6</t>
        </is>
      </c>
    </row>
    <row r="19">
      <c r="B19" s="11" t="inlineStr">
        <is>
          <t>2.4</t>
        </is>
      </c>
      <c r="C19" s="11" t="inlineStr"/>
      <c r="D19" s="12" t="inlineStr">
        <is>
          <t>- Đào đất nền đường công vụ DCV6A (tiếp cận T2 &amp; M2, 6 cọc)</t>
        </is>
      </c>
      <c r="E19" s="11" t="inlineStr">
        <is>
          <t>m³</t>
        </is>
      </c>
      <c r="F19" s="11" t="n">
        <v>1</v>
      </c>
      <c r="G19" s="16" t="n">
        <v>1940.2</v>
      </c>
      <c r="H19" s="16" t="n">
        <v>1</v>
      </c>
      <c r="I19" s="16" t="n">
        <v>1</v>
      </c>
      <c r="J19" s="16" t="n">
        <v>1</v>
      </c>
      <c r="K19" s="13">
        <f>ROUND(F19*G19, 2)</f>
        <v/>
      </c>
      <c r="L19" s="12" t="inlineStr">
        <is>
          <t>Đào nền đường DCV6A</t>
        </is>
      </c>
    </row>
    <row r="20">
      <c r="B20" s="11" t="inlineStr">
        <is>
          <t>2.5</t>
        </is>
      </c>
      <c r="C20" s="11" t="inlineStr"/>
      <c r="D20" s="12" t="inlineStr">
        <is>
          <t>- Mặt đường cấp phối đá dăm loại II dày 20cm DCV6A</t>
        </is>
      </c>
      <c r="E20" s="11" t="inlineStr">
        <is>
          <t>m³</t>
        </is>
      </c>
      <c r="F20" s="11" t="n">
        <v>1</v>
      </c>
      <c r="G20" s="16" t="n">
        <v>280</v>
      </c>
      <c r="H20" s="16" t="n">
        <v>1</v>
      </c>
      <c r="I20" s="16" t="n">
        <v>1</v>
      </c>
      <c r="J20" s="16" t="n">
        <v>1</v>
      </c>
      <c r="K20" s="13">
        <f>ROUND(F20*G20, 2)</f>
        <v/>
      </c>
      <c r="L20" s="12" t="inlineStr">
        <is>
          <t>Mặt đường cấp phối DCV6A</t>
        </is>
      </c>
    </row>
    <row r="21">
      <c r="B21" s="17" t="inlineStr"/>
      <c r="C21" s="18" t="inlineStr">
        <is>
          <t>Cộng Khối lượng Đào nền đường công vụ:</t>
        </is>
      </c>
      <c r="D21" s="17" t="n"/>
      <c r="E21" s="17" t="n"/>
      <c r="F21" s="17" t="n"/>
      <c r="G21" s="17" t="n"/>
      <c r="H21" s="17" t="n"/>
      <c r="I21" s="17" t="n"/>
      <c r="J21" s="17" t="n"/>
      <c r="K21" s="19">
        <f>K16+K19</f>
        <v/>
      </c>
      <c r="L21" s="20" t="inlineStr">
        <is>
          <t>4,800.70 m³</t>
        </is>
      </c>
    </row>
    <row r="22">
      <c r="B22" s="9" t="inlineStr">
        <is>
          <t>3. GIÁ LAO DẦM 130T &amp; HỆ RAY LAO DẦM P43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B23" s="11" t="inlineStr">
        <is>
          <t>3.1</t>
        </is>
      </c>
      <c r="C23" s="11" t="inlineStr"/>
      <c r="D23" s="12" t="inlineStr">
        <is>
          <t>- Giá lao dầm 130T (hệ giàn thép 10 đốt dầm D1-D10)</t>
        </is>
      </c>
      <c r="E23" s="11" t="inlineStr">
        <is>
          <t>Tấn</t>
        </is>
      </c>
      <c r="F23" s="11" t="n">
        <v>1</v>
      </c>
      <c r="G23" s="16" t="n">
        <v>78.883</v>
      </c>
      <c r="H23" s="16" t="n">
        <v>1</v>
      </c>
      <c r="I23" s="16" t="n">
        <v>1</v>
      </c>
      <c r="J23" s="16" t="n">
        <v>1</v>
      </c>
      <c r="K23" s="13">
        <f>ROUND(F23*G23, 3)</f>
        <v/>
      </c>
      <c r="L23" s="12" t="inlineStr">
        <is>
          <t>78.883 Tấn giá lao dầm</t>
        </is>
      </c>
    </row>
    <row r="24">
      <c r="B24" s="11" t="inlineStr">
        <is>
          <t>3.2</t>
        </is>
      </c>
      <c r="C24" s="11" t="inlineStr"/>
      <c r="D24" s="12" t="inlineStr">
        <is>
          <t>- Ray dẫn hướng P43 đường lao đầu cầu (108m x 44.6 kg/m)</t>
        </is>
      </c>
      <c r="E24" s="11" t="inlineStr">
        <is>
          <t>Tấn</t>
        </is>
      </c>
      <c r="F24" s="11" t="n">
        <v>1</v>
      </c>
      <c r="G24" s="16" t="n">
        <v>4.817</v>
      </c>
      <c r="H24" s="16" t="n">
        <v>1</v>
      </c>
      <c r="I24" s="16" t="n">
        <v>1</v>
      </c>
      <c r="J24" s="16" t="n">
        <v>1</v>
      </c>
      <c r="K24" s="13">
        <f>ROUND(F24*G24, 3)</f>
        <v/>
      </c>
      <c r="L24" s="12" t="inlineStr">
        <is>
          <t>4.817 Tấn ray P43</t>
        </is>
      </c>
    </row>
    <row r="25">
      <c r="B25" s="11" t="inlineStr">
        <is>
          <t>3.3</t>
        </is>
      </c>
      <c r="C25" s="11" t="inlineStr"/>
      <c r="D25" s="12" t="inlineStr">
        <is>
          <t>- Ray dẫn hướng P43 trên nhịp (160m + 25m)</t>
        </is>
      </c>
      <c r="E25" s="11" t="inlineStr">
        <is>
          <t>Tấn</t>
        </is>
      </c>
      <c r="F25" s="11" t="n">
        <v>1</v>
      </c>
      <c r="G25" s="16" t="n">
        <v>8.250999999999999</v>
      </c>
      <c r="H25" s="16" t="n">
        <v>1</v>
      </c>
      <c r="I25" s="16" t="n">
        <v>1</v>
      </c>
      <c r="J25" s="16" t="n">
        <v>1</v>
      </c>
      <c r="K25" s="13">
        <f>ROUND(F25*G25, 3)</f>
        <v/>
      </c>
      <c r="L25" s="12" t="inlineStr">
        <is>
          <t>8.251 Tấn ray P43 trên nhịp</t>
        </is>
      </c>
    </row>
    <row r="26">
      <c r="B26" s="11" t="inlineStr">
        <is>
          <t>3.4</t>
        </is>
      </c>
      <c r="C26" s="11" t="inlineStr"/>
      <c r="D26" s="12" t="inlineStr">
        <is>
          <t>- Tà vẹt gỗ 18x20x200cm kê ray</t>
        </is>
      </c>
      <c r="E26" s="11" t="inlineStr">
        <is>
          <t>Cái</t>
        </is>
      </c>
      <c r="F26" s="11" t="n">
        <v>1</v>
      </c>
      <c r="G26" s="16" t="n">
        <v>268</v>
      </c>
      <c r="H26" s="16" t="n">
        <v>1</v>
      </c>
      <c r="I26" s="16" t="n">
        <v>1</v>
      </c>
      <c r="J26" s="16" t="n">
        <v>1</v>
      </c>
      <c r="K26" s="13">
        <f>ROUND(F26*G26, 0)</f>
        <v/>
      </c>
      <c r="L26" s="12" t="inlineStr">
        <is>
          <t>268 cái tà vẹt gỗ</t>
        </is>
      </c>
    </row>
    <row r="27">
      <c r="B27" s="11" t="inlineStr">
        <is>
          <t>3.5</t>
        </is>
      </c>
      <c r="C27" s="11" t="inlineStr"/>
      <c r="D27" s="12" t="inlineStr">
        <is>
          <t>- Xe goòng vận chuyển dầm từ bãi đúc ra vị trí lao</t>
        </is>
      </c>
      <c r="E27" s="11" t="inlineStr">
        <is>
          <t>Xe</t>
        </is>
      </c>
      <c r="F27" s="11" t="n">
        <v>2</v>
      </c>
      <c r="G27" s="16" t="n">
        <v>1</v>
      </c>
      <c r="H27" s="16" t="n">
        <v>1</v>
      </c>
      <c r="I27" s="16" t="n">
        <v>1</v>
      </c>
      <c r="J27" s="16" t="n">
        <v>1</v>
      </c>
      <c r="K27" s="13">
        <f>ROUND(F27, 0)</f>
        <v/>
      </c>
      <c r="L27" s="12" t="inlineStr">
        <is>
          <t>2 xe goòng chở dầm</t>
        </is>
      </c>
    </row>
    <row r="28">
      <c r="B28" s="17" t="inlineStr"/>
      <c r="C28" s="18" t="inlineStr">
        <is>
          <t>Cộng Kết cấu thép Lao dầm (Tấn):</t>
        </is>
      </c>
      <c r="D28" s="17" t="n"/>
      <c r="E28" s="17" t="n"/>
      <c r="F28" s="17" t="n"/>
      <c r="G28" s="17" t="n"/>
      <c r="H28" s="17" t="n"/>
      <c r="I28" s="17" t="n"/>
      <c r="J28" s="17" t="n"/>
      <c r="K28" s="19">
        <f>SUM(K23:K25)</f>
        <v/>
      </c>
      <c r="L28" s="20" t="inlineStr">
        <is>
          <t>91.951 Tấn</t>
        </is>
      </c>
    </row>
    <row r="29">
      <c r="B29" s="9" t="inlineStr">
        <is>
          <t>4. HỆ ĐÀ GIÁO XÀ MŨ &amp; SÀN CÔNG TÁC MỐ TRỤ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B30" s="11" t="inlineStr">
        <is>
          <t>4.1</t>
        </is>
      </c>
      <c r="C30" s="11" t="inlineStr"/>
      <c r="D30" s="12" t="inlineStr">
        <is>
          <t>- Hệ dầm thép đỡ xà mũ trụ T1 &amp; T2 (Dầm I600, I300, giằng U100)</t>
        </is>
      </c>
      <c r="E30" s="11" t="inlineStr">
        <is>
          <t>Tấn</t>
        </is>
      </c>
      <c r="F30" s="11" t="n">
        <v>1</v>
      </c>
      <c r="G30" s="16" t="n">
        <v>34.55</v>
      </c>
      <c r="H30" s="16" t="n">
        <v>1</v>
      </c>
      <c r="I30" s="16" t="n">
        <v>1</v>
      </c>
      <c r="J30" s="16" t="n">
        <v>1</v>
      </c>
      <c r="K30" s="13">
        <f>ROUND(F30*G30, 3)</f>
        <v/>
      </c>
      <c r="L30" s="12" t="inlineStr">
        <is>
          <t>34.55 Tấn đà giáo chịu lực</t>
        </is>
      </c>
    </row>
    <row r="31">
      <c r="B31" s="11" t="inlineStr">
        <is>
          <t>4.2</t>
        </is>
      </c>
      <c r="C31" s="11" t="inlineStr"/>
      <c r="D31" s="12" t="inlineStr">
        <is>
          <t>- Sàn công tác an toàn thi công thân mố M1, M2</t>
        </is>
      </c>
      <c r="E31" s="11" t="inlineStr">
        <is>
          <t>Tấn</t>
        </is>
      </c>
      <c r="F31" s="11" t="n">
        <v>1</v>
      </c>
      <c r="G31" s="16" t="n">
        <v>1.25</v>
      </c>
      <c r="H31" s="16" t="n">
        <v>1</v>
      </c>
      <c r="I31" s="16" t="n">
        <v>1</v>
      </c>
      <c r="J31" s="16" t="n">
        <v>1</v>
      </c>
      <c r="K31" s="13">
        <f>ROUND(F31*G31, 3)</f>
        <v/>
      </c>
      <c r="L31" s="12" t="inlineStr">
        <is>
          <t>1.25 Tấn sàn thao tác</t>
        </is>
      </c>
    </row>
    <row r="32">
      <c r="B32" s="11" t="inlineStr">
        <is>
          <t>4.3</t>
        </is>
      </c>
      <c r="C32" s="11" t="inlineStr"/>
      <c r="D32" s="12" t="inlineStr">
        <is>
          <t>- Sàn công tác an toàn thi công thân trụ ovan T1, T2 (H=14m, 18m)</t>
        </is>
      </c>
      <c r="E32" s="11" t="inlineStr">
        <is>
          <t>Tấn</t>
        </is>
      </c>
      <c r="F32" s="11" t="n">
        <v>1</v>
      </c>
      <c r="G32" s="16" t="n">
        <v>2.85</v>
      </c>
      <c r="H32" s="16" t="n">
        <v>1</v>
      </c>
      <c r="I32" s="16" t="n">
        <v>1</v>
      </c>
      <c r="J32" s="16" t="n">
        <v>1</v>
      </c>
      <c r="K32" s="13">
        <f>ROUND(F32*G32, 3)</f>
        <v/>
      </c>
      <c r="L32" s="12" t="inlineStr">
        <is>
          <t>2.85 Tấn giáo leo an toàn</t>
        </is>
      </c>
    </row>
    <row r="33">
      <c r="B33" s="11" t="inlineStr">
        <is>
          <t>4.4</t>
        </is>
      </c>
      <c r="C33" s="11" t="inlineStr"/>
      <c r="D33" s="12" t="inlineStr">
        <is>
          <t>- Xe đúc gờ lan can di động &amp; sàn thao tác BMC</t>
        </is>
      </c>
      <c r="E33" s="11" t="inlineStr">
        <is>
          <t>Tấn</t>
        </is>
      </c>
      <c r="F33" s="11" t="n">
        <v>1</v>
      </c>
      <c r="G33" s="16" t="n">
        <v>4.5</v>
      </c>
      <c r="H33" s="16" t="n">
        <v>1</v>
      </c>
      <c r="I33" s="16" t="n">
        <v>1</v>
      </c>
      <c r="J33" s="16" t="n">
        <v>1</v>
      </c>
      <c r="K33" s="13">
        <f>ROUND(F33*G33, 3)</f>
        <v/>
      </c>
      <c r="L33" s="12" t="inlineStr">
        <is>
          <t>4.50 Tấn xe đúc gờ</t>
        </is>
      </c>
    </row>
    <row r="34">
      <c r="B34" s="17" t="inlineStr"/>
      <c r="C34" s="18" t="inlineStr">
        <is>
          <t>Cộng Thép đà giáo sàn công tác (Tấn):</t>
        </is>
      </c>
      <c r="D34" s="17" t="n"/>
      <c r="E34" s="17" t="n"/>
      <c r="F34" s="17" t="n"/>
      <c r="G34" s="17" t="n"/>
      <c r="H34" s="17" t="n"/>
      <c r="I34" s="17" t="n"/>
      <c r="J34" s="17" t="n"/>
      <c r="K34" s="19">
        <f>SUM(K30:K33)</f>
        <v/>
      </c>
      <c r="L34" s="20" t="inlineStr">
        <is>
          <t>43.150 Tấn</t>
        </is>
      </c>
    </row>
  </sheetData>
  <mergeCells count="8">
    <mergeCell ref="C34:J34"/>
    <mergeCell ref="C21:J21"/>
    <mergeCell ref="B6:L6"/>
    <mergeCell ref="B15:L15"/>
    <mergeCell ref="B29:L29"/>
    <mergeCell ref="C14:J14"/>
    <mergeCell ref="C28:J28"/>
    <mergeCell ref="B22:L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94" customWidth="1" min="2" max="2"/>
    <col width="13" customWidth="1" min="3" max="3"/>
    <col width="50" customWidth="1" min="4" max="4"/>
    <col width="42" customWidth="1" min="5" max="5"/>
    <col width="42" customWidth="1" min="6" max="6"/>
    <col width="44" customWidth="1" min="7" max="7"/>
    <col width="34" customWidth="1" min="8" max="8"/>
  </cols>
  <sheetData>
    <row r="1"/>
    <row r="2">
      <c r="B2" s="1" t="inlineStr">
        <is>
          <t>BẢNG TIÊN LƯỢNG TỔNG HỢP TOÀN BỘ CÔNG TRÌNH (MASTER BILL OF QUANTITIES)</t>
        </is>
      </c>
    </row>
    <row r="3">
      <c r="B3" s="2" t="inlineStr">
        <is>
          <t>Phân cấp WBS chuẩn Bộ GTVT / Bộ Xây dựng | Liên kết động 100% từ 5 Sheet Diễn giải Hình học</t>
        </is>
      </c>
    </row>
    <row r="4"/>
    <row r="5">
      <c r="B5" s="8" t="inlineStr">
        <is>
          <t>STT</t>
        </is>
      </c>
      <c r="C5" s="8" t="inlineStr">
        <is>
          <t>Mã hiệu ĐM</t>
        </is>
      </c>
      <c r="D5" s="8" t="inlineStr">
        <is>
          <t>Hạng mục công việc / Cấu kiện</t>
        </is>
      </c>
      <c r="E5" s="8" t="inlineStr">
        <is>
          <t>Quy cách vật liệu / Tiêu chuẩn kỹ thuật</t>
        </is>
      </c>
      <c r="F5" s="8" t="inlineStr">
        <is>
          <t>ĐVT</t>
        </is>
      </c>
      <c r="G5" s="8" t="inlineStr">
        <is>
          <t>Khối lượng Thiết kế (365 Dynamic Formula)</t>
        </is>
      </c>
      <c r="H5" s="8" t="inlineStr">
        <is>
          <t>Ghi chú phân hệ &amp; Sheet nguồn</t>
        </is>
      </c>
    </row>
    <row r="6">
      <c r="B6" s="9" t="inlineStr">
        <is>
          <t>A. PHẦN I: KẾT CẤU PHẦN TRÊN (SUPERSTRUCTURE)</t>
        </is>
      </c>
      <c r="C6" s="10" t="n"/>
      <c r="D6" s="10" t="n"/>
      <c r="E6" s="10" t="n"/>
      <c r="F6" s="10" t="n"/>
      <c r="G6" s="10" t="n"/>
      <c r="H6" s="10" t="n"/>
    </row>
    <row r="7">
      <c r="B7" s="11" t="inlineStr">
        <is>
          <t>1</t>
        </is>
      </c>
      <c r="C7" s="11" t="inlineStr">
        <is>
          <t>AF.22110</t>
        </is>
      </c>
      <c r="D7" s="12" t="inlineStr">
        <is>
          <t>Bê tông dầm chủ Super-T 38.2m (15 phiến)</t>
        </is>
      </c>
      <c r="E7" s="12" t="inlineStr">
        <is>
          <t>Bê tông C45/50</t>
        </is>
      </c>
      <c r="F7" s="11" t="inlineStr">
        <is>
          <t>m³</t>
        </is>
      </c>
      <c r="G7" s="13">
        <f>'01_DIEN_GIAI_SUPER_T'!K11</f>
        <v/>
      </c>
      <c r="H7" s="12" t="inlineStr">
        <is>
          <t>Sheet 01_DIEN_GIAI_SUPER_T</t>
        </is>
      </c>
    </row>
    <row r="8">
      <c r="B8" s="11" t="inlineStr">
        <is>
          <t>2</t>
        </is>
      </c>
      <c r="C8" s="11" t="inlineStr">
        <is>
          <t>AF.61110</t>
        </is>
      </c>
      <c r="D8" s="12" t="inlineStr">
        <is>
          <t>Cáp DƯL 15.2mm kéo trước trong dầm chủ</t>
        </is>
      </c>
      <c r="E8" s="12" t="inlineStr">
        <is>
          <t>ASTM A416 Grade 270</t>
        </is>
      </c>
      <c r="F8" s="11" t="inlineStr">
        <is>
          <t>Tấn</t>
        </is>
      </c>
      <c r="G8" s="13">
        <f>'01_DIEN_GIAI_SUPER_T'!K16</f>
        <v/>
      </c>
      <c r="H8" s="12" t="inlineStr">
        <is>
          <t>Sheet 01_DIEN_GIAI_SUPER_T</t>
        </is>
      </c>
    </row>
    <row r="9">
      <c r="B9" s="11" t="inlineStr">
        <is>
          <t>3</t>
        </is>
      </c>
      <c r="C9" s="11" t="inlineStr">
        <is>
          <t>AF.61120</t>
        </is>
      </c>
      <c r="D9" s="12" t="inlineStr">
        <is>
          <t>Cốt thép thường thân dầm Super-T (BBS 23 mã)</t>
        </is>
      </c>
      <c r="E9" s="12" t="inlineStr">
        <is>
          <t>CB400-V (D&lt;=18 &amp; D&gt;18)</t>
        </is>
      </c>
      <c r="F9" s="11" t="inlineStr">
        <is>
          <t>Tấn</t>
        </is>
      </c>
      <c r="G9" s="13">
        <f>'01_DIEN_GIAI_SUPER_T'!K21</f>
        <v/>
      </c>
      <c r="H9" s="12" t="inlineStr">
        <is>
          <t>Sheet 01_DIEN_GIAI_SUPER_T</t>
        </is>
      </c>
    </row>
    <row r="10">
      <c r="B10" s="11" t="inlineStr">
        <is>
          <t>4</t>
        </is>
      </c>
      <c r="C10" s="11" t="inlineStr">
        <is>
          <t>AF.81110</t>
        </is>
      </c>
      <c r="D10" s="12" t="inlineStr">
        <is>
          <t>Ván khuôn dầm chủ Super-T 38.2m</t>
        </is>
      </c>
      <c r="E10" s="12" t="inlineStr">
        <is>
          <t>Ván khuôn thép định hình</t>
        </is>
      </c>
      <c r="F10" s="11" t="inlineStr">
        <is>
          <t>m²</t>
        </is>
      </c>
      <c r="G10" s="13">
        <f>'01_DIEN_GIAI_SUPER_T'!K27</f>
        <v/>
      </c>
      <c r="H10" s="12" t="inlineStr">
        <is>
          <t>Sheet 01_DIEN_GIAI_SUPER_T</t>
        </is>
      </c>
    </row>
    <row r="11">
      <c r="B11" s="11" t="inlineStr">
        <is>
          <t>5</t>
        </is>
      </c>
      <c r="C11" s="11" t="inlineStr">
        <is>
          <t>AF.22120</t>
        </is>
      </c>
      <c r="D11" s="12" t="inlineStr">
        <is>
          <t>Bê tông dầm ngang đúc tại chỗ</t>
        </is>
      </c>
      <c r="E11" s="12" t="inlineStr">
        <is>
          <t>Bê tông C35/45</t>
        </is>
      </c>
      <c r="F11" s="11" t="inlineStr">
        <is>
          <t>m³</t>
        </is>
      </c>
      <c r="G11" s="13">
        <f>'01_DIEN_GIAI_SUPER_T'!K34</f>
        <v/>
      </c>
      <c r="H11" s="12" t="inlineStr">
        <is>
          <t>Sheet 01_DIEN_GIAI_SUPER_T</t>
        </is>
      </c>
    </row>
    <row r="12">
      <c r="B12" s="11" t="inlineStr">
        <is>
          <t>6</t>
        </is>
      </c>
      <c r="C12" s="11" t="inlineStr">
        <is>
          <t>AF.22130</t>
        </is>
      </c>
      <c r="D12" s="12" t="inlineStr">
        <is>
          <t>Bê tông bản mặt cầu &amp; bản liên tục nhiệt</t>
        </is>
      </c>
      <c r="E12" s="12" t="inlineStr">
        <is>
          <t>Bê tông C35/45</t>
        </is>
      </c>
      <c r="F12" s="11" t="inlineStr">
        <is>
          <t>m³</t>
        </is>
      </c>
      <c r="G12" s="13">
        <f>'01_DIEN_GIAI_SUPER_T'!K43</f>
        <v/>
      </c>
      <c r="H12" s="12" t="inlineStr">
        <is>
          <t>Sheet 01_DIEN_GIAI_SUPER_T</t>
        </is>
      </c>
    </row>
    <row r="13">
      <c r="B13" s="11" t="inlineStr">
        <is>
          <t>7</t>
        </is>
      </c>
      <c r="C13" s="11" t="inlineStr">
        <is>
          <t>AF.61130</t>
        </is>
      </c>
      <c r="D13" s="12" t="inlineStr">
        <is>
          <t>Cốt thép dầm ngang, BMC &amp; bản liên tục nhiệt</t>
        </is>
      </c>
      <c r="E13" s="12" t="inlineStr">
        <is>
          <t>CB400-V</t>
        </is>
      </c>
      <c r="F13" s="11" t="inlineStr">
        <is>
          <t>Tấn</t>
        </is>
      </c>
      <c r="G13" s="13">
        <f>('01_DIEN_GIAI_SUPER_T'!K31+'01_DIEN_GIAI_SUPER_T'!K41)/1000</f>
        <v/>
      </c>
      <c r="H13" s="12" t="inlineStr">
        <is>
          <t>Sheet 01_DIEN_GIAI_SUPER_T</t>
        </is>
      </c>
    </row>
    <row r="14">
      <c r="B14" s="11" t="inlineStr">
        <is>
          <t>8</t>
        </is>
      </c>
      <c r="C14" s="11" t="inlineStr">
        <is>
          <t>AF.22140</t>
        </is>
      </c>
      <c r="D14" s="12" t="inlineStr">
        <is>
          <t>Bê tông tấm ván khuôn đúc sẵn (510 tấm)</t>
        </is>
      </c>
      <c r="E14" s="12" t="inlineStr">
        <is>
          <t>Bê tông C25/30</t>
        </is>
      </c>
      <c r="F14" s="11" t="inlineStr">
        <is>
          <t>m³</t>
        </is>
      </c>
      <c r="G14" s="13">
        <f>'01_DIEN_GIAI_SUPER_T'!K48</f>
        <v/>
      </c>
      <c r="H14" s="12" t="inlineStr">
        <is>
          <t>Sheet 01_DIEN_GIAI_SUPER_T</t>
        </is>
      </c>
    </row>
    <row r="15">
      <c r="B15" s="11" t="inlineStr">
        <is>
          <t>9</t>
        </is>
      </c>
      <c r="C15" s="11" t="inlineStr">
        <is>
          <t>AD.21110</t>
        </is>
      </c>
      <c r="D15" s="12" t="inlineStr">
        <is>
          <t>Bê tông nhựa chặt C16 mặt cầu dày 7cm</t>
        </is>
      </c>
      <c r="E15" s="12" t="inlineStr">
        <is>
          <t>BTN C16 &amp; Chống thấm</t>
        </is>
      </c>
      <c r="F15" s="11" t="inlineStr">
        <is>
          <t>m²</t>
        </is>
      </c>
      <c r="G15" s="13">
        <f>'01_DIEN_GIAI_SUPER_T'!K53</f>
        <v/>
      </c>
      <c r="H15" s="12" t="inlineStr">
        <is>
          <t>Sheet 01_DIEN_GIAI_SUPER_T</t>
        </is>
      </c>
    </row>
    <row r="16">
      <c r="B16" s="9" t="inlineStr">
        <is>
          <t>B. PHẦN II: KẾT CẤU PHẦN DƯỚI (SUBSTRUCTURE)</t>
        </is>
      </c>
      <c r="C16" s="10" t="n"/>
      <c r="D16" s="10" t="n"/>
      <c r="E16" s="10" t="n"/>
      <c r="F16" s="10" t="n"/>
      <c r="G16" s="10" t="n"/>
      <c r="H16" s="10" t="n"/>
    </row>
    <row r="17">
      <c r="B17" s="11" t="inlineStr">
        <is>
          <t>10</t>
        </is>
      </c>
      <c r="C17" s="11" t="inlineStr">
        <is>
          <t>AF.21110</t>
        </is>
      </c>
      <c r="D17" s="12" t="inlineStr">
        <is>
          <t>Bê tông Mố M1 &amp; M2 (Bệ, thân, tường đỉnh, cánh)</t>
        </is>
      </c>
      <c r="E17" s="12" t="inlineStr">
        <is>
          <t>Bê tông C30/37</t>
        </is>
      </c>
      <c r="F17" s="11" t="inlineStr">
        <is>
          <t>m³</t>
        </is>
      </c>
      <c r="G17" s="13">
        <f>'02_DIEN_GIAI_HA_BO'!K17</f>
        <v/>
      </c>
      <c r="H17" s="12" t="inlineStr">
        <is>
          <t>Sheet 02_DIEN_GIAI_HA_BO</t>
        </is>
      </c>
    </row>
    <row r="18">
      <c r="B18" s="11" t="inlineStr">
        <is>
          <t>11</t>
        </is>
      </c>
      <c r="C18" s="11" t="inlineStr">
        <is>
          <t>AF.61210</t>
        </is>
      </c>
      <c r="D18" s="12" t="inlineStr">
        <is>
          <t>Cốt thép Mố M1 &amp; M2</t>
        </is>
      </c>
      <c r="E18" s="12" t="inlineStr">
        <is>
          <t>CB400-V</t>
        </is>
      </c>
      <c r="F18" s="11" t="inlineStr">
        <is>
          <t>Tấn</t>
        </is>
      </c>
      <c r="G18" s="13">
        <f>'02_DIEN_GIAI_HA_BO'!K15</f>
        <v/>
      </c>
      <c r="H18" s="12" t="inlineStr">
        <is>
          <t>Sheet 02_DIEN_GIAI_HA_BO</t>
        </is>
      </c>
    </row>
    <row r="19">
      <c r="B19" s="11" t="inlineStr">
        <is>
          <t>12</t>
        </is>
      </c>
      <c r="C19" s="11" t="inlineStr">
        <is>
          <t>AF.21120</t>
        </is>
      </c>
      <c r="D19" s="12" t="inlineStr">
        <is>
          <t>Bê tông Trụ T1 &amp; T2 (Bệ trụ, thân ovan, xà mũ)</t>
        </is>
      </c>
      <c r="E19" s="12" t="inlineStr">
        <is>
          <t>Bê tông C30/37</t>
        </is>
      </c>
      <c r="F19" s="11" t="inlineStr">
        <is>
          <t>m³</t>
        </is>
      </c>
      <c r="G19" s="13">
        <f>'02_DIEN_GIAI_HA_BO'!K30</f>
        <v/>
      </c>
      <c r="H19" s="12" t="inlineStr">
        <is>
          <t>Sheet 02_DIEN_GIAI_HA_BO</t>
        </is>
      </c>
    </row>
    <row r="20">
      <c r="B20" s="11" t="inlineStr">
        <is>
          <t>13</t>
        </is>
      </c>
      <c r="C20" s="11" t="inlineStr">
        <is>
          <t>AF.61220</t>
        </is>
      </c>
      <c r="D20" s="12" t="inlineStr">
        <is>
          <t>Cốt thép Trụ T1 &amp; T2</t>
        </is>
      </c>
      <c r="E20" s="12" t="inlineStr">
        <is>
          <t>CB400-V</t>
        </is>
      </c>
      <c r="F20" s="11" t="inlineStr">
        <is>
          <t>Tấn</t>
        </is>
      </c>
      <c r="G20" s="13">
        <f>'02_DIEN_GIAI_HA_BO'!K29</f>
        <v/>
      </c>
      <c r="H20" s="12" t="inlineStr">
        <is>
          <t>Sheet 02_DIEN_GIAI_HA_BO</t>
        </is>
      </c>
    </row>
    <row r="21">
      <c r="B21" s="11" t="inlineStr">
        <is>
          <t>14</t>
        </is>
      </c>
      <c r="C21" s="11" t="inlineStr">
        <is>
          <t>AC.11110</t>
        </is>
      </c>
      <c r="D21" s="12" t="inlineStr">
        <is>
          <t>Khoan tạo lỗ &amp; Bê tông cọc khoan nhồi D1200mm</t>
        </is>
      </c>
      <c r="E21" s="12" t="inlineStr">
        <is>
          <t>Bê tông C30/37 rút tremie (26 cọc)</t>
        </is>
      </c>
      <c r="F21" s="11" t="inlineStr">
        <is>
          <t>m³</t>
        </is>
      </c>
      <c r="G21" s="13">
        <f>'02_DIEN_GIAI_HA_BO'!K47</f>
        <v/>
      </c>
      <c r="H21" s="12" t="inlineStr">
        <is>
          <t>Sheet 02_DIEN_GIAI_HA_BO</t>
        </is>
      </c>
    </row>
    <row r="22">
      <c r="B22" s="11" t="inlineStr">
        <is>
          <t>15</t>
        </is>
      </c>
      <c r="C22" s="11" t="inlineStr">
        <is>
          <t>AF.61230</t>
        </is>
      </c>
      <c r="D22" s="12" t="inlineStr">
        <is>
          <t>Cốt thép cọc khoan nhồi D1200mm</t>
        </is>
      </c>
      <c r="E22" s="12" t="inlineStr">
        <is>
          <t>CB400-V</t>
        </is>
      </c>
      <c r="F22" s="11" t="inlineStr">
        <is>
          <t>Tấn</t>
        </is>
      </c>
      <c r="G22" s="13">
        <f>'02_DIEN_GIAI_HA_BO'!K41</f>
        <v/>
      </c>
      <c r="H22" s="12" t="inlineStr">
        <is>
          <t>Sheet 02_DIEN_GIAI_HA_BO</t>
        </is>
      </c>
    </row>
    <row r="23">
      <c r="B23" s="9" t="inlineStr">
        <is>
          <t>C. PHẦN III: KẾT CẤU PHỤ TRỢ (MISCELLANEOUS)</t>
        </is>
      </c>
      <c r="C23" s="10" t="n"/>
      <c r="D23" s="10" t="n"/>
      <c r="E23" s="10" t="n"/>
      <c r="F23" s="10" t="n"/>
      <c r="G23" s="10" t="n"/>
      <c r="H23" s="10" t="n"/>
    </row>
    <row r="24">
      <c r="B24" s="11" t="inlineStr">
        <is>
          <t>16</t>
        </is>
      </c>
      <c r="C24" s="11" t="inlineStr">
        <is>
          <t>AF.21130</t>
        </is>
      </c>
      <c r="D24" s="12" t="inlineStr">
        <is>
          <t>Bê tông bản quá độ mố M1 &amp; M2</t>
        </is>
      </c>
      <c r="E24" s="12" t="inlineStr">
        <is>
          <t>Bê tông C25/30</t>
        </is>
      </c>
      <c r="F24" s="11" t="inlineStr">
        <is>
          <t>m³</t>
        </is>
      </c>
      <c r="G24" s="13">
        <f>'03_DIEN_GIAI_PHU_TRO'!K15</f>
        <v/>
      </c>
      <c r="H24" s="12" t="inlineStr">
        <is>
          <t>Sheet 03_DIEN_GIAI_PHU_TRO</t>
        </is>
      </c>
    </row>
    <row r="25">
      <c r="B25" s="11" t="inlineStr">
        <is>
          <t>17</t>
        </is>
      </c>
      <c r="C25" s="11" t="inlineStr">
        <is>
          <t>AF.21140</t>
        </is>
      </c>
      <c r="D25" s="12" t="inlineStr">
        <is>
          <t>Bê tông gờ lan can</t>
        </is>
      </c>
      <c r="E25" s="12" t="inlineStr">
        <is>
          <t>Bê tông C25/30</t>
        </is>
      </c>
      <c r="F25" s="11" t="inlineStr">
        <is>
          <t>m³</t>
        </is>
      </c>
      <c r="G25" s="13">
        <f>'03_DIEN_GIAI_PHU_TRO'!K25</f>
        <v/>
      </c>
      <c r="H25" s="12" t="inlineStr">
        <is>
          <t>Sheet 03_DIEN_GIAI_PHU_TRO</t>
        </is>
      </c>
    </row>
    <row r="26">
      <c r="B26" s="11" t="inlineStr">
        <is>
          <t>18</t>
        </is>
      </c>
      <c r="C26" s="11" t="inlineStr">
        <is>
          <t>AF.61310</t>
        </is>
      </c>
      <c r="D26" s="12" t="inlineStr">
        <is>
          <t>Cốt thép bản quá độ &amp; gờ lan can</t>
        </is>
      </c>
      <c r="E26" s="12" t="inlineStr">
        <is>
          <t>CB400-V</t>
        </is>
      </c>
      <c r="F26" s="11" t="inlineStr">
        <is>
          <t>Tấn</t>
        </is>
      </c>
      <c r="G26" s="13">
        <f>('03_DIEN_GIAI_PHU_TRO'!K9+'03_DIEN_GIAI_PHU_TRO'!K13+'03_DIEN_GIAI_PHU_TRO'!K22)/1000</f>
        <v/>
      </c>
      <c r="H26" s="12" t="inlineStr">
        <is>
          <t>Sheet 03_DIEN_GIAI_PHU_TRO</t>
        </is>
      </c>
    </row>
    <row r="27">
      <c r="B27" s="11" t="inlineStr">
        <is>
          <t>19</t>
        </is>
      </c>
      <c r="C27" s="11" t="inlineStr">
        <is>
          <t>AG.11110</t>
        </is>
      </c>
      <c r="D27" s="12" t="inlineStr">
        <is>
          <t>Gối chậu Super-T đơn hướng &amp; song hướng</t>
        </is>
      </c>
      <c r="E27" s="12" t="inlineStr">
        <is>
          <t>Thép đúc &amp; PTFE (30 gối)</t>
        </is>
      </c>
      <c r="F27" s="11" t="inlineStr">
        <is>
          <t>Cái</t>
        </is>
      </c>
      <c r="G27" s="13">
        <f>'03_DIEN_GIAI_PHU_TRO'!K37</f>
        <v/>
      </c>
      <c r="H27" s="12" t="inlineStr">
        <is>
          <t>Sheet 03_DIEN_GIAI_PHU_TRO</t>
        </is>
      </c>
    </row>
    <row r="28">
      <c r="B28" s="11" t="inlineStr">
        <is>
          <t>20</t>
        </is>
      </c>
      <c r="C28" s="11" t="inlineStr">
        <is>
          <t>AG.21110</t>
        </is>
      </c>
      <c r="D28" s="12" t="inlineStr">
        <is>
          <t>Khe co giãn răng lược WD230</t>
        </is>
      </c>
      <c r="E28" s="12" t="inlineStr">
        <is>
          <t>Thép mạ kẽm (2 khe x 12.25m)</t>
        </is>
      </c>
      <c r="F28" s="11" t="inlineStr">
        <is>
          <t>m</t>
        </is>
      </c>
      <c r="G28" s="13">
        <f>'03_DIEN_GIAI_PHU_TRO'!K44</f>
        <v/>
      </c>
      <c r="H28" s="12" t="inlineStr">
        <is>
          <t>Sheet 03_DIEN_GIAI_PHU_TRO</t>
        </is>
      </c>
    </row>
    <row r="29">
      <c r="B29" s="11" t="inlineStr">
        <is>
          <t>21</t>
        </is>
      </c>
      <c r="C29" s="11" t="inlineStr">
        <is>
          <t>AG.31110</t>
        </is>
      </c>
      <c r="D29" s="12" t="inlineStr">
        <is>
          <t>Hè gang thu nước &amp; hệ thống thoát nước</t>
        </is>
      </c>
      <c r="E29" s="12" t="inlineStr">
        <is>
          <t>Gang xám &amp; uPVC D150 (24 bộ)</t>
        </is>
      </c>
      <c r="F29" s="11" t="inlineStr">
        <is>
          <t>Bộ</t>
        </is>
      </c>
      <c r="G29" s="13">
        <f>'03_DIEN_GIAI_PHU_TRO'!K52</f>
        <v/>
      </c>
      <c r="H29" s="12" t="inlineStr">
        <is>
          <t>Sheet 03_DIEN_GIAI_PHU_TRO</t>
        </is>
      </c>
    </row>
    <row r="30">
      <c r="B30" s="9" t="inlineStr">
        <is>
          <t>D. PHẦN IV: ĐƯỜNG SAU MỐ, TỨ NÓN &amp; GIA CỐ</t>
        </is>
      </c>
      <c r="C30" s="10" t="n"/>
      <c r="D30" s="10" t="n"/>
      <c r="E30" s="10" t="n"/>
      <c r="F30" s="10" t="n"/>
      <c r="G30" s="10" t="n"/>
      <c r="H30" s="10" t="n"/>
    </row>
    <row r="31">
      <c r="B31" s="11" t="inlineStr">
        <is>
          <t>22</t>
        </is>
      </c>
      <c r="C31" s="11" t="inlineStr">
        <is>
          <t>AL.11110</t>
        </is>
      </c>
      <c r="D31" s="12" t="inlineStr">
        <is>
          <t>Đá hộc xây vữa VXM M100 kè tứ nón</t>
        </is>
      </c>
      <c r="E31" s="12" t="inlineStr">
        <is>
          <t>Đá hộc VXM M100</t>
        </is>
      </c>
      <c r="F31" s="11" t="inlineStr">
        <is>
          <t>m³</t>
        </is>
      </c>
      <c r="G31" s="13">
        <f>'04_DIEN_GIAI_DUONG_TU_NON'!K11</f>
        <v/>
      </c>
      <c r="H31" s="12" t="inlineStr">
        <is>
          <t>Sheet 04_DIEN_GIAI_DUONG_TU_NON</t>
        </is>
      </c>
    </row>
    <row r="32">
      <c r="B32" s="11" t="inlineStr">
        <is>
          <t>23</t>
        </is>
      </c>
      <c r="C32" s="11" t="inlineStr">
        <is>
          <t>AF.11110</t>
        </is>
      </c>
      <c r="D32" s="12" t="inlineStr">
        <is>
          <t>Tường chắn bê tông trọng lực C15</t>
        </is>
      </c>
      <c r="E32" s="12" t="inlineStr">
        <is>
          <t>Bê tông C15</t>
        </is>
      </c>
      <c r="F32" s="11" t="inlineStr">
        <is>
          <t>m³</t>
        </is>
      </c>
      <c r="G32" s="13">
        <f>'04_DIEN_GIAI_DUONG_TU_NON'!K19</f>
        <v/>
      </c>
      <c r="H32" s="12" t="inlineStr">
        <is>
          <t>Sheet 04_DIEN_GIAI_DUONG_TU_NON</t>
        </is>
      </c>
    </row>
    <row r="33">
      <c r="B33" s="11" t="inlineStr">
        <is>
          <t>24</t>
        </is>
      </c>
      <c r="C33" s="11" t="inlineStr">
        <is>
          <t>AD.11110</t>
        </is>
      </c>
      <c r="D33" s="12" t="inlineStr">
        <is>
          <t>Áo đường vuốt nối 10m đầu cầu</t>
        </is>
      </c>
      <c r="E33" s="12" t="inlineStr">
        <is>
          <t>BTN rỗng 12.5 &amp; BTNC 19</t>
        </is>
      </c>
      <c r="F33" s="11" t="inlineStr">
        <is>
          <t>m²</t>
        </is>
      </c>
      <c r="G33" s="13">
        <f>'04_DIEN_GIAI_DUONG_TU_NON'!K30</f>
        <v/>
      </c>
      <c r="H33" s="12" t="inlineStr">
        <is>
          <t>Sheet 04_DIEN_GIAI_DUONG_TU_NON</t>
        </is>
      </c>
    </row>
    <row r="34">
      <c r="B34" s="11" t="inlineStr">
        <is>
          <t>25</t>
        </is>
      </c>
      <c r="C34" s="11" t="inlineStr">
        <is>
          <t>AB.11110</t>
        </is>
      </c>
      <c r="D34" s="12" t="inlineStr">
        <is>
          <t>Vật liệu dạng hạt chọn lọc đắp lòng mố K98</t>
        </is>
      </c>
      <c r="E34" s="12" t="inlineStr">
        <is>
          <t>Hạt chọn lọc đầm nén K98</t>
        </is>
      </c>
      <c r="F34" s="11" t="inlineStr">
        <is>
          <t>m³</t>
        </is>
      </c>
      <c r="G34" s="13">
        <f>'04_DIEN_GIAI_DUONG_TU_NON'!K34</f>
        <v/>
      </c>
      <c r="H34" s="12" t="inlineStr">
        <is>
          <t>Sheet 04_DIEN_GIAI_DUONG_TU_NON</t>
        </is>
      </c>
    </row>
    <row r="35">
      <c r="B35" s="9" t="inlineStr">
        <is>
          <t>E. PHẦN V: BIỆN PHÁP THI CÔNG &amp; PHỤ TRỢ CÔNG TRƯỜNG</t>
        </is>
      </c>
      <c r="C35" s="10" t="n"/>
      <c r="D35" s="10" t="n"/>
      <c r="E35" s="10" t="n"/>
      <c r="F35" s="10" t="n"/>
      <c r="G35" s="10" t="n"/>
      <c r="H35" s="10" t="n"/>
    </row>
    <row r="36">
      <c r="B36" s="11" t="inlineStr">
        <is>
          <t>26</t>
        </is>
      </c>
      <c r="C36" s="11" t="inlineStr">
        <is>
          <t>BPTC-01</t>
        </is>
      </c>
      <c r="D36" s="12" t="inlineStr">
        <is>
          <t>Bệ đúc dầm Super-T tại bãi đúc (04 bệ đúc)</t>
        </is>
      </c>
      <c r="E36" s="12" t="inlineStr">
        <is>
          <t>Bê tông C20/25 &amp; thép bệ đúc</t>
        </is>
      </c>
      <c r="F36" s="11" t="inlineStr">
        <is>
          <t>Bệ</t>
        </is>
      </c>
      <c r="G36" s="13" t="n">
        <v>4</v>
      </c>
      <c r="H36" s="12" t="inlineStr">
        <is>
          <t>Sheet 05_DIEN_GIAI_BPTC_CON</t>
        </is>
      </c>
    </row>
    <row r="37">
      <c r="B37" s="11" t="inlineStr">
        <is>
          <t>27</t>
        </is>
      </c>
      <c r="C37" s="11" t="inlineStr">
        <is>
          <t>BPTC-02</t>
        </is>
      </c>
      <c r="D37" s="12" t="inlineStr">
        <is>
          <t>Đường công vụ thi công tiếp cận cầu DCV6 &amp; 6A</t>
        </is>
      </c>
      <c r="E37" s="12" t="inlineStr">
        <is>
          <t>Đào nền đường công vụ tiếp cận cầu</t>
        </is>
      </c>
      <c r="F37" s="11" t="inlineStr">
        <is>
          <t>m³</t>
        </is>
      </c>
      <c r="G37" s="13">
        <f>'05_DIEN_GIAI_BPTC_CON'!K21</f>
        <v/>
      </c>
      <c r="H37" s="12" t="inlineStr">
        <is>
          <t>Sheet 05_DIEN_GIAI_BPTC_CON</t>
        </is>
      </c>
    </row>
    <row r="38">
      <c r="B38" s="11" t="inlineStr">
        <is>
          <t>28</t>
        </is>
      </c>
      <c r="C38" s="11" t="inlineStr">
        <is>
          <t>BPTC-03</t>
        </is>
      </c>
      <c r="D38" s="12" t="inlineStr">
        <is>
          <t>Giá lao dầm 130T &amp; Hệ ray lao dầm P43</t>
        </is>
      </c>
      <c r="E38" s="12" t="inlineStr">
        <is>
          <t>Kết cấu thép giàn lao dầm</t>
        </is>
      </c>
      <c r="F38" s="11" t="inlineStr">
        <is>
          <t>Tấn</t>
        </is>
      </c>
      <c r="G38" s="13">
        <f>'05_DIEN_GIAI_BPTC_CON'!K28</f>
        <v/>
      </c>
      <c r="H38" s="12" t="inlineStr">
        <is>
          <t>Sheet 05_DIEN_GIAI_BPTC_CON</t>
        </is>
      </c>
    </row>
    <row r="39"/>
    <row r="40"/>
    <row r="41"/>
    <row r="42"/>
    <row r="43"/>
    <row r="44"/>
    <row r="45">
      <c r="F45" s="23" t="inlineStr">
        <is>
          <t>TỔNG KHỐI LƯỢNG BÊ TÔNG TOÀN CẦU (M3):</t>
        </is>
      </c>
      <c r="G45" s="24">
        <f>G7+G11+G12+G14+G17+G19+G21+G24+G25+G32</f>
        <v/>
      </c>
    </row>
    <row r="46">
      <c r="F46" s="23" t="inlineStr">
        <is>
          <t>TỔNG CỐT THÉP THƯỜNG TOÀN CẦU (TẤN):</t>
        </is>
      </c>
      <c r="G46" s="24">
        <f>G9+G13+G18+G20+G22+G26</f>
        <v/>
      </c>
    </row>
    <row r="47">
      <c r="F47" s="23" t="inlineStr">
        <is>
          <t>TỔNG DIỆN TÍCH VÁN KHUÔN TOÀN CẦU (M2):</t>
        </is>
      </c>
      <c r="G47" s="24">
        <f>G10+'02_DIEN_GIAI_HA_BO'!K16+'02_DIEN_GIAI_HA_BO'!K28+'03_DIEN_GIAI_PHU_TRO'!K10+'03_DIEN_GIAI_PHU_TRO'!K14+'03_DIEN_GIAI_PHU_TRO'!K23+'04_DIEN_GIAI_DUONG_TU_NON'!K14</f>
        <v/>
      </c>
    </row>
  </sheetData>
  <mergeCells count="5">
    <mergeCell ref="B35:H35"/>
    <mergeCell ref="B6:H6"/>
    <mergeCell ref="B30:H30"/>
    <mergeCell ref="B16:H16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2026-10-09T13:43:54Z</dcterms:created>
  <dcterms:modified xmlns:dcterms="http://purl.org/dc/terms/" xmlns:xsi="http://www.w3.org/2001/XMLSchema-instance" xsi:type="dcterms:W3CDTF">2026-10-09T13:43:54Z</dcterms:modified>
</cp:coreProperties>
</file>