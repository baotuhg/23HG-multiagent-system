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ienDo_CaMay_Master" sheetId="1" state="visible" r:id="rId1"/>
    <sheet xmlns:r="http://schemas.openxmlformats.org/officeDocument/2006/relationships" name="02_TongHop_CaXe_CaMay_MMTB" sheetId="2" state="visible" r:id="rId2"/>
    <sheet xmlns:r="http://schemas.openxmlformats.org/officeDocument/2006/relationships" name="03_KeHoach_Dau_Diezel" sheetId="3" state="visible" r:id="rId3"/>
    <sheet xmlns:r="http://schemas.openxmlformats.org/officeDocument/2006/relationships" name="04_KeHoach_NhanLuc" sheetId="4" state="visible" r:id="rId4"/>
    <sheet xmlns:r="http://schemas.openxmlformats.org/officeDocument/2006/relationships" name="05_DoiChieu_BocTa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C00000"/>
      <sz val="10"/>
    </font>
    <font>
      <name val="Arial"/>
      <b val="1"/>
      <sz val="9.5"/>
    </font>
    <font>
      <name val="Arial"/>
      <i val="1"/>
      <sz val="9.5"/>
    </font>
    <font>
      <name val="Arial"/>
      <color rgb="001B365D"/>
      <sz val="9.5"/>
    </font>
    <font>
      <name val="Arial"/>
      <color rgb="00008000"/>
      <sz val="9.5"/>
    </font>
    <font>
      <name val="Arial"/>
      <b val="1"/>
      <color rgb="00FFFFFF"/>
      <sz val="8.5"/>
    </font>
    <font>
      <name val="Arial"/>
      <b val="1"/>
      <color rgb="00FFFFFF"/>
      <sz val="7.5"/>
    </font>
    <font>
      <name val="Arial"/>
      <b val="1"/>
      <color rgb="001B365D"/>
      <sz val="7.5"/>
    </font>
    <font>
      <name val="Arial"/>
      <b val="1"/>
      <color rgb="00C00000"/>
      <sz val="7.5"/>
    </font>
    <font>
      <name val="Arial"/>
      <sz val="8.5"/>
    </font>
    <font>
      <name val="Arial"/>
      <color rgb="001B365D"/>
      <sz val="7.5"/>
    </font>
    <font>
      <name val="Arial"/>
      <color rgb="00BFBFBF"/>
      <sz val="7"/>
    </font>
    <font>
      <name val="Arial"/>
      <b val="1"/>
      <color rgb="00FFFFFF"/>
      <sz val="9.5"/>
    </font>
    <font>
      <name val="Arial"/>
      <b val="1"/>
      <color rgb="00002060"/>
      <sz val="8"/>
    </font>
    <font>
      <name val="Arial"/>
      <b val="1"/>
      <color rgb="00FFFFFF"/>
      <sz val="10.5"/>
    </font>
    <font>
      <name val="Arial"/>
      <b val="1"/>
      <color rgb="00385723"/>
      <sz val="7.5"/>
    </font>
    <font>
      <name val="Arial"/>
      <i val="1"/>
      <sz val="8"/>
    </font>
    <font>
      <name val="Arial"/>
      <sz val="7.5"/>
    </font>
    <font>
      <name val="Arial"/>
      <b val="1"/>
      <color rgb="00C00000"/>
      <sz val="8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  <fill>
      <patternFill patternType="solid">
        <fgColor rgb="00BDD7EE"/>
        <bgColor rgb="00BDD7EE"/>
      </patternFill>
    </fill>
    <fill>
      <patternFill patternType="solid">
        <fgColor rgb="00F4B084"/>
        <bgColor rgb="00F4B084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B365D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64" fontId="12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right" vertical="center"/>
    </xf>
    <xf numFmtId="4" fontId="12" fillId="0" borderId="1" applyAlignment="1" pivotButton="0" quotePrefix="0" xfId="0">
      <alignment horizontal="right" vertical="center"/>
    </xf>
    <xf numFmtId="0" fontId="12" fillId="0" borderId="1" pivotButton="0" quotePrefix="0" xfId="0"/>
    <xf numFmtId="3" fontId="12" fillId="0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15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3" fontId="0" fillId="2" borderId="0" pivotButton="0" quotePrefix="0" xfId="0"/>
    <xf numFmtId="0" fontId="16" fillId="4" borderId="2" applyAlignment="1" pivotButton="0" quotePrefix="0" xfId="0">
      <alignment horizontal="center" vertical="center"/>
    </xf>
    <xf numFmtId="0" fontId="17" fillId="3" borderId="0" pivotButton="0" quotePrefix="0" xfId="0"/>
    <xf numFmtId="0" fontId="0" fillId="3" borderId="0" pivotButton="0" quotePrefix="0" xfId="0"/>
    <xf numFmtId="164" fontId="0" fillId="3" borderId="0" pivotButton="0" quotePrefix="0" xfId="0"/>
    <xf numFmtId="4" fontId="0" fillId="3" borderId="0" pivotButton="0" quotePrefix="0" xfId="0"/>
    <xf numFmtId="3" fontId="0" fillId="3" borderId="0" pivotButton="0" quotePrefix="0" xfId="0"/>
    <xf numFmtId="0" fontId="8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4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164" fontId="12" fillId="0" borderId="1" pivotButton="0" quotePrefix="0" xfId="0"/>
    <xf numFmtId="4" fontId="12" fillId="0" borderId="1" pivotButton="0" quotePrefix="0" xfId="0"/>
    <xf numFmtId="3" fontId="12" fillId="0" borderId="1" pivotButton="0" quotePrefix="0" xfId="0"/>
    <xf numFmtId="0" fontId="18" fillId="10" borderId="1" applyAlignment="1" pivotButton="0" quotePrefix="0" xfId="0">
      <alignment horizontal="center" vertical="center"/>
    </xf>
    <xf numFmtId="0" fontId="0" fillId="4" borderId="0" pivotButton="0" quotePrefix="0" xfId="0"/>
    <xf numFmtId="0" fontId="3" fillId="4" borderId="0" pivotButton="0" quotePrefix="0" xfId="0"/>
    <xf numFmtId="164" fontId="0" fillId="4" borderId="0" pivotButton="0" quotePrefix="0" xfId="0"/>
    <xf numFmtId="4" fontId="0" fillId="4" borderId="0" pivotButton="0" quotePrefix="0" xfId="0"/>
    <xf numFmtId="3" fontId="0" fillId="4" borderId="0" pivotButton="0" quotePrefix="0" xfId="0"/>
    <xf numFmtId="3" fontId="21" fillId="4" borderId="2" applyAlignment="1" pivotButton="0" quotePrefix="0" xfId="0">
      <alignment horizontal="right" vertical="center"/>
    </xf>
    <xf numFmtId="0" fontId="19" fillId="0" borderId="1" pivotButton="0" quotePrefix="0" xfId="0"/>
    <xf numFmtId="164" fontId="19" fillId="0" borderId="1" pivotButton="0" quotePrefix="0" xfId="0"/>
    <xf numFmtId="4" fontId="19" fillId="0" borderId="1" pivotButton="0" quotePrefix="0" xfId="0"/>
    <xf numFmtId="3" fontId="19" fillId="0" borderId="1" pivotButton="0" quotePrefix="0" xfId="0"/>
    <xf numFmtId="3" fontId="20" fillId="0" borderId="1" applyAlignment="1" pivotButton="0" quotePrefix="0" xfId="0">
      <alignment horizontal="right" vertical="center"/>
    </xf>
    <xf numFmtId="0" fontId="15" fillId="2" borderId="0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left" vertical="center"/>
    </xf>
    <xf numFmtId="164" fontId="22" fillId="0" borderId="1" applyAlignment="1" pivotButton="0" quotePrefix="0" xfId="0">
      <alignment horizontal="right" vertical="center"/>
    </xf>
    <xf numFmtId="3" fontId="22" fillId="0" borderId="1" applyAlignment="1" pivotButton="0" quotePrefix="0" xfId="0">
      <alignment horizontal="right" vertical="center"/>
    </xf>
    <xf numFmtId="0" fontId="0" fillId="4" borderId="2" pivotButton="0" quotePrefix="0" xfId="0"/>
    <xf numFmtId="0" fontId="3" fillId="4" borderId="2" pivotButton="0" quotePrefix="0" xfId="0"/>
    <xf numFmtId="164" fontId="3" fillId="4" borderId="2" applyAlignment="1" pivotButton="0" quotePrefix="0" xfId="0">
      <alignment horizontal="right" vertical="center"/>
    </xf>
    <xf numFmtId="3" fontId="3" fillId="4" borderId="2" applyAlignment="1" pivotButton="0" quotePrefix="0" xfId="0">
      <alignment horizontal="right" vertical="center"/>
    </xf>
    <xf numFmtId="4" fontId="22" fillId="0" borderId="1" applyAlignment="1" pivotButton="0" quotePrefix="0" xfId="0">
      <alignment horizontal="right" vertical="center"/>
    </xf>
    <xf numFmtId="4" fontId="3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0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42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2" customWidth="1" min="10" max="10"/>
    <col width="12" customWidth="1" min="11" max="11"/>
    <col width="10" customWidth="1" min="12" max="12"/>
    <col width="14" customWidth="1" min="13" max="13"/>
    <col width="32" customWidth="1" min="14" max="14"/>
    <col width="1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6.2" customWidth="1" min="24" max="24"/>
    <col width="6.2" customWidth="1" min="25" max="25"/>
    <col width="6.2" customWidth="1" min="26" max="26"/>
    <col width="6.2" customWidth="1" min="27" max="27"/>
    <col width="6.2" customWidth="1" min="28" max="28"/>
    <col width="6.2" customWidth="1" min="29" max="29"/>
    <col width="6.2" customWidth="1" min="30" max="30"/>
    <col width="6.2" customWidth="1" min="31" max="31"/>
    <col width="6.2" customWidth="1" min="32" max="32"/>
    <col width="6.2" customWidth="1" min="33" max="33"/>
    <col width="6.2" customWidth="1" min="34" max="34"/>
    <col width="6.2" customWidth="1" min="35" max="35"/>
    <col width="6.2" customWidth="1" min="36" max="36"/>
    <col width="6.2" customWidth="1" min="37" max="37"/>
    <col width="6.2" customWidth="1" min="38" max="38"/>
    <col width="6.2" customWidth="1" min="39" max="39"/>
    <col width="6.2" customWidth="1" min="40" max="40"/>
    <col width="6.2" customWidth="1" min="41" max="41"/>
    <col width="6.2" customWidth="1" min="42" max="42"/>
    <col width="6.2" customWidth="1" min="43" max="43"/>
    <col width="6.2" customWidth="1" min="44" max="44"/>
    <col width="6.2" customWidth="1" min="45" max="45"/>
    <col width="6.2" customWidth="1" min="46" max="46"/>
    <col width="6.2" customWidth="1" min="47" max="47"/>
    <col width="6.2" customWidth="1" min="48" max="48"/>
    <col width="6.2" customWidth="1" min="49" max="49"/>
    <col width="6.2" customWidth="1" min="50" max="50"/>
    <col width="6.2" customWidth="1" min="51" max="51"/>
    <col width="6.2" customWidth="1" min="52" max="52"/>
    <col width="6.2" customWidth="1" min="53" max="53"/>
    <col width="6.2" customWidth="1" min="54" max="54"/>
    <col width="6.2" customWidth="1" min="55" max="55"/>
    <col width="6.2" customWidth="1" min="56" max="56"/>
    <col width="6.2" customWidth="1" min="57" max="57"/>
    <col width="6.2" customWidth="1" min="58" max="58"/>
    <col width="6.2" customWidth="1" min="59" max="59"/>
    <col width="6.2" customWidth="1" min="60" max="60"/>
    <col width="6.2" customWidth="1" min="61" max="61"/>
    <col width="6.2" customWidth="1" min="62" max="62"/>
    <col width="6.2" customWidth="1" min="63" max="63"/>
    <col width="6.2" customWidth="1" min="64" max="64"/>
    <col width="6.2" customWidth="1" min="65" max="65"/>
    <col width="6.2" customWidth="1" min="66" max="66"/>
    <col width="6.2" customWidth="1" min="67" max="67"/>
    <col width="6.2" customWidth="1" min="68" max="68"/>
    <col width="6.2" customWidth="1" min="69" max="69"/>
    <col width="6.2" customWidth="1" min="70" max="70"/>
    <col width="6.2" customWidth="1" min="71" max="71"/>
    <col width="6.2" customWidth="1" min="72" max="72"/>
    <col width="6.2" customWidth="1" min="73" max="73"/>
    <col width="6.2" customWidth="1" min="74" max="74"/>
    <col width="6.2" customWidth="1" min="75" max="75"/>
    <col width="6.2" customWidth="1" min="76" max="76"/>
    <col width="6.2" customWidth="1" min="77" max="77"/>
    <col width="6.2" customWidth="1" min="78" max="78"/>
    <col width="6.2" customWidth="1" min="79" max="79"/>
    <col width="6.2" customWidth="1" min="80" max="80"/>
    <col width="6.2" customWidth="1" min="81" max="81"/>
    <col width="6.2" customWidth="1" min="82" max="82"/>
    <col width="6.2" customWidth="1" min="83" max="83"/>
    <col width="6.2" customWidth="1" min="84" max="84"/>
    <col width="6.2" customWidth="1" min="85" max="85"/>
    <col width="6.2" customWidth="1" min="86" max="86"/>
    <col width="6.2" customWidth="1" min="87" max="87"/>
    <col width="6.2" customWidth="1" min="88" max="88"/>
    <col width="6.2" customWidth="1" min="89" max="89"/>
    <col width="6.2" customWidth="1" min="90" max="90"/>
    <col width="6.2" customWidth="1" min="91" max="91"/>
    <col width="6.2" customWidth="1" min="92" max="92"/>
    <col width="6.2" customWidth="1" min="93" max="93"/>
    <col width="6.2" customWidth="1" min="94" max="94"/>
    <col width="6.2" customWidth="1" min="95" max="95"/>
    <col width="6.2" customWidth="1" min="96" max="96"/>
    <col width="6.2" customWidth="1" min="97" max="97"/>
    <col width="6.2" customWidth="1" min="98" max="98"/>
    <col width="6.2" customWidth="1" min="99" max="99"/>
    <col width="6.2" customWidth="1" min="100" max="100"/>
    <col width="6.2" customWidth="1" min="101" max="101"/>
    <col width="6.2" customWidth="1" min="102" max="102"/>
    <col width="6.2" customWidth="1" min="103" max="103"/>
    <col width="6.2" customWidth="1" min="104" max="104"/>
    <col width="6.2" customWidth="1" min="105" max="105"/>
    <col width="6.2" customWidth="1" min="106" max="106"/>
    <col width="6.2" customWidth="1" min="107" max="107"/>
    <col width="6.2" customWidth="1" min="108" max="108"/>
    <col width="6.2" customWidth="1" min="109" max="109"/>
    <col width="6.2" customWidth="1" min="110" max="110"/>
    <col width="6.2" customWidth="1" min="111" max="111"/>
    <col width="6.2" customWidth="1" min="112" max="112"/>
    <col width="6.2" customWidth="1" min="113" max="113"/>
    <col width="6.2" customWidth="1" min="114" max="114"/>
    <col width="6.2" customWidth="1" min="115" max="115"/>
    <col width="6.2" customWidth="1" min="116" max="116"/>
    <col width="6.2" customWidth="1" min="117" max="117"/>
    <col width="6.2" customWidth="1" min="118" max="118"/>
    <col width="6.2" customWidth="1" min="119" max="119"/>
    <col width="6.2" customWidth="1" min="120" max="120"/>
    <col width="6.2" customWidth="1" min="121" max="121"/>
    <col width="6.2" customWidth="1" min="122" max="122"/>
    <col width="6.2" customWidth="1" min="123" max="123"/>
    <col width="6.2" customWidth="1" min="124" max="124"/>
    <col width="6.2" customWidth="1" min="125" max="125"/>
    <col width="6.2" customWidth="1" min="126" max="126"/>
    <col width="6.2" customWidth="1" min="127" max="127"/>
    <col width="6.2" customWidth="1" min="128" max="128"/>
    <col width="6.2" customWidth="1" min="129" max="129"/>
    <col width="6.2" customWidth="1" min="130" max="130"/>
    <col width="6.2" customWidth="1" min="131" max="131"/>
    <col width="6.2" customWidth="1" min="132" max="132"/>
    <col width="6.2" customWidth="1" min="133" max="133"/>
    <col width="6.2" customWidth="1" min="134" max="134"/>
    <col width="6.2" customWidth="1" min="135" max="135"/>
    <col width="6.2" customWidth="1" min="136" max="136"/>
    <col width="6.2" customWidth="1" min="137" max="137"/>
    <col width="6.2" customWidth="1" min="138" max="138"/>
    <col width="6.2" customWidth="1" min="139" max="139"/>
    <col width="6.2" customWidth="1" min="140" max="140"/>
    <col width="6.2" customWidth="1" min="141" max="141"/>
    <col width="6.2" customWidth="1" min="142" max="142"/>
    <col width="6.2" customWidth="1" min="143" max="143"/>
    <col width="6.2" customWidth="1" min="144" max="144"/>
    <col width="6.2" customWidth="1" min="145" max="145"/>
    <col width="6.2" customWidth="1" min="146" max="146"/>
    <col width="6.2" customWidth="1" min="147" max="147"/>
    <col width="6.2" customWidth="1" min="148" max="148"/>
    <col width="6.2" customWidth="1" min="149" max="149"/>
    <col width="6.2" customWidth="1" min="150" max="150"/>
    <col width="6.2" customWidth="1" min="151" max="151"/>
    <col width="6.2" customWidth="1" min="152" max="152"/>
    <col width="6.2" customWidth="1" min="153" max="153"/>
    <col width="6.2" customWidth="1" min="154" max="154"/>
    <col width="6.2" customWidth="1" min="155" max="155"/>
    <col width="6.2" customWidth="1" min="156" max="156"/>
    <col width="6.2" customWidth="1" min="157" max="157"/>
    <col width="6.2" customWidth="1" min="158" max="158"/>
    <col width="6.2" customWidth="1" min="159" max="159"/>
    <col width="6.2" customWidth="1" min="160" max="160"/>
    <col width="6.2" customWidth="1" min="161" max="161"/>
    <col width="6.2" customWidth="1" min="162" max="162"/>
    <col width="6.2" customWidth="1" min="163" max="163"/>
    <col width="6.2" customWidth="1" min="164" max="164"/>
    <col width="6.2" customWidth="1" min="165" max="165"/>
    <col width="6.2" customWidth="1" min="166" max="166"/>
    <col width="6.2" customWidth="1" min="167" max="167"/>
    <col width="6.2" customWidth="1" min="168" max="168"/>
    <col width="6.2" customWidth="1" min="169" max="169"/>
    <col width="6.2" customWidth="1" min="170" max="170"/>
    <col width="6.2" customWidth="1" min="171" max="171"/>
    <col width="6.2" customWidth="1" min="172" max="172"/>
    <col width="6.2" customWidth="1" min="173" max="173"/>
    <col width="6.2" customWidth="1" min="174" max="174"/>
    <col width="6.2" customWidth="1" min="175" max="175"/>
    <col width="6.2" customWidth="1" min="176" max="176"/>
    <col width="6.2" customWidth="1" min="177" max="177"/>
    <col width="6.2" customWidth="1" min="178" max="178"/>
    <col width="6.2" customWidth="1" min="179" max="179"/>
    <col width="6.2" customWidth="1" min="180" max="180"/>
    <col width="6.2" customWidth="1" min="181" max="181"/>
    <col width="6.2" customWidth="1" min="182" max="182"/>
    <col width="6.2" customWidth="1" min="183" max="183"/>
    <col width="6.2" customWidth="1" min="184" max="184"/>
    <col width="6.2" customWidth="1" min="185" max="185"/>
  </cols>
  <sheetData>
    <row r="1">
      <c r="A1" s="1" t="inlineStr">
        <is>
          <t>DỰ ÁN: CAO TỐC TUYÊN QUANG - HÀ GIANG (GIAI ĐOẠN 1) — GÓI THẦU SỐ 09-XL</t>
        </is>
      </c>
    </row>
    <row r="2">
      <c r="A2" s="2" t="inlineStr">
        <is>
          <t>BẢNG TÍNH TOÁN CA XE, CA MÁY &amp; TIẾN ĐỘ THI CÔNG CẦU KM19+529.080 (3 NHỊP DẦM SUPER-T L=38.2M)</t>
        </is>
      </c>
    </row>
    <row r="3">
      <c r="A3" s="3" t="inlineStr">
        <is>
          <t>MỐC TIẾN ĐỘ THẦN TỐC: TỪ 01/10/2026 ĐẾN 19/03/2027 (170 NGÀY) — 2 CA/NGÀY TẠI MŨI XUNG YẾU — ĐƯỜNG GĂNG CPM CHÍNH XÁC 100%</t>
        </is>
      </c>
    </row>
    <row r="4">
      <c r="B4" s="4" t="inlineStr">
        <is>
          <t>Chế độ ca:</t>
        </is>
      </c>
      <c r="C4" s="5" t="inlineStr">
        <is>
          <t>2 ca/ngày mũi xung yếu (khoan cọc, đúc dầm); 1 ca/ngày mũi phụ trợ</t>
        </is>
      </c>
      <c r="F4" s="4" t="inlineStr">
        <is>
          <t>Phân đoạn thi công:</t>
        </is>
      </c>
      <c r="G4" s="6" t="inlineStr">
        <is>
          <t>4 Mũi: Mũi 1 Cọc nhồi D1200; Mũi 2 Mố trụ M1, M2, T1, T2; Mũi 3 Đúc dầm Super-T; Mũi 4 Lao lắp &amp; Mặt cầu</t>
        </is>
      </c>
      <c r="K4" s="4" t="inlineStr">
        <is>
          <t>Định mức áp dụng:</t>
        </is>
      </c>
      <c r="L4" s="7" t="inlineStr">
        <is>
          <t>Thông tư 12/2021/TT-BXD, TT 13/2021/TT-BXD &amp; TT 38/2026/TT-BXD</t>
        </is>
      </c>
    </row>
    <row r="6">
      <c r="A6" s="8" t="inlineStr">
        <is>
          <t>STT</t>
        </is>
      </c>
      <c r="B6" s="8" t="inlineStr">
        <is>
          <t>Mã WBS</t>
        </is>
      </c>
      <c r="C6" s="8" t="inlineStr">
        <is>
          <t>Nội dung công tác thi công Cầu Km19+529.080</t>
        </is>
      </c>
      <c r="D6" s="8" t="inlineStr">
        <is>
          <t>ĐVT</t>
        </is>
      </c>
      <c r="E6" s="8" t="inlineStr">
        <is>
          <t>Khối lượng thiết kế</t>
        </is>
      </c>
      <c r="F6" s="8" t="inlineStr">
        <is>
          <t>Định mức năng suất (ĐVT/ca)</t>
        </is>
      </c>
      <c r="G6" s="8" t="inlineStr">
        <is>
          <t>Tổng số ca máy (ca)</t>
        </is>
      </c>
      <c r="H6" s="8" t="inlineStr">
        <is>
          <t>Năng suất ngày</t>
        </is>
      </c>
      <c r="I6" s="8" t="inlineStr">
        <is>
          <t>Thời gian (ngày)</t>
        </is>
      </c>
      <c r="J6" s="8" t="inlineStr">
        <is>
          <t>Ngày BĐ</t>
        </is>
      </c>
      <c r="K6" s="8" t="inlineStr">
        <is>
          <t>Ngày KT</t>
        </is>
      </c>
      <c r="L6" s="8" t="inlineStr">
        <is>
          <t>Số ca/ngày</t>
        </is>
      </c>
      <c r="M6" s="8" t="inlineStr">
        <is>
          <t>Số máy huy động/ngày</t>
        </is>
      </c>
      <c r="N6" s="8" t="inlineStr">
        <is>
          <t>Chủng loại MMTB chính &amp; Ghi chú</t>
        </is>
      </c>
      <c r="O6" s="8" t="inlineStr">
        <is>
          <t>NC bố trí (người)</t>
        </is>
      </c>
      <c r="P6" s="9" t="inlineStr">
        <is>
          <t>01/10</t>
        </is>
      </c>
      <c r="Q6" s="9" t="inlineStr">
        <is>
          <t>02/10</t>
        </is>
      </c>
      <c r="R6" s="9" t="inlineStr">
        <is>
          <t>03/10</t>
        </is>
      </c>
      <c r="S6" s="10" t="inlineStr">
        <is>
          <t>04/10</t>
        </is>
      </c>
      <c r="T6" s="9" t="inlineStr">
        <is>
          <t>05/10</t>
        </is>
      </c>
      <c r="U6" s="9" t="inlineStr">
        <is>
          <t>06/10</t>
        </is>
      </c>
      <c r="V6" s="9" t="inlineStr">
        <is>
          <t>07/10</t>
        </is>
      </c>
      <c r="W6" s="9" t="inlineStr">
        <is>
          <t>08/10</t>
        </is>
      </c>
      <c r="X6" s="9" t="inlineStr">
        <is>
          <t>09/10</t>
        </is>
      </c>
      <c r="Y6" s="9" t="inlineStr">
        <is>
          <t>10/10</t>
        </is>
      </c>
      <c r="Z6" s="10" t="inlineStr">
        <is>
          <t>11/10</t>
        </is>
      </c>
      <c r="AA6" s="9" t="inlineStr">
        <is>
          <t>12/10</t>
        </is>
      </c>
      <c r="AB6" s="9" t="inlineStr">
        <is>
          <t>13/10</t>
        </is>
      </c>
      <c r="AC6" s="9" t="inlineStr">
        <is>
          <t>14/10</t>
        </is>
      </c>
      <c r="AD6" s="9" t="inlineStr">
        <is>
          <t>15/10</t>
        </is>
      </c>
      <c r="AE6" s="9" t="inlineStr">
        <is>
          <t>16/10</t>
        </is>
      </c>
      <c r="AF6" s="9" t="inlineStr">
        <is>
          <t>17/10</t>
        </is>
      </c>
      <c r="AG6" s="10" t="inlineStr">
        <is>
          <t>18/10</t>
        </is>
      </c>
      <c r="AH6" s="9" t="inlineStr">
        <is>
          <t>19/10</t>
        </is>
      </c>
      <c r="AI6" s="9" t="inlineStr">
        <is>
          <t>20/10</t>
        </is>
      </c>
      <c r="AJ6" s="9" t="inlineStr">
        <is>
          <t>21/10</t>
        </is>
      </c>
      <c r="AK6" s="9" t="inlineStr">
        <is>
          <t>22/10</t>
        </is>
      </c>
      <c r="AL6" s="9" t="inlineStr">
        <is>
          <t>23/10</t>
        </is>
      </c>
      <c r="AM6" s="9" t="inlineStr">
        <is>
          <t>24/10</t>
        </is>
      </c>
      <c r="AN6" s="10" t="inlineStr">
        <is>
          <t>25/10</t>
        </is>
      </c>
      <c r="AO6" s="9" t="inlineStr">
        <is>
          <t>26/10</t>
        </is>
      </c>
      <c r="AP6" s="9" t="inlineStr">
        <is>
          <t>27/10</t>
        </is>
      </c>
      <c r="AQ6" s="9" t="inlineStr">
        <is>
          <t>28/10</t>
        </is>
      </c>
      <c r="AR6" s="9" t="inlineStr">
        <is>
          <t>29/10</t>
        </is>
      </c>
      <c r="AS6" s="9" t="inlineStr">
        <is>
          <t>30/10</t>
        </is>
      </c>
      <c r="AT6" s="9" t="inlineStr">
        <is>
          <t>31/10</t>
        </is>
      </c>
      <c r="AU6" s="10" t="inlineStr">
        <is>
          <t>01/11</t>
        </is>
      </c>
      <c r="AV6" s="9" t="inlineStr">
        <is>
          <t>02/11</t>
        </is>
      </c>
      <c r="AW6" s="9" t="inlineStr">
        <is>
          <t>03/11</t>
        </is>
      </c>
      <c r="AX6" s="9" t="inlineStr">
        <is>
          <t>04/11</t>
        </is>
      </c>
      <c r="AY6" s="9" t="inlineStr">
        <is>
          <t>05/11</t>
        </is>
      </c>
      <c r="AZ6" s="9" t="inlineStr">
        <is>
          <t>06/11</t>
        </is>
      </c>
      <c r="BA6" s="9" t="inlineStr">
        <is>
          <t>07/11</t>
        </is>
      </c>
      <c r="BB6" s="10" t="inlineStr">
        <is>
          <t>08/11</t>
        </is>
      </c>
      <c r="BC6" s="9" t="inlineStr">
        <is>
          <t>09/11</t>
        </is>
      </c>
      <c r="BD6" s="9" t="inlineStr">
        <is>
          <t>10/11</t>
        </is>
      </c>
      <c r="BE6" s="9" t="inlineStr">
        <is>
          <t>11/11</t>
        </is>
      </c>
      <c r="BF6" s="9" t="inlineStr">
        <is>
          <t>12/11</t>
        </is>
      </c>
      <c r="BG6" s="9" t="inlineStr">
        <is>
          <t>13/11</t>
        </is>
      </c>
      <c r="BH6" s="9" t="inlineStr">
        <is>
          <t>14/11</t>
        </is>
      </c>
      <c r="BI6" s="10" t="inlineStr">
        <is>
          <t>15/11</t>
        </is>
      </c>
      <c r="BJ6" s="9" t="inlineStr">
        <is>
          <t>16/11</t>
        </is>
      </c>
      <c r="BK6" s="9" t="inlineStr">
        <is>
          <t>17/11</t>
        </is>
      </c>
      <c r="BL6" s="9" t="inlineStr">
        <is>
          <t>18/11</t>
        </is>
      </c>
      <c r="BM6" s="9" t="inlineStr">
        <is>
          <t>19/11</t>
        </is>
      </c>
      <c r="BN6" s="9" t="inlineStr">
        <is>
          <t>20/11</t>
        </is>
      </c>
      <c r="BO6" s="9" t="inlineStr">
        <is>
          <t>21/11</t>
        </is>
      </c>
      <c r="BP6" s="10" t="inlineStr">
        <is>
          <t>22/11</t>
        </is>
      </c>
      <c r="BQ6" s="9" t="inlineStr">
        <is>
          <t>23/11</t>
        </is>
      </c>
      <c r="BR6" s="9" t="inlineStr">
        <is>
          <t>24/11</t>
        </is>
      </c>
      <c r="BS6" s="9" t="inlineStr">
        <is>
          <t>25/11</t>
        </is>
      </c>
      <c r="BT6" s="9" t="inlineStr">
        <is>
          <t>26/11</t>
        </is>
      </c>
      <c r="BU6" s="9" t="inlineStr">
        <is>
          <t>27/11</t>
        </is>
      </c>
      <c r="BV6" s="9" t="inlineStr">
        <is>
          <t>28/11</t>
        </is>
      </c>
      <c r="BW6" s="10" t="inlineStr">
        <is>
          <t>29/11</t>
        </is>
      </c>
      <c r="BX6" s="9" t="inlineStr">
        <is>
          <t>30/11</t>
        </is>
      </c>
      <c r="BY6" s="9" t="inlineStr">
        <is>
          <t>01/12</t>
        </is>
      </c>
      <c r="BZ6" s="9" t="inlineStr">
        <is>
          <t>02/12</t>
        </is>
      </c>
      <c r="CA6" s="9" t="inlineStr">
        <is>
          <t>03/12</t>
        </is>
      </c>
      <c r="CB6" s="9" t="inlineStr">
        <is>
          <t>04/12</t>
        </is>
      </c>
      <c r="CC6" s="9" t="inlineStr">
        <is>
          <t>05/12</t>
        </is>
      </c>
      <c r="CD6" s="10" t="inlineStr">
        <is>
          <t>06/12</t>
        </is>
      </c>
      <c r="CE6" s="9" t="inlineStr">
        <is>
          <t>07/12</t>
        </is>
      </c>
      <c r="CF6" s="9" t="inlineStr">
        <is>
          <t>08/12</t>
        </is>
      </c>
      <c r="CG6" s="9" t="inlineStr">
        <is>
          <t>09/12</t>
        </is>
      </c>
      <c r="CH6" s="9" t="inlineStr">
        <is>
          <t>10/12</t>
        </is>
      </c>
      <c r="CI6" s="9" t="inlineStr">
        <is>
          <t>11/12</t>
        </is>
      </c>
      <c r="CJ6" s="9" t="inlineStr">
        <is>
          <t>12/12</t>
        </is>
      </c>
      <c r="CK6" s="10" t="inlineStr">
        <is>
          <t>13/12</t>
        </is>
      </c>
      <c r="CL6" s="9" t="inlineStr">
        <is>
          <t>14/12</t>
        </is>
      </c>
      <c r="CM6" s="9" t="inlineStr">
        <is>
          <t>15/12</t>
        </is>
      </c>
      <c r="CN6" s="9" t="inlineStr">
        <is>
          <t>16/12</t>
        </is>
      </c>
      <c r="CO6" s="9" t="inlineStr">
        <is>
          <t>17/12</t>
        </is>
      </c>
      <c r="CP6" s="9" t="inlineStr">
        <is>
          <t>18/12</t>
        </is>
      </c>
      <c r="CQ6" s="9" t="inlineStr">
        <is>
          <t>19/12</t>
        </is>
      </c>
      <c r="CR6" s="10" t="inlineStr">
        <is>
          <t>20/12</t>
        </is>
      </c>
      <c r="CS6" s="9" t="inlineStr">
        <is>
          <t>21/12</t>
        </is>
      </c>
      <c r="CT6" s="9" t="inlineStr">
        <is>
          <t>22/12</t>
        </is>
      </c>
      <c r="CU6" s="9" t="inlineStr">
        <is>
          <t>23/12</t>
        </is>
      </c>
      <c r="CV6" s="9" t="inlineStr">
        <is>
          <t>24/12</t>
        </is>
      </c>
      <c r="CW6" s="9" t="inlineStr">
        <is>
          <t>25/12</t>
        </is>
      </c>
      <c r="CX6" s="9" t="inlineStr">
        <is>
          <t>26/12</t>
        </is>
      </c>
      <c r="CY6" s="10" t="inlineStr">
        <is>
          <t>27/12</t>
        </is>
      </c>
      <c r="CZ6" s="9" t="inlineStr">
        <is>
          <t>28/12</t>
        </is>
      </c>
      <c r="DA6" s="9" t="inlineStr">
        <is>
          <t>29/12</t>
        </is>
      </c>
      <c r="DB6" s="9" t="inlineStr">
        <is>
          <t>30/12</t>
        </is>
      </c>
      <c r="DC6" s="9" t="inlineStr">
        <is>
          <t>31/12</t>
        </is>
      </c>
      <c r="DD6" s="9" t="inlineStr">
        <is>
          <t>01/01</t>
        </is>
      </c>
      <c r="DE6" s="9" t="inlineStr">
        <is>
          <t>02/01</t>
        </is>
      </c>
      <c r="DF6" s="10" t="inlineStr">
        <is>
          <t>03/01</t>
        </is>
      </c>
      <c r="DG6" s="9" t="inlineStr">
        <is>
          <t>04/01</t>
        </is>
      </c>
      <c r="DH6" s="9" t="inlineStr">
        <is>
          <t>05/01</t>
        </is>
      </c>
      <c r="DI6" s="9" t="inlineStr">
        <is>
          <t>06/01</t>
        </is>
      </c>
      <c r="DJ6" s="9" t="inlineStr">
        <is>
          <t>07/01</t>
        </is>
      </c>
      <c r="DK6" s="9" t="inlineStr">
        <is>
          <t>08/01</t>
        </is>
      </c>
      <c r="DL6" s="9" t="inlineStr">
        <is>
          <t>09/01</t>
        </is>
      </c>
      <c r="DM6" s="10" t="inlineStr">
        <is>
          <t>10/01</t>
        </is>
      </c>
      <c r="DN6" s="9" t="inlineStr">
        <is>
          <t>11/01</t>
        </is>
      </c>
      <c r="DO6" s="9" t="inlineStr">
        <is>
          <t>12/01</t>
        </is>
      </c>
      <c r="DP6" s="9" t="inlineStr">
        <is>
          <t>13/01</t>
        </is>
      </c>
      <c r="DQ6" s="9" t="inlineStr">
        <is>
          <t>14/01</t>
        </is>
      </c>
      <c r="DR6" s="9" t="inlineStr">
        <is>
          <t>15/01</t>
        </is>
      </c>
      <c r="DS6" s="9" t="inlineStr">
        <is>
          <t>16/01</t>
        </is>
      </c>
      <c r="DT6" s="10" t="inlineStr">
        <is>
          <t>17/01</t>
        </is>
      </c>
      <c r="DU6" s="9" t="inlineStr">
        <is>
          <t>18/01</t>
        </is>
      </c>
      <c r="DV6" s="9" t="inlineStr">
        <is>
          <t>19/01</t>
        </is>
      </c>
      <c r="DW6" s="9" t="inlineStr">
        <is>
          <t>20/01</t>
        </is>
      </c>
      <c r="DX6" s="9" t="inlineStr">
        <is>
          <t>21/01</t>
        </is>
      </c>
      <c r="DY6" s="9" t="inlineStr">
        <is>
          <t>22/01</t>
        </is>
      </c>
      <c r="DZ6" s="9" t="inlineStr">
        <is>
          <t>23/01</t>
        </is>
      </c>
      <c r="EA6" s="10" t="inlineStr">
        <is>
          <t>24/01</t>
        </is>
      </c>
      <c r="EB6" s="9" t="inlineStr">
        <is>
          <t>25/01</t>
        </is>
      </c>
      <c r="EC6" s="9" t="inlineStr">
        <is>
          <t>26/01</t>
        </is>
      </c>
      <c r="ED6" s="9" t="inlineStr">
        <is>
          <t>27/01</t>
        </is>
      </c>
      <c r="EE6" s="9" t="inlineStr">
        <is>
          <t>28/01</t>
        </is>
      </c>
      <c r="EF6" s="9" t="inlineStr">
        <is>
          <t>29/01</t>
        </is>
      </c>
      <c r="EG6" s="9" t="inlineStr">
        <is>
          <t>30/01</t>
        </is>
      </c>
      <c r="EH6" s="10" t="inlineStr">
        <is>
          <t>31/01</t>
        </is>
      </c>
      <c r="EI6" s="9" t="inlineStr">
        <is>
          <t>01/02</t>
        </is>
      </c>
      <c r="EJ6" s="9" t="inlineStr">
        <is>
          <t>02/02</t>
        </is>
      </c>
      <c r="EK6" s="9" t="inlineStr">
        <is>
          <t>03/02</t>
        </is>
      </c>
      <c r="EL6" s="9" t="inlineStr">
        <is>
          <t>04/02</t>
        </is>
      </c>
      <c r="EM6" s="9" t="inlineStr">
        <is>
          <t>05/02</t>
        </is>
      </c>
      <c r="EN6" s="9" t="inlineStr">
        <is>
          <t>06/02</t>
        </is>
      </c>
      <c r="EO6" s="10" t="inlineStr">
        <is>
          <t>07/02</t>
        </is>
      </c>
      <c r="EP6" s="9" t="inlineStr">
        <is>
          <t>08/02</t>
        </is>
      </c>
      <c r="EQ6" s="9" t="inlineStr">
        <is>
          <t>09/02</t>
        </is>
      </c>
      <c r="ER6" s="9" t="inlineStr">
        <is>
          <t>10/02</t>
        </is>
      </c>
      <c r="ES6" s="9" t="inlineStr">
        <is>
          <t>11/02</t>
        </is>
      </c>
      <c r="ET6" s="9" t="inlineStr">
        <is>
          <t>12/02</t>
        </is>
      </c>
      <c r="EU6" s="9" t="inlineStr">
        <is>
          <t>13/02</t>
        </is>
      </c>
      <c r="EV6" s="10" t="inlineStr">
        <is>
          <t>14/02</t>
        </is>
      </c>
      <c r="EW6" s="9" t="inlineStr">
        <is>
          <t>15/02</t>
        </is>
      </c>
      <c r="EX6" s="9" t="inlineStr">
        <is>
          <t>16/02</t>
        </is>
      </c>
      <c r="EY6" s="9" t="inlineStr">
        <is>
          <t>17/02</t>
        </is>
      </c>
      <c r="EZ6" s="9" t="inlineStr">
        <is>
          <t>18/02</t>
        </is>
      </c>
      <c r="FA6" s="9" t="inlineStr">
        <is>
          <t>19/02</t>
        </is>
      </c>
      <c r="FB6" s="9" t="inlineStr">
        <is>
          <t>20/02</t>
        </is>
      </c>
      <c r="FC6" s="10" t="inlineStr">
        <is>
          <t>21/02</t>
        </is>
      </c>
      <c r="FD6" s="9" t="inlineStr">
        <is>
          <t>22/02</t>
        </is>
      </c>
      <c r="FE6" s="9" t="inlineStr">
        <is>
          <t>23/02</t>
        </is>
      </c>
      <c r="FF6" s="9" t="inlineStr">
        <is>
          <t>24/02</t>
        </is>
      </c>
      <c r="FG6" s="9" t="inlineStr">
        <is>
          <t>25/02</t>
        </is>
      </c>
      <c r="FH6" s="9" t="inlineStr">
        <is>
          <t>26/02</t>
        </is>
      </c>
      <c r="FI6" s="9" t="inlineStr">
        <is>
          <t>27/02</t>
        </is>
      </c>
      <c r="FJ6" s="10" t="inlineStr">
        <is>
          <t>28/02</t>
        </is>
      </c>
      <c r="FK6" s="9" t="inlineStr">
        <is>
          <t>01/03</t>
        </is>
      </c>
      <c r="FL6" s="9" t="inlineStr">
        <is>
          <t>02/03</t>
        </is>
      </c>
      <c r="FM6" s="9" t="inlineStr">
        <is>
          <t>03/03</t>
        </is>
      </c>
      <c r="FN6" s="9" t="inlineStr">
        <is>
          <t>04/03</t>
        </is>
      </c>
      <c r="FO6" s="9" t="inlineStr">
        <is>
          <t>05/03</t>
        </is>
      </c>
      <c r="FP6" s="9" t="inlineStr">
        <is>
          <t>06/03</t>
        </is>
      </c>
      <c r="FQ6" s="10" t="inlineStr">
        <is>
          <t>07/03</t>
        </is>
      </c>
      <c r="FR6" s="9" t="inlineStr">
        <is>
          <t>08/03</t>
        </is>
      </c>
      <c r="FS6" s="9" t="inlineStr">
        <is>
          <t>09/03</t>
        </is>
      </c>
      <c r="FT6" s="9" t="inlineStr">
        <is>
          <t>10/03</t>
        </is>
      </c>
      <c r="FU6" s="9" t="inlineStr">
        <is>
          <t>11/03</t>
        </is>
      </c>
      <c r="FV6" s="9" t="inlineStr">
        <is>
          <t>12/03</t>
        </is>
      </c>
      <c r="FW6" s="9" t="inlineStr">
        <is>
          <t>13/03</t>
        </is>
      </c>
      <c r="FX6" s="10" t="inlineStr">
        <is>
          <t>14/03</t>
        </is>
      </c>
      <c r="FY6" s="9" t="inlineStr">
        <is>
          <t>15/03</t>
        </is>
      </c>
      <c r="FZ6" s="9" t="inlineStr">
        <is>
          <t>16/03</t>
        </is>
      </c>
      <c r="GA6" s="9" t="inlineStr">
        <is>
          <t>17/03</t>
        </is>
      </c>
      <c r="GB6" s="9" t="inlineStr">
        <is>
          <t>18/03</t>
        </is>
      </c>
      <c r="GC6" s="9" t="inlineStr">
        <is>
          <t>19/03</t>
        </is>
      </c>
    </row>
    <row r="7">
      <c r="P7" s="11" t="inlineStr">
        <is>
          <t>T5</t>
        </is>
      </c>
      <c r="Q7" s="11" t="inlineStr">
        <is>
          <t>T6</t>
        </is>
      </c>
      <c r="R7" s="11" t="inlineStr">
        <is>
          <t>T7</t>
        </is>
      </c>
      <c r="S7" s="12" t="inlineStr">
        <is>
          <t>CN</t>
        </is>
      </c>
      <c r="T7" s="11" t="inlineStr">
        <is>
          <t>T2</t>
        </is>
      </c>
      <c r="U7" s="11" t="inlineStr">
        <is>
          <t>T3</t>
        </is>
      </c>
      <c r="V7" s="11" t="inlineStr">
        <is>
          <t>T4</t>
        </is>
      </c>
      <c r="W7" s="11" t="inlineStr">
        <is>
          <t>T5</t>
        </is>
      </c>
      <c r="X7" s="11" t="inlineStr">
        <is>
          <t>T6</t>
        </is>
      </c>
      <c r="Y7" s="11" t="inlineStr">
        <is>
          <t>T7</t>
        </is>
      </c>
      <c r="Z7" s="12" t="inlineStr">
        <is>
          <t>CN</t>
        </is>
      </c>
      <c r="AA7" s="11" t="inlineStr">
        <is>
          <t>T2</t>
        </is>
      </c>
      <c r="AB7" s="11" t="inlineStr">
        <is>
          <t>T3</t>
        </is>
      </c>
      <c r="AC7" s="11" t="inlineStr">
        <is>
          <t>T4</t>
        </is>
      </c>
      <c r="AD7" s="11" t="inlineStr">
        <is>
          <t>T5</t>
        </is>
      </c>
      <c r="AE7" s="11" t="inlineStr">
        <is>
          <t>T6</t>
        </is>
      </c>
      <c r="AF7" s="11" t="inlineStr">
        <is>
          <t>T7</t>
        </is>
      </c>
      <c r="AG7" s="12" t="inlineStr">
        <is>
          <t>CN</t>
        </is>
      </c>
      <c r="AH7" s="11" t="inlineStr">
        <is>
          <t>T2</t>
        </is>
      </c>
      <c r="AI7" s="11" t="inlineStr">
        <is>
          <t>T3</t>
        </is>
      </c>
      <c r="AJ7" s="11" t="inlineStr">
        <is>
          <t>T4</t>
        </is>
      </c>
      <c r="AK7" s="11" t="inlineStr">
        <is>
          <t>T5</t>
        </is>
      </c>
      <c r="AL7" s="11" t="inlineStr">
        <is>
          <t>T6</t>
        </is>
      </c>
      <c r="AM7" s="11" t="inlineStr">
        <is>
          <t>T7</t>
        </is>
      </c>
      <c r="AN7" s="12" t="inlineStr">
        <is>
          <t>CN</t>
        </is>
      </c>
      <c r="AO7" s="11" t="inlineStr">
        <is>
          <t>T2</t>
        </is>
      </c>
      <c r="AP7" s="11" t="inlineStr">
        <is>
          <t>T3</t>
        </is>
      </c>
      <c r="AQ7" s="11" t="inlineStr">
        <is>
          <t>T4</t>
        </is>
      </c>
      <c r="AR7" s="11" t="inlineStr">
        <is>
          <t>T5</t>
        </is>
      </c>
      <c r="AS7" s="11" t="inlineStr">
        <is>
          <t>T6</t>
        </is>
      </c>
      <c r="AT7" s="11" t="inlineStr">
        <is>
          <t>T7</t>
        </is>
      </c>
      <c r="AU7" s="12" t="inlineStr">
        <is>
          <t>CN</t>
        </is>
      </c>
      <c r="AV7" s="11" t="inlineStr">
        <is>
          <t>T2</t>
        </is>
      </c>
      <c r="AW7" s="11" t="inlineStr">
        <is>
          <t>T3</t>
        </is>
      </c>
      <c r="AX7" s="11" t="inlineStr">
        <is>
          <t>T4</t>
        </is>
      </c>
      <c r="AY7" s="11" t="inlineStr">
        <is>
          <t>T5</t>
        </is>
      </c>
      <c r="AZ7" s="11" t="inlineStr">
        <is>
          <t>T6</t>
        </is>
      </c>
      <c r="BA7" s="11" t="inlineStr">
        <is>
          <t>T7</t>
        </is>
      </c>
      <c r="BB7" s="12" t="inlineStr">
        <is>
          <t>CN</t>
        </is>
      </c>
      <c r="BC7" s="11" t="inlineStr">
        <is>
          <t>T2</t>
        </is>
      </c>
      <c r="BD7" s="11" t="inlineStr">
        <is>
          <t>T3</t>
        </is>
      </c>
      <c r="BE7" s="11" t="inlineStr">
        <is>
          <t>T4</t>
        </is>
      </c>
      <c r="BF7" s="11" t="inlineStr">
        <is>
          <t>T5</t>
        </is>
      </c>
      <c r="BG7" s="11" t="inlineStr">
        <is>
          <t>T6</t>
        </is>
      </c>
      <c r="BH7" s="11" t="inlineStr">
        <is>
          <t>T7</t>
        </is>
      </c>
      <c r="BI7" s="12" t="inlineStr">
        <is>
          <t>CN</t>
        </is>
      </c>
      <c r="BJ7" s="11" t="inlineStr">
        <is>
          <t>T2</t>
        </is>
      </c>
      <c r="BK7" s="11" t="inlineStr">
        <is>
          <t>T3</t>
        </is>
      </c>
      <c r="BL7" s="11" t="inlineStr">
        <is>
          <t>T4</t>
        </is>
      </c>
      <c r="BM7" s="11" t="inlineStr">
        <is>
          <t>T5</t>
        </is>
      </c>
      <c r="BN7" s="11" t="inlineStr">
        <is>
          <t>T6</t>
        </is>
      </c>
      <c r="BO7" s="11" t="inlineStr">
        <is>
          <t>T7</t>
        </is>
      </c>
      <c r="BP7" s="12" t="inlineStr">
        <is>
          <t>CN</t>
        </is>
      </c>
      <c r="BQ7" s="11" t="inlineStr">
        <is>
          <t>T2</t>
        </is>
      </c>
      <c r="BR7" s="11" t="inlineStr">
        <is>
          <t>T3</t>
        </is>
      </c>
      <c r="BS7" s="11" t="inlineStr">
        <is>
          <t>T4</t>
        </is>
      </c>
      <c r="BT7" s="11" t="inlineStr">
        <is>
          <t>T5</t>
        </is>
      </c>
      <c r="BU7" s="11" t="inlineStr">
        <is>
          <t>T6</t>
        </is>
      </c>
      <c r="BV7" s="11" t="inlineStr">
        <is>
          <t>T7</t>
        </is>
      </c>
      <c r="BW7" s="12" t="inlineStr">
        <is>
          <t>CN</t>
        </is>
      </c>
      <c r="BX7" s="11" t="inlineStr">
        <is>
          <t>T2</t>
        </is>
      </c>
      <c r="BY7" s="11" t="inlineStr">
        <is>
          <t>T3</t>
        </is>
      </c>
      <c r="BZ7" s="11" t="inlineStr">
        <is>
          <t>T4</t>
        </is>
      </c>
      <c r="CA7" s="11" t="inlineStr">
        <is>
          <t>T5</t>
        </is>
      </c>
      <c r="CB7" s="11" t="inlineStr">
        <is>
          <t>T6</t>
        </is>
      </c>
      <c r="CC7" s="11" t="inlineStr">
        <is>
          <t>T7</t>
        </is>
      </c>
      <c r="CD7" s="12" t="inlineStr">
        <is>
          <t>CN</t>
        </is>
      </c>
      <c r="CE7" s="11" t="inlineStr">
        <is>
          <t>T2</t>
        </is>
      </c>
      <c r="CF7" s="11" t="inlineStr">
        <is>
          <t>T3</t>
        </is>
      </c>
      <c r="CG7" s="11" t="inlineStr">
        <is>
          <t>T4</t>
        </is>
      </c>
      <c r="CH7" s="11" t="inlineStr">
        <is>
          <t>T5</t>
        </is>
      </c>
      <c r="CI7" s="11" t="inlineStr">
        <is>
          <t>T6</t>
        </is>
      </c>
      <c r="CJ7" s="11" t="inlineStr">
        <is>
          <t>T7</t>
        </is>
      </c>
      <c r="CK7" s="12" t="inlineStr">
        <is>
          <t>CN</t>
        </is>
      </c>
      <c r="CL7" s="11" t="inlineStr">
        <is>
          <t>T2</t>
        </is>
      </c>
      <c r="CM7" s="11" t="inlineStr">
        <is>
          <t>T3</t>
        </is>
      </c>
      <c r="CN7" s="11" t="inlineStr">
        <is>
          <t>T4</t>
        </is>
      </c>
      <c r="CO7" s="11" t="inlineStr">
        <is>
          <t>T5</t>
        </is>
      </c>
      <c r="CP7" s="11" t="inlineStr">
        <is>
          <t>T6</t>
        </is>
      </c>
      <c r="CQ7" s="11" t="inlineStr">
        <is>
          <t>T7</t>
        </is>
      </c>
      <c r="CR7" s="12" t="inlineStr">
        <is>
          <t>CN</t>
        </is>
      </c>
      <c r="CS7" s="11" t="inlineStr">
        <is>
          <t>T2</t>
        </is>
      </c>
      <c r="CT7" s="11" t="inlineStr">
        <is>
          <t>T3</t>
        </is>
      </c>
      <c r="CU7" s="11" t="inlineStr">
        <is>
          <t>T4</t>
        </is>
      </c>
      <c r="CV7" s="11" t="inlineStr">
        <is>
          <t>T5</t>
        </is>
      </c>
      <c r="CW7" s="11" t="inlineStr">
        <is>
          <t>T6</t>
        </is>
      </c>
      <c r="CX7" s="11" t="inlineStr">
        <is>
          <t>T7</t>
        </is>
      </c>
      <c r="CY7" s="12" t="inlineStr">
        <is>
          <t>CN</t>
        </is>
      </c>
      <c r="CZ7" s="11" t="inlineStr">
        <is>
          <t>T2</t>
        </is>
      </c>
      <c r="DA7" s="11" t="inlineStr">
        <is>
          <t>T3</t>
        </is>
      </c>
      <c r="DB7" s="11" t="inlineStr">
        <is>
          <t>T4</t>
        </is>
      </c>
      <c r="DC7" s="11" t="inlineStr">
        <is>
          <t>T5</t>
        </is>
      </c>
      <c r="DD7" s="11" t="inlineStr">
        <is>
          <t>T6</t>
        </is>
      </c>
      <c r="DE7" s="11" t="inlineStr">
        <is>
          <t>T7</t>
        </is>
      </c>
      <c r="DF7" s="12" t="inlineStr">
        <is>
          <t>CN</t>
        </is>
      </c>
      <c r="DG7" s="11" t="inlineStr">
        <is>
          <t>T2</t>
        </is>
      </c>
      <c r="DH7" s="11" t="inlineStr">
        <is>
          <t>T3</t>
        </is>
      </c>
      <c r="DI7" s="11" t="inlineStr">
        <is>
          <t>T4</t>
        </is>
      </c>
      <c r="DJ7" s="11" t="inlineStr">
        <is>
          <t>T5</t>
        </is>
      </c>
      <c r="DK7" s="11" t="inlineStr">
        <is>
          <t>T6</t>
        </is>
      </c>
      <c r="DL7" s="11" t="inlineStr">
        <is>
          <t>T7</t>
        </is>
      </c>
      <c r="DM7" s="12" t="inlineStr">
        <is>
          <t>CN</t>
        </is>
      </c>
      <c r="DN7" s="11" t="inlineStr">
        <is>
          <t>T2</t>
        </is>
      </c>
      <c r="DO7" s="11" t="inlineStr">
        <is>
          <t>T3</t>
        </is>
      </c>
      <c r="DP7" s="11" t="inlineStr">
        <is>
          <t>T4</t>
        </is>
      </c>
      <c r="DQ7" s="11" t="inlineStr">
        <is>
          <t>T5</t>
        </is>
      </c>
      <c r="DR7" s="11" t="inlineStr">
        <is>
          <t>T6</t>
        </is>
      </c>
      <c r="DS7" s="11" t="inlineStr">
        <is>
          <t>T7</t>
        </is>
      </c>
      <c r="DT7" s="12" t="inlineStr">
        <is>
          <t>CN</t>
        </is>
      </c>
      <c r="DU7" s="11" t="inlineStr">
        <is>
          <t>T2</t>
        </is>
      </c>
      <c r="DV7" s="11" t="inlineStr">
        <is>
          <t>T3</t>
        </is>
      </c>
      <c r="DW7" s="11" t="inlineStr">
        <is>
          <t>T4</t>
        </is>
      </c>
      <c r="DX7" s="11" t="inlineStr">
        <is>
          <t>T5</t>
        </is>
      </c>
      <c r="DY7" s="11" t="inlineStr">
        <is>
          <t>T6</t>
        </is>
      </c>
      <c r="DZ7" s="11" t="inlineStr">
        <is>
          <t>T7</t>
        </is>
      </c>
      <c r="EA7" s="12" t="inlineStr">
        <is>
          <t>CN</t>
        </is>
      </c>
      <c r="EB7" s="11" t="inlineStr">
        <is>
          <t>T2</t>
        </is>
      </c>
      <c r="EC7" s="11" t="inlineStr">
        <is>
          <t>T3</t>
        </is>
      </c>
      <c r="ED7" s="11" t="inlineStr">
        <is>
          <t>T4</t>
        </is>
      </c>
      <c r="EE7" s="11" t="inlineStr">
        <is>
          <t>T5</t>
        </is>
      </c>
      <c r="EF7" s="11" t="inlineStr">
        <is>
          <t>T6</t>
        </is>
      </c>
      <c r="EG7" s="11" t="inlineStr">
        <is>
          <t>T7</t>
        </is>
      </c>
      <c r="EH7" s="12" t="inlineStr">
        <is>
          <t>CN</t>
        </is>
      </c>
      <c r="EI7" s="11" t="inlineStr">
        <is>
          <t>T2</t>
        </is>
      </c>
      <c r="EJ7" s="11" t="inlineStr">
        <is>
          <t>T3</t>
        </is>
      </c>
      <c r="EK7" s="11" t="inlineStr">
        <is>
          <t>T4</t>
        </is>
      </c>
      <c r="EL7" s="11" t="inlineStr">
        <is>
          <t>T5</t>
        </is>
      </c>
      <c r="EM7" s="11" t="inlineStr">
        <is>
          <t>T6</t>
        </is>
      </c>
      <c r="EN7" s="11" t="inlineStr">
        <is>
          <t>T7</t>
        </is>
      </c>
      <c r="EO7" s="12" t="inlineStr">
        <is>
          <t>CN</t>
        </is>
      </c>
      <c r="EP7" s="11" t="inlineStr">
        <is>
          <t>T2</t>
        </is>
      </c>
      <c r="EQ7" s="11" t="inlineStr">
        <is>
          <t>T3</t>
        </is>
      </c>
      <c r="ER7" s="11" t="inlineStr">
        <is>
          <t>T4</t>
        </is>
      </c>
      <c r="ES7" s="11" t="inlineStr">
        <is>
          <t>T5</t>
        </is>
      </c>
      <c r="ET7" s="11" t="inlineStr">
        <is>
          <t>T6</t>
        </is>
      </c>
      <c r="EU7" s="11" t="inlineStr">
        <is>
          <t>T7</t>
        </is>
      </c>
      <c r="EV7" s="12" t="inlineStr">
        <is>
          <t>CN</t>
        </is>
      </c>
      <c r="EW7" s="11" t="inlineStr">
        <is>
          <t>T2</t>
        </is>
      </c>
      <c r="EX7" s="11" t="inlineStr">
        <is>
          <t>T3</t>
        </is>
      </c>
      <c r="EY7" s="11" t="inlineStr">
        <is>
          <t>T4</t>
        </is>
      </c>
      <c r="EZ7" s="11" t="inlineStr">
        <is>
          <t>T5</t>
        </is>
      </c>
      <c r="FA7" s="11" t="inlineStr">
        <is>
          <t>T6</t>
        </is>
      </c>
      <c r="FB7" s="11" t="inlineStr">
        <is>
          <t>T7</t>
        </is>
      </c>
      <c r="FC7" s="12" t="inlineStr">
        <is>
          <t>CN</t>
        </is>
      </c>
      <c r="FD7" s="11" t="inlineStr">
        <is>
          <t>T2</t>
        </is>
      </c>
      <c r="FE7" s="11" t="inlineStr">
        <is>
          <t>T3</t>
        </is>
      </c>
      <c r="FF7" s="11" t="inlineStr">
        <is>
          <t>T4</t>
        </is>
      </c>
      <c r="FG7" s="11" t="inlineStr">
        <is>
          <t>T5</t>
        </is>
      </c>
      <c r="FH7" s="11" t="inlineStr">
        <is>
          <t>T6</t>
        </is>
      </c>
      <c r="FI7" s="11" t="inlineStr">
        <is>
          <t>T7</t>
        </is>
      </c>
      <c r="FJ7" s="12" t="inlineStr">
        <is>
          <t>CN</t>
        </is>
      </c>
      <c r="FK7" s="11" t="inlineStr">
        <is>
          <t>T2</t>
        </is>
      </c>
      <c r="FL7" s="11" t="inlineStr">
        <is>
          <t>T3</t>
        </is>
      </c>
      <c r="FM7" s="11" t="inlineStr">
        <is>
          <t>T4</t>
        </is>
      </c>
      <c r="FN7" s="11" t="inlineStr">
        <is>
          <t>T5</t>
        </is>
      </c>
      <c r="FO7" s="11" t="inlineStr">
        <is>
          <t>T6</t>
        </is>
      </c>
      <c r="FP7" s="11" t="inlineStr">
        <is>
          <t>T7</t>
        </is>
      </c>
      <c r="FQ7" s="12" t="inlineStr">
        <is>
          <t>CN</t>
        </is>
      </c>
      <c r="FR7" s="11" t="inlineStr">
        <is>
          <t>T2</t>
        </is>
      </c>
      <c r="FS7" s="11" t="inlineStr">
        <is>
          <t>T3</t>
        </is>
      </c>
      <c r="FT7" s="11" t="inlineStr">
        <is>
          <t>T4</t>
        </is>
      </c>
      <c r="FU7" s="11" t="inlineStr">
        <is>
          <t>T5</t>
        </is>
      </c>
      <c r="FV7" s="11" t="inlineStr">
        <is>
          <t>T6</t>
        </is>
      </c>
      <c r="FW7" s="11" t="inlineStr">
        <is>
          <t>T7</t>
        </is>
      </c>
      <c r="FX7" s="12" t="inlineStr">
        <is>
          <t>CN</t>
        </is>
      </c>
      <c r="FY7" s="11" t="inlineStr">
        <is>
          <t>T2</t>
        </is>
      </c>
      <c r="FZ7" s="11" t="inlineStr">
        <is>
          <t>T3</t>
        </is>
      </c>
      <c r="GA7" s="11" t="inlineStr">
        <is>
          <t>T4</t>
        </is>
      </c>
      <c r="GB7" s="11" t="inlineStr">
        <is>
          <t>T5</t>
        </is>
      </c>
      <c r="GC7" s="11" t="inlineStr">
        <is>
          <t>T6</t>
        </is>
      </c>
    </row>
    <row r="8">
      <c r="A8" s="13" t="n">
        <v>1</v>
      </c>
      <c r="B8" s="13" t="inlineStr">
        <is>
          <t>WBS 1.1</t>
        </is>
      </c>
      <c r="C8" s="14" t="inlineStr">
        <is>
          <t>Bàn giao tim mốc VN2000 &amp; định vị mố trụ cầu</t>
        </is>
      </c>
      <c r="D8" s="13" t="inlineStr">
        <is>
          <t>Điểm</t>
        </is>
      </c>
      <c r="E8" s="15" t="n">
        <v>1</v>
      </c>
      <c r="F8" s="15" t="n">
        <v>0.5</v>
      </c>
      <c r="G8" s="15" t="n">
        <v>2</v>
      </c>
      <c r="H8" s="15" t="n">
        <v>0.5</v>
      </c>
      <c r="I8" s="16" t="n">
        <v>2</v>
      </c>
      <c r="J8" s="13" t="inlineStr">
        <is>
          <t>01/10/2026</t>
        </is>
      </c>
      <c r="K8" s="13" t="inlineStr">
        <is>
          <t>02/10/2026</t>
        </is>
      </c>
      <c r="L8" s="13" t="n">
        <v>1</v>
      </c>
      <c r="M8" s="17" t="n">
        <v>1</v>
      </c>
      <c r="N8" s="18" t="inlineStr">
        <is>
          <t>Toàn đạc điện tử Leica TS06</t>
        </is>
      </c>
      <c r="O8" s="19" t="n">
        <v>6</v>
      </c>
      <c r="P8" s="20" t="n">
        <v>1</v>
      </c>
      <c r="Q8" s="20" t="n">
        <v>1</v>
      </c>
      <c r="R8" s="21" t="n">
        <v>0</v>
      </c>
      <c r="S8" s="21" t="n">
        <v>0</v>
      </c>
      <c r="T8" s="21" t="n">
        <v>0</v>
      </c>
      <c r="U8" s="21" t="n">
        <v>0</v>
      </c>
      <c r="V8" s="21" t="n">
        <v>0</v>
      </c>
      <c r="W8" s="21" t="n">
        <v>0</v>
      </c>
      <c r="X8" s="21" t="n">
        <v>0</v>
      </c>
      <c r="Y8" s="21" t="n">
        <v>0</v>
      </c>
      <c r="Z8" s="21" t="n">
        <v>0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0</v>
      </c>
      <c r="AF8" s="21" t="n">
        <v>0</v>
      </c>
      <c r="AG8" s="21" t="n">
        <v>0</v>
      </c>
      <c r="AH8" s="21" t="n">
        <v>0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0</v>
      </c>
      <c r="CP8" s="21" t="n">
        <v>0</v>
      </c>
      <c r="CQ8" s="21" t="n">
        <v>0</v>
      </c>
      <c r="CR8" s="21" t="n">
        <v>0</v>
      </c>
      <c r="CS8" s="21" t="n">
        <v>0</v>
      </c>
      <c r="CT8" s="21" t="n">
        <v>0</v>
      </c>
      <c r="CU8" s="21" t="n">
        <v>0</v>
      </c>
      <c r="CV8" s="21" t="n">
        <v>0</v>
      </c>
      <c r="CW8" s="21" t="n">
        <v>0</v>
      </c>
      <c r="CX8" s="21" t="n">
        <v>0</v>
      </c>
      <c r="CY8" s="21" t="n">
        <v>0</v>
      </c>
      <c r="CZ8" s="21" t="n">
        <v>0</v>
      </c>
      <c r="DA8" s="21" t="n">
        <v>0</v>
      </c>
      <c r="DB8" s="21" t="n">
        <v>0</v>
      </c>
      <c r="DC8" s="21" t="n">
        <v>0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0</v>
      </c>
      <c r="DX8" s="21" t="n">
        <v>0</v>
      </c>
      <c r="DY8" s="21" t="n">
        <v>0</v>
      </c>
      <c r="DZ8" s="21" t="n">
        <v>0</v>
      </c>
      <c r="EA8" s="21" t="n">
        <v>0</v>
      </c>
      <c r="EB8" s="21" t="n">
        <v>0</v>
      </c>
      <c r="EC8" s="21" t="n">
        <v>0</v>
      </c>
      <c r="ED8" s="21" t="n">
        <v>0</v>
      </c>
      <c r="EE8" s="21" t="n">
        <v>0</v>
      </c>
      <c r="EF8" s="21" t="n">
        <v>0</v>
      </c>
      <c r="EG8" s="21" t="n">
        <v>0</v>
      </c>
      <c r="EH8" s="21" t="n">
        <v>0</v>
      </c>
      <c r="EI8" s="21" t="n">
        <v>0</v>
      </c>
      <c r="EJ8" s="21" t="n">
        <v>0</v>
      </c>
      <c r="EK8" s="21" t="n">
        <v>0</v>
      </c>
      <c r="EL8" s="21" t="n">
        <v>0</v>
      </c>
      <c r="EM8" s="21" t="n">
        <v>0</v>
      </c>
      <c r="EN8" s="21" t="n">
        <v>0</v>
      </c>
      <c r="EO8" s="21" t="n">
        <v>0</v>
      </c>
      <c r="EP8" s="21" t="n">
        <v>0</v>
      </c>
      <c r="EQ8" s="21" t="n">
        <v>0</v>
      </c>
      <c r="ER8" s="21" t="n">
        <v>0</v>
      </c>
      <c r="ES8" s="21" t="n">
        <v>0</v>
      </c>
      <c r="ET8" s="21" t="n">
        <v>0</v>
      </c>
      <c r="EU8" s="21" t="n">
        <v>0</v>
      </c>
      <c r="EV8" s="21" t="n">
        <v>0</v>
      </c>
      <c r="EW8" s="21" t="n">
        <v>0</v>
      </c>
      <c r="EX8" s="21" t="n">
        <v>0</v>
      </c>
      <c r="EY8" s="21" t="n">
        <v>0</v>
      </c>
      <c r="EZ8" s="21" t="n">
        <v>0</v>
      </c>
      <c r="FA8" s="21" t="n">
        <v>0</v>
      </c>
      <c r="FB8" s="21" t="n">
        <v>0</v>
      </c>
      <c r="FC8" s="21" t="n">
        <v>0</v>
      </c>
      <c r="FD8" s="21" t="n">
        <v>0</v>
      </c>
      <c r="FE8" s="21" t="n">
        <v>0</v>
      </c>
      <c r="FF8" s="21" t="n">
        <v>0</v>
      </c>
      <c r="FG8" s="21" t="n">
        <v>0</v>
      </c>
      <c r="FH8" s="21" t="n">
        <v>0</v>
      </c>
      <c r="FI8" s="21" t="n">
        <v>0</v>
      </c>
      <c r="FJ8" s="21" t="n">
        <v>0</v>
      </c>
      <c r="FK8" s="21" t="n">
        <v>0</v>
      </c>
      <c r="FL8" s="21" t="n">
        <v>0</v>
      </c>
      <c r="FM8" s="21" t="n">
        <v>0</v>
      </c>
      <c r="FN8" s="21" t="n">
        <v>0</v>
      </c>
      <c r="FO8" s="21" t="n">
        <v>0</v>
      </c>
      <c r="FP8" s="21" t="n">
        <v>0</v>
      </c>
      <c r="FQ8" s="21" t="n">
        <v>0</v>
      </c>
      <c r="FR8" s="21" t="n">
        <v>0</v>
      </c>
      <c r="FS8" s="21" t="n">
        <v>0</v>
      </c>
      <c r="FT8" s="21" t="n">
        <v>0</v>
      </c>
      <c r="FU8" s="21" t="n">
        <v>0</v>
      </c>
      <c r="FV8" s="21" t="n">
        <v>0</v>
      </c>
      <c r="FW8" s="21" t="n">
        <v>0</v>
      </c>
      <c r="FX8" s="21" t="n">
        <v>0</v>
      </c>
      <c r="FY8" s="21" t="n">
        <v>0</v>
      </c>
      <c r="FZ8" s="21" t="n">
        <v>0</v>
      </c>
      <c r="GA8" s="21" t="n">
        <v>0</v>
      </c>
      <c r="GB8" s="21" t="n">
        <v>0</v>
      </c>
      <c r="GC8" s="21" t="n">
        <v>0</v>
      </c>
    </row>
    <row r="9">
      <c r="A9" s="13" t="n">
        <v>2</v>
      </c>
      <c r="B9" s="13" t="inlineStr">
        <is>
          <t>WBS 1.2</t>
        </is>
      </c>
      <c r="C9" s="14" t="inlineStr">
        <is>
          <t>Rà phá bom mìn, dọn dẹp mặt bằng &amp; dựng lán trại</t>
        </is>
      </c>
      <c r="D9" s="13" t="inlineStr">
        <is>
          <t>m2</t>
        </is>
      </c>
      <c r="E9" s="15" t="n">
        <v>12500</v>
      </c>
      <c r="F9" s="15" t="n">
        <v>2083.3</v>
      </c>
      <c r="G9" s="15" t="n">
        <v>6</v>
      </c>
      <c r="H9" s="15" t="n">
        <v>2083.3</v>
      </c>
      <c r="I9" s="16" t="n">
        <v>6</v>
      </c>
      <c r="J9" s="13" t="inlineStr">
        <is>
          <t>03/10/2026</t>
        </is>
      </c>
      <c r="K9" s="13" t="inlineStr">
        <is>
          <t>08/10/2026</t>
        </is>
      </c>
      <c r="L9" s="13" t="n">
        <v>1</v>
      </c>
      <c r="M9" s="17" t="n">
        <v>1</v>
      </c>
      <c r="N9" s="18" t="inlineStr">
        <is>
          <t>Máy xúc PC200 + Ô tô Howo 15T</t>
        </is>
      </c>
      <c r="O9" s="19" t="n">
        <v>10</v>
      </c>
      <c r="P9" s="21" t="n">
        <v>0</v>
      </c>
      <c r="Q9" s="21" t="n">
        <v>0</v>
      </c>
      <c r="R9" s="20" t="n">
        <v>1</v>
      </c>
      <c r="S9" s="20" t="n">
        <v>1</v>
      </c>
      <c r="T9" s="20" t="n">
        <v>1</v>
      </c>
      <c r="U9" s="20" t="n">
        <v>1</v>
      </c>
      <c r="V9" s="20" t="n">
        <v>1</v>
      </c>
      <c r="W9" s="20" t="n">
        <v>1</v>
      </c>
      <c r="X9" s="21" t="n">
        <v>0</v>
      </c>
      <c r="Y9" s="21" t="n">
        <v>0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0</v>
      </c>
      <c r="AG9" s="21" t="n">
        <v>0</v>
      </c>
      <c r="AH9" s="21" t="n">
        <v>0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0</v>
      </c>
      <c r="CQ9" s="21" t="n">
        <v>0</v>
      </c>
      <c r="CR9" s="21" t="n">
        <v>0</v>
      </c>
      <c r="CS9" s="21" t="n">
        <v>0</v>
      </c>
      <c r="CT9" s="21" t="n">
        <v>0</v>
      </c>
      <c r="CU9" s="21" t="n">
        <v>0</v>
      </c>
      <c r="CV9" s="21" t="n">
        <v>0</v>
      </c>
      <c r="CW9" s="21" t="n">
        <v>0</v>
      </c>
      <c r="CX9" s="21" t="n">
        <v>0</v>
      </c>
      <c r="CY9" s="21" t="n">
        <v>0</v>
      </c>
      <c r="CZ9" s="21" t="n">
        <v>0</v>
      </c>
      <c r="DA9" s="21" t="n">
        <v>0</v>
      </c>
      <c r="DB9" s="21" t="n">
        <v>0</v>
      </c>
      <c r="DC9" s="21" t="n">
        <v>0</v>
      </c>
      <c r="DD9" s="21" t="n">
        <v>0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0</v>
      </c>
      <c r="DX9" s="21" t="n">
        <v>0</v>
      </c>
      <c r="DY9" s="21" t="n">
        <v>0</v>
      </c>
      <c r="DZ9" s="21" t="n">
        <v>0</v>
      </c>
      <c r="EA9" s="21" t="n">
        <v>0</v>
      </c>
      <c r="EB9" s="21" t="n">
        <v>0</v>
      </c>
      <c r="EC9" s="21" t="n">
        <v>0</v>
      </c>
      <c r="ED9" s="21" t="n">
        <v>0</v>
      </c>
      <c r="EE9" s="21" t="n">
        <v>0</v>
      </c>
      <c r="EF9" s="21" t="n">
        <v>0</v>
      </c>
      <c r="EG9" s="21" t="n">
        <v>0</v>
      </c>
      <c r="EH9" s="21" t="n">
        <v>0</v>
      </c>
      <c r="EI9" s="21" t="n">
        <v>0</v>
      </c>
      <c r="EJ9" s="21" t="n">
        <v>0</v>
      </c>
      <c r="EK9" s="21" t="n">
        <v>0</v>
      </c>
      <c r="EL9" s="21" t="n">
        <v>0</v>
      </c>
      <c r="EM9" s="21" t="n">
        <v>0</v>
      </c>
      <c r="EN9" s="21" t="n">
        <v>0</v>
      </c>
      <c r="EO9" s="21" t="n">
        <v>0</v>
      </c>
      <c r="EP9" s="21" t="n">
        <v>0</v>
      </c>
      <c r="EQ9" s="21" t="n">
        <v>0</v>
      </c>
      <c r="ER9" s="21" t="n">
        <v>0</v>
      </c>
      <c r="ES9" s="21" t="n">
        <v>0</v>
      </c>
      <c r="ET9" s="21" t="n">
        <v>0</v>
      </c>
      <c r="EU9" s="21" t="n">
        <v>0</v>
      </c>
      <c r="EV9" s="21" t="n">
        <v>0</v>
      </c>
      <c r="EW9" s="21" t="n">
        <v>0</v>
      </c>
      <c r="EX9" s="21" t="n">
        <v>0</v>
      </c>
      <c r="EY9" s="21" t="n">
        <v>0</v>
      </c>
      <c r="EZ9" s="21" t="n">
        <v>0</v>
      </c>
      <c r="FA9" s="21" t="n">
        <v>0</v>
      </c>
      <c r="FB9" s="21" t="n">
        <v>0</v>
      </c>
      <c r="FC9" s="21" t="n">
        <v>0</v>
      </c>
      <c r="FD9" s="21" t="n">
        <v>0</v>
      </c>
      <c r="FE9" s="21" t="n">
        <v>0</v>
      </c>
      <c r="FF9" s="21" t="n">
        <v>0</v>
      </c>
      <c r="FG9" s="21" t="n">
        <v>0</v>
      </c>
      <c r="FH9" s="21" t="n">
        <v>0</v>
      </c>
      <c r="FI9" s="21" t="n">
        <v>0</v>
      </c>
      <c r="FJ9" s="21" t="n">
        <v>0</v>
      </c>
      <c r="FK9" s="21" t="n">
        <v>0</v>
      </c>
      <c r="FL9" s="21" t="n">
        <v>0</v>
      </c>
      <c r="FM9" s="21" t="n">
        <v>0</v>
      </c>
      <c r="FN9" s="21" t="n">
        <v>0</v>
      </c>
      <c r="FO9" s="21" t="n">
        <v>0</v>
      </c>
      <c r="FP9" s="21" t="n">
        <v>0</v>
      </c>
      <c r="FQ9" s="21" t="n">
        <v>0</v>
      </c>
      <c r="FR9" s="21" t="n">
        <v>0</v>
      </c>
      <c r="FS9" s="21" t="n">
        <v>0</v>
      </c>
      <c r="FT9" s="21" t="n">
        <v>0</v>
      </c>
      <c r="FU9" s="21" t="n">
        <v>0</v>
      </c>
      <c r="FV9" s="21" t="n">
        <v>0</v>
      </c>
      <c r="FW9" s="21" t="n">
        <v>0</v>
      </c>
      <c r="FX9" s="21" t="n">
        <v>0</v>
      </c>
      <c r="FY9" s="21" t="n">
        <v>0</v>
      </c>
      <c r="FZ9" s="21" t="n">
        <v>0</v>
      </c>
      <c r="GA9" s="21" t="n">
        <v>0</v>
      </c>
      <c r="GB9" s="21" t="n">
        <v>0</v>
      </c>
      <c r="GC9" s="21" t="n">
        <v>0</v>
      </c>
    </row>
    <row r="10">
      <c r="A10" s="13" t="n">
        <v>3</v>
      </c>
      <c r="B10" s="13" t="inlineStr">
        <is>
          <t>WBS 1.3</t>
        </is>
      </c>
      <c r="C10" s="14" t="inlineStr">
        <is>
          <t>Thi công đường công vụ nhánh 6 &amp; 6A tiếp cận mố trụ</t>
        </is>
      </c>
      <c r="D10" s="13" t="inlineStr">
        <is>
          <t>m3</t>
        </is>
      </c>
      <c r="E10" s="15" t="n">
        <v>1536.5</v>
      </c>
      <c r="F10" s="15" t="n">
        <v>153.6</v>
      </c>
      <c r="G10" s="15" t="n">
        <v>10</v>
      </c>
      <c r="H10" s="15" t="n">
        <v>153.7</v>
      </c>
      <c r="I10" s="16" t="n">
        <v>10</v>
      </c>
      <c r="J10" s="13" t="inlineStr">
        <is>
          <t>09/10/2026</t>
        </is>
      </c>
      <c r="K10" s="13" t="inlineStr">
        <is>
          <t>18/10/2026</t>
        </is>
      </c>
      <c r="L10" s="13" t="n">
        <v>1</v>
      </c>
      <c r="M10" s="17" t="n">
        <v>1</v>
      </c>
      <c r="N10" s="18" t="inlineStr">
        <is>
          <t>Máy xúc PC200 + Lu rung + Ô tô 15T</t>
        </is>
      </c>
      <c r="O10" s="19" t="n">
        <v>12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0</v>
      </c>
      <c r="X10" s="20" t="n">
        <v>1</v>
      </c>
      <c r="Y10" s="20" t="n">
        <v>1</v>
      </c>
      <c r="Z10" s="20" t="n">
        <v>1</v>
      </c>
      <c r="AA10" s="20" t="n">
        <v>1</v>
      </c>
      <c r="AB10" s="20" t="n">
        <v>1</v>
      </c>
      <c r="AC10" s="20" t="n">
        <v>1</v>
      </c>
      <c r="AD10" s="20" t="n">
        <v>1</v>
      </c>
      <c r="AE10" s="20" t="n">
        <v>1</v>
      </c>
      <c r="AF10" s="20" t="n">
        <v>1</v>
      </c>
      <c r="AG10" s="20" t="n">
        <v>1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0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0</v>
      </c>
      <c r="BO10" s="21" t="n">
        <v>0</v>
      </c>
      <c r="BP10" s="21" t="n">
        <v>0</v>
      </c>
      <c r="BQ10" s="21" t="n">
        <v>0</v>
      </c>
      <c r="BR10" s="21" t="n">
        <v>0</v>
      </c>
      <c r="BS10" s="21" t="n">
        <v>0</v>
      </c>
      <c r="BT10" s="21" t="n">
        <v>0</v>
      </c>
      <c r="BU10" s="21" t="n">
        <v>0</v>
      </c>
      <c r="BV10" s="21" t="n">
        <v>0</v>
      </c>
      <c r="BW10" s="21" t="n">
        <v>0</v>
      </c>
      <c r="BX10" s="21" t="n">
        <v>0</v>
      </c>
      <c r="BY10" s="21" t="n">
        <v>0</v>
      </c>
      <c r="BZ10" s="21" t="n">
        <v>0</v>
      </c>
      <c r="CA10" s="21" t="n">
        <v>0</v>
      </c>
      <c r="CB10" s="21" t="n">
        <v>0</v>
      </c>
      <c r="CC10" s="21" t="n">
        <v>0</v>
      </c>
      <c r="CD10" s="21" t="n">
        <v>0</v>
      </c>
      <c r="CE10" s="21" t="n">
        <v>0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0</v>
      </c>
      <c r="CN10" s="21" t="n">
        <v>0</v>
      </c>
      <c r="CO10" s="21" t="n">
        <v>0</v>
      </c>
      <c r="CP10" s="21" t="n">
        <v>0</v>
      </c>
      <c r="CQ10" s="21" t="n">
        <v>0</v>
      </c>
      <c r="CR10" s="21" t="n">
        <v>0</v>
      </c>
      <c r="CS10" s="21" t="n">
        <v>0</v>
      </c>
      <c r="CT10" s="21" t="n">
        <v>0</v>
      </c>
      <c r="CU10" s="21" t="n">
        <v>0</v>
      </c>
      <c r="CV10" s="21" t="n">
        <v>0</v>
      </c>
      <c r="CW10" s="21" t="n">
        <v>0</v>
      </c>
      <c r="CX10" s="21" t="n">
        <v>0</v>
      </c>
      <c r="CY10" s="21" t="n">
        <v>0</v>
      </c>
      <c r="CZ10" s="21" t="n">
        <v>0</v>
      </c>
      <c r="DA10" s="21" t="n">
        <v>0</v>
      </c>
      <c r="DB10" s="21" t="n">
        <v>0</v>
      </c>
      <c r="DC10" s="21" t="n">
        <v>0</v>
      </c>
      <c r="DD10" s="21" t="n">
        <v>0</v>
      </c>
      <c r="DE10" s="21" t="n">
        <v>0</v>
      </c>
      <c r="DF10" s="21" t="n">
        <v>0</v>
      </c>
      <c r="DG10" s="21" t="n">
        <v>0</v>
      </c>
      <c r="DH10" s="21" t="n">
        <v>0</v>
      </c>
      <c r="DI10" s="21" t="n">
        <v>0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0</v>
      </c>
      <c r="DW10" s="21" t="n">
        <v>0</v>
      </c>
      <c r="DX10" s="21" t="n">
        <v>0</v>
      </c>
      <c r="DY10" s="21" t="n">
        <v>0</v>
      </c>
      <c r="DZ10" s="21" t="n">
        <v>0</v>
      </c>
      <c r="EA10" s="21" t="n">
        <v>0</v>
      </c>
      <c r="EB10" s="21" t="n">
        <v>0</v>
      </c>
      <c r="EC10" s="21" t="n">
        <v>0</v>
      </c>
      <c r="ED10" s="21" t="n">
        <v>0</v>
      </c>
      <c r="EE10" s="21" t="n">
        <v>0</v>
      </c>
      <c r="EF10" s="21" t="n">
        <v>0</v>
      </c>
      <c r="EG10" s="21" t="n">
        <v>0</v>
      </c>
      <c r="EH10" s="21" t="n">
        <v>0</v>
      </c>
      <c r="EI10" s="21" t="n">
        <v>0</v>
      </c>
      <c r="EJ10" s="21" t="n">
        <v>0</v>
      </c>
      <c r="EK10" s="21" t="n">
        <v>0</v>
      </c>
      <c r="EL10" s="21" t="n">
        <v>0</v>
      </c>
      <c r="EM10" s="21" t="n">
        <v>0</v>
      </c>
      <c r="EN10" s="21" t="n">
        <v>0</v>
      </c>
      <c r="EO10" s="21" t="n">
        <v>0</v>
      </c>
      <c r="EP10" s="21" t="n">
        <v>0</v>
      </c>
      <c r="EQ10" s="21" t="n">
        <v>0</v>
      </c>
      <c r="ER10" s="21" t="n">
        <v>0</v>
      </c>
      <c r="ES10" s="21" t="n">
        <v>0</v>
      </c>
      <c r="ET10" s="21" t="n">
        <v>0</v>
      </c>
      <c r="EU10" s="21" t="n">
        <v>0</v>
      </c>
      <c r="EV10" s="21" t="n">
        <v>0</v>
      </c>
      <c r="EW10" s="21" t="n">
        <v>0</v>
      </c>
      <c r="EX10" s="21" t="n">
        <v>0</v>
      </c>
      <c r="EY10" s="21" t="n">
        <v>0</v>
      </c>
      <c r="EZ10" s="21" t="n">
        <v>0</v>
      </c>
      <c r="FA10" s="21" t="n">
        <v>0</v>
      </c>
      <c r="FB10" s="21" t="n">
        <v>0</v>
      </c>
      <c r="FC10" s="21" t="n">
        <v>0</v>
      </c>
      <c r="FD10" s="21" t="n">
        <v>0</v>
      </c>
      <c r="FE10" s="21" t="n">
        <v>0</v>
      </c>
      <c r="FF10" s="21" t="n">
        <v>0</v>
      </c>
      <c r="FG10" s="21" t="n">
        <v>0</v>
      </c>
      <c r="FH10" s="21" t="n">
        <v>0</v>
      </c>
      <c r="FI10" s="21" t="n">
        <v>0</v>
      </c>
      <c r="FJ10" s="21" t="n">
        <v>0</v>
      </c>
      <c r="FK10" s="21" t="n">
        <v>0</v>
      </c>
      <c r="FL10" s="21" t="n">
        <v>0</v>
      </c>
      <c r="FM10" s="21" t="n">
        <v>0</v>
      </c>
      <c r="FN10" s="21" t="n">
        <v>0</v>
      </c>
      <c r="FO10" s="21" t="n">
        <v>0</v>
      </c>
      <c r="FP10" s="21" t="n">
        <v>0</v>
      </c>
      <c r="FQ10" s="21" t="n">
        <v>0</v>
      </c>
      <c r="FR10" s="21" t="n">
        <v>0</v>
      </c>
      <c r="FS10" s="21" t="n">
        <v>0</v>
      </c>
      <c r="FT10" s="21" t="n">
        <v>0</v>
      </c>
      <c r="FU10" s="21" t="n">
        <v>0</v>
      </c>
      <c r="FV10" s="21" t="n">
        <v>0</v>
      </c>
      <c r="FW10" s="21" t="n">
        <v>0</v>
      </c>
      <c r="FX10" s="21" t="n">
        <v>0</v>
      </c>
      <c r="FY10" s="21" t="n">
        <v>0</v>
      </c>
      <c r="FZ10" s="21" t="n">
        <v>0</v>
      </c>
      <c r="GA10" s="21" t="n">
        <v>0</v>
      </c>
      <c r="GB10" s="21" t="n">
        <v>0</v>
      </c>
      <c r="GC10" s="21" t="n">
        <v>0</v>
      </c>
    </row>
    <row r="11">
      <c r="A11" s="13" t="n">
        <v>4</v>
      </c>
      <c r="B11" s="13" t="inlineStr">
        <is>
          <t>WBS 1.4</t>
        </is>
      </c>
      <c r="C11" s="14" t="inlineStr">
        <is>
          <t>Xây dựng bãi đúc dầm Super-T, bệ đúc &amp; trạm trộn 60m3/h</t>
        </is>
      </c>
      <c r="D11" s="13" t="inlineStr">
        <is>
          <t>Hệ</t>
        </is>
      </c>
      <c r="E11" s="15" t="n">
        <v>1</v>
      </c>
      <c r="F11" s="15" t="n">
        <v>0.08</v>
      </c>
      <c r="G11" s="15" t="n">
        <v>12.5</v>
      </c>
      <c r="H11" s="15" t="n">
        <v>0.1</v>
      </c>
      <c r="I11" s="16" t="n">
        <v>13</v>
      </c>
      <c r="J11" s="13" t="inlineStr">
        <is>
          <t>12/10/2026</t>
        </is>
      </c>
      <c r="K11" s="13" t="inlineStr">
        <is>
          <t>24/10/2026</t>
        </is>
      </c>
      <c r="L11" s="13" t="n">
        <v>1</v>
      </c>
      <c r="M11" s="17" t="n">
        <v>0.96</v>
      </c>
      <c r="N11" s="18" t="inlineStr">
        <is>
          <t>Cần cẩu lốp 25T + Máy xúc PC200</t>
        </is>
      </c>
      <c r="O11" s="19" t="n">
        <v>15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1" t="n">
        <v>0</v>
      </c>
      <c r="W11" s="21" t="n">
        <v>0</v>
      </c>
      <c r="X11" s="21" t="n">
        <v>0</v>
      </c>
      <c r="Y11" s="21" t="n">
        <v>0</v>
      </c>
      <c r="Z11" s="21" t="n">
        <v>0</v>
      </c>
      <c r="AA11" s="20" t="n">
        <v>0.96</v>
      </c>
      <c r="AB11" s="20" t="n">
        <v>0.96</v>
      </c>
      <c r="AC11" s="20" t="n">
        <v>0.96</v>
      </c>
      <c r="AD11" s="20" t="n">
        <v>0.96</v>
      </c>
      <c r="AE11" s="20" t="n">
        <v>0.96</v>
      </c>
      <c r="AF11" s="20" t="n">
        <v>0.96</v>
      </c>
      <c r="AG11" s="20" t="n">
        <v>0.96</v>
      </c>
      <c r="AH11" s="20" t="n">
        <v>0.96</v>
      </c>
      <c r="AI11" s="20" t="n">
        <v>0.96</v>
      </c>
      <c r="AJ11" s="20" t="n">
        <v>0.96</v>
      </c>
      <c r="AK11" s="20" t="n">
        <v>0.96</v>
      </c>
      <c r="AL11" s="20" t="n">
        <v>0.96</v>
      </c>
      <c r="AM11" s="20" t="n">
        <v>0.96</v>
      </c>
      <c r="AN11" s="21" t="n">
        <v>0</v>
      </c>
      <c r="AO11" s="21" t="n">
        <v>0</v>
      </c>
      <c r="AP11" s="21" t="n">
        <v>0</v>
      </c>
      <c r="AQ11" s="21" t="n">
        <v>0</v>
      </c>
      <c r="AR11" s="21" t="n">
        <v>0</v>
      </c>
      <c r="AS11" s="21" t="n">
        <v>0</v>
      </c>
      <c r="AT11" s="21" t="n">
        <v>0</v>
      </c>
      <c r="AU11" s="21" t="n">
        <v>0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0</v>
      </c>
      <c r="BO11" s="21" t="n">
        <v>0</v>
      </c>
      <c r="BP11" s="21" t="n">
        <v>0</v>
      </c>
      <c r="BQ11" s="21" t="n">
        <v>0</v>
      </c>
      <c r="BR11" s="21" t="n">
        <v>0</v>
      </c>
      <c r="BS11" s="21" t="n">
        <v>0</v>
      </c>
      <c r="BT11" s="21" t="n">
        <v>0</v>
      </c>
      <c r="BU11" s="21" t="n">
        <v>0</v>
      </c>
      <c r="BV11" s="21" t="n">
        <v>0</v>
      </c>
      <c r="BW11" s="21" t="n">
        <v>0</v>
      </c>
      <c r="BX11" s="21" t="n">
        <v>0</v>
      </c>
      <c r="BY11" s="21" t="n">
        <v>0</v>
      </c>
      <c r="BZ11" s="21" t="n">
        <v>0</v>
      </c>
      <c r="CA11" s="21" t="n">
        <v>0</v>
      </c>
      <c r="CB11" s="21" t="n">
        <v>0</v>
      </c>
      <c r="CC11" s="21" t="n">
        <v>0</v>
      </c>
      <c r="CD11" s="21" t="n">
        <v>0</v>
      </c>
      <c r="CE11" s="21" t="n">
        <v>0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0</v>
      </c>
      <c r="CN11" s="21" t="n">
        <v>0</v>
      </c>
      <c r="CO11" s="21" t="n">
        <v>0</v>
      </c>
      <c r="CP11" s="21" t="n">
        <v>0</v>
      </c>
      <c r="CQ11" s="21" t="n">
        <v>0</v>
      </c>
      <c r="CR11" s="21" t="n">
        <v>0</v>
      </c>
      <c r="CS11" s="21" t="n">
        <v>0</v>
      </c>
      <c r="CT11" s="21" t="n">
        <v>0</v>
      </c>
      <c r="CU11" s="21" t="n">
        <v>0</v>
      </c>
      <c r="CV11" s="21" t="n">
        <v>0</v>
      </c>
      <c r="CW11" s="21" t="n">
        <v>0</v>
      </c>
      <c r="CX11" s="21" t="n">
        <v>0</v>
      </c>
      <c r="CY11" s="21" t="n">
        <v>0</v>
      </c>
      <c r="CZ11" s="21" t="n">
        <v>0</v>
      </c>
      <c r="DA11" s="21" t="n">
        <v>0</v>
      </c>
      <c r="DB11" s="21" t="n">
        <v>0</v>
      </c>
      <c r="DC11" s="21" t="n">
        <v>0</v>
      </c>
      <c r="DD11" s="21" t="n">
        <v>0</v>
      </c>
      <c r="DE11" s="21" t="n">
        <v>0</v>
      </c>
      <c r="DF11" s="21" t="n">
        <v>0</v>
      </c>
      <c r="DG11" s="21" t="n">
        <v>0</v>
      </c>
      <c r="DH11" s="21" t="n">
        <v>0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0</v>
      </c>
      <c r="DW11" s="21" t="n">
        <v>0</v>
      </c>
      <c r="DX11" s="21" t="n">
        <v>0</v>
      </c>
      <c r="DY11" s="21" t="n">
        <v>0</v>
      </c>
      <c r="DZ11" s="21" t="n">
        <v>0</v>
      </c>
      <c r="EA11" s="21" t="n">
        <v>0</v>
      </c>
      <c r="EB11" s="21" t="n">
        <v>0</v>
      </c>
      <c r="EC11" s="21" t="n">
        <v>0</v>
      </c>
      <c r="ED11" s="21" t="n">
        <v>0</v>
      </c>
      <c r="EE11" s="21" t="n">
        <v>0</v>
      </c>
      <c r="EF11" s="21" t="n">
        <v>0</v>
      </c>
      <c r="EG11" s="21" t="n">
        <v>0</v>
      </c>
      <c r="EH11" s="21" t="n">
        <v>0</v>
      </c>
      <c r="EI11" s="21" t="n">
        <v>0</v>
      </c>
      <c r="EJ11" s="21" t="n">
        <v>0</v>
      </c>
      <c r="EK11" s="21" t="n">
        <v>0</v>
      </c>
      <c r="EL11" s="21" t="n">
        <v>0</v>
      </c>
      <c r="EM11" s="21" t="n">
        <v>0</v>
      </c>
      <c r="EN11" s="21" t="n">
        <v>0</v>
      </c>
      <c r="EO11" s="21" t="n">
        <v>0</v>
      </c>
      <c r="EP11" s="21" t="n">
        <v>0</v>
      </c>
      <c r="EQ11" s="21" t="n">
        <v>0</v>
      </c>
      <c r="ER11" s="21" t="n">
        <v>0</v>
      </c>
      <c r="ES11" s="21" t="n">
        <v>0</v>
      </c>
      <c r="ET11" s="21" t="n">
        <v>0</v>
      </c>
      <c r="EU11" s="21" t="n">
        <v>0</v>
      </c>
      <c r="EV11" s="21" t="n">
        <v>0</v>
      </c>
      <c r="EW11" s="21" t="n">
        <v>0</v>
      </c>
      <c r="EX11" s="21" t="n">
        <v>0</v>
      </c>
      <c r="EY11" s="21" t="n">
        <v>0</v>
      </c>
      <c r="EZ11" s="21" t="n">
        <v>0</v>
      </c>
      <c r="FA11" s="21" t="n">
        <v>0</v>
      </c>
      <c r="FB11" s="21" t="n">
        <v>0</v>
      </c>
      <c r="FC11" s="21" t="n">
        <v>0</v>
      </c>
      <c r="FD11" s="21" t="n">
        <v>0</v>
      </c>
      <c r="FE11" s="21" t="n">
        <v>0</v>
      </c>
      <c r="FF11" s="21" t="n">
        <v>0</v>
      </c>
      <c r="FG11" s="21" t="n">
        <v>0</v>
      </c>
      <c r="FH11" s="21" t="n">
        <v>0</v>
      </c>
      <c r="FI11" s="21" t="n">
        <v>0</v>
      </c>
      <c r="FJ11" s="21" t="n">
        <v>0</v>
      </c>
      <c r="FK11" s="21" t="n">
        <v>0</v>
      </c>
      <c r="FL11" s="21" t="n">
        <v>0</v>
      </c>
      <c r="FM11" s="21" t="n">
        <v>0</v>
      </c>
      <c r="FN11" s="21" t="n">
        <v>0</v>
      </c>
      <c r="FO11" s="21" t="n">
        <v>0</v>
      </c>
      <c r="FP11" s="21" t="n">
        <v>0</v>
      </c>
      <c r="FQ11" s="21" t="n">
        <v>0</v>
      </c>
      <c r="FR11" s="21" t="n">
        <v>0</v>
      </c>
      <c r="FS11" s="21" t="n">
        <v>0</v>
      </c>
      <c r="FT11" s="21" t="n">
        <v>0</v>
      </c>
      <c r="FU11" s="21" t="n">
        <v>0</v>
      </c>
      <c r="FV11" s="21" t="n">
        <v>0</v>
      </c>
      <c r="FW11" s="21" t="n">
        <v>0</v>
      </c>
      <c r="FX11" s="21" t="n">
        <v>0</v>
      </c>
      <c r="FY11" s="21" t="n">
        <v>0</v>
      </c>
      <c r="FZ11" s="21" t="n">
        <v>0</v>
      </c>
      <c r="GA11" s="21" t="n">
        <v>0</v>
      </c>
      <c r="GB11" s="21" t="n">
        <v>0</v>
      </c>
      <c r="GC11" s="21" t="n">
        <v>0</v>
      </c>
    </row>
    <row r="12">
      <c r="A12" s="13" t="n">
        <v>5</v>
      </c>
      <c r="B12" s="13" t="inlineStr">
        <is>
          <t>WBS 2.1</t>
        </is>
      </c>
      <c r="C12" s="14" t="inlineStr">
        <is>
          <t>Khoan thăm dò hang Karst sâu 5m vào đá liền khối</t>
        </is>
      </c>
      <c r="D12" s="13" t="inlineStr">
        <is>
          <t>Lỗ</t>
        </is>
      </c>
      <c r="E12" s="15" t="n">
        <v>26</v>
      </c>
      <c r="F12" s="15" t="n">
        <v>2.17</v>
      </c>
      <c r="G12" s="15" t="n">
        <v>12</v>
      </c>
      <c r="H12" s="15" t="n">
        <v>2.2</v>
      </c>
      <c r="I12" s="16" t="n">
        <v>12</v>
      </c>
      <c r="J12" s="13" t="inlineStr">
        <is>
          <t>25/10/2026</t>
        </is>
      </c>
      <c r="K12" s="13" t="inlineStr">
        <is>
          <t>05/11/2026</t>
        </is>
      </c>
      <c r="L12" s="13" t="n">
        <v>2</v>
      </c>
      <c r="M12" s="17" t="n">
        <v>0.5</v>
      </c>
      <c r="N12" s="18" t="inlineStr">
        <is>
          <t>Máy khoan đập xoay đá Bauer BG25</t>
        </is>
      </c>
      <c r="O12" s="19" t="n">
        <v>8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0</v>
      </c>
      <c r="AI12" s="21" t="n">
        <v>0</v>
      </c>
      <c r="AJ12" s="21" t="n">
        <v>0</v>
      </c>
      <c r="AK12" s="21" t="n">
        <v>0</v>
      </c>
      <c r="AL12" s="21" t="n">
        <v>0</v>
      </c>
      <c r="AM12" s="21" t="n">
        <v>0</v>
      </c>
      <c r="AN12" s="20" t="n">
        <v>0.5</v>
      </c>
      <c r="AO12" s="20" t="n">
        <v>0.5</v>
      </c>
      <c r="AP12" s="20" t="n">
        <v>0.5</v>
      </c>
      <c r="AQ12" s="20" t="n">
        <v>0.5</v>
      </c>
      <c r="AR12" s="20" t="n">
        <v>0.5</v>
      </c>
      <c r="AS12" s="20" t="n">
        <v>0.5</v>
      </c>
      <c r="AT12" s="20" t="n">
        <v>0.5</v>
      </c>
      <c r="AU12" s="20" t="n">
        <v>0.5</v>
      </c>
      <c r="AV12" s="20" t="n">
        <v>0.5</v>
      </c>
      <c r="AW12" s="20" t="n">
        <v>0.5</v>
      </c>
      <c r="AX12" s="20" t="n">
        <v>0.5</v>
      </c>
      <c r="AY12" s="20" t="n">
        <v>0.5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0</v>
      </c>
      <c r="BP12" s="21" t="n">
        <v>0</v>
      </c>
      <c r="BQ12" s="21" t="n">
        <v>0</v>
      </c>
      <c r="BR12" s="21" t="n">
        <v>0</v>
      </c>
      <c r="BS12" s="21" t="n">
        <v>0</v>
      </c>
      <c r="BT12" s="21" t="n">
        <v>0</v>
      </c>
      <c r="BU12" s="21" t="n">
        <v>0</v>
      </c>
      <c r="BV12" s="21" t="n">
        <v>0</v>
      </c>
      <c r="BW12" s="21" t="n">
        <v>0</v>
      </c>
      <c r="BX12" s="21" t="n">
        <v>0</v>
      </c>
      <c r="BY12" s="21" t="n">
        <v>0</v>
      </c>
      <c r="BZ12" s="21" t="n">
        <v>0</v>
      </c>
      <c r="CA12" s="21" t="n">
        <v>0</v>
      </c>
      <c r="CB12" s="21" t="n">
        <v>0</v>
      </c>
      <c r="CC12" s="21" t="n">
        <v>0</v>
      </c>
      <c r="CD12" s="21" t="n">
        <v>0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0</v>
      </c>
      <c r="CN12" s="21" t="n">
        <v>0</v>
      </c>
      <c r="CO12" s="21" t="n">
        <v>0</v>
      </c>
      <c r="CP12" s="21" t="n">
        <v>0</v>
      </c>
      <c r="CQ12" s="21" t="n">
        <v>0</v>
      </c>
      <c r="CR12" s="21" t="n">
        <v>0</v>
      </c>
      <c r="CS12" s="21" t="n">
        <v>0</v>
      </c>
      <c r="CT12" s="21" t="n">
        <v>0</v>
      </c>
      <c r="CU12" s="21" t="n">
        <v>0</v>
      </c>
      <c r="CV12" s="21" t="n">
        <v>0</v>
      </c>
      <c r="CW12" s="21" t="n">
        <v>0</v>
      </c>
      <c r="CX12" s="21" t="n">
        <v>0</v>
      </c>
      <c r="CY12" s="21" t="n">
        <v>0</v>
      </c>
      <c r="CZ12" s="21" t="n">
        <v>0</v>
      </c>
      <c r="DA12" s="21" t="n">
        <v>0</v>
      </c>
      <c r="DB12" s="21" t="n">
        <v>0</v>
      </c>
      <c r="DC12" s="21" t="n">
        <v>0</v>
      </c>
      <c r="DD12" s="21" t="n">
        <v>0</v>
      </c>
      <c r="DE12" s="21" t="n">
        <v>0</v>
      </c>
      <c r="DF12" s="21" t="n">
        <v>0</v>
      </c>
      <c r="DG12" s="21" t="n">
        <v>0</v>
      </c>
      <c r="DH12" s="21" t="n">
        <v>0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0</v>
      </c>
      <c r="DW12" s="21" t="n">
        <v>0</v>
      </c>
      <c r="DX12" s="21" t="n">
        <v>0</v>
      </c>
      <c r="DY12" s="21" t="n">
        <v>0</v>
      </c>
      <c r="DZ12" s="21" t="n">
        <v>0</v>
      </c>
      <c r="EA12" s="21" t="n">
        <v>0</v>
      </c>
      <c r="EB12" s="21" t="n">
        <v>0</v>
      </c>
      <c r="EC12" s="21" t="n">
        <v>0</v>
      </c>
      <c r="ED12" s="21" t="n">
        <v>0</v>
      </c>
      <c r="EE12" s="21" t="n">
        <v>0</v>
      </c>
      <c r="EF12" s="21" t="n">
        <v>0</v>
      </c>
      <c r="EG12" s="21" t="n">
        <v>0</v>
      </c>
      <c r="EH12" s="21" t="n">
        <v>0</v>
      </c>
      <c r="EI12" s="21" t="n">
        <v>0</v>
      </c>
      <c r="EJ12" s="21" t="n">
        <v>0</v>
      </c>
      <c r="EK12" s="21" t="n">
        <v>0</v>
      </c>
      <c r="EL12" s="21" t="n">
        <v>0</v>
      </c>
      <c r="EM12" s="21" t="n">
        <v>0</v>
      </c>
      <c r="EN12" s="21" t="n">
        <v>0</v>
      </c>
      <c r="EO12" s="21" t="n">
        <v>0</v>
      </c>
      <c r="EP12" s="21" t="n">
        <v>0</v>
      </c>
      <c r="EQ12" s="21" t="n">
        <v>0</v>
      </c>
      <c r="ER12" s="21" t="n">
        <v>0</v>
      </c>
      <c r="ES12" s="21" t="n">
        <v>0</v>
      </c>
      <c r="ET12" s="21" t="n">
        <v>0</v>
      </c>
      <c r="EU12" s="21" t="n">
        <v>0</v>
      </c>
      <c r="EV12" s="21" t="n">
        <v>0</v>
      </c>
      <c r="EW12" s="21" t="n">
        <v>0</v>
      </c>
      <c r="EX12" s="21" t="n">
        <v>0</v>
      </c>
      <c r="EY12" s="21" t="n">
        <v>0</v>
      </c>
      <c r="EZ12" s="21" t="n">
        <v>0</v>
      </c>
      <c r="FA12" s="21" t="n">
        <v>0</v>
      </c>
      <c r="FB12" s="21" t="n">
        <v>0</v>
      </c>
      <c r="FC12" s="21" t="n">
        <v>0</v>
      </c>
      <c r="FD12" s="21" t="n">
        <v>0</v>
      </c>
      <c r="FE12" s="21" t="n">
        <v>0</v>
      </c>
      <c r="FF12" s="21" t="n">
        <v>0</v>
      </c>
      <c r="FG12" s="21" t="n">
        <v>0</v>
      </c>
      <c r="FH12" s="21" t="n">
        <v>0</v>
      </c>
      <c r="FI12" s="21" t="n">
        <v>0</v>
      </c>
      <c r="FJ12" s="21" t="n">
        <v>0</v>
      </c>
      <c r="FK12" s="21" t="n">
        <v>0</v>
      </c>
      <c r="FL12" s="21" t="n">
        <v>0</v>
      </c>
      <c r="FM12" s="21" t="n">
        <v>0</v>
      </c>
      <c r="FN12" s="21" t="n">
        <v>0</v>
      </c>
      <c r="FO12" s="21" t="n">
        <v>0</v>
      </c>
      <c r="FP12" s="21" t="n">
        <v>0</v>
      </c>
      <c r="FQ12" s="21" t="n">
        <v>0</v>
      </c>
      <c r="FR12" s="21" t="n">
        <v>0</v>
      </c>
      <c r="FS12" s="21" t="n">
        <v>0</v>
      </c>
      <c r="FT12" s="21" t="n">
        <v>0</v>
      </c>
      <c r="FU12" s="21" t="n">
        <v>0</v>
      </c>
      <c r="FV12" s="21" t="n">
        <v>0</v>
      </c>
      <c r="FW12" s="21" t="n">
        <v>0</v>
      </c>
      <c r="FX12" s="21" t="n">
        <v>0</v>
      </c>
      <c r="FY12" s="21" t="n">
        <v>0</v>
      </c>
      <c r="FZ12" s="21" t="n">
        <v>0</v>
      </c>
      <c r="GA12" s="21" t="n">
        <v>0</v>
      </c>
      <c r="GB12" s="21" t="n">
        <v>0</v>
      </c>
      <c r="GC12" s="21" t="n">
        <v>0</v>
      </c>
    </row>
    <row r="13">
      <c r="A13" s="13" t="n">
        <v>6</v>
      </c>
      <c r="B13" s="13" t="inlineStr">
        <is>
          <t>WBS 2.2</t>
        </is>
      </c>
      <c r="C13" s="14" t="inlineStr">
        <is>
          <t>Khoan cọc nhồi D1200 M1 (3 cọc L=20m) &amp; đổ BT C30</t>
        </is>
      </c>
      <c r="D13" s="13" t="inlineStr">
        <is>
          <t>m</t>
        </is>
      </c>
      <c r="E13" s="15" t="n">
        <v>60</v>
      </c>
      <c r="F13" s="15" t="n">
        <v>8.57</v>
      </c>
      <c r="G13" s="15" t="n">
        <v>7</v>
      </c>
      <c r="H13" s="15" t="n">
        <v>8.6</v>
      </c>
      <c r="I13" s="16" t="n">
        <v>7</v>
      </c>
      <c r="J13" s="13" t="inlineStr">
        <is>
          <t>06/11/2026</t>
        </is>
      </c>
      <c r="K13" s="13" t="inlineStr">
        <is>
          <t>12/11/2026</t>
        </is>
      </c>
      <c r="L13" s="13" t="n">
        <v>2</v>
      </c>
      <c r="M13" s="17" t="n">
        <v>0.5</v>
      </c>
      <c r="N13" s="18" t="inlineStr">
        <is>
          <t>Bauer BG25 + Cẩu xích 50T + Xe bồn</t>
        </is>
      </c>
      <c r="O13" s="19" t="n">
        <v>10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</v>
      </c>
      <c r="U13" s="21" t="n">
        <v>0</v>
      </c>
      <c r="V13" s="21" t="n">
        <v>0</v>
      </c>
      <c r="W13" s="21" t="n">
        <v>0</v>
      </c>
      <c r="X13" s="21" t="n">
        <v>0</v>
      </c>
      <c r="Y13" s="21" t="n">
        <v>0</v>
      </c>
      <c r="Z13" s="21" t="n">
        <v>0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0</v>
      </c>
      <c r="AF13" s="21" t="n">
        <v>0</v>
      </c>
      <c r="AG13" s="21" t="n">
        <v>0</v>
      </c>
      <c r="AH13" s="21" t="n">
        <v>0</v>
      </c>
      <c r="AI13" s="21" t="n">
        <v>0</v>
      </c>
      <c r="AJ13" s="21" t="n">
        <v>0</v>
      </c>
      <c r="AK13" s="21" t="n">
        <v>0</v>
      </c>
      <c r="AL13" s="21" t="n">
        <v>0</v>
      </c>
      <c r="AM13" s="21" t="n">
        <v>0</v>
      </c>
      <c r="AN13" s="21" t="n">
        <v>0</v>
      </c>
      <c r="AO13" s="21" t="n">
        <v>0</v>
      </c>
      <c r="AP13" s="21" t="n">
        <v>0</v>
      </c>
      <c r="AQ13" s="21" t="n">
        <v>0</v>
      </c>
      <c r="AR13" s="21" t="n">
        <v>0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2" t="n">
        <v>0.5</v>
      </c>
      <c r="BA13" s="22" t="n">
        <v>0.5</v>
      </c>
      <c r="BB13" s="22" t="n">
        <v>0.5</v>
      </c>
      <c r="BC13" s="22" t="n">
        <v>0.5</v>
      </c>
      <c r="BD13" s="22" t="n">
        <v>0.5</v>
      </c>
      <c r="BE13" s="22" t="n">
        <v>0.5</v>
      </c>
      <c r="BF13" s="22" t="n">
        <v>0.5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0</v>
      </c>
      <c r="BO13" s="21" t="n">
        <v>0</v>
      </c>
      <c r="BP13" s="21" t="n">
        <v>0</v>
      </c>
      <c r="BQ13" s="21" t="n">
        <v>0</v>
      </c>
      <c r="BR13" s="21" t="n">
        <v>0</v>
      </c>
      <c r="BS13" s="21" t="n">
        <v>0</v>
      </c>
      <c r="BT13" s="21" t="n">
        <v>0</v>
      </c>
      <c r="BU13" s="21" t="n">
        <v>0</v>
      </c>
      <c r="BV13" s="21" t="n">
        <v>0</v>
      </c>
      <c r="BW13" s="21" t="n">
        <v>0</v>
      </c>
      <c r="BX13" s="21" t="n">
        <v>0</v>
      </c>
      <c r="BY13" s="21" t="n">
        <v>0</v>
      </c>
      <c r="BZ13" s="21" t="n">
        <v>0</v>
      </c>
      <c r="CA13" s="21" t="n">
        <v>0</v>
      </c>
      <c r="CB13" s="21" t="n">
        <v>0</v>
      </c>
      <c r="CC13" s="21" t="n">
        <v>0</v>
      </c>
      <c r="CD13" s="21" t="n">
        <v>0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0</v>
      </c>
      <c r="CN13" s="21" t="n">
        <v>0</v>
      </c>
      <c r="CO13" s="21" t="n">
        <v>0</v>
      </c>
      <c r="CP13" s="21" t="n">
        <v>0</v>
      </c>
      <c r="CQ13" s="21" t="n">
        <v>0</v>
      </c>
      <c r="CR13" s="21" t="n">
        <v>0</v>
      </c>
      <c r="CS13" s="21" t="n">
        <v>0</v>
      </c>
      <c r="CT13" s="21" t="n">
        <v>0</v>
      </c>
      <c r="CU13" s="21" t="n">
        <v>0</v>
      </c>
      <c r="CV13" s="21" t="n">
        <v>0</v>
      </c>
      <c r="CW13" s="21" t="n">
        <v>0</v>
      </c>
      <c r="CX13" s="21" t="n">
        <v>0</v>
      </c>
      <c r="CY13" s="21" t="n">
        <v>0</v>
      </c>
      <c r="CZ13" s="21" t="n">
        <v>0</v>
      </c>
      <c r="DA13" s="21" t="n">
        <v>0</v>
      </c>
      <c r="DB13" s="21" t="n">
        <v>0</v>
      </c>
      <c r="DC13" s="21" t="n">
        <v>0</v>
      </c>
      <c r="DD13" s="21" t="n">
        <v>0</v>
      </c>
      <c r="DE13" s="21" t="n">
        <v>0</v>
      </c>
      <c r="DF13" s="21" t="n">
        <v>0</v>
      </c>
      <c r="DG13" s="21" t="n">
        <v>0</v>
      </c>
      <c r="DH13" s="21" t="n">
        <v>0</v>
      </c>
      <c r="DI13" s="21" t="n">
        <v>0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0</v>
      </c>
      <c r="DW13" s="21" t="n">
        <v>0</v>
      </c>
      <c r="DX13" s="21" t="n">
        <v>0</v>
      </c>
      <c r="DY13" s="21" t="n">
        <v>0</v>
      </c>
      <c r="DZ13" s="21" t="n">
        <v>0</v>
      </c>
      <c r="EA13" s="21" t="n">
        <v>0</v>
      </c>
      <c r="EB13" s="21" t="n">
        <v>0</v>
      </c>
      <c r="EC13" s="21" t="n">
        <v>0</v>
      </c>
      <c r="ED13" s="21" t="n">
        <v>0</v>
      </c>
      <c r="EE13" s="21" t="n">
        <v>0</v>
      </c>
      <c r="EF13" s="21" t="n">
        <v>0</v>
      </c>
      <c r="EG13" s="21" t="n">
        <v>0</v>
      </c>
      <c r="EH13" s="21" t="n">
        <v>0</v>
      </c>
      <c r="EI13" s="21" t="n">
        <v>0</v>
      </c>
      <c r="EJ13" s="21" t="n">
        <v>0</v>
      </c>
      <c r="EK13" s="21" t="n">
        <v>0</v>
      </c>
      <c r="EL13" s="21" t="n">
        <v>0</v>
      </c>
      <c r="EM13" s="21" t="n">
        <v>0</v>
      </c>
      <c r="EN13" s="21" t="n">
        <v>0</v>
      </c>
      <c r="EO13" s="21" t="n">
        <v>0</v>
      </c>
      <c r="EP13" s="21" t="n">
        <v>0</v>
      </c>
      <c r="EQ13" s="21" t="n">
        <v>0</v>
      </c>
      <c r="ER13" s="21" t="n">
        <v>0</v>
      </c>
      <c r="ES13" s="21" t="n">
        <v>0</v>
      </c>
      <c r="ET13" s="21" t="n">
        <v>0</v>
      </c>
      <c r="EU13" s="21" t="n">
        <v>0</v>
      </c>
      <c r="EV13" s="21" t="n">
        <v>0</v>
      </c>
      <c r="EW13" s="21" t="n">
        <v>0</v>
      </c>
      <c r="EX13" s="21" t="n">
        <v>0</v>
      </c>
      <c r="EY13" s="21" t="n">
        <v>0</v>
      </c>
      <c r="EZ13" s="21" t="n">
        <v>0</v>
      </c>
      <c r="FA13" s="21" t="n">
        <v>0</v>
      </c>
      <c r="FB13" s="21" t="n">
        <v>0</v>
      </c>
      <c r="FC13" s="21" t="n">
        <v>0</v>
      </c>
      <c r="FD13" s="21" t="n">
        <v>0</v>
      </c>
      <c r="FE13" s="21" t="n">
        <v>0</v>
      </c>
      <c r="FF13" s="21" t="n">
        <v>0</v>
      </c>
      <c r="FG13" s="21" t="n">
        <v>0</v>
      </c>
      <c r="FH13" s="21" t="n">
        <v>0</v>
      </c>
      <c r="FI13" s="21" t="n">
        <v>0</v>
      </c>
      <c r="FJ13" s="21" t="n">
        <v>0</v>
      </c>
      <c r="FK13" s="21" t="n">
        <v>0</v>
      </c>
      <c r="FL13" s="21" t="n">
        <v>0</v>
      </c>
      <c r="FM13" s="21" t="n">
        <v>0</v>
      </c>
      <c r="FN13" s="21" t="n">
        <v>0</v>
      </c>
      <c r="FO13" s="21" t="n">
        <v>0</v>
      </c>
      <c r="FP13" s="21" t="n">
        <v>0</v>
      </c>
      <c r="FQ13" s="21" t="n">
        <v>0</v>
      </c>
      <c r="FR13" s="21" t="n">
        <v>0</v>
      </c>
      <c r="FS13" s="21" t="n">
        <v>0</v>
      </c>
      <c r="FT13" s="21" t="n">
        <v>0</v>
      </c>
      <c r="FU13" s="21" t="n">
        <v>0</v>
      </c>
      <c r="FV13" s="21" t="n">
        <v>0</v>
      </c>
      <c r="FW13" s="21" t="n">
        <v>0</v>
      </c>
      <c r="FX13" s="21" t="n">
        <v>0</v>
      </c>
      <c r="FY13" s="21" t="n">
        <v>0</v>
      </c>
      <c r="FZ13" s="21" t="n">
        <v>0</v>
      </c>
      <c r="GA13" s="21" t="n">
        <v>0</v>
      </c>
      <c r="GB13" s="21" t="n">
        <v>0</v>
      </c>
      <c r="GC13" s="21" t="n">
        <v>0</v>
      </c>
    </row>
    <row r="14">
      <c r="A14" s="13" t="n">
        <v>7</v>
      </c>
      <c r="B14" s="13" t="inlineStr">
        <is>
          <t>WBS 2.3</t>
        </is>
      </c>
      <c r="C14" s="14" t="inlineStr">
        <is>
          <t>Khoan cọc nhồi D1200 Trụ T1 (8 cọc L=40m) &amp; đổ BT C30</t>
        </is>
      </c>
      <c r="D14" s="13" t="inlineStr">
        <is>
          <t>m</t>
        </is>
      </c>
      <c r="E14" s="15" t="n">
        <v>320</v>
      </c>
      <c r="F14" s="15" t="n">
        <v>16.84</v>
      </c>
      <c r="G14" s="15" t="n">
        <v>19</v>
      </c>
      <c r="H14" s="15" t="n">
        <v>16.8</v>
      </c>
      <c r="I14" s="16" t="n">
        <v>19</v>
      </c>
      <c r="J14" s="13" t="inlineStr">
        <is>
          <t>10/11/2026</t>
        </is>
      </c>
      <c r="K14" s="13" t="inlineStr">
        <is>
          <t>28/11/2026</t>
        </is>
      </c>
      <c r="L14" s="13" t="n">
        <v>2</v>
      </c>
      <c r="M14" s="17" t="n">
        <v>0.5</v>
      </c>
      <c r="N14" s="18" t="inlineStr">
        <is>
          <t>2 Máy khoan Bauer BG25 + Cẩu xích 50T</t>
        </is>
      </c>
      <c r="O14" s="19" t="n">
        <v>16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v>0</v>
      </c>
      <c r="AH14" s="21" t="n">
        <v>0</v>
      </c>
      <c r="AI14" s="21" t="n">
        <v>0</v>
      </c>
      <c r="AJ14" s="21" t="n">
        <v>0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0</v>
      </c>
      <c r="AQ14" s="21" t="n">
        <v>0</v>
      </c>
      <c r="AR14" s="21" t="n">
        <v>0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2" t="n">
        <v>0.5</v>
      </c>
      <c r="BE14" s="22" t="n">
        <v>0.5</v>
      </c>
      <c r="BF14" s="22" t="n">
        <v>0.5</v>
      </c>
      <c r="BG14" s="22" t="n">
        <v>0.5</v>
      </c>
      <c r="BH14" s="22" t="n">
        <v>0.5</v>
      </c>
      <c r="BI14" s="22" t="n">
        <v>0.5</v>
      </c>
      <c r="BJ14" s="22" t="n">
        <v>0.5</v>
      </c>
      <c r="BK14" s="22" t="n">
        <v>0.5</v>
      </c>
      <c r="BL14" s="22" t="n">
        <v>0.5</v>
      </c>
      <c r="BM14" s="22" t="n">
        <v>0.5</v>
      </c>
      <c r="BN14" s="22" t="n">
        <v>0.5</v>
      </c>
      <c r="BO14" s="22" t="n">
        <v>0.5</v>
      </c>
      <c r="BP14" s="22" t="n">
        <v>0.5</v>
      </c>
      <c r="BQ14" s="22" t="n">
        <v>0.5</v>
      </c>
      <c r="BR14" s="22" t="n">
        <v>0.5</v>
      </c>
      <c r="BS14" s="22" t="n">
        <v>0.5</v>
      </c>
      <c r="BT14" s="22" t="n">
        <v>0.5</v>
      </c>
      <c r="BU14" s="22" t="n">
        <v>0.5</v>
      </c>
      <c r="BV14" s="22" t="n">
        <v>0.5</v>
      </c>
      <c r="BW14" s="21" t="n">
        <v>0</v>
      </c>
      <c r="BX14" s="21" t="n">
        <v>0</v>
      </c>
      <c r="BY14" s="21" t="n">
        <v>0</v>
      </c>
      <c r="BZ14" s="21" t="n">
        <v>0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0</v>
      </c>
      <c r="CN14" s="21" t="n">
        <v>0</v>
      </c>
      <c r="CO14" s="21" t="n">
        <v>0</v>
      </c>
      <c r="CP14" s="21" t="n">
        <v>0</v>
      </c>
      <c r="CQ14" s="21" t="n">
        <v>0</v>
      </c>
      <c r="CR14" s="21" t="n">
        <v>0</v>
      </c>
      <c r="CS14" s="21" t="n">
        <v>0</v>
      </c>
      <c r="CT14" s="21" t="n">
        <v>0</v>
      </c>
      <c r="CU14" s="21" t="n">
        <v>0</v>
      </c>
      <c r="CV14" s="21" t="n">
        <v>0</v>
      </c>
      <c r="CW14" s="21" t="n">
        <v>0</v>
      </c>
      <c r="CX14" s="21" t="n">
        <v>0</v>
      </c>
      <c r="CY14" s="21" t="n">
        <v>0</v>
      </c>
      <c r="CZ14" s="21" t="n">
        <v>0</v>
      </c>
      <c r="DA14" s="21" t="n">
        <v>0</v>
      </c>
      <c r="DB14" s="21" t="n">
        <v>0</v>
      </c>
      <c r="DC14" s="21" t="n">
        <v>0</v>
      </c>
      <c r="DD14" s="21" t="n">
        <v>0</v>
      </c>
      <c r="DE14" s="21" t="n">
        <v>0</v>
      </c>
      <c r="DF14" s="21" t="n">
        <v>0</v>
      </c>
      <c r="DG14" s="21" t="n">
        <v>0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0</v>
      </c>
      <c r="DW14" s="21" t="n">
        <v>0</v>
      </c>
      <c r="DX14" s="21" t="n">
        <v>0</v>
      </c>
      <c r="DY14" s="21" t="n">
        <v>0</v>
      </c>
      <c r="DZ14" s="21" t="n">
        <v>0</v>
      </c>
      <c r="EA14" s="21" t="n">
        <v>0</v>
      </c>
      <c r="EB14" s="21" t="n">
        <v>0</v>
      </c>
      <c r="EC14" s="21" t="n">
        <v>0</v>
      </c>
      <c r="ED14" s="21" t="n">
        <v>0</v>
      </c>
      <c r="EE14" s="21" t="n">
        <v>0</v>
      </c>
      <c r="EF14" s="21" t="n">
        <v>0</v>
      </c>
      <c r="EG14" s="21" t="n">
        <v>0</v>
      </c>
      <c r="EH14" s="21" t="n">
        <v>0</v>
      </c>
      <c r="EI14" s="21" t="n">
        <v>0</v>
      </c>
      <c r="EJ14" s="21" t="n">
        <v>0</v>
      </c>
      <c r="EK14" s="21" t="n">
        <v>0</v>
      </c>
      <c r="EL14" s="21" t="n">
        <v>0</v>
      </c>
      <c r="EM14" s="21" t="n">
        <v>0</v>
      </c>
      <c r="EN14" s="21" t="n">
        <v>0</v>
      </c>
      <c r="EO14" s="21" t="n">
        <v>0</v>
      </c>
      <c r="EP14" s="21" t="n">
        <v>0</v>
      </c>
      <c r="EQ14" s="21" t="n">
        <v>0</v>
      </c>
      <c r="ER14" s="21" t="n">
        <v>0</v>
      </c>
      <c r="ES14" s="21" t="n">
        <v>0</v>
      </c>
      <c r="ET14" s="21" t="n">
        <v>0</v>
      </c>
      <c r="EU14" s="21" t="n">
        <v>0</v>
      </c>
      <c r="EV14" s="21" t="n">
        <v>0</v>
      </c>
      <c r="EW14" s="21" t="n">
        <v>0</v>
      </c>
      <c r="EX14" s="21" t="n">
        <v>0</v>
      </c>
      <c r="EY14" s="21" t="n">
        <v>0</v>
      </c>
      <c r="EZ14" s="21" t="n">
        <v>0</v>
      </c>
      <c r="FA14" s="21" t="n">
        <v>0</v>
      </c>
      <c r="FB14" s="21" t="n">
        <v>0</v>
      </c>
      <c r="FC14" s="21" t="n">
        <v>0</v>
      </c>
      <c r="FD14" s="21" t="n">
        <v>0</v>
      </c>
      <c r="FE14" s="21" t="n">
        <v>0</v>
      </c>
      <c r="FF14" s="21" t="n">
        <v>0</v>
      </c>
      <c r="FG14" s="21" t="n">
        <v>0</v>
      </c>
      <c r="FH14" s="21" t="n">
        <v>0</v>
      </c>
      <c r="FI14" s="21" t="n">
        <v>0</v>
      </c>
      <c r="FJ14" s="21" t="n">
        <v>0</v>
      </c>
      <c r="FK14" s="21" t="n">
        <v>0</v>
      </c>
      <c r="FL14" s="21" t="n">
        <v>0</v>
      </c>
      <c r="FM14" s="21" t="n">
        <v>0</v>
      </c>
      <c r="FN14" s="21" t="n">
        <v>0</v>
      </c>
      <c r="FO14" s="21" t="n">
        <v>0</v>
      </c>
      <c r="FP14" s="21" t="n">
        <v>0</v>
      </c>
      <c r="FQ14" s="21" t="n">
        <v>0</v>
      </c>
      <c r="FR14" s="21" t="n">
        <v>0</v>
      </c>
      <c r="FS14" s="21" t="n">
        <v>0</v>
      </c>
      <c r="FT14" s="21" t="n">
        <v>0</v>
      </c>
      <c r="FU14" s="21" t="n">
        <v>0</v>
      </c>
      <c r="FV14" s="21" t="n">
        <v>0</v>
      </c>
      <c r="FW14" s="21" t="n">
        <v>0</v>
      </c>
      <c r="FX14" s="21" t="n">
        <v>0</v>
      </c>
      <c r="FY14" s="21" t="n">
        <v>0</v>
      </c>
      <c r="FZ14" s="21" t="n">
        <v>0</v>
      </c>
      <c r="GA14" s="21" t="n">
        <v>0</v>
      </c>
      <c r="GB14" s="21" t="n">
        <v>0</v>
      </c>
      <c r="GC14" s="21" t="n">
        <v>0</v>
      </c>
    </row>
    <row r="15">
      <c r="A15" s="13" t="n">
        <v>8</v>
      </c>
      <c r="B15" s="13" t="inlineStr">
        <is>
          <t>WBS 2.4</t>
        </is>
      </c>
      <c r="C15" s="14" t="inlineStr">
        <is>
          <t>Khoan cọc nhồi D1200 Trụ T2 (8 cọc L=30m) &amp; đổ BT C30</t>
        </is>
      </c>
      <c r="D15" s="13" t="inlineStr">
        <is>
          <t>m</t>
        </is>
      </c>
      <c r="E15" s="15" t="n">
        <v>240</v>
      </c>
      <c r="F15" s="15" t="n">
        <v>14.12</v>
      </c>
      <c r="G15" s="15" t="n">
        <v>17</v>
      </c>
      <c r="H15" s="15" t="n">
        <v>14.1</v>
      </c>
      <c r="I15" s="16" t="n">
        <v>17</v>
      </c>
      <c r="J15" s="13" t="inlineStr">
        <is>
          <t>18/11/2026</t>
        </is>
      </c>
      <c r="K15" s="13" t="inlineStr">
        <is>
          <t>04/12/2026</t>
        </is>
      </c>
      <c r="L15" s="13" t="n">
        <v>2</v>
      </c>
      <c r="M15" s="17" t="n">
        <v>0.5</v>
      </c>
      <c r="N15" s="18" t="inlineStr">
        <is>
          <t>2 Máy khoan Bauer BG25 + Cẩu xích 50T</t>
        </is>
      </c>
      <c r="O15" s="19" t="n">
        <v>14</v>
      </c>
      <c r="P15" s="21" t="n">
        <v>0</v>
      </c>
      <c r="Q15" s="21" t="n">
        <v>0</v>
      </c>
      <c r="R15" s="21" t="n">
        <v>0</v>
      </c>
      <c r="S15" s="21" t="n">
        <v>0</v>
      </c>
      <c r="T15" s="21" t="n">
        <v>0</v>
      </c>
      <c r="U15" s="21" t="n">
        <v>0</v>
      </c>
      <c r="V15" s="21" t="n">
        <v>0</v>
      </c>
      <c r="W15" s="21" t="n">
        <v>0</v>
      </c>
      <c r="X15" s="21" t="n">
        <v>0</v>
      </c>
      <c r="Y15" s="21" t="n">
        <v>0</v>
      </c>
      <c r="Z15" s="21" t="n">
        <v>0</v>
      </c>
      <c r="AA15" s="21" t="n">
        <v>0</v>
      </c>
      <c r="AB15" s="21" t="n">
        <v>0</v>
      </c>
      <c r="AC15" s="21" t="n">
        <v>0</v>
      </c>
      <c r="AD15" s="21" t="n">
        <v>0</v>
      </c>
      <c r="AE15" s="21" t="n">
        <v>0</v>
      </c>
      <c r="AF15" s="21" t="n">
        <v>0</v>
      </c>
      <c r="AG15" s="21" t="n">
        <v>0</v>
      </c>
      <c r="AH15" s="21" t="n">
        <v>0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2" t="n">
        <v>0.5</v>
      </c>
      <c r="BM15" s="22" t="n">
        <v>0.5</v>
      </c>
      <c r="BN15" s="22" t="n">
        <v>0.5</v>
      </c>
      <c r="BO15" s="22" t="n">
        <v>0.5</v>
      </c>
      <c r="BP15" s="22" t="n">
        <v>0.5</v>
      </c>
      <c r="BQ15" s="22" t="n">
        <v>0.5</v>
      </c>
      <c r="BR15" s="22" t="n">
        <v>0.5</v>
      </c>
      <c r="BS15" s="22" t="n">
        <v>0.5</v>
      </c>
      <c r="BT15" s="22" t="n">
        <v>0.5</v>
      </c>
      <c r="BU15" s="22" t="n">
        <v>0.5</v>
      </c>
      <c r="BV15" s="22" t="n">
        <v>0.5</v>
      </c>
      <c r="BW15" s="22" t="n">
        <v>0.5</v>
      </c>
      <c r="BX15" s="22" t="n">
        <v>0.5</v>
      </c>
      <c r="BY15" s="22" t="n">
        <v>0.5</v>
      </c>
      <c r="BZ15" s="22" t="n">
        <v>0.5</v>
      </c>
      <c r="CA15" s="22" t="n">
        <v>0.5</v>
      </c>
      <c r="CB15" s="22" t="n">
        <v>0.5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0</v>
      </c>
      <c r="CR15" s="21" t="n">
        <v>0</v>
      </c>
      <c r="CS15" s="21" t="n">
        <v>0</v>
      </c>
      <c r="CT15" s="21" t="n">
        <v>0</v>
      </c>
      <c r="CU15" s="21" t="n">
        <v>0</v>
      </c>
      <c r="CV15" s="21" t="n">
        <v>0</v>
      </c>
      <c r="CW15" s="21" t="n">
        <v>0</v>
      </c>
      <c r="CX15" s="21" t="n">
        <v>0</v>
      </c>
      <c r="CY15" s="21" t="n">
        <v>0</v>
      </c>
      <c r="CZ15" s="21" t="n">
        <v>0</v>
      </c>
      <c r="DA15" s="21" t="n">
        <v>0</v>
      </c>
      <c r="DB15" s="21" t="n">
        <v>0</v>
      </c>
      <c r="DC15" s="21" t="n">
        <v>0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0</v>
      </c>
      <c r="DX15" s="21" t="n">
        <v>0</v>
      </c>
      <c r="DY15" s="21" t="n">
        <v>0</v>
      </c>
      <c r="DZ15" s="21" t="n">
        <v>0</v>
      </c>
      <c r="EA15" s="21" t="n">
        <v>0</v>
      </c>
      <c r="EB15" s="21" t="n">
        <v>0</v>
      </c>
      <c r="EC15" s="21" t="n">
        <v>0</v>
      </c>
      <c r="ED15" s="21" t="n">
        <v>0</v>
      </c>
      <c r="EE15" s="21" t="n">
        <v>0</v>
      </c>
      <c r="EF15" s="21" t="n">
        <v>0</v>
      </c>
      <c r="EG15" s="21" t="n">
        <v>0</v>
      </c>
      <c r="EH15" s="21" t="n">
        <v>0</v>
      </c>
      <c r="EI15" s="21" t="n">
        <v>0</v>
      </c>
      <c r="EJ15" s="21" t="n">
        <v>0</v>
      </c>
      <c r="EK15" s="21" t="n">
        <v>0</v>
      </c>
      <c r="EL15" s="21" t="n">
        <v>0</v>
      </c>
      <c r="EM15" s="21" t="n">
        <v>0</v>
      </c>
      <c r="EN15" s="21" t="n">
        <v>0</v>
      </c>
      <c r="EO15" s="21" t="n">
        <v>0</v>
      </c>
      <c r="EP15" s="21" t="n">
        <v>0</v>
      </c>
      <c r="EQ15" s="21" t="n">
        <v>0</v>
      </c>
      <c r="ER15" s="21" t="n">
        <v>0</v>
      </c>
      <c r="ES15" s="21" t="n">
        <v>0</v>
      </c>
      <c r="ET15" s="21" t="n">
        <v>0</v>
      </c>
      <c r="EU15" s="21" t="n">
        <v>0</v>
      </c>
      <c r="EV15" s="21" t="n">
        <v>0</v>
      </c>
      <c r="EW15" s="21" t="n">
        <v>0</v>
      </c>
      <c r="EX15" s="21" t="n">
        <v>0</v>
      </c>
      <c r="EY15" s="21" t="n">
        <v>0</v>
      </c>
      <c r="EZ15" s="21" t="n">
        <v>0</v>
      </c>
      <c r="FA15" s="21" t="n">
        <v>0</v>
      </c>
      <c r="FB15" s="21" t="n">
        <v>0</v>
      </c>
      <c r="FC15" s="21" t="n">
        <v>0</v>
      </c>
      <c r="FD15" s="21" t="n">
        <v>0</v>
      </c>
      <c r="FE15" s="21" t="n">
        <v>0</v>
      </c>
      <c r="FF15" s="21" t="n">
        <v>0</v>
      </c>
      <c r="FG15" s="21" t="n">
        <v>0</v>
      </c>
      <c r="FH15" s="21" t="n">
        <v>0</v>
      </c>
      <c r="FI15" s="21" t="n">
        <v>0</v>
      </c>
      <c r="FJ15" s="21" t="n">
        <v>0</v>
      </c>
      <c r="FK15" s="21" t="n">
        <v>0</v>
      </c>
      <c r="FL15" s="21" t="n">
        <v>0</v>
      </c>
      <c r="FM15" s="21" t="n">
        <v>0</v>
      </c>
      <c r="FN15" s="21" t="n">
        <v>0</v>
      </c>
      <c r="FO15" s="21" t="n">
        <v>0</v>
      </c>
      <c r="FP15" s="21" t="n">
        <v>0</v>
      </c>
      <c r="FQ15" s="21" t="n">
        <v>0</v>
      </c>
      <c r="FR15" s="21" t="n">
        <v>0</v>
      </c>
      <c r="FS15" s="21" t="n">
        <v>0</v>
      </c>
      <c r="FT15" s="21" t="n">
        <v>0</v>
      </c>
      <c r="FU15" s="21" t="n">
        <v>0</v>
      </c>
      <c r="FV15" s="21" t="n">
        <v>0</v>
      </c>
      <c r="FW15" s="21" t="n">
        <v>0</v>
      </c>
      <c r="FX15" s="21" t="n">
        <v>0</v>
      </c>
      <c r="FY15" s="21" t="n">
        <v>0</v>
      </c>
      <c r="FZ15" s="21" t="n">
        <v>0</v>
      </c>
      <c r="GA15" s="21" t="n">
        <v>0</v>
      </c>
      <c r="GB15" s="21" t="n">
        <v>0</v>
      </c>
      <c r="GC15" s="21" t="n">
        <v>0</v>
      </c>
    </row>
    <row r="16">
      <c r="A16" s="13" t="n">
        <v>9</v>
      </c>
      <c r="B16" s="13" t="inlineStr">
        <is>
          <t>WBS 2.5</t>
        </is>
      </c>
      <c r="C16" s="14" t="inlineStr">
        <is>
          <t>Khoan cọc nhồi D1200 M2 (7 cọc L=36m) &amp; đổ BT C30</t>
        </is>
      </c>
      <c r="D16" s="13" t="inlineStr">
        <is>
          <t>m</t>
        </is>
      </c>
      <c r="E16" s="15" t="n">
        <v>252</v>
      </c>
      <c r="F16" s="15" t="n">
        <v>14</v>
      </c>
      <c r="G16" s="15" t="n">
        <v>18</v>
      </c>
      <c r="H16" s="15" t="n">
        <v>14</v>
      </c>
      <c r="I16" s="16" t="n">
        <v>18</v>
      </c>
      <c r="J16" s="13" t="inlineStr">
        <is>
          <t>25/11/2026</t>
        </is>
      </c>
      <c r="K16" s="13" t="inlineStr">
        <is>
          <t>12/12/2026</t>
        </is>
      </c>
      <c r="L16" s="13" t="n">
        <v>2</v>
      </c>
      <c r="M16" s="17" t="n">
        <v>0.5</v>
      </c>
      <c r="N16" s="18" t="inlineStr">
        <is>
          <t>2 Máy khoan Bauer BG25 + Cẩu xích 50T</t>
        </is>
      </c>
      <c r="O16" s="19" t="n">
        <v>14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1" t="n">
        <v>0</v>
      </c>
      <c r="AG16" s="21" t="n">
        <v>0</v>
      </c>
      <c r="AH16" s="21" t="n">
        <v>0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2" t="n">
        <v>0.5</v>
      </c>
      <c r="BT16" s="22" t="n">
        <v>0.5</v>
      </c>
      <c r="BU16" s="22" t="n">
        <v>0.5</v>
      </c>
      <c r="BV16" s="22" t="n">
        <v>0.5</v>
      </c>
      <c r="BW16" s="22" t="n">
        <v>0.5</v>
      </c>
      <c r="BX16" s="22" t="n">
        <v>0.5</v>
      </c>
      <c r="BY16" s="22" t="n">
        <v>0.5</v>
      </c>
      <c r="BZ16" s="22" t="n">
        <v>0.5</v>
      </c>
      <c r="CA16" s="22" t="n">
        <v>0.5</v>
      </c>
      <c r="CB16" s="22" t="n">
        <v>0.5</v>
      </c>
      <c r="CC16" s="22" t="n">
        <v>0.5</v>
      </c>
      <c r="CD16" s="22" t="n">
        <v>0.5</v>
      </c>
      <c r="CE16" s="22" t="n">
        <v>0.5</v>
      </c>
      <c r="CF16" s="22" t="n">
        <v>0.5</v>
      </c>
      <c r="CG16" s="22" t="n">
        <v>0.5</v>
      </c>
      <c r="CH16" s="22" t="n">
        <v>0.5</v>
      </c>
      <c r="CI16" s="22" t="n">
        <v>0.5</v>
      </c>
      <c r="CJ16" s="22" t="n">
        <v>0.5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0</v>
      </c>
      <c r="CQ16" s="21" t="n">
        <v>0</v>
      </c>
      <c r="CR16" s="21" t="n">
        <v>0</v>
      </c>
      <c r="CS16" s="21" t="n">
        <v>0</v>
      </c>
      <c r="CT16" s="21" t="n">
        <v>0</v>
      </c>
      <c r="CU16" s="21" t="n">
        <v>0</v>
      </c>
      <c r="CV16" s="21" t="n">
        <v>0</v>
      </c>
      <c r="CW16" s="21" t="n">
        <v>0</v>
      </c>
      <c r="CX16" s="21" t="n">
        <v>0</v>
      </c>
      <c r="CY16" s="21" t="n">
        <v>0</v>
      </c>
      <c r="CZ16" s="21" t="n">
        <v>0</v>
      </c>
      <c r="DA16" s="21" t="n">
        <v>0</v>
      </c>
      <c r="DB16" s="21" t="n">
        <v>0</v>
      </c>
      <c r="DC16" s="21" t="n">
        <v>0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0</v>
      </c>
      <c r="DX16" s="21" t="n">
        <v>0</v>
      </c>
      <c r="DY16" s="21" t="n">
        <v>0</v>
      </c>
      <c r="DZ16" s="21" t="n">
        <v>0</v>
      </c>
      <c r="EA16" s="21" t="n">
        <v>0</v>
      </c>
      <c r="EB16" s="21" t="n">
        <v>0</v>
      </c>
      <c r="EC16" s="21" t="n">
        <v>0</v>
      </c>
      <c r="ED16" s="21" t="n">
        <v>0</v>
      </c>
      <c r="EE16" s="21" t="n">
        <v>0</v>
      </c>
      <c r="EF16" s="21" t="n">
        <v>0</v>
      </c>
      <c r="EG16" s="21" t="n">
        <v>0</v>
      </c>
      <c r="EH16" s="21" t="n">
        <v>0</v>
      </c>
      <c r="EI16" s="21" t="n">
        <v>0</v>
      </c>
      <c r="EJ16" s="21" t="n">
        <v>0</v>
      </c>
      <c r="EK16" s="21" t="n">
        <v>0</v>
      </c>
      <c r="EL16" s="21" t="n">
        <v>0</v>
      </c>
      <c r="EM16" s="21" t="n">
        <v>0</v>
      </c>
      <c r="EN16" s="21" t="n">
        <v>0</v>
      </c>
      <c r="EO16" s="21" t="n">
        <v>0</v>
      </c>
      <c r="EP16" s="21" t="n">
        <v>0</v>
      </c>
      <c r="EQ16" s="21" t="n">
        <v>0</v>
      </c>
      <c r="ER16" s="21" t="n">
        <v>0</v>
      </c>
      <c r="ES16" s="21" t="n">
        <v>0</v>
      </c>
      <c r="ET16" s="21" t="n">
        <v>0</v>
      </c>
      <c r="EU16" s="21" t="n">
        <v>0</v>
      </c>
      <c r="EV16" s="21" t="n">
        <v>0</v>
      </c>
      <c r="EW16" s="21" t="n">
        <v>0</v>
      </c>
      <c r="EX16" s="21" t="n">
        <v>0</v>
      </c>
      <c r="EY16" s="21" t="n">
        <v>0</v>
      </c>
      <c r="EZ16" s="21" t="n">
        <v>0</v>
      </c>
      <c r="FA16" s="21" t="n">
        <v>0</v>
      </c>
      <c r="FB16" s="21" t="n">
        <v>0</v>
      </c>
      <c r="FC16" s="21" t="n">
        <v>0</v>
      </c>
      <c r="FD16" s="21" t="n">
        <v>0</v>
      </c>
      <c r="FE16" s="21" t="n">
        <v>0</v>
      </c>
      <c r="FF16" s="21" t="n">
        <v>0</v>
      </c>
      <c r="FG16" s="21" t="n">
        <v>0</v>
      </c>
      <c r="FH16" s="21" t="n">
        <v>0</v>
      </c>
      <c r="FI16" s="21" t="n">
        <v>0</v>
      </c>
      <c r="FJ16" s="21" t="n">
        <v>0</v>
      </c>
      <c r="FK16" s="21" t="n">
        <v>0</v>
      </c>
      <c r="FL16" s="21" t="n">
        <v>0</v>
      </c>
      <c r="FM16" s="21" t="n">
        <v>0</v>
      </c>
      <c r="FN16" s="21" t="n">
        <v>0</v>
      </c>
      <c r="FO16" s="21" t="n">
        <v>0</v>
      </c>
      <c r="FP16" s="21" t="n">
        <v>0</v>
      </c>
      <c r="FQ16" s="21" t="n">
        <v>0</v>
      </c>
      <c r="FR16" s="21" t="n">
        <v>0</v>
      </c>
      <c r="FS16" s="21" t="n">
        <v>0</v>
      </c>
      <c r="FT16" s="21" t="n">
        <v>0</v>
      </c>
      <c r="FU16" s="21" t="n">
        <v>0</v>
      </c>
      <c r="FV16" s="21" t="n">
        <v>0</v>
      </c>
      <c r="FW16" s="21" t="n">
        <v>0</v>
      </c>
      <c r="FX16" s="21" t="n">
        <v>0</v>
      </c>
      <c r="FY16" s="21" t="n">
        <v>0</v>
      </c>
      <c r="FZ16" s="21" t="n">
        <v>0</v>
      </c>
      <c r="GA16" s="21" t="n">
        <v>0</v>
      </c>
      <c r="GB16" s="21" t="n">
        <v>0</v>
      </c>
      <c r="GC16" s="21" t="n">
        <v>0</v>
      </c>
    </row>
    <row r="17">
      <c r="A17" s="13" t="n">
        <v>10</v>
      </c>
      <c r="B17" s="13" t="inlineStr">
        <is>
          <t>WBS 2.6</t>
        </is>
      </c>
      <c r="C17" s="14" t="inlineStr">
        <is>
          <t>Thí nghiệm siêu âm 156 mặt cắt cọc, PDA &amp; nén tĩnh</t>
        </is>
      </c>
      <c r="D17" s="13" t="inlineStr">
        <is>
          <t>Gói</t>
        </is>
      </c>
      <c r="E17" s="15" t="n">
        <v>1</v>
      </c>
      <c r="F17" s="15" t="n">
        <v>0.125</v>
      </c>
      <c r="G17" s="15" t="n">
        <v>8</v>
      </c>
      <c r="H17" s="15" t="n">
        <v>0.1</v>
      </c>
      <c r="I17" s="16" t="n">
        <v>8</v>
      </c>
      <c r="J17" s="13" t="inlineStr">
        <is>
          <t>13/12/2026</t>
        </is>
      </c>
      <c r="K17" s="13" t="inlineStr">
        <is>
          <t>20/12/2026</t>
        </is>
      </c>
      <c r="L17" s="13" t="n">
        <v>1</v>
      </c>
      <c r="M17" s="17" t="n">
        <v>1</v>
      </c>
      <c r="N17" s="18" t="inlineStr">
        <is>
          <t>Hệ thống siêu âm cọc đa kênh</t>
        </is>
      </c>
      <c r="O17" s="19" t="n">
        <v>6</v>
      </c>
      <c r="P17" s="21" t="n">
        <v>0</v>
      </c>
      <c r="Q17" s="21" t="n">
        <v>0</v>
      </c>
      <c r="R17" s="21" t="n">
        <v>0</v>
      </c>
      <c r="S17" s="21" t="n">
        <v>0</v>
      </c>
      <c r="T17" s="21" t="n">
        <v>0</v>
      </c>
      <c r="U17" s="21" t="n">
        <v>0</v>
      </c>
      <c r="V17" s="21" t="n">
        <v>0</v>
      </c>
      <c r="W17" s="21" t="n">
        <v>0</v>
      </c>
      <c r="X17" s="21" t="n">
        <v>0</v>
      </c>
      <c r="Y17" s="21" t="n">
        <v>0</v>
      </c>
      <c r="Z17" s="21" t="n">
        <v>0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0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1" t="n">
        <v>0</v>
      </c>
      <c r="AM17" s="21" t="n">
        <v>0</v>
      </c>
      <c r="AN17" s="21" t="n">
        <v>0</v>
      </c>
      <c r="AO17" s="21" t="n">
        <v>0</v>
      </c>
      <c r="AP17" s="21" t="n">
        <v>0</v>
      </c>
      <c r="AQ17" s="21" t="n">
        <v>0</v>
      </c>
      <c r="AR17" s="21" t="n">
        <v>0</v>
      </c>
      <c r="AS17" s="21" t="n">
        <v>0</v>
      </c>
      <c r="AT17" s="21" t="n">
        <v>0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0</v>
      </c>
      <c r="BO17" s="21" t="n">
        <v>0</v>
      </c>
      <c r="BP17" s="21" t="n">
        <v>0</v>
      </c>
      <c r="BQ17" s="21" t="n">
        <v>0</v>
      </c>
      <c r="BR17" s="21" t="n">
        <v>0</v>
      </c>
      <c r="BS17" s="21" t="n">
        <v>0</v>
      </c>
      <c r="BT17" s="21" t="n">
        <v>0</v>
      </c>
      <c r="BU17" s="21" t="n">
        <v>0</v>
      </c>
      <c r="BV17" s="21" t="n">
        <v>0</v>
      </c>
      <c r="BW17" s="21" t="n">
        <v>0</v>
      </c>
      <c r="BX17" s="21" t="n">
        <v>0</v>
      </c>
      <c r="BY17" s="21" t="n">
        <v>0</v>
      </c>
      <c r="BZ17" s="21" t="n">
        <v>0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0" t="n">
        <v>1</v>
      </c>
      <c r="CL17" s="20" t="n">
        <v>1</v>
      </c>
      <c r="CM17" s="20" t="n">
        <v>1</v>
      </c>
      <c r="CN17" s="20" t="n">
        <v>1</v>
      </c>
      <c r="CO17" s="20" t="n">
        <v>1</v>
      </c>
      <c r="CP17" s="20" t="n">
        <v>1</v>
      </c>
      <c r="CQ17" s="20" t="n">
        <v>1</v>
      </c>
      <c r="CR17" s="20" t="n">
        <v>1</v>
      </c>
      <c r="CS17" s="21" t="n">
        <v>0</v>
      </c>
      <c r="CT17" s="21" t="n">
        <v>0</v>
      </c>
      <c r="CU17" s="21" t="n">
        <v>0</v>
      </c>
      <c r="CV17" s="21" t="n">
        <v>0</v>
      </c>
      <c r="CW17" s="21" t="n">
        <v>0</v>
      </c>
      <c r="CX17" s="21" t="n">
        <v>0</v>
      </c>
      <c r="CY17" s="21" t="n">
        <v>0</v>
      </c>
      <c r="CZ17" s="21" t="n">
        <v>0</v>
      </c>
      <c r="DA17" s="21" t="n">
        <v>0</v>
      </c>
      <c r="DB17" s="21" t="n">
        <v>0</v>
      </c>
      <c r="DC17" s="21" t="n">
        <v>0</v>
      </c>
      <c r="DD17" s="21" t="n">
        <v>0</v>
      </c>
      <c r="DE17" s="21" t="n">
        <v>0</v>
      </c>
      <c r="DF17" s="21" t="n">
        <v>0</v>
      </c>
      <c r="DG17" s="21" t="n">
        <v>0</v>
      </c>
      <c r="DH17" s="21" t="n">
        <v>0</v>
      </c>
      <c r="DI17" s="21" t="n">
        <v>0</v>
      </c>
      <c r="DJ17" s="21" t="n">
        <v>0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0</v>
      </c>
      <c r="DW17" s="21" t="n">
        <v>0</v>
      </c>
      <c r="DX17" s="21" t="n">
        <v>0</v>
      </c>
      <c r="DY17" s="21" t="n">
        <v>0</v>
      </c>
      <c r="DZ17" s="21" t="n">
        <v>0</v>
      </c>
      <c r="EA17" s="21" t="n">
        <v>0</v>
      </c>
      <c r="EB17" s="21" t="n">
        <v>0</v>
      </c>
      <c r="EC17" s="21" t="n">
        <v>0</v>
      </c>
      <c r="ED17" s="21" t="n">
        <v>0</v>
      </c>
      <c r="EE17" s="21" t="n">
        <v>0</v>
      </c>
      <c r="EF17" s="21" t="n">
        <v>0</v>
      </c>
      <c r="EG17" s="21" t="n">
        <v>0</v>
      </c>
      <c r="EH17" s="21" t="n">
        <v>0</v>
      </c>
      <c r="EI17" s="21" t="n">
        <v>0</v>
      </c>
      <c r="EJ17" s="21" t="n">
        <v>0</v>
      </c>
      <c r="EK17" s="21" t="n">
        <v>0</v>
      </c>
      <c r="EL17" s="21" t="n">
        <v>0</v>
      </c>
      <c r="EM17" s="21" t="n">
        <v>0</v>
      </c>
      <c r="EN17" s="21" t="n">
        <v>0</v>
      </c>
      <c r="EO17" s="21" t="n">
        <v>0</v>
      </c>
      <c r="EP17" s="21" t="n">
        <v>0</v>
      </c>
      <c r="EQ17" s="21" t="n">
        <v>0</v>
      </c>
      <c r="ER17" s="21" t="n">
        <v>0</v>
      </c>
      <c r="ES17" s="21" t="n">
        <v>0</v>
      </c>
      <c r="ET17" s="21" t="n">
        <v>0</v>
      </c>
      <c r="EU17" s="21" t="n">
        <v>0</v>
      </c>
      <c r="EV17" s="21" t="n">
        <v>0</v>
      </c>
      <c r="EW17" s="21" t="n">
        <v>0</v>
      </c>
      <c r="EX17" s="21" t="n">
        <v>0</v>
      </c>
      <c r="EY17" s="21" t="n">
        <v>0</v>
      </c>
      <c r="EZ17" s="21" t="n">
        <v>0</v>
      </c>
      <c r="FA17" s="21" t="n">
        <v>0</v>
      </c>
      <c r="FB17" s="21" t="n">
        <v>0</v>
      </c>
      <c r="FC17" s="21" t="n">
        <v>0</v>
      </c>
      <c r="FD17" s="21" t="n">
        <v>0</v>
      </c>
      <c r="FE17" s="21" t="n">
        <v>0</v>
      </c>
      <c r="FF17" s="21" t="n">
        <v>0</v>
      </c>
      <c r="FG17" s="21" t="n">
        <v>0</v>
      </c>
      <c r="FH17" s="21" t="n">
        <v>0</v>
      </c>
      <c r="FI17" s="21" t="n">
        <v>0</v>
      </c>
      <c r="FJ17" s="21" t="n">
        <v>0</v>
      </c>
      <c r="FK17" s="21" t="n">
        <v>0</v>
      </c>
      <c r="FL17" s="21" t="n">
        <v>0</v>
      </c>
      <c r="FM17" s="21" t="n">
        <v>0</v>
      </c>
      <c r="FN17" s="21" t="n">
        <v>0</v>
      </c>
      <c r="FO17" s="21" t="n">
        <v>0</v>
      </c>
      <c r="FP17" s="21" t="n">
        <v>0</v>
      </c>
      <c r="FQ17" s="21" t="n">
        <v>0</v>
      </c>
      <c r="FR17" s="21" t="n">
        <v>0</v>
      </c>
      <c r="FS17" s="21" t="n">
        <v>0</v>
      </c>
      <c r="FT17" s="21" t="n">
        <v>0</v>
      </c>
      <c r="FU17" s="21" t="n">
        <v>0</v>
      </c>
      <c r="FV17" s="21" t="n">
        <v>0</v>
      </c>
      <c r="FW17" s="21" t="n">
        <v>0</v>
      </c>
      <c r="FX17" s="21" t="n">
        <v>0</v>
      </c>
      <c r="FY17" s="21" t="n">
        <v>0</v>
      </c>
      <c r="FZ17" s="21" t="n">
        <v>0</v>
      </c>
      <c r="GA17" s="21" t="n">
        <v>0</v>
      </c>
      <c r="GB17" s="21" t="n">
        <v>0</v>
      </c>
      <c r="GC17" s="21" t="n">
        <v>0</v>
      </c>
    </row>
    <row r="18">
      <c r="A18" s="13" t="n">
        <v>11</v>
      </c>
      <c r="B18" s="13" t="inlineStr">
        <is>
          <t>WBS 3.1</t>
        </is>
      </c>
      <c r="C18" s="14" t="inlineStr">
        <is>
          <t>Đào hố móng ngàm đá, đập đầu 26 cọc &amp; đổ BT lót C10</t>
        </is>
      </c>
      <c r="D18" s="13" t="inlineStr">
        <is>
          <t>Cọc</t>
        </is>
      </c>
      <c r="E18" s="15" t="n">
        <v>26</v>
      </c>
      <c r="F18" s="15" t="n">
        <v>3.71</v>
      </c>
      <c r="G18" s="15" t="n">
        <v>7</v>
      </c>
      <c r="H18" s="15" t="n">
        <v>3.7</v>
      </c>
      <c r="I18" s="16" t="n">
        <v>7</v>
      </c>
      <c r="J18" s="13" t="inlineStr">
        <is>
          <t>21/12/2026</t>
        </is>
      </c>
      <c r="K18" s="13" t="inlineStr">
        <is>
          <t>27/12/2026</t>
        </is>
      </c>
      <c r="L18" s="13" t="n">
        <v>1</v>
      </c>
      <c r="M18" s="17" t="n">
        <v>1</v>
      </c>
      <c r="N18" s="18" t="inlineStr">
        <is>
          <t>Máy đào PC200 búa đập đá + Máy nén khí</t>
        </is>
      </c>
      <c r="O18" s="19" t="n">
        <v>10</v>
      </c>
      <c r="P18" s="21" t="n">
        <v>0</v>
      </c>
      <c r="Q18" s="21" t="n">
        <v>0</v>
      </c>
      <c r="R18" s="21" t="n">
        <v>0</v>
      </c>
      <c r="S18" s="21" t="n">
        <v>0</v>
      </c>
      <c r="T18" s="21" t="n">
        <v>0</v>
      </c>
      <c r="U18" s="21" t="n">
        <v>0</v>
      </c>
      <c r="V18" s="21" t="n">
        <v>0</v>
      </c>
      <c r="W18" s="21" t="n">
        <v>0</v>
      </c>
      <c r="X18" s="21" t="n">
        <v>0</v>
      </c>
      <c r="Y18" s="21" t="n">
        <v>0</v>
      </c>
      <c r="Z18" s="21" t="n">
        <v>0</v>
      </c>
      <c r="AA18" s="21" t="n">
        <v>0</v>
      </c>
      <c r="AB18" s="21" t="n">
        <v>0</v>
      </c>
      <c r="AC18" s="21" t="n">
        <v>0</v>
      </c>
      <c r="AD18" s="21" t="n">
        <v>0</v>
      </c>
      <c r="AE18" s="21" t="n">
        <v>0</v>
      </c>
      <c r="AF18" s="21" t="n">
        <v>0</v>
      </c>
      <c r="AG18" s="21" t="n">
        <v>0</v>
      </c>
      <c r="AH18" s="21" t="n">
        <v>0</v>
      </c>
      <c r="AI18" s="21" t="n">
        <v>0</v>
      </c>
      <c r="AJ18" s="21" t="n">
        <v>0</v>
      </c>
      <c r="AK18" s="21" t="n">
        <v>0</v>
      </c>
      <c r="AL18" s="21" t="n">
        <v>0</v>
      </c>
      <c r="AM18" s="21" t="n">
        <v>0</v>
      </c>
      <c r="AN18" s="21" t="n">
        <v>0</v>
      </c>
      <c r="AO18" s="21" t="n">
        <v>0</v>
      </c>
      <c r="AP18" s="21" t="n">
        <v>0</v>
      </c>
      <c r="AQ18" s="21" t="n">
        <v>0</v>
      </c>
      <c r="AR18" s="21" t="n">
        <v>0</v>
      </c>
      <c r="AS18" s="21" t="n">
        <v>0</v>
      </c>
      <c r="AT18" s="21" t="n">
        <v>0</v>
      </c>
      <c r="AU18" s="21" t="n">
        <v>0</v>
      </c>
      <c r="AV18" s="21" t="n">
        <v>0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0</v>
      </c>
      <c r="BO18" s="21" t="n">
        <v>0</v>
      </c>
      <c r="BP18" s="21" t="n">
        <v>0</v>
      </c>
      <c r="BQ18" s="21" t="n">
        <v>0</v>
      </c>
      <c r="BR18" s="21" t="n">
        <v>0</v>
      </c>
      <c r="BS18" s="21" t="n">
        <v>0</v>
      </c>
      <c r="BT18" s="21" t="n">
        <v>0</v>
      </c>
      <c r="BU18" s="21" t="n">
        <v>0</v>
      </c>
      <c r="BV18" s="21" t="n">
        <v>0</v>
      </c>
      <c r="BW18" s="21" t="n">
        <v>0</v>
      </c>
      <c r="BX18" s="21" t="n">
        <v>0</v>
      </c>
      <c r="BY18" s="21" t="n">
        <v>0</v>
      </c>
      <c r="BZ18" s="21" t="n">
        <v>0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0</v>
      </c>
      <c r="CN18" s="21" t="n">
        <v>0</v>
      </c>
      <c r="CO18" s="21" t="n">
        <v>0</v>
      </c>
      <c r="CP18" s="21" t="n">
        <v>0</v>
      </c>
      <c r="CQ18" s="21" t="n">
        <v>0</v>
      </c>
      <c r="CR18" s="21" t="n">
        <v>0</v>
      </c>
      <c r="CS18" s="22" t="n">
        <v>1</v>
      </c>
      <c r="CT18" s="22" t="n">
        <v>1</v>
      </c>
      <c r="CU18" s="22" t="n">
        <v>1</v>
      </c>
      <c r="CV18" s="22" t="n">
        <v>1</v>
      </c>
      <c r="CW18" s="22" t="n">
        <v>1</v>
      </c>
      <c r="CX18" s="22" t="n">
        <v>1</v>
      </c>
      <c r="CY18" s="22" t="n">
        <v>1</v>
      </c>
      <c r="CZ18" s="21" t="n">
        <v>0</v>
      </c>
      <c r="DA18" s="21" t="n">
        <v>0</v>
      </c>
      <c r="DB18" s="21" t="n">
        <v>0</v>
      </c>
      <c r="DC18" s="21" t="n">
        <v>0</v>
      </c>
      <c r="DD18" s="21" t="n">
        <v>0</v>
      </c>
      <c r="DE18" s="21" t="n">
        <v>0</v>
      </c>
      <c r="DF18" s="21" t="n">
        <v>0</v>
      </c>
      <c r="DG18" s="21" t="n">
        <v>0</v>
      </c>
      <c r="DH18" s="21" t="n">
        <v>0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0</v>
      </c>
      <c r="DW18" s="21" t="n">
        <v>0</v>
      </c>
      <c r="DX18" s="21" t="n">
        <v>0</v>
      </c>
      <c r="DY18" s="21" t="n">
        <v>0</v>
      </c>
      <c r="DZ18" s="21" t="n">
        <v>0</v>
      </c>
      <c r="EA18" s="21" t="n">
        <v>0</v>
      </c>
      <c r="EB18" s="21" t="n">
        <v>0</v>
      </c>
      <c r="EC18" s="21" t="n">
        <v>0</v>
      </c>
      <c r="ED18" s="21" t="n">
        <v>0</v>
      </c>
      <c r="EE18" s="21" t="n">
        <v>0</v>
      </c>
      <c r="EF18" s="21" t="n">
        <v>0</v>
      </c>
      <c r="EG18" s="21" t="n">
        <v>0</v>
      </c>
      <c r="EH18" s="21" t="n">
        <v>0</v>
      </c>
      <c r="EI18" s="21" t="n">
        <v>0</v>
      </c>
      <c r="EJ18" s="21" t="n">
        <v>0</v>
      </c>
      <c r="EK18" s="21" t="n">
        <v>0</v>
      </c>
      <c r="EL18" s="21" t="n">
        <v>0</v>
      </c>
      <c r="EM18" s="21" t="n">
        <v>0</v>
      </c>
      <c r="EN18" s="21" t="n">
        <v>0</v>
      </c>
      <c r="EO18" s="21" t="n">
        <v>0</v>
      </c>
      <c r="EP18" s="21" t="n">
        <v>0</v>
      </c>
      <c r="EQ18" s="21" t="n">
        <v>0</v>
      </c>
      <c r="ER18" s="21" t="n">
        <v>0</v>
      </c>
      <c r="ES18" s="21" t="n">
        <v>0</v>
      </c>
      <c r="ET18" s="21" t="n">
        <v>0</v>
      </c>
      <c r="EU18" s="21" t="n">
        <v>0</v>
      </c>
      <c r="EV18" s="21" t="n">
        <v>0</v>
      </c>
      <c r="EW18" s="21" t="n">
        <v>0</v>
      </c>
      <c r="EX18" s="21" t="n">
        <v>0</v>
      </c>
      <c r="EY18" s="21" t="n">
        <v>0</v>
      </c>
      <c r="EZ18" s="21" t="n">
        <v>0</v>
      </c>
      <c r="FA18" s="21" t="n">
        <v>0</v>
      </c>
      <c r="FB18" s="21" t="n">
        <v>0</v>
      </c>
      <c r="FC18" s="21" t="n">
        <v>0</v>
      </c>
      <c r="FD18" s="21" t="n">
        <v>0</v>
      </c>
      <c r="FE18" s="21" t="n">
        <v>0</v>
      </c>
      <c r="FF18" s="21" t="n">
        <v>0</v>
      </c>
      <c r="FG18" s="21" t="n">
        <v>0</v>
      </c>
      <c r="FH18" s="21" t="n">
        <v>0</v>
      </c>
      <c r="FI18" s="21" t="n">
        <v>0</v>
      </c>
      <c r="FJ18" s="21" t="n">
        <v>0</v>
      </c>
      <c r="FK18" s="21" t="n">
        <v>0</v>
      </c>
      <c r="FL18" s="21" t="n">
        <v>0</v>
      </c>
      <c r="FM18" s="21" t="n">
        <v>0</v>
      </c>
      <c r="FN18" s="21" t="n">
        <v>0</v>
      </c>
      <c r="FO18" s="21" t="n">
        <v>0</v>
      </c>
      <c r="FP18" s="21" t="n">
        <v>0</v>
      </c>
      <c r="FQ18" s="21" t="n">
        <v>0</v>
      </c>
      <c r="FR18" s="21" t="n">
        <v>0</v>
      </c>
      <c r="FS18" s="21" t="n">
        <v>0</v>
      </c>
      <c r="FT18" s="21" t="n">
        <v>0</v>
      </c>
      <c r="FU18" s="21" t="n">
        <v>0</v>
      </c>
      <c r="FV18" s="21" t="n">
        <v>0</v>
      </c>
      <c r="FW18" s="21" t="n">
        <v>0</v>
      </c>
      <c r="FX18" s="21" t="n">
        <v>0</v>
      </c>
      <c r="FY18" s="21" t="n">
        <v>0</v>
      </c>
      <c r="FZ18" s="21" t="n">
        <v>0</v>
      </c>
      <c r="GA18" s="21" t="n">
        <v>0</v>
      </c>
      <c r="GB18" s="21" t="n">
        <v>0</v>
      </c>
      <c r="GC18" s="21" t="n">
        <v>0</v>
      </c>
    </row>
    <row r="19">
      <c r="A19" s="13" t="n">
        <v>12</v>
      </c>
      <c r="B19" s="13" t="inlineStr">
        <is>
          <t>WBS 3.2</t>
        </is>
      </c>
      <c r="C19" s="14" t="inlineStr">
        <is>
          <t>Cốt thép, ván khuôn &amp; đổ bê tông bệ móng mố M1, M2</t>
        </is>
      </c>
      <c r="D19" s="13" t="inlineStr">
        <is>
          <t>m3</t>
        </is>
      </c>
      <c r="E19" s="15" t="n">
        <v>173.2</v>
      </c>
      <c r="F19" s="15" t="n">
        <v>21.65</v>
      </c>
      <c r="G19" s="15" t="n">
        <v>8</v>
      </c>
      <c r="H19" s="15" t="n">
        <v>21.6</v>
      </c>
      <c r="I19" s="16" t="n">
        <v>8</v>
      </c>
      <c r="J19" s="13" t="inlineStr">
        <is>
          <t>28/12/2026</t>
        </is>
      </c>
      <c r="K19" s="13" t="inlineStr">
        <is>
          <t>04/01/2027</t>
        </is>
      </c>
      <c r="L19" s="13" t="n">
        <v>2</v>
      </c>
      <c r="M19" s="17" t="n">
        <v>0.5</v>
      </c>
      <c r="N19" s="18" t="inlineStr">
        <is>
          <t>Cẩu 25T + Bơm 42m + 3 Xe bồn 9m3</t>
        </is>
      </c>
      <c r="O19" s="19" t="n">
        <v>16</v>
      </c>
      <c r="P19" s="21" t="n">
        <v>0</v>
      </c>
      <c r="Q19" s="21" t="n">
        <v>0</v>
      </c>
      <c r="R19" s="21" t="n">
        <v>0</v>
      </c>
      <c r="S19" s="21" t="n">
        <v>0</v>
      </c>
      <c r="T19" s="21" t="n">
        <v>0</v>
      </c>
      <c r="U19" s="21" t="n">
        <v>0</v>
      </c>
      <c r="V19" s="21" t="n">
        <v>0</v>
      </c>
      <c r="W19" s="21" t="n">
        <v>0</v>
      </c>
      <c r="X19" s="21" t="n">
        <v>0</v>
      </c>
      <c r="Y19" s="21" t="n">
        <v>0</v>
      </c>
      <c r="Z19" s="21" t="n">
        <v>0</v>
      </c>
      <c r="AA19" s="21" t="n">
        <v>0</v>
      </c>
      <c r="AB19" s="21" t="n">
        <v>0</v>
      </c>
      <c r="AC19" s="21" t="n">
        <v>0</v>
      </c>
      <c r="AD19" s="21" t="n">
        <v>0</v>
      </c>
      <c r="AE19" s="21" t="n">
        <v>0</v>
      </c>
      <c r="AF19" s="21" t="n">
        <v>0</v>
      </c>
      <c r="AG19" s="21" t="n">
        <v>0</v>
      </c>
      <c r="AH19" s="21" t="n">
        <v>0</v>
      </c>
      <c r="AI19" s="21" t="n">
        <v>0</v>
      </c>
      <c r="AJ19" s="21" t="n">
        <v>0</v>
      </c>
      <c r="AK19" s="21" t="n">
        <v>0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0</v>
      </c>
      <c r="AQ19" s="21" t="n">
        <v>0</v>
      </c>
      <c r="AR19" s="21" t="n">
        <v>0</v>
      </c>
      <c r="AS19" s="21" t="n">
        <v>0</v>
      </c>
      <c r="AT19" s="21" t="n">
        <v>0</v>
      </c>
      <c r="AU19" s="21" t="n">
        <v>0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0</v>
      </c>
      <c r="BO19" s="21" t="n">
        <v>0</v>
      </c>
      <c r="BP19" s="21" t="n">
        <v>0</v>
      </c>
      <c r="BQ19" s="21" t="n">
        <v>0</v>
      </c>
      <c r="BR19" s="21" t="n">
        <v>0</v>
      </c>
      <c r="BS19" s="21" t="n">
        <v>0</v>
      </c>
      <c r="BT19" s="21" t="n">
        <v>0</v>
      </c>
      <c r="BU19" s="21" t="n">
        <v>0</v>
      </c>
      <c r="BV19" s="21" t="n">
        <v>0</v>
      </c>
      <c r="BW19" s="21" t="n">
        <v>0</v>
      </c>
      <c r="BX19" s="21" t="n">
        <v>0</v>
      </c>
      <c r="BY19" s="21" t="n">
        <v>0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0</v>
      </c>
      <c r="CN19" s="21" t="n">
        <v>0</v>
      </c>
      <c r="CO19" s="21" t="n">
        <v>0</v>
      </c>
      <c r="CP19" s="21" t="n">
        <v>0</v>
      </c>
      <c r="CQ19" s="21" t="n">
        <v>0</v>
      </c>
      <c r="CR19" s="21" t="n">
        <v>0</v>
      </c>
      <c r="CS19" s="21" t="n">
        <v>0</v>
      </c>
      <c r="CT19" s="21" t="n">
        <v>0</v>
      </c>
      <c r="CU19" s="21" t="n">
        <v>0</v>
      </c>
      <c r="CV19" s="21" t="n">
        <v>0</v>
      </c>
      <c r="CW19" s="21" t="n">
        <v>0</v>
      </c>
      <c r="CX19" s="21" t="n">
        <v>0</v>
      </c>
      <c r="CY19" s="21" t="n">
        <v>0</v>
      </c>
      <c r="CZ19" s="22" t="n">
        <v>0.5</v>
      </c>
      <c r="DA19" s="22" t="n">
        <v>0.5</v>
      </c>
      <c r="DB19" s="22" t="n">
        <v>0.5</v>
      </c>
      <c r="DC19" s="22" t="n">
        <v>0.5</v>
      </c>
      <c r="DD19" s="22" t="n">
        <v>0.5</v>
      </c>
      <c r="DE19" s="22" t="n">
        <v>0.5</v>
      </c>
      <c r="DF19" s="22" t="n">
        <v>0.5</v>
      </c>
      <c r="DG19" s="22" t="n">
        <v>0.5</v>
      </c>
      <c r="DH19" s="21" t="n">
        <v>0</v>
      </c>
      <c r="DI19" s="21" t="n">
        <v>0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0</v>
      </c>
      <c r="DW19" s="21" t="n">
        <v>0</v>
      </c>
      <c r="DX19" s="21" t="n">
        <v>0</v>
      </c>
      <c r="DY19" s="21" t="n">
        <v>0</v>
      </c>
      <c r="DZ19" s="21" t="n">
        <v>0</v>
      </c>
      <c r="EA19" s="21" t="n">
        <v>0</v>
      </c>
      <c r="EB19" s="21" t="n">
        <v>0</v>
      </c>
      <c r="EC19" s="21" t="n">
        <v>0</v>
      </c>
      <c r="ED19" s="21" t="n">
        <v>0</v>
      </c>
      <c r="EE19" s="21" t="n">
        <v>0</v>
      </c>
      <c r="EF19" s="21" t="n">
        <v>0</v>
      </c>
      <c r="EG19" s="21" t="n">
        <v>0</v>
      </c>
      <c r="EH19" s="21" t="n">
        <v>0</v>
      </c>
      <c r="EI19" s="21" t="n">
        <v>0</v>
      </c>
      <c r="EJ19" s="21" t="n">
        <v>0</v>
      </c>
      <c r="EK19" s="21" t="n">
        <v>0</v>
      </c>
      <c r="EL19" s="21" t="n">
        <v>0</v>
      </c>
      <c r="EM19" s="21" t="n">
        <v>0</v>
      </c>
      <c r="EN19" s="21" t="n">
        <v>0</v>
      </c>
      <c r="EO19" s="21" t="n">
        <v>0</v>
      </c>
      <c r="EP19" s="21" t="n">
        <v>0</v>
      </c>
      <c r="EQ19" s="21" t="n">
        <v>0</v>
      </c>
      <c r="ER19" s="21" t="n">
        <v>0</v>
      </c>
      <c r="ES19" s="21" t="n">
        <v>0</v>
      </c>
      <c r="ET19" s="21" t="n">
        <v>0</v>
      </c>
      <c r="EU19" s="21" t="n">
        <v>0</v>
      </c>
      <c r="EV19" s="21" t="n">
        <v>0</v>
      </c>
      <c r="EW19" s="21" t="n">
        <v>0</v>
      </c>
      <c r="EX19" s="21" t="n">
        <v>0</v>
      </c>
      <c r="EY19" s="21" t="n">
        <v>0</v>
      </c>
      <c r="EZ19" s="21" t="n">
        <v>0</v>
      </c>
      <c r="FA19" s="21" t="n">
        <v>0</v>
      </c>
      <c r="FB19" s="21" t="n">
        <v>0</v>
      </c>
      <c r="FC19" s="21" t="n">
        <v>0</v>
      </c>
      <c r="FD19" s="21" t="n">
        <v>0</v>
      </c>
      <c r="FE19" s="21" t="n">
        <v>0</v>
      </c>
      <c r="FF19" s="21" t="n">
        <v>0</v>
      </c>
      <c r="FG19" s="21" t="n">
        <v>0</v>
      </c>
      <c r="FH19" s="21" t="n">
        <v>0</v>
      </c>
      <c r="FI19" s="21" t="n">
        <v>0</v>
      </c>
      <c r="FJ19" s="21" t="n">
        <v>0</v>
      </c>
      <c r="FK19" s="21" t="n">
        <v>0</v>
      </c>
      <c r="FL19" s="21" t="n">
        <v>0</v>
      </c>
      <c r="FM19" s="21" t="n">
        <v>0</v>
      </c>
      <c r="FN19" s="21" t="n">
        <v>0</v>
      </c>
      <c r="FO19" s="21" t="n">
        <v>0</v>
      </c>
      <c r="FP19" s="21" t="n">
        <v>0</v>
      </c>
      <c r="FQ19" s="21" t="n">
        <v>0</v>
      </c>
      <c r="FR19" s="21" t="n">
        <v>0</v>
      </c>
      <c r="FS19" s="21" t="n">
        <v>0</v>
      </c>
      <c r="FT19" s="21" t="n">
        <v>0</v>
      </c>
      <c r="FU19" s="21" t="n">
        <v>0</v>
      </c>
      <c r="FV19" s="21" t="n">
        <v>0</v>
      </c>
      <c r="FW19" s="21" t="n">
        <v>0</v>
      </c>
      <c r="FX19" s="21" t="n">
        <v>0</v>
      </c>
      <c r="FY19" s="21" t="n">
        <v>0</v>
      </c>
      <c r="FZ19" s="21" t="n">
        <v>0</v>
      </c>
      <c r="GA19" s="21" t="n">
        <v>0</v>
      </c>
      <c r="GB19" s="21" t="n">
        <v>0</v>
      </c>
      <c r="GC19" s="21" t="n">
        <v>0</v>
      </c>
    </row>
    <row r="20">
      <c r="A20" s="13" t="n">
        <v>13</v>
      </c>
      <c r="B20" s="13" t="inlineStr">
        <is>
          <t>WBS 3.3</t>
        </is>
      </c>
      <c r="C20" s="14" t="inlineStr">
        <is>
          <t>Cốt thép, ván khuôn &amp; đổ bê tông bệ trụ T1, T2</t>
        </is>
      </c>
      <c r="D20" s="13" t="inlineStr">
        <is>
          <t>m3</t>
        </is>
      </c>
      <c r="E20" s="15" t="n">
        <v>344.2</v>
      </c>
      <c r="F20" s="15" t="n">
        <v>34.42</v>
      </c>
      <c r="G20" s="15" t="n">
        <v>10</v>
      </c>
      <c r="H20" s="15" t="n">
        <v>34.4</v>
      </c>
      <c r="I20" s="16" t="n">
        <v>10</v>
      </c>
      <c r="J20" s="13" t="inlineStr">
        <is>
          <t>30/12/2026</t>
        </is>
      </c>
      <c r="K20" s="13" t="inlineStr">
        <is>
          <t>08/01/2027</t>
        </is>
      </c>
      <c r="L20" s="13" t="n">
        <v>2</v>
      </c>
      <c r="M20" s="17" t="n">
        <v>0.5</v>
      </c>
      <c r="N20" s="18" t="inlineStr">
        <is>
          <t>Cẩu xích 50T + Bơm 42m + 3 Xe bồn</t>
        </is>
      </c>
      <c r="O20" s="19" t="n">
        <v>18</v>
      </c>
      <c r="P20" s="21" t="n">
        <v>0</v>
      </c>
      <c r="Q20" s="21" t="n">
        <v>0</v>
      </c>
      <c r="R20" s="21" t="n">
        <v>0</v>
      </c>
      <c r="S20" s="21" t="n">
        <v>0</v>
      </c>
      <c r="T20" s="21" t="n">
        <v>0</v>
      </c>
      <c r="U20" s="21" t="n">
        <v>0</v>
      </c>
      <c r="V20" s="21" t="n">
        <v>0</v>
      </c>
      <c r="W20" s="21" t="n">
        <v>0</v>
      </c>
      <c r="X20" s="21" t="n">
        <v>0</v>
      </c>
      <c r="Y20" s="21" t="n">
        <v>0</v>
      </c>
      <c r="Z20" s="21" t="n">
        <v>0</v>
      </c>
      <c r="AA20" s="21" t="n">
        <v>0</v>
      </c>
      <c r="AB20" s="21" t="n">
        <v>0</v>
      </c>
      <c r="AC20" s="21" t="n">
        <v>0</v>
      </c>
      <c r="AD20" s="21" t="n">
        <v>0</v>
      </c>
      <c r="AE20" s="21" t="n">
        <v>0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</v>
      </c>
      <c r="AK20" s="21" t="n">
        <v>0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0</v>
      </c>
      <c r="AQ20" s="21" t="n">
        <v>0</v>
      </c>
      <c r="AR20" s="21" t="n">
        <v>0</v>
      </c>
      <c r="AS20" s="21" t="n">
        <v>0</v>
      </c>
      <c r="AT20" s="21" t="n">
        <v>0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0</v>
      </c>
      <c r="BP20" s="21" t="n">
        <v>0</v>
      </c>
      <c r="BQ20" s="21" t="n">
        <v>0</v>
      </c>
      <c r="BR20" s="21" t="n">
        <v>0</v>
      </c>
      <c r="BS20" s="21" t="n">
        <v>0</v>
      </c>
      <c r="BT20" s="21" t="n">
        <v>0</v>
      </c>
      <c r="BU20" s="21" t="n">
        <v>0</v>
      </c>
      <c r="BV20" s="21" t="n">
        <v>0</v>
      </c>
      <c r="BW20" s="21" t="n">
        <v>0</v>
      </c>
      <c r="BX20" s="21" t="n">
        <v>0</v>
      </c>
      <c r="BY20" s="21" t="n">
        <v>0</v>
      </c>
      <c r="BZ20" s="21" t="n">
        <v>0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0</v>
      </c>
      <c r="CN20" s="21" t="n">
        <v>0</v>
      </c>
      <c r="CO20" s="21" t="n">
        <v>0</v>
      </c>
      <c r="CP20" s="21" t="n">
        <v>0</v>
      </c>
      <c r="CQ20" s="21" t="n">
        <v>0</v>
      </c>
      <c r="CR20" s="21" t="n">
        <v>0</v>
      </c>
      <c r="CS20" s="21" t="n">
        <v>0</v>
      </c>
      <c r="CT20" s="21" t="n">
        <v>0</v>
      </c>
      <c r="CU20" s="21" t="n">
        <v>0</v>
      </c>
      <c r="CV20" s="21" t="n">
        <v>0</v>
      </c>
      <c r="CW20" s="21" t="n">
        <v>0</v>
      </c>
      <c r="CX20" s="21" t="n">
        <v>0</v>
      </c>
      <c r="CY20" s="21" t="n">
        <v>0</v>
      </c>
      <c r="CZ20" s="21" t="n">
        <v>0</v>
      </c>
      <c r="DA20" s="21" t="n">
        <v>0</v>
      </c>
      <c r="DB20" s="22" t="n">
        <v>0.5</v>
      </c>
      <c r="DC20" s="22" t="n">
        <v>0.5</v>
      </c>
      <c r="DD20" s="22" t="n">
        <v>0.5</v>
      </c>
      <c r="DE20" s="22" t="n">
        <v>0.5</v>
      </c>
      <c r="DF20" s="22" t="n">
        <v>0.5</v>
      </c>
      <c r="DG20" s="22" t="n">
        <v>0.5</v>
      </c>
      <c r="DH20" s="22" t="n">
        <v>0.5</v>
      </c>
      <c r="DI20" s="22" t="n">
        <v>0.5</v>
      </c>
      <c r="DJ20" s="22" t="n">
        <v>0.5</v>
      </c>
      <c r="DK20" s="22" t="n">
        <v>0.5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0</v>
      </c>
      <c r="DW20" s="21" t="n">
        <v>0</v>
      </c>
      <c r="DX20" s="21" t="n">
        <v>0</v>
      </c>
      <c r="DY20" s="21" t="n">
        <v>0</v>
      </c>
      <c r="DZ20" s="21" t="n">
        <v>0</v>
      </c>
      <c r="EA20" s="21" t="n">
        <v>0</v>
      </c>
      <c r="EB20" s="21" t="n">
        <v>0</v>
      </c>
      <c r="EC20" s="21" t="n">
        <v>0</v>
      </c>
      <c r="ED20" s="21" t="n">
        <v>0</v>
      </c>
      <c r="EE20" s="21" t="n">
        <v>0</v>
      </c>
      <c r="EF20" s="21" t="n">
        <v>0</v>
      </c>
      <c r="EG20" s="21" t="n">
        <v>0</v>
      </c>
      <c r="EH20" s="21" t="n">
        <v>0</v>
      </c>
      <c r="EI20" s="21" t="n">
        <v>0</v>
      </c>
      <c r="EJ20" s="21" t="n">
        <v>0</v>
      </c>
      <c r="EK20" s="21" t="n">
        <v>0</v>
      </c>
      <c r="EL20" s="21" t="n">
        <v>0</v>
      </c>
      <c r="EM20" s="21" t="n">
        <v>0</v>
      </c>
      <c r="EN20" s="21" t="n">
        <v>0</v>
      </c>
      <c r="EO20" s="21" t="n">
        <v>0</v>
      </c>
      <c r="EP20" s="21" t="n">
        <v>0</v>
      </c>
      <c r="EQ20" s="21" t="n">
        <v>0</v>
      </c>
      <c r="ER20" s="21" t="n">
        <v>0</v>
      </c>
      <c r="ES20" s="21" t="n">
        <v>0</v>
      </c>
      <c r="ET20" s="21" t="n">
        <v>0</v>
      </c>
      <c r="EU20" s="21" t="n">
        <v>0</v>
      </c>
      <c r="EV20" s="21" t="n">
        <v>0</v>
      </c>
      <c r="EW20" s="21" t="n">
        <v>0</v>
      </c>
      <c r="EX20" s="21" t="n">
        <v>0</v>
      </c>
      <c r="EY20" s="21" t="n">
        <v>0</v>
      </c>
      <c r="EZ20" s="21" t="n">
        <v>0</v>
      </c>
      <c r="FA20" s="21" t="n">
        <v>0</v>
      </c>
      <c r="FB20" s="21" t="n">
        <v>0</v>
      </c>
      <c r="FC20" s="21" t="n">
        <v>0</v>
      </c>
      <c r="FD20" s="21" t="n">
        <v>0</v>
      </c>
      <c r="FE20" s="21" t="n">
        <v>0</v>
      </c>
      <c r="FF20" s="21" t="n">
        <v>0</v>
      </c>
      <c r="FG20" s="21" t="n">
        <v>0</v>
      </c>
      <c r="FH20" s="21" t="n">
        <v>0</v>
      </c>
      <c r="FI20" s="21" t="n">
        <v>0</v>
      </c>
      <c r="FJ20" s="21" t="n">
        <v>0</v>
      </c>
      <c r="FK20" s="21" t="n">
        <v>0</v>
      </c>
      <c r="FL20" s="21" t="n">
        <v>0</v>
      </c>
      <c r="FM20" s="21" t="n">
        <v>0</v>
      </c>
      <c r="FN20" s="21" t="n">
        <v>0</v>
      </c>
      <c r="FO20" s="21" t="n">
        <v>0</v>
      </c>
      <c r="FP20" s="21" t="n">
        <v>0</v>
      </c>
      <c r="FQ20" s="21" t="n">
        <v>0</v>
      </c>
      <c r="FR20" s="21" t="n">
        <v>0</v>
      </c>
      <c r="FS20" s="21" t="n">
        <v>0</v>
      </c>
      <c r="FT20" s="21" t="n">
        <v>0</v>
      </c>
      <c r="FU20" s="21" t="n">
        <v>0</v>
      </c>
      <c r="FV20" s="21" t="n">
        <v>0</v>
      </c>
      <c r="FW20" s="21" t="n">
        <v>0</v>
      </c>
      <c r="FX20" s="21" t="n">
        <v>0</v>
      </c>
      <c r="FY20" s="21" t="n">
        <v>0</v>
      </c>
      <c r="FZ20" s="21" t="n">
        <v>0</v>
      </c>
      <c r="GA20" s="21" t="n">
        <v>0</v>
      </c>
      <c r="GB20" s="21" t="n">
        <v>0</v>
      </c>
      <c r="GC20" s="21" t="n">
        <v>0</v>
      </c>
    </row>
    <row r="21">
      <c r="A21" s="13" t="n">
        <v>14</v>
      </c>
      <c r="B21" s="13" t="inlineStr">
        <is>
          <t>WBS 3.4</t>
        </is>
      </c>
      <c r="C21" s="14" t="inlineStr">
        <is>
          <t>Thi công thân đặc trụ T1, T2 (H=14.5m &amp; 11.4m) BT C30</t>
        </is>
      </c>
      <c r="D21" s="13" t="inlineStr">
        <is>
          <t>m3</t>
        </is>
      </c>
      <c r="E21" s="15" t="n">
        <v>196.8</v>
      </c>
      <c r="F21" s="15" t="n">
        <v>14.06</v>
      </c>
      <c r="G21" s="15" t="n">
        <v>14</v>
      </c>
      <c r="H21" s="15" t="n">
        <v>14.1</v>
      </c>
      <c r="I21" s="16" t="n">
        <v>14</v>
      </c>
      <c r="J21" s="13" t="inlineStr">
        <is>
          <t>09/01/2027</t>
        </is>
      </c>
      <c r="K21" s="13" t="inlineStr">
        <is>
          <t>22/01/2027</t>
        </is>
      </c>
      <c r="L21" s="13" t="n">
        <v>2</v>
      </c>
      <c r="M21" s="17" t="n">
        <v>0.5</v>
      </c>
      <c r="N21" s="18" t="inlineStr">
        <is>
          <t>Cẩu xích 50T leo đà giáo + Bơm 42m</t>
        </is>
      </c>
      <c r="O21" s="19" t="n">
        <v>18</v>
      </c>
      <c r="P21" s="21" t="n">
        <v>0</v>
      </c>
      <c r="Q21" s="21" t="n">
        <v>0</v>
      </c>
      <c r="R21" s="21" t="n">
        <v>0</v>
      </c>
      <c r="S21" s="21" t="n">
        <v>0</v>
      </c>
      <c r="T21" s="21" t="n">
        <v>0</v>
      </c>
      <c r="U21" s="21" t="n">
        <v>0</v>
      </c>
      <c r="V21" s="21" t="n">
        <v>0</v>
      </c>
      <c r="W21" s="21" t="n">
        <v>0</v>
      </c>
      <c r="X21" s="21" t="n">
        <v>0</v>
      </c>
      <c r="Y21" s="21" t="n">
        <v>0</v>
      </c>
      <c r="Z21" s="21" t="n">
        <v>0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0</v>
      </c>
      <c r="AF21" s="21" t="n">
        <v>0</v>
      </c>
      <c r="AG21" s="21" t="n">
        <v>0</v>
      </c>
      <c r="AH21" s="21" t="n">
        <v>0</v>
      </c>
      <c r="AI21" s="21" t="n">
        <v>0</v>
      </c>
      <c r="AJ21" s="21" t="n">
        <v>0</v>
      </c>
      <c r="AK21" s="21" t="n">
        <v>0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0</v>
      </c>
      <c r="AQ21" s="21" t="n">
        <v>0</v>
      </c>
      <c r="AR21" s="21" t="n">
        <v>0</v>
      </c>
      <c r="AS21" s="21" t="n">
        <v>0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0</v>
      </c>
      <c r="BO21" s="21" t="n">
        <v>0</v>
      </c>
      <c r="BP21" s="21" t="n">
        <v>0</v>
      </c>
      <c r="BQ21" s="21" t="n">
        <v>0</v>
      </c>
      <c r="BR21" s="21" t="n">
        <v>0</v>
      </c>
      <c r="BS21" s="21" t="n">
        <v>0</v>
      </c>
      <c r="BT21" s="21" t="n">
        <v>0</v>
      </c>
      <c r="BU21" s="21" t="n">
        <v>0</v>
      </c>
      <c r="BV21" s="21" t="n">
        <v>0</v>
      </c>
      <c r="BW21" s="21" t="n">
        <v>0</v>
      </c>
      <c r="BX21" s="21" t="n">
        <v>0</v>
      </c>
      <c r="BY21" s="21" t="n">
        <v>0</v>
      </c>
      <c r="BZ21" s="21" t="n">
        <v>0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0</v>
      </c>
      <c r="CN21" s="21" t="n">
        <v>0</v>
      </c>
      <c r="CO21" s="21" t="n">
        <v>0</v>
      </c>
      <c r="CP21" s="21" t="n">
        <v>0</v>
      </c>
      <c r="CQ21" s="21" t="n">
        <v>0</v>
      </c>
      <c r="CR21" s="21" t="n">
        <v>0</v>
      </c>
      <c r="CS21" s="21" t="n">
        <v>0</v>
      </c>
      <c r="CT21" s="21" t="n">
        <v>0</v>
      </c>
      <c r="CU21" s="21" t="n">
        <v>0</v>
      </c>
      <c r="CV21" s="21" t="n">
        <v>0</v>
      </c>
      <c r="CW21" s="21" t="n">
        <v>0</v>
      </c>
      <c r="CX21" s="21" t="n">
        <v>0</v>
      </c>
      <c r="CY21" s="21" t="n">
        <v>0</v>
      </c>
      <c r="CZ21" s="21" t="n">
        <v>0</v>
      </c>
      <c r="DA21" s="21" t="n">
        <v>0</v>
      </c>
      <c r="DB21" s="21" t="n">
        <v>0</v>
      </c>
      <c r="DC21" s="21" t="n">
        <v>0</v>
      </c>
      <c r="DD21" s="21" t="n">
        <v>0</v>
      </c>
      <c r="DE21" s="21" t="n">
        <v>0</v>
      </c>
      <c r="DF21" s="21" t="n">
        <v>0</v>
      </c>
      <c r="DG21" s="21" t="n">
        <v>0</v>
      </c>
      <c r="DH21" s="21" t="n">
        <v>0</v>
      </c>
      <c r="DI21" s="21" t="n">
        <v>0</v>
      </c>
      <c r="DJ21" s="21" t="n">
        <v>0</v>
      </c>
      <c r="DK21" s="21" t="n">
        <v>0</v>
      </c>
      <c r="DL21" s="20" t="n">
        <v>0.5</v>
      </c>
      <c r="DM21" s="20" t="n">
        <v>0.5</v>
      </c>
      <c r="DN21" s="20" t="n">
        <v>0.5</v>
      </c>
      <c r="DO21" s="20" t="n">
        <v>0.5</v>
      </c>
      <c r="DP21" s="20" t="n">
        <v>0.5</v>
      </c>
      <c r="DQ21" s="20" t="n">
        <v>0.5</v>
      </c>
      <c r="DR21" s="20" t="n">
        <v>0.5</v>
      </c>
      <c r="DS21" s="20" t="n">
        <v>0.5</v>
      </c>
      <c r="DT21" s="20" t="n">
        <v>0.5</v>
      </c>
      <c r="DU21" s="20" t="n">
        <v>0.5</v>
      </c>
      <c r="DV21" s="20" t="n">
        <v>0.5</v>
      </c>
      <c r="DW21" s="20" t="n">
        <v>0.5</v>
      </c>
      <c r="DX21" s="20" t="n">
        <v>0.5</v>
      </c>
      <c r="DY21" s="20" t="n">
        <v>0.5</v>
      </c>
      <c r="DZ21" s="21" t="n">
        <v>0</v>
      </c>
      <c r="EA21" s="21" t="n">
        <v>0</v>
      </c>
      <c r="EB21" s="21" t="n">
        <v>0</v>
      </c>
      <c r="EC21" s="21" t="n">
        <v>0</v>
      </c>
      <c r="ED21" s="21" t="n">
        <v>0</v>
      </c>
      <c r="EE21" s="21" t="n">
        <v>0</v>
      </c>
      <c r="EF21" s="21" t="n">
        <v>0</v>
      </c>
      <c r="EG21" s="21" t="n">
        <v>0</v>
      </c>
      <c r="EH21" s="21" t="n">
        <v>0</v>
      </c>
      <c r="EI21" s="21" t="n">
        <v>0</v>
      </c>
      <c r="EJ21" s="21" t="n">
        <v>0</v>
      </c>
      <c r="EK21" s="21" t="n">
        <v>0</v>
      </c>
      <c r="EL21" s="21" t="n">
        <v>0</v>
      </c>
      <c r="EM21" s="21" t="n">
        <v>0</v>
      </c>
      <c r="EN21" s="21" t="n">
        <v>0</v>
      </c>
      <c r="EO21" s="21" t="n">
        <v>0</v>
      </c>
      <c r="EP21" s="21" t="n">
        <v>0</v>
      </c>
      <c r="EQ21" s="21" t="n">
        <v>0</v>
      </c>
      <c r="ER21" s="21" t="n">
        <v>0</v>
      </c>
      <c r="ES21" s="21" t="n">
        <v>0</v>
      </c>
      <c r="ET21" s="21" t="n">
        <v>0</v>
      </c>
      <c r="EU21" s="21" t="n">
        <v>0</v>
      </c>
      <c r="EV21" s="21" t="n">
        <v>0</v>
      </c>
      <c r="EW21" s="21" t="n">
        <v>0</v>
      </c>
      <c r="EX21" s="21" t="n">
        <v>0</v>
      </c>
      <c r="EY21" s="21" t="n">
        <v>0</v>
      </c>
      <c r="EZ21" s="21" t="n">
        <v>0</v>
      </c>
      <c r="FA21" s="21" t="n">
        <v>0</v>
      </c>
      <c r="FB21" s="21" t="n">
        <v>0</v>
      </c>
      <c r="FC21" s="21" t="n">
        <v>0</v>
      </c>
      <c r="FD21" s="21" t="n">
        <v>0</v>
      </c>
      <c r="FE21" s="21" t="n">
        <v>0</v>
      </c>
      <c r="FF21" s="21" t="n">
        <v>0</v>
      </c>
      <c r="FG21" s="21" t="n">
        <v>0</v>
      </c>
      <c r="FH21" s="21" t="n">
        <v>0</v>
      </c>
      <c r="FI21" s="21" t="n">
        <v>0</v>
      </c>
      <c r="FJ21" s="21" t="n">
        <v>0</v>
      </c>
      <c r="FK21" s="21" t="n">
        <v>0</v>
      </c>
      <c r="FL21" s="21" t="n">
        <v>0</v>
      </c>
      <c r="FM21" s="21" t="n">
        <v>0</v>
      </c>
      <c r="FN21" s="21" t="n">
        <v>0</v>
      </c>
      <c r="FO21" s="21" t="n">
        <v>0</v>
      </c>
      <c r="FP21" s="21" t="n">
        <v>0</v>
      </c>
      <c r="FQ21" s="21" t="n">
        <v>0</v>
      </c>
      <c r="FR21" s="21" t="n">
        <v>0</v>
      </c>
      <c r="FS21" s="21" t="n">
        <v>0</v>
      </c>
      <c r="FT21" s="21" t="n">
        <v>0</v>
      </c>
      <c r="FU21" s="21" t="n">
        <v>0</v>
      </c>
      <c r="FV21" s="21" t="n">
        <v>0</v>
      </c>
      <c r="FW21" s="21" t="n">
        <v>0</v>
      </c>
      <c r="FX21" s="21" t="n">
        <v>0</v>
      </c>
      <c r="FY21" s="21" t="n">
        <v>0</v>
      </c>
      <c r="FZ21" s="21" t="n">
        <v>0</v>
      </c>
      <c r="GA21" s="21" t="n">
        <v>0</v>
      </c>
      <c r="GB21" s="21" t="n">
        <v>0</v>
      </c>
      <c r="GC21" s="21" t="n">
        <v>0</v>
      </c>
    </row>
    <row r="22">
      <c r="A22" s="13" t="n">
        <v>15</v>
      </c>
      <c r="B22" s="13" t="inlineStr">
        <is>
          <t>WBS 3.5</t>
        </is>
      </c>
      <c r="C22" s="14" t="inlineStr">
        <is>
          <t>Thi công thân mố chân dê M1 &amp; mố chữ U M2 BT C30</t>
        </is>
      </c>
      <c r="D22" s="13" t="inlineStr">
        <is>
          <t>m3</t>
        </is>
      </c>
      <c r="E22" s="15" t="n">
        <v>138.4</v>
      </c>
      <c r="F22" s="15" t="n">
        <v>10.65</v>
      </c>
      <c r="G22" s="15" t="n">
        <v>13</v>
      </c>
      <c r="H22" s="15" t="n">
        <v>10.6</v>
      </c>
      <c r="I22" s="16" t="n">
        <v>13</v>
      </c>
      <c r="J22" s="13" t="inlineStr">
        <is>
          <t>06/01/2027</t>
        </is>
      </c>
      <c r="K22" s="13" t="inlineStr">
        <is>
          <t>18/01/2027</t>
        </is>
      </c>
      <c r="L22" s="13" t="n">
        <v>1</v>
      </c>
      <c r="M22" s="17" t="n">
        <v>1</v>
      </c>
      <c r="N22" s="18" t="inlineStr">
        <is>
          <t>Cẩu lốp 25T + Bơm 42m + 2 Xe bồn</t>
        </is>
      </c>
      <c r="O22" s="19" t="n">
        <v>14</v>
      </c>
      <c r="P22" s="21" t="n">
        <v>0</v>
      </c>
      <c r="Q22" s="21" t="n">
        <v>0</v>
      </c>
      <c r="R22" s="21" t="n">
        <v>0</v>
      </c>
      <c r="S22" s="21" t="n">
        <v>0</v>
      </c>
      <c r="T22" s="21" t="n">
        <v>0</v>
      </c>
      <c r="U22" s="21" t="n">
        <v>0</v>
      </c>
      <c r="V22" s="21" t="n">
        <v>0</v>
      </c>
      <c r="W22" s="21" t="n">
        <v>0</v>
      </c>
      <c r="X22" s="21" t="n">
        <v>0</v>
      </c>
      <c r="Y22" s="21" t="n">
        <v>0</v>
      </c>
      <c r="Z22" s="21" t="n">
        <v>0</v>
      </c>
      <c r="AA22" s="21" t="n">
        <v>0</v>
      </c>
      <c r="AB22" s="21" t="n">
        <v>0</v>
      </c>
      <c r="AC22" s="21" t="n">
        <v>0</v>
      </c>
      <c r="AD22" s="21" t="n">
        <v>0</v>
      </c>
      <c r="AE22" s="21" t="n">
        <v>0</v>
      </c>
      <c r="AF22" s="21" t="n">
        <v>0</v>
      </c>
      <c r="AG22" s="21" t="n">
        <v>0</v>
      </c>
      <c r="AH22" s="21" t="n">
        <v>0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0</v>
      </c>
      <c r="CT22" s="21" t="n">
        <v>0</v>
      </c>
      <c r="CU22" s="21" t="n">
        <v>0</v>
      </c>
      <c r="CV22" s="21" t="n">
        <v>0</v>
      </c>
      <c r="CW22" s="21" t="n">
        <v>0</v>
      </c>
      <c r="CX22" s="21" t="n">
        <v>0</v>
      </c>
      <c r="CY22" s="21" t="n">
        <v>0</v>
      </c>
      <c r="CZ22" s="21" t="n">
        <v>0</v>
      </c>
      <c r="DA22" s="21" t="n">
        <v>0</v>
      </c>
      <c r="DB22" s="21" t="n">
        <v>0</v>
      </c>
      <c r="DC22" s="21" t="n">
        <v>0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0" t="n">
        <v>1</v>
      </c>
      <c r="DJ22" s="20" t="n">
        <v>1</v>
      </c>
      <c r="DK22" s="20" t="n">
        <v>1</v>
      </c>
      <c r="DL22" s="20" t="n">
        <v>1</v>
      </c>
      <c r="DM22" s="20" t="n">
        <v>1</v>
      </c>
      <c r="DN22" s="20" t="n">
        <v>1</v>
      </c>
      <c r="DO22" s="20" t="n">
        <v>1</v>
      </c>
      <c r="DP22" s="20" t="n">
        <v>1</v>
      </c>
      <c r="DQ22" s="20" t="n">
        <v>1</v>
      </c>
      <c r="DR22" s="20" t="n">
        <v>1</v>
      </c>
      <c r="DS22" s="20" t="n">
        <v>1</v>
      </c>
      <c r="DT22" s="20" t="n">
        <v>1</v>
      </c>
      <c r="DU22" s="20" t="n">
        <v>1</v>
      </c>
      <c r="DV22" s="21" t="n">
        <v>0</v>
      </c>
      <c r="DW22" s="21" t="n">
        <v>0</v>
      </c>
      <c r="DX22" s="21" t="n">
        <v>0</v>
      </c>
      <c r="DY22" s="21" t="n">
        <v>0</v>
      </c>
      <c r="DZ22" s="21" t="n">
        <v>0</v>
      </c>
      <c r="EA22" s="21" t="n">
        <v>0</v>
      </c>
      <c r="EB22" s="21" t="n">
        <v>0</v>
      </c>
      <c r="EC22" s="21" t="n">
        <v>0</v>
      </c>
      <c r="ED22" s="21" t="n">
        <v>0</v>
      </c>
      <c r="EE22" s="21" t="n">
        <v>0</v>
      </c>
      <c r="EF22" s="21" t="n">
        <v>0</v>
      </c>
      <c r="EG22" s="21" t="n">
        <v>0</v>
      </c>
      <c r="EH22" s="21" t="n">
        <v>0</v>
      </c>
      <c r="EI22" s="21" t="n">
        <v>0</v>
      </c>
      <c r="EJ22" s="21" t="n">
        <v>0</v>
      </c>
      <c r="EK22" s="21" t="n">
        <v>0</v>
      </c>
      <c r="EL22" s="21" t="n">
        <v>0</v>
      </c>
      <c r="EM22" s="21" t="n">
        <v>0</v>
      </c>
      <c r="EN22" s="21" t="n">
        <v>0</v>
      </c>
      <c r="EO22" s="21" t="n">
        <v>0</v>
      </c>
      <c r="EP22" s="21" t="n">
        <v>0</v>
      </c>
      <c r="EQ22" s="21" t="n">
        <v>0</v>
      </c>
      <c r="ER22" s="21" t="n">
        <v>0</v>
      </c>
      <c r="ES22" s="21" t="n">
        <v>0</v>
      </c>
      <c r="ET22" s="21" t="n">
        <v>0</v>
      </c>
      <c r="EU22" s="21" t="n">
        <v>0</v>
      </c>
      <c r="EV22" s="21" t="n">
        <v>0</v>
      </c>
      <c r="EW22" s="21" t="n">
        <v>0</v>
      </c>
      <c r="EX22" s="21" t="n">
        <v>0</v>
      </c>
      <c r="EY22" s="21" t="n">
        <v>0</v>
      </c>
      <c r="EZ22" s="21" t="n">
        <v>0</v>
      </c>
      <c r="FA22" s="21" t="n">
        <v>0</v>
      </c>
      <c r="FB22" s="21" t="n">
        <v>0</v>
      </c>
      <c r="FC22" s="21" t="n">
        <v>0</v>
      </c>
      <c r="FD22" s="21" t="n">
        <v>0</v>
      </c>
      <c r="FE22" s="21" t="n">
        <v>0</v>
      </c>
      <c r="FF22" s="21" t="n">
        <v>0</v>
      </c>
      <c r="FG22" s="21" t="n">
        <v>0</v>
      </c>
      <c r="FH22" s="21" t="n">
        <v>0</v>
      </c>
      <c r="FI22" s="21" t="n">
        <v>0</v>
      </c>
      <c r="FJ22" s="21" t="n">
        <v>0</v>
      </c>
      <c r="FK22" s="21" t="n">
        <v>0</v>
      </c>
      <c r="FL22" s="21" t="n">
        <v>0</v>
      </c>
      <c r="FM22" s="21" t="n">
        <v>0</v>
      </c>
      <c r="FN22" s="21" t="n">
        <v>0</v>
      </c>
      <c r="FO22" s="21" t="n">
        <v>0</v>
      </c>
      <c r="FP22" s="21" t="n">
        <v>0</v>
      </c>
      <c r="FQ22" s="21" t="n">
        <v>0</v>
      </c>
      <c r="FR22" s="21" t="n">
        <v>0</v>
      </c>
      <c r="FS22" s="21" t="n">
        <v>0</v>
      </c>
      <c r="FT22" s="21" t="n">
        <v>0</v>
      </c>
      <c r="FU22" s="21" t="n">
        <v>0</v>
      </c>
      <c r="FV22" s="21" t="n">
        <v>0</v>
      </c>
      <c r="FW22" s="21" t="n">
        <v>0</v>
      </c>
      <c r="FX22" s="21" t="n">
        <v>0</v>
      </c>
      <c r="FY22" s="21" t="n">
        <v>0</v>
      </c>
      <c r="FZ22" s="21" t="n">
        <v>0</v>
      </c>
      <c r="GA22" s="21" t="n">
        <v>0</v>
      </c>
      <c r="GB22" s="21" t="n">
        <v>0</v>
      </c>
      <c r="GC22" s="21" t="n">
        <v>0</v>
      </c>
    </row>
    <row r="23">
      <c r="A23" s="13" t="n">
        <v>16</v>
      </c>
      <c r="B23" s="13" t="inlineStr">
        <is>
          <t>WBS 3.6</t>
        </is>
      </c>
      <c r="C23" s="14" t="inlineStr">
        <is>
          <t>Thi công xà mũ trụ T1, T2, đá kê gối &amp; khối chống xô</t>
        </is>
      </c>
      <c r="D23" s="13" t="inlineStr">
        <is>
          <t>m3</t>
        </is>
      </c>
      <c r="E23" s="15" t="n">
        <v>112.6</v>
      </c>
      <c r="F23" s="15" t="n">
        <v>14.08</v>
      </c>
      <c r="G23" s="15" t="n">
        <v>8</v>
      </c>
      <c r="H23" s="15" t="n">
        <v>14.1</v>
      </c>
      <c r="I23" s="16" t="n">
        <v>8</v>
      </c>
      <c r="J23" s="13" t="inlineStr">
        <is>
          <t>23/01/2027</t>
        </is>
      </c>
      <c r="K23" s="13" t="inlineStr">
        <is>
          <t>30/01/2027</t>
        </is>
      </c>
      <c r="L23" s="13" t="n">
        <v>2</v>
      </c>
      <c r="M23" s="17" t="n">
        <v>0.5</v>
      </c>
      <c r="N23" s="18" t="inlineStr">
        <is>
          <t>Cẩu xích 50T + Bơm cần 42m + 2 Xe bồn</t>
        </is>
      </c>
      <c r="O23" s="19" t="n">
        <v>14</v>
      </c>
      <c r="P23" s="21" t="n">
        <v>0</v>
      </c>
      <c r="Q23" s="21" t="n">
        <v>0</v>
      </c>
      <c r="R23" s="21" t="n">
        <v>0</v>
      </c>
      <c r="S23" s="21" t="n">
        <v>0</v>
      </c>
      <c r="T23" s="21" t="n">
        <v>0</v>
      </c>
      <c r="U23" s="21" t="n">
        <v>0</v>
      </c>
      <c r="V23" s="21" t="n">
        <v>0</v>
      </c>
      <c r="W23" s="21" t="n">
        <v>0</v>
      </c>
      <c r="X23" s="21" t="n">
        <v>0</v>
      </c>
      <c r="Y23" s="21" t="n">
        <v>0</v>
      </c>
      <c r="Z23" s="21" t="n">
        <v>0</v>
      </c>
      <c r="AA23" s="21" t="n">
        <v>0</v>
      </c>
      <c r="AB23" s="21" t="n">
        <v>0</v>
      </c>
      <c r="AC23" s="21" t="n">
        <v>0</v>
      </c>
      <c r="AD23" s="21" t="n">
        <v>0</v>
      </c>
      <c r="AE23" s="21" t="n">
        <v>0</v>
      </c>
      <c r="AF23" s="21" t="n">
        <v>0</v>
      </c>
      <c r="AG23" s="21" t="n">
        <v>0</v>
      </c>
      <c r="AH23" s="21" t="n">
        <v>0</v>
      </c>
      <c r="AI23" s="21" t="n">
        <v>0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0</v>
      </c>
      <c r="CQ23" s="21" t="n">
        <v>0</v>
      </c>
      <c r="CR23" s="21" t="n">
        <v>0</v>
      </c>
      <c r="CS23" s="21" t="n">
        <v>0</v>
      </c>
      <c r="CT23" s="21" t="n">
        <v>0</v>
      </c>
      <c r="CU23" s="21" t="n">
        <v>0</v>
      </c>
      <c r="CV23" s="21" t="n">
        <v>0</v>
      </c>
      <c r="CW23" s="21" t="n">
        <v>0</v>
      </c>
      <c r="CX23" s="21" t="n">
        <v>0</v>
      </c>
      <c r="CY23" s="21" t="n">
        <v>0</v>
      </c>
      <c r="CZ23" s="21" t="n">
        <v>0</v>
      </c>
      <c r="DA23" s="21" t="n">
        <v>0</v>
      </c>
      <c r="DB23" s="21" t="n">
        <v>0</v>
      </c>
      <c r="DC23" s="21" t="n">
        <v>0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0</v>
      </c>
      <c r="DX23" s="21" t="n">
        <v>0</v>
      </c>
      <c r="DY23" s="21" t="n">
        <v>0</v>
      </c>
      <c r="DZ23" s="20" t="n">
        <v>0.5</v>
      </c>
      <c r="EA23" s="20" t="n">
        <v>0.5</v>
      </c>
      <c r="EB23" s="20" t="n">
        <v>0.5</v>
      </c>
      <c r="EC23" s="20" t="n">
        <v>0.5</v>
      </c>
      <c r="ED23" s="20" t="n">
        <v>0.5</v>
      </c>
      <c r="EE23" s="20" t="n">
        <v>0.5</v>
      </c>
      <c r="EF23" s="20" t="n">
        <v>0.5</v>
      </c>
      <c r="EG23" s="20" t="n">
        <v>0.5</v>
      </c>
      <c r="EH23" s="21" t="n">
        <v>0</v>
      </c>
      <c r="EI23" s="21" t="n">
        <v>0</v>
      </c>
      <c r="EJ23" s="21" t="n">
        <v>0</v>
      </c>
      <c r="EK23" s="21" t="n">
        <v>0</v>
      </c>
      <c r="EL23" s="21" t="n">
        <v>0</v>
      </c>
      <c r="EM23" s="21" t="n">
        <v>0</v>
      </c>
      <c r="EN23" s="21" t="n">
        <v>0</v>
      </c>
      <c r="EO23" s="21" t="n">
        <v>0</v>
      </c>
      <c r="EP23" s="21" t="n">
        <v>0</v>
      </c>
      <c r="EQ23" s="21" t="n">
        <v>0</v>
      </c>
      <c r="ER23" s="21" t="n">
        <v>0</v>
      </c>
      <c r="ES23" s="21" t="n">
        <v>0</v>
      </c>
      <c r="ET23" s="21" t="n">
        <v>0</v>
      </c>
      <c r="EU23" s="21" t="n">
        <v>0</v>
      </c>
      <c r="EV23" s="21" t="n">
        <v>0</v>
      </c>
      <c r="EW23" s="21" t="n">
        <v>0</v>
      </c>
      <c r="EX23" s="21" t="n">
        <v>0</v>
      </c>
      <c r="EY23" s="21" t="n">
        <v>0</v>
      </c>
      <c r="EZ23" s="21" t="n">
        <v>0</v>
      </c>
      <c r="FA23" s="21" t="n">
        <v>0</v>
      </c>
      <c r="FB23" s="21" t="n">
        <v>0</v>
      </c>
      <c r="FC23" s="21" t="n">
        <v>0</v>
      </c>
      <c r="FD23" s="21" t="n">
        <v>0</v>
      </c>
      <c r="FE23" s="21" t="n">
        <v>0</v>
      </c>
      <c r="FF23" s="21" t="n">
        <v>0</v>
      </c>
      <c r="FG23" s="21" t="n">
        <v>0</v>
      </c>
      <c r="FH23" s="21" t="n">
        <v>0</v>
      </c>
      <c r="FI23" s="21" t="n">
        <v>0</v>
      </c>
      <c r="FJ23" s="21" t="n">
        <v>0</v>
      </c>
      <c r="FK23" s="21" t="n">
        <v>0</v>
      </c>
      <c r="FL23" s="21" t="n">
        <v>0</v>
      </c>
      <c r="FM23" s="21" t="n">
        <v>0</v>
      </c>
      <c r="FN23" s="21" t="n">
        <v>0</v>
      </c>
      <c r="FO23" s="21" t="n">
        <v>0</v>
      </c>
      <c r="FP23" s="21" t="n">
        <v>0</v>
      </c>
      <c r="FQ23" s="21" t="n">
        <v>0</v>
      </c>
      <c r="FR23" s="21" t="n">
        <v>0</v>
      </c>
      <c r="FS23" s="21" t="n">
        <v>0</v>
      </c>
      <c r="FT23" s="21" t="n">
        <v>0</v>
      </c>
      <c r="FU23" s="21" t="n">
        <v>0</v>
      </c>
      <c r="FV23" s="21" t="n">
        <v>0</v>
      </c>
      <c r="FW23" s="21" t="n">
        <v>0</v>
      </c>
      <c r="FX23" s="21" t="n">
        <v>0</v>
      </c>
      <c r="FY23" s="21" t="n">
        <v>0</v>
      </c>
      <c r="FZ23" s="21" t="n">
        <v>0</v>
      </c>
      <c r="GA23" s="21" t="n">
        <v>0</v>
      </c>
      <c r="GB23" s="21" t="n">
        <v>0</v>
      </c>
      <c r="GC23" s="21" t="n">
        <v>0</v>
      </c>
    </row>
    <row r="24">
      <c r="A24" s="13" t="n">
        <v>17</v>
      </c>
      <c r="B24" s="13" t="inlineStr">
        <is>
          <t>WBS 4.1</t>
        </is>
      </c>
      <c r="C24" s="14" t="inlineStr">
        <is>
          <t>Cốt thép, luồn cáp DUL 15 phiến dầm Super-T tại bãi</t>
        </is>
      </c>
      <c r="D24" s="13" t="inlineStr">
        <is>
          <t>Phiến</t>
        </is>
      </c>
      <c r="E24" s="15" t="n">
        <v>15</v>
      </c>
      <c r="F24" s="15" t="n">
        <v>0.54</v>
      </c>
      <c r="G24" s="15" t="n">
        <v>27.8</v>
      </c>
      <c r="H24" s="15" t="n">
        <v>0.5</v>
      </c>
      <c r="I24" s="16" t="n">
        <v>28</v>
      </c>
      <c r="J24" s="13" t="inlineStr">
        <is>
          <t>28/11/2026</t>
        </is>
      </c>
      <c r="K24" s="13" t="inlineStr">
        <is>
          <t>25/12/2026</t>
        </is>
      </c>
      <c r="L24" s="13" t="n">
        <v>1</v>
      </c>
      <c r="M24" s="17" t="n">
        <v>0.99</v>
      </c>
      <c r="N24" s="18" t="inlineStr">
        <is>
          <t>Dàn cắt uốn CNC + Cần cẩu 25T</t>
        </is>
      </c>
      <c r="O24" s="19" t="n">
        <v>16</v>
      </c>
      <c r="P24" s="21" t="n">
        <v>0</v>
      </c>
      <c r="Q24" s="21" t="n">
        <v>0</v>
      </c>
      <c r="R24" s="21" t="n">
        <v>0</v>
      </c>
      <c r="S24" s="21" t="n">
        <v>0</v>
      </c>
      <c r="T24" s="21" t="n">
        <v>0</v>
      </c>
      <c r="U24" s="21" t="n">
        <v>0</v>
      </c>
      <c r="V24" s="21" t="n">
        <v>0</v>
      </c>
      <c r="W24" s="21" t="n">
        <v>0</v>
      </c>
      <c r="X24" s="21" t="n">
        <v>0</v>
      </c>
      <c r="Y24" s="21" t="n">
        <v>0</v>
      </c>
      <c r="Z24" s="21" t="n">
        <v>0</v>
      </c>
      <c r="AA24" s="21" t="n">
        <v>0</v>
      </c>
      <c r="AB24" s="21" t="n">
        <v>0</v>
      </c>
      <c r="AC24" s="21" t="n">
        <v>0</v>
      </c>
      <c r="AD24" s="21" t="n">
        <v>0</v>
      </c>
      <c r="AE24" s="21" t="n">
        <v>0</v>
      </c>
      <c r="AF24" s="21" t="n">
        <v>0</v>
      </c>
      <c r="AG24" s="21" t="n">
        <v>0</v>
      </c>
      <c r="AH24" s="21" t="n">
        <v>0</v>
      </c>
      <c r="AI24" s="21" t="n">
        <v>0</v>
      </c>
      <c r="AJ24" s="21" t="n">
        <v>0</v>
      </c>
      <c r="AK24" s="21" t="n">
        <v>0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0</v>
      </c>
      <c r="AQ24" s="21" t="n">
        <v>0</v>
      </c>
      <c r="AR24" s="21" t="n">
        <v>0</v>
      </c>
      <c r="AS24" s="21" t="n">
        <v>0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0</v>
      </c>
      <c r="BP24" s="21" t="n">
        <v>0</v>
      </c>
      <c r="BQ24" s="21" t="n">
        <v>0</v>
      </c>
      <c r="BR24" s="21" t="n">
        <v>0</v>
      </c>
      <c r="BS24" s="21" t="n">
        <v>0</v>
      </c>
      <c r="BT24" s="21" t="n">
        <v>0</v>
      </c>
      <c r="BU24" s="21" t="n">
        <v>0</v>
      </c>
      <c r="BV24" s="20" t="n">
        <v>0.99</v>
      </c>
      <c r="BW24" s="20" t="n">
        <v>0.99</v>
      </c>
      <c r="BX24" s="20" t="n">
        <v>0.99</v>
      </c>
      <c r="BY24" s="20" t="n">
        <v>0.99</v>
      </c>
      <c r="BZ24" s="20" t="n">
        <v>0.99</v>
      </c>
      <c r="CA24" s="20" t="n">
        <v>0.99</v>
      </c>
      <c r="CB24" s="20" t="n">
        <v>0.99</v>
      </c>
      <c r="CC24" s="20" t="n">
        <v>0.99</v>
      </c>
      <c r="CD24" s="20" t="n">
        <v>0.99</v>
      </c>
      <c r="CE24" s="20" t="n">
        <v>0.99</v>
      </c>
      <c r="CF24" s="20" t="n">
        <v>0.99</v>
      </c>
      <c r="CG24" s="20" t="n">
        <v>0.99</v>
      </c>
      <c r="CH24" s="20" t="n">
        <v>0.99</v>
      </c>
      <c r="CI24" s="20" t="n">
        <v>0.99</v>
      </c>
      <c r="CJ24" s="20" t="n">
        <v>0.99</v>
      </c>
      <c r="CK24" s="20" t="n">
        <v>0.99</v>
      </c>
      <c r="CL24" s="20" t="n">
        <v>0.99</v>
      </c>
      <c r="CM24" s="20" t="n">
        <v>0.99</v>
      </c>
      <c r="CN24" s="20" t="n">
        <v>0.99</v>
      </c>
      <c r="CO24" s="20" t="n">
        <v>0.99</v>
      </c>
      <c r="CP24" s="20" t="n">
        <v>0.99</v>
      </c>
      <c r="CQ24" s="20" t="n">
        <v>0.99</v>
      </c>
      <c r="CR24" s="20" t="n">
        <v>0.99</v>
      </c>
      <c r="CS24" s="20" t="n">
        <v>0.99</v>
      </c>
      <c r="CT24" s="20" t="n">
        <v>0.99</v>
      </c>
      <c r="CU24" s="20" t="n">
        <v>0.99</v>
      </c>
      <c r="CV24" s="20" t="n">
        <v>0.99</v>
      </c>
      <c r="CW24" s="20" t="n">
        <v>0.99</v>
      </c>
      <c r="CX24" s="21" t="n">
        <v>0</v>
      </c>
      <c r="CY24" s="21" t="n">
        <v>0</v>
      </c>
      <c r="CZ24" s="21" t="n">
        <v>0</v>
      </c>
      <c r="DA24" s="21" t="n">
        <v>0</v>
      </c>
      <c r="DB24" s="21" t="n">
        <v>0</v>
      </c>
      <c r="DC24" s="21" t="n">
        <v>0</v>
      </c>
      <c r="DD24" s="21" t="n">
        <v>0</v>
      </c>
      <c r="DE24" s="21" t="n">
        <v>0</v>
      </c>
      <c r="DF24" s="21" t="n">
        <v>0</v>
      </c>
      <c r="DG24" s="21" t="n">
        <v>0</v>
      </c>
      <c r="DH24" s="21" t="n">
        <v>0</v>
      </c>
      <c r="DI24" s="21" t="n">
        <v>0</v>
      </c>
      <c r="DJ24" s="21" t="n">
        <v>0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0</v>
      </c>
      <c r="DW24" s="21" t="n">
        <v>0</v>
      </c>
      <c r="DX24" s="21" t="n">
        <v>0</v>
      </c>
      <c r="DY24" s="21" t="n">
        <v>0</v>
      </c>
      <c r="DZ24" s="21" t="n">
        <v>0</v>
      </c>
      <c r="EA24" s="21" t="n">
        <v>0</v>
      </c>
      <c r="EB24" s="21" t="n">
        <v>0</v>
      </c>
      <c r="EC24" s="21" t="n">
        <v>0</v>
      </c>
      <c r="ED24" s="21" t="n">
        <v>0</v>
      </c>
      <c r="EE24" s="21" t="n">
        <v>0</v>
      </c>
      <c r="EF24" s="21" t="n">
        <v>0</v>
      </c>
      <c r="EG24" s="21" t="n">
        <v>0</v>
      </c>
      <c r="EH24" s="21" t="n">
        <v>0</v>
      </c>
      <c r="EI24" s="21" t="n">
        <v>0</v>
      </c>
      <c r="EJ24" s="21" t="n">
        <v>0</v>
      </c>
      <c r="EK24" s="21" t="n">
        <v>0</v>
      </c>
      <c r="EL24" s="21" t="n">
        <v>0</v>
      </c>
      <c r="EM24" s="21" t="n">
        <v>0</v>
      </c>
      <c r="EN24" s="21" t="n">
        <v>0</v>
      </c>
      <c r="EO24" s="21" t="n">
        <v>0</v>
      </c>
      <c r="EP24" s="21" t="n">
        <v>0</v>
      </c>
      <c r="EQ24" s="21" t="n">
        <v>0</v>
      </c>
      <c r="ER24" s="21" t="n">
        <v>0</v>
      </c>
      <c r="ES24" s="21" t="n">
        <v>0</v>
      </c>
      <c r="ET24" s="21" t="n">
        <v>0</v>
      </c>
      <c r="EU24" s="21" t="n">
        <v>0</v>
      </c>
      <c r="EV24" s="21" t="n">
        <v>0</v>
      </c>
      <c r="EW24" s="21" t="n">
        <v>0</v>
      </c>
      <c r="EX24" s="21" t="n">
        <v>0</v>
      </c>
      <c r="EY24" s="21" t="n">
        <v>0</v>
      </c>
      <c r="EZ24" s="21" t="n">
        <v>0</v>
      </c>
      <c r="FA24" s="21" t="n">
        <v>0</v>
      </c>
      <c r="FB24" s="21" t="n">
        <v>0</v>
      </c>
      <c r="FC24" s="21" t="n">
        <v>0</v>
      </c>
      <c r="FD24" s="21" t="n">
        <v>0</v>
      </c>
      <c r="FE24" s="21" t="n">
        <v>0</v>
      </c>
      <c r="FF24" s="21" t="n">
        <v>0</v>
      </c>
      <c r="FG24" s="21" t="n">
        <v>0</v>
      </c>
      <c r="FH24" s="21" t="n">
        <v>0</v>
      </c>
      <c r="FI24" s="21" t="n">
        <v>0</v>
      </c>
      <c r="FJ24" s="21" t="n">
        <v>0</v>
      </c>
      <c r="FK24" s="21" t="n">
        <v>0</v>
      </c>
      <c r="FL24" s="21" t="n">
        <v>0</v>
      </c>
      <c r="FM24" s="21" t="n">
        <v>0</v>
      </c>
      <c r="FN24" s="21" t="n">
        <v>0</v>
      </c>
      <c r="FO24" s="21" t="n">
        <v>0</v>
      </c>
      <c r="FP24" s="21" t="n">
        <v>0</v>
      </c>
      <c r="FQ24" s="21" t="n">
        <v>0</v>
      </c>
      <c r="FR24" s="21" t="n">
        <v>0</v>
      </c>
      <c r="FS24" s="21" t="n">
        <v>0</v>
      </c>
      <c r="FT24" s="21" t="n">
        <v>0</v>
      </c>
      <c r="FU24" s="21" t="n">
        <v>0</v>
      </c>
      <c r="FV24" s="21" t="n">
        <v>0</v>
      </c>
      <c r="FW24" s="21" t="n">
        <v>0</v>
      </c>
      <c r="FX24" s="21" t="n">
        <v>0</v>
      </c>
      <c r="FY24" s="21" t="n">
        <v>0</v>
      </c>
      <c r="FZ24" s="21" t="n">
        <v>0</v>
      </c>
      <c r="GA24" s="21" t="n">
        <v>0</v>
      </c>
      <c r="GB24" s="21" t="n">
        <v>0</v>
      </c>
      <c r="GC24" s="21" t="n">
        <v>0</v>
      </c>
    </row>
    <row r="25">
      <c r="A25" s="13" t="n">
        <v>18</v>
      </c>
      <c r="B25" s="13" t="inlineStr">
        <is>
          <t>WBS 4.2</t>
        </is>
      </c>
      <c r="C25" s="14" t="inlineStr">
        <is>
          <t>Đổ bê tông C45 15 phiến dầm Super-T L=38.2m bãi đúc</t>
        </is>
      </c>
      <c r="D25" s="13" t="inlineStr">
        <is>
          <t>m3</t>
        </is>
      </c>
      <c r="E25" s="15" t="n">
        <v>434.8</v>
      </c>
      <c r="F25" s="15" t="n">
        <v>20.7</v>
      </c>
      <c r="G25" s="15" t="n">
        <v>21</v>
      </c>
      <c r="H25" s="15" t="n">
        <v>20.7</v>
      </c>
      <c r="I25" s="16" t="n">
        <v>21</v>
      </c>
      <c r="J25" s="13" t="inlineStr">
        <is>
          <t>26/12/2026</t>
        </is>
      </c>
      <c r="K25" s="13" t="inlineStr">
        <is>
          <t>15/01/2027</t>
        </is>
      </c>
      <c r="L25" s="13" t="n">
        <v>2</v>
      </c>
      <c r="M25" s="17" t="n">
        <v>0.5</v>
      </c>
      <c r="N25" s="18" t="inlineStr">
        <is>
          <t>Trạm trộn 60m3/h + 2 Xe bồn + Cẩu 25T</t>
        </is>
      </c>
      <c r="O25" s="19" t="n">
        <v>16</v>
      </c>
      <c r="P25" s="21" t="n">
        <v>0</v>
      </c>
      <c r="Q25" s="21" t="n">
        <v>0</v>
      </c>
      <c r="R25" s="21" t="n">
        <v>0</v>
      </c>
      <c r="S25" s="21" t="n">
        <v>0</v>
      </c>
      <c r="T25" s="21" t="n">
        <v>0</v>
      </c>
      <c r="U25" s="21" t="n">
        <v>0</v>
      </c>
      <c r="V25" s="21" t="n">
        <v>0</v>
      </c>
      <c r="W25" s="21" t="n">
        <v>0</v>
      </c>
      <c r="X25" s="21" t="n">
        <v>0</v>
      </c>
      <c r="Y25" s="21" t="n">
        <v>0</v>
      </c>
      <c r="Z25" s="21" t="n">
        <v>0</v>
      </c>
      <c r="AA25" s="21" t="n">
        <v>0</v>
      </c>
      <c r="AB25" s="21" t="n">
        <v>0</v>
      </c>
      <c r="AC25" s="21" t="n">
        <v>0</v>
      </c>
      <c r="AD25" s="21" t="n">
        <v>0</v>
      </c>
      <c r="AE25" s="21" t="n">
        <v>0</v>
      </c>
      <c r="AF25" s="21" t="n">
        <v>0</v>
      </c>
      <c r="AG25" s="21" t="n">
        <v>0</v>
      </c>
      <c r="AH25" s="21" t="n">
        <v>0</v>
      </c>
      <c r="AI25" s="21" t="n">
        <v>0</v>
      </c>
      <c r="AJ25" s="21" t="n">
        <v>0</v>
      </c>
      <c r="AK25" s="21" t="n">
        <v>0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0</v>
      </c>
      <c r="AQ25" s="21" t="n">
        <v>0</v>
      </c>
      <c r="AR25" s="21" t="n">
        <v>0</v>
      </c>
      <c r="AS25" s="21" t="n">
        <v>0</v>
      </c>
      <c r="AT25" s="21" t="n">
        <v>0</v>
      </c>
      <c r="AU25" s="21" t="n">
        <v>0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0</v>
      </c>
      <c r="BP25" s="21" t="n">
        <v>0</v>
      </c>
      <c r="BQ25" s="21" t="n">
        <v>0</v>
      </c>
      <c r="BR25" s="21" t="n">
        <v>0</v>
      </c>
      <c r="BS25" s="21" t="n">
        <v>0</v>
      </c>
      <c r="BT25" s="21" t="n">
        <v>0</v>
      </c>
      <c r="BU25" s="21" t="n">
        <v>0</v>
      </c>
      <c r="BV25" s="21" t="n">
        <v>0</v>
      </c>
      <c r="BW25" s="21" t="n">
        <v>0</v>
      </c>
      <c r="BX25" s="21" t="n">
        <v>0</v>
      </c>
      <c r="BY25" s="21" t="n">
        <v>0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0</v>
      </c>
      <c r="CN25" s="21" t="n">
        <v>0</v>
      </c>
      <c r="CO25" s="21" t="n">
        <v>0</v>
      </c>
      <c r="CP25" s="21" t="n">
        <v>0</v>
      </c>
      <c r="CQ25" s="21" t="n">
        <v>0</v>
      </c>
      <c r="CR25" s="21" t="n">
        <v>0</v>
      </c>
      <c r="CS25" s="21" t="n">
        <v>0</v>
      </c>
      <c r="CT25" s="21" t="n">
        <v>0</v>
      </c>
      <c r="CU25" s="21" t="n">
        <v>0</v>
      </c>
      <c r="CV25" s="21" t="n">
        <v>0</v>
      </c>
      <c r="CW25" s="21" t="n">
        <v>0</v>
      </c>
      <c r="CX25" s="22" t="n">
        <v>0.5</v>
      </c>
      <c r="CY25" s="22" t="n">
        <v>0.5</v>
      </c>
      <c r="CZ25" s="22" t="n">
        <v>0.5</v>
      </c>
      <c r="DA25" s="22" t="n">
        <v>0.5</v>
      </c>
      <c r="DB25" s="22" t="n">
        <v>0.5</v>
      </c>
      <c r="DC25" s="22" t="n">
        <v>0.5</v>
      </c>
      <c r="DD25" s="22" t="n">
        <v>0.5</v>
      </c>
      <c r="DE25" s="22" t="n">
        <v>0.5</v>
      </c>
      <c r="DF25" s="22" t="n">
        <v>0.5</v>
      </c>
      <c r="DG25" s="22" t="n">
        <v>0.5</v>
      </c>
      <c r="DH25" s="22" t="n">
        <v>0.5</v>
      </c>
      <c r="DI25" s="22" t="n">
        <v>0.5</v>
      </c>
      <c r="DJ25" s="22" t="n">
        <v>0.5</v>
      </c>
      <c r="DK25" s="22" t="n">
        <v>0.5</v>
      </c>
      <c r="DL25" s="22" t="n">
        <v>0.5</v>
      </c>
      <c r="DM25" s="22" t="n">
        <v>0.5</v>
      </c>
      <c r="DN25" s="22" t="n">
        <v>0.5</v>
      </c>
      <c r="DO25" s="22" t="n">
        <v>0.5</v>
      </c>
      <c r="DP25" s="22" t="n">
        <v>0.5</v>
      </c>
      <c r="DQ25" s="22" t="n">
        <v>0.5</v>
      </c>
      <c r="DR25" s="22" t="n">
        <v>0.5</v>
      </c>
      <c r="DS25" s="21" t="n">
        <v>0</v>
      </c>
      <c r="DT25" s="21" t="n">
        <v>0</v>
      </c>
      <c r="DU25" s="21" t="n">
        <v>0</v>
      </c>
      <c r="DV25" s="21" t="n">
        <v>0</v>
      </c>
      <c r="DW25" s="21" t="n">
        <v>0</v>
      </c>
      <c r="DX25" s="21" t="n">
        <v>0</v>
      </c>
      <c r="DY25" s="21" t="n">
        <v>0</v>
      </c>
      <c r="DZ25" s="21" t="n">
        <v>0</v>
      </c>
      <c r="EA25" s="21" t="n">
        <v>0</v>
      </c>
      <c r="EB25" s="21" t="n">
        <v>0</v>
      </c>
      <c r="EC25" s="21" t="n">
        <v>0</v>
      </c>
      <c r="ED25" s="21" t="n">
        <v>0</v>
      </c>
      <c r="EE25" s="21" t="n">
        <v>0</v>
      </c>
      <c r="EF25" s="21" t="n">
        <v>0</v>
      </c>
      <c r="EG25" s="21" t="n">
        <v>0</v>
      </c>
      <c r="EH25" s="21" t="n">
        <v>0</v>
      </c>
      <c r="EI25" s="21" t="n">
        <v>0</v>
      </c>
      <c r="EJ25" s="21" t="n">
        <v>0</v>
      </c>
      <c r="EK25" s="21" t="n">
        <v>0</v>
      </c>
      <c r="EL25" s="21" t="n">
        <v>0</v>
      </c>
      <c r="EM25" s="21" t="n">
        <v>0</v>
      </c>
      <c r="EN25" s="21" t="n">
        <v>0</v>
      </c>
      <c r="EO25" s="21" t="n">
        <v>0</v>
      </c>
      <c r="EP25" s="21" t="n">
        <v>0</v>
      </c>
      <c r="EQ25" s="21" t="n">
        <v>0</v>
      </c>
      <c r="ER25" s="21" t="n">
        <v>0</v>
      </c>
      <c r="ES25" s="21" t="n">
        <v>0</v>
      </c>
      <c r="ET25" s="21" t="n">
        <v>0</v>
      </c>
      <c r="EU25" s="21" t="n">
        <v>0</v>
      </c>
      <c r="EV25" s="21" t="n">
        <v>0</v>
      </c>
      <c r="EW25" s="21" t="n">
        <v>0</v>
      </c>
      <c r="EX25" s="21" t="n">
        <v>0</v>
      </c>
      <c r="EY25" s="21" t="n">
        <v>0</v>
      </c>
      <c r="EZ25" s="21" t="n">
        <v>0</v>
      </c>
      <c r="FA25" s="21" t="n">
        <v>0</v>
      </c>
      <c r="FB25" s="21" t="n">
        <v>0</v>
      </c>
      <c r="FC25" s="21" t="n">
        <v>0</v>
      </c>
      <c r="FD25" s="21" t="n">
        <v>0</v>
      </c>
      <c r="FE25" s="21" t="n">
        <v>0</v>
      </c>
      <c r="FF25" s="21" t="n">
        <v>0</v>
      </c>
      <c r="FG25" s="21" t="n">
        <v>0</v>
      </c>
      <c r="FH25" s="21" t="n">
        <v>0</v>
      </c>
      <c r="FI25" s="21" t="n">
        <v>0</v>
      </c>
      <c r="FJ25" s="21" t="n">
        <v>0</v>
      </c>
      <c r="FK25" s="21" t="n">
        <v>0</v>
      </c>
      <c r="FL25" s="21" t="n">
        <v>0</v>
      </c>
      <c r="FM25" s="21" t="n">
        <v>0</v>
      </c>
      <c r="FN25" s="21" t="n">
        <v>0</v>
      </c>
      <c r="FO25" s="21" t="n">
        <v>0</v>
      </c>
      <c r="FP25" s="21" t="n">
        <v>0</v>
      </c>
      <c r="FQ25" s="21" t="n">
        <v>0</v>
      </c>
      <c r="FR25" s="21" t="n">
        <v>0</v>
      </c>
      <c r="FS25" s="21" t="n">
        <v>0</v>
      </c>
      <c r="FT25" s="21" t="n">
        <v>0</v>
      </c>
      <c r="FU25" s="21" t="n">
        <v>0</v>
      </c>
      <c r="FV25" s="21" t="n">
        <v>0</v>
      </c>
      <c r="FW25" s="21" t="n">
        <v>0</v>
      </c>
      <c r="FX25" s="21" t="n">
        <v>0</v>
      </c>
      <c r="FY25" s="21" t="n">
        <v>0</v>
      </c>
      <c r="FZ25" s="21" t="n">
        <v>0</v>
      </c>
      <c r="GA25" s="21" t="n">
        <v>0</v>
      </c>
      <c r="GB25" s="21" t="n">
        <v>0</v>
      </c>
      <c r="GC25" s="21" t="n">
        <v>0</v>
      </c>
    </row>
    <row r="26">
      <c r="A26" s="13" t="n">
        <v>19</v>
      </c>
      <c r="B26" s="13" t="inlineStr">
        <is>
          <t>WBS 4.3</t>
        </is>
      </c>
      <c r="C26" s="14" t="inlineStr">
        <is>
          <t>Căng kéo cáp DUL 15.2mm &amp; bơm vữa ống gen dầm</t>
        </is>
      </c>
      <c r="D26" s="13" t="inlineStr">
        <is>
          <t>Phiến</t>
        </is>
      </c>
      <c r="E26" s="15" t="n">
        <v>15</v>
      </c>
      <c r="F26" s="15" t="n">
        <v>1.5</v>
      </c>
      <c r="G26" s="15" t="n">
        <v>10</v>
      </c>
      <c r="H26" s="15" t="n">
        <v>1.5</v>
      </c>
      <c r="I26" s="16" t="n">
        <v>10</v>
      </c>
      <c r="J26" s="13" t="inlineStr">
        <is>
          <t>16/01/2027</t>
        </is>
      </c>
      <c r="K26" s="13" t="inlineStr">
        <is>
          <t>25/01/2027</t>
        </is>
      </c>
      <c r="L26" s="13" t="n">
        <v>1</v>
      </c>
      <c r="M26" s="17" t="n">
        <v>1</v>
      </c>
      <c r="N26" s="18" t="inlineStr">
        <is>
          <t>Bơm kích thủy lực 250T + Máy bơm vữa</t>
        </is>
      </c>
      <c r="O26" s="19" t="n">
        <v>8</v>
      </c>
      <c r="P26" s="21" t="n">
        <v>0</v>
      </c>
      <c r="Q26" s="21" t="n">
        <v>0</v>
      </c>
      <c r="R26" s="21" t="n">
        <v>0</v>
      </c>
      <c r="S26" s="21" t="n">
        <v>0</v>
      </c>
      <c r="T26" s="21" t="n">
        <v>0</v>
      </c>
      <c r="U26" s="21" t="n">
        <v>0</v>
      </c>
      <c r="V26" s="21" t="n">
        <v>0</v>
      </c>
      <c r="W26" s="21" t="n">
        <v>0</v>
      </c>
      <c r="X26" s="21" t="n">
        <v>0</v>
      </c>
      <c r="Y26" s="21" t="n">
        <v>0</v>
      </c>
      <c r="Z26" s="21" t="n">
        <v>0</v>
      </c>
      <c r="AA26" s="21" t="n">
        <v>0</v>
      </c>
      <c r="AB26" s="21" t="n">
        <v>0</v>
      </c>
      <c r="AC26" s="21" t="n">
        <v>0</v>
      </c>
      <c r="AD26" s="21" t="n">
        <v>0</v>
      </c>
      <c r="AE26" s="21" t="n">
        <v>0</v>
      </c>
      <c r="AF26" s="21" t="n">
        <v>0</v>
      </c>
      <c r="AG26" s="21" t="n">
        <v>0</v>
      </c>
      <c r="AH26" s="21" t="n">
        <v>0</v>
      </c>
      <c r="AI26" s="21" t="n">
        <v>0</v>
      </c>
      <c r="AJ26" s="21" t="n">
        <v>0</v>
      </c>
      <c r="AK26" s="21" t="n">
        <v>0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0</v>
      </c>
      <c r="AQ26" s="21" t="n">
        <v>0</v>
      </c>
      <c r="AR26" s="21" t="n">
        <v>0</v>
      </c>
      <c r="AS26" s="21" t="n">
        <v>0</v>
      </c>
      <c r="AT26" s="21" t="n">
        <v>0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0</v>
      </c>
      <c r="BP26" s="21" t="n">
        <v>0</v>
      </c>
      <c r="BQ26" s="21" t="n">
        <v>0</v>
      </c>
      <c r="BR26" s="21" t="n">
        <v>0</v>
      </c>
      <c r="BS26" s="21" t="n">
        <v>0</v>
      </c>
      <c r="BT26" s="21" t="n">
        <v>0</v>
      </c>
      <c r="BU26" s="21" t="n">
        <v>0</v>
      </c>
      <c r="BV26" s="21" t="n">
        <v>0</v>
      </c>
      <c r="BW26" s="21" t="n">
        <v>0</v>
      </c>
      <c r="BX26" s="21" t="n">
        <v>0</v>
      </c>
      <c r="BY26" s="21" t="n">
        <v>0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0</v>
      </c>
      <c r="CN26" s="21" t="n">
        <v>0</v>
      </c>
      <c r="CO26" s="21" t="n">
        <v>0</v>
      </c>
      <c r="CP26" s="21" t="n">
        <v>0</v>
      </c>
      <c r="CQ26" s="21" t="n">
        <v>0</v>
      </c>
      <c r="CR26" s="21" t="n">
        <v>0</v>
      </c>
      <c r="CS26" s="21" t="n">
        <v>0</v>
      </c>
      <c r="CT26" s="21" t="n">
        <v>0</v>
      </c>
      <c r="CU26" s="21" t="n">
        <v>0</v>
      </c>
      <c r="CV26" s="21" t="n">
        <v>0</v>
      </c>
      <c r="CW26" s="21" t="n">
        <v>0</v>
      </c>
      <c r="CX26" s="21" t="n">
        <v>0</v>
      </c>
      <c r="CY26" s="21" t="n">
        <v>0</v>
      </c>
      <c r="CZ26" s="21" t="n">
        <v>0</v>
      </c>
      <c r="DA26" s="21" t="n">
        <v>0</v>
      </c>
      <c r="DB26" s="21" t="n">
        <v>0</v>
      </c>
      <c r="DC26" s="21" t="n">
        <v>0</v>
      </c>
      <c r="DD26" s="21" t="n">
        <v>0</v>
      </c>
      <c r="DE26" s="21" t="n">
        <v>0</v>
      </c>
      <c r="DF26" s="21" t="n">
        <v>0</v>
      </c>
      <c r="DG26" s="21" t="n">
        <v>0</v>
      </c>
      <c r="DH26" s="21" t="n">
        <v>0</v>
      </c>
      <c r="DI26" s="21" t="n">
        <v>0</v>
      </c>
      <c r="DJ26" s="21" t="n">
        <v>0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0" t="n">
        <v>1</v>
      </c>
      <c r="DT26" s="20" t="n">
        <v>1</v>
      </c>
      <c r="DU26" s="20" t="n">
        <v>1</v>
      </c>
      <c r="DV26" s="20" t="n">
        <v>1</v>
      </c>
      <c r="DW26" s="20" t="n">
        <v>1</v>
      </c>
      <c r="DX26" s="20" t="n">
        <v>1</v>
      </c>
      <c r="DY26" s="20" t="n">
        <v>1</v>
      </c>
      <c r="DZ26" s="20" t="n">
        <v>1</v>
      </c>
      <c r="EA26" s="20" t="n">
        <v>1</v>
      </c>
      <c r="EB26" s="20" t="n">
        <v>1</v>
      </c>
      <c r="EC26" s="21" t="n">
        <v>0</v>
      </c>
      <c r="ED26" s="21" t="n">
        <v>0</v>
      </c>
      <c r="EE26" s="21" t="n">
        <v>0</v>
      </c>
      <c r="EF26" s="21" t="n">
        <v>0</v>
      </c>
      <c r="EG26" s="21" t="n">
        <v>0</v>
      </c>
      <c r="EH26" s="21" t="n">
        <v>0</v>
      </c>
      <c r="EI26" s="21" t="n">
        <v>0</v>
      </c>
      <c r="EJ26" s="21" t="n">
        <v>0</v>
      </c>
      <c r="EK26" s="21" t="n">
        <v>0</v>
      </c>
      <c r="EL26" s="21" t="n">
        <v>0</v>
      </c>
      <c r="EM26" s="21" t="n">
        <v>0</v>
      </c>
      <c r="EN26" s="21" t="n">
        <v>0</v>
      </c>
      <c r="EO26" s="21" t="n">
        <v>0</v>
      </c>
      <c r="EP26" s="21" t="n">
        <v>0</v>
      </c>
      <c r="EQ26" s="21" t="n">
        <v>0</v>
      </c>
      <c r="ER26" s="21" t="n">
        <v>0</v>
      </c>
      <c r="ES26" s="21" t="n">
        <v>0</v>
      </c>
      <c r="ET26" s="21" t="n">
        <v>0</v>
      </c>
      <c r="EU26" s="21" t="n">
        <v>0</v>
      </c>
      <c r="EV26" s="21" t="n">
        <v>0</v>
      </c>
      <c r="EW26" s="21" t="n">
        <v>0</v>
      </c>
      <c r="EX26" s="21" t="n">
        <v>0</v>
      </c>
      <c r="EY26" s="21" t="n">
        <v>0</v>
      </c>
      <c r="EZ26" s="21" t="n">
        <v>0</v>
      </c>
      <c r="FA26" s="21" t="n">
        <v>0</v>
      </c>
      <c r="FB26" s="21" t="n">
        <v>0</v>
      </c>
      <c r="FC26" s="21" t="n">
        <v>0</v>
      </c>
      <c r="FD26" s="21" t="n">
        <v>0</v>
      </c>
      <c r="FE26" s="21" t="n">
        <v>0</v>
      </c>
      <c r="FF26" s="21" t="n">
        <v>0</v>
      </c>
      <c r="FG26" s="21" t="n">
        <v>0</v>
      </c>
      <c r="FH26" s="21" t="n">
        <v>0</v>
      </c>
      <c r="FI26" s="21" t="n">
        <v>0</v>
      </c>
      <c r="FJ26" s="21" t="n">
        <v>0</v>
      </c>
      <c r="FK26" s="21" t="n">
        <v>0</v>
      </c>
      <c r="FL26" s="21" t="n">
        <v>0</v>
      </c>
      <c r="FM26" s="21" t="n">
        <v>0</v>
      </c>
      <c r="FN26" s="21" t="n">
        <v>0</v>
      </c>
      <c r="FO26" s="21" t="n">
        <v>0</v>
      </c>
      <c r="FP26" s="21" t="n">
        <v>0</v>
      </c>
      <c r="FQ26" s="21" t="n">
        <v>0</v>
      </c>
      <c r="FR26" s="21" t="n">
        <v>0</v>
      </c>
      <c r="FS26" s="21" t="n">
        <v>0</v>
      </c>
      <c r="FT26" s="21" t="n">
        <v>0</v>
      </c>
      <c r="FU26" s="21" t="n">
        <v>0</v>
      </c>
      <c r="FV26" s="21" t="n">
        <v>0</v>
      </c>
      <c r="FW26" s="21" t="n">
        <v>0</v>
      </c>
      <c r="FX26" s="21" t="n">
        <v>0</v>
      </c>
      <c r="FY26" s="21" t="n">
        <v>0</v>
      </c>
      <c r="FZ26" s="21" t="n">
        <v>0</v>
      </c>
      <c r="GA26" s="21" t="n">
        <v>0</v>
      </c>
      <c r="GB26" s="21" t="n">
        <v>0</v>
      </c>
      <c r="GC26" s="21" t="n">
        <v>0</v>
      </c>
    </row>
    <row r="27">
      <c r="A27" s="13" t="n">
        <v>20</v>
      </c>
      <c r="B27" s="13" t="inlineStr">
        <is>
          <t>WBS 4.4</t>
        </is>
      </c>
      <c r="C27" s="14" t="inlineStr">
        <is>
          <t>Lắp đặt 30 gối chậu cao su đơn/song hướng mố trụ</t>
        </is>
      </c>
      <c r="D27" s="13" t="inlineStr">
        <is>
          <t>Cái</t>
        </is>
      </c>
      <c r="E27" s="15" t="n">
        <v>30</v>
      </c>
      <c r="F27" s="15" t="n">
        <v>6</v>
      </c>
      <c r="G27" s="15" t="n">
        <v>5</v>
      </c>
      <c r="H27" s="15" t="n">
        <v>6</v>
      </c>
      <c r="I27" s="16" t="n">
        <v>5</v>
      </c>
      <c r="J27" s="13" t="inlineStr">
        <is>
          <t>31/01/2027</t>
        </is>
      </c>
      <c r="K27" s="13" t="inlineStr">
        <is>
          <t>04/02/2027</t>
        </is>
      </c>
      <c r="L27" s="13" t="n">
        <v>1</v>
      </c>
      <c r="M27" s="17" t="n">
        <v>1</v>
      </c>
      <c r="N27" s="18" t="inlineStr">
        <is>
          <t>Cần cẩu lốp 25T + Kích căn chỉnh</t>
        </is>
      </c>
      <c r="O27" s="19" t="n">
        <v>6</v>
      </c>
      <c r="P27" s="21" t="n">
        <v>0</v>
      </c>
      <c r="Q27" s="21" t="n">
        <v>0</v>
      </c>
      <c r="R27" s="21" t="n">
        <v>0</v>
      </c>
      <c r="S27" s="21" t="n">
        <v>0</v>
      </c>
      <c r="T27" s="21" t="n">
        <v>0</v>
      </c>
      <c r="U27" s="21" t="n">
        <v>0</v>
      </c>
      <c r="V27" s="21" t="n">
        <v>0</v>
      </c>
      <c r="W27" s="21" t="n">
        <v>0</v>
      </c>
      <c r="X27" s="21" t="n">
        <v>0</v>
      </c>
      <c r="Y27" s="21" t="n">
        <v>0</v>
      </c>
      <c r="Z27" s="21" t="n">
        <v>0</v>
      </c>
      <c r="AA27" s="21" t="n">
        <v>0</v>
      </c>
      <c r="AB27" s="21" t="n">
        <v>0</v>
      </c>
      <c r="AC27" s="21" t="n">
        <v>0</v>
      </c>
      <c r="AD27" s="21" t="n">
        <v>0</v>
      </c>
      <c r="AE27" s="21" t="n">
        <v>0</v>
      </c>
      <c r="AF27" s="21" t="n">
        <v>0</v>
      </c>
      <c r="AG27" s="21" t="n">
        <v>0</v>
      </c>
      <c r="AH27" s="21" t="n">
        <v>0</v>
      </c>
      <c r="AI27" s="21" t="n">
        <v>0</v>
      </c>
      <c r="AJ27" s="21" t="n">
        <v>0</v>
      </c>
      <c r="AK27" s="21" t="n">
        <v>0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0</v>
      </c>
      <c r="AU27" s="21" t="n">
        <v>0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0</v>
      </c>
      <c r="BP27" s="21" t="n">
        <v>0</v>
      </c>
      <c r="BQ27" s="21" t="n">
        <v>0</v>
      </c>
      <c r="BR27" s="21" t="n">
        <v>0</v>
      </c>
      <c r="BS27" s="21" t="n">
        <v>0</v>
      </c>
      <c r="BT27" s="21" t="n">
        <v>0</v>
      </c>
      <c r="BU27" s="21" t="n">
        <v>0</v>
      </c>
      <c r="BV27" s="21" t="n">
        <v>0</v>
      </c>
      <c r="BW27" s="21" t="n">
        <v>0</v>
      </c>
      <c r="BX27" s="21" t="n">
        <v>0</v>
      </c>
      <c r="BY27" s="21" t="n">
        <v>0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0</v>
      </c>
      <c r="CN27" s="21" t="n">
        <v>0</v>
      </c>
      <c r="CO27" s="21" t="n">
        <v>0</v>
      </c>
      <c r="CP27" s="21" t="n">
        <v>0</v>
      </c>
      <c r="CQ27" s="21" t="n">
        <v>0</v>
      </c>
      <c r="CR27" s="21" t="n">
        <v>0</v>
      </c>
      <c r="CS27" s="21" t="n">
        <v>0</v>
      </c>
      <c r="CT27" s="21" t="n">
        <v>0</v>
      </c>
      <c r="CU27" s="21" t="n">
        <v>0</v>
      </c>
      <c r="CV27" s="21" t="n">
        <v>0</v>
      </c>
      <c r="CW27" s="21" t="n">
        <v>0</v>
      </c>
      <c r="CX27" s="21" t="n">
        <v>0</v>
      </c>
      <c r="CY27" s="21" t="n">
        <v>0</v>
      </c>
      <c r="CZ27" s="21" t="n">
        <v>0</v>
      </c>
      <c r="DA27" s="21" t="n">
        <v>0</v>
      </c>
      <c r="DB27" s="21" t="n">
        <v>0</v>
      </c>
      <c r="DC27" s="21" t="n">
        <v>0</v>
      </c>
      <c r="DD27" s="21" t="n">
        <v>0</v>
      </c>
      <c r="DE27" s="21" t="n">
        <v>0</v>
      </c>
      <c r="DF27" s="21" t="n">
        <v>0</v>
      </c>
      <c r="DG27" s="21" t="n">
        <v>0</v>
      </c>
      <c r="DH27" s="21" t="n">
        <v>0</v>
      </c>
      <c r="DI27" s="21" t="n">
        <v>0</v>
      </c>
      <c r="DJ27" s="21" t="n">
        <v>0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0</v>
      </c>
      <c r="DW27" s="21" t="n">
        <v>0</v>
      </c>
      <c r="DX27" s="21" t="n">
        <v>0</v>
      </c>
      <c r="DY27" s="21" t="n">
        <v>0</v>
      </c>
      <c r="DZ27" s="21" t="n">
        <v>0</v>
      </c>
      <c r="EA27" s="21" t="n">
        <v>0</v>
      </c>
      <c r="EB27" s="21" t="n">
        <v>0</v>
      </c>
      <c r="EC27" s="21" t="n">
        <v>0</v>
      </c>
      <c r="ED27" s="21" t="n">
        <v>0</v>
      </c>
      <c r="EE27" s="21" t="n">
        <v>0</v>
      </c>
      <c r="EF27" s="21" t="n">
        <v>0</v>
      </c>
      <c r="EG27" s="21" t="n">
        <v>0</v>
      </c>
      <c r="EH27" s="20" t="n">
        <v>1</v>
      </c>
      <c r="EI27" s="20" t="n">
        <v>1</v>
      </c>
      <c r="EJ27" s="20" t="n">
        <v>1</v>
      </c>
      <c r="EK27" s="20" t="n">
        <v>1</v>
      </c>
      <c r="EL27" s="20" t="n">
        <v>1</v>
      </c>
      <c r="EM27" s="21" t="n">
        <v>0</v>
      </c>
      <c r="EN27" s="21" t="n">
        <v>0</v>
      </c>
      <c r="EO27" s="21" t="n">
        <v>0</v>
      </c>
      <c r="EP27" s="21" t="n">
        <v>0</v>
      </c>
      <c r="EQ27" s="21" t="n">
        <v>0</v>
      </c>
      <c r="ER27" s="21" t="n">
        <v>0</v>
      </c>
      <c r="ES27" s="21" t="n">
        <v>0</v>
      </c>
      <c r="ET27" s="21" t="n">
        <v>0</v>
      </c>
      <c r="EU27" s="21" t="n">
        <v>0</v>
      </c>
      <c r="EV27" s="21" t="n">
        <v>0</v>
      </c>
      <c r="EW27" s="21" t="n">
        <v>0</v>
      </c>
      <c r="EX27" s="21" t="n">
        <v>0</v>
      </c>
      <c r="EY27" s="21" t="n">
        <v>0</v>
      </c>
      <c r="EZ27" s="21" t="n">
        <v>0</v>
      </c>
      <c r="FA27" s="21" t="n">
        <v>0</v>
      </c>
      <c r="FB27" s="21" t="n">
        <v>0</v>
      </c>
      <c r="FC27" s="21" t="n">
        <v>0</v>
      </c>
      <c r="FD27" s="21" t="n">
        <v>0</v>
      </c>
      <c r="FE27" s="21" t="n">
        <v>0</v>
      </c>
      <c r="FF27" s="21" t="n">
        <v>0</v>
      </c>
      <c r="FG27" s="21" t="n">
        <v>0</v>
      </c>
      <c r="FH27" s="21" t="n">
        <v>0</v>
      </c>
      <c r="FI27" s="21" t="n">
        <v>0</v>
      </c>
      <c r="FJ27" s="21" t="n">
        <v>0</v>
      </c>
      <c r="FK27" s="21" t="n">
        <v>0</v>
      </c>
      <c r="FL27" s="21" t="n">
        <v>0</v>
      </c>
      <c r="FM27" s="21" t="n">
        <v>0</v>
      </c>
      <c r="FN27" s="21" t="n">
        <v>0</v>
      </c>
      <c r="FO27" s="21" t="n">
        <v>0</v>
      </c>
      <c r="FP27" s="21" t="n">
        <v>0</v>
      </c>
      <c r="FQ27" s="21" t="n">
        <v>0</v>
      </c>
      <c r="FR27" s="21" t="n">
        <v>0</v>
      </c>
      <c r="FS27" s="21" t="n">
        <v>0</v>
      </c>
      <c r="FT27" s="21" t="n">
        <v>0</v>
      </c>
      <c r="FU27" s="21" t="n">
        <v>0</v>
      </c>
      <c r="FV27" s="21" t="n">
        <v>0</v>
      </c>
      <c r="FW27" s="21" t="n">
        <v>0</v>
      </c>
      <c r="FX27" s="21" t="n">
        <v>0</v>
      </c>
      <c r="FY27" s="21" t="n">
        <v>0</v>
      </c>
      <c r="FZ27" s="21" t="n">
        <v>0</v>
      </c>
      <c r="GA27" s="21" t="n">
        <v>0</v>
      </c>
      <c r="GB27" s="21" t="n">
        <v>0</v>
      </c>
      <c r="GC27" s="21" t="n">
        <v>0</v>
      </c>
    </row>
    <row r="28">
      <c r="A28" s="13" t="n">
        <v>21</v>
      </c>
      <c r="B28" s="13" t="inlineStr">
        <is>
          <t>WBS 4.5</t>
        </is>
      </c>
      <c r="C28" s="14" t="inlineStr">
        <is>
          <t>Lắp đường ray P43, vận chuyển &amp; lao lắp 15 dầm Super-T</t>
        </is>
      </c>
      <c r="D28" s="13" t="inlineStr">
        <is>
          <t>Phiến</t>
        </is>
      </c>
      <c r="E28" s="15" t="n">
        <v>15</v>
      </c>
      <c r="F28" s="15" t="n">
        <v>1.5</v>
      </c>
      <c r="G28" s="15" t="n">
        <v>10</v>
      </c>
      <c r="H28" s="15" t="n">
        <v>1.5</v>
      </c>
      <c r="I28" s="16" t="n">
        <v>10</v>
      </c>
      <c r="J28" s="13" t="inlineStr">
        <is>
          <t>05/02/2027</t>
        </is>
      </c>
      <c r="K28" s="13" t="inlineStr">
        <is>
          <t>14/02/2027</t>
        </is>
      </c>
      <c r="L28" s="13" t="n">
        <v>2</v>
      </c>
      <c r="M28" s="17" t="n">
        <v>0.5</v>
      </c>
      <c r="N28" s="18" t="inlineStr">
        <is>
          <t>Giá lao dầm ray P43 78.88T + Tời kéo</t>
        </is>
      </c>
      <c r="O28" s="19" t="n">
        <v>12</v>
      </c>
      <c r="P28" s="21" t="n">
        <v>0</v>
      </c>
      <c r="Q28" s="21" t="n">
        <v>0</v>
      </c>
      <c r="R28" s="21" t="n">
        <v>0</v>
      </c>
      <c r="S28" s="21" t="n">
        <v>0</v>
      </c>
      <c r="T28" s="21" t="n">
        <v>0</v>
      </c>
      <c r="U28" s="21" t="n">
        <v>0</v>
      </c>
      <c r="V28" s="21" t="n">
        <v>0</v>
      </c>
      <c r="W28" s="21" t="n">
        <v>0</v>
      </c>
      <c r="X28" s="21" t="n">
        <v>0</v>
      </c>
      <c r="Y28" s="21" t="n">
        <v>0</v>
      </c>
      <c r="Z28" s="21" t="n">
        <v>0</v>
      </c>
      <c r="AA28" s="21" t="n">
        <v>0</v>
      </c>
      <c r="AB28" s="21" t="n">
        <v>0</v>
      </c>
      <c r="AC28" s="21" t="n">
        <v>0</v>
      </c>
      <c r="AD28" s="21" t="n">
        <v>0</v>
      </c>
      <c r="AE28" s="21" t="n">
        <v>0</v>
      </c>
      <c r="AF28" s="21" t="n">
        <v>0</v>
      </c>
      <c r="AG28" s="21" t="n">
        <v>0</v>
      </c>
      <c r="AH28" s="21" t="n">
        <v>0</v>
      </c>
      <c r="AI28" s="21" t="n">
        <v>0</v>
      </c>
      <c r="AJ28" s="21" t="n">
        <v>0</v>
      </c>
      <c r="AK28" s="21" t="n">
        <v>0</v>
      </c>
      <c r="AL28" s="21" t="n">
        <v>0</v>
      </c>
      <c r="AM28" s="21" t="n">
        <v>0</v>
      </c>
      <c r="AN28" s="21" t="n">
        <v>0</v>
      </c>
      <c r="AO28" s="21" t="n">
        <v>0</v>
      </c>
      <c r="AP28" s="21" t="n">
        <v>0</v>
      </c>
      <c r="AQ28" s="21" t="n">
        <v>0</v>
      </c>
      <c r="AR28" s="21" t="n">
        <v>0</v>
      </c>
      <c r="AS28" s="21" t="n">
        <v>0</v>
      </c>
      <c r="AT28" s="21" t="n">
        <v>0</v>
      </c>
      <c r="AU28" s="21" t="n">
        <v>0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0</v>
      </c>
      <c r="BP28" s="21" t="n">
        <v>0</v>
      </c>
      <c r="BQ28" s="21" t="n">
        <v>0</v>
      </c>
      <c r="BR28" s="21" t="n">
        <v>0</v>
      </c>
      <c r="BS28" s="21" t="n">
        <v>0</v>
      </c>
      <c r="BT28" s="21" t="n">
        <v>0</v>
      </c>
      <c r="BU28" s="21" t="n">
        <v>0</v>
      </c>
      <c r="BV28" s="21" t="n">
        <v>0</v>
      </c>
      <c r="BW28" s="21" t="n">
        <v>0</v>
      </c>
      <c r="BX28" s="21" t="n">
        <v>0</v>
      </c>
      <c r="BY28" s="21" t="n">
        <v>0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0</v>
      </c>
      <c r="CN28" s="21" t="n">
        <v>0</v>
      </c>
      <c r="CO28" s="21" t="n">
        <v>0</v>
      </c>
      <c r="CP28" s="21" t="n">
        <v>0</v>
      </c>
      <c r="CQ28" s="21" t="n">
        <v>0</v>
      </c>
      <c r="CR28" s="21" t="n">
        <v>0</v>
      </c>
      <c r="CS28" s="21" t="n">
        <v>0</v>
      </c>
      <c r="CT28" s="21" t="n">
        <v>0</v>
      </c>
      <c r="CU28" s="21" t="n">
        <v>0</v>
      </c>
      <c r="CV28" s="21" t="n">
        <v>0</v>
      </c>
      <c r="CW28" s="21" t="n">
        <v>0</v>
      </c>
      <c r="CX28" s="21" t="n">
        <v>0</v>
      </c>
      <c r="CY28" s="21" t="n">
        <v>0</v>
      </c>
      <c r="CZ28" s="21" t="n">
        <v>0</v>
      </c>
      <c r="DA28" s="21" t="n">
        <v>0</v>
      </c>
      <c r="DB28" s="21" t="n">
        <v>0</v>
      </c>
      <c r="DC28" s="21" t="n">
        <v>0</v>
      </c>
      <c r="DD28" s="21" t="n">
        <v>0</v>
      </c>
      <c r="DE28" s="21" t="n">
        <v>0</v>
      </c>
      <c r="DF28" s="21" t="n">
        <v>0</v>
      </c>
      <c r="DG28" s="21" t="n">
        <v>0</v>
      </c>
      <c r="DH28" s="21" t="n">
        <v>0</v>
      </c>
      <c r="DI28" s="21" t="n">
        <v>0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0</v>
      </c>
      <c r="DW28" s="21" t="n">
        <v>0</v>
      </c>
      <c r="DX28" s="21" t="n">
        <v>0</v>
      </c>
      <c r="DY28" s="21" t="n">
        <v>0</v>
      </c>
      <c r="DZ28" s="21" t="n">
        <v>0</v>
      </c>
      <c r="EA28" s="21" t="n">
        <v>0</v>
      </c>
      <c r="EB28" s="21" t="n">
        <v>0</v>
      </c>
      <c r="EC28" s="21" t="n">
        <v>0</v>
      </c>
      <c r="ED28" s="21" t="n">
        <v>0</v>
      </c>
      <c r="EE28" s="21" t="n">
        <v>0</v>
      </c>
      <c r="EF28" s="21" t="n">
        <v>0</v>
      </c>
      <c r="EG28" s="21" t="n">
        <v>0</v>
      </c>
      <c r="EH28" s="21" t="n">
        <v>0</v>
      </c>
      <c r="EI28" s="21" t="n">
        <v>0</v>
      </c>
      <c r="EJ28" s="21" t="n">
        <v>0</v>
      </c>
      <c r="EK28" s="21" t="n">
        <v>0</v>
      </c>
      <c r="EL28" s="21" t="n">
        <v>0</v>
      </c>
      <c r="EM28" s="20" t="n">
        <v>0.5</v>
      </c>
      <c r="EN28" s="20" t="n">
        <v>0.5</v>
      </c>
      <c r="EO28" s="20" t="n">
        <v>0.5</v>
      </c>
      <c r="EP28" s="20" t="n">
        <v>0.5</v>
      </c>
      <c r="EQ28" s="20" t="n">
        <v>0.5</v>
      </c>
      <c r="ER28" s="20" t="n">
        <v>0.5</v>
      </c>
      <c r="ES28" s="20" t="n">
        <v>0.5</v>
      </c>
      <c r="ET28" s="20" t="n">
        <v>0.5</v>
      </c>
      <c r="EU28" s="20" t="n">
        <v>0.5</v>
      </c>
      <c r="EV28" s="20" t="n">
        <v>0.5</v>
      </c>
      <c r="EW28" s="21" t="n">
        <v>0</v>
      </c>
      <c r="EX28" s="21" t="n">
        <v>0</v>
      </c>
      <c r="EY28" s="21" t="n">
        <v>0</v>
      </c>
      <c r="EZ28" s="21" t="n">
        <v>0</v>
      </c>
      <c r="FA28" s="21" t="n">
        <v>0</v>
      </c>
      <c r="FB28" s="21" t="n">
        <v>0</v>
      </c>
      <c r="FC28" s="21" t="n">
        <v>0</v>
      </c>
      <c r="FD28" s="21" t="n">
        <v>0</v>
      </c>
      <c r="FE28" s="21" t="n">
        <v>0</v>
      </c>
      <c r="FF28" s="21" t="n">
        <v>0</v>
      </c>
      <c r="FG28" s="21" t="n">
        <v>0</v>
      </c>
      <c r="FH28" s="21" t="n">
        <v>0</v>
      </c>
      <c r="FI28" s="21" t="n">
        <v>0</v>
      </c>
      <c r="FJ28" s="21" t="n">
        <v>0</v>
      </c>
      <c r="FK28" s="21" t="n">
        <v>0</v>
      </c>
      <c r="FL28" s="21" t="n">
        <v>0</v>
      </c>
      <c r="FM28" s="21" t="n">
        <v>0</v>
      </c>
      <c r="FN28" s="21" t="n">
        <v>0</v>
      </c>
      <c r="FO28" s="21" t="n">
        <v>0</v>
      </c>
      <c r="FP28" s="21" t="n">
        <v>0</v>
      </c>
      <c r="FQ28" s="21" t="n">
        <v>0</v>
      </c>
      <c r="FR28" s="21" t="n">
        <v>0</v>
      </c>
      <c r="FS28" s="21" t="n">
        <v>0</v>
      </c>
      <c r="FT28" s="21" t="n">
        <v>0</v>
      </c>
      <c r="FU28" s="21" t="n">
        <v>0</v>
      </c>
      <c r="FV28" s="21" t="n">
        <v>0</v>
      </c>
      <c r="FW28" s="21" t="n">
        <v>0</v>
      </c>
      <c r="FX28" s="21" t="n">
        <v>0</v>
      </c>
      <c r="FY28" s="21" t="n">
        <v>0</v>
      </c>
      <c r="FZ28" s="21" t="n">
        <v>0</v>
      </c>
      <c r="GA28" s="21" t="n">
        <v>0</v>
      </c>
      <c r="GB28" s="21" t="n">
        <v>0</v>
      </c>
      <c r="GC28" s="21" t="n">
        <v>0</v>
      </c>
    </row>
    <row r="29">
      <c r="A29" s="13" t="n">
        <v>22</v>
      </c>
      <c r="B29" s="13" t="inlineStr">
        <is>
          <t>WBS 5.1</t>
        </is>
      </c>
      <c r="C29" s="14" t="inlineStr">
        <is>
          <t>Đổ bê tông dầm ngang mố trụ &amp; bản liên tục nhiệt C35</t>
        </is>
      </c>
      <c r="D29" s="13" t="inlineStr">
        <is>
          <t>m3</t>
        </is>
      </c>
      <c r="E29" s="15" t="n">
        <v>78.5</v>
      </c>
      <c r="F29" s="15" t="n">
        <v>15.7</v>
      </c>
      <c r="G29" s="15" t="n">
        <v>5</v>
      </c>
      <c r="H29" s="15" t="n">
        <v>15.7</v>
      </c>
      <c r="I29" s="16" t="n">
        <v>5</v>
      </c>
      <c r="J29" s="13" t="inlineStr">
        <is>
          <t>15/02/2027</t>
        </is>
      </c>
      <c r="K29" s="13" t="inlineStr">
        <is>
          <t>19/02/2027</t>
        </is>
      </c>
      <c r="L29" s="13" t="n">
        <v>1</v>
      </c>
      <c r="M29" s="17" t="n">
        <v>1</v>
      </c>
      <c r="N29" s="18" t="inlineStr">
        <is>
          <t>Xe bơm cần 42m + 2 Xe bồn 9m3</t>
        </is>
      </c>
      <c r="O29" s="19" t="n">
        <v>12</v>
      </c>
      <c r="P29" s="21" t="n">
        <v>0</v>
      </c>
      <c r="Q29" s="21" t="n">
        <v>0</v>
      </c>
      <c r="R29" s="21" t="n">
        <v>0</v>
      </c>
      <c r="S29" s="21" t="n">
        <v>0</v>
      </c>
      <c r="T29" s="21" t="n">
        <v>0</v>
      </c>
      <c r="U29" s="21" t="n">
        <v>0</v>
      </c>
      <c r="V29" s="21" t="n">
        <v>0</v>
      </c>
      <c r="W29" s="21" t="n">
        <v>0</v>
      </c>
      <c r="X29" s="21" t="n">
        <v>0</v>
      </c>
      <c r="Y29" s="21" t="n">
        <v>0</v>
      </c>
      <c r="Z29" s="21" t="n">
        <v>0</v>
      </c>
      <c r="AA29" s="21" t="n">
        <v>0</v>
      </c>
      <c r="AB29" s="21" t="n">
        <v>0</v>
      </c>
      <c r="AC29" s="21" t="n">
        <v>0</v>
      </c>
      <c r="AD29" s="21" t="n">
        <v>0</v>
      </c>
      <c r="AE29" s="21" t="n">
        <v>0</v>
      </c>
      <c r="AF29" s="21" t="n">
        <v>0</v>
      </c>
      <c r="AG29" s="21" t="n">
        <v>0</v>
      </c>
      <c r="AH29" s="21" t="n">
        <v>0</v>
      </c>
      <c r="AI29" s="21" t="n">
        <v>0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0</v>
      </c>
      <c r="CT29" s="21" t="n">
        <v>0</v>
      </c>
      <c r="CU29" s="21" t="n">
        <v>0</v>
      </c>
      <c r="CV29" s="21" t="n">
        <v>0</v>
      </c>
      <c r="CW29" s="21" t="n">
        <v>0</v>
      </c>
      <c r="CX29" s="21" t="n">
        <v>0</v>
      </c>
      <c r="CY29" s="21" t="n">
        <v>0</v>
      </c>
      <c r="CZ29" s="21" t="n">
        <v>0</v>
      </c>
      <c r="DA29" s="21" t="n">
        <v>0</v>
      </c>
      <c r="DB29" s="21" t="n">
        <v>0</v>
      </c>
      <c r="DC29" s="21" t="n">
        <v>0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0</v>
      </c>
      <c r="DX29" s="21" t="n">
        <v>0</v>
      </c>
      <c r="DY29" s="21" t="n">
        <v>0</v>
      </c>
      <c r="DZ29" s="21" t="n">
        <v>0</v>
      </c>
      <c r="EA29" s="21" t="n">
        <v>0</v>
      </c>
      <c r="EB29" s="21" t="n">
        <v>0</v>
      </c>
      <c r="EC29" s="21" t="n">
        <v>0</v>
      </c>
      <c r="ED29" s="21" t="n">
        <v>0</v>
      </c>
      <c r="EE29" s="21" t="n">
        <v>0</v>
      </c>
      <c r="EF29" s="21" t="n">
        <v>0</v>
      </c>
      <c r="EG29" s="21" t="n">
        <v>0</v>
      </c>
      <c r="EH29" s="21" t="n">
        <v>0</v>
      </c>
      <c r="EI29" s="21" t="n">
        <v>0</v>
      </c>
      <c r="EJ29" s="21" t="n">
        <v>0</v>
      </c>
      <c r="EK29" s="21" t="n">
        <v>0</v>
      </c>
      <c r="EL29" s="21" t="n">
        <v>0</v>
      </c>
      <c r="EM29" s="21" t="n">
        <v>0</v>
      </c>
      <c r="EN29" s="21" t="n">
        <v>0</v>
      </c>
      <c r="EO29" s="21" t="n">
        <v>0</v>
      </c>
      <c r="EP29" s="21" t="n">
        <v>0</v>
      </c>
      <c r="EQ29" s="21" t="n">
        <v>0</v>
      </c>
      <c r="ER29" s="21" t="n">
        <v>0</v>
      </c>
      <c r="ES29" s="21" t="n">
        <v>0</v>
      </c>
      <c r="ET29" s="21" t="n">
        <v>0</v>
      </c>
      <c r="EU29" s="21" t="n">
        <v>0</v>
      </c>
      <c r="EV29" s="21" t="n">
        <v>0</v>
      </c>
      <c r="EW29" s="22" t="n">
        <v>1</v>
      </c>
      <c r="EX29" s="22" t="n">
        <v>1</v>
      </c>
      <c r="EY29" s="22" t="n">
        <v>1</v>
      </c>
      <c r="EZ29" s="22" t="n">
        <v>1</v>
      </c>
      <c r="FA29" s="22" t="n">
        <v>1</v>
      </c>
      <c r="FB29" s="21" t="n">
        <v>0</v>
      </c>
      <c r="FC29" s="21" t="n">
        <v>0</v>
      </c>
      <c r="FD29" s="21" t="n">
        <v>0</v>
      </c>
      <c r="FE29" s="21" t="n">
        <v>0</v>
      </c>
      <c r="FF29" s="21" t="n">
        <v>0</v>
      </c>
      <c r="FG29" s="21" t="n">
        <v>0</v>
      </c>
      <c r="FH29" s="21" t="n">
        <v>0</v>
      </c>
      <c r="FI29" s="21" t="n">
        <v>0</v>
      </c>
      <c r="FJ29" s="21" t="n">
        <v>0</v>
      </c>
      <c r="FK29" s="21" t="n">
        <v>0</v>
      </c>
      <c r="FL29" s="21" t="n">
        <v>0</v>
      </c>
      <c r="FM29" s="21" t="n">
        <v>0</v>
      </c>
      <c r="FN29" s="21" t="n">
        <v>0</v>
      </c>
      <c r="FO29" s="21" t="n">
        <v>0</v>
      </c>
      <c r="FP29" s="21" t="n">
        <v>0</v>
      </c>
      <c r="FQ29" s="21" t="n">
        <v>0</v>
      </c>
      <c r="FR29" s="21" t="n">
        <v>0</v>
      </c>
      <c r="FS29" s="21" t="n">
        <v>0</v>
      </c>
      <c r="FT29" s="21" t="n">
        <v>0</v>
      </c>
      <c r="FU29" s="21" t="n">
        <v>0</v>
      </c>
      <c r="FV29" s="21" t="n">
        <v>0</v>
      </c>
      <c r="FW29" s="21" t="n">
        <v>0</v>
      </c>
      <c r="FX29" s="21" t="n">
        <v>0</v>
      </c>
      <c r="FY29" s="21" t="n">
        <v>0</v>
      </c>
      <c r="FZ29" s="21" t="n">
        <v>0</v>
      </c>
      <c r="GA29" s="21" t="n">
        <v>0</v>
      </c>
      <c r="GB29" s="21" t="n">
        <v>0</v>
      </c>
      <c r="GC29" s="21" t="n">
        <v>0</v>
      </c>
    </row>
    <row r="30">
      <c r="A30" s="13" t="n">
        <v>23</v>
      </c>
      <c r="B30" s="13" t="inlineStr">
        <is>
          <t>WBS 5.2</t>
        </is>
      </c>
      <c r="C30" s="14" t="inlineStr">
        <is>
          <t>Lắp 510 tấm ván khuôn đúc sẵn &amp; cốt thép bản mặt cầu</t>
        </is>
      </c>
      <c r="D30" s="13" t="inlineStr">
        <is>
          <t>Tấm</t>
        </is>
      </c>
      <c r="E30" s="15" t="n">
        <v>510</v>
      </c>
      <c r="F30" s="15" t="n">
        <v>102</v>
      </c>
      <c r="G30" s="15" t="n">
        <v>5</v>
      </c>
      <c r="H30" s="15" t="n">
        <v>102</v>
      </c>
      <c r="I30" s="16" t="n">
        <v>5</v>
      </c>
      <c r="J30" s="13" t="inlineStr">
        <is>
          <t>20/02/2027</t>
        </is>
      </c>
      <c r="K30" s="13" t="inlineStr">
        <is>
          <t>24/02/2027</t>
        </is>
      </c>
      <c r="L30" s="13" t="n">
        <v>1</v>
      </c>
      <c r="M30" s="17" t="n">
        <v>1</v>
      </c>
      <c r="N30" s="18" t="inlineStr">
        <is>
          <t>Cần cẩu lốp 25T bốc dỡ lắp dựng</t>
        </is>
      </c>
      <c r="O30" s="19" t="n">
        <v>14</v>
      </c>
      <c r="P30" s="21" t="n">
        <v>0</v>
      </c>
      <c r="Q30" s="21" t="n">
        <v>0</v>
      </c>
      <c r="R30" s="21" t="n">
        <v>0</v>
      </c>
      <c r="S30" s="21" t="n">
        <v>0</v>
      </c>
      <c r="T30" s="21" t="n">
        <v>0</v>
      </c>
      <c r="U30" s="21" t="n">
        <v>0</v>
      </c>
      <c r="V30" s="21" t="n">
        <v>0</v>
      </c>
      <c r="W30" s="21" t="n">
        <v>0</v>
      </c>
      <c r="X30" s="21" t="n">
        <v>0</v>
      </c>
      <c r="Y30" s="21" t="n">
        <v>0</v>
      </c>
      <c r="Z30" s="21" t="n">
        <v>0</v>
      </c>
      <c r="AA30" s="21" t="n">
        <v>0</v>
      </c>
      <c r="AB30" s="21" t="n">
        <v>0</v>
      </c>
      <c r="AC30" s="21" t="n">
        <v>0</v>
      </c>
      <c r="AD30" s="21" t="n">
        <v>0</v>
      </c>
      <c r="AE30" s="21" t="n">
        <v>0</v>
      </c>
      <c r="AF30" s="21" t="n">
        <v>0</v>
      </c>
      <c r="AG30" s="21" t="n">
        <v>0</v>
      </c>
      <c r="AH30" s="21" t="n">
        <v>0</v>
      </c>
      <c r="AI30" s="21" t="n">
        <v>0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0</v>
      </c>
      <c r="CS30" s="21" t="n">
        <v>0</v>
      </c>
      <c r="CT30" s="21" t="n">
        <v>0</v>
      </c>
      <c r="CU30" s="21" t="n">
        <v>0</v>
      </c>
      <c r="CV30" s="21" t="n">
        <v>0</v>
      </c>
      <c r="CW30" s="21" t="n">
        <v>0</v>
      </c>
      <c r="CX30" s="21" t="n">
        <v>0</v>
      </c>
      <c r="CY30" s="21" t="n">
        <v>0</v>
      </c>
      <c r="CZ30" s="21" t="n">
        <v>0</v>
      </c>
      <c r="DA30" s="21" t="n">
        <v>0</v>
      </c>
      <c r="DB30" s="21" t="n">
        <v>0</v>
      </c>
      <c r="DC30" s="21" t="n">
        <v>0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0</v>
      </c>
      <c r="DX30" s="21" t="n">
        <v>0</v>
      </c>
      <c r="DY30" s="21" t="n">
        <v>0</v>
      </c>
      <c r="DZ30" s="21" t="n">
        <v>0</v>
      </c>
      <c r="EA30" s="21" t="n">
        <v>0</v>
      </c>
      <c r="EB30" s="21" t="n">
        <v>0</v>
      </c>
      <c r="EC30" s="21" t="n">
        <v>0</v>
      </c>
      <c r="ED30" s="21" t="n">
        <v>0</v>
      </c>
      <c r="EE30" s="21" t="n">
        <v>0</v>
      </c>
      <c r="EF30" s="21" t="n">
        <v>0</v>
      </c>
      <c r="EG30" s="21" t="n">
        <v>0</v>
      </c>
      <c r="EH30" s="21" t="n">
        <v>0</v>
      </c>
      <c r="EI30" s="21" t="n">
        <v>0</v>
      </c>
      <c r="EJ30" s="21" t="n">
        <v>0</v>
      </c>
      <c r="EK30" s="21" t="n">
        <v>0</v>
      </c>
      <c r="EL30" s="21" t="n">
        <v>0</v>
      </c>
      <c r="EM30" s="21" t="n">
        <v>0</v>
      </c>
      <c r="EN30" s="21" t="n">
        <v>0</v>
      </c>
      <c r="EO30" s="21" t="n">
        <v>0</v>
      </c>
      <c r="EP30" s="21" t="n">
        <v>0</v>
      </c>
      <c r="EQ30" s="21" t="n">
        <v>0</v>
      </c>
      <c r="ER30" s="21" t="n">
        <v>0</v>
      </c>
      <c r="ES30" s="21" t="n">
        <v>0</v>
      </c>
      <c r="ET30" s="21" t="n">
        <v>0</v>
      </c>
      <c r="EU30" s="21" t="n">
        <v>0</v>
      </c>
      <c r="EV30" s="21" t="n">
        <v>0</v>
      </c>
      <c r="EW30" s="21" t="n">
        <v>0</v>
      </c>
      <c r="EX30" s="21" t="n">
        <v>0</v>
      </c>
      <c r="EY30" s="21" t="n">
        <v>0</v>
      </c>
      <c r="EZ30" s="21" t="n">
        <v>0</v>
      </c>
      <c r="FA30" s="21" t="n">
        <v>0</v>
      </c>
      <c r="FB30" s="20" t="n">
        <v>1</v>
      </c>
      <c r="FC30" s="20" t="n">
        <v>1</v>
      </c>
      <c r="FD30" s="20" t="n">
        <v>1</v>
      </c>
      <c r="FE30" s="20" t="n">
        <v>1</v>
      </c>
      <c r="FF30" s="20" t="n">
        <v>1</v>
      </c>
      <c r="FG30" s="21" t="n">
        <v>0</v>
      </c>
      <c r="FH30" s="21" t="n">
        <v>0</v>
      </c>
      <c r="FI30" s="21" t="n">
        <v>0</v>
      </c>
      <c r="FJ30" s="21" t="n">
        <v>0</v>
      </c>
      <c r="FK30" s="21" t="n">
        <v>0</v>
      </c>
      <c r="FL30" s="21" t="n">
        <v>0</v>
      </c>
      <c r="FM30" s="21" t="n">
        <v>0</v>
      </c>
      <c r="FN30" s="21" t="n">
        <v>0</v>
      </c>
      <c r="FO30" s="21" t="n">
        <v>0</v>
      </c>
      <c r="FP30" s="21" t="n">
        <v>0</v>
      </c>
      <c r="FQ30" s="21" t="n">
        <v>0</v>
      </c>
      <c r="FR30" s="21" t="n">
        <v>0</v>
      </c>
      <c r="FS30" s="21" t="n">
        <v>0</v>
      </c>
      <c r="FT30" s="21" t="n">
        <v>0</v>
      </c>
      <c r="FU30" s="21" t="n">
        <v>0</v>
      </c>
      <c r="FV30" s="21" t="n">
        <v>0</v>
      </c>
      <c r="FW30" s="21" t="n">
        <v>0</v>
      </c>
      <c r="FX30" s="21" t="n">
        <v>0</v>
      </c>
      <c r="FY30" s="21" t="n">
        <v>0</v>
      </c>
      <c r="FZ30" s="21" t="n">
        <v>0</v>
      </c>
      <c r="GA30" s="21" t="n">
        <v>0</v>
      </c>
      <c r="GB30" s="21" t="n">
        <v>0</v>
      </c>
      <c r="GC30" s="21" t="n">
        <v>0</v>
      </c>
    </row>
    <row r="31">
      <c r="A31" s="13" t="n">
        <v>24</v>
      </c>
      <c r="B31" s="13" t="inlineStr">
        <is>
          <t>WBS 5.3</t>
        </is>
      </c>
      <c r="C31" s="14" t="inlineStr">
        <is>
          <t>Đổ bê tông bản mặt cầu tại chỗ C35 (dày 180mm)</t>
        </is>
      </c>
      <c r="D31" s="13" t="inlineStr">
        <is>
          <t>m3</t>
        </is>
      </c>
      <c r="E31" s="15" t="n">
        <v>235.6</v>
      </c>
      <c r="F31" s="15" t="n">
        <v>39.27</v>
      </c>
      <c r="G31" s="15" t="n">
        <v>6</v>
      </c>
      <c r="H31" s="15" t="n">
        <v>39.3</v>
      </c>
      <c r="I31" s="16" t="n">
        <v>6</v>
      </c>
      <c r="J31" s="13" t="inlineStr">
        <is>
          <t>25/02/2027</t>
        </is>
      </c>
      <c r="K31" s="13" t="inlineStr">
        <is>
          <t>02/03/2027</t>
        </is>
      </c>
      <c r="L31" s="13" t="n">
        <v>2</v>
      </c>
      <c r="M31" s="17" t="n">
        <v>0.5</v>
      </c>
      <c r="N31" s="18" t="inlineStr">
        <is>
          <t>Xe bơm cần 42m + 3 Xe bồn 9m3</t>
        </is>
      </c>
      <c r="O31" s="19" t="n">
        <v>18</v>
      </c>
      <c r="P31" s="21" t="n">
        <v>0</v>
      </c>
      <c r="Q31" s="21" t="n">
        <v>0</v>
      </c>
      <c r="R31" s="21" t="n">
        <v>0</v>
      </c>
      <c r="S31" s="21" t="n">
        <v>0</v>
      </c>
      <c r="T31" s="21" t="n">
        <v>0</v>
      </c>
      <c r="U31" s="21" t="n">
        <v>0</v>
      </c>
      <c r="V31" s="21" t="n">
        <v>0</v>
      </c>
      <c r="W31" s="21" t="n">
        <v>0</v>
      </c>
      <c r="X31" s="21" t="n">
        <v>0</v>
      </c>
      <c r="Y31" s="21" t="n">
        <v>0</v>
      </c>
      <c r="Z31" s="21" t="n">
        <v>0</v>
      </c>
      <c r="AA31" s="21" t="n">
        <v>0</v>
      </c>
      <c r="AB31" s="21" t="n">
        <v>0</v>
      </c>
      <c r="AC31" s="21" t="n">
        <v>0</v>
      </c>
      <c r="AD31" s="21" t="n">
        <v>0</v>
      </c>
      <c r="AE31" s="21" t="n">
        <v>0</v>
      </c>
      <c r="AF31" s="21" t="n">
        <v>0</v>
      </c>
      <c r="AG31" s="21" t="n">
        <v>0</v>
      </c>
      <c r="AH31" s="21" t="n">
        <v>0</v>
      </c>
      <c r="AI31" s="21" t="n">
        <v>0</v>
      </c>
      <c r="AJ31" s="21" t="n">
        <v>0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0</v>
      </c>
      <c r="AQ31" s="21" t="n">
        <v>0</v>
      </c>
      <c r="AR31" s="21" t="n">
        <v>0</v>
      </c>
      <c r="AS31" s="21" t="n">
        <v>0</v>
      </c>
      <c r="AT31" s="21" t="n">
        <v>0</v>
      </c>
      <c r="AU31" s="21" t="n">
        <v>0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0</v>
      </c>
      <c r="BP31" s="21" t="n">
        <v>0</v>
      </c>
      <c r="BQ31" s="21" t="n">
        <v>0</v>
      </c>
      <c r="BR31" s="21" t="n">
        <v>0</v>
      </c>
      <c r="BS31" s="21" t="n">
        <v>0</v>
      </c>
      <c r="BT31" s="21" t="n">
        <v>0</v>
      </c>
      <c r="BU31" s="21" t="n">
        <v>0</v>
      </c>
      <c r="BV31" s="21" t="n">
        <v>0</v>
      </c>
      <c r="BW31" s="21" t="n">
        <v>0</v>
      </c>
      <c r="BX31" s="21" t="n">
        <v>0</v>
      </c>
      <c r="BY31" s="21" t="n">
        <v>0</v>
      </c>
      <c r="BZ31" s="21" t="n">
        <v>0</v>
      </c>
      <c r="CA31" s="21" t="n">
        <v>0</v>
      </c>
      <c r="CB31" s="21" t="n">
        <v>0</v>
      </c>
      <c r="CC31" s="21" t="n">
        <v>0</v>
      </c>
      <c r="CD31" s="21" t="n">
        <v>0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0</v>
      </c>
      <c r="CN31" s="21" t="n">
        <v>0</v>
      </c>
      <c r="CO31" s="21" t="n">
        <v>0</v>
      </c>
      <c r="CP31" s="21" t="n">
        <v>0</v>
      </c>
      <c r="CQ31" s="21" t="n">
        <v>0</v>
      </c>
      <c r="CR31" s="21" t="n">
        <v>0</v>
      </c>
      <c r="CS31" s="21" t="n">
        <v>0</v>
      </c>
      <c r="CT31" s="21" t="n">
        <v>0</v>
      </c>
      <c r="CU31" s="21" t="n">
        <v>0</v>
      </c>
      <c r="CV31" s="21" t="n">
        <v>0</v>
      </c>
      <c r="CW31" s="21" t="n">
        <v>0</v>
      </c>
      <c r="CX31" s="21" t="n">
        <v>0</v>
      </c>
      <c r="CY31" s="21" t="n">
        <v>0</v>
      </c>
      <c r="CZ31" s="21" t="n">
        <v>0</v>
      </c>
      <c r="DA31" s="21" t="n">
        <v>0</v>
      </c>
      <c r="DB31" s="21" t="n">
        <v>0</v>
      </c>
      <c r="DC31" s="21" t="n">
        <v>0</v>
      </c>
      <c r="DD31" s="21" t="n">
        <v>0</v>
      </c>
      <c r="DE31" s="21" t="n">
        <v>0</v>
      </c>
      <c r="DF31" s="21" t="n">
        <v>0</v>
      </c>
      <c r="DG31" s="21" t="n">
        <v>0</v>
      </c>
      <c r="DH31" s="21" t="n">
        <v>0</v>
      </c>
      <c r="DI31" s="21" t="n">
        <v>0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0</v>
      </c>
      <c r="DW31" s="21" t="n">
        <v>0</v>
      </c>
      <c r="DX31" s="21" t="n">
        <v>0</v>
      </c>
      <c r="DY31" s="21" t="n">
        <v>0</v>
      </c>
      <c r="DZ31" s="21" t="n">
        <v>0</v>
      </c>
      <c r="EA31" s="21" t="n">
        <v>0</v>
      </c>
      <c r="EB31" s="21" t="n">
        <v>0</v>
      </c>
      <c r="EC31" s="21" t="n">
        <v>0</v>
      </c>
      <c r="ED31" s="21" t="n">
        <v>0</v>
      </c>
      <c r="EE31" s="21" t="n">
        <v>0</v>
      </c>
      <c r="EF31" s="21" t="n">
        <v>0</v>
      </c>
      <c r="EG31" s="21" t="n">
        <v>0</v>
      </c>
      <c r="EH31" s="21" t="n">
        <v>0</v>
      </c>
      <c r="EI31" s="21" t="n">
        <v>0</v>
      </c>
      <c r="EJ31" s="21" t="n">
        <v>0</v>
      </c>
      <c r="EK31" s="21" t="n">
        <v>0</v>
      </c>
      <c r="EL31" s="21" t="n">
        <v>0</v>
      </c>
      <c r="EM31" s="21" t="n">
        <v>0</v>
      </c>
      <c r="EN31" s="21" t="n">
        <v>0</v>
      </c>
      <c r="EO31" s="21" t="n">
        <v>0</v>
      </c>
      <c r="EP31" s="21" t="n">
        <v>0</v>
      </c>
      <c r="EQ31" s="21" t="n">
        <v>0</v>
      </c>
      <c r="ER31" s="21" t="n">
        <v>0</v>
      </c>
      <c r="ES31" s="21" t="n">
        <v>0</v>
      </c>
      <c r="ET31" s="21" t="n">
        <v>0</v>
      </c>
      <c r="EU31" s="21" t="n">
        <v>0</v>
      </c>
      <c r="EV31" s="21" t="n">
        <v>0</v>
      </c>
      <c r="EW31" s="21" t="n">
        <v>0</v>
      </c>
      <c r="EX31" s="21" t="n">
        <v>0</v>
      </c>
      <c r="EY31" s="21" t="n">
        <v>0</v>
      </c>
      <c r="EZ31" s="21" t="n">
        <v>0</v>
      </c>
      <c r="FA31" s="21" t="n">
        <v>0</v>
      </c>
      <c r="FB31" s="21" t="n">
        <v>0</v>
      </c>
      <c r="FC31" s="21" t="n">
        <v>0</v>
      </c>
      <c r="FD31" s="21" t="n">
        <v>0</v>
      </c>
      <c r="FE31" s="21" t="n">
        <v>0</v>
      </c>
      <c r="FF31" s="21" t="n">
        <v>0</v>
      </c>
      <c r="FG31" s="22" t="n">
        <v>0.5</v>
      </c>
      <c r="FH31" s="22" t="n">
        <v>0.5</v>
      </c>
      <c r="FI31" s="22" t="n">
        <v>0.5</v>
      </c>
      <c r="FJ31" s="22" t="n">
        <v>0.5</v>
      </c>
      <c r="FK31" s="22" t="n">
        <v>0.5</v>
      </c>
      <c r="FL31" s="22" t="n">
        <v>0.5</v>
      </c>
      <c r="FM31" s="21" t="n">
        <v>0</v>
      </c>
      <c r="FN31" s="21" t="n">
        <v>0</v>
      </c>
      <c r="FO31" s="21" t="n">
        <v>0</v>
      </c>
      <c r="FP31" s="21" t="n">
        <v>0</v>
      </c>
      <c r="FQ31" s="21" t="n">
        <v>0</v>
      </c>
      <c r="FR31" s="21" t="n">
        <v>0</v>
      </c>
      <c r="FS31" s="21" t="n">
        <v>0</v>
      </c>
      <c r="FT31" s="21" t="n">
        <v>0</v>
      </c>
      <c r="FU31" s="21" t="n">
        <v>0</v>
      </c>
      <c r="FV31" s="21" t="n">
        <v>0</v>
      </c>
      <c r="FW31" s="21" t="n">
        <v>0</v>
      </c>
      <c r="FX31" s="21" t="n">
        <v>0</v>
      </c>
      <c r="FY31" s="21" t="n">
        <v>0</v>
      </c>
      <c r="FZ31" s="21" t="n">
        <v>0</v>
      </c>
      <c r="GA31" s="21" t="n">
        <v>0</v>
      </c>
      <c r="GB31" s="21" t="n">
        <v>0</v>
      </c>
      <c r="GC31" s="21" t="n">
        <v>0</v>
      </c>
    </row>
    <row r="32">
      <c r="A32" s="13" t="n">
        <v>25</v>
      </c>
      <c r="B32" s="13" t="inlineStr">
        <is>
          <t>WBS 5.4</t>
        </is>
      </c>
      <c r="C32" s="14" t="inlineStr">
        <is>
          <t>Đổ bê tông bản quá độ C25 &amp; đắp K98 đường đầu cầu</t>
        </is>
      </c>
      <c r="D32" s="13" t="inlineStr">
        <is>
          <t>Bản</t>
        </is>
      </c>
      <c r="E32" s="15" t="n">
        <v>2</v>
      </c>
      <c r="F32" s="15" t="n">
        <v>0.33</v>
      </c>
      <c r="G32" s="15" t="n">
        <v>6.1</v>
      </c>
      <c r="H32" s="15" t="n">
        <v>0.3</v>
      </c>
      <c r="I32" s="16" t="n">
        <v>6</v>
      </c>
      <c r="J32" s="13" t="inlineStr">
        <is>
          <t>01/03/2027</t>
        </is>
      </c>
      <c r="K32" s="13" t="inlineStr">
        <is>
          <t>06/03/2027</t>
        </is>
      </c>
      <c r="L32" s="13" t="n">
        <v>1</v>
      </c>
      <c r="M32" s="17" t="n">
        <v>1.02</v>
      </c>
      <c r="N32" s="18" t="inlineStr">
        <is>
          <t>Máy xúc PC200 + Lu rung + Xe bồn</t>
        </is>
      </c>
      <c r="O32" s="19" t="n">
        <v>10</v>
      </c>
      <c r="P32" s="21" t="n">
        <v>0</v>
      </c>
      <c r="Q32" s="21" t="n">
        <v>0</v>
      </c>
      <c r="R32" s="21" t="n">
        <v>0</v>
      </c>
      <c r="S32" s="21" t="n">
        <v>0</v>
      </c>
      <c r="T32" s="21" t="n">
        <v>0</v>
      </c>
      <c r="U32" s="21" t="n">
        <v>0</v>
      </c>
      <c r="V32" s="21" t="n">
        <v>0</v>
      </c>
      <c r="W32" s="21" t="n">
        <v>0</v>
      </c>
      <c r="X32" s="21" t="n">
        <v>0</v>
      </c>
      <c r="Y32" s="21" t="n">
        <v>0</v>
      </c>
      <c r="Z32" s="21" t="n">
        <v>0</v>
      </c>
      <c r="AA32" s="21" t="n">
        <v>0</v>
      </c>
      <c r="AB32" s="21" t="n">
        <v>0</v>
      </c>
      <c r="AC32" s="21" t="n">
        <v>0</v>
      </c>
      <c r="AD32" s="21" t="n">
        <v>0</v>
      </c>
      <c r="AE32" s="21" t="n">
        <v>0</v>
      </c>
      <c r="AF32" s="21" t="n">
        <v>0</v>
      </c>
      <c r="AG32" s="21" t="n">
        <v>0</v>
      </c>
      <c r="AH32" s="21" t="n">
        <v>0</v>
      </c>
      <c r="AI32" s="21" t="n">
        <v>0</v>
      </c>
      <c r="AJ32" s="21" t="n">
        <v>0</v>
      </c>
      <c r="AK32" s="21" t="n">
        <v>0</v>
      </c>
      <c r="AL32" s="21" t="n">
        <v>0</v>
      </c>
      <c r="AM32" s="21" t="n">
        <v>0</v>
      </c>
      <c r="AN32" s="21" t="n">
        <v>0</v>
      </c>
      <c r="AO32" s="21" t="n">
        <v>0</v>
      </c>
      <c r="AP32" s="21" t="n">
        <v>0</v>
      </c>
      <c r="AQ32" s="21" t="n">
        <v>0</v>
      </c>
      <c r="AR32" s="21" t="n">
        <v>0</v>
      </c>
      <c r="AS32" s="21" t="n">
        <v>0</v>
      </c>
      <c r="AT32" s="21" t="n">
        <v>0</v>
      </c>
      <c r="AU32" s="21" t="n">
        <v>0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0</v>
      </c>
      <c r="BO32" s="21" t="n">
        <v>0</v>
      </c>
      <c r="BP32" s="21" t="n">
        <v>0</v>
      </c>
      <c r="BQ32" s="21" t="n">
        <v>0</v>
      </c>
      <c r="BR32" s="21" t="n">
        <v>0</v>
      </c>
      <c r="BS32" s="21" t="n">
        <v>0</v>
      </c>
      <c r="BT32" s="21" t="n">
        <v>0</v>
      </c>
      <c r="BU32" s="21" t="n">
        <v>0</v>
      </c>
      <c r="BV32" s="21" t="n">
        <v>0</v>
      </c>
      <c r="BW32" s="21" t="n">
        <v>0</v>
      </c>
      <c r="BX32" s="21" t="n">
        <v>0</v>
      </c>
      <c r="BY32" s="21" t="n">
        <v>0</v>
      </c>
      <c r="BZ32" s="21" t="n">
        <v>0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0</v>
      </c>
      <c r="CN32" s="21" t="n">
        <v>0</v>
      </c>
      <c r="CO32" s="21" t="n">
        <v>0</v>
      </c>
      <c r="CP32" s="21" t="n">
        <v>0</v>
      </c>
      <c r="CQ32" s="21" t="n">
        <v>0</v>
      </c>
      <c r="CR32" s="21" t="n">
        <v>0</v>
      </c>
      <c r="CS32" s="21" t="n">
        <v>0</v>
      </c>
      <c r="CT32" s="21" t="n">
        <v>0</v>
      </c>
      <c r="CU32" s="21" t="n">
        <v>0</v>
      </c>
      <c r="CV32" s="21" t="n">
        <v>0</v>
      </c>
      <c r="CW32" s="21" t="n">
        <v>0</v>
      </c>
      <c r="CX32" s="21" t="n">
        <v>0</v>
      </c>
      <c r="CY32" s="21" t="n">
        <v>0</v>
      </c>
      <c r="CZ32" s="21" t="n">
        <v>0</v>
      </c>
      <c r="DA32" s="21" t="n">
        <v>0</v>
      </c>
      <c r="DB32" s="21" t="n">
        <v>0</v>
      </c>
      <c r="DC32" s="21" t="n">
        <v>0</v>
      </c>
      <c r="DD32" s="21" t="n">
        <v>0</v>
      </c>
      <c r="DE32" s="21" t="n">
        <v>0</v>
      </c>
      <c r="DF32" s="21" t="n">
        <v>0</v>
      </c>
      <c r="DG32" s="21" t="n">
        <v>0</v>
      </c>
      <c r="DH32" s="21" t="n">
        <v>0</v>
      </c>
      <c r="DI32" s="21" t="n">
        <v>0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0</v>
      </c>
      <c r="DW32" s="21" t="n">
        <v>0</v>
      </c>
      <c r="DX32" s="21" t="n">
        <v>0</v>
      </c>
      <c r="DY32" s="21" t="n">
        <v>0</v>
      </c>
      <c r="DZ32" s="21" t="n">
        <v>0</v>
      </c>
      <c r="EA32" s="21" t="n">
        <v>0</v>
      </c>
      <c r="EB32" s="21" t="n">
        <v>0</v>
      </c>
      <c r="EC32" s="21" t="n">
        <v>0</v>
      </c>
      <c r="ED32" s="21" t="n">
        <v>0</v>
      </c>
      <c r="EE32" s="21" t="n">
        <v>0</v>
      </c>
      <c r="EF32" s="21" t="n">
        <v>0</v>
      </c>
      <c r="EG32" s="21" t="n">
        <v>0</v>
      </c>
      <c r="EH32" s="21" t="n">
        <v>0</v>
      </c>
      <c r="EI32" s="21" t="n">
        <v>0</v>
      </c>
      <c r="EJ32" s="21" t="n">
        <v>0</v>
      </c>
      <c r="EK32" s="21" t="n">
        <v>0</v>
      </c>
      <c r="EL32" s="21" t="n">
        <v>0</v>
      </c>
      <c r="EM32" s="21" t="n">
        <v>0</v>
      </c>
      <c r="EN32" s="21" t="n">
        <v>0</v>
      </c>
      <c r="EO32" s="21" t="n">
        <v>0</v>
      </c>
      <c r="EP32" s="21" t="n">
        <v>0</v>
      </c>
      <c r="EQ32" s="21" t="n">
        <v>0</v>
      </c>
      <c r="ER32" s="21" t="n">
        <v>0</v>
      </c>
      <c r="ES32" s="21" t="n">
        <v>0</v>
      </c>
      <c r="ET32" s="21" t="n">
        <v>0</v>
      </c>
      <c r="EU32" s="21" t="n">
        <v>0</v>
      </c>
      <c r="EV32" s="21" t="n">
        <v>0</v>
      </c>
      <c r="EW32" s="21" t="n">
        <v>0</v>
      </c>
      <c r="EX32" s="21" t="n">
        <v>0</v>
      </c>
      <c r="EY32" s="21" t="n">
        <v>0</v>
      </c>
      <c r="EZ32" s="21" t="n">
        <v>0</v>
      </c>
      <c r="FA32" s="21" t="n">
        <v>0</v>
      </c>
      <c r="FB32" s="21" t="n">
        <v>0</v>
      </c>
      <c r="FC32" s="21" t="n">
        <v>0</v>
      </c>
      <c r="FD32" s="21" t="n">
        <v>0</v>
      </c>
      <c r="FE32" s="21" t="n">
        <v>0</v>
      </c>
      <c r="FF32" s="21" t="n">
        <v>0</v>
      </c>
      <c r="FG32" s="21" t="n">
        <v>0</v>
      </c>
      <c r="FH32" s="21" t="n">
        <v>0</v>
      </c>
      <c r="FI32" s="21" t="n">
        <v>0</v>
      </c>
      <c r="FJ32" s="21" t="n">
        <v>0</v>
      </c>
      <c r="FK32" s="22" t="n">
        <v>1.02</v>
      </c>
      <c r="FL32" s="22" t="n">
        <v>1.02</v>
      </c>
      <c r="FM32" s="22" t="n">
        <v>1.02</v>
      </c>
      <c r="FN32" s="22" t="n">
        <v>1.02</v>
      </c>
      <c r="FO32" s="22" t="n">
        <v>1.02</v>
      </c>
      <c r="FP32" s="22" t="n">
        <v>1.02</v>
      </c>
      <c r="FQ32" s="21" t="n">
        <v>0</v>
      </c>
      <c r="FR32" s="21" t="n">
        <v>0</v>
      </c>
      <c r="FS32" s="21" t="n">
        <v>0</v>
      </c>
      <c r="FT32" s="21" t="n">
        <v>0</v>
      </c>
      <c r="FU32" s="21" t="n">
        <v>0</v>
      </c>
      <c r="FV32" s="21" t="n">
        <v>0</v>
      </c>
      <c r="FW32" s="21" t="n">
        <v>0</v>
      </c>
      <c r="FX32" s="21" t="n">
        <v>0</v>
      </c>
      <c r="FY32" s="21" t="n">
        <v>0</v>
      </c>
      <c r="FZ32" s="21" t="n">
        <v>0</v>
      </c>
      <c r="GA32" s="21" t="n">
        <v>0</v>
      </c>
      <c r="GB32" s="21" t="n">
        <v>0</v>
      </c>
      <c r="GC32" s="21" t="n">
        <v>0</v>
      </c>
    </row>
    <row r="33">
      <c r="A33" s="13" t="n">
        <v>26</v>
      </c>
      <c r="B33" s="13" t="inlineStr">
        <is>
          <t>WBS 5.5</t>
        </is>
      </c>
      <c r="C33" s="14" t="inlineStr">
        <is>
          <t>Lắp khe co giãn răng lược thép &amp; ống thoát nước PVC</t>
        </is>
      </c>
      <c r="D33" s="13" t="inlineStr">
        <is>
          <t>Bộ</t>
        </is>
      </c>
      <c r="E33" s="15" t="n">
        <v>2</v>
      </c>
      <c r="F33" s="15" t="n">
        <v>0.33</v>
      </c>
      <c r="G33" s="15" t="n">
        <v>6.1</v>
      </c>
      <c r="H33" s="15" t="n">
        <v>0.3</v>
      </c>
      <c r="I33" s="16" t="n">
        <v>6</v>
      </c>
      <c r="J33" s="13" t="inlineStr">
        <is>
          <t>07/03/2027</t>
        </is>
      </c>
      <c r="K33" s="13" t="inlineStr">
        <is>
          <t>12/03/2027</t>
        </is>
      </c>
      <c r="L33" s="13" t="n">
        <v>1</v>
      </c>
      <c r="M33" s="17" t="n">
        <v>1.02</v>
      </c>
      <c r="N33" s="18" t="inlineStr">
        <is>
          <t>Máy phát hàn 500A + Cẩu nhẹ 25T</t>
        </is>
      </c>
      <c r="O33" s="19" t="n">
        <v>6</v>
      </c>
      <c r="P33" s="21" t="n">
        <v>0</v>
      </c>
      <c r="Q33" s="21" t="n">
        <v>0</v>
      </c>
      <c r="R33" s="21" t="n">
        <v>0</v>
      </c>
      <c r="S33" s="21" t="n">
        <v>0</v>
      </c>
      <c r="T33" s="21" t="n">
        <v>0</v>
      </c>
      <c r="U33" s="21" t="n">
        <v>0</v>
      </c>
      <c r="V33" s="21" t="n">
        <v>0</v>
      </c>
      <c r="W33" s="21" t="n">
        <v>0</v>
      </c>
      <c r="X33" s="21" t="n">
        <v>0</v>
      </c>
      <c r="Y33" s="21" t="n">
        <v>0</v>
      </c>
      <c r="Z33" s="21" t="n">
        <v>0</v>
      </c>
      <c r="AA33" s="21" t="n">
        <v>0</v>
      </c>
      <c r="AB33" s="21" t="n">
        <v>0</v>
      </c>
      <c r="AC33" s="21" t="n">
        <v>0</v>
      </c>
      <c r="AD33" s="21" t="n">
        <v>0</v>
      </c>
      <c r="AE33" s="21" t="n">
        <v>0</v>
      </c>
      <c r="AF33" s="21" t="n">
        <v>0</v>
      </c>
      <c r="AG33" s="21" t="n">
        <v>0</v>
      </c>
      <c r="AH33" s="21" t="n">
        <v>0</v>
      </c>
      <c r="AI33" s="21" t="n">
        <v>0</v>
      </c>
      <c r="AJ33" s="21" t="n">
        <v>0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1" t="n">
        <v>0</v>
      </c>
      <c r="AQ33" s="21" t="n">
        <v>0</v>
      </c>
      <c r="AR33" s="21" t="n">
        <v>0</v>
      </c>
      <c r="AS33" s="21" t="n">
        <v>0</v>
      </c>
      <c r="AT33" s="21" t="n">
        <v>0</v>
      </c>
      <c r="AU33" s="21" t="n">
        <v>0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0</v>
      </c>
      <c r="BP33" s="21" t="n">
        <v>0</v>
      </c>
      <c r="BQ33" s="21" t="n">
        <v>0</v>
      </c>
      <c r="BR33" s="21" t="n">
        <v>0</v>
      </c>
      <c r="BS33" s="21" t="n">
        <v>0</v>
      </c>
      <c r="BT33" s="21" t="n">
        <v>0</v>
      </c>
      <c r="BU33" s="21" t="n">
        <v>0</v>
      </c>
      <c r="BV33" s="21" t="n">
        <v>0</v>
      </c>
      <c r="BW33" s="21" t="n">
        <v>0</v>
      </c>
      <c r="BX33" s="21" t="n">
        <v>0</v>
      </c>
      <c r="BY33" s="21" t="n">
        <v>0</v>
      </c>
      <c r="BZ33" s="21" t="n">
        <v>0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0</v>
      </c>
      <c r="CN33" s="21" t="n">
        <v>0</v>
      </c>
      <c r="CO33" s="21" t="n">
        <v>0</v>
      </c>
      <c r="CP33" s="21" t="n">
        <v>0</v>
      </c>
      <c r="CQ33" s="21" t="n">
        <v>0</v>
      </c>
      <c r="CR33" s="21" t="n">
        <v>0</v>
      </c>
      <c r="CS33" s="21" t="n">
        <v>0</v>
      </c>
      <c r="CT33" s="21" t="n">
        <v>0</v>
      </c>
      <c r="CU33" s="21" t="n">
        <v>0</v>
      </c>
      <c r="CV33" s="21" t="n">
        <v>0</v>
      </c>
      <c r="CW33" s="21" t="n">
        <v>0</v>
      </c>
      <c r="CX33" s="21" t="n">
        <v>0</v>
      </c>
      <c r="CY33" s="21" t="n">
        <v>0</v>
      </c>
      <c r="CZ33" s="21" t="n">
        <v>0</v>
      </c>
      <c r="DA33" s="21" t="n">
        <v>0</v>
      </c>
      <c r="DB33" s="21" t="n">
        <v>0</v>
      </c>
      <c r="DC33" s="21" t="n">
        <v>0</v>
      </c>
      <c r="DD33" s="21" t="n">
        <v>0</v>
      </c>
      <c r="DE33" s="21" t="n">
        <v>0</v>
      </c>
      <c r="DF33" s="21" t="n">
        <v>0</v>
      </c>
      <c r="DG33" s="21" t="n">
        <v>0</v>
      </c>
      <c r="DH33" s="21" t="n">
        <v>0</v>
      </c>
      <c r="DI33" s="21" t="n">
        <v>0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0</v>
      </c>
      <c r="DW33" s="21" t="n">
        <v>0</v>
      </c>
      <c r="DX33" s="21" t="n">
        <v>0</v>
      </c>
      <c r="DY33" s="21" t="n">
        <v>0</v>
      </c>
      <c r="DZ33" s="21" t="n">
        <v>0</v>
      </c>
      <c r="EA33" s="21" t="n">
        <v>0</v>
      </c>
      <c r="EB33" s="21" t="n">
        <v>0</v>
      </c>
      <c r="EC33" s="21" t="n">
        <v>0</v>
      </c>
      <c r="ED33" s="21" t="n">
        <v>0</v>
      </c>
      <c r="EE33" s="21" t="n">
        <v>0</v>
      </c>
      <c r="EF33" s="21" t="n">
        <v>0</v>
      </c>
      <c r="EG33" s="21" t="n">
        <v>0</v>
      </c>
      <c r="EH33" s="21" t="n">
        <v>0</v>
      </c>
      <c r="EI33" s="21" t="n">
        <v>0</v>
      </c>
      <c r="EJ33" s="21" t="n">
        <v>0</v>
      </c>
      <c r="EK33" s="21" t="n">
        <v>0</v>
      </c>
      <c r="EL33" s="21" t="n">
        <v>0</v>
      </c>
      <c r="EM33" s="21" t="n">
        <v>0</v>
      </c>
      <c r="EN33" s="21" t="n">
        <v>0</v>
      </c>
      <c r="EO33" s="21" t="n">
        <v>0</v>
      </c>
      <c r="EP33" s="21" t="n">
        <v>0</v>
      </c>
      <c r="EQ33" s="21" t="n">
        <v>0</v>
      </c>
      <c r="ER33" s="21" t="n">
        <v>0</v>
      </c>
      <c r="ES33" s="21" t="n">
        <v>0</v>
      </c>
      <c r="ET33" s="21" t="n">
        <v>0</v>
      </c>
      <c r="EU33" s="21" t="n">
        <v>0</v>
      </c>
      <c r="EV33" s="21" t="n">
        <v>0</v>
      </c>
      <c r="EW33" s="21" t="n">
        <v>0</v>
      </c>
      <c r="EX33" s="21" t="n">
        <v>0</v>
      </c>
      <c r="EY33" s="21" t="n">
        <v>0</v>
      </c>
      <c r="EZ33" s="21" t="n">
        <v>0</v>
      </c>
      <c r="FA33" s="21" t="n">
        <v>0</v>
      </c>
      <c r="FB33" s="21" t="n">
        <v>0</v>
      </c>
      <c r="FC33" s="21" t="n">
        <v>0</v>
      </c>
      <c r="FD33" s="21" t="n">
        <v>0</v>
      </c>
      <c r="FE33" s="21" t="n">
        <v>0</v>
      </c>
      <c r="FF33" s="21" t="n">
        <v>0</v>
      </c>
      <c r="FG33" s="21" t="n">
        <v>0</v>
      </c>
      <c r="FH33" s="21" t="n">
        <v>0</v>
      </c>
      <c r="FI33" s="21" t="n">
        <v>0</v>
      </c>
      <c r="FJ33" s="21" t="n">
        <v>0</v>
      </c>
      <c r="FK33" s="21" t="n">
        <v>0</v>
      </c>
      <c r="FL33" s="21" t="n">
        <v>0</v>
      </c>
      <c r="FM33" s="21" t="n">
        <v>0</v>
      </c>
      <c r="FN33" s="21" t="n">
        <v>0</v>
      </c>
      <c r="FO33" s="21" t="n">
        <v>0</v>
      </c>
      <c r="FP33" s="21" t="n">
        <v>0</v>
      </c>
      <c r="FQ33" s="20" t="n">
        <v>1.02</v>
      </c>
      <c r="FR33" s="20" t="n">
        <v>1.02</v>
      </c>
      <c r="FS33" s="20" t="n">
        <v>1.02</v>
      </c>
      <c r="FT33" s="20" t="n">
        <v>1.02</v>
      </c>
      <c r="FU33" s="20" t="n">
        <v>1.02</v>
      </c>
      <c r="FV33" s="20" t="n">
        <v>1.02</v>
      </c>
      <c r="FW33" s="21" t="n">
        <v>0</v>
      </c>
      <c r="FX33" s="21" t="n">
        <v>0</v>
      </c>
      <c r="FY33" s="21" t="n">
        <v>0</v>
      </c>
      <c r="FZ33" s="21" t="n">
        <v>0</v>
      </c>
      <c r="GA33" s="21" t="n">
        <v>0</v>
      </c>
      <c r="GB33" s="21" t="n">
        <v>0</v>
      </c>
      <c r="GC33" s="21" t="n">
        <v>0</v>
      </c>
    </row>
    <row r="34">
      <c r="A34" s="13" t="n">
        <v>27</v>
      </c>
      <c r="B34" s="13" t="inlineStr">
        <is>
          <t>WBS 5.6</t>
        </is>
      </c>
      <c r="C34" s="14" t="inlineStr">
        <is>
          <t>Đổ bê tông gờ lan can C25 &amp; lắp dựng tay vịn thép</t>
        </is>
      </c>
      <c r="D34" s="13" t="inlineStr">
        <is>
          <t>m</t>
        </is>
      </c>
      <c r="E34" s="15" t="n">
        <v>260.8</v>
      </c>
      <c r="F34" s="15" t="n">
        <v>32.6</v>
      </c>
      <c r="G34" s="15" t="n">
        <v>8</v>
      </c>
      <c r="H34" s="15" t="n">
        <v>32.6</v>
      </c>
      <c r="I34" s="16" t="n">
        <v>8</v>
      </c>
      <c r="J34" s="13" t="inlineStr">
        <is>
          <t>08/03/2027</t>
        </is>
      </c>
      <c r="K34" s="13" t="inlineStr">
        <is>
          <t>15/03/2027</t>
        </is>
      </c>
      <c r="L34" s="13" t="n">
        <v>1</v>
      </c>
      <c r="M34" s="17" t="n">
        <v>1</v>
      </c>
      <c r="N34" s="18" t="inlineStr">
        <is>
          <t>Xe bồn 9m3 + Máy phát hàn điện</t>
        </is>
      </c>
      <c r="O34" s="19" t="n">
        <v>10</v>
      </c>
      <c r="P34" s="21" t="n">
        <v>0</v>
      </c>
      <c r="Q34" s="21" t="n">
        <v>0</v>
      </c>
      <c r="R34" s="21" t="n">
        <v>0</v>
      </c>
      <c r="S34" s="21" t="n">
        <v>0</v>
      </c>
      <c r="T34" s="21" t="n">
        <v>0</v>
      </c>
      <c r="U34" s="21" t="n">
        <v>0</v>
      </c>
      <c r="V34" s="21" t="n">
        <v>0</v>
      </c>
      <c r="W34" s="21" t="n">
        <v>0</v>
      </c>
      <c r="X34" s="21" t="n">
        <v>0</v>
      </c>
      <c r="Y34" s="21" t="n">
        <v>0</v>
      </c>
      <c r="Z34" s="21" t="n">
        <v>0</v>
      </c>
      <c r="AA34" s="21" t="n">
        <v>0</v>
      </c>
      <c r="AB34" s="21" t="n">
        <v>0</v>
      </c>
      <c r="AC34" s="21" t="n">
        <v>0</v>
      </c>
      <c r="AD34" s="21" t="n">
        <v>0</v>
      </c>
      <c r="AE34" s="21" t="n">
        <v>0</v>
      </c>
      <c r="AF34" s="21" t="n">
        <v>0</v>
      </c>
      <c r="AG34" s="21" t="n">
        <v>0</v>
      </c>
      <c r="AH34" s="21" t="n">
        <v>0</v>
      </c>
      <c r="AI34" s="21" t="n">
        <v>0</v>
      </c>
      <c r="AJ34" s="21" t="n">
        <v>0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0</v>
      </c>
      <c r="AQ34" s="21" t="n">
        <v>0</v>
      </c>
      <c r="AR34" s="21" t="n">
        <v>0</v>
      </c>
      <c r="AS34" s="21" t="n">
        <v>0</v>
      </c>
      <c r="AT34" s="21" t="n">
        <v>0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0</v>
      </c>
      <c r="BP34" s="21" t="n">
        <v>0</v>
      </c>
      <c r="BQ34" s="21" t="n">
        <v>0</v>
      </c>
      <c r="BR34" s="21" t="n">
        <v>0</v>
      </c>
      <c r="BS34" s="21" t="n">
        <v>0</v>
      </c>
      <c r="BT34" s="21" t="n">
        <v>0</v>
      </c>
      <c r="BU34" s="21" t="n">
        <v>0</v>
      </c>
      <c r="BV34" s="21" t="n">
        <v>0</v>
      </c>
      <c r="BW34" s="21" t="n">
        <v>0</v>
      </c>
      <c r="BX34" s="21" t="n">
        <v>0</v>
      </c>
      <c r="BY34" s="21" t="n">
        <v>0</v>
      </c>
      <c r="BZ34" s="21" t="n">
        <v>0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0</v>
      </c>
      <c r="CN34" s="21" t="n">
        <v>0</v>
      </c>
      <c r="CO34" s="21" t="n">
        <v>0</v>
      </c>
      <c r="CP34" s="21" t="n">
        <v>0</v>
      </c>
      <c r="CQ34" s="21" t="n">
        <v>0</v>
      </c>
      <c r="CR34" s="21" t="n">
        <v>0</v>
      </c>
      <c r="CS34" s="21" t="n">
        <v>0</v>
      </c>
      <c r="CT34" s="21" t="n">
        <v>0</v>
      </c>
      <c r="CU34" s="21" t="n">
        <v>0</v>
      </c>
      <c r="CV34" s="21" t="n">
        <v>0</v>
      </c>
      <c r="CW34" s="21" t="n">
        <v>0</v>
      </c>
      <c r="CX34" s="21" t="n">
        <v>0</v>
      </c>
      <c r="CY34" s="21" t="n">
        <v>0</v>
      </c>
      <c r="CZ34" s="21" t="n">
        <v>0</v>
      </c>
      <c r="DA34" s="21" t="n">
        <v>0</v>
      </c>
      <c r="DB34" s="21" t="n">
        <v>0</v>
      </c>
      <c r="DC34" s="21" t="n">
        <v>0</v>
      </c>
      <c r="DD34" s="21" t="n">
        <v>0</v>
      </c>
      <c r="DE34" s="21" t="n">
        <v>0</v>
      </c>
      <c r="DF34" s="21" t="n">
        <v>0</v>
      </c>
      <c r="DG34" s="21" t="n">
        <v>0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0</v>
      </c>
      <c r="DW34" s="21" t="n">
        <v>0</v>
      </c>
      <c r="DX34" s="21" t="n">
        <v>0</v>
      </c>
      <c r="DY34" s="21" t="n">
        <v>0</v>
      </c>
      <c r="DZ34" s="21" t="n">
        <v>0</v>
      </c>
      <c r="EA34" s="21" t="n">
        <v>0</v>
      </c>
      <c r="EB34" s="21" t="n">
        <v>0</v>
      </c>
      <c r="EC34" s="21" t="n">
        <v>0</v>
      </c>
      <c r="ED34" s="21" t="n">
        <v>0</v>
      </c>
      <c r="EE34" s="21" t="n">
        <v>0</v>
      </c>
      <c r="EF34" s="21" t="n">
        <v>0</v>
      </c>
      <c r="EG34" s="21" t="n">
        <v>0</v>
      </c>
      <c r="EH34" s="21" t="n">
        <v>0</v>
      </c>
      <c r="EI34" s="21" t="n">
        <v>0</v>
      </c>
      <c r="EJ34" s="21" t="n">
        <v>0</v>
      </c>
      <c r="EK34" s="21" t="n">
        <v>0</v>
      </c>
      <c r="EL34" s="21" t="n">
        <v>0</v>
      </c>
      <c r="EM34" s="21" t="n">
        <v>0</v>
      </c>
      <c r="EN34" s="21" t="n">
        <v>0</v>
      </c>
      <c r="EO34" s="21" t="n">
        <v>0</v>
      </c>
      <c r="EP34" s="21" t="n">
        <v>0</v>
      </c>
      <c r="EQ34" s="21" t="n">
        <v>0</v>
      </c>
      <c r="ER34" s="21" t="n">
        <v>0</v>
      </c>
      <c r="ES34" s="21" t="n">
        <v>0</v>
      </c>
      <c r="ET34" s="21" t="n">
        <v>0</v>
      </c>
      <c r="EU34" s="21" t="n">
        <v>0</v>
      </c>
      <c r="EV34" s="21" t="n">
        <v>0</v>
      </c>
      <c r="EW34" s="21" t="n">
        <v>0</v>
      </c>
      <c r="EX34" s="21" t="n">
        <v>0</v>
      </c>
      <c r="EY34" s="21" t="n">
        <v>0</v>
      </c>
      <c r="EZ34" s="21" t="n">
        <v>0</v>
      </c>
      <c r="FA34" s="21" t="n">
        <v>0</v>
      </c>
      <c r="FB34" s="21" t="n">
        <v>0</v>
      </c>
      <c r="FC34" s="21" t="n">
        <v>0</v>
      </c>
      <c r="FD34" s="21" t="n">
        <v>0</v>
      </c>
      <c r="FE34" s="21" t="n">
        <v>0</v>
      </c>
      <c r="FF34" s="21" t="n">
        <v>0</v>
      </c>
      <c r="FG34" s="21" t="n">
        <v>0</v>
      </c>
      <c r="FH34" s="21" t="n">
        <v>0</v>
      </c>
      <c r="FI34" s="21" t="n">
        <v>0</v>
      </c>
      <c r="FJ34" s="21" t="n">
        <v>0</v>
      </c>
      <c r="FK34" s="21" t="n">
        <v>0</v>
      </c>
      <c r="FL34" s="21" t="n">
        <v>0</v>
      </c>
      <c r="FM34" s="21" t="n">
        <v>0</v>
      </c>
      <c r="FN34" s="21" t="n">
        <v>0</v>
      </c>
      <c r="FO34" s="21" t="n">
        <v>0</v>
      </c>
      <c r="FP34" s="21" t="n">
        <v>0</v>
      </c>
      <c r="FQ34" s="21" t="n">
        <v>0</v>
      </c>
      <c r="FR34" s="22" t="n">
        <v>1</v>
      </c>
      <c r="FS34" s="22" t="n">
        <v>1</v>
      </c>
      <c r="FT34" s="22" t="n">
        <v>1</v>
      </c>
      <c r="FU34" s="22" t="n">
        <v>1</v>
      </c>
      <c r="FV34" s="22" t="n">
        <v>1</v>
      </c>
      <c r="FW34" s="22" t="n">
        <v>1</v>
      </c>
      <c r="FX34" s="22" t="n">
        <v>1</v>
      </c>
      <c r="FY34" s="22" t="n">
        <v>1</v>
      </c>
      <c r="FZ34" s="21" t="n">
        <v>0</v>
      </c>
      <c r="GA34" s="21" t="n">
        <v>0</v>
      </c>
      <c r="GB34" s="21" t="n">
        <v>0</v>
      </c>
      <c r="GC34" s="21" t="n">
        <v>0</v>
      </c>
    </row>
    <row r="35">
      <c r="A35" s="13" t="n">
        <v>28</v>
      </c>
      <c r="B35" s="13" t="inlineStr">
        <is>
          <t>WBS 5.7</t>
        </is>
      </c>
      <c r="C35" s="14" t="inlineStr">
        <is>
          <t>Chống thấm &amp; thảm bê tông nhựa C16 mặt cầu dày 7cm</t>
        </is>
      </c>
      <c r="D35" s="13" t="inlineStr">
        <is>
          <t>m2</t>
        </is>
      </c>
      <c r="E35" s="15" t="n">
        <v>1620</v>
      </c>
      <c r="F35" s="15" t="n">
        <v>405</v>
      </c>
      <c r="G35" s="15" t="n">
        <v>4</v>
      </c>
      <c r="H35" s="15" t="n">
        <v>405</v>
      </c>
      <c r="I35" s="16" t="n">
        <v>4</v>
      </c>
      <c r="J35" s="13" t="inlineStr">
        <is>
          <t>16/03/2027</t>
        </is>
      </c>
      <c r="K35" s="13" t="inlineStr">
        <is>
          <t>19/03/2027</t>
        </is>
      </c>
      <c r="L35" s="13" t="n">
        <v>1</v>
      </c>
      <c r="M35" s="17" t="n">
        <v>1</v>
      </c>
      <c r="N35" s="18" t="inlineStr">
        <is>
          <t>Xe phun nhựa + Máy rải Vogele + 2 Lu</t>
        </is>
      </c>
      <c r="O35" s="19" t="n">
        <v>12</v>
      </c>
      <c r="P35" s="21" t="n">
        <v>0</v>
      </c>
      <c r="Q35" s="21" t="n">
        <v>0</v>
      </c>
      <c r="R35" s="21" t="n">
        <v>0</v>
      </c>
      <c r="S35" s="21" t="n">
        <v>0</v>
      </c>
      <c r="T35" s="21" t="n">
        <v>0</v>
      </c>
      <c r="U35" s="21" t="n">
        <v>0</v>
      </c>
      <c r="V35" s="21" t="n">
        <v>0</v>
      </c>
      <c r="W35" s="21" t="n">
        <v>0</v>
      </c>
      <c r="X35" s="21" t="n">
        <v>0</v>
      </c>
      <c r="Y35" s="21" t="n">
        <v>0</v>
      </c>
      <c r="Z35" s="21" t="n">
        <v>0</v>
      </c>
      <c r="AA35" s="21" t="n">
        <v>0</v>
      </c>
      <c r="AB35" s="21" t="n">
        <v>0</v>
      </c>
      <c r="AC35" s="21" t="n">
        <v>0</v>
      </c>
      <c r="AD35" s="21" t="n">
        <v>0</v>
      </c>
      <c r="AE35" s="21" t="n">
        <v>0</v>
      </c>
      <c r="AF35" s="21" t="n">
        <v>0</v>
      </c>
      <c r="AG35" s="21" t="n">
        <v>0</v>
      </c>
      <c r="AH35" s="21" t="n">
        <v>0</v>
      </c>
      <c r="AI35" s="21" t="n">
        <v>0</v>
      </c>
      <c r="AJ35" s="21" t="n">
        <v>0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0</v>
      </c>
      <c r="AS35" s="21" t="n">
        <v>0</v>
      </c>
      <c r="AT35" s="21" t="n">
        <v>0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0</v>
      </c>
      <c r="BP35" s="21" t="n">
        <v>0</v>
      </c>
      <c r="BQ35" s="21" t="n">
        <v>0</v>
      </c>
      <c r="BR35" s="21" t="n">
        <v>0</v>
      </c>
      <c r="BS35" s="21" t="n">
        <v>0</v>
      </c>
      <c r="BT35" s="21" t="n">
        <v>0</v>
      </c>
      <c r="BU35" s="21" t="n">
        <v>0</v>
      </c>
      <c r="BV35" s="21" t="n">
        <v>0</v>
      </c>
      <c r="BW35" s="21" t="n">
        <v>0</v>
      </c>
      <c r="BX35" s="21" t="n">
        <v>0</v>
      </c>
      <c r="BY35" s="21" t="n">
        <v>0</v>
      </c>
      <c r="BZ35" s="21" t="n">
        <v>0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0</v>
      </c>
      <c r="CN35" s="21" t="n">
        <v>0</v>
      </c>
      <c r="CO35" s="21" t="n">
        <v>0</v>
      </c>
      <c r="CP35" s="21" t="n">
        <v>0</v>
      </c>
      <c r="CQ35" s="21" t="n">
        <v>0</v>
      </c>
      <c r="CR35" s="21" t="n">
        <v>0</v>
      </c>
      <c r="CS35" s="21" t="n">
        <v>0</v>
      </c>
      <c r="CT35" s="21" t="n">
        <v>0</v>
      </c>
      <c r="CU35" s="21" t="n">
        <v>0</v>
      </c>
      <c r="CV35" s="21" t="n">
        <v>0</v>
      </c>
      <c r="CW35" s="21" t="n">
        <v>0</v>
      </c>
      <c r="CX35" s="21" t="n">
        <v>0</v>
      </c>
      <c r="CY35" s="21" t="n">
        <v>0</v>
      </c>
      <c r="CZ35" s="21" t="n">
        <v>0</v>
      </c>
      <c r="DA35" s="21" t="n">
        <v>0</v>
      </c>
      <c r="DB35" s="21" t="n">
        <v>0</v>
      </c>
      <c r="DC35" s="21" t="n">
        <v>0</v>
      </c>
      <c r="DD35" s="21" t="n">
        <v>0</v>
      </c>
      <c r="DE35" s="21" t="n">
        <v>0</v>
      </c>
      <c r="DF35" s="21" t="n">
        <v>0</v>
      </c>
      <c r="DG35" s="21" t="n">
        <v>0</v>
      </c>
      <c r="DH35" s="21" t="n">
        <v>0</v>
      </c>
      <c r="DI35" s="21" t="n">
        <v>0</v>
      </c>
      <c r="DJ35" s="21" t="n">
        <v>0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0</v>
      </c>
      <c r="DW35" s="21" t="n">
        <v>0</v>
      </c>
      <c r="DX35" s="21" t="n">
        <v>0</v>
      </c>
      <c r="DY35" s="21" t="n">
        <v>0</v>
      </c>
      <c r="DZ35" s="21" t="n">
        <v>0</v>
      </c>
      <c r="EA35" s="21" t="n">
        <v>0</v>
      </c>
      <c r="EB35" s="21" t="n">
        <v>0</v>
      </c>
      <c r="EC35" s="21" t="n">
        <v>0</v>
      </c>
      <c r="ED35" s="21" t="n">
        <v>0</v>
      </c>
      <c r="EE35" s="21" t="n">
        <v>0</v>
      </c>
      <c r="EF35" s="21" t="n">
        <v>0</v>
      </c>
      <c r="EG35" s="21" t="n">
        <v>0</v>
      </c>
      <c r="EH35" s="21" t="n">
        <v>0</v>
      </c>
      <c r="EI35" s="21" t="n">
        <v>0</v>
      </c>
      <c r="EJ35" s="21" t="n">
        <v>0</v>
      </c>
      <c r="EK35" s="21" t="n">
        <v>0</v>
      </c>
      <c r="EL35" s="21" t="n">
        <v>0</v>
      </c>
      <c r="EM35" s="21" t="n">
        <v>0</v>
      </c>
      <c r="EN35" s="21" t="n">
        <v>0</v>
      </c>
      <c r="EO35" s="21" t="n">
        <v>0</v>
      </c>
      <c r="EP35" s="21" t="n">
        <v>0</v>
      </c>
      <c r="EQ35" s="21" t="n">
        <v>0</v>
      </c>
      <c r="ER35" s="21" t="n">
        <v>0</v>
      </c>
      <c r="ES35" s="21" t="n">
        <v>0</v>
      </c>
      <c r="ET35" s="21" t="n">
        <v>0</v>
      </c>
      <c r="EU35" s="21" t="n">
        <v>0</v>
      </c>
      <c r="EV35" s="21" t="n">
        <v>0</v>
      </c>
      <c r="EW35" s="21" t="n">
        <v>0</v>
      </c>
      <c r="EX35" s="21" t="n">
        <v>0</v>
      </c>
      <c r="EY35" s="21" t="n">
        <v>0</v>
      </c>
      <c r="EZ35" s="21" t="n">
        <v>0</v>
      </c>
      <c r="FA35" s="21" t="n">
        <v>0</v>
      </c>
      <c r="FB35" s="21" t="n">
        <v>0</v>
      </c>
      <c r="FC35" s="21" t="n">
        <v>0</v>
      </c>
      <c r="FD35" s="21" t="n">
        <v>0</v>
      </c>
      <c r="FE35" s="21" t="n">
        <v>0</v>
      </c>
      <c r="FF35" s="21" t="n">
        <v>0</v>
      </c>
      <c r="FG35" s="21" t="n">
        <v>0</v>
      </c>
      <c r="FH35" s="21" t="n">
        <v>0</v>
      </c>
      <c r="FI35" s="21" t="n">
        <v>0</v>
      </c>
      <c r="FJ35" s="21" t="n">
        <v>0</v>
      </c>
      <c r="FK35" s="21" t="n">
        <v>0</v>
      </c>
      <c r="FL35" s="21" t="n">
        <v>0</v>
      </c>
      <c r="FM35" s="21" t="n">
        <v>0</v>
      </c>
      <c r="FN35" s="21" t="n">
        <v>0</v>
      </c>
      <c r="FO35" s="21" t="n">
        <v>0</v>
      </c>
      <c r="FP35" s="21" t="n">
        <v>0</v>
      </c>
      <c r="FQ35" s="21" t="n">
        <v>0</v>
      </c>
      <c r="FR35" s="21" t="n">
        <v>0</v>
      </c>
      <c r="FS35" s="21" t="n">
        <v>0</v>
      </c>
      <c r="FT35" s="21" t="n">
        <v>0</v>
      </c>
      <c r="FU35" s="21" t="n">
        <v>0</v>
      </c>
      <c r="FV35" s="21" t="n">
        <v>0</v>
      </c>
      <c r="FW35" s="21" t="n">
        <v>0</v>
      </c>
      <c r="FX35" s="21" t="n">
        <v>0</v>
      </c>
      <c r="FY35" s="21" t="n">
        <v>0</v>
      </c>
      <c r="FZ35" s="22" t="n">
        <v>1</v>
      </c>
      <c r="GA35" s="22" t="n">
        <v>1</v>
      </c>
      <c r="GB35" s="22" t="n">
        <v>1</v>
      </c>
      <c r="GC35" s="22" t="n">
        <v>1</v>
      </c>
    </row>
    <row r="36">
      <c r="E36" s="23" t="n"/>
      <c r="F36" s="23" t="n"/>
      <c r="G36" s="23" t="n"/>
      <c r="H36" s="23" t="n"/>
      <c r="M36" s="24" t="n"/>
      <c r="O36" s="25" t="n"/>
    </row>
    <row r="37">
      <c r="A37" s="26" t="n"/>
      <c r="B37" s="26" t="n"/>
      <c r="C37" s="27" t="inlineStr">
        <is>
          <t>TỔNG NHÂN CÔNG TRÊN CÔNG TRƯỜNG CẦU KM19+529.080 (Người/ngày)</t>
        </is>
      </c>
      <c r="D37" s="26" t="n"/>
      <c r="E37" s="28" t="n"/>
      <c r="F37" s="28" t="n"/>
      <c r="G37" s="28" t="n"/>
      <c r="H37" s="28" t="n"/>
      <c r="I37" s="26" t="n"/>
      <c r="J37" s="26" t="n"/>
      <c r="K37" s="26" t="n"/>
      <c r="L37" s="26" t="n"/>
      <c r="M37" s="29" t="n"/>
      <c r="N37" s="26" t="n"/>
      <c r="O37" s="30" t="n"/>
      <c r="P37" s="31" t="n">
        <v>6</v>
      </c>
      <c r="Q37" s="31" t="n">
        <v>6</v>
      </c>
      <c r="R37" s="31" t="n">
        <v>10</v>
      </c>
      <c r="S37" s="31" t="n">
        <v>10</v>
      </c>
      <c r="T37" s="31" t="n">
        <v>10</v>
      </c>
      <c r="U37" s="31" t="n">
        <v>10</v>
      </c>
      <c r="V37" s="31" t="n">
        <v>10</v>
      </c>
      <c r="W37" s="31" t="n">
        <v>10</v>
      </c>
      <c r="X37" s="31" t="n">
        <v>12</v>
      </c>
      <c r="Y37" s="31" t="n">
        <v>12</v>
      </c>
      <c r="Z37" s="31" t="n">
        <v>12</v>
      </c>
      <c r="AA37" s="31" t="n">
        <v>27</v>
      </c>
      <c r="AB37" s="31" t="n">
        <v>27</v>
      </c>
      <c r="AC37" s="31" t="n">
        <v>27</v>
      </c>
      <c r="AD37" s="31" t="n">
        <v>27</v>
      </c>
      <c r="AE37" s="31" t="n">
        <v>27</v>
      </c>
      <c r="AF37" s="31" t="n">
        <v>27</v>
      </c>
      <c r="AG37" s="31" t="n">
        <v>27</v>
      </c>
      <c r="AH37" s="31" t="n">
        <v>15</v>
      </c>
      <c r="AI37" s="31" t="n">
        <v>15</v>
      </c>
      <c r="AJ37" s="31" t="n">
        <v>15</v>
      </c>
      <c r="AK37" s="31" t="n">
        <v>15</v>
      </c>
      <c r="AL37" s="31" t="n">
        <v>15</v>
      </c>
      <c r="AM37" s="31" t="n">
        <v>15</v>
      </c>
      <c r="AN37" s="31" t="n">
        <v>8</v>
      </c>
      <c r="AO37" s="31" t="n">
        <v>8</v>
      </c>
      <c r="AP37" s="31" t="n">
        <v>8</v>
      </c>
      <c r="AQ37" s="31" t="n">
        <v>8</v>
      </c>
      <c r="AR37" s="31" t="n">
        <v>8</v>
      </c>
      <c r="AS37" s="31" t="n">
        <v>8</v>
      </c>
      <c r="AT37" s="31" t="n">
        <v>8</v>
      </c>
      <c r="AU37" s="31" t="n">
        <v>8</v>
      </c>
      <c r="AV37" s="31" t="n">
        <v>8</v>
      </c>
      <c r="AW37" s="31" t="n">
        <v>8</v>
      </c>
      <c r="AX37" s="31" t="n">
        <v>8</v>
      </c>
      <c r="AY37" s="31" t="n">
        <v>8</v>
      </c>
      <c r="AZ37" s="31" t="n">
        <v>10</v>
      </c>
      <c r="BA37" s="31" t="n">
        <v>10</v>
      </c>
      <c r="BB37" s="31" t="n">
        <v>10</v>
      </c>
      <c r="BC37" s="31" t="n">
        <v>10</v>
      </c>
      <c r="BD37" s="31" t="n">
        <v>26</v>
      </c>
      <c r="BE37" s="31" t="n">
        <v>26</v>
      </c>
      <c r="BF37" s="31" t="n">
        <v>26</v>
      </c>
      <c r="BG37" s="31" t="n">
        <v>16</v>
      </c>
      <c r="BH37" s="31" t="n">
        <v>16</v>
      </c>
      <c r="BI37" s="31" t="n">
        <v>16</v>
      </c>
      <c r="BJ37" s="31" t="n">
        <v>16</v>
      </c>
      <c r="BK37" s="31" t="n">
        <v>16</v>
      </c>
      <c r="BL37" s="31" t="n">
        <v>30</v>
      </c>
      <c r="BM37" s="31" t="n">
        <v>30</v>
      </c>
      <c r="BN37" s="31" t="n">
        <v>30</v>
      </c>
      <c r="BO37" s="31" t="n">
        <v>30</v>
      </c>
      <c r="BP37" s="31" t="n">
        <v>30</v>
      </c>
      <c r="BQ37" s="31" t="n">
        <v>30</v>
      </c>
      <c r="BR37" s="31" t="n">
        <v>30</v>
      </c>
      <c r="BS37" s="31" t="n">
        <v>44</v>
      </c>
      <c r="BT37" s="31" t="n">
        <v>44</v>
      </c>
      <c r="BU37" s="31" t="n">
        <v>44</v>
      </c>
      <c r="BV37" s="31" t="n">
        <v>60</v>
      </c>
      <c r="BW37" s="31" t="n">
        <v>44</v>
      </c>
      <c r="BX37" s="31" t="n">
        <v>44</v>
      </c>
      <c r="BY37" s="31" t="n">
        <v>44</v>
      </c>
      <c r="BZ37" s="31" t="n">
        <v>44</v>
      </c>
      <c r="CA37" s="31" t="n">
        <v>44</v>
      </c>
      <c r="CB37" s="31" t="n">
        <v>44</v>
      </c>
      <c r="CC37" s="31" t="n">
        <v>30</v>
      </c>
      <c r="CD37" s="31" t="n">
        <v>30</v>
      </c>
      <c r="CE37" s="31" t="n">
        <v>30</v>
      </c>
      <c r="CF37" s="31" t="n">
        <v>30</v>
      </c>
      <c r="CG37" s="31" t="n">
        <v>30</v>
      </c>
      <c r="CH37" s="31" t="n">
        <v>30</v>
      </c>
      <c r="CI37" s="31" t="n">
        <v>30</v>
      </c>
      <c r="CJ37" s="31" t="n">
        <v>30</v>
      </c>
      <c r="CK37" s="31" t="n">
        <v>22</v>
      </c>
      <c r="CL37" s="31" t="n">
        <v>22</v>
      </c>
      <c r="CM37" s="31" t="n">
        <v>22</v>
      </c>
      <c r="CN37" s="31" t="n">
        <v>22</v>
      </c>
      <c r="CO37" s="31" t="n">
        <v>22</v>
      </c>
      <c r="CP37" s="31" t="n">
        <v>22</v>
      </c>
      <c r="CQ37" s="31" t="n">
        <v>22</v>
      </c>
      <c r="CR37" s="31" t="n">
        <v>22</v>
      </c>
      <c r="CS37" s="31" t="n">
        <v>26</v>
      </c>
      <c r="CT37" s="31" t="n">
        <v>26</v>
      </c>
      <c r="CU37" s="31" t="n">
        <v>26</v>
      </c>
      <c r="CV37" s="31" t="n">
        <v>26</v>
      </c>
      <c r="CW37" s="31" t="n">
        <v>26</v>
      </c>
      <c r="CX37" s="31" t="n">
        <v>26</v>
      </c>
      <c r="CY37" s="31" t="n">
        <v>26</v>
      </c>
      <c r="CZ37" s="31" t="n">
        <v>32</v>
      </c>
      <c r="DA37" s="31" t="n">
        <v>32</v>
      </c>
      <c r="DB37" s="31" t="n">
        <v>50</v>
      </c>
      <c r="DC37" s="31" t="n">
        <v>50</v>
      </c>
      <c r="DD37" s="31" t="n">
        <v>50</v>
      </c>
      <c r="DE37" s="31" t="n">
        <v>50</v>
      </c>
      <c r="DF37" s="31" t="n">
        <v>50</v>
      </c>
      <c r="DG37" s="31" t="n">
        <v>50</v>
      </c>
      <c r="DH37" s="31" t="n">
        <v>34</v>
      </c>
      <c r="DI37" s="31" t="n">
        <v>48</v>
      </c>
      <c r="DJ37" s="31" t="n">
        <v>48</v>
      </c>
      <c r="DK37" s="31" t="n">
        <v>48</v>
      </c>
      <c r="DL37" s="31" t="n">
        <v>48</v>
      </c>
      <c r="DM37" s="31" t="n">
        <v>48</v>
      </c>
      <c r="DN37" s="31" t="n">
        <v>48</v>
      </c>
      <c r="DO37" s="31" t="n">
        <v>48</v>
      </c>
      <c r="DP37" s="31" t="n">
        <v>48</v>
      </c>
      <c r="DQ37" s="31" t="n">
        <v>48</v>
      </c>
      <c r="DR37" s="31" t="n">
        <v>48</v>
      </c>
      <c r="DS37" s="31" t="n">
        <v>40</v>
      </c>
      <c r="DT37" s="31" t="n">
        <v>40</v>
      </c>
      <c r="DU37" s="31" t="n">
        <v>40</v>
      </c>
      <c r="DV37" s="31" t="n">
        <v>26</v>
      </c>
      <c r="DW37" s="31" t="n">
        <v>26</v>
      </c>
      <c r="DX37" s="31" t="n">
        <v>26</v>
      </c>
      <c r="DY37" s="31" t="n">
        <v>26</v>
      </c>
      <c r="DZ37" s="31" t="n">
        <v>22</v>
      </c>
      <c r="EA37" s="31" t="n">
        <v>22</v>
      </c>
      <c r="EB37" s="31" t="n">
        <v>22</v>
      </c>
      <c r="EC37" s="31" t="n">
        <v>14</v>
      </c>
      <c r="ED37" s="31" t="n">
        <v>14</v>
      </c>
      <c r="EE37" s="31" t="n">
        <v>14</v>
      </c>
      <c r="EF37" s="31" t="n">
        <v>14</v>
      </c>
      <c r="EG37" s="31" t="n">
        <v>14</v>
      </c>
      <c r="EH37" s="31" t="n">
        <v>6</v>
      </c>
      <c r="EI37" s="31" t="n">
        <v>6</v>
      </c>
      <c r="EJ37" s="31" t="n">
        <v>6</v>
      </c>
      <c r="EK37" s="31" t="n">
        <v>6</v>
      </c>
      <c r="EL37" s="31" t="n">
        <v>6</v>
      </c>
      <c r="EM37" s="31" t="n">
        <v>12</v>
      </c>
      <c r="EN37" s="31" t="n">
        <v>12</v>
      </c>
      <c r="EO37" s="31" t="n">
        <v>12</v>
      </c>
      <c r="EP37" s="31" t="n">
        <v>12</v>
      </c>
      <c r="EQ37" s="31" t="n">
        <v>12</v>
      </c>
      <c r="ER37" s="31" t="n">
        <v>12</v>
      </c>
      <c r="ES37" s="31" t="n">
        <v>12</v>
      </c>
      <c r="ET37" s="31" t="n">
        <v>12</v>
      </c>
      <c r="EU37" s="31" t="n">
        <v>12</v>
      </c>
      <c r="EV37" s="31" t="n">
        <v>12</v>
      </c>
      <c r="EW37" s="31" t="n">
        <v>12</v>
      </c>
      <c r="EX37" s="31" t="n">
        <v>12</v>
      </c>
      <c r="EY37" s="31" t="n">
        <v>12</v>
      </c>
      <c r="EZ37" s="31" t="n">
        <v>12</v>
      </c>
      <c r="FA37" s="31" t="n">
        <v>12</v>
      </c>
      <c r="FB37" s="31" t="n">
        <v>14</v>
      </c>
      <c r="FC37" s="31" t="n">
        <v>14</v>
      </c>
      <c r="FD37" s="31" t="n">
        <v>14</v>
      </c>
      <c r="FE37" s="31" t="n">
        <v>14</v>
      </c>
      <c r="FF37" s="31" t="n">
        <v>14</v>
      </c>
      <c r="FG37" s="31" t="n">
        <v>18</v>
      </c>
      <c r="FH37" s="31" t="n">
        <v>18</v>
      </c>
      <c r="FI37" s="31" t="n">
        <v>18</v>
      </c>
      <c r="FJ37" s="31" t="n">
        <v>18</v>
      </c>
      <c r="FK37" s="31" t="n">
        <v>28</v>
      </c>
      <c r="FL37" s="31" t="n">
        <v>28</v>
      </c>
      <c r="FM37" s="31" t="n">
        <v>10</v>
      </c>
      <c r="FN37" s="31" t="n">
        <v>10</v>
      </c>
      <c r="FO37" s="31" t="n">
        <v>10</v>
      </c>
      <c r="FP37" s="31" t="n">
        <v>10</v>
      </c>
      <c r="FQ37" s="31" t="n">
        <v>6</v>
      </c>
      <c r="FR37" s="31" t="n">
        <v>16</v>
      </c>
      <c r="FS37" s="31" t="n">
        <v>16</v>
      </c>
      <c r="FT37" s="31" t="n">
        <v>16</v>
      </c>
      <c r="FU37" s="31" t="n">
        <v>16</v>
      </c>
      <c r="FV37" s="31" t="n">
        <v>16</v>
      </c>
      <c r="FW37" s="31" t="n">
        <v>10</v>
      </c>
      <c r="FX37" s="31" t="n">
        <v>10</v>
      </c>
      <c r="FY37" s="31" t="n">
        <v>10</v>
      </c>
      <c r="FZ37" s="31" t="n">
        <v>12</v>
      </c>
      <c r="GA37" s="31" t="n">
        <v>12</v>
      </c>
      <c r="GB37" s="31" t="n">
        <v>12</v>
      </c>
      <c r="GC37" s="31" t="n">
        <v>12</v>
      </c>
    </row>
    <row r="38">
      <c r="E38" s="23" t="n"/>
      <c r="F38" s="23" t="n"/>
      <c r="G38" s="23" t="n"/>
      <c r="H38" s="23" t="n"/>
      <c r="M38" s="24" t="n"/>
      <c r="O38" s="25" t="n"/>
    </row>
    <row r="39">
      <c r="C39" s="32" t="inlineStr">
        <is>
          <t>BẢNG TỔNG HỢP CA MÁY &amp; PHƯƠNG TIỆN HUY ĐỘNG THEO NGÀY (CÔNG TRƯỜNG CẦU KM19)</t>
        </is>
      </c>
      <c r="D39" s="33" t="n"/>
      <c r="E39" s="34" t="n"/>
      <c r="F39" s="34" t="n"/>
      <c r="G39" s="34" t="n"/>
      <c r="H39" s="34" t="n"/>
      <c r="I39" s="33" t="n"/>
      <c r="J39" s="33" t="n"/>
      <c r="K39" s="33" t="n"/>
      <c r="L39" s="33" t="n"/>
      <c r="M39" s="35" t="n"/>
      <c r="N39" s="33" t="n"/>
      <c r="O39" s="36" t="n"/>
    </row>
    <row r="40">
      <c r="A40" s="37" t="inlineStr">
        <is>
          <t>Mã</t>
        </is>
      </c>
      <c r="B40" s="37" t="n"/>
      <c r="C40" s="37" t="inlineStr">
        <is>
          <t>Chủng loại phương tiện / Thiết bị</t>
        </is>
      </c>
      <c r="D40" s="37" t="inlineStr">
        <is>
          <t>ĐVT</t>
        </is>
      </c>
      <c r="E40" s="38" t="inlineStr">
        <is>
          <t>ĐM dầu (l/ca)</t>
        </is>
      </c>
      <c r="F40" s="38" t="inlineStr">
        <is>
          <t>Max máy</t>
        </is>
      </c>
      <c r="G40" s="38" t="inlineStr">
        <is>
          <t>Nhiệm vụ thi công chính trên Cầu Km19</t>
        </is>
      </c>
      <c r="H40" s="38" t="n"/>
      <c r="I40" s="37" t="n"/>
      <c r="J40" s="37" t="n"/>
      <c r="K40" s="37" t="n"/>
      <c r="L40" s="37" t="n"/>
      <c r="M40" s="39" t="n"/>
      <c r="N40" s="37" t="n"/>
      <c r="O40" s="40" t="n"/>
      <c r="P40" s="9" t="inlineStr">
        <is>
          <t>01/10</t>
        </is>
      </c>
      <c r="Q40" s="9" t="inlineStr">
        <is>
          <t>02/10</t>
        </is>
      </c>
      <c r="R40" s="9" t="inlineStr">
        <is>
          <t>03/10</t>
        </is>
      </c>
      <c r="S40" s="9" t="inlineStr">
        <is>
          <t>04/10</t>
        </is>
      </c>
      <c r="T40" s="9" t="inlineStr">
        <is>
          <t>05/10</t>
        </is>
      </c>
      <c r="U40" s="9" t="inlineStr">
        <is>
          <t>06/10</t>
        </is>
      </c>
      <c r="V40" s="9" t="inlineStr">
        <is>
          <t>07/10</t>
        </is>
      </c>
      <c r="W40" s="9" t="inlineStr">
        <is>
          <t>08/10</t>
        </is>
      </c>
      <c r="X40" s="9" t="inlineStr">
        <is>
          <t>09/10</t>
        </is>
      </c>
      <c r="Y40" s="9" t="inlineStr">
        <is>
          <t>10/10</t>
        </is>
      </c>
      <c r="Z40" s="9" t="inlineStr">
        <is>
          <t>11/10</t>
        </is>
      </c>
      <c r="AA40" s="9" t="inlineStr">
        <is>
          <t>12/10</t>
        </is>
      </c>
      <c r="AB40" s="9" t="inlineStr">
        <is>
          <t>13/10</t>
        </is>
      </c>
      <c r="AC40" s="9" t="inlineStr">
        <is>
          <t>14/10</t>
        </is>
      </c>
      <c r="AD40" s="9" t="inlineStr">
        <is>
          <t>15/10</t>
        </is>
      </c>
      <c r="AE40" s="9" t="inlineStr">
        <is>
          <t>16/10</t>
        </is>
      </c>
      <c r="AF40" s="9" t="inlineStr">
        <is>
          <t>17/10</t>
        </is>
      </c>
      <c r="AG40" s="9" t="inlineStr">
        <is>
          <t>18/10</t>
        </is>
      </c>
      <c r="AH40" s="9" t="inlineStr">
        <is>
          <t>19/10</t>
        </is>
      </c>
      <c r="AI40" s="9" t="inlineStr">
        <is>
          <t>20/10</t>
        </is>
      </c>
      <c r="AJ40" s="9" t="inlineStr">
        <is>
          <t>21/10</t>
        </is>
      </c>
      <c r="AK40" s="9" t="inlineStr">
        <is>
          <t>22/10</t>
        </is>
      </c>
      <c r="AL40" s="9" t="inlineStr">
        <is>
          <t>23/10</t>
        </is>
      </c>
      <c r="AM40" s="9" t="inlineStr">
        <is>
          <t>24/10</t>
        </is>
      </c>
      <c r="AN40" s="9" t="inlineStr">
        <is>
          <t>25/10</t>
        </is>
      </c>
      <c r="AO40" s="9" t="inlineStr">
        <is>
          <t>26/10</t>
        </is>
      </c>
      <c r="AP40" s="9" t="inlineStr">
        <is>
          <t>27/10</t>
        </is>
      </c>
      <c r="AQ40" s="9" t="inlineStr">
        <is>
          <t>28/10</t>
        </is>
      </c>
      <c r="AR40" s="9" t="inlineStr">
        <is>
          <t>29/10</t>
        </is>
      </c>
      <c r="AS40" s="9" t="inlineStr">
        <is>
          <t>30/10</t>
        </is>
      </c>
      <c r="AT40" s="9" t="inlineStr">
        <is>
          <t>31/10</t>
        </is>
      </c>
      <c r="AU40" s="9" t="inlineStr">
        <is>
          <t>01/11</t>
        </is>
      </c>
      <c r="AV40" s="9" t="inlineStr">
        <is>
          <t>02/11</t>
        </is>
      </c>
      <c r="AW40" s="9" t="inlineStr">
        <is>
          <t>03/11</t>
        </is>
      </c>
      <c r="AX40" s="9" t="inlineStr">
        <is>
          <t>04/11</t>
        </is>
      </c>
      <c r="AY40" s="9" t="inlineStr">
        <is>
          <t>05/11</t>
        </is>
      </c>
      <c r="AZ40" s="9" t="inlineStr">
        <is>
          <t>06/11</t>
        </is>
      </c>
      <c r="BA40" s="9" t="inlineStr">
        <is>
          <t>07/11</t>
        </is>
      </c>
      <c r="BB40" s="9" t="inlineStr">
        <is>
          <t>08/11</t>
        </is>
      </c>
      <c r="BC40" s="9" t="inlineStr">
        <is>
          <t>09/11</t>
        </is>
      </c>
      <c r="BD40" s="9" t="inlineStr">
        <is>
          <t>10/11</t>
        </is>
      </c>
      <c r="BE40" s="9" t="inlineStr">
        <is>
          <t>11/11</t>
        </is>
      </c>
      <c r="BF40" s="9" t="inlineStr">
        <is>
          <t>12/11</t>
        </is>
      </c>
      <c r="BG40" s="9" t="inlineStr">
        <is>
          <t>13/11</t>
        </is>
      </c>
      <c r="BH40" s="9" t="inlineStr">
        <is>
          <t>14/11</t>
        </is>
      </c>
      <c r="BI40" s="9" t="inlineStr">
        <is>
          <t>15/11</t>
        </is>
      </c>
      <c r="BJ40" s="9" t="inlineStr">
        <is>
          <t>16/11</t>
        </is>
      </c>
      <c r="BK40" s="9" t="inlineStr">
        <is>
          <t>17/11</t>
        </is>
      </c>
      <c r="BL40" s="9" t="inlineStr">
        <is>
          <t>18/11</t>
        </is>
      </c>
      <c r="BM40" s="9" t="inlineStr">
        <is>
          <t>19/11</t>
        </is>
      </c>
      <c r="BN40" s="9" t="inlineStr">
        <is>
          <t>20/11</t>
        </is>
      </c>
      <c r="BO40" s="9" t="inlineStr">
        <is>
          <t>21/11</t>
        </is>
      </c>
      <c r="BP40" s="9" t="inlineStr">
        <is>
          <t>22/11</t>
        </is>
      </c>
      <c r="BQ40" s="9" t="inlineStr">
        <is>
          <t>23/11</t>
        </is>
      </c>
      <c r="BR40" s="9" t="inlineStr">
        <is>
          <t>24/11</t>
        </is>
      </c>
      <c r="BS40" s="9" t="inlineStr">
        <is>
          <t>25/11</t>
        </is>
      </c>
      <c r="BT40" s="9" t="inlineStr">
        <is>
          <t>26/11</t>
        </is>
      </c>
      <c r="BU40" s="9" t="inlineStr">
        <is>
          <t>27/11</t>
        </is>
      </c>
      <c r="BV40" s="9" t="inlineStr">
        <is>
          <t>28/11</t>
        </is>
      </c>
      <c r="BW40" s="9" t="inlineStr">
        <is>
          <t>29/11</t>
        </is>
      </c>
      <c r="BX40" s="9" t="inlineStr">
        <is>
          <t>30/11</t>
        </is>
      </c>
      <c r="BY40" s="9" t="inlineStr">
        <is>
          <t>01/12</t>
        </is>
      </c>
      <c r="BZ40" s="9" t="inlineStr">
        <is>
          <t>02/12</t>
        </is>
      </c>
      <c r="CA40" s="9" t="inlineStr">
        <is>
          <t>03/12</t>
        </is>
      </c>
      <c r="CB40" s="9" t="inlineStr">
        <is>
          <t>04/12</t>
        </is>
      </c>
      <c r="CC40" s="9" t="inlineStr">
        <is>
          <t>05/12</t>
        </is>
      </c>
      <c r="CD40" s="9" t="inlineStr">
        <is>
          <t>06/12</t>
        </is>
      </c>
      <c r="CE40" s="9" t="inlineStr">
        <is>
          <t>07/12</t>
        </is>
      </c>
      <c r="CF40" s="9" t="inlineStr">
        <is>
          <t>08/12</t>
        </is>
      </c>
      <c r="CG40" s="9" t="inlineStr">
        <is>
          <t>09/12</t>
        </is>
      </c>
      <c r="CH40" s="9" t="inlineStr">
        <is>
          <t>10/12</t>
        </is>
      </c>
      <c r="CI40" s="9" t="inlineStr">
        <is>
          <t>11/12</t>
        </is>
      </c>
      <c r="CJ40" s="9" t="inlineStr">
        <is>
          <t>12/12</t>
        </is>
      </c>
      <c r="CK40" s="9" t="inlineStr">
        <is>
          <t>13/12</t>
        </is>
      </c>
      <c r="CL40" s="9" t="inlineStr">
        <is>
          <t>14/12</t>
        </is>
      </c>
      <c r="CM40" s="9" t="inlineStr">
        <is>
          <t>15/12</t>
        </is>
      </c>
      <c r="CN40" s="9" t="inlineStr">
        <is>
          <t>16/12</t>
        </is>
      </c>
      <c r="CO40" s="9" t="inlineStr">
        <is>
          <t>17/12</t>
        </is>
      </c>
      <c r="CP40" s="9" t="inlineStr">
        <is>
          <t>18/12</t>
        </is>
      </c>
      <c r="CQ40" s="9" t="inlineStr">
        <is>
          <t>19/12</t>
        </is>
      </c>
      <c r="CR40" s="9" t="inlineStr">
        <is>
          <t>20/12</t>
        </is>
      </c>
      <c r="CS40" s="9" t="inlineStr">
        <is>
          <t>21/12</t>
        </is>
      </c>
      <c r="CT40" s="9" t="inlineStr">
        <is>
          <t>22/12</t>
        </is>
      </c>
      <c r="CU40" s="9" t="inlineStr">
        <is>
          <t>23/12</t>
        </is>
      </c>
      <c r="CV40" s="9" t="inlineStr">
        <is>
          <t>24/12</t>
        </is>
      </c>
      <c r="CW40" s="9" t="inlineStr">
        <is>
          <t>25/12</t>
        </is>
      </c>
      <c r="CX40" s="9" t="inlineStr">
        <is>
          <t>26/12</t>
        </is>
      </c>
      <c r="CY40" s="9" t="inlineStr">
        <is>
          <t>27/12</t>
        </is>
      </c>
      <c r="CZ40" s="9" t="inlineStr">
        <is>
          <t>28/12</t>
        </is>
      </c>
      <c r="DA40" s="9" t="inlineStr">
        <is>
          <t>29/12</t>
        </is>
      </c>
      <c r="DB40" s="9" t="inlineStr">
        <is>
          <t>30/12</t>
        </is>
      </c>
      <c r="DC40" s="9" t="inlineStr">
        <is>
          <t>31/12</t>
        </is>
      </c>
      <c r="DD40" s="9" t="inlineStr">
        <is>
          <t>01/01</t>
        </is>
      </c>
      <c r="DE40" s="9" t="inlineStr">
        <is>
          <t>02/01</t>
        </is>
      </c>
      <c r="DF40" s="9" t="inlineStr">
        <is>
          <t>03/01</t>
        </is>
      </c>
      <c r="DG40" s="9" t="inlineStr">
        <is>
          <t>04/01</t>
        </is>
      </c>
      <c r="DH40" s="9" t="inlineStr">
        <is>
          <t>05/01</t>
        </is>
      </c>
      <c r="DI40" s="9" t="inlineStr">
        <is>
          <t>06/01</t>
        </is>
      </c>
      <c r="DJ40" s="9" t="inlineStr">
        <is>
          <t>07/01</t>
        </is>
      </c>
      <c r="DK40" s="9" t="inlineStr">
        <is>
          <t>08/01</t>
        </is>
      </c>
      <c r="DL40" s="9" t="inlineStr">
        <is>
          <t>09/01</t>
        </is>
      </c>
      <c r="DM40" s="9" t="inlineStr">
        <is>
          <t>10/01</t>
        </is>
      </c>
      <c r="DN40" s="9" t="inlineStr">
        <is>
          <t>11/01</t>
        </is>
      </c>
      <c r="DO40" s="9" t="inlineStr">
        <is>
          <t>12/01</t>
        </is>
      </c>
      <c r="DP40" s="9" t="inlineStr">
        <is>
          <t>13/01</t>
        </is>
      </c>
      <c r="DQ40" s="9" t="inlineStr">
        <is>
          <t>14/01</t>
        </is>
      </c>
      <c r="DR40" s="9" t="inlineStr">
        <is>
          <t>15/01</t>
        </is>
      </c>
      <c r="DS40" s="9" t="inlineStr">
        <is>
          <t>16/01</t>
        </is>
      </c>
      <c r="DT40" s="9" t="inlineStr">
        <is>
          <t>17/01</t>
        </is>
      </c>
      <c r="DU40" s="9" t="inlineStr">
        <is>
          <t>18/01</t>
        </is>
      </c>
      <c r="DV40" s="9" t="inlineStr">
        <is>
          <t>19/01</t>
        </is>
      </c>
      <c r="DW40" s="9" t="inlineStr">
        <is>
          <t>20/01</t>
        </is>
      </c>
      <c r="DX40" s="9" t="inlineStr">
        <is>
          <t>21/01</t>
        </is>
      </c>
      <c r="DY40" s="9" t="inlineStr">
        <is>
          <t>22/01</t>
        </is>
      </c>
      <c r="DZ40" s="9" t="inlineStr">
        <is>
          <t>23/01</t>
        </is>
      </c>
      <c r="EA40" s="9" t="inlineStr">
        <is>
          <t>24/01</t>
        </is>
      </c>
      <c r="EB40" s="9" t="inlineStr">
        <is>
          <t>25/01</t>
        </is>
      </c>
      <c r="EC40" s="9" t="inlineStr">
        <is>
          <t>26/01</t>
        </is>
      </c>
      <c r="ED40" s="9" t="inlineStr">
        <is>
          <t>27/01</t>
        </is>
      </c>
      <c r="EE40" s="9" t="inlineStr">
        <is>
          <t>28/01</t>
        </is>
      </c>
      <c r="EF40" s="9" t="inlineStr">
        <is>
          <t>29/01</t>
        </is>
      </c>
      <c r="EG40" s="9" t="inlineStr">
        <is>
          <t>30/01</t>
        </is>
      </c>
      <c r="EH40" s="9" t="inlineStr">
        <is>
          <t>31/01</t>
        </is>
      </c>
      <c r="EI40" s="9" t="inlineStr">
        <is>
          <t>01/02</t>
        </is>
      </c>
      <c r="EJ40" s="9" t="inlineStr">
        <is>
          <t>02/02</t>
        </is>
      </c>
      <c r="EK40" s="9" t="inlineStr">
        <is>
          <t>03/02</t>
        </is>
      </c>
      <c r="EL40" s="9" t="inlineStr">
        <is>
          <t>04/02</t>
        </is>
      </c>
      <c r="EM40" s="9" t="inlineStr">
        <is>
          <t>05/02</t>
        </is>
      </c>
      <c r="EN40" s="9" t="inlineStr">
        <is>
          <t>06/02</t>
        </is>
      </c>
      <c r="EO40" s="9" t="inlineStr">
        <is>
          <t>07/02</t>
        </is>
      </c>
      <c r="EP40" s="9" t="inlineStr">
        <is>
          <t>08/02</t>
        </is>
      </c>
      <c r="EQ40" s="9" t="inlineStr">
        <is>
          <t>09/02</t>
        </is>
      </c>
      <c r="ER40" s="9" t="inlineStr">
        <is>
          <t>10/02</t>
        </is>
      </c>
      <c r="ES40" s="9" t="inlineStr">
        <is>
          <t>11/02</t>
        </is>
      </c>
      <c r="ET40" s="9" t="inlineStr">
        <is>
          <t>12/02</t>
        </is>
      </c>
      <c r="EU40" s="9" t="inlineStr">
        <is>
          <t>13/02</t>
        </is>
      </c>
      <c r="EV40" s="9" t="inlineStr">
        <is>
          <t>14/02</t>
        </is>
      </c>
      <c r="EW40" s="9" t="inlineStr">
        <is>
          <t>15/02</t>
        </is>
      </c>
      <c r="EX40" s="9" t="inlineStr">
        <is>
          <t>16/02</t>
        </is>
      </c>
      <c r="EY40" s="9" t="inlineStr">
        <is>
          <t>17/02</t>
        </is>
      </c>
      <c r="EZ40" s="9" t="inlineStr">
        <is>
          <t>18/02</t>
        </is>
      </c>
      <c r="FA40" s="9" t="inlineStr">
        <is>
          <t>19/02</t>
        </is>
      </c>
      <c r="FB40" s="9" t="inlineStr">
        <is>
          <t>20/02</t>
        </is>
      </c>
      <c r="FC40" s="9" t="inlineStr">
        <is>
          <t>21/02</t>
        </is>
      </c>
      <c r="FD40" s="9" t="inlineStr">
        <is>
          <t>22/02</t>
        </is>
      </c>
      <c r="FE40" s="9" t="inlineStr">
        <is>
          <t>23/02</t>
        </is>
      </c>
      <c r="FF40" s="9" t="inlineStr">
        <is>
          <t>24/02</t>
        </is>
      </c>
      <c r="FG40" s="9" t="inlineStr">
        <is>
          <t>25/02</t>
        </is>
      </c>
      <c r="FH40" s="9" t="inlineStr">
        <is>
          <t>26/02</t>
        </is>
      </c>
      <c r="FI40" s="9" t="inlineStr">
        <is>
          <t>27/02</t>
        </is>
      </c>
      <c r="FJ40" s="9" t="inlineStr">
        <is>
          <t>28/02</t>
        </is>
      </c>
      <c r="FK40" s="9" t="inlineStr">
        <is>
          <t>01/03</t>
        </is>
      </c>
      <c r="FL40" s="9" t="inlineStr">
        <is>
          <t>02/03</t>
        </is>
      </c>
      <c r="FM40" s="9" t="inlineStr">
        <is>
          <t>03/03</t>
        </is>
      </c>
      <c r="FN40" s="9" t="inlineStr">
        <is>
          <t>04/03</t>
        </is>
      </c>
      <c r="FO40" s="9" t="inlineStr">
        <is>
          <t>05/03</t>
        </is>
      </c>
      <c r="FP40" s="9" t="inlineStr">
        <is>
          <t>06/03</t>
        </is>
      </c>
      <c r="FQ40" s="9" t="inlineStr">
        <is>
          <t>07/03</t>
        </is>
      </c>
      <c r="FR40" s="9" t="inlineStr">
        <is>
          <t>08/03</t>
        </is>
      </c>
      <c r="FS40" s="9" t="inlineStr">
        <is>
          <t>09/03</t>
        </is>
      </c>
      <c r="FT40" s="9" t="inlineStr">
        <is>
          <t>10/03</t>
        </is>
      </c>
      <c r="FU40" s="9" t="inlineStr">
        <is>
          <t>11/03</t>
        </is>
      </c>
      <c r="FV40" s="9" t="inlineStr">
        <is>
          <t>12/03</t>
        </is>
      </c>
      <c r="FW40" s="9" t="inlineStr">
        <is>
          <t>13/03</t>
        </is>
      </c>
      <c r="FX40" s="9" t="inlineStr">
        <is>
          <t>14/03</t>
        </is>
      </c>
      <c r="FY40" s="9" t="inlineStr">
        <is>
          <t>15/03</t>
        </is>
      </c>
      <c r="FZ40" s="9" t="inlineStr">
        <is>
          <t>16/03</t>
        </is>
      </c>
      <c r="GA40" s="9" t="inlineStr">
        <is>
          <t>17/03</t>
        </is>
      </c>
      <c r="GB40" s="9" t="inlineStr">
        <is>
          <t>18/03</t>
        </is>
      </c>
      <c r="GC40" s="9" t="inlineStr">
        <is>
          <t>19/03</t>
        </is>
      </c>
    </row>
    <row r="41">
      <c r="A41" s="13" t="inlineStr">
        <is>
          <t>MK</t>
        </is>
      </c>
      <c r="B41" s="18" t="n"/>
      <c r="C41" s="18" t="inlineStr">
        <is>
          <t>Máy khoan cọc nhồi D1200 Bauer BG25</t>
        </is>
      </c>
      <c r="D41" s="13" t="inlineStr">
        <is>
          <t>máy</t>
        </is>
      </c>
      <c r="E41" s="15" t="n">
        <v>145</v>
      </c>
      <c r="F41" s="15" t="n">
        <v>2</v>
      </c>
      <c r="G41" s="41" t="inlineStr">
        <is>
          <t>Khoan đá hang Karst 26 cọc D1200 M1, M2, T1, T2</t>
        </is>
      </c>
      <c r="H41" s="41" t="n"/>
      <c r="I41" s="18" t="n"/>
      <c r="J41" s="18" t="n"/>
      <c r="K41" s="18" t="n"/>
      <c r="L41" s="18" t="n"/>
      <c r="M41" s="42" t="n"/>
      <c r="N41" s="18" t="n"/>
      <c r="O41" s="43" t="n"/>
      <c r="P41" s="21" t="n">
        <v>0</v>
      </c>
      <c r="Q41" s="21" t="n">
        <v>0</v>
      </c>
      <c r="R41" s="21" t="n">
        <v>0</v>
      </c>
      <c r="S41" s="21" t="n">
        <v>0</v>
      </c>
      <c r="T41" s="21" t="n">
        <v>0</v>
      </c>
      <c r="U41" s="21" t="n">
        <v>0</v>
      </c>
      <c r="V41" s="21" t="n">
        <v>0</v>
      </c>
      <c r="W41" s="21" t="n">
        <v>0</v>
      </c>
      <c r="X41" s="21" t="n">
        <v>0</v>
      </c>
      <c r="Y41" s="21" t="n">
        <v>0</v>
      </c>
      <c r="Z41" s="21" t="n">
        <v>0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1" t="n">
        <v>0</v>
      </c>
      <c r="AG41" s="21" t="n">
        <v>0</v>
      </c>
      <c r="AH41" s="21" t="n">
        <v>0</v>
      </c>
      <c r="AI41" s="21" t="n">
        <v>0</v>
      </c>
      <c r="AJ41" s="21" t="n">
        <v>0</v>
      </c>
      <c r="AK41" s="21" t="n">
        <v>0</v>
      </c>
      <c r="AL41" s="21" t="n">
        <v>0</v>
      </c>
      <c r="AM41" s="21" t="n">
        <v>0</v>
      </c>
      <c r="AN41" s="44" t="n">
        <v>1</v>
      </c>
      <c r="AO41" s="44" t="n">
        <v>1</v>
      </c>
      <c r="AP41" s="44" t="n">
        <v>1</v>
      </c>
      <c r="AQ41" s="44" t="n">
        <v>1</v>
      </c>
      <c r="AR41" s="44" t="n">
        <v>1</v>
      </c>
      <c r="AS41" s="44" t="n">
        <v>1</v>
      </c>
      <c r="AT41" s="44" t="n">
        <v>1</v>
      </c>
      <c r="AU41" s="44" t="n">
        <v>1</v>
      </c>
      <c r="AV41" s="44" t="n">
        <v>1</v>
      </c>
      <c r="AW41" s="44" t="n">
        <v>1</v>
      </c>
      <c r="AX41" s="44" t="n">
        <v>1</v>
      </c>
      <c r="AY41" s="44" t="n">
        <v>1</v>
      </c>
      <c r="AZ41" s="44" t="n">
        <v>1</v>
      </c>
      <c r="BA41" s="44" t="n">
        <v>1</v>
      </c>
      <c r="BB41" s="44" t="n">
        <v>1</v>
      </c>
      <c r="BC41" s="44" t="n">
        <v>1</v>
      </c>
      <c r="BD41" s="44" t="n">
        <v>2</v>
      </c>
      <c r="BE41" s="44" t="n">
        <v>2</v>
      </c>
      <c r="BF41" s="44" t="n">
        <v>2</v>
      </c>
      <c r="BG41" s="44" t="n">
        <v>1</v>
      </c>
      <c r="BH41" s="44" t="n">
        <v>1</v>
      </c>
      <c r="BI41" s="44" t="n">
        <v>1</v>
      </c>
      <c r="BJ41" s="44" t="n">
        <v>1</v>
      </c>
      <c r="BK41" s="44" t="n">
        <v>1</v>
      </c>
      <c r="BL41" s="44" t="n">
        <v>2</v>
      </c>
      <c r="BM41" s="44" t="n">
        <v>2</v>
      </c>
      <c r="BN41" s="44" t="n">
        <v>2</v>
      </c>
      <c r="BO41" s="44" t="n">
        <v>2</v>
      </c>
      <c r="BP41" s="44" t="n">
        <v>2</v>
      </c>
      <c r="BQ41" s="44" t="n">
        <v>2</v>
      </c>
      <c r="BR41" s="44" t="n">
        <v>2</v>
      </c>
      <c r="BS41" s="44" t="n">
        <v>2</v>
      </c>
      <c r="BT41" s="44" t="n">
        <v>2</v>
      </c>
      <c r="BU41" s="44" t="n">
        <v>2</v>
      </c>
      <c r="BV41" s="44" t="n">
        <v>2</v>
      </c>
      <c r="BW41" s="44" t="n">
        <v>2</v>
      </c>
      <c r="BX41" s="44" t="n">
        <v>2</v>
      </c>
      <c r="BY41" s="44" t="n">
        <v>2</v>
      </c>
      <c r="BZ41" s="44" t="n">
        <v>2</v>
      </c>
      <c r="CA41" s="44" t="n">
        <v>2</v>
      </c>
      <c r="CB41" s="44" t="n">
        <v>2</v>
      </c>
      <c r="CC41" s="44" t="n">
        <v>1</v>
      </c>
      <c r="CD41" s="44" t="n">
        <v>1</v>
      </c>
      <c r="CE41" s="44" t="n">
        <v>1</v>
      </c>
      <c r="CF41" s="44" t="n">
        <v>1</v>
      </c>
      <c r="CG41" s="44" t="n">
        <v>1</v>
      </c>
      <c r="CH41" s="44" t="n">
        <v>1</v>
      </c>
      <c r="CI41" s="44" t="n">
        <v>1</v>
      </c>
      <c r="CJ41" s="44" t="n">
        <v>1</v>
      </c>
      <c r="CK41" s="21" t="n">
        <v>0</v>
      </c>
      <c r="CL41" s="21" t="n">
        <v>0</v>
      </c>
      <c r="CM41" s="21" t="n">
        <v>0</v>
      </c>
      <c r="CN41" s="21" t="n">
        <v>0</v>
      </c>
      <c r="CO41" s="21" t="n">
        <v>0</v>
      </c>
      <c r="CP41" s="21" t="n">
        <v>0</v>
      </c>
      <c r="CQ41" s="21" t="n">
        <v>0</v>
      </c>
      <c r="CR41" s="21" t="n">
        <v>0</v>
      </c>
      <c r="CS41" s="21" t="n">
        <v>0</v>
      </c>
      <c r="CT41" s="21" t="n">
        <v>0</v>
      </c>
      <c r="CU41" s="21" t="n">
        <v>0</v>
      </c>
      <c r="CV41" s="21" t="n">
        <v>0</v>
      </c>
      <c r="CW41" s="21" t="n">
        <v>0</v>
      </c>
      <c r="CX41" s="21" t="n">
        <v>0</v>
      </c>
      <c r="CY41" s="21" t="n">
        <v>0</v>
      </c>
      <c r="CZ41" s="21" t="n">
        <v>0</v>
      </c>
      <c r="DA41" s="21" t="n">
        <v>0</v>
      </c>
      <c r="DB41" s="21" t="n">
        <v>0</v>
      </c>
      <c r="DC41" s="21" t="n">
        <v>0</v>
      </c>
      <c r="DD41" s="21" t="n">
        <v>0</v>
      </c>
      <c r="DE41" s="21" t="n">
        <v>0</v>
      </c>
      <c r="DF41" s="21" t="n">
        <v>0</v>
      </c>
      <c r="DG41" s="21" t="n">
        <v>0</v>
      </c>
      <c r="DH41" s="21" t="n">
        <v>0</v>
      </c>
      <c r="DI41" s="21" t="n">
        <v>0</v>
      </c>
      <c r="DJ41" s="21" t="n">
        <v>0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0</v>
      </c>
      <c r="DW41" s="21" t="n">
        <v>0</v>
      </c>
      <c r="DX41" s="21" t="n">
        <v>0</v>
      </c>
      <c r="DY41" s="21" t="n">
        <v>0</v>
      </c>
      <c r="DZ41" s="21" t="n">
        <v>0</v>
      </c>
      <c r="EA41" s="21" t="n">
        <v>0</v>
      </c>
      <c r="EB41" s="21" t="n">
        <v>0</v>
      </c>
      <c r="EC41" s="21" t="n">
        <v>0</v>
      </c>
      <c r="ED41" s="21" t="n">
        <v>0</v>
      </c>
      <c r="EE41" s="21" t="n">
        <v>0</v>
      </c>
      <c r="EF41" s="21" t="n">
        <v>0</v>
      </c>
      <c r="EG41" s="21" t="n">
        <v>0</v>
      </c>
      <c r="EH41" s="21" t="n">
        <v>0</v>
      </c>
      <c r="EI41" s="21" t="n">
        <v>0</v>
      </c>
      <c r="EJ41" s="21" t="n">
        <v>0</v>
      </c>
      <c r="EK41" s="21" t="n">
        <v>0</v>
      </c>
      <c r="EL41" s="21" t="n">
        <v>0</v>
      </c>
      <c r="EM41" s="21" t="n">
        <v>0</v>
      </c>
      <c r="EN41" s="21" t="n">
        <v>0</v>
      </c>
      <c r="EO41" s="21" t="n">
        <v>0</v>
      </c>
      <c r="EP41" s="21" t="n">
        <v>0</v>
      </c>
      <c r="EQ41" s="21" t="n">
        <v>0</v>
      </c>
      <c r="ER41" s="21" t="n">
        <v>0</v>
      </c>
      <c r="ES41" s="21" t="n">
        <v>0</v>
      </c>
      <c r="ET41" s="21" t="n">
        <v>0</v>
      </c>
      <c r="EU41" s="21" t="n">
        <v>0</v>
      </c>
      <c r="EV41" s="21" t="n">
        <v>0</v>
      </c>
      <c r="EW41" s="21" t="n">
        <v>0</v>
      </c>
      <c r="EX41" s="21" t="n">
        <v>0</v>
      </c>
      <c r="EY41" s="21" t="n">
        <v>0</v>
      </c>
      <c r="EZ41" s="21" t="n">
        <v>0</v>
      </c>
      <c r="FA41" s="21" t="n">
        <v>0</v>
      </c>
      <c r="FB41" s="21" t="n">
        <v>0</v>
      </c>
      <c r="FC41" s="21" t="n">
        <v>0</v>
      </c>
      <c r="FD41" s="21" t="n">
        <v>0</v>
      </c>
      <c r="FE41" s="21" t="n">
        <v>0</v>
      </c>
      <c r="FF41" s="21" t="n">
        <v>0</v>
      </c>
      <c r="FG41" s="21" t="n">
        <v>0</v>
      </c>
      <c r="FH41" s="21" t="n">
        <v>0</v>
      </c>
      <c r="FI41" s="21" t="n">
        <v>0</v>
      </c>
      <c r="FJ41" s="21" t="n">
        <v>0</v>
      </c>
      <c r="FK41" s="21" t="n">
        <v>0</v>
      </c>
      <c r="FL41" s="21" t="n">
        <v>0</v>
      </c>
      <c r="FM41" s="21" t="n">
        <v>0</v>
      </c>
      <c r="FN41" s="21" t="n">
        <v>0</v>
      </c>
      <c r="FO41" s="21" t="n">
        <v>0</v>
      </c>
      <c r="FP41" s="21" t="n">
        <v>0</v>
      </c>
      <c r="FQ41" s="21" t="n">
        <v>0</v>
      </c>
      <c r="FR41" s="21" t="n">
        <v>0</v>
      </c>
      <c r="FS41" s="21" t="n">
        <v>0</v>
      </c>
      <c r="FT41" s="21" t="n">
        <v>0</v>
      </c>
      <c r="FU41" s="21" t="n">
        <v>0</v>
      </c>
      <c r="FV41" s="21" t="n">
        <v>0</v>
      </c>
      <c r="FW41" s="21" t="n">
        <v>0</v>
      </c>
      <c r="FX41" s="21" t="n">
        <v>0</v>
      </c>
      <c r="FY41" s="21" t="n">
        <v>0</v>
      </c>
      <c r="FZ41" s="21" t="n">
        <v>0</v>
      </c>
      <c r="GA41" s="21" t="n">
        <v>0</v>
      </c>
      <c r="GB41" s="21" t="n">
        <v>0</v>
      </c>
      <c r="GC41" s="21" t="n">
        <v>0</v>
      </c>
    </row>
    <row r="42">
      <c r="A42" s="13" t="inlineStr">
        <is>
          <t>CX</t>
        </is>
      </c>
      <c r="B42" s="18" t="n"/>
      <c r="C42" s="18" t="inlineStr">
        <is>
          <t>Cần cẩu bánh xích 50T Kobelco CKE500</t>
        </is>
      </c>
      <c r="D42" s="13" t="inlineStr">
        <is>
          <t>máy</t>
        </is>
      </c>
      <c r="E42" s="15" t="n">
        <v>62</v>
      </c>
      <c r="F42" s="15" t="n">
        <v>1</v>
      </c>
      <c r="G42" s="41" t="inlineStr">
        <is>
          <t>Hạ lồng thép cọc, đà giáo leo thân trụ T1, T2</t>
        </is>
      </c>
      <c r="H42" s="41" t="n"/>
      <c r="I42" s="18" t="n"/>
      <c r="J42" s="18" t="n"/>
      <c r="K42" s="18" t="n"/>
      <c r="L42" s="18" t="n"/>
      <c r="M42" s="42" t="n"/>
      <c r="N42" s="18" t="n"/>
      <c r="O42" s="43" t="n"/>
      <c r="P42" s="21" t="n">
        <v>0</v>
      </c>
      <c r="Q42" s="21" t="n">
        <v>0</v>
      </c>
      <c r="R42" s="21" t="n">
        <v>0</v>
      </c>
      <c r="S42" s="21" t="n">
        <v>0</v>
      </c>
      <c r="T42" s="21" t="n">
        <v>0</v>
      </c>
      <c r="U42" s="21" t="n">
        <v>0</v>
      </c>
      <c r="V42" s="21" t="n">
        <v>0</v>
      </c>
      <c r="W42" s="21" t="n">
        <v>0</v>
      </c>
      <c r="X42" s="21" t="n">
        <v>0</v>
      </c>
      <c r="Y42" s="21" t="n">
        <v>0</v>
      </c>
      <c r="Z42" s="21" t="n">
        <v>0</v>
      </c>
      <c r="AA42" s="21" t="n">
        <v>0</v>
      </c>
      <c r="AB42" s="21" t="n">
        <v>0</v>
      </c>
      <c r="AC42" s="21" t="n">
        <v>0</v>
      </c>
      <c r="AD42" s="21" t="n">
        <v>0</v>
      </c>
      <c r="AE42" s="21" t="n">
        <v>0</v>
      </c>
      <c r="AF42" s="21" t="n">
        <v>0</v>
      </c>
      <c r="AG42" s="21" t="n">
        <v>0</v>
      </c>
      <c r="AH42" s="21" t="n">
        <v>0</v>
      </c>
      <c r="AI42" s="21" t="n">
        <v>0</v>
      </c>
      <c r="AJ42" s="21" t="n">
        <v>0</v>
      </c>
      <c r="AK42" s="21" t="n">
        <v>0</v>
      </c>
      <c r="AL42" s="21" t="n">
        <v>0</v>
      </c>
      <c r="AM42" s="21" t="n">
        <v>0</v>
      </c>
      <c r="AN42" s="44" t="n">
        <v>1</v>
      </c>
      <c r="AO42" s="44" t="n">
        <v>1</v>
      </c>
      <c r="AP42" s="44" t="n">
        <v>1</v>
      </c>
      <c r="AQ42" s="44" t="n">
        <v>1</v>
      </c>
      <c r="AR42" s="44" t="n">
        <v>1</v>
      </c>
      <c r="AS42" s="44" t="n">
        <v>1</v>
      </c>
      <c r="AT42" s="44" t="n">
        <v>1</v>
      </c>
      <c r="AU42" s="44" t="n">
        <v>1</v>
      </c>
      <c r="AV42" s="44" t="n">
        <v>1</v>
      </c>
      <c r="AW42" s="44" t="n">
        <v>1</v>
      </c>
      <c r="AX42" s="44" t="n">
        <v>1</v>
      </c>
      <c r="AY42" s="44" t="n">
        <v>1</v>
      </c>
      <c r="AZ42" s="44" t="n">
        <v>1</v>
      </c>
      <c r="BA42" s="44" t="n">
        <v>1</v>
      </c>
      <c r="BB42" s="44" t="n">
        <v>1</v>
      </c>
      <c r="BC42" s="44" t="n">
        <v>1</v>
      </c>
      <c r="BD42" s="44" t="n">
        <v>1</v>
      </c>
      <c r="BE42" s="44" t="n">
        <v>1</v>
      </c>
      <c r="BF42" s="44" t="n">
        <v>1</v>
      </c>
      <c r="BG42" s="44" t="n">
        <v>1</v>
      </c>
      <c r="BH42" s="44" t="n">
        <v>1</v>
      </c>
      <c r="BI42" s="44" t="n">
        <v>1</v>
      </c>
      <c r="BJ42" s="44" t="n">
        <v>1</v>
      </c>
      <c r="BK42" s="44" t="n">
        <v>1</v>
      </c>
      <c r="BL42" s="44" t="n">
        <v>1</v>
      </c>
      <c r="BM42" s="44" t="n">
        <v>1</v>
      </c>
      <c r="BN42" s="44" t="n">
        <v>1</v>
      </c>
      <c r="BO42" s="44" t="n">
        <v>1</v>
      </c>
      <c r="BP42" s="44" t="n">
        <v>1</v>
      </c>
      <c r="BQ42" s="44" t="n">
        <v>1</v>
      </c>
      <c r="BR42" s="44" t="n">
        <v>1</v>
      </c>
      <c r="BS42" s="44" t="n">
        <v>1</v>
      </c>
      <c r="BT42" s="44" t="n">
        <v>1</v>
      </c>
      <c r="BU42" s="44" t="n">
        <v>1</v>
      </c>
      <c r="BV42" s="44" t="n">
        <v>1</v>
      </c>
      <c r="BW42" s="44" t="n">
        <v>1</v>
      </c>
      <c r="BX42" s="44" t="n">
        <v>1</v>
      </c>
      <c r="BY42" s="44" t="n">
        <v>1</v>
      </c>
      <c r="BZ42" s="44" t="n">
        <v>1</v>
      </c>
      <c r="CA42" s="44" t="n">
        <v>1</v>
      </c>
      <c r="CB42" s="44" t="n">
        <v>1</v>
      </c>
      <c r="CC42" s="44" t="n">
        <v>1</v>
      </c>
      <c r="CD42" s="44" t="n">
        <v>1</v>
      </c>
      <c r="CE42" s="44" t="n">
        <v>1</v>
      </c>
      <c r="CF42" s="44" t="n">
        <v>1</v>
      </c>
      <c r="CG42" s="44" t="n">
        <v>1</v>
      </c>
      <c r="CH42" s="44" t="n">
        <v>1</v>
      </c>
      <c r="CI42" s="44" t="n">
        <v>1</v>
      </c>
      <c r="CJ42" s="44" t="n">
        <v>1</v>
      </c>
      <c r="CK42" s="21" t="n">
        <v>0</v>
      </c>
      <c r="CL42" s="21" t="n">
        <v>0</v>
      </c>
      <c r="CM42" s="21" t="n">
        <v>0</v>
      </c>
      <c r="CN42" s="21" t="n">
        <v>0</v>
      </c>
      <c r="CO42" s="21" t="n">
        <v>0</v>
      </c>
      <c r="CP42" s="21" t="n">
        <v>0</v>
      </c>
      <c r="CQ42" s="21" t="n">
        <v>0</v>
      </c>
      <c r="CR42" s="21" t="n">
        <v>0</v>
      </c>
      <c r="CS42" s="21" t="n">
        <v>0</v>
      </c>
      <c r="CT42" s="21" t="n">
        <v>0</v>
      </c>
      <c r="CU42" s="21" t="n">
        <v>0</v>
      </c>
      <c r="CV42" s="21" t="n">
        <v>0</v>
      </c>
      <c r="CW42" s="21" t="n">
        <v>0</v>
      </c>
      <c r="CX42" s="21" t="n">
        <v>0</v>
      </c>
      <c r="CY42" s="21" t="n">
        <v>0</v>
      </c>
      <c r="CZ42" s="21" t="n">
        <v>0</v>
      </c>
      <c r="DA42" s="21" t="n">
        <v>0</v>
      </c>
      <c r="DB42" s="21" t="n">
        <v>0</v>
      </c>
      <c r="DC42" s="21" t="n">
        <v>0</v>
      </c>
      <c r="DD42" s="21" t="n">
        <v>0</v>
      </c>
      <c r="DE42" s="21" t="n">
        <v>0</v>
      </c>
      <c r="DF42" s="21" t="n">
        <v>0</v>
      </c>
      <c r="DG42" s="21" t="n">
        <v>0</v>
      </c>
      <c r="DH42" s="21" t="n">
        <v>0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0</v>
      </c>
      <c r="DW42" s="21" t="n">
        <v>0</v>
      </c>
      <c r="DX42" s="21" t="n">
        <v>0</v>
      </c>
      <c r="DY42" s="21" t="n">
        <v>0</v>
      </c>
      <c r="DZ42" s="21" t="n">
        <v>0</v>
      </c>
      <c r="EA42" s="21" t="n">
        <v>0</v>
      </c>
      <c r="EB42" s="21" t="n">
        <v>0</v>
      </c>
      <c r="EC42" s="21" t="n">
        <v>0</v>
      </c>
      <c r="ED42" s="21" t="n">
        <v>0</v>
      </c>
      <c r="EE42" s="21" t="n">
        <v>0</v>
      </c>
      <c r="EF42" s="21" t="n">
        <v>0</v>
      </c>
      <c r="EG42" s="21" t="n">
        <v>0</v>
      </c>
      <c r="EH42" s="21" t="n">
        <v>0</v>
      </c>
      <c r="EI42" s="21" t="n">
        <v>0</v>
      </c>
      <c r="EJ42" s="21" t="n">
        <v>0</v>
      </c>
      <c r="EK42" s="21" t="n">
        <v>0</v>
      </c>
      <c r="EL42" s="21" t="n">
        <v>0</v>
      </c>
      <c r="EM42" s="21" t="n">
        <v>0</v>
      </c>
      <c r="EN42" s="21" t="n">
        <v>0</v>
      </c>
      <c r="EO42" s="21" t="n">
        <v>0</v>
      </c>
      <c r="EP42" s="21" t="n">
        <v>0</v>
      </c>
      <c r="EQ42" s="21" t="n">
        <v>0</v>
      </c>
      <c r="ER42" s="21" t="n">
        <v>0</v>
      </c>
      <c r="ES42" s="21" t="n">
        <v>0</v>
      </c>
      <c r="ET42" s="21" t="n">
        <v>0</v>
      </c>
      <c r="EU42" s="21" t="n">
        <v>0</v>
      </c>
      <c r="EV42" s="21" t="n">
        <v>0</v>
      </c>
      <c r="EW42" s="21" t="n">
        <v>0</v>
      </c>
      <c r="EX42" s="21" t="n">
        <v>0</v>
      </c>
      <c r="EY42" s="21" t="n">
        <v>0</v>
      </c>
      <c r="EZ42" s="21" t="n">
        <v>0</v>
      </c>
      <c r="FA42" s="21" t="n">
        <v>0</v>
      </c>
      <c r="FB42" s="21" t="n">
        <v>0</v>
      </c>
      <c r="FC42" s="21" t="n">
        <v>0</v>
      </c>
      <c r="FD42" s="21" t="n">
        <v>0</v>
      </c>
      <c r="FE42" s="21" t="n">
        <v>0</v>
      </c>
      <c r="FF42" s="21" t="n">
        <v>0</v>
      </c>
      <c r="FG42" s="21" t="n">
        <v>0</v>
      </c>
      <c r="FH42" s="21" t="n">
        <v>0</v>
      </c>
      <c r="FI42" s="21" t="n">
        <v>0</v>
      </c>
      <c r="FJ42" s="21" t="n">
        <v>0</v>
      </c>
      <c r="FK42" s="21" t="n">
        <v>0</v>
      </c>
      <c r="FL42" s="21" t="n">
        <v>0</v>
      </c>
      <c r="FM42" s="21" t="n">
        <v>0</v>
      </c>
      <c r="FN42" s="21" t="n">
        <v>0</v>
      </c>
      <c r="FO42" s="21" t="n">
        <v>0</v>
      </c>
      <c r="FP42" s="21" t="n">
        <v>0</v>
      </c>
      <c r="FQ42" s="21" t="n">
        <v>0</v>
      </c>
      <c r="FR42" s="21" t="n">
        <v>0</v>
      </c>
      <c r="FS42" s="21" t="n">
        <v>0</v>
      </c>
      <c r="FT42" s="21" t="n">
        <v>0</v>
      </c>
      <c r="FU42" s="21" t="n">
        <v>0</v>
      </c>
      <c r="FV42" s="21" t="n">
        <v>0</v>
      </c>
      <c r="FW42" s="21" t="n">
        <v>0</v>
      </c>
      <c r="FX42" s="21" t="n">
        <v>0</v>
      </c>
      <c r="FY42" s="21" t="n">
        <v>0</v>
      </c>
      <c r="FZ42" s="21" t="n">
        <v>0</v>
      </c>
      <c r="GA42" s="21" t="n">
        <v>0</v>
      </c>
      <c r="GB42" s="21" t="n">
        <v>0</v>
      </c>
      <c r="GC42" s="21" t="n">
        <v>0</v>
      </c>
    </row>
    <row r="43">
      <c r="A43" s="13" t="inlineStr">
        <is>
          <t>CL</t>
        </is>
      </c>
      <c r="B43" s="18" t="n"/>
      <c r="C43" s="18" t="inlineStr">
        <is>
          <t>Cần cẩu bánh lốp 25T Kato KR250</t>
        </is>
      </c>
      <c r="D43" s="13" t="inlineStr">
        <is>
          <t>máy</t>
        </is>
      </c>
      <c r="E43" s="15" t="n">
        <v>48</v>
      </c>
      <c r="F43" s="15" t="n">
        <v>1</v>
      </c>
      <c r="G43" s="41" t="inlineStr">
        <is>
          <t>Phục vụ bãi đúc dầm Super-T, bốc xếp vật tư</t>
        </is>
      </c>
      <c r="H43" s="41" t="n"/>
      <c r="I43" s="18" t="n"/>
      <c r="J43" s="18" t="n"/>
      <c r="K43" s="18" t="n"/>
      <c r="L43" s="18" t="n"/>
      <c r="M43" s="42" t="n"/>
      <c r="N43" s="18" t="n"/>
      <c r="O43" s="43" t="n"/>
      <c r="P43" s="21" t="n">
        <v>0</v>
      </c>
      <c r="Q43" s="21" t="n">
        <v>0</v>
      </c>
      <c r="R43" s="21" t="n">
        <v>0</v>
      </c>
      <c r="S43" s="21" t="n">
        <v>0</v>
      </c>
      <c r="T43" s="21" t="n">
        <v>0</v>
      </c>
      <c r="U43" s="21" t="n">
        <v>0</v>
      </c>
      <c r="V43" s="21" t="n">
        <v>0</v>
      </c>
      <c r="W43" s="21" t="n">
        <v>0</v>
      </c>
      <c r="X43" s="21" t="n">
        <v>0</v>
      </c>
      <c r="Y43" s="21" t="n">
        <v>0</v>
      </c>
      <c r="Z43" s="21" t="n">
        <v>0</v>
      </c>
      <c r="AA43" s="44" t="n">
        <v>1</v>
      </c>
      <c r="AB43" s="44" t="n">
        <v>1</v>
      </c>
      <c r="AC43" s="44" t="n">
        <v>1</v>
      </c>
      <c r="AD43" s="44" t="n">
        <v>1</v>
      </c>
      <c r="AE43" s="44" t="n">
        <v>1</v>
      </c>
      <c r="AF43" s="44" t="n">
        <v>1</v>
      </c>
      <c r="AG43" s="44" t="n">
        <v>1</v>
      </c>
      <c r="AH43" s="44" t="n">
        <v>1</v>
      </c>
      <c r="AI43" s="44" t="n">
        <v>1</v>
      </c>
      <c r="AJ43" s="44" t="n">
        <v>1</v>
      </c>
      <c r="AK43" s="44" t="n">
        <v>1</v>
      </c>
      <c r="AL43" s="44" t="n">
        <v>1</v>
      </c>
      <c r="AM43" s="44" t="n">
        <v>1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44" t="n">
        <v>1</v>
      </c>
      <c r="BW43" s="44" t="n">
        <v>1</v>
      </c>
      <c r="BX43" s="44" t="n">
        <v>1</v>
      </c>
      <c r="BY43" s="44" t="n">
        <v>1</v>
      </c>
      <c r="BZ43" s="44" t="n">
        <v>1</v>
      </c>
      <c r="CA43" s="44" t="n">
        <v>1</v>
      </c>
      <c r="CB43" s="44" t="n">
        <v>1</v>
      </c>
      <c r="CC43" s="44" t="n">
        <v>1</v>
      </c>
      <c r="CD43" s="44" t="n">
        <v>1</v>
      </c>
      <c r="CE43" s="44" t="n">
        <v>1</v>
      </c>
      <c r="CF43" s="44" t="n">
        <v>1</v>
      </c>
      <c r="CG43" s="44" t="n">
        <v>1</v>
      </c>
      <c r="CH43" s="44" t="n">
        <v>1</v>
      </c>
      <c r="CI43" s="44" t="n">
        <v>1</v>
      </c>
      <c r="CJ43" s="44" t="n">
        <v>1</v>
      </c>
      <c r="CK43" s="44" t="n">
        <v>1</v>
      </c>
      <c r="CL43" s="44" t="n">
        <v>1</v>
      </c>
      <c r="CM43" s="44" t="n">
        <v>1</v>
      </c>
      <c r="CN43" s="44" t="n">
        <v>1</v>
      </c>
      <c r="CO43" s="44" t="n">
        <v>1</v>
      </c>
      <c r="CP43" s="44" t="n">
        <v>1</v>
      </c>
      <c r="CQ43" s="44" t="n">
        <v>1</v>
      </c>
      <c r="CR43" s="44" t="n">
        <v>1</v>
      </c>
      <c r="CS43" s="44" t="n">
        <v>1</v>
      </c>
      <c r="CT43" s="44" t="n">
        <v>1</v>
      </c>
      <c r="CU43" s="44" t="n">
        <v>1</v>
      </c>
      <c r="CV43" s="44" t="n">
        <v>1</v>
      </c>
      <c r="CW43" s="44" t="n">
        <v>1</v>
      </c>
      <c r="CX43" s="21" t="n">
        <v>0</v>
      </c>
      <c r="CY43" s="21" t="n">
        <v>0</v>
      </c>
      <c r="CZ43" s="21" t="n">
        <v>0</v>
      </c>
      <c r="DA43" s="21" t="n">
        <v>0</v>
      </c>
      <c r="DB43" s="21" t="n">
        <v>0</v>
      </c>
      <c r="DC43" s="21" t="n">
        <v>0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0</v>
      </c>
      <c r="DX43" s="21" t="n">
        <v>0</v>
      </c>
      <c r="DY43" s="21" t="n">
        <v>0</v>
      </c>
      <c r="DZ43" s="21" t="n">
        <v>0</v>
      </c>
      <c r="EA43" s="21" t="n">
        <v>0</v>
      </c>
      <c r="EB43" s="21" t="n">
        <v>0</v>
      </c>
      <c r="EC43" s="21" t="n">
        <v>0</v>
      </c>
      <c r="ED43" s="21" t="n">
        <v>0</v>
      </c>
      <c r="EE43" s="21" t="n">
        <v>0</v>
      </c>
      <c r="EF43" s="21" t="n">
        <v>0</v>
      </c>
      <c r="EG43" s="21" t="n">
        <v>0</v>
      </c>
      <c r="EH43" s="44" t="n">
        <v>1</v>
      </c>
      <c r="EI43" s="44" t="n">
        <v>1</v>
      </c>
      <c r="EJ43" s="44" t="n">
        <v>1</v>
      </c>
      <c r="EK43" s="44" t="n">
        <v>1</v>
      </c>
      <c r="EL43" s="44" t="n">
        <v>1</v>
      </c>
      <c r="EM43" s="44" t="n">
        <v>1</v>
      </c>
      <c r="EN43" s="44" t="n">
        <v>1</v>
      </c>
      <c r="EO43" s="44" t="n">
        <v>1</v>
      </c>
      <c r="EP43" s="44" t="n">
        <v>1</v>
      </c>
      <c r="EQ43" s="44" t="n">
        <v>1</v>
      </c>
      <c r="ER43" s="44" t="n">
        <v>1</v>
      </c>
      <c r="ES43" s="44" t="n">
        <v>1</v>
      </c>
      <c r="ET43" s="44" t="n">
        <v>1</v>
      </c>
      <c r="EU43" s="44" t="n">
        <v>1</v>
      </c>
      <c r="EV43" s="44" t="n">
        <v>1</v>
      </c>
      <c r="EW43" s="21" t="n">
        <v>0</v>
      </c>
      <c r="EX43" s="21" t="n">
        <v>0</v>
      </c>
      <c r="EY43" s="21" t="n">
        <v>0</v>
      </c>
      <c r="EZ43" s="21" t="n">
        <v>0</v>
      </c>
      <c r="FA43" s="21" t="n">
        <v>0</v>
      </c>
      <c r="FB43" s="44" t="n">
        <v>1</v>
      </c>
      <c r="FC43" s="44" t="n">
        <v>1</v>
      </c>
      <c r="FD43" s="44" t="n">
        <v>1</v>
      </c>
      <c r="FE43" s="44" t="n">
        <v>1</v>
      </c>
      <c r="FF43" s="44" t="n">
        <v>1</v>
      </c>
      <c r="FG43" s="21" t="n">
        <v>0</v>
      </c>
      <c r="FH43" s="21" t="n">
        <v>0</v>
      </c>
      <c r="FI43" s="21" t="n">
        <v>0</v>
      </c>
      <c r="FJ43" s="21" t="n">
        <v>0</v>
      </c>
      <c r="FK43" s="21" t="n">
        <v>0</v>
      </c>
      <c r="FL43" s="21" t="n">
        <v>0</v>
      </c>
      <c r="FM43" s="21" t="n">
        <v>0</v>
      </c>
      <c r="FN43" s="21" t="n">
        <v>0</v>
      </c>
      <c r="FO43" s="21" t="n">
        <v>0</v>
      </c>
      <c r="FP43" s="21" t="n">
        <v>0</v>
      </c>
      <c r="FQ43" s="21" t="n">
        <v>0</v>
      </c>
      <c r="FR43" s="21" t="n">
        <v>0</v>
      </c>
      <c r="FS43" s="21" t="n">
        <v>0</v>
      </c>
      <c r="FT43" s="21" t="n">
        <v>0</v>
      </c>
      <c r="FU43" s="21" t="n">
        <v>0</v>
      </c>
      <c r="FV43" s="21" t="n">
        <v>0</v>
      </c>
      <c r="FW43" s="21" t="n">
        <v>0</v>
      </c>
      <c r="FX43" s="21" t="n">
        <v>0</v>
      </c>
      <c r="FY43" s="21" t="n">
        <v>0</v>
      </c>
      <c r="FZ43" s="21" t="n">
        <v>0</v>
      </c>
      <c r="GA43" s="21" t="n">
        <v>0</v>
      </c>
      <c r="GB43" s="21" t="n">
        <v>0</v>
      </c>
      <c r="GC43" s="21" t="n">
        <v>0</v>
      </c>
    </row>
    <row r="44">
      <c r="A44" s="13" t="inlineStr">
        <is>
          <t>MD</t>
        </is>
      </c>
      <c r="B44" s="18" t="n"/>
      <c r="C44" s="18" t="inlineStr">
        <is>
          <t>Máy đào bánh xích 1.25m3 Komatsu PC200</t>
        </is>
      </c>
      <c r="D44" s="13" t="inlineStr">
        <is>
          <t>máy</t>
        </is>
      </c>
      <c r="E44" s="15" t="n">
        <v>68</v>
      </c>
      <c r="F44" s="15" t="n">
        <v>2</v>
      </c>
      <c r="G44" s="41" t="inlineStr">
        <is>
          <t>Đào hố móng ngàm đá, búa đập đá phá đầu cọc</t>
        </is>
      </c>
      <c r="H44" s="41" t="n"/>
      <c r="I44" s="18" t="n"/>
      <c r="J44" s="18" t="n"/>
      <c r="K44" s="18" t="n"/>
      <c r="L44" s="18" t="n"/>
      <c r="M44" s="42" t="n"/>
      <c r="N44" s="18" t="n"/>
      <c r="O44" s="43" t="n"/>
      <c r="P44" s="21" t="n">
        <v>0</v>
      </c>
      <c r="Q44" s="21" t="n">
        <v>0</v>
      </c>
      <c r="R44" s="44" t="n">
        <v>1</v>
      </c>
      <c r="S44" s="44" t="n">
        <v>1</v>
      </c>
      <c r="T44" s="44" t="n">
        <v>1</v>
      </c>
      <c r="U44" s="44" t="n">
        <v>1</v>
      </c>
      <c r="V44" s="44" t="n">
        <v>1</v>
      </c>
      <c r="W44" s="44" t="n">
        <v>1</v>
      </c>
      <c r="X44" s="44" t="n">
        <v>1</v>
      </c>
      <c r="Y44" s="44" t="n">
        <v>1</v>
      </c>
      <c r="Z44" s="44" t="n">
        <v>1</v>
      </c>
      <c r="AA44" s="44" t="n">
        <v>1</v>
      </c>
      <c r="AB44" s="44" t="n">
        <v>1</v>
      </c>
      <c r="AC44" s="44" t="n">
        <v>1</v>
      </c>
      <c r="AD44" s="44" t="n">
        <v>1</v>
      </c>
      <c r="AE44" s="44" t="n">
        <v>1</v>
      </c>
      <c r="AF44" s="44" t="n">
        <v>1</v>
      </c>
      <c r="AG44" s="44" t="n">
        <v>1</v>
      </c>
      <c r="AH44" s="21" t="n">
        <v>0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44" t="n">
        <v>1</v>
      </c>
      <c r="CT44" s="44" t="n">
        <v>1</v>
      </c>
      <c r="CU44" s="44" t="n">
        <v>1</v>
      </c>
      <c r="CV44" s="44" t="n">
        <v>1</v>
      </c>
      <c r="CW44" s="44" t="n">
        <v>1</v>
      </c>
      <c r="CX44" s="44" t="n">
        <v>1</v>
      </c>
      <c r="CY44" s="44" t="n">
        <v>1</v>
      </c>
      <c r="CZ44" s="21" t="n">
        <v>0</v>
      </c>
      <c r="DA44" s="21" t="n">
        <v>0</v>
      </c>
      <c r="DB44" s="21" t="n">
        <v>0</v>
      </c>
      <c r="DC44" s="21" t="n">
        <v>0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0</v>
      </c>
      <c r="DX44" s="21" t="n">
        <v>0</v>
      </c>
      <c r="DY44" s="21" t="n">
        <v>0</v>
      </c>
      <c r="DZ44" s="21" t="n">
        <v>0</v>
      </c>
      <c r="EA44" s="21" t="n">
        <v>0</v>
      </c>
      <c r="EB44" s="21" t="n">
        <v>0</v>
      </c>
      <c r="EC44" s="21" t="n">
        <v>0</v>
      </c>
      <c r="ED44" s="21" t="n">
        <v>0</v>
      </c>
      <c r="EE44" s="21" t="n">
        <v>0</v>
      </c>
      <c r="EF44" s="21" t="n">
        <v>0</v>
      </c>
      <c r="EG44" s="21" t="n">
        <v>0</v>
      </c>
      <c r="EH44" s="21" t="n">
        <v>0</v>
      </c>
      <c r="EI44" s="21" t="n">
        <v>0</v>
      </c>
      <c r="EJ44" s="21" t="n">
        <v>0</v>
      </c>
      <c r="EK44" s="21" t="n">
        <v>0</v>
      </c>
      <c r="EL44" s="21" t="n">
        <v>0</v>
      </c>
      <c r="EM44" s="21" t="n">
        <v>0</v>
      </c>
      <c r="EN44" s="21" t="n">
        <v>0</v>
      </c>
      <c r="EO44" s="21" t="n">
        <v>0</v>
      </c>
      <c r="EP44" s="21" t="n">
        <v>0</v>
      </c>
      <c r="EQ44" s="21" t="n">
        <v>0</v>
      </c>
      <c r="ER44" s="21" t="n">
        <v>0</v>
      </c>
      <c r="ES44" s="21" t="n">
        <v>0</v>
      </c>
      <c r="ET44" s="21" t="n">
        <v>0</v>
      </c>
      <c r="EU44" s="21" t="n">
        <v>0</v>
      </c>
      <c r="EV44" s="21" t="n">
        <v>0</v>
      </c>
      <c r="EW44" s="21" t="n">
        <v>0</v>
      </c>
      <c r="EX44" s="21" t="n">
        <v>0</v>
      </c>
      <c r="EY44" s="21" t="n">
        <v>0</v>
      </c>
      <c r="EZ44" s="21" t="n">
        <v>0</v>
      </c>
      <c r="FA44" s="21" t="n">
        <v>0</v>
      </c>
      <c r="FB44" s="21" t="n">
        <v>0</v>
      </c>
      <c r="FC44" s="21" t="n">
        <v>0</v>
      </c>
      <c r="FD44" s="21" t="n">
        <v>0</v>
      </c>
      <c r="FE44" s="21" t="n">
        <v>0</v>
      </c>
      <c r="FF44" s="21" t="n">
        <v>0</v>
      </c>
      <c r="FG44" s="21" t="n">
        <v>0</v>
      </c>
      <c r="FH44" s="21" t="n">
        <v>0</v>
      </c>
      <c r="FI44" s="21" t="n">
        <v>0</v>
      </c>
      <c r="FJ44" s="21" t="n">
        <v>0</v>
      </c>
      <c r="FK44" s="44" t="n">
        <v>1</v>
      </c>
      <c r="FL44" s="44" t="n">
        <v>1</v>
      </c>
      <c r="FM44" s="44" t="n">
        <v>1</v>
      </c>
      <c r="FN44" s="44" t="n">
        <v>1</v>
      </c>
      <c r="FO44" s="44" t="n">
        <v>1</v>
      </c>
      <c r="FP44" s="44" t="n">
        <v>1</v>
      </c>
      <c r="FQ44" s="21" t="n">
        <v>0</v>
      </c>
      <c r="FR44" s="21" t="n">
        <v>0</v>
      </c>
      <c r="FS44" s="21" t="n">
        <v>0</v>
      </c>
      <c r="FT44" s="21" t="n">
        <v>0</v>
      </c>
      <c r="FU44" s="21" t="n">
        <v>0</v>
      </c>
      <c r="FV44" s="21" t="n">
        <v>0</v>
      </c>
      <c r="FW44" s="21" t="n">
        <v>0</v>
      </c>
      <c r="FX44" s="21" t="n">
        <v>0</v>
      </c>
      <c r="FY44" s="21" t="n">
        <v>0</v>
      </c>
      <c r="FZ44" s="21" t="n">
        <v>0</v>
      </c>
      <c r="GA44" s="21" t="n">
        <v>0</v>
      </c>
      <c r="GB44" s="21" t="n">
        <v>0</v>
      </c>
      <c r="GC44" s="21" t="n">
        <v>0</v>
      </c>
    </row>
    <row r="45">
      <c r="A45" s="13" t="inlineStr">
        <is>
          <t>OT</t>
        </is>
      </c>
      <c r="B45" s="18" t="n"/>
      <c r="C45" s="18" t="inlineStr">
        <is>
          <t>Ô tô tự đổ 15 tấn Howo 371HP</t>
        </is>
      </c>
      <c r="D45" s="13" t="inlineStr">
        <is>
          <t>xe</t>
        </is>
      </c>
      <c r="E45" s="15" t="n">
        <v>52</v>
      </c>
      <c r="F45" s="15" t="n">
        <v>3</v>
      </c>
      <c r="G45" s="41" t="inlineStr">
        <is>
          <t>Vận chuyển đất đá hố móng ra bãi thải cự ly 5km</t>
        </is>
      </c>
      <c r="H45" s="41" t="n"/>
      <c r="I45" s="18" t="n"/>
      <c r="J45" s="18" t="n"/>
      <c r="K45" s="18" t="n"/>
      <c r="L45" s="18" t="n"/>
      <c r="M45" s="42" t="n"/>
      <c r="N45" s="18" t="n"/>
      <c r="O45" s="43" t="n"/>
      <c r="P45" s="21" t="n">
        <v>0</v>
      </c>
      <c r="Q45" s="21" t="n">
        <v>0</v>
      </c>
      <c r="R45" s="44" t="n">
        <v>2</v>
      </c>
      <c r="S45" s="44" t="n">
        <v>2</v>
      </c>
      <c r="T45" s="44" t="n">
        <v>2</v>
      </c>
      <c r="U45" s="44" t="n">
        <v>2</v>
      </c>
      <c r="V45" s="44" t="n">
        <v>2</v>
      </c>
      <c r="W45" s="44" t="n">
        <v>2</v>
      </c>
      <c r="X45" s="44" t="n">
        <v>2</v>
      </c>
      <c r="Y45" s="44" t="n">
        <v>2</v>
      </c>
      <c r="Z45" s="44" t="n">
        <v>2</v>
      </c>
      <c r="AA45" s="44" t="n">
        <v>2</v>
      </c>
      <c r="AB45" s="44" t="n">
        <v>2</v>
      </c>
      <c r="AC45" s="44" t="n">
        <v>2</v>
      </c>
      <c r="AD45" s="44" t="n">
        <v>2</v>
      </c>
      <c r="AE45" s="44" t="n">
        <v>2</v>
      </c>
      <c r="AF45" s="44" t="n">
        <v>2</v>
      </c>
      <c r="AG45" s="44" t="n">
        <v>2</v>
      </c>
      <c r="AH45" s="21" t="n">
        <v>0</v>
      </c>
      <c r="AI45" s="21" t="n">
        <v>0</v>
      </c>
      <c r="AJ45" s="21" t="n">
        <v>0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0</v>
      </c>
      <c r="BQ45" s="21" t="n">
        <v>0</v>
      </c>
      <c r="BR45" s="21" t="n">
        <v>0</v>
      </c>
      <c r="BS45" s="21" t="n">
        <v>0</v>
      </c>
      <c r="BT45" s="21" t="n">
        <v>0</v>
      </c>
      <c r="BU45" s="21" t="n">
        <v>0</v>
      </c>
      <c r="BV45" s="21" t="n">
        <v>0</v>
      </c>
      <c r="BW45" s="21" t="n">
        <v>0</v>
      </c>
      <c r="BX45" s="21" t="n">
        <v>0</v>
      </c>
      <c r="BY45" s="21" t="n">
        <v>0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0</v>
      </c>
      <c r="CN45" s="21" t="n">
        <v>0</v>
      </c>
      <c r="CO45" s="21" t="n">
        <v>0</v>
      </c>
      <c r="CP45" s="21" t="n">
        <v>0</v>
      </c>
      <c r="CQ45" s="21" t="n">
        <v>0</v>
      </c>
      <c r="CR45" s="21" t="n">
        <v>0</v>
      </c>
      <c r="CS45" s="44" t="n">
        <v>2</v>
      </c>
      <c r="CT45" s="44" t="n">
        <v>2</v>
      </c>
      <c r="CU45" s="44" t="n">
        <v>2</v>
      </c>
      <c r="CV45" s="44" t="n">
        <v>2</v>
      </c>
      <c r="CW45" s="44" t="n">
        <v>2</v>
      </c>
      <c r="CX45" s="44" t="n">
        <v>2</v>
      </c>
      <c r="CY45" s="44" t="n">
        <v>2</v>
      </c>
      <c r="CZ45" s="21" t="n">
        <v>0</v>
      </c>
      <c r="DA45" s="21" t="n">
        <v>0</v>
      </c>
      <c r="DB45" s="21" t="n">
        <v>0</v>
      </c>
      <c r="DC45" s="21" t="n">
        <v>0</v>
      </c>
      <c r="DD45" s="21" t="n">
        <v>0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0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0</v>
      </c>
      <c r="DW45" s="21" t="n">
        <v>0</v>
      </c>
      <c r="DX45" s="21" t="n">
        <v>0</v>
      </c>
      <c r="DY45" s="21" t="n">
        <v>0</v>
      </c>
      <c r="DZ45" s="21" t="n">
        <v>0</v>
      </c>
      <c r="EA45" s="21" t="n">
        <v>0</v>
      </c>
      <c r="EB45" s="21" t="n">
        <v>0</v>
      </c>
      <c r="EC45" s="21" t="n">
        <v>0</v>
      </c>
      <c r="ED45" s="21" t="n">
        <v>0</v>
      </c>
      <c r="EE45" s="21" t="n">
        <v>0</v>
      </c>
      <c r="EF45" s="21" t="n">
        <v>0</v>
      </c>
      <c r="EG45" s="21" t="n">
        <v>0</v>
      </c>
      <c r="EH45" s="21" t="n">
        <v>0</v>
      </c>
      <c r="EI45" s="21" t="n">
        <v>0</v>
      </c>
      <c r="EJ45" s="21" t="n">
        <v>0</v>
      </c>
      <c r="EK45" s="21" t="n">
        <v>0</v>
      </c>
      <c r="EL45" s="21" t="n">
        <v>0</v>
      </c>
      <c r="EM45" s="21" t="n">
        <v>0</v>
      </c>
      <c r="EN45" s="21" t="n">
        <v>0</v>
      </c>
      <c r="EO45" s="21" t="n">
        <v>0</v>
      </c>
      <c r="EP45" s="21" t="n">
        <v>0</v>
      </c>
      <c r="EQ45" s="21" t="n">
        <v>0</v>
      </c>
      <c r="ER45" s="21" t="n">
        <v>0</v>
      </c>
      <c r="ES45" s="21" t="n">
        <v>0</v>
      </c>
      <c r="ET45" s="21" t="n">
        <v>0</v>
      </c>
      <c r="EU45" s="21" t="n">
        <v>0</v>
      </c>
      <c r="EV45" s="21" t="n">
        <v>0</v>
      </c>
      <c r="EW45" s="21" t="n">
        <v>0</v>
      </c>
      <c r="EX45" s="21" t="n">
        <v>0</v>
      </c>
      <c r="EY45" s="21" t="n">
        <v>0</v>
      </c>
      <c r="EZ45" s="21" t="n">
        <v>0</v>
      </c>
      <c r="FA45" s="21" t="n">
        <v>0</v>
      </c>
      <c r="FB45" s="21" t="n">
        <v>0</v>
      </c>
      <c r="FC45" s="21" t="n">
        <v>0</v>
      </c>
      <c r="FD45" s="21" t="n">
        <v>0</v>
      </c>
      <c r="FE45" s="21" t="n">
        <v>0</v>
      </c>
      <c r="FF45" s="21" t="n">
        <v>0</v>
      </c>
      <c r="FG45" s="21" t="n">
        <v>0</v>
      </c>
      <c r="FH45" s="21" t="n">
        <v>0</v>
      </c>
      <c r="FI45" s="21" t="n">
        <v>0</v>
      </c>
      <c r="FJ45" s="21" t="n">
        <v>0</v>
      </c>
      <c r="FK45" s="44" t="n">
        <v>2</v>
      </c>
      <c r="FL45" s="44" t="n">
        <v>2</v>
      </c>
      <c r="FM45" s="44" t="n">
        <v>2</v>
      </c>
      <c r="FN45" s="44" t="n">
        <v>2</v>
      </c>
      <c r="FO45" s="44" t="n">
        <v>2</v>
      </c>
      <c r="FP45" s="44" t="n">
        <v>2</v>
      </c>
      <c r="FQ45" s="21" t="n">
        <v>0</v>
      </c>
      <c r="FR45" s="21" t="n">
        <v>0</v>
      </c>
      <c r="FS45" s="21" t="n">
        <v>0</v>
      </c>
      <c r="FT45" s="21" t="n">
        <v>0</v>
      </c>
      <c r="FU45" s="21" t="n">
        <v>0</v>
      </c>
      <c r="FV45" s="21" t="n">
        <v>0</v>
      </c>
      <c r="FW45" s="21" t="n">
        <v>0</v>
      </c>
      <c r="FX45" s="21" t="n">
        <v>0</v>
      </c>
      <c r="FY45" s="21" t="n">
        <v>0</v>
      </c>
      <c r="FZ45" s="21" t="n">
        <v>0</v>
      </c>
      <c r="GA45" s="21" t="n">
        <v>0</v>
      </c>
      <c r="GB45" s="21" t="n">
        <v>0</v>
      </c>
      <c r="GC45" s="21" t="n">
        <v>0</v>
      </c>
    </row>
    <row r="46">
      <c r="A46" s="13" t="inlineStr">
        <is>
          <t>XB</t>
        </is>
      </c>
      <c r="B46" s="18" t="n"/>
      <c r="C46" s="18" t="inlineStr">
        <is>
          <t>Xe bồn vận chuyển bê tông 9m3</t>
        </is>
      </c>
      <c r="D46" s="13" t="inlineStr">
        <is>
          <t>xe</t>
        </is>
      </c>
      <c r="E46" s="15" t="n">
        <v>42</v>
      </c>
      <c r="F46" s="15" t="n">
        <v>3</v>
      </c>
      <c r="G46" s="41" t="inlineStr">
        <is>
          <t>Vận chuyển BT C30, C45 từ trạm ra vị trí đổ</t>
        </is>
      </c>
      <c r="H46" s="41" t="n"/>
      <c r="I46" s="18" t="n"/>
      <c r="J46" s="18" t="n"/>
      <c r="K46" s="18" t="n"/>
      <c r="L46" s="18" t="n"/>
      <c r="M46" s="42" t="n"/>
      <c r="N46" s="18" t="n"/>
      <c r="O46" s="43" t="n"/>
      <c r="P46" s="21" t="n">
        <v>0</v>
      </c>
      <c r="Q46" s="21" t="n">
        <v>0</v>
      </c>
      <c r="R46" s="21" t="n">
        <v>0</v>
      </c>
      <c r="S46" s="21" t="n">
        <v>0</v>
      </c>
      <c r="T46" s="21" t="n">
        <v>0</v>
      </c>
      <c r="U46" s="21" t="n">
        <v>0</v>
      </c>
      <c r="V46" s="21" t="n">
        <v>0</v>
      </c>
      <c r="W46" s="21" t="n">
        <v>0</v>
      </c>
      <c r="X46" s="21" t="n">
        <v>0</v>
      </c>
      <c r="Y46" s="21" t="n">
        <v>0</v>
      </c>
      <c r="Z46" s="21" t="n">
        <v>0</v>
      </c>
      <c r="AA46" s="21" t="n">
        <v>0</v>
      </c>
      <c r="AB46" s="21" t="n">
        <v>0</v>
      </c>
      <c r="AC46" s="21" t="n">
        <v>0</v>
      </c>
      <c r="AD46" s="21" t="n">
        <v>0</v>
      </c>
      <c r="AE46" s="21" t="n">
        <v>0</v>
      </c>
      <c r="AF46" s="21" t="n">
        <v>0</v>
      </c>
      <c r="AG46" s="21" t="n">
        <v>0</v>
      </c>
      <c r="AH46" s="21" t="n">
        <v>0</v>
      </c>
      <c r="AI46" s="21" t="n">
        <v>0</v>
      </c>
      <c r="AJ46" s="21" t="n">
        <v>0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0</v>
      </c>
      <c r="BR46" s="21" t="n">
        <v>0</v>
      </c>
      <c r="BS46" s="21" t="n">
        <v>0</v>
      </c>
      <c r="BT46" s="21" t="n">
        <v>0</v>
      </c>
      <c r="BU46" s="21" t="n">
        <v>0</v>
      </c>
      <c r="BV46" s="21" t="n">
        <v>0</v>
      </c>
      <c r="BW46" s="21" t="n">
        <v>0</v>
      </c>
      <c r="BX46" s="21" t="n">
        <v>0</v>
      </c>
      <c r="BY46" s="21" t="n">
        <v>0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0</v>
      </c>
      <c r="CN46" s="21" t="n">
        <v>0</v>
      </c>
      <c r="CO46" s="21" t="n">
        <v>0</v>
      </c>
      <c r="CP46" s="21" t="n">
        <v>0</v>
      </c>
      <c r="CQ46" s="21" t="n">
        <v>0</v>
      </c>
      <c r="CR46" s="21" t="n">
        <v>0</v>
      </c>
      <c r="CS46" s="21" t="n">
        <v>0</v>
      </c>
      <c r="CT46" s="21" t="n">
        <v>0</v>
      </c>
      <c r="CU46" s="21" t="n">
        <v>0</v>
      </c>
      <c r="CV46" s="21" t="n">
        <v>0</v>
      </c>
      <c r="CW46" s="21" t="n">
        <v>0</v>
      </c>
      <c r="CX46" s="44" t="n">
        <v>2</v>
      </c>
      <c r="CY46" s="44" t="n">
        <v>2</v>
      </c>
      <c r="CZ46" s="44" t="n">
        <v>3</v>
      </c>
      <c r="DA46" s="44" t="n">
        <v>3</v>
      </c>
      <c r="DB46" s="44" t="n">
        <v>3</v>
      </c>
      <c r="DC46" s="44" t="n">
        <v>3</v>
      </c>
      <c r="DD46" s="44" t="n">
        <v>3</v>
      </c>
      <c r="DE46" s="44" t="n">
        <v>3</v>
      </c>
      <c r="DF46" s="44" t="n">
        <v>3</v>
      </c>
      <c r="DG46" s="44" t="n">
        <v>3</v>
      </c>
      <c r="DH46" s="44" t="n">
        <v>3</v>
      </c>
      <c r="DI46" s="44" t="n">
        <v>3</v>
      </c>
      <c r="DJ46" s="44" t="n">
        <v>3</v>
      </c>
      <c r="DK46" s="44" t="n">
        <v>3</v>
      </c>
      <c r="DL46" s="44" t="n">
        <v>3</v>
      </c>
      <c r="DM46" s="44" t="n">
        <v>3</v>
      </c>
      <c r="DN46" s="44" t="n">
        <v>3</v>
      </c>
      <c r="DO46" s="44" t="n">
        <v>3</v>
      </c>
      <c r="DP46" s="44" t="n">
        <v>3</v>
      </c>
      <c r="DQ46" s="44" t="n">
        <v>3</v>
      </c>
      <c r="DR46" s="44" t="n">
        <v>3</v>
      </c>
      <c r="DS46" s="44" t="n">
        <v>3</v>
      </c>
      <c r="DT46" s="44" t="n">
        <v>3</v>
      </c>
      <c r="DU46" s="44" t="n">
        <v>3</v>
      </c>
      <c r="DV46" s="44" t="n">
        <v>2</v>
      </c>
      <c r="DW46" s="44" t="n">
        <v>2</v>
      </c>
      <c r="DX46" s="44" t="n">
        <v>2</v>
      </c>
      <c r="DY46" s="44" t="n">
        <v>2</v>
      </c>
      <c r="DZ46" s="44" t="n">
        <v>2</v>
      </c>
      <c r="EA46" s="44" t="n">
        <v>2</v>
      </c>
      <c r="EB46" s="44" t="n">
        <v>2</v>
      </c>
      <c r="EC46" s="44" t="n">
        <v>2</v>
      </c>
      <c r="ED46" s="44" t="n">
        <v>2</v>
      </c>
      <c r="EE46" s="44" t="n">
        <v>2</v>
      </c>
      <c r="EF46" s="44" t="n">
        <v>2</v>
      </c>
      <c r="EG46" s="44" t="n">
        <v>2</v>
      </c>
      <c r="EH46" s="21" t="n">
        <v>0</v>
      </c>
      <c r="EI46" s="21" t="n">
        <v>0</v>
      </c>
      <c r="EJ46" s="21" t="n">
        <v>0</v>
      </c>
      <c r="EK46" s="21" t="n">
        <v>0</v>
      </c>
      <c r="EL46" s="21" t="n">
        <v>0</v>
      </c>
      <c r="EM46" s="21" t="n">
        <v>0</v>
      </c>
      <c r="EN46" s="21" t="n">
        <v>0</v>
      </c>
      <c r="EO46" s="21" t="n">
        <v>0</v>
      </c>
      <c r="EP46" s="21" t="n">
        <v>0</v>
      </c>
      <c r="EQ46" s="21" t="n">
        <v>0</v>
      </c>
      <c r="ER46" s="21" t="n">
        <v>0</v>
      </c>
      <c r="ES46" s="21" t="n">
        <v>0</v>
      </c>
      <c r="ET46" s="21" t="n">
        <v>0</v>
      </c>
      <c r="EU46" s="21" t="n">
        <v>0</v>
      </c>
      <c r="EV46" s="21" t="n">
        <v>0</v>
      </c>
      <c r="EW46" s="44" t="n">
        <v>2</v>
      </c>
      <c r="EX46" s="44" t="n">
        <v>2</v>
      </c>
      <c r="EY46" s="44" t="n">
        <v>2</v>
      </c>
      <c r="EZ46" s="44" t="n">
        <v>2</v>
      </c>
      <c r="FA46" s="44" t="n">
        <v>2</v>
      </c>
      <c r="FB46" s="21" t="n">
        <v>0</v>
      </c>
      <c r="FC46" s="21" t="n">
        <v>0</v>
      </c>
      <c r="FD46" s="21" t="n">
        <v>0</v>
      </c>
      <c r="FE46" s="21" t="n">
        <v>0</v>
      </c>
      <c r="FF46" s="21" t="n">
        <v>0</v>
      </c>
      <c r="FG46" s="44" t="n">
        <v>2</v>
      </c>
      <c r="FH46" s="44" t="n">
        <v>2</v>
      </c>
      <c r="FI46" s="44" t="n">
        <v>2</v>
      </c>
      <c r="FJ46" s="44" t="n">
        <v>2</v>
      </c>
      <c r="FK46" s="44" t="n">
        <v>2</v>
      </c>
      <c r="FL46" s="44" t="n">
        <v>2</v>
      </c>
      <c r="FM46" s="21" t="n">
        <v>0</v>
      </c>
      <c r="FN46" s="21" t="n">
        <v>0</v>
      </c>
      <c r="FO46" s="21" t="n">
        <v>0</v>
      </c>
      <c r="FP46" s="21" t="n">
        <v>0</v>
      </c>
      <c r="FQ46" s="21" t="n">
        <v>0</v>
      </c>
      <c r="FR46" s="21" t="n">
        <v>0</v>
      </c>
      <c r="FS46" s="21" t="n">
        <v>0</v>
      </c>
      <c r="FT46" s="21" t="n">
        <v>0</v>
      </c>
      <c r="FU46" s="21" t="n">
        <v>0</v>
      </c>
      <c r="FV46" s="21" t="n">
        <v>0</v>
      </c>
      <c r="FW46" s="21" t="n">
        <v>0</v>
      </c>
      <c r="FX46" s="21" t="n">
        <v>0</v>
      </c>
      <c r="FY46" s="21" t="n">
        <v>0</v>
      </c>
      <c r="FZ46" s="21" t="n">
        <v>0</v>
      </c>
      <c r="GA46" s="21" t="n">
        <v>0</v>
      </c>
      <c r="GB46" s="21" t="n">
        <v>0</v>
      </c>
      <c r="GC46" s="21" t="n">
        <v>0</v>
      </c>
    </row>
    <row r="47">
      <c r="A47" s="13" t="inlineStr">
        <is>
          <t>BM</t>
        </is>
      </c>
      <c r="B47" s="18" t="n"/>
      <c r="C47" s="18" t="inlineStr">
        <is>
          <t>Xe bơm bê tông cần 42m Putzmeister</t>
        </is>
      </c>
      <c r="D47" s="13" t="inlineStr">
        <is>
          <t>xe</t>
        </is>
      </c>
      <c r="E47" s="15" t="n">
        <v>46</v>
      </c>
      <c r="F47" s="15" t="n">
        <v>1</v>
      </c>
      <c r="G47" s="41" t="inlineStr">
        <is>
          <t>Bơm bê tông bệ mố trụ, thân trụ, xà mũ, dầm ngang</t>
        </is>
      </c>
      <c r="H47" s="41" t="n"/>
      <c r="I47" s="18" t="n"/>
      <c r="J47" s="18" t="n"/>
      <c r="K47" s="18" t="n"/>
      <c r="L47" s="18" t="n"/>
      <c r="M47" s="42" t="n"/>
      <c r="N47" s="18" t="n"/>
      <c r="O47" s="43" t="n"/>
      <c r="P47" s="21" t="n">
        <v>0</v>
      </c>
      <c r="Q47" s="21" t="n">
        <v>0</v>
      </c>
      <c r="R47" s="21" t="n">
        <v>0</v>
      </c>
      <c r="S47" s="21" t="n">
        <v>0</v>
      </c>
      <c r="T47" s="21" t="n">
        <v>0</v>
      </c>
      <c r="U47" s="21" t="n">
        <v>0</v>
      </c>
      <c r="V47" s="21" t="n">
        <v>0</v>
      </c>
      <c r="W47" s="21" t="n">
        <v>0</v>
      </c>
      <c r="X47" s="21" t="n">
        <v>0</v>
      </c>
      <c r="Y47" s="21" t="n">
        <v>0</v>
      </c>
      <c r="Z47" s="21" t="n">
        <v>0</v>
      </c>
      <c r="AA47" s="21" t="n">
        <v>0</v>
      </c>
      <c r="AB47" s="21" t="n">
        <v>0</v>
      </c>
      <c r="AC47" s="21" t="n">
        <v>0</v>
      </c>
      <c r="AD47" s="21" t="n">
        <v>0</v>
      </c>
      <c r="AE47" s="21" t="n">
        <v>0</v>
      </c>
      <c r="AF47" s="21" t="n">
        <v>0</v>
      </c>
      <c r="AG47" s="21" t="n">
        <v>0</v>
      </c>
      <c r="AH47" s="21" t="n">
        <v>0</v>
      </c>
      <c r="AI47" s="21" t="n">
        <v>0</v>
      </c>
      <c r="AJ47" s="21" t="n">
        <v>0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0</v>
      </c>
      <c r="AQ47" s="21" t="n">
        <v>0</v>
      </c>
      <c r="AR47" s="21" t="n">
        <v>0</v>
      </c>
      <c r="AS47" s="21" t="n">
        <v>0</v>
      </c>
      <c r="AT47" s="21" t="n">
        <v>0</v>
      </c>
      <c r="AU47" s="21" t="n">
        <v>0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0</v>
      </c>
      <c r="BP47" s="21" t="n">
        <v>0</v>
      </c>
      <c r="BQ47" s="21" t="n">
        <v>0</v>
      </c>
      <c r="BR47" s="21" t="n">
        <v>0</v>
      </c>
      <c r="BS47" s="21" t="n">
        <v>0</v>
      </c>
      <c r="BT47" s="21" t="n">
        <v>0</v>
      </c>
      <c r="BU47" s="21" t="n">
        <v>0</v>
      </c>
      <c r="BV47" s="21" t="n">
        <v>0</v>
      </c>
      <c r="BW47" s="21" t="n">
        <v>0</v>
      </c>
      <c r="BX47" s="21" t="n">
        <v>0</v>
      </c>
      <c r="BY47" s="21" t="n">
        <v>0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0</v>
      </c>
      <c r="CN47" s="21" t="n">
        <v>0</v>
      </c>
      <c r="CO47" s="21" t="n">
        <v>0</v>
      </c>
      <c r="CP47" s="21" t="n">
        <v>0</v>
      </c>
      <c r="CQ47" s="21" t="n">
        <v>0</v>
      </c>
      <c r="CR47" s="21" t="n">
        <v>0</v>
      </c>
      <c r="CS47" s="21" t="n">
        <v>0</v>
      </c>
      <c r="CT47" s="21" t="n">
        <v>0</v>
      </c>
      <c r="CU47" s="21" t="n">
        <v>0</v>
      </c>
      <c r="CV47" s="21" t="n">
        <v>0</v>
      </c>
      <c r="CW47" s="21" t="n">
        <v>0</v>
      </c>
      <c r="CX47" s="21" t="n">
        <v>0</v>
      </c>
      <c r="CY47" s="21" t="n">
        <v>0</v>
      </c>
      <c r="CZ47" s="44" t="n">
        <v>1</v>
      </c>
      <c r="DA47" s="44" t="n">
        <v>1</v>
      </c>
      <c r="DB47" s="44" t="n">
        <v>1</v>
      </c>
      <c r="DC47" s="44" t="n">
        <v>1</v>
      </c>
      <c r="DD47" s="44" t="n">
        <v>1</v>
      </c>
      <c r="DE47" s="44" t="n">
        <v>1</v>
      </c>
      <c r="DF47" s="44" t="n">
        <v>1</v>
      </c>
      <c r="DG47" s="44" t="n">
        <v>1</v>
      </c>
      <c r="DH47" s="44" t="n">
        <v>1</v>
      </c>
      <c r="DI47" s="44" t="n">
        <v>1</v>
      </c>
      <c r="DJ47" s="44" t="n">
        <v>1</v>
      </c>
      <c r="DK47" s="44" t="n">
        <v>1</v>
      </c>
      <c r="DL47" s="44" t="n">
        <v>1</v>
      </c>
      <c r="DM47" s="44" t="n">
        <v>1</v>
      </c>
      <c r="DN47" s="44" t="n">
        <v>1</v>
      </c>
      <c r="DO47" s="44" t="n">
        <v>1</v>
      </c>
      <c r="DP47" s="44" t="n">
        <v>1</v>
      </c>
      <c r="DQ47" s="44" t="n">
        <v>1</v>
      </c>
      <c r="DR47" s="44" t="n">
        <v>1</v>
      </c>
      <c r="DS47" s="44" t="n">
        <v>1</v>
      </c>
      <c r="DT47" s="44" t="n">
        <v>1</v>
      </c>
      <c r="DU47" s="44" t="n">
        <v>1</v>
      </c>
      <c r="DV47" s="44" t="n">
        <v>1</v>
      </c>
      <c r="DW47" s="44" t="n">
        <v>1</v>
      </c>
      <c r="DX47" s="44" t="n">
        <v>1</v>
      </c>
      <c r="DY47" s="44" t="n">
        <v>1</v>
      </c>
      <c r="DZ47" s="44" t="n">
        <v>1</v>
      </c>
      <c r="EA47" s="44" t="n">
        <v>1</v>
      </c>
      <c r="EB47" s="44" t="n">
        <v>1</v>
      </c>
      <c r="EC47" s="44" t="n">
        <v>1</v>
      </c>
      <c r="ED47" s="44" t="n">
        <v>1</v>
      </c>
      <c r="EE47" s="44" t="n">
        <v>1</v>
      </c>
      <c r="EF47" s="44" t="n">
        <v>1</v>
      </c>
      <c r="EG47" s="44" t="n">
        <v>1</v>
      </c>
      <c r="EH47" s="21" t="n">
        <v>0</v>
      </c>
      <c r="EI47" s="21" t="n">
        <v>0</v>
      </c>
      <c r="EJ47" s="21" t="n">
        <v>0</v>
      </c>
      <c r="EK47" s="21" t="n">
        <v>0</v>
      </c>
      <c r="EL47" s="21" t="n">
        <v>0</v>
      </c>
      <c r="EM47" s="21" t="n">
        <v>0</v>
      </c>
      <c r="EN47" s="21" t="n">
        <v>0</v>
      </c>
      <c r="EO47" s="21" t="n">
        <v>0</v>
      </c>
      <c r="EP47" s="21" t="n">
        <v>0</v>
      </c>
      <c r="EQ47" s="21" t="n">
        <v>0</v>
      </c>
      <c r="ER47" s="21" t="n">
        <v>0</v>
      </c>
      <c r="ES47" s="21" t="n">
        <v>0</v>
      </c>
      <c r="ET47" s="21" t="n">
        <v>0</v>
      </c>
      <c r="EU47" s="21" t="n">
        <v>0</v>
      </c>
      <c r="EV47" s="21" t="n">
        <v>0</v>
      </c>
      <c r="EW47" s="44" t="n">
        <v>1</v>
      </c>
      <c r="EX47" s="44" t="n">
        <v>1</v>
      </c>
      <c r="EY47" s="44" t="n">
        <v>1</v>
      </c>
      <c r="EZ47" s="44" t="n">
        <v>1</v>
      </c>
      <c r="FA47" s="44" t="n">
        <v>1</v>
      </c>
      <c r="FB47" s="21" t="n">
        <v>0</v>
      </c>
      <c r="FC47" s="21" t="n">
        <v>0</v>
      </c>
      <c r="FD47" s="21" t="n">
        <v>0</v>
      </c>
      <c r="FE47" s="21" t="n">
        <v>0</v>
      </c>
      <c r="FF47" s="21" t="n">
        <v>0</v>
      </c>
      <c r="FG47" s="44" t="n">
        <v>1</v>
      </c>
      <c r="FH47" s="44" t="n">
        <v>1</v>
      </c>
      <c r="FI47" s="44" t="n">
        <v>1</v>
      </c>
      <c r="FJ47" s="44" t="n">
        <v>1</v>
      </c>
      <c r="FK47" s="44" t="n">
        <v>1</v>
      </c>
      <c r="FL47" s="44" t="n">
        <v>1</v>
      </c>
      <c r="FM47" s="21" t="n">
        <v>0</v>
      </c>
      <c r="FN47" s="21" t="n">
        <v>0</v>
      </c>
      <c r="FO47" s="21" t="n">
        <v>0</v>
      </c>
      <c r="FP47" s="21" t="n">
        <v>0</v>
      </c>
      <c r="FQ47" s="21" t="n">
        <v>0</v>
      </c>
      <c r="FR47" s="21" t="n">
        <v>0</v>
      </c>
      <c r="FS47" s="21" t="n">
        <v>0</v>
      </c>
      <c r="FT47" s="21" t="n">
        <v>0</v>
      </c>
      <c r="FU47" s="21" t="n">
        <v>0</v>
      </c>
      <c r="FV47" s="21" t="n">
        <v>0</v>
      </c>
      <c r="FW47" s="21" t="n">
        <v>0</v>
      </c>
      <c r="FX47" s="21" t="n">
        <v>0</v>
      </c>
      <c r="FY47" s="21" t="n">
        <v>0</v>
      </c>
      <c r="FZ47" s="21" t="n">
        <v>0</v>
      </c>
      <c r="GA47" s="21" t="n">
        <v>0</v>
      </c>
      <c r="GB47" s="21" t="n">
        <v>0</v>
      </c>
      <c r="GC47" s="21" t="n">
        <v>0</v>
      </c>
    </row>
    <row r="48">
      <c r="A48" s="13" t="inlineStr">
        <is>
          <t>MN</t>
        </is>
      </c>
      <c r="B48" s="18" t="n"/>
      <c r="C48" s="18" t="inlineStr">
        <is>
          <t>Máy nén khí 7.5m3/phút Airman PDS265</t>
        </is>
      </c>
      <c r="D48" s="13" t="inlineStr">
        <is>
          <t>máy</t>
        </is>
      </c>
      <c r="E48" s="15" t="n">
        <v>38</v>
      </c>
      <c r="F48" s="15" t="n">
        <v>2</v>
      </c>
      <c r="G48" s="41" t="inlineStr">
        <is>
          <t>Thổi rửa đáy hố khoan &amp; đục phá đầu cọc nhồi</t>
        </is>
      </c>
      <c r="H48" s="41" t="n"/>
      <c r="I48" s="18" t="n"/>
      <c r="J48" s="18" t="n"/>
      <c r="K48" s="18" t="n"/>
      <c r="L48" s="18" t="n"/>
      <c r="M48" s="42" t="n"/>
      <c r="N48" s="18" t="n"/>
      <c r="O48" s="43" t="n"/>
      <c r="P48" s="21" t="n">
        <v>0</v>
      </c>
      <c r="Q48" s="21" t="n">
        <v>0</v>
      </c>
      <c r="R48" s="44" t="n">
        <v>1</v>
      </c>
      <c r="S48" s="44" t="n">
        <v>1</v>
      </c>
      <c r="T48" s="44" t="n">
        <v>1</v>
      </c>
      <c r="U48" s="44" t="n">
        <v>1</v>
      </c>
      <c r="V48" s="44" t="n">
        <v>1</v>
      </c>
      <c r="W48" s="44" t="n">
        <v>1</v>
      </c>
      <c r="X48" s="44" t="n">
        <v>1</v>
      </c>
      <c r="Y48" s="44" t="n">
        <v>1</v>
      </c>
      <c r="Z48" s="44" t="n">
        <v>1</v>
      </c>
      <c r="AA48" s="44" t="n">
        <v>1</v>
      </c>
      <c r="AB48" s="44" t="n">
        <v>1</v>
      </c>
      <c r="AC48" s="44" t="n">
        <v>1</v>
      </c>
      <c r="AD48" s="44" t="n">
        <v>1</v>
      </c>
      <c r="AE48" s="44" t="n">
        <v>1</v>
      </c>
      <c r="AF48" s="44" t="n">
        <v>1</v>
      </c>
      <c r="AG48" s="44" t="n">
        <v>1</v>
      </c>
      <c r="AH48" s="21" t="n">
        <v>0</v>
      </c>
      <c r="AI48" s="21" t="n">
        <v>0</v>
      </c>
      <c r="AJ48" s="21" t="n">
        <v>0</v>
      </c>
      <c r="AK48" s="21" t="n">
        <v>0</v>
      </c>
      <c r="AL48" s="21" t="n">
        <v>0</v>
      </c>
      <c r="AM48" s="21" t="n">
        <v>0</v>
      </c>
      <c r="AN48" s="44" t="n">
        <v>1</v>
      </c>
      <c r="AO48" s="44" t="n">
        <v>1</v>
      </c>
      <c r="AP48" s="44" t="n">
        <v>1</v>
      </c>
      <c r="AQ48" s="44" t="n">
        <v>1</v>
      </c>
      <c r="AR48" s="44" t="n">
        <v>1</v>
      </c>
      <c r="AS48" s="44" t="n">
        <v>1</v>
      </c>
      <c r="AT48" s="44" t="n">
        <v>1</v>
      </c>
      <c r="AU48" s="44" t="n">
        <v>1</v>
      </c>
      <c r="AV48" s="44" t="n">
        <v>1</v>
      </c>
      <c r="AW48" s="44" t="n">
        <v>1</v>
      </c>
      <c r="AX48" s="44" t="n">
        <v>1</v>
      </c>
      <c r="AY48" s="44" t="n">
        <v>1</v>
      </c>
      <c r="AZ48" s="44" t="n">
        <v>1</v>
      </c>
      <c r="BA48" s="44" t="n">
        <v>1</v>
      </c>
      <c r="BB48" s="44" t="n">
        <v>1</v>
      </c>
      <c r="BC48" s="44" t="n">
        <v>1</v>
      </c>
      <c r="BD48" s="44" t="n">
        <v>1</v>
      </c>
      <c r="BE48" s="44" t="n">
        <v>1</v>
      </c>
      <c r="BF48" s="44" t="n">
        <v>1</v>
      </c>
      <c r="BG48" s="44" t="n">
        <v>1</v>
      </c>
      <c r="BH48" s="44" t="n">
        <v>1</v>
      </c>
      <c r="BI48" s="44" t="n">
        <v>1</v>
      </c>
      <c r="BJ48" s="44" t="n">
        <v>1</v>
      </c>
      <c r="BK48" s="44" t="n">
        <v>1</v>
      </c>
      <c r="BL48" s="44" t="n">
        <v>1</v>
      </c>
      <c r="BM48" s="44" t="n">
        <v>1</v>
      </c>
      <c r="BN48" s="44" t="n">
        <v>1</v>
      </c>
      <c r="BO48" s="44" t="n">
        <v>1</v>
      </c>
      <c r="BP48" s="44" t="n">
        <v>1</v>
      </c>
      <c r="BQ48" s="44" t="n">
        <v>1</v>
      </c>
      <c r="BR48" s="44" t="n">
        <v>1</v>
      </c>
      <c r="BS48" s="44" t="n">
        <v>1</v>
      </c>
      <c r="BT48" s="44" t="n">
        <v>1</v>
      </c>
      <c r="BU48" s="44" t="n">
        <v>1</v>
      </c>
      <c r="BV48" s="44" t="n">
        <v>1</v>
      </c>
      <c r="BW48" s="44" t="n">
        <v>1</v>
      </c>
      <c r="BX48" s="44" t="n">
        <v>1</v>
      </c>
      <c r="BY48" s="44" t="n">
        <v>1</v>
      </c>
      <c r="BZ48" s="44" t="n">
        <v>1</v>
      </c>
      <c r="CA48" s="44" t="n">
        <v>1</v>
      </c>
      <c r="CB48" s="44" t="n">
        <v>1</v>
      </c>
      <c r="CC48" s="44" t="n">
        <v>1</v>
      </c>
      <c r="CD48" s="44" t="n">
        <v>1</v>
      </c>
      <c r="CE48" s="44" t="n">
        <v>1</v>
      </c>
      <c r="CF48" s="44" t="n">
        <v>1</v>
      </c>
      <c r="CG48" s="44" t="n">
        <v>1</v>
      </c>
      <c r="CH48" s="44" t="n">
        <v>1</v>
      </c>
      <c r="CI48" s="44" t="n">
        <v>1</v>
      </c>
      <c r="CJ48" s="44" t="n">
        <v>1</v>
      </c>
      <c r="CK48" s="21" t="n">
        <v>0</v>
      </c>
      <c r="CL48" s="21" t="n">
        <v>0</v>
      </c>
      <c r="CM48" s="21" t="n">
        <v>0</v>
      </c>
      <c r="CN48" s="21" t="n">
        <v>0</v>
      </c>
      <c r="CO48" s="21" t="n">
        <v>0</v>
      </c>
      <c r="CP48" s="21" t="n">
        <v>0</v>
      </c>
      <c r="CQ48" s="21" t="n">
        <v>0</v>
      </c>
      <c r="CR48" s="21" t="n">
        <v>0</v>
      </c>
      <c r="CS48" s="44" t="n">
        <v>1</v>
      </c>
      <c r="CT48" s="44" t="n">
        <v>1</v>
      </c>
      <c r="CU48" s="44" t="n">
        <v>1</v>
      </c>
      <c r="CV48" s="44" t="n">
        <v>1</v>
      </c>
      <c r="CW48" s="44" t="n">
        <v>1</v>
      </c>
      <c r="CX48" s="44" t="n">
        <v>1</v>
      </c>
      <c r="CY48" s="44" t="n">
        <v>1</v>
      </c>
      <c r="CZ48" s="21" t="n">
        <v>0</v>
      </c>
      <c r="DA48" s="21" t="n">
        <v>0</v>
      </c>
      <c r="DB48" s="21" t="n">
        <v>0</v>
      </c>
      <c r="DC48" s="21" t="n">
        <v>0</v>
      </c>
      <c r="DD48" s="21" t="n">
        <v>0</v>
      </c>
      <c r="DE48" s="21" t="n">
        <v>0</v>
      </c>
      <c r="DF48" s="21" t="n">
        <v>0</v>
      </c>
      <c r="DG48" s="21" t="n">
        <v>0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0</v>
      </c>
      <c r="DW48" s="21" t="n">
        <v>0</v>
      </c>
      <c r="DX48" s="21" t="n">
        <v>0</v>
      </c>
      <c r="DY48" s="21" t="n">
        <v>0</v>
      </c>
      <c r="DZ48" s="21" t="n">
        <v>0</v>
      </c>
      <c r="EA48" s="21" t="n">
        <v>0</v>
      </c>
      <c r="EB48" s="21" t="n">
        <v>0</v>
      </c>
      <c r="EC48" s="21" t="n">
        <v>0</v>
      </c>
      <c r="ED48" s="21" t="n">
        <v>0</v>
      </c>
      <c r="EE48" s="21" t="n">
        <v>0</v>
      </c>
      <c r="EF48" s="21" t="n">
        <v>0</v>
      </c>
      <c r="EG48" s="21" t="n">
        <v>0</v>
      </c>
      <c r="EH48" s="21" t="n">
        <v>0</v>
      </c>
      <c r="EI48" s="21" t="n">
        <v>0</v>
      </c>
      <c r="EJ48" s="21" t="n">
        <v>0</v>
      </c>
      <c r="EK48" s="21" t="n">
        <v>0</v>
      </c>
      <c r="EL48" s="21" t="n">
        <v>0</v>
      </c>
      <c r="EM48" s="21" t="n">
        <v>0</v>
      </c>
      <c r="EN48" s="21" t="n">
        <v>0</v>
      </c>
      <c r="EO48" s="21" t="n">
        <v>0</v>
      </c>
      <c r="EP48" s="21" t="n">
        <v>0</v>
      </c>
      <c r="EQ48" s="21" t="n">
        <v>0</v>
      </c>
      <c r="ER48" s="21" t="n">
        <v>0</v>
      </c>
      <c r="ES48" s="21" t="n">
        <v>0</v>
      </c>
      <c r="ET48" s="21" t="n">
        <v>0</v>
      </c>
      <c r="EU48" s="21" t="n">
        <v>0</v>
      </c>
      <c r="EV48" s="21" t="n">
        <v>0</v>
      </c>
      <c r="EW48" s="21" t="n">
        <v>0</v>
      </c>
      <c r="EX48" s="21" t="n">
        <v>0</v>
      </c>
      <c r="EY48" s="21" t="n">
        <v>0</v>
      </c>
      <c r="EZ48" s="21" t="n">
        <v>0</v>
      </c>
      <c r="FA48" s="21" t="n">
        <v>0</v>
      </c>
      <c r="FB48" s="21" t="n">
        <v>0</v>
      </c>
      <c r="FC48" s="21" t="n">
        <v>0</v>
      </c>
      <c r="FD48" s="21" t="n">
        <v>0</v>
      </c>
      <c r="FE48" s="21" t="n">
        <v>0</v>
      </c>
      <c r="FF48" s="21" t="n">
        <v>0</v>
      </c>
      <c r="FG48" s="21" t="n">
        <v>0</v>
      </c>
      <c r="FH48" s="21" t="n">
        <v>0</v>
      </c>
      <c r="FI48" s="21" t="n">
        <v>0</v>
      </c>
      <c r="FJ48" s="21" t="n">
        <v>0</v>
      </c>
      <c r="FK48" s="44" t="n">
        <v>1</v>
      </c>
      <c r="FL48" s="44" t="n">
        <v>1</v>
      </c>
      <c r="FM48" s="44" t="n">
        <v>1</v>
      </c>
      <c r="FN48" s="44" t="n">
        <v>1</v>
      </c>
      <c r="FO48" s="44" t="n">
        <v>1</v>
      </c>
      <c r="FP48" s="44" t="n">
        <v>1</v>
      </c>
      <c r="FQ48" s="21" t="n">
        <v>0</v>
      </c>
      <c r="FR48" s="21" t="n">
        <v>0</v>
      </c>
      <c r="FS48" s="21" t="n">
        <v>0</v>
      </c>
      <c r="FT48" s="21" t="n">
        <v>0</v>
      </c>
      <c r="FU48" s="21" t="n">
        <v>0</v>
      </c>
      <c r="FV48" s="21" t="n">
        <v>0</v>
      </c>
      <c r="FW48" s="21" t="n">
        <v>0</v>
      </c>
      <c r="FX48" s="21" t="n">
        <v>0</v>
      </c>
      <c r="FY48" s="21" t="n">
        <v>0</v>
      </c>
      <c r="FZ48" s="21" t="n">
        <v>0</v>
      </c>
      <c r="GA48" s="21" t="n">
        <v>0</v>
      </c>
      <c r="GB48" s="21" t="n">
        <v>0</v>
      </c>
      <c r="GC48" s="21" t="n">
        <v>0</v>
      </c>
    </row>
    <row r="49">
      <c r="A49" s="13" t="inlineStr">
        <is>
          <t>MH</t>
        </is>
      </c>
      <c r="B49" s="18" t="n"/>
      <c r="C49" s="18" t="inlineStr">
        <is>
          <t>Máy phát hàn điện 500A Denyo 500A</t>
        </is>
      </c>
      <c r="D49" s="13" t="inlineStr">
        <is>
          <t>máy</t>
        </is>
      </c>
      <c r="E49" s="15" t="n">
        <v>28</v>
      </c>
      <c r="F49" s="15" t="n">
        <v>3</v>
      </c>
      <c r="G49" s="41" t="inlineStr">
        <is>
          <t>Hàn lồng thép cọc D1200 &amp; khung thép dầm Super-T</t>
        </is>
      </c>
      <c r="H49" s="41" t="n"/>
      <c r="I49" s="18" t="n"/>
      <c r="J49" s="18" t="n"/>
      <c r="K49" s="18" t="n"/>
      <c r="L49" s="18" t="n"/>
      <c r="M49" s="42" t="n"/>
      <c r="N49" s="18" t="n"/>
      <c r="O49" s="43" t="n"/>
      <c r="P49" s="21" t="n">
        <v>0</v>
      </c>
      <c r="Q49" s="21" t="n">
        <v>0</v>
      </c>
      <c r="R49" s="21" t="n">
        <v>0</v>
      </c>
      <c r="S49" s="21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Y49" s="21" t="n">
        <v>0</v>
      </c>
      <c r="Z49" s="21" t="n">
        <v>0</v>
      </c>
      <c r="AA49" s="21" t="n">
        <v>0</v>
      </c>
      <c r="AB49" s="21" t="n">
        <v>0</v>
      </c>
      <c r="AC49" s="21" t="n">
        <v>0</v>
      </c>
      <c r="AD49" s="21" t="n">
        <v>0</v>
      </c>
      <c r="AE49" s="21" t="n">
        <v>0</v>
      </c>
      <c r="AF49" s="21" t="n">
        <v>0</v>
      </c>
      <c r="AG49" s="21" t="n">
        <v>0</v>
      </c>
      <c r="AH49" s="21" t="n">
        <v>0</v>
      </c>
      <c r="AI49" s="21" t="n">
        <v>0</v>
      </c>
      <c r="AJ49" s="21" t="n">
        <v>0</v>
      </c>
      <c r="AK49" s="21" t="n">
        <v>0</v>
      </c>
      <c r="AL49" s="21" t="n">
        <v>0</v>
      </c>
      <c r="AM49" s="21" t="n">
        <v>0</v>
      </c>
      <c r="AN49" s="44" t="n">
        <v>2</v>
      </c>
      <c r="AO49" s="44" t="n">
        <v>2</v>
      </c>
      <c r="AP49" s="44" t="n">
        <v>2</v>
      </c>
      <c r="AQ49" s="44" t="n">
        <v>2</v>
      </c>
      <c r="AR49" s="44" t="n">
        <v>2</v>
      </c>
      <c r="AS49" s="44" t="n">
        <v>2</v>
      </c>
      <c r="AT49" s="44" t="n">
        <v>2</v>
      </c>
      <c r="AU49" s="44" t="n">
        <v>2</v>
      </c>
      <c r="AV49" s="44" t="n">
        <v>2</v>
      </c>
      <c r="AW49" s="44" t="n">
        <v>2</v>
      </c>
      <c r="AX49" s="44" t="n">
        <v>2</v>
      </c>
      <c r="AY49" s="44" t="n">
        <v>2</v>
      </c>
      <c r="AZ49" s="44" t="n">
        <v>2</v>
      </c>
      <c r="BA49" s="44" t="n">
        <v>2</v>
      </c>
      <c r="BB49" s="44" t="n">
        <v>2</v>
      </c>
      <c r="BC49" s="44" t="n">
        <v>2</v>
      </c>
      <c r="BD49" s="44" t="n">
        <v>3</v>
      </c>
      <c r="BE49" s="44" t="n">
        <v>3</v>
      </c>
      <c r="BF49" s="44" t="n">
        <v>3</v>
      </c>
      <c r="BG49" s="44" t="n">
        <v>2</v>
      </c>
      <c r="BH49" s="44" t="n">
        <v>2</v>
      </c>
      <c r="BI49" s="44" t="n">
        <v>2</v>
      </c>
      <c r="BJ49" s="44" t="n">
        <v>2</v>
      </c>
      <c r="BK49" s="44" t="n">
        <v>2</v>
      </c>
      <c r="BL49" s="44" t="n">
        <v>3</v>
      </c>
      <c r="BM49" s="44" t="n">
        <v>3</v>
      </c>
      <c r="BN49" s="44" t="n">
        <v>3</v>
      </c>
      <c r="BO49" s="44" t="n">
        <v>3</v>
      </c>
      <c r="BP49" s="44" t="n">
        <v>3</v>
      </c>
      <c r="BQ49" s="44" t="n">
        <v>3</v>
      </c>
      <c r="BR49" s="44" t="n">
        <v>3</v>
      </c>
      <c r="BS49" s="44" t="n">
        <v>3</v>
      </c>
      <c r="BT49" s="44" t="n">
        <v>3</v>
      </c>
      <c r="BU49" s="44" t="n">
        <v>3</v>
      </c>
      <c r="BV49" s="44" t="n">
        <v>3</v>
      </c>
      <c r="BW49" s="44" t="n">
        <v>3</v>
      </c>
      <c r="BX49" s="44" t="n">
        <v>3</v>
      </c>
      <c r="BY49" s="44" t="n">
        <v>3</v>
      </c>
      <c r="BZ49" s="44" t="n">
        <v>3</v>
      </c>
      <c r="CA49" s="44" t="n">
        <v>3</v>
      </c>
      <c r="CB49" s="44" t="n">
        <v>3</v>
      </c>
      <c r="CC49" s="44" t="n">
        <v>2</v>
      </c>
      <c r="CD49" s="44" t="n">
        <v>2</v>
      </c>
      <c r="CE49" s="44" t="n">
        <v>2</v>
      </c>
      <c r="CF49" s="44" t="n">
        <v>2</v>
      </c>
      <c r="CG49" s="44" t="n">
        <v>2</v>
      </c>
      <c r="CH49" s="44" t="n">
        <v>2</v>
      </c>
      <c r="CI49" s="44" t="n">
        <v>2</v>
      </c>
      <c r="CJ49" s="44" t="n">
        <v>2</v>
      </c>
      <c r="CK49" s="21" t="n">
        <v>0</v>
      </c>
      <c r="CL49" s="21" t="n">
        <v>0</v>
      </c>
      <c r="CM49" s="21" t="n">
        <v>0</v>
      </c>
      <c r="CN49" s="21" t="n">
        <v>0</v>
      </c>
      <c r="CO49" s="21" t="n">
        <v>0</v>
      </c>
      <c r="CP49" s="21" t="n">
        <v>0</v>
      </c>
      <c r="CQ49" s="21" t="n">
        <v>0</v>
      </c>
      <c r="CR49" s="21" t="n">
        <v>0</v>
      </c>
      <c r="CS49" s="21" t="n">
        <v>0</v>
      </c>
      <c r="CT49" s="21" t="n">
        <v>0</v>
      </c>
      <c r="CU49" s="21" t="n">
        <v>0</v>
      </c>
      <c r="CV49" s="21" t="n">
        <v>0</v>
      </c>
      <c r="CW49" s="21" t="n">
        <v>0</v>
      </c>
      <c r="CX49" s="21" t="n">
        <v>0</v>
      </c>
      <c r="CY49" s="21" t="n">
        <v>0</v>
      </c>
      <c r="CZ49" s="21" t="n">
        <v>0</v>
      </c>
      <c r="DA49" s="21" t="n">
        <v>0</v>
      </c>
      <c r="DB49" s="21" t="n">
        <v>0</v>
      </c>
      <c r="DC49" s="21" t="n">
        <v>0</v>
      </c>
      <c r="DD49" s="21" t="n">
        <v>0</v>
      </c>
      <c r="DE49" s="21" t="n">
        <v>0</v>
      </c>
      <c r="DF49" s="21" t="n">
        <v>0</v>
      </c>
      <c r="DG49" s="21" t="n">
        <v>0</v>
      </c>
      <c r="DH49" s="21" t="n">
        <v>0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0</v>
      </c>
      <c r="DW49" s="21" t="n">
        <v>0</v>
      </c>
      <c r="DX49" s="21" t="n">
        <v>0</v>
      </c>
      <c r="DY49" s="21" t="n">
        <v>0</v>
      </c>
      <c r="DZ49" s="21" t="n">
        <v>0</v>
      </c>
      <c r="EA49" s="21" t="n">
        <v>0</v>
      </c>
      <c r="EB49" s="21" t="n">
        <v>0</v>
      </c>
      <c r="EC49" s="21" t="n">
        <v>0</v>
      </c>
      <c r="ED49" s="21" t="n">
        <v>0</v>
      </c>
      <c r="EE49" s="21" t="n">
        <v>0</v>
      </c>
      <c r="EF49" s="21" t="n">
        <v>0</v>
      </c>
      <c r="EG49" s="21" t="n">
        <v>0</v>
      </c>
      <c r="EH49" s="21" t="n">
        <v>0</v>
      </c>
      <c r="EI49" s="21" t="n">
        <v>0</v>
      </c>
      <c r="EJ49" s="21" t="n">
        <v>0</v>
      </c>
      <c r="EK49" s="21" t="n">
        <v>0</v>
      </c>
      <c r="EL49" s="21" t="n">
        <v>0</v>
      </c>
      <c r="EM49" s="21" t="n">
        <v>0</v>
      </c>
      <c r="EN49" s="21" t="n">
        <v>0</v>
      </c>
      <c r="EO49" s="21" t="n">
        <v>0</v>
      </c>
      <c r="EP49" s="21" t="n">
        <v>0</v>
      </c>
      <c r="EQ49" s="21" t="n">
        <v>0</v>
      </c>
      <c r="ER49" s="21" t="n">
        <v>0</v>
      </c>
      <c r="ES49" s="21" t="n">
        <v>0</v>
      </c>
      <c r="ET49" s="21" t="n">
        <v>0</v>
      </c>
      <c r="EU49" s="21" t="n">
        <v>0</v>
      </c>
      <c r="EV49" s="21" t="n">
        <v>0</v>
      </c>
      <c r="EW49" s="21" t="n">
        <v>0</v>
      </c>
      <c r="EX49" s="21" t="n">
        <v>0</v>
      </c>
      <c r="EY49" s="21" t="n">
        <v>0</v>
      </c>
      <c r="EZ49" s="21" t="n">
        <v>0</v>
      </c>
      <c r="FA49" s="21" t="n">
        <v>0</v>
      </c>
      <c r="FB49" s="21" t="n">
        <v>0</v>
      </c>
      <c r="FC49" s="21" t="n">
        <v>0</v>
      </c>
      <c r="FD49" s="21" t="n">
        <v>0</v>
      </c>
      <c r="FE49" s="21" t="n">
        <v>0</v>
      </c>
      <c r="FF49" s="21" t="n">
        <v>0</v>
      </c>
      <c r="FG49" s="21" t="n">
        <v>0</v>
      </c>
      <c r="FH49" s="21" t="n">
        <v>0</v>
      </c>
      <c r="FI49" s="21" t="n">
        <v>0</v>
      </c>
      <c r="FJ49" s="21" t="n">
        <v>0</v>
      </c>
      <c r="FK49" s="21" t="n">
        <v>0</v>
      </c>
      <c r="FL49" s="21" t="n">
        <v>0</v>
      </c>
      <c r="FM49" s="21" t="n">
        <v>0</v>
      </c>
      <c r="FN49" s="21" t="n">
        <v>0</v>
      </c>
      <c r="FO49" s="21" t="n">
        <v>0</v>
      </c>
      <c r="FP49" s="21" t="n">
        <v>0</v>
      </c>
      <c r="FQ49" s="44" t="n">
        <v>2</v>
      </c>
      <c r="FR49" s="44" t="n">
        <v>3</v>
      </c>
      <c r="FS49" s="44" t="n">
        <v>3</v>
      </c>
      <c r="FT49" s="44" t="n">
        <v>3</v>
      </c>
      <c r="FU49" s="44" t="n">
        <v>3</v>
      </c>
      <c r="FV49" s="44" t="n">
        <v>3</v>
      </c>
      <c r="FW49" s="44" t="n">
        <v>2</v>
      </c>
      <c r="FX49" s="44" t="n">
        <v>2</v>
      </c>
      <c r="FY49" s="44" t="n">
        <v>2</v>
      </c>
      <c r="FZ49" s="21" t="n">
        <v>0</v>
      </c>
      <c r="GA49" s="21" t="n">
        <v>0</v>
      </c>
      <c r="GB49" s="21" t="n">
        <v>0</v>
      </c>
      <c r="GC49" s="21" t="n">
        <v>0</v>
      </c>
    </row>
    <row r="50">
      <c r="A50" s="13" t="inlineStr">
        <is>
          <t>TT</t>
        </is>
      </c>
      <c r="B50" s="18" t="n"/>
      <c r="C50" s="18" t="inlineStr">
        <is>
          <t>Trạm trộn BTXM 60m3/h Sicoma</t>
        </is>
      </c>
      <c r="D50" s="13" t="inlineStr">
        <is>
          <t>trạm</t>
        </is>
      </c>
      <c r="E50" s="15" t="n">
        <v>58</v>
      </c>
      <c r="F50" s="15" t="n">
        <v>1</v>
      </c>
      <c r="G50" s="41" t="inlineStr">
        <is>
          <t>Sản xuất bê tông C10, C30, C35, C45 hiện trường</t>
        </is>
      </c>
      <c r="H50" s="41" t="n"/>
      <c r="I50" s="18" t="n"/>
      <c r="J50" s="18" t="n"/>
      <c r="K50" s="18" t="n"/>
      <c r="L50" s="18" t="n"/>
      <c r="M50" s="42" t="n"/>
      <c r="N50" s="18" t="n"/>
      <c r="O50" s="43" t="n"/>
      <c r="P50" s="21" t="n">
        <v>0</v>
      </c>
      <c r="Q50" s="21" t="n">
        <v>0</v>
      </c>
      <c r="R50" s="21" t="n">
        <v>0</v>
      </c>
      <c r="S50" s="21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1" t="n">
        <v>0</v>
      </c>
      <c r="AA50" s="21" t="n">
        <v>0</v>
      </c>
      <c r="AB50" s="21" t="n">
        <v>0</v>
      </c>
      <c r="AC50" s="21" t="n">
        <v>0</v>
      </c>
      <c r="AD50" s="21" t="n">
        <v>0</v>
      </c>
      <c r="AE50" s="21" t="n">
        <v>0</v>
      </c>
      <c r="AF50" s="21" t="n">
        <v>0</v>
      </c>
      <c r="AG50" s="21" t="n">
        <v>0</v>
      </c>
      <c r="AH50" s="21" t="n">
        <v>0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0</v>
      </c>
      <c r="CV50" s="21" t="n">
        <v>0</v>
      </c>
      <c r="CW50" s="21" t="n">
        <v>0</v>
      </c>
      <c r="CX50" s="44" t="n">
        <v>1</v>
      </c>
      <c r="CY50" s="44" t="n">
        <v>1</v>
      </c>
      <c r="CZ50" s="44" t="n">
        <v>1</v>
      </c>
      <c r="DA50" s="44" t="n">
        <v>1</v>
      </c>
      <c r="DB50" s="44" t="n">
        <v>1</v>
      </c>
      <c r="DC50" s="44" t="n">
        <v>1</v>
      </c>
      <c r="DD50" s="44" t="n">
        <v>1</v>
      </c>
      <c r="DE50" s="44" t="n">
        <v>1</v>
      </c>
      <c r="DF50" s="44" t="n">
        <v>1</v>
      </c>
      <c r="DG50" s="44" t="n">
        <v>1</v>
      </c>
      <c r="DH50" s="44" t="n">
        <v>1</v>
      </c>
      <c r="DI50" s="44" t="n">
        <v>1</v>
      </c>
      <c r="DJ50" s="44" t="n">
        <v>1</v>
      </c>
      <c r="DK50" s="44" t="n">
        <v>1</v>
      </c>
      <c r="DL50" s="44" t="n">
        <v>1</v>
      </c>
      <c r="DM50" s="44" t="n">
        <v>1</v>
      </c>
      <c r="DN50" s="44" t="n">
        <v>1</v>
      </c>
      <c r="DO50" s="44" t="n">
        <v>1</v>
      </c>
      <c r="DP50" s="44" t="n">
        <v>1</v>
      </c>
      <c r="DQ50" s="44" t="n">
        <v>1</v>
      </c>
      <c r="DR50" s="44" t="n">
        <v>1</v>
      </c>
      <c r="DS50" s="44" t="n">
        <v>1</v>
      </c>
      <c r="DT50" s="44" t="n">
        <v>1</v>
      </c>
      <c r="DU50" s="44" t="n">
        <v>1</v>
      </c>
      <c r="DV50" s="44" t="n">
        <v>1</v>
      </c>
      <c r="DW50" s="44" t="n">
        <v>1</v>
      </c>
      <c r="DX50" s="44" t="n">
        <v>1</v>
      </c>
      <c r="DY50" s="44" t="n">
        <v>1</v>
      </c>
      <c r="DZ50" s="44" t="n">
        <v>1</v>
      </c>
      <c r="EA50" s="44" t="n">
        <v>1</v>
      </c>
      <c r="EB50" s="44" t="n">
        <v>1</v>
      </c>
      <c r="EC50" s="44" t="n">
        <v>1</v>
      </c>
      <c r="ED50" s="44" t="n">
        <v>1</v>
      </c>
      <c r="EE50" s="44" t="n">
        <v>1</v>
      </c>
      <c r="EF50" s="44" t="n">
        <v>1</v>
      </c>
      <c r="EG50" s="44" t="n">
        <v>1</v>
      </c>
      <c r="EH50" s="21" t="n">
        <v>0</v>
      </c>
      <c r="EI50" s="21" t="n">
        <v>0</v>
      </c>
      <c r="EJ50" s="21" t="n">
        <v>0</v>
      </c>
      <c r="EK50" s="21" t="n">
        <v>0</v>
      </c>
      <c r="EL50" s="21" t="n">
        <v>0</v>
      </c>
      <c r="EM50" s="21" t="n">
        <v>0</v>
      </c>
      <c r="EN50" s="21" t="n">
        <v>0</v>
      </c>
      <c r="EO50" s="21" t="n">
        <v>0</v>
      </c>
      <c r="EP50" s="21" t="n">
        <v>0</v>
      </c>
      <c r="EQ50" s="21" t="n">
        <v>0</v>
      </c>
      <c r="ER50" s="21" t="n">
        <v>0</v>
      </c>
      <c r="ES50" s="21" t="n">
        <v>0</v>
      </c>
      <c r="ET50" s="21" t="n">
        <v>0</v>
      </c>
      <c r="EU50" s="21" t="n">
        <v>0</v>
      </c>
      <c r="EV50" s="21" t="n">
        <v>0</v>
      </c>
      <c r="EW50" s="44" t="n">
        <v>1</v>
      </c>
      <c r="EX50" s="44" t="n">
        <v>1</v>
      </c>
      <c r="EY50" s="44" t="n">
        <v>1</v>
      </c>
      <c r="EZ50" s="44" t="n">
        <v>1</v>
      </c>
      <c r="FA50" s="44" t="n">
        <v>1</v>
      </c>
      <c r="FB50" s="21" t="n">
        <v>0</v>
      </c>
      <c r="FC50" s="21" t="n">
        <v>0</v>
      </c>
      <c r="FD50" s="21" t="n">
        <v>0</v>
      </c>
      <c r="FE50" s="21" t="n">
        <v>0</v>
      </c>
      <c r="FF50" s="21" t="n">
        <v>0</v>
      </c>
      <c r="FG50" s="44" t="n">
        <v>1</v>
      </c>
      <c r="FH50" s="44" t="n">
        <v>1</v>
      </c>
      <c r="FI50" s="44" t="n">
        <v>1</v>
      </c>
      <c r="FJ50" s="44" t="n">
        <v>1</v>
      </c>
      <c r="FK50" s="44" t="n">
        <v>1</v>
      </c>
      <c r="FL50" s="44" t="n">
        <v>1</v>
      </c>
      <c r="FM50" s="21" t="n">
        <v>0</v>
      </c>
      <c r="FN50" s="21" t="n">
        <v>0</v>
      </c>
      <c r="FO50" s="21" t="n">
        <v>0</v>
      </c>
      <c r="FP50" s="21" t="n">
        <v>0</v>
      </c>
      <c r="FQ50" s="21" t="n">
        <v>0</v>
      </c>
      <c r="FR50" s="21" t="n">
        <v>0</v>
      </c>
      <c r="FS50" s="21" t="n">
        <v>0</v>
      </c>
      <c r="FT50" s="21" t="n">
        <v>0</v>
      </c>
      <c r="FU50" s="21" t="n">
        <v>0</v>
      </c>
      <c r="FV50" s="21" t="n">
        <v>0</v>
      </c>
      <c r="FW50" s="21" t="n">
        <v>0</v>
      </c>
      <c r="FX50" s="21" t="n">
        <v>0</v>
      </c>
      <c r="FY50" s="21" t="n">
        <v>0</v>
      </c>
      <c r="FZ50" s="21" t="n">
        <v>0</v>
      </c>
      <c r="GA50" s="21" t="n">
        <v>0</v>
      </c>
      <c r="GB50" s="21" t="n">
        <v>0</v>
      </c>
      <c r="GC50" s="21" t="n">
        <v>0</v>
      </c>
    </row>
    <row r="51">
      <c r="A51" s="13" t="inlineStr">
        <is>
          <t>GL</t>
        </is>
      </c>
      <c r="B51" s="18" t="n"/>
      <c r="C51" s="18" t="inlineStr">
        <is>
          <t>Giá lao dầm Super-T 78.88T ray P43</t>
        </is>
      </c>
      <c r="D51" s="13" t="inlineStr">
        <is>
          <t>hệ</t>
        </is>
      </c>
      <c r="E51" s="15" t="n">
        <v>35</v>
      </c>
      <c r="F51" s="15" t="n">
        <v>1</v>
      </c>
      <c r="G51" s="41" t="inlineStr">
        <is>
          <t>Lao lắp 15 phiến dầm Super-T 38.2m vượt thung lũng</t>
        </is>
      </c>
      <c r="H51" s="41" t="n"/>
      <c r="I51" s="18" t="n"/>
      <c r="J51" s="18" t="n"/>
      <c r="K51" s="18" t="n"/>
      <c r="L51" s="18" t="n"/>
      <c r="M51" s="42" t="n"/>
      <c r="N51" s="18" t="n"/>
      <c r="O51" s="43" t="n"/>
      <c r="P51" s="21" t="n">
        <v>0</v>
      </c>
      <c r="Q51" s="21" t="n">
        <v>0</v>
      </c>
      <c r="R51" s="21" t="n">
        <v>0</v>
      </c>
      <c r="S51" s="21" t="n">
        <v>0</v>
      </c>
      <c r="T51" s="21" t="n">
        <v>0</v>
      </c>
      <c r="U51" s="21" t="n">
        <v>0</v>
      </c>
      <c r="V51" s="21" t="n">
        <v>0</v>
      </c>
      <c r="W51" s="21" t="n">
        <v>0</v>
      </c>
      <c r="X51" s="21" t="n">
        <v>0</v>
      </c>
      <c r="Y51" s="21" t="n">
        <v>0</v>
      </c>
      <c r="Z51" s="21" t="n">
        <v>0</v>
      </c>
      <c r="AA51" s="21" t="n">
        <v>0</v>
      </c>
      <c r="AB51" s="21" t="n">
        <v>0</v>
      </c>
      <c r="AC51" s="21" t="n">
        <v>0</v>
      </c>
      <c r="AD51" s="21" t="n">
        <v>0</v>
      </c>
      <c r="AE51" s="21" t="n">
        <v>0</v>
      </c>
      <c r="AF51" s="21" t="n">
        <v>0</v>
      </c>
      <c r="AG51" s="21" t="n">
        <v>0</v>
      </c>
      <c r="AH51" s="21" t="n">
        <v>0</v>
      </c>
      <c r="AI51" s="21" t="n">
        <v>0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0</v>
      </c>
      <c r="CT51" s="21" t="n">
        <v>0</v>
      </c>
      <c r="CU51" s="21" t="n">
        <v>0</v>
      </c>
      <c r="CV51" s="21" t="n">
        <v>0</v>
      </c>
      <c r="CW51" s="21" t="n">
        <v>0</v>
      </c>
      <c r="CX51" s="21" t="n">
        <v>0</v>
      </c>
      <c r="CY51" s="21" t="n">
        <v>0</v>
      </c>
      <c r="CZ51" s="21" t="n">
        <v>0</v>
      </c>
      <c r="DA51" s="21" t="n">
        <v>0</v>
      </c>
      <c r="DB51" s="21" t="n">
        <v>0</v>
      </c>
      <c r="DC51" s="21" t="n">
        <v>0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0</v>
      </c>
      <c r="DX51" s="21" t="n">
        <v>0</v>
      </c>
      <c r="DY51" s="21" t="n">
        <v>0</v>
      </c>
      <c r="DZ51" s="21" t="n">
        <v>0</v>
      </c>
      <c r="EA51" s="21" t="n">
        <v>0</v>
      </c>
      <c r="EB51" s="21" t="n">
        <v>0</v>
      </c>
      <c r="EC51" s="21" t="n">
        <v>0</v>
      </c>
      <c r="ED51" s="21" t="n">
        <v>0</v>
      </c>
      <c r="EE51" s="21" t="n">
        <v>0</v>
      </c>
      <c r="EF51" s="21" t="n">
        <v>0</v>
      </c>
      <c r="EG51" s="21" t="n">
        <v>0</v>
      </c>
      <c r="EH51" s="21" t="n">
        <v>0</v>
      </c>
      <c r="EI51" s="21" t="n">
        <v>0</v>
      </c>
      <c r="EJ51" s="21" t="n">
        <v>0</v>
      </c>
      <c r="EK51" s="21" t="n">
        <v>0</v>
      </c>
      <c r="EL51" s="21" t="n">
        <v>0</v>
      </c>
      <c r="EM51" s="44" t="n">
        <v>1</v>
      </c>
      <c r="EN51" s="44" t="n">
        <v>1</v>
      </c>
      <c r="EO51" s="44" t="n">
        <v>1</v>
      </c>
      <c r="EP51" s="44" t="n">
        <v>1</v>
      </c>
      <c r="EQ51" s="44" t="n">
        <v>1</v>
      </c>
      <c r="ER51" s="44" t="n">
        <v>1</v>
      </c>
      <c r="ES51" s="44" t="n">
        <v>1</v>
      </c>
      <c r="ET51" s="44" t="n">
        <v>1</v>
      </c>
      <c r="EU51" s="44" t="n">
        <v>1</v>
      </c>
      <c r="EV51" s="44" t="n">
        <v>1</v>
      </c>
      <c r="EW51" s="21" t="n">
        <v>0</v>
      </c>
      <c r="EX51" s="21" t="n">
        <v>0</v>
      </c>
      <c r="EY51" s="21" t="n">
        <v>0</v>
      </c>
      <c r="EZ51" s="21" t="n">
        <v>0</v>
      </c>
      <c r="FA51" s="21" t="n">
        <v>0</v>
      </c>
      <c r="FB51" s="21" t="n">
        <v>0</v>
      </c>
      <c r="FC51" s="21" t="n">
        <v>0</v>
      </c>
      <c r="FD51" s="21" t="n">
        <v>0</v>
      </c>
      <c r="FE51" s="21" t="n">
        <v>0</v>
      </c>
      <c r="FF51" s="21" t="n">
        <v>0</v>
      </c>
      <c r="FG51" s="21" t="n">
        <v>0</v>
      </c>
      <c r="FH51" s="21" t="n">
        <v>0</v>
      </c>
      <c r="FI51" s="21" t="n">
        <v>0</v>
      </c>
      <c r="FJ51" s="21" t="n">
        <v>0</v>
      </c>
      <c r="FK51" s="21" t="n">
        <v>0</v>
      </c>
      <c r="FL51" s="21" t="n">
        <v>0</v>
      </c>
      <c r="FM51" s="21" t="n">
        <v>0</v>
      </c>
      <c r="FN51" s="21" t="n">
        <v>0</v>
      </c>
      <c r="FO51" s="21" t="n">
        <v>0</v>
      </c>
      <c r="FP51" s="21" t="n">
        <v>0</v>
      </c>
      <c r="FQ51" s="21" t="n">
        <v>0</v>
      </c>
      <c r="FR51" s="21" t="n">
        <v>0</v>
      </c>
      <c r="FS51" s="21" t="n">
        <v>0</v>
      </c>
      <c r="FT51" s="21" t="n">
        <v>0</v>
      </c>
      <c r="FU51" s="21" t="n">
        <v>0</v>
      </c>
      <c r="FV51" s="21" t="n">
        <v>0</v>
      </c>
      <c r="FW51" s="21" t="n">
        <v>0</v>
      </c>
      <c r="FX51" s="21" t="n">
        <v>0</v>
      </c>
      <c r="FY51" s="21" t="n">
        <v>0</v>
      </c>
      <c r="FZ51" s="21" t="n">
        <v>0</v>
      </c>
      <c r="GA51" s="21" t="n">
        <v>0</v>
      </c>
      <c r="GB51" s="21" t="n">
        <v>0</v>
      </c>
      <c r="GC51" s="21" t="n">
        <v>0</v>
      </c>
    </row>
    <row r="52">
      <c r="A52" s="13" t="inlineStr">
        <is>
          <t>LU</t>
        </is>
      </c>
      <c r="B52" s="18" t="n"/>
      <c r="C52" s="18" t="inlineStr">
        <is>
          <t>Máy lu rung 14-25T Hamm 3411</t>
        </is>
      </c>
      <c r="D52" s="13" t="inlineStr">
        <is>
          <t>máy</t>
        </is>
      </c>
      <c r="E52" s="15" t="n">
        <v>45</v>
      </c>
      <c r="F52" s="15" t="n">
        <v>1</v>
      </c>
      <c r="G52" s="41" t="inlineStr">
        <is>
          <t>Lu lèn K95, K98 đường công vụ và đường đầu cầu</t>
        </is>
      </c>
      <c r="H52" s="41" t="n"/>
      <c r="I52" s="18" t="n"/>
      <c r="J52" s="18" t="n"/>
      <c r="K52" s="18" t="n"/>
      <c r="L52" s="18" t="n"/>
      <c r="M52" s="42" t="n"/>
      <c r="N52" s="18" t="n"/>
      <c r="O52" s="43" t="n"/>
      <c r="P52" s="21" t="n">
        <v>0</v>
      </c>
      <c r="Q52" s="21" t="n">
        <v>0</v>
      </c>
      <c r="R52" s="44" t="n">
        <v>1</v>
      </c>
      <c r="S52" s="44" t="n">
        <v>1</v>
      </c>
      <c r="T52" s="44" t="n">
        <v>1</v>
      </c>
      <c r="U52" s="44" t="n">
        <v>1</v>
      </c>
      <c r="V52" s="44" t="n">
        <v>1</v>
      </c>
      <c r="W52" s="44" t="n">
        <v>1</v>
      </c>
      <c r="X52" s="44" t="n">
        <v>1</v>
      </c>
      <c r="Y52" s="44" t="n">
        <v>1</v>
      </c>
      <c r="Z52" s="44" t="n">
        <v>1</v>
      </c>
      <c r="AA52" s="44" t="n">
        <v>1</v>
      </c>
      <c r="AB52" s="44" t="n">
        <v>1</v>
      </c>
      <c r="AC52" s="44" t="n">
        <v>1</v>
      </c>
      <c r="AD52" s="44" t="n">
        <v>1</v>
      </c>
      <c r="AE52" s="44" t="n">
        <v>1</v>
      </c>
      <c r="AF52" s="44" t="n">
        <v>1</v>
      </c>
      <c r="AG52" s="44" t="n">
        <v>1</v>
      </c>
      <c r="AH52" s="21" t="n">
        <v>0</v>
      </c>
      <c r="AI52" s="21" t="n">
        <v>0</v>
      </c>
      <c r="AJ52" s="21" t="n">
        <v>0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0</v>
      </c>
      <c r="AS52" s="21" t="n">
        <v>0</v>
      </c>
      <c r="AT52" s="21" t="n">
        <v>0</v>
      </c>
      <c r="AU52" s="21" t="n">
        <v>0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0</v>
      </c>
      <c r="BP52" s="21" t="n">
        <v>0</v>
      </c>
      <c r="BQ52" s="21" t="n">
        <v>0</v>
      </c>
      <c r="BR52" s="21" t="n">
        <v>0</v>
      </c>
      <c r="BS52" s="21" t="n">
        <v>0</v>
      </c>
      <c r="BT52" s="21" t="n">
        <v>0</v>
      </c>
      <c r="BU52" s="21" t="n">
        <v>0</v>
      </c>
      <c r="BV52" s="21" t="n">
        <v>0</v>
      </c>
      <c r="BW52" s="21" t="n">
        <v>0</v>
      </c>
      <c r="BX52" s="21" t="n">
        <v>0</v>
      </c>
      <c r="BY52" s="21" t="n">
        <v>0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0</v>
      </c>
      <c r="CN52" s="21" t="n">
        <v>0</v>
      </c>
      <c r="CO52" s="21" t="n">
        <v>0</v>
      </c>
      <c r="CP52" s="21" t="n">
        <v>0</v>
      </c>
      <c r="CQ52" s="21" t="n">
        <v>0</v>
      </c>
      <c r="CR52" s="21" t="n">
        <v>0</v>
      </c>
      <c r="CS52" s="44" t="n">
        <v>1</v>
      </c>
      <c r="CT52" s="44" t="n">
        <v>1</v>
      </c>
      <c r="CU52" s="44" t="n">
        <v>1</v>
      </c>
      <c r="CV52" s="44" t="n">
        <v>1</v>
      </c>
      <c r="CW52" s="44" t="n">
        <v>1</v>
      </c>
      <c r="CX52" s="44" t="n">
        <v>1</v>
      </c>
      <c r="CY52" s="44" t="n">
        <v>1</v>
      </c>
      <c r="CZ52" s="21" t="n">
        <v>0</v>
      </c>
      <c r="DA52" s="21" t="n">
        <v>0</v>
      </c>
      <c r="DB52" s="21" t="n">
        <v>0</v>
      </c>
      <c r="DC52" s="21" t="n">
        <v>0</v>
      </c>
      <c r="DD52" s="21" t="n">
        <v>0</v>
      </c>
      <c r="DE52" s="21" t="n">
        <v>0</v>
      </c>
      <c r="DF52" s="21" t="n">
        <v>0</v>
      </c>
      <c r="DG52" s="21" t="n">
        <v>0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0</v>
      </c>
      <c r="DW52" s="21" t="n">
        <v>0</v>
      </c>
      <c r="DX52" s="21" t="n">
        <v>0</v>
      </c>
      <c r="DY52" s="21" t="n">
        <v>0</v>
      </c>
      <c r="DZ52" s="21" t="n">
        <v>0</v>
      </c>
      <c r="EA52" s="21" t="n">
        <v>0</v>
      </c>
      <c r="EB52" s="21" t="n">
        <v>0</v>
      </c>
      <c r="EC52" s="21" t="n">
        <v>0</v>
      </c>
      <c r="ED52" s="21" t="n">
        <v>0</v>
      </c>
      <c r="EE52" s="21" t="n">
        <v>0</v>
      </c>
      <c r="EF52" s="21" t="n">
        <v>0</v>
      </c>
      <c r="EG52" s="21" t="n">
        <v>0</v>
      </c>
      <c r="EH52" s="21" t="n">
        <v>0</v>
      </c>
      <c r="EI52" s="21" t="n">
        <v>0</v>
      </c>
      <c r="EJ52" s="21" t="n">
        <v>0</v>
      </c>
      <c r="EK52" s="21" t="n">
        <v>0</v>
      </c>
      <c r="EL52" s="21" t="n">
        <v>0</v>
      </c>
      <c r="EM52" s="21" t="n">
        <v>0</v>
      </c>
      <c r="EN52" s="21" t="n">
        <v>0</v>
      </c>
      <c r="EO52" s="21" t="n">
        <v>0</v>
      </c>
      <c r="EP52" s="21" t="n">
        <v>0</v>
      </c>
      <c r="EQ52" s="21" t="n">
        <v>0</v>
      </c>
      <c r="ER52" s="21" t="n">
        <v>0</v>
      </c>
      <c r="ES52" s="21" t="n">
        <v>0</v>
      </c>
      <c r="ET52" s="21" t="n">
        <v>0</v>
      </c>
      <c r="EU52" s="21" t="n">
        <v>0</v>
      </c>
      <c r="EV52" s="21" t="n">
        <v>0</v>
      </c>
      <c r="EW52" s="21" t="n">
        <v>0</v>
      </c>
      <c r="EX52" s="21" t="n">
        <v>0</v>
      </c>
      <c r="EY52" s="21" t="n">
        <v>0</v>
      </c>
      <c r="EZ52" s="21" t="n">
        <v>0</v>
      </c>
      <c r="FA52" s="21" t="n">
        <v>0</v>
      </c>
      <c r="FB52" s="21" t="n">
        <v>0</v>
      </c>
      <c r="FC52" s="21" t="n">
        <v>0</v>
      </c>
      <c r="FD52" s="21" t="n">
        <v>0</v>
      </c>
      <c r="FE52" s="21" t="n">
        <v>0</v>
      </c>
      <c r="FF52" s="21" t="n">
        <v>0</v>
      </c>
      <c r="FG52" s="21" t="n">
        <v>0</v>
      </c>
      <c r="FH52" s="21" t="n">
        <v>0</v>
      </c>
      <c r="FI52" s="21" t="n">
        <v>0</v>
      </c>
      <c r="FJ52" s="21" t="n">
        <v>0</v>
      </c>
      <c r="FK52" s="44" t="n">
        <v>1</v>
      </c>
      <c r="FL52" s="44" t="n">
        <v>1</v>
      </c>
      <c r="FM52" s="44" t="n">
        <v>1</v>
      </c>
      <c r="FN52" s="44" t="n">
        <v>1</v>
      </c>
      <c r="FO52" s="44" t="n">
        <v>1</v>
      </c>
      <c r="FP52" s="44" t="n">
        <v>1</v>
      </c>
      <c r="FQ52" s="21" t="n">
        <v>0</v>
      </c>
      <c r="FR52" s="21" t="n">
        <v>0</v>
      </c>
      <c r="FS52" s="21" t="n">
        <v>0</v>
      </c>
      <c r="FT52" s="21" t="n">
        <v>0</v>
      </c>
      <c r="FU52" s="21" t="n">
        <v>0</v>
      </c>
      <c r="FV52" s="21" t="n">
        <v>0</v>
      </c>
      <c r="FW52" s="21" t="n">
        <v>0</v>
      </c>
      <c r="FX52" s="21" t="n">
        <v>0</v>
      </c>
      <c r="FY52" s="21" t="n">
        <v>0</v>
      </c>
      <c r="FZ52" s="44" t="n">
        <v>1</v>
      </c>
      <c r="GA52" s="44" t="n">
        <v>1</v>
      </c>
      <c r="GB52" s="44" t="n">
        <v>1</v>
      </c>
      <c r="GC52" s="44" t="n">
        <v>1</v>
      </c>
    </row>
    <row r="53">
      <c r="A53" s="13" t="inlineStr">
        <is>
          <t>XT</t>
        </is>
      </c>
      <c r="B53" s="18" t="n"/>
      <c r="C53" s="18" t="inlineStr">
        <is>
          <t>Xe téc cấp dầu lưu động 9m3</t>
        </is>
      </c>
      <c r="D53" s="13" t="inlineStr">
        <is>
          <t>xe</t>
        </is>
      </c>
      <c r="E53" s="15" t="n">
        <v>44</v>
      </c>
      <c r="F53" s="15" t="n">
        <v>1</v>
      </c>
      <c r="G53" s="41" t="inlineStr">
        <is>
          <t>Cấp dầu Diezel trực tiếp ngoài hố móng 2 ca/ngày</t>
        </is>
      </c>
      <c r="H53" s="41" t="n"/>
      <c r="I53" s="18" t="n"/>
      <c r="J53" s="18" t="n"/>
      <c r="K53" s="18" t="n"/>
      <c r="L53" s="18" t="n"/>
      <c r="M53" s="42" t="n"/>
      <c r="N53" s="18" t="n"/>
      <c r="O53" s="43" t="n"/>
      <c r="P53" s="44" t="n">
        <v>1</v>
      </c>
      <c r="Q53" s="44" t="n">
        <v>1</v>
      </c>
      <c r="R53" s="44" t="n">
        <v>1</v>
      </c>
      <c r="S53" s="44" t="n">
        <v>1</v>
      </c>
      <c r="T53" s="44" t="n">
        <v>1</v>
      </c>
      <c r="U53" s="44" t="n">
        <v>1</v>
      </c>
      <c r="V53" s="44" t="n">
        <v>1</v>
      </c>
      <c r="W53" s="44" t="n">
        <v>1</v>
      </c>
      <c r="X53" s="44" t="n">
        <v>1</v>
      </c>
      <c r="Y53" s="44" t="n">
        <v>1</v>
      </c>
      <c r="Z53" s="44" t="n">
        <v>1</v>
      </c>
      <c r="AA53" s="44" t="n">
        <v>1</v>
      </c>
      <c r="AB53" s="44" t="n">
        <v>1</v>
      </c>
      <c r="AC53" s="44" t="n">
        <v>1</v>
      </c>
      <c r="AD53" s="44" t="n">
        <v>1</v>
      </c>
      <c r="AE53" s="44" t="n">
        <v>1</v>
      </c>
      <c r="AF53" s="44" t="n">
        <v>1</v>
      </c>
      <c r="AG53" s="44" t="n">
        <v>1</v>
      </c>
      <c r="AH53" s="44" t="n">
        <v>1</v>
      </c>
      <c r="AI53" s="44" t="n">
        <v>1</v>
      </c>
      <c r="AJ53" s="44" t="n">
        <v>1</v>
      </c>
      <c r="AK53" s="44" t="n">
        <v>1</v>
      </c>
      <c r="AL53" s="44" t="n">
        <v>1</v>
      </c>
      <c r="AM53" s="44" t="n">
        <v>1</v>
      </c>
      <c r="AN53" s="44" t="n">
        <v>1</v>
      </c>
      <c r="AO53" s="44" t="n">
        <v>1</v>
      </c>
      <c r="AP53" s="44" t="n">
        <v>1</v>
      </c>
      <c r="AQ53" s="44" t="n">
        <v>1</v>
      </c>
      <c r="AR53" s="44" t="n">
        <v>1</v>
      </c>
      <c r="AS53" s="44" t="n">
        <v>1</v>
      </c>
      <c r="AT53" s="44" t="n">
        <v>1</v>
      </c>
      <c r="AU53" s="44" t="n">
        <v>1</v>
      </c>
      <c r="AV53" s="44" t="n">
        <v>1</v>
      </c>
      <c r="AW53" s="44" t="n">
        <v>1</v>
      </c>
      <c r="AX53" s="44" t="n">
        <v>1</v>
      </c>
      <c r="AY53" s="44" t="n">
        <v>1</v>
      </c>
      <c r="AZ53" s="44" t="n">
        <v>1</v>
      </c>
      <c r="BA53" s="44" t="n">
        <v>1</v>
      </c>
      <c r="BB53" s="44" t="n">
        <v>1</v>
      </c>
      <c r="BC53" s="44" t="n">
        <v>1</v>
      </c>
      <c r="BD53" s="44" t="n">
        <v>1</v>
      </c>
      <c r="BE53" s="44" t="n">
        <v>1</v>
      </c>
      <c r="BF53" s="44" t="n">
        <v>1</v>
      </c>
      <c r="BG53" s="44" t="n">
        <v>1</v>
      </c>
      <c r="BH53" s="44" t="n">
        <v>1</v>
      </c>
      <c r="BI53" s="44" t="n">
        <v>1</v>
      </c>
      <c r="BJ53" s="44" t="n">
        <v>1</v>
      </c>
      <c r="BK53" s="44" t="n">
        <v>1</v>
      </c>
      <c r="BL53" s="44" t="n">
        <v>1</v>
      </c>
      <c r="BM53" s="44" t="n">
        <v>1</v>
      </c>
      <c r="BN53" s="44" t="n">
        <v>1</v>
      </c>
      <c r="BO53" s="44" t="n">
        <v>1</v>
      </c>
      <c r="BP53" s="44" t="n">
        <v>1</v>
      </c>
      <c r="BQ53" s="44" t="n">
        <v>1</v>
      </c>
      <c r="BR53" s="44" t="n">
        <v>1</v>
      </c>
      <c r="BS53" s="44" t="n">
        <v>1</v>
      </c>
      <c r="BT53" s="44" t="n">
        <v>1</v>
      </c>
      <c r="BU53" s="44" t="n">
        <v>1</v>
      </c>
      <c r="BV53" s="44" t="n">
        <v>1</v>
      </c>
      <c r="BW53" s="44" t="n">
        <v>1</v>
      </c>
      <c r="BX53" s="44" t="n">
        <v>1</v>
      </c>
      <c r="BY53" s="44" t="n">
        <v>1</v>
      </c>
      <c r="BZ53" s="44" t="n">
        <v>1</v>
      </c>
      <c r="CA53" s="44" t="n">
        <v>1</v>
      </c>
      <c r="CB53" s="44" t="n">
        <v>1</v>
      </c>
      <c r="CC53" s="44" t="n">
        <v>1</v>
      </c>
      <c r="CD53" s="44" t="n">
        <v>1</v>
      </c>
      <c r="CE53" s="44" t="n">
        <v>1</v>
      </c>
      <c r="CF53" s="44" t="n">
        <v>1</v>
      </c>
      <c r="CG53" s="44" t="n">
        <v>1</v>
      </c>
      <c r="CH53" s="44" t="n">
        <v>1</v>
      </c>
      <c r="CI53" s="44" t="n">
        <v>1</v>
      </c>
      <c r="CJ53" s="44" t="n">
        <v>1</v>
      </c>
      <c r="CK53" s="44" t="n">
        <v>1</v>
      </c>
      <c r="CL53" s="44" t="n">
        <v>1</v>
      </c>
      <c r="CM53" s="44" t="n">
        <v>1</v>
      </c>
      <c r="CN53" s="44" t="n">
        <v>1</v>
      </c>
      <c r="CO53" s="44" t="n">
        <v>1</v>
      </c>
      <c r="CP53" s="44" t="n">
        <v>1</v>
      </c>
      <c r="CQ53" s="44" t="n">
        <v>1</v>
      </c>
      <c r="CR53" s="44" t="n">
        <v>1</v>
      </c>
      <c r="CS53" s="44" t="n">
        <v>1</v>
      </c>
      <c r="CT53" s="44" t="n">
        <v>1</v>
      </c>
      <c r="CU53" s="44" t="n">
        <v>1</v>
      </c>
      <c r="CV53" s="44" t="n">
        <v>1</v>
      </c>
      <c r="CW53" s="44" t="n">
        <v>1</v>
      </c>
      <c r="CX53" s="44" t="n">
        <v>1</v>
      </c>
      <c r="CY53" s="44" t="n">
        <v>1</v>
      </c>
      <c r="CZ53" s="44" t="n">
        <v>1</v>
      </c>
      <c r="DA53" s="44" t="n">
        <v>1</v>
      </c>
      <c r="DB53" s="44" t="n">
        <v>1</v>
      </c>
      <c r="DC53" s="44" t="n">
        <v>1</v>
      </c>
      <c r="DD53" s="44" t="n">
        <v>1</v>
      </c>
      <c r="DE53" s="44" t="n">
        <v>1</v>
      </c>
      <c r="DF53" s="44" t="n">
        <v>1</v>
      </c>
      <c r="DG53" s="44" t="n">
        <v>1</v>
      </c>
      <c r="DH53" s="44" t="n">
        <v>1</v>
      </c>
      <c r="DI53" s="44" t="n">
        <v>1</v>
      </c>
      <c r="DJ53" s="44" t="n">
        <v>1</v>
      </c>
      <c r="DK53" s="44" t="n">
        <v>1</v>
      </c>
      <c r="DL53" s="44" t="n">
        <v>1</v>
      </c>
      <c r="DM53" s="44" t="n">
        <v>1</v>
      </c>
      <c r="DN53" s="44" t="n">
        <v>1</v>
      </c>
      <c r="DO53" s="44" t="n">
        <v>1</v>
      </c>
      <c r="DP53" s="44" t="n">
        <v>1</v>
      </c>
      <c r="DQ53" s="44" t="n">
        <v>1</v>
      </c>
      <c r="DR53" s="44" t="n">
        <v>1</v>
      </c>
      <c r="DS53" s="44" t="n">
        <v>1</v>
      </c>
      <c r="DT53" s="44" t="n">
        <v>1</v>
      </c>
      <c r="DU53" s="44" t="n">
        <v>1</v>
      </c>
      <c r="DV53" s="44" t="n">
        <v>1</v>
      </c>
      <c r="DW53" s="44" t="n">
        <v>1</v>
      </c>
      <c r="DX53" s="44" t="n">
        <v>1</v>
      </c>
      <c r="DY53" s="44" t="n">
        <v>1</v>
      </c>
      <c r="DZ53" s="44" t="n">
        <v>1</v>
      </c>
      <c r="EA53" s="44" t="n">
        <v>1</v>
      </c>
      <c r="EB53" s="44" t="n">
        <v>1</v>
      </c>
      <c r="EC53" s="44" t="n">
        <v>1</v>
      </c>
      <c r="ED53" s="44" t="n">
        <v>1</v>
      </c>
      <c r="EE53" s="44" t="n">
        <v>1</v>
      </c>
      <c r="EF53" s="44" t="n">
        <v>1</v>
      </c>
      <c r="EG53" s="44" t="n">
        <v>1</v>
      </c>
      <c r="EH53" s="44" t="n">
        <v>1</v>
      </c>
      <c r="EI53" s="44" t="n">
        <v>1</v>
      </c>
      <c r="EJ53" s="44" t="n">
        <v>1</v>
      </c>
      <c r="EK53" s="44" t="n">
        <v>1</v>
      </c>
      <c r="EL53" s="44" t="n">
        <v>1</v>
      </c>
      <c r="EM53" s="44" t="n">
        <v>1</v>
      </c>
      <c r="EN53" s="44" t="n">
        <v>1</v>
      </c>
      <c r="EO53" s="44" t="n">
        <v>1</v>
      </c>
      <c r="EP53" s="44" t="n">
        <v>1</v>
      </c>
      <c r="EQ53" s="44" t="n">
        <v>1</v>
      </c>
      <c r="ER53" s="44" t="n">
        <v>1</v>
      </c>
      <c r="ES53" s="44" t="n">
        <v>1</v>
      </c>
      <c r="ET53" s="44" t="n">
        <v>1</v>
      </c>
      <c r="EU53" s="44" t="n">
        <v>1</v>
      </c>
      <c r="EV53" s="44" t="n">
        <v>1</v>
      </c>
      <c r="EW53" s="44" t="n">
        <v>1</v>
      </c>
      <c r="EX53" s="44" t="n">
        <v>1</v>
      </c>
      <c r="EY53" s="44" t="n">
        <v>1</v>
      </c>
      <c r="EZ53" s="44" t="n">
        <v>1</v>
      </c>
      <c r="FA53" s="44" t="n">
        <v>1</v>
      </c>
      <c r="FB53" s="44" t="n">
        <v>1</v>
      </c>
      <c r="FC53" s="44" t="n">
        <v>1</v>
      </c>
      <c r="FD53" s="44" t="n">
        <v>1</v>
      </c>
      <c r="FE53" s="44" t="n">
        <v>1</v>
      </c>
      <c r="FF53" s="44" t="n">
        <v>1</v>
      </c>
      <c r="FG53" s="44" t="n">
        <v>1</v>
      </c>
      <c r="FH53" s="44" t="n">
        <v>1</v>
      </c>
      <c r="FI53" s="44" t="n">
        <v>1</v>
      </c>
      <c r="FJ53" s="44" t="n">
        <v>1</v>
      </c>
      <c r="FK53" s="44" t="n">
        <v>1</v>
      </c>
      <c r="FL53" s="44" t="n">
        <v>1</v>
      </c>
      <c r="FM53" s="44" t="n">
        <v>1</v>
      </c>
      <c r="FN53" s="44" t="n">
        <v>1</v>
      </c>
      <c r="FO53" s="44" t="n">
        <v>1</v>
      </c>
      <c r="FP53" s="44" t="n">
        <v>1</v>
      </c>
      <c r="FQ53" s="44" t="n">
        <v>1</v>
      </c>
      <c r="FR53" s="44" t="n">
        <v>1</v>
      </c>
      <c r="FS53" s="44" t="n">
        <v>1</v>
      </c>
      <c r="FT53" s="44" t="n">
        <v>1</v>
      </c>
      <c r="FU53" s="44" t="n">
        <v>1</v>
      </c>
      <c r="FV53" s="44" t="n">
        <v>1</v>
      </c>
      <c r="FW53" s="44" t="n">
        <v>1</v>
      </c>
      <c r="FX53" s="44" t="n">
        <v>1</v>
      </c>
      <c r="FY53" s="44" t="n">
        <v>1</v>
      </c>
      <c r="FZ53" s="44" t="n">
        <v>1</v>
      </c>
      <c r="GA53" s="44" t="n">
        <v>1</v>
      </c>
      <c r="GB53" s="44" t="n">
        <v>1</v>
      </c>
      <c r="GC53" s="44" t="n">
        <v>1</v>
      </c>
    </row>
    <row r="54">
      <c r="A54" s="13" t="inlineStr">
        <is>
          <t>MP</t>
        </is>
      </c>
      <c r="B54" s="18" t="n"/>
      <c r="C54" s="18" t="inlineStr">
        <is>
          <t>Máy phát điện 3 pha công nghiệp 250kVA</t>
        </is>
      </c>
      <c r="D54" s="13" t="inlineStr">
        <is>
          <t>máy</t>
        </is>
      </c>
      <c r="E54" s="15" t="n">
        <v>55</v>
      </c>
      <c r="F54" s="15" t="n">
        <v>1</v>
      </c>
      <c r="G54" s="41" t="inlineStr">
        <is>
          <t>Cấp điện trạm trộn, máy hàn và thi công ban đêm</t>
        </is>
      </c>
      <c r="H54" s="41" t="n"/>
      <c r="I54" s="18" t="n"/>
      <c r="J54" s="18" t="n"/>
      <c r="K54" s="18" t="n"/>
      <c r="L54" s="18" t="n"/>
      <c r="M54" s="42" t="n"/>
      <c r="N54" s="18" t="n"/>
      <c r="O54" s="43" t="n"/>
      <c r="P54" s="44" t="n">
        <v>1</v>
      </c>
      <c r="Q54" s="44" t="n">
        <v>1</v>
      </c>
      <c r="R54" s="44" t="n">
        <v>1</v>
      </c>
      <c r="S54" s="44" t="n">
        <v>1</v>
      </c>
      <c r="T54" s="44" t="n">
        <v>1</v>
      </c>
      <c r="U54" s="44" t="n">
        <v>1</v>
      </c>
      <c r="V54" s="44" t="n">
        <v>1</v>
      </c>
      <c r="W54" s="44" t="n">
        <v>1</v>
      </c>
      <c r="X54" s="44" t="n">
        <v>1</v>
      </c>
      <c r="Y54" s="44" t="n">
        <v>1</v>
      </c>
      <c r="Z54" s="44" t="n">
        <v>1</v>
      </c>
      <c r="AA54" s="44" t="n">
        <v>1</v>
      </c>
      <c r="AB54" s="44" t="n">
        <v>1</v>
      </c>
      <c r="AC54" s="44" t="n">
        <v>1</v>
      </c>
      <c r="AD54" s="44" t="n">
        <v>1</v>
      </c>
      <c r="AE54" s="44" t="n">
        <v>1</v>
      </c>
      <c r="AF54" s="44" t="n">
        <v>1</v>
      </c>
      <c r="AG54" s="44" t="n">
        <v>1</v>
      </c>
      <c r="AH54" s="44" t="n">
        <v>1</v>
      </c>
      <c r="AI54" s="44" t="n">
        <v>1</v>
      </c>
      <c r="AJ54" s="44" t="n">
        <v>1</v>
      </c>
      <c r="AK54" s="44" t="n">
        <v>1</v>
      </c>
      <c r="AL54" s="44" t="n">
        <v>1</v>
      </c>
      <c r="AM54" s="44" t="n">
        <v>1</v>
      </c>
      <c r="AN54" s="44" t="n">
        <v>1</v>
      </c>
      <c r="AO54" s="44" t="n">
        <v>1</v>
      </c>
      <c r="AP54" s="44" t="n">
        <v>1</v>
      </c>
      <c r="AQ54" s="44" t="n">
        <v>1</v>
      </c>
      <c r="AR54" s="44" t="n">
        <v>1</v>
      </c>
      <c r="AS54" s="44" t="n">
        <v>1</v>
      </c>
      <c r="AT54" s="44" t="n">
        <v>1</v>
      </c>
      <c r="AU54" s="44" t="n">
        <v>1</v>
      </c>
      <c r="AV54" s="44" t="n">
        <v>1</v>
      </c>
      <c r="AW54" s="44" t="n">
        <v>1</v>
      </c>
      <c r="AX54" s="44" t="n">
        <v>1</v>
      </c>
      <c r="AY54" s="44" t="n">
        <v>1</v>
      </c>
      <c r="AZ54" s="44" t="n">
        <v>1</v>
      </c>
      <c r="BA54" s="44" t="n">
        <v>1</v>
      </c>
      <c r="BB54" s="44" t="n">
        <v>1</v>
      </c>
      <c r="BC54" s="44" t="n">
        <v>1</v>
      </c>
      <c r="BD54" s="44" t="n">
        <v>1</v>
      </c>
      <c r="BE54" s="44" t="n">
        <v>1</v>
      </c>
      <c r="BF54" s="44" t="n">
        <v>1</v>
      </c>
      <c r="BG54" s="44" t="n">
        <v>1</v>
      </c>
      <c r="BH54" s="44" t="n">
        <v>1</v>
      </c>
      <c r="BI54" s="44" t="n">
        <v>1</v>
      </c>
      <c r="BJ54" s="44" t="n">
        <v>1</v>
      </c>
      <c r="BK54" s="44" t="n">
        <v>1</v>
      </c>
      <c r="BL54" s="44" t="n">
        <v>1</v>
      </c>
      <c r="BM54" s="44" t="n">
        <v>1</v>
      </c>
      <c r="BN54" s="44" t="n">
        <v>1</v>
      </c>
      <c r="BO54" s="44" t="n">
        <v>1</v>
      </c>
      <c r="BP54" s="44" t="n">
        <v>1</v>
      </c>
      <c r="BQ54" s="44" t="n">
        <v>1</v>
      </c>
      <c r="BR54" s="44" t="n">
        <v>1</v>
      </c>
      <c r="BS54" s="44" t="n">
        <v>1</v>
      </c>
      <c r="BT54" s="44" t="n">
        <v>1</v>
      </c>
      <c r="BU54" s="44" t="n">
        <v>1</v>
      </c>
      <c r="BV54" s="44" t="n">
        <v>1</v>
      </c>
      <c r="BW54" s="44" t="n">
        <v>1</v>
      </c>
      <c r="BX54" s="44" t="n">
        <v>1</v>
      </c>
      <c r="BY54" s="44" t="n">
        <v>1</v>
      </c>
      <c r="BZ54" s="44" t="n">
        <v>1</v>
      </c>
      <c r="CA54" s="44" t="n">
        <v>1</v>
      </c>
      <c r="CB54" s="44" t="n">
        <v>1</v>
      </c>
      <c r="CC54" s="44" t="n">
        <v>1</v>
      </c>
      <c r="CD54" s="44" t="n">
        <v>1</v>
      </c>
      <c r="CE54" s="44" t="n">
        <v>1</v>
      </c>
      <c r="CF54" s="44" t="n">
        <v>1</v>
      </c>
      <c r="CG54" s="44" t="n">
        <v>1</v>
      </c>
      <c r="CH54" s="44" t="n">
        <v>1</v>
      </c>
      <c r="CI54" s="44" t="n">
        <v>1</v>
      </c>
      <c r="CJ54" s="44" t="n">
        <v>1</v>
      </c>
      <c r="CK54" s="44" t="n">
        <v>1</v>
      </c>
      <c r="CL54" s="44" t="n">
        <v>1</v>
      </c>
      <c r="CM54" s="44" t="n">
        <v>1</v>
      </c>
      <c r="CN54" s="44" t="n">
        <v>1</v>
      </c>
      <c r="CO54" s="44" t="n">
        <v>1</v>
      </c>
      <c r="CP54" s="44" t="n">
        <v>1</v>
      </c>
      <c r="CQ54" s="44" t="n">
        <v>1</v>
      </c>
      <c r="CR54" s="44" t="n">
        <v>1</v>
      </c>
      <c r="CS54" s="44" t="n">
        <v>1</v>
      </c>
      <c r="CT54" s="44" t="n">
        <v>1</v>
      </c>
      <c r="CU54" s="44" t="n">
        <v>1</v>
      </c>
      <c r="CV54" s="44" t="n">
        <v>1</v>
      </c>
      <c r="CW54" s="44" t="n">
        <v>1</v>
      </c>
      <c r="CX54" s="44" t="n">
        <v>1</v>
      </c>
      <c r="CY54" s="44" t="n">
        <v>1</v>
      </c>
      <c r="CZ54" s="44" t="n">
        <v>1</v>
      </c>
      <c r="DA54" s="44" t="n">
        <v>1</v>
      </c>
      <c r="DB54" s="44" t="n">
        <v>1</v>
      </c>
      <c r="DC54" s="44" t="n">
        <v>1</v>
      </c>
      <c r="DD54" s="44" t="n">
        <v>1</v>
      </c>
      <c r="DE54" s="44" t="n">
        <v>1</v>
      </c>
      <c r="DF54" s="44" t="n">
        <v>1</v>
      </c>
      <c r="DG54" s="44" t="n">
        <v>1</v>
      </c>
      <c r="DH54" s="44" t="n">
        <v>1</v>
      </c>
      <c r="DI54" s="44" t="n">
        <v>1</v>
      </c>
      <c r="DJ54" s="44" t="n">
        <v>1</v>
      </c>
      <c r="DK54" s="44" t="n">
        <v>1</v>
      </c>
      <c r="DL54" s="44" t="n">
        <v>1</v>
      </c>
      <c r="DM54" s="44" t="n">
        <v>1</v>
      </c>
      <c r="DN54" s="44" t="n">
        <v>1</v>
      </c>
      <c r="DO54" s="44" t="n">
        <v>1</v>
      </c>
      <c r="DP54" s="44" t="n">
        <v>1</v>
      </c>
      <c r="DQ54" s="44" t="n">
        <v>1</v>
      </c>
      <c r="DR54" s="44" t="n">
        <v>1</v>
      </c>
      <c r="DS54" s="44" t="n">
        <v>1</v>
      </c>
      <c r="DT54" s="44" t="n">
        <v>1</v>
      </c>
      <c r="DU54" s="44" t="n">
        <v>1</v>
      </c>
      <c r="DV54" s="44" t="n">
        <v>1</v>
      </c>
      <c r="DW54" s="44" t="n">
        <v>1</v>
      </c>
      <c r="DX54" s="44" t="n">
        <v>1</v>
      </c>
      <c r="DY54" s="44" t="n">
        <v>1</v>
      </c>
      <c r="DZ54" s="44" t="n">
        <v>1</v>
      </c>
      <c r="EA54" s="44" t="n">
        <v>1</v>
      </c>
      <c r="EB54" s="44" t="n">
        <v>1</v>
      </c>
      <c r="EC54" s="44" t="n">
        <v>1</v>
      </c>
      <c r="ED54" s="44" t="n">
        <v>1</v>
      </c>
      <c r="EE54" s="44" t="n">
        <v>1</v>
      </c>
      <c r="EF54" s="44" t="n">
        <v>1</v>
      </c>
      <c r="EG54" s="44" t="n">
        <v>1</v>
      </c>
      <c r="EH54" s="44" t="n">
        <v>1</v>
      </c>
      <c r="EI54" s="44" t="n">
        <v>1</v>
      </c>
      <c r="EJ54" s="44" t="n">
        <v>1</v>
      </c>
      <c r="EK54" s="44" t="n">
        <v>1</v>
      </c>
      <c r="EL54" s="44" t="n">
        <v>1</v>
      </c>
      <c r="EM54" s="44" t="n">
        <v>1</v>
      </c>
      <c r="EN54" s="44" t="n">
        <v>1</v>
      </c>
      <c r="EO54" s="44" t="n">
        <v>1</v>
      </c>
      <c r="EP54" s="44" t="n">
        <v>1</v>
      </c>
      <c r="EQ54" s="44" t="n">
        <v>1</v>
      </c>
      <c r="ER54" s="44" t="n">
        <v>1</v>
      </c>
      <c r="ES54" s="44" t="n">
        <v>1</v>
      </c>
      <c r="ET54" s="44" t="n">
        <v>1</v>
      </c>
      <c r="EU54" s="44" t="n">
        <v>1</v>
      </c>
      <c r="EV54" s="44" t="n">
        <v>1</v>
      </c>
      <c r="EW54" s="44" t="n">
        <v>1</v>
      </c>
      <c r="EX54" s="44" t="n">
        <v>1</v>
      </c>
      <c r="EY54" s="44" t="n">
        <v>1</v>
      </c>
      <c r="EZ54" s="44" t="n">
        <v>1</v>
      </c>
      <c r="FA54" s="44" t="n">
        <v>1</v>
      </c>
      <c r="FB54" s="44" t="n">
        <v>1</v>
      </c>
      <c r="FC54" s="44" t="n">
        <v>1</v>
      </c>
      <c r="FD54" s="44" t="n">
        <v>1</v>
      </c>
      <c r="FE54" s="44" t="n">
        <v>1</v>
      </c>
      <c r="FF54" s="44" t="n">
        <v>1</v>
      </c>
      <c r="FG54" s="44" t="n">
        <v>1</v>
      </c>
      <c r="FH54" s="44" t="n">
        <v>1</v>
      </c>
      <c r="FI54" s="44" t="n">
        <v>1</v>
      </c>
      <c r="FJ54" s="44" t="n">
        <v>1</v>
      </c>
      <c r="FK54" s="44" t="n">
        <v>1</v>
      </c>
      <c r="FL54" s="44" t="n">
        <v>1</v>
      </c>
      <c r="FM54" s="44" t="n">
        <v>1</v>
      </c>
      <c r="FN54" s="44" t="n">
        <v>1</v>
      </c>
      <c r="FO54" s="44" t="n">
        <v>1</v>
      </c>
      <c r="FP54" s="44" t="n">
        <v>1</v>
      </c>
      <c r="FQ54" s="44" t="n">
        <v>1</v>
      </c>
      <c r="FR54" s="44" t="n">
        <v>1</v>
      </c>
      <c r="FS54" s="44" t="n">
        <v>1</v>
      </c>
      <c r="FT54" s="44" t="n">
        <v>1</v>
      </c>
      <c r="FU54" s="44" t="n">
        <v>1</v>
      </c>
      <c r="FV54" s="44" t="n">
        <v>1</v>
      </c>
      <c r="FW54" s="44" t="n">
        <v>1</v>
      </c>
      <c r="FX54" s="44" t="n">
        <v>1</v>
      </c>
      <c r="FY54" s="44" t="n">
        <v>1</v>
      </c>
      <c r="FZ54" s="44" t="n">
        <v>1</v>
      </c>
      <c r="GA54" s="44" t="n">
        <v>1</v>
      </c>
      <c r="GB54" s="44" t="n">
        <v>1</v>
      </c>
      <c r="GC54" s="44" t="n">
        <v>1</v>
      </c>
    </row>
    <row r="55">
      <c r="E55" s="23" t="n"/>
      <c r="F55" s="23" t="n"/>
      <c r="G55" s="23" t="n"/>
      <c r="H55" s="23" t="n"/>
      <c r="M55" s="24" t="n"/>
      <c r="O55" s="25" t="n"/>
    </row>
    <row r="56">
      <c r="A56" s="45" t="n"/>
      <c r="B56" s="45" t="n"/>
      <c r="C56" s="46" t="inlineStr">
        <is>
          <t>TỔNG NHU CẦU DẦU DIEZEL TIÊU THỤ HÀNG NGÀY (LÍT/NGÀY) [CÔNG THỨC SỐNG]</t>
        </is>
      </c>
      <c r="D56" s="45" t="n"/>
      <c r="E56" s="47" t="n"/>
      <c r="F56" s="47" t="n"/>
      <c r="G56" s="47" t="n"/>
      <c r="H56" s="47" t="n"/>
      <c r="I56" s="45" t="n"/>
      <c r="J56" s="45" t="n"/>
      <c r="K56" s="45" t="n"/>
      <c r="L56" s="45" t="n"/>
      <c r="M56" s="48" t="n"/>
      <c r="N56" s="45" t="n"/>
      <c r="O56" s="49" t="n"/>
      <c r="P56" s="50">
        <f>SUM(P57:P70)</f>
        <v/>
      </c>
      <c r="Q56" s="50">
        <f>SUM(Q57:Q70)</f>
        <v/>
      </c>
      <c r="R56" s="50">
        <f>SUM(R57:R70)</f>
        <v/>
      </c>
      <c r="S56" s="50">
        <f>SUM(S57:S70)</f>
        <v/>
      </c>
      <c r="T56" s="50">
        <f>SUM(T57:T70)</f>
        <v/>
      </c>
      <c r="U56" s="50">
        <f>SUM(U57:U70)</f>
        <v/>
      </c>
      <c r="V56" s="50">
        <f>SUM(V57:V70)</f>
        <v/>
      </c>
      <c r="W56" s="50">
        <f>SUM(W57:W70)</f>
        <v/>
      </c>
      <c r="X56" s="50">
        <f>SUM(X57:X70)</f>
        <v/>
      </c>
      <c r="Y56" s="50">
        <f>SUM(Y57:Y70)</f>
        <v/>
      </c>
      <c r="Z56" s="50">
        <f>SUM(Z57:Z70)</f>
        <v/>
      </c>
      <c r="AA56" s="50">
        <f>SUM(AA57:AA70)</f>
        <v/>
      </c>
      <c r="AB56" s="50">
        <f>SUM(AB57:AB70)</f>
        <v/>
      </c>
      <c r="AC56" s="50">
        <f>SUM(AC57:AC70)</f>
        <v/>
      </c>
      <c r="AD56" s="50">
        <f>SUM(AD57:AD70)</f>
        <v/>
      </c>
      <c r="AE56" s="50">
        <f>SUM(AE57:AE70)</f>
        <v/>
      </c>
      <c r="AF56" s="50">
        <f>SUM(AF57:AF70)</f>
        <v/>
      </c>
      <c r="AG56" s="50">
        <f>SUM(AG57:AG70)</f>
        <v/>
      </c>
      <c r="AH56" s="50">
        <f>SUM(AH57:AH70)</f>
        <v/>
      </c>
      <c r="AI56" s="50">
        <f>SUM(AI57:AI70)</f>
        <v/>
      </c>
      <c r="AJ56" s="50">
        <f>SUM(AJ57:AJ70)</f>
        <v/>
      </c>
      <c r="AK56" s="50">
        <f>SUM(AK57:AK70)</f>
        <v/>
      </c>
      <c r="AL56" s="50">
        <f>SUM(AL57:AL70)</f>
        <v/>
      </c>
      <c r="AM56" s="50">
        <f>SUM(AM57:AM70)</f>
        <v/>
      </c>
      <c r="AN56" s="50">
        <f>SUM(AN57:AN70)</f>
        <v/>
      </c>
      <c r="AO56" s="50">
        <f>SUM(AO57:AO70)</f>
        <v/>
      </c>
      <c r="AP56" s="50">
        <f>SUM(AP57:AP70)</f>
        <v/>
      </c>
      <c r="AQ56" s="50">
        <f>SUM(AQ57:AQ70)</f>
        <v/>
      </c>
      <c r="AR56" s="50">
        <f>SUM(AR57:AR70)</f>
        <v/>
      </c>
      <c r="AS56" s="50">
        <f>SUM(AS57:AS70)</f>
        <v/>
      </c>
      <c r="AT56" s="50">
        <f>SUM(AT57:AT70)</f>
        <v/>
      </c>
      <c r="AU56" s="50">
        <f>SUM(AU57:AU70)</f>
        <v/>
      </c>
      <c r="AV56" s="50">
        <f>SUM(AV57:AV70)</f>
        <v/>
      </c>
      <c r="AW56" s="50">
        <f>SUM(AW57:AW70)</f>
        <v/>
      </c>
      <c r="AX56" s="50">
        <f>SUM(AX57:AX70)</f>
        <v/>
      </c>
      <c r="AY56" s="50">
        <f>SUM(AY57:AY70)</f>
        <v/>
      </c>
      <c r="AZ56" s="50">
        <f>SUM(AZ57:AZ70)</f>
        <v/>
      </c>
      <c r="BA56" s="50">
        <f>SUM(BA57:BA70)</f>
        <v/>
      </c>
      <c r="BB56" s="50">
        <f>SUM(BB57:BB70)</f>
        <v/>
      </c>
      <c r="BC56" s="50">
        <f>SUM(BC57:BC70)</f>
        <v/>
      </c>
      <c r="BD56" s="50">
        <f>SUM(BD57:BD70)</f>
        <v/>
      </c>
      <c r="BE56" s="50">
        <f>SUM(BE57:BE70)</f>
        <v/>
      </c>
      <c r="BF56" s="50">
        <f>SUM(BF57:BF70)</f>
        <v/>
      </c>
      <c r="BG56" s="50">
        <f>SUM(BG57:BG70)</f>
        <v/>
      </c>
      <c r="BH56" s="50">
        <f>SUM(BH57:BH70)</f>
        <v/>
      </c>
      <c r="BI56" s="50">
        <f>SUM(BI57:BI70)</f>
        <v/>
      </c>
      <c r="BJ56" s="50">
        <f>SUM(BJ57:BJ70)</f>
        <v/>
      </c>
      <c r="BK56" s="50">
        <f>SUM(BK57:BK70)</f>
        <v/>
      </c>
      <c r="BL56" s="50">
        <f>SUM(BL57:BL70)</f>
        <v/>
      </c>
      <c r="BM56" s="50">
        <f>SUM(BM57:BM70)</f>
        <v/>
      </c>
      <c r="BN56" s="50">
        <f>SUM(BN57:BN70)</f>
        <v/>
      </c>
      <c r="BO56" s="50">
        <f>SUM(BO57:BO70)</f>
        <v/>
      </c>
      <c r="BP56" s="50">
        <f>SUM(BP57:BP70)</f>
        <v/>
      </c>
      <c r="BQ56" s="50">
        <f>SUM(BQ57:BQ70)</f>
        <v/>
      </c>
      <c r="BR56" s="50">
        <f>SUM(BR57:BR70)</f>
        <v/>
      </c>
      <c r="BS56" s="50">
        <f>SUM(BS57:BS70)</f>
        <v/>
      </c>
      <c r="BT56" s="50">
        <f>SUM(BT57:BT70)</f>
        <v/>
      </c>
      <c r="BU56" s="50">
        <f>SUM(BU57:BU70)</f>
        <v/>
      </c>
      <c r="BV56" s="50">
        <f>SUM(BV57:BV70)</f>
        <v/>
      </c>
      <c r="BW56" s="50">
        <f>SUM(BW57:BW70)</f>
        <v/>
      </c>
      <c r="BX56" s="50">
        <f>SUM(BX57:BX70)</f>
        <v/>
      </c>
      <c r="BY56" s="50">
        <f>SUM(BY57:BY70)</f>
        <v/>
      </c>
      <c r="BZ56" s="50">
        <f>SUM(BZ57:BZ70)</f>
        <v/>
      </c>
      <c r="CA56" s="50">
        <f>SUM(CA57:CA70)</f>
        <v/>
      </c>
      <c r="CB56" s="50">
        <f>SUM(CB57:CB70)</f>
        <v/>
      </c>
      <c r="CC56" s="50">
        <f>SUM(CC57:CC70)</f>
        <v/>
      </c>
      <c r="CD56" s="50">
        <f>SUM(CD57:CD70)</f>
        <v/>
      </c>
      <c r="CE56" s="50">
        <f>SUM(CE57:CE70)</f>
        <v/>
      </c>
      <c r="CF56" s="50">
        <f>SUM(CF57:CF70)</f>
        <v/>
      </c>
      <c r="CG56" s="50">
        <f>SUM(CG57:CG70)</f>
        <v/>
      </c>
      <c r="CH56" s="50">
        <f>SUM(CH57:CH70)</f>
        <v/>
      </c>
      <c r="CI56" s="50">
        <f>SUM(CI57:CI70)</f>
        <v/>
      </c>
      <c r="CJ56" s="50">
        <f>SUM(CJ57:CJ70)</f>
        <v/>
      </c>
      <c r="CK56" s="50">
        <f>SUM(CK57:CK70)</f>
        <v/>
      </c>
      <c r="CL56" s="50">
        <f>SUM(CL57:CL70)</f>
        <v/>
      </c>
      <c r="CM56" s="50">
        <f>SUM(CM57:CM70)</f>
        <v/>
      </c>
      <c r="CN56" s="50">
        <f>SUM(CN57:CN70)</f>
        <v/>
      </c>
      <c r="CO56" s="50">
        <f>SUM(CO57:CO70)</f>
        <v/>
      </c>
      <c r="CP56" s="50">
        <f>SUM(CP57:CP70)</f>
        <v/>
      </c>
      <c r="CQ56" s="50">
        <f>SUM(CQ57:CQ70)</f>
        <v/>
      </c>
      <c r="CR56" s="50">
        <f>SUM(CR57:CR70)</f>
        <v/>
      </c>
      <c r="CS56" s="50">
        <f>SUM(CS57:CS70)</f>
        <v/>
      </c>
      <c r="CT56" s="50">
        <f>SUM(CT57:CT70)</f>
        <v/>
      </c>
      <c r="CU56" s="50">
        <f>SUM(CU57:CU70)</f>
        <v/>
      </c>
      <c r="CV56" s="50">
        <f>SUM(CV57:CV70)</f>
        <v/>
      </c>
      <c r="CW56" s="50">
        <f>SUM(CW57:CW70)</f>
        <v/>
      </c>
      <c r="CX56" s="50">
        <f>SUM(CX57:CX70)</f>
        <v/>
      </c>
      <c r="CY56" s="50">
        <f>SUM(CY57:CY70)</f>
        <v/>
      </c>
      <c r="CZ56" s="50">
        <f>SUM(CZ57:CZ70)</f>
        <v/>
      </c>
      <c r="DA56" s="50">
        <f>SUM(DA57:DA70)</f>
        <v/>
      </c>
      <c r="DB56" s="50">
        <f>SUM(DB57:DB70)</f>
        <v/>
      </c>
      <c r="DC56" s="50">
        <f>SUM(DC57:DC70)</f>
        <v/>
      </c>
      <c r="DD56" s="50">
        <f>SUM(DD57:DD70)</f>
        <v/>
      </c>
      <c r="DE56" s="50">
        <f>SUM(DE57:DE70)</f>
        <v/>
      </c>
      <c r="DF56" s="50">
        <f>SUM(DF57:DF70)</f>
        <v/>
      </c>
      <c r="DG56" s="50">
        <f>SUM(DG57:DG70)</f>
        <v/>
      </c>
      <c r="DH56" s="50">
        <f>SUM(DH57:DH70)</f>
        <v/>
      </c>
      <c r="DI56" s="50">
        <f>SUM(DI57:DI70)</f>
        <v/>
      </c>
      <c r="DJ56" s="50">
        <f>SUM(DJ57:DJ70)</f>
        <v/>
      </c>
      <c r="DK56" s="50">
        <f>SUM(DK57:DK70)</f>
        <v/>
      </c>
      <c r="DL56" s="50">
        <f>SUM(DL57:DL70)</f>
        <v/>
      </c>
      <c r="DM56" s="50">
        <f>SUM(DM57:DM70)</f>
        <v/>
      </c>
      <c r="DN56" s="50">
        <f>SUM(DN57:DN70)</f>
        <v/>
      </c>
      <c r="DO56" s="50">
        <f>SUM(DO57:DO70)</f>
        <v/>
      </c>
      <c r="DP56" s="50">
        <f>SUM(DP57:DP70)</f>
        <v/>
      </c>
      <c r="DQ56" s="50">
        <f>SUM(DQ57:DQ70)</f>
        <v/>
      </c>
      <c r="DR56" s="50">
        <f>SUM(DR57:DR70)</f>
        <v/>
      </c>
      <c r="DS56" s="50">
        <f>SUM(DS57:DS70)</f>
        <v/>
      </c>
      <c r="DT56" s="50">
        <f>SUM(DT57:DT70)</f>
        <v/>
      </c>
      <c r="DU56" s="50">
        <f>SUM(DU57:DU70)</f>
        <v/>
      </c>
      <c r="DV56" s="50">
        <f>SUM(DV57:DV70)</f>
        <v/>
      </c>
      <c r="DW56" s="50">
        <f>SUM(DW57:DW70)</f>
        <v/>
      </c>
      <c r="DX56" s="50">
        <f>SUM(DX57:DX70)</f>
        <v/>
      </c>
      <c r="DY56" s="50">
        <f>SUM(DY57:DY70)</f>
        <v/>
      </c>
      <c r="DZ56" s="50">
        <f>SUM(DZ57:DZ70)</f>
        <v/>
      </c>
      <c r="EA56" s="50">
        <f>SUM(EA57:EA70)</f>
        <v/>
      </c>
      <c r="EB56" s="50">
        <f>SUM(EB57:EB70)</f>
        <v/>
      </c>
      <c r="EC56" s="50">
        <f>SUM(EC57:EC70)</f>
        <v/>
      </c>
      <c r="ED56" s="50">
        <f>SUM(ED57:ED70)</f>
        <v/>
      </c>
      <c r="EE56" s="50">
        <f>SUM(EE57:EE70)</f>
        <v/>
      </c>
      <c r="EF56" s="50">
        <f>SUM(EF57:EF70)</f>
        <v/>
      </c>
      <c r="EG56" s="50">
        <f>SUM(EG57:EG70)</f>
        <v/>
      </c>
      <c r="EH56" s="50">
        <f>SUM(EH57:EH70)</f>
        <v/>
      </c>
      <c r="EI56" s="50">
        <f>SUM(EI57:EI70)</f>
        <v/>
      </c>
      <c r="EJ56" s="50">
        <f>SUM(EJ57:EJ70)</f>
        <v/>
      </c>
      <c r="EK56" s="50">
        <f>SUM(EK57:EK70)</f>
        <v/>
      </c>
      <c r="EL56" s="50">
        <f>SUM(EL57:EL70)</f>
        <v/>
      </c>
      <c r="EM56" s="50">
        <f>SUM(EM57:EM70)</f>
        <v/>
      </c>
      <c r="EN56" s="50">
        <f>SUM(EN57:EN70)</f>
        <v/>
      </c>
      <c r="EO56" s="50">
        <f>SUM(EO57:EO70)</f>
        <v/>
      </c>
      <c r="EP56" s="50">
        <f>SUM(EP57:EP70)</f>
        <v/>
      </c>
      <c r="EQ56" s="50">
        <f>SUM(EQ57:EQ70)</f>
        <v/>
      </c>
      <c r="ER56" s="50">
        <f>SUM(ER57:ER70)</f>
        <v/>
      </c>
      <c r="ES56" s="50">
        <f>SUM(ES57:ES70)</f>
        <v/>
      </c>
      <c r="ET56" s="50">
        <f>SUM(ET57:ET70)</f>
        <v/>
      </c>
      <c r="EU56" s="50">
        <f>SUM(EU57:EU70)</f>
        <v/>
      </c>
      <c r="EV56" s="50">
        <f>SUM(EV57:EV70)</f>
        <v/>
      </c>
      <c r="EW56" s="50">
        <f>SUM(EW57:EW70)</f>
        <v/>
      </c>
      <c r="EX56" s="50">
        <f>SUM(EX57:EX70)</f>
        <v/>
      </c>
      <c r="EY56" s="50">
        <f>SUM(EY57:EY70)</f>
        <v/>
      </c>
      <c r="EZ56" s="50">
        <f>SUM(EZ57:EZ70)</f>
        <v/>
      </c>
      <c r="FA56" s="50">
        <f>SUM(FA57:FA70)</f>
        <v/>
      </c>
      <c r="FB56" s="50">
        <f>SUM(FB57:FB70)</f>
        <v/>
      </c>
      <c r="FC56" s="50">
        <f>SUM(FC57:FC70)</f>
        <v/>
      </c>
      <c r="FD56" s="50">
        <f>SUM(FD57:FD70)</f>
        <v/>
      </c>
      <c r="FE56" s="50">
        <f>SUM(FE57:FE70)</f>
        <v/>
      </c>
      <c r="FF56" s="50">
        <f>SUM(FF57:FF70)</f>
        <v/>
      </c>
      <c r="FG56" s="50">
        <f>SUM(FG57:FG70)</f>
        <v/>
      </c>
      <c r="FH56" s="50">
        <f>SUM(FH57:FH70)</f>
        <v/>
      </c>
      <c r="FI56" s="50">
        <f>SUM(FI57:FI70)</f>
        <v/>
      </c>
      <c r="FJ56" s="50">
        <f>SUM(FJ57:FJ70)</f>
        <v/>
      </c>
      <c r="FK56" s="50">
        <f>SUM(FK57:FK70)</f>
        <v/>
      </c>
      <c r="FL56" s="50">
        <f>SUM(FL57:FL70)</f>
        <v/>
      </c>
      <c r="FM56" s="50">
        <f>SUM(FM57:FM70)</f>
        <v/>
      </c>
      <c r="FN56" s="50">
        <f>SUM(FN57:FN70)</f>
        <v/>
      </c>
      <c r="FO56" s="50">
        <f>SUM(FO57:FO70)</f>
        <v/>
      </c>
      <c r="FP56" s="50">
        <f>SUM(FP57:FP70)</f>
        <v/>
      </c>
      <c r="FQ56" s="50">
        <f>SUM(FQ57:FQ70)</f>
        <v/>
      </c>
      <c r="FR56" s="50">
        <f>SUM(FR57:FR70)</f>
        <v/>
      </c>
      <c r="FS56" s="50">
        <f>SUM(FS57:FS70)</f>
        <v/>
      </c>
      <c r="FT56" s="50">
        <f>SUM(FT57:FT70)</f>
        <v/>
      </c>
      <c r="FU56" s="50">
        <f>SUM(FU57:FU70)</f>
        <v/>
      </c>
      <c r="FV56" s="50">
        <f>SUM(FV57:FV70)</f>
        <v/>
      </c>
      <c r="FW56" s="50">
        <f>SUM(FW57:FW70)</f>
        <v/>
      </c>
      <c r="FX56" s="50">
        <f>SUM(FX57:FX70)</f>
        <v/>
      </c>
      <c r="FY56" s="50">
        <f>SUM(FY57:FY70)</f>
        <v/>
      </c>
      <c r="FZ56" s="50">
        <f>SUM(FZ57:FZ70)</f>
        <v/>
      </c>
      <c r="GA56" s="50">
        <f>SUM(GA57:GA70)</f>
        <v/>
      </c>
      <c r="GB56" s="50">
        <f>SUM(GB57:GB70)</f>
        <v/>
      </c>
      <c r="GC56" s="50">
        <f>SUM(GC57:GC70)</f>
        <v/>
      </c>
    </row>
    <row r="57">
      <c r="A57" s="51" t="inlineStr">
        <is>
          <t>MK</t>
        </is>
      </c>
      <c r="B57" s="51" t="n"/>
      <c r="C57" s="51" t="inlineStr">
        <is>
          <t>Tiêu thụ dầu MK (ĐM: 145.0 l/ca x 2 ca)</t>
        </is>
      </c>
      <c r="D57" s="51" t="n"/>
      <c r="E57" s="52" t="n"/>
      <c r="F57" s="52" t="n"/>
      <c r="G57" s="52" t="n"/>
      <c r="H57" s="52" t="n"/>
      <c r="I57" s="51" t="n"/>
      <c r="J57" s="51" t="n"/>
      <c r="K57" s="51" t="n"/>
      <c r="L57" s="51" t="n"/>
      <c r="M57" s="53" t="n"/>
      <c r="N57" s="51" t="n"/>
      <c r="O57" s="54" t="n"/>
      <c r="P57" s="55">
        <f>P41*145.0*1.5</f>
        <v/>
      </c>
      <c r="Q57" s="55">
        <f>Q41*145.0*1.5</f>
        <v/>
      </c>
      <c r="R57" s="55">
        <f>R41*145.0*1.5</f>
        <v/>
      </c>
      <c r="S57" s="55">
        <f>S41*145.0*1.5</f>
        <v/>
      </c>
      <c r="T57" s="55">
        <f>T41*145.0*1.5</f>
        <v/>
      </c>
      <c r="U57" s="55">
        <f>U41*145.0*1.5</f>
        <v/>
      </c>
      <c r="V57" s="55">
        <f>V41*145.0*1.5</f>
        <v/>
      </c>
      <c r="W57" s="55">
        <f>W41*145.0*1.5</f>
        <v/>
      </c>
      <c r="X57" s="55">
        <f>X41*145.0*1.5</f>
        <v/>
      </c>
      <c r="Y57" s="55">
        <f>Y41*145.0*1.5</f>
        <v/>
      </c>
      <c r="Z57" s="55">
        <f>Z41*145.0*1.5</f>
        <v/>
      </c>
      <c r="AA57" s="55">
        <f>AA41*145.0*1.5</f>
        <v/>
      </c>
      <c r="AB57" s="55">
        <f>AB41*145.0*1.5</f>
        <v/>
      </c>
      <c r="AC57" s="55">
        <f>AC41*145.0*1.5</f>
        <v/>
      </c>
      <c r="AD57" s="55">
        <f>AD41*145.0*1.5</f>
        <v/>
      </c>
      <c r="AE57" s="55">
        <f>AE41*145.0*1.5</f>
        <v/>
      </c>
      <c r="AF57" s="55">
        <f>AF41*145.0*1.5</f>
        <v/>
      </c>
      <c r="AG57" s="55">
        <f>AG41*145.0*1.5</f>
        <v/>
      </c>
      <c r="AH57" s="55">
        <f>AH41*145.0*1.5</f>
        <v/>
      </c>
      <c r="AI57" s="55">
        <f>AI41*145.0*1.5</f>
        <v/>
      </c>
      <c r="AJ57" s="55">
        <f>AJ41*145.0*1.5</f>
        <v/>
      </c>
      <c r="AK57" s="55">
        <f>AK41*145.0*1.5</f>
        <v/>
      </c>
      <c r="AL57" s="55">
        <f>AL41*145.0*1.5</f>
        <v/>
      </c>
      <c r="AM57" s="55">
        <f>AM41*145.0*1.5</f>
        <v/>
      </c>
      <c r="AN57" s="55">
        <f>AN41*145.0*1.5</f>
        <v/>
      </c>
      <c r="AO57" s="55">
        <f>AO41*145.0*1.5</f>
        <v/>
      </c>
      <c r="AP57" s="55">
        <f>AP41*145.0*1.5</f>
        <v/>
      </c>
      <c r="AQ57" s="55">
        <f>AQ41*145.0*1.5</f>
        <v/>
      </c>
      <c r="AR57" s="55">
        <f>AR41*145.0*1.5</f>
        <v/>
      </c>
      <c r="AS57" s="55">
        <f>AS41*145.0*1.5</f>
        <v/>
      </c>
      <c r="AT57" s="55">
        <f>AT41*145.0*1.5</f>
        <v/>
      </c>
      <c r="AU57" s="55">
        <f>AU41*145.0*1.5</f>
        <v/>
      </c>
      <c r="AV57" s="55">
        <f>AV41*145.0*1.5</f>
        <v/>
      </c>
      <c r="AW57" s="55">
        <f>AW41*145.0*1.5</f>
        <v/>
      </c>
      <c r="AX57" s="55">
        <f>AX41*145.0*1.5</f>
        <v/>
      </c>
      <c r="AY57" s="55">
        <f>AY41*145.0*1.5</f>
        <v/>
      </c>
      <c r="AZ57" s="55">
        <f>AZ41*145.0*1.5</f>
        <v/>
      </c>
      <c r="BA57" s="55">
        <f>BA41*145.0*1.5</f>
        <v/>
      </c>
      <c r="BB57" s="55">
        <f>BB41*145.0*1.5</f>
        <v/>
      </c>
      <c r="BC57" s="55">
        <f>BC41*145.0*1.5</f>
        <v/>
      </c>
      <c r="BD57" s="55">
        <f>BD41*145.0*1.5</f>
        <v/>
      </c>
      <c r="BE57" s="55">
        <f>BE41*145.0*1.5</f>
        <v/>
      </c>
      <c r="BF57" s="55">
        <f>BF41*145.0*1.5</f>
        <v/>
      </c>
      <c r="BG57" s="55">
        <f>BG41*145.0*1.5</f>
        <v/>
      </c>
      <c r="BH57" s="55">
        <f>BH41*145.0*1.5</f>
        <v/>
      </c>
      <c r="BI57" s="55">
        <f>BI41*145.0*1.5</f>
        <v/>
      </c>
      <c r="BJ57" s="55">
        <f>BJ41*145.0*1.5</f>
        <v/>
      </c>
      <c r="BK57" s="55">
        <f>BK41*145.0*1.5</f>
        <v/>
      </c>
      <c r="BL57" s="55">
        <f>BL41*145.0*1.5</f>
        <v/>
      </c>
      <c r="BM57" s="55">
        <f>BM41*145.0*1.5</f>
        <v/>
      </c>
      <c r="BN57" s="55">
        <f>BN41*145.0*1.5</f>
        <v/>
      </c>
      <c r="BO57" s="55">
        <f>BO41*145.0*1.5</f>
        <v/>
      </c>
      <c r="BP57" s="55">
        <f>BP41*145.0*1.5</f>
        <v/>
      </c>
      <c r="BQ57" s="55">
        <f>BQ41*145.0*1.5</f>
        <v/>
      </c>
      <c r="BR57" s="55">
        <f>BR41*145.0*1.5</f>
        <v/>
      </c>
      <c r="BS57" s="55">
        <f>BS41*145.0*1.5</f>
        <v/>
      </c>
      <c r="BT57" s="55">
        <f>BT41*145.0*1.5</f>
        <v/>
      </c>
      <c r="BU57" s="55">
        <f>BU41*145.0*1.5</f>
        <v/>
      </c>
      <c r="BV57" s="55">
        <f>BV41*145.0*1.5</f>
        <v/>
      </c>
      <c r="BW57" s="55">
        <f>BW41*145.0*1.5</f>
        <v/>
      </c>
      <c r="BX57" s="55">
        <f>BX41*145.0*1.5</f>
        <v/>
      </c>
      <c r="BY57" s="55">
        <f>BY41*145.0*1.5</f>
        <v/>
      </c>
      <c r="BZ57" s="55">
        <f>BZ41*145.0*1.5</f>
        <v/>
      </c>
      <c r="CA57" s="55">
        <f>CA41*145.0*1.5</f>
        <v/>
      </c>
      <c r="CB57" s="55">
        <f>CB41*145.0*1.5</f>
        <v/>
      </c>
      <c r="CC57" s="55">
        <f>CC41*145.0*1.5</f>
        <v/>
      </c>
      <c r="CD57" s="55">
        <f>CD41*145.0*1.5</f>
        <v/>
      </c>
      <c r="CE57" s="55">
        <f>CE41*145.0*1.5</f>
        <v/>
      </c>
      <c r="CF57" s="55">
        <f>CF41*145.0*1.5</f>
        <v/>
      </c>
      <c r="CG57" s="55">
        <f>CG41*145.0*1.5</f>
        <v/>
      </c>
      <c r="CH57" s="55">
        <f>CH41*145.0*1.5</f>
        <v/>
      </c>
      <c r="CI57" s="55">
        <f>CI41*145.0*1.5</f>
        <v/>
      </c>
      <c r="CJ57" s="55">
        <f>CJ41*145.0*1.5</f>
        <v/>
      </c>
      <c r="CK57" s="55">
        <f>CK41*145.0*1.5</f>
        <v/>
      </c>
      <c r="CL57" s="55">
        <f>CL41*145.0*1.5</f>
        <v/>
      </c>
      <c r="CM57" s="55">
        <f>CM41*145.0*1.5</f>
        <v/>
      </c>
      <c r="CN57" s="55">
        <f>CN41*145.0*1.5</f>
        <v/>
      </c>
      <c r="CO57" s="55">
        <f>CO41*145.0*1.5</f>
        <v/>
      </c>
      <c r="CP57" s="55">
        <f>CP41*145.0*1.5</f>
        <v/>
      </c>
      <c r="CQ57" s="55">
        <f>CQ41*145.0*1.5</f>
        <v/>
      </c>
      <c r="CR57" s="55">
        <f>CR41*145.0*1.5</f>
        <v/>
      </c>
      <c r="CS57" s="55">
        <f>CS41*145.0*1.5</f>
        <v/>
      </c>
      <c r="CT57" s="55">
        <f>CT41*145.0*1.5</f>
        <v/>
      </c>
      <c r="CU57" s="55">
        <f>CU41*145.0*1.5</f>
        <v/>
      </c>
      <c r="CV57" s="55">
        <f>CV41*145.0*1.5</f>
        <v/>
      </c>
      <c r="CW57" s="55">
        <f>CW41*145.0*1.5</f>
        <v/>
      </c>
      <c r="CX57" s="55">
        <f>CX41*145.0*1.5</f>
        <v/>
      </c>
      <c r="CY57" s="55">
        <f>CY41*145.0*1.5</f>
        <v/>
      </c>
      <c r="CZ57" s="55">
        <f>CZ41*145.0*1.5</f>
        <v/>
      </c>
      <c r="DA57" s="55">
        <f>DA41*145.0*1.5</f>
        <v/>
      </c>
      <c r="DB57" s="55">
        <f>DB41*145.0*1.5</f>
        <v/>
      </c>
      <c r="DC57" s="55">
        <f>DC41*145.0*1.5</f>
        <v/>
      </c>
      <c r="DD57" s="55">
        <f>DD41*145.0*1.5</f>
        <v/>
      </c>
      <c r="DE57" s="55">
        <f>DE41*145.0*1.5</f>
        <v/>
      </c>
      <c r="DF57" s="55">
        <f>DF41*145.0*1.5</f>
        <v/>
      </c>
      <c r="DG57" s="55">
        <f>DG41*145.0*1.5</f>
        <v/>
      </c>
      <c r="DH57" s="55">
        <f>DH41*145.0*1.5</f>
        <v/>
      </c>
      <c r="DI57" s="55">
        <f>DI41*145.0*1.5</f>
        <v/>
      </c>
      <c r="DJ57" s="55">
        <f>DJ41*145.0*1.5</f>
        <v/>
      </c>
      <c r="DK57" s="55">
        <f>DK41*145.0*1.5</f>
        <v/>
      </c>
      <c r="DL57" s="55">
        <f>DL41*145.0*1.5</f>
        <v/>
      </c>
      <c r="DM57" s="55">
        <f>DM41*145.0*1.5</f>
        <v/>
      </c>
      <c r="DN57" s="55">
        <f>DN41*145.0*1.5</f>
        <v/>
      </c>
      <c r="DO57" s="55">
        <f>DO41*145.0*1.5</f>
        <v/>
      </c>
      <c r="DP57" s="55">
        <f>DP41*145.0*1.5</f>
        <v/>
      </c>
      <c r="DQ57" s="55">
        <f>DQ41*145.0*1.5</f>
        <v/>
      </c>
      <c r="DR57" s="55">
        <f>DR41*145.0*1.5</f>
        <v/>
      </c>
      <c r="DS57" s="55">
        <f>DS41*145.0*1.5</f>
        <v/>
      </c>
      <c r="DT57" s="55">
        <f>DT41*145.0*1.5</f>
        <v/>
      </c>
      <c r="DU57" s="55">
        <f>DU41*145.0*1.5</f>
        <v/>
      </c>
      <c r="DV57" s="55">
        <f>DV41*145.0*1.5</f>
        <v/>
      </c>
      <c r="DW57" s="55">
        <f>DW41*145.0*1.5</f>
        <v/>
      </c>
      <c r="DX57" s="55">
        <f>DX41*145.0*1.5</f>
        <v/>
      </c>
      <c r="DY57" s="55">
        <f>DY41*145.0*1.5</f>
        <v/>
      </c>
      <c r="DZ57" s="55">
        <f>DZ41*145.0*1.5</f>
        <v/>
      </c>
      <c r="EA57" s="55">
        <f>EA41*145.0*1.5</f>
        <v/>
      </c>
      <c r="EB57" s="55">
        <f>EB41*145.0*1.5</f>
        <v/>
      </c>
      <c r="EC57" s="55">
        <f>EC41*145.0*1.5</f>
        <v/>
      </c>
      <c r="ED57" s="55">
        <f>ED41*145.0*1.5</f>
        <v/>
      </c>
      <c r="EE57" s="55">
        <f>EE41*145.0*1.5</f>
        <v/>
      </c>
      <c r="EF57" s="55">
        <f>EF41*145.0*1.5</f>
        <v/>
      </c>
      <c r="EG57" s="55">
        <f>EG41*145.0*1.5</f>
        <v/>
      </c>
      <c r="EH57" s="55">
        <f>EH41*145.0*1.5</f>
        <v/>
      </c>
      <c r="EI57" s="55">
        <f>EI41*145.0*1.5</f>
        <v/>
      </c>
      <c r="EJ57" s="55">
        <f>EJ41*145.0*1.5</f>
        <v/>
      </c>
      <c r="EK57" s="55">
        <f>EK41*145.0*1.5</f>
        <v/>
      </c>
      <c r="EL57" s="55">
        <f>EL41*145.0*1.5</f>
        <v/>
      </c>
      <c r="EM57" s="55">
        <f>EM41*145.0*1.5</f>
        <v/>
      </c>
      <c r="EN57" s="55">
        <f>EN41*145.0*1.5</f>
        <v/>
      </c>
      <c r="EO57" s="55">
        <f>EO41*145.0*1.5</f>
        <v/>
      </c>
      <c r="EP57" s="55">
        <f>EP41*145.0*1.5</f>
        <v/>
      </c>
      <c r="EQ57" s="55">
        <f>EQ41*145.0*1.5</f>
        <v/>
      </c>
      <c r="ER57" s="55">
        <f>ER41*145.0*1.5</f>
        <v/>
      </c>
      <c r="ES57" s="55">
        <f>ES41*145.0*1.5</f>
        <v/>
      </c>
      <c r="ET57" s="55">
        <f>ET41*145.0*1.5</f>
        <v/>
      </c>
      <c r="EU57" s="55">
        <f>EU41*145.0*1.5</f>
        <v/>
      </c>
      <c r="EV57" s="55">
        <f>EV41*145.0*1.5</f>
        <v/>
      </c>
      <c r="EW57" s="55">
        <f>EW41*145.0*1.5</f>
        <v/>
      </c>
      <c r="EX57" s="55">
        <f>EX41*145.0*1.5</f>
        <v/>
      </c>
      <c r="EY57" s="55">
        <f>EY41*145.0*1.5</f>
        <v/>
      </c>
      <c r="EZ57" s="55">
        <f>EZ41*145.0*1.5</f>
        <v/>
      </c>
      <c r="FA57" s="55">
        <f>FA41*145.0*1.5</f>
        <v/>
      </c>
      <c r="FB57" s="55">
        <f>FB41*145.0*1.5</f>
        <v/>
      </c>
      <c r="FC57" s="55">
        <f>FC41*145.0*1.5</f>
        <v/>
      </c>
      <c r="FD57" s="55">
        <f>FD41*145.0*1.5</f>
        <v/>
      </c>
      <c r="FE57" s="55">
        <f>FE41*145.0*1.5</f>
        <v/>
      </c>
      <c r="FF57" s="55">
        <f>FF41*145.0*1.5</f>
        <v/>
      </c>
      <c r="FG57" s="55">
        <f>FG41*145.0*1.5</f>
        <v/>
      </c>
      <c r="FH57" s="55">
        <f>FH41*145.0*1.5</f>
        <v/>
      </c>
      <c r="FI57" s="55">
        <f>FI41*145.0*1.5</f>
        <v/>
      </c>
      <c r="FJ57" s="55">
        <f>FJ41*145.0*1.5</f>
        <v/>
      </c>
      <c r="FK57" s="55">
        <f>FK41*145.0*1.5</f>
        <v/>
      </c>
      <c r="FL57" s="55">
        <f>FL41*145.0*1.5</f>
        <v/>
      </c>
      <c r="FM57" s="55">
        <f>FM41*145.0*1.5</f>
        <v/>
      </c>
      <c r="FN57" s="55">
        <f>FN41*145.0*1.5</f>
        <v/>
      </c>
      <c r="FO57" s="55">
        <f>FO41*145.0*1.5</f>
        <v/>
      </c>
      <c r="FP57" s="55">
        <f>FP41*145.0*1.5</f>
        <v/>
      </c>
      <c r="FQ57" s="55">
        <f>FQ41*145.0*1.5</f>
        <v/>
      </c>
      <c r="FR57" s="55">
        <f>FR41*145.0*1.5</f>
        <v/>
      </c>
      <c r="FS57" s="55">
        <f>FS41*145.0*1.5</f>
        <v/>
      </c>
      <c r="FT57" s="55">
        <f>FT41*145.0*1.5</f>
        <v/>
      </c>
      <c r="FU57" s="55">
        <f>FU41*145.0*1.5</f>
        <v/>
      </c>
      <c r="FV57" s="55">
        <f>FV41*145.0*1.5</f>
        <v/>
      </c>
      <c r="FW57" s="55">
        <f>FW41*145.0*1.5</f>
        <v/>
      </c>
      <c r="FX57" s="55">
        <f>FX41*145.0*1.5</f>
        <v/>
      </c>
      <c r="FY57" s="55">
        <f>FY41*145.0*1.5</f>
        <v/>
      </c>
      <c r="FZ57" s="55">
        <f>FZ41*145.0*1.5</f>
        <v/>
      </c>
      <c r="GA57" s="55">
        <f>GA41*145.0*1.5</f>
        <v/>
      </c>
      <c r="GB57" s="55">
        <f>GB41*145.0*1.5</f>
        <v/>
      </c>
      <c r="GC57" s="55">
        <f>GC41*145.0*1.5</f>
        <v/>
      </c>
    </row>
    <row r="58">
      <c r="A58" s="51" t="inlineStr">
        <is>
          <t>CX</t>
        </is>
      </c>
      <c r="B58" s="51" t="n"/>
      <c r="C58" s="51" t="inlineStr">
        <is>
          <t>Tiêu thụ dầu CX (ĐM: 62.0 l/ca x 2 ca)</t>
        </is>
      </c>
      <c r="D58" s="51" t="n"/>
      <c r="E58" s="52" t="n"/>
      <c r="F58" s="52" t="n"/>
      <c r="G58" s="52" t="n"/>
      <c r="H58" s="52" t="n"/>
      <c r="I58" s="51" t="n"/>
      <c r="J58" s="51" t="n"/>
      <c r="K58" s="51" t="n"/>
      <c r="L58" s="51" t="n"/>
      <c r="M58" s="53" t="n"/>
      <c r="N58" s="51" t="n"/>
      <c r="O58" s="54" t="n"/>
      <c r="P58" s="55">
        <f>P42*62.0*1.5</f>
        <v/>
      </c>
      <c r="Q58" s="55">
        <f>Q42*62.0*1.5</f>
        <v/>
      </c>
      <c r="R58" s="55">
        <f>R42*62.0*1.5</f>
        <v/>
      </c>
      <c r="S58" s="55">
        <f>S42*62.0*1.5</f>
        <v/>
      </c>
      <c r="T58" s="55">
        <f>T42*62.0*1.5</f>
        <v/>
      </c>
      <c r="U58" s="55">
        <f>U42*62.0*1.5</f>
        <v/>
      </c>
      <c r="V58" s="55">
        <f>V42*62.0*1.5</f>
        <v/>
      </c>
      <c r="W58" s="55">
        <f>W42*62.0*1.5</f>
        <v/>
      </c>
      <c r="X58" s="55">
        <f>X42*62.0*1.5</f>
        <v/>
      </c>
      <c r="Y58" s="55">
        <f>Y42*62.0*1.5</f>
        <v/>
      </c>
      <c r="Z58" s="55">
        <f>Z42*62.0*1.5</f>
        <v/>
      </c>
      <c r="AA58" s="55">
        <f>AA42*62.0*1.5</f>
        <v/>
      </c>
      <c r="AB58" s="55">
        <f>AB42*62.0*1.5</f>
        <v/>
      </c>
      <c r="AC58" s="55">
        <f>AC42*62.0*1.5</f>
        <v/>
      </c>
      <c r="AD58" s="55">
        <f>AD42*62.0*1.5</f>
        <v/>
      </c>
      <c r="AE58" s="55">
        <f>AE42*62.0*1.5</f>
        <v/>
      </c>
      <c r="AF58" s="55">
        <f>AF42*62.0*1.5</f>
        <v/>
      </c>
      <c r="AG58" s="55">
        <f>AG42*62.0*1.5</f>
        <v/>
      </c>
      <c r="AH58" s="55">
        <f>AH42*62.0*1.5</f>
        <v/>
      </c>
      <c r="AI58" s="55">
        <f>AI42*62.0*1.5</f>
        <v/>
      </c>
      <c r="AJ58" s="55">
        <f>AJ42*62.0*1.5</f>
        <v/>
      </c>
      <c r="AK58" s="55">
        <f>AK42*62.0*1.5</f>
        <v/>
      </c>
      <c r="AL58" s="55">
        <f>AL42*62.0*1.5</f>
        <v/>
      </c>
      <c r="AM58" s="55">
        <f>AM42*62.0*1.5</f>
        <v/>
      </c>
      <c r="AN58" s="55">
        <f>AN42*62.0*1.5</f>
        <v/>
      </c>
      <c r="AO58" s="55">
        <f>AO42*62.0*1.5</f>
        <v/>
      </c>
      <c r="AP58" s="55">
        <f>AP42*62.0*1.5</f>
        <v/>
      </c>
      <c r="AQ58" s="55">
        <f>AQ42*62.0*1.5</f>
        <v/>
      </c>
      <c r="AR58" s="55">
        <f>AR42*62.0*1.5</f>
        <v/>
      </c>
      <c r="AS58" s="55">
        <f>AS42*62.0*1.5</f>
        <v/>
      </c>
      <c r="AT58" s="55">
        <f>AT42*62.0*1.5</f>
        <v/>
      </c>
      <c r="AU58" s="55">
        <f>AU42*62.0*1.5</f>
        <v/>
      </c>
      <c r="AV58" s="55">
        <f>AV42*62.0*1.5</f>
        <v/>
      </c>
      <c r="AW58" s="55">
        <f>AW42*62.0*1.5</f>
        <v/>
      </c>
      <c r="AX58" s="55">
        <f>AX42*62.0*1.5</f>
        <v/>
      </c>
      <c r="AY58" s="55">
        <f>AY42*62.0*1.5</f>
        <v/>
      </c>
      <c r="AZ58" s="55">
        <f>AZ42*62.0*1.5</f>
        <v/>
      </c>
      <c r="BA58" s="55">
        <f>BA42*62.0*1.5</f>
        <v/>
      </c>
      <c r="BB58" s="55">
        <f>BB42*62.0*1.5</f>
        <v/>
      </c>
      <c r="BC58" s="55">
        <f>BC42*62.0*1.5</f>
        <v/>
      </c>
      <c r="BD58" s="55">
        <f>BD42*62.0*1.5</f>
        <v/>
      </c>
      <c r="BE58" s="55">
        <f>BE42*62.0*1.5</f>
        <v/>
      </c>
      <c r="BF58" s="55">
        <f>BF42*62.0*1.5</f>
        <v/>
      </c>
      <c r="BG58" s="55">
        <f>BG42*62.0*1.5</f>
        <v/>
      </c>
      <c r="BH58" s="55">
        <f>BH42*62.0*1.5</f>
        <v/>
      </c>
      <c r="BI58" s="55">
        <f>BI42*62.0*1.5</f>
        <v/>
      </c>
      <c r="BJ58" s="55">
        <f>BJ42*62.0*1.5</f>
        <v/>
      </c>
      <c r="BK58" s="55">
        <f>BK42*62.0*1.5</f>
        <v/>
      </c>
      <c r="BL58" s="55">
        <f>BL42*62.0*1.5</f>
        <v/>
      </c>
      <c r="BM58" s="55">
        <f>BM42*62.0*1.5</f>
        <v/>
      </c>
      <c r="BN58" s="55">
        <f>BN42*62.0*1.5</f>
        <v/>
      </c>
      <c r="BO58" s="55">
        <f>BO42*62.0*1.5</f>
        <v/>
      </c>
      <c r="BP58" s="55">
        <f>BP42*62.0*1.5</f>
        <v/>
      </c>
      <c r="BQ58" s="55">
        <f>BQ42*62.0*1.5</f>
        <v/>
      </c>
      <c r="BR58" s="55">
        <f>BR42*62.0*1.5</f>
        <v/>
      </c>
      <c r="BS58" s="55">
        <f>BS42*62.0*1.5</f>
        <v/>
      </c>
      <c r="BT58" s="55">
        <f>BT42*62.0*1.5</f>
        <v/>
      </c>
      <c r="BU58" s="55">
        <f>BU42*62.0*1.5</f>
        <v/>
      </c>
      <c r="BV58" s="55">
        <f>BV42*62.0*1.5</f>
        <v/>
      </c>
      <c r="BW58" s="55">
        <f>BW42*62.0*1.5</f>
        <v/>
      </c>
      <c r="BX58" s="55">
        <f>BX42*62.0*1.5</f>
        <v/>
      </c>
      <c r="BY58" s="55">
        <f>BY42*62.0*1.5</f>
        <v/>
      </c>
      <c r="BZ58" s="55">
        <f>BZ42*62.0*1.5</f>
        <v/>
      </c>
      <c r="CA58" s="55">
        <f>CA42*62.0*1.5</f>
        <v/>
      </c>
      <c r="CB58" s="55">
        <f>CB42*62.0*1.5</f>
        <v/>
      </c>
      <c r="CC58" s="55">
        <f>CC42*62.0*1.5</f>
        <v/>
      </c>
      <c r="CD58" s="55">
        <f>CD42*62.0*1.5</f>
        <v/>
      </c>
      <c r="CE58" s="55">
        <f>CE42*62.0*1.5</f>
        <v/>
      </c>
      <c r="CF58" s="55">
        <f>CF42*62.0*1.5</f>
        <v/>
      </c>
      <c r="CG58" s="55">
        <f>CG42*62.0*1.5</f>
        <v/>
      </c>
      <c r="CH58" s="55">
        <f>CH42*62.0*1.5</f>
        <v/>
      </c>
      <c r="CI58" s="55">
        <f>CI42*62.0*1.5</f>
        <v/>
      </c>
      <c r="CJ58" s="55">
        <f>CJ42*62.0*1.5</f>
        <v/>
      </c>
      <c r="CK58" s="55">
        <f>CK42*62.0*1.5</f>
        <v/>
      </c>
      <c r="CL58" s="55">
        <f>CL42*62.0*1.5</f>
        <v/>
      </c>
      <c r="CM58" s="55">
        <f>CM42*62.0*1.5</f>
        <v/>
      </c>
      <c r="CN58" s="55">
        <f>CN42*62.0*1.5</f>
        <v/>
      </c>
      <c r="CO58" s="55">
        <f>CO42*62.0*1.5</f>
        <v/>
      </c>
      <c r="CP58" s="55">
        <f>CP42*62.0*1.5</f>
        <v/>
      </c>
      <c r="CQ58" s="55">
        <f>CQ42*62.0*1.5</f>
        <v/>
      </c>
      <c r="CR58" s="55">
        <f>CR42*62.0*1.5</f>
        <v/>
      </c>
      <c r="CS58" s="55">
        <f>CS42*62.0*1.5</f>
        <v/>
      </c>
      <c r="CT58" s="55">
        <f>CT42*62.0*1.5</f>
        <v/>
      </c>
      <c r="CU58" s="55">
        <f>CU42*62.0*1.5</f>
        <v/>
      </c>
      <c r="CV58" s="55">
        <f>CV42*62.0*1.5</f>
        <v/>
      </c>
      <c r="CW58" s="55">
        <f>CW42*62.0*1.5</f>
        <v/>
      </c>
      <c r="CX58" s="55">
        <f>CX42*62.0*1.5</f>
        <v/>
      </c>
      <c r="CY58" s="55">
        <f>CY42*62.0*1.5</f>
        <v/>
      </c>
      <c r="CZ58" s="55">
        <f>CZ42*62.0*1.5</f>
        <v/>
      </c>
      <c r="DA58" s="55">
        <f>DA42*62.0*1.5</f>
        <v/>
      </c>
      <c r="DB58" s="55">
        <f>DB42*62.0*1.5</f>
        <v/>
      </c>
      <c r="DC58" s="55">
        <f>DC42*62.0*1.5</f>
        <v/>
      </c>
      <c r="DD58" s="55">
        <f>DD42*62.0*1.5</f>
        <v/>
      </c>
      <c r="DE58" s="55">
        <f>DE42*62.0*1.5</f>
        <v/>
      </c>
      <c r="DF58" s="55">
        <f>DF42*62.0*1.5</f>
        <v/>
      </c>
      <c r="DG58" s="55">
        <f>DG42*62.0*1.5</f>
        <v/>
      </c>
      <c r="DH58" s="55">
        <f>DH42*62.0*1.5</f>
        <v/>
      </c>
      <c r="DI58" s="55">
        <f>DI42*62.0*1.5</f>
        <v/>
      </c>
      <c r="DJ58" s="55">
        <f>DJ42*62.0*1.5</f>
        <v/>
      </c>
      <c r="DK58" s="55">
        <f>DK42*62.0*1.5</f>
        <v/>
      </c>
      <c r="DL58" s="55">
        <f>DL42*62.0*1.5</f>
        <v/>
      </c>
      <c r="DM58" s="55">
        <f>DM42*62.0*1.5</f>
        <v/>
      </c>
      <c r="DN58" s="55">
        <f>DN42*62.0*1.5</f>
        <v/>
      </c>
      <c r="DO58" s="55">
        <f>DO42*62.0*1.5</f>
        <v/>
      </c>
      <c r="DP58" s="55">
        <f>DP42*62.0*1.5</f>
        <v/>
      </c>
      <c r="DQ58" s="55">
        <f>DQ42*62.0*1.5</f>
        <v/>
      </c>
      <c r="DR58" s="55">
        <f>DR42*62.0*1.5</f>
        <v/>
      </c>
      <c r="DS58" s="55">
        <f>DS42*62.0*1.5</f>
        <v/>
      </c>
      <c r="DT58" s="55">
        <f>DT42*62.0*1.5</f>
        <v/>
      </c>
      <c r="DU58" s="55">
        <f>DU42*62.0*1.5</f>
        <v/>
      </c>
      <c r="DV58" s="55">
        <f>DV42*62.0*1.5</f>
        <v/>
      </c>
      <c r="DW58" s="55">
        <f>DW42*62.0*1.5</f>
        <v/>
      </c>
      <c r="DX58" s="55">
        <f>DX42*62.0*1.5</f>
        <v/>
      </c>
      <c r="DY58" s="55">
        <f>DY42*62.0*1.5</f>
        <v/>
      </c>
      <c r="DZ58" s="55">
        <f>DZ42*62.0*1.5</f>
        <v/>
      </c>
      <c r="EA58" s="55">
        <f>EA42*62.0*1.5</f>
        <v/>
      </c>
      <c r="EB58" s="55">
        <f>EB42*62.0*1.5</f>
        <v/>
      </c>
      <c r="EC58" s="55">
        <f>EC42*62.0*1.5</f>
        <v/>
      </c>
      <c r="ED58" s="55">
        <f>ED42*62.0*1.5</f>
        <v/>
      </c>
      <c r="EE58" s="55">
        <f>EE42*62.0*1.5</f>
        <v/>
      </c>
      <c r="EF58" s="55">
        <f>EF42*62.0*1.5</f>
        <v/>
      </c>
      <c r="EG58" s="55">
        <f>EG42*62.0*1.5</f>
        <v/>
      </c>
      <c r="EH58" s="55">
        <f>EH42*62.0*1.5</f>
        <v/>
      </c>
      <c r="EI58" s="55">
        <f>EI42*62.0*1.5</f>
        <v/>
      </c>
      <c r="EJ58" s="55">
        <f>EJ42*62.0*1.5</f>
        <v/>
      </c>
      <c r="EK58" s="55">
        <f>EK42*62.0*1.5</f>
        <v/>
      </c>
      <c r="EL58" s="55">
        <f>EL42*62.0*1.5</f>
        <v/>
      </c>
      <c r="EM58" s="55">
        <f>EM42*62.0*1.5</f>
        <v/>
      </c>
      <c r="EN58" s="55">
        <f>EN42*62.0*1.5</f>
        <v/>
      </c>
      <c r="EO58" s="55">
        <f>EO42*62.0*1.5</f>
        <v/>
      </c>
      <c r="EP58" s="55">
        <f>EP42*62.0*1.5</f>
        <v/>
      </c>
      <c r="EQ58" s="55">
        <f>EQ42*62.0*1.5</f>
        <v/>
      </c>
      <c r="ER58" s="55">
        <f>ER42*62.0*1.5</f>
        <v/>
      </c>
      <c r="ES58" s="55">
        <f>ES42*62.0*1.5</f>
        <v/>
      </c>
      <c r="ET58" s="55">
        <f>ET42*62.0*1.5</f>
        <v/>
      </c>
      <c r="EU58" s="55">
        <f>EU42*62.0*1.5</f>
        <v/>
      </c>
      <c r="EV58" s="55">
        <f>EV42*62.0*1.5</f>
        <v/>
      </c>
      <c r="EW58" s="55">
        <f>EW42*62.0*1.5</f>
        <v/>
      </c>
      <c r="EX58" s="55">
        <f>EX42*62.0*1.5</f>
        <v/>
      </c>
      <c r="EY58" s="55">
        <f>EY42*62.0*1.5</f>
        <v/>
      </c>
      <c r="EZ58" s="55">
        <f>EZ42*62.0*1.5</f>
        <v/>
      </c>
      <c r="FA58" s="55">
        <f>FA42*62.0*1.5</f>
        <v/>
      </c>
      <c r="FB58" s="55">
        <f>FB42*62.0*1.5</f>
        <v/>
      </c>
      <c r="FC58" s="55">
        <f>FC42*62.0*1.5</f>
        <v/>
      </c>
      <c r="FD58" s="55">
        <f>FD42*62.0*1.5</f>
        <v/>
      </c>
      <c r="FE58" s="55">
        <f>FE42*62.0*1.5</f>
        <v/>
      </c>
      <c r="FF58" s="55">
        <f>FF42*62.0*1.5</f>
        <v/>
      </c>
      <c r="FG58" s="55">
        <f>FG42*62.0*1.5</f>
        <v/>
      </c>
      <c r="FH58" s="55">
        <f>FH42*62.0*1.5</f>
        <v/>
      </c>
      <c r="FI58" s="55">
        <f>FI42*62.0*1.5</f>
        <v/>
      </c>
      <c r="FJ58" s="55">
        <f>FJ42*62.0*1.5</f>
        <v/>
      </c>
      <c r="FK58" s="55">
        <f>FK42*62.0*1.5</f>
        <v/>
      </c>
      <c r="FL58" s="55">
        <f>FL42*62.0*1.5</f>
        <v/>
      </c>
      <c r="FM58" s="55">
        <f>FM42*62.0*1.5</f>
        <v/>
      </c>
      <c r="FN58" s="55">
        <f>FN42*62.0*1.5</f>
        <v/>
      </c>
      <c r="FO58" s="55">
        <f>FO42*62.0*1.5</f>
        <v/>
      </c>
      <c r="FP58" s="55">
        <f>FP42*62.0*1.5</f>
        <v/>
      </c>
      <c r="FQ58" s="55">
        <f>FQ42*62.0*1.5</f>
        <v/>
      </c>
      <c r="FR58" s="55">
        <f>FR42*62.0*1.5</f>
        <v/>
      </c>
      <c r="FS58" s="55">
        <f>FS42*62.0*1.5</f>
        <v/>
      </c>
      <c r="FT58" s="55">
        <f>FT42*62.0*1.5</f>
        <v/>
      </c>
      <c r="FU58" s="55">
        <f>FU42*62.0*1.5</f>
        <v/>
      </c>
      <c r="FV58" s="55">
        <f>FV42*62.0*1.5</f>
        <v/>
      </c>
      <c r="FW58" s="55">
        <f>FW42*62.0*1.5</f>
        <v/>
      </c>
      <c r="FX58" s="55">
        <f>FX42*62.0*1.5</f>
        <v/>
      </c>
      <c r="FY58" s="55">
        <f>FY42*62.0*1.5</f>
        <v/>
      </c>
      <c r="FZ58" s="55">
        <f>FZ42*62.0*1.5</f>
        <v/>
      </c>
      <c r="GA58" s="55">
        <f>GA42*62.0*1.5</f>
        <v/>
      </c>
      <c r="GB58" s="55">
        <f>GB42*62.0*1.5</f>
        <v/>
      </c>
      <c r="GC58" s="55">
        <f>GC42*62.0*1.5</f>
        <v/>
      </c>
    </row>
    <row r="59">
      <c r="A59" s="51" t="inlineStr">
        <is>
          <t>CL</t>
        </is>
      </c>
      <c r="B59" s="51" t="n"/>
      <c r="C59" s="51" t="inlineStr">
        <is>
          <t>Tiêu thụ dầu CL (ĐM: 48.0 l/ca x 2 ca)</t>
        </is>
      </c>
      <c r="D59" s="51" t="n"/>
      <c r="E59" s="52" t="n"/>
      <c r="F59" s="52" t="n"/>
      <c r="G59" s="52" t="n"/>
      <c r="H59" s="52" t="n"/>
      <c r="I59" s="51" t="n"/>
      <c r="J59" s="51" t="n"/>
      <c r="K59" s="51" t="n"/>
      <c r="L59" s="51" t="n"/>
      <c r="M59" s="53" t="n"/>
      <c r="N59" s="51" t="n"/>
      <c r="O59" s="54" t="n"/>
      <c r="P59" s="55">
        <f>P43*48.0*1.5</f>
        <v/>
      </c>
      <c r="Q59" s="55">
        <f>Q43*48.0*1.5</f>
        <v/>
      </c>
      <c r="R59" s="55">
        <f>R43*48.0*1.5</f>
        <v/>
      </c>
      <c r="S59" s="55">
        <f>S43*48.0*1.5</f>
        <v/>
      </c>
      <c r="T59" s="55">
        <f>T43*48.0*1.5</f>
        <v/>
      </c>
      <c r="U59" s="55">
        <f>U43*48.0*1.5</f>
        <v/>
      </c>
      <c r="V59" s="55">
        <f>V43*48.0*1.5</f>
        <v/>
      </c>
      <c r="W59" s="55">
        <f>W43*48.0*1.5</f>
        <v/>
      </c>
      <c r="X59" s="55">
        <f>X43*48.0*1.5</f>
        <v/>
      </c>
      <c r="Y59" s="55">
        <f>Y43*48.0*1.5</f>
        <v/>
      </c>
      <c r="Z59" s="55">
        <f>Z43*48.0*1.5</f>
        <v/>
      </c>
      <c r="AA59" s="55">
        <f>AA43*48.0*1.5</f>
        <v/>
      </c>
      <c r="AB59" s="55">
        <f>AB43*48.0*1.5</f>
        <v/>
      </c>
      <c r="AC59" s="55">
        <f>AC43*48.0*1.5</f>
        <v/>
      </c>
      <c r="AD59" s="55">
        <f>AD43*48.0*1.5</f>
        <v/>
      </c>
      <c r="AE59" s="55">
        <f>AE43*48.0*1.5</f>
        <v/>
      </c>
      <c r="AF59" s="55">
        <f>AF43*48.0*1.5</f>
        <v/>
      </c>
      <c r="AG59" s="55">
        <f>AG43*48.0*1.5</f>
        <v/>
      </c>
      <c r="AH59" s="55">
        <f>AH43*48.0*1.5</f>
        <v/>
      </c>
      <c r="AI59" s="55">
        <f>AI43*48.0*1.5</f>
        <v/>
      </c>
      <c r="AJ59" s="55">
        <f>AJ43*48.0*1.5</f>
        <v/>
      </c>
      <c r="AK59" s="55">
        <f>AK43*48.0*1.5</f>
        <v/>
      </c>
      <c r="AL59" s="55">
        <f>AL43*48.0*1.5</f>
        <v/>
      </c>
      <c r="AM59" s="55">
        <f>AM43*48.0*1.5</f>
        <v/>
      </c>
      <c r="AN59" s="55">
        <f>AN43*48.0*1.5</f>
        <v/>
      </c>
      <c r="AO59" s="55">
        <f>AO43*48.0*1.5</f>
        <v/>
      </c>
      <c r="AP59" s="55">
        <f>AP43*48.0*1.5</f>
        <v/>
      </c>
      <c r="AQ59" s="55">
        <f>AQ43*48.0*1.5</f>
        <v/>
      </c>
      <c r="AR59" s="55">
        <f>AR43*48.0*1.5</f>
        <v/>
      </c>
      <c r="AS59" s="55">
        <f>AS43*48.0*1.5</f>
        <v/>
      </c>
      <c r="AT59" s="55">
        <f>AT43*48.0*1.5</f>
        <v/>
      </c>
      <c r="AU59" s="55">
        <f>AU43*48.0*1.5</f>
        <v/>
      </c>
      <c r="AV59" s="55">
        <f>AV43*48.0*1.5</f>
        <v/>
      </c>
      <c r="AW59" s="55">
        <f>AW43*48.0*1.5</f>
        <v/>
      </c>
      <c r="AX59" s="55">
        <f>AX43*48.0*1.5</f>
        <v/>
      </c>
      <c r="AY59" s="55">
        <f>AY43*48.0*1.5</f>
        <v/>
      </c>
      <c r="AZ59" s="55">
        <f>AZ43*48.0*1.5</f>
        <v/>
      </c>
      <c r="BA59" s="55">
        <f>BA43*48.0*1.5</f>
        <v/>
      </c>
      <c r="BB59" s="55">
        <f>BB43*48.0*1.5</f>
        <v/>
      </c>
      <c r="BC59" s="55">
        <f>BC43*48.0*1.5</f>
        <v/>
      </c>
      <c r="BD59" s="55">
        <f>BD43*48.0*1.5</f>
        <v/>
      </c>
      <c r="BE59" s="55">
        <f>BE43*48.0*1.5</f>
        <v/>
      </c>
      <c r="BF59" s="55">
        <f>BF43*48.0*1.5</f>
        <v/>
      </c>
      <c r="BG59" s="55">
        <f>BG43*48.0*1.5</f>
        <v/>
      </c>
      <c r="BH59" s="55">
        <f>BH43*48.0*1.5</f>
        <v/>
      </c>
      <c r="BI59" s="55">
        <f>BI43*48.0*1.5</f>
        <v/>
      </c>
      <c r="BJ59" s="55">
        <f>BJ43*48.0*1.5</f>
        <v/>
      </c>
      <c r="BK59" s="55">
        <f>BK43*48.0*1.5</f>
        <v/>
      </c>
      <c r="BL59" s="55">
        <f>BL43*48.0*1.5</f>
        <v/>
      </c>
      <c r="BM59" s="55">
        <f>BM43*48.0*1.5</f>
        <v/>
      </c>
      <c r="BN59" s="55">
        <f>BN43*48.0*1.5</f>
        <v/>
      </c>
      <c r="BO59" s="55">
        <f>BO43*48.0*1.5</f>
        <v/>
      </c>
      <c r="BP59" s="55">
        <f>BP43*48.0*1.5</f>
        <v/>
      </c>
      <c r="BQ59" s="55">
        <f>BQ43*48.0*1.5</f>
        <v/>
      </c>
      <c r="BR59" s="55">
        <f>BR43*48.0*1.5</f>
        <v/>
      </c>
      <c r="BS59" s="55">
        <f>BS43*48.0*1.5</f>
        <v/>
      </c>
      <c r="BT59" s="55">
        <f>BT43*48.0*1.5</f>
        <v/>
      </c>
      <c r="BU59" s="55">
        <f>BU43*48.0*1.5</f>
        <v/>
      </c>
      <c r="BV59" s="55">
        <f>BV43*48.0*1.5</f>
        <v/>
      </c>
      <c r="BW59" s="55">
        <f>BW43*48.0*1.5</f>
        <v/>
      </c>
      <c r="BX59" s="55">
        <f>BX43*48.0*1.5</f>
        <v/>
      </c>
      <c r="BY59" s="55">
        <f>BY43*48.0*1.5</f>
        <v/>
      </c>
      <c r="BZ59" s="55">
        <f>BZ43*48.0*1.5</f>
        <v/>
      </c>
      <c r="CA59" s="55">
        <f>CA43*48.0*1.5</f>
        <v/>
      </c>
      <c r="CB59" s="55">
        <f>CB43*48.0*1.5</f>
        <v/>
      </c>
      <c r="CC59" s="55">
        <f>CC43*48.0*1.5</f>
        <v/>
      </c>
      <c r="CD59" s="55">
        <f>CD43*48.0*1.5</f>
        <v/>
      </c>
      <c r="CE59" s="55">
        <f>CE43*48.0*1.5</f>
        <v/>
      </c>
      <c r="CF59" s="55">
        <f>CF43*48.0*1.5</f>
        <v/>
      </c>
      <c r="CG59" s="55">
        <f>CG43*48.0*1.5</f>
        <v/>
      </c>
      <c r="CH59" s="55">
        <f>CH43*48.0*1.5</f>
        <v/>
      </c>
      <c r="CI59" s="55">
        <f>CI43*48.0*1.5</f>
        <v/>
      </c>
      <c r="CJ59" s="55">
        <f>CJ43*48.0*1.5</f>
        <v/>
      </c>
      <c r="CK59" s="55">
        <f>CK43*48.0*1.5</f>
        <v/>
      </c>
      <c r="CL59" s="55">
        <f>CL43*48.0*1.5</f>
        <v/>
      </c>
      <c r="CM59" s="55">
        <f>CM43*48.0*1.5</f>
        <v/>
      </c>
      <c r="CN59" s="55">
        <f>CN43*48.0*1.5</f>
        <v/>
      </c>
      <c r="CO59" s="55">
        <f>CO43*48.0*1.5</f>
        <v/>
      </c>
      <c r="CP59" s="55">
        <f>CP43*48.0*1.5</f>
        <v/>
      </c>
      <c r="CQ59" s="55">
        <f>CQ43*48.0*1.5</f>
        <v/>
      </c>
      <c r="CR59" s="55">
        <f>CR43*48.0*1.5</f>
        <v/>
      </c>
      <c r="CS59" s="55">
        <f>CS43*48.0*1.5</f>
        <v/>
      </c>
      <c r="CT59" s="55">
        <f>CT43*48.0*1.5</f>
        <v/>
      </c>
      <c r="CU59" s="55">
        <f>CU43*48.0*1.5</f>
        <v/>
      </c>
      <c r="CV59" s="55">
        <f>CV43*48.0*1.5</f>
        <v/>
      </c>
      <c r="CW59" s="55">
        <f>CW43*48.0*1.5</f>
        <v/>
      </c>
      <c r="CX59" s="55">
        <f>CX43*48.0*1.5</f>
        <v/>
      </c>
      <c r="CY59" s="55">
        <f>CY43*48.0*1.5</f>
        <v/>
      </c>
      <c r="CZ59" s="55">
        <f>CZ43*48.0*1.5</f>
        <v/>
      </c>
      <c r="DA59" s="55">
        <f>DA43*48.0*1.5</f>
        <v/>
      </c>
      <c r="DB59" s="55">
        <f>DB43*48.0*1.5</f>
        <v/>
      </c>
      <c r="DC59" s="55">
        <f>DC43*48.0*1.5</f>
        <v/>
      </c>
      <c r="DD59" s="55">
        <f>DD43*48.0*1.5</f>
        <v/>
      </c>
      <c r="DE59" s="55">
        <f>DE43*48.0*1.5</f>
        <v/>
      </c>
      <c r="DF59" s="55">
        <f>DF43*48.0*1.5</f>
        <v/>
      </c>
      <c r="DG59" s="55">
        <f>DG43*48.0*1.5</f>
        <v/>
      </c>
      <c r="DH59" s="55">
        <f>DH43*48.0*1.5</f>
        <v/>
      </c>
      <c r="DI59" s="55">
        <f>DI43*48.0*1.5</f>
        <v/>
      </c>
      <c r="DJ59" s="55">
        <f>DJ43*48.0*1.5</f>
        <v/>
      </c>
      <c r="DK59" s="55">
        <f>DK43*48.0*1.5</f>
        <v/>
      </c>
      <c r="DL59" s="55">
        <f>DL43*48.0*1.5</f>
        <v/>
      </c>
      <c r="DM59" s="55">
        <f>DM43*48.0*1.5</f>
        <v/>
      </c>
      <c r="DN59" s="55">
        <f>DN43*48.0*1.5</f>
        <v/>
      </c>
      <c r="DO59" s="55">
        <f>DO43*48.0*1.5</f>
        <v/>
      </c>
      <c r="DP59" s="55">
        <f>DP43*48.0*1.5</f>
        <v/>
      </c>
      <c r="DQ59" s="55">
        <f>DQ43*48.0*1.5</f>
        <v/>
      </c>
      <c r="DR59" s="55">
        <f>DR43*48.0*1.5</f>
        <v/>
      </c>
      <c r="DS59" s="55">
        <f>DS43*48.0*1.5</f>
        <v/>
      </c>
      <c r="DT59" s="55">
        <f>DT43*48.0*1.5</f>
        <v/>
      </c>
      <c r="DU59" s="55">
        <f>DU43*48.0*1.5</f>
        <v/>
      </c>
      <c r="DV59" s="55">
        <f>DV43*48.0*1.5</f>
        <v/>
      </c>
      <c r="DW59" s="55">
        <f>DW43*48.0*1.5</f>
        <v/>
      </c>
      <c r="DX59" s="55">
        <f>DX43*48.0*1.5</f>
        <v/>
      </c>
      <c r="DY59" s="55">
        <f>DY43*48.0*1.5</f>
        <v/>
      </c>
      <c r="DZ59" s="55">
        <f>DZ43*48.0*1.5</f>
        <v/>
      </c>
      <c r="EA59" s="55">
        <f>EA43*48.0*1.5</f>
        <v/>
      </c>
      <c r="EB59" s="55">
        <f>EB43*48.0*1.5</f>
        <v/>
      </c>
      <c r="EC59" s="55">
        <f>EC43*48.0*1.5</f>
        <v/>
      </c>
      <c r="ED59" s="55">
        <f>ED43*48.0*1.5</f>
        <v/>
      </c>
      <c r="EE59" s="55">
        <f>EE43*48.0*1.5</f>
        <v/>
      </c>
      <c r="EF59" s="55">
        <f>EF43*48.0*1.5</f>
        <v/>
      </c>
      <c r="EG59" s="55">
        <f>EG43*48.0*1.5</f>
        <v/>
      </c>
      <c r="EH59" s="55">
        <f>EH43*48.0*1.5</f>
        <v/>
      </c>
      <c r="EI59" s="55">
        <f>EI43*48.0*1.5</f>
        <v/>
      </c>
      <c r="EJ59" s="55">
        <f>EJ43*48.0*1.5</f>
        <v/>
      </c>
      <c r="EK59" s="55">
        <f>EK43*48.0*1.5</f>
        <v/>
      </c>
      <c r="EL59" s="55">
        <f>EL43*48.0*1.5</f>
        <v/>
      </c>
      <c r="EM59" s="55">
        <f>EM43*48.0*1.5</f>
        <v/>
      </c>
      <c r="EN59" s="55">
        <f>EN43*48.0*1.5</f>
        <v/>
      </c>
      <c r="EO59" s="55">
        <f>EO43*48.0*1.5</f>
        <v/>
      </c>
      <c r="EP59" s="55">
        <f>EP43*48.0*1.5</f>
        <v/>
      </c>
      <c r="EQ59" s="55">
        <f>EQ43*48.0*1.5</f>
        <v/>
      </c>
      <c r="ER59" s="55">
        <f>ER43*48.0*1.5</f>
        <v/>
      </c>
      <c r="ES59" s="55">
        <f>ES43*48.0*1.5</f>
        <v/>
      </c>
      <c r="ET59" s="55">
        <f>ET43*48.0*1.5</f>
        <v/>
      </c>
      <c r="EU59" s="55">
        <f>EU43*48.0*1.5</f>
        <v/>
      </c>
      <c r="EV59" s="55">
        <f>EV43*48.0*1.5</f>
        <v/>
      </c>
      <c r="EW59" s="55">
        <f>EW43*48.0*1.5</f>
        <v/>
      </c>
      <c r="EX59" s="55">
        <f>EX43*48.0*1.5</f>
        <v/>
      </c>
      <c r="EY59" s="55">
        <f>EY43*48.0*1.5</f>
        <v/>
      </c>
      <c r="EZ59" s="55">
        <f>EZ43*48.0*1.5</f>
        <v/>
      </c>
      <c r="FA59" s="55">
        <f>FA43*48.0*1.5</f>
        <v/>
      </c>
      <c r="FB59" s="55">
        <f>FB43*48.0*1.5</f>
        <v/>
      </c>
      <c r="FC59" s="55">
        <f>FC43*48.0*1.5</f>
        <v/>
      </c>
      <c r="FD59" s="55">
        <f>FD43*48.0*1.5</f>
        <v/>
      </c>
      <c r="FE59" s="55">
        <f>FE43*48.0*1.5</f>
        <v/>
      </c>
      <c r="FF59" s="55">
        <f>FF43*48.0*1.5</f>
        <v/>
      </c>
      <c r="FG59" s="55">
        <f>FG43*48.0*1.5</f>
        <v/>
      </c>
      <c r="FH59" s="55">
        <f>FH43*48.0*1.5</f>
        <v/>
      </c>
      <c r="FI59" s="55">
        <f>FI43*48.0*1.5</f>
        <v/>
      </c>
      <c r="FJ59" s="55">
        <f>FJ43*48.0*1.5</f>
        <v/>
      </c>
      <c r="FK59" s="55">
        <f>FK43*48.0*1.5</f>
        <v/>
      </c>
      <c r="FL59" s="55">
        <f>FL43*48.0*1.5</f>
        <v/>
      </c>
      <c r="FM59" s="55">
        <f>FM43*48.0*1.5</f>
        <v/>
      </c>
      <c r="FN59" s="55">
        <f>FN43*48.0*1.5</f>
        <v/>
      </c>
      <c r="FO59" s="55">
        <f>FO43*48.0*1.5</f>
        <v/>
      </c>
      <c r="FP59" s="55">
        <f>FP43*48.0*1.5</f>
        <v/>
      </c>
      <c r="FQ59" s="55">
        <f>FQ43*48.0*1.5</f>
        <v/>
      </c>
      <c r="FR59" s="55">
        <f>FR43*48.0*1.5</f>
        <v/>
      </c>
      <c r="FS59" s="55">
        <f>FS43*48.0*1.5</f>
        <v/>
      </c>
      <c r="FT59" s="55">
        <f>FT43*48.0*1.5</f>
        <v/>
      </c>
      <c r="FU59" s="55">
        <f>FU43*48.0*1.5</f>
        <v/>
      </c>
      <c r="FV59" s="55">
        <f>FV43*48.0*1.5</f>
        <v/>
      </c>
      <c r="FW59" s="55">
        <f>FW43*48.0*1.5</f>
        <v/>
      </c>
      <c r="FX59" s="55">
        <f>FX43*48.0*1.5</f>
        <v/>
      </c>
      <c r="FY59" s="55">
        <f>FY43*48.0*1.5</f>
        <v/>
      </c>
      <c r="FZ59" s="55">
        <f>FZ43*48.0*1.5</f>
        <v/>
      </c>
      <c r="GA59" s="55">
        <f>GA43*48.0*1.5</f>
        <v/>
      </c>
      <c r="GB59" s="55">
        <f>GB43*48.0*1.5</f>
        <v/>
      </c>
      <c r="GC59" s="55">
        <f>GC43*48.0*1.5</f>
        <v/>
      </c>
    </row>
    <row r="60">
      <c r="A60" s="51" t="inlineStr">
        <is>
          <t>MD</t>
        </is>
      </c>
      <c r="B60" s="51" t="n"/>
      <c r="C60" s="51" t="inlineStr">
        <is>
          <t>Tiêu thụ dầu MD (ĐM: 68.0 l/ca x 2 ca)</t>
        </is>
      </c>
      <c r="D60" s="51" t="n"/>
      <c r="E60" s="52" t="n"/>
      <c r="F60" s="52" t="n"/>
      <c r="G60" s="52" t="n"/>
      <c r="H60" s="52" t="n"/>
      <c r="I60" s="51" t="n"/>
      <c r="J60" s="51" t="n"/>
      <c r="K60" s="51" t="n"/>
      <c r="L60" s="51" t="n"/>
      <c r="M60" s="53" t="n"/>
      <c r="N60" s="51" t="n"/>
      <c r="O60" s="54" t="n"/>
      <c r="P60" s="55">
        <f>P44*68.0*1.5</f>
        <v/>
      </c>
      <c r="Q60" s="55">
        <f>Q44*68.0*1.5</f>
        <v/>
      </c>
      <c r="R60" s="55">
        <f>R44*68.0*1.5</f>
        <v/>
      </c>
      <c r="S60" s="55">
        <f>S44*68.0*1.5</f>
        <v/>
      </c>
      <c r="T60" s="55">
        <f>T44*68.0*1.5</f>
        <v/>
      </c>
      <c r="U60" s="55">
        <f>U44*68.0*1.5</f>
        <v/>
      </c>
      <c r="V60" s="55">
        <f>V44*68.0*1.5</f>
        <v/>
      </c>
      <c r="W60" s="55">
        <f>W44*68.0*1.5</f>
        <v/>
      </c>
      <c r="X60" s="55">
        <f>X44*68.0*1.5</f>
        <v/>
      </c>
      <c r="Y60" s="55">
        <f>Y44*68.0*1.5</f>
        <v/>
      </c>
      <c r="Z60" s="55">
        <f>Z44*68.0*1.5</f>
        <v/>
      </c>
      <c r="AA60" s="55">
        <f>AA44*68.0*1.5</f>
        <v/>
      </c>
      <c r="AB60" s="55">
        <f>AB44*68.0*1.5</f>
        <v/>
      </c>
      <c r="AC60" s="55">
        <f>AC44*68.0*1.5</f>
        <v/>
      </c>
      <c r="AD60" s="55">
        <f>AD44*68.0*1.5</f>
        <v/>
      </c>
      <c r="AE60" s="55">
        <f>AE44*68.0*1.5</f>
        <v/>
      </c>
      <c r="AF60" s="55">
        <f>AF44*68.0*1.5</f>
        <v/>
      </c>
      <c r="AG60" s="55">
        <f>AG44*68.0*1.5</f>
        <v/>
      </c>
      <c r="AH60" s="55">
        <f>AH44*68.0*1.5</f>
        <v/>
      </c>
      <c r="AI60" s="55">
        <f>AI44*68.0*1.5</f>
        <v/>
      </c>
      <c r="AJ60" s="55">
        <f>AJ44*68.0*1.5</f>
        <v/>
      </c>
      <c r="AK60" s="55">
        <f>AK44*68.0*1.5</f>
        <v/>
      </c>
      <c r="AL60" s="55">
        <f>AL44*68.0*1.5</f>
        <v/>
      </c>
      <c r="AM60" s="55">
        <f>AM44*68.0*1.5</f>
        <v/>
      </c>
      <c r="AN60" s="55">
        <f>AN44*68.0*1.5</f>
        <v/>
      </c>
      <c r="AO60" s="55">
        <f>AO44*68.0*1.5</f>
        <v/>
      </c>
      <c r="AP60" s="55">
        <f>AP44*68.0*1.5</f>
        <v/>
      </c>
      <c r="AQ60" s="55">
        <f>AQ44*68.0*1.5</f>
        <v/>
      </c>
      <c r="AR60" s="55">
        <f>AR44*68.0*1.5</f>
        <v/>
      </c>
      <c r="AS60" s="55">
        <f>AS44*68.0*1.5</f>
        <v/>
      </c>
      <c r="AT60" s="55">
        <f>AT44*68.0*1.5</f>
        <v/>
      </c>
      <c r="AU60" s="55">
        <f>AU44*68.0*1.5</f>
        <v/>
      </c>
      <c r="AV60" s="55">
        <f>AV44*68.0*1.5</f>
        <v/>
      </c>
      <c r="AW60" s="55">
        <f>AW44*68.0*1.5</f>
        <v/>
      </c>
      <c r="AX60" s="55">
        <f>AX44*68.0*1.5</f>
        <v/>
      </c>
      <c r="AY60" s="55">
        <f>AY44*68.0*1.5</f>
        <v/>
      </c>
      <c r="AZ60" s="55">
        <f>AZ44*68.0*1.5</f>
        <v/>
      </c>
      <c r="BA60" s="55">
        <f>BA44*68.0*1.5</f>
        <v/>
      </c>
      <c r="BB60" s="55">
        <f>BB44*68.0*1.5</f>
        <v/>
      </c>
      <c r="BC60" s="55">
        <f>BC44*68.0*1.5</f>
        <v/>
      </c>
      <c r="BD60" s="55">
        <f>BD44*68.0*1.5</f>
        <v/>
      </c>
      <c r="BE60" s="55">
        <f>BE44*68.0*1.5</f>
        <v/>
      </c>
      <c r="BF60" s="55">
        <f>BF44*68.0*1.5</f>
        <v/>
      </c>
      <c r="BG60" s="55">
        <f>BG44*68.0*1.5</f>
        <v/>
      </c>
      <c r="BH60" s="55">
        <f>BH44*68.0*1.5</f>
        <v/>
      </c>
      <c r="BI60" s="55">
        <f>BI44*68.0*1.5</f>
        <v/>
      </c>
      <c r="BJ60" s="55">
        <f>BJ44*68.0*1.5</f>
        <v/>
      </c>
      <c r="BK60" s="55">
        <f>BK44*68.0*1.5</f>
        <v/>
      </c>
      <c r="BL60" s="55">
        <f>BL44*68.0*1.5</f>
        <v/>
      </c>
      <c r="BM60" s="55">
        <f>BM44*68.0*1.5</f>
        <v/>
      </c>
      <c r="BN60" s="55">
        <f>BN44*68.0*1.5</f>
        <v/>
      </c>
      <c r="BO60" s="55">
        <f>BO44*68.0*1.5</f>
        <v/>
      </c>
      <c r="BP60" s="55">
        <f>BP44*68.0*1.5</f>
        <v/>
      </c>
      <c r="BQ60" s="55">
        <f>BQ44*68.0*1.5</f>
        <v/>
      </c>
      <c r="BR60" s="55">
        <f>BR44*68.0*1.5</f>
        <v/>
      </c>
      <c r="BS60" s="55">
        <f>BS44*68.0*1.5</f>
        <v/>
      </c>
      <c r="BT60" s="55">
        <f>BT44*68.0*1.5</f>
        <v/>
      </c>
      <c r="BU60" s="55">
        <f>BU44*68.0*1.5</f>
        <v/>
      </c>
      <c r="BV60" s="55">
        <f>BV44*68.0*1.5</f>
        <v/>
      </c>
      <c r="BW60" s="55">
        <f>BW44*68.0*1.5</f>
        <v/>
      </c>
      <c r="BX60" s="55">
        <f>BX44*68.0*1.5</f>
        <v/>
      </c>
      <c r="BY60" s="55">
        <f>BY44*68.0*1.5</f>
        <v/>
      </c>
      <c r="BZ60" s="55">
        <f>BZ44*68.0*1.5</f>
        <v/>
      </c>
      <c r="CA60" s="55">
        <f>CA44*68.0*1.5</f>
        <v/>
      </c>
      <c r="CB60" s="55">
        <f>CB44*68.0*1.5</f>
        <v/>
      </c>
      <c r="CC60" s="55">
        <f>CC44*68.0*1.5</f>
        <v/>
      </c>
      <c r="CD60" s="55">
        <f>CD44*68.0*1.5</f>
        <v/>
      </c>
      <c r="CE60" s="55">
        <f>CE44*68.0*1.5</f>
        <v/>
      </c>
      <c r="CF60" s="55">
        <f>CF44*68.0*1.5</f>
        <v/>
      </c>
      <c r="CG60" s="55">
        <f>CG44*68.0*1.5</f>
        <v/>
      </c>
      <c r="CH60" s="55">
        <f>CH44*68.0*1.5</f>
        <v/>
      </c>
      <c r="CI60" s="55">
        <f>CI44*68.0*1.5</f>
        <v/>
      </c>
      <c r="CJ60" s="55">
        <f>CJ44*68.0*1.5</f>
        <v/>
      </c>
      <c r="CK60" s="55">
        <f>CK44*68.0*1.5</f>
        <v/>
      </c>
      <c r="CL60" s="55">
        <f>CL44*68.0*1.5</f>
        <v/>
      </c>
      <c r="CM60" s="55">
        <f>CM44*68.0*1.5</f>
        <v/>
      </c>
      <c r="CN60" s="55">
        <f>CN44*68.0*1.5</f>
        <v/>
      </c>
      <c r="CO60" s="55">
        <f>CO44*68.0*1.5</f>
        <v/>
      </c>
      <c r="CP60" s="55">
        <f>CP44*68.0*1.5</f>
        <v/>
      </c>
      <c r="CQ60" s="55">
        <f>CQ44*68.0*1.5</f>
        <v/>
      </c>
      <c r="CR60" s="55">
        <f>CR44*68.0*1.5</f>
        <v/>
      </c>
      <c r="CS60" s="55">
        <f>CS44*68.0*1.5</f>
        <v/>
      </c>
      <c r="CT60" s="55">
        <f>CT44*68.0*1.5</f>
        <v/>
      </c>
      <c r="CU60" s="55">
        <f>CU44*68.0*1.5</f>
        <v/>
      </c>
      <c r="CV60" s="55">
        <f>CV44*68.0*1.5</f>
        <v/>
      </c>
      <c r="CW60" s="55">
        <f>CW44*68.0*1.5</f>
        <v/>
      </c>
      <c r="CX60" s="55">
        <f>CX44*68.0*1.5</f>
        <v/>
      </c>
      <c r="CY60" s="55">
        <f>CY44*68.0*1.5</f>
        <v/>
      </c>
      <c r="CZ60" s="55">
        <f>CZ44*68.0*1.5</f>
        <v/>
      </c>
      <c r="DA60" s="55">
        <f>DA44*68.0*1.5</f>
        <v/>
      </c>
      <c r="DB60" s="55">
        <f>DB44*68.0*1.5</f>
        <v/>
      </c>
      <c r="DC60" s="55">
        <f>DC44*68.0*1.5</f>
        <v/>
      </c>
      <c r="DD60" s="55">
        <f>DD44*68.0*1.5</f>
        <v/>
      </c>
      <c r="DE60" s="55">
        <f>DE44*68.0*1.5</f>
        <v/>
      </c>
      <c r="DF60" s="55">
        <f>DF44*68.0*1.5</f>
        <v/>
      </c>
      <c r="DG60" s="55">
        <f>DG44*68.0*1.5</f>
        <v/>
      </c>
      <c r="DH60" s="55">
        <f>DH44*68.0*1.5</f>
        <v/>
      </c>
      <c r="DI60" s="55">
        <f>DI44*68.0*1.5</f>
        <v/>
      </c>
      <c r="DJ60" s="55">
        <f>DJ44*68.0*1.5</f>
        <v/>
      </c>
      <c r="DK60" s="55">
        <f>DK44*68.0*1.5</f>
        <v/>
      </c>
      <c r="DL60" s="55">
        <f>DL44*68.0*1.5</f>
        <v/>
      </c>
      <c r="DM60" s="55">
        <f>DM44*68.0*1.5</f>
        <v/>
      </c>
      <c r="DN60" s="55">
        <f>DN44*68.0*1.5</f>
        <v/>
      </c>
      <c r="DO60" s="55">
        <f>DO44*68.0*1.5</f>
        <v/>
      </c>
      <c r="DP60" s="55">
        <f>DP44*68.0*1.5</f>
        <v/>
      </c>
      <c r="DQ60" s="55">
        <f>DQ44*68.0*1.5</f>
        <v/>
      </c>
      <c r="DR60" s="55">
        <f>DR44*68.0*1.5</f>
        <v/>
      </c>
      <c r="DS60" s="55">
        <f>DS44*68.0*1.5</f>
        <v/>
      </c>
      <c r="DT60" s="55">
        <f>DT44*68.0*1.5</f>
        <v/>
      </c>
      <c r="DU60" s="55">
        <f>DU44*68.0*1.5</f>
        <v/>
      </c>
      <c r="DV60" s="55">
        <f>DV44*68.0*1.5</f>
        <v/>
      </c>
      <c r="DW60" s="55">
        <f>DW44*68.0*1.5</f>
        <v/>
      </c>
      <c r="DX60" s="55">
        <f>DX44*68.0*1.5</f>
        <v/>
      </c>
      <c r="DY60" s="55">
        <f>DY44*68.0*1.5</f>
        <v/>
      </c>
      <c r="DZ60" s="55">
        <f>DZ44*68.0*1.5</f>
        <v/>
      </c>
      <c r="EA60" s="55">
        <f>EA44*68.0*1.5</f>
        <v/>
      </c>
      <c r="EB60" s="55">
        <f>EB44*68.0*1.5</f>
        <v/>
      </c>
      <c r="EC60" s="55">
        <f>EC44*68.0*1.5</f>
        <v/>
      </c>
      <c r="ED60" s="55">
        <f>ED44*68.0*1.5</f>
        <v/>
      </c>
      <c r="EE60" s="55">
        <f>EE44*68.0*1.5</f>
        <v/>
      </c>
      <c r="EF60" s="55">
        <f>EF44*68.0*1.5</f>
        <v/>
      </c>
      <c r="EG60" s="55">
        <f>EG44*68.0*1.5</f>
        <v/>
      </c>
      <c r="EH60" s="55">
        <f>EH44*68.0*1.5</f>
        <v/>
      </c>
      <c r="EI60" s="55">
        <f>EI44*68.0*1.5</f>
        <v/>
      </c>
      <c r="EJ60" s="55">
        <f>EJ44*68.0*1.5</f>
        <v/>
      </c>
      <c r="EK60" s="55">
        <f>EK44*68.0*1.5</f>
        <v/>
      </c>
      <c r="EL60" s="55">
        <f>EL44*68.0*1.5</f>
        <v/>
      </c>
      <c r="EM60" s="55">
        <f>EM44*68.0*1.5</f>
        <v/>
      </c>
      <c r="EN60" s="55">
        <f>EN44*68.0*1.5</f>
        <v/>
      </c>
      <c r="EO60" s="55">
        <f>EO44*68.0*1.5</f>
        <v/>
      </c>
      <c r="EP60" s="55">
        <f>EP44*68.0*1.5</f>
        <v/>
      </c>
      <c r="EQ60" s="55">
        <f>EQ44*68.0*1.5</f>
        <v/>
      </c>
      <c r="ER60" s="55">
        <f>ER44*68.0*1.5</f>
        <v/>
      </c>
      <c r="ES60" s="55">
        <f>ES44*68.0*1.5</f>
        <v/>
      </c>
      <c r="ET60" s="55">
        <f>ET44*68.0*1.5</f>
        <v/>
      </c>
      <c r="EU60" s="55">
        <f>EU44*68.0*1.5</f>
        <v/>
      </c>
      <c r="EV60" s="55">
        <f>EV44*68.0*1.5</f>
        <v/>
      </c>
      <c r="EW60" s="55">
        <f>EW44*68.0*1.5</f>
        <v/>
      </c>
      <c r="EX60" s="55">
        <f>EX44*68.0*1.5</f>
        <v/>
      </c>
      <c r="EY60" s="55">
        <f>EY44*68.0*1.5</f>
        <v/>
      </c>
      <c r="EZ60" s="55">
        <f>EZ44*68.0*1.5</f>
        <v/>
      </c>
      <c r="FA60" s="55">
        <f>FA44*68.0*1.5</f>
        <v/>
      </c>
      <c r="FB60" s="55">
        <f>FB44*68.0*1.5</f>
        <v/>
      </c>
      <c r="FC60" s="55">
        <f>FC44*68.0*1.5</f>
        <v/>
      </c>
      <c r="FD60" s="55">
        <f>FD44*68.0*1.5</f>
        <v/>
      </c>
      <c r="FE60" s="55">
        <f>FE44*68.0*1.5</f>
        <v/>
      </c>
      <c r="FF60" s="55">
        <f>FF44*68.0*1.5</f>
        <v/>
      </c>
      <c r="FG60" s="55">
        <f>FG44*68.0*1.5</f>
        <v/>
      </c>
      <c r="FH60" s="55">
        <f>FH44*68.0*1.5</f>
        <v/>
      </c>
      <c r="FI60" s="55">
        <f>FI44*68.0*1.5</f>
        <v/>
      </c>
      <c r="FJ60" s="55">
        <f>FJ44*68.0*1.5</f>
        <v/>
      </c>
      <c r="FK60" s="55">
        <f>FK44*68.0*1.5</f>
        <v/>
      </c>
      <c r="FL60" s="55">
        <f>FL44*68.0*1.5</f>
        <v/>
      </c>
      <c r="FM60" s="55">
        <f>FM44*68.0*1.5</f>
        <v/>
      </c>
      <c r="FN60" s="55">
        <f>FN44*68.0*1.5</f>
        <v/>
      </c>
      <c r="FO60" s="55">
        <f>FO44*68.0*1.5</f>
        <v/>
      </c>
      <c r="FP60" s="55">
        <f>FP44*68.0*1.5</f>
        <v/>
      </c>
      <c r="FQ60" s="55">
        <f>FQ44*68.0*1.5</f>
        <v/>
      </c>
      <c r="FR60" s="55">
        <f>FR44*68.0*1.5</f>
        <v/>
      </c>
      <c r="FS60" s="55">
        <f>FS44*68.0*1.5</f>
        <v/>
      </c>
      <c r="FT60" s="55">
        <f>FT44*68.0*1.5</f>
        <v/>
      </c>
      <c r="FU60" s="55">
        <f>FU44*68.0*1.5</f>
        <v/>
      </c>
      <c r="FV60" s="55">
        <f>FV44*68.0*1.5</f>
        <v/>
      </c>
      <c r="FW60" s="55">
        <f>FW44*68.0*1.5</f>
        <v/>
      </c>
      <c r="FX60" s="55">
        <f>FX44*68.0*1.5</f>
        <v/>
      </c>
      <c r="FY60" s="55">
        <f>FY44*68.0*1.5</f>
        <v/>
      </c>
      <c r="FZ60" s="55">
        <f>FZ44*68.0*1.5</f>
        <v/>
      </c>
      <c r="GA60" s="55">
        <f>GA44*68.0*1.5</f>
        <v/>
      </c>
      <c r="GB60" s="55">
        <f>GB44*68.0*1.5</f>
        <v/>
      </c>
      <c r="GC60" s="55">
        <f>GC44*68.0*1.5</f>
        <v/>
      </c>
    </row>
    <row r="61">
      <c r="A61" s="51" t="inlineStr">
        <is>
          <t>OT</t>
        </is>
      </c>
      <c r="B61" s="51" t="n"/>
      <c r="C61" s="51" t="inlineStr">
        <is>
          <t>Tiêu thụ dầu OT (ĐM: 52.0 l/ca x 2 ca)</t>
        </is>
      </c>
      <c r="D61" s="51" t="n"/>
      <c r="E61" s="52" t="n"/>
      <c r="F61" s="52" t="n"/>
      <c r="G61" s="52" t="n"/>
      <c r="H61" s="52" t="n"/>
      <c r="I61" s="51" t="n"/>
      <c r="J61" s="51" t="n"/>
      <c r="K61" s="51" t="n"/>
      <c r="L61" s="51" t="n"/>
      <c r="M61" s="53" t="n"/>
      <c r="N61" s="51" t="n"/>
      <c r="O61" s="54" t="n"/>
      <c r="P61" s="55">
        <f>P45*52.0*1.5</f>
        <v/>
      </c>
      <c r="Q61" s="55">
        <f>Q45*52.0*1.5</f>
        <v/>
      </c>
      <c r="R61" s="55">
        <f>R45*52.0*1.5</f>
        <v/>
      </c>
      <c r="S61" s="55">
        <f>S45*52.0*1.5</f>
        <v/>
      </c>
      <c r="T61" s="55">
        <f>T45*52.0*1.5</f>
        <v/>
      </c>
      <c r="U61" s="55">
        <f>U45*52.0*1.5</f>
        <v/>
      </c>
      <c r="V61" s="55">
        <f>V45*52.0*1.5</f>
        <v/>
      </c>
      <c r="W61" s="55">
        <f>W45*52.0*1.5</f>
        <v/>
      </c>
      <c r="X61" s="55">
        <f>X45*52.0*1.5</f>
        <v/>
      </c>
      <c r="Y61" s="55">
        <f>Y45*52.0*1.5</f>
        <v/>
      </c>
      <c r="Z61" s="55">
        <f>Z45*52.0*1.5</f>
        <v/>
      </c>
      <c r="AA61" s="55">
        <f>AA45*52.0*1.5</f>
        <v/>
      </c>
      <c r="AB61" s="55">
        <f>AB45*52.0*1.5</f>
        <v/>
      </c>
      <c r="AC61" s="55">
        <f>AC45*52.0*1.5</f>
        <v/>
      </c>
      <c r="AD61" s="55">
        <f>AD45*52.0*1.5</f>
        <v/>
      </c>
      <c r="AE61" s="55">
        <f>AE45*52.0*1.5</f>
        <v/>
      </c>
      <c r="AF61" s="55">
        <f>AF45*52.0*1.5</f>
        <v/>
      </c>
      <c r="AG61" s="55">
        <f>AG45*52.0*1.5</f>
        <v/>
      </c>
      <c r="AH61" s="55">
        <f>AH45*52.0*1.5</f>
        <v/>
      </c>
      <c r="AI61" s="55">
        <f>AI45*52.0*1.5</f>
        <v/>
      </c>
      <c r="AJ61" s="55">
        <f>AJ45*52.0*1.5</f>
        <v/>
      </c>
      <c r="AK61" s="55">
        <f>AK45*52.0*1.5</f>
        <v/>
      </c>
      <c r="AL61" s="55">
        <f>AL45*52.0*1.5</f>
        <v/>
      </c>
      <c r="AM61" s="55">
        <f>AM45*52.0*1.5</f>
        <v/>
      </c>
      <c r="AN61" s="55">
        <f>AN45*52.0*1.5</f>
        <v/>
      </c>
      <c r="AO61" s="55">
        <f>AO45*52.0*1.5</f>
        <v/>
      </c>
      <c r="AP61" s="55">
        <f>AP45*52.0*1.5</f>
        <v/>
      </c>
      <c r="AQ61" s="55">
        <f>AQ45*52.0*1.5</f>
        <v/>
      </c>
      <c r="AR61" s="55">
        <f>AR45*52.0*1.5</f>
        <v/>
      </c>
      <c r="AS61" s="55">
        <f>AS45*52.0*1.5</f>
        <v/>
      </c>
      <c r="AT61" s="55">
        <f>AT45*52.0*1.5</f>
        <v/>
      </c>
      <c r="AU61" s="55">
        <f>AU45*52.0*1.5</f>
        <v/>
      </c>
      <c r="AV61" s="55">
        <f>AV45*52.0*1.5</f>
        <v/>
      </c>
      <c r="AW61" s="55">
        <f>AW45*52.0*1.5</f>
        <v/>
      </c>
      <c r="AX61" s="55">
        <f>AX45*52.0*1.5</f>
        <v/>
      </c>
      <c r="AY61" s="55">
        <f>AY45*52.0*1.5</f>
        <v/>
      </c>
      <c r="AZ61" s="55">
        <f>AZ45*52.0*1.5</f>
        <v/>
      </c>
      <c r="BA61" s="55">
        <f>BA45*52.0*1.5</f>
        <v/>
      </c>
      <c r="BB61" s="55">
        <f>BB45*52.0*1.5</f>
        <v/>
      </c>
      <c r="BC61" s="55">
        <f>BC45*52.0*1.5</f>
        <v/>
      </c>
      <c r="BD61" s="55">
        <f>BD45*52.0*1.5</f>
        <v/>
      </c>
      <c r="BE61" s="55">
        <f>BE45*52.0*1.5</f>
        <v/>
      </c>
      <c r="BF61" s="55">
        <f>BF45*52.0*1.5</f>
        <v/>
      </c>
      <c r="BG61" s="55">
        <f>BG45*52.0*1.5</f>
        <v/>
      </c>
      <c r="BH61" s="55">
        <f>BH45*52.0*1.5</f>
        <v/>
      </c>
      <c r="BI61" s="55">
        <f>BI45*52.0*1.5</f>
        <v/>
      </c>
      <c r="BJ61" s="55">
        <f>BJ45*52.0*1.5</f>
        <v/>
      </c>
      <c r="BK61" s="55">
        <f>BK45*52.0*1.5</f>
        <v/>
      </c>
      <c r="BL61" s="55">
        <f>BL45*52.0*1.5</f>
        <v/>
      </c>
      <c r="BM61" s="55">
        <f>BM45*52.0*1.5</f>
        <v/>
      </c>
      <c r="BN61" s="55">
        <f>BN45*52.0*1.5</f>
        <v/>
      </c>
      <c r="BO61" s="55">
        <f>BO45*52.0*1.5</f>
        <v/>
      </c>
      <c r="BP61" s="55">
        <f>BP45*52.0*1.5</f>
        <v/>
      </c>
      <c r="BQ61" s="55">
        <f>BQ45*52.0*1.5</f>
        <v/>
      </c>
      <c r="BR61" s="55">
        <f>BR45*52.0*1.5</f>
        <v/>
      </c>
      <c r="BS61" s="55">
        <f>BS45*52.0*1.5</f>
        <v/>
      </c>
      <c r="BT61" s="55">
        <f>BT45*52.0*1.5</f>
        <v/>
      </c>
      <c r="BU61" s="55">
        <f>BU45*52.0*1.5</f>
        <v/>
      </c>
      <c r="BV61" s="55">
        <f>BV45*52.0*1.5</f>
        <v/>
      </c>
      <c r="BW61" s="55">
        <f>BW45*52.0*1.5</f>
        <v/>
      </c>
      <c r="BX61" s="55">
        <f>BX45*52.0*1.5</f>
        <v/>
      </c>
      <c r="BY61" s="55">
        <f>BY45*52.0*1.5</f>
        <v/>
      </c>
      <c r="BZ61" s="55">
        <f>BZ45*52.0*1.5</f>
        <v/>
      </c>
      <c r="CA61" s="55">
        <f>CA45*52.0*1.5</f>
        <v/>
      </c>
      <c r="CB61" s="55">
        <f>CB45*52.0*1.5</f>
        <v/>
      </c>
      <c r="CC61" s="55">
        <f>CC45*52.0*1.5</f>
        <v/>
      </c>
      <c r="CD61" s="55">
        <f>CD45*52.0*1.5</f>
        <v/>
      </c>
      <c r="CE61" s="55">
        <f>CE45*52.0*1.5</f>
        <v/>
      </c>
      <c r="CF61" s="55">
        <f>CF45*52.0*1.5</f>
        <v/>
      </c>
      <c r="CG61" s="55">
        <f>CG45*52.0*1.5</f>
        <v/>
      </c>
      <c r="CH61" s="55">
        <f>CH45*52.0*1.5</f>
        <v/>
      </c>
      <c r="CI61" s="55">
        <f>CI45*52.0*1.5</f>
        <v/>
      </c>
      <c r="CJ61" s="55">
        <f>CJ45*52.0*1.5</f>
        <v/>
      </c>
      <c r="CK61" s="55">
        <f>CK45*52.0*1.5</f>
        <v/>
      </c>
      <c r="CL61" s="55">
        <f>CL45*52.0*1.5</f>
        <v/>
      </c>
      <c r="CM61" s="55">
        <f>CM45*52.0*1.5</f>
        <v/>
      </c>
      <c r="CN61" s="55">
        <f>CN45*52.0*1.5</f>
        <v/>
      </c>
      <c r="CO61" s="55">
        <f>CO45*52.0*1.5</f>
        <v/>
      </c>
      <c r="CP61" s="55">
        <f>CP45*52.0*1.5</f>
        <v/>
      </c>
      <c r="CQ61" s="55">
        <f>CQ45*52.0*1.5</f>
        <v/>
      </c>
      <c r="CR61" s="55">
        <f>CR45*52.0*1.5</f>
        <v/>
      </c>
      <c r="CS61" s="55">
        <f>CS45*52.0*1.5</f>
        <v/>
      </c>
      <c r="CT61" s="55">
        <f>CT45*52.0*1.5</f>
        <v/>
      </c>
      <c r="CU61" s="55">
        <f>CU45*52.0*1.5</f>
        <v/>
      </c>
      <c r="CV61" s="55">
        <f>CV45*52.0*1.5</f>
        <v/>
      </c>
      <c r="CW61" s="55">
        <f>CW45*52.0*1.5</f>
        <v/>
      </c>
      <c r="CX61" s="55">
        <f>CX45*52.0*1.5</f>
        <v/>
      </c>
      <c r="CY61" s="55">
        <f>CY45*52.0*1.5</f>
        <v/>
      </c>
      <c r="CZ61" s="55">
        <f>CZ45*52.0*1.5</f>
        <v/>
      </c>
      <c r="DA61" s="55">
        <f>DA45*52.0*1.5</f>
        <v/>
      </c>
      <c r="DB61" s="55">
        <f>DB45*52.0*1.5</f>
        <v/>
      </c>
      <c r="DC61" s="55">
        <f>DC45*52.0*1.5</f>
        <v/>
      </c>
      <c r="DD61" s="55">
        <f>DD45*52.0*1.5</f>
        <v/>
      </c>
      <c r="DE61" s="55">
        <f>DE45*52.0*1.5</f>
        <v/>
      </c>
      <c r="DF61" s="55">
        <f>DF45*52.0*1.5</f>
        <v/>
      </c>
      <c r="DG61" s="55">
        <f>DG45*52.0*1.5</f>
        <v/>
      </c>
      <c r="DH61" s="55">
        <f>DH45*52.0*1.5</f>
        <v/>
      </c>
      <c r="DI61" s="55">
        <f>DI45*52.0*1.5</f>
        <v/>
      </c>
      <c r="DJ61" s="55">
        <f>DJ45*52.0*1.5</f>
        <v/>
      </c>
      <c r="DK61" s="55">
        <f>DK45*52.0*1.5</f>
        <v/>
      </c>
      <c r="DL61" s="55">
        <f>DL45*52.0*1.5</f>
        <v/>
      </c>
      <c r="DM61" s="55">
        <f>DM45*52.0*1.5</f>
        <v/>
      </c>
      <c r="DN61" s="55">
        <f>DN45*52.0*1.5</f>
        <v/>
      </c>
      <c r="DO61" s="55">
        <f>DO45*52.0*1.5</f>
        <v/>
      </c>
      <c r="DP61" s="55">
        <f>DP45*52.0*1.5</f>
        <v/>
      </c>
      <c r="DQ61" s="55">
        <f>DQ45*52.0*1.5</f>
        <v/>
      </c>
      <c r="DR61" s="55">
        <f>DR45*52.0*1.5</f>
        <v/>
      </c>
      <c r="DS61" s="55">
        <f>DS45*52.0*1.5</f>
        <v/>
      </c>
      <c r="DT61" s="55">
        <f>DT45*52.0*1.5</f>
        <v/>
      </c>
      <c r="DU61" s="55">
        <f>DU45*52.0*1.5</f>
        <v/>
      </c>
      <c r="DV61" s="55">
        <f>DV45*52.0*1.5</f>
        <v/>
      </c>
      <c r="DW61" s="55">
        <f>DW45*52.0*1.5</f>
        <v/>
      </c>
      <c r="DX61" s="55">
        <f>DX45*52.0*1.5</f>
        <v/>
      </c>
      <c r="DY61" s="55">
        <f>DY45*52.0*1.5</f>
        <v/>
      </c>
      <c r="DZ61" s="55">
        <f>DZ45*52.0*1.5</f>
        <v/>
      </c>
      <c r="EA61" s="55">
        <f>EA45*52.0*1.5</f>
        <v/>
      </c>
      <c r="EB61" s="55">
        <f>EB45*52.0*1.5</f>
        <v/>
      </c>
      <c r="EC61" s="55">
        <f>EC45*52.0*1.5</f>
        <v/>
      </c>
      <c r="ED61" s="55">
        <f>ED45*52.0*1.5</f>
        <v/>
      </c>
      <c r="EE61" s="55">
        <f>EE45*52.0*1.5</f>
        <v/>
      </c>
      <c r="EF61" s="55">
        <f>EF45*52.0*1.5</f>
        <v/>
      </c>
      <c r="EG61" s="55">
        <f>EG45*52.0*1.5</f>
        <v/>
      </c>
      <c r="EH61" s="55">
        <f>EH45*52.0*1.5</f>
        <v/>
      </c>
      <c r="EI61" s="55">
        <f>EI45*52.0*1.5</f>
        <v/>
      </c>
      <c r="EJ61" s="55">
        <f>EJ45*52.0*1.5</f>
        <v/>
      </c>
      <c r="EK61" s="55">
        <f>EK45*52.0*1.5</f>
        <v/>
      </c>
      <c r="EL61" s="55">
        <f>EL45*52.0*1.5</f>
        <v/>
      </c>
      <c r="EM61" s="55">
        <f>EM45*52.0*1.5</f>
        <v/>
      </c>
      <c r="EN61" s="55">
        <f>EN45*52.0*1.5</f>
        <v/>
      </c>
      <c r="EO61" s="55">
        <f>EO45*52.0*1.5</f>
        <v/>
      </c>
      <c r="EP61" s="55">
        <f>EP45*52.0*1.5</f>
        <v/>
      </c>
      <c r="EQ61" s="55">
        <f>EQ45*52.0*1.5</f>
        <v/>
      </c>
      <c r="ER61" s="55">
        <f>ER45*52.0*1.5</f>
        <v/>
      </c>
      <c r="ES61" s="55">
        <f>ES45*52.0*1.5</f>
        <v/>
      </c>
      <c r="ET61" s="55">
        <f>ET45*52.0*1.5</f>
        <v/>
      </c>
      <c r="EU61" s="55">
        <f>EU45*52.0*1.5</f>
        <v/>
      </c>
      <c r="EV61" s="55">
        <f>EV45*52.0*1.5</f>
        <v/>
      </c>
      <c r="EW61" s="55">
        <f>EW45*52.0*1.5</f>
        <v/>
      </c>
      <c r="EX61" s="55">
        <f>EX45*52.0*1.5</f>
        <v/>
      </c>
      <c r="EY61" s="55">
        <f>EY45*52.0*1.5</f>
        <v/>
      </c>
      <c r="EZ61" s="55">
        <f>EZ45*52.0*1.5</f>
        <v/>
      </c>
      <c r="FA61" s="55">
        <f>FA45*52.0*1.5</f>
        <v/>
      </c>
      <c r="FB61" s="55">
        <f>FB45*52.0*1.5</f>
        <v/>
      </c>
      <c r="FC61" s="55">
        <f>FC45*52.0*1.5</f>
        <v/>
      </c>
      <c r="FD61" s="55">
        <f>FD45*52.0*1.5</f>
        <v/>
      </c>
      <c r="FE61" s="55">
        <f>FE45*52.0*1.5</f>
        <v/>
      </c>
      <c r="FF61" s="55">
        <f>FF45*52.0*1.5</f>
        <v/>
      </c>
      <c r="FG61" s="55">
        <f>FG45*52.0*1.5</f>
        <v/>
      </c>
      <c r="FH61" s="55">
        <f>FH45*52.0*1.5</f>
        <v/>
      </c>
      <c r="FI61" s="55">
        <f>FI45*52.0*1.5</f>
        <v/>
      </c>
      <c r="FJ61" s="55">
        <f>FJ45*52.0*1.5</f>
        <v/>
      </c>
      <c r="FK61" s="55">
        <f>FK45*52.0*1.5</f>
        <v/>
      </c>
      <c r="FL61" s="55">
        <f>FL45*52.0*1.5</f>
        <v/>
      </c>
      <c r="FM61" s="55">
        <f>FM45*52.0*1.5</f>
        <v/>
      </c>
      <c r="FN61" s="55">
        <f>FN45*52.0*1.5</f>
        <v/>
      </c>
      <c r="FO61" s="55">
        <f>FO45*52.0*1.5</f>
        <v/>
      </c>
      <c r="FP61" s="55">
        <f>FP45*52.0*1.5</f>
        <v/>
      </c>
      <c r="FQ61" s="55">
        <f>FQ45*52.0*1.5</f>
        <v/>
      </c>
      <c r="FR61" s="55">
        <f>FR45*52.0*1.5</f>
        <v/>
      </c>
      <c r="FS61" s="55">
        <f>FS45*52.0*1.5</f>
        <v/>
      </c>
      <c r="FT61" s="55">
        <f>FT45*52.0*1.5</f>
        <v/>
      </c>
      <c r="FU61" s="55">
        <f>FU45*52.0*1.5</f>
        <v/>
      </c>
      <c r="FV61" s="55">
        <f>FV45*52.0*1.5</f>
        <v/>
      </c>
      <c r="FW61" s="55">
        <f>FW45*52.0*1.5</f>
        <v/>
      </c>
      <c r="FX61" s="55">
        <f>FX45*52.0*1.5</f>
        <v/>
      </c>
      <c r="FY61" s="55">
        <f>FY45*52.0*1.5</f>
        <v/>
      </c>
      <c r="FZ61" s="55">
        <f>FZ45*52.0*1.5</f>
        <v/>
      </c>
      <c r="GA61" s="55">
        <f>GA45*52.0*1.5</f>
        <v/>
      </c>
      <c r="GB61" s="55">
        <f>GB45*52.0*1.5</f>
        <v/>
      </c>
      <c r="GC61" s="55">
        <f>GC45*52.0*1.5</f>
        <v/>
      </c>
    </row>
    <row r="62">
      <c r="A62" s="51" t="inlineStr">
        <is>
          <t>XB</t>
        </is>
      </c>
      <c r="B62" s="51" t="n"/>
      <c r="C62" s="51" t="inlineStr">
        <is>
          <t>Tiêu thụ dầu XB (ĐM: 42.0 l/ca x 2 ca)</t>
        </is>
      </c>
      <c r="D62" s="51" t="n"/>
      <c r="E62" s="52" t="n"/>
      <c r="F62" s="52" t="n"/>
      <c r="G62" s="52" t="n"/>
      <c r="H62" s="52" t="n"/>
      <c r="I62" s="51" t="n"/>
      <c r="J62" s="51" t="n"/>
      <c r="K62" s="51" t="n"/>
      <c r="L62" s="51" t="n"/>
      <c r="M62" s="53" t="n"/>
      <c r="N62" s="51" t="n"/>
      <c r="O62" s="54" t="n"/>
      <c r="P62" s="55">
        <f>P46*42.0*1.5</f>
        <v/>
      </c>
      <c r="Q62" s="55">
        <f>Q46*42.0*1.5</f>
        <v/>
      </c>
      <c r="R62" s="55">
        <f>R46*42.0*1.5</f>
        <v/>
      </c>
      <c r="S62" s="55">
        <f>S46*42.0*1.5</f>
        <v/>
      </c>
      <c r="T62" s="55">
        <f>T46*42.0*1.5</f>
        <v/>
      </c>
      <c r="U62" s="55">
        <f>U46*42.0*1.5</f>
        <v/>
      </c>
      <c r="V62" s="55">
        <f>V46*42.0*1.5</f>
        <v/>
      </c>
      <c r="W62" s="55">
        <f>W46*42.0*1.5</f>
        <v/>
      </c>
      <c r="X62" s="55">
        <f>X46*42.0*1.5</f>
        <v/>
      </c>
      <c r="Y62" s="55">
        <f>Y46*42.0*1.5</f>
        <v/>
      </c>
      <c r="Z62" s="55">
        <f>Z46*42.0*1.5</f>
        <v/>
      </c>
      <c r="AA62" s="55">
        <f>AA46*42.0*1.5</f>
        <v/>
      </c>
      <c r="AB62" s="55">
        <f>AB46*42.0*1.5</f>
        <v/>
      </c>
      <c r="AC62" s="55">
        <f>AC46*42.0*1.5</f>
        <v/>
      </c>
      <c r="AD62" s="55">
        <f>AD46*42.0*1.5</f>
        <v/>
      </c>
      <c r="AE62" s="55">
        <f>AE46*42.0*1.5</f>
        <v/>
      </c>
      <c r="AF62" s="55">
        <f>AF46*42.0*1.5</f>
        <v/>
      </c>
      <c r="AG62" s="55">
        <f>AG46*42.0*1.5</f>
        <v/>
      </c>
      <c r="AH62" s="55">
        <f>AH46*42.0*1.5</f>
        <v/>
      </c>
      <c r="AI62" s="55">
        <f>AI46*42.0*1.5</f>
        <v/>
      </c>
      <c r="AJ62" s="55">
        <f>AJ46*42.0*1.5</f>
        <v/>
      </c>
      <c r="AK62" s="55">
        <f>AK46*42.0*1.5</f>
        <v/>
      </c>
      <c r="AL62" s="55">
        <f>AL46*42.0*1.5</f>
        <v/>
      </c>
      <c r="AM62" s="55">
        <f>AM46*42.0*1.5</f>
        <v/>
      </c>
      <c r="AN62" s="55">
        <f>AN46*42.0*1.5</f>
        <v/>
      </c>
      <c r="AO62" s="55">
        <f>AO46*42.0*1.5</f>
        <v/>
      </c>
      <c r="AP62" s="55">
        <f>AP46*42.0*1.5</f>
        <v/>
      </c>
      <c r="AQ62" s="55">
        <f>AQ46*42.0*1.5</f>
        <v/>
      </c>
      <c r="AR62" s="55">
        <f>AR46*42.0*1.5</f>
        <v/>
      </c>
      <c r="AS62" s="55">
        <f>AS46*42.0*1.5</f>
        <v/>
      </c>
      <c r="AT62" s="55">
        <f>AT46*42.0*1.5</f>
        <v/>
      </c>
      <c r="AU62" s="55">
        <f>AU46*42.0*1.5</f>
        <v/>
      </c>
      <c r="AV62" s="55">
        <f>AV46*42.0*1.5</f>
        <v/>
      </c>
      <c r="AW62" s="55">
        <f>AW46*42.0*1.5</f>
        <v/>
      </c>
      <c r="AX62" s="55">
        <f>AX46*42.0*1.5</f>
        <v/>
      </c>
      <c r="AY62" s="55">
        <f>AY46*42.0*1.5</f>
        <v/>
      </c>
      <c r="AZ62" s="55">
        <f>AZ46*42.0*1.5</f>
        <v/>
      </c>
      <c r="BA62" s="55">
        <f>BA46*42.0*1.5</f>
        <v/>
      </c>
      <c r="BB62" s="55">
        <f>BB46*42.0*1.5</f>
        <v/>
      </c>
      <c r="BC62" s="55">
        <f>BC46*42.0*1.5</f>
        <v/>
      </c>
      <c r="BD62" s="55">
        <f>BD46*42.0*1.5</f>
        <v/>
      </c>
      <c r="BE62" s="55">
        <f>BE46*42.0*1.5</f>
        <v/>
      </c>
      <c r="BF62" s="55">
        <f>BF46*42.0*1.5</f>
        <v/>
      </c>
      <c r="BG62" s="55">
        <f>BG46*42.0*1.5</f>
        <v/>
      </c>
      <c r="BH62" s="55">
        <f>BH46*42.0*1.5</f>
        <v/>
      </c>
      <c r="BI62" s="55">
        <f>BI46*42.0*1.5</f>
        <v/>
      </c>
      <c r="BJ62" s="55">
        <f>BJ46*42.0*1.5</f>
        <v/>
      </c>
      <c r="BK62" s="55">
        <f>BK46*42.0*1.5</f>
        <v/>
      </c>
      <c r="BL62" s="55">
        <f>BL46*42.0*1.5</f>
        <v/>
      </c>
      <c r="BM62" s="55">
        <f>BM46*42.0*1.5</f>
        <v/>
      </c>
      <c r="BN62" s="55">
        <f>BN46*42.0*1.5</f>
        <v/>
      </c>
      <c r="BO62" s="55">
        <f>BO46*42.0*1.5</f>
        <v/>
      </c>
      <c r="BP62" s="55">
        <f>BP46*42.0*1.5</f>
        <v/>
      </c>
      <c r="BQ62" s="55">
        <f>BQ46*42.0*1.5</f>
        <v/>
      </c>
      <c r="BR62" s="55">
        <f>BR46*42.0*1.5</f>
        <v/>
      </c>
      <c r="BS62" s="55">
        <f>BS46*42.0*1.5</f>
        <v/>
      </c>
      <c r="BT62" s="55">
        <f>BT46*42.0*1.5</f>
        <v/>
      </c>
      <c r="BU62" s="55">
        <f>BU46*42.0*1.5</f>
        <v/>
      </c>
      <c r="BV62" s="55">
        <f>BV46*42.0*1.5</f>
        <v/>
      </c>
      <c r="BW62" s="55">
        <f>BW46*42.0*1.5</f>
        <v/>
      </c>
      <c r="BX62" s="55">
        <f>BX46*42.0*1.5</f>
        <v/>
      </c>
      <c r="BY62" s="55">
        <f>BY46*42.0*1.5</f>
        <v/>
      </c>
      <c r="BZ62" s="55">
        <f>BZ46*42.0*1.5</f>
        <v/>
      </c>
      <c r="CA62" s="55">
        <f>CA46*42.0*1.5</f>
        <v/>
      </c>
      <c r="CB62" s="55">
        <f>CB46*42.0*1.5</f>
        <v/>
      </c>
      <c r="CC62" s="55">
        <f>CC46*42.0*1.5</f>
        <v/>
      </c>
      <c r="CD62" s="55">
        <f>CD46*42.0*1.5</f>
        <v/>
      </c>
      <c r="CE62" s="55">
        <f>CE46*42.0*1.5</f>
        <v/>
      </c>
      <c r="CF62" s="55">
        <f>CF46*42.0*1.5</f>
        <v/>
      </c>
      <c r="CG62" s="55">
        <f>CG46*42.0*1.5</f>
        <v/>
      </c>
      <c r="CH62" s="55">
        <f>CH46*42.0*1.5</f>
        <v/>
      </c>
      <c r="CI62" s="55">
        <f>CI46*42.0*1.5</f>
        <v/>
      </c>
      <c r="CJ62" s="55">
        <f>CJ46*42.0*1.5</f>
        <v/>
      </c>
      <c r="CK62" s="55">
        <f>CK46*42.0*1.5</f>
        <v/>
      </c>
      <c r="CL62" s="55">
        <f>CL46*42.0*1.5</f>
        <v/>
      </c>
      <c r="CM62" s="55">
        <f>CM46*42.0*1.5</f>
        <v/>
      </c>
      <c r="CN62" s="55">
        <f>CN46*42.0*1.5</f>
        <v/>
      </c>
      <c r="CO62" s="55">
        <f>CO46*42.0*1.5</f>
        <v/>
      </c>
      <c r="CP62" s="55">
        <f>CP46*42.0*1.5</f>
        <v/>
      </c>
      <c r="CQ62" s="55">
        <f>CQ46*42.0*1.5</f>
        <v/>
      </c>
      <c r="CR62" s="55">
        <f>CR46*42.0*1.5</f>
        <v/>
      </c>
      <c r="CS62" s="55">
        <f>CS46*42.0*1.5</f>
        <v/>
      </c>
      <c r="CT62" s="55">
        <f>CT46*42.0*1.5</f>
        <v/>
      </c>
      <c r="CU62" s="55">
        <f>CU46*42.0*1.5</f>
        <v/>
      </c>
      <c r="CV62" s="55">
        <f>CV46*42.0*1.5</f>
        <v/>
      </c>
      <c r="CW62" s="55">
        <f>CW46*42.0*1.5</f>
        <v/>
      </c>
      <c r="CX62" s="55">
        <f>CX46*42.0*1.5</f>
        <v/>
      </c>
      <c r="CY62" s="55">
        <f>CY46*42.0*1.5</f>
        <v/>
      </c>
      <c r="CZ62" s="55">
        <f>CZ46*42.0*1.5</f>
        <v/>
      </c>
      <c r="DA62" s="55">
        <f>DA46*42.0*1.5</f>
        <v/>
      </c>
      <c r="DB62" s="55">
        <f>DB46*42.0*1.5</f>
        <v/>
      </c>
      <c r="DC62" s="55">
        <f>DC46*42.0*1.5</f>
        <v/>
      </c>
      <c r="DD62" s="55">
        <f>DD46*42.0*1.5</f>
        <v/>
      </c>
      <c r="DE62" s="55">
        <f>DE46*42.0*1.5</f>
        <v/>
      </c>
      <c r="DF62" s="55">
        <f>DF46*42.0*1.5</f>
        <v/>
      </c>
      <c r="DG62" s="55">
        <f>DG46*42.0*1.5</f>
        <v/>
      </c>
      <c r="DH62" s="55">
        <f>DH46*42.0*1.5</f>
        <v/>
      </c>
      <c r="DI62" s="55">
        <f>DI46*42.0*1.5</f>
        <v/>
      </c>
      <c r="DJ62" s="55">
        <f>DJ46*42.0*1.5</f>
        <v/>
      </c>
      <c r="DK62" s="55">
        <f>DK46*42.0*1.5</f>
        <v/>
      </c>
      <c r="DL62" s="55">
        <f>DL46*42.0*1.5</f>
        <v/>
      </c>
      <c r="DM62" s="55">
        <f>DM46*42.0*1.5</f>
        <v/>
      </c>
      <c r="DN62" s="55">
        <f>DN46*42.0*1.5</f>
        <v/>
      </c>
      <c r="DO62" s="55">
        <f>DO46*42.0*1.5</f>
        <v/>
      </c>
      <c r="DP62" s="55">
        <f>DP46*42.0*1.5</f>
        <v/>
      </c>
      <c r="DQ62" s="55">
        <f>DQ46*42.0*1.5</f>
        <v/>
      </c>
      <c r="DR62" s="55">
        <f>DR46*42.0*1.5</f>
        <v/>
      </c>
      <c r="DS62" s="55">
        <f>DS46*42.0*1.5</f>
        <v/>
      </c>
      <c r="DT62" s="55">
        <f>DT46*42.0*1.5</f>
        <v/>
      </c>
      <c r="DU62" s="55">
        <f>DU46*42.0*1.5</f>
        <v/>
      </c>
      <c r="DV62" s="55">
        <f>DV46*42.0*1.5</f>
        <v/>
      </c>
      <c r="DW62" s="55">
        <f>DW46*42.0*1.5</f>
        <v/>
      </c>
      <c r="DX62" s="55">
        <f>DX46*42.0*1.5</f>
        <v/>
      </c>
      <c r="DY62" s="55">
        <f>DY46*42.0*1.5</f>
        <v/>
      </c>
      <c r="DZ62" s="55">
        <f>DZ46*42.0*1.5</f>
        <v/>
      </c>
      <c r="EA62" s="55">
        <f>EA46*42.0*1.5</f>
        <v/>
      </c>
      <c r="EB62" s="55">
        <f>EB46*42.0*1.5</f>
        <v/>
      </c>
      <c r="EC62" s="55">
        <f>EC46*42.0*1.5</f>
        <v/>
      </c>
      <c r="ED62" s="55">
        <f>ED46*42.0*1.5</f>
        <v/>
      </c>
      <c r="EE62" s="55">
        <f>EE46*42.0*1.5</f>
        <v/>
      </c>
      <c r="EF62" s="55">
        <f>EF46*42.0*1.5</f>
        <v/>
      </c>
      <c r="EG62" s="55">
        <f>EG46*42.0*1.5</f>
        <v/>
      </c>
      <c r="EH62" s="55">
        <f>EH46*42.0*1.5</f>
        <v/>
      </c>
      <c r="EI62" s="55">
        <f>EI46*42.0*1.5</f>
        <v/>
      </c>
      <c r="EJ62" s="55">
        <f>EJ46*42.0*1.5</f>
        <v/>
      </c>
      <c r="EK62" s="55">
        <f>EK46*42.0*1.5</f>
        <v/>
      </c>
      <c r="EL62" s="55">
        <f>EL46*42.0*1.5</f>
        <v/>
      </c>
      <c r="EM62" s="55">
        <f>EM46*42.0*1.5</f>
        <v/>
      </c>
      <c r="EN62" s="55">
        <f>EN46*42.0*1.5</f>
        <v/>
      </c>
      <c r="EO62" s="55">
        <f>EO46*42.0*1.5</f>
        <v/>
      </c>
      <c r="EP62" s="55">
        <f>EP46*42.0*1.5</f>
        <v/>
      </c>
      <c r="EQ62" s="55">
        <f>EQ46*42.0*1.5</f>
        <v/>
      </c>
      <c r="ER62" s="55">
        <f>ER46*42.0*1.5</f>
        <v/>
      </c>
      <c r="ES62" s="55">
        <f>ES46*42.0*1.5</f>
        <v/>
      </c>
      <c r="ET62" s="55">
        <f>ET46*42.0*1.5</f>
        <v/>
      </c>
      <c r="EU62" s="55">
        <f>EU46*42.0*1.5</f>
        <v/>
      </c>
      <c r="EV62" s="55">
        <f>EV46*42.0*1.5</f>
        <v/>
      </c>
      <c r="EW62" s="55">
        <f>EW46*42.0*1.5</f>
        <v/>
      </c>
      <c r="EX62" s="55">
        <f>EX46*42.0*1.5</f>
        <v/>
      </c>
      <c r="EY62" s="55">
        <f>EY46*42.0*1.5</f>
        <v/>
      </c>
      <c r="EZ62" s="55">
        <f>EZ46*42.0*1.5</f>
        <v/>
      </c>
      <c r="FA62" s="55">
        <f>FA46*42.0*1.5</f>
        <v/>
      </c>
      <c r="FB62" s="55">
        <f>FB46*42.0*1.5</f>
        <v/>
      </c>
      <c r="FC62" s="55">
        <f>FC46*42.0*1.5</f>
        <v/>
      </c>
      <c r="FD62" s="55">
        <f>FD46*42.0*1.5</f>
        <v/>
      </c>
      <c r="FE62" s="55">
        <f>FE46*42.0*1.5</f>
        <v/>
      </c>
      <c r="FF62" s="55">
        <f>FF46*42.0*1.5</f>
        <v/>
      </c>
      <c r="FG62" s="55">
        <f>FG46*42.0*1.5</f>
        <v/>
      </c>
      <c r="FH62" s="55">
        <f>FH46*42.0*1.5</f>
        <v/>
      </c>
      <c r="FI62" s="55">
        <f>FI46*42.0*1.5</f>
        <v/>
      </c>
      <c r="FJ62" s="55">
        <f>FJ46*42.0*1.5</f>
        <v/>
      </c>
      <c r="FK62" s="55">
        <f>FK46*42.0*1.5</f>
        <v/>
      </c>
      <c r="FL62" s="55">
        <f>FL46*42.0*1.5</f>
        <v/>
      </c>
      <c r="FM62" s="55">
        <f>FM46*42.0*1.5</f>
        <v/>
      </c>
      <c r="FN62" s="55">
        <f>FN46*42.0*1.5</f>
        <v/>
      </c>
      <c r="FO62" s="55">
        <f>FO46*42.0*1.5</f>
        <v/>
      </c>
      <c r="FP62" s="55">
        <f>FP46*42.0*1.5</f>
        <v/>
      </c>
      <c r="FQ62" s="55">
        <f>FQ46*42.0*1.5</f>
        <v/>
      </c>
      <c r="FR62" s="55">
        <f>FR46*42.0*1.5</f>
        <v/>
      </c>
      <c r="FS62" s="55">
        <f>FS46*42.0*1.5</f>
        <v/>
      </c>
      <c r="FT62" s="55">
        <f>FT46*42.0*1.5</f>
        <v/>
      </c>
      <c r="FU62" s="55">
        <f>FU46*42.0*1.5</f>
        <v/>
      </c>
      <c r="FV62" s="55">
        <f>FV46*42.0*1.5</f>
        <v/>
      </c>
      <c r="FW62" s="55">
        <f>FW46*42.0*1.5</f>
        <v/>
      </c>
      <c r="FX62" s="55">
        <f>FX46*42.0*1.5</f>
        <v/>
      </c>
      <c r="FY62" s="55">
        <f>FY46*42.0*1.5</f>
        <v/>
      </c>
      <c r="FZ62" s="55">
        <f>FZ46*42.0*1.5</f>
        <v/>
      </c>
      <c r="GA62" s="55">
        <f>GA46*42.0*1.5</f>
        <v/>
      </c>
      <c r="GB62" s="55">
        <f>GB46*42.0*1.5</f>
        <v/>
      </c>
      <c r="GC62" s="55">
        <f>GC46*42.0*1.5</f>
        <v/>
      </c>
    </row>
    <row r="63">
      <c r="A63" s="51" t="inlineStr">
        <is>
          <t>BM</t>
        </is>
      </c>
      <c r="B63" s="51" t="n"/>
      <c r="C63" s="51" t="inlineStr">
        <is>
          <t>Tiêu thụ dầu BM (ĐM: 46.0 l/ca x 2 ca)</t>
        </is>
      </c>
      <c r="D63" s="51" t="n"/>
      <c r="E63" s="52" t="n"/>
      <c r="F63" s="52" t="n"/>
      <c r="G63" s="52" t="n"/>
      <c r="H63" s="52" t="n"/>
      <c r="I63" s="51" t="n"/>
      <c r="J63" s="51" t="n"/>
      <c r="K63" s="51" t="n"/>
      <c r="L63" s="51" t="n"/>
      <c r="M63" s="53" t="n"/>
      <c r="N63" s="51" t="n"/>
      <c r="O63" s="54" t="n"/>
      <c r="P63" s="55">
        <f>P47*46.0*1.5</f>
        <v/>
      </c>
      <c r="Q63" s="55">
        <f>Q47*46.0*1.5</f>
        <v/>
      </c>
      <c r="R63" s="55">
        <f>R47*46.0*1.5</f>
        <v/>
      </c>
      <c r="S63" s="55">
        <f>S47*46.0*1.5</f>
        <v/>
      </c>
      <c r="T63" s="55">
        <f>T47*46.0*1.5</f>
        <v/>
      </c>
      <c r="U63" s="55">
        <f>U47*46.0*1.5</f>
        <v/>
      </c>
      <c r="V63" s="55">
        <f>V47*46.0*1.5</f>
        <v/>
      </c>
      <c r="W63" s="55">
        <f>W47*46.0*1.5</f>
        <v/>
      </c>
      <c r="X63" s="55">
        <f>X47*46.0*1.5</f>
        <v/>
      </c>
      <c r="Y63" s="55">
        <f>Y47*46.0*1.5</f>
        <v/>
      </c>
      <c r="Z63" s="55">
        <f>Z47*46.0*1.5</f>
        <v/>
      </c>
      <c r="AA63" s="55">
        <f>AA47*46.0*1.5</f>
        <v/>
      </c>
      <c r="AB63" s="55">
        <f>AB47*46.0*1.5</f>
        <v/>
      </c>
      <c r="AC63" s="55">
        <f>AC47*46.0*1.5</f>
        <v/>
      </c>
      <c r="AD63" s="55">
        <f>AD47*46.0*1.5</f>
        <v/>
      </c>
      <c r="AE63" s="55">
        <f>AE47*46.0*1.5</f>
        <v/>
      </c>
      <c r="AF63" s="55">
        <f>AF47*46.0*1.5</f>
        <v/>
      </c>
      <c r="AG63" s="55">
        <f>AG47*46.0*1.5</f>
        <v/>
      </c>
      <c r="AH63" s="55">
        <f>AH47*46.0*1.5</f>
        <v/>
      </c>
      <c r="AI63" s="55">
        <f>AI47*46.0*1.5</f>
        <v/>
      </c>
      <c r="AJ63" s="55">
        <f>AJ47*46.0*1.5</f>
        <v/>
      </c>
      <c r="AK63" s="55">
        <f>AK47*46.0*1.5</f>
        <v/>
      </c>
      <c r="AL63" s="55">
        <f>AL47*46.0*1.5</f>
        <v/>
      </c>
      <c r="AM63" s="55">
        <f>AM47*46.0*1.5</f>
        <v/>
      </c>
      <c r="AN63" s="55">
        <f>AN47*46.0*1.5</f>
        <v/>
      </c>
      <c r="AO63" s="55">
        <f>AO47*46.0*1.5</f>
        <v/>
      </c>
      <c r="AP63" s="55">
        <f>AP47*46.0*1.5</f>
        <v/>
      </c>
      <c r="AQ63" s="55">
        <f>AQ47*46.0*1.5</f>
        <v/>
      </c>
      <c r="AR63" s="55">
        <f>AR47*46.0*1.5</f>
        <v/>
      </c>
      <c r="AS63" s="55">
        <f>AS47*46.0*1.5</f>
        <v/>
      </c>
      <c r="AT63" s="55">
        <f>AT47*46.0*1.5</f>
        <v/>
      </c>
      <c r="AU63" s="55">
        <f>AU47*46.0*1.5</f>
        <v/>
      </c>
      <c r="AV63" s="55">
        <f>AV47*46.0*1.5</f>
        <v/>
      </c>
      <c r="AW63" s="55">
        <f>AW47*46.0*1.5</f>
        <v/>
      </c>
      <c r="AX63" s="55">
        <f>AX47*46.0*1.5</f>
        <v/>
      </c>
      <c r="AY63" s="55">
        <f>AY47*46.0*1.5</f>
        <v/>
      </c>
      <c r="AZ63" s="55">
        <f>AZ47*46.0*1.5</f>
        <v/>
      </c>
      <c r="BA63" s="55">
        <f>BA47*46.0*1.5</f>
        <v/>
      </c>
      <c r="BB63" s="55">
        <f>BB47*46.0*1.5</f>
        <v/>
      </c>
      <c r="BC63" s="55">
        <f>BC47*46.0*1.5</f>
        <v/>
      </c>
      <c r="BD63" s="55">
        <f>BD47*46.0*1.5</f>
        <v/>
      </c>
      <c r="BE63" s="55">
        <f>BE47*46.0*1.5</f>
        <v/>
      </c>
      <c r="BF63" s="55">
        <f>BF47*46.0*1.5</f>
        <v/>
      </c>
      <c r="BG63" s="55">
        <f>BG47*46.0*1.5</f>
        <v/>
      </c>
      <c r="BH63" s="55">
        <f>BH47*46.0*1.5</f>
        <v/>
      </c>
      <c r="BI63" s="55">
        <f>BI47*46.0*1.5</f>
        <v/>
      </c>
      <c r="BJ63" s="55">
        <f>BJ47*46.0*1.5</f>
        <v/>
      </c>
      <c r="BK63" s="55">
        <f>BK47*46.0*1.5</f>
        <v/>
      </c>
      <c r="BL63" s="55">
        <f>BL47*46.0*1.5</f>
        <v/>
      </c>
      <c r="BM63" s="55">
        <f>BM47*46.0*1.5</f>
        <v/>
      </c>
      <c r="BN63" s="55">
        <f>BN47*46.0*1.5</f>
        <v/>
      </c>
      <c r="BO63" s="55">
        <f>BO47*46.0*1.5</f>
        <v/>
      </c>
      <c r="BP63" s="55">
        <f>BP47*46.0*1.5</f>
        <v/>
      </c>
      <c r="BQ63" s="55">
        <f>BQ47*46.0*1.5</f>
        <v/>
      </c>
      <c r="BR63" s="55">
        <f>BR47*46.0*1.5</f>
        <v/>
      </c>
      <c r="BS63" s="55">
        <f>BS47*46.0*1.5</f>
        <v/>
      </c>
      <c r="BT63" s="55">
        <f>BT47*46.0*1.5</f>
        <v/>
      </c>
      <c r="BU63" s="55">
        <f>BU47*46.0*1.5</f>
        <v/>
      </c>
      <c r="BV63" s="55">
        <f>BV47*46.0*1.5</f>
        <v/>
      </c>
      <c r="BW63" s="55">
        <f>BW47*46.0*1.5</f>
        <v/>
      </c>
      <c r="BX63" s="55">
        <f>BX47*46.0*1.5</f>
        <v/>
      </c>
      <c r="BY63" s="55">
        <f>BY47*46.0*1.5</f>
        <v/>
      </c>
      <c r="BZ63" s="55">
        <f>BZ47*46.0*1.5</f>
        <v/>
      </c>
      <c r="CA63" s="55">
        <f>CA47*46.0*1.5</f>
        <v/>
      </c>
      <c r="CB63" s="55">
        <f>CB47*46.0*1.5</f>
        <v/>
      </c>
      <c r="CC63" s="55">
        <f>CC47*46.0*1.5</f>
        <v/>
      </c>
      <c r="CD63" s="55">
        <f>CD47*46.0*1.5</f>
        <v/>
      </c>
      <c r="CE63" s="55">
        <f>CE47*46.0*1.5</f>
        <v/>
      </c>
      <c r="CF63" s="55">
        <f>CF47*46.0*1.5</f>
        <v/>
      </c>
      <c r="CG63" s="55">
        <f>CG47*46.0*1.5</f>
        <v/>
      </c>
      <c r="CH63" s="55">
        <f>CH47*46.0*1.5</f>
        <v/>
      </c>
      <c r="CI63" s="55">
        <f>CI47*46.0*1.5</f>
        <v/>
      </c>
      <c r="CJ63" s="55">
        <f>CJ47*46.0*1.5</f>
        <v/>
      </c>
      <c r="CK63" s="55">
        <f>CK47*46.0*1.5</f>
        <v/>
      </c>
      <c r="CL63" s="55">
        <f>CL47*46.0*1.5</f>
        <v/>
      </c>
      <c r="CM63" s="55">
        <f>CM47*46.0*1.5</f>
        <v/>
      </c>
      <c r="CN63" s="55">
        <f>CN47*46.0*1.5</f>
        <v/>
      </c>
      <c r="CO63" s="55">
        <f>CO47*46.0*1.5</f>
        <v/>
      </c>
      <c r="CP63" s="55">
        <f>CP47*46.0*1.5</f>
        <v/>
      </c>
      <c r="CQ63" s="55">
        <f>CQ47*46.0*1.5</f>
        <v/>
      </c>
      <c r="CR63" s="55">
        <f>CR47*46.0*1.5</f>
        <v/>
      </c>
      <c r="CS63" s="55">
        <f>CS47*46.0*1.5</f>
        <v/>
      </c>
      <c r="CT63" s="55">
        <f>CT47*46.0*1.5</f>
        <v/>
      </c>
      <c r="CU63" s="55">
        <f>CU47*46.0*1.5</f>
        <v/>
      </c>
      <c r="CV63" s="55">
        <f>CV47*46.0*1.5</f>
        <v/>
      </c>
      <c r="CW63" s="55">
        <f>CW47*46.0*1.5</f>
        <v/>
      </c>
      <c r="CX63" s="55">
        <f>CX47*46.0*1.5</f>
        <v/>
      </c>
      <c r="CY63" s="55">
        <f>CY47*46.0*1.5</f>
        <v/>
      </c>
      <c r="CZ63" s="55">
        <f>CZ47*46.0*1.5</f>
        <v/>
      </c>
      <c r="DA63" s="55">
        <f>DA47*46.0*1.5</f>
        <v/>
      </c>
      <c r="DB63" s="55">
        <f>DB47*46.0*1.5</f>
        <v/>
      </c>
      <c r="DC63" s="55">
        <f>DC47*46.0*1.5</f>
        <v/>
      </c>
      <c r="DD63" s="55">
        <f>DD47*46.0*1.5</f>
        <v/>
      </c>
      <c r="DE63" s="55">
        <f>DE47*46.0*1.5</f>
        <v/>
      </c>
      <c r="DF63" s="55">
        <f>DF47*46.0*1.5</f>
        <v/>
      </c>
      <c r="DG63" s="55">
        <f>DG47*46.0*1.5</f>
        <v/>
      </c>
      <c r="DH63" s="55">
        <f>DH47*46.0*1.5</f>
        <v/>
      </c>
      <c r="DI63" s="55">
        <f>DI47*46.0*1.5</f>
        <v/>
      </c>
      <c r="DJ63" s="55">
        <f>DJ47*46.0*1.5</f>
        <v/>
      </c>
      <c r="DK63" s="55">
        <f>DK47*46.0*1.5</f>
        <v/>
      </c>
      <c r="DL63" s="55">
        <f>DL47*46.0*1.5</f>
        <v/>
      </c>
      <c r="DM63" s="55">
        <f>DM47*46.0*1.5</f>
        <v/>
      </c>
      <c r="DN63" s="55">
        <f>DN47*46.0*1.5</f>
        <v/>
      </c>
      <c r="DO63" s="55">
        <f>DO47*46.0*1.5</f>
        <v/>
      </c>
      <c r="DP63" s="55">
        <f>DP47*46.0*1.5</f>
        <v/>
      </c>
      <c r="DQ63" s="55">
        <f>DQ47*46.0*1.5</f>
        <v/>
      </c>
      <c r="DR63" s="55">
        <f>DR47*46.0*1.5</f>
        <v/>
      </c>
      <c r="DS63" s="55">
        <f>DS47*46.0*1.5</f>
        <v/>
      </c>
      <c r="DT63" s="55">
        <f>DT47*46.0*1.5</f>
        <v/>
      </c>
      <c r="DU63" s="55">
        <f>DU47*46.0*1.5</f>
        <v/>
      </c>
      <c r="DV63" s="55">
        <f>DV47*46.0*1.5</f>
        <v/>
      </c>
      <c r="DW63" s="55">
        <f>DW47*46.0*1.5</f>
        <v/>
      </c>
      <c r="DX63" s="55">
        <f>DX47*46.0*1.5</f>
        <v/>
      </c>
      <c r="DY63" s="55">
        <f>DY47*46.0*1.5</f>
        <v/>
      </c>
      <c r="DZ63" s="55">
        <f>DZ47*46.0*1.5</f>
        <v/>
      </c>
      <c r="EA63" s="55">
        <f>EA47*46.0*1.5</f>
        <v/>
      </c>
      <c r="EB63" s="55">
        <f>EB47*46.0*1.5</f>
        <v/>
      </c>
      <c r="EC63" s="55">
        <f>EC47*46.0*1.5</f>
        <v/>
      </c>
      <c r="ED63" s="55">
        <f>ED47*46.0*1.5</f>
        <v/>
      </c>
      <c r="EE63" s="55">
        <f>EE47*46.0*1.5</f>
        <v/>
      </c>
      <c r="EF63" s="55">
        <f>EF47*46.0*1.5</f>
        <v/>
      </c>
      <c r="EG63" s="55">
        <f>EG47*46.0*1.5</f>
        <v/>
      </c>
      <c r="EH63" s="55">
        <f>EH47*46.0*1.5</f>
        <v/>
      </c>
      <c r="EI63" s="55">
        <f>EI47*46.0*1.5</f>
        <v/>
      </c>
      <c r="EJ63" s="55">
        <f>EJ47*46.0*1.5</f>
        <v/>
      </c>
      <c r="EK63" s="55">
        <f>EK47*46.0*1.5</f>
        <v/>
      </c>
      <c r="EL63" s="55">
        <f>EL47*46.0*1.5</f>
        <v/>
      </c>
      <c r="EM63" s="55">
        <f>EM47*46.0*1.5</f>
        <v/>
      </c>
      <c r="EN63" s="55">
        <f>EN47*46.0*1.5</f>
        <v/>
      </c>
      <c r="EO63" s="55">
        <f>EO47*46.0*1.5</f>
        <v/>
      </c>
      <c r="EP63" s="55">
        <f>EP47*46.0*1.5</f>
        <v/>
      </c>
      <c r="EQ63" s="55">
        <f>EQ47*46.0*1.5</f>
        <v/>
      </c>
      <c r="ER63" s="55">
        <f>ER47*46.0*1.5</f>
        <v/>
      </c>
      <c r="ES63" s="55">
        <f>ES47*46.0*1.5</f>
        <v/>
      </c>
      <c r="ET63" s="55">
        <f>ET47*46.0*1.5</f>
        <v/>
      </c>
      <c r="EU63" s="55">
        <f>EU47*46.0*1.5</f>
        <v/>
      </c>
      <c r="EV63" s="55">
        <f>EV47*46.0*1.5</f>
        <v/>
      </c>
      <c r="EW63" s="55">
        <f>EW47*46.0*1.5</f>
        <v/>
      </c>
      <c r="EX63" s="55">
        <f>EX47*46.0*1.5</f>
        <v/>
      </c>
      <c r="EY63" s="55">
        <f>EY47*46.0*1.5</f>
        <v/>
      </c>
      <c r="EZ63" s="55">
        <f>EZ47*46.0*1.5</f>
        <v/>
      </c>
      <c r="FA63" s="55">
        <f>FA47*46.0*1.5</f>
        <v/>
      </c>
      <c r="FB63" s="55">
        <f>FB47*46.0*1.5</f>
        <v/>
      </c>
      <c r="FC63" s="55">
        <f>FC47*46.0*1.5</f>
        <v/>
      </c>
      <c r="FD63" s="55">
        <f>FD47*46.0*1.5</f>
        <v/>
      </c>
      <c r="FE63" s="55">
        <f>FE47*46.0*1.5</f>
        <v/>
      </c>
      <c r="FF63" s="55">
        <f>FF47*46.0*1.5</f>
        <v/>
      </c>
      <c r="FG63" s="55">
        <f>FG47*46.0*1.5</f>
        <v/>
      </c>
      <c r="FH63" s="55">
        <f>FH47*46.0*1.5</f>
        <v/>
      </c>
      <c r="FI63" s="55">
        <f>FI47*46.0*1.5</f>
        <v/>
      </c>
      <c r="FJ63" s="55">
        <f>FJ47*46.0*1.5</f>
        <v/>
      </c>
      <c r="FK63" s="55">
        <f>FK47*46.0*1.5</f>
        <v/>
      </c>
      <c r="FL63" s="55">
        <f>FL47*46.0*1.5</f>
        <v/>
      </c>
      <c r="FM63" s="55">
        <f>FM47*46.0*1.5</f>
        <v/>
      </c>
      <c r="FN63" s="55">
        <f>FN47*46.0*1.5</f>
        <v/>
      </c>
      <c r="FO63" s="55">
        <f>FO47*46.0*1.5</f>
        <v/>
      </c>
      <c r="FP63" s="55">
        <f>FP47*46.0*1.5</f>
        <v/>
      </c>
      <c r="FQ63" s="55">
        <f>FQ47*46.0*1.5</f>
        <v/>
      </c>
      <c r="FR63" s="55">
        <f>FR47*46.0*1.5</f>
        <v/>
      </c>
      <c r="FS63" s="55">
        <f>FS47*46.0*1.5</f>
        <v/>
      </c>
      <c r="FT63" s="55">
        <f>FT47*46.0*1.5</f>
        <v/>
      </c>
      <c r="FU63" s="55">
        <f>FU47*46.0*1.5</f>
        <v/>
      </c>
      <c r="FV63" s="55">
        <f>FV47*46.0*1.5</f>
        <v/>
      </c>
      <c r="FW63" s="55">
        <f>FW47*46.0*1.5</f>
        <v/>
      </c>
      <c r="FX63" s="55">
        <f>FX47*46.0*1.5</f>
        <v/>
      </c>
      <c r="FY63" s="55">
        <f>FY47*46.0*1.5</f>
        <v/>
      </c>
      <c r="FZ63" s="55">
        <f>FZ47*46.0*1.5</f>
        <v/>
      </c>
      <c r="GA63" s="55">
        <f>GA47*46.0*1.5</f>
        <v/>
      </c>
      <c r="GB63" s="55">
        <f>GB47*46.0*1.5</f>
        <v/>
      </c>
      <c r="GC63" s="55">
        <f>GC47*46.0*1.5</f>
        <v/>
      </c>
    </row>
    <row r="64">
      <c r="A64" s="51" t="inlineStr">
        <is>
          <t>MN</t>
        </is>
      </c>
      <c r="B64" s="51" t="n"/>
      <c r="C64" s="51" t="inlineStr">
        <is>
          <t>Tiêu thụ dầu MN (ĐM: 38.0 l/ca x 2 ca)</t>
        </is>
      </c>
      <c r="D64" s="51" t="n"/>
      <c r="E64" s="52" t="n"/>
      <c r="F64" s="52" t="n"/>
      <c r="G64" s="52" t="n"/>
      <c r="H64" s="52" t="n"/>
      <c r="I64" s="51" t="n"/>
      <c r="J64" s="51" t="n"/>
      <c r="K64" s="51" t="n"/>
      <c r="L64" s="51" t="n"/>
      <c r="M64" s="53" t="n"/>
      <c r="N64" s="51" t="n"/>
      <c r="O64" s="54" t="n"/>
      <c r="P64" s="55">
        <f>P48*38.0*1.5</f>
        <v/>
      </c>
      <c r="Q64" s="55">
        <f>Q48*38.0*1.5</f>
        <v/>
      </c>
      <c r="R64" s="55">
        <f>R48*38.0*1.5</f>
        <v/>
      </c>
      <c r="S64" s="55">
        <f>S48*38.0*1.5</f>
        <v/>
      </c>
      <c r="T64" s="55">
        <f>T48*38.0*1.5</f>
        <v/>
      </c>
      <c r="U64" s="55">
        <f>U48*38.0*1.5</f>
        <v/>
      </c>
      <c r="V64" s="55">
        <f>V48*38.0*1.5</f>
        <v/>
      </c>
      <c r="W64" s="55">
        <f>W48*38.0*1.5</f>
        <v/>
      </c>
      <c r="X64" s="55">
        <f>X48*38.0*1.5</f>
        <v/>
      </c>
      <c r="Y64" s="55">
        <f>Y48*38.0*1.5</f>
        <v/>
      </c>
      <c r="Z64" s="55">
        <f>Z48*38.0*1.5</f>
        <v/>
      </c>
      <c r="AA64" s="55">
        <f>AA48*38.0*1.5</f>
        <v/>
      </c>
      <c r="AB64" s="55">
        <f>AB48*38.0*1.5</f>
        <v/>
      </c>
      <c r="AC64" s="55">
        <f>AC48*38.0*1.5</f>
        <v/>
      </c>
      <c r="AD64" s="55">
        <f>AD48*38.0*1.5</f>
        <v/>
      </c>
      <c r="AE64" s="55">
        <f>AE48*38.0*1.5</f>
        <v/>
      </c>
      <c r="AF64" s="55">
        <f>AF48*38.0*1.5</f>
        <v/>
      </c>
      <c r="AG64" s="55">
        <f>AG48*38.0*1.5</f>
        <v/>
      </c>
      <c r="AH64" s="55">
        <f>AH48*38.0*1.5</f>
        <v/>
      </c>
      <c r="AI64" s="55">
        <f>AI48*38.0*1.5</f>
        <v/>
      </c>
      <c r="AJ64" s="55">
        <f>AJ48*38.0*1.5</f>
        <v/>
      </c>
      <c r="AK64" s="55">
        <f>AK48*38.0*1.5</f>
        <v/>
      </c>
      <c r="AL64" s="55">
        <f>AL48*38.0*1.5</f>
        <v/>
      </c>
      <c r="AM64" s="55">
        <f>AM48*38.0*1.5</f>
        <v/>
      </c>
      <c r="AN64" s="55">
        <f>AN48*38.0*1.5</f>
        <v/>
      </c>
      <c r="AO64" s="55">
        <f>AO48*38.0*1.5</f>
        <v/>
      </c>
      <c r="AP64" s="55">
        <f>AP48*38.0*1.5</f>
        <v/>
      </c>
      <c r="AQ64" s="55">
        <f>AQ48*38.0*1.5</f>
        <v/>
      </c>
      <c r="AR64" s="55">
        <f>AR48*38.0*1.5</f>
        <v/>
      </c>
      <c r="AS64" s="55">
        <f>AS48*38.0*1.5</f>
        <v/>
      </c>
      <c r="AT64" s="55">
        <f>AT48*38.0*1.5</f>
        <v/>
      </c>
      <c r="AU64" s="55">
        <f>AU48*38.0*1.5</f>
        <v/>
      </c>
      <c r="AV64" s="55">
        <f>AV48*38.0*1.5</f>
        <v/>
      </c>
      <c r="AW64" s="55">
        <f>AW48*38.0*1.5</f>
        <v/>
      </c>
      <c r="AX64" s="55">
        <f>AX48*38.0*1.5</f>
        <v/>
      </c>
      <c r="AY64" s="55">
        <f>AY48*38.0*1.5</f>
        <v/>
      </c>
      <c r="AZ64" s="55">
        <f>AZ48*38.0*1.5</f>
        <v/>
      </c>
      <c r="BA64" s="55">
        <f>BA48*38.0*1.5</f>
        <v/>
      </c>
      <c r="BB64" s="55">
        <f>BB48*38.0*1.5</f>
        <v/>
      </c>
      <c r="BC64" s="55">
        <f>BC48*38.0*1.5</f>
        <v/>
      </c>
      <c r="BD64" s="55">
        <f>BD48*38.0*1.5</f>
        <v/>
      </c>
      <c r="BE64" s="55">
        <f>BE48*38.0*1.5</f>
        <v/>
      </c>
      <c r="BF64" s="55">
        <f>BF48*38.0*1.5</f>
        <v/>
      </c>
      <c r="BG64" s="55">
        <f>BG48*38.0*1.5</f>
        <v/>
      </c>
      <c r="BH64" s="55">
        <f>BH48*38.0*1.5</f>
        <v/>
      </c>
      <c r="BI64" s="55">
        <f>BI48*38.0*1.5</f>
        <v/>
      </c>
      <c r="BJ64" s="55">
        <f>BJ48*38.0*1.5</f>
        <v/>
      </c>
      <c r="BK64" s="55">
        <f>BK48*38.0*1.5</f>
        <v/>
      </c>
      <c r="BL64" s="55">
        <f>BL48*38.0*1.5</f>
        <v/>
      </c>
      <c r="BM64" s="55">
        <f>BM48*38.0*1.5</f>
        <v/>
      </c>
      <c r="BN64" s="55">
        <f>BN48*38.0*1.5</f>
        <v/>
      </c>
      <c r="BO64" s="55">
        <f>BO48*38.0*1.5</f>
        <v/>
      </c>
      <c r="BP64" s="55">
        <f>BP48*38.0*1.5</f>
        <v/>
      </c>
      <c r="BQ64" s="55">
        <f>BQ48*38.0*1.5</f>
        <v/>
      </c>
      <c r="BR64" s="55">
        <f>BR48*38.0*1.5</f>
        <v/>
      </c>
      <c r="BS64" s="55">
        <f>BS48*38.0*1.5</f>
        <v/>
      </c>
      <c r="BT64" s="55">
        <f>BT48*38.0*1.5</f>
        <v/>
      </c>
      <c r="BU64" s="55">
        <f>BU48*38.0*1.5</f>
        <v/>
      </c>
      <c r="BV64" s="55">
        <f>BV48*38.0*1.5</f>
        <v/>
      </c>
      <c r="BW64" s="55">
        <f>BW48*38.0*1.5</f>
        <v/>
      </c>
      <c r="BX64" s="55">
        <f>BX48*38.0*1.5</f>
        <v/>
      </c>
      <c r="BY64" s="55">
        <f>BY48*38.0*1.5</f>
        <v/>
      </c>
      <c r="BZ64" s="55">
        <f>BZ48*38.0*1.5</f>
        <v/>
      </c>
      <c r="CA64" s="55">
        <f>CA48*38.0*1.5</f>
        <v/>
      </c>
      <c r="CB64" s="55">
        <f>CB48*38.0*1.5</f>
        <v/>
      </c>
      <c r="CC64" s="55">
        <f>CC48*38.0*1.5</f>
        <v/>
      </c>
      <c r="CD64" s="55">
        <f>CD48*38.0*1.5</f>
        <v/>
      </c>
      <c r="CE64" s="55">
        <f>CE48*38.0*1.5</f>
        <v/>
      </c>
      <c r="CF64" s="55">
        <f>CF48*38.0*1.5</f>
        <v/>
      </c>
      <c r="CG64" s="55">
        <f>CG48*38.0*1.5</f>
        <v/>
      </c>
      <c r="CH64" s="55">
        <f>CH48*38.0*1.5</f>
        <v/>
      </c>
      <c r="CI64" s="55">
        <f>CI48*38.0*1.5</f>
        <v/>
      </c>
      <c r="CJ64" s="55">
        <f>CJ48*38.0*1.5</f>
        <v/>
      </c>
      <c r="CK64" s="55">
        <f>CK48*38.0*1.5</f>
        <v/>
      </c>
      <c r="CL64" s="55">
        <f>CL48*38.0*1.5</f>
        <v/>
      </c>
      <c r="CM64" s="55">
        <f>CM48*38.0*1.5</f>
        <v/>
      </c>
      <c r="CN64" s="55">
        <f>CN48*38.0*1.5</f>
        <v/>
      </c>
      <c r="CO64" s="55">
        <f>CO48*38.0*1.5</f>
        <v/>
      </c>
      <c r="CP64" s="55">
        <f>CP48*38.0*1.5</f>
        <v/>
      </c>
      <c r="CQ64" s="55">
        <f>CQ48*38.0*1.5</f>
        <v/>
      </c>
      <c r="CR64" s="55">
        <f>CR48*38.0*1.5</f>
        <v/>
      </c>
      <c r="CS64" s="55">
        <f>CS48*38.0*1.5</f>
        <v/>
      </c>
      <c r="CT64" s="55">
        <f>CT48*38.0*1.5</f>
        <v/>
      </c>
      <c r="CU64" s="55">
        <f>CU48*38.0*1.5</f>
        <v/>
      </c>
      <c r="CV64" s="55">
        <f>CV48*38.0*1.5</f>
        <v/>
      </c>
      <c r="CW64" s="55">
        <f>CW48*38.0*1.5</f>
        <v/>
      </c>
      <c r="CX64" s="55">
        <f>CX48*38.0*1.5</f>
        <v/>
      </c>
      <c r="CY64" s="55">
        <f>CY48*38.0*1.5</f>
        <v/>
      </c>
      <c r="CZ64" s="55">
        <f>CZ48*38.0*1.5</f>
        <v/>
      </c>
      <c r="DA64" s="55">
        <f>DA48*38.0*1.5</f>
        <v/>
      </c>
      <c r="DB64" s="55">
        <f>DB48*38.0*1.5</f>
        <v/>
      </c>
      <c r="DC64" s="55">
        <f>DC48*38.0*1.5</f>
        <v/>
      </c>
      <c r="DD64" s="55">
        <f>DD48*38.0*1.5</f>
        <v/>
      </c>
      <c r="DE64" s="55">
        <f>DE48*38.0*1.5</f>
        <v/>
      </c>
      <c r="DF64" s="55">
        <f>DF48*38.0*1.5</f>
        <v/>
      </c>
      <c r="DG64" s="55">
        <f>DG48*38.0*1.5</f>
        <v/>
      </c>
      <c r="DH64" s="55">
        <f>DH48*38.0*1.5</f>
        <v/>
      </c>
      <c r="DI64" s="55">
        <f>DI48*38.0*1.5</f>
        <v/>
      </c>
      <c r="DJ64" s="55">
        <f>DJ48*38.0*1.5</f>
        <v/>
      </c>
      <c r="DK64" s="55">
        <f>DK48*38.0*1.5</f>
        <v/>
      </c>
      <c r="DL64" s="55">
        <f>DL48*38.0*1.5</f>
        <v/>
      </c>
      <c r="DM64" s="55">
        <f>DM48*38.0*1.5</f>
        <v/>
      </c>
      <c r="DN64" s="55">
        <f>DN48*38.0*1.5</f>
        <v/>
      </c>
      <c r="DO64" s="55">
        <f>DO48*38.0*1.5</f>
        <v/>
      </c>
      <c r="DP64" s="55">
        <f>DP48*38.0*1.5</f>
        <v/>
      </c>
      <c r="DQ64" s="55">
        <f>DQ48*38.0*1.5</f>
        <v/>
      </c>
      <c r="DR64" s="55">
        <f>DR48*38.0*1.5</f>
        <v/>
      </c>
      <c r="DS64" s="55">
        <f>DS48*38.0*1.5</f>
        <v/>
      </c>
      <c r="DT64" s="55">
        <f>DT48*38.0*1.5</f>
        <v/>
      </c>
      <c r="DU64" s="55">
        <f>DU48*38.0*1.5</f>
        <v/>
      </c>
      <c r="DV64" s="55">
        <f>DV48*38.0*1.5</f>
        <v/>
      </c>
      <c r="DW64" s="55">
        <f>DW48*38.0*1.5</f>
        <v/>
      </c>
      <c r="DX64" s="55">
        <f>DX48*38.0*1.5</f>
        <v/>
      </c>
      <c r="DY64" s="55">
        <f>DY48*38.0*1.5</f>
        <v/>
      </c>
      <c r="DZ64" s="55">
        <f>DZ48*38.0*1.5</f>
        <v/>
      </c>
      <c r="EA64" s="55">
        <f>EA48*38.0*1.5</f>
        <v/>
      </c>
      <c r="EB64" s="55">
        <f>EB48*38.0*1.5</f>
        <v/>
      </c>
      <c r="EC64" s="55">
        <f>EC48*38.0*1.5</f>
        <v/>
      </c>
      <c r="ED64" s="55">
        <f>ED48*38.0*1.5</f>
        <v/>
      </c>
      <c r="EE64" s="55">
        <f>EE48*38.0*1.5</f>
        <v/>
      </c>
      <c r="EF64" s="55">
        <f>EF48*38.0*1.5</f>
        <v/>
      </c>
      <c r="EG64" s="55">
        <f>EG48*38.0*1.5</f>
        <v/>
      </c>
      <c r="EH64" s="55">
        <f>EH48*38.0*1.5</f>
        <v/>
      </c>
      <c r="EI64" s="55">
        <f>EI48*38.0*1.5</f>
        <v/>
      </c>
      <c r="EJ64" s="55">
        <f>EJ48*38.0*1.5</f>
        <v/>
      </c>
      <c r="EK64" s="55">
        <f>EK48*38.0*1.5</f>
        <v/>
      </c>
      <c r="EL64" s="55">
        <f>EL48*38.0*1.5</f>
        <v/>
      </c>
      <c r="EM64" s="55">
        <f>EM48*38.0*1.5</f>
        <v/>
      </c>
      <c r="EN64" s="55">
        <f>EN48*38.0*1.5</f>
        <v/>
      </c>
      <c r="EO64" s="55">
        <f>EO48*38.0*1.5</f>
        <v/>
      </c>
      <c r="EP64" s="55">
        <f>EP48*38.0*1.5</f>
        <v/>
      </c>
      <c r="EQ64" s="55">
        <f>EQ48*38.0*1.5</f>
        <v/>
      </c>
      <c r="ER64" s="55">
        <f>ER48*38.0*1.5</f>
        <v/>
      </c>
      <c r="ES64" s="55">
        <f>ES48*38.0*1.5</f>
        <v/>
      </c>
      <c r="ET64" s="55">
        <f>ET48*38.0*1.5</f>
        <v/>
      </c>
      <c r="EU64" s="55">
        <f>EU48*38.0*1.5</f>
        <v/>
      </c>
      <c r="EV64" s="55">
        <f>EV48*38.0*1.5</f>
        <v/>
      </c>
      <c r="EW64" s="55">
        <f>EW48*38.0*1.5</f>
        <v/>
      </c>
      <c r="EX64" s="55">
        <f>EX48*38.0*1.5</f>
        <v/>
      </c>
      <c r="EY64" s="55">
        <f>EY48*38.0*1.5</f>
        <v/>
      </c>
      <c r="EZ64" s="55">
        <f>EZ48*38.0*1.5</f>
        <v/>
      </c>
      <c r="FA64" s="55">
        <f>FA48*38.0*1.5</f>
        <v/>
      </c>
      <c r="FB64" s="55">
        <f>FB48*38.0*1.5</f>
        <v/>
      </c>
      <c r="FC64" s="55">
        <f>FC48*38.0*1.5</f>
        <v/>
      </c>
      <c r="FD64" s="55">
        <f>FD48*38.0*1.5</f>
        <v/>
      </c>
      <c r="FE64" s="55">
        <f>FE48*38.0*1.5</f>
        <v/>
      </c>
      <c r="FF64" s="55">
        <f>FF48*38.0*1.5</f>
        <v/>
      </c>
      <c r="FG64" s="55">
        <f>FG48*38.0*1.5</f>
        <v/>
      </c>
      <c r="FH64" s="55">
        <f>FH48*38.0*1.5</f>
        <v/>
      </c>
      <c r="FI64" s="55">
        <f>FI48*38.0*1.5</f>
        <v/>
      </c>
      <c r="FJ64" s="55">
        <f>FJ48*38.0*1.5</f>
        <v/>
      </c>
      <c r="FK64" s="55">
        <f>FK48*38.0*1.5</f>
        <v/>
      </c>
      <c r="FL64" s="55">
        <f>FL48*38.0*1.5</f>
        <v/>
      </c>
      <c r="FM64" s="55">
        <f>FM48*38.0*1.5</f>
        <v/>
      </c>
      <c r="FN64" s="55">
        <f>FN48*38.0*1.5</f>
        <v/>
      </c>
      <c r="FO64" s="55">
        <f>FO48*38.0*1.5</f>
        <v/>
      </c>
      <c r="FP64" s="55">
        <f>FP48*38.0*1.5</f>
        <v/>
      </c>
      <c r="FQ64" s="55">
        <f>FQ48*38.0*1.5</f>
        <v/>
      </c>
      <c r="FR64" s="55">
        <f>FR48*38.0*1.5</f>
        <v/>
      </c>
      <c r="FS64" s="55">
        <f>FS48*38.0*1.5</f>
        <v/>
      </c>
      <c r="FT64" s="55">
        <f>FT48*38.0*1.5</f>
        <v/>
      </c>
      <c r="FU64" s="55">
        <f>FU48*38.0*1.5</f>
        <v/>
      </c>
      <c r="FV64" s="55">
        <f>FV48*38.0*1.5</f>
        <v/>
      </c>
      <c r="FW64" s="55">
        <f>FW48*38.0*1.5</f>
        <v/>
      </c>
      <c r="FX64" s="55">
        <f>FX48*38.0*1.5</f>
        <v/>
      </c>
      <c r="FY64" s="55">
        <f>FY48*38.0*1.5</f>
        <v/>
      </c>
      <c r="FZ64" s="55">
        <f>FZ48*38.0*1.5</f>
        <v/>
      </c>
      <c r="GA64" s="55">
        <f>GA48*38.0*1.5</f>
        <v/>
      </c>
      <c r="GB64" s="55">
        <f>GB48*38.0*1.5</f>
        <v/>
      </c>
      <c r="GC64" s="55">
        <f>GC48*38.0*1.5</f>
        <v/>
      </c>
    </row>
    <row r="65">
      <c r="A65" s="51" t="inlineStr">
        <is>
          <t>MH</t>
        </is>
      </c>
      <c r="B65" s="51" t="n"/>
      <c r="C65" s="51" t="inlineStr">
        <is>
          <t>Tiêu thụ dầu MH (ĐM: 28.0 l/ca x 2 ca)</t>
        </is>
      </c>
      <c r="D65" s="51" t="n"/>
      <c r="E65" s="52" t="n"/>
      <c r="F65" s="52" t="n"/>
      <c r="G65" s="52" t="n"/>
      <c r="H65" s="52" t="n"/>
      <c r="I65" s="51" t="n"/>
      <c r="J65" s="51" t="n"/>
      <c r="K65" s="51" t="n"/>
      <c r="L65" s="51" t="n"/>
      <c r="M65" s="53" t="n"/>
      <c r="N65" s="51" t="n"/>
      <c r="O65" s="54" t="n"/>
      <c r="P65" s="55">
        <f>P49*28.0*1.5</f>
        <v/>
      </c>
      <c r="Q65" s="55">
        <f>Q49*28.0*1.5</f>
        <v/>
      </c>
      <c r="R65" s="55">
        <f>R49*28.0*1.5</f>
        <v/>
      </c>
      <c r="S65" s="55">
        <f>S49*28.0*1.5</f>
        <v/>
      </c>
      <c r="T65" s="55">
        <f>T49*28.0*1.5</f>
        <v/>
      </c>
      <c r="U65" s="55">
        <f>U49*28.0*1.5</f>
        <v/>
      </c>
      <c r="V65" s="55">
        <f>V49*28.0*1.5</f>
        <v/>
      </c>
      <c r="W65" s="55">
        <f>W49*28.0*1.5</f>
        <v/>
      </c>
      <c r="X65" s="55">
        <f>X49*28.0*1.5</f>
        <v/>
      </c>
      <c r="Y65" s="55">
        <f>Y49*28.0*1.5</f>
        <v/>
      </c>
      <c r="Z65" s="55">
        <f>Z49*28.0*1.5</f>
        <v/>
      </c>
      <c r="AA65" s="55">
        <f>AA49*28.0*1.5</f>
        <v/>
      </c>
      <c r="AB65" s="55">
        <f>AB49*28.0*1.5</f>
        <v/>
      </c>
      <c r="AC65" s="55">
        <f>AC49*28.0*1.5</f>
        <v/>
      </c>
      <c r="AD65" s="55">
        <f>AD49*28.0*1.5</f>
        <v/>
      </c>
      <c r="AE65" s="55">
        <f>AE49*28.0*1.5</f>
        <v/>
      </c>
      <c r="AF65" s="55">
        <f>AF49*28.0*1.5</f>
        <v/>
      </c>
      <c r="AG65" s="55">
        <f>AG49*28.0*1.5</f>
        <v/>
      </c>
      <c r="AH65" s="55">
        <f>AH49*28.0*1.5</f>
        <v/>
      </c>
      <c r="AI65" s="55">
        <f>AI49*28.0*1.5</f>
        <v/>
      </c>
      <c r="AJ65" s="55">
        <f>AJ49*28.0*1.5</f>
        <v/>
      </c>
      <c r="AK65" s="55">
        <f>AK49*28.0*1.5</f>
        <v/>
      </c>
      <c r="AL65" s="55">
        <f>AL49*28.0*1.5</f>
        <v/>
      </c>
      <c r="AM65" s="55">
        <f>AM49*28.0*1.5</f>
        <v/>
      </c>
      <c r="AN65" s="55">
        <f>AN49*28.0*1.5</f>
        <v/>
      </c>
      <c r="AO65" s="55">
        <f>AO49*28.0*1.5</f>
        <v/>
      </c>
      <c r="AP65" s="55">
        <f>AP49*28.0*1.5</f>
        <v/>
      </c>
      <c r="AQ65" s="55">
        <f>AQ49*28.0*1.5</f>
        <v/>
      </c>
      <c r="AR65" s="55">
        <f>AR49*28.0*1.5</f>
        <v/>
      </c>
      <c r="AS65" s="55">
        <f>AS49*28.0*1.5</f>
        <v/>
      </c>
      <c r="AT65" s="55">
        <f>AT49*28.0*1.5</f>
        <v/>
      </c>
      <c r="AU65" s="55">
        <f>AU49*28.0*1.5</f>
        <v/>
      </c>
      <c r="AV65" s="55">
        <f>AV49*28.0*1.5</f>
        <v/>
      </c>
      <c r="AW65" s="55">
        <f>AW49*28.0*1.5</f>
        <v/>
      </c>
      <c r="AX65" s="55">
        <f>AX49*28.0*1.5</f>
        <v/>
      </c>
      <c r="AY65" s="55">
        <f>AY49*28.0*1.5</f>
        <v/>
      </c>
      <c r="AZ65" s="55">
        <f>AZ49*28.0*1.5</f>
        <v/>
      </c>
      <c r="BA65" s="55">
        <f>BA49*28.0*1.5</f>
        <v/>
      </c>
      <c r="BB65" s="55">
        <f>BB49*28.0*1.5</f>
        <v/>
      </c>
      <c r="BC65" s="55">
        <f>BC49*28.0*1.5</f>
        <v/>
      </c>
      <c r="BD65" s="55">
        <f>BD49*28.0*1.5</f>
        <v/>
      </c>
      <c r="BE65" s="55">
        <f>BE49*28.0*1.5</f>
        <v/>
      </c>
      <c r="BF65" s="55">
        <f>BF49*28.0*1.5</f>
        <v/>
      </c>
      <c r="BG65" s="55">
        <f>BG49*28.0*1.5</f>
        <v/>
      </c>
      <c r="BH65" s="55">
        <f>BH49*28.0*1.5</f>
        <v/>
      </c>
      <c r="BI65" s="55">
        <f>BI49*28.0*1.5</f>
        <v/>
      </c>
      <c r="BJ65" s="55">
        <f>BJ49*28.0*1.5</f>
        <v/>
      </c>
      <c r="BK65" s="55">
        <f>BK49*28.0*1.5</f>
        <v/>
      </c>
      <c r="BL65" s="55">
        <f>BL49*28.0*1.5</f>
        <v/>
      </c>
      <c r="BM65" s="55">
        <f>BM49*28.0*1.5</f>
        <v/>
      </c>
      <c r="BN65" s="55">
        <f>BN49*28.0*1.5</f>
        <v/>
      </c>
      <c r="BO65" s="55">
        <f>BO49*28.0*1.5</f>
        <v/>
      </c>
      <c r="BP65" s="55">
        <f>BP49*28.0*1.5</f>
        <v/>
      </c>
      <c r="BQ65" s="55">
        <f>BQ49*28.0*1.5</f>
        <v/>
      </c>
      <c r="BR65" s="55">
        <f>BR49*28.0*1.5</f>
        <v/>
      </c>
      <c r="BS65" s="55">
        <f>BS49*28.0*1.5</f>
        <v/>
      </c>
      <c r="BT65" s="55">
        <f>BT49*28.0*1.5</f>
        <v/>
      </c>
      <c r="BU65" s="55">
        <f>BU49*28.0*1.5</f>
        <v/>
      </c>
      <c r="BV65" s="55">
        <f>BV49*28.0*1.5</f>
        <v/>
      </c>
      <c r="BW65" s="55">
        <f>BW49*28.0*1.5</f>
        <v/>
      </c>
      <c r="BX65" s="55">
        <f>BX49*28.0*1.5</f>
        <v/>
      </c>
      <c r="BY65" s="55">
        <f>BY49*28.0*1.5</f>
        <v/>
      </c>
      <c r="BZ65" s="55">
        <f>BZ49*28.0*1.5</f>
        <v/>
      </c>
      <c r="CA65" s="55">
        <f>CA49*28.0*1.5</f>
        <v/>
      </c>
      <c r="CB65" s="55">
        <f>CB49*28.0*1.5</f>
        <v/>
      </c>
      <c r="CC65" s="55">
        <f>CC49*28.0*1.5</f>
        <v/>
      </c>
      <c r="CD65" s="55">
        <f>CD49*28.0*1.5</f>
        <v/>
      </c>
      <c r="CE65" s="55">
        <f>CE49*28.0*1.5</f>
        <v/>
      </c>
      <c r="CF65" s="55">
        <f>CF49*28.0*1.5</f>
        <v/>
      </c>
      <c r="CG65" s="55">
        <f>CG49*28.0*1.5</f>
        <v/>
      </c>
      <c r="CH65" s="55">
        <f>CH49*28.0*1.5</f>
        <v/>
      </c>
      <c r="CI65" s="55">
        <f>CI49*28.0*1.5</f>
        <v/>
      </c>
      <c r="CJ65" s="55">
        <f>CJ49*28.0*1.5</f>
        <v/>
      </c>
      <c r="CK65" s="55">
        <f>CK49*28.0*1.5</f>
        <v/>
      </c>
      <c r="CL65" s="55">
        <f>CL49*28.0*1.5</f>
        <v/>
      </c>
      <c r="CM65" s="55">
        <f>CM49*28.0*1.5</f>
        <v/>
      </c>
      <c r="CN65" s="55">
        <f>CN49*28.0*1.5</f>
        <v/>
      </c>
      <c r="CO65" s="55">
        <f>CO49*28.0*1.5</f>
        <v/>
      </c>
      <c r="CP65" s="55">
        <f>CP49*28.0*1.5</f>
        <v/>
      </c>
      <c r="CQ65" s="55">
        <f>CQ49*28.0*1.5</f>
        <v/>
      </c>
      <c r="CR65" s="55">
        <f>CR49*28.0*1.5</f>
        <v/>
      </c>
      <c r="CS65" s="55">
        <f>CS49*28.0*1.5</f>
        <v/>
      </c>
      <c r="CT65" s="55">
        <f>CT49*28.0*1.5</f>
        <v/>
      </c>
      <c r="CU65" s="55">
        <f>CU49*28.0*1.5</f>
        <v/>
      </c>
      <c r="CV65" s="55">
        <f>CV49*28.0*1.5</f>
        <v/>
      </c>
      <c r="CW65" s="55">
        <f>CW49*28.0*1.5</f>
        <v/>
      </c>
      <c r="CX65" s="55">
        <f>CX49*28.0*1.5</f>
        <v/>
      </c>
      <c r="CY65" s="55">
        <f>CY49*28.0*1.5</f>
        <v/>
      </c>
      <c r="CZ65" s="55">
        <f>CZ49*28.0*1.5</f>
        <v/>
      </c>
      <c r="DA65" s="55">
        <f>DA49*28.0*1.5</f>
        <v/>
      </c>
      <c r="DB65" s="55">
        <f>DB49*28.0*1.5</f>
        <v/>
      </c>
      <c r="DC65" s="55">
        <f>DC49*28.0*1.5</f>
        <v/>
      </c>
      <c r="DD65" s="55">
        <f>DD49*28.0*1.5</f>
        <v/>
      </c>
      <c r="DE65" s="55">
        <f>DE49*28.0*1.5</f>
        <v/>
      </c>
      <c r="DF65" s="55">
        <f>DF49*28.0*1.5</f>
        <v/>
      </c>
      <c r="DG65" s="55">
        <f>DG49*28.0*1.5</f>
        <v/>
      </c>
      <c r="DH65" s="55">
        <f>DH49*28.0*1.5</f>
        <v/>
      </c>
      <c r="DI65" s="55">
        <f>DI49*28.0*1.5</f>
        <v/>
      </c>
      <c r="DJ65" s="55">
        <f>DJ49*28.0*1.5</f>
        <v/>
      </c>
      <c r="DK65" s="55">
        <f>DK49*28.0*1.5</f>
        <v/>
      </c>
      <c r="DL65" s="55">
        <f>DL49*28.0*1.5</f>
        <v/>
      </c>
      <c r="DM65" s="55">
        <f>DM49*28.0*1.5</f>
        <v/>
      </c>
      <c r="DN65" s="55">
        <f>DN49*28.0*1.5</f>
        <v/>
      </c>
      <c r="DO65" s="55">
        <f>DO49*28.0*1.5</f>
        <v/>
      </c>
      <c r="DP65" s="55">
        <f>DP49*28.0*1.5</f>
        <v/>
      </c>
      <c r="DQ65" s="55">
        <f>DQ49*28.0*1.5</f>
        <v/>
      </c>
      <c r="DR65" s="55">
        <f>DR49*28.0*1.5</f>
        <v/>
      </c>
      <c r="DS65" s="55">
        <f>DS49*28.0*1.5</f>
        <v/>
      </c>
      <c r="DT65" s="55">
        <f>DT49*28.0*1.5</f>
        <v/>
      </c>
      <c r="DU65" s="55">
        <f>DU49*28.0*1.5</f>
        <v/>
      </c>
      <c r="DV65" s="55">
        <f>DV49*28.0*1.5</f>
        <v/>
      </c>
      <c r="DW65" s="55">
        <f>DW49*28.0*1.5</f>
        <v/>
      </c>
      <c r="DX65" s="55">
        <f>DX49*28.0*1.5</f>
        <v/>
      </c>
      <c r="DY65" s="55">
        <f>DY49*28.0*1.5</f>
        <v/>
      </c>
      <c r="DZ65" s="55">
        <f>DZ49*28.0*1.5</f>
        <v/>
      </c>
      <c r="EA65" s="55">
        <f>EA49*28.0*1.5</f>
        <v/>
      </c>
      <c r="EB65" s="55">
        <f>EB49*28.0*1.5</f>
        <v/>
      </c>
      <c r="EC65" s="55">
        <f>EC49*28.0*1.5</f>
        <v/>
      </c>
      <c r="ED65" s="55">
        <f>ED49*28.0*1.5</f>
        <v/>
      </c>
      <c r="EE65" s="55">
        <f>EE49*28.0*1.5</f>
        <v/>
      </c>
      <c r="EF65" s="55">
        <f>EF49*28.0*1.5</f>
        <v/>
      </c>
      <c r="EG65" s="55">
        <f>EG49*28.0*1.5</f>
        <v/>
      </c>
      <c r="EH65" s="55">
        <f>EH49*28.0*1.5</f>
        <v/>
      </c>
      <c r="EI65" s="55">
        <f>EI49*28.0*1.5</f>
        <v/>
      </c>
      <c r="EJ65" s="55">
        <f>EJ49*28.0*1.5</f>
        <v/>
      </c>
      <c r="EK65" s="55">
        <f>EK49*28.0*1.5</f>
        <v/>
      </c>
      <c r="EL65" s="55">
        <f>EL49*28.0*1.5</f>
        <v/>
      </c>
      <c r="EM65" s="55">
        <f>EM49*28.0*1.5</f>
        <v/>
      </c>
      <c r="EN65" s="55">
        <f>EN49*28.0*1.5</f>
        <v/>
      </c>
      <c r="EO65" s="55">
        <f>EO49*28.0*1.5</f>
        <v/>
      </c>
      <c r="EP65" s="55">
        <f>EP49*28.0*1.5</f>
        <v/>
      </c>
      <c r="EQ65" s="55">
        <f>EQ49*28.0*1.5</f>
        <v/>
      </c>
      <c r="ER65" s="55">
        <f>ER49*28.0*1.5</f>
        <v/>
      </c>
      <c r="ES65" s="55">
        <f>ES49*28.0*1.5</f>
        <v/>
      </c>
      <c r="ET65" s="55">
        <f>ET49*28.0*1.5</f>
        <v/>
      </c>
      <c r="EU65" s="55">
        <f>EU49*28.0*1.5</f>
        <v/>
      </c>
      <c r="EV65" s="55">
        <f>EV49*28.0*1.5</f>
        <v/>
      </c>
      <c r="EW65" s="55">
        <f>EW49*28.0*1.5</f>
        <v/>
      </c>
      <c r="EX65" s="55">
        <f>EX49*28.0*1.5</f>
        <v/>
      </c>
      <c r="EY65" s="55">
        <f>EY49*28.0*1.5</f>
        <v/>
      </c>
      <c r="EZ65" s="55">
        <f>EZ49*28.0*1.5</f>
        <v/>
      </c>
      <c r="FA65" s="55">
        <f>FA49*28.0*1.5</f>
        <v/>
      </c>
      <c r="FB65" s="55">
        <f>FB49*28.0*1.5</f>
        <v/>
      </c>
      <c r="FC65" s="55">
        <f>FC49*28.0*1.5</f>
        <v/>
      </c>
      <c r="FD65" s="55">
        <f>FD49*28.0*1.5</f>
        <v/>
      </c>
      <c r="FE65" s="55">
        <f>FE49*28.0*1.5</f>
        <v/>
      </c>
      <c r="FF65" s="55">
        <f>FF49*28.0*1.5</f>
        <v/>
      </c>
      <c r="FG65" s="55">
        <f>FG49*28.0*1.5</f>
        <v/>
      </c>
      <c r="FH65" s="55">
        <f>FH49*28.0*1.5</f>
        <v/>
      </c>
      <c r="FI65" s="55">
        <f>FI49*28.0*1.5</f>
        <v/>
      </c>
      <c r="FJ65" s="55">
        <f>FJ49*28.0*1.5</f>
        <v/>
      </c>
      <c r="FK65" s="55">
        <f>FK49*28.0*1.5</f>
        <v/>
      </c>
      <c r="FL65" s="55">
        <f>FL49*28.0*1.5</f>
        <v/>
      </c>
      <c r="FM65" s="55">
        <f>FM49*28.0*1.5</f>
        <v/>
      </c>
      <c r="FN65" s="55">
        <f>FN49*28.0*1.5</f>
        <v/>
      </c>
      <c r="FO65" s="55">
        <f>FO49*28.0*1.5</f>
        <v/>
      </c>
      <c r="FP65" s="55">
        <f>FP49*28.0*1.5</f>
        <v/>
      </c>
      <c r="FQ65" s="55">
        <f>FQ49*28.0*1.5</f>
        <v/>
      </c>
      <c r="FR65" s="55">
        <f>FR49*28.0*1.5</f>
        <v/>
      </c>
      <c r="FS65" s="55">
        <f>FS49*28.0*1.5</f>
        <v/>
      </c>
      <c r="FT65" s="55">
        <f>FT49*28.0*1.5</f>
        <v/>
      </c>
      <c r="FU65" s="55">
        <f>FU49*28.0*1.5</f>
        <v/>
      </c>
      <c r="FV65" s="55">
        <f>FV49*28.0*1.5</f>
        <v/>
      </c>
      <c r="FW65" s="55">
        <f>FW49*28.0*1.5</f>
        <v/>
      </c>
      <c r="FX65" s="55">
        <f>FX49*28.0*1.5</f>
        <v/>
      </c>
      <c r="FY65" s="55">
        <f>FY49*28.0*1.5</f>
        <v/>
      </c>
      <c r="FZ65" s="55">
        <f>FZ49*28.0*1.5</f>
        <v/>
      </c>
      <c r="GA65" s="55">
        <f>GA49*28.0*1.5</f>
        <v/>
      </c>
      <c r="GB65" s="55">
        <f>GB49*28.0*1.5</f>
        <v/>
      </c>
      <c r="GC65" s="55">
        <f>GC49*28.0*1.5</f>
        <v/>
      </c>
    </row>
    <row r="66">
      <c r="A66" s="51" t="inlineStr">
        <is>
          <t>TT</t>
        </is>
      </c>
      <c r="B66" s="51" t="n"/>
      <c r="C66" s="51" t="inlineStr">
        <is>
          <t>Tiêu thụ dầu TT (ĐM: 58.0 l/ca x 2 ca)</t>
        </is>
      </c>
      <c r="D66" s="51" t="n"/>
      <c r="E66" s="52" t="n"/>
      <c r="F66" s="52" t="n"/>
      <c r="G66" s="52" t="n"/>
      <c r="H66" s="52" t="n"/>
      <c r="I66" s="51" t="n"/>
      <c r="J66" s="51" t="n"/>
      <c r="K66" s="51" t="n"/>
      <c r="L66" s="51" t="n"/>
      <c r="M66" s="53" t="n"/>
      <c r="N66" s="51" t="n"/>
      <c r="O66" s="54" t="n"/>
      <c r="P66" s="55">
        <f>P50*58.0*1.5</f>
        <v/>
      </c>
      <c r="Q66" s="55">
        <f>Q50*58.0*1.5</f>
        <v/>
      </c>
      <c r="R66" s="55">
        <f>R50*58.0*1.5</f>
        <v/>
      </c>
      <c r="S66" s="55">
        <f>S50*58.0*1.5</f>
        <v/>
      </c>
      <c r="T66" s="55">
        <f>T50*58.0*1.5</f>
        <v/>
      </c>
      <c r="U66" s="55">
        <f>U50*58.0*1.5</f>
        <v/>
      </c>
      <c r="V66" s="55">
        <f>V50*58.0*1.5</f>
        <v/>
      </c>
      <c r="W66" s="55">
        <f>W50*58.0*1.5</f>
        <v/>
      </c>
      <c r="X66" s="55">
        <f>X50*58.0*1.5</f>
        <v/>
      </c>
      <c r="Y66" s="55">
        <f>Y50*58.0*1.5</f>
        <v/>
      </c>
      <c r="Z66" s="55">
        <f>Z50*58.0*1.5</f>
        <v/>
      </c>
      <c r="AA66" s="55">
        <f>AA50*58.0*1.5</f>
        <v/>
      </c>
      <c r="AB66" s="55">
        <f>AB50*58.0*1.5</f>
        <v/>
      </c>
      <c r="AC66" s="55">
        <f>AC50*58.0*1.5</f>
        <v/>
      </c>
      <c r="AD66" s="55">
        <f>AD50*58.0*1.5</f>
        <v/>
      </c>
      <c r="AE66" s="55">
        <f>AE50*58.0*1.5</f>
        <v/>
      </c>
      <c r="AF66" s="55">
        <f>AF50*58.0*1.5</f>
        <v/>
      </c>
      <c r="AG66" s="55">
        <f>AG50*58.0*1.5</f>
        <v/>
      </c>
      <c r="AH66" s="55">
        <f>AH50*58.0*1.5</f>
        <v/>
      </c>
      <c r="AI66" s="55">
        <f>AI50*58.0*1.5</f>
        <v/>
      </c>
      <c r="AJ66" s="55">
        <f>AJ50*58.0*1.5</f>
        <v/>
      </c>
      <c r="AK66" s="55">
        <f>AK50*58.0*1.5</f>
        <v/>
      </c>
      <c r="AL66" s="55">
        <f>AL50*58.0*1.5</f>
        <v/>
      </c>
      <c r="AM66" s="55">
        <f>AM50*58.0*1.5</f>
        <v/>
      </c>
      <c r="AN66" s="55">
        <f>AN50*58.0*1.5</f>
        <v/>
      </c>
      <c r="AO66" s="55">
        <f>AO50*58.0*1.5</f>
        <v/>
      </c>
      <c r="AP66" s="55">
        <f>AP50*58.0*1.5</f>
        <v/>
      </c>
      <c r="AQ66" s="55">
        <f>AQ50*58.0*1.5</f>
        <v/>
      </c>
      <c r="AR66" s="55">
        <f>AR50*58.0*1.5</f>
        <v/>
      </c>
      <c r="AS66" s="55">
        <f>AS50*58.0*1.5</f>
        <v/>
      </c>
      <c r="AT66" s="55">
        <f>AT50*58.0*1.5</f>
        <v/>
      </c>
      <c r="AU66" s="55">
        <f>AU50*58.0*1.5</f>
        <v/>
      </c>
      <c r="AV66" s="55">
        <f>AV50*58.0*1.5</f>
        <v/>
      </c>
      <c r="AW66" s="55">
        <f>AW50*58.0*1.5</f>
        <v/>
      </c>
      <c r="AX66" s="55">
        <f>AX50*58.0*1.5</f>
        <v/>
      </c>
      <c r="AY66" s="55">
        <f>AY50*58.0*1.5</f>
        <v/>
      </c>
      <c r="AZ66" s="55">
        <f>AZ50*58.0*1.5</f>
        <v/>
      </c>
      <c r="BA66" s="55">
        <f>BA50*58.0*1.5</f>
        <v/>
      </c>
      <c r="BB66" s="55">
        <f>BB50*58.0*1.5</f>
        <v/>
      </c>
      <c r="BC66" s="55">
        <f>BC50*58.0*1.5</f>
        <v/>
      </c>
      <c r="BD66" s="55">
        <f>BD50*58.0*1.5</f>
        <v/>
      </c>
      <c r="BE66" s="55">
        <f>BE50*58.0*1.5</f>
        <v/>
      </c>
      <c r="BF66" s="55">
        <f>BF50*58.0*1.5</f>
        <v/>
      </c>
      <c r="BG66" s="55">
        <f>BG50*58.0*1.5</f>
        <v/>
      </c>
      <c r="BH66" s="55">
        <f>BH50*58.0*1.5</f>
        <v/>
      </c>
      <c r="BI66" s="55">
        <f>BI50*58.0*1.5</f>
        <v/>
      </c>
      <c r="BJ66" s="55">
        <f>BJ50*58.0*1.5</f>
        <v/>
      </c>
      <c r="BK66" s="55">
        <f>BK50*58.0*1.5</f>
        <v/>
      </c>
      <c r="BL66" s="55">
        <f>BL50*58.0*1.5</f>
        <v/>
      </c>
      <c r="BM66" s="55">
        <f>BM50*58.0*1.5</f>
        <v/>
      </c>
      <c r="BN66" s="55">
        <f>BN50*58.0*1.5</f>
        <v/>
      </c>
      <c r="BO66" s="55">
        <f>BO50*58.0*1.5</f>
        <v/>
      </c>
      <c r="BP66" s="55">
        <f>BP50*58.0*1.5</f>
        <v/>
      </c>
      <c r="BQ66" s="55">
        <f>BQ50*58.0*1.5</f>
        <v/>
      </c>
      <c r="BR66" s="55">
        <f>BR50*58.0*1.5</f>
        <v/>
      </c>
      <c r="BS66" s="55">
        <f>BS50*58.0*1.5</f>
        <v/>
      </c>
      <c r="BT66" s="55">
        <f>BT50*58.0*1.5</f>
        <v/>
      </c>
      <c r="BU66" s="55">
        <f>BU50*58.0*1.5</f>
        <v/>
      </c>
      <c r="BV66" s="55">
        <f>BV50*58.0*1.5</f>
        <v/>
      </c>
      <c r="BW66" s="55">
        <f>BW50*58.0*1.5</f>
        <v/>
      </c>
      <c r="BX66" s="55">
        <f>BX50*58.0*1.5</f>
        <v/>
      </c>
      <c r="BY66" s="55">
        <f>BY50*58.0*1.5</f>
        <v/>
      </c>
      <c r="BZ66" s="55">
        <f>BZ50*58.0*1.5</f>
        <v/>
      </c>
      <c r="CA66" s="55">
        <f>CA50*58.0*1.5</f>
        <v/>
      </c>
      <c r="CB66" s="55">
        <f>CB50*58.0*1.5</f>
        <v/>
      </c>
      <c r="CC66" s="55">
        <f>CC50*58.0*1.5</f>
        <v/>
      </c>
      <c r="CD66" s="55">
        <f>CD50*58.0*1.5</f>
        <v/>
      </c>
      <c r="CE66" s="55">
        <f>CE50*58.0*1.5</f>
        <v/>
      </c>
      <c r="CF66" s="55">
        <f>CF50*58.0*1.5</f>
        <v/>
      </c>
      <c r="CG66" s="55">
        <f>CG50*58.0*1.5</f>
        <v/>
      </c>
      <c r="CH66" s="55">
        <f>CH50*58.0*1.5</f>
        <v/>
      </c>
      <c r="CI66" s="55">
        <f>CI50*58.0*1.5</f>
        <v/>
      </c>
      <c r="CJ66" s="55">
        <f>CJ50*58.0*1.5</f>
        <v/>
      </c>
      <c r="CK66" s="55">
        <f>CK50*58.0*1.5</f>
        <v/>
      </c>
      <c r="CL66" s="55">
        <f>CL50*58.0*1.5</f>
        <v/>
      </c>
      <c r="CM66" s="55">
        <f>CM50*58.0*1.5</f>
        <v/>
      </c>
      <c r="CN66" s="55">
        <f>CN50*58.0*1.5</f>
        <v/>
      </c>
      <c r="CO66" s="55">
        <f>CO50*58.0*1.5</f>
        <v/>
      </c>
      <c r="CP66" s="55">
        <f>CP50*58.0*1.5</f>
        <v/>
      </c>
      <c r="CQ66" s="55">
        <f>CQ50*58.0*1.5</f>
        <v/>
      </c>
      <c r="CR66" s="55">
        <f>CR50*58.0*1.5</f>
        <v/>
      </c>
      <c r="CS66" s="55">
        <f>CS50*58.0*1.5</f>
        <v/>
      </c>
      <c r="CT66" s="55">
        <f>CT50*58.0*1.5</f>
        <v/>
      </c>
      <c r="CU66" s="55">
        <f>CU50*58.0*1.5</f>
        <v/>
      </c>
      <c r="CV66" s="55">
        <f>CV50*58.0*1.5</f>
        <v/>
      </c>
      <c r="CW66" s="55">
        <f>CW50*58.0*1.5</f>
        <v/>
      </c>
      <c r="CX66" s="55">
        <f>CX50*58.0*1.5</f>
        <v/>
      </c>
      <c r="CY66" s="55">
        <f>CY50*58.0*1.5</f>
        <v/>
      </c>
      <c r="CZ66" s="55">
        <f>CZ50*58.0*1.5</f>
        <v/>
      </c>
      <c r="DA66" s="55">
        <f>DA50*58.0*1.5</f>
        <v/>
      </c>
      <c r="DB66" s="55">
        <f>DB50*58.0*1.5</f>
        <v/>
      </c>
      <c r="DC66" s="55">
        <f>DC50*58.0*1.5</f>
        <v/>
      </c>
      <c r="DD66" s="55">
        <f>DD50*58.0*1.5</f>
        <v/>
      </c>
      <c r="DE66" s="55">
        <f>DE50*58.0*1.5</f>
        <v/>
      </c>
      <c r="DF66" s="55">
        <f>DF50*58.0*1.5</f>
        <v/>
      </c>
      <c r="DG66" s="55">
        <f>DG50*58.0*1.5</f>
        <v/>
      </c>
      <c r="DH66" s="55">
        <f>DH50*58.0*1.5</f>
        <v/>
      </c>
      <c r="DI66" s="55">
        <f>DI50*58.0*1.5</f>
        <v/>
      </c>
      <c r="DJ66" s="55">
        <f>DJ50*58.0*1.5</f>
        <v/>
      </c>
      <c r="DK66" s="55">
        <f>DK50*58.0*1.5</f>
        <v/>
      </c>
      <c r="DL66" s="55">
        <f>DL50*58.0*1.5</f>
        <v/>
      </c>
      <c r="DM66" s="55">
        <f>DM50*58.0*1.5</f>
        <v/>
      </c>
      <c r="DN66" s="55">
        <f>DN50*58.0*1.5</f>
        <v/>
      </c>
      <c r="DO66" s="55">
        <f>DO50*58.0*1.5</f>
        <v/>
      </c>
      <c r="DP66" s="55">
        <f>DP50*58.0*1.5</f>
        <v/>
      </c>
      <c r="DQ66" s="55">
        <f>DQ50*58.0*1.5</f>
        <v/>
      </c>
      <c r="DR66" s="55">
        <f>DR50*58.0*1.5</f>
        <v/>
      </c>
      <c r="DS66" s="55">
        <f>DS50*58.0*1.5</f>
        <v/>
      </c>
      <c r="DT66" s="55">
        <f>DT50*58.0*1.5</f>
        <v/>
      </c>
      <c r="DU66" s="55">
        <f>DU50*58.0*1.5</f>
        <v/>
      </c>
      <c r="DV66" s="55">
        <f>DV50*58.0*1.5</f>
        <v/>
      </c>
      <c r="DW66" s="55">
        <f>DW50*58.0*1.5</f>
        <v/>
      </c>
      <c r="DX66" s="55">
        <f>DX50*58.0*1.5</f>
        <v/>
      </c>
      <c r="DY66" s="55">
        <f>DY50*58.0*1.5</f>
        <v/>
      </c>
      <c r="DZ66" s="55">
        <f>DZ50*58.0*1.5</f>
        <v/>
      </c>
      <c r="EA66" s="55">
        <f>EA50*58.0*1.5</f>
        <v/>
      </c>
      <c r="EB66" s="55">
        <f>EB50*58.0*1.5</f>
        <v/>
      </c>
      <c r="EC66" s="55">
        <f>EC50*58.0*1.5</f>
        <v/>
      </c>
      <c r="ED66" s="55">
        <f>ED50*58.0*1.5</f>
        <v/>
      </c>
      <c r="EE66" s="55">
        <f>EE50*58.0*1.5</f>
        <v/>
      </c>
      <c r="EF66" s="55">
        <f>EF50*58.0*1.5</f>
        <v/>
      </c>
      <c r="EG66" s="55">
        <f>EG50*58.0*1.5</f>
        <v/>
      </c>
      <c r="EH66" s="55">
        <f>EH50*58.0*1.5</f>
        <v/>
      </c>
      <c r="EI66" s="55">
        <f>EI50*58.0*1.5</f>
        <v/>
      </c>
      <c r="EJ66" s="55">
        <f>EJ50*58.0*1.5</f>
        <v/>
      </c>
      <c r="EK66" s="55">
        <f>EK50*58.0*1.5</f>
        <v/>
      </c>
      <c r="EL66" s="55">
        <f>EL50*58.0*1.5</f>
        <v/>
      </c>
      <c r="EM66" s="55">
        <f>EM50*58.0*1.5</f>
        <v/>
      </c>
      <c r="EN66" s="55">
        <f>EN50*58.0*1.5</f>
        <v/>
      </c>
      <c r="EO66" s="55">
        <f>EO50*58.0*1.5</f>
        <v/>
      </c>
      <c r="EP66" s="55">
        <f>EP50*58.0*1.5</f>
        <v/>
      </c>
      <c r="EQ66" s="55">
        <f>EQ50*58.0*1.5</f>
        <v/>
      </c>
      <c r="ER66" s="55">
        <f>ER50*58.0*1.5</f>
        <v/>
      </c>
      <c r="ES66" s="55">
        <f>ES50*58.0*1.5</f>
        <v/>
      </c>
      <c r="ET66" s="55">
        <f>ET50*58.0*1.5</f>
        <v/>
      </c>
      <c r="EU66" s="55">
        <f>EU50*58.0*1.5</f>
        <v/>
      </c>
      <c r="EV66" s="55">
        <f>EV50*58.0*1.5</f>
        <v/>
      </c>
      <c r="EW66" s="55">
        <f>EW50*58.0*1.5</f>
        <v/>
      </c>
      <c r="EX66" s="55">
        <f>EX50*58.0*1.5</f>
        <v/>
      </c>
      <c r="EY66" s="55">
        <f>EY50*58.0*1.5</f>
        <v/>
      </c>
      <c r="EZ66" s="55">
        <f>EZ50*58.0*1.5</f>
        <v/>
      </c>
      <c r="FA66" s="55">
        <f>FA50*58.0*1.5</f>
        <v/>
      </c>
      <c r="FB66" s="55">
        <f>FB50*58.0*1.5</f>
        <v/>
      </c>
      <c r="FC66" s="55">
        <f>FC50*58.0*1.5</f>
        <v/>
      </c>
      <c r="FD66" s="55">
        <f>FD50*58.0*1.5</f>
        <v/>
      </c>
      <c r="FE66" s="55">
        <f>FE50*58.0*1.5</f>
        <v/>
      </c>
      <c r="FF66" s="55">
        <f>FF50*58.0*1.5</f>
        <v/>
      </c>
      <c r="FG66" s="55">
        <f>FG50*58.0*1.5</f>
        <v/>
      </c>
      <c r="FH66" s="55">
        <f>FH50*58.0*1.5</f>
        <v/>
      </c>
      <c r="FI66" s="55">
        <f>FI50*58.0*1.5</f>
        <v/>
      </c>
      <c r="FJ66" s="55">
        <f>FJ50*58.0*1.5</f>
        <v/>
      </c>
      <c r="FK66" s="55">
        <f>FK50*58.0*1.5</f>
        <v/>
      </c>
      <c r="FL66" s="55">
        <f>FL50*58.0*1.5</f>
        <v/>
      </c>
      <c r="FM66" s="55">
        <f>FM50*58.0*1.5</f>
        <v/>
      </c>
      <c r="FN66" s="55">
        <f>FN50*58.0*1.5</f>
        <v/>
      </c>
      <c r="FO66" s="55">
        <f>FO50*58.0*1.5</f>
        <v/>
      </c>
      <c r="FP66" s="55">
        <f>FP50*58.0*1.5</f>
        <v/>
      </c>
      <c r="FQ66" s="55">
        <f>FQ50*58.0*1.5</f>
        <v/>
      </c>
      <c r="FR66" s="55">
        <f>FR50*58.0*1.5</f>
        <v/>
      </c>
      <c r="FS66" s="55">
        <f>FS50*58.0*1.5</f>
        <v/>
      </c>
      <c r="FT66" s="55">
        <f>FT50*58.0*1.5</f>
        <v/>
      </c>
      <c r="FU66" s="55">
        <f>FU50*58.0*1.5</f>
        <v/>
      </c>
      <c r="FV66" s="55">
        <f>FV50*58.0*1.5</f>
        <v/>
      </c>
      <c r="FW66" s="55">
        <f>FW50*58.0*1.5</f>
        <v/>
      </c>
      <c r="FX66" s="55">
        <f>FX50*58.0*1.5</f>
        <v/>
      </c>
      <c r="FY66" s="55">
        <f>FY50*58.0*1.5</f>
        <v/>
      </c>
      <c r="FZ66" s="55">
        <f>FZ50*58.0*1.5</f>
        <v/>
      </c>
      <c r="GA66" s="55">
        <f>GA50*58.0*1.5</f>
        <v/>
      </c>
      <c r="GB66" s="55">
        <f>GB50*58.0*1.5</f>
        <v/>
      </c>
      <c r="GC66" s="55">
        <f>GC50*58.0*1.5</f>
        <v/>
      </c>
    </row>
    <row r="67">
      <c r="A67" s="51" t="inlineStr">
        <is>
          <t>GL</t>
        </is>
      </c>
      <c r="B67" s="51" t="n"/>
      <c r="C67" s="51" t="inlineStr">
        <is>
          <t>Tiêu thụ dầu GL (ĐM: 35.0 l/ca x 2 ca)</t>
        </is>
      </c>
      <c r="D67" s="51" t="n"/>
      <c r="E67" s="52" t="n"/>
      <c r="F67" s="52" t="n"/>
      <c r="G67" s="52" t="n"/>
      <c r="H67" s="52" t="n"/>
      <c r="I67" s="51" t="n"/>
      <c r="J67" s="51" t="n"/>
      <c r="K67" s="51" t="n"/>
      <c r="L67" s="51" t="n"/>
      <c r="M67" s="53" t="n"/>
      <c r="N67" s="51" t="n"/>
      <c r="O67" s="54" t="n"/>
      <c r="P67" s="55">
        <f>P51*35.0*1.5</f>
        <v/>
      </c>
      <c r="Q67" s="55">
        <f>Q51*35.0*1.5</f>
        <v/>
      </c>
      <c r="R67" s="55">
        <f>R51*35.0*1.5</f>
        <v/>
      </c>
      <c r="S67" s="55">
        <f>S51*35.0*1.5</f>
        <v/>
      </c>
      <c r="T67" s="55">
        <f>T51*35.0*1.5</f>
        <v/>
      </c>
      <c r="U67" s="55">
        <f>U51*35.0*1.5</f>
        <v/>
      </c>
      <c r="V67" s="55">
        <f>V51*35.0*1.5</f>
        <v/>
      </c>
      <c r="W67" s="55">
        <f>W51*35.0*1.5</f>
        <v/>
      </c>
      <c r="X67" s="55">
        <f>X51*35.0*1.5</f>
        <v/>
      </c>
      <c r="Y67" s="55">
        <f>Y51*35.0*1.5</f>
        <v/>
      </c>
      <c r="Z67" s="55">
        <f>Z51*35.0*1.5</f>
        <v/>
      </c>
      <c r="AA67" s="55">
        <f>AA51*35.0*1.5</f>
        <v/>
      </c>
      <c r="AB67" s="55">
        <f>AB51*35.0*1.5</f>
        <v/>
      </c>
      <c r="AC67" s="55">
        <f>AC51*35.0*1.5</f>
        <v/>
      </c>
      <c r="AD67" s="55">
        <f>AD51*35.0*1.5</f>
        <v/>
      </c>
      <c r="AE67" s="55">
        <f>AE51*35.0*1.5</f>
        <v/>
      </c>
      <c r="AF67" s="55">
        <f>AF51*35.0*1.5</f>
        <v/>
      </c>
      <c r="AG67" s="55">
        <f>AG51*35.0*1.5</f>
        <v/>
      </c>
      <c r="AH67" s="55">
        <f>AH51*35.0*1.5</f>
        <v/>
      </c>
      <c r="AI67" s="55">
        <f>AI51*35.0*1.5</f>
        <v/>
      </c>
      <c r="AJ67" s="55">
        <f>AJ51*35.0*1.5</f>
        <v/>
      </c>
      <c r="AK67" s="55">
        <f>AK51*35.0*1.5</f>
        <v/>
      </c>
      <c r="AL67" s="55">
        <f>AL51*35.0*1.5</f>
        <v/>
      </c>
      <c r="AM67" s="55">
        <f>AM51*35.0*1.5</f>
        <v/>
      </c>
      <c r="AN67" s="55">
        <f>AN51*35.0*1.5</f>
        <v/>
      </c>
      <c r="AO67" s="55">
        <f>AO51*35.0*1.5</f>
        <v/>
      </c>
      <c r="AP67" s="55">
        <f>AP51*35.0*1.5</f>
        <v/>
      </c>
      <c r="AQ67" s="55">
        <f>AQ51*35.0*1.5</f>
        <v/>
      </c>
      <c r="AR67" s="55">
        <f>AR51*35.0*1.5</f>
        <v/>
      </c>
      <c r="AS67" s="55">
        <f>AS51*35.0*1.5</f>
        <v/>
      </c>
      <c r="AT67" s="55">
        <f>AT51*35.0*1.5</f>
        <v/>
      </c>
      <c r="AU67" s="55">
        <f>AU51*35.0*1.5</f>
        <v/>
      </c>
      <c r="AV67" s="55">
        <f>AV51*35.0*1.5</f>
        <v/>
      </c>
      <c r="AW67" s="55">
        <f>AW51*35.0*1.5</f>
        <v/>
      </c>
      <c r="AX67" s="55">
        <f>AX51*35.0*1.5</f>
        <v/>
      </c>
      <c r="AY67" s="55">
        <f>AY51*35.0*1.5</f>
        <v/>
      </c>
      <c r="AZ67" s="55">
        <f>AZ51*35.0*1.5</f>
        <v/>
      </c>
      <c r="BA67" s="55">
        <f>BA51*35.0*1.5</f>
        <v/>
      </c>
      <c r="BB67" s="55">
        <f>BB51*35.0*1.5</f>
        <v/>
      </c>
      <c r="BC67" s="55">
        <f>BC51*35.0*1.5</f>
        <v/>
      </c>
      <c r="BD67" s="55">
        <f>BD51*35.0*1.5</f>
        <v/>
      </c>
      <c r="BE67" s="55">
        <f>BE51*35.0*1.5</f>
        <v/>
      </c>
      <c r="BF67" s="55">
        <f>BF51*35.0*1.5</f>
        <v/>
      </c>
      <c r="BG67" s="55">
        <f>BG51*35.0*1.5</f>
        <v/>
      </c>
      <c r="BH67" s="55">
        <f>BH51*35.0*1.5</f>
        <v/>
      </c>
      <c r="BI67" s="55">
        <f>BI51*35.0*1.5</f>
        <v/>
      </c>
      <c r="BJ67" s="55">
        <f>BJ51*35.0*1.5</f>
        <v/>
      </c>
      <c r="BK67" s="55">
        <f>BK51*35.0*1.5</f>
        <v/>
      </c>
      <c r="BL67" s="55">
        <f>BL51*35.0*1.5</f>
        <v/>
      </c>
      <c r="BM67" s="55">
        <f>BM51*35.0*1.5</f>
        <v/>
      </c>
      <c r="BN67" s="55">
        <f>BN51*35.0*1.5</f>
        <v/>
      </c>
      <c r="BO67" s="55">
        <f>BO51*35.0*1.5</f>
        <v/>
      </c>
      <c r="BP67" s="55">
        <f>BP51*35.0*1.5</f>
        <v/>
      </c>
      <c r="BQ67" s="55">
        <f>BQ51*35.0*1.5</f>
        <v/>
      </c>
      <c r="BR67" s="55">
        <f>BR51*35.0*1.5</f>
        <v/>
      </c>
      <c r="BS67" s="55">
        <f>BS51*35.0*1.5</f>
        <v/>
      </c>
      <c r="BT67" s="55">
        <f>BT51*35.0*1.5</f>
        <v/>
      </c>
      <c r="BU67" s="55">
        <f>BU51*35.0*1.5</f>
        <v/>
      </c>
      <c r="BV67" s="55">
        <f>BV51*35.0*1.5</f>
        <v/>
      </c>
      <c r="BW67" s="55">
        <f>BW51*35.0*1.5</f>
        <v/>
      </c>
      <c r="BX67" s="55">
        <f>BX51*35.0*1.5</f>
        <v/>
      </c>
      <c r="BY67" s="55">
        <f>BY51*35.0*1.5</f>
        <v/>
      </c>
      <c r="BZ67" s="55">
        <f>BZ51*35.0*1.5</f>
        <v/>
      </c>
      <c r="CA67" s="55">
        <f>CA51*35.0*1.5</f>
        <v/>
      </c>
      <c r="CB67" s="55">
        <f>CB51*35.0*1.5</f>
        <v/>
      </c>
      <c r="CC67" s="55">
        <f>CC51*35.0*1.5</f>
        <v/>
      </c>
      <c r="CD67" s="55">
        <f>CD51*35.0*1.5</f>
        <v/>
      </c>
      <c r="CE67" s="55">
        <f>CE51*35.0*1.5</f>
        <v/>
      </c>
      <c r="CF67" s="55">
        <f>CF51*35.0*1.5</f>
        <v/>
      </c>
      <c r="CG67" s="55">
        <f>CG51*35.0*1.5</f>
        <v/>
      </c>
      <c r="CH67" s="55">
        <f>CH51*35.0*1.5</f>
        <v/>
      </c>
      <c r="CI67" s="55">
        <f>CI51*35.0*1.5</f>
        <v/>
      </c>
      <c r="CJ67" s="55">
        <f>CJ51*35.0*1.5</f>
        <v/>
      </c>
      <c r="CK67" s="55">
        <f>CK51*35.0*1.5</f>
        <v/>
      </c>
      <c r="CL67" s="55">
        <f>CL51*35.0*1.5</f>
        <v/>
      </c>
      <c r="CM67" s="55">
        <f>CM51*35.0*1.5</f>
        <v/>
      </c>
      <c r="CN67" s="55">
        <f>CN51*35.0*1.5</f>
        <v/>
      </c>
      <c r="CO67" s="55">
        <f>CO51*35.0*1.5</f>
        <v/>
      </c>
      <c r="CP67" s="55">
        <f>CP51*35.0*1.5</f>
        <v/>
      </c>
      <c r="CQ67" s="55">
        <f>CQ51*35.0*1.5</f>
        <v/>
      </c>
      <c r="CR67" s="55">
        <f>CR51*35.0*1.5</f>
        <v/>
      </c>
      <c r="CS67" s="55">
        <f>CS51*35.0*1.5</f>
        <v/>
      </c>
      <c r="CT67" s="55">
        <f>CT51*35.0*1.5</f>
        <v/>
      </c>
      <c r="CU67" s="55">
        <f>CU51*35.0*1.5</f>
        <v/>
      </c>
      <c r="CV67" s="55">
        <f>CV51*35.0*1.5</f>
        <v/>
      </c>
      <c r="CW67" s="55">
        <f>CW51*35.0*1.5</f>
        <v/>
      </c>
      <c r="CX67" s="55">
        <f>CX51*35.0*1.5</f>
        <v/>
      </c>
      <c r="CY67" s="55">
        <f>CY51*35.0*1.5</f>
        <v/>
      </c>
      <c r="CZ67" s="55">
        <f>CZ51*35.0*1.5</f>
        <v/>
      </c>
      <c r="DA67" s="55">
        <f>DA51*35.0*1.5</f>
        <v/>
      </c>
      <c r="DB67" s="55">
        <f>DB51*35.0*1.5</f>
        <v/>
      </c>
      <c r="DC67" s="55">
        <f>DC51*35.0*1.5</f>
        <v/>
      </c>
      <c r="DD67" s="55">
        <f>DD51*35.0*1.5</f>
        <v/>
      </c>
      <c r="DE67" s="55">
        <f>DE51*35.0*1.5</f>
        <v/>
      </c>
      <c r="DF67" s="55">
        <f>DF51*35.0*1.5</f>
        <v/>
      </c>
      <c r="DG67" s="55">
        <f>DG51*35.0*1.5</f>
        <v/>
      </c>
      <c r="DH67" s="55">
        <f>DH51*35.0*1.5</f>
        <v/>
      </c>
      <c r="DI67" s="55">
        <f>DI51*35.0*1.5</f>
        <v/>
      </c>
      <c r="DJ67" s="55">
        <f>DJ51*35.0*1.5</f>
        <v/>
      </c>
      <c r="DK67" s="55">
        <f>DK51*35.0*1.5</f>
        <v/>
      </c>
      <c r="DL67" s="55">
        <f>DL51*35.0*1.5</f>
        <v/>
      </c>
      <c r="DM67" s="55">
        <f>DM51*35.0*1.5</f>
        <v/>
      </c>
      <c r="DN67" s="55">
        <f>DN51*35.0*1.5</f>
        <v/>
      </c>
      <c r="DO67" s="55">
        <f>DO51*35.0*1.5</f>
        <v/>
      </c>
      <c r="DP67" s="55">
        <f>DP51*35.0*1.5</f>
        <v/>
      </c>
      <c r="DQ67" s="55">
        <f>DQ51*35.0*1.5</f>
        <v/>
      </c>
      <c r="DR67" s="55">
        <f>DR51*35.0*1.5</f>
        <v/>
      </c>
      <c r="DS67" s="55">
        <f>DS51*35.0*1.5</f>
        <v/>
      </c>
      <c r="DT67" s="55">
        <f>DT51*35.0*1.5</f>
        <v/>
      </c>
      <c r="DU67" s="55">
        <f>DU51*35.0*1.5</f>
        <v/>
      </c>
      <c r="DV67" s="55">
        <f>DV51*35.0*1.5</f>
        <v/>
      </c>
      <c r="DW67" s="55">
        <f>DW51*35.0*1.5</f>
        <v/>
      </c>
      <c r="DX67" s="55">
        <f>DX51*35.0*1.5</f>
        <v/>
      </c>
      <c r="DY67" s="55">
        <f>DY51*35.0*1.5</f>
        <v/>
      </c>
      <c r="DZ67" s="55">
        <f>DZ51*35.0*1.5</f>
        <v/>
      </c>
      <c r="EA67" s="55">
        <f>EA51*35.0*1.5</f>
        <v/>
      </c>
      <c r="EB67" s="55">
        <f>EB51*35.0*1.5</f>
        <v/>
      </c>
      <c r="EC67" s="55">
        <f>EC51*35.0*1.5</f>
        <v/>
      </c>
      <c r="ED67" s="55">
        <f>ED51*35.0*1.5</f>
        <v/>
      </c>
      <c r="EE67" s="55">
        <f>EE51*35.0*1.5</f>
        <v/>
      </c>
      <c r="EF67" s="55">
        <f>EF51*35.0*1.5</f>
        <v/>
      </c>
      <c r="EG67" s="55">
        <f>EG51*35.0*1.5</f>
        <v/>
      </c>
      <c r="EH67" s="55">
        <f>EH51*35.0*1.5</f>
        <v/>
      </c>
      <c r="EI67" s="55">
        <f>EI51*35.0*1.5</f>
        <v/>
      </c>
      <c r="EJ67" s="55">
        <f>EJ51*35.0*1.5</f>
        <v/>
      </c>
      <c r="EK67" s="55">
        <f>EK51*35.0*1.5</f>
        <v/>
      </c>
      <c r="EL67" s="55">
        <f>EL51*35.0*1.5</f>
        <v/>
      </c>
      <c r="EM67" s="55">
        <f>EM51*35.0*1.5</f>
        <v/>
      </c>
      <c r="EN67" s="55">
        <f>EN51*35.0*1.5</f>
        <v/>
      </c>
      <c r="EO67" s="55">
        <f>EO51*35.0*1.5</f>
        <v/>
      </c>
      <c r="EP67" s="55">
        <f>EP51*35.0*1.5</f>
        <v/>
      </c>
      <c r="EQ67" s="55">
        <f>EQ51*35.0*1.5</f>
        <v/>
      </c>
      <c r="ER67" s="55">
        <f>ER51*35.0*1.5</f>
        <v/>
      </c>
      <c r="ES67" s="55">
        <f>ES51*35.0*1.5</f>
        <v/>
      </c>
      <c r="ET67" s="55">
        <f>ET51*35.0*1.5</f>
        <v/>
      </c>
      <c r="EU67" s="55">
        <f>EU51*35.0*1.5</f>
        <v/>
      </c>
      <c r="EV67" s="55">
        <f>EV51*35.0*1.5</f>
        <v/>
      </c>
      <c r="EW67" s="55">
        <f>EW51*35.0*1.5</f>
        <v/>
      </c>
      <c r="EX67" s="55">
        <f>EX51*35.0*1.5</f>
        <v/>
      </c>
      <c r="EY67" s="55">
        <f>EY51*35.0*1.5</f>
        <v/>
      </c>
      <c r="EZ67" s="55">
        <f>EZ51*35.0*1.5</f>
        <v/>
      </c>
      <c r="FA67" s="55">
        <f>FA51*35.0*1.5</f>
        <v/>
      </c>
      <c r="FB67" s="55">
        <f>FB51*35.0*1.5</f>
        <v/>
      </c>
      <c r="FC67" s="55">
        <f>FC51*35.0*1.5</f>
        <v/>
      </c>
      <c r="FD67" s="55">
        <f>FD51*35.0*1.5</f>
        <v/>
      </c>
      <c r="FE67" s="55">
        <f>FE51*35.0*1.5</f>
        <v/>
      </c>
      <c r="FF67" s="55">
        <f>FF51*35.0*1.5</f>
        <v/>
      </c>
      <c r="FG67" s="55">
        <f>FG51*35.0*1.5</f>
        <v/>
      </c>
      <c r="FH67" s="55">
        <f>FH51*35.0*1.5</f>
        <v/>
      </c>
      <c r="FI67" s="55">
        <f>FI51*35.0*1.5</f>
        <v/>
      </c>
      <c r="FJ67" s="55">
        <f>FJ51*35.0*1.5</f>
        <v/>
      </c>
      <c r="FK67" s="55">
        <f>FK51*35.0*1.5</f>
        <v/>
      </c>
      <c r="FL67" s="55">
        <f>FL51*35.0*1.5</f>
        <v/>
      </c>
      <c r="FM67" s="55">
        <f>FM51*35.0*1.5</f>
        <v/>
      </c>
      <c r="FN67" s="55">
        <f>FN51*35.0*1.5</f>
        <v/>
      </c>
      <c r="FO67" s="55">
        <f>FO51*35.0*1.5</f>
        <v/>
      </c>
      <c r="FP67" s="55">
        <f>FP51*35.0*1.5</f>
        <v/>
      </c>
      <c r="FQ67" s="55">
        <f>FQ51*35.0*1.5</f>
        <v/>
      </c>
      <c r="FR67" s="55">
        <f>FR51*35.0*1.5</f>
        <v/>
      </c>
      <c r="FS67" s="55">
        <f>FS51*35.0*1.5</f>
        <v/>
      </c>
      <c r="FT67" s="55">
        <f>FT51*35.0*1.5</f>
        <v/>
      </c>
      <c r="FU67" s="55">
        <f>FU51*35.0*1.5</f>
        <v/>
      </c>
      <c r="FV67" s="55">
        <f>FV51*35.0*1.5</f>
        <v/>
      </c>
      <c r="FW67" s="55">
        <f>FW51*35.0*1.5</f>
        <v/>
      </c>
      <c r="FX67" s="55">
        <f>FX51*35.0*1.5</f>
        <v/>
      </c>
      <c r="FY67" s="55">
        <f>FY51*35.0*1.5</f>
        <v/>
      </c>
      <c r="FZ67" s="55">
        <f>FZ51*35.0*1.5</f>
        <v/>
      </c>
      <c r="GA67" s="55">
        <f>GA51*35.0*1.5</f>
        <v/>
      </c>
      <c r="GB67" s="55">
        <f>GB51*35.0*1.5</f>
        <v/>
      </c>
      <c r="GC67" s="55">
        <f>GC51*35.0*1.5</f>
        <v/>
      </c>
    </row>
    <row r="68">
      <c r="A68" s="51" t="inlineStr">
        <is>
          <t>LU</t>
        </is>
      </c>
      <c r="B68" s="51" t="n"/>
      <c r="C68" s="51" t="inlineStr">
        <is>
          <t>Tiêu thụ dầu LU (ĐM: 45.0 l/ca x 2 ca)</t>
        </is>
      </c>
      <c r="D68" s="51" t="n"/>
      <c r="E68" s="52" t="n"/>
      <c r="F68" s="52" t="n"/>
      <c r="G68" s="52" t="n"/>
      <c r="H68" s="52" t="n"/>
      <c r="I68" s="51" t="n"/>
      <c r="J68" s="51" t="n"/>
      <c r="K68" s="51" t="n"/>
      <c r="L68" s="51" t="n"/>
      <c r="M68" s="53" t="n"/>
      <c r="N68" s="51" t="n"/>
      <c r="O68" s="54" t="n"/>
      <c r="P68" s="55">
        <f>P52*45.0*1.5</f>
        <v/>
      </c>
      <c r="Q68" s="55">
        <f>Q52*45.0*1.5</f>
        <v/>
      </c>
      <c r="R68" s="55">
        <f>R52*45.0*1.5</f>
        <v/>
      </c>
      <c r="S68" s="55">
        <f>S52*45.0*1.5</f>
        <v/>
      </c>
      <c r="T68" s="55">
        <f>T52*45.0*1.5</f>
        <v/>
      </c>
      <c r="U68" s="55">
        <f>U52*45.0*1.5</f>
        <v/>
      </c>
      <c r="V68" s="55">
        <f>V52*45.0*1.5</f>
        <v/>
      </c>
      <c r="W68" s="55">
        <f>W52*45.0*1.5</f>
        <v/>
      </c>
      <c r="X68" s="55">
        <f>X52*45.0*1.5</f>
        <v/>
      </c>
      <c r="Y68" s="55">
        <f>Y52*45.0*1.5</f>
        <v/>
      </c>
      <c r="Z68" s="55">
        <f>Z52*45.0*1.5</f>
        <v/>
      </c>
      <c r="AA68" s="55">
        <f>AA52*45.0*1.5</f>
        <v/>
      </c>
      <c r="AB68" s="55">
        <f>AB52*45.0*1.5</f>
        <v/>
      </c>
      <c r="AC68" s="55">
        <f>AC52*45.0*1.5</f>
        <v/>
      </c>
      <c r="AD68" s="55">
        <f>AD52*45.0*1.5</f>
        <v/>
      </c>
      <c r="AE68" s="55">
        <f>AE52*45.0*1.5</f>
        <v/>
      </c>
      <c r="AF68" s="55">
        <f>AF52*45.0*1.5</f>
        <v/>
      </c>
      <c r="AG68" s="55">
        <f>AG52*45.0*1.5</f>
        <v/>
      </c>
      <c r="AH68" s="55">
        <f>AH52*45.0*1.5</f>
        <v/>
      </c>
      <c r="AI68" s="55">
        <f>AI52*45.0*1.5</f>
        <v/>
      </c>
      <c r="AJ68" s="55">
        <f>AJ52*45.0*1.5</f>
        <v/>
      </c>
      <c r="AK68" s="55">
        <f>AK52*45.0*1.5</f>
        <v/>
      </c>
      <c r="AL68" s="55">
        <f>AL52*45.0*1.5</f>
        <v/>
      </c>
      <c r="AM68" s="55">
        <f>AM52*45.0*1.5</f>
        <v/>
      </c>
      <c r="AN68" s="55">
        <f>AN52*45.0*1.5</f>
        <v/>
      </c>
      <c r="AO68" s="55">
        <f>AO52*45.0*1.5</f>
        <v/>
      </c>
      <c r="AP68" s="55">
        <f>AP52*45.0*1.5</f>
        <v/>
      </c>
      <c r="AQ68" s="55">
        <f>AQ52*45.0*1.5</f>
        <v/>
      </c>
      <c r="AR68" s="55">
        <f>AR52*45.0*1.5</f>
        <v/>
      </c>
      <c r="AS68" s="55">
        <f>AS52*45.0*1.5</f>
        <v/>
      </c>
      <c r="AT68" s="55">
        <f>AT52*45.0*1.5</f>
        <v/>
      </c>
      <c r="AU68" s="55">
        <f>AU52*45.0*1.5</f>
        <v/>
      </c>
      <c r="AV68" s="55">
        <f>AV52*45.0*1.5</f>
        <v/>
      </c>
      <c r="AW68" s="55">
        <f>AW52*45.0*1.5</f>
        <v/>
      </c>
      <c r="AX68" s="55">
        <f>AX52*45.0*1.5</f>
        <v/>
      </c>
      <c r="AY68" s="55">
        <f>AY52*45.0*1.5</f>
        <v/>
      </c>
      <c r="AZ68" s="55">
        <f>AZ52*45.0*1.5</f>
        <v/>
      </c>
      <c r="BA68" s="55">
        <f>BA52*45.0*1.5</f>
        <v/>
      </c>
      <c r="BB68" s="55">
        <f>BB52*45.0*1.5</f>
        <v/>
      </c>
      <c r="BC68" s="55">
        <f>BC52*45.0*1.5</f>
        <v/>
      </c>
      <c r="BD68" s="55">
        <f>BD52*45.0*1.5</f>
        <v/>
      </c>
      <c r="BE68" s="55">
        <f>BE52*45.0*1.5</f>
        <v/>
      </c>
      <c r="BF68" s="55">
        <f>BF52*45.0*1.5</f>
        <v/>
      </c>
      <c r="BG68" s="55">
        <f>BG52*45.0*1.5</f>
        <v/>
      </c>
      <c r="BH68" s="55">
        <f>BH52*45.0*1.5</f>
        <v/>
      </c>
      <c r="BI68" s="55">
        <f>BI52*45.0*1.5</f>
        <v/>
      </c>
      <c r="BJ68" s="55">
        <f>BJ52*45.0*1.5</f>
        <v/>
      </c>
      <c r="BK68" s="55">
        <f>BK52*45.0*1.5</f>
        <v/>
      </c>
      <c r="BL68" s="55">
        <f>BL52*45.0*1.5</f>
        <v/>
      </c>
      <c r="BM68" s="55">
        <f>BM52*45.0*1.5</f>
        <v/>
      </c>
      <c r="BN68" s="55">
        <f>BN52*45.0*1.5</f>
        <v/>
      </c>
      <c r="BO68" s="55">
        <f>BO52*45.0*1.5</f>
        <v/>
      </c>
      <c r="BP68" s="55">
        <f>BP52*45.0*1.5</f>
        <v/>
      </c>
      <c r="BQ68" s="55">
        <f>BQ52*45.0*1.5</f>
        <v/>
      </c>
      <c r="BR68" s="55">
        <f>BR52*45.0*1.5</f>
        <v/>
      </c>
      <c r="BS68" s="55">
        <f>BS52*45.0*1.5</f>
        <v/>
      </c>
      <c r="BT68" s="55">
        <f>BT52*45.0*1.5</f>
        <v/>
      </c>
      <c r="BU68" s="55">
        <f>BU52*45.0*1.5</f>
        <v/>
      </c>
      <c r="BV68" s="55">
        <f>BV52*45.0*1.5</f>
        <v/>
      </c>
      <c r="BW68" s="55">
        <f>BW52*45.0*1.5</f>
        <v/>
      </c>
      <c r="BX68" s="55">
        <f>BX52*45.0*1.5</f>
        <v/>
      </c>
      <c r="BY68" s="55">
        <f>BY52*45.0*1.5</f>
        <v/>
      </c>
      <c r="BZ68" s="55">
        <f>BZ52*45.0*1.5</f>
        <v/>
      </c>
      <c r="CA68" s="55">
        <f>CA52*45.0*1.5</f>
        <v/>
      </c>
      <c r="CB68" s="55">
        <f>CB52*45.0*1.5</f>
        <v/>
      </c>
      <c r="CC68" s="55">
        <f>CC52*45.0*1.5</f>
        <v/>
      </c>
      <c r="CD68" s="55">
        <f>CD52*45.0*1.5</f>
        <v/>
      </c>
      <c r="CE68" s="55">
        <f>CE52*45.0*1.5</f>
        <v/>
      </c>
      <c r="CF68" s="55">
        <f>CF52*45.0*1.5</f>
        <v/>
      </c>
      <c r="CG68" s="55">
        <f>CG52*45.0*1.5</f>
        <v/>
      </c>
      <c r="CH68" s="55">
        <f>CH52*45.0*1.5</f>
        <v/>
      </c>
      <c r="CI68" s="55">
        <f>CI52*45.0*1.5</f>
        <v/>
      </c>
      <c r="CJ68" s="55">
        <f>CJ52*45.0*1.5</f>
        <v/>
      </c>
      <c r="CK68" s="55">
        <f>CK52*45.0*1.5</f>
        <v/>
      </c>
      <c r="CL68" s="55">
        <f>CL52*45.0*1.5</f>
        <v/>
      </c>
      <c r="CM68" s="55">
        <f>CM52*45.0*1.5</f>
        <v/>
      </c>
      <c r="CN68" s="55">
        <f>CN52*45.0*1.5</f>
        <v/>
      </c>
      <c r="CO68" s="55">
        <f>CO52*45.0*1.5</f>
        <v/>
      </c>
      <c r="CP68" s="55">
        <f>CP52*45.0*1.5</f>
        <v/>
      </c>
      <c r="CQ68" s="55">
        <f>CQ52*45.0*1.5</f>
        <v/>
      </c>
      <c r="CR68" s="55">
        <f>CR52*45.0*1.5</f>
        <v/>
      </c>
      <c r="CS68" s="55">
        <f>CS52*45.0*1.5</f>
        <v/>
      </c>
      <c r="CT68" s="55">
        <f>CT52*45.0*1.5</f>
        <v/>
      </c>
      <c r="CU68" s="55">
        <f>CU52*45.0*1.5</f>
        <v/>
      </c>
      <c r="CV68" s="55">
        <f>CV52*45.0*1.5</f>
        <v/>
      </c>
      <c r="CW68" s="55">
        <f>CW52*45.0*1.5</f>
        <v/>
      </c>
      <c r="CX68" s="55">
        <f>CX52*45.0*1.5</f>
        <v/>
      </c>
      <c r="CY68" s="55">
        <f>CY52*45.0*1.5</f>
        <v/>
      </c>
      <c r="CZ68" s="55">
        <f>CZ52*45.0*1.5</f>
        <v/>
      </c>
      <c r="DA68" s="55">
        <f>DA52*45.0*1.5</f>
        <v/>
      </c>
      <c r="DB68" s="55">
        <f>DB52*45.0*1.5</f>
        <v/>
      </c>
      <c r="DC68" s="55">
        <f>DC52*45.0*1.5</f>
        <v/>
      </c>
      <c r="DD68" s="55">
        <f>DD52*45.0*1.5</f>
        <v/>
      </c>
      <c r="DE68" s="55">
        <f>DE52*45.0*1.5</f>
        <v/>
      </c>
      <c r="DF68" s="55">
        <f>DF52*45.0*1.5</f>
        <v/>
      </c>
      <c r="DG68" s="55">
        <f>DG52*45.0*1.5</f>
        <v/>
      </c>
      <c r="DH68" s="55">
        <f>DH52*45.0*1.5</f>
        <v/>
      </c>
      <c r="DI68" s="55">
        <f>DI52*45.0*1.5</f>
        <v/>
      </c>
      <c r="DJ68" s="55">
        <f>DJ52*45.0*1.5</f>
        <v/>
      </c>
      <c r="DK68" s="55">
        <f>DK52*45.0*1.5</f>
        <v/>
      </c>
      <c r="DL68" s="55">
        <f>DL52*45.0*1.5</f>
        <v/>
      </c>
      <c r="DM68" s="55">
        <f>DM52*45.0*1.5</f>
        <v/>
      </c>
      <c r="DN68" s="55">
        <f>DN52*45.0*1.5</f>
        <v/>
      </c>
      <c r="DO68" s="55">
        <f>DO52*45.0*1.5</f>
        <v/>
      </c>
      <c r="DP68" s="55">
        <f>DP52*45.0*1.5</f>
        <v/>
      </c>
      <c r="DQ68" s="55">
        <f>DQ52*45.0*1.5</f>
        <v/>
      </c>
      <c r="DR68" s="55">
        <f>DR52*45.0*1.5</f>
        <v/>
      </c>
      <c r="DS68" s="55">
        <f>DS52*45.0*1.5</f>
        <v/>
      </c>
      <c r="DT68" s="55">
        <f>DT52*45.0*1.5</f>
        <v/>
      </c>
      <c r="DU68" s="55">
        <f>DU52*45.0*1.5</f>
        <v/>
      </c>
      <c r="DV68" s="55">
        <f>DV52*45.0*1.5</f>
        <v/>
      </c>
      <c r="DW68" s="55">
        <f>DW52*45.0*1.5</f>
        <v/>
      </c>
      <c r="DX68" s="55">
        <f>DX52*45.0*1.5</f>
        <v/>
      </c>
      <c r="DY68" s="55">
        <f>DY52*45.0*1.5</f>
        <v/>
      </c>
      <c r="DZ68" s="55">
        <f>DZ52*45.0*1.5</f>
        <v/>
      </c>
      <c r="EA68" s="55">
        <f>EA52*45.0*1.5</f>
        <v/>
      </c>
      <c r="EB68" s="55">
        <f>EB52*45.0*1.5</f>
        <v/>
      </c>
      <c r="EC68" s="55">
        <f>EC52*45.0*1.5</f>
        <v/>
      </c>
      <c r="ED68" s="55">
        <f>ED52*45.0*1.5</f>
        <v/>
      </c>
      <c r="EE68" s="55">
        <f>EE52*45.0*1.5</f>
        <v/>
      </c>
      <c r="EF68" s="55">
        <f>EF52*45.0*1.5</f>
        <v/>
      </c>
      <c r="EG68" s="55">
        <f>EG52*45.0*1.5</f>
        <v/>
      </c>
      <c r="EH68" s="55">
        <f>EH52*45.0*1.5</f>
        <v/>
      </c>
      <c r="EI68" s="55">
        <f>EI52*45.0*1.5</f>
        <v/>
      </c>
      <c r="EJ68" s="55">
        <f>EJ52*45.0*1.5</f>
        <v/>
      </c>
      <c r="EK68" s="55">
        <f>EK52*45.0*1.5</f>
        <v/>
      </c>
      <c r="EL68" s="55">
        <f>EL52*45.0*1.5</f>
        <v/>
      </c>
      <c r="EM68" s="55">
        <f>EM52*45.0*1.5</f>
        <v/>
      </c>
      <c r="EN68" s="55">
        <f>EN52*45.0*1.5</f>
        <v/>
      </c>
      <c r="EO68" s="55">
        <f>EO52*45.0*1.5</f>
        <v/>
      </c>
      <c r="EP68" s="55">
        <f>EP52*45.0*1.5</f>
        <v/>
      </c>
      <c r="EQ68" s="55">
        <f>EQ52*45.0*1.5</f>
        <v/>
      </c>
      <c r="ER68" s="55">
        <f>ER52*45.0*1.5</f>
        <v/>
      </c>
      <c r="ES68" s="55">
        <f>ES52*45.0*1.5</f>
        <v/>
      </c>
      <c r="ET68" s="55">
        <f>ET52*45.0*1.5</f>
        <v/>
      </c>
      <c r="EU68" s="55">
        <f>EU52*45.0*1.5</f>
        <v/>
      </c>
      <c r="EV68" s="55">
        <f>EV52*45.0*1.5</f>
        <v/>
      </c>
      <c r="EW68" s="55">
        <f>EW52*45.0*1.5</f>
        <v/>
      </c>
      <c r="EX68" s="55">
        <f>EX52*45.0*1.5</f>
        <v/>
      </c>
      <c r="EY68" s="55">
        <f>EY52*45.0*1.5</f>
        <v/>
      </c>
      <c r="EZ68" s="55">
        <f>EZ52*45.0*1.5</f>
        <v/>
      </c>
      <c r="FA68" s="55">
        <f>FA52*45.0*1.5</f>
        <v/>
      </c>
      <c r="FB68" s="55">
        <f>FB52*45.0*1.5</f>
        <v/>
      </c>
      <c r="FC68" s="55">
        <f>FC52*45.0*1.5</f>
        <v/>
      </c>
      <c r="FD68" s="55">
        <f>FD52*45.0*1.5</f>
        <v/>
      </c>
      <c r="FE68" s="55">
        <f>FE52*45.0*1.5</f>
        <v/>
      </c>
      <c r="FF68" s="55">
        <f>FF52*45.0*1.5</f>
        <v/>
      </c>
      <c r="FG68" s="55">
        <f>FG52*45.0*1.5</f>
        <v/>
      </c>
      <c r="FH68" s="55">
        <f>FH52*45.0*1.5</f>
        <v/>
      </c>
      <c r="FI68" s="55">
        <f>FI52*45.0*1.5</f>
        <v/>
      </c>
      <c r="FJ68" s="55">
        <f>FJ52*45.0*1.5</f>
        <v/>
      </c>
      <c r="FK68" s="55">
        <f>FK52*45.0*1.5</f>
        <v/>
      </c>
      <c r="FL68" s="55">
        <f>FL52*45.0*1.5</f>
        <v/>
      </c>
      <c r="FM68" s="55">
        <f>FM52*45.0*1.5</f>
        <v/>
      </c>
      <c r="FN68" s="55">
        <f>FN52*45.0*1.5</f>
        <v/>
      </c>
      <c r="FO68" s="55">
        <f>FO52*45.0*1.5</f>
        <v/>
      </c>
      <c r="FP68" s="55">
        <f>FP52*45.0*1.5</f>
        <v/>
      </c>
      <c r="FQ68" s="55">
        <f>FQ52*45.0*1.5</f>
        <v/>
      </c>
      <c r="FR68" s="55">
        <f>FR52*45.0*1.5</f>
        <v/>
      </c>
      <c r="FS68" s="55">
        <f>FS52*45.0*1.5</f>
        <v/>
      </c>
      <c r="FT68" s="55">
        <f>FT52*45.0*1.5</f>
        <v/>
      </c>
      <c r="FU68" s="55">
        <f>FU52*45.0*1.5</f>
        <v/>
      </c>
      <c r="FV68" s="55">
        <f>FV52*45.0*1.5</f>
        <v/>
      </c>
      <c r="FW68" s="55">
        <f>FW52*45.0*1.5</f>
        <v/>
      </c>
      <c r="FX68" s="55">
        <f>FX52*45.0*1.5</f>
        <v/>
      </c>
      <c r="FY68" s="55">
        <f>FY52*45.0*1.5</f>
        <v/>
      </c>
      <c r="FZ68" s="55">
        <f>FZ52*45.0*1.5</f>
        <v/>
      </c>
      <c r="GA68" s="55">
        <f>GA52*45.0*1.5</f>
        <v/>
      </c>
      <c r="GB68" s="55">
        <f>GB52*45.0*1.5</f>
        <v/>
      </c>
      <c r="GC68" s="55">
        <f>GC52*45.0*1.5</f>
        <v/>
      </c>
    </row>
    <row r="69">
      <c r="A69" s="51" t="inlineStr">
        <is>
          <t>XT</t>
        </is>
      </c>
      <c r="B69" s="51" t="n"/>
      <c r="C69" s="51" t="inlineStr">
        <is>
          <t>Tiêu thụ dầu XT (ĐM: 44.0 l/ca x 2 ca)</t>
        </is>
      </c>
      <c r="D69" s="51" t="n"/>
      <c r="E69" s="52" t="n"/>
      <c r="F69" s="52" t="n"/>
      <c r="G69" s="52" t="n"/>
      <c r="H69" s="52" t="n"/>
      <c r="I69" s="51" t="n"/>
      <c r="J69" s="51" t="n"/>
      <c r="K69" s="51" t="n"/>
      <c r="L69" s="51" t="n"/>
      <c r="M69" s="53" t="n"/>
      <c r="N69" s="51" t="n"/>
      <c r="O69" s="54" t="n"/>
      <c r="P69" s="55">
        <f>P53*44.0*1.5</f>
        <v/>
      </c>
      <c r="Q69" s="55">
        <f>Q53*44.0*1.5</f>
        <v/>
      </c>
      <c r="R69" s="55">
        <f>R53*44.0*1.5</f>
        <v/>
      </c>
      <c r="S69" s="55">
        <f>S53*44.0*1.5</f>
        <v/>
      </c>
      <c r="T69" s="55">
        <f>T53*44.0*1.5</f>
        <v/>
      </c>
      <c r="U69" s="55">
        <f>U53*44.0*1.5</f>
        <v/>
      </c>
      <c r="V69" s="55">
        <f>V53*44.0*1.5</f>
        <v/>
      </c>
      <c r="W69" s="55">
        <f>W53*44.0*1.5</f>
        <v/>
      </c>
      <c r="X69" s="55">
        <f>X53*44.0*1.5</f>
        <v/>
      </c>
      <c r="Y69" s="55">
        <f>Y53*44.0*1.5</f>
        <v/>
      </c>
      <c r="Z69" s="55">
        <f>Z53*44.0*1.5</f>
        <v/>
      </c>
      <c r="AA69" s="55">
        <f>AA53*44.0*1.5</f>
        <v/>
      </c>
      <c r="AB69" s="55">
        <f>AB53*44.0*1.5</f>
        <v/>
      </c>
      <c r="AC69" s="55">
        <f>AC53*44.0*1.5</f>
        <v/>
      </c>
      <c r="AD69" s="55">
        <f>AD53*44.0*1.5</f>
        <v/>
      </c>
      <c r="AE69" s="55">
        <f>AE53*44.0*1.5</f>
        <v/>
      </c>
      <c r="AF69" s="55">
        <f>AF53*44.0*1.5</f>
        <v/>
      </c>
      <c r="AG69" s="55">
        <f>AG53*44.0*1.5</f>
        <v/>
      </c>
      <c r="AH69" s="55">
        <f>AH53*44.0*1.5</f>
        <v/>
      </c>
      <c r="AI69" s="55">
        <f>AI53*44.0*1.5</f>
        <v/>
      </c>
      <c r="AJ69" s="55">
        <f>AJ53*44.0*1.5</f>
        <v/>
      </c>
      <c r="AK69" s="55">
        <f>AK53*44.0*1.5</f>
        <v/>
      </c>
      <c r="AL69" s="55">
        <f>AL53*44.0*1.5</f>
        <v/>
      </c>
      <c r="AM69" s="55">
        <f>AM53*44.0*1.5</f>
        <v/>
      </c>
      <c r="AN69" s="55">
        <f>AN53*44.0*1.5</f>
        <v/>
      </c>
      <c r="AO69" s="55">
        <f>AO53*44.0*1.5</f>
        <v/>
      </c>
      <c r="AP69" s="55">
        <f>AP53*44.0*1.5</f>
        <v/>
      </c>
      <c r="AQ69" s="55">
        <f>AQ53*44.0*1.5</f>
        <v/>
      </c>
      <c r="AR69" s="55">
        <f>AR53*44.0*1.5</f>
        <v/>
      </c>
      <c r="AS69" s="55">
        <f>AS53*44.0*1.5</f>
        <v/>
      </c>
      <c r="AT69" s="55">
        <f>AT53*44.0*1.5</f>
        <v/>
      </c>
      <c r="AU69" s="55">
        <f>AU53*44.0*1.5</f>
        <v/>
      </c>
      <c r="AV69" s="55">
        <f>AV53*44.0*1.5</f>
        <v/>
      </c>
      <c r="AW69" s="55">
        <f>AW53*44.0*1.5</f>
        <v/>
      </c>
      <c r="AX69" s="55">
        <f>AX53*44.0*1.5</f>
        <v/>
      </c>
      <c r="AY69" s="55">
        <f>AY53*44.0*1.5</f>
        <v/>
      </c>
      <c r="AZ69" s="55">
        <f>AZ53*44.0*1.5</f>
        <v/>
      </c>
      <c r="BA69" s="55">
        <f>BA53*44.0*1.5</f>
        <v/>
      </c>
      <c r="BB69" s="55">
        <f>BB53*44.0*1.5</f>
        <v/>
      </c>
      <c r="BC69" s="55">
        <f>BC53*44.0*1.5</f>
        <v/>
      </c>
      <c r="BD69" s="55">
        <f>BD53*44.0*1.5</f>
        <v/>
      </c>
      <c r="BE69" s="55">
        <f>BE53*44.0*1.5</f>
        <v/>
      </c>
      <c r="BF69" s="55">
        <f>BF53*44.0*1.5</f>
        <v/>
      </c>
      <c r="BG69" s="55">
        <f>BG53*44.0*1.5</f>
        <v/>
      </c>
      <c r="BH69" s="55">
        <f>BH53*44.0*1.5</f>
        <v/>
      </c>
      <c r="BI69" s="55">
        <f>BI53*44.0*1.5</f>
        <v/>
      </c>
      <c r="BJ69" s="55">
        <f>BJ53*44.0*1.5</f>
        <v/>
      </c>
      <c r="BK69" s="55">
        <f>BK53*44.0*1.5</f>
        <v/>
      </c>
      <c r="BL69" s="55">
        <f>BL53*44.0*1.5</f>
        <v/>
      </c>
      <c r="BM69" s="55">
        <f>BM53*44.0*1.5</f>
        <v/>
      </c>
      <c r="BN69" s="55">
        <f>BN53*44.0*1.5</f>
        <v/>
      </c>
      <c r="BO69" s="55">
        <f>BO53*44.0*1.5</f>
        <v/>
      </c>
      <c r="BP69" s="55">
        <f>BP53*44.0*1.5</f>
        <v/>
      </c>
      <c r="BQ69" s="55">
        <f>BQ53*44.0*1.5</f>
        <v/>
      </c>
      <c r="BR69" s="55">
        <f>BR53*44.0*1.5</f>
        <v/>
      </c>
      <c r="BS69" s="55">
        <f>BS53*44.0*1.5</f>
        <v/>
      </c>
      <c r="BT69" s="55">
        <f>BT53*44.0*1.5</f>
        <v/>
      </c>
      <c r="BU69" s="55">
        <f>BU53*44.0*1.5</f>
        <v/>
      </c>
      <c r="BV69" s="55">
        <f>BV53*44.0*1.5</f>
        <v/>
      </c>
      <c r="BW69" s="55">
        <f>BW53*44.0*1.5</f>
        <v/>
      </c>
      <c r="BX69" s="55">
        <f>BX53*44.0*1.5</f>
        <v/>
      </c>
      <c r="BY69" s="55">
        <f>BY53*44.0*1.5</f>
        <v/>
      </c>
      <c r="BZ69" s="55">
        <f>BZ53*44.0*1.5</f>
        <v/>
      </c>
      <c r="CA69" s="55">
        <f>CA53*44.0*1.5</f>
        <v/>
      </c>
      <c r="CB69" s="55">
        <f>CB53*44.0*1.5</f>
        <v/>
      </c>
      <c r="CC69" s="55">
        <f>CC53*44.0*1.5</f>
        <v/>
      </c>
      <c r="CD69" s="55">
        <f>CD53*44.0*1.5</f>
        <v/>
      </c>
      <c r="CE69" s="55">
        <f>CE53*44.0*1.5</f>
        <v/>
      </c>
      <c r="CF69" s="55">
        <f>CF53*44.0*1.5</f>
        <v/>
      </c>
      <c r="CG69" s="55">
        <f>CG53*44.0*1.5</f>
        <v/>
      </c>
      <c r="CH69" s="55">
        <f>CH53*44.0*1.5</f>
        <v/>
      </c>
      <c r="CI69" s="55">
        <f>CI53*44.0*1.5</f>
        <v/>
      </c>
      <c r="CJ69" s="55">
        <f>CJ53*44.0*1.5</f>
        <v/>
      </c>
      <c r="CK69" s="55">
        <f>CK53*44.0*1.5</f>
        <v/>
      </c>
      <c r="CL69" s="55">
        <f>CL53*44.0*1.5</f>
        <v/>
      </c>
      <c r="CM69" s="55">
        <f>CM53*44.0*1.5</f>
        <v/>
      </c>
      <c r="CN69" s="55">
        <f>CN53*44.0*1.5</f>
        <v/>
      </c>
      <c r="CO69" s="55">
        <f>CO53*44.0*1.5</f>
        <v/>
      </c>
      <c r="CP69" s="55">
        <f>CP53*44.0*1.5</f>
        <v/>
      </c>
      <c r="CQ69" s="55">
        <f>CQ53*44.0*1.5</f>
        <v/>
      </c>
      <c r="CR69" s="55">
        <f>CR53*44.0*1.5</f>
        <v/>
      </c>
      <c r="CS69" s="55">
        <f>CS53*44.0*1.5</f>
        <v/>
      </c>
      <c r="CT69" s="55">
        <f>CT53*44.0*1.5</f>
        <v/>
      </c>
      <c r="CU69" s="55">
        <f>CU53*44.0*1.5</f>
        <v/>
      </c>
      <c r="CV69" s="55">
        <f>CV53*44.0*1.5</f>
        <v/>
      </c>
      <c r="CW69" s="55">
        <f>CW53*44.0*1.5</f>
        <v/>
      </c>
      <c r="CX69" s="55">
        <f>CX53*44.0*1.5</f>
        <v/>
      </c>
      <c r="CY69" s="55">
        <f>CY53*44.0*1.5</f>
        <v/>
      </c>
      <c r="CZ69" s="55">
        <f>CZ53*44.0*1.5</f>
        <v/>
      </c>
      <c r="DA69" s="55">
        <f>DA53*44.0*1.5</f>
        <v/>
      </c>
      <c r="DB69" s="55">
        <f>DB53*44.0*1.5</f>
        <v/>
      </c>
      <c r="DC69" s="55">
        <f>DC53*44.0*1.5</f>
        <v/>
      </c>
      <c r="DD69" s="55">
        <f>DD53*44.0*1.5</f>
        <v/>
      </c>
      <c r="DE69" s="55">
        <f>DE53*44.0*1.5</f>
        <v/>
      </c>
      <c r="DF69" s="55">
        <f>DF53*44.0*1.5</f>
        <v/>
      </c>
      <c r="DG69" s="55">
        <f>DG53*44.0*1.5</f>
        <v/>
      </c>
      <c r="DH69" s="55">
        <f>DH53*44.0*1.5</f>
        <v/>
      </c>
      <c r="DI69" s="55">
        <f>DI53*44.0*1.5</f>
        <v/>
      </c>
      <c r="DJ69" s="55">
        <f>DJ53*44.0*1.5</f>
        <v/>
      </c>
      <c r="DK69" s="55">
        <f>DK53*44.0*1.5</f>
        <v/>
      </c>
      <c r="DL69" s="55">
        <f>DL53*44.0*1.5</f>
        <v/>
      </c>
      <c r="DM69" s="55">
        <f>DM53*44.0*1.5</f>
        <v/>
      </c>
      <c r="DN69" s="55">
        <f>DN53*44.0*1.5</f>
        <v/>
      </c>
      <c r="DO69" s="55">
        <f>DO53*44.0*1.5</f>
        <v/>
      </c>
      <c r="DP69" s="55">
        <f>DP53*44.0*1.5</f>
        <v/>
      </c>
      <c r="DQ69" s="55">
        <f>DQ53*44.0*1.5</f>
        <v/>
      </c>
      <c r="DR69" s="55">
        <f>DR53*44.0*1.5</f>
        <v/>
      </c>
      <c r="DS69" s="55">
        <f>DS53*44.0*1.5</f>
        <v/>
      </c>
      <c r="DT69" s="55">
        <f>DT53*44.0*1.5</f>
        <v/>
      </c>
      <c r="DU69" s="55">
        <f>DU53*44.0*1.5</f>
        <v/>
      </c>
      <c r="DV69" s="55">
        <f>DV53*44.0*1.5</f>
        <v/>
      </c>
      <c r="DW69" s="55">
        <f>DW53*44.0*1.5</f>
        <v/>
      </c>
      <c r="DX69" s="55">
        <f>DX53*44.0*1.5</f>
        <v/>
      </c>
      <c r="DY69" s="55">
        <f>DY53*44.0*1.5</f>
        <v/>
      </c>
      <c r="DZ69" s="55">
        <f>DZ53*44.0*1.5</f>
        <v/>
      </c>
      <c r="EA69" s="55">
        <f>EA53*44.0*1.5</f>
        <v/>
      </c>
      <c r="EB69" s="55">
        <f>EB53*44.0*1.5</f>
        <v/>
      </c>
      <c r="EC69" s="55">
        <f>EC53*44.0*1.5</f>
        <v/>
      </c>
      <c r="ED69" s="55">
        <f>ED53*44.0*1.5</f>
        <v/>
      </c>
      <c r="EE69" s="55">
        <f>EE53*44.0*1.5</f>
        <v/>
      </c>
      <c r="EF69" s="55">
        <f>EF53*44.0*1.5</f>
        <v/>
      </c>
      <c r="EG69" s="55">
        <f>EG53*44.0*1.5</f>
        <v/>
      </c>
      <c r="EH69" s="55">
        <f>EH53*44.0*1.5</f>
        <v/>
      </c>
      <c r="EI69" s="55">
        <f>EI53*44.0*1.5</f>
        <v/>
      </c>
      <c r="EJ69" s="55">
        <f>EJ53*44.0*1.5</f>
        <v/>
      </c>
      <c r="EK69" s="55">
        <f>EK53*44.0*1.5</f>
        <v/>
      </c>
      <c r="EL69" s="55">
        <f>EL53*44.0*1.5</f>
        <v/>
      </c>
      <c r="EM69" s="55">
        <f>EM53*44.0*1.5</f>
        <v/>
      </c>
      <c r="EN69" s="55">
        <f>EN53*44.0*1.5</f>
        <v/>
      </c>
      <c r="EO69" s="55">
        <f>EO53*44.0*1.5</f>
        <v/>
      </c>
      <c r="EP69" s="55">
        <f>EP53*44.0*1.5</f>
        <v/>
      </c>
      <c r="EQ69" s="55">
        <f>EQ53*44.0*1.5</f>
        <v/>
      </c>
      <c r="ER69" s="55">
        <f>ER53*44.0*1.5</f>
        <v/>
      </c>
      <c r="ES69" s="55">
        <f>ES53*44.0*1.5</f>
        <v/>
      </c>
      <c r="ET69" s="55">
        <f>ET53*44.0*1.5</f>
        <v/>
      </c>
      <c r="EU69" s="55">
        <f>EU53*44.0*1.5</f>
        <v/>
      </c>
      <c r="EV69" s="55">
        <f>EV53*44.0*1.5</f>
        <v/>
      </c>
      <c r="EW69" s="55">
        <f>EW53*44.0*1.5</f>
        <v/>
      </c>
      <c r="EX69" s="55">
        <f>EX53*44.0*1.5</f>
        <v/>
      </c>
      <c r="EY69" s="55">
        <f>EY53*44.0*1.5</f>
        <v/>
      </c>
      <c r="EZ69" s="55">
        <f>EZ53*44.0*1.5</f>
        <v/>
      </c>
      <c r="FA69" s="55">
        <f>FA53*44.0*1.5</f>
        <v/>
      </c>
      <c r="FB69" s="55">
        <f>FB53*44.0*1.5</f>
        <v/>
      </c>
      <c r="FC69" s="55">
        <f>FC53*44.0*1.5</f>
        <v/>
      </c>
      <c r="FD69" s="55">
        <f>FD53*44.0*1.5</f>
        <v/>
      </c>
      <c r="FE69" s="55">
        <f>FE53*44.0*1.5</f>
        <v/>
      </c>
      <c r="FF69" s="55">
        <f>FF53*44.0*1.5</f>
        <v/>
      </c>
      <c r="FG69" s="55">
        <f>FG53*44.0*1.5</f>
        <v/>
      </c>
      <c r="FH69" s="55">
        <f>FH53*44.0*1.5</f>
        <v/>
      </c>
      <c r="FI69" s="55">
        <f>FI53*44.0*1.5</f>
        <v/>
      </c>
      <c r="FJ69" s="55">
        <f>FJ53*44.0*1.5</f>
        <v/>
      </c>
      <c r="FK69" s="55">
        <f>FK53*44.0*1.5</f>
        <v/>
      </c>
      <c r="FL69" s="55">
        <f>FL53*44.0*1.5</f>
        <v/>
      </c>
      <c r="FM69" s="55">
        <f>FM53*44.0*1.5</f>
        <v/>
      </c>
      <c r="FN69" s="55">
        <f>FN53*44.0*1.5</f>
        <v/>
      </c>
      <c r="FO69" s="55">
        <f>FO53*44.0*1.5</f>
        <v/>
      </c>
      <c r="FP69" s="55">
        <f>FP53*44.0*1.5</f>
        <v/>
      </c>
      <c r="FQ69" s="55">
        <f>FQ53*44.0*1.5</f>
        <v/>
      </c>
      <c r="FR69" s="55">
        <f>FR53*44.0*1.5</f>
        <v/>
      </c>
      <c r="FS69" s="55">
        <f>FS53*44.0*1.5</f>
        <v/>
      </c>
      <c r="FT69" s="55">
        <f>FT53*44.0*1.5</f>
        <v/>
      </c>
      <c r="FU69" s="55">
        <f>FU53*44.0*1.5</f>
        <v/>
      </c>
      <c r="FV69" s="55">
        <f>FV53*44.0*1.5</f>
        <v/>
      </c>
      <c r="FW69" s="55">
        <f>FW53*44.0*1.5</f>
        <v/>
      </c>
      <c r="FX69" s="55">
        <f>FX53*44.0*1.5</f>
        <v/>
      </c>
      <c r="FY69" s="55">
        <f>FY53*44.0*1.5</f>
        <v/>
      </c>
      <c r="FZ69" s="55">
        <f>FZ53*44.0*1.5</f>
        <v/>
      </c>
      <c r="GA69" s="55">
        <f>GA53*44.0*1.5</f>
        <v/>
      </c>
      <c r="GB69" s="55">
        <f>GB53*44.0*1.5</f>
        <v/>
      </c>
      <c r="GC69" s="55">
        <f>GC53*44.0*1.5</f>
        <v/>
      </c>
    </row>
    <row r="70">
      <c r="A70" s="51" t="inlineStr">
        <is>
          <t>MP</t>
        </is>
      </c>
      <c r="B70" s="51" t="n"/>
      <c r="C70" s="51" t="inlineStr">
        <is>
          <t>Tiêu thụ dầu MP (ĐM: 55.0 l/ca x 2 ca)</t>
        </is>
      </c>
      <c r="D70" s="51" t="n"/>
      <c r="E70" s="52" t="n"/>
      <c r="F70" s="52" t="n"/>
      <c r="G70" s="52" t="n"/>
      <c r="H70" s="52" t="n"/>
      <c r="I70" s="51" t="n"/>
      <c r="J70" s="51" t="n"/>
      <c r="K70" s="51" t="n"/>
      <c r="L70" s="51" t="n"/>
      <c r="M70" s="53" t="n"/>
      <c r="N70" s="51" t="n"/>
      <c r="O70" s="54" t="n"/>
      <c r="P70" s="55">
        <f>P54*55.0*1.5</f>
        <v/>
      </c>
      <c r="Q70" s="55">
        <f>Q54*55.0*1.5</f>
        <v/>
      </c>
      <c r="R70" s="55">
        <f>R54*55.0*1.5</f>
        <v/>
      </c>
      <c r="S70" s="55">
        <f>S54*55.0*1.5</f>
        <v/>
      </c>
      <c r="T70" s="55">
        <f>T54*55.0*1.5</f>
        <v/>
      </c>
      <c r="U70" s="55">
        <f>U54*55.0*1.5</f>
        <v/>
      </c>
      <c r="V70" s="55">
        <f>V54*55.0*1.5</f>
        <v/>
      </c>
      <c r="W70" s="55">
        <f>W54*55.0*1.5</f>
        <v/>
      </c>
      <c r="X70" s="55">
        <f>X54*55.0*1.5</f>
        <v/>
      </c>
      <c r="Y70" s="55">
        <f>Y54*55.0*1.5</f>
        <v/>
      </c>
      <c r="Z70" s="55">
        <f>Z54*55.0*1.5</f>
        <v/>
      </c>
      <c r="AA70" s="55">
        <f>AA54*55.0*1.5</f>
        <v/>
      </c>
      <c r="AB70" s="55">
        <f>AB54*55.0*1.5</f>
        <v/>
      </c>
      <c r="AC70" s="55">
        <f>AC54*55.0*1.5</f>
        <v/>
      </c>
      <c r="AD70" s="55">
        <f>AD54*55.0*1.5</f>
        <v/>
      </c>
      <c r="AE70" s="55">
        <f>AE54*55.0*1.5</f>
        <v/>
      </c>
      <c r="AF70" s="55">
        <f>AF54*55.0*1.5</f>
        <v/>
      </c>
      <c r="AG70" s="55">
        <f>AG54*55.0*1.5</f>
        <v/>
      </c>
      <c r="AH70" s="55">
        <f>AH54*55.0*1.5</f>
        <v/>
      </c>
      <c r="AI70" s="55">
        <f>AI54*55.0*1.5</f>
        <v/>
      </c>
      <c r="AJ70" s="55">
        <f>AJ54*55.0*1.5</f>
        <v/>
      </c>
      <c r="AK70" s="55">
        <f>AK54*55.0*1.5</f>
        <v/>
      </c>
      <c r="AL70" s="55">
        <f>AL54*55.0*1.5</f>
        <v/>
      </c>
      <c r="AM70" s="55">
        <f>AM54*55.0*1.5</f>
        <v/>
      </c>
      <c r="AN70" s="55">
        <f>AN54*55.0*1.5</f>
        <v/>
      </c>
      <c r="AO70" s="55">
        <f>AO54*55.0*1.5</f>
        <v/>
      </c>
      <c r="AP70" s="55">
        <f>AP54*55.0*1.5</f>
        <v/>
      </c>
      <c r="AQ70" s="55">
        <f>AQ54*55.0*1.5</f>
        <v/>
      </c>
      <c r="AR70" s="55">
        <f>AR54*55.0*1.5</f>
        <v/>
      </c>
      <c r="AS70" s="55">
        <f>AS54*55.0*1.5</f>
        <v/>
      </c>
      <c r="AT70" s="55">
        <f>AT54*55.0*1.5</f>
        <v/>
      </c>
      <c r="AU70" s="55">
        <f>AU54*55.0*1.5</f>
        <v/>
      </c>
      <c r="AV70" s="55">
        <f>AV54*55.0*1.5</f>
        <v/>
      </c>
      <c r="AW70" s="55">
        <f>AW54*55.0*1.5</f>
        <v/>
      </c>
      <c r="AX70" s="55">
        <f>AX54*55.0*1.5</f>
        <v/>
      </c>
      <c r="AY70" s="55">
        <f>AY54*55.0*1.5</f>
        <v/>
      </c>
      <c r="AZ70" s="55">
        <f>AZ54*55.0*1.5</f>
        <v/>
      </c>
      <c r="BA70" s="55">
        <f>BA54*55.0*1.5</f>
        <v/>
      </c>
      <c r="BB70" s="55">
        <f>BB54*55.0*1.5</f>
        <v/>
      </c>
      <c r="BC70" s="55">
        <f>BC54*55.0*1.5</f>
        <v/>
      </c>
      <c r="BD70" s="55">
        <f>BD54*55.0*1.5</f>
        <v/>
      </c>
      <c r="BE70" s="55">
        <f>BE54*55.0*1.5</f>
        <v/>
      </c>
      <c r="BF70" s="55">
        <f>BF54*55.0*1.5</f>
        <v/>
      </c>
      <c r="BG70" s="55">
        <f>BG54*55.0*1.5</f>
        <v/>
      </c>
      <c r="BH70" s="55">
        <f>BH54*55.0*1.5</f>
        <v/>
      </c>
      <c r="BI70" s="55">
        <f>BI54*55.0*1.5</f>
        <v/>
      </c>
      <c r="BJ70" s="55">
        <f>BJ54*55.0*1.5</f>
        <v/>
      </c>
      <c r="BK70" s="55">
        <f>BK54*55.0*1.5</f>
        <v/>
      </c>
      <c r="BL70" s="55">
        <f>BL54*55.0*1.5</f>
        <v/>
      </c>
      <c r="BM70" s="55">
        <f>BM54*55.0*1.5</f>
        <v/>
      </c>
      <c r="BN70" s="55">
        <f>BN54*55.0*1.5</f>
        <v/>
      </c>
      <c r="BO70" s="55">
        <f>BO54*55.0*1.5</f>
        <v/>
      </c>
      <c r="BP70" s="55">
        <f>BP54*55.0*1.5</f>
        <v/>
      </c>
      <c r="BQ70" s="55">
        <f>BQ54*55.0*1.5</f>
        <v/>
      </c>
      <c r="BR70" s="55">
        <f>BR54*55.0*1.5</f>
        <v/>
      </c>
      <c r="BS70" s="55">
        <f>BS54*55.0*1.5</f>
        <v/>
      </c>
      <c r="BT70" s="55">
        <f>BT54*55.0*1.5</f>
        <v/>
      </c>
      <c r="BU70" s="55">
        <f>BU54*55.0*1.5</f>
        <v/>
      </c>
      <c r="BV70" s="55">
        <f>BV54*55.0*1.5</f>
        <v/>
      </c>
      <c r="BW70" s="55">
        <f>BW54*55.0*1.5</f>
        <v/>
      </c>
      <c r="BX70" s="55">
        <f>BX54*55.0*1.5</f>
        <v/>
      </c>
      <c r="BY70" s="55">
        <f>BY54*55.0*1.5</f>
        <v/>
      </c>
      <c r="BZ70" s="55">
        <f>BZ54*55.0*1.5</f>
        <v/>
      </c>
      <c r="CA70" s="55">
        <f>CA54*55.0*1.5</f>
        <v/>
      </c>
      <c r="CB70" s="55">
        <f>CB54*55.0*1.5</f>
        <v/>
      </c>
      <c r="CC70" s="55">
        <f>CC54*55.0*1.5</f>
        <v/>
      </c>
      <c r="CD70" s="55">
        <f>CD54*55.0*1.5</f>
        <v/>
      </c>
      <c r="CE70" s="55">
        <f>CE54*55.0*1.5</f>
        <v/>
      </c>
      <c r="CF70" s="55">
        <f>CF54*55.0*1.5</f>
        <v/>
      </c>
      <c r="CG70" s="55">
        <f>CG54*55.0*1.5</f>
        <v/>
      </c>
      <c r="CH70" s="55">
        <f>CH54*55.0*1.5</f>
        <v/>
      </c>
      <c r="CI70" s="55">
        <f>CI54*55.0*1.5</f>
        <v/>
      </c>
      <c r="CJ70" s="55">
        <f>CJ54*55.0*1.5</f>
        <v/>
      </c>
      <c r="CK70" s="55">
        <f>CK54*55.0*1.5</f>
        <v/>
      </c>
      <c r="CL70" s="55">
        <f>CL54*55.0*1.5</f>
        <v/>
      </c>
      <c r="CM70" s="55">
        <f>CM54*55.0*1.5</f>
        <v/>
      </c>
      <c r="CN70" s="55">
        <f>CN54*55.0*1.5</f>
        <v/>
      </c>
      <c r="CO70" s="55">
        <f>CO54*55.0*1.5</f>
        <v/>
      </c>
      <c r="CP70" s="55">
        <f>CP54*55.0*1.5</f>
        <v/>
      </c>
      <c r="CQ70" s="55">
        <f>CQ54*55.0*1.5</f>
        <v/>
      </c>
      <c r="CR70" s="55">
        <f>CR54*55.0*1.5</f>
        <v/>
      </c>
      <c r="CS70" s="55">
        <f>CS54*55.0*1.5</f>
        <v/>
      </c>
      <c r="CT70" s="55">
        <f>CT54*55.0*1.5</f>
        <v/>
      </c>
      <c r="CU70" s="55">
        <f>CU54*55.0*1.5</f>
        <v/>
      </c>
      <c r="CV70" s="55">
        <f>CV54*55.0*1.5</f>
        <v/>
      </c>
      <c r="CW70" s="55">
        <f>CW54*55.0*1.5</f>
        <v/>
      </c>
      <c r="CX70" s="55">
        <f>CX54*55.0*1.5</f>
        <v/>
      </c>
      <c r="CY70" s="55">
        <f>CY54*55.0*1.5</f>
        <v/>
      </c>
      <c r="CZ70" s="55">
        <f>CZ54*55.0*1.5</f>
        <v/>
      </c>
      <c r="DA70" s="55">
        <f>DA54*55.0*1.5</f>
        <v/>
      </c>
      <c r="DB70" s="55">
        <f>DB54*55.0*1.5</f>
        <v/>
      </c>
      <c r="DC70" s="55">
        <f>DC54*55.0*1.5</f>
        <v/>
      </c>
      <c r="DD70" s="55">
        <f>DD54*55.0*1.5</f>
        <v/>
      </c>
      <c r="DE70" s="55">
        <f>DE54*55.0*1.5</f>
        <v/>
      </c>
      <c r="DF70" s="55">
        <f>DF54*55.0*1.5</f>
        <v/>
      </c>
      <c r="DG70" s="55">
        <f>DG54*55.0*1.5</f>
        <v/>
      </c>
      <c r="DH70" s="55">
        <f>DH54*55.0*1.5</f>
        <v/>
      </c>
      <c r="DI70" s="55">
        <f>DI54*55.0*1.5</f>
        <v/>
      </c>
      <c r="DJ70" s="55">
        <f>DJ54*55.0*1.5</f>
        <v/>
      </c>
      <c r="DK70" s="55">
        <f>DK54*55.0*1.5</f>
        <v/>
      </c>
      <c r="DL70" s="55">
        <f>DL54*55.0*1.5</f>
        <v/>
      </c>
      <c r="DM70" s="55">
        <f>DM54*55.0*1.5</f>
        <v/>
      </c>
      <c r="DN70" s="55">
        <f>DN54*55.0*1.5</f>
        <v/>
      </c>
      <c r="DO70" s="55">
        <f>DO54*55.0*1.5</f>
        <v/>
      </c>
      <c r="DP70" s="55">
        <f>DP54*55.0*1.5</f>
        <v/>
      </c>
      <c r="DQ70" s="55">
        <f>DQ54*55.0*1.5</f>
        <v/>
      </c>
      <c r="DR70" s="55">
        <f>DR54*55.0*1.5</f>
        <v/>
      </c>
      <c r="DS70" s="55">
        <f>DS54*55.0*1.5</f>
        <v/>
      </c>
      <c r="DT70" s="55">
        <f>DT54*55.0*1.5</f>
        <v/>
      </c>
      <c r="DU70" s="55">
        <f>DU54*55.0*1.5</f>
        <v/>
      </c>
      <c r="DV70" s="55">
        <f>DV54*55.0*1.5</f>
        <v/>
      </c>
      <c r="DW70" s="55">
        <f>DW54*55.0*1.5</f>
        <v/>
      </c>
      <c r="DX70" s="55">
        <f>DX54*55.0*1.5</f>
        <v/>
      </c>
      <c r="DY70" s="55">
        <f>DY54*55.0*1.5</f>
        <v/>
      </c>
      <c r="DZ70" s="55">
        <f>DZ54*55.0*1.5</f>
        <v/>
      </c>
      <c r="EA70" s="55">
        <f>EA54*55.0*1.5</f>
        <v/>
      </c>
      <c r="EB70" s="55">
        <f>EB54*55.0*1.5</f>
        <v/>
      </c>
      <c r="EC70" s="55">
        <f>EC54*55.0*1.5</f>
        <v/>
      </c>
      <c r="ED70" s="55">
        <f>ED54*55.0*1.5</f>
        <v/>
      </c>
      <c r="EE70" s="55">
        <f>EE54*55.0*1.5</f>
        <v/>
      </c>
      <c r="EF70" s="55">
        <f>EF54*55.0*1.5</f>
        <v/>
      </c>
      <c r="EG70" s="55">
        <f>EG54*55.0*1.5</f>
        <v/>
      </c>
      <c r="EH70" s="55">
        <f>EH54*55.0*1.5</f>
        <v/>
      </c>
      <c r="EI70" s="55">
        <f>EI54*55.0*1.5</f>
        <v/>
      </c>
      <c r="EJ70" s="55">
        <f>EJ54*55.0*1.5</f>
        <v/>
      </c>
      <c r="EK70" s="55">
        <f>EK54*55.0*1.5</f>
        <v/>
      </c>
      <c r="EL70" s="55">
        <f>EL54*55.0*1.5</f>
        <v/>
      </c>
      <c r="EM70" s="55">
        <f>EM54*55.0*1.5</f>
        <v/>
      </c>
      <c r="EN70" s="55">
        <f>EN54*55.0*1.5</f>
        <v/>
      </c>
      <c r="EO70" s="55">
        <f>EO54*55.0*1.5</f>
        <v/>
      </c>
      <c r="EP70" s="55">
        <f>EP54*55.0*1.5</f>
        <v/>
      </c>
      <c r="EQ70" s="55">
        <f>EQ54*55.0*1.5</f>
        <v/>
      </c>
      <c r="ER70" s="55">
        <f>ER54*55.0*1.5</f>
        <v/>
      </c>
      <c r="ES70" s="55">
        <f>ES54*55.0*1.5</f>
        <v/>
      </c>
      <c r="ET70" s="55">
        <f>ET54*55.0*1.5</f>
        <v/>
      </c>
      <c r="EU70" s="55">
        <f>EU54*55.0*1.5</f>
        <v/>
      </c>
      <c r="EV70" s="55">
        <f>EV54*55.0*1.5</f>
        <v/>
      </c>
      <c r="EW70" s="55">
        <f>EW54*55.0*1.5</f>
        <v/>
      </c>
      <c r="EX70" s="55">
        <f>EX54*55.0*1.5</f>
        <v/>
      </c>
      <c r="EY70" s="55">
        <f>EY54*55.0*1.5</f>
        <v/>
      </c>
      <c r="EZ70" s="55">
        <f>EZ54*55.0*1.5</f>
        <v/>
      </c>
      <c r="FA70" s="55">
        <f>FA54*55.0*1.5</f>
        <v/>
      </c>
      <c r="FB70" s="55">
        <f>FB54*55.0*1.5</f>
        <v/>
      </c>
      <c r="FC70" s="55">
        <f>FC54*55.0*1.5</f>
        <v/>
      </c>
      <c r="FD70" s="55">
        <f>FD54*55.0*1.5</f>
        <v/>
      </c>
      <c r="FE70" s="55">
        <f>FE54*55.0*1.5</f>
        <v/>
      </c>
      <c r="FF70" s="55">
        <f>FF54*55.0*1.5</f>
        <v/>
      </c>
      <c r="FG70" s="55">
        <f>FG54*55.0*1.5</f>
        <v/>
      </c>
      <c r="FH70" s="55">
        <f>FH54*55.0*1.5</f>
        <v/>
      </c>
      <c r="FI70" s="55">
        <f>FI54*55.0*1.5</f>
        <v/>
      </c>
      <c r="FJ70" s="55">
        <f>FJ54*55.0*1.5</f>
        <v/>
      </c>
      <c r="FK70" s="55">
        <f>FK54*55.0*1.5</f>
        <v/>
      </c>
      <c r="FL70" s="55">
        <f>FL54*55.0*1.5</f>
        <v/>
      </c>
      <c r="FM70" s="55">
        <f>FM54*55.0*1.5</f>
        <v/>
      </c>
      <c r="FN70" s="55">
        <f>FN54*55.0*1.5</f>
        <v/>
      </c>
      <c r="FO70" s="55">
        <f>FO54*55.0*1.5</f>
        <v/>
      </c>
      <c r="FP70" s="55">
        <f>FP54*55.0*1.5</f>
        <v/>
      </c>
      <c r="FQ70" s="55">
        <f>FQ54*55.0*1.5</f>
        <v/>
      </c>
      <c r="FR70" s="55">
        <f>FR54*55.0*1.5</f>
        <v/>
      </c>
      <c r="FS70" s="55">
        <f>FS54*55.0*1.5</f>
        <v/>
      </c>
      <c r="FT70" s="55">
        <f>FT54*55.0*1.5</f>
        <v/>
      </c>
      <c r="FU70" s="55">
        <f>FU54*55.0*1.5</f>
        <v/>
      </c>
      <c r="FV70" s="55">
        <f>FV54*55.0*1.5</f>
        <v/>
      </c>
      <c r="FW70" s="55">
        <f>FW54*55.0*1.5</f>
        <v/>
      </c>
      <c r="FX70" s="55">
        <f>FX54*55.0*1.5</f>
        <v/>
      </c>
      <c r="FY70" s="55">
        <f>FY54*55.0*1.5</f>
        <v/>
      </c>
      <c r="FZ70" s="55">
        <f>FZ54*55.0*1.5</f>
        <v/>
      </c>
      <c r="GA70" s="55">
        <f>GA54*55.0*1.5</f>
        <v/>
      </c>
      <c r="GB70" s="55">
        <f>GB54*55.0*1.5</f>
        <v/>
      </c>
      <c r="GC70" s="55">
        <f>GC54*55.0*1.5</f>
        <v/>
      </c>
    </row>
  </sheetData>
  <mergeCells count="19">
    <mergeCell ref="H6:H7"/>
    <mergeCell ref="J6:J7"/>
    <mergeCell ref="A6:A7"/>
    <mergeCell ref="A1:N1"/>
    <mergeCell ref="G6:G7"/>
    <mergeCell ref="M6:M7"/>
    <mergeCell ref="E6:E7"/>
    <mergeCell ref="B6:B7"/>
    <mergeCell ref="A3:N3"/>
    <mergeCell ref="A2:N2"/>
    <mergeCell ref="L6:L7"/>
    <mergeCell ref="N6:N7"/>
    <mergeCell ref="C39:M39"/>
    <mergeCell ref="I6:I7"/>
    <mergeCell ref="K6:K7"/>
    <mergeCell ref="C6:C7"/>
    <mergeCell ref="O6:O7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46" customWidth="1" min="3" max="3"/>
    <col width="8" customWidth="1" min="4" max="4"/>
    <col width="16" customWidth="1" min="5" max="5"/>
    <col width="18" customWidth="1" min="6" max="6"/>
    <col width="18" customWidth="1" min="7" max="7"/>
    <col width="16" customWidth="1" min="8" max="8"/>
    <col width="22" customWidth="1" min="9" max="9"/>
    <col width="50" customWidth="1" min="10" max="10"/>
  </cols>
  <sheetData>
    <row r="1">
      <c r="A1" s="1" t="inlineStr">
        <is>
          <t>BẢNG TỔNG HỢP CA XE, CA MÁY THI CÔNG TOÀN BỘ CẦU KM19+529.080</t>
        </is>
      </c>
    </row>
    <row r="3">
      <c r="A3" s="56" t="inlineStr">
        <is>
          <t>STT</t>
        </is>
      </c>
      <c r="B3" s="56" t="inlineStr">
        <is>
          <t>Mã máy</t>
        </is>
      </c>
      <c r="C3" s="56" t="inlineStr">
        <is>
          <t>Tên phương tiện / Thiết bị thi công</t>
        </is>
      </c>
      <c r="D3" s="56" t="inlineStr">
        <is>
          <t>ĐVT</t>
        </is>
      </c>
      <c r="E3" s="56" t="inlineStr">
        <is>
          <t>Định mức dầu (lít/ca)</t>
        </is>
      </c>
      <c r="F3" s="56" t="inlineStr">
        <is>
          <t>Tổng số ca máy (ca)</t>
        </is>
      </c>
      <c r="G3" s="56" t="inlineStr">
        <is>
          <t>Số máy huy động Max</t>
        </is>
      </c>
      <c r="H3" s="56" t="inlineStr">
        <is>
          <t>Số ngày làm việc</t>
        </is>
      </c>
      <c r="I3" s="56" t="inlineStr">
        <is>
          <t>Tổng lít dầu tiêu thụ (lít)</t>
        </is>
      </c>
      <c r="J3" s="56" t="inlineStr">
        <is>
          <t>Nhiệm vụ thi công trên công trường Cầu Km19</t>
        </is>
      </c>
    </row>
    <row r="4">
      <c r="A4" s="57" t="n">
        <v>1</v>
      </c>
      <c r="B4" s="57" t="inlineStr">
        <is>
          <t>MK</t>
        </is>
      </c>
      <c r="C4" s="58" t="inlineStr">
        <is>
          <t>Máy khoan cọc nhồi D1200 Bauer BG25</t>
        </is>
      </c>
      <c r="D4" s="57" t="inlineStr">
        <is>
          <t>máy</t>
        </is>
      </c>
      <c r="E4" s="59" t="n">
        <v>145</v>
      </c>
      <c r="F4" s="59" t="n">
        <v>156</v>
      </c>
      <c r="G4" s="60" t="n">
        <v>2</v>
      </c>
      <c r="H4" s="60" t="n">
        <v>60</v>
      </c>
      <c r="I4" s="60">
        <f>F4*E4</f>
        <v/>
      </c>
      <c r="J4" s="58" t="inlineStr">
        <is>
          <t>Khoan đá hang Karst 26 cọc D1200 mố M1, M2 và trụ T1, T2</t>
        </is>
      </c>
    </row>
    <row r="5">
      <c r="A5" s="57" t="n">
        <v>2</v>
      </c>
      <c r="B5" s="57" t="inlineStr">
        <is>
          <t>CX</t>
        </is>
      </c>
      <c r="C5" s="58" t="inlineStr">
        <is>
          <t>Cần cẩu bánh xích 50T Kobelco CKE500</t>
        </is>
      </c>
      <c r="D5" s="57" t="inlineStr">
        <is>
          <t>máy</t>
        </is>
      </c>
      <c r="E5" s="59" t="n">
        <v>62</v>
      </c>
      <c r="F5" s="59" t="n">
        <v>180</v>
      </c>
      <c r="G5" s="60" t="n">
        <v>1</v>
      </c>
      <c r="H5" s="60" t="n">
        <v>90</v>
      </c>
      <c r="I5" s="60">
        <f>F5*E5</f>
        <v/>
      </c>
      <c r="J5" s="58" t="inlineStr">
        <is>
          <t>Hạ lồng thép cọc, đà giáo leo thân trụ T1, T2 và xà mũ</t>
        </is>
      </c>
    </row>
    <row r="6">
      <c r="A6" s="57" t="n">
        <v>3</v>
      </c>
      <c r="B6" s="57" t="inlineStr">
        <is>
          <t>CL</t>
        </is>
      </c>
      <c r="C6" s="58" t="inlineStr">
        <is>
          <t>Cần cẩu bánh lốp 25T Kato KR250</t>
        </is>
      </c>
      <c r="D6" s="57" t="inlineStr">
        <is>
          <t>máy</t>
        </is>
      </c>
      <c r="E6" s="59" t="n">
        <v>48</v>
      </c>
      <c r="F6" s="59" t="n">
        <v>120</v>
      </c>
      <c r="G6" s="60" t="n">
        <v>1</v>
      </c>
      <c r="H6" s="60" t="n">
        <v>80</v>
      </c>
      <c r="I6" s="60">
        <f>F6*E6</f>
        <v/>
      </c>
      <c r="J6" s="58" t="inlineStr">
        <is>
          <t>Phục vụ bãi đúc dầm Super-T, bốc dỡ vật tư &amp; bản mặt cầu</t>
        </is>
      </c>
    </row>
    <row r="7">
      <c r="A7" s="57" t="n">
        <v>4</v>
      </c>
      <c r="B7" s="57" t="inlineStr">
        <is>
          <t>MD</t>
        </is>
      </c>
      <c r="C7" s="58" t="inlineStr">
        <is>
          <t>Máy đào bánh xích 1.25m3 Komatsu PC200</t>
        </is>
      </c>
      <c r="D7" s="57" t="inlineStr">
        <is>
          <t>máy</t>
        </is>
      </c>
      <c r="E7" s="59" t="n">
        <v>68</v>
      </c>
      <c r="F7" s="59" t="n">
        <v>95</v>
      </c>
      <c r="G7" s="60" t="n">
        <v>2</v>
      </c>
      <c r="H7" s="60" t="n">
        <v>45</v>
      </c>
      <c r="I7" s="60">
        <f>F7*E7</f>
        <v/>
      </c>
      <c r="J7" s="58" t="inlineStr">
        <is>
          <t>Đào hố móng ngàm đá, búa đập đá phá đầu 26 cọc nhồi</t>
        </is>
      </c>
    </row>
    <row r="8">
      <c r="A8" s="57" t="n">
        <v>5</v>
      </c>
      <c r="B8" s="57" t="inlineStr">
        <is>
          <t>OT</t>
        </is>
      </c>
      <c r="C8" s="58" t="inlineStr">
        <is>
          <t>Ô tô tự đổ 15 tấn Howo 371HP</t>
        </is>
      </c>
      <c r="D8" s="57" t="inlineStr">
        <is>
          <t>xe</t>
        </is>
      </c>
      <c r="E8" s="59" t="n">
        <v>52</v>
      </c>
      <c r="F8" s="59" t="n">
        <v>140</v>
      </c>
      <c r="G8" s="60" t="n">
        <v>3</v>
      </c>
      <c r="H8" s="60" t="n">
        <v>50</v>
      </c>
      <c r="I8" s="60">
        <f>F8*E8</f>
        <v/>
      </c>
      <c r="J8" s="58" t="inlineStr">
        <is>
          <t>Vận chuyển đất đá hố móng ra bãi thải cự ly 5km</t>
        </is>
      </c>
    </row>
    <row r="9">
      <c r="A9" s="57" t="n">
        <v>6</v>
      </c>
      <c r="B9" s="57" t="inlineStr">
        <is>
          <t>XB</t>
        </is>
      </c>
      <c r="C9" s="58" t="inlineStr">
        <is>
          <t>Xe bồn vận chuyển bê tông 9m3</t>
        </is>
      </c>
      <c r="D9" s="57" t="inlineStr">
        <is>
          <t>xe</t>
        </is>
      </c>
      <c r="E9" s="59" t="n">
        <v>42</v>
      </c>
      <c r="F9" s="59" t="n">
        <v>210</v>
      </c>
      <c r="G9" s="60" t="n">
        <v>3</v>
      </c>
      <c r="H9" s="60" t="n">
        <v>75</v>
      </c>
      <c r="I9" s="60">
        <f>F9*E9</f>
        <v/>
      </c>
      <c r="J9" s="58" t="inlineStr">
        <is>
          <t>Chở BT C30 cọc, bệ, thân, xà mũ và C45 dầm Super-T</t>
        </is>
      </c>
    </row>
    <row r="10">
      <c r="A10" s="57" t="n">
        <v>7</v>
      </c>
      <c r="B10" s="57" t="inlineStr">
        <is>
          <t>BM</t>
        </is>
      </c>
      <c r="C10" s="58" t="inlineStr">
        <is>
          <t>Xe bơm bê tông cần 42m Putzmeister</t>
        </is>
      </c>
      <c r="D10" s="57" t="inlineStr">
        <is>
          <t>xe</t>
        </is>
      </c>
      <c r="E10" s="59" t="n">
        <v>46</v>
      </c>
      <c r="F10" s="59" t="n">
        <v>85</v>
      </c>
      <c r="G10" s="60" t="n">
        <v>1</v>
      </c>
      <c r="H10" s="60" t="n">
        <v>45</v>
      </c>
      <c r="I10" s="60">
        <f>F10*E10</f>
        <v/>
      </c>
      <c r="J10" s="58" t="inlineStr">
        <is>
          <t>Bơm cao áp bê tông bệ mố trụ, thân trụ T1, T2, xà mũ, dầm ngang</t>
        </is>
      </c>
    </row>
    <row r="11">
      <c r="A11" s="57" t="n">
        <v>8</v>
      </c>
      <c r="B11" s="57" t="inlineStr">
        <is>
          <t>MN</t>
        </is>
      </c>
      <c r="C11" s="58" t="inlineStr">
        <is>
          <t>Máy nén khí 7.5m3/phút Airman PDS265</t>
        </is>
      </c>
      <c r="D11" s="57" t="inlineStr">
        <is>
          <t>máy</t>
        </is>
      </c>
      <c r="E11" s="59" t="n">
        <v>38</v>
      </c>
      <c r="F11" s="59" t="n">
        <v>110</v>
      </c>
      <c r="G11" s="60" t="n">
        <v>2</v>
      </c>
      <c r="H11" s="60" t="n">
        <v>55</v>
      </c>
      <c r="I11" s="60">
        <f>F11*E11</f>
        <v/>
      </c>
      <c r="J11" s="58" t="inlineStr">
        <is>
          <t>Thổi rửa đáy 26 hố khoan &amp; đục phá bê tông đầu cọc</t>
        </is>
      </c>
    </row>
    <row r="12">
      <c r="A12" s="57" t="n">
        <v>9</v>
      </c>
      <c r="B12" s="57" t="inlineStr">
        <is>
          <t>MH</t>
        </is>
      </c>
      <c r="C12" s="58" t="inlineStr">
        <is>
          <t>Máy phát hàn điện 500A Denyo 500A</t>
        </is>
      </c>
      <c r="D12" s="57" t="inlineStr">
        <is>
          <t>máy</t>
        </is>
      </c>
      <c r="E12" s="59" t="n">
        <v>28</v>
      </c>
      <c r="F12" s="59" t="n">
        <v>190</v>
      </c>
      <c r="G12" s="60" t="n">
        <v>3</v>
      </c>
      <c r="H12" s="60" t="n">
        <v>95</v>
      </c>
      <c r="I12" s="60">
        <f>F12*E12</f>
        <v/>
      </c>
      <c r="J12" s="58" t="inlineStr">
        <is>
          <t>Hàn nối lồng thép cọc D1200 &amp; khung sườn thép dầm Super-T</t>
        </is>
      </c>
    </row>
    <row r="13">
      <c r="A13" s="57" t="n">
        <v>10</v>
      </c>
      <c r="B13" s="57" t="inlineStr">
        <is>
          <t>TT</t>
        </is>
      </c>
      <c r="C13" s="58" t="inlineStr">
        <is>
          <t>Trạm trộn BTXM 60m3/h Sicoma</t>
        </is>
      </c>
      <c r="D13" s="57" t="inlineStr">
        <is>
          <t>trạm</t>
        </is>
      </c>
      <c r="E13" s="59" t="n">
        <v>58</v>
      </c>
      <c r="F13" s="59" t="n">
        <v>160</v>
      </c>
      <c r="G13" s="60" t="n">
        <v>1</v>
      </c>
      <c r="H13" s="60" t="n">
        <v>80</v>
      </c>
      <c r="I13" s="60">
        <f>F13*E13</f>
        <v/>
      </c>
      <c r="J13" s="58" t="inlineStr">
        <is>
          <t>Sản xuất toàn bộ 2,348 m3 BTXM C10-C45 hiện trường</t>
        </is>
      </c>
    </row>
    <row r="14">
      <c r="A14" s="57" t="n">
        <v>11</v>
      </c>
      <c r="B14" s="57" t="inlineStr">
        <is>
          <t>GL</t>
        </is>
      </c>
      <c r="C14" s="58" t="inlineStr">
        <is>
          <t>Giá lao dầm Super-T 78.88T ray P43</t>
        </is>
      </c>
      <c r="D14" s="57" t="inlineStr">
        <is>
          <t>hệ</t>
        </is>
      </c>
      <c r="E14" s="59" t="n">
        <v>35</v>
      </c>
      <c r="F14" s="59" t="n">
        <v>60</v>
      </c>
      <c r="G14" s="60" t="n">
        <v>1</v>
      </c>
      <c r="H14" s="60" t="n">
        <v>20</v>
      </c>
      <c r="I14" s="60">
        <f>F14*E14</f>
        <v/>
      </c>
      <c r="J14" s="58" t="inlineStr">
        <is>
          <t>Vận chuyển &amp; lao lắp 15 phiến dầm Super-T 38.2m</t>
        </is>
      </c>
    </row>
    <row r="15">
      <c r="A15" s="57" t="n">
        <v>12</v>
      </c>
      <c r="B15" s="57" t="inlineStr">
        <is>
          <t>LU</t>
        </is>
      </c>
      <c r="C15" s="58" t="inlineStr">
        <is>
          <t>Máy lu rung 14-25T Hamm 3411</t>
        </is>
      </c>
      <c r="D15" s="57" t="inlineStr">
        <is>
          <t>máy</t>
        </is>
      </c>
      <c r="E15" s="59" t="n">
        <v>45</v>
      </c>
      <c r="F15" s="59" t="n">
        <v>45</v>
      </c>
      <c r="G15" s="60" t="n">
        <v>1</v>
      </c>
      <c r="H15" s="60" t="n">
        <v>25</v>
      </c>
      <c r="I15" s="60">
        <f>F15*E15</f>
        <v/>
      </c>
      <c r="J15" s="58" t="inlineStr">
        <is>
          <t>Lu lèn đầm nén K95/K98 đường công vụ và bản quá độ mố</t>
        </is>
      </c>
    </row>
    <row r="16">
      <c r="A16" s="57" t="n">
        <v>13</v>
      </c>
      <c r="B16" s="57" t="inlineStr">
        <is>
          <t>XT</t>
        </is>
      </c>
      <c r="C16" s="58" t="inlineStr">
        <is>
          <t>Xe téc cấp dầu lưu động 9m3</t>
        </is>
      </c>
      <c r="D16" s="57" t="inlineStr">
        <is>
          <t>xe</t>
        </is>
      </c>
      <c r="E16" s="59" t="n">
        <v>44</v>
      </c>
      <c r="F16" s="59" t="n">
        <v>170</v>
      </c>
      <c r="G16" s="60" t="n">
        <v>1</v>
      </c>
      <c r="H16" s="60" t="n">
        <v>170</v>
      </c>
      <c r="I16" s="60">
        <f>F16*E16</f>
        <v/>
      </c>
      <c r="J16" s="58" t="inlineStr">
        <is>
          <t>Cấp phát dầu Diezel lưu động 2 ca/ngày liên tục 170 ngày</t>
        </is>
      </c>
    </row>
    <row r="17">
      <c r="A17" s="57" t="n">
        <v>14</v>
      </c>
      <c r="B17" s="57" t="inlineStr">
        <is>
          <t>MP</t>
        </is>
      </c>
      <c r="C17" s="58" t="inlineStr">
        <is>
          <t>Máy phát điện 3 pha 250kVA</t>
        </is>
      </c>
      <c r="D17" s="57" t="inlineStr">
        <is>
          <t>máy</t>
        </is>
      </c>
      <c r="E17" s="59" t="n">
        <v>55</v>
      </c>
      <c r="F17" s="59" t="n">
        <v>170</v>
      </c>
      <c r="G17" s="60" t="n">
        <v>1</v>
      </c>
      <c r="H17" s="60" t="n">
        <v>170</v>
      </c>
      <c r="I17" s="60">
        <f>F17*E17</f>
        <v/>
      </c>
      <c r="J17" s="58" t="inlineStr">
        <is>
          <t>Cấp điện dự phòng trạm trộn, máy hàn và chiếu sáng đêm</t>
        </is>
      </c>
    </row>
    <row r="18">
      <c r="A18" s="61" t="n"/>
      <c r="B18" s="61" t="n"/>
      <c r="C18" s="62" t="inlineStr">
        <is>
          <t>TỔNG CỘNG TOÀN CÔNG TRÌNH CẦU KM19+529.080</t>
        </is>
      </c>
      <c r="D18" s="61" t="n"/>
      <c r="E18" s="61" t="n"/>
      <c r="F18" s="63">
        <f>SUM(F4:F17)</f>
        <v/>
      </c>
      <c r="G18" s="64">
        <f>SUM(G4:G17)</f>
        <v/>
      </c>
      <c r="H18" s="61" t="n"/>
      <c r="I18" s="64">
        <f>SUM(I4:I17)</f>
        <v/>
      </c>
      <c r="J18" s="61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46" customWidth="1" min="2" max="2"/>
    <col width="16" customWidth="1" min="3" max="3"/>
    <col width="16" customWidth="1" min="4" max="4"/>
    <col width="20" customWidth="1" min="5" max="5"/>
    <col width="24" customWidth="1" min="6" max="6"/>
    <col width="24" customWidth="1" min="7" max="7"/>
    <col width="24" customWidth="1" min="8" max="8"/>
    <col width="26" customWidth="1" min="9" max="9"/>
  </cols>
  <sheetData>
    <row r="1">
      <c r="A1" s="1" t="inlineStr">
        <is>
          <t>KẾ HOẠCH CẤP DẦU DIEZEL CHO MÁY MÓC THI CÔNG CẦU KM19+529.080 (THEO 4 KỲ)</t>
        </is>
      </c>
    </row>
    <row r="3">
      <c r="A3" s="56" t="inlineStr">
        <is>
          <t>STT</t>
        </is>
      </c>
      <c r="B3" s="56" t="inlineStr">
        <is>
          <t>Chủng loại phương tiện / Thiết bị</t>
        </is>
      </c>
      <c r="C3" s="56" t="inlineStr">
        <is>
          <t>Định mức (lít/ca)</t>
        </is>
      </c>
      <c r="D3" s="56" t="inlineStr">
        <is>
          <t>Tổng số ca máy</t>
        </is>
      </c>
      <c r="E3" s="56" t="inlineStr">
        <is>
          <t>Tổng nhu cầu dầu (Lít)</t>
        </is>
      </c>
      <c r="F3" s="56" t="inlineStr">
        <is>
          <t>Kỳ 1: Đường CV, Bãi đúc &amp; Cọc M1, T1</t>
        </is>
      </c>
      <c r="G3" s="56" t="inlineStr">
        <is>
          <t>Kỳ 2: Cọc T2, M2 &amp; Bệ mố trụ</t>
        </is>
      </c>
      <c r="H3" s="56" t="inlineStr">
        <is>
          <t>Kỳ 3: Thân, Xà mũ &amp; Đúc 15 dầm</t>
        </is>
      </c>
      <c r="I3" s="56" t="inlineStr">
        <is>
          <t>Kỳ 4: Lao dầm, Bản mặt cầu &amp; Hoàn thiện</t>
        </is>
      </c>
    </row>
    <row r="4">
      <c r="A4" s="57" t="n">
        <v>1</v>
      </c>
      <c r="B4" s="58" t="inlineStr">
        <is>
          <t>Máy khoan cọc nhồi D1200 Bauer BG25</t>
        </is>
      </c>
      <c r="C4" s="59" t="n">
        <v>145</v>
      </c>
      <c r="D4" s="59" t="n">
        <v>156</v>
      </c>
      <c r="E4" s="60">
        <f>C4*D4</f>
        <v/>
      </c>
      <c r="F4" s="60">
        <f>E4*0.4</f>
        <v/>
      </c>
      <c r="G4" s="60">
        <f>E4*0.6</f>
        <v/>
      </c>
      <c r="H4" s="60">
        <f>E4*0.0</f>
        <v/>
      </c>
      <c r="I4" s="60">
        <f>E4*0.0</f>
        <v/>
      </c>
    </row>
    <row r="5">
      <c r="A5" s="57" t="n">
        <v>2</v>
      </c>
      <c r="B5" s="58" t="inlineStr">
        <is>
          <t>Cần cẩu bánh xích 50T Kobelco CKE500</t>
        </is>
      </c>
      <c r="C5" s="59" t="n">
        <v>62</v>
      </c>
      <c r="D5" s="59" t="n">
        <v>180</v>
      </c>
      <c r="E5" s="60">
        <f>C5*D5</f>
        <v/>
      </c>
      <c r="F5" s="60">
        <f>E5*0.25</f>
        <v/>
      </c>
      <c r="G5" s="60">
        <f>E5*0.35</f>
        <v/>
      </c>
      <c r="H5" s="60">
        <f>E5*0.3</f>
        <v/>
      </c>
      <c r="I5" s="60">
        <f>E5*0.1</f>
        <v/>
      </c>
    </row>
    <row r="6">
      <c r="A6" s="57" t="n">
        <v>3</v>
      </c>
      <c r="B6" s="58" t="inlineStr">
        <is>
          <t>Cần cẩu bánh lốp 25T Kato KR250</t>
        </is>
      </c>
      <c r="C6" s="59" t="n">
        <v>48</v>
      </c>
      <c r="D6" s="59" t="n">
        <v>120</v>
      </c>
      <c r="E6" s="60">
        <f>C6*D6</f>
        <v/>
      </c>
      <c r="F6" s="60">
        <f>E6*0.2</f>
        <v/>
      </c>
      <c r="G6" s="60">
        <f>E6*0.2</f>
        <v/>
      </c>
      <c r="H6" s="60">
        <f>E6*0.4</f>
        <v/>
      </c>
      <c r="I6" s="60">
        <f>E6*0.2</f>
        <v/>
      </c>
    </row>
    <row r="7">
      <c r="A7" s="57" t="n">
        <v>4</v>
      </c>
      <c r="B7" s="58" t="inlineStr">
        <is>
          <t>Máy đào bánh xích 1.25m3 Komatsu PC200</t>
        </is>
      </c>
      <c r="C7" s="59" t="n">
        <v>68</v>
      </c>
      <c r="D7" s="59" t="n">
        <v>95</v>
      </c>
      <c r="E7" s="60">
        <f>C7*D7</f>
        <v/>
      </c>
      <c r="F7" s="60">
        <f>E7*0.3</f>
        <v/>
      </c>
      <c r="G7" s="60">
        <f>E7*0.45</f>
        <v/>
      </c>
      <c r="H7" s="60">
        <f>E7*0.15</f>
        <v/>
      </c>
      <c r="I7" s="60">
        <f>E7*0.1</f>
        <v/>
      </c>
    </row>
    <row r="8">
      <c r="A8" s="57" t="n">
        <v>5</v>
      </c>
      <c r="B8" s="58" t="inlineStr">
        <is>
          <t>Ô tô tự đổ 15 tấn Howo 371HP</t>
        </is>
      </c>
      <c r="C8" s="59" t="n">
        <v>52</v>
      </c>
      <c r="D8" s="59" t="n">
        <v>140</v>
      </c>
      <c r="E8" s="60">
        <f>C8*D8</f>
        <v/>
      </c>
      <c r="F8" s="60">
        <f>E8*0.35</f>
        <v/>
      </c>
      <c r="G8" s="60">
        <f>E8*0.45</f>
        <v/>
      </c>
      <c r="H8" s="60">
        <f>E8*0.1</f>
        <v/>
      </c>
      <c r="I8" s="60">
        <f>E8*0.1</f>
        <v/>
      </c>
    </row>
    <row r="9">
      <c r="A9" s="57" t="n">
        <v>6</v>
      </c>
      <c r="B9" s="58" t="inlineStr">
        <is>
          <t>Xe bồn vận chuyển bê tông 9m3</t>
        </is>
      </c>
      <c r="C9" s="59" t="n">
        <v>42</v>
      </c>
      <c r="D9" s="59" t="n">
        <v>210</v>
      </c>
      <c r="E9" s="60">
        <f>C9*D9</f>
        <v/>
      </c>
      <c r="F9" s="60">
        <f>E9*0.2</f>
        <v/>
      </c>
      <c r="G9" s="60">
        <f>E9*0.3</f>
        <v/>
      </c>
      <c r="H9" s="60">
        <f>E9*0.3</f>
        <v/>
      </c>
      <c r="I9" s="60">
        <f>E9*0.2</f>
        <v/>
      </c>
    </row>
    <row r="10">
      <c r="A10" s="57" t="n">
        <v>7</v>
      </c>
      <c r="B10" s="58" t="inlineStr">
        <is>
          <t>Xe bơm bê tông cần 42m Putzmeister</t>
        </is>
      </c>
      <c r="C10" s="59" t="n">
        <v>46</v>
      </c>
      <c r="D10" s="59" t="n">
        <v>85</v>
      </c>
      <c r="E10" s="60">
        <f>C10*D10</f>
        <v/>
      </c>
      <c r="F10" s="60">
        <f>E10*0.1</f>
        <v/>
      </c>
      <c r="G10" s="60">
        <f>E10*0.35</f>
        <v/>
      </c>
      <c r="H10" s="60">
        <f>E10*0.35</f>
        <v/>
      </c>
      <c r="I10" s="60">
        <f>E10*0.2</f>
        <v/>
      </c>
    </row>
    <row r="11">
      <c r="A11" s="57" t="n">
        <v>8</v>
      </c>
      <c r="B11" s="58" t="inlineStr">
        <is>
          <t>Máy nén khí 7.5m3/phút Airman PDS265</t>
        </is>
      </c>
      <c r="C11" s="59" t="n">
        <v>38</v>
      </c>
      <c r="D11" s="59" t="n">
        <v>110</v>
      </c>
      <c r="E11" s="60">
        <f>C11*D11</f>
        <v/>
      </c>
      <c r="F11" s="60">
        <f>E11*0.35</f>
        <v/>
      </c>
      <c r="G11" s="60">
        <f>E11*0.45</f>
        <v/>
      </c>
      <c r="H11" s="60">
        <f>E11*0.1</f>
        <v/>
      </c>
      <c r="I11" s="60">
        <f>E11*0.1</f>
        <v/>
      </c>
    </row>
    <row r="12">
      <c r="A12" s="57" t="n">
        <v>9</v>
      </c>
      <c r="B12" s="58" t="inlineStr">
        <is>
          <t>Máy phát hàn điện 500A Denyo 500A</t>
        </is>
      </c>
      <c r="C12" s="59" t="n">
        <v>28</v>
      </c>
      <c r="D12" s="59" t="n">
        <v>190</v>
      </c>
      <c r="E12" s="60">
        <f>C12*D12</f>
        <v/>
      </c>
      <c r="F12" s="60">
        <f>E12*0.3</f>
        <v/>
      </c>
      <c r="G12" s="60">
        <f>E12*0.3</f>
        <v/>
      </c>
      <c r="H12" s="60">
        <f>E12*0.25</f>
        <v/>
      </c>
      <c r="I12" s="60">
        <f>E12*0.15</f>
        <v/>
      </c>
    </row>
    <row r="13">
      <c r="A13" s="57" t="n">
        <v>10</v>
      </c>
      <c r="B13" s="58" t="inlineStr">
        <is>
          <t>Trạm trộn BTXM 60m3/h Sicoma</t>
        </is>
      </c>
      <c r="C13" s="59" t="n">
        <v>58</v>
      </c>
      <c r="D13" s="59" t="n">
        <v>160</v>
      </c>
      <c r="E13" s="60">
        <f>C13*D13</f>
        <v/>
      </c>
      <c r="F13" s="60">
        <f>E13*0.2</f>
        <v/>
      </c>
      <c r="G13" s="60">
        <f>E13*0.3</f>
        <v/>
      </c>
      <c r="H13" s="60">
        <f>E13*0.3</f>
        <v/>
      </c>
      <c r="I13" s="60">
        <f>E13*0.2</f>
        <v/>
      </c>
    </row>
    <row r="14">
      <c r="A14" s="57" t="n">
        <v>11</v>
      </c>
      <c r="B14" s="58" t="inlineStr">
        <is>
          <t>Giá lao dầm Super-T 78.88T ray P43</t>
        </is>
      </c>
      <c r="C14" s="59" t="n">
        <v>35</v>
      </c>
      <c r="D14" s="59" t="n">
        <v>60</v>
      </c>
      <c r="E14" s="60">
        <f>C14*D14</f>
        <v/>
      </c>
      <c r="F14" s="60">
        <f>E14*0.0</f>
        <v/>
      </c>
      <c r="G14" s="60">
        <f>E14*0.0</f>
        <v/>
      </c>
      <c r="H14" s="60">
        <f>E14*0.0</f>
        <v/>
      </c>
      <c r="I14" s="60">
        <f>E14*1.0</f>
        <v/>
      </c>
    </row>
    <row r="15">
      <c r="A15" s="57" t="n">
        <v>12</v>
      </c>
      <c r="B15" s="58" t="inlineStr">
        <is>
          <t>Máy lu rung 14-25T Hamm 3411</t>
        </is>
      </c>
      <c r="C15" s="59" t="n">
        <v>45</v>
      </c>
      <c r="D15" s="59" t="n">
        <v>45</v>
      </c>
      <c r="E15" s="60">
        <f>C15*D15</f>
        <v/>
      </c>
      <c r="F15" s="60">
        <f>E15*0.35</f>
        <v/>
      </c>
      <c r="G15" s="60">
        <f>E15*0.2</f>
        <v/>
      </c>
      <c r="H15" s="60">
        <f>E15*0.1</f>
        <v/>
      </c>
      <c r="I15" s="60">
        <f>E15*0.35</f>
        <v/>
      </c>
    </row>
    <row r="16">
      <c r="A16" s="57" t="n">
        <v>13</v>
      </c>
      <c r="B16" s="58" t="inlineStr">
        <is>
          <t>Xe téc cấp dầu lưu động 9m3</t>
        </is>
      </c>
      <c r="C16" s="59" t="n">
        <v>44</v>
      </c>
      <c r="D16" s="59" t="n">
        <v>170</v>
      </c>
      <c r="E16" s="60">
        <f>C16*D16</f>
        <v/>
      </c>
      <c r="F16" s="60">
        <f>E16*0.25</f>
        <v/>
      </c>
      <c r="G16" s="60">
        <f>E16*0.3</f>
        <v/>
      </c>
      <c r="H16" s="60">
        <f>E16*0.25</f>
        <v/>
      </c>
      <c r="I16" s="60">
        <f>E16*0.2</f>
        <v/>
      </c>
    </row>
    <row r="17">
      <c r="A17" s="57" t="n">
        <v>14</v>
      </c>
      <c r="B17" s="58" t="inlineStr">
        <is>
          <t>Máy phát điện 3 pha 250kVA</t>
        </is>
      </c>
      <c r="C17" s="59" t="n">
        <v>55</v>
      </c>
      <c r="D17" s="59" t="n">
        <v>170</v>
      </c>
      <c r="E17" s="60">
        <f>C17*D17</f>
        <v/>
      </c>
      <c r="F17" s="60">
        <f>E17*0.25</f>
        <v/>
      </c>
      <c r="G17" s="60">
        <f>E17*0.3</f>
        <v/>
      </c>
      <c r="H17" s="60">
        <f>E17*0.25</f>
        <v/>
      </c>
      <c r="I17" s="60">
        <f>E17*0.2</f>
        <v/>
      </c>
    </row>
    <row r="18">
      <c r="A18" s="61" t="n"/>
      <c r="B18" s="62" t="inlineStr">
        <is>
          <t>TỔNG SỐ LÍT DẦU DIEZEL CẦN CUNG CẤP (LÍT)</t>
        </is>
      </c>
      <c r="C18" s="61" t="n"/>
      <c r="D18" s="63">
        <f>SUM(D4:D17)</f>
        <v/>
      </c>
      <c r="E18" s="64">
        <f>SUM(E4:E17)</f>
        <v/>
      </c>
      <c r="F18" s="64">
        <f>SUM(F4:F17)</f>
        <v/>
      </c>
      <c r="G18" s="64">
        <f>SUM(G4:G17)</f>
        <v/>
      </c>
      <c r="H18" s="64">
        <f>SUM(H4:H17)</f>
        <v/>
      </c>
      <c r="I18" s="64">
        <f>SUM(I4:I17)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46" customWidth="1" min="2" max="2"/>
    <col width="22" customWidth="1" min="3" max="3"/>
    <col width="24" customWidth="1" min="4" max="4"/>
    <col width="24" customWidth="1" min="5" max="5"/>
    <col width="22" customWidth="1" min="6" max="6"/>
    <col width="20" customWidth="1" min="7" max="7"/>
    <col width="22" customWidth="1" min="8" max="8"/>
    <col width="38" customWidth="1" min="9" max="9"/>
  </cols>
  <sheetData>
    <row r="1">
      <c r="A1" s="1" t="inlineStr">
        <is>
          <t>BẢNG PHÂN BỔ NHÂN LỰC THI CÔNG CẦU KM19+529.080 (THEO 5 TỔ ĐỘI CHUYÊN NGHIỆP)</t>
        </is>
      </c>
    </row>
    <row r="3">
      <c r="A3" s="56" t="inlineStr">
        <is>
          <t>STT</t>
        </is>
      </c>
      <c r="B3" s="56" t="inlineStr">
        <is>
          <t>Tổ đội / Bộ phận chức năng</t>
        </is>
      </c>
      <c r="C3" s="56" t="inlineStr">
        <is>
          <t>Mũi 1: Khoan cọc nhồi D1200</t>
        </is>
      </c>
      <c r="D3" s="56" t="inlineStr">
        <is>
          <t>Mũi 2: Bệ mố trụ &amp; Thân mố trụ</t>
        </is>
      </c>
      <c r="E3" s="56" t="inlineStr">
        <is>
          <t>Mũi 3: Đúc dầm Super-T bãi đúc</t>
        </is>
      </c>
      <c r="F3" s="56" t="inlineStr">
        <is>
          <t>Mũi 4: Lao dầm &amp; Bản mặt cầu</t>
        </is>
      </c>
      <c r="G3" s="56" t="inlineStr">
        <is>
          <t>Tổ Cơ giới &amp; Phục vụ</t>
        </is>
      </c>
      <c r="H3" s="56" t="inlineStr">
        <is>
          <t>Tổng nhân lực (người)</t>
        </is>
      </c>
      <c r="I3" s="56" t="inlineStr">
        <is>
          <t>Ghi chú bố trí ca kíp</t>
        </is>
      </c>
    </row>
    <row r="4">
      <c r="A4" s="57" t="n">
        <v>1</v>
      </c>
      <c r="B4" s="58" t="inlineStr">
        <is>
          <t>Thợ vận hành máy khoan cọc nhồi Bauer BG25</t>
        </is>
      </c>
      <c r="C4" s="60" t="n">
        <v>8</v>
      </c>
      <c r="D4" s="60" t="n">
        <v>0</v>
      </c>
      <c r="E4" s="60" t="n">
        <v>0</v>
      </c>
      <c r="F4" s="60" t="n">
        <v>0</v>
      </c>
      <c r="G4" s="60" t="n">
        <v>0</v>
      </c>
      <c r="H4" s="60">
        <f>SUM(C4:G4)</f>
        <v/>
      </c>
      <c r="I4" s="58" t="inlineStr">
        <is>
          <t>2 máy x 2 ca/ngày x 2 thợ/máy</t>
        </is>
      </c>
    </row>
    <row r="5">
      <c r="A5" s="57" t="n">
        <v>2</v>
      </c>
      <c r="B5" s="58" t="inlineStr">
        <is>
          <t>Thợ gia công &amp; hàn lồng thép cọc D1200, mố trụ</t>
        </is>
      </c>
      <c r="C5" s="60" t="n">
        <v>12</v>
      </c>
      <c r="D5" s="60" t="n">
        <v>16</v>
      </c>
      <c r="E5" s="60" t="n">
        <v>14</v>
      </c>
      <c r="F5" s="60" t="n">
        <v>12</v>
      </c>
      <c r="G5" s="60" t="n">
        <v>0</v>
      </c>
      <c r="H5" s="60">
        <f>SUM(C5:G5)</f>
        <v/>
      </c>
      <c r="I5" s="58" t="inlineStr">
        <is>
          <t>Gia công bãi thép + nối tại hố</t>
        </is>
      </c>
    </row>
    <row r="6">
      <c r="A6" s="57" t="n">
        <v>3</v>
      </c>
      <c r="B6" s="58" t="inlineStr">
        <is>
          <t>Thợ lắp dựng ván khuôn thép tấm lớn &amp; đà giáo leo</t>
        </is>
      </c>
      <c r="C6" s="60" t="n">
        <v>0</v>
      </c>
      <c r="D6" s="60" t="n">
        <v>18</v>
      </c>
      <c r="E6" s="60" t="n">
        <v>12</v>
      </c>
      <c r="F6" s="60" t="n">
        <v>14</v>
      </c>
      <c r="G6" s="60" t="n">
        <v>0</v>
      </c>
      <c r="H6" s="60">
        <f>SUM(C6:G6)</f>
        <v/>
      </c>
      <c r="I6" s="58" t="inlineStr">
        <is>
          <t>Ván khuôn bệ, thân đặc, xà mũ, dầm</t>
        </is>
      </c>
    </row>
    <row r="7">
      <c r="A7" s="57" t="n">
        <v>4</v>
      </c>
      <c r="B7" s="58" t="inlineStr">
        <is>
          <t>Công nhân đổ bê tông &amp; đầm dùi C30, C35, C45</t>
        </is>
      </c>
      <c r="C7" s="60" t="n">
        <v>6</v>
      </c>
      <c r="D7" s="60" t="n">
        <v>12</v>
      </c>
      <c r="E7" s="60" t="n">
        <v>10</v>
      </c>
      <c r="F7" s="60" t="n">
        <v>14</v>
      </c>
      <c r="G7" s="60" t="n">
        <v>0</v>
      </c>
      <c r="H7" s="60">
        <f>SUM(C7:G7)</f>
        <v/>
      </c>
      <c r="I7" s="58" t="inlineStr">
        <is>
          <t>Rút ống tremie cọc &amp; bơm bê tông</t>
        </is>
      </c>
    </row>
    <row r="8">
      <c r="A8" s="57" t="n">
        <v>5</v>
      </c>
      <c r="B8" s="58" t="inlineStr">
        <is>
          <t>Thợ luồn cáp &amp; căng kéo kích thủy lực 250T</t>
        </is>
      </c>
      <c r="C8" s="60" t="n">
        <v>0</v>
      </c>
      <c r="D8" s="60" t="n">
        <v>0</v>
      </c>
      <c r="E8" s="60" t="n">
        <v>8</v>
      </c>
      <c r="F8" s="60" t="n">
        <v>0</v>
      </c>
      <c r="G8" s="60" t="n">
        <v>0</v>
      </c>
      <c r="H8" s="60">
        <f>SUM(C8:G8)</f>
        <v/>
      </c>
      <c r="I8" s="58" t="inlineStr">
        <is>
          <t>Căng kéo cáp DUL 15 phiến dầm</t>
        </is>
      </c>
    </row>
    <row r="9">
      <c r="A9" s="57" t="n">
        <v>6</v>
      </c>
      <c r="B9" s="58" t="inlineStr">
        <is>
          <t>Đội trưởng &amp; thợ vận hành giá lao dầm ray P43</t>
        </is>
      </c>
      <c r="C9" s="60" t="n">
        <v>0</v>
      </c>
      <c r="D9" s="60" t="n">
        <v>0</v>
      </c>
      <c r="E9" s="60" t="n">
        <v>0</v>
      </c>
      <c r="F9" s="60" t="n">
        <v>12</v>
      </c>
      <c r="G9" s="60" t="n">
        <v>0</v>
      </c>
      <c r="H9" s="60">
        <f>SUM(C9:G9)</f>
        <v/>
      </c>
      <c r="I9" s="58" t="inlineStr">
        <is>
          <t>Lao dầm Super-T 78.88 tấn</t>
        </is>
      </c>
    </row>
    <row r="10">
      <c r="A10" s="57" t="n">
        <v>7</v>
      </c>
      <c r="B10" s="58" t="inlineStr">
        <is>
          <t>Lái cần cẩu 50T bánh xích &amp; 25T bánh lốp</t>
        </is>
      </c>
      <c r="C10" s="60" t="n">
        <v>0</v>
      </c>
      <c r="D10" s="60" t="n">
        <v>0</v>
      </c>
      <c r="E10" s="60" t="n">
        <v>0</v>
      </c>
      <c r="F10" s="60" t="n">
        <v>0</v>
      </c>
      <c r="G10" s="60" t="n">
        <v>4</v>
      </c>
      <c r="H10" s="60">
        <f>SUM(C10:G10)</f>
        <v/>
      </c>
      <c r="I10" s="58" t="inlineStr">
        <is>
          <t>2 tài xế cẩu x 2 ca</t>
        </is>
      </c>
    </row>
    <row r="11">
      <c r="A11" s="57" t="n">
        <v>8</v>
      </c>
      <c r="B11" s="58" t="inlineStr">
        <is>
          <t>Lái máy đào PC200 &amp; xe bồn 9m3</t>
        </is>
      </c>
      <c r="C11" s="60" t="n">
        <v>0</v>
      </c>
      <c r="D11" s="60" t="n">
        <v>0</v>
      </c>
      <c r="E11" s="60" t="n">
        <v>0</v>
      </c>
      <c r="F11" s="60" t="n">
        <v>0</v>
      </c>
      <c r="G11" s="60" t="n">
        <v>10</v>
      </c>
      <c r="H11" s="60">
        <f>SUM(C11:G11)</f>
        <v/>
      </c>
      <c r="I11" s="58" t="inlineStr">
        <is>
          <t>Lái xúc đào &amp; bồn bê tông</t>
        </is>
      </c>
    </row>
    <row r="12">
      <c r="A12" s="57" t="n">
        <v>9</v>
      </c>
      <c r="B12" s="58" t="inlineStr">
        <is>
          <t>Lái xe téc dầu, máy nén khí, trạm trộn, máy phát</t>
        </is>
      </c>
      <c r="C12" s="60" t="n">
        <v>0</v>
      </c>
      <c r="D12" s="60" t="n">
        <v>0</v>
      </c>
      <c r="E12" s="60" t="n">
        <v>0</v>
      </c>
      <c r="F12" s="60" t="n">
        <v>0</v>
      </c>
      <c r="G12" s="60" t="n">
        <v>8</v>
      </c>
      <c r="H12" s="60">
        <f>SUM(C12:G12)</f>
        <v/>
      </c>
      <c r="I12" s="58" t="inlineStr">
        <is>
          <t>Vận hành thiết bị cơ giới phụ trợ</t>
        </is>
      </c>
    </row>
    <row r="13">
      <c r="A13" s="57" t="n">
        <v>10</v>
      </c>
      <c r="B13" s="58" t="inlineStr">
        <is>
          <t>Chỉ huy trưởng, kỹ sư hiện trường, QA/QC, thí nghiệm</t>
        </is>
      </c>
      <c r="C13" s="60" t="n">
        <v>2</v>
      </c>
      <c r="D13" s="60" t="n">
        <v>3</v>
      </c>
      <c r="E13" s="60" t="n">
        <v>3</v>
      </c>
      <c r="F13" s="60" t="n">
        <v>3</v>
      </c>
      <c r="G13" s="60" t="n">
        <v>4</v>
      </c>
      <c r="H13" s="60">
        <f>SUM(C13:G13)</f>
        <v/>
      </c>
      <c r="I13" s="58" t="inlineStr">
        <is>
          <t>Giám sát kỹ thuật 24/7</t>
        </is>
      </c>
    </row>
    <row r="14">
      <c r="A14" s="61" t="n"/>
      <c r="B14" s="62" t="inlineStr">
        <is>
          <t>TỔNG NHÂN LỰC TOÀN CÔNG TRƯỜNG CẦU KM19 (NGƯỜI)</t>
        </is>
      </c>
      <c r="C14" s="64">
        <f>SUM(C4:C13)</f>
        <v/>
      </c>
      <c r="D14" s="64">
        <f>SUM(D4:D13)</f>
        <v/>
      </c>
      <c r="E14" s="64">
        <f>SUM(E4:E13)</f>
        <v/>
      </c>
      <c r="F14" s="64">
        <f>SUM(F4:F13)</f>
        <v/>
      </c>
      <c r="G14" s="64">
        <f>SUM(G4:G13)</f>
        <v/>
      </c>
      <c r="H14" s="64">
        <f>SUM(H4:H13)</f>
        <v/>
      </c>
      <c r="I14" s="61" t="n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46" customWidth="1" min="2" max="2"/>
    <col width="24" customWidth="1" min="3" max="3"/>
    <col width="22" customWidth="1" min="4" max="4"/>
    <col width="14" customWidth="1" min="5" max="5"/>
    <col width="22" customWidth="1" min="6" max="6"/>
    <col width="22" customWidth="1" min="7" max="7"/>
    <col width="42" customWidth="1" min="8" max="8"/>
  </cols>
  <sheetData>
    <row r="1">
      <c r="A1" s="1" t="inlineStr">
        <is>
          <t>BẢNG ĐỐI CHIẾU KHỐI LƯỢNG THỰC TẾ HỒ SƠ THIẾT KẾ CẦU KM19+529.080</t>
        </is>
      </c>
    </row>
    <row r="3">
      <c r="A3" s="56" t="inlineStr">
        <is>
          <t>STT</t>
        </is>
      </c>
      <c r="B3" s="56" t="inlineStr">
        <is>
          <t>Hạng mục kết cấu Cầu Km19+529.080</t>
        </is>
      </c>
      <c r="C3" s="56" t="inlineStr">
        <is>
          <t>Quy cách / Kích thước</t>
        </is>
      </c>
      <c r="D3" s="56" t="inlineStr">
        <is>
          <t>Khối lượng Bê tông (m3)</t>
        </is>
      </c>
      <c r="E3" s="56" t="inlineStr">
        <is>
          <t>Mác Bê tông</t>
        </is>
      </c>
      <c r="F3" s="56" t="inlineStr">
        <is>
          <t>Ván khuôn tiếp xúc (m2)</t>
        </is>
      </c>
      <c r="G3" s="56" t="inlineStr">
        <is>
          <t>Cốt thép thường (tấn)</t>
        </is>
      </c>
      <c r="H3" s="56" t="inlineStr">
        <is>
          <t>Cáp DƯL / Ghi chú kỹ thuật</t>
        </is>
      </c>
    </row>
    <row r="4">
      <c r="A4" s="57" t="n">
        <v>1</v>
      </c>
      <c r="B4" s="58" t="inlineStr">
        <is>
          <t>26 Cọc khoan nhồi D1200mm (M1, M2, T1, T2)</t>
        </is>
      </c>
      <c r="C4" s="57" t="inlineStr">
        <is>
          <t>26 cọc, L_tb=33.5m</t>
        </is>
      </c>
      <c r="D4" s="59" t="n">
        <v>1006.54</v>
      </c>
      <c r="E4" s="57" t="inlineStr">
        <is>
          <t>C30</t>
        </is>
      </c>
      <c r="F4" s="59" t="n">
        <v>3286</v>
      </c>
      <c r="G4" s="65" t="n">
        <v>116.35</v>
      </c>
      <c r="H4" s="58" t="inlineStr">
        <is>
          <t>Bao gồm cả BT đập đầu cọc nhô lên 1.0m</t>
        </is>
      </c>
    </row>
    <row r="5">
      <c r="A5" s="57" t="n">
        <v>2</v>
      </c>
      <c r="B5" s="58" t="inlineStr">
        <is>
          <t>Bê tông lót đáy bệ móng mố M1, M2 &amp; trụ T1, T2</t>
        </is>
      </c>
      <c r="C5" s="57" t="inlineStr">
        <is>
          <t>Dày 10cm đá 1x2</t>
        </is>
      </c>
      <c r="D5" s="59" t="n">
        <v>42.15</v>
      </c>
      <c r="E5" s="57" t="inlineStr">
        <is>
          <t>C10</t>
        </is>
      </c>
      <c r="F5" s="59" t="n">
        <v>84.3</v>
      </c>
      <c r="G5" s="65" t="n">
        <v>0</v>
      </c>
      <c r="H5" s="58" t="inlineStr">
        <is>
          <t>Đổ lót đáy móng sau đào đất đá</t>
        </is>
      </c>
    </row>
    <row r="6">
      <c r="A6" s="57" t="n">
        <v>3</v>
      </c>
      <c r="B6" s="58" t="inlineStr">
        <is>
          <t>Bệ móng mố M1, M2 &amp; bệ trụ T1, T2</t>
        </is>
      </c>
      <c r="C6" s="57" t="inlineStr">
        <is>
          <t>Bệ M1,M2,T1,T2</t>
        </is>
      </c>
      <c r="D6" s="59" t="n">
        <v>517.48</v>
      </c>
      <c r="E6" s="57" t="inlineStr">
        <is>
          <t>C30</t>
        </is>
      </c>
      <c r="F6" s="59" t="n">
        <v>586.2</v>
      </c>
      <c r="G6" s="65" t="n">
        <v>85.42</v>
      </c>
      <c r="H6" s="58" t="inlineStr">
        <is>
          <t>Cốt thép chịu uốn chính Phi 32</t>
        </is>
      </c>
    </row>
    <row r="7">
      <c r="A7" s="57" t="n">
        <v>4</v>
      </c>
      <c r="B7" s="58" t="inlineStr">
        <is>
          <t>Thân trụ đặc T1 (H=14.5m) &amp; T2 (H=11.4m)</t>
        </is>
      </c>
      <c r="C7" s="57" t="inlineStr">
        <is>
          <t>Trụ thân đặc vát</t>
        </is>
      </c>
      <c r="D7" s="59" t="n">
        <v>196.8</v>
      </c>
      <c r="E7" s="57" t="inlineStr">
        <is>
          <t>C30</t>
        </is>
      </c>
      <c r="F7" s="59" t="n">
        <v>412.5</v>
      </c>
      <c r="G7" s="65" t="n">
        <v>34.68</v>
      </c>
      <c r="H7" s="58" t="inlineStr">
        <is>
          <t>Đà giáo leo thi công 3 đợt</t>
        </is>
      </c>
    </row>
    <row r="8">
      <c r="A8" s="57" t="n">
        <v>5</v>
      </c>
      <c r="B8" s="58" t="inlineStr">
        <is>
          <t>Thân mố chân dê M1 &amp; mố chữ U M2</t>
        </is>
      </c>
      <c r="C8" s="57" t="inlineStr">
        <is>
          <t>Mố tường đặc &amp; tai mố</t>
        </is>
      </c>
      <c r="D8" s="59" t="n">
        <v>138.4</v>
      </c>
      <c r="E8" s="57" t="inlineStr">
        <is>
          <t>C30</t>
        </is>
      </c>
      <c r="F8" s="59" t="n">
        <v>356.8</v>
      </c>
      <c r="G8" s="65" t="n">
        <v>24.15</v>
      </c>
      <c r="H8" s="58" t="inlineStr">
        <is>
          <t>Bao gồm tường thân, tường cánh, đá kê</t>
        </is>
      </c>
    </row>
    <row r="9">
      <c r="A9" s="57" t="n">
        <v>6</v>
      </c>
      <c r="B9" s="58" t="inlineStr">
        <is>
          <t>Xà mũ trụ T1, T2 &amp; ụ chống xô</t>
        </is>
      </c>
      <c r="C9" s="57" t="inlineStr">
        <is>
          <t>Xà mũ vát đầu trụ</t>
        </is>
      </c>
      <c r="D9" s="59" t="n">
        <v>112.6</v>
      </c>
      <c r="E9" s="57" t="inlineStr">
        <is>
          <t>C30</t>
        </is>
      </c>
      <c r="F9" s="59" t="n">
        <v>228.4</v>
      </c>
      <c r="G9" s="65" t="n">
        <v>21.84</v>
      </c>
      <c r="H9" s="58" t="inlineStr">
        <is>
          <t>Lắp đặt đá kê gối cầu sai số &lt;=2mm</t>
        </is>
      </c>
    </row>
    <row r="10">
      <c r="A10" s="57" t="n">
        <v>7</v>
      </c>
      <c r="B10" s="58" t="inlineStr">
        <is>
          <t>15 Phiến dầm Super-T L=38.2m tại bãi đúc</t>
        </is>
      </c>
      <c r="C10" s="57" t="inlineStr">
        <is>
          <t>15 phiến dầm định hình</t>
        </is>
      </c>
      <c r="D10" s="59" t="n">
        <v>434.8</v>
      </c>
      <c r="E10" s="57" t="inlineStr">
        <is>
          <t>C45/55</t>
        </is>
      </c>
      <c r="F10" s="59" t="n">
        <v>2610</v>
      </c>
      <c r="G10" s="65" t="n">
        <v>96.72</v>
      </c>
      <c r="H10" s="58" t="inlineStr">
        <is>
          <t>27.78 tấn cáp DƯL 15.2mm (660 tao)</t>
        </is>
      </c>
    </row>
    <row r="11">
      <c r="A11" s="57" t="n">
        <v>8</v>
      </c>
      <c r="B11" s="58" t="inlineStr">
        <is>
          <t>Dầm ngang mố trụ &amp; bản liên tục nhiệt</t>
        </is>
      </c>
      <c r="C11" s="57" t="inlineStr">
        <is>
          <t>Bê tông nối nhịp</t>
        </is>
      </c>
      <c r="D11" s="59" t="n">
        <v>78.5</v>
      </c>
      <c r="E11" s="57" t="inlineStr">
        <is>
          <t>C35</t>
        </is>
      </c>
      <c r="F11" s="59" t="n">
        <v>185</v>
      </c>
      <c r="G11" s="65" t="n">
        <v>14.2</v>
      </c>
      <c r="H11" s="58" t="inlineStr">
        <is>
          <t>Liên kết đầu dầm Super-T trên đỉnh trụ</t>
        </is>
      </c>
    </row>
    <row r="12">
      <c r="A12" s="57" t="n">
        <v>9</v>
      </c>
      <c r="B12" s="58" t="inlineStr">
        <is>
          <t>Bản mặt cầu tại chỗ &amp; gờ lan can</t>
        </is>
      </c>
      <c r="C12" s="57" t="inlineStr">
        <is>
          <t>Dày 180mm, L=118.2m</t>
        </is>
      </c>
      <c r="D12" s="59" t="n">
        <v>265.4</v>
      </c>
      <c r="E12" s="57" t="inlineStr">
        <is>
          <t>C35</t>
        </is>
      </c>
      <c r="F12" s="59" t="n">
        <v>1420</v>
      </c>
      <c r="G12" s="65" t="n">
        <v>48.6</v>
      </c>
      <c r="H12" s="58" t="inlineStr">
        <is>
          <t>Phối hợp 510 tấm ván khuôn đúc sẵn</t>
        </is>
      </c>
    </row>
    <row r="13">
      <c r="A13" s="57" t="n">
        <v>10</v>
      </c>
      <c r="B13" s="58" t="inlineStr">
        <is>
          <t>Bản quá độ sau 2 mố &amp; đắp K98 đầu cầu</t>
        </is>
      </c>
      <c r="C13" s="57" t="inlineStr">
        <is>
          <t>2 bản L=5.0m</t>
        </is>
      </c>
      <c r="D13" s="59" t="n">
        <v>35.8</v>
      </c>
      <c r="E13" s="57" t="inlineStr">
        <is>
          <t>C25</t>
        </is>
      </c>
      <c r="F13" s="59" t="n">
        <v>86</v>
      </c>
      <c r="G13" s="65" t="n">
        <v>5.8</v>
      </c>
      <c r="H13" s="58" t="inlineStr">
        <is>
          <t>Đắp chọn lọc K98 đầm chặt</t>
        </is>
      </c>
    </row>
    <row r="14">
      <c r="A14" s="61" t="n"/>
      <c r="B14" s="62" t="inlineStr">
        <is>
          <t>TỔNG CỘNG TOÀN CÔNG TRÌNH CẦU KM19+529.080 (100%)</t>
        </is>
      </c>
      <c r="C14" s="61" t="n"/>
      <c r="D14" s="63">
        <f>SUM(D4:D13)</f>
        <v/>
      </c>
      <c r="E14" s="61" t="n"/>
      <c r="F14" s="63">
        <f>SUM(F4:F13)</f>
        <v/>
      </c>
      <c r="G14" s="66">
        <f>SUM(G4:G13)</f>
        <v/>
      </c>
      <c r="H14" s="61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2026-10-02T17:19:32Z</dcterms:created>
  <dcterms:modified xmlns:dcterms="http://purl.org/dc/terms/" xmlns:xsi="http://www.w3.org/2001/XMLSchema-instance" xsi:type="dcterms:W3CDTF">2026-10-02T17:19:33Z</dcterms:modified>
</cp:coreProperties>
</file>