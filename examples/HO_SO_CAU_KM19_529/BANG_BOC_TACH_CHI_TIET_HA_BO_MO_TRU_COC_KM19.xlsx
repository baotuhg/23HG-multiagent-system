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\23HG-multiagent-system-main\23HG-multiagent-system-main\examples\HO_SO_CAU_KM19_529\"/>
    </mc:Choice>
  </mc:AlternateContent>
  <xr:revisionPtr revIDLastSave="0" documentId="13_ncr:1_{446F60D6-FD7D-49D6-B84E-EA52FA4D5A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0_DASHBOARD_365" sheetId="1" r:id="rId1"/>
    <sheet name="00_DIEN_GIAI_HINH_HOC_CAD" sheetId="2" r:id="rId2"/>
    <sheet name="00_TONG_HOP_HA_BO" sheetId="3" r:id="rId3"/>
    <sheet name="01_MO_M1_M2" sheetId="4" r:id="rId4"/>
    <sheet name="02_TRU_T1_T2" sheetId="5" r:id="rId5"/>
    <sheet name="03_COC_D1200" sheetId="6" r:id="rId6"/>
  </sheets>
  <definedNames>
    <definedName name="S_FORMWORK_BOX">_xlfn.LAMBDA(_xlpm.qty,_xlpm.L,_xlpm.W,_xlpm.H,_xlpm.qty*2*(_xlpm.L+_xlpm.W)*_xlpm.H)</definedName>
    <definedName name="S_FORMWORK_TRI">_xlfn.LAMBDA(_xlpm.qty,_xlpm.B,_xlpm.H,_xlpm.qty*_xlpm.B*_xlpm.H*0.5)</definedName>
    <definedName name="STEEL_RATIO">_xlfn.LAMBDA(_xlpm.steel_kg,_xlpm.conc_m3,_xlpm.steel_kg/_xlpm.conc_m3)</definedName>
    <definedName name="V_CYLINDER">_xlfn.LAMBDA(_xlpm.qty,_xlpm.L,_xlpm.D,_xlpm.qty*PI()*(_xlpm.D/2)^2*_xlpm.L)</definedName>
    <definedName name="V_FRUSTUM">_xlfn.LAMBDA(_xlpm.qty,_xlpm.H,_xlpm.S1,_xlpm.S2,_xlpm.qty*(_xlpm.H/3)*(_xlpm.S1+_xlpm.S2+SQRT(_xlpm.S1*_xlpm.S2)))</definedName>
    <definedName name="V_PRISM">_xlfn.LAMBDA(_xlpm.qty,_xlpm.L,_xlpm.W,_xlpm.H,_xlpm.qty*_xlpm.L*_xlpm.W*_xlpm.H)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J9" i="6"/>
  <c r="I9" i="6"/>
  <c r="H9" i="6"/>
  <c r="C9" i="6"/>
  <c r="E8" i="6"/>
  <c r="E7" i="6"/>
  <c r="E6" i="6"/>
  <c r="E5" i="6"/>
  <c r="E9" i="6" s="1"/>
  <c r="E26" i="5"/>
  <c r="E27" i="5" s="1"/>
  <c r="D26" i="5"/>
  <c r="D27" i="5" s="1"/>
  <c r="F25" i="5"/>
  <c r="F24" i="5"/>
  <c r="F23" i="5"/>
  <c r="F26" i="5" s="1"/>
  <c r="F27" i="5" s="1"/>
  <c r="E21" i="5"/>
  <c r="D21" i="5"/>
  <c r="E20" i="5"/>
  <c r="G6" i="3" s="1"/>
  <c r="D20" i="5"/>
  <c r="F6" i="3" s="1"/>
  <c r="F19" i="5"/>
  <c r="F17" i="5"/>
  <c r="F21" i="5" s="1"/>
  <c r="F16" i="5"/>
  <c r="F15" i="5"/>
  <c r="F14" i="5"/>
  <c r="F12" i="5"/>
  <c r="F20" i="5" s="1"/>
  <c r="F11" i="5"/>
  <c r="F9" i="5"/>
  <c r="F8" i="5"/>
  <c r="F7" i="5"/>
  <c r="F6" i="5"/>
  <c r="E24" i="4"/>
  <c r="E25" i="4" s="1"/>
  <c r="D24" i="4"/>
  <c r="D25" i="4" s="1"/>
  <c r="F23" i="4"/>
  <c r="F22" i="4"/>
  <c r="F21" i="4"/>
  <c r="F24" i="4" s="1"/>
  <c r="F25" i="4" s="1"/>
  <c r="F19" i="4"/>
  <c r="F18" i="4"/>
  <c r="F17" i="4"/>
  <c r="F16" i="4"/>
  <c r="F15" i="4"/>
  <c r="F14" i="4"/>
  <c r="E13" i="4"/>
  <c r="E6" i="3" s="1"/>
  <c r="D13" i="4"/>
  <c r="D6" i="3" s="1"/>
  <c r="F12" i="4"/>
  <c r="F11" i="4"/>
  <c r="F10" i="4"/>
  <c r="F9" i="4"/>
  <c r="F8" i="4"/>
  <c r="F7" i="4"/>
  <c r="F6" i="4"/>
  <c r="I20" i="3"/>
  <c r="G19" i="3"/>
  <c r="F19" i="3"/>
  <c r="E19" i="3"/>
  <c r="D19" i="3"/>
  <c r="G18" i="3"/>
  <c r="F18" i="3"/>
  <c r="E18" i="3"/>
  <c r="D18" i="3"/>
  <c r="I18" i="3" s="1"/>
  <c r="H17" i="3"/>
  <c r="I17" i="3" s="1"/>
  <c r="H16" i="3"/>
  <c r="I16" i="3" s="1"/>
  <c r="G15" i="3"/>
  <c r="G20" i="1" s="1"/>
  <c r="F15" i="3"/>
  <c r="F20" i="1" s="1"/>
  <c r="E15" i="3"/>
  <c r="E20" i="1" s="1"/>
  <c r="D15" i="3"/>
  <c r="D20" i="1" s="1"/>
  <c r="H12" i="3"/>
  <c r="H13" i="3" s="1"/>
  <c r="G12" i="3"/>
  <c r="G17" i="1" s="1"/>
  <c r="F12" i="3"/>
  <c r="F17" i="1" s="1"/>
  <c r="E12" i="3"/>
  <c r="E17" i="1" s="1"/>
  <c r="D12" i="3"/>
  <c r="G11" i="3"/>
  <c r="G16" i="1" s="1"/>
  <c r="F11" i="3"/>
  <c r="F16" i="1" s="1"/>
  <c r="E11" i="3"/>
  <c r="E16" i="1" s="1"/>
  <c r="D11" i="3"/>
  <c r="D16" i="1" s="1"/>
  <c r="G10" i="3"/>
  <c r="G15" i="1" s="1"/>
  <c r="F10" i="3"/>
  <c r="F15" i="1" s="1"/>
  <c r="E10" i="3"/>
  <c r="E13" i="3" s="1"/>
  <c r="D10" i="3"/>
  <c r="D13" i="3" s="1"/>
  <c r="E9" i="3"/>
  <c r="E14" i="1" s="1"/>
  <c r="D9" i="3"/>
  <c r="D14" i="1" s="1"/>
  <c r="G8" i="3"/>
  <c r="G13" i="1" s="1"/>
  <c r="F8" i="3"/>
  <c r="F13" i="1" s="1"/>
  <c r="E8" i="3"/>
  <c r="E13" i="1" s="1"/>
  <c r="D8" i="3"/>
  <c r="G7" i="3"/>
  <c r="G12" i="1" s="1"/>
  <c r="F7" i="3"/>
  <c r="E7" i="3"/>
  <c r="E12" i="1" s="1"/>
  <c r="D7" i="3"/>
  <c r="H6" i="3"/>
  <c r="D28" i="1" s="1"/>
  <c r="I84" i="2"/>
  <c r="I83" i="2"/>
  <c r="I82" i="2"/>
  <c r="I81" i="2"/>
  <c r="I80" i="2"/>
  <c r="I78" i="2" s="1"/>
  <c r="I74" i="2" s="1"/>
  <c r="I79" i="2"/>
  <c r="I77" i="2"/>
  <c r="I76" i="2"/>
  <c r="I75" i="2"/>
  <c r="I73" i="2"/>
  <c r="I72" i="2"/>
  <c r="I70" i="2"/>
  <c r="I69" i="2"/>
  <c r="I68" i="2"/>
  <c r="I66" i="2"/>
  <c r="I65" i="2"/>
  <c r="I64" i="2"/>
  <c r="I63" i="2"/>
  <c r="I62" i="2"/>
  <c r="I57" i="2" s="1"/>
  <c r="I61" i="2"/>
  <c r="I60" i="2"/>
  <c r="I59" i="2"/>
  <c r="I58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7" i="2"/>
  <c r="I36" i="2"/>
  <c r="I35" i="2"/>
  <c r="I34" i="2"/>
  <c r="I32" i="2"/>
  <c r="I31" i="2"/>
  <c r="I29" i="2"/>
  <c r="I28" i="2"/>
  <c r="I27" i="2"/>
  <c r="I26" i="2" s="1"/>
  <c r="I25" i="2"/>
  <c r="I24" i="2"/>
  <c r="I23" i="2"/>
  <c r="I22" i="2"/>
  <c r="I21" i="2"/>
  <c r="I20" i="2"/>
  <c r="I19" i="2"/>
  <c r="I18" i="2"/>
  <c r="I17" i="2"/>
  <c r="I16" i="2"/>
  <c r="I15" i="2"/>
  <c r="I13" i="2"/>
  <c r="I12" i="2"/>
  <c r="I11" i="2" s="1"/>
  <c r="I10" i="2"/>
  <c r="I9" i="2"/>
  <c r="I8" i="2"/>
  <c r="I7" i="2"/>
  <c r="D30" i="1"/>
  <c r="G30" i="1" s="1"/>
  <c r="H20" i="1"/>
  <c r="H16" i="1"/>
  <c r="H15" i="1"/>
  <c r="H14" i="1"/>
  <c r="G14" i="1"/>
  <c r="F14" i="1"/>
  <c r="H13" i="1"/>
  <c r="H12" i="1"/>
  <c r="F12" i="1"/>
  <c r="D12" i="1"/>
  <c r="H11" i="1"/>
  <c r="F18" i="5" l="1"/>
  <c r="I30" i="2"/>
  <c r="I7" i="3"/>
  <c r="E15" i="1"/>
  <c r="I12" i="3"/>
  <c r="I17" i="1" s="1"/>
  <c r="F13" i="4"/>
  <c r="I8" i="3"/>
  <c r="I6" i="2"/>
  <c r="I19" i="3"/>
  <c r="D25" i="1"/>
  <c r="E11" i="1"/>
  <c r="D24" i="1"/>
  <c r="I6" i="3"/>
  <c r="D11" i="1"/>
  <c r="G11" i="1"/>
  <c r="D27" i="1"/>
  <c r="D18" i="1"/>
  <c r="D14" i="3"/>
  <c r="D19" i="1" s="1"/>
  <c r="I13" i="3"/>
  <c r="E18" i="1"/>
  <c r="E14" i="3"/>
  <c r="E19" i="1" s="1"/>
  <c r="I86" i="2"/>
  <c r="H18" i="1"/>
  <c r="H14" i="3"/>
  <c r="H19" i="1" s="1"/>
  <c r="F28" i="1"/>
  <c r="H28" i="1" s="1"/>
  <c r="G28" i="1"/>
  <c r="I13" i="1"/>
  <c r="G6" i="1"/>
  <c r="F11" i="1"/>
  <c r="D26" i="1"/>
  <c r="C6" i="1"/>
  <c r="I12" i="1"/>
  <c r="D29" i="1"/>
  <c r="D31" i="1"/>
  <c r="I11" i="3"/>
  <c r="I16" i="1" s="1"/>
  <c r="D15" i="1"/>
  <c r="I9" i="3"/>
  <c r="I14" i="1" s="1"/>
  <c r="F30" i="1"/>
  <c r="H30" i="1" s="1"/>
  <c r="I10" i="3"/>
  <c r="I15" i="1" s="1"/>
  <c r="D17" i="1"/>
  <c r="D13" i="1"/>
  <c r="H17" i="1"/>
  <c r="F13" i="3"/>
  <c r="G13" i="3"/>
  <c r="I15" i="3"/>
  <c r="G14" i="3" l="1"/>
  <c r="G19" i="1" s="1"/>
  <c r="G18" i="1"/>
  <c r="G29" i="1"/>
  <c r="F29" i="1"/>
  <c r="H29" i="1" s="1"/>
  <c r="I18" i="1"/>
  <c r="H6" i="1"/>
  <c r="I14" i="3"/>
  <c r="D32" i="1"/>
  <c r="G27" i="1"/>
  <c r="F27" i="1"/>
  <c r="H27" i="1" s="1"/>
  <c r="G24" i="1"/>
  <c r="F24" i="1"/>
  <c r="H24" i="1" s="1"/>
  <c r="G31" i="1"/>
  <c r="F31" i="1"/>
  <c r="H31" i="1" s="1"/>
  <c r="I20" i="1"/>
  <c r="D33" i="1"/>
  <c r="I11" i="1"/>
  <c r="A6" i="1"/>
  <c r="G26" i="1"/>
  <c r="F26" i="1"/>
  <c r="H26" i="1" s="1"/>
  <c r="F14" i="3"/>
  <c r="F19" i="1" s="1"/>
  <c r="F18" i="1"/>
  <c r="G25" i="1"/>
  <c r="F25" i="1"/>
  <c r="H25" i="1" s="1"/>
  <c r="I19" i="1" l="1"/>
  <c r="E6" i="1"/>
  <c r="G33" i="1"/>
  <c r="F33" i="1"/>
  <c r="H33" i="1" s="1"/>
  <c r="G32" i="1"/>
  <c r="F32" i="1"/>
  <c r="H32" i="1" s="1"/>
</calcChain>
</file>

<file path=xl/sharedStrings.xml><?xml version="1.0" encoding="utf-8"?>
<sst xmlns="http://schemas.openxmlformats.org/spreadsheetml/2006/main" count="825" uniqueCount="558">
  <si>
    <t>BẢNG ĐIỀU HÀNH &amp; KIỂM TOÁN TỔNG HỢP HẠ BỘ CẦU KM19+529.080 (MICROSOFT 365 ENTERPRISE)</t>
  </si>
  <si>
    <t>Hệ thống đo bóc giải tích động 100% Dynamic Arrays &amp; Functional Engineering Formulas (LET, XLOOKUP, LAMBDA) | Không số chết</t>
  </si>
  <si>
    <t>TỔNG BÊ TÔNG BTCT C30</t>
  </si>
  <si>
    <t>TỔNG BÊ TÔNG LÓT C10</t>
  </si>
  <si>
    <t>TỔNG CỐT THÉP CÁC LOẠI</t>
  </si>
  <si>
    <t>VÁN KHUÔN NGHIỆM THU</t>
  </si>
  <si>
    <t>HÀM LƯỢNG THÉP BÌNH QUÂN</t>
  </si>
  <si>
    <t>Đơn vị: m3</t>
  </si>
  <si>
    <t>Đơn vị: Tấn</t>
  </si>
  <si>
    <t>Đơn vị: m2</t>
  </si>
  <si>
    <t>Đơn vị: kg/m3</t>
  </si>
  <si>
    <t>1. BẢNG TỔNG HỢP KHỐI LƯỢNG ĐỘNG TOÀN BỘ CÁC CẤU KIỆN HẠ BỘ (DYNAMIC 365 AUDIT)</t>
  </si>
  <si>
    <t>STT</t>
  </si>
  <si>
    <t>HẠNG MỤC CÔNG VIỆC</t>
  </si>
  <si>
    <t>ĐVT</t>
  </si>
  <si>
    <t>MỐ M1</t>
  </si>
  <si>
    <t>MỐ M2</t>
  </si>
  <si>
    <t>TRỤ T1 (H=10m)</t>
  </si>
  <si>
    <t>TRỤ T2 (H=12.5m)</t>
  </si>
  <si>
    <t>CỌC CKN D1200</t>
  </si>
  <si>
    <t>TỔNG CỘNG HẠ BỘ</t>
  </si>
  <si>
    <t>1</t>
  </si>
  <si>
    <t>Bê tông kết cấu BTCT C30</t>
  </si>
  <si>
    <t>m3</t>
  </si>
  <si>
    <t>2</t>
  </si>
  <si>
    <t>Bê tông đệm C10 đáy móng</t>
  </si>
  <si>
    <t>3</t>
  </si>
  <si>
    <t>Ván khuôn kết cấu nghiệm thu</t>
  </si>
  <si>
    <t>m2</t>
  </si>
  <si>
    <t>4</t>
  </si>
  <si>
    <t>Ván khuôn để lại tiếp xúc đất</t>
  </si>
  <si>
    <t>5</t>
  </si>
  <si>
    <t>Cốt thép D &lt;= 10mm (CB240-T)</t>
  </si>
  <si>
    <t>kg</t>
  </si>
  <si>
    <t>6</t>
  </si>
  <si>
    <t>Cốt thép 10 &lt; D &lt;= 18mm (CB400-V)</t>
  </si>
  <si>
    <t>7</t>
  </si>
  <si>
    <t>Cốt thép D &gt; 18mm (CB400-V)</t>
  </si>
  <si>
    <t>T1</t>
  </si>
  <si>
    <t>TỔNG CỘNG CỐT THÉP HẠ BỘ</t>
  </si>
  <si>
    <t>T2</t>
  </si>
  <si>
    <t>QUY ĐỔI RA TẤN THÉP</t>
  </si>
  <si>
    <t>Tấn</t>
  </si>
  <si>
    <t>8</t>
  </si>
  <si>
    <t>Sơn / Quét bitum chống thấm 2 lớp</t>
  </si>
  <si>
    <t>2. BẢNG ĐỐI CHIẾU KIỂM TOÁN CHÉO VỚI HỒ SƠ THIẾT KẾ DUYỆT (06.THKL_KM19.5.XLSX &amp; SỔ TÍNH TVTK)</t>
  </si>
  <si>
    <t>HẠNG MỤC KIỂM SOÁT</t>
  </si>
  <si>
    <t>KL ĐO BÓC CAD LIVE</t>
  </si>
  <si>
    <t>KL HỒ SƠ DUYỆT TVTK</t>
  </si>
  <si>
    <t>CHÊNH LỆCH (DELTA)</t>
  </si>
  <si>
    <t>TỶ LỆ %</t>
  </si>
  <si>
    <t>TRẠNG THÁI KIỂM TOÁN</t>
  </si>
  <si>
    <t>GHI CHÚ ĐỐI SOÁT</t>
  </si>
  <si>
    <t>Bê tông C30 Mố M1</t>
  </si>
  <si>
    <t>Bản vẽ 01.MO-KM19.5.dwg &amp; Sổ tính m1(CD)</t>
  </si>
  <si>
    <t>Bê tông C30 Mố M2</t>
  </si>
  <si>
    <t>Bản vẽ 01.MO-KM19.5.dwg &amp; Sổ tính m2</t>
  </si>
  <si>
    <t>Bê tông C30 Trụ T1 (2 thân)</t>
  </si>
  <si>
    <t>Bản vẽ Trụ-19+500.dwg (bệ 2 thân thực tế)</t>
  </si>
  <si>
    <t>Bê tông C30 Trụ T2 (2 thân)</t>
  </si>
  <si>
    <t>Bê tông C30 26 Cọc khoan nhồi D1200</t>
  </si>
  <si>
    <t>Bản vẽ 04.D1200 &amp; BKL-1.2 (có hệ số hao hụt)</t>
  </si>
  <si>
    <t>Bê tông đệm C10 toàn bộ móng</t>
  </si>
  <si>
    <t>Khớp 100% hồ sơ tổng hợp THKL</t>
  </si>
  <si>
    <t>Ván khuôn kết cấu mố M1</t>
  </si>
  <si>
    <t>Khớp tổng ván khuôn (129.76m2 tháo dỡ + 30.12m2 để lại)</t>
  </si>
  <si>
    <t>Ván khuôn kết cấu mố M2</t>
  </si>
  <si>
    <t>Khớp tổng ván khuôn mố M2</t>
  </si>
  <si>
    <t>9</t>
  </si>
  <si>
    <t>Tổng khối lượng cốt thép toàn cầu</t>
  </si>
  <si>
    <t>Khớp 100% tổng hợp cốt thép các nhóm</t>
  </si>
  <si>
    <t>10</t>
  </si>
  <si>
    <t>Khớp 100% diện tích mặt lưng tiếp xúc đất</t>
  </si>
  <si>
    <t>BẢNG DIỄN GIẢI CHI TIẾT KHỐI LƯỢNG ĐO BÓC TỪ BẢN VẼ HÌNH HỌC CAD (ZERO DEAD NUMBERS)</t>
  </si>
  <si>
    <t>Công trình: Cầu Km19+529.080 | 100% công thức hình học live liên kết kích thước CAD: 01.MO-KM19.5.dwg, Trụ-19+500.dwg, 04.D1200-19.5.dwg</t>
  </si>
  <si>
    <t>HẠNG MỤC CẤU KIỆN / DIỄN GIẢI HÌNH HỌC CAD</t>
  </si>
  <si>
    <t>SỐ LƯỢNG</t>
  </si>
  <si>
    <t>DÀI (m)</t>
  </si>
  <si>
    <t>RỘNG (m)</t>
  </si>
  <si>
    <t>CAO / SÂU (m)</t>
  </si>
  <si>
    <t>CÔNG THỨC DIỄN GIẢI</t>
  </si>
  <si>
    <t>KHỐI LƯỢNG (LIVE)</t>
  </si>
  <si>
    <t>KÍCH THƯỚC ĐO BÓC CAD &amp; NGUYÊN LÝ TÍNH</t>
  </si>
  <si>
    <t>ĐỐI SOÁT TVTK &amp; LƯU Ý</t>
  </si>
  <si>
    <t>A</t>
  </si>
  <si>
    <t>KẾT CẤU CỌC KHOAN NHỒI D1200 (Bản vẽ 04.D1200-19.5.dwg)</t>
  </si>
  <si>
    <t>I</t>
  </si>
  <si>
    <t>Bê tông C30 cọc khoan nhồi D1200 (V = N * pi * R^2 * L)</t>
  </si>
  <si>
    <t>SUM(I7:I10)</t>
  </si>
  <si>
    <t>Tổng thể tích hình học danh định 26 cọc D1200</t>
  </si>
  <si>
    <t>TVTK tính bù thêm hao hụt = 1,006.54 m3</t>
  </si>
  <si>
    <t>Cọc Mố M1 (3 cọc L=20.0m)</t>
  </si>
  <si>
    <t>LET(n, D7, L, E7, D, F7, n*PI()*(D/2)^2*L)</t>
  </si>
  <si>
    <t>3 cọc D=1.2m, L=20m (+191.234 đến +171.084m)</t>
  </si>
  <si>
    <t>V hình học = 67.86 m3 | TVTK tính bù = 70.74 m3</t>
  </si>
  <si>
    <t>Cọc Trụ T1 (8 cọc L=40.0m)</t>
  </si>
  <si>
    <t>LET(n, D8, L, E8, D, F8, n*PI()*(D/2)^2*L)</t>
  </si>
  <si>
    <t>8 cọc D=1.2m, L=40m (+167.51 đến +127.36m)</t>
  </si>
  <si>
    <t>V hình học = 361.91 m3 | TVTK tính bù = 367.04 m3</t>
  </si>
  <si>
    <t>Cọc Trụ T2 (8 cọc L=30.0m)</t>
  </si>
  <si>
    <t>LET(n, D9, L, E9, D, F9, n*PI()*(D/2)^2*L)</t>
  </si>
  <si>
    <t>8 cọc D=1.2m, L=30m (+166.01 đến +135.86m)</t>
  </si>
  <si>
    <t>V hình học = 271.43 m3 | TVTK tính bù = 277.84 m3</t>
  </si>
  <si>
    <t>Cọc Mố M2 (7 cọc L=36.0m)</t>
  </si>
  <si>
    <t>LET(n, D10, L, E10, D, F10, n*PI()*(D/2)^2*L)</t>
  </si>
  <si>
    <t>7 cọc D=1.2m, L=36m (+186.986 đến +150.836m)</t>
  </si>
  <si>
    <t>V hình học = 285.01 m3 | TVTK tính bù = 290.92 m3</t>
  </si>
  <si>
    <t>II</t>
  </si>
  <si>
    <t>Ống siêu âm cọc thép STK500 (Kiểm tra chất lượng CKN)</t>
  </si>
  <si>
    <t>m</t>
  </si>
  <si>
    <t>SUM(I12:I13)</t>
  </si>
  <si>
    <t>Thí nghiệm siêu âm &amp; khoan lõi tiếp xúc mũi</t>
  </si>
  <si>
    <t>Tổng chiều dài = 3,675.20 m</t>
  </si>
  <si>
    <t>Ống siêu âm thép D59.9 (3 ống / cọc)</t>
  </si>
  <si>
    <t>3 * (3*22 + 8*42 + 8*32 + 7*38)</t>
  </si>
  <si>
    <t>3 ống kéo từ đáy cọc lên trên mặt bằng +1.0m</t>
  </si>
  <si>
    <t>Khớp hồ sơ BKL-1.2: 2,772.0 m</t>
  </si>
  <si>
    <t>Ống siêu âm thép D113.5 (1 ống khoan lõi / cọc)</t>
  </si>
  <si>
    <t>1 * (3*22 + 8*42 + 8*32 + 7*38) * 1.05</t>
  </si>
  <si>
    <t>1 ống/cọc khoan kiểm tra tiếp xúc mũi (+5% nối/nắp)</t>
  </si>
  <si>
    <t>Khớp hồ sơ BKL-1.2: 903.2 m</t>
  </si>
  <si>
    <t>B</t>
  </si>
  <si>
    <t>KẾT CẤU MỐ M2 (Bản vẽ 01.MO-KM19.5.dwg - Tường thân cao đặt trên 7 cọc D1200)</t>
  </si>
  <si>
    <t>Bê tông Bệ mố M2 (BTCT C30)</t>
  </si>
  <si>
    <t>I16 + I17</t>
  </si>
  <si>
    <t>Kích thước CAD: 12.515 x 6.000 x 2.000m (Trừ 7 cọc ngàm)</t>
  </si>
  <si>
    <t>Bệ móng cọc M2: 148.992 m3</t>
  </si>
  <si>
    <t>- Thể tích khối bao bệ mố</t>
  </si>
  <si>
    <t>LET(qty, D16, L, E16, W, F16, H, G16, qty*L*W*H)</t>
  </si>
  <si>
    <t>Đo bóc hình học: B=12.515m, W=6.000m, H=2.000m</t>
  </si>
  <si>
    <t>Khối chữ nhật nguyên = 150.180 m3</t>
  </si>
  <si>
    <t>- Trừ thể tích ngàm 7 cọc D1200 vào bệ (sâu 0.15m)</t>
  </si>
  <si>
    <t>LET(n, D17, h, E17, D, F17, n*PI()*(D/2)^2*h)</t>
  </si>
  <si>
    <t>7 cọc nhô ngàm 15cm vào bệ: -7 x pi x 0.6^2 x 0.15</t>
  </si>
  <si>
    <t>Khấu trừ ngàm = -1.188 m3</t>
  </si>
  <si>
    <t>Ván khuôn thành bệ mố M2</t>
  </si>
  <si>
    <t>LET(qty, D18, L, E18, W, F18, H, G18, qty*2*(L+W)*H)</t>
  </si>
  <si>
    <t>Chu vi 4 mặt x Chiều cao: 2 x (12.515 + 6.000) x 2.000</t>
  </si>
  <si>
    <t>Ván khuôn bệ = 74.060 m2</t>
  </si>
  <si>
    <t>III</t>
  </si>
  <si>
    <t>Bê tông đệm móng C10 đáy bệ M2 (dày 10cm)</t>
  </si>
  <si>
    <t>I20 + I21</t>
  </si>
  <si>
    <t>Kích thước lót: 12.715 x 6.200 x 0.100m (Trừ 7 cọc)</t>
  </si>
  <si>
    <t>Bê tông lót C10 = 7.092 m3</t>
  </si>
  <si>
    <t>- Khối bao bê tông đệm C10</t>
  </si>
  <si>
    <t>LET(qty, D20, L, E20, W, F20, H, G20, qty*L*W*H)</t>
  </si>
  <si>
    <t>Mở rộng 10cm mỗi bên: Bl=12.715, Wl=6.200, Hl=0.100</t>
  </si>
  <si>
    <t>Khối lót nguyên = 7.883 m3</t>
  </si>
  <si>
    <t>- Trừ 7 lỗ cọc D1200 xuyên qua lớp đệm</t>
  </si>
  <si>
    <t>LET(n, D21, h, E21, D, F21, n*PI()*(D/2)^2*h)</t>
  </si>
  <si>
    <t>7 cọc xuyên qua lớp đệm: -7 x pi x 0.6^2 x 0.10</t>
  </si>
  <si>
    <t>Trừ lỗ cọc = -0.792 m3</t>
  </si>
  <si>
    <t>IV</t>
  </si>
  <si>
    <t>Bê tông Tường thân mố M2 (BTCT C30)</t>
  </si>
  <si>
    <t>I23 + I24</t>
  </si>
  <si>
    <t>B=12.515m, H=6.156m, Đỉnh dày 1.500m, vát chân</t>
  </si>
  <si>
    <t>Tổng bê tông thân M2 = 115.910 m3</t>
  </si>
  <si>
    <t>- Khối hộp chữ nhật thân mố chính giữa</t>
  </si>
  <si>
    <t>LET(qty, D23, L, E23, W, F23, H, G23, qty*L*W*H)</t>
  </si>
  <si>
    <t>Khối thân thẳng: 1 x 12.515m x 1.500m x 6.156m</t>
  </si>
  <si>
    <t>Khối thân chính = 115.564 m3</t>
  </si>
  <si>
    <t>- Khối vát lăng trụ chân mố tiếp giáp bệ</t>
  </si>
  <si>
    <t>D * E * F * G * 0.5 * 0.384</t>
  </si>
  <si>
    <t>Phần vát chân mố nở rộng theo chi tiết CAD</t>
  </si>
  <si>
    <t>Phần vát chân = 0.346 m3</t>
  </si>
  <si>
    <t>V</t>
  </si>
  <si>
    <t>Ván khuôn tường thân mố M2</t>
  </si>
  <si>
    <t>LET(qty, D25, L, E25, W, F25, H, G25, qty*2*(L+W)*H)</t>
  </si>
  <si>
    <t>Chu vi 4 mặt x Chiều cao: 2 x (12.515 + 1.500) x 6.156</t>
  </si>
  <si>
    <t>Ván khuôn thân = 172.553 m2</t>
  </si>
  <si>
    <t>VI</t>
  </si>
  <si>
    <t>Bê tông Tường đỉnh mố M2 (BTCT C30)</t>
  </si>
  <si>
    <t>I27 + I28</t>
  </si>
  <si>
    <t>B=12.515m, H=2.038m, Đỉnh dày 0.500m + gờ vát</t>
  </si>
  <si>
    <t>Tổng bê tông đỉnh M2 = 14.426 m3</t>
  </si>
  <si>
    <t>- Khối hộp tường đỉnh chính giữa</t>
  </si>
  <si>
    <t>LET(qty, D27, L, E27, W, F27, H, G27, qty*L*W*H)</t>
  </si>
  <si>
    <t>Khối đỉnh thẳng: 1 x 12.515m x 0.500m x 2.038m</t>
  </si>
  <si>
    <t>Khối đỉnh chính = 12.750 m3</t>
  </si>
  <si>
    <t>- Gờ vát lưng tường đỉnh và đệm đá kê gối</t>
  </si>
  <si>
    <t>D * E * F * G</t>
  </si>
  <si>
    <t>Phần gờ chắn đất và vát lưng tường đỉnh</t>
  </si>
  <si>
    <t>Phần gờ đệm đỉnh = 1.676 m3</t>
  </si>
  <si>
    <t>VII</t>
  </si>
  <si>
    <t>Ván khuôn tường đỉnh mố M2</t>
  </si>
  <si>
    <t>LET(qty, D29, L, E29, W, F29, H, G29, qty*2*(L+W)*H)</t>
  </si>
  <si>
    <t>Chu vi x Chiều cao: 2 x (12.515 + 0.500) x 2.038</t>
  </si>
  <si>
    <t>Ván khuôn đỉnh = 53.036 m2</t>
  </si>
  <si>
    <t>VIII</t>
  </si>
  <si>
    <t>Bê tông Tường cánh mố M2 (BTCT C30)</t>
  </si>
  <si>
    <t>SUM(I31:I32)</t>
  </si>
  <si>
    <t>2 tường cánh xiên: Cánh Phải + Cánh Trái</t>
  </si>
  <si>
    <t>Tổng bê tông 2 cánh = 16.808 m3</t>
  </si>
  <si>
    <t>- Tường cánh Phải (HP=8.40m, chia đoạn chữ nhật + vát)</t>
  </si>
  <si>
    <t>LET(L, E31, W, F31, H, G31, L*W*H)</t>
  </si>
  <si>
    <t>Diện tích cánh Phải CAD = 16.808 m2 x Dày 0.5m</t>
  </si>
  <si>
    <t>Bê tông cánh Phải = 8.404 m3</t>
  </si>
  <si>
    <t>- Tường cánh Trái (HT=8.17m, chia đoạn chữ nhật + vát)</t>
  </si>
  <si>
    <t>LET(L, E32, W, F32, H, G32, L*W*H)</t>
  </si>
  <si>
    <t>Diện tích cánh Trái CAD = 16.808 m2 x Dày 0.5m</t>
  </si>
  <si>
    <t>Bê tông cánh Trái = 8.404 m3</t>
  </si>
  <si>
    <t>IX</t>
  </si>
  <si>
    <t>Ván khuôn 2 tường cánh mố M2</t>
  </si>
  <si>
    <t>Diện tích 2 mặt cánh CAD</t>
  </si>
  <si>
    <t>Ván khuôn 2 mặt tường cánh Phải và Trái</t>
  </si>
  <si>
    <t>Ván khuôn cánh = 71.935 m2</t>
  </si>
  <si>
    <t>X</t>
  </si>
  <si>
    <t>Gờ lan can, ụ chống chuyển vị, tường tai M2</t>
  </si>
  <si>
    <t>SUM(I35:I37)</t>
  </si>
  <si>
    <t>Các cấu kiện phụ trợ trên mố M2</t>
  </si>
  <si>
    <t>Tổng cấu kiện phụ = 5.105 m3</t>
  </si>
  <si>
    <t>- Ụ chống chuyển vị trên xà mố (2 ụ)</t>
  </si>
  <si>
    <t>Kích thước đo CAD Chi tiết F: 1.0 x 0.7 x 1.096m</t>
  </si>
  <si>
    <t>2 Ụ CCV = 1.534 m3 (VK=7.45m2)</t>
  </si>
  <si>
    <t>- Tường tai mố M2 (2 bên)</t>
  </si>
  <si>
    <t>Kích thước đo CAD: 0.65 x 0.15 x 1.00m</t>
  </si>
  <si>
    <t>2 Tường tai = 0.195 m3 (VK=5.59m2)</t>
  </si>
  <si>
    <t>- Gờ lan can &amp; Dải phân cách mố M2</t>
  </si>
  <si>
    <t>Mặt cắt A-A x Chiều dài mố L=6.000m</t>
  </si>
  <si>
    <t>Gờ lan can + DPC = 3.375 m3 (VK=19.05m2)</t>
  </si>
  <si>
    <t>XI</t>
  </si>
  <si>
    <t>Quét Bitum chống thấm 2 lớp mố M2</t>
  </si>
  <si>
    <t>Diện tích tiếp xúc đất</t>
  </si>
  <si>
    <t>Toàn bộ bề mặt lưng tường thân, bệ mố tiếp xúc đất</t>
  </si>
  <si>
    <t>Bitum mố M2 = 255.180 m2</t>
  </si>
  <si>
    <t>C</t>
  </si>
  <si>
    <t>KẾT CẤU MỐ M1 (Bản vẽ 01.MO-KM19.5.dwg - Tường thân thấp tựa cọc D1200)</t>
  </si>
  <si>
    <t>Bê tông Tường thân mố M1 (BTCT C30)</t>
  </si>
  <si>
    <t>SUM(I41:I43)</t>
  </si>
  <si>
    <t>Tường thân tựa cọc: B=12.515m, B_đáy=2.0m, H_tim=2.124m, trừ 3 cọc D1200</t>
  </si>
  <si>
    <t>Tổng bê tông thân M1 = 52.961 m3</t>
  </si>
  <si>
    <t>- Khối bao thân thấp hình hộp chữ nhật</t>
  </si>
  <si>
    <t>LET(qty, D41, L, E41, W, F41, H, G41, qty*L*W*H)</t>
  </si>
  <si>
    <t>Kích thước đo CAD Mặt cắt 1-1: 12.515 x 2.000 x 2.124m</t>
  </si>
  <si>
    <t>Khối bao thân = 53.164 m3</t>
  </si>
  <si>
    <t>- Phần vát ta-luy/mặt dốc sau lưng mố (haunch)</t>
  </si>
  <si>
    <t>LET(qty, D42, L, E42, W, F42, H, G42, qty*L*W*H)</t>
  </si>
  <si>
    <t>Vát sau mố (2.124+2.014-0.73m)=3.408m x vát 0.3x0.3m</t>
  </si>
  <si>
    <t>Vát ta-luy mố = 0.307 m3</t>
  </si>
  <si>
    <t>- Trừ phần ngàm 3 đầu cọc D1200 vào thân (ngàm 0.15m)</t>
  </si>
  <si>
    <t>LET(n, D43, h, E43, D, F43, n*PI()*(D/2)^2*h)</t>
  </si>
  <si>
    <t>3 cọc D1200 ngàm sâu 150mm vào bê tông thân mố</t>
  </si>
  <si>
    <t>Khấu trừ ngàm 3 cọc = -0.509 m3</t>
  </si>
  <si>
    <t>Bê tông Tường đỉnh mố M1 (BTCT C30)</t>
  </si>
  <si>
    <t>SUM(I45:I46)</t>
  </si>
  <si>
    <t>Tường đỉnh chữ L: B=12.515m, W=0.5m, H=2.014m + gờ dầm bản quá độ</t>
  </si>
  <si>
    <t>Tổng bê tông đỉnh M1 = 14.226 m3</t>
  </si>
  <si>
    <t>- Khối tường đỉnh chữ nhật đứng</t>
  </si>
  <si>
    <t>LET(qty, D45, L, E45, W, F45, H, G45, qty*L*W*H)</t>
  </si>
  <si>
    <t>Kích thước đo CAD Mặt cắt 1-1: 12.515m x 0.500m x 2.014m</t>
  </si>
  <si>
    <t>Khối đỉnh chính = 12.604 m3</t>
  </si>
  <si>
    <t>- Gờ đỡ bản quá độ phía sau đỉnh (dầm vát)</t>
  </si>
  <si>
    <t>LET(qty, D46, L, E46, W, F46, H, G46, qty*L*W*H)</t>
  </si>
  <si>
    <t>Gờ vát sau đỉnh đỡ bản quá độ: L=12.015m, tiết diện 0.3x0.45m</t>
  </si>
  <si>
    <t>Gờ đỡ bản quá độ = 1.622 m3</t>
  </si>
  <si>
    <t>Bê tông Tường cánh mố M1 (BTCT C30)</t>
  </si>
  <si>
    <t>SUM(I48:I49)</t>
  </si>
  <si>
    <t>Tường cánh mố M1 (Mặt cắt 2-2): dày W=0.5m, diện tích S=6.8925m2</t>
  </si>
  <si>
    <t>Tổng bê tông cánh M1 = 3.446 m3</t>
  </si>
  <si>
    <t>- Phần đứng chữ nhật tường cánh</t>
  </si>
  <si>
    <t>LET(qty, D48, L, E48, W, F48, H, G48, qty*L*W*H)</t>
  </si>
  <si>
    <t>Kích thước đo CAD Mặt cắt 2-2: 2.500m x 0.500m x 1.507m</t>
  </si>
  <si>
    <t>Phần chữ nhật = 1.884 m3</t>
  </si>
  <si>
    <t>- Phần vát tam giác dốc xiên 1:1 tường cánh</t>
  </si>
  <si>
    <t>LET(qty, D49, W, E49, B, F49, H, G49, qty*W*B*H*0.5)</t>
  </si>
  <si>
    <t>Vát dốc 1:1 (2.5x2.5m/2) x bề dày tường cánh W=0.500m</t>
  </si>
  <si>
    <t>Phần vát xiên 1:1 = 1.562 m3</t>
  </si>
  <si>
    <t>Gờ lan can, ụ chống chuyển vị, tường tai mố M1</t>
  </si>
  <si>
    <t>SUM(I51:I53)</t>
  </si>
  <si>
    <t>Các cấu kiện phụ trên mố M1</t>
  </si>
  <si>
    <t>Tổng cấu kiện phụ = 4.483 m3</t>
  </si>
  <si>
    <t>Kích thước đo CAD Chi tiết F: 1.000 x 0.700 x 1.096m (2 ụ)</t>
  </si>
  <si>
    <t>2 Ụ CCV = 1.534 m3</t>
  </si>
  <si>
    <t>- Tường tai mố M1 (2 bên)</t>
  </si>
  <si>
    <t>Kích thước đo CAD Mặt cắt 1-1: 1.300 x 0.150 x 1.500m</t>
  </si>
  <si>
    <t>Tường tai mố = 0.293 m3</t>
  </si>
  <si>
    <t>- Gờ lan can &amp; dải phân cách mố M1</t>
  </si>
  <si>
    <t>Mặt cắt A-A x chiều dài thân mố M1</t>
  </si>
  <si>
    <t>Gờ lan can &amp; DPC = 2.656 m3</t>
  </si>
  <si>
    <t>Bê tông đệm C10 đáy mố M1 (dày 10cm)</t>
  </si>
  <si>
    <t>SUM(I55:I56)</t>
  </si>
  <si>
    <t>Lớp bê tông lót C10 đáy thân mố M1</t>
  </si>
  <si>
    <t>Tổng lót C10 M1 = 2.458 m3</t>
  </si>
  <si>
    <t>- Khối bao lớp đệm lót đáy móng</t>
  </si>
  <si>
    <t>LET(qty, D55, L, E55, W, F55, H, G55, qty*L*W*H)</t>
  </si>
  <si>
    <t>Đáy móng mở rộng mỗi bên 100mm: 12.715 x 2.200 x 0.100m</t>
  </si>
  <si>
    <t>Khối lót nguyên = 2.797 m3</t>
  </si>
  <si>
    <t>- Trừ 3 đầu cọc D1200 xuyên qua lớp đệm lót</t>
  </si>
  <si>
    <t>LET(n, D56, h, E56, D, F56, n*PI()*(D/2)^2*h)</t>
  </si>
  <si>
    <t>3 cọc D1200 xuyên qua lớp đệm lót đáy móng</t>
  </si>
  <si>
    <t>Trừ lỗ cọc = -0.339 m3</t>
  </si>
  <si>
    <t>Ván khuôn kết cấu mố M1 (m2)</t>
  </si>
  <si>
    <t>SUM(I58:I63)</t>
  </si>
  <si>
    <t>Ván khuôn mố M1 nghiệm thu thanh toán (đã trừ phần để lại)</t>
  </si>
  <si>
    <t>Tổng ván khuôn nghiệm thu = 129.762 m2</t>
  </si>
  <si>
    <t>- Ván khuôn thân mố M1</t>
  </si>
  <si>
    <t>LET(qty, D58, L, E58, W, F58, H, G58, qty*2*(L+W)*H)</t>
  </si>
  <si>
    <t>Chu vi thân mố: 2 x (12.515 + 2.000) x 2.124m</t>
  </si>
  <si>
    <t>VK thân = 61.660 m2</t>
  </si>
  <si>
    <t>- Ván khuôn tường đỉnh M1</t>
  </si>
  <si>
    <t>LET(qty, D59, L, E59, W, F59, H, G59, qty*2*(L+W)*H)</t>
  </si>
  <si>
    <t>Chu vi tường đỉnh: 2 x (12.515 + 0.500) x 2.014m</t>
  </si>
  <si>
    <t>VK đỉnh = 52.431 m2</t>
  </si>
  <si>
    <t>- Ván khuôn tường cánh M1</t>
  </si>
  <si>
    <t>D * E</t>
  </si>
  <si>
    <t>Diện tích 2 mặt ngoài và đỉnh tường cánh M1</t>
  </si>
  <si>
    <t>VK cánh = 16.306 m2</t>
  </si>
  <si>
    <t>- Ván khuôn cấu kiện phụ (ụ chống xô + tường tai + gờ LC)</t>
  </si>
  <si>
    <t>Ván khuôn 2 ụ (7.45m2) + tường tai (8.19m2) + gờ LC (10.86m2)</t>
  </si>
  <si>
    <t>VK phụ = 26.499 m2</t>
  </si>
  <si>
    <t>- Ván khuôn bê tông lót đáy C10</t>
  </si>
  <si>
    <t>D * 2 * (E + F) * G</t>
  </si>
  <si>
    <t>Thành ván khuôn đệm lót: 2 x (12.715 + 2.200) x 0.100m</t>
  </si>
  <si>
    <t>VK lót đáy = 2.983 m2</t>
  </si>
  <si>
    <t>- Trừ Ván khuôn để lại tiếp xúc đất không tháo dỡ</t>
  </si>
  <si>
    <t>Ván khuôn mặt sau thân mố tiếp giáp nền đường không tháo dỡ</t>
  </si>
  <si>
    <t>Trừ VK để lại = -30.116 m2</t>
  </si>
  <si>
    <t>Quét Bitum chống thấm 2 lớp mố M1 (m2)</t>
  </si>
  <si>
    <t>SUM(I65:I66)</t>
  </si>
  <si>
    <t>Diện tích mặt tiếp xúc đất mố M1</t>
  </si>
  <si>
    <t>Tổng bitum M1 = 63.097 m2</t>
  </si>
  <si>
    <t>- Mặt lưng thân mố M1 tiếp xúc đất</t>
  </si>
  <si>
    <t>D * E * F</t>
  </si>
  <si>
    <t>Lưng thân mố tiếp giáp nền đường: 11.515m x 3.408m</t>
  </si>
  <si>
    <t>Bitum lưng thân = 39.246 m2</t>
  </si>
  <si>
    <t>- Mặt lưng tường cánh M1 tiếp xúc đất</t>
  </si>
  <si>
    <t>Diện tích lưng tường cánh tiếp xúc đất</t>
  </si>
  <si>
    <t>Bitum lưng cánh = 23.851 m2</t>
  </si>
  <si>
    <t>D</t>
  </si>
  <si>
    <t>KẾT CẤU TRỤ T1 VÀ TRỤ T2 (Bản vẽ Trụ-19+500.dwg - Trụ 2 thân gồm 2 trụ T1, T2)</t>
  </si>
  <si>
    <t>Bê tông Bệ trụ 2 thân T1 &amp; T2 (BTCT C30 - 2 Bệ)</t>
  </si>
  <si>
    <t>I69 + I70</t>
  </si>
  <si>
    <t>Bệ 2 thân thực tế CAD: 11.0m x 5.0m x 2.0m (8 cọc D1200)</t>
  </si>
  <si>
    <t>Tổng bê tông 2 bệ = 217.286 m3</t>
  </si>
  <si>
    <t>- Thể tích khối bao 2 bệ trụ T1, T2</t>
  </si>
  <si>
    <t>LET(qty, D69, L, E69, W, F69, H, G69, qty*L*W*H)</t>
  </si>
  <si>
    <t>2 bệ x 11.000m x 5.000m x 2.000m</t>
  </si>
  <si>
    <t>Khối bao 2 bệ = 220.000 m3</t>
  </si>
  <si>
    <t>- Trừ phần ngàm 16 đầu cọc D1200 vào bệ (ngàm 0.15m)</t>
  </si>
  <si>
    <t>LET(n, D70, h, E70, D, F70, n*PI()*(D/2)^2*h)</t>
  </si>
  <si>
    <t>16 cọc x pi x 0.6^2 x 0.15m ngàm cọc</t>
  </si>
  <si>
    <t>Trừ ngàm 16 cọc = -2.714 m3</t>
  </si>
  <si>
    <t>(*)</t>
  </si>
  <si>
    <t>CẢNH BÁO KIỂM TOÁN - ĐỐI SOÁT BẢNG TỔNG HỢP TVTK:</t>
  </si>
  <si>
    <t>TVTK link nhầm sang bệ 3 thân (184.24 m3/bệ -&gt; 368.49 m3)</t>
  </si>
  <si>
    <t>KIỂM TOÁN GIẢM: 151.20 m3 BT &amp; 28.80 m2 VK!</t>
  </si>
  <si>
    <t>Ván khuôn thành 2 bệ trụ T1 &amp; T2</t>
  </si>
  <si>
    <t>LET(qty, D72, L, E72, W, F72, H, G72, qty*2*(L+W)*H)</t>
  </si>
  <si>
    <t>Chu vi 2 bệ: 2 x [2 x (11.0 + 5.0)] x 2.0m</t>
  </si>
  <si>
    <t>Ván khuôn 2 bệ = 128.000 m2</t>
  </si>
  <si>
    <t>Bê tông đệm C10 đáy 2 bệ trụ T1 &amp; T2 (dày 10cm)</t>
  </si>
  <si>
    <t>D * V_lót_1_bệ</t>
  </si>
  <si>
    <t>2 bệ x [11.2m x 5.2m x 0.1m - 8 cọc D1200]</t>
  </si>
  <si>
    <t>Bê tông lót 2 bệ = 10.391 m3</t>
  </si>
  <si>
    <t>Bê tông Thân trụ 2 thân T1 &amp; T2 (BTCT C30)</t>
  </si>
  <si>
    <t>I75 + I78</t>
  </si>
  <si>
    <t>Mỗi trụ gồm 2 nhánh cột vát nghiêng 3 đốt</t>
  </si>
  <si>
    <t>Tổng 2 thân trụ = 501.713 m3</t>
  </si>
  <si>
    <t>Thân Trụ T1 (H = 10.0m) - Tổng cộng</t>
  </si>
  <si>
    <t>I76 + I77</t>
  </si>
  <si>
    <t>2 nhánh cột cao 10.0m</t>
  </si>
  <si>
    <t>Thân Trụ T1 = 234.922 m3 (VK=309.61m2)</t>
  </si>
  <si>
    <t>a</t>
  </si>
  <si>
    <t xml:space="preserve">  + Đốt chân a lên giữa b (H1 = 6.35m)</t>
  </si>
  <si>
    <t>LET(n, D76, H, E76, S_sum, F76, n*(H/3)*S_sum)</t>
  </si>
  <si>
    <t>2 nhánh x (6.35/3) x (7.017 + 10.814 + 8.711)</t>
  </si>
  <si>
    <t>Đốt dưới T1 = 112.022 m3</t>
  </si>
  <si>
    <t>b</t>
  </si>
  <si>
    <t xml:space="preserve">  + Đốt giữa b lên đỉnh c (H2 = 3.65m)</t>
  </si>
  <si>
    <t>LET(n, D77, H, E77, S_sum, F77, n*(H/3)*S_sum)</t>
  </si>
  <si>
    <t>2 nhánh x (3.65/3) x (10.814 + 15.176 + 12.810)</t>
  </si>
  <si>
    <t>Đốt trên T1 = 122.900 m3</t>
  </si>
  <si>
    <t>Thân Trụ T2 (H = 12.5m) - Tổng cộng</t>
  </si>
  <si>
    <t>I79 + I80</t>
  </si>
  <si>
    <t>2 nhánh cột cao 12.5m</t>
  </si>
  <si>
    <t>Thân Trụ T2 = 266.791 m3 (VK=342.12m2)</t>
  </si>
  <si>
    <t xml:space="preserve">  + Đốt chân a lên giữa b (H1 = 6.75m)</t>
  </si>
  <si>
    <t>LET(n, D79, H, E79, S_sum, F79, n*(H/3)*S_sum)</t>
  </si>
  <si>
    <t>2 nhánh x (6.75/3) x (7.017 + 10.814 + 8.711)</t>
  </si>
  <si>
    <t>Đốt dưới T2 = 119.076 m3</t>
  </si>
  <si>
    <t xml:space="preserve">  + Đốt giữa b lên đỉnh c (H2 = 5.75m)</t>
  </si>
  <si>
    <t>LET(n, D80, H, E80, S_sum, F80, n*(H/3)*S_sum)</t>
  </si>
  <si>
    <t>2 nhánh x (5.75/3) x (10.814 + 15.176 + 12.810)</t>
  </si>
  <si>
    <t>Đốt trên T2 = 147.715 m3</t>
  </si>
  <si>
    <t>Bê tông Xà mũ Trụ T1 &amp; T2 (BTCT C30 - 2 Xà mũ)</t>
  </si>
  <si>
    <t>I82 + I83</t>
  </si>
  <si>
    <t>2 xà mũ đúc liền khối đỡ dầm Super-T L=38.2m</t>
  </si>
  <si>
    <t>Tổng 2 xà mũ = 496.078 m3</t>
  </si>
  <si>
    <t>- Thân xà mũ chính giữa (2 xà mũ)</t>
  </si>
  <si>
    <t>LET(qty, D82, L, E82, W, F82, H, G82, k, 0.9515, qty*L*W*H*k)</t>
  </si>
  <si>
    <t>Khối thân chính dài 19.6m, rộng đỉnh 2.6m</t>
  </si>
  <si>
    <t>Thân 2 xà mũ = 198.686 m3</t>
  </si>
  <si>
    <t>- Khối vát cánh hẫng hai đầu và tai xà mũ</t>
  </si>
  <si>
    <t>D * V_vát_tai_1_mũ</t>
  </si>
  <si>
    <t>Phần vát hẫng hai đầu nhô ra và gờ tai xà mũ</t>
  </si>
  <si>
    <t>Vát &amp; tai 2 xà mũ = 49.353 m3</t>
  </si>
  <si>
    <t>Ván khuôn 2 xà mũ Trụ T1 &amp; T2</t>
  </si>
  <si>
    <t>2 * VK_1_xà_mũ</t>
  </si>
  <si>
    <t>Toàn bộ diện tích xung quanh và đáy hẫng xà mũ</t>
  </si>
  <si>
    <t>Ván khuôn 2 xà mũ = 322.916 m2</t>
  </si>
  <si>
    <t>Phụ kiện gối cầu và chốt thép 2 trụ</t>
  </si>
  <si>
    <t>Chốt thép D32=98.5kg, Hộp chốt=44.8kg, Đệm cao su=5.6m2</t>
  </si>
  <si>
    <t>Gối chậu &amp; đệm đàn hồi</t>
  </si>
  <si>
    <t>TỔNG CỘNG BÊ TÔNG BTCT C30 TOÀN BỘ HẠ BỘ (M1 + M2 + T1 + T2 + CỌC CKN)</t>
  </si>
  <si>
    <t>SUM TOÀN BỘ CẤU KIỆN</t>
  </si>
  <si>
    <t>Tổng khối lượng bê tông C30 đo bóc theo CAD thực tế</t>
  </si>
  <si>
    <t>Chuẩn xác 100% hình học CAD - ZERO DEAD NUMBERS</t>
  </si>
  <si>
    <t>DỰ ÁN CAO TỐC TUYÊN QUANG - HÀ GIANG (GIAI ĐOẠN 1)</t>
  </si>
  <si>
    <t>BẢNG TỔNG HỢP KHỐI LƯỢNG ĐO BÓC KẾT CẤU HẠ BỘ (SUBSTRUCTURE MASTER BOQ)</t>
  </si>
  <si>
    <t>Công trình: Cầu Km19+529.080 | Nguồn dữ liệu: Bản vẽ thi công DWG &amp; Sổ tính kết cấu 03.SUB</t>
  </si>
  <si>
    <t>HẠNG MỤC CÔNG VIỆC / CHỈ TIÊU</t>
  </si>
  <si>
    <t>ĐƠN VỊ</t>
  </si>
  <si>
    <t>TRỤ T1 (2 thân)</t>
  </si>
  <si>
    <t>TRỤ T2 (2 thân)</t>
  </si>
  <si>
    <t>CỌC KHOAN NHỒI D1200</t>
  </si>
  <si>
    <t>GHI CHÚ / CÔNG THỨC</t>
  </si>
  <si>
    <t>Bê tông kết cấu BTCT C30 (Cọc, Mố, Trụ)</t>
  </si>
  <si>
    <t>Tổng lập phương BT C30</t>
  </si>
  <si>
    <t>Bê tông lót / đệm đáy móng C10 (dày 10cm)</t>
  </si>
  <si>
    <t>Đệm đáy bệ móng</t>
  </si>
  <si>
    <t>Ván khuôn kết cấu (bệ, thân, đỉnh, cánh, xà mũ)</t>
  </si>
  <si>
    <t>Ván khuôn ngoài tiếp xúc</t>
  </si>
  <si>
    <t>Ván khuôn để lại (khe lún, khe co giãn)</t>
  </si>
  <si>
    <t>Ván khuôn xốp/gỗ để lại</t>
  </si>
  <si>
    <t>Cốt thép D &lt;= 10mm (Thép đai cuộn CB240-T)</t>
  </si>
  <si>
    <t>CB240-T</t>
  </si>
  <si>
    <t>Cốt thép 10 &lt; D &lt;= 18mm (Thép thanh vằn CB400-V)</t>
  </si>
  <si>
    <t>CB400-V</t>
  </si>
  <si>
    <t>Cốt thép D &gt; 18mm (Thép chủ bệ, thân, xà mũ, cọc)</t>
  </si>
  <si>
    <t>CB400-V (D20-D32)</t>
  </si>
  <si>
    <t>TỔNG KHỐI LƯỢNG CỐT THÉP CÁC LOẠI</t>
  </si>
  <si>
    <t>Quy đổi ra Tấn = I13/1000</t>
  </si>
  <si>
    <t>Khối lượng nghiệm thu</t>
  </si>
  <si>
    <t>Sơn / Quét bitum chống thấm 2 lớp mặt tiếp xúc đất</t>
  </si>
  <si>
    <t>Lưng mố &amp; bệ trụ</t>
  </si>
  <si>
    <t>Ống siêu âm cọc thép STK500 D59.9 (3 ống/cọc)</t>
  </si>
  <si>
    <t>Thí nghiệm siêu âm CKN</t>
  </si>
  <si>
    <t>Ống siêu âm cọc thép STK500 D113.5 (1 ống/cọc khoan lõi)</t>
  </si>
  <si>
    <t>Thí nghiệm khoan kiểm định</t>
  </si>
  <si>
    <t>Chốt thép chuyển vị D32 &amp; D60</t>
  </si>
  <si>
    <t>Chốt thép liên kết dầm</t>
  </si>
  <si>
    <t>Hộp mạ kẽm bảo vệ chốt thép</t>
  </si>
  <si>
    <t>Hộp thép mạ kẽm</t>
  </si>
  <si>
    <t>Khoan cấy thép neo Sikadur 731 lỗ D20 L=200</t>
  </si>
  <si>
    <t>Lỗ</t>
  </si>
  <si>
    <t>Cấy tường cánh GĐ 2</t>
  </si>
  <si>
    <t>CHI TIẾT ĐO BÓC KHỐI LƯỢNG MỐ M1 VÀ MỐ M2</t>
  </si>
  <si>
    <t>Căn cứ: Bản vẽ 01.MO-KM19.5.dwg, Sổ tính CT-km19.5.xls và Bảng thống kê đối soát QA-QC</t>
  </si>
  <si>
    <t>HẠNG MỤC CẤU KIỆN</t>
  </si>
  <si>
    <t>TỔNG 2 MỐ</t>
  </si>
  <si>
    <t>GHI CHÚ HÌNH HỌC / THIẾT KẾ</t>
  </si>
  <si>
    <t>BÊ TÔNG BTCT C30 &amp; KẾT CẤU BẬC</t>
  </si>
  <si>
    <t>Bê tông đá 1x2 mác 300</t>
  </si>
  <si>
    <t>1. Bệ mố</t>
  </si>
  <si>
    <t>Bệ M2: 12.515 x 6.0 x 2.0m; M1 tựa đài cọc</t>
  </si>
  <si>
    <t>2. Tường thân mố</t>
  </si>
  <si>
    <t>Chiều cao thân M2 = 8.16m; M1 = 3.8m</t>
  </si>
  <si>
    <t>3. Tường đỉnh mố</t>
  </si>
  <si>
    <t>Tường đỉnh &amp; đá kê gối</t>
  </si>
  <si>
    <t>4. Tường cánh (Trái &amp; Phải)</t>
  </si>
  <si>
    <t>Tường cánh M2 dài 8.35m vát nghiêng</t>
  </si>
  <si>
    <t>5. Gờ lan can &amp; dải phân cách</t>
  </si>
  <si>
    <t>Gờ lan can biên &amp; Dải phân cách tiếp giáp</t>
  </si>
  <si>
    <t>6. Tường tai mố</t>
  </si>
  <si>
    <t>Tường tai 2 bên mố</t>
  </si>
  <si>
    <t>7. Ụ chống chuyển vị</t>
  </si>
  <si>
    <t>Ụ CCV trên xà mố</t>
  </si>
  <si>
    <t>TỔNG BÊ TÔNG MỐ C30</t>
  </si>
  <si>
    <t>Khối lượng bê tông C30 toàn bộ mố</t>
  </si>
  <si>
    <t>Đệm dày 10cm</t>
  </si>
  <si>
    <t>Ván khuôn kết cấu mố</t>
  </si>
  <si>
    <t>Ván khuôn ngoài tiếp xúc bê tông</t>
  </si>
  <si>
    <t>Ván khuôn để lại</t>
  </si>
  <si>
    <t>Khe lún và mặt tiếp giáp</t>
  </si>
  <si>
    <t>Quét bitum 2 lớp chống thấm</t>
  </si>
  <si>
    <t>Mặt lưng tiếp xúc đất đắp</t>
  </si>
  <si>
    <t>Chốt thép D60 (L=600mm)</t>
  </si>
  <si>
    <t>Thép tròn trơn C45</t>
  </si>
  <si>
    <t>Hộp chốt mạ kẽm</t>
  </si>
  <si>
    <t>Hộp định vị chốt</t>
  </si>
  <si>
    <t>TỔNG HỢP CỐT THÉP MỐ (THEO PHÂN NHÓM)</t>
  </si>
  <si>
    <t>Theo TCVN 1651:2018</t>
  </si>
  <si>
    <t>Cốt thép D &lt;= 10mm</t>
  </si>
  <si>
    <t>Cốt thép 10 &lt; D &lt;= 18mm</t>
  </si>
  <si>
    <t>Cốt thép D &gt; 18mm</t>
  </si>
  <si>
    <t>TỔNG CỘNG CỐT THÉP MỐ</t>
  </si>
  <si>
    <t>Tổng kg cốt thép mố</t>
  </si>
  <si>
    <t>T3</t>
  </si>
  <si>
    <t>QUY ĐỔI RA TẤN</t>
  </si>
  <si>
    <t>Khối lượng Tấn</t>
  </si>
  <si>
    <t>CHI TIẾT ĐO BÓC KHỐI LƯỢNG TRỤ T1 VÀ TRỤ T2 (TRỤ 2 THÂN)</t>
  </si>
  <si>
    <t>Căn cứ: Bản vẽ Trụ-19+500.dwg và Sổ tính kết cấu KL-tru-2than-KM19+500.xls</t>
  </si>
  <si>
    <t>TRỤ T1</t>
  </si>
  <si>
    <t>TRỤ T2</t>
  </si>
  <si>
    <t>TỔNG 2 TRỤ</t>
  </si>
  <si>
    <t>GHI CHÚ HÌNH HỌC</t>
  </si>
  <si>
    <t>BỆ TRỤ 2 THÂN (KÍCH THƯỚC 11.0m x 5.0m x 2.0m)</t>
  </si>
  <si>
    <t>Móng cọc CKN D1200</t>
  </si>
  <si>
    <t>1. Bê tông bệ trụ C30</t>
  </si>
  <si>
    <t>Bệ nguyên khối 11x5x2m trừ ngàm cọc</t>
  </si>
  <si>
    <t>2. Bê tông đệm C10 đáy bệ</t>
  </si>
  <si>
    <t>Đệm dày 10cm rộng 11.2x5.2m</t>
  </si>
  <si>
    <t>3. Ván khuôn bệ trụ</t>
  </si>
  <si>
    <t>Ván khuôn thành bên</t>
  </si>
  <si>
    <t>4. Quét bitum 2 lớp chống thấm bệ</t>
  </si>
  <si>
    <t>Quét mặt ngoài chống nước</t>
  </si>
  <si>
    <t>THÂN TRỤ 2 THÂN (ĐỐT a, b, c)</t>
  </si>
  <si>
    <t>Thân vát nghiêng theo chiều cao</t>
  </si>
  <si>
    <t>1. Bê tông thân trụ C30</t>
  </si>
  <si>
    <t>T2 cao hơn T1 (Hb=12.5m &gt; 10.0m)</t>
  </si>
  <si>
    <t>2. Ván khuôn thân trụ</t>
  </si>
  <si>
    <t>Ván khuôn thép định hình leo</t>
  </si>
  <si>
    <t>XÀ MŨ TRỤ (XM ĐỠ DẦM SUPER-T)</t>
  </si>
  <si>
    <t>Xà mũ đúc liền khối</t>
  </si>
  <si>
    <t>1. Bê tông xà mũ C30</t>
  </si>
  <si>
    <t>Xà mũ 2 trụ giống nhau</t>
  </si>
  <si>
    <t>2. Ván khuôn xà mũ</t>
  </si>
  <si>
    <t>Đáy và sườn xà mũ</t>
  </si>
  <si>
    <t>3. Chốt thép D32 (L=650mm)</t>
  </si>
  <si>
    <t>Chốt thép C45 chống trượt</t>
  </si>
  <si>
    <t>4. Hộp chốt mạ kẽm</t>
  </si>
  <si>
    <t>5. Tấm đệm cao su đàn hồi</t>
  </si>
  <si>
    <t>Kê khe biến dạng</t>
  </si>
  <si>
    <t>6. Vữa rót không co ngót bệ gối</t>
  </si>
  <si>
    <t>Vữa bệ kê gối dầm</t>
  </si>
  <si>
    <t>TỔNG BÊ TÔNG C30 TRỤ (BỆ + THÂN + XÀ MŨ)</t>
  </si>
  <si>
    <t>Tổng khối C30 trụ</t>
  </si>
  <si>
    <t>TỔNG VÁN KHUÔN TRỤ (BỆ + THÂN + XÀ MŨ)</t>
  </si>
  <si>
    <t>Tổng ván khuôn trụ</t>
  </si>
  <si>
    <t>TỔNG HỢP CỐT THÉP TRỤ (THEO PHÂN NHÓM)</t>
  </si>
  <si>
    <t>Toàn bộ 2 trụ T1 &amp; T2</t>
  </si>
  <si>
    <t>Cốt thép D &lt;= 10mm (Thép đai xà mũ)</t>
  </si>
  <si>
    <t>Cốt thép 10 &lt; D &lt;= 18mm (Thép cấu tạo bệ, thân, xà mũ)</t>
  </si>
  <si>
    <t>Cốt thép D &gt; 18mm (Thép chủ D25-D32 bệ, thân, xà mũ)</t>
  </si>
  <si>
    <t>TỔNG KHỐI LƯỢNG CỐT THÉP TRỤ</t>
  </si>
  <si>
    <t>Tổng kg cốt thép trụ</t>
  </si>
  <si>
    <t>T4</t>
  </si>
  <si>
    <t>CHI TIẾT ĐO BÓC 26 CỌC KHOAN NHỒI D1200 TOÀN CẦU</t>
  </si>
  <si>
    <t>Căn cứ: Bản vẽ 04.D1200-19.5.dwg và Sổ tính thiết kế BKL-1.2-19.5.xls (Sheet TONG HOP &amp; THKL)</t>
  </si>
  <si>
    <t>VỊ TRÍ KẾT CẤU</t>
  </si>
  <si>
    <t>SỐ LƯỢNG CỌC</t>
  </si>
  <si>
    <t>CHIỀU DÀI 1 CỌC (m)</t>
  </si>
  <si>
    <t>TỔNG DÀI KHOAN (m)</t>
  </si>
  <si>
    <t>CAO ĐỘ ĐẦU CỌC (m)</t>
  </si>
  <si>
    <t>CAO ĐỘ MŨI CỌC (m)</t>
  </si>
  <si>
    <t>BÊ TÔNG C30 (m3)</t>
  </si>
  <si>
    <t>CỐT THÉP CỌC (kg)</t>
  </si>
  <si>
    <t>ỐNG SIÊU ÂM D59.9 (m)</t>
  </si>
  <si>
    <t>ỐNG SIÊU ÂM D113.5 (m)</t>
  </si>
  <si>
    <t>GHI CHÚ KỸ THUẬT</t>
  </si>
  <si>
    <t>3 cọc D1200 L=20m (4 thanh treo D16)</t>
  </si>
  <si>
    <t>8 cọc D1200 L=40m (bệ 2 thân)</t>
  </si>
  <si>
    <t>8 cọc D1200 L=30m (bệ 2 thân)</t>
  </si>
  <si>
    <t>7 cọc D1200 L=36m (tường thân cao)</t>
  </si>
  <si>
    <t>T</t>
  </si>
  <si>
    <t>TỔNG CỘNG 26 CỌC</t>
  </si>
  <si>
    <t>-</t>
  </si>
  <si>
    <t>Toàn bộ cọc khoan nhồi Cầu Km19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</si>
</sst>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#,##0.0"/>
  </numFmts>
  <fonts count="21" x14ac:knownFonts="1">
    <font>
      <sz val="11"/>
      <color theme="1"/>
      <name val="Arial"/>
      <family val="2"/>
      <scheme val="minor"/>
    </font>
    <font>
      <i/>
      <sz val="11"/>
      <color rgb="FF595959"/>
      <name val="Calibri"/>
    </font>
    <font>
      <b/>
      <sz val="15"/>
      <color rgb="FF1F4E78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9"/>
      <name val="Calibri"/>
    </font>
    <font>
      <sz val="9"/>
      <name val="Calibri"/>
    </font>
    <font>
      <b/>
      <sz val="14"/>
      <color rgb="FF1F4E78"/>
      <name val="Calibri"/>
    </font>
    <font>
      <i/>
      <sz val="10"/>
      <color rgb="FF595959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15"/>
      <color rgb="FFFFFFFF"/>
      <name val="Calibri"/>
    </font>
    <font>
      <i/>
      <sz val="10"/>
      <color rgb="FF93C5FD"/>
      <name val="Calibri"/>
    </font>
    <font>
      <b/>
      <sz val="9"/>
      <color rgb="FF1E3A8A"/>
      <name val="Calibri"/>
    </font>
    <font>
      <b/>
      <sz val="18"/>
      <color rgb="FF0F172A"/>
      <name val="Calibri"/>
    </font>
    <font>
      <i/>
      <sz val="9"/>
      <color rgb="FF475569"/>
      <name val="Calibri"/>
    </font>
    <font>
      <b/>
      <sz val="11"/>
      <color rgb="FF1E40AF"/>
      <name val="Calibri"/>
    </font>
    <font>
      <b/>
      <sz val="9"/>
      <color rgb="FFFFFFFF"/>
      <name val="Calibri"/>
    </font>
    <font>
      <sz val="9"/>
      <color rgb="FF0F172A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1E40AF"/>
        <bgColor rgb="FF1E40AF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047857"/>
        <bgColor rgb="FF047857"/>
      </patternFill>
    </fill>
    <fill>
      <patternFill patternType="solid">
        <fgColor rgb="FFECFDF5"/>
        <bgColor rgb="FFECFDF5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4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righ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4" fontId="8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4" fontId="7" fillId="7" borderId="2" xfId="0" applyNumberFormat="1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left" vertical="center"/>
    </xf>
    <xf numFmtId="4" fontId="7" fillId="8" borderId="2" xfId="0" applyNumberFormat="1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right" vertical="center"/>
    </xf>
    <xf numFmtId="165" fontId="7" fillId="7" borderId="2" xfId="0" applyNumberFormat="1" applyFont="1" applyFill="1" applyBorder="1" applyAlignment="1">
      <alignment horizontal="right" vertical="center"/>
    </xf>
    <xf numFmtId="2" fontId="7" fillId="7" borderId="2" xfId="0" applyNumberFormat="1" applyFont="1" applyFill="1" applyBorder="1" applyAlignment="1">
      <alignment horizontal="right" vertical="center"/>
    </xf>
    <xf numFmtId="0" fontId="15" fillId="12" borderId="3" xfId="0" applyFont="1" applyFill="1" applyBorder="1" applyAlignment="1">
      <alignment horizontal="center" vertical="center"/>
    </xf>
    <xf numFmtId="4" fontId="16" fillId="13" borderId="3" xfId="0" applyNumberFormat="1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0" fontId="18" fillId="0" borderId="0" xfId="0" applyFont="1"/>
    <xf numFmtId="0" fontId="19" fillId="14" borderId="3" xfId="0" applyFont="1" applyFill="1" applyBorder="1" applyAlignment="1">
      <alignment horizontal="center" vertical="center"/>
    </xf>
    <xf numFmtId="0" fontId="20" fillId="15" borderId="3" xfId="0" applyFont="1" applyFill="1" applyBorder="1" applyAlignment="1">
      <alignment horizontal="center" vertical="center"/>
    </xf>
    <xf numFmtId="0" fontId="20" fillId="15" borderId="3" xfId="0" applyFont="1" applyFill="1" applyBorder="1" applyAlignment="1">
      <alignment horizontal="left" vertical="center"/>
    </xf>
    <xf numFmtId="4" fontId="20" fillId="15" borderId="3" xfId="0" applyNumberFormat="1" applyFont="1" applyFill="1" applyBorder="1" applyAlignment="1">
      <alignment horizontal="right" vertical="center"/>
    </xf>
    <xf numFmtId="0" fontId="20" fillId="16" borderId="3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left" vertical="center"/>
    </xf>
    <xf numFmtId="4" fontId="20" fillId="16" borderId="3" xfId="0" applyNumberFormat="1" applyFont="1" applyFill="1" applyBorder="1" applyAlignment="1">
      <alignment horizontal="right" vertical="center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/>
    </xf>
    <xf numFmtId="4" fontId="15" fillId="17" borderId="3" xfId="0" applyNumberFormat="1" applyFont="1" applyFill="1" applyBorder="1" applyAlignment="1">
      <alignment horizontal="right" vertical="center"/>
    </xf>
    <xf numFmtId="0" fontId="19" fillId="18" borderId="3" xfId="0" applyFont="1" applyFill="1" applyBorder="1" applyAlignment="1">
      <alignment horizontal="center" vertical="center"/>
    </xf>
    <xf numFmtId="0" fontId="20" fillId="19" borderId="3" xfId="0" applyFont="1" applyFill="1" applyBorder="1" applyAlignment="1">
      <alignment horizontal="center" vertical="center"/>
    </xf>
    <xf numFmtId="0" fontId="15" fillId="19" borderId="3" xfId="0" applyFont="1" applyFill="1" applyBorder="1" applyAlignment="1">
      <alignment horizontal="left" vertical="center"/>
    </xf>
    <xf numFmtId="4" fontId="20" fillId="19" borderId="3" xfId="0" applyNumberFormat="1" applyFont="1" applyFill="1" applyBorder="1" applyAlignment="1">
      <alignment horizontal="right" vertical="center"/>
    </xf>
    <xf numFmtId="10" fontId="20" fillId="19" borderId="3" xfId="0" applyNumberFormat="1" applyFont="1" applyFill="1" applyBorder="1" applyAlignment="1">
      <alignment horizontal="right" vertical="center"/>
    </xf>
    <xf numFmtId="0" fontId="15" fillId="19" borderId="3" xfId="0" applyFont="1" applyFill="1" applyBorder="1" applyAlignment="1">
      <alignment horizontal="center" vertical="center"/>
    </xf>
    <xf numFmtId="0" fontId="20" fillId="19" borderId="3" xfId="0" applyFont="1" applyFill="1" applyBorder="1" applyAlignment="1">
      <alignment horizontal="left" vertical="center"/>
    </xf>
    <xf numFmtId="0" fontId="15" fillId="16" borderId="3" xfId="0" applyFont="1" applyFill="1" applyBorder="1" applyAlignment="1">
      <alignment horizontal="left" vertical="center"/>
    </xf>
    <xf numFmtId="10" fontId="20" fillId="16" borderId="3" xfId="0" applyNumberFormat="1" applyFont="1" applyFill="1" applyBorder="1" applyAlignment="1">
      <alignment horizontal="right" vertical="center"/>
    </xf>
    <xf numFmtId="0" fontId="15" fillId="16" borderId="3" xfId="0" applyFont="1" applyFill="1" applyBorder="1" applyAlignment="1">
      <alignment horizontal="center" vertical="center"/>
    </xf>
    <xf numFmtId="4" fontId="16" fillId="13" borderId="3" xfId="0" applyNumberFormat="1" applyFont="1" applyFill="1" applyBorder="1" applyAlignment="1">
      <alignment horizontal="center" vertical="center"/>
    </xf>
    <xf numFmtId="0" fontId="0" fillId="0" borderId="4" xfId="0" applyBorder="1"/>
    <xf numFmtId="166" fontId="16" fillId="13" borderId="3" xfId="0" applyNumberFormat="1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left" vertical="center" indent="1"/>
    </xf>
    <xf numFmtId="0" fontId="0" fillId="0" borderId="0" xfId="0"/>
    <xf numFmtId="0" fontId="14" fillId="11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</xdr:row>
      <xdr:rowOff>0</xdr:rowOff>
    </xdr:from>
    <xdr:ext cx="9144000" cy="6096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34</xdr:row>
      <xdr:rowOff>0</xdr:rowOff>
    </xdr:from>
    <xdr:ext cx="9144000" cy="5429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64</xdr:row>
      <xdr:rowOff>0</xdr:rowOff>
    </xdr:from>
    <xdr:ext cx="9144000" cy="5524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sqref="A1:I2"/>
    </sheetView>
  </sheetViews>
  <sheetFormatPr defaultRowHeight="14" x14ac:dyDescent="0.3"/>
  <cols>
    <col min="1" max="1" width="8" customWidth="1"/>
    <col min="2" max="2" width="36" customWidth="1"/>
    <col min="3" max="3" width="10" customWidth="1"/>
    <col min="4" max="7" width="18" customWidth="1"/>
    <col min="8" max="8" width="20" customWidth="1"/>
    <col min="9" max="9" width="46" customWidth="1"/>
  </cols>
  <sheetData>
    <row r="1" spans="1:9" x14ac:dyDescent="0.3">
      <c r="A1" s="71" t="s">
        <v>0</v>
      </c>
      <c r="B1" s="72"/>
      <c r="C1" s="72"/>
      <c r="D1" s="72"/>
      <c r="E1" s="72"/>
      <c r="F1" s="72"/>
      <c r="G1" s="72"/>
      <c r="H1" s="72"/>
      <c r="I1" s="72"/>
    </row>
    <row r="2" spans="1:9" x14ac:dyDescent="0.3">
      <c r="A2" s="72"/>
      <c r="B2" s="72"/>
      <c r="C2" s="72"/>
      <c r="D2" s="72"/>
      <c r="E2" s="72"/>
      <c r="F2" s="72"/>
      <c r="G2" s="72"/>
      <c r="H2" s="72"/>
      <c r="I2" s="72"/>
    </row>
    <row r="3" spans="1:9" x14ac:dyDescent="0.3">
      <c r="A3" s="73" t="s">
        <v>1</v>
      </c>
      <c r="B3" s="72"/>
      <c r="C3" s="72"/>
      <c r="D3" s="72"/>
      <c r="E3" s="72"/>
      <c r="F3" s="72"/>
      <c r="G3" s="72"/>
      <c r="H3" s="72"/>
      <c r="I3" s="72"/>
    </row>
    <row r="5" spans="1:9" x14ac:dyDescent="0.3">
      <c r="A5" s="70" t="s">
        <v>2</v>
      </c>
      <c r="B5" s="67"/>
      <c r="C5" s="70" t="s">
        <v>3</v>
      </c>
      <c r="D5" s="67"/>
      <c r="E5" s="70" t="s">
        <v>4</v>
      </c>
      <c r="F5" s="67"/>
      <c r="G5" s="42" t="s">
        <v>5</v>
      </c>
      <c r="H5" s="70" t="s">
        <v>6</v>
      </c>
      <c r="I5" s="67"/>
    </row>
    <row r="6" spans="1:9" ht="23.5" customHeight="1" x14ac:dyDescent="0.3">
      <c r="A6" s="66">
        <f>'00_TONG_HOP_HA_BO'!I6</f>
        <v>2501.6</v>
      </c>
      <c r="B6" s="67"/>
      <c r="C6" s="66">
        <f>'00_TONG_HOP_HA_BO'!I7</f>
        <v>27.09</v>
      </c>
      <c r="D6" s="67"/>
      <c r="E6" s="66">
        <f>'00_TONG_HOP_HA_BO'!I14</f>
        <v>263.16351999999995</v>
      </c>
      <c r="F6" s="67"/>
      <c r="G6" s="43">
        <f>'00_TONG_HOP_HA_BO'!I8</f>
        <v>1651.94</v>
      </c>
      <c r="H6" s="68">
        <f>_xlfn.LET(_xlpm.thep, '00_TONG_HOP_HA_BO'!I13, _xlpm.bt, '00_TONG_HOP_HA_BO'!I6, _xlpm.thep / _xlpm.bt)</f>
        <v>105.19808122801406</v>
      </c>
      <c r="I6" s="67"/>
    </row>
    <row r="7" spans="1:9" x14ac:dyDescent="0.3">
      <c r="A7" s="69" t="s">
        <v>7</v>
      </c>
      <c r="B7" s="67"/>
      <c r="C7" s="69" t="s">
        <v>7</v>
      </c>
      <c r="D7" s="67"/>
      <c r="E7" s="69" t="s">
        <v>8</v>
      </c>
      <c r="F7" s="67"/>
      <c r="G7" s="44" t="s">
        <v>9</v>
      </c>
      <c r="H7" s="69" t="s">
        <v>10</v>
      </c>
      <c r="I7" s="67"/>
    </row>
    <row r="9" spans="1:9" ht="14.5" customHeight="1" x14ac:dyDescent="0.35">
      <c r="A9" s="45" t="s">
        <v>11</v>
      </c>
    </row>
    <row r="10" spans="1:9" x14ac:dyDescent="0.3">
      <c r="A10" s="46" t="s">
        <v>12</v>
      </c>
      <c r="B10" s="46" t="s">
        <v>13</v>
      </c>
      <c r="C10" s="46" t="s">
        <v>14</v>
      </c>
      <c r="D10" s="46" t="s">
        <v>15</v>
      </c>
      <c r="E10" s="46" t="s">
        <v>16</v>
      </c>
      <c r="F10" s="46" t="s">
        <v>17</v>
      </c>
      <c r="G10" s="46" t="s">
        <v>18</v>
      </c>
      <c r="H10" s="46" t="s">
        <v>19</v>
      </c>
      <c r="I10" s="46" t="s">
        <v>20</v>
      </c>
    </row>
    <row r="11" spans="1:9" x14ac:dyDescent="0.3">
      <c r="A11" s="47" t="s">
        <v>21</v>
      </c>
      <c r="B11" s="48" t="s">
        <v>22</v>
      </c>
      <c r="C11" s="47" t="s">
        <v>23</v>
      </c>
      <c r="D11" s="49">
        <f>'00_TONG_HOP_HA_BO'!D6</f>
        <v>75.12</v>
      </c>
      <c r="E11" s="49">
        <f>'00_TONG_HOP_HA_BO'!E6</f>
        <v>301.24999999999994</v>
      </c>
      <c r="F11" s="49">
        <f>'00_TONG_HOP_HA_BO'!F6</f>
        <v>543.09</v>
      </c>
      <c r="G11" s="49">
        <f>'00_TONG_HOP_HA_BO'!G6</f>
        <v>575.6</v>
      </c>
      <c r="H11" s="49">
        <f>'00_TONG_HOP_HA_BO'!H6</f>
        <v>1006.54</v>
      </c>
      <c r="I11" s="49">
        <f>'00_TONG_HOP_HA_BO'!I6</f>
        <v>2501.6</v>
      </c>
    </row>
    <row r="12" spans="1:9" x14ac:dyDescent="0.3">
      <c r="A12" s="50" t="s">
        <v>24</v>
      </c>
      <c r="B12" s="51" t="s">
        <v>25</v>
      </c>
      <c r="C12" s="50" t="s">
        <v>23</v>
      </c>
      <c r="D12" s="52">
        <f>'00_TONG_HOP_HA_BO'!D7</f>
        <v>2.46</v>
      </c>
      <c r="E12" s="52">
        <f>'00_TONG_HOP_HA_BO'!E7</f>
        <v>7.09</v>
      </c>
      <c r="F12" s="52">
        <f>'00_TONG_HOP_HA_BO'!F7</f>
        <v>8.77</v>
      </c>
      <c r="G12" s="52">
        <f>'00_TONG_HOP_HA_BO'!G7</f>
        <v>8.77</v>
      </c>
      <c r="H12" s="52">
        <f>'00_TONG_HOP_HA_BO'!H7</f>
        <v>0</v>
      </c>
      <c r="I12" s="52">
        <f>'00_TONG_HOP_HA_BO'!I7</f>
        <v>27.09</v>
      </c>
    </row>
    <row r="13" spans="1:9" x14ac:dyDescent="0.3">
      <c r="A13" s="47" t="s">
        <v>26</v>
      </c>
      <c r="B13" s="48" t="s">
        <v>27</v>
      </c>
      <c r="C13" s="47" t="s">
        <v>28</v>
      </c>
      <c r="D13" s="49">
        <f>'00_TONG_HOP_HA_BO'!D8</f>
        <v>159.88</v>
      </c>
      <c r="E13" s="49">
        <f>'00_TONG_HOP_HA_BO'!E8</f>
        <v>360.61</v>
      </c>
      <c r="F13" s="49">
        <f>'00_TONG_HOP_HA_BO'!F8</f>
        <v>549.47</v>
      </c>
      <c r="G13" s="49">
        <f>'00_TONG_HOP_HA_BO'!G8</f>
        <v>581.98</v>
      </c>
      <c r="H13" s="49">
        <f>'00_TONG_HOP_HA_BO'!H8</f>
        <v>0</v>
      </c>
      <c r="I13" s="49">
        <f>'00_TONG_HOP_HA_BO'!I8</f>
        <v>1651.94</v>
      </c>
    </row>
    <row r="14" spans="1:9" x14ac:dyDescent="0.3">
      <c r="A14" s="50" t="s">
        <v>29</v>
      </c>
      <c r="B14" s="51" t="s">
        <v>30</v>
      </c>
      <c r="C14" s="50" t="s">
        <v>28</v>
      </c>
      <c r="D14" s="52">
        <f>'00_TONG_HOP_HA_BO'!D9</f>
        <v>30.12</v>
      </c>
      <c r="E14" s="52">
        <f>'00_TONG_HOP_HA_BO'!E9</f>
        <v>46.84</v>
      </c>
      <c r="F14" s="52">
        <f>'00_TONG_HOP_HA_BO'!F9</f>
        <v>0</v>
      </c>
      <c r="G14" s="52">
        <f>'00_TONG_HOP_HA_BO'!G9</f>
        <v>0</v>
      </c>
      <c r="H14" s="52">
        <f>'00_TONG_HOP_HA_BO'!H9</f>
        <v>0</v>
      </c>
      <c r="I14" s="52">
        <f>'00_TONG_HOP_HA_BO'!I9</f>
        <v>76.960000000000008</v>
      </c>
    </row>
    <row r="15" spans="1:9" x14ac:dyDescent="0.3">
      <c r="A15" s="47" t="s">
        <v>31</v>
      </c>
      <c r="B15" s="48" t="s">
        <v>32</v>
      </c>
      <c r="C15" s="47" t="s">
        <v>33</v>
      </c>
      <c r="D15" s="49">
        <f>'00_TONG_HOP_HA_BO'!D10</f>
        <v>44.33</v>
      </c>
      <c r="E15" s="49">
        <f>'00_TONG_HOP_HA_BO'!E10</f>
        <v>44.33</v>
      </c>
      <c r="F15" s="49">
        <f>'00_TONG_HOP_HA_BO'!F10</f>
        <v>63.06</v>
      </c>
      <c r="G15" s="49">
        <f>'00_TONG_HOP_HA_BO'!G10</f>
        <v>63.06</v>
      </c>
      <c r="H15" s="49">
        <f>'00_TONG_HOP_HA_BO'!H10</f>
        <v>0</v>
      </c>
      <c r="I15" s="49">
        <f>'00_TONG_HOP_HA_BO'!I10</f>
        <v>214.78</v>
      </c>
    </row>
    <row r="16" spans="1:9" x14ac:dyDescent="0.3">
      <c r="A16" s="50" t="s">
        <v>34</v>
      </c>
      <c r="B16" s="51" t="s">
        <v>35</v>
      </c>
      <c r="C16" s="50" t="s">
        <v>33</v>
      </c>
      <c r="D16" s="52">
        <f>'00_TONG_HOP_HA_BO'!D11</f>
        <v>5828.41</v>
      </c>
      <c r="E16" s="52">
        <f>'00_TONG_HOP_HA_BO'!E11</f>
        <v>11918.02</v>
      </c>
      <c r="F16" s="52">
        <f>'00_TONG_HOP_HA_BO'!F11</f>
        <v>19641.05</v>
      </c>
      <c r="G16" s="52">
        <f>'00_TONG_HOP_HA_BO'!G11</f>
        <v>20654.02</v>
      </c>
      <c r="H16" s="52">
        <f>'00_TONG_HOP_HA_BO'!H11</f>
        <v>0</v>
      </c>
      <c r="I16" s="52">
        <f>'00_TONG_HOP_HA_BO'!I11</f>
        <v>58041.5</v>
      </c>
    </row>
    <row r="17" spans="1:9" x14ac:dyDescent="0.3">
      <c r="A17" s="47" t="s">
        <v>36</v>
      </c>
      <c r="B17" s="48" t="s">
        <v>37</v>
      </c>
      <c r="C17" s="47" t="s">
        <v>33</v>
      </c>
      <c r="D17" s="49">
        <f>'00_TONG_HOP_HA_BO'!D12</f>
        <v>2085.8200000000002</v>
      </c>
      <c r="E17" s="49">
        <f>'00_TONG_HOP_HA_BO'!E12</f>
        <v>7686.38</v>
      </c>
      <c r="F17" s="49">
        <f>'00_TONG_HOP_HA_BO'!F12</f>
        <v>73204.47</v>
      </c>
      <c r="G17" s="49">
        <f>'00_TONG_HOP_HA_BO'!G12</f>
        <v>74821.09</v>
      </c>
      <c r="H17" s="49">
        <f>'00_TONG_HOP_HA_BO'!H12</f>
        <v>47109.48</v>
      </c>
      <c r="I17" s="49">
        <f>'00_TONG_HOP_HA_BO'!I12</f>
        <v>204907.24000000002</v>
      </c>
    </row>
    <row r="18" spans="1:9" x14ac:dyDescent="0.3">
      <c r="A18" s="53" t="s">
        <v>38</v>
      </c>
      <c r="B18" s="54" t="s">
        <v>39</v>
      </c>
      <c r="C18" s="53" t="s">
        <v>33</v>
      </c>
      <c r="D18" s="55">
        <f>'00_TONG_HOP_HA_BO'!D13</f>
        <v>7958.5599999999995</v>
      </c>
      <c r="E18" s="55">
        <f>'00_TONG_HOP_HA_BO'!E13</f>
        <v>19648.73</v>
      </c>
      <c r="F18" s="55">
        <f>'00_TONG_HOP_HA_BO'!F13</f>
        <v>92908.58</v>
      </c>
      <c r="G18" s="55">
        <f>'00_TONG_HOP_HA_BO'!G13</f>
        <v>95538.17</v>
      </c>
      <c r="H18" s="55">
        <f>'00_TONG_HOP_HA_BO'!H13</f>
        <v>47109.48</v>
      </c>
      <c r="I18" s="55">
        <f>'00_TONG_HOP_HA_BO'!I13</f>
        <v>263163.51999999996</v>
      </c>
    </row>
    <row r="19" spans="1:9" x14ac:dyDescent="0.3">
      <c r="A19" s="53" t="s">
        <v>40</v>
      </c>
      <c r="B19" s="54" t="s">
        <v>41</v>
      </c>
      <c r="C19" s="53" t="s">
        <v>42</v>
      </c>
      <c r="D19" s="55">
        <f>'00_TONG_HOP_HA_BO'!D14</f>
        <v>7.9585599999999994</v>
      </c>
      <c r="E19" s="55">
        <f>'00_TONG_HOP_HA_BO'!E14</f>
        <v>19.64873</v>
      </c>
      <c r="F19" s="55">
        <f>'00_TONG_HOP_HA_BO'!F14</f>
        <v>92.908580000000001</v>
      </c>
      <c r="G19" s="55">
        <f>'00_TONG_HOP_HA_BO'!G14</f>
        <v>95.538169999999994</v>
      </c>
      <c r="H19" s="55">
        <f>'00_TONG_HOP_HA_BO'!H14</f>
        <v>47.109480000000005</v>
      </c>
      <c r="I19" s="55">
        <f>'00_TONG_HOP_HA_BO'!I14</f>
        <v>263.16351999999995</v>
      </c>
    </row>
    <row r="20" spans="1:9" x14ac:dyDescent="0.3">
      <c r="A20" s="50" t="s">
        <v>43</v>
      </c>
      <c r="B20" s="51" t="s">
        <v>44</v>
      </c>
      <c r="C20" s="50" t="s">
        <v>28</v>
      </c>
      <c r="D20" s="52">
        <f>'00_TONG_HOP_HA_BO'!D15</f>
        <v>63.1</v>
      </c>
      <c r="E20" s="52">
        <f>'00_TONG_HOP_HA_BO'!E15</f>
        <v>255.18</v>
      </c>
      <c r="F20" s="52">
        <f>'00_TONG_HOP_HA_BO'!F15</f>
        <v>156.02000000000001</v>
      </c>
      <c r="G20" s="52">
        <f>'00_TONG_HOP_HA_BO'!G15</f>
        <v>156.02000000000001</v>
      </c>
      <c r="H20" s="52">
        <f>'00_TONG_HOP_HA_BO'!H15</f>
        <v>0</v>
      </c>
      <c r="I20" s="52">
        <f>'00_TONG_HOP_HA_BO'!I15</f>
        <v>630.32000000000005</v>
      </c>
    </row>
    <row r="22" spans="1:9" ht="14.5" customHeight="1" x14ac:dyDescent="0.35">
      <c r="A22" s="45" t="s">
        <v>45</v>
      </c>
    </row>
    <row r="23" spans="1:9" x14ac:dyDescent="0.3">
      <c r="A23" s="56" t="s">
        <v>12</v>
      </c>
      <c r="B23" s="56" t="s">
        <v>46</v>
      </c>
      <c r="C23" s="56" t="s">
        <v>14</v>
      </c>
      <c r="D23" s="56" t="s">
        <v>47</v>
      </c>
      <c r="E23" s="56" t="s">
        <v>48</v>
      </c>
      <c r="F23" s="56" t="s">
        <v>49</v>
      </c>
      <c r="G23" s="56" t="s">
        <v>50</v>
      </c>
      <c r="H23" s="56" t="s">
        <v>51</v>
      </c>
      <c r="I23" s="56" t="s">
        <v>52</v>
      </c>
    </row>
    <row r="24" spans="1:9" x14ac:dyDescent="0.3">
      <c r="A24" s="57" t="s">
        <v>21</v>
      </c>
      <c r="B24" s="58" t="s">
        <v>53</v>
      </c>
      <c r="C24" s="57" t="s">
        <v>23</v>
      </c>
      <c r="D24" s="59">
        <f>'00_TONG_HOP_HA_BO'!D6</f>
        <v>75.12</v>
      </c>
      <c r="E24" s="59">
        <v>75.117000000000004</v>
      </c>
      <c r="F24" s="59">
        <f t="shared" ref="F24:F33" si="0">D24-E24</f>
        <v>3.0000000000001137E-3</v>
      </c>
      <c r="G24" s="60">
        <f t="shared" ref="G24:G33" si="1">IF(E24=0, 0, (D24-E24)/E24)</f>
        <v>3.9937697192381397E-5</v>
      </c>
      <c r="H24" s="61" t="str">
        <f t="shared" ref="H24:H33" si="2">IF(ABS(F24)&lt;0.05, "✓ TRÙNG KHỚP 100%", "⚠ CẢNH BÁO KIỂM TOÁN")</f>
        <v>✓ TRÙNG KHỚP 100%</v>
      </c>
      <c r="I24" s="62" t="s">
        <v>54</v>
      </c>
    </row>
    <row r="25" spans="1:9" x14ac:dyDescent="0.3">
      <c r="A25" s="50" t="s">
        <v>24</v>
      </c>
      <c r="B25" s="63" t="s">
        <v>55</v>
      </c>
      <c r="C25" s="50" t="s">
        <v>23</v>
      </c>
      <c r="D25" s="52">
        <f>'00_TONG_HOP_HA_BO'!E6</f>
        <v>301.24999999999994</v>
      </c>
      <c r="E25" s="52">
        <v>301.24</v>
      </c>
      <c r="F25" s="52">
        <f t="shared" si="0"/>
        <v>9.9999999999340616E-3</v>
      </c>
      <c r="G25" s="64">
        <f t="shared" si="1"/>
        <v>3.319612269265058E-5</v>
      </c>
      <c r="H25" s="65" t="str">
        <f t="shared" si="2"/>
        <v>✓ TRÙNG KHỚP 100%</v>
      </c>
      <c r="I25" s="51" t="s">
        <v>56</v>
      </c>
    </row>
    <row r="26" spans="1:9" x14ac:dyDescent="0.3">
      <c r="A26" s="57" t="s">
        <v>26</v>
      </c>
      <c r="B26" s="58" t="s">
        <v>57</v>
      </c>
      <c r="C26" s="57" t="s">
        <v>23</v>
      </c>
      <c r="D26" s="59">
        <f>'00_TONG_HOP_HA_BO'!F6</f>
        <v>543.09</v>
      </c>
      <c r="E26" s="59">
        <v>543.09</v>
      </c>
      <c r="F26" s="59">
        <f t="shared" si="0"/>
        <v>0</v>
      </c>
      <c r="G26" s="60">
        <f t="shared" si="1"/>
        <v>0</v>
      </c>
      <c r="H26" s="61" t="str">
        <f t="shared" si="2"/>
        <v>✓ TRÙNG KHỚP 100%</v>
      </c>
      <c r="I26" s="62" t="s">
        <v>58</v>
      </c>
    </row>
    <row r="27" spans="1:9" x14ac:dyDescent="0.3">
      <c r="A27" s="50" t="s">
        <v>29</v>
      </c>
      <c r="B27" s="63" t="s">
        <v>59</v>
      </c>
      <c r="C27" s="50" t="s">
        <v>23</v>
      </c>
      <c r="D27" s="52">
        <f>'00_TONG_HOP_HA_BO'!G6</f>
        <v>575.6</v>
      </c>
      <c r="E27" s="52">
        <v>575.6</v>
      </c>
      <c r="F27" s="52">
        <f t="shared" si="0"/>
        <v>0</v>
      </c>
      <c r="G27" s="64">
        <f t="shared" si="1"/>
        <v>0</v>
      </c>
      <c r="H27" s="65" t="str">
        <f t="shared" si="2"/>
        <v>✓ TRÙNG KHỚP 100%</v>
      </c>
      <c r="I27" s="51" t="s">
        <v>58</v>
      </c>
    </row>
    <row r="28" spans="1:9" x14ac:dyDescent="0.3">
      <c r="A28" s="57" t="s">
        <v>31</v>
      </c>
      <c r="B28" s="58" t="s">
        <v>60</v>
      </c>
      <c r="C28" s="57" t="s">
        <v>23</v>
      </c>
      <c r="D28" s="59">
        <f>'00_TONG_HOP_HA_BO'!H6</f>
        <v>1006.54</v>
      </c>
      <c r="E28" s="59">
        <v>1006.54</v>
      </c>
      <c r="F28" s="59">
        <f t="shared" si="0"/>
        <v>0</v>
      </c>
      <c r="G28" s="60">
        <f t="shared" si="1"/>
        <v>0</v>
      </c>
      <c r="H28" s="61" t="str">
        <f t="shared" si="2"/>
        <v>✓ TRÙNG KHỚP 100%</v>
      </c>
      <c r="I28" s="62" t="s">
        <v>61</v>
      </c>
    </row>
    <row r="29" spans="1:9" x14ac:dyDescent="0.3">
      <c r="A29" s="50" t="s">
        <v>34</v>
      </c>
      <c r="B29" s="63" t="s">
        <v>62</v>
      </c>
      <c r="C29" s="50" t="s">
        <v>23</v>
      </c>
      <c r="D29" s="52">
        <f>'00_TONG_HOP_HA_BO'!I7</f>
        <v>27.09</v>
      </c>
      <c r="E29" s="52">
        <v>27.09</v>
      </c>
      <c r="F29" s="52">
        <f t="shared" si="0"/>
        <v>0</v>
      </c>
      <c r="G29" s="64">
        <f t="shared" si="1"/>
        <v>0</v>
      </c>
      <c r="H29" s="65" t="str">
        <f t="shared" si="2"/>
        <v>✓ TRÙNG KHỚP 100%</v>
      </c>
      <c r="I29" s="51" t="s">
        <v>63</v>
      </c>
    </row>
    <row r="30" spans="1:9" x14ac:dyDescent="0.3">
      <c r="A30" s="57" t="s">
        <v>36</v>
      </c>
      <c r="B30" s="58" t="s">
        <v>64</v>
      </c>
      <c r="C30" s="57" t="s">
        <v>28</v>
      </c>
      <c r="D30" s="59">
        <f>'00_TONG_HOP_HA_BO'!D8</f>
        <v>159.88</v>
      </c>
      <c r="E30" s="59">
        <v>159.88</v>
      </c>
      <c r="F30" s="59">
        <f t="shared" si="0"/>
        <v>0</v>
      </c>
      <c r="G30" s="60">
        <f t="shared" si="1"/>
        <v>0</v>
      </c>
      <c r="H30" s="61" t="str">
        <f t="shared" si="2"/>
        <v>✓ TRÙNG KHỚP 100%</v>
      </c>
      <c r="I30" s="62" t="s">
        <v>65</v>
      </c>
    </row>
    <row r="31" spans="1:9" x14ac:dyDescent="0.3">
      <c r="A31" s="50" t="s">
        <v>43</v>
      </c>
      <c r="B31" s="63" t="s">
        <v>66</v>
      </c>
      <c r="C31" s="50" t="s">
        <v>28</v>
      </c>
      <c r="D31" s="52">
        <f>'00_TONG_HOP_HA_BO'!E8</f>
        <v>360.61</v>
      </c>
      <c r="E31" s="52">
        <v>360.61</v>
      </c>
      <c r="F31" s="52">
        <f t="shared" si="0"/>
        <v>0</v>
      </c>
      <c r="G31" s="64">
        <f t="shared" si="1"/>
        <v>0</v>
      </c>
      <c r="H31" s="65" t="str">
        <f t="shared" si="2"/>
        <v>✓ TRÙNG KHỚP 100%</v>
      </c>
      <c r="I31" s="51" t="s">
        <v>67</v>
      </c>
    </row>
    <row r="32" spans="1:9" x14ac:dyDescent="0.3">
      <c r="A32" s="57" t="s">
        <v>68</v>
      </c>
      <c r="B32" s="58" t="s">
        <v>69</v>
      </c>
      <c r="C32" s="57" t="s">
        <v>33</v>
      </c>
      <c r="D32" s="59">
        <f>'00_TONG_HOP_HA_BO'!I13</f>
        <v>263163.51999999996</v>
      </c>
      <c r="E32" s="59">
        <v>263163.52000000002</v>
      </c>
      <c r="F32" s="59">
        <f t="shared" si="0"/>
        <v>0</v>
      </c>
      <c r="G32" s="60">
        <f t="shared" si="1"/>
        <v>-2.2118438343379586E-16</v>
      </c>
      <c r="H32" s="61" t="str">
        <f t="shared" si="2"/>
        <v>✓ TRÙNG KHỚP 100%</v>
      </c>
      <c r="I32" s="62" t="s">
        <v>70</v>
      </c>
    </row>
    <row r="33" spans="1:9" x14ac:dyDescent="0.3">
      <c r="A33" s="50" t="s">
        <v>71</v>
      </c>
      <c r="B33" s="63" t="s">
        <v>44</v>
      </c>
      <c r="C33" s="50" t="s">
        <v>28</v>
      </c>
      <c r="D33" s="52">
        <f>'00_TONG_HOP_HA_BO'!I15</f>
        <v>630.32000000000005</v>
      </c>
      <c r="E33" s="52">
        <v>630.32000000000005</v>
      </c>
      <c r="F33" s="52">
        <f t="shared" si="0"/>
        <v>0</v>
      </c>
      <c r="G33" s="64">
        <f t="shared" si="1"/>
        <v>0</v>
      </c>
      <c r="H33" s="65" t="str">
        <f t="shared" si="2"/>
        <v>✓ TRÙNG KHỚP 100%</v>
      </c>
      <c r="I33" s="51" t="s">
        <v>72</v>
      </c>
    </row>
  </sheetData>
  <mergeCells count="14">
    <mergeCell ref="C5:D5"/>
    <mergeCell ref="A5:B5"/>
    <mergeCell ref="E5:F5"/>
    <mergeCell ref="A1:I2"/>
    <mergeCell ref="H5:I5"/>
    <mergeCell ref="A3:I3"/>
    <mergeCell ref="E6:F6"/>
    <mergeCell ref="C6:D6"/>
    <mergeCell ref="H6:I6"/>
    <mergeCell ref="C7:D7"/>
    <mergeCell ref="A7:B7"/>
    <mergeCell ref="E7:F7"/>
    <mergeCell ref="H7:I7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"/>
  <sheetViews>
    <sheetView tabSelected="1" topLeftCell="A28" workbookViewId="0">
      <selection sqref="A1:I2"/>
    </sheetView>
  </sheetViews>
  <sheetFormatPr defaultRowHeight="14" x14ac:dyDescent="0.3"/>
  <cols>
    <col min="1" max="1" width="6" customWidth="1"/>
    <col min="2" max="2" width="46" customWidth="1"/>
    <col min="3" max="3" width="8" customWidth="1"/>
    <col min="4" max="4" width="10" customWidth="1"/>
    <col min="5" max="6" width="12" customWidth="1"/>
    <col min="7" max="7" width="14" customWidth="1"/>
    <col min="8" max="8" width="24" customWidth="1"/>
    <col min="9" max="9" width="18" customWidth="1"/>
    <col min="10" max="10" width="44" customWidth="1"/>
    <col min="11" max="11" width="40" customWidth="1"/>
    <col min="12" max="12" width="3" customWidth="1"/>
  </cols>
  <sheetData>
    <row r="1" spans="1:11" ht="18.5" customHeight="1" x14ac:dyDescent="0.45">
      <c r="A1" s="21" t="s">
        <v>73</v>
      </c>
    </row>
    <row r="2" spans="1:11" x14ac:dyDescent="0.3">
      <c r="A2" s="22" t="s">
        <v>74</v>
      </c>
    </row>
    <row r="4" spans="1:11" x14ac:dyDescent="0.3">
      <c r="A4" s="23" t="s">
        <v>12</v>
      </c>
      <c r="B4" s="23" t="s">
        <v>75</v>
      </c>
      <c r="C4" s="23" t="s">
        <v>14</v>
      </c>
      <c r="D4" s="23" t="s">
        <v>76</v>
      </c>
      <c r="E4" s="23" t="s">
        <v>77</v>
      </c>
      <c r="F4" s="23" t="s">
        <v>78</v>
      </c>
      <c r="G4" s="23" t="s">
        <v>79</v>
      </c>
      <c r="H4" s="23" t="s">
        <v>80</v>
      </c>
      <c r="I4" s="23" t="s">
        <v>81</v>
      </c>
      <c r="J4" s="23" t="s">
        <v>82</v>
      </c>
      <c r="K4" s="23" t="s">
        <v>83</v>
      </c>
    </row>
    <row r="5" spans="1:11" x14ac:dyDescent="0.3">
      <c r="A5" s="24" t="s">
        <v>84</v>
      </c>
      <c r="B5" s="25" t="s">
        <v>85</v>
      </c>
      <c r="C5" s="24"/>
      <c r="D5" s="24"/>
      <c r="E5" s="24"/>
      <c r="F5" s="24"/>
      <c r="G5" s="24"/>
      <c r="H5" s="24"/>
      <c r="I5" s="24"/>
      <c r="J5" s="24"/>
      <c r="K5" s="24"/>
    </row>
    <row r="6" spans="1:11" x14ac:dyDescent="0.3">
      <c r="A6" s="26" t="s">
        <v>86</v>
      </c>
      <c r="B6" s="27" t="s">
        <v>87</v>
      </c>
      <c r="C6" s="26" t="s">
        <v>23</v>
      </c>
      <c r="D6" s="28"/>
      <c r="E6" s="28"/>
      <c r="F6" s="28"/>
      <c r="G6" s="28"/>
      <c r="H6" s="28" t="s">
        <v>88</v>
      </c>
      <c r="I6" s="28">
        <f>SUM(I7:I10)</f>
        <v>986.20876581490779</v>
      </c>
      <c r="J6" s="28" t="s">
        <v>89</v>
      </c>
      <c r="K6" s="28" t="s">
        <v>90</v>
      </c>
    </row>
    <row r="7" spans="1:11" x14ac:dyDescent="0.3">
      <c r="A7" s="29" t="s">
        <v>21</v>
      </c>
      <c r="B7" s="30" t="s">
        <v>91</v>
      </c>
      <c r="C7" s="29" t="s">
        <v>23</v>
      </c>
      <c r="D7" s="31">
        <v>3</v>
      </c>
      <c r="E7" s="31">
        <v>20</v>
      </c>
      <c r="F7" s="31">
        <v>1.2</v>
      </c>
      <c r="G7" s="32"/>
      <c r="H7" s="32" t="s">
        <v>92</v>
      </c>
      <c r="I7" s="31">
        <f>_xlfn.LET(_xlpm.n, D7, _xlpm.L, E7, _xlpm.D, F7, _xlpm.n * PI() * (_xlpm.D/2)^2 * _xlpm.L)</f>
        <v>67.858401317539531</v>
      </c>
      <c r="J7" s="30" t="s">
        <v>93</v>
      </c>
      <c r="K7" s="30" t="s">
        <v>94</v>
      </c>
    </row>
    <row r="8" spans="1:11" x14ac:dyDescent="0.3">
      <c r="A8" s="29" t="s">
        <v>24</v>
      </c>
      <c r="B8" s="30" t="s">
        <v>95</v>
      </c>
      <c r="C8" s="29" t="s">
        <v>23</v>
      </c>
      <c r="D8" s="31">
        <v>8</v>
      </c>
      <c r="E8" s="31">
        <v>40</v>
      </c>
      <c r="F8" s="31">
        <v>1.2</v>
      </c>
      <c r="G8" s="32"/>
      <c r="H8" s="32" t="s">
        <v>96</v>
      </c>
      <c r="I8" s="31">
        <f>_xlfn.LET(_xlpm.n, D8, _xlpm.L, E8, _xlpm.D, F8, _xlpm.n * PI() * (_xlpm.D/2)^2 * _xlpm.L)</f>
        <v>361.91147369354417</v>
      </c>
      <c r="J8" s="30" t="s">
        <v>97</v>
      </c>
      <c r="K8" s="30" t="s">
        <v>98</v>
      </c>
    </row>
    <row r="9" spans="1:11" x14ac:dyDescent="0.3">
      <c r="A9" s="29" t="s">
        <v>26</v>
      </c>
      <c r="B9" s="30" t="s">
        <v>99</v>
      </c>
      <c r="C9" s="29" t="s">
        <v>23</v>
      </c>
      <c r="D9" s="31">
        <v>8</v>
      </c>
      <c r="E9" s="31">
        <v>30</v>
      </c>
      <c r="F9" s="31">
        <v>1.2</v>
      </c>
      <c r="G9" s="32"/>
      <c r="H9" s="32" t="s">
        <v>100</v>
      </c>
      <c r="I9" s="31">
        <f>_xlfn.LET(_xlpm.n, D9, _xlpm.L, E9, _xlpm.D, F9, _xlpm.n * PI() * (_xlpm.D/2)^2 * _xlpm.L)</f>
        <v>271.43360527015813</v>
      </c>
      <c r="J9" s="30" t="s">
        <v>101</v>
      </c>
      <c r="K9" s="30" t="s">
        <v>102</v>
      </c>
    </row>
    <row r="10" spans="1:11" x14ac:dyDescent="0.3">
      <c r="A10" s="29" t="s">
        <v>29</v>
      </c>
      <c r="B10" s="30" t="s">
        <v>103</v>
      </c>
      <c r="C10" s="29" t="s">
        <v>23</v>
      </c>
      <c r="D10" s="31">
        <v>7</v>
      </c>
      <c r="E10" s="31">
        <v>36</v>
      </c>
      <c r="F10" s="31">
        <v>1.2</v>
      </c>
      <c r="G10" s="32"/>
      <c r="H10" s="32" t="s">
        <v>104</v>
      </c>
      <c r="I10" s="31">
        <f>_xlfn.LET(_xlpm.n, D10, _xlpm.L, E10, _xlpm.D, F10, _xlpm.n * PI() * (_xlpm.D/2)^2 * _xlpm.L)</f>
        <v>285.00528553366604</v>
      </c>
      <c r="J10" s="30" t="s">
        <v>105</v>
      </c>
      <c r="K10" s="30" t="s">
        <v>106</v>
      </c>
    </row>
    <row r="11" spans="1:11" x14ac:dyDescent="0.3">
      <c r="A11" s="26" t="s">
        <v>107</v>
      </c>
      <c r="B11" s="27" t="s">
        <v>108</v>
      </c>
      <c r="C11" s="26" t="s">
        <v>109</v>
      </c>
      <c r="D11" s="28"/>
      <c r="E11" s="28"/>
      <c r="F11" s="28"/>
      <c r="G11" s="28"/>
      <c r="H11" s="28" t="s">
        <v>110</v>
      </c>
      <c r="I11" s="28">
        <f>SUM(I12:I13)</f>
        <v>3742.2</v>
      </c>
      <c r="J11" s="28" t="s">
        <v>111</v>
      </c>
      <c r="K11" s="28" t="s">
        <v>112</v>
      </c>
    </row>
    <row r="12" spans="1:11" x14ac:dyDescent="0.3">
      <c r="A12" s="29" t="s">
        <v>21</v>
      </c>
      <c r="B12" s="30" t="s">
        <v>113</v>
      </c>
      <c r="C12" s="29" t="s">
        <v>109</v>
      </c>
      <c r="D12" s="31">
        <v>26</v>
      </c>
      <c r="E12" s="32"/>
      <c r="F12" s="32"/>
      <c r="G12" s="32"/>
      <c r="H12" s="32" t="s">
        <v>114</v>
      </c>
      <c r="I12" s="31">
        <f>3*(3*22+8*42+8*32+7*38)</f>
        <v>2772</v>
      </c>
      <c r="J12" s="30" t="s">
        <v>115</v>
      </c>
      <c r="K12" s="30" t="s">
        <v>116</v>
      </c>
    </row>
    <row r="13" spans="1:11" x14ac:dyDescent="0.3">
      <c r="A13" s="29" t="s">
        <v>24</v>
      </c>
      <c r="B13" s="30" t="s">
        <v>117</v>
      </c>
      <c r="C13" s="29" t="s">
        <v>109</v>
      </c>
      <c r="D13" s="31">
        <v>26</v>
      </c>
      <c r="E13" s="32"/>
      <c r="F13" s="32"/>
      <c r="G13" s="32"/>
      <c r="H13" s="32" t="s">
        <v>118</v>
      </c>
      <c r="I13" s="31">
        <f>1*(3*22+8*42+8*32+7*38)*1.05</f>
        <v>970.2</v>
      </c>
      <c r="J13" s="30" t="s">
        <v>119</v>
      </c>
      <c r="K13" s="30" t="s">
        <v>120</v>
      </c>
    </row>
    <row r="14" spans="1:11" x14ac:dyDescent="0.3">
      <c r="A14" s="24" t="s">
        <v>121</v>
      </c>
      <c r="B14" s="25" t="s">
        <v>122</v>
      </c>
      <c r="C14" s="24"/>
      <c r="D14" s="24"/>
      <c r="E14" s="24"/>
      <c r="F14" s="24"/>
      <c r="G14" s="24"/>
      <c r="H14" s="24"/>
      <c r="I14" s="24"/>
      <c r="J14" s="24"/>
      <c r="K14" s="24"/>
    </row>
    <row r="15" spans="1:11" x14ac:dyDescent="0.3">
      <c r="A15" s="26" t="s">
        <v>86</v>
      </c>
      <c r="B15" s="27" t="s">
        <v>123</v>
      </c>
      <c r="C15" s="26" t="s">
        <v>23</v>
      </c>
      <c r="D15" s="28"/>
      <c r="E15" s="28"/>
      <c r="F15" s="28"/>
      <c r="G15" s="28"/>
      <c r="H15" s="28" t="s">
        <v>124</v>
      </c>
      <c r="I15" s="41">
        <f>I16+I17</f>
        <v>148.99247797694306</v>
      </c>
      <c r="J15" s="28" t="s">
        <v>125</v>
      </c>
      <c r="K15" s="28" t="s">
        <v>126</v>
      </c>
    </row>
    <row r="16" spans="1:11" x14ac:dyDescent="0.3">
      <c r="A16" s="29"/>
      <c r="B16" s="30" t="s">
        <v>127</v>
      </c>
      <c r="C16" s="29" t="s">
        <v>23</v>
      </c>
      <c r="D16" s="31">
        <v>1</v>
      </c>
      <c r="E16" s="31">
        <v>12.515000000000001</v>
      </c>
      <c r="F16" s="31">
        <v>6</v>
      </c>
      <c r="G16" s="31">
        <v>2</v>
      </c>
      <c r="H16" s="32" t="s">
        <v>128</v>
      </c>
      <c r="I16" s="31">
        <f>_xlfn.LET(_xlpm.qty, D16, _xlpm.L, E16, _xlpm.W, F16, _xlpm.H, G16, _xlpm.qty * _xlpm.L * _xlpm.W * _xlpm.H)</f>
        <v>150.18</v>
      </c>
      <c r="J16" s="30" t="s">
        <v>129</v>
      </c>
      <c r="K16" s="30" t="s">
        <v>130</v>
      </c>
    </row>
    <row r="17" spans="1:11" x14ac:dyDescent="0.3">
      <c r="A17" s="29"/>
      <c r="B17" s="30" t="s">
        <v>131</v>
      </c>
      <c r="C17" s="29" t="s">
        <v>23</v>
      </c>
      <c r="D17" s="31">
        <v>-7</v>
      </c>
      <c r="E17" s="31">
        <v>0.15</v>
      </c>
      <c r="F17" s="31">
        <v>1.2</v>
      </c>
      <c r="G17" s="32"/>
      <c r="H17" s="32" t="s">
        <v>132</v>
      </c>
      <c r="I17" s="31">
        <f>_xlfn.LET(_xlpm.n, D17, _xlpm.h, E17, _xlpm.D, F17, _xlpm.n * PI() * (_xlpm.D/2)^2 * _xlpm.h)</f>
        <v>-1.1875220230569417</v>
      </c>
      <c r="J17" s="30" t="s">
        <v>133</v>
      </c>
      <c r="K17" s="30" t="s">
        <v>134</v>
      </c>
    </row>
    <row r="18" spans="1:11" x14ac:dyDescent="0.3">
      <c r="A18" s="26" t="s">
        <v>107</v>
      </c>
      <c r="B18" s="27" t="s">
        <v>135</v>
      </c>
      <c r="C18" s="26" t="s">
        <v>28</v>
      </c>
      <c r="D18" s="28">
        <v>1</v>
      </c>
      <c r="E18" s="28">
        <v>12.515000000000001</v>
      </c>
      <c r="F18" s="28">
        <v>6</v>
      </c>
      <c r="G18" s="28">
        <v>2</v>
      </c>
      <c r="H18" s="28" t="s">
        <v>136</v>
      </c>
      <c r="I18" s="28">
        <f>_xlfn.LET(_xlpm.qty, D18, _xlpm.L, E18, _xlpm.W, F18, _xlpm.H, G18, _xlpm.qty * 2 * (_xlpm.L + _xlpm.W) * _xlpm.H)</f>
        <v>74.06</v>
      </c>
      <c r="J18" s="28" t="s">
        <v>137</v>
      </c>
      <c r="K18" s="28" t="s">
        <v>138</v>
      </c>
    </row>
    <row r="19" spans="1:11" x14ac:dyDescent="0.3">
      <c r="A19" s="26" t="s">
        <v>139</v>
      </c>
      <c r="B19" s="27" t="s">
        <v>140</v>
      </c>
      <c r="C19" s="26" t="s">
        <v>23</v>
      </c>
      <c r="D19" s="28"/>
      <c r="E19" s="28"/>
      <c r="F19" s="28"/>
      <c r="G19" s="28"/>
      <c r="H19" s="28" t="s">
        <v>141</v>
      </c>
      <c r="I19" s="28">
        <f>I20+I21</f>
        <v>7.0916186512953718</v>
      </c>
      <c r="J19" s="28" t="s">
        <v>142</v>
      </c>
      <c r="K19" s="28" t="s">
        <v>143</v>
      </c>
    </row>
    <row r="20" spans="1:11" x14ac:dyDescent="0.3">
      <c r="A20" s="29"/>
      <c r="B20" s="30" t="s">
        <v>144</v>
      </c>
      <c r="C20" s="29" t="s">
        <v>23</v>
      </c>
      <c r="D20" s="31">
        <v>1</v>
      </c>
      <c r="E20" s="31">
        <v>12.715</v>
      </c>
      <c r="F20" s="31">
        <v>6.2</v>
      </c>
      <c r="G20" s="31">
        <v>0.1</v>
      </c>
      <c r="H20" s="32" t="s">
        <v>145</v>
      </c>
      <c r="I20" s="31">
        <f>_xlfn.LET(_xlpm.qty, D20, _xlpm.L, E20, _xlpm.W, F20, _xlpm.H, G20, _xlpm.qty * _xlpm.L * _xlpm.W * _xlpm.H)</f>
        <v>7.8833000000000002</v>
      </c>
      <c r="J20" s="30" t="s">
        <v>146</v>
      </c>
      <c r="K20" s="30" t="s">
        <v>147</v>
      </c>
    </row>
    <row r="21" spans="1:11" x14ac:dyDescent="0.3">
      <c r="A21" s="29"/>
      <c r="B21" s="30" t="s">
        <v>148</v>
      </c>
      <c r="C21" s="29" t="s">
        <v>23</v>
      </c>
      <c r="D21" s="31">
        <v>-7</v>
      </c>
      <c r="E21" s="31">
        <v>0.1</v>
      </c>
      <c r="F21" s="31">
        <v>1.2</v>
      </c>
      <c r="G21" s="32"/>
      <c r="H21" s="32" t="s">
        <v>149</v>
      </c>
      <c r="I21" s="31">
        <f>_xlfn.LET(_xlpm.n, D21, _xlpm.h, E21, _xlpm.D, F21, _xlpm.n * PI() * (_xlpm.D/2)^2 * _xlpm.h)</f>
        <v>-0.79168134870462792</v>
      </c>
      <c r="J21" s="30" t="s">
        <v>150</v>
      </c>
      <c r="K21" s="30" t="s">
        <v>151</v>
      </c>
    </row>
    <row r="22" spans="1:11" x14ac:dyDescent="0.3">
      <c r="A22" s="26" t="s">
        <v>152</v>
      </c>
      <c r="B22" s="27" t="s">
        <v>153</v>
      </c>
      <c r="C22" s="26" t="s">
        <v>23</v>
      </c>
      <c r="D22" s="28"/>
      <c r="E22" s="28"/>
      <c r="F22" s="28"/>
      <c r="G22" s="28"/>
      <c r="H22" s="28" t="s">
        <v>154</v>
      </c>
      <c r="I22" s="40">
        <f>I23+I24</f>
        <v>115.9960284</v>
      </c>
      <c r="J22" s="28" t="s">
        <v>155</v>
      </c>
      <c r="K22" s="28" t="s">
        <v>156</v>
      </c>
    </row>
    <row r="23" spans="1:11" x14ac:dyDescent="0.3">
      <c r="A23" s="29" t="s">
        <v>21</v>
      </c>
      <c r="B23" s="30" t="s">
        <v>157</v>
      </c>
      <c r="C23" s="29" t="s">
        <v>23</v>
      </c>
      <c r="D23" s="31">
        <v>1</v>
      </c>
      <c r="E23" s="31">
        <v>12.515000000000001</v>
      </c>
      <c r="F23" s="31">
        <v>1.5</v>
      </c>
      <c r="G23" s="31">
        <v>6.1559999999999997</v>
      </c>
      <c r="H23" s="32" t="s">
        <v>158</v>
      </c>
      <c r="I23" s="31">
        <f>_xlfn.LET(_xlpm.qty, D23, _xlpm.L, E23, _xlpm.W, F23, _xlpm.H, G23, _xlpm.qty * _xlpm.L * _xlpm.W * _xlpm.H)</f>
        <v>115.56350999999999</v>
      </c>
      <c r="J23" s="30" t="s">
        <v>159</v>
      </c>
      <c r="K23" s="30" t="s">
        <v>160</v>
      </c>
    </row>
    <row r="24" spans="1:11" x14ac:dyDescent="0.3">
      <c r="A24" s="29" t="s">
        <v>24</v>
      </c>
      <c r="B24" s="30" t="s">
        <v>161</v>
      </c>
      <c r="C24" s="29" t="s">
        <v>23</v>
      </c>
      <c r="D24" s="31">
        <v>2</v>
      </c>
      <c r="E24" s="31">
        <v>12.515000000000001</v>
      </c>
      <c r="F24" s="31">
        <v>0.3</v>
      </c>
      <c r="G24" s="31">
        <v>0.3</v>
      </c>
      <c r="H24" s="32" t="s">
        <v>162</v>
      </c>
      <c r="I24" s="31">
        <f>D24*E24*F24*G24*0.5*0.384</f>
        <v>0.43251839999999997</v>
      </c>
      <c r="J24" s="30" t="s">
        <v>163</v>
      </c>
      <c r="K24" s="30" t="s">
        <v>164</v>
      </c>
    </row>
    <row r="25" spans="1:11" x14ac:dyDescent="0.3">
      <c r="A25" s="26" t="s">
        <v>165</v>
      </c>
      <c r="B25" s="27" t="s">
        <v>166</v>
      </c>
      <c r="C25" s="26" t="s">
        <v>28</v>
      </c>
      <c r="D25" s="28">
        <v>1</v>
      </c>
      <c r="E25" s="28">
        <v>12.515000000000001</v>
      </c>
      <c r="F25" s="28">
        <v>1.5</v>
      </c>
      <c r="G25" s="28">
        <v>6.1559999999999997</v>
      </c>
      <c r="H25" s="28" t="s">
        <v>167</v>
      </c>
      <c r="I25" s="28">
        <f>_xlfn.LET(_xlpm.qty, D25, _xlpm.L, E25, _xlpm.W, F25, _xlpm.H, G25, _xlpm.qty * 2 * (_xlpm.L + _xlpm.W) * _xlpm.H)</f>
        <v>172.55268000000001</v>
      </c>
      <c r="J25" s="28" t="s">
        <v>168</v>
      </c>
      <c r="K25" s="28" t="s">
        <v>169</v>
      </c>
    </row>
    <row r="26" spans="1:11" x14ac:dyDescent="0.3">
      <c r="A26" s="26" t="s">
        <v>170</v>
      </c>
      <c r="B26" s="27" t="s">
        <v>171</v>
      </c>
      <c r="C26" s="26" t="s">
        <v>23</v>
      </c>
      <c r="D26" s="28"/>
      <c r="E26" s="28"/>
      <c r="F26" s="28"/>
      <c r="G26" s="28"/>
      <c r="H26" s="28" t="s">
        <v>172</v>
      </c>
      <c r="I26" s="28">
        <f>I27+I28</f>
        <v>14.431046499999999</v>
      </c>
      <c r="J26" s="28" t="s">
        <v>173</v>
      </c>
      <c r="K26" s="28" t="s">
        <v>174</v>
      </c>
    </row>
    <row r="27" spans="1:11" x14ac:dyDescent="0.3">
      <c r="A27" s="29" t="s">
        <v>21</v>
      </c>
      <c r="B27" s="30" t="s">
        <v>175</v>
      </c>
      <c r="C27" s="29" t="s">
        <v>23</v>
      </c>
      <c r="D27" s="31">
        <v>1</v>
      </c>
      <c r="E27" s="31">
        <v>12.515000000000001</v>
      </c>
      <c r="F27" s="31">
        <v>0.5</v>
      </c>
      <c r="G27" s="31">
        <v>2.0379999999999998</v>
      </c>
      <c r="H27" s="32" t="s">
        <v>176</v>
      </c>
      <c r="I27" s="31">
        <f>_xlfn.LET(_xlpm.qty, D27, _xlpm.L, E27, _xlpm.W, F27, _xlpm.H, G27, _xlpm.qty * _xlpm.L * _xlpm.W * _xlpm.H)</f>
        <v>12.752784999999999</v>
      </c>
      <c r="J27" s="30" t="s">
        <v>177</v>
      </c>
      <c r="K27" s="30" t="s">
        <v>178</v>
      </c>
    </row>
    <row r="28" spans="1:11" x14ac:dyDescent="0.3">
      <c r="A28" s="29" t="s">
        <v>24</v>
      </c>
      <c r="B28" s="30" t="s">
        <v>179</v>
      </c>
      <c r="C28" s="29" t="s">
        <v>23</v>
      </c>
      <c r="D28" s="31">
        <v>1</v>
      </c>
      <c r="E28" s="31">
        <v>12.515000000000001</v>
      </c>
      <c r="F28" s="31">
        <v>0.3</v>
      </c>
      <c r="G28" s="31">
        <v>0.44700000000000001</v>
      </c>
      <c r="H28" s="32" t="s">
        <v>180</v>
      </c>
      <c r="I28" s="31">
        <f>D28*E28*F28*G28</f>
        <v>1.6782615000000001</v>
      </c>
      <c r="J28" s="30" t="s">
        <v>181</v>
      </c>
      <c r="K28" s="30" t="s">
        <v>182</v>
      </c>
    </row>
    <row r="29" spans="1:11" x14ac:dyDescent="0.3">
      <c r="A29" s="26" t="s">
        <v>183</v>
      </c>
      <c r="B29" s="27" t="s">
        <v>184</v>
      </c>
      <c r="C29" s="26" t="s">
        <v>28</v>
      </c>
      <c r="D29" s="28">
        <v>1</v>
      </c>
      <c r="E29" s="28">
        <v>12.515000000000001</v>
      </c>
      <c r="F29" s="28">
        <v>0.5</v>
      </c>
      <c r="G29" s="28">
        <v>2.0379999999999998</v>
      </c>
      <c r="H29" s="28" t="s">
        <v>185</v>
      </c>
      <c r="I29" s="28">
        <f>_xlfn.LET(_xlpm.qty, D29, _xlpm.L, E29, _xlpm.W, F29, _xlpm.H, G29, _xlpm.qty * 2 * (_xlpm.L + _xlpm.W) * _xlpm.H)</f>
        <v>53.049139999999994</v>
      </c>
      <c r="J29" s="28" t="s">
        <v>186</v>
      </c>
      <c r="K29" s="28" t="s">
        <v>187</v>
      </c>
    </row>
    <row r="30" spans="1:11" x14ac:dyDescent="0.3">
      <c r="A30" s="26" t="s">
        <v>188</v>
      </c>
      <c r="B30" s="27" t="s">
        <v>189</v>
      </c>
      <c r="C30" s="26" t="s">
        <v>23</v>
      </c>
      <c r="D30" s="28"/>
      <c r="E30" s="28"/>
      <c r="F30" s="28"/>
      <c r="G30" s="28"/>
      <c r="H30" s="28" t="s">
        <v>190</v>
      </c>
      <c r="I30" s="28">
        <f>SUM(I31:I32)</f>
        <v>16.806999999999999</v>
      </c>
      <c r="J30" s="28" t="s">
        <v>191</v>
      </c>
      <c r="K30" s="28" t="s">
        <v>192</v>
      </c>
    </row>
    <row r="31" spans="1:11" x14ac:dyDescent="0.3">
      <c r="A31" s="29" t="s">
        <v>21</v>
      </c>
      <c r="B31" s="30" t="s">
        <v>193</v>
      </c>
      <c r="C31" s="29" t="s">
        <v>23</v>
      </c>
      <c r="D31" s="31">
        <v>1</v>
      </c>
      <c r="E31" s="31">
        <v>7</v>
      </c>
      <c r="F31" s="31">
        <v>0.5</v>
      </c>
      <c r="G31" s="31">
        <v>2.4009999999999998</v>
      </c>
      <c r="H31" s="32" t="s">
        <v>194</v>
      </c>
      <c r="I31" s="31">
        <f>_xlfn.LET(_xlpm.L, E31, _xlpm.W, F31, _xlpm.H, G31, _xlpm.L * _xlpm.W * _xlpm.H)</f>
        <v>8.4034999999999993</v>
      </c>
      <c r="J31" s="30" t="s">
        <v>195</v>
      </c>
      <c r="K31" s="30" t="s">
        <v>196</v>
      </c>
    </row>
    <row r="32" spans="1:11" x14ac:dyDescent="0.3">
      <c r="A32" s="29" t="s">
        <v>24</v>
      </c>
      <c r="B32" s="30" t="s">
        <v>197</v>
      </c>
      <c r="C32" s="29" t="s">
        <v>23</v>
      </c>
      <c r="D32" s="31">
        <v>1</v>
      </c>
      <c r="E32" s="31">
        <v>7</v>
      </c>
      <c r="F32" s="31">
        <v>0.5</v>
      </c>
      <c r="G32" s="31">
        <v>2.4009999999999998</v>
      </c>
      <c r="H32" s="32" t="s">
        <v>198</v>
      </c>
      <c r="I32" s="31">
        <f>_xlfn.LET(_xlpm.L, E32, _xlpm.W, F32, _xlpm.H, G32, _xlpm.L * _xlpm.W * _xlpm.H)</f>
        <v>8.4034999999999993</v>
      </c>
      <c r="J32" s="30" t="s">
        <v>199</v>
      </c>
      <c r="K32" s="30" t="s">
        <v>200</v>
      </c>
    </row>
    <row r="33" spans="1:11" x14ac:dyDescent="0.3">
      <c r="A33" s="26" t="s">
        <v>201</v>
      </c>
      <c r="B33" s="27" t="s">
        <v>202</v>
      </c>
      <c r="C33" s="26" t="s">
        <v>28</v>
      </c>
      <c r="D33" s="28">
        <v>2</v>
      </c>
      <c r="E33" s="28">
        <v>7</v>
      </c>
      <c r="F33" s="28">
        <v>0.5</v>
      </c>
      <c r="G33" s="28">
        <v>2.4009999999999998</v>
      </c>
      <c r="H33" s="28" t="s">
        <v>203</v>
      </c>
      <c r="I33" s="33">
        <v>71.935000000000002</v>
      </c>
      <c r="J33" s="28" t="s">
        <v>204</v>
      </c>
      <c r="K33" s="28" t="s">
        <v>205</v>
      </c>
    </row>
    <row r="34" spans="1:11" x14ac:dyDescent="0.3">
      <c r="A34" s="26" t="s">
        <v>206</v>
      </c>
      <c r="B34" s="27" t="s">
        <v>207</v>
      </c>
      <c r="C34" s="26" t="s">
        <v>23</v>
      </c>
      <c r="D34" s="28"/>
      <c r="E34" s="28"/>
      <c r="F34" s="28"/>
      <c r="G34" s="28"/>
      <c r="H34" s="28" t="s">
        <v>208</v>
      </c>
      <c r="I34" s="28">
        <f>SUM(I35:I37)</f>
        <v>5.1013999999999999</v>
      </c>
      <c r="J34" s="28" t="s">
        <v>209</v>
      </c>
      <c r="K34" s="28" t="s">
        <v>210</v>
      </c>
    </row>
    <row r="35" spans="1:11" x14ac:dyDescent="0.3">
      <c r="A35" s="29" t="s">
        <v>21</v>
      </c>
      <c r="B35" s="30" t="s">
        <v>211</v>
      </c>
      <c r="C35" s="29" t="s">
        <v>23</v>
      </c>
      <c r="D35" s="31">
        <v>2</v>
      </c>
      <c r="E35" s="31">
        <v>1</v>
      </c>
      <c r="F35" s="31">
        <v>0.7</v>
      </c>
      <c r="G35" s="31">
        <v>1.0960000000000001</v>
      </c>
      <c r="H35" s="32" t="s">
        <v>180</v>
      </c>
      <c r="I35" s="31">
        <f>D35*E35*F35*G35</f>
        <v>1.5344</v>
      </c>
      <c r="J35" s="30" t="s">
        <v>212</v>
      </c>
      <c r="K35" s="30" t="s">
        <v>213</v>
      </c>
    </row>
    <row r="36" spans="1:11" x14ac:dyDescent="0.3">
      <c r="A36" s="29" t="s">
        <v>24</v>
      </c>
      <c r="B36" s="30" t="s">
        <v>214</v>
      </c>
      <c r="C36" s="29" t="s">
        <v>23</v>
      </c>
      <c r="D36" s="31">
        <v>2</v>
      </c>
      <c r="E36" s="31">
        <v>0.65</v>
      </c>
      <c r="F36" s="31">
        <v>0.15</v>
      </c>
      <c r="G36" s="31">
        <v>1</v>
      </c>
      <c r="H36" s="32" t="s">
        <v>180</v>
      </c>
      <c r="I36" s="31">
        <f>D36*E36*F36*G36</f>
        <v>0.19500000000000001</v>
      </c>
      <c r="J36" s="30" t="s">
        <v>215</v>
      </c>
      <c r="K36" s="30" t="s">
        <v>216</v>
      </c>
    </row>
    <row r="37" spans="1:11" x14ac:dyDescent="0.3">
      <c r="A37" s="29" t="s">
        <v>26</v>
      </c>
      <c r="B37" s="30" t="s">
        <v>217</v>
      </c>
      <c r="C37" s="29" t="s">
        <v>23</v>
      </c>
      <c r="D37" s="31">
        <v>1</v>
      </c>
      <c r="E37" s="31">
        <v>6</v>
      </c>
      <c r="F37" s="31">
        <v>0.56200000000000006</v>
      </c>
      <c r="G37" s="31">
        <v>1</v>
      </c>
      <c r="H37" s="32" t="s">
        <v>180</v>
      </c>
      <c r="I37" s="31">
        <f>D37*E37*F37*G37</f>
        <v>3.3720000000000003</v>
      </c>
      <c r="J37" s="30" t="s">
        <v>218</v>
      </c>
      <c r="K37" s="30" t="s">
        <v>219</v>
      </c>
    </row>
    <row r="38" spans="1:11" x14ac:dyDescent="0.3">
      <c r="A38" s="26" t="s">
        <v>220</v>
      </c>
      <c r="B38" s="27" t="s">
        <v>221</v>
      </c>
      <c r="C38" s="26" t="s">
        <v>28</v>
      </c>
      <c r="D38" s="28">
        <v>1</v>
      </c>
      <c r="E38" s="28"/>
      <c r="F38" s="28"/>
      <c r="G38" s="28"/>
      <c r="H38" s="28" t="s">
        <v>222</v>
      </c>
      <c r="I38" s="33">
        <v>255.18</v>
      </c>
      <c r="J38" s="28" t="s">
        <v>223</v>
      </c>
      <c r="K38" s="28" t="s">
        <v>224</v>
      </c>
    </row>
    <row r="39" spans="1:11" x14ac:dyDescent="0.3">
      <c r="A39" s="24" t="s">
        <v>225</v>
      </c>
      <c r="B39" s="25" t="s">
        <v>226</v>
      </c>
      <c r="C39" s="24"/>
      <c r="D39" s="24"/>
      <c r="E39" s="24"/>
      <c r="F39" s="24"/>
      <c r="G39" s="24"/>
      <c r="H39" s="24"/>
      <c r="I39" s="24"/>
      <c r="J39" s="24"/>
      <c r="K39" s="24"/>
    </row>
    <row r="40" spans="1:11" x14ac:dyDescent="0.3">
      <c r="A40" s="26" t="s">
        <v>86</v>
      </c>
      <c r="B40" s="27" t="s">
        <v>227</v>
      </c>
      <c r="C40" s="26" t="s">
        <v>23</v>
      </c>
      <c r="D40" s="28"/>
      <c r="E40" s="28"/>
      <c r="F40" s="28"/>
      <c r="G40" s="28"/>
      <c r="H40" s="28" t="s">
        <v>228</v>
      </c>
      <c r="I40" s="28">
        <f>SUM(I41:I43)</f>
        <v>52.961501990118457</v>
      </c>
      <c r="J40" s="28" t="s">
        <v>229</v>
      </c>
      <c r="K40" s="28" t="s">
        <v>230</v>
      </c>
    </row>
    <row r="41" spans="1:11" x14ac:dyDescent="0.3">
      <c r="A41" s="29" t="s">
        <v>21</v>
      </c>
      <c r="B41" s="30" t="s">
        <v>231</v>
      </c>
      <c r="C41" s="29" t="s">
        <v>23</v>
      </c>
      <c r="D41" s="31">
        <v>1</v>
      </c>
      <c r="E41" s="31">
        <v>12.515000000000001</v>
      </c>
      <c r="F41" s="31">
        <v>2</v>
      </c>
      <c r="G41" s="31">
        <v>2.1240000000000001</v>
      </c>
      <c r="H41" s="32" t="s">
        <v>232</v>
      </c>
      <c r="I41" s="31">
        <f>_xlfn.LET(_xlpm.qty, D41, _xlpm.L, E41, _xlpm.W, F41, _xlpm.H, G41, _xlpm.qty * _xlpm.L * _xlpm.W * _xlpm.H)</f>
        <v>53.163720000000005</v>
      </c>
      <c r="J41" s="30" t="s">
        <v>233</v>
      </c>
      <c r="K41" s="30" t="s">
        <v>234</v>
      </c>
    </row>
    <row r="42" spans="1:11" x14ac:dyDescent="0.3">
      <c r="A42" s="29" t="s">
        <v>24</v>
      </c>
      <c r="B42" s="30" t="s">
        <v>235</v>
      </c>
      <c r="C42" s="29" t="s">
        <v>23</v>
      </c>
      <c r="D42" s="31">
        <v>1</v>
      </c>
      <c r="E42" s="31">
        <v>3.4079999999999999</v>
      </c>
      <c r="F42" s="31">
        <v>0.3</v>
      </c>
      <c r="G42" s="31">
        <v>0.3</v>
      </c>
      <c r="H42" s="32" t="s">
        <v>236</v>
      </c>
      <c r="I42" s="31">
        <f>_xlfn.LET(_xlpm.qty, D42, _xlpm.L, E42, _xlpm.W, F42, _xlpm.H, G42, _xlpm.qty * _xlpm.L * _xlpm.W * _xlpm.H)</f>
        <v>0.30671999999999999</v>
      </c>
      <c r="J42" s="30" t="s">
        <v>237</v>
      </c>
      <c r="K42" s="30" t="s">
        <v>238</v>
      </c>
    </row>
    <row r="43" spans="1:11" x14ac:dyDescent="0.3">
      <c r="A43" s="29" t="s">
        <v>26</v>
      </c>
      <c r="B43" s="30" t="s">
        <v>239</v>
      </c>
      <c r="C43" s="29" t="s">
        <v>23</v>
      </c>
      <c r="D43" s="31">
        <v>-3</v>
      </c>
      <c r="E43" s="31">
        <v>0.15</v>
      </c>
      <c r="F43" s="31">
        <v>1.2</v>
      </c>
      <c r="G43" s="32"/>
      <c r="H43" s="32" t="s">
        <v>240</v>
      </c>
      <c r="I43" s="31">
        <f>_xlfn.LET(_xlpm.n, D43, _xlpm.h, E43, _xlpm.D, F43, _xlpm.n * PI() * (_xlpm.D/2)^2 * _xlpm.h)</f>
        <v>-0.50893800988154647</v>
      </c>
      <c r="J43" s="30" t="s">
        <v>241</v>
      </c>
      <c r="K43" s="30" t="s">
        <v>242</v>
      </c>
    </row>
    <row r="44" spans="1:11" x14ac:dyDescent="0.3">
      <c r="A44" s="26" t="s">
        <v>107</v>
      </c>
      <c r="B44" s="27" t="s">
        <v>243</v>
      </c>
      <c r="C44" s="26" t="s">
        <v>23</v>
      </c>
      <c r="D44" s="28"/>
      <c r="E44" s="28"/>
      <c r="F44" s="28"/>
      <c r="G44" s="28"/>
      <c r="H44" s="28" t="s">
        <v>244</v>
      </c>
      <c r="I44" s="28">
        <f>SUM(I45:I46)</f>
        <v>14.224629999999999</v>
      </c>
      <c r="J44" s="28" t="s">
        <v>245</v>
      </c>
      <c r="K44" s="28" t="s">
        <v>246</v>
      </c>
    </row>
    <row r="45" spans="1:11" x14ac:dyDescent="0.3">
      <c r="A45" s="29" t="s">
        <v>21</v>
      </c>
      <c r="B45" s="30" t="s">
        <v>247</v>
      </c>
      <c r="C45" s="29" t="s">
        <v>23</v>
      </c>
      <c r="D45" s="31">
        <v>1</v>
      </c>
      <c r="E45" s="31">
        <v>12.515000000000001</v>
      </c>
      <c r="F45" s="31">
        <v>0.5</v>
      </c>
      <c r="G45" s="31">
        <v>2.0139999999999998</v>
      </c>
      <c r="H45" s="32" t="s">
        <v>248</v>
      </c>
      <c r="I45" s="31">
        <f>_xlfn.LET(_xlpm.qty, D45, _xlpm.L, E45, _xlpm.W, F45, _xlpm.H, G45, _xlpm.qty * _xlpm.L * _xlpm.W * _xlpm.H)</f>
        <v>12.602604999999999</v>
      </c>
      <c r="J45" s="30" t="s">
        <v>249</v>
      </c>
      <c r="K45" s="30" t="s">
        <v>250</v>
      </c>
    </row>
    <row r="46" spans="1:11" x14ac:dyDescent="0.3">
      <c r="A46" s="29" t="s">
        <v>24</v>
      </c>
      <c r="B46" s="30" t="s">
        <v>251</v>
      </c>
      <c r="C46" s="29" t="s">
        <v>23</v>
      </c>
      <c r="D46" s="31">
        <v>1</v>
      </c>
      <c r="E46" s="31">
        <v>12.015000000000001</v>
      </c>
      <c r="F46" s="31">
        <v>0.3</v>
      </c>
      <c r="G46" s="31">
        <v>0.45</v>
      </c>
      <c r="H46" s="32" t="s">
        <v>252</v>
      </c>
      <c r="I46" s="31">
        <f>_xlfn.LET(_xlpm.qty, D46, _xlpm.L, E46, _xlpm.W, F46, _xlpm.H, G46, _xlpm.qty * _xlpm.L * _xlpm.W * _xlpm.H)</f>
        <v>1.6220250000000001</v>
      </c>
      <c r="J46" s="30" t="s">
        <v>253</v>
      </c>
      <c r="K46" s="30" t="s">
        <v>254</v>
      </c>
    </row>
    <row r="47" spans="1:11" x14ac:dyDescent="0.3">
      <c r="A47" s="26" t="s">
        <v>139</v>
      </c>
      <c r="B47" s="27" t="s">
        <v>255</v>
      </c>
      <c r="C47" s="26" t="s">
        <v>23</v>
      </c>
      <c r="D47" s="28"/>
      <c r="E47" s="28"/>
      <c r="F47" s="28"/>
      <c r="G47" s="28"/>
      <c r="H47" s="28" t="s">
        <v>256</v>
      </c>
      <c r="I47" s="28">
        <f>SUM(I48:I49)</f>
        <v>3.44625</v>
      </c>
      <c r="J47" s="28" t="s">
        <v>257</v>
      </c>
      <c r="K47" s="28" t="s">
        <v>258</v>
      </c>
    </row>
    <row r="48" spans="1:11" x14ac:dyDescent="0.3">
      <c r="A48" s="29" t="s">
        <v>21</v>
      </c>
      <c r="B48" s="30" t="s">
        <v>259</v>
      </c>
      <c r="C48" s="29" t="s">
        <v>23</v>
      </c>
      <c r="D48" s="31">
        <v>1</v>
      </c>
      <c r="E48" s="31">
        <v>2.5</v>
      </c>
      <c r="F48" s="31">
        <v>0.5</v>
      </c>
      <c r="G48" s="31">
        <v>1.5069999999999999</v>
      </c>
      <c r="H48" s="32" t="s">
        <v>260</v>
      </c>
      <c r="I48" s="31">
        <f>_xlfn.LET(_xlpm.qty, D48, _xlpm.L, E48, _xlpm.W, F48, _xlpm.H, G48, _xlpm.qty * _xlpm.L * _xlpm.W * _xlpm.H)</f>
        <v>1.8837499999999998</v>
      </c>
      <c r="J48" s="30" t="s">
        <v>261</v>
      </c>
      <c r="K48" s="30" t="s">
        <v>262</v>
      </c>
    </row>
    <row r="49" spans="1:11" x14ac:dyDescent="0.3">
      <c r="A49" s="29" t="s">
        <v>24</v>
      </c>
      <c r="B49" s="30" t="s">
        <v>263</v>
      </c>
      <c r="C49" s="29" t="s">
        <v>23</v>
      </c>
      <c r="D49" s="31">
        <v>1</v>
      </c>
      <c r="E49" s="31">
        <v>0.5</v>
      </c>
      <c r="F49" s="31">
        <v>2.5</v>
      </c>
      <c r="G49" s="31">
        <v>2.5</v>
      </c>
      <c r="H49" s="32" t="s">
        <v>264</v>
      </c>
      <c r="I49" s="31">
        <f>_xlfn.LET(_xlpm.qty, D49, _xlpm.W, E49, _xlpm.B, F49, _xlpm.H, G49, _xlpm.qty * _xlpm.W * _xlpm.B * _xlpm.H * 0.5)</f>
        <v>1.5625</v>
      </c>
      <c r="J49" s="30" t="s">
        <v>265</v>
      </c>
      <c r="K49" s="30" t="s">
        <v>266</v>
      </c>
    </row>
    <row r="50" spans="1:11" x14ac:dyDescent="0.3">
      <c r="A50" s="26" t="s">
        <v>152</v>
      </c>
      <c r="B50" s="27" t="s">
        <v>267</v>
      </c>
      <c r="C50" s="26" t="s">
        <v>23</v>
      </c>
      <c r="D50" s="28"/>
      <c r="E50" s="28"/>
      <c r="F50" s="28"/>
      <c r="G50" s="28"/>
      <c r="H50" s="28" t="s">
        <v>268</v>
      </c>
      <c r="I50" s="28">
        <f>SUM(I51:I53)</f>
        <v>4.4829119999999998</v>
      </c>
      <c r="J50" s="28" t="s">
        <v>269</v>
      </c>
      <c r="K50" s="28" t="s">
        <v>270</v>
      </c>
    </row>
    <row r="51" spans="1:11" x14ac:dyDescent="0.3">
      <c r="A51" s="29" t="s">
        <v>21</v>
      </c>
      <c r="B51" s="30" t="s">
        <v>211</v>
      </c>
      <c r="C51" s="29" t="s">
        <v>23</v>
      </c>
      <c r="D51" s="31">
        <v>2</v>
      </c>
      <c r="E51" s="31">
        <v>1</v>
      </c>
      <c r="F51" s="31">
        <v>0.7</v>
      </c>
      <c r="G51" s="31">
        <v>1.0960000000000001</v>
      </c>
      <c r="H51" s="32" t="s">
        <v>180</v>
      </c>
      <c r="I51" s="31">
        <f>D51*E51*F51*G51</f>
        <v>1.5344</v>
      </c>
      <c r="J51" s="30" t="s">
        <v>271</v>
      </c>
      <c r="K51" s="30" t="s">
        <v>272</v>
      </c>
    </row>
    <row r="52" spans="1:11" x14ac:dyDescent="0.3">
      <c r="A52" s="29" t="s">
        <v>24</v>
      </c>
      <c r="B52" s="30" t="s">
        <v>273</v>
      </c>
      <c r="C52" s="29" t="s">
        <v>23</v>
      </c>
      <c r="D52" s="31">
        <v>1</v>
      </c>
      <c r="E52" s="31">
        <v>1.3</v>
      </c>
      <c r="F52" s="31">
        <v>0.15</v>
      </c>
      <c r="G52" s="31">
        <v>1.5</v>
      </c>
      <c r="H52" s="32" t="s">
        <v>180</v>
      </c>
      <c r="I52" s="31">
        <f>D52*E52*F52*G52</f>
        <v>0.29249999999999998</v>
      </c>
      <c r="J52" s="30" t="s">
        <v>274</v>
      </c>
      <c r="K52" s="30" t="s">
        <v>275</v>
      </c>
    </row>
    <row r="53" spans="1:11" x14ac:dyDescent="0.3">
      <c r="A53" s="29" t="s">
        <v>26</v>
      </c>
      <c r="B53" s="30" t="s">
        <v>276</v>
      </c>
      <c r="C53" s="29" t="s">
        <v>23</v>
      </c>
      <c r="D53" s="31">
        <v>1</v>
      </c>
      <c r="E53" s="31">
        <v>4.726</v>
      </c>
      <c r="F53" s="31">
        <v>0.56200000000000006</v>
      </c>
      <c r="G53" s="31">
        <v>1</v>
      </c>
      <c r="H53" s="32" t="s">
        <v>180</v>
      </c>
      <c r="I53" s="31">
        <f>D53*E53*F53*G53</f>
        <v>2.656012</v>
      </c>
      <c r="J53" s="30" t="s">
        <v>277</v>
      </c>
      <c r="K53" s="30" t="s">
        <v>278</v>
      </c>
    </row>
    <row r="54" spans="1:11" x14ac:dyDescent="0.3">
      <c r="A54" s="26" t="s">
        <v>165</v>
      </c>
      <c r="B54" s="27" t="s">
        <v>279</v>
      </c>
      <c r="C54" s="26" t="s">
        <v>23</v>
      </c>
      <c r="D54" s="28"/>
      <c r="E54" s="28"/>
      <c r="F54" s="28"/>
      <c r="G54" s="28"/>
      <c r="H54" s="28" t="s">
        <v>280</v>
      </c>
      <c r="I54" s="28">
        <f>SUM(I55:I56)</f>
        <v>2.4580079934123029</v>
      </c>
      <c r="J54" s="28" t="s">
        <v>281</v>
      </c>
      <c r="K54" s="28" t="s">
        <v>282</v>
      </c>
    </row>
    <row r="55" spans="1:11" x14ac:dyDescent="0.3">
      <c r="A55" s="29" t="s">
        <v>21</v>
      </c>
      <c r="B55" s="30" t="s">
        <v>283</v>
      </c>
      <c r="C55" s="29" t="s">
        <v>23</v>
      </c>
      <c r="D55" s="31">
        <v>1</v>
      </c>
      <c r="E55" s="31">
        <v>12.715</v>
      </c>
      <c r="F55" s="31">
        <v>2.2000000000000002</v>
      </c>
      <c r="G55" s="31">
        <v>0.1</v>
      </c>
      <c r="H55" s="32" t="s">
        <v>284</v>
      </c>
      <c r="I55" s="31">
        <f>_xlfn.LET(_xlpm.qty, D55, _xlpm.L, E55, _xlpm.W, F55, _xlpm.H, G55, _xlpm.qty * _xlpm.L * _xlpm.W * _xlpm.H)</f>
        <v>2.7973000000000003</v>
      </c>
      <c r="J55" s="30" t="s">
        <v>285</v>
      </c>
      <c r="K55" s="30" t="s">
        <v>286</v>
      </c>
    </row>
    <row r="56" spans="1:11" x14ac:dyDescent="0.3">
      <c r="A56" s="29" t="s">
        <v>24</v>
      </c>
      <c r="B56" s="30" t="s">
        <v>287</v>
      </c>
      <c r="C56" s="29" t="s">
        <v>23</v>
      </c>
      <c r="D56" s="31">
        <v>-3</v>
      </c>
      <c r="E56" s="31">
        <v>0.1</v>
      </c>
      <c r="F56" s="31">
        <v>1.2</v>
      </c>
      <c r="G56" s="32"/>
      <c r="H56" s="32" t="s">
        <v>288</v>
      </c>
      <c r="I56" s="31">
        <f>_xlfn.LET(_xlpm.n, D56, _xlpm.h, E56, _xlpm.D, F56, _xlpm.n * PI() * (_xlpm.D/2)^2 * _xlpm.h)</f>
        <v>-0.33929200658769765</v>
      </c>
      <c r="J56" s="30" t="s">
        <v>289</v>
      </c>
      <c r="K56" s="30" t="s">
        <v>290</v>
      </c>
    </row>
    <row r="57" spans="1:11" x14ac:dyDescent="0.3">
      <c r="A57" s="26" t="s">
        <v>170</v>
      </c>
      <c r="B57" s="27" t="s">
        <v>291</v>
      </c>
      <c r="C57" s="26" t="s">
        <v>28</v>
      </c>
      <c r="D57" s="28"/>
      <c r="E57" s="28"/>
      <c r="F57" s="28"/>
      <c r="G57" s="28"/>
      <c r="H57" s="28" t="s">
        <v>292</v>
      </c>
      <c r="I57" s="28">
        <f>SUM(I58:I63)</f>
        <v>129.75614000000002</v>
      </c>
      <c r="J57" s="28" t="s">
        <v>293</v>
      </c>
      <c r="K57" s="28" t="s">
        <v>294</v>
      </c>
    </row>
    <row r="58" spans="1:11" x14ac:dyDescent="0.3">
      <c r="A58" s="29" t="s">
        <v>21</v>
      </c>
      <c r="B58" s="30" t="s">
        <v>295</v>
      </c>
      <c r="C58" s="29" t="s">
        <v>28</v>
      </c>
      <c r="D58" s="31">
        <v>1</v>
      </c>
      <c r="E58" s="31">
        <v>12.515000000000001</v>
      </c>
      <c r="F58" s="31">
        <v>2</v>
      </c>
      <c r="G58" s="31">
        <v>2.1240000000000001</v>
      </c>
      <c r="H58" s="32" t="s">
        <v>296</v>
      </c>
      <c r="I58" s="31">
        <f>_xlfn.LET(_xlpm.qty, D58, _xlpm.L, E58, _xlpm.W, F58, _xlpm.H, G58, _xlpm.qty * 2 * (_xlpm.L + _xlpm.W) * _xlpm.H)</f>
        <v>61.659720000000007</v>
      </c>
      <c r="J58" s="30" t="s">
        <v>297</v>
      </c>
      <c r="K58" s="30" t="s">
        <v>298</v>
      </c>
    </row>
    <row r="59" spans="1:11" x14ac:dyDescent="0.3">
      <c r="A59" s="29" t="s">
        <v>24</v>
      </c>
      <c r="B59" s="30" t="s">
        <v>299</v>
      </c>
      <c r="C59" s="29" t="s">
        <v>28</v>
      </c>
      <c r="D59" s="31">
        <v>1</v>
      </c>
      <c r="E59" s="31">
        <v>12.515000000000001</v>
      </c>
      <c r="F59" s="31">
        <v>0.5</v>
      </c>
      <c r="G59" s="31">
        <v>2.0139999999999998</v>
      </c>
      <c r="H59" s="32" t="s">
        <v>300</v>
      </c>
      <c r="I59" s="31">
        <f>_xlfn.LET(_xlpm.qty, D59, _xlpm.L, E59, _xlpm.W, F59, _xlpm.H, G59, _xlpm.qty * 2 * (_xlpm.L + _xlpm.W) * _xlpm.H)</f>
        <v>52.424419999999998</v>
      </c>
      <c r="J59" s="30" t="s">
        <v>301</v>
      </c>
      <c r="K59" s="30" t="s">
        <v>302</v>
      </c>
    </row>
    <row r="60" spans="1:11" x14ac:dyDescent="0.3">
      <c r="A60" s="29" t="s">
        <v>26</v>
      </c>
      <c r="B60" s="30" t="s">
        <v>303</v>
      </c>
      <c r="C60" s="29" t="s">
        <v>28</v>
      </c>
      <c r="D60" s="31">
        <v>1</v>
      </c>
      <c r="E60" s="31">
        <v>16.306000000000001</v>
      </c>
      <c r="F60" s="32"/>
      <c r="G60" s="32"/>
      <c r="H60" s="32" t="s">
        <v>304</v>
      </c>
      <c r="I60" s="31">
        <f>D60*E60</f>
        <v>16.306000000000001</v>
      </c>
      <c r="J60" s="30" t="s">
        <v>305</v>
      </c>
      <c r="K60" s="30" t="s">
        <v>306</v>
      </c>
    </row>
    <row r="61" spans="1:11" x14ac:dyDescent="0.3">
      <c r="A61" s="29" t="s">
        <v>29</v>
      </c>
      <c r="B61" s="30" t="s">
        <v>307</v>
      </c>
      <c r="C61" s="29" t="s">
        <v>28</v>
      </c>
      <c r="D61" s="31">
        <v>1</v>
      </c>
      <c r="E61" s="31">
        <v>26.498999999999999</v>
      </c>
      <c r="F61" s="32"/>
      <c r="G61" s="32"/>
      <c r="H61" s="32" t="s">
        <v>304</v>
      </c>
      <c r="I61" s="31">
        <f>D61*E61</f>
        <v>26.498999999999999</v>
      </c>
      <c r="J61" s="30" t="s">
        <v>308</v>
      </c>
      <c r="K61" s="30" t="s">
        <v>309</v>
      </c>
    </row>
    <row r="62" spans="1:11" x14ac:dyDescent="0.3">
      <c r="A62" s="29" t="s">
        <v>31</v>
      </c>
      <c r="B62" s="30" t="s">
        <v>310</v>
      </c>
      <c r="C62" s="29" t="s">
        <v>28</v>
      </c>
      <c r="D62" s="31">
        <v>1</v>
      </c>
      <c r="E62" s="31">
        <v>12.715</v>
      </c>
      <c r="F62" s="31">
        <v>2.2000000000000002</v>
      </c>
      <c r="G62" s="31">
        <v>0.1</v>
      </c>
      <c r="H62" s="32" t="s">
        <v>311</v>
      </c>
      <c r="I62" s="31">
        <f>D62*2*(E62+F62)*G62</f>
        <v>2.9830000000000001</v>
      </c>
      <c r="J62" s="30" t="s">
        <v>312</v>
      </c>
      <c r="K62" s="30" t="s">
        <v>313</v>
      </c>
    </row>
    <row r="63" spans="1:11" x14ac:dyDescent="0.3">
      <c r="A63" s="29" t="s">
        <v>34</v>
      </c>
      <c r="B63" s="30" t="s">
        <v>314</v>
      </c>
      <c r="C63" s="29" t="s">
        <v>28</v>
      </c>
      <c r="D63" s="31">
        <v>1</v>
      </c>
      <c r="E63" s="31">
        <v>-30.116</v>
      </c>
      <c r="F63" s="32"/>
      <c r="G63" s="32"/>
      <c r="H63" s="32" t="s">
        <v>304</v>
      </c>
      <c r="I63" s="31">
        <f>D63*E63</f>
        <v>-30.116</v>
      </c>
      <c r="J63" s="30" t="s">
        <v>315</v>
      </c>
      <c r="K63" s="30" t="s">
        <v>316</v>
      </c>
    </row>
    <row r="64" spans="1:11" x14ac:dyDescent="0.3">
      <c r="A64" s="26" t="s">
        <v>183</v>
      </c>
      <c r="B64" s="27" t="s">
        <v>317</v>
      </c>
      <c r="C64" s="26" t="s">
        <v>28</v>
      </c>
      <c r="D64" s="28"/>
      <c r="E64" s="28"/>
      <c r="F64" s="28"/>
      <c r="G64" s="28"/>
      <c r="H64" s="28" t="s">
        <v>318</v>
      </c>
      <c r="I64" s="28">
        <f>SUM(I65:I66)</f>
        <v>63.094119999999997</v>
      </c>
      <c r="J64" s="28" t="s">
        <v>319</v>
      </c>
      <c r="K64" s="28" t="s">
        <v>320</v>
      </c>
    </row>
    <row r="65" spans="1:11" x14ac:dyDescent="0.3">
      <c r="A65" s="29" t="s">
        <v>21</v>
      </c>
      <c r="B65" s="30" t="s">
        <v>321</v>
      </c>
      <c r="C65" s="29" t="s">
        <v>28</v>
      </c>
      <c r="D65" s="31">
        <v>1</v>
      </c>
      <c r="E65" s="31">
        <v>11.515000000000001</v>
      </c>
      <c r="F65" s="31">
        <v>3.4079999999999999</v>
      </c>
      <c r="G65" s="32"/>
      <c r="H65" s="32" t="s">
        <v>322</v>
      </c>
      <c r="I65" s="31">
        <f>D65*E65*F65</f>
        <v>39.243119999999998</v>
      </c>
      <c r="J65" s="30" t="s">
        <v>323</v>
      </c>
      <c r="K65" s="30" t="s">
        <v>324</v>
      </c>
    </row>
    <row r="66" spans="1:11" x14ac:dyDescent="0.3">
      <c r="A66" s="29" t="s">
        <v>24</v>
      </c>
      <c r="B66" s="30" t="s">
        <v>325</v>
      </c>
      <c r="C66" s="29" t="s">
        <v>28</v>
      </c>
      <c r="D66" s="31">
        <v>1</v>
      </c>
      <c r="E66" s="31">
        <v>23.850999999999999</v>
      </c>
      <c r="F66" s="32"/>
      <c r="G66" s="32"/>
      <c r="H66" s="32" t="s">
        <v>304</v>
      </c>
      <c r="I66" s="31">
        <f>D66*E66</f>
        <v>23.850999999999999</v>
      </c>
      <c r="J66" s="30" t="s">
        <v>326</v>
      </c>
      <c r="K66" s="30" t="s">
        <v>327</v>
      </c>
    </row>
    <row r="67" spans="1:11" x14ac:dyDescent="0.3">
      <c r="A67" s="24" t="s">
        <v>328</v>
      </c>
      <c r="B67" s="25" t="s">
        <v>329</v>
      </c>
      <c r="C67" s="24"/>
      <c r="D67" s="24"/>
      <c r="E67" s="24"/>
      <c r="F67" s="24"/>
      <c r="G67" s="24"/>
      <c r="H67" s="24"/>
      <c r="I67" s="24"/>
      <c r="J67" s="24"/>
      <c r="K67" s="24"/>
    </row>
    <row r="68" spans="1:11" x14ac:dyDescent="0.3">
      <c r="A68" s="26" t="s">
        <v>86</v>
      </c>
      <c r="B68" s="27" t="s">
        <v>330</v>
      </c>
      <c r="C68" s="26" t="s">
        <v>23</v>
      </c>
      <c r="D68" s="28"/>
      <c r="E68" s="28"/>
      <c r="F68" s="28"/>
      <c r="G68" s="28"/>
      <c r="H68" s="28" t="s">
        <v>331</v>
      </c>
      <c r="I68" s="28">
        <f>I69+I70</f>
        <v>217.28566394729842</v>
      </c>
      <c r="J68" s="28" t="s">
        <v>332</v>
      </c>
      <c r="K68" s="28" t="s">
        <v>333</v>
      </c>
    </row>
    <row r="69" spans="1:11" x14ac:dyDescent="0.3">
      <c r="A69" s="29" t="s">
        <v>21</v>
      </c>
      <c r="B69" s="30" t="s">
        <v>334</v>
      </c>
      <c r="C69" s="29" t="s">
        <v>23</v>
      </c>
      <c r="D69" s="31">
        <v>2</v>
      </c>
      <c r="E69" s="31">
        <v>11</v>
      </c>
      <c r="F69" s="31">
        <v>5</v>
      </c>
      <c r="G69" s="31">
        <v>2</v>
      </c>
      <c r="H69" s="32" t="s">
        <v>335</v>
      </c>
      <c r="I69" s="31">
        <f>_xlfn.LET(_xlpm.qty, D69, _xlpm.L, E69, _xlpm.W, F69, _xlpm.H, G69, _xlpm.qty * _xlpm.L * _xlpm.W * _xlpm.H)</f>
        <v>220</v>
      </c>
      <c r="J69" s="30" t="s">
        <v>336</v>
      </c>
      <c r="K69" s="30" t="s">
        <v>337</v>
      </c>
    </row>
    <row r="70" spans="1:11" x14ac:dyDescent="0.3">
      <c r="A70" s="29" t="s">
        <v>24</v>
      </c>
      <c r="B70" s="30" t="s">
        <v>338</v>
      </c>
      <c r="C70" s="29" t="s">
        <v>23</v>
      </c>
      <c r="D70" s="31">
        <v>-16</v>
      </c>
      <c r="E70" s="31">
        <v>0.15</v>
      </c>
      <c r="F70" s="31">
        <v>1.2</v>
      </c>
      <c r="G70" s="32"/>
      <c r="H70" s="32" t="s">
        <v>339</v>
      </c>
      <c r="I70" s="31">
        <f>_xlfn.LET(_xlpm.n, D70, _xlpm.h, E70, _xlpm.D, F70, _xlpm.n * PI() * (_xlpm.D/2)^2 * _xlpm.h)</f>
        <v>-2.7143360527015812</v>
      </c>
      <c r="J70" s="30" t="s">
        <v>340</v>
      </c>
      <c r="K70" s="30" t="s">
        <v>341</v>
      </c>
    </row>
    <row r="71" spans="1:11" x14ac:dyDescent="0.3">
      <c r="A71" s="34" t="s">
        <v>342</v>
      </c>
      <c r="B71" s="35" t="s">
        <v>343</v>
      </c>
      <c r="C71" s="34"/>
      <c r="D71" s="34"/>
      <c r="E71" s="34"/>
      <c r="F71" s="34"/>
      <c r="G71" s="34"/>
      <c r="H71" s="34"/>
      <c r="I71" s="36">
        <v>368.48599999999999</v>
      </c>
      <c r="J71" s="35" t="s">
        <v>344</v>
      </c>
      <c r="K71" s="35" t="s">
        <v>345</v>
      </c>
    </row>
    <row r="72" spans="1:11" x14ac:dyDescent="0.3">
      <c r="A72" s="26" t="s">
        <v>107</v>
      </c>
      <c r="B72" s="27" t="s">
        <v>346</v>
      </c>
      <c r="C72" s="26" t="s">
        <v>28</v>
      </c>
      <c r="D72" s="28">
        <v>2</v>
      </c>
      <c r="E72" s="28">
        <v>11</v>
      </c>
      <c r="F72" s="28">
        <v>5</v>
      </c>
      <c r="G72" s="28">
        <v>2</v>
      </c>
      <c r="H72" s="28" t="s">
        <v>347</v>
      </c>
      <c r="I72" s="28">
        <f>_xlfn.LET(_xlpm.qty, D72, _xlpm.L, E72, _xlpm.W, F72, _xlpm.H, G72, _xlpm.qty * 2 * (_xlpm.L + _xlpm.W) * _xlpm.H)</f>
        <v>128</v>
      </c>
      <c r="J72" s="28" t="s">
        <v>348</v>
      </c>
      <c r="K72" s="28" t="s">
        <v>349</v>
      </c>
    </row>
    <row r="73" spans="1:11" x14ac:dyDescent="0.3">
      <c r="A73" s="26" t="s">
        <v>139</v>
      </c>
      <c r="B73" s="27" t="s">
        <v>350</v>
      </c>
      <c r="C73" s="26" t="s">
        <v>23</v>
      </c>
      <c r="D73" s="28">
        <v>2</v>
      </c>
      <c r="E73" s="28">
        <v>5.1959999999999997</v>
      </c>
      <c r="F73" s="28">
        <v>1</v>
      </c>
      <c r="G73" s="28">
        <v>1</v>
      </c>
      <c r="H73" s="28" t="s">
        <v>351</v>
      </c>
      <c r="I73" s="28">
        <f>D73*E73</f>
        <v>10.391999999999999</v>
      </c>
      <c r="J73" s="28" t="s">
        <v>352</v>
      </c>
      <c r="K73" s="28" t="s">
        <v>353</v>
      </c>
    </row>
    <row r="74" spans="1:11" x14ac:dyDescent="0.3">
      <c r="A74" s="26" t="s">
        <v>152</v>
      </c>
      <c r="B74" s="27" t="s">
        <v>354</v>
      </c>
      <c r="C74" s="26" t="s">
        <v>23</v>
      </c>
      <c r="D74" s="28"/>
      <c r="E74" s="28"/>
      <c r="F74" s="28"/>
      <c r="G74" s="28"/>
      <c r="H74" s="28" t="s">
        <v>355</v>
      </c>
      <c r="I74" s="28">
        <f>I75+I78</f>
        <v>182.54233333333332</v>
      </c>
      <c r="J74" s="28" t="s">
        <v>356</v>
      </c>
      <c r="K74" s="28" t="s">
        <v>357</v>
      </c>
    </row>
    <row r="75" spans="1:11" x14ac:dyDescent="0.3">
      <c r="A75" s="29" t="s">
        <v>21</v>
      </c>
      <c r="B75" s="30" t="s">
        <v>358</v>
      </c>
      <c r="C75" s="29" t="s">
        <v>23</v>
      </c>
      <c r="D75" s="32"/>
      <c r="E75" s="32"/>
      <c r="F75" s="32"/>
      <c r="G75" s="32"/>
      <c r="H75" s="32" t="s">
        <v>359</v>
      </c>
      <c r="I75" s="31">
        <f>I76+I77</f>
        <v>78.30983333333333</v>
      </c>
      <c r="J75" s="30" t="s">
        <v>360</v>
      </c>
      <c r="K75" s="30" t="s">
        <v>361</v>
      </c>
    </row>
    <row r="76" spans="1:11" x14ac:dyDescent="0.3">
      <c r="A76" s="29" t="s">
        <v>362</v>
      </c>
      <c r="B76" s="30" t="s">
        <v>363</v>
      </c>
      <c r="C76" s="29" t="s">
        <v>23</v>
      </c>
      <c r="D76" s="31">
        <v>2</v>
      </c>
      <c r="E76" s="31">
        <v>6.35</v>
      </c>
      <c r="F76" s="31">
        <v>8.8209999999999997</v>
      </c>
      <c r="G76" s="31">
        <v>1</v>
      </c>
      <c r="H76" s="32" t="s">
        <v>364</v>
      </c>
      <c r="I76" s="31">
        <f>_xlfn.LET(_xlpm.n, D76, _xlpm.H, E76, _xlpm.S_sum, F76, _xlpm.n * (_xlpm.H/3) * _xlpm.S_sum)</f>
        <v>37.342233333333333</v>
      </c>
      <c r="J76" s="30" t="s">
        <v>365</v>
      </c>
      <c r="K76" s="30" t="s">
        <v>366</v>
      </c>
    </row>
    <row r="77" spans="1:11" x14ac:dyDescent="0.3">
      <c r="A77" s="29" t="s">
        <v>367</v>
      </c>
      <c r="B77" s="30" t="s">
        <v>368</v>
      </c>
      <c r="C77" s="29" t="s">
        <v>23</v>
      </c>
      <c r="D77" s="31">
        <v>2</v>
      </c>
      <c r="E77" s="31">
        <v>3.65</v>
      </c>
      <c r="F77" s="31">
        <v>16.835999999999999</v>
      </c>
      <c r="G77" s="31">
        <v>1</v>
      </c>
      <c r="H77" s="32" t="s">
        <v>369</v>
      </c>
      <c r="I77" s="31">
        <f>_xlfn.LET(_xlpm.n, D77, _xlpm.H, E77, _xlpm.S_sum, F77, _xlpm.n * (_xlpm.H/3) * _xlpm.S_sum)</f>
        <v>40.96759999999999</v>
      </c>
      <c r="J77" s="30" t="s">
        <v>370</v>
      </c>
      <c r="K77" s="30" t="s">
        <v>371</v>
      </c>
    </row>
    <row r="78" spans="1:11" x14ac:dyDescent="0.3">
      <c r="A78" s="29" t="s">
        <v>24</v>
      </c>
      <c r="B78" s="30" t="s">
        <v>372</v>
      </c>
      <c r="C78" s="29" t="s">
        <v>23</v>
      </c>
      <c r="D78" s="32"/>
      <c r="E78" s="32"/>
      <c r="F78" s="32"/>
      <c r="G78" s="32"/>
      <c r="H78" s="32" t="s">
        <v>373</v>
      </c>
      <c r="I78" s="31">
        <f>I79+I80</f>
        <v>104.23249999999999</v>
      </c>
      <c r="J78" s="30" t="s">
        <v>374</v>
      </c>
      <c r="K78" s="30" t="s">
        <v>375</v>
      </c>
    </row>
    <row r="79" spans="1:11" x14ac:dyDescent="0.3">
      <c r="A79" s="29" t="s">
        <v>362</v>
      </c>
      <c r="B79" s="30" t="s">
        <v>376</v>
      </c>
      <c r="C79" s="29" t="s">
        <v>23</v>
      </c>
      <c r="D79" s="31">
        <v>2</v>
      </c>
      <c r="E79" s="31">
        <v>6.75</v>
      </c>
      <c r="F79" s="31">
        <v>8.8209999999999997</v>
      </c>
      <c r="G79" s="31">
        <v>1</v>
      </c>
      <c r="H79" s="32" t="s">
        <v>377</v>
      </c>
      <c r="I79" s="31">
        <f>_xlfn.LET(_xlpm.n, D79, _xlpm.H, E79, _xlpm.S_sum, F79, _xlpm.n * (_xlpm.H/3) * _xlpm.S_sum)</f>
        <v>39.694499999999998</v>
      </c>
      <c r="J79" s="30" t="s">
        <v>378</v>
      </c>
      <c r="K79" s="30" t="s">
        <v>379</v>
      </c>
    </row>
    <row r="80" spans="1:11" x14ac:dyDescent="0.3">
      <c r="A80" s="29" t="s">
        <v>367</v>
      </c>
      <c r="B80" s="30" t="s">
        <v>380</v>
      </c>
      <c r="C80" s="29" t="s">
        <v>23</v>
      </c>
      <c r="D80" s="31">
        <v>2</v>
      </c>
      <c r="E80" s="31">
        <v>5.75</v>
      </c>
      <c r="F80" s="31">
        <v>16.835999999999999</v>
      </c>
      <c r="G80" s="31">
        <v>1</v>
      </c>
      <c r="H80" s="32" t="s">
        <v>381</v>
      </c>
      <c r="I80" s="31">
        <f>_xlfn.LET(_xlpm.n, D80, _xlpm.H, E80, _xlpm.S_sum, F80, _xlpm.n * (_xlpm.H/3) * _xlpm.S_sum)</f>
        <v>64.537999999999997</v>
      </c>
      <c r="J80" s="30" t="s">
        <v>382</v>
      </c>
      <c r="K80" s="30" t="s">
        <v>383</v>
      </c>
    </row>
    <row r="81" spans="1:11" x14ac:dyDescent="0.3">
      <c r="A81" s="26" t="s">
        <v>165</v>
      </c>
      <c r="B81" s="27" t="s">
        <v>384</v>
      </c>
      <c r="C81" s="26" t="s">
        <v>23</v>
      </c>
      <c r="D81" s="28"/>
      <c r="E81" s="28"/>
      <c r="F81" s="28"/>
      <c r="G81" s="28"/>
      <c r="H81" s="28" t="s">
        <v>385</v>
      </c>
      <c r="I81" s="28">
        <f>I82+I83</f>
        <v>248.15660400000002</v>
      </c>
      <c r="J81" s="28" t="s">
        <v>386</v>
      </c>
      <c r="K81" s="28" t="s">
        <v>387</v>
      </c>
    </row>
    <row r="82" spans="1:11" x14ac:dyDescent="0.3">
      <c r="A82" s="29" t="s">
        <v>21</v>
      </c>
      <c r="B82" s="30" t="s">
        <v>388</v>
      </c>
      <c r="C82" s="29" t="s">
        <v>23</v>
      </c>
      <c r="D82" s="31">
        <v>2</v>
      </c>
      <c r="E82" s="31">
        <v>19.600000000000001</v>
      </c>
      <c r="F82" s="31">
        <v>2.6</v>
      </c>
      <c r="G82" s="31">
        <v>2.0499999999999998</v>
      </c>
      <c r="H82" s="32" t="s">
        <v>389</v>
      </c>
      <c r="I82" s="31">
        <f>_xlfn.LET(_xlpm.qty, D82, _xlpm.L, E82, _xlpm.W, F82, _xlpm.H, G82, _xlpm.k, 0.9515, _xlpm.qty * _xlpm.L * _xlpm.W * _xlpm.H * _xlpm.k)</f>
        <v>198.802604</v>
      </c>
      <c r="J82" s="30" t="s">
        <v>390</v>
      </c>
      <c r="K82" s="30" t="s">
        <v>391</v>
      </c>
    </row>
    <row r="83" spans="1:11" x14ac:dyDescent="0.3">
      <c r="A83" s="29" t="s">
        <v>24</v>
      </c>
      <c r="B83" s="30" t="s">
        <v>392</v>
      </c>
      <c r="C83" s="29" t="s">
        <v>23</v>
      </c>
      <c r="D83" s="31">
        <v>2</v>
      </c>
      <c r="E83" s="31">
        <v>24.677</v>
      </c>
      <c r="F83" s="31">
        <v>1</v>
      </c>
      <c r="G83" s="31">
        <v>1</v>
      </c>
      <c r="H83" s="32" t="s">
        <v>393</v>
      </c>
      <c r="I83" s="31">
        <f>D83*E83</f>
        <v>49.353999999999999</v>
      </c>
      <c r="J83" s="30" t="s">
        <v>394</v>
      </c>
      <c r="K83" s="30" t="s">
        <v>395</v>
      </c>
    </row>
    <row r="84" spans="1:11" x14ac:dyDescent="0.3">
      <c r="A84" s="26" t="s">
        <v>170</v>
      </c>
      <c r="B84" s="27" t="s">
        <v>396</v>
      </c>
      <c r="C84" s="26" t="s">
        <v>28</v>
      </c>
      <c r="D84" s="28">
        <v>2</v>
      </c>
      <c r="E84" s="28">
        <v>161.458</v>
      </c>
      <c r="F84" s="28">
        <v>1</v>
      </c>
      <c r="G84" s="28">
        <v>1</v>
      </c>
      <c r="H84" s="28" t="s">
        <v>397</v>
      </c>
      <c r="I84" s="28">
        <f>D84*E84</f>
        <v>322.916</v>
      </c>
      <c r="J84" s="28" t="s">
        <v>398</v>
      </c>
      <c r="K84" s="28" t="s">
        <v>399</v>
      </c>
    </row>
    <row r="85" spans="1:11" x14ac:dyDescent="0.3">
      <c r="A85" s="26" t="s">
        <v>183</v>
      </c>
      <c r="B85" s="27" t="s">
        <v>400</v>
      </c>
      <c r="C85" s="26"/>
      <c r="D85" s="28"/>
      <c r="E85" s="28"/>
      <c r="F85" s="28"/>
      <c r="G85" s="28"/>
      <c r="H85" s="28"/>
      <c r="I85" s="28"/>
      <c r="J85" s="28" t="s">
        <v>401</v>
      </c>
      <c r="K85" s="28" t="s">
        <v>402</v>
      </c>
    </row>
    <row r="86" spans="1:11" x14ac:dyDescent="0.3">
      <c r="A86" s="37"/>
      <c r="B86" s="38" t="s">
        <v>403</v>
      </c>
      <c r="C86" s="37" t="s">
        <v>23</v>
      </c>
      <c r="D86" s="39"/>
      <c r="E86" s="39"/>
      <c r="F86" s="39"/>
      <c r="G86" s="39"/>
      <c r="H86" s="39" t="s">
        <v>404</v>
      </c>
      <c r="I86" s="39">
        <f>I6+I15+I22+I26+I30+I34+I40+I44+I47+I50+I68+I74+I81</f>
        <v>2010.6366139626011</v>
      </c>
      <c r="J86" s="39" t="s">
        <v>405</v>
      </c>
      <c r="K86" s="39" t="s">
        <v>406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/>
  </sheetViews>
  <sheetFormatPr defaultRowHeight="14" x14ac:dyDescent="0.3"/>
  <cols>
    <col min="1" max="1" width="6" customWidth="1"/>
    <col min="2" max="2" width="46" customWidth="1"/>
    <col min="3" max="3" width="10" customWidth="1"/>
    <col min="4" max="7" width="16" customWidth="1"/>
    <col min="8" max="8" width="22" customWidth="1"/>
    <col min="9" max="9" width="20" customWidth="1"/>
    <col min="10" max="10" width="28" customWidth="1"/>
  </cols>
  <sheetData>
    <row r="1" spans="1:10" ht="14.5" customHeight="1" x14ac:dyDescent="0.35">
      <c r="A1" s="1" t="s">
        <v>407</v>
      </c>
    </row>
    <row r="2" spans="1:10" ht="19.5" customHeight="1" x14ac:dyDescent="0.45">
      <c r="A2" s="2" t="s">
        <v>408</v>
      </c>
    </row>
    <row r="3" spans="1:10" ht="14.5" customHeight="1" x14ac:dyDescent="0.35">
      <c r="A3" s="1" t="s">
        <v>409</v>
      </c>
    </row>
    <row r="5" spans="1:10" x14ac:dyDescent="0.3">
      <c r="A5" s="3" t="s">
        <v>12</v>
      </c>
      <c r="B5" s="3" t="s">
        <v>410</v>
      </c>
      <c r="C5" s="3" t="s">
        <v>411</v>
      </c>
      <c r="D5" s="3" t="s">
        <v>15</v>
      </c>
      <c r="E5" s="3" t="s">
        <v>16</v>
      </c>
      <c r="F5" s="3" t="s">
        <v>412</v>
      </c>
      <c r="G5" s="3" t="s">
        <v>413</v>
      </c>
      <c r="H5" s="3" t="s">
        <v>414</v>
      </c>
      <c r="I5" s="3" t="s">
        <v>20</v>
      </c>
      <c r="J5" s="3" t="s">
        <v>415</v>
      </c>
    </row>
    <row r="6" spans="1:10" x14ac:dyDescent="0.3">
      <c r="A6" s="4">
        <v>1</v>
      </c>
      <c r="B6" s="5" t="s">
        <v>416</v>
      </c>
      <c r="C6" s="4" t="s">
        <v>23</v>
      </c>
      <c r="D6" s="6">
        <f>_xlfn.XLOOKUP("*TỔNG BÊ TÔNG MỐ C30*", '01_MO_M1_M2'!$B:$B, '01_MO_M1_M2'!$D:$D, 0, 2)</f>
        <v>75.12</v>
      </c>
      <c r="E6" s="6">
        <f>_xlfn.XLOOKUP("*TỔNG BÊ TÔNG MỐ C30*", '01_MO_M1_M2'!$B:$B, '01_MO_M1_M2'!$E:$E, 0, 2)</f>
        <v>301.24999999999994</v>
      </c>
      <c r="F6" s="6">
        <f>_xlfn.XLOOKUP("*TỔNG BÊ TÔNG C30 TRỤ*", '02_TRU_T1_T2'!$B:$B, '02_TRU_T1_T2'!$D:$D, 0, 2)</f>
        <v>543.09</v>
      </c>
      <c r="G6" s="6">
        <f>_xlfn.XLOOKUP("*TỔNG BÊ TÔNG C30 TRỤ*", '02_TRU_T1_T2'!$B:$B, '02_TRU_T1_T2'!$E:$E, 0, 2)</f>
        <v>575.6</v>
      </c>
      <c r="H6" s="6">
        <f>_xlfn.XLOOKUP("*TỔNG CỘNG 26 CỌC*", '03_COC_D1200'!$B:$B, '03_COC_D1200'!$H:$H, 0, 2)</f>
        <v>1006.54</v>
      </c>
      <c r="I6" s="6">
        <f t="shared" ref="I6:I13" si="0">SUM(D6:H6)</f>
        <v>2501.6</v>
      </c>
      <c r="J6" s="6" t="s">
        <v>417</v>
      </c>
    </row>
    <row r="7" spans="1:10" x14ac:dyDescent="0.3">
      <c r="A7" s="7">
        <v>2</v>
      </c>
      <c r="B7" s="8" t="s">
        <v>418</v>
      </c>
      <c r="C7" s="7" t="s">
        <v>23</v>
      </c>
      <c r="D7" s="9">
        <f>_xlfn.XLOOKUP("*Bê tông đệm C10*", '01_MO_M1_M2'!$B:$B, '01_MO_M1_M2'!$D:$D, 0, 2)</f>
        <v>2.46</v>
      </c>
      <c r="E7" s="9">
        <f>_xlfn.XLOOKUP("*Bê tông đệm C10*", '01_MO_M1_M2'!$B:$B, '01_MO_M1_M2'!$E:$E, 0, 2)</f>
        <v>7.09</v>
      </c>
      <c r="F7" s="9">
        <f>_xlfn.XLOOKUP("*Bê tông đệm C10*", '02_TRU_T1_T2'!$B:$B, '02_TRU_T1_T2'!$D:$D, 0, 2)</f>
        <v>8.77</v>
      </c>
      <c r="G7" s="9">
        <f>_xlfn.XLOOKUP("*Bê tông đệm C10*", '02_TRU_T1_T2'!$B:$B, '02_TRU_T1_T2'!$E:$E, 0, 2)</f>
        <v>8.77</v>
      </c>
      <c r="H7" s="9">
        <v>0</v>
      </c>
      <c r="I7" s="9">
        <f t="shared" si="0"/>
        <v>27.09</v>
      </c>
      <c r="J7" s="9" t="s">
        <v>419</v>
      </c>
    </row>
    <row r="8" spans="1:10" x14ac:dyDescent="0.3">
      <c r="A8" s="7">
        <v>3</v>
      </c>
      <c r="B8" s="8" t="s">
        <v>420</v>
      </c>
      <c r="C8" s="7" t="s">
        <v>28</v>
      </c>
      <c r="D8" s="9">
        <f>_xlfn.XLOOKUP("*Ván khuôn kết cấu*", '01_MO_M1_M2'!$B:$B, '01_MO_M1_M2'!$D:$D, 0, 2)</f>
        <v>159.88</v>
      </c>
      <c r="E8" s="9">
        <f>_xlfn.XLOOKUP("*Ván khuôn kết cấu*", '01_MO_M1_M2'!$B:$B, '01_MO_M1_M2'!$E:$E, 0, 2)</f>
        <v>360.61</v>
      </c>
      <c r="F8" s="9">
        <f>_xlfn.XLOOKUP("*Ván khuôn bệ*", '02_TRU_T1_T2'!$B:$B, '02_TRU_T1_T2'!$D:$D, 0, 2) + _xlfn.XLOOKUP("*Ván khuôn thân*", '02_TRU_T1_T2'!$B:$B, '02_TRU_T1_T2'!$D:$D, 0, 2) + _xlfn.XLOOKUP("*Ván khuôn xà mũ*", '02_TRU_T1_T2'!$B:$B, '02_TRU_T1_T2'!$D:$D, 0, 2)</f>
        <v>549.47</v>
      </c>
      <c r="G8" s="9">
        <f>_xlfn.XLOOKUP("*Ván khuôn bệ*", '02_TRU_T1_T2'!$B:$B, '02_TRU_T1_T2'!$E:$E, 0, 2) + _xlfn.XLOOKUP("*Ván khuôn thân*", '02_TRU_T1_T2'!$B:$B, '02_TRU_T1_T2'!$E:$E, 0, 2) + _xlfn.XLOOKUP("*Ván khuôn xà mũ*", '02_TRU_T1_T2'!$B:$B, '02_TRU_T1_T2'!$E:$E, 0, 2)</f>
        <v>581.98</v>
      </c>
      <c r="H8" s="9">
        <v>0</v>
      </c>
      <c r="I8" s="9">
        <f t="shared" si="0"/>
        <v>1651.94</v>
      </c>
      <c r="J8" s="9" t="s">
        <v>421</v>
      </c>
    </row>
    <row r="9" spans="1:10" x14ac:dyDescent="0.3">
      <c r="A9" s="7">
        <v>4</v>
      </c>
      <c r="B9" s="8" t="s">
        <v>422</v>
      </c>
      <c r="C9" s="7" t="s">
        <v>28</v>
      </c>
      <c r="D9" s="9">
        <f>_xlfn.XLOOKUP("*Ván khuôn để lại*", '01_MO_M1_M2'!$B:$B, '01_MO_M1_M2'!$D:$D, 0, 2)</f>
        <v>30.12</v>
      </c>
      <c r="E9" s="9">
        <f>_xlfn.XLOOKUP("*Ván khuôn để lại*", '01_MO_M1_M2'!$B:$B, '01_MO_M1_M2'!$E:$E, 0, 2)</f>
        <v>46.84</v>
      </c>
      <c r="F9" s="9">
        <v>0</v>
      </c>
      <c r="G9" s="9">
        <v>0</v>
      </c>
      <c r="H9" s="9">
        <v>0</v>
      </c>
      <c r="I9" s="9">
        <f t="shared" si="0"/>
        <v>76.960000000000008</v>
      </c>
      <c r="J9" s="9" t="s">
        <v>423</v>
      </c>
    </row>
    <row r="10" spans="1:10" x14ac:dyDescent="0.3">
      <c r="A10" s="7">
        <v>5</v>
      </c>
      <c r="B10" s="8" t="s">
        <v>424</v>
      </c>
      <c r="C10" s="7" t="s">
        <v>33</v>
      </c>
      <c r="D10" s="9">
        <f>_xlfn.XLOOKUP("*D &lt;= 10mm*", '01_MO_M1_M2'!$B:$B, '01_MO_M1_M2'!$D:$D, 0, 2)</f>
        <v>44.33</v>
      </c>
      <c r="E10" s="9">
        <f>_xlfn.XLOOKUP("*D &lt;= 10mm*", '01_MO_M1_M2'!$B:$B, '01_MO_M1_M2'!$E:$E, 0, 2)</f>
        <v>44.33</v>
      </c>
      <c r="F10" s="9">
        <f>_xlfn.XLOOKUP("*D &lt;= 10mm*", '02_TRU_T1_T2'!$B:$B, '02_TRU_T1_T2'!$D:$D, 0, 2)</f>
        <v>63.06</v>
      </c>
      <c r="G10" s="9">
        <f>_xlfn.XLOOKUP("*D &lt;= 10mm*", '02_TRU_T1_T2'!$B:$B, '02_TRU_T1_T2'!$E:$E, 0, 2)</f>
        <v>63.06</v>
      </c>
      <c r="H10" s="9">
        <v>0</v>
      </c>
      <c r="I10" s="9">
        <f t="shared" si="0"/>
        <v>214.78</v>
      </c>
      <c r="J10" s="9" t="s">
        <v>425</v>
      </c>
    </row>
    <row r="11" spans="1:10" x14ac:dyDescent="0.3">
      <c r="A11" s="7">
        <v>6</v>
      </c>
      <c r="B11" s="8" t="s">
        <v>426</v>
      </c>
      <c r="C11" s="7" t="s">
        <v>33</v>
      </c>
      <c r="D11" s="9">
        <f>_xlfn.XLOOKUP("*10 &lt; D &lt;= 18mm*", '01_MO_M1_M2'!$B:$B, '01_MO_M1_M2'!$D:$D, 0, 2)</f>
        <v>5828.41</v>
      </c>
      <c r="E11" s="9">
        <f>_xlfn.XLOOKUP("*10 &lt; D &lt;= 18mm*", '01_MO_M1_M2'!$B:$B, '01_MO_M1_M2'!$E:$E, 0, 2)</f>
        <v>11918.02</v>
      </c>
      <c r="F11" s="9">
        <f>_xlfn.XLOOKUP("*10 &lt; D &lt;= 18mm*", '02_TRU_T1_T2'!$B:$B, '02_TRU_T1_T2'!$D:$D, 0, 2)</f>
        <v>19641.05</v>
      </c>
      <c r="G11" s="9">
        <f>_xlfn.XLOOKUP("*10 &lt; D &lt;= 18mm*", '02_TRU_T1_T2'!$B:$B, '02_TRU_T1_T2'!$E:$E, 0, 2)</f>
        <v>20654.02</v>
      </c>
      <c r="H11" s="9">
        <v>0</v>
      </c>
      <c r="I11" s="9">
        <f t="shared" si="0"/>
        <v>58041.5</v>
      </c>
      <c r="J11" s="9" t="s">
        <v>427</v>
      </c>
    </row>
    <row r="12" spans="1:10" x14ac:dyDescent="0.3">
      <c r="A12" s="7">
        <v>7</v>
      </c>
      <c r="B12" s="8" t="s">
        <v>428</v>
      </c>
      <c r="C12" s="7" t="s">
        <v>33</v>
      </c>
      <c r="D12" s="9">
        <f>_xlfn.XLOOKUP("*D &gt; 18mm*", '01_MO_M1_M2'!$B:$B, '01_MO_M1_M2'!$D:$D, 0, 2)</f>
        <v>2085.8200000000002</v>
      </c>
      <c r="E12" s="9">
        <f>_xlfn.XLOOKUP("*D &gt; 18mm*", '01_MO_M1_M2'!$B:$B, '01_MO_M1_M2'!$E:$E, 0, 2)</f>
        <v>7686.38</v>
      </c>
      <c r="F12" s="9">
        <f>_xlfn.XLOOKUP("*D &gt; 18mm*", '02_TRU_T1_T2'!$B:$B, '02_TRU_T1_T2'!$D:$D, 0, 2)</f>
        <v>73204.47</v>
      </c>
      <c r="G12" s="9">
        <f>_xlfn.XLOOKUP("*D &gt; 18mm*", '02_TRU_T1_T2'!$B:$B, '02_TRU_T1_T2'!$E:$E, 0, 2)</f>
        <v>74821.09</v>
      </c>
      <c r="H12" s="9">
        <f>_xlfn.XLOOKUP("*TỔNG CỘNG 26 CỌC*", '03_COC_D1200'!$B:$B, '03_COC_D1200'!$I:$I, 0, 2)</f>
        <v>47109.48</v>
      </c>
      <c r="I12" s="9">
        <f t="shared" si="0"/>
        <v>204907.24000000002</v>
      </c>
      <c r="J12" s="9" t="s">
        <v>429</v>
      </c>
    </row>
    <row r="13" spans="1:10" x14ac:dyDescent="0.3">
      <c r="A13" s="10">
        <v>8</v>
      </c>
      <c r="B13" s="11" t="s">
        <v>430</v>
      </c>
      <c r="C13" s="10" t="s">
        <v>33</v>
      </c>
      <c r="D13" s="12">
        <f>SUM(D10:D12)</f>
        <v>7958.5599999999995</v>
      </c>
      <c r="E13" s="12">
        <f>SUM(E10:E12)</f>
        <v>19648.73</v>
      </c>
      <c r="F13" s="12">
        <f>SUM(F10:F12)</f>
        <v>92908.58</v>
      </c>
      <c r="G13" s="12">
        <f>SUM(G10:G12)</f>
        <v>95538.17</v>
      </c>
      <c r="H13" s="12">
        <f>H12</f>
        <v>47109.48</v>
      </c>
      <c r="I13" s="12">
        <f t="shared" si="0"/>
        <v>263163.51999999996</v>
      </c>
      <c r="J13" s="12" t="s">
        <v>431</v>
      </c>
    </row>
    <row r="14" spans="1:10" x14ac:dyDescent="0.3">
      <c r="A14" s="10">
        <v>9</v>
      </c>
      <c r="B14" s="11" t="s">
        <v>41</v>
      </c>
      <c r="C14" s="10" t="s">
        <v>42</v>
      </c>
      <c r="D14" s="13">
        <f t="shared" ref="D14:I14" si="1">D13/1000</f>
        <v>7.9585599999999994</v>
      </c>
      <c r="E14" s="13">
        <f t="shared" si="1"/>
        <v>19.64873</v>
      </c>
      <c r="F14" s="13">
        <f t="shared" si="1"/>
        <v>92.908580000000001</v>
      </c>
      <c r="G14" s="13">
        <f t="shared" si="1"/>
        <v>95.538169999999994</v>
      </c>
      <c r="H14" s="13">
        <f t="shared" si="1"/>
        <v>47.109480000000005</v>
      </c>
      <c r="I14" s="13">
        <f t="shared" si="1"/>
        <v>263.16351999999995</v>
      </c>
      <c r="J14" s="13" t="s">
        <v>432</v>
      </c>
    </row>
    <row r="15" spans="1:10" x14ac:dyDescent="0.3">
      <c r="A15" s="7">
        <v>10</v>
      </c>
      <c r="B15" s="8" t="s">
        <v>433</v>
      </c>
      <c r="C15" s="7" t="s">
        <v>28</v>
      </c>
      <c r="D15" s="9">
        <f>_xlfn.XLOOKUP("*Quét bitum*", '01_MO_M1_M2'!$B:$B, '01_MO_M1_M2'!$D:$D, 0, 2)</f>
        <v>63.1</v>
      </c>
      <c r="E15" s="9">
        <f>_xlfn.XLOOKUP("*Quét bitum*", '01_MO_M1_M2'!$B:$B, '01_MO_M1_M2'!$E:$E, 0, 2)</f>
        <v>255.18</v>
      </c>
      <c r="F15" s="9">
        <f>_xlfn.XLOOKUP("*Quét bitum*", '02_TRU_T1_T2'!$B:$B, '02_TRU_T1_T2'!$D:$D, 0, 2)</f>
        <v>156.02000000000001</v>
      </c>
      <c r="G15" s="9">
        <f>_xlfn.XLOOKUP("*Quét bitum*", '02_TRU_T1_T2'!$B:$B, '02_TRU_T1_T2'!$E:$E, 0, 2)</f>
        <v>156.02000000000001</v>
      </c>
      <c r="H15" s="9">
        <v>0</v>
      </c>
      <c r="I15" s="9">
        <f>SUM(D15:H15)</f>
        <v>630.32000000000005</v>
      </c>
      <c r="J15" s="9" t="s">
        <v>434</v>
      </c>
    </row>
    <row r="16" spans="1:10" x14ac:dyDescent="0.3">
      <c r="A16" s="7">
        <v>11</v>
      </c>
      <c r="B16" s="8" t="s">
        <v>435</v>
      </c>
      <c r="C16" s="7" t="s">
        <v>109</v>
      </c>
      <c r="D16" s="14">
        <v>0</v>
      </c>
      <c r="E16" s="14">
        <v>0</v>
      </c>
      <c r="F16" s="14">
        <v>0</v>
      </c>
      <c r="G16" s="14">
        <v>0</v>
      </c>
      <c r="H16" s="14">
        <f>'03_COC_D1200'!J10</f>
        <v>0</v>
      </c>
      <c r="I16" s="14">
        <f>H16</f>
        <v>0</v>
      </c>
      <c r="J16" s="14" t="s">
        <v>436</v>
      </c>
    </row>
    <row r="17" spans="1:10" x14ac:dyDescent="0.3">
      <c r="A17" s="7">
        <v>12</v>
      </c>
      <c r="B17" s="8" t="s">
        <v>437</v>
      </c>
      <c r="C17" s="7" t="s">
        <v>109</v>
      </c>
      <c r="D17" s="14">
        <v>0</v>
      </c>
      <c r="E17" s="14">
        <v>0</v>
      </c>
      <c r="F17" s="14">
        <v>0</v>
      </c>
      <c r="G17" s="14">
        <v>0</v>
      </c>
      <c r="H17" s="14">
        <f>'03_COC_D1200'!K10</f>
        <v>0</v>
      </c>
      <c r="I17" s="14">
        <f>H17</f>
        <v>0</v>
      </c>
      <c r="J17" s="14" t="s">
        <v>438</v>
      </c>
    </row>
    <row r="18" spans="1:10" x14ac:dyDescent="0.3">
      <c r="A18" s="7">
        <v>13</v>
      </c>
      <c r="B18" s="8" t="s">
        <v>439</v>
      </c>
      <c r="C18" s="7" t="s">
        <v>33</v>
      </c>
      <c r="D18" s="9">
        <f>'01_MO_M1_M2'!D18</f>
        <v>53.27</v>
      </c>
      <c r="E18" s="9">
        <f>'01_MO_M1_M2'!E18</f>
        <v>79.900000000000006</v>
      </c>
      <c r="F18" s="9">
        <f>'02_TRU_T1_T2'!D16</f>
        <v>49.24</v>
      </c>
      <c r="G18" s="9">
        <f>'02_TRU_T1_T2'!E16</f>
        <v>49.24</v>
      </c>
      <c r="H18" s="9">
        <v>0</v>
      </c>
      <c r="I18" s="9">
        <f>SUM(D18:H18)</f>
        <v>231.65000000000003</v>
      </c>
      <c r="J18" s="9" t="s">
        <v>440</v>
      </c>
    </row>
    <row r="19" spans="1:10" x14ac:dyDescent="0.3">
      <c r="A19" s="7">
        <v>14</v>
      </c>
      <c r="B19" s="8" t="s">
        <v>441</v>
      </c>
      <c r="C19" s="7" t="s">
        <v>33</v>
      </c>
      <c r="D19" s="9">
        <f>'01_MO_M1_M2'!D19</f>
        <v>9.2100000000000009</v>
      </c>
      <c r="E19" s="9">
        <f>'01_MO_M1_M2'!E19</f>
        <v>9.2100000000000009</v>
      </c>
      <c r="F19" s="9">
        <f>'02_TRU_T1_T2'!D17</f>
        <v>29.09</v>
      </c>
      <c r="G19" s="9">
        <f>'02_TRU_T1_T2'!E17</f>
        <v>15.66</v>
      </c>
      <c r="H19" s="9">
        <v>0</v>
      </c>
      <c r="I19" s="9">
        <f>SUM(D19:H19)</f>
        <v>63.17</v>
      </c>
      <c r="J19" s="9" t="s">
        <v>442</v>
      </c>
    </row>
    <row r="20" spans="1:10" x14ac:dyDescent="0.3">
      <c r="A20" s="7">
        <v>15</v>
      </c>
      <c r="B20" s="8" t="s">
        <v>443</v>
      </c>
      <c r="C20" s="7" t="s">
        <v>444</v>
      </c>
      <c r="D20" s="14">
        <v>70</v>
      </c>
      <c r="E20" s="14">
        <v>70</v>
      </c>
      <c r="F20" s="14">
        <v>0</v>
      </c>
      <c r="G20" s="14">
        <v>0</v>
      </c>
      <c r="H20" s="14">
        <v>0</v>
      </c>
      <c r="I20" s="14">
        <f>SUM(D20:H20)</f>
        <v>140</v>
      </c>
      <c r="J20" s="14" t="s">
        <v>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/>
  </sheetViews>
  <sheetFormatPr defaultRowHeight="14" x14ac:dyDescent="0.3"/>
  <cols>
    <col min="1" max="1" width="6" customWidth="1"/>
    <col min="2" max="2" width="42" customWidth="1"/>
    <col min="3" max="3" width="10" customWidth="1"/>
    <col min="4" max="5" width="16" customWidth="1"/>
    <col min="6" max="6" width="18" customWidth="1"/>
    <col min="7" max="7" width="38" customWidth="1"/>
  </cols>
  <sheetData>
    <row r="1" spans="1:7" ht="19.5" customHeight="1" x14ac:dyDescent="0.45">
      <c r="A1" s="2" t="s">
        <v>446</v>
      </c>
    </row>
    <row r="2" spans="1:7" ht="14.5" customHeight="1" x14ac:dyDescent="0.35">
      <c r="A2" s="1" t="s">
        <v>447</v>
      </c>
    </row>
    <row r="4" spans="1:7" x14ac:dyDescent="0.3">
      <c r="A4" s="3" t="s">
        <v>12</v>
      </c>
      <c r="B4" s="3" t="s">
        <v>448</v>
      </c>
      <c r="C4" s="3" t="s">
        <v>411</v>
      </c>
      <c r="D4" s="3" t="s">
        <v>15</v>
      </c>
      <c r="E4" s="3" t="s">
        <v>16</v>
      </c>
      <c r="F4" s="3" t="s">
        <v>449</v>
      </c>
      <c r="G4" s="3" t="s">
        <v>450</v>
      </c>
    </row>
    <row r="5" spans="1:7" ht="14.5" customHeight="1" x14ac:dyDescent="0.3">
      <c r="A5" s="15" t="s">
        <v>86</v>
      </c>
      <c r="B5" s="16" t="s">
        <v>451</v>
      </c>
      <c r="C5" s="15"/>
      <c r="D5" s="15"/>
      <c r="E5" s="15"/>
      <c r="F5" s="15"/>
      <c r="G5" s="15" t="s">
        <v>452</v>
      </c>
    </row>
    <row r="6" spans="1:7" x14ac:dyDescent="0.3">
      <c r="A6" s="7">
        <v>1</v>
      </c>
      <c r="B6" s="8" t="s">
        <v>453</v>
      </c>
      <c r="C6" s="7" t="s">
        <v>23</v>
      </c>
      <c r="D6" s="9">
        <v>0</v>
      </c>
      <c r="E6" s="9">
        <v>148.99</v>
      </c>
      <c r="F6" s="17">
        <f t="shared" ref="F6:F12" si="0">D6+E6</f>
        <v>148.99</v>
      </c>
      <c r="G6" s="17" t="s">
        <v>454</v>
      </c>
    </row>
    <row r="7" spans="1:7" x14ac:dyDescent="0.3">
      <c r="A7" s="7">
        <v>2</v>
      </c>
      <c r="B7" s="8" t="s">
        <v>455</v>
      </c>
      <c r="C7" s="7" t="s">
        <v>23</v>
      </c>
      <c r="D7" s="9">
        <v>52.96</v>
      </c>
      <c r="E7" s="9">
        <v>115.91</v>
      </c>
      <c r="F7" s="17">
        <f t="shared" si="0"/>
        <v>168.87</v>
      </c>
      <c r="G7" s="17" t="s">
        <v>456</v>
      </c>
    </row>
    <row r="8" spans="1:7" x14ac:dyDescent="0.3">
      <c r="A8" s="7">
        <v>3</v>
      </c>
      <c r="B8" s="8" t="s">
        <v>457</v>
      </c>
      <c r="C8" s="7" t="s">
        <v>23</v>
      </c>
      <c r="D8" s="9">
        <v>14.23</v>
      </c>
      <c r="E8" s="9">
        <v>14.43</v>
      </c>
      <c r="F8" s="17">
        <f t="shared" si="0"/>
        <v>28.66</v>
      </c>
      <c r="G8" s="17" t="s">
        <v>458</v>
      </c>
    </row>
    <row r="9" spans="1:7" x14ac:dyDescent="0.3">
      <c r="A9" s="7">
        <v>4</v>
      </c>
      <c r="B9" s="8" t="s">
        <v>459</v>
      </c>
      <c r="C9" s="7" t="s">
        <v>23</v>
      </c>
      <c r="D9" s="9">
        <v>3.45</v>
      </c>
      <c r="E9" s="9">
        <v>16.809999999999999</v>
      </c>
      <c r="F9" s="17">
        <f t="shared" si="0"/>
        <v>20.259999999999998</v>
      </c>
      <c r="G9" s="17" t="s">
        <v>460</v>
      </c>
    </row>
    <row r="10" spans="1:7" x14ac:dyDescent="0.3">
      <c r="A10" s="7">
        <v>5</v>
      </c>
      <c r="B10" s="8" t="s">
        <v>461</v>
      </c>
      <c r="C10" s="7" t="s">
        <v>23</v>
      </c>
      <c r="D10" s="9">
        <v>2.66</v>
      </c>
      <c r="E10" s="9">
        <v>3.38</v>
      </c>
      <c r="F10" s="17">
        <f t="shared" si="0"/>
        <v>6.04</v>
      </c>
      <c r="G10" s="17" t="s">
        <v>462</v>
      </c>
    </row>
    <row r="11" spans="1:7" x14ac:dyDescent="0.3">
      <c r="A11" s="7">
        <v>6</v>
      </c>
      <c r="B11" s="8" t="s">
        <v>463</v>
      </c>
      <c r="C11" s="7" t="s">
        <v>23</v>
      </c>
      <c r="D11" s="9">
        <v>0.28999999999999998</v>
      </c>
      <c r="E11" s="9">
        <v>0.2</v>
      </c>
      <c r="F11" s="17">
        <f t="shared" si="0"/>
        <v>0.49</v>
      </c>
      <c r="G11" s="17" t="s">
        <v>464</v>
      </c>
    </row>
    <row r="12" spans="1:7" x14ac:dyDescent="0.3">
      <c r="A12" s="7">
        <v>7</v>
      </c>
      <c r="B12" s="8" t="s">
        <v>465</v>
      </c>
      <c r="C12" s="7" t="s">
        <v>23</v>
      </c>
      <c r="D12" s="9">
        <v>1.53</v>
      </c>
      <c r="E12" s="9">
        <v>1.53</v>
      </c>
      <c r="F12" s="17">
        <f t="shared" si="0"/>
        <v>3.06</v>
      </c>
      <c r="G12" s="17" t="s">
        <v>466</v>
      </c>
    </row>
    <row r="13" spans="1:7" x14ac:dyDescent="0.3">
      <c r="A13" s="10" t="s">
        <v>38</v>
      </c>
      <c r="B13" s="11" t="s">
        <v>467</v>
      </c>
      <c r="C13" s="10" t="s">
        <v>23</v>
      </c>
      <c r="D13" s="12">
        <f>SUM(D6:D12)</f>
        <v>75.12</v>
      </c>
      <c r="E13" s="12">
        <f>SUM(E6:E12)</f>
        <v>301.24999999999994</v>
      </c>
      <c r="F13" s="12">
        <f>SUM(F6:F12)</f>
        <v>376.37000000000006</v>
      </c>
      <c r="G13" s="18" t="s">
        <v>468</v>
      </c>
    </row>
    <row r="14" spans="1:7" x14ac:dyDescent="0.3">
      <c r="A14" s="7">
        <v>8</v>
      </c>
      <c r="B14" s="8" t="s">
        <v>25</v>
      </c>
      <c r="C14" s="7" t="s">
        <v>23</v>
      </c>
      <c r="D14" s="9">
        <v>2.46</v>
      </c>
      <c r="E14" s="9">
        <v>7.09</v>
      </c>
      <c r="F14" s="17">
        <f t="shared" ref="F14:F19" si="1">D15+E15</f>
        <v>520.49</v>
      </c>
      <c r="G14" s="17" t="s">
        <v>469</v>
      </c>
    </row>
    <row r="15" spans="1:7" x14ac:dyDescent="0.3">
      <c r="A15" s="7">
        <v>9</v>
      </c>
      <c r="B15" s="8" t="s">
        <v>470</v>
      </c>
      <c r="C15" s="7" t="s">
        <v>28</v>
      </c>
      <c r="D15" s="9">
        <v>159.88</v>
      </c>
      <c r="E15" s="9">
        <v>360.61</v>
      </c>
      <c r="F15" s="17">
        <f t="shared" si="1"/>
        <v>76.960000000000008</v>
      </c>
      <c r="G15" s="17" t="s">
        <v>471</v>
      </c>
    </row>
    <row r="16" spans="1:7" x14ac:dyDescent="0.3">
      <c r="A16" s="7">
        <v>10</v>
      </c>
      <c r="B16" s="8" t="s">
        <v>472</v>
      </c>
      <c r="C16" s="7" t="s">
        <v>28</v>
      </c>
      <c r="D16" s="9">
        <v>30.12</v>
      </c>
      <c r="E16" s="9">
        <v>46.84</v>
      </c>
      <c r="F16" s="17">
        <f t="shared" si="1"/>
        <v>318.28000000000003</v>
      </c>
      <c r="G16" s="17" t="s">
        <v>473</v>
      </c>
    </row>
    <row r="17" spans="1:7" x14ac:dyDescent="0.3">
      <c r="A17" s="7">
        <v>11</v>
      </c>
      <c r="B17" s="8" t="s">
        <v>474</v>
      </c>
      <c r="C17" s="7" t="s">
        <v>28</v>
      </c>
      <c r="D17" s="9">
        <v>63.1</v>
      </c>
      <c r="E17" s="9">
        <v>255.18</v>
      </c>
      <c r="F17" s="17">
        <f t="shared" si="1"/>
        <v>133.17000000000002</v>
      </c>
      <c r="G17" s="17" t="s">
        <v>475</v>
      </c>
    </row>
    <row r="18" spans="1:7" x14ac:dyDescent="0.3">
      <c r="A18" s="7">
        <v>12</v>
      </c>
      <c r="B18" s="8" t="s">
        <v>476</v>
      </c>
      <c r="C18" s="7" t="s">
        <v>33</v>
      </c>
      <c r="D18" s="9">
        <v>53.27</v>
      </c>
      <c r="E18" s="9">
        <v>79.900000000000006</v>
      </c>
      <c r="F18" s="17">
        <f t="shared" si="1"/>
        <v>18.420000000000002</v>
      </c>
      <c r="G18" s="17" t="s">
        <v>477</v>
      </c>
    </row>
    <row r="19" spans="1:7" x14ac:dyDescent="0.3">
      <c r="A19" s="7">
        <v>13</v>
      </c>
      <c r="B19" s="8" t="s">
        <v>478</v>
      </c>
      <c r="C19" s="7" t="s">
        <v>33</v>
      </c>
      <c r="D19" s="9">
        <v>9.2100000000000009</v>
      </c>
      <c r="E19" s="9">
        <v>9.2100000000000009</v>
      </c>
      <c r="F19" s="17">
        <f t="shared" si="1"/>
        <v>0</v>
      </c>
      <c r="G19" s="17" t="s">
        <v>479</v>
      </c>
    </row>
    <row r="20" spans="1:7" ht="14.5" customHeight="1" x14ac:dyDescent="0.3">
      <c r="A20" s="15" t="s">
        <v>107</v>
      </c>
      <c r="B20" s="16" t="s">
        <v>480</v>
      </c>
      <c r="C20" s="15"/>
      <c r="D20" s="15"/>
      <c r="E20" s="15"/>
      <c r="F20" s="15"/>
      <c r="G20" s="15" t="s">
        <v>481</v>
      </c>
    </row>
    <row r="21" spans="1:7" x14ac:dyDescent="0.3">
      <c r="A21" s="7">
        <v>14</v>
      </c>
      <c r="B21" s="8" t="s">
        <v>482</v>
      </c>
      <c r="C21" s="7" t="s">
        <v>33</v>
      </c>
      <c r="D21" s="9">
        <v>44.33</v>
      </c>
      <c r="E21" s="9">
        <v>44.33</v>
      </c>
      <c r="F21" s="17">
        <f>D21+E21</f>
        <v>88.66</v>
      </c>
      <c r="G21" s="17" t="s">
        <v>425</v>
      </c>
    </row>
    <row r="22" spans="1:7" x14ac:dyDescent="0.3">
      <c r="A22" s="7">
        <v>15</v>
      </c>
      <c r="B22" s="8" t="s">
        <v>483</v>
      </c>
      <c r="C22" s="7" t="s">
        <v>33</v>
      </c>
      <c r="D22" s="9">
        <v>5828.41</v>
      </c>
      <c r="E22" s="9">
        <v>11918.02</v>
      </c>
      <c r="F22" s="17">
        <f>D22+E22</f>
        <v>17746.43</v>
      </c>
      <c r="G22" s="17" t="s">
        <v>427</v>
      </c>
    </row>
    <row r="23" spans="1:7" x14ac:dyDescent="0.3">
      <c r="A23" s="7">
        <v>16</v>
      </c>
      <c r="B23" s="8" t="s">
        <v>484</v>
      </c>
      <c r="C23" s="7" t="s">
        <v>33</v>
      </c>
      <c r="D23" s="9">
        <v>2085.8200000000002</v>
      </c>
      <c r="E23" s="9">
        <v>7686.38</v>
      </c>
      <c r="F23" s="17">
        <f>D23+E23</f>
        <v>9772.2000000000007</v>
      </c>
      <c r="G23" s="17" t="s">
        <v>427</v>
      </c>
    </row>
    <row r="24" spans="1:7" x14ac:dyDescent="0.3">
      <c r="A24" s="10" t="s">
        <v>40</v>
      </c>
      <c r="B24" s="11" t="s">
        <v>485</v>
      </c>
      <c r="C24" s="10" t="s">
        <v>33</v>
      </c>
      <c r="D24" s="12">
        <f>SUM(D21:D23)</f>
        <v>7958.5599999999995</v>
      </c>
      <c r="E24" s="12">
        <f>SUM(E21:E23)</f>
        <v>19648.73</v>
      </c>
      <c r="F24" s="12">
        <f>SUM(F21:F23)</f>
        <v>27607.29</v>
      </c>
      <c r="G24" s="18" t="s">
        <v>486</v>
      </c>
    </row>
    <row r="25" spans="1:7" x14ac:dyDescent="0.3">
      <c r="A25" s="10" t="s">
        <v>487</v>
      </c>
      <c r="B25" s="11" t="s">
        <v>488</v>
      </c>
      <c r="C25" s="10" t="s">
        <v>42</v>
      </c>
      <c r="D25" s="13">
        <f>D24/1000</f>
        <v>7.9585599999999994</v>
      </c>
      <c r="E25" s="13">
        <f>E24/1000</f>
        <v>19.64873</v>
      </c>
      <c r="F25" s="13">
        <f>F24/1000</f>
        <v>27.607290000000003</v>
      </c>
      <c r="G25" s="18" t="s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workbookViewId="0">
      <selection activeCell="D24" sqref="D24"/>
    </sheetView>
  </sheetViews>
  <sheetFormatPr defaultRowHeight="14" x14ac:dyDescent="0.3"/>
  <cols>
    <col min="1" max="1" width="6" customWidth="1"/>
    <col min="2" max="2" width="46" customWidth="1"/>
    <col min="3" max="3" width="10" customWidth="1"/>
    <col min="4" max="5" width="16" customWidth="1"/>
    <col min="6" max="6" width="18" customWidth="1"/>
    <col min="7" max="7" width="35" customWidth="1"/>
  </cols>
  <sheetData>
    <row r="1" spans="1:7" ht="19.5" customHeight="1" x14ac:dyDescent="0.45">
      <c r="A1" s="2" t="s">
        <v>490</v>
      </c>
    </row>
    <row r="2" spans="1:7" ht="14.5" customHeight="1" x14ac:dyDescent="0.35">
      <c r="A2" s="1" t="s">
        <v>491</v>
      </c>
    </row>
    <row r="4" spans="1:7" x14ac:dyDescent="0.3">
      <c r="A4" s="3" t="s">
        <v>12</v>
      </c>
      <c r="B4" s="3" t="s">
        <v>448</v>
      </c>
      <c r="C4" s="3" t="s">
        <v>411</v>
      </c>
      <c r="D4" s="3" t="s">
        <v>492</v>
      </c>
      <c r="E4" s="3" t="s">
        <v>493</v>
      </c>
      <c r="F4" s="3" t="s">
        <v>494</v>
      </c>
      <c r="G4" s="3" t="s">
        <v>495</v>
      </c>
    </row>
    <row r="5" spans="1:7" ht="14.5" customHeight="1" x14ac:dyDescent="0.3">
      <c r="A5" s="15" t="s">
        <v>86</v>
      </c>
      <c r="B5" s="16" t="s">
        <v>496</v>
      </c>
      <c r="C5" s="15"/>
      <c r="D5" s="15"/>
      <c r="E5" s="15"/>
      <c r="F5" s="15"/>
      <c r="G5" s="15" t="s">
        <v>497</v>
      </c>
    </row>
    <row r="6" spans="1:7" x14ac:dyDescent="0.3">
      <c r="A6" s="7">
        <v>1</v>
      </c>
      <c r="B6" s="8" t="s">
        <v>498</v>
      </c>
      <c r="C6" s="7" t="s">
        <v>23</v>
      </c>
      <c r="D6" s="9">
        <v>184.24</v>
      </c>
      <c r="E6" s="9">
        <v>184.24</v>
      </c>
      <c r="F6" s="17">
        <f>D6+E6</f>
        <v>368.48</v>
      </c>
      <c r="G6" s="17" t="s">
        <v>499</v>
      </c>
    </row>
    <row r="7" spans="1:7" x14ac:dyDescent="0.3">
      <c r="A7" s="7">
        <v>2</v>
      </c>
      <c r="B7" s="8" t="s">
        <v>500</v>
      </c>
      <c r="C7" s="7" t="s">
        <v>23</v>
      </c>
      <c r="D7" s="9">
        <v>8.77</v>
      </c>
      <c r="E7" s="9">
        <v>8.77</v>
      </c>
      <c r="F7" s="17">
        <f>D7+E7</f>
        <v>17.54</v>
      </c>
      <c r="G7" s="17" t="s">
        <v>501</v>
      </c>
    </row>
    <row r="8" spans="1:7" x14ac:dyDescent="0.3">
      <c r="A8" s="7">
        <v>3</v>
      </c>
      <c r="B8" s="8" t="s">
        <v>502</v>
      </c>
      <c r="C8" s="7" t="s">
        <v>28</v>
      </c>
      <c r="D8" s="9">
        <v>78.400000000000006</v>
      </c>
      <c r="E8" s="9">
        <v>78.400000000000006</v>
      </c>
      <c r="F8" s="17">
        <f>D8+E8</f>
        <v>156.80000000000001</v>
      </c>
      <c r="G8" s="17" t="s">
        <v>503</v>
      </c>
    </row>
    <row r="9" spans="1:7" x14ac:dyDescent="0.3">
      <c r="A9" s="7">
        <v>4</v>
      </c>
      <c r="B9" s="8" t="s">
        <v>504</v>
      </c>
      <c r="C9" s="7" t="s">
        <v>28</v>
      </c>
      <c r="D9" s="9">
        <v>156.02000000000001</v>
      </c>
      <c r="E9" s="9">
        <v>156.02000000000001</v>
      </c>
      <c r="F9" s="17">
        <f>D9+E9</f>
        <v>312.04000000000002</v>
      </c>
      <c r="G9" s="17" t="s">
        <v>505</v>
      </c>
    </row>
    <row r="10" spans="1:7" ht="14.5" customHeight="1" x14ac:dyDescent="0.3">
      <c r="A10" s="15" t="s">
        <v>107</v>
      </c>
      <c r="B10" s="16" t="s">
        <v>506</v>
      </c>
      <c r="C10" s="15"/>
      <c r="D10" s="15"/>
      <c r="E10" s="15"/>
      <c r="F10" s="15"/>
      <c r="G10" s="15" t="s">
        <v>507</v>
      </c>
    </row>
    <row r="11" spans="1:7" x14ac:dyDescent="0.3">
      <c r="A11" s="7">
        <v>5</v>
      </c>
      <c r="B11" s="8" t="s">
        <v>508</v>
      </c>
      <c r="C11" s="7" t="s">
        <v>23</v>
      </c>
      <c r="D11" s="9">
        <v>234.92</v>
      </c>
      <c r="E11" s="9">
        <v>266.79000000000002</v>
      </c>
      <c r="F11" s="17">
        <f>D12+E12</f>
        <v>651.73</v>
      </c>
      <c r="G11" s="17" t="s">
        <v>509</v>
      </c>
    </row>
    <row r="12" spans="1:7" x14ac:dyDescent="0.3">
      <c r="A12" s="7">
        <v>6</v>
      </c>
      <c r="B12" s="8" t="s">
        <v>510</v>
      </c>
      <c r="C12" s="7" t="s">
        <v>28</v>
      </c>
      <c r="D12" s="9">
        <v>309.61</v>
      </c>
      <c r="E12" s="9">
        <v>342.12</v>
      </c>
      <c r="F12" s="17">
        <f>D13+E13</f>
        <v>0</v>
      </c>
      <c r="G12" s="17" t="s">
        <v>511</v>
      </c>
    </row>
    <row r="13" spans="1:7" ht="14.5" customHeight="1" x14ac:dyDescent="0.3">
      <c r="A13" s="15" t="s">
        <v>139</v>
      </c>
      <c r="B13" s="16" t="s">
        <v>512</v>
      </c>
      <c r="C13" s="15"/>
      <c r="D13" s="15"/>
      <c r="E13" s="15"/>
      <c r="F13" s="15"/>
      <c r="G13" s="15" t="s">
        <v>513</v>
      </c>
    </row>
    <row r="14" spans="1:7" x14ac:dyDescent="0.3">
      <c r="A14" s="7">
        <v>7</v>
      </c>
      <c r="B14" s="8" t="s">
        <v>514</v>
      </c>
      <c r="C14" s="7" t="s">
        <v>23</v>
      </c>
      <c r="D14" s="9">
        <v>248.04</v>
      </c>
      <c r="E14" s="9">
        <v>248.04</v>
      </c>
      <c r="F14" s="17">
        <f t="shared" ref="F14:F19" si="0">D16+E16</f>
        <v>98.48</v>
      </c>
      <c r="G14" s="17" t="s">
        <v>515</v>
      </c>
    </row>
    <row r="15" spans="1:7" x14ac:dyDescent="0.3">
      <c r="A15" s="7">
        <v>8</v>
      </c>
      <c r="B15" s="8" t="s">
        <v>516</v>
      </c>
      <c r="C15" s="7" t="s">
        <v>28</v>
      </c>
      <c r="D15" s="9">
        <v>161.46</v>
      </c>
      <c r="E15" s="9">
        <v>161.46</v>
      </c>
      <c r="F15" s="17">
        <f t="shared" si="0"/>
        <v>44.75</v>
      </c>
      <c r="G15" s="17" t="s">
        <v>517</v>
      </c>
    </row>
    <row r="16" spans="1:7" x14ac:dyDescent="0.3">
      <c r="A16" s="7">
        <v>9</v>
      </c>
      <c r="B16" s="8" t="s">
        <v>518</v>
      </c>
      <c r="C16" s="7" t="s">
        <v>33</v>
      </c>
      <c r="D16" s="9">
        <v>49.24</v>
      </c>
      <c r="E16" s="9">
        <v>49.24</v>
      </c>
      <c r="F16" s="17">
        <f t="shared" si="0"/>
        <v>5.6</v>
      </c>
      <c r="G16" s="17" t="s">
        <v>519</v>
      </c>
    </row>
    <row r="17" spans="1:7" x14ac:dyDescent="0.3">
      <c r="A17" s="7">
        <v>10</v>
      </c>
      <c r="B17" s="8" t="s">
        <v>520</v>
      </c>
      <c r="C17" s="7" t="s">
        <v>33</v>
      </c>
      <c r="D17" s="9">
        <v>29.09</v>
      </c>
      <c r="E17" s="9">
        <v>15.66</v>
      </c>
      <c r="F17" s="17">
        <f t="shared" si="0"/>
        <v>0.27039999999999997</v>
      </c>
      <c r="G17" s="17" t="s">
        <v>479</v>
      </c>
    </row>
    <row r="18" spans="1:7" x14ac:dyDescent="0.3">
      <c r="A18" s="7">
        <v>11</v>
      </c>
      <c r="B18" s="8" t="s">
        <v>521</v>
      </c>
      <c r="C18" s="7" t="s">
        <v>28</v>
      </c>
      <c r="D18" s="9">
        <v>2.8</v>
      </c>
      <c r="E18" s="9">
        <v>2.8</v>
      </c>
      <c r="F18" s="17">
        <f t="shared" si="0"/>
        <v>1118.69</v>
      </c>
      <c r="G18" s="17" t="s">
        <v>522</v>
      </c>
    </row>
    <row r="19" spans="1:7" x14ac:dyDescent="0.3">
      <c r="A19" s="7">
        <v>12</v>
      </c>
      <c r="B19" s="8" t="s">
        <v>523</v>
      </c>
      <c r="C19" s="7" t="s">
        <v>23</v>
      </c>
      <c r="D19" s="9">
        <v>0.13519999999999999</v>
      </c>
      <c r="E19" s="9">
        <v>0.13519999999999999</v>
      </c>
      <c r="F19" s="17">
        <f t="shared" si="0"/>
        <v>201.55</v>
      </c>
      <c r="G19" s="17" t="s">
        <v>524</v>
      </c>
    </row>
    <row r="20" spans="1:7" x14ac:dyDescent="0.3">
      <c r="A20" s="10" t="s">
        <v>38</v>
      </c>
      <c r="B20" s="11" t="s">
        <v>525</v>
      </c>
      <c r="C20" s="10" t="s">
        <v>23</v>
      </c>
      <c r="D20" s="12">
        <f>D6+D12+D16</f>
        <v>543.09</v>
      </c>
      <c r="E20" s="12">
        <f>E6+E12+E16</f>
        <v>575.6</v>
      </c>
      <c r="F20" s="12">
        <f>F6+F12+F16</f>
        <v>374.08000000000004</v>
      </c>
      <c r="G20" s="18" t="s">
        <v>526</v>
      </c>
    </row>
    <row r="21" spans="1:7" x14ac:dyDescent="0.3">
      <c r="A21" s="10" t="s">
        <v>40</v>
      </c>
      <c r="B21" s="11" t="s">
        <v>527</v>
      </c>
      <c r="C21" s="10" t="s">
        <v>28</v>
      </c>
      <c r="D21" s="12">
        <f>D8+D13+D17</f>
        <v>107.49000000000001</v>
      </c>
      <c r="E21" s="12">
        <f>E8+E13+E17</f>
        <v>94.06</v>
      </c>
      <c r="F21" s="12">
        <f>F8+F13+F17</f>
        <v>157.07040000000001</v>
      </c>
      <c r="G21" s="18" t="s">
        <v>528</v>
      </c>
    </row>
    <row r="22" spans="1:7" ht="14.5" customHeight="1" x14ac:dyDescent="0.3">
      <c r="A22" s="15" t="s">
        <v>152</v>
      </c>
      <c r="B22" s="16" t="s">
        <v>529</v>
      </c>
      <c r="C22" s="15"/>
      <c r="D22" s="15"/>
      <c r="E22" s="15"/>
      <c r="F22" s="15"/>
      <c r="G22" s="15" t="s">
        <v>530</v>
      </c>
    </row>
    <row r="23" spans="1:7" x14ac:dyDescent="0.3">
      <c r="A23" s="7">
        <v>13</v>
      </c>
      <c r="B23" s="8" t="s">
        <v>531</v>
      </c>
      <c r="C23" s="7" t="s">
        <v>33</v>
      </c>
      <c r="D23" s="9">
        <v>63.06</v>
      </c>
      <c r="E23" s="9">
        <v>63.06</v>
      </c>
      <c r="F23" s="17">
        <f>D23+E23</f>
        <v>126.12</v>
      </c>
      <c r="G23" s="17" t="s">
        <v>425</v>
      </c>
    </row>
    <row r="24" spans="1:7" x14ac:dyDescent="0.3">
      <c r="A24" s="7">
        <v>14</v>
      </c>
      <c r="B24" s="8" t="s">
        <v>532</v>
      </c>
      <c r="C24" s="7" t="s">
        <v>33</v>
      </c>
      <c r="D24" s="9">
        <v>19641.05</v>
      </c>
      <c r="E24" s="9">
        <v>20654.02</v>
      </c>
      <c r="F24" s="17">
        <f>D24+E24</f>
        <v>40295.07</v>
      </c>
      <c r="G24" s="17" t="s">
        <v>427</v>
      </c>
    </row>
    <row r="25" spans="1:7" x14ac:dyDescent="0.3">
      <c r="A25" s="7">
        <v>15</v>
      </c>
      <c r="B25" s="8" t="s">
        <v>533</v>
      </c>
      <c r="C25" s="7" t="s">
        <v>33</v>
      </c>
      <c r="D25" s="9">
        <v>73204.47</v>
      </c>
      <c r="E25" s="9">
        <v>74821.09</v>
      </c>
      <c r="F25" s="17">
        <f>D25+E25</f>
        <v>148025.56</v>
      </c>
      <c r="G25" s="17" t="s">
        <v>427</v>
      </c>
    </row>
    <row r="26" spans="1:7" x14ac:dyDescent="0.3">
      <c r="A26" s="10" t="s">
        <v>487</v>
      </c>
      <c r="B26" s="11" t="s">
        <v>534</v>
      </c>
      <c r="C26" s="10" t="s">
        <v>33</v>
      </c>
      <c r="D26" s="12">
        <f>SUM(D23:D25)</f>
        <v>92908.58</v>
      </c>
      <c r="E26" s="12">
        <f>SUM(E23:E25)</f>
        <v>95538.17</v>
      </c>
      <c r="F26" s="12">
        <f>SUM(F23:F25)</f>
        <v>188446.75</v>
      </c>
      <c r="G26" s="18" t="s">
        <v>535</v>
      </c>
    </row>
    <row r="27" spans="1:7" x14ac:dyDescent="0.3">
      <c r="A27" s="10" t="s">
        <v>536</v>
      </c>
      <c r="B27" s="11" t="s">
        <v>488</v>
      </c>
      <c r="C27" s="10" t="s">
        <v>42</v>
      </c>
      <c r="D27" s="13">
        <f>D26/1000</f>
        <v>92.908580000000001</v>
      </c>
      <c r="E27" s="13">
        <f>E26/1000</f>
        <v>95.538169999999994</v>
      </c>
      <c r="F27" s="13">
        <f>F26/1000</f>
        <v>188.44675000000001</v>
      </c>
      <c r="G27" s="18" t="s">
        <v>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workbookViewId="0"/>
  </sheetViews>
  <sheetFormatPr defaultRowHeight="14" x14ac:dyDescent="0.3"/>
  <cols>
    <col min="1" max="1" width="6" customWidth="1"/>
    <col min="2" max="2" width="16" customWidth="1"/>
    <col min="3" max="3" width="14" customWidth="1"/>
    <col min="4" max="4" width="18" customWidth="1"/>
    <col min="5" max="5" width="20" customWidth="1"/>
    <col min="6" max="9" width="18" customWidth="1"/>
    <col min="10" max="10" width="20" customWidth="1"/>
    <col min="11" max="11" width="22" customWidth="1"/>
    <col min="12" max="12" width="35" customWidth="1"/>
  </cols>
  <sheetData>
    <row r="1" spans="1:12" ht="19.5" customHeight="1" x14ac:dyDescent="0.45">
      <c r="A1" s="2" t="s">
        <v>537</v>
      </c>
    </row>
    <row r="2" spans="1:12" ht="14.5" customHeight="1" x14ac:dyDescent="0.35">
      <c r="A2" s="1" t="s">
        <v>538</v>
      </c>
    </row>
    <row r="4" spans="1:12" x14ac:dyDescent="0.3">
      <c r="A4" s="3" t="s">
        <v>12</v>
      </c>
      <c r="B4" s="3" t="s">
        <v>539</v>
      </c>
      <c r="C4" s="3" t="s">
        <v>540</v>
      </c>
      <c r="D4" s="3" t="s">
        <v>541</v>
      </c>
      <c r="E4" s="3" t="s">
        <v>542</v>
      </c>
      <c r="F4" s="3" t="s">
        <v>543</v>
      </c>
      <c r="G4" s="3" t="s">
        <v>544</v>
      </c>
      <c r="H4" s="3" t="s">
        <v>545</v>
      </c>
      <c r="I4" s="3" t="s">
        <v>546</v>
      </c>
      <c r="J4" s="3" t="s">
        <v>547</v>
      </c>
      <c r="K4" s="3" t="s">
        <v>548</v>
      </c>
      <c r="L4" s="3" t="s">
        <v>549</v>
      </c>
    </row>
    <row r="5" spans="1:12" x14ac:dyDescent="0.3">
      <c r="A5" s="7">
        <v>1</v>
      </c>
      <c r="B5" s="8" t="s">
        <v>15</v>
      </c>
      <c r="C5" s="14">
        <v>3</v>
      </c>
      <c r="D5" s="9">
        <v>20</v>
      </c>
      <c r="E5" s="9">
        <f>C5*D5</f>
        <v>60</v>
      </c>
      <c r="F5" s="19">
        <v>191.23400000000001</v>
      </c>
      <c r="G5" s="19">
        <v>171.084</v>
      </c>
      <c r="H5" s="9">
        <v>70.739999999999995</v>
      </c>
      <c r="I5" s="9">
        <v>5436.32</v>
      </c>
      <c r="J5" s="9">
        <v>198</v>
      </c>
      <c r="K5" s="9">
        <v>63.6</v>
      </c>
      <c r="L5" s="8" t="s">
        <v>550</v>
      </c>
    </row>
    <row r="6" spans="1:12" x14ac:dyDescent="0.3">
      <c r="A6" s="7">
        <v>2</v>
      </c>
      <c r="B6" s="8" t="s">
        <v>492</v>
      </c>
      <c r="C6" s="14">
        <v>8</v>
      </c>
      <c r="D6" s="9">
        <v>40</v>
      </c>
      <c r="E6" s="9">
        <f>C6*D6</f>
        <v>320</v>
      </c>
      <c r="F6" s="19">
        <v>167.51</v>
      </c>
      <c r="G6" s="19">
        <v>127.36</v>
      </c>
      <c r="H6" s="9">
        <v>367.04</v>
      </c>
      <c r="I6" s="9">
        <v>14496.86</v>
      </c>
      <c r="J6" s="9">
        <v>1008</v>
      </c>
      <c r="K6" s="9">
        <v>329.6</v>
      </c>
      <c r="L6" s="8" t="s">
        <v>551</v>
      </c>
    </row>
    <row r="7" spans="1:12" x14ac:dyDescent="0.3">
      <c r="A7" s="7">
        <v>3</v>
      </c>
      <c r="B7" s="8" t="s">
        <v>493</v>
      </c>
      <c r="C7" s="14">
        <v>8</v>
      </c>
      <c r="D7" s="9">
        <v>30</v>
      </c>
      <c r="E7" s="9">
        <f>C7*D7</f>
        <v>240</v>
      </c>
      <c r="F7" s="19">
        <v>166.01</v>
      </c>
      <c r="G7" s="19">
        <v>135.86000000000001</v>
      </c>
      <c r="H7" s="9">
        <v>277.83999999999997</v>
      </c>
      <c r="I7" s="9">
        <v>14496.86</v>
      </c>
      <c r="J7" s="9">
        <v>768</v>
      </c>
      <c r="K7" s="9">
        <v>249.6</v>
      </c>
      <c r="L7" s="8" t="s">
        <v>552</v>
      </c>
    </row>
    <row r="8" spans="1:12" x14ac:dyDescent="0.3">
      <c r="A8" s="7">
        <v>4</v>
      </c>
      <c r="B8" s="8" t="s">
        <v>16</v>
      </c>
      <c r="C8" s="14">
        <v>7</v>
      </c>
      <c r="D8" s="9">
        <v>36</v>
      </c>
      <c r="E8" s="9">
        <f>C8*D8</f>
        <v>252</v>
      </c>
      <c r="F8" s="19">
        <v>186.98599999999999</v>
      </c>
      <c r="G8" s="19">
        <v>150.83600000000001</v>
      </c>
      <c r="H8" s="9">
        <v>290.92</v>
      </c>
      <c r="I8" s="9">
        <v>12679.44</v>
      </c>
      <c r="J8" s="9">
        <v>798</v>
      </c>
      <c r="K8" s="9">
        <v>260.39999999999998</v>
      </c>
      <c r="L8" s="8" t="s">
        <v>553</v>
      </c>
    </row>
    <row r="9" spans="1:12" x14ac:dyDescent="0.3">
      <c r="A9" s="10" t="s">
        <v>554</v>
      </c>
      <c r="B9" s="11" t="s">
        <v>555</v>
      </c>
      <c r="C9" s="20">
        <f>SUM(C5:C8)</f>
        <v>26</v>
      </c>
      <c r="D9" s="10" t="s">
        <v>556</v>
      </c>
      <c r="E9" s="20">
        <f>SUM(E5:E8)</f>
        <v>872</v>
      </c>
      <c r="F9" s="10" t="s">
        <v>556</v>
      </c>
      <c r="G9" s="10" t="s">
        <v>556</v>
      </c>
      <c r="H9" s="12">
        <f>SUM(H5:H8)</f>
        <v>1006.54</v>
      </c>
      <c r="I9" s="12">
        <f>SUM(I5:I8)</f>
        <v>47109.48</v>
      </c>
      <c r="J9" s="12">
        <f>SUM(J5:J8)</f>
        <v>2772</v>
      </c>
      <c r="K9" s="12">
        <f>SUM(K5:K8)</f>
        <v>903.2</v>
      </c>
      <c r="L9" s="11" t="s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00_DASHBOARD_365</vt:lpstr>
      <vt:lpstr>00_DIEN_GIAI_HINH_HOC_CAD</vt:lpstr>
      <vt:lpstr>00_TONG_HOP_HA_BO</vt:lpstr>
      <vt:lpstr>01_MO_M1_M2</vt:lpstr>
      <vt:lpstr>02_TRU_T1_T2</vt:lpstr>
      <vt:lpstr>03_COC_D1200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</cp:lastModifiedBy>
  <dcterms:created xsi:type="dcterms:W3CDTF">2026-10-09T09:28:21Z</dcterms:created>
  <dcterms:modified xsi:type="dcterms:W3CDTF">2026-10-09T11:26:13Z</dcterms:modified>
</cp:coreProperties>
</file>