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_PHOI_1M3_VA_TAN_SUAT" sheetId="1" state="visible" r:id="rId1"/>
    <sheet xmlns:r="http://schemas.openxmlformats.org/officeDocument/2006/relationships" name="QS_DIEN_GIAI_CHI_TIET" sheetId="2" state="visible" r:id="rId2"/>
    <sheet xmlns:r="http://schemas.openxmlformats.org/officeDocument/2006/relationships" name="THONG_KE_THEP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#,##0.000"/>
    <numFmt numFmtId="167" formatCode="#,##0.0000"/>
  </numFmts>
  <fonts count="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1F497D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  <fill>
      <patternFill patternType="solid">
        <fgColor rgb="00EBF1F5"/>
        <bgColor rgb="00EBF1F5"/>
      </patternFill>
    </fill>
    <fill>
      <patternFill patternType="solid">
        <fgColor rgb="00DCE6F1"/>
        <bgColor rgb="00DCE6F1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6" fontId="6" fillId="4" borderId="2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0" fontId="7" fillId="4" borderId="2" pivotButton="0" quotePrefix="0" xfId="0"/>
    <xf numFmtId="0" fontId="4" fillId="5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right" vertical="center"/>
    </xf>
    <xf numFmtId="0" fontId="8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5" fillId="3" borderId="1" pivotButton="0" quotePrefix="0" xfId="0"/>
    <xf numFmtId="167" fontId="5" fillId="3" borderId="1" applyAlignment="1" pivotButton="0" quotePrefix="0" xfId="0">
      <alignment horizontal="right" vertical="center"/>
    </xf>
    <xf numFmtId="4" fontId="5" fillId="3" borderId="1" pivotButton="0" quotePrefix="0" xfId="0"/>
    <xf numFmtId="166" fontId="6" fillId="0" borderId="1" pivotButton="0" quotePrefix="0" xfId="0"/>
    <xf numFmtId="166" fontId="5" fillId="3" borderId="1" pivotButton="0" quotePrefix="0" xfId="0"/>
    <xf numFmtId="3" fontId="6" fillId="4" borderId="2" pivotButton="0" quotePrefix="0" xfId="0"/>
    <xf numFmtId="0" fontId="6" fillId="7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3" fontId="5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10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10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  <col width="28" customWidth="1" min="5" max="5"/>
    <col width="12" customWidth="1" min="6" max="6"/>
    <col width="22" customWidth="1" min="7" max="7"/>
    <col width="24" customWidth="1" min="8" max="8"/>
    <col width="22" customWidth="1" min="9" max="9"/>
    <col width="25" customWidth="1" min="10" max="10"/>
    <col width="20" customWidth="1" min="11" max="11"/>
    <col width="32" customWidth="1" min="12" max="12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PHÂN TÍCH ĐỊNH MỨC CẤP PHỐI 1M³ BÊ TÔNG &amp; MA TRẬN TẦN SUẤT THÍ NGHIỆM KCS</t>
        </is>
      </c>
    </row>
    <row r="4">
      <c r="B4" s="3" t="inlineStr">
        <is>
          <t>Căn cứ: Định mức Thông tư 12/2021/TT-BXD, TCVN 4453:1995, TCVN 1651:2018, TCVN 6260:2020, TCVN 7570:2006, Nghị định 207/2026/NĐ-CP</t>
        </is>
      </c>
    </row>
    <row r="5"/>
    <row r="6">
      <c r="B6" s="2" t="inlineStr">
        <is>
          <t>I. BẢNG PHÂN TÍCH ĐỊNH MỨC CẤP PHỐI CHO 1 M³ BÊ TÔNG CỦA TỪNG KẾT CẤU CÔNG TRÌNH</t>
        </is>
      </c>
    </row>
    <row r="7"/>
    <row r="8" ht="28" customHeight="1">
      <c r="A8" s="4" t="inlineStr">
        <is>
          <t>TT</t>
        </is>
      </c>
      <c r="B8" s="4" t="inlineStr">
        <is>
          <t>Loại kết cấu công trình</t>
        </is>
      </c>
      <c r="C8" s="4" t="inlineStr">
        <is>
          <t>Mác thiết kế (f'c / Mác)</t>
        </is>
      </c>
      <c r="D8" s="4" t="inlineStr">
        <is>
          <t>Độ sụt yêu cầu (cm)</t>
        </is>
      </c>
      <c r="E8" s="4" t="inlineStr">
        <is>
          <t>Xi măng PCB40 (kg/m3)</t>
        </is>
      </c>
      <c r="F8" s="4" t="inlineStr">
        <is>
          <t>Cát vàng Mk&gt;=2.5 (m3/m3)</t>
        </is>
      </c>
      <c r="G8" s="4" t="inlineStr">
        <is>
          <t>Đá dăm 1x2 (m3/m3)</t>
        </is>
      </c>
      <c r="H8" s="4" t="inlineStr">
        <is>
          <t>Nước sạch (lít/m3)</t>
        </is>
      </c>
      <c r="I8" s="4" t="inlineStr">
        <is>
          <t>Phụ gia (lít hoặc kg/m3)</t>
        </is>
      </c>
      <c r="J8" s="4" t="inlineStr">
        <is>
          <t>Tổng KL bê tông (m3)</t>
        </is>
      </c>
      <c r="K8" s="4" t="inlineStr">
        <is>
          <t>Tổng Xi măng (Tấn)</t>
        </is>
      </c>
      <c r="L8" s="4" t="inlineStr">
        <is>
          <t>Tổng Cát vàng (m3)</t>
        </is>
      </c>
      <c r="M8" s="4" t="inlineStr">
        <is>
          <t>Tổng Đá dăm 1x2 (m3)</t>
        </is>
      </c>
      <c r="N8" s="4" t="inlineStr">
        <is>
          <t>Tổng Nước (m3)</t>
        </is>
      </c>
      <c r="O8" s="4" t="inlineStr">
        <is>
          <t>Tổng Phụ gia (Lít/kg)</t>
        </is>
      </c>
      <c r="P8" s="4" t="inlineStr">
        <is>
          <t>Tiêu chuẩn &amp; Yêu cầu kỹ thuật</t>
        </is>
      </c>
    </row>
    <row r="9" ht="20" customHeight="1">
      <c r="A9" s="5" t="inlineStr">
        <is>
          <t>1</t>
        </is>
      </c>
      <c r="B9" s="6" t="inlineStr">
        <is>
          <t>Bê tông đệm móng mố, bệ trụ, bản quá độ</t>
        </is>
      </c>
      <c r="C9" s="5" t="inlineStr">
        <is>
          <t>C10 (Mác 150)</t>
        </is>
      </c>
      <c r="D9" s="5" t="inlineStr">
        <is>
          <t>6 ± 2</t>
        </is>
      </c>
      <c r="E9" s="7" t="n">
        <v>225</v>
      </c>
      <c r="F9" s="8" t="n">
        <v>0.51</v>
      </c>
      <c r="G9" s="8" t="n">
        <v>0.88</v>
      </c>
      <c r="H9" s="7" t="n">
        <v>185</v>
      </c>
      <c r="I9" s="9" t="n">
        <v>0</v>
      </c>
      <c r="J9" s="10">
        <f>QS_DIEN_GIAI_CHI_TIET!J34</f>
        <v/>
      </c>
      <c r="K9" s="11">
        <f>J9*E9/1000</f>
        <v/>
      </c>
      <c r="L9" s="11">
        <f>J9*F9</f>
        <v/>
      </c>
      <c r="M9" s="11">
        <f>J9*G9</f>
        <v/>
      </c>
      <c r="N9" s="11">
        <f>J9*H9/1000</f>
        <v/>
      </c>
      <c r="O9" s="7">
        <f>J9*I9</f>
        <v/>
      </c>
      <c r="P9" s="6" t="inlineStr">
        <is>
          <t>Đệm cách ly đáy móng, TCVN 4453</t>
        </is>
      </c>
    </row>
    <row r="10" ht="20" customHeight="1">
      <c r="A10" s="12" t="inlineStr">
        <is>
          <t>2</t>
        </is>
      </c>
      <c r="B10" s="13" t="inlineStr">
        <is>
          <t>Bản quá độ sau mố &amp; Gờ lan can, tấm đúc sẵn</t>
        </is>
      </c>
      <c r="C10" s="12" t="inlineStr">
        <is>
          <t>C25 (Mác 300)</t>
        </is>
      </c>
      <c r="D10" s="12" t="inlineStr">
        <is>
          <t>10 ± 2</t>
        </is>
      </c>
      <c r="E10" s="14" t="n">
        <v>350</v>
      </c>
      <c r="F10" s="15" t="n">
        <v>0.46</v>
      </c>
      <c r="G10" s="15" t="n">
        <v>0.86</v>
      </c>
      <c r="H10" s="14" t="n">
        <v>175</v>
      </c>
      <c r="I10" s="16" t="n">
        <v>2.8</v>
      </c>
      <c r="J10" s="17">
        <f>QS_DIEN_GIAI_CHI_TIET!J75*0.026 + 171.659</f>
        <v/>
      </c>
      <c r="K10" s="18">
        <f>J10*E10/1000</f>
        <v/>
      </c>
      <c r="L10" s="18">
        <f>J10*F10</f>
        <v/>
      </c>
      <c r="M10" s="18">
        <f>J10*G10</f>
        <v/>
      </c>
      <c r="N10" s="18">
        <f>J10*H10/1000</f>
        <v/>
      </c>
      <c r="O10" s="14">
        <f>J10*I10</f>
        <v/>
      </c>
      <c r="P10" s="13" t="inlineStr">
        <is>
          <t>Bản quá độ, gờ lan can C25</t>
        </is>
      </c>
    </row>
    <row r="11" ht="20" customHeight="1">
      <c r="A11" s="5" t="inlineStr">
        <is>
          <t>3</t>
        </is>
      </c>
      <c r="B11" s="6" t="inlineStr">
        <is>
          <t>Bê tông Cọc khoan nhồi D1200mm (thi công Tremie)</t>
        </is>
      </c>
      <c r="C11" s="5" t="inlineStr">
        <is>
          <t>C30 (Mác 350)</t>
        </is>
      </c>
      <c r="D11" s="5" t="inlineStr">
        <is>
          <t>18 ± 2</t>
        </is>
      </c>
      <c r="E11" s="7" t="n">
        <v>410</v>
      </c>
      <c r="F11" s="8" t="n">
        <v>0.47</v>
      </c>
      <c r="G11" s="8" t="n">
        <v>0.84</v>
      </c>
      <c r="H11" s="7" t="n">
        <v>180</v>
      </c>
      <c r="I11" s="9" t="n">
        <v>4.1</v>
      </c>
      <c r="J11" s="10">
        <f>QS_DIEN_GIAI_CHI_TIET!J17 + QS_DIEN_GIAI_CHI_TIET!J27</f>
        <v/>
      </c>
      <c r="K11" s="11">
        <f>J11*E11/1000</f>
        <v/>
      </c>
      <c r="L11" s="11">
        <f>J11*F11</f>
        <v/>
      </c>
      <c r="M11" s="11">
        <f>J11*G11</f>
        <v/>
      </c>
      <c r="N11" s="11">
        <f>J11*H11/1000</f>
        <v/>
      </c>
      <c r="O11" s="7">
        <f>J11*I11</f>
        <v/>
      </c>
      <c r="P11" s="6" t="inlineStr">
        <is>
          <t>Đổ dưới nước ống tremie, đông kết chậm</t>
        </is>
      </c>
    </row>
    <row r="12" ht="20" customHeight="1">
      <c r="A12" s="12" t="inlineStr">
        <is>
          <t>4</t>
        </is>
      </c>
      <c r="B12" s="13" t="inlineStr">
        <is>
          <t>Bê tông Bệ mố M1, M2; Thân mố; Tường cánh</t>
        </is>
      </c>
      <c r="C12" s="12" t="inlineStr">
        <is>
          <t>C30 (Mác 350)</t>
        </is>
      </c>
      <c r="D12" s="12" t="inlineStr">
        <is>
          <t>12 ± 2</t>
        </is>
      </c>
      <c r="E12" s="14" t="n">
        <v>385</v>
      </c>
      <c r="F12" s="15" t="n">
        <v>0.45</v>
      </c>
      <c r="G12" s="15" t="n">
        <v>0.85</v>
      </c>
      <c r="H12" s="14" t="n">
        <v>175</v>
      </c>
      <c r="I12" s="16" t="n">
        <v>3.5</v>
      </c>
      <c r="J12" s="17">
        <f>QS_DIEN_GIAI_CHI_TIET!J39*0.395 + QS_DIEN_GIAI_CHI_TIET!J44 + QS_DIEN_GIAI_CHI_TIET!J47</f>
        <v/>
      </c>
      <c r="K12" s="18">
        <f>J12*E12/1000</f>
        <v/>
      </c>
      <c r="L12" s="18">
        <f>J12*F12</f>
        <v/>
      </c>
      <c r="M12" s="18">
        <f>J12*G12</f>
        <v/>
      </c>
      <c r="N12" s="18">
        <f>J12*H12/1000</f>
        <v/>
      </c>
      <c r="O12" s="14">
        <f>J12*I12</f>
        <v/>
      </c>
      <c r="P12" s="13" t="inlineStr">
        <is>
          <t>Bê tông khối lớn mố M1, M2</t>
        </is>
      </c>
    </row>
    <row r="13" ht="20" customHeight="1">
      <c r="A13" s="5" t="inlineStr">
        <is>
          <t>5</t>
        </is>
      </c>
      <c r="B13" s="6" t="inlineStr">
        <is>
          <t>Bê tông Bệ trụ T1, T2 &amp; Thân trụ đặc</t>
        </is>
      </c>
      <c r="C13" s="5" t="inlineStr">
        <is>
          <t>C30 (Mác 350)</t>
        </is>
      </c>
      <c r="D13" s="5" t="inlineStr">
        <is>
          <t>12 ± 2</t>
        </is>
      </c>
      <c r="E13" s="7" t="n">
        <v>385</v>
      </c>
      <c r="F13" s="8" t="n">
        <v>0.45</v>
      </c>
      <c r="G13" s="8" t="n">
        <v>0.85</v>
      </c>
      <c r="H13" s="7" t="n">
        <v>175</v>
      </c>
      <c r="I13" s="9" t="n">
        <v>3.5</v>
      </c>
      <c r="J13" s="10">
        <f>QS_DIEN_GIAI_CHI_TIET!J50 + QS_DIEN_GIAI_CHI_TIET!J39*0.605</f>
        <v/>
      </c>
      <c r="K13" s="11">
        <f>J13*E13/1000</f>
        <v/>
      </c>
      <c r="L13" s="11">
        <f>J13*F13</f>
        <v/>
      </c>
      <c r="M13" s="11">
        <f>J13*G13</f>
        <v/>
      </c>
      <c r="N13" s="11">
        <f>J13*H13/1000</f>
        <v/>
      </c>
      <c r="O13" s="7">
        <f>J13*I13</f>
        <v/>
      </c>
      <c r="P13" s="6" t="inlineStr">
        <is>
          <t>Bê tông bệ trụ &amp; thân trụ 2 thân</t>
        </is>
      </c>
    </row>
    <row r="14" ht="20" customHeight="1">
      <c r="A14" s="12" t="inlineStr">
        <is>
          <t>6</t>
        </is>
      </c>
      <c r="B14" s="13" t="inlineStr">
        <is>
          <t>Bê tông Xà mũ trụ T1, T2 &amp; Tường tai</t>
        </is>
      </c>
      <c r="C14" s="12" t="inlineStr">
        <is>
          <t>C35 (Mác 400)</t>
        </is>
      </c>
      <c r="D14" s="12" t="inlineStr">
        <is>
          <t>14 ± 2</t>
        </is>
      </c>
      <c r="E14" s="14" t="n">
        <v>430</v>
      </c>
      <c r="F14" s="15" t="n">
        <v>0.44</v>
      </c>
      <c r="G14" s="15" t="n">
        <v>0.85</v>
      </c>
      <c r="H14" s="14" t="n">
        <v>165</v>
      </c>
      <c r="I14" s="16" t="n">
        <v>4.3</v>
      </c>
      <c r="J14" s="17">
        <f>QS_DIEN_GIAI_CHI_TIET!J53</f>
        <v/>
      </c>
      <c r="K14" s="18">
        <f>J14*E14/1000</f>
        <v/>
      </c>
      <c r="L14" s="18">
        <f>J14*F14</f>
        <v/>
      </c>
      <c r="M14" s="18">
        <f>J14*G14</f>
        <v/>
      </c>
      <c r="N14" s="18">
        <f>J14*H14/1000</f>
        <v/>
      </c>
      <c r="O14" s="14">
        <f>J14*I14</f>
        <v/>
      </c>
      <c r="P14" s="13" t="inlineStr">
        <is>
          <t>Xà mũ trụ dự ứng lực ngang</t>
        </is>
      </c>
    </row>
    <row r="15" ht="20" customHeight="1">
      <c r="A15" s="5" t="inlineStr">
        <is>
          <t>7</t>
        </is>
      </c>
      <c r="B15" s="6" t="inlineStr">
        <is>
          <t>Bê tông Bản mặt cầu, Dầm ngang, Liên tục nhiệt</t>
        </is>
      </c>
      <c r="C15" s="5" t="inlineStr">
        <is>
          <t>C35 (Mác 400)</t>
        </is>
      </c>
      <c r="D15" s="5" t="inlineStr">
        <is>
          <t>14 ± 2</t>
        </is>
      </c>
      <c r="E15" s="7" t="n">
        <v>430</v>
      </c>
      <c r="F15" s="8" t="n">
        <v>0.44</v>
      </c>
      <c r="G15" s="8" t="n">
        <v>0.85</v>
      </c>
      <c r="H15" s="7" t="n">
        <v>165</v>
      </c>
      <c r="I15" s="9" t="n">
        <v>4.3</v>
      </c>
      <c r="J15" s="10">
        <f>QS_DIEN_GIAI_CHI_TIET!J73 + QS_DIEN_GIAI_CHI_TIET!J77 + QS_DIEN_GIAI_CHI_TIET!J79</f>
        <v/>
      </c>
      <c r="K15" s="11">
        <f>J15*E15/1000</f>
        <v/>
      </c>
      <c r="L15" s="11">
        <f>J15*F15</f>
        <v/>
      </c>
      <c r="M15" s="11">
        <f>J15*G15</f>
        <v/>
      </c>
      <c r="N15" s="11">
        <f>J15*H15/1000</f>
        <v/>
      </c>
      <c r="O15" s="7">
        <f>J15*I15</f>
        <v/>
      </c>
      <c r="P15" s="6" t="inlineStr">
        <is>
          <t>Chống thấm tốt, co ngót thấp</t>
        </is>
      </c>
    </row>
    <row r="16" ht="20" customHeight="1">
      <c r="A16" s="12" t="inlineStr">
        <is>
          <t>8</t>
        </is>
      </c>
      <c r="B16" s="13" t="inlineStr">
        <is>
          <t>Bê tông Dầm chủ Super-T đúc sẵn (15 phiến L=38.2m)</t>
        </is>
      </c>
      <c r="C16" s="12" t="inlineStr">
        <is>
          <t>C45 (Mác 550)</t>
        </is>
      </c>
      <c r="D16" s="12" t="inlineStr">
        <is>
          <t>16 ± 2</t>
        </is>
      </c>
      <c r="E16" s="14" t="n">
        <v>475</v>
      </c>
      <c r="F16" s="15" t="n">
        <v>0.42</v>
      </c>
      <c r="G16" s="15" t="n">
        <v>0.83</v>
      </c>
      <c r="H16" s="14" t="n">
        <v>150</v>
      </c>
      <c r="I16" s="16" t="n">
        <v>5.7</v>
      </c>
      <c r="J16" s="17">
        <f>QS_DIEN_GIAI_CHI_TIET!J62</f>
        <v/>
      </c>
      <c r="K16" s="18">
        <f>J16*E16/1000</f>
        <v/>
      </c>
      <c r="L16" s="18">
        <f>J16*F16</f>
        <v/>
      </c>
      <c r="M16" s="18">
        <f>J16*G16</f>
        <v/>
      </c>
      <c r="N16" s="18">
        <f>J16*H16/1000</f>
        <v/>
      </c>
      <c r="O16" s="14">
        <f>J16*I16</f>
        <v/>
      </c>
      <c r="P16" s="13" t="inlineStr">
        <is>
          <t>Cường độ sớm R kéo &gt;= 85% f'c</t>
        </is>
      </c>
    </row>
    <row r="17" ht="20" customHeight="1">
      <c r="A17" s="5" t="inlineStr">
        <is>
          <t>9</t>
        </is>
      </c>
      <c r="B17" s="6" t="inlineStr">
        <is>
          <t>Bê tông hạt nhỏ không co ngót chèn khe co giãn</t>
        </is>
      </c>
      <c r="C17" s="5" t="inlineStr">
        <is>
          <t>C40 (Mác 450)</t>
        </is>
      </c>
      <c r="D17" s="5" t="inlineStr">
        <is>
          <t>12 ± 2</t>
        </is>
      </c>
      <c r="E17" s="7" t="n">
        <v>450</v>
      </c>
      <c r="F17" s="8" t="n">
        <v>0.46</v>
      </c>
      <c r="G17" s="8" t="n">
        <v>0.8</v>
      </c>
      <c r="H17" s="7" t="n">
        <v>160</v>
      </c>
      <c r="I17" s="9" t="n">
        <v>4.5</v>
      </c>
      <c r="J17" s="10">
        <f>QS_DIEN_GIAI_CHI_TIET!J86</f>
        <v/>
      </c>
      <c r="K17" s="11">
        <f>J17*E17/1000</f>
        <v/>
      </c>
      <c r="L17" s="11">
        <f>J17*F17</f>
        <v/>
      </c>
      <c r="M17" s="11">
        <f>J17*G17</f>
        <v/>
      </c>
      <c r="N17" s="11">
        <f>J17*H17/1000</f>
        <v/>
      </c>
      <c r="O17" s="7">
        <f>J17*I17</f>
        <v/>
      </c>
      <c r="P17" s="6" t="inlineStr">
        <is>
          <t>Cốt liệu nhỏ, chống co ngót</t>
        </is>
      </c>
    </row>
    <row r="18" ht="24" customHeight="1">
      <c r="A18" s="19" t="inlineStr">
        <is>
          <t>TỔNG CỘNG TOÀN CÔNG TRÌNH</t>
        </is>
      </c>
      <c r="B18" s="20" t="n"/>
      <c r="C18" s="20" t="n"/>
      <c r="D18" s="20" t="n"/>
      <c r="E18" s="20" t="n"/>
      <c r="F18" s="20" t="n"/>
      <c r="G18" s="20" t="n"/>
      <c r="H18" s="20" t="n"/>
      <c r="I18" s="21" t="n"/>
      <c r="J18" s="22">
        <f>SUM(J9:J17)</f>
        <v/>
      </c>
      <c r="K18" s="23">
        <f>SUM(K9:K17)</f>
        <v/>
      </c>
      <c r="L18" s="23">
        <f>SUM(L9:L17)</f>
        <v/>
      </c>
      <c r="M18" s="23">
        <f>SUM(M9:M17)</f>
        <v/>
      </c>
      <c r="N18" s="23">
        <f>SUM(N9:N17)</f>
        <v/>
      </c>
      <c r="O18" s="23">
        <f>SUM(O9:O17)</f>
        <v/>
      </c>
      <c r="P18" s="24" t="inlineStr">
        <is>
          <t>Tổng hợp cấp phối toàn dự án</t>
        </is>
      </c>
    </row>
    <row r="19"/>
    <row r="20"/>
    <row r="21">
      <c r="B21" s="2" t="inlineStr">
        <is>
          <t>II. MA TRẬN QUY ĐỊNH TẦN SUẤT THÍ NGHIỆM VẬT LIỆU ĐẦU VÀO VÀ NGHIỆM THU KCS</t>
        </is>
      </c>
    </row>
    <row r="22">
      <c r="B22" s="3" t="inlineStr">
        <is>
          <t>Quy định tần suất lấy mẫu kiểm soát chất lượng QA/QC theo Luật Xây dựng 135/2025/QH15, Nghị định 207/2026/NĐ-CP, TCVN 4453:1995, TCVN 1651:2018</t>
        </is>
      </c>
    </row>
    <row r="23" ht="28" customHeight="1">
      <c r="A23" s="25" t="inlineStr">
        <is>
          <t>TT</t>
        </is>
      </c>
      <c r="B23" s="25" t="inlineStr">
        <is>
          <t>Tên vật liệu / Chỉ tiêu kiểm tra</t>
        </is>
      </c>
      <c r="C23" s="25" t="inlineStr">
        <is>
          <t>Tiêu chuẩn kỹ thuật áp dụng</t>
        </is>
      </c>
      <c r="D23" s="25" t="inlineStr">
        <is>
          <t>Chỉ tiêu kiểm tra bắt buộc</t>
        </is>
      </c>
      <c r="E23" s="25" t="inlineStr">
        <is>
          <t>Quy định tần suất lấy mẫu</t>
        </is>
      </c>
      <c r="F23" s="25" t="inlineStr">
        <is>
          <t>ĐVT vật tư</t>
        </is>
      </c>
      <c r="G23" s="25" t="inlineStr">
        <is>
          <t>Tổng KL công trình</t>
        </is>
      </c>
      <c r="H23" s="25" t="inlineStr">
        <is>
          <t>Định mức tần suất (KL/tổ mẫu)</t>
        </is>
      </c>
      <c r="I23" s="25" t="inlineStr">
        <is>
          <t>Số tổ mẫu thí nghiệm</t>
        </is>
      </c>
      <c r="J23" s="25" t="inlineStr">
        <is>
          <t>Quy cách tổ mẫu thí nghiệm</t>
        </is>
      </c>
      <c r="K23" s="25" t="inlineStr">
        <is>
          <t>Đơn vị thực hiện</t>
        </is>
      </c>
      <c r="L23" s="25" t="inlineStr">
        <is>
          <t>Điều kiện nghiệm thu (Hold Point)</t>
        </is>
      </c>
    </row>
    <row r="24" ht="20" customHeight="1">
      <c r="A24" s="26" t="n">
        <v>1</v>
      </c>
      <c r="B24" s="6" t="inlineStr">
        <is>
          <t>Cốt thép tròn trơn Ø&lt;=10mm (CB240-T)</t>
        </is>
      </c>
      <c r="C24" s="6" t="inlineStr">
        <is>
          <t>TCVN 1651-1:2018</t>
        </is>
      </c>
      <c r="D24" s="6" t="inlineStr">
        <is>
          <t>Giới hạn chảy, độ bền kéo, độ giãn dài, uốn nguội</t>
        </is>
      </c>
      <c r="E24" s="6" t="inlineStr">
        <is>
          <t>&lt;= 50 Tấn / lô / đường kính</t>
        </is>
      </c>
      <c r="F24" s="5" t="inlineStr">
        <is>
          <t>Tấn</t>
        </is>
      </c>
      <c r="G24" s="7">
        <f>SUMIFS(THONG_KE_THEP_CHI_TIET!$O$6:$O$399, THONG_KE_THEP_CHI_TIET!$E$6:$E$399, "&lt;=10")</f>
        <v/>
      </c>
      <c r="H24" s="7" t="n">
        <v>50</v>
      </c>
      <c r="I24" s="27">
        <f>ROUNDUP(G24/H24, 0)</f>
        <v/>
      </c>
      <c r="J24" s="6" t="inlineStr">
        <is>
          <t>3 thanh kéo + 3 thanh uốn</t>
        </is>
      </c>
      <c r="K24" s="6" t="inlineStr">
        <is>
          <t>LAS-XD hợp chuẩn</t>
        </is>
      </c>
      <c r="L24" s="6" t="inlineStr">
        <is>
          <t>Bắt buộc có KQTN trước khi gia công</t>
        </is>
      </c>
    </row>
    <row r="25" ht="20" customHeight="1">
      <c r="A25" s="28" t="n">
        <v>2</v>
      </c>
      <c r="B25" s="13" t="inlineStr">
        <is>
          <t>Cốt thép thanh vằn Ø12mm (CB400-V)</t>
        </is>
      </c>
      <c r="C25" s="13" t="inlineStr">
        <is>
          <t>TCVN 1651-2:2018</t>
        </is>
      </c>
      <c r="D25" s="13" t="inlineStr">
        <is>
          <t>Giới hạn chảy Re, độ bền kéo Rm, Rm/Re, uốn 180°</t>
        </is>
      </c>
      <c r="E25" s="13" t="inlineStr">
        <is>
          <t>&lt;= 50 Tấn / lô / đường kính</t>
        </is>
      </c>
      <c r="F25" s="12" t="inlineStr">
        <is>
          <t>Tấn</t>
        </is>
      </c>
      <c r="G25" s="14">
        <f>SUMIFS(THONG_KE_THEP_CHI_TIET!$O$6:$O$399, THONG_KE_THEP_CHI_TIET!$E$6:$E$399, 12)</f>
        <v/>
      </c>
      <c r="H25" s="14" t="n">
        <v>50</v>
      </c>
      <c r="I25" s="27">
        <f>ROUNDUP(G25/H25, 0)</f>
        <v/>
      </c>
      <c r="J25" s="13" t="inlineStr">
        <is>
          <t>3 thanh kéo + 3 thanh uốn</t>
        </is>
      </c>
      <c r="K25" s="13" t="inlineStr">
        <is>
          <t>LAS-XD hợp chuẩn</t>
        </is>
      </c>
      <c r="L25" s="13" t="inlineStr">
        <is>
          <t>Bắt buộc có KQTN trước khi gia công</t>
        </is>
      </c>
    </row>
    <row r="26" ht="20" customHeight="1">
      <c r="A26" s="26" t="n">
        <v>3</v>
      </c>
      <c r="B26" s="6" t="inlineStr">
        <is>
          <t>Cốt thép thanh vằn Ø14mm (CB400-V)</t>
        </is>
      </c>
      <c r="C26" s="6" t="inlineStr">
        <is>
          <t>TCVN 1651-2:2018</t>
        </is>
      </c>
      <c r="D26" s="6" t="inlineStr">
        <is>
          <t>Giới hạn chảy Re, độ bền kéo Rm, Rm/Re, uốn 180°</t>
        </is>
      </c>
      <c r="E26" s="6" t="inlineStr">
        <is>
          <t>&lt;= 50 Tấn / lô / đường kính</t>
        </is>
      </c>
      <c r="F26" s="5" t="inlineStr">
        <is>
          <t>Tấn</t>
        </is>
      </c>
      <c r="G26" s="7">
        <f>SUMIFS(THONG_KE_THEP_CHI_TIET!$O$6:$O$399, THONG_KE_THEP_CHI_TIET!$E$6:$E$399, 14)</f>
        <v/>
      </c>
      <c r="H26" s="7" t="n">
        <v>50</v>
      </c>
      <c r="I26" s="27">
        <f>ROUNDUP(G26/H26, 0)</f>
        <v/>
      </c>
      <c r="J26" s="6" t="inlineStr">
        <is>
          <t>3 thanh kéo + 3 thanh uốn</t>
        </is>
      </c>
      <c r="K26" s="6" t="inlineStr">
        <is>
          <t>LAS-XD hợp chuẩn</t>
        </is>
      </c>
      <c r="L26" s="6" t="inlineStr">
        <is>
          <t>Bắt buộc có KQTN trước khi gia công</t>
        </is>
      </c>
    </row>
    <row r="27" ht="20" customHeight="1">
      <c r="A27" s="28" t="n">
        <v>4</v>
      </c>
      <c r="B27" s="13" t="inlineStr">
        <is>
          <t>Cốt thép thanh vằn Ø16mm (CB400-V)</t>
        </is>
      </c>
      <c r="C27" s="13" t="inlineStr">
        <is>
          <t>TCVN 1651-2:2018</t>
        </is>
      </c>
      <c r="D27" s="13" t="inlineStr">
        <is>
          <t>Giới hạn chảy Re, độ bền kéo Rm, Rm/Re, uốn 180°</t>
        </is>
      </c>
      <c r="E27" s="13" t="inlineStr">
        <is>
          <t>&lt;= 50 Tấn / lô / đường kính</t>
        </is>
      </c>
      <c r="F27" s="12" t="inlineStr">
        <is>
          <t>Tấn</t>
        </is>
      </c>
      <c r="G27" s="14">
        <f>SUMIFS(THONG_KE_THEP_CHI_TIET!$O$6:$O$399, THONG_KE_THEP_CHI_TIET!$E$6:$E$399, 16)</f>
        <v/>
      </c>
      <c r="H27" s="14" t="n">
        <v>50</v>
      </c>
      <c r="I27" s="27">
        <f>ROUNDUP(G27/H27, 0)</f>
        <v/>
      </c>
      <c r="J27" s="13" t="inlineStr">
        <is>
          <t>3 thanh kéo + 3 thanh uốn</t>
        </is>
      </c>
      <c r="K27" s="13" t="inlineStr">
        <is>
          <t>LAS-XD hợp chuẩn</t>
        </is>
      </c>
      <c r="L27" s="13" t="inlineStr">
        <is>
          <t>Bắt buộc có KQTN trước khi gia công</t>
        </is>
      </c>
    </row>
    <row r="28" ht="20" customHeight="1">
      <c r="A28" s="26" t="n">
        <v>5</v>
      </c>
      <c r="B28" s="6" t="inlineStr">
        <is>
          <t>Cốt thép thanh vằn Ø18mm (CB400-V)</t>
        </is>
      </c>
      <c r="C28" s="6" t="inlineStr">
        <is>
          <t>TCVN 1651-2:2018</t>
        </is>
      </c>
      <c r="D28" s="6" t="inlineStr">
        <is>
          <t>Giới hạn chảy Re, độ bền kéo Rm, Rm/Re, uốn 180°</t>
        </is>
      </c>
      <c r="E28" s="6" t="inlineStr">
        <is>
          <t>&lt;= 50 Tấn / lô / đường kính</t>
        </is>
      </c>
      <c r="F28" s="5" t="inlineStr">
        <is>
          <t>Tấn</t>
        </is>
      </c>
      <c r="G28" s="7">
        <f>SUMIFS(THONG_KE_THEP_CHI_TIET!$O$6:$O$399, THONG_KE_THEP_CHI_TIET!$E$6:$E$399, 18)</f>
        <v/>
      </c>
      <c r="H28" s="7" t="n">
        <v>50</v>
      </c>
      <c r="I28" s="27">
        <f>ROUNDUP(G28/H28, 0)</f>
        <v/>
      </c>
      <c r="J28" s="6" t="inlineStr">
        <is>
          <t>3 thanh kéo + 3 thanh uốn</t>
        </is>
      </c>
      <c r="K28" s="6" t="inlineStr">
        <is>
          <t>LAS-XD hợp chuẩn</t>
        </is>
      </c>
      <c r="L28" s="6" t="inlineStr">
        <is>
          <t>Bắt buộc có KQTN trước khi gia công</t>
        </is>
      </c>
    </row>
    <row r="29" ht="20" customHeight="1">
      <c r="A29" s="28" t="n">
        <v>6</v>
      </c>
      <c r="B29" s="13" t="inlineStr">
        <is>
          <t>Cốt thép thanh vằn Ø20mm (CB400-V)</t>
        </is>
      </c>
      <c r="C29" s="13" t="inlineStr">
        <is>
          <t>TCVN 1651-2:2018</t>
        </is>
      </c>
      <c r="D29" s="13" t="inlineStr">
        <is>
          <t>Giới hạn chảy Re, độ bền kéo Rm, Rm/Re, uốn 180°</t>
        </is>
      </c>
      <c r="E29" s="13" t="inlineStr">
        <is>
          <t>&lt;= 50 Tấn / lô / đường kính</t>
        </is>
      </c>
      <c r="F29" s="12" t="inlineStr">
        <is>
          <t>Tấn</t>
        </is>
      </c>
      <c r="G29" s="14">
        <f>SUMIFS(THONG_KE_THEP_CHI_TIET!$O$6:$O$399, THONG_KE_THEP_CHI_TIET!$E$6:$E$399, 20)</f>
        <v/>
      </c>
      <c r="H29" s="14" t="n">
        <v>50</v>
      </c>
      <c r="I29" s="27">
        <f>ROUNDUP(G29/H29, 0)</f>
        <v/>
      </c>
      <c r="J29" s="13" t="inlineStr">
        <is>
          <t>3 thanh kéo + 3 thanh uốn</t>
        </is>
      </c>
      <c r="K29" s="13" t="inlineStr">
        <is>
          <t>LAS-XD hợp chuẩn</t>
        </is>
      </c>
      <c r="L29" s="13" t="inlineStr">
        <is>
          <t>Bắt buộc có KQTN trước khi gia công</t>
        </is>
      </c>
    </row>
    <row r="30" ht="20" customHeight="1">
      <c r="A30" s="26" t="n">
        <v>7</v>
      </c>
      <c r="B30" s="6" t="inlineStr">
        <is>
          <t>Cốt thép thanh vằn Ø22mm (CB400-V)</t>
        </is>
      </c>
      <c r="C30" s="6" t="inlineStr">
        <is>
          <t>TCVN 1651-2:2018</t>
        </is>
      </c>
      <c r="D30" s="6" t="inlineStr">
        <is>
          <t>Giới hạn chảy Re, độ bền kéo Rm, Rm/Re, uốn 180°</t>
        </is>
      </c>
      <c r="E30" s="6" t="inlineStr">
        <is>
          <t>&lt;= 50 Tấn / lô / đường kính</t>
        </is>
      </c>
      <c r="F30" s="5" t="inlineStr">
        <is>
          <t>Tấn</t>
        </is>
      </c>
      <c r="G30" s="7">
        <f>SUMIFS(THONG_KE_THEP_CHI_TIET!$O$6:$O$399, THONG_KE_THEP_CHI_TIET!$E$6:$E$399, 22)</f>
        <v/>
      </c>
      <c r="H30" s="7" t="n">
        <v>50</v>
      </c>
      <c r="I30" s="27">
        <f>ROUNDUP(G30/H30, 0)</f>
        <v/>
      </c>
      <c r="J30" s="6" t="inlineStr">
        <is>
          <t>3 thanh kéo + 3 thanh uốn</t>
        </is>
      </c>
      <c r="K30" s="6" t="inlineStr">
        <is>
          <t>LAS-XD hợp chuẩn</t>
        </is>
      </c>
      <c r="L30" s="6" t="inlineStr">
        <is>
          <t>Bắt buộc có KQTN trước khi gia công</t>
        </is>
      </c>
    </row>
    <row r="31" ht="20" customHeight="1">
      <c r="A31" s="28" t="n">
        <v>8</v>
      </c>
      <c r="B31" s="13" t="inlineStr">
        <is>
          <t>Cốt thép thanh vằn Ø25mm (CB400-V)</t>
        </is>
      </c>
      <c r="C31" s="13" t="inlineStr">
        <is>
          <t>TCVN 1651-2:2018</t>
        </is>
      </c>
      <c r="D31" s="13" t="inlineStr">
        <is>
          <t>Giới hạn chảy Re, độ bền kéo Rm, Rm/Re, uốn 180°</t>
        </is>
      </c>
      <c r="E31" s="13" t="inlineStr">
        <is>
          <t>&lt;= 50 Tấn / lô / đường kính</t>
        </is>
      </c>
      <c r="F31" s="12" t="inlineStr">
        <is>
          <t>Tấn</t>
        </is>
      </c>
      <c r="G31" s="14">
        <f>SUMIFS(THONG_KE_THEP_CHI_TIET!$O$6:$O$399, THONG_KE_THEP_CHI_TIET!$E$6:$E$399, 25)</f>
        <v/>
      </c>
      <c r="H31" s="14" t="n">
        <v>50</v>
      </c>
      <c r="I31" s="27">
        <f>ROUNDUP(G31/H31, 0)</f>
        <v/>
      </c>
      <c r="J31" s="13" t="inlineStr">
        <is>
          <t>3 thanh kéo + 3 thanh uốn</t>
        </is>
      </c>
      <c r="K31" s="13" t="inlineStr">
        <is>
          <t>LAS-XD hợp chuẩn</t>
        </is>
      </c>
      <c r="L31" s="13" t="inlineStr">
        <is>
          <t>Bắt buộc có KQTN trước khi gia công</t>
        </is>
      </c>
    </row>
    <row r="32" ht="20" customHeight="1">
      <c r="A32" s="26" t="n">
        <v>9</v>
      </c>
      <c r="B32" s="6" t="inlineStr">
        <is>
          <t>Cốt thép thanh vằn Ø28mm (CB400-V)</t>
        </is>
      </c>
      <c r="C32" s="6" t="inlineStr">
        <is>
          <t>TCVN 1651-2:2018</t>
        </is>
      </c>
      <c r="D32" s="6" t="inlineStr">
        <is>
          <t>Giới hạn chảy Re, độ bền kéo Rm, Rm/Re, uốn 180°</t>
        </is>
      </c>
      <c r="E32" s="6" t="inlineStr">
        <is>
          <t>&lt;= 50 Tấn / lô / đường kính</t>
        </is>
      </c>
      <c r="F32" s="5" t="inlineStr">
        <is>
          <t>Tấn</t>
        </is>
      </c>
      <c r="G32" s="7">
        <f>SUMIFS(THONG_KE_THEP_CHI_TIET!$O$6:$O$399, THONG_KE_THEP_CHI_TIET!$E$6:$E$399, 28)</f>
        <v/>
      </c>
      <c r="H32" s="7" t="n">
        <v>50</v>
      </c>
      <c r="I32" s="27">
        <f>ROUNDUP(G32/H32, 0)</f>
        <v/>
      </c>
      <c r="J32" s="6" t="inlineStr">
        <is>
          <t>3 thanh kéo + 3 thanh uốn</t>
        </is>
      </c>
      <c r="K32" s="6" t="inlineStr">
        <is>
          <t>LAS-XD hợp chuẩn</t>
        </is>
      </c>
      <c r="L32" s="6" t="inlineStr">
        <is>
          <t>Bắt buộc có KQTN trước khi gia công</t>
        </is>
      </c>
    </row>
    <row r="33" ht="20" customHeight="1">
      <c r="A33" s="28" t="n">
        <v>10</v>
      </c>
      <c r="B33" s="13" t="inlineStr">
        <is>
          <t>Cốt thép thanh vằn Ø32mm (CB400-V)</t>
        </is>
      </c>
      <c r="C33" s="13" t="inlineStr">
        <is>
          <t>TCVN 1651-2:2018</t>
        </is>
      </c>
      <c r="D33" s="13" t="inlineStr">
        <is>
          <t>Giới hạn chảy Re, độ bền kéo Rm, Rm/Re, uốn 180°</t>
        </is>
      </c>
      <c r="E33" s="13" t="inlineStr">
        <is>
          <t>&lt;= 50 Tấn / lô / đường kính</t>
        </is>
      </c>
      <c r="F33" s="12" t="inlineStr">
        <is>
          <t>Tấn</t>
        </is>
      </c>
      <c r="G33" s="14">
        <f>SUMIFS(THONG_KE_THEP_CHI_TIET!$O$6:$O$399, THONG_KE_THEP_CHI_TIET!$E$6:$E$399, 32)</f>
        <v/>
      </c>
      <c r="H33" s="14" t="n">
        <v>50</v>
      </c>
      <c r="I33" s="27">
        <f>ROUNDUP(G33/H33, 0)</f>
        <v/>
      </c>
      <c r="J33" s="13" t="inlineStr">
        <is>
          <t>3 thanh kéo + 3 thanh uốn</t>
        </is>
      </c>
      <c r="K33" s="13" t="inlineStr">
        <is>
          <t>LAS-XD hợp chuẩn</t>
        </is>
      </c>
      <c r="L33" s="13" t="inlineStr">
        <is>
          <t>Bắt buộc có KQTN trước khi gia công</t>
        </is>
      </c>
    </row>
    <row r="34" ht="20" customHeight="1">
      <c r="A34" s="26" t="n">
        <v>11</v>
      </c>
      <c r="B34" s="6" t="inlineStr">
        <is>
          <t>Cáp thép DƯL 15.2mm (7 sợi xoắn)</t>
        </is>
      </c>
      <c r="C34" s="6" t="inlineStr">
        <is>
          <t>ASTM A416 / TCVN 10569</t>
        </is>
      </c>
      <c r="D34" s="6" t="inlineStr">
        <is>
          <t>Giới hạn chảy, lực kéo đứt &gt;=260.7kN, độ giãn dài</t>
        </is>
      </c>
      <c r="E34" s="6" t="inlineStr">
        <is>
          <t>&lt;= 20-50 Tấn / lô sản xuất</t>
        </is>
      </c>
      <c r="F34" s="5" t="inlineStr">
        <is>
          <t>Tấn</t>
        </is>
      </c>
      <c r="G34" s="7">
        <f>SUMIFS(THONG_KE_THEP_CHI_TIET!$O$6:$O$399, THONG_KE_THEP_CHI_TIET!$E$6:$E$399, 15.2)</f>
        <v/>
      </c>
      <c r="H34" s="7" t="n">
        <v>30</v>
      </c>
      <c r="I34" s="27">
        <f>ROUNDUP(G34/H34, 0)</f>
        <v/>
      </c>
      <c r="J34" s="6" t="inlineStr">
        <is>
          <t>3 tao cáp L=1.5m</t>
        </is>
      </c>
      <c r="K34" s="6" t="inlineStr">
        <is>
          <t>LAS-XD chuyên ngành</t>
        </is>
      </c>
      <c r="L34" s="6" t="inlineStr">
        <is>
          <t>Nghiệm thu trước khi xỏ cáp dầm</t>
        </is>
      </c>
    </row>
    <row r="35" ht="20" customHeight="1">
      <c r="A35" s="28" t="n">
        <v>12</v>
      </c>
      <c r="B35" s="13" t="inlineStr">
        <is>
          <t>Xi măng PCB40 (bao hoặc xá rời)</t>
        </is>
      </c>
      <c r="C35" s="13" t="inlineStr">
        <is>
          <t>TCVN 6260:2020</t>
        </is>
      </c>
      <c r="D35" s="13" t="inlineStr">
        <is>
          <t>Độ mịn, thời gian đông kết, nén R3, R7, R28</t>
        </is>
      </c>
      <c r="E35" s="13" t="inlineStr">
        <is>
          <t>&lt;= 100-200 Tấn / lô nhập kho</t>
        </is>
      </c>
      <c r="F35" s="12" t="inlineStr">
        <is>
          <t>Tấn</t>
        </is>
      </c>
      <c r="G35" s="14">
        <f>K18</f>
        <v/>
      </c>
      <c r="H35" s="14" t="n">
        <v>100</v>
      </c>
      <c r="I35" s="27">
        <f>ROUNDUP(G35/H35, 0)</f>
        <v/>
      </c>
      <c r="J35" s="13" t="inlineStr">
        <is>
          <t>1 tổ mẫu 10kg</t>
        </is>
      </c>
      <c r="K35" s="13" t="inlineStr">
        <is>
          <t>LAS-XD hợp chuẩn</t>
        </is>
      </c>
      <c r="L35" s="13" t="inlineStr">
        <is>
          <t>Kiểm tra từng lô xuất xưởng</t>
        </is>
      </c>
    </row>
    <row r="36" ht="20" customHeight="1">
      <c r="A36" s="26" t="n">
        <v>13</v>
      </c>
      <c r="B36" s="6" t="inlineStr">
        <is>
          <t>Cát vàng đổ bê tông (Mk &gt;= 2.5)</t>
        </is>
      </c>
      <c r="C36" s="6" t="inlineStr">
        <is>
          <t>TCVN 7570:2006</t>
        </is>
      </c>
      <c r="D36" s="6" t="inlineStr">
        <is>
          <t>Thành phần hạt, mô đun Mk, độ bẩn bùn sét, hữu cơ</t>
        </is>
      </c>
      <c r="E36" s="6" t="inlineStr">
        <is>
          <t>&lt;= 200-250 m3 / lô tập kết</t>
        </is>
      </c>
      <c r="F36" s="5" t="inlineStr">
        <is>
          <t>m3</t>
        </is>
      </c>
      <c r="G36" s="7">
        <f>L18</f>
        <v/>
      </c>
      <c r="H36" s="7" t="n">
        <v>200</v>
      </c>
      <c r="I36" s="27">
        <f>ROUNDUP(G36/H36, 0)</f>
        <v/>
      </c>
      <c r="J36" s="6" t="inlineStr">
        <is>
          <t>1 tổ mẫu 20kg</t>
        </is>
      </c>
      <c r="K36" s="6" t="inlineStr">
        <is>
          <t>LAS-XD hợp chuẩn</t>
        </is>
      </c>
      <c r="L36" s="6" t="inlineStr">
        <is>
          <t>Nghiệm thu bãi cát trước khi trộn</t>
        </is>
      </c>
    </row>
    <row r="37" ht="20" customHeight="1">
      <c r="A37" s="28" t="n">
        <v>14</v>
      </c>
      <c r="B37" s="13" t="inlineStr">
        <is>
          <t>Đá dăm 1x2 bê tông chọn lọc</t>
        </is>
      </c>
      <c r="C37" s="13" t="inlineStr">
        <is>
          <t>TCVN 7570:2006</t>
        </is>
      </c>
      <c r="D37" s="13" t="inlineStr">
        <is>
          <t>Thành phần hạt, độ nén dập, thoi dẹt, bùn bụi sét</t>
        </is>
      </c>
      <c r="E37" s="13" t="inlineStr">
        <is>
          <t>&lt;= 200-250 m3 / lô tập kết</t>
        </is>
      </c>
      <c r="F37" s="12" t="inlineStr">
        <is>
          <t>m3</t>
        </is>
      </c>
      <c r="G37" s="14">
        <f>M18</f>
        <v/>
      </c>
      <c r="H37" s="14" t="n">
        <v>200</v>
      </c>
      <c r="I37" s="27">
        <f>ROUNDUP(G37/H37, 0)</f>
        <v/>
      </c>
      <c r="J37" s="13" t="inlineStr">
        <is>
          <t>1 tổ mẫu 50kg</t>
        </is>
      </c>
      <c r="K37" s="13" t="inlineStr">
        <is>
          <t>LAS-XD hợp chuẩn</t>
        </is>
      </c>
      <c r="L37" s="13" t="inlineStr">
        <is>
          <t>Rửa đá sạch trước khi nạp trạm trộn</t>
        </is>
      </c>
    </row>
    <row r="38" ht="20" customHeight="1">
      <c r="A38" s="26" t="n">
        <v>15</v>
      </c>
      <c r="B38" s="6" t="inlineStr">
        <is>
          <t>Nước sạch trộn &amp; bảo dưỡng bê tông</t>
        </is>
      </c>
      <c r="C38" s="6" t="inlineStr">
        <is>
          <t>TCVN 4506:2012</t>
        </is>
      </c>
      <c r="D38" s="6" t="inlineStr">
        <is>
          <t>Hàm lượng muối tan, ion Cl-, pH, tạp chất hữu cơ</t>
        </is>
      </c>
      <c r="E38" s="6" t="inlineStr">
        <is>
          <t>1 mẫu / nguồn cấp nước thi công</t>
        </is>
      </c>
      <c r="F38" s="5" t="inlineStr">
        <is>
          <t>Nguồn</t>
        </is>
      </c>
      <c r="G38" s="7">
        <f>N18</f>
        <v/>
      </c>
      <c r="H38" s="7" t="n">
        <v>1</v>
      </c>
      <c r="I38" s="27">
        <f>ROUNDUP(G38/H38, 0)</f>
        <v/>
      </c>
      <c r="J38" s="6" t="inlineStr">
        <is>
          <t>1 can 5 lít</t>
        </is>
      </c>
      <c r="K38" s="6" t="inlineStr">
        <is>
          <t>LAS-XD hợp chuẩn</t>
        </is>
      </c>
      <c r="L38" s="6" t="inlineStr">
        <is>
          <t>Chấp thuận nguồn nước trước khi thi công</t>
        </is>
      </c>
    </row>
    <row r="39" ht="20" customHeight="1">
      <c r="A39" s="28" t="n">
        <v>16</v>
      </c>
      <c r="B39" s="13" t="inlineStr">
        <is>
          <t>Phụ gia hoá dẻo, siêu dẻo &amp; chậm đông kết</t>
        </is>
      </c>
      <c r="C39" s="13" t="inlineStr">
        <is>
          <t>TCVN 8826:2011</t>
        </is>
      </c>
      <c r="D39" s="13" t="inlineStr">
        <is>
          <t>Tỷ trọng, độ pH, hàm lượng Cl-, tương thích xi măng</t>
        </is>
      </c>
      <c r="E39" s="13" t="inlineStr">
        <is>
          <t>1 mẫu / lô nhập xưởng (hoặc CO/CQ)</t>
        </is>
      </c>
      <c r="F39" s="12" t="inlineStr">
        <is>
          <t>Lô</t>
        </is>
      </c>
      <c r="G39" s="14">
        <f>O18</f>
        <v/>
      </c>
      <c r="H39" s="14" t="n">
        <v>1</v>
      </c>
      <c r="I39" s="27">
        <f>ROUNDUP(G39/H39, 0)</f>
        <v/>
      </c>
      <c r="J39" s="13" t="inlineStr">
        <is>
          <t>1 chai 1 lít / lô</t>
        </is>
      </c>
      <c r="K39" s="13" t="inlineStr">
        <is>
          <t>LAS-XD hợp chuẩn</t>
        </is>
      </c>
      <c r="L39" s="13" t="inlineStr">
        <is>
          <t>Chấp thuận trước khi trộn hàng loạt</t>
        </is>
      </c>
    </row>
    <row r="40" ht="20" customHeight="1">
      <c r="A40" s="26" t="n">
        <v>17</v>
      </c>
      <c r="B40" s="6" t="inlineStr">
        <is>
          <t>Độ sụt bê tông tươi tại hiện trường</t>
        </is>
      </c>
      <c r="C40" s="6" t="inlineStr">
        <is>
          <t>TCVN 3106:1993</t>
        </is>
      </c>
      <c r="D40" s="6" t="inlineStr">
        <is>
          <t>Đo độ sụt kiểm tra tính công tác hỗn hợp</t>
        </is>
      </c>
      <c r="E40" s="6" t="inlineStr">
        <is>
          <t>100% các xe / mẻ trộn trước khi đổ</t>
        </is>
      </c>
      <c r="F40" s="5" t="inlineStr">
        <is>
          <t>Xe</t>
        </is>
      </c>
      <c r="G40" s="7">
        <f>ROUNDUP(J18/8, 0)</f>
        <v/>
      </c>
      <c r="H40" s="7" t="n">
        <v>1</v>
      </c>
      <c r="I40" s="27">
        <f>ROUNDUP(G40/H40, 0)</f>
        <v/>
      </c>
      <c r="J40" s="6" t="inlineStr">
        <is>
          <t>1 nón thử sụt / xe</t>
        </is>
      </c>
      <c r="K40" s="6" t="inlineStr">
        <is>
          <t>Bộ phận KCS &amp; TVGS</t>
        </is>
      </c>
      <c r="L40" s="6" t="inlineStr">
        <is>
          <t>Đạt độ sụt mới cho phép xả bê tông</t>
        </is>
      </c>
    </row>
    <row r="41" ht="20" customHeight="1">
      <c r="A41" s="28" t="n">
        <v>18</v>
      </c>
      <c r="B41" s="13" t="inlineStr">
        <is>
          <t>Mẫu nén bê tông Cọc khoan nhồi C30</t>
        </is>
      </c>
      <c r="C41" s="13" t="inlineStr">
        <is>
          <t>TCVN 3118:1993</t>
        </is>
      </c>
      <c r="D41" s="13" t="inlineStr">
        <is>
          <t>Cường độ chịu nén mẫu lập phương R7, R28</t>
        </is>
      </c>
      <c r="E41" s="13" t="inlineStr">
        <is>
          <t>Mỗi cọc 1-2 tổ (&lt;= 50m3 / tổ mẫu)</t>
        </is>
      </c>
      <c r="F41" s="12" t="inlineStr">
        <is>
          <t>Tổ</t>
        </is>
      </c>
      <c r="G41" s="14">
        <f>J11</f>
        <v/>
      </c>
      <c r="H41" s="14" t="n">
        <v>20</v>
      </c>
      <c r="I41" s="27">
        <f>ROUNDUP(G41/H41, 0)</f>
        <v/>
      </c>
      <c r="J41" s="13" t="inlineStr">
        <is>
          <t>3 viên R7 + 3 viên R28</t>
        </is>
      </c>
      <c r="K41" s="13" t="inlineStr">
        <is>
          <t>LAS-XD hợp chuẩn</t>
        </is>
      </c>
      <c r="L41" s="13" t="inlineStr">
        <is>
          <t>Đạt R28 nghiệm thu cấu kiện cọc</t>
        </is>
      </c>
    </row>
    <row r="42" ht="20" customHeight="1">
      <c r="A42" s="26" t="n">
        <v>19</v>
      </c>
      <c r="B42" s="6" t="inlineStr">
        <is>
          <t>Mẫu nén bê tông Móng &amp; Thân mố M1, M2</t>
        </is>
      </c>
      <c r="C42" s="6" t="inlineStr">
        <is>
          <t>TCVN 3118:1993</t>
        </is>
      </c>
      <c r="D42" s="6" t="inlineStr">
        <is>
          <t>Cường độ chịu nén mẫu lập phương R7, R28</t>
        </is>
      </c>
      <c r="E42" s="6" t="inlineStr">
        <is>
          <t>&lt;= 50m3 hoặc 1 ca đổ đúc 1 tổ</t>
        </is>
      </c>
      <c r="F42" s="5" t="inlineStr">
        <is>
          <t>Tổ</t>
        </is>
      </c>
      <c r="G42" s="7">
        <f>J12</f>
        <v/>
      </c>
      <c r="H42" s="7" t="n">
        <v>40</v>
      </c>
      <c r="I42" s="27">
        <f>ROUNDUP(G42/H42, 0)</f>
        <v/>
      </c>
      <c r="J42" s="6" t="inlineStr">
        <is>
          <t>3 viên R7 + 3 viên R28</t>
        </is>
      </c>
      <c r="K42" s="6" t="inlineStr">
        <is>
          <t>LAS-XD hợp chuẩn</t>
        </is>
      </c>
      <c r="L42" s="6" t="inlineStr">
        <is>
          <t>Đạt R28 nghiệm thu chuyển bước</t>
        </is>
      </c>
    </row>
    <row r="43" ht="20" customHeight="1">
      <c r="A43" s="28" t="n">
        <v>20</v>
      </c>
      <c r="B43" s="13" t="inlineStr">
        <is>
          <t>Mẫu nén bê tông Bệ trụ &amp; Thân trụ T1, T2</t>
        </is>
      </c>
      <c r="C43" s="13" t="inlineStr">
        <is>
          <t>TCVN 3118:1993</t>
        </is>
      </c>
      <c r="D43" s="13" t="inlineStr">
        <is>
          <t>Cường độ chịu nén mẫu lập phương R7, R28</t>
        </is>
      </c>
      <c r="E43" s="13" t="inlineStr">
        <is>
          <t>&lt;= 50m3 hoặc 1 ca đổ đúc 1 tổ</t>
        </is>
      </c>
      <c r="F43" s="12" t="inlineStr">
        <is>
          <t>Tổ</t>
        </is>
      </c>
      <c r="G43" s="14">
        <f>J13</f>
        <v/>
      </c>
      <c r="H43" s="14" t="n">
        <v>40</v>
      </c>
      <c r="I43" s="27">
        <f>ROUNDUP(G43/H43, 0)</f>
        <v/>
      </c>
      <c r="J43" s="13" t="inlineStr">
        <is>
          <t>3 viên R7 + 3 viên R28</t>
        </is>
      </c>
      <c r="K43" s="13" t="inlineStr">
        <is>
          <t>LAS-XD hợp chuẩn</t>
        </is>
      </c>
      <c r="L43" s="13" t="inlineStr">
        <is>
          <t>Đạt R28 cho phép thi công thân/xà mũ</t>
        </is>
      </c>
    </row>
    <row r="44" ht="20" customHeight="1">
      <c r="A44" s="26" t="n">
        <v>21</v>
      </c>
      <c r="B44" s="6" t="inlineStr">
        <is>
          <t>Mẫu nén bê tông Xà mũ trụ T1, T2 C35</t>
        </is>
      </c>
      <c r="C44" s="6" t="inlineStr">
        <is>
          <t>TCVN 3118:1993</t>
        </is>
      </c>
      <c r="D44" s="6" t="inlineStr">
        <is>
          <t>Cường độ chịu nén mẫu lập phương R7, R28</t>
        </is>
      </c>
      <c r="E44" s="6" t="inlineStr">
        <is>
          <t>&lt;= 50m3 hoặc 1 ca đổ đúc 1 tổ</t>
        </is>
      </c>
      <c r="F44" s="5" t="inlineStr">
        <is>
          <t>Tổ</t>
        </is>
      </c>
      <c r="G44" s="7">
        <f>J14</f>
        <v/>
      </c>
      <c r="H44" s="7" t="n">
        <v>36</v>
      </c>
      <c r="I44" s="27">
        <f>ROUNDUP(G44/H44, 0)</f>
        <v/>
      </c>
      <c r="J44" s="6" t="inlineStr">
        <is>
          <t>3 viên R7 + 3 viên R28</t>
        </is>
      </c>
      <c r="K44" s="6" t="inlineStr">
        <is>
          <t>LAS-XD hợp chuẩn</t>
        </is>
      </c>
      <c r="L44" s="6" t="inlineStr">
        <is>
          <t>Đạt R28 cho phép đặt gối và lao dầm</t>
        </is>
      </c>
    </row>
    <row r="45" ht="20" customHeight="1">
      <c r="A45" s="28" t="n">
        <v>22</v>
      </c>
      <c r="B45" s="13" t="inlineStr">
        <is>
          <t>Mẫu nén bê tông Dầm Super-T C45 (15 phiến)</t>
        </is>
      </c>
      <c r="C45" s="13" t="inlineStr">
        <is>
          <t>TCVN 3118:1993</t>
        </is>
      </c>
      <c r="D45" s="13" t="inlineStr">
        <is>
          <t>Cường độ nén trước kéo cáp &gt;=85%, R7, R28</t>
        </is>
      </c>
      <c r="E45" s="13" t="inlineStr">
        <is>
          <t>Mỗi phiến dầm tối thiểu 3 tổ mẫu</t>
        </is>
      </c>
      <c r="F45" s="12" t="inlineStr">
        <is>
          <t>Tổ</t>
        </is>
      </c>
      <c r="G45" s="14">
        <f>J16</f>
        <v/>
      </c>
      <c r="H45" s="14" t="n">
        <v>9.66</v>
      </c>
      <c r="I45" s="27">
        <f>ROUNDUP(G45/H45, 0)</f>
        <v/>
      </c>
      <c r="J45" s="13" t="inlineStr">
        <is>
          <t>3 tổ (9 viên) / phiến dầm</t>
        </is>
      </c>
      <c r="K45" s="13" t="inlineStr">
        <is>
          <t>LAS-XD hợp chuẩn</t>
        </is>
      </c>
      <c r="L45" s="13" t="inlineStr">
        <is>
          <t>Đạt R kéo &gt;= 85% mới cho kích cáp</t>
        </is>
      </c>
    </row>
    <row r="46" ht="20" customHeight="1">
      <c r="A46" s="26" t="n">
        <v>23</v>
      </c>
      <c r="B46" s="6" t="inlineStr">
        <is>
          <t>Mẫu nén bê tông Bản mặt cầu &amp; Dầm ngang</t>
        </is>
      </c>
      <c r="C46" s="6" t="inlineStr">
        <is>
          <t>TCVN 3118:1993</t>
        </is>
      </c>
      <c r="D46" s="6" t="inlineStr">
        <is>
          <t>Cường độ chịu nén mẫu lập phương R7, R28</t>
        </is>
      </c>
      <c r="E46" s="6" t="inlineStr">
        <is>
          <t>&lt;= 50m3 hoặc 1 ca đổ đúc 1 tổ</t>
        </is>
      </c>
      <c r="F46" s="5" t="inlineStr">
        <is>
          <t>Tổ</t>
        </is>
      </c>
      <c r="G46" s="7">
        <f>J15</f>
        <v/>
      </c>
      <c r="H46" s="7" t="n">
        <v>40</v>
      </c>
      <c r="I46" s="27">
        <f>ROUNDUP(G46/H46, 0)</f>
        <v/>
      </c>
      <c r="J46" s="6" t="inlineStr">
        <is>
          <t>3 viên R7 + 3 viên R28</t>
        </is>
      </c>
      <c r="K46" s="6" t="inlineStr">
        <is>
          <t>LAS-XD hợp chuẩn</t>
        </is>
      </c>
      <c r="L46" s="6" t="inlineStr">
        <is>
          <t>Đạt R28 nghiệm thu hoàn thành BMC</t>
        </is>
      </c>
    </row>
    <row r="47" ht="20" customHeight="1">
      <c r="A47" s="28" t="n">
        <v>24</v>
      </c>
      <c r="B47" s="13" t="inlineStr">
        <is>
          <t>Mẫu nén bê tông Bản quá độ &amp; Gờ lan can C25</t>
        </is>
      </c>
      <c r="C47" s="13" t="inlineStr">
        <is>
          <t>TCVN 3118:1993</t>
        </is>
      </c>
      <c r="D47" s="13" t="inlineStr">
        <is>
          <t>Cường độ chịu nén mẫu lập phương R7, R28</t>
        </is>
      </c>
      <c r="E47" s="13" t="inlineStr">
        <is>
          <t>&lt;= 50m3 hoặc 1 ca đổ đúc 1 tổ</t>
        </is>
      </c>
      <c r="F47" s="12" t="inlineStr">
        <is>
          <t>Tổ</t>
        </is>
      </c>
      <c r="G47" s="14">
        <f>J10</f>
        <v/>
      </c>
      <c r="H47" s="14" t="n">
        <v>40</v>
      </c>
      <c r="I47" s="27">
        <f>ROUNDUP(G47/H47, 0)</f>
        <v/>
      </c>
      <c r="J47" s="13" t="inlineStr">
        <is>
          <t>3 viên R7 + 3 viên R28</t>
        </is>
      </c>
      <c r="K47" s="13" t="inlineStr">
        <is>
          <t>LAS-XD hợp chuẩn</t>
        </is>
      </c>
      <c r="L47" s="13" t="inlineStr">
        <is>
          <t>Đạt R28 nghiệm thu KCS</t>
        </is>
      </c>
    </row>
    <row r="48" ht="20" customHeight="1">
      <c r="A48" s="26" t="n">
        <v>25</v>
      </c>
      <c r="B48" s="6" t="inlineStr">
        <is>
          <t>Mẫu nén bê tông lót đệm C10</t>
        </is>
      </c>
      <c r="C48" s="6" t="inlineStr">
        <is>
          <t>TCVN 3118:1993</t>
        </is>
      </c>
      <c r="D48" s="6" t="inlineStr">
        <is>
          <t>Cường độ chịu nén mẫu lập phương R28</t>
        </is>
      </c>
      <c r="E48" s="6" t="inlineStr">
        <is>
          <t>Mỗi hạng mục móng đúc 1 tổ mẫu</t>
        </is>
      </c>
      <c r="F48" s="5" t="inlineStr">
        <is>
          <t>Tổ</t>
        </is>
      </c>
      <c r="G48" s="7">
        <f>J9</f>
        <v/>
      </c>
      <c r="H48" s="7" t="n">
        <v>15</v>
      </c>
      <c r="I48" s="27">
        <f>ROUNDUP(G48/H48, 0)</f>
        <v/>
      </c>
      <c r="J48" s="6" t="inlineStr">
        <is>
          <t>3 viên nén R28</t>
        </is>
      </c>
      <c r="K48" s="6" t="inlineStr">
        <is>
          <t>LAS-XD hợp chuẩn</t>
        </is>
      </c>
      <c r="L48" s="6" t="inlineStr">
        <is>
          <t>Đạt R28 nghiệm thu bê tông lót</t>
        </is>
      </c>
    </row>
    <row r="49" ht="20" customHeight="1">
      <c r="A49" s="28" t="n">
        <v>26</v>
      </c>
      <c r="B49" s="13" t="inlineStr">
        <is>
          <t>Mẫu nén vữa chèn khe co giãn không co ngót</t>
        </is>
      </c>
      <c r="C49" s="13" t="inlineStr">
        <is>
          <t>TCVN 9204:2012</t>
        </is>
      </c>
      <c r="D49" s="13" t="inlineStr">
        <is>
          <t>Cường độ nén vữa R3, R7, R28 (&gt;=40MPa)</t>
        </is>
      </c>
      <c r="E49" s="13" t="inlineStr">
        <is>
          <t>Mỗi khe co giãn đúc 1 tổ mẫu</t>
        </is>
      </c>
      <c r="F49" s="12" t="inlineStr">
        <is>
          <t>Tổ</t>
        </is>
      </c>
      <c r="G49" s="14">
        <f>J17</f>
        <v/>
      </c>
      <c r="H49" s="14" t="n">
        <v>1.5</v>
      </c>
      <c r="I49" s="27">
        <f>ROUNDUP(G49/H49, 0)</f>
        <v/>
      </c>
      <c r="J49" s="13" t="inlineStr">
        <is>
          <t>3 viên R7 + 3 viên R28</t>
        </is>
      </c>
      <c r="K49" s="13" t="inlineStr">
        <is>
          <t>LAS-XD hợp chuẩn</t>
        </is>
      </c>
      <c r="L49" s="13" t="inlineStr">
        <is>
          <t>Đạt R28 trước khi thông xe</t>
        </is>
      </c>
    </row>
    <row r="50" ht="20" customHeight="1">
      <c r="A50" s="26" t="n">
        <v>27</v>
      </c>
      <c r="B50" s="6" t="inlineStr">
        <is>
          <t>Siêu âm kiểm tra độ đồng nhất cọc D1200</t>
        </is>
      </c>
      <c r="C50" s="6" t="inlineStr">
        <is>
          <t>TCVN 9396:2012 / ASTM D6760</t>
        </is>
      </c>
      <c r="D50" s="6" t="inlineStr">
        <is>
          <t>Thời gian truyền sóng, suy giảm biên độ sóng âm</t>
        </is>
      </c>
      <c r="E50" s="6" t="inlineStr">
        <is>
          <t>100% số cọc (6 mặt cắt / cọc 4 ống sonic)</t>
        </is>
      </c>
      <c r="F50" s="5" t="inlineStr">
        <is>
          <t>Mặt cắt</t>
        </is>
      </c>
      <c r="G50" s="7" t="n">
        <v>156</v>
      </c>
      <c r="H50" s="7" t="n">
        <v>1</v>
      </c>
      <c r="I50" s="27">
        <f>ROUNDUP(G50/H50, 0)</f>
        <v/>
      </c>
      <c r="J50" s="6" t="inlineStr">
        <is>
          <t>6 mặt cắt / cọc</t>
        </is>
      </c>
      <c r="K50" s="6" t="inlineStr">
        <is>
          <t>LAS-XD chuyên ngành</t>
        </is>
      </c>
      <c r="L50" s="6" t="inlineStr">
        <is>
          <t>100% cọc đạt khuyết tật loại 1</t>
        </is>
      </c>
    </row>
    <row r="51" ht="20" customHeight="1">
      <c r="A51" s="28" t="n">
        <v>28</v>
      </c>
      <c r="B51" s="13" t="inlineStr">
        <is>
          <t>Thí nghiệm thử tải động biến dạng lớn PDA</t>
        </is>
      </c>
      <c r="C51" s="13" t="inlineStr">
        <is>
          <t>ASTM D4945 / TCVN 11321</t>
        </is>
      </c>
      <c r="D51" s="13" t="inlineStr">
        <is>
          <t>Sức chịu tải giới hạn cọc, tính toàn vẹn cọc BTA</t>
        </is>
      </c>
      <c r="E51" s="13" t="inlineStr">
        <is>
          <t>Tối thiểu 1% số cọc (1 cọc thử PDA)</t>
        </is>
      </c>
      <c r="F51" s="12" t="inlineStr">
        <is>
          <t>Cọc</t>
        </is>
      </c>
      <c r="G51" s="14" t="n">
        <v>1</v>
      </c>
      <c r="H51" s="14" t="n">
        <v>1</v>
      </c>
      <c r="I51" s="27">
        <f>ROUNDUP(G51/H51, 0)</f>
        <v/>
      </c>
      <c r="J51" s="13" t="inlineStr">
        <is>
          <t>1 cọc đại diện</t>
        </is>
      </c>
      <c r="K51" s="13" t="inlineStr">
        <is>
          <t>LAS-XD chuyên ngành</t>
        </is>
      </c>
      <c r="L51" s="13" t="inlineStr">
        <is>
          <t>Đạt sức chịu tải thiết kế Qtk&gt;=450T</t>
        </is>
      </c>
    </row>
    <row r="52" ht="20" customHeight="1">
      <c r="A52" s="26" t="n">
        <v>29</v>
      </c>
      <c r="B52" s="6" t="inlineStr">
        <is>
          <t>Khoan kiểm tra tiếp xúc mũi cọc &amp; đáy cọc</t>
        </is>
      </c>
      <c r="C52" s="6" t="inlineStr">
        <is>
          <t>TCVN 9395:2012</t>
        </is>
      </c>
      <c r="D52" s="6" t="inlineStr">
        <is>
          <t>Đo chiều dày lớp cặn lắng, độ ngậm đá gốc</t>
        </is>
      </c>
      <c r="E52" s="6" t="inlineStr">
        <is>
          <t>Khoan kiểm tra theo chỉ định (4 cọc)</t>
        </is>
      </c>
      <c r="F52" s="5" t="inlineStr">
        <is>
          <t>Cọc</t>
        </is>
      </c>
      <c r="G52" s="7" t="n">
        <v>4</v>
      </c>
      <c r="H52" s="7" t="n">
        <v>1</v>
      </c>
      <c r="I52" s="27">
        <f>ROUNDUP(G52/H52, 0)</f>
        <v/>
      </c>
      <c r="J52" s="6" t="inlineStr">
        <is>
          <t>4 cọc kiểm tra</t>
        </is>
      </c>
      <c r="K52" s="6" t="inlineStr">
        <is>
          <t>LAS-XD chuyên ngành</t>
        </is>
      </c>
      <c r="L52" s="6" t="inlineStr">
        <is>
          <t>Cặn lắng &lt;= 5cm, ngậm đá gốc &gt;=1m</t>
        </is>
      </c>
    </row>
    <row r="53" ht="24" customHeight="1">
      <c r="A53" s="19" t="inlineStr">
        <is>
          <t>TỔNG SỐ TỔ MẪU THÍ NGHIỆM VÀ PHÉP THỬ KCS BẮT BUỘC TOÀN CÔNG TRÌNH</t>
        </is>
      </c>
      <c r="B53" s="20" t="n"/>
      <c r="C53" s="20" t="n"/>
      <c r="D53" s="20" t="n"/>
      <c r="E53" s="20" t="n"/>
      <c r="F53" s="20" t="n"/>
      <c r="G53" s="20" t="n"/>
      <c r="H53" s="21" t="n"/>
      <c r="I53" s="29">
        <f>SUM(I24:I52)</f>
        <v/>
      </c>
      <c r="J53" s="24" t="inlineStr">
        <is>
          <t>Tổng số tổ mẫu nén, kéo uốn và siêu âm KCS hoàn chỉnh</t>
        </is>
      </c>
      <c r="K53" s="20" t="n"/>
      <c r="L53" s="21" t="n"/>
    </row>
  </sheetData>
  <mergeCells count="3">
    <mergeCell ref="A18:I18"/>
    <mergeCell ref="A53:H53"/>
    <mergeCell ref="J53:L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30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31" t="inlineStr">
        <is>
          <t>PHẦN I: THI CÔNG CỌC KHOAN NHỒI D1200MM &amp; THÍ NGHIỆM KIỂM SOÁT</t>
        </is>
      </c>
    </row>
    <row r="7" ht="22" customHeight="1">
      <c r="A7" s="32" t="inlineStr">
        <is>
          <t>1</t>
        </is>
      </c>
      <c r="B7" s="32" t="inlineStr">
        <is>
          <t>AC.11111</t>
        </is>
      </c>
      <c r="C7" s="33" t="inlineStr">
        <is>
          <t>Khoan tạo lỗ cọc khoan nhồi D1200mm vào đất và đá gốc (26 cọc)</t>
        </is>
      </c>
      <c r="D7" s="32" t="inlineStr">
        <is>
          <t>m</t>
        </is>
      </c>
      <c r="E7" s="34" t="n"/>
      <c r="F7" s="34" t="n"/>
      <c r="G7" s="34" t="n"/>
      <c r="H7" s="34" t="n"/>
      <c r="I7" s="34" t="n"/>
      <c r="J7" s="35">
        <f>SUM(J8:J11)</f>
        <v/>
      </c>
      <c r="K7" s="36" t="n">
        <v>2850000</v>
      </c>
      <c r="L7" s="37">
        <f>J7*K7</f>
        <v/>
      </c>
    </row>
    <row r="8" ht="19" customHeight="1">
      <c r="A8" s="38" t="n"/>
      <c r="B8" s="38" t="n"/>
      <c r="C8" s="13" t="inlineStr">
        <is>
          <t>- Cọc mố M1: 3 cọc chiều sâu L=20.0m</t>
        </is>
      </c>
      <c r="D8" s="12" t="inlineStr">
        <is>
          <t>m</t>
        </is>
      </c>
      <c r="E8" s="18" t="n">
        <v>3</v>
      </c>
      <c r="F8" s="18" t="n">
        <v>20</v>
      </c>
      <c r="G8" s="18" t="n">
        <v>1</v>
      </c>
      <c r="H8" s="18" t="n">
        <v>1</v>
      </c>
      <c r="I8" s="39" t="n">
        <v>1</v>
      </c>
      <c r="J8" s="40">
        <f>E8*F8*G8*H8*I8</f>
        <v/>
      </c>
      <c r="K8" s="38" t="n"/>
      <c r="L8" s="38" t="n"/>
    </row>
    <row r="9" ht="19" customHeight="1">
      <c r="A9" s="38" t="n"/>
      <c r="B9" s="38" t="n"/>
      <c r="C9" s="13" t="inlineStr">
        <is>
          <t>- Cọc trụ T1: 8 cọc chiều sâu L=40.0m</t>
        </is>
      </c>
      <c r="D9" s="12" t="inlineStr">
        <is>
          <t>m</t>
        </is>
      </c>
      <c r="E9" s="18" t="n">
        <v>8</v>
      </c>
      <c r="F9" s="18" t="n">
        <v>40</v>
      </c>
      <c r="G9" s="18" t="n">
        <v>1</v>
      </c>
      <c r="H9" s="18" t="n">
        <v>1</v>
      </c>
      <c r="I9" s="39" t="n">
        <v>1</v>
      </c>
      <c r="J9" s="40">
        <f>E9*F9*G9*H9*I9</f>
        <v/>
      </c>
      <c r="K9" s="38" t="n"/>
      <c r="L9" s="38" t="n"/>
    </row>
    <row r="10" ht="19" customHeight="1">
      <c r="A10" s="38" t="n"/>
      <c r="B10" s="38" t="n"/>
      <c r="C10" s="13" t="inlineStr">
        <is>
          <t>- Cọc trụ T2: 8 cọc chiều sâu L=30.0m</t>
        </is>
      </c>
      <c r="D10" s="12" t="inlineStr">
        <is>
          <t>m</t>
        </is>
      </c>
      <c r="E10" s="18" t="n">
        <v>8</v>
      </c>
      <c r="F10" s="18" t="n">
        <v>30</v>
      </c>
      <c r="G10" s="18" t="n">
        <v>1</v>
      </c>
      <c r="H10" s="18" t="n">
        <v>1</v>
      </c>
      <c r="I10" s="39" t="n">
        <v>1</v>
      </c>
      <c r="J10" s="40">
        <f>E10*F10*G10*H10*I10</f>
        <v/>
      </c>
      <c r="K10" s="38" t="n"/>
      <c r="L10" s="38" t="n"/>
    </row>
    <row r="11" ht="19" customHeight="1">
      <c r="A11" s="38" t="n"/>
      <c r="B11" s="38" t="n"/>
      <c r="C11" s="13" t="inlineStr">
        <is>
          <t>- Cọc mố M2: 7 cọc chiều sâu L=36.0m</t>
        </is>
      </c>
      <c r="D11" s="12" t="inlineStr">
        <is>
          <t>m</t>
        </is>
      </c>
      <c r="E11" s="18" t="n">
        <v>7</v>
      </c>
      <c r="F11" s="18" t="n">
        <v>36</v>
      </c>
      <c r="G11" s="18" t="n">
        <v>1</v>
      </c>
      <c r="H11" s="18" t="n">
        <v>1</v>
      </c>
      <c r="I11" s="39" t="n">
        <v>1</v>
      </c>
      <c r="J11" s="40">
        <f>E11*F11*G11*H11*I11</f>
        <v/>
      </c>
      <c r="K11" s="38" t="n"/>
      <c r="L11" s="38" t="n"/>
    </row>
    <row r="12" ht="22" customHeight="1">
      <c r="A12" s="32" t="inlineStr">
        <is>
          <t>2</t>
        </is>
      </c>
      <c r="B12" s="32" t="inlineStr">
        <is>
          <t>AC.12111</t>
        </is>
      </c>
      <c r="C12" s="33" t="inlineStr">
        <is>
          <t>Hạ và nhổ ống vách thép dẫn hướng D1300mm d=8mm (luân chuyển)</t>
        </is>
      </c>
      <c r="D12" s="32" t="inlineStr">
        <is>
          <t>m</t>
        </is>
      </c>
      <c r="E12" s="34" t="n"/>
      <c r="F12" s="34" t="n"/>
      <c r="G12" s="34" t="n"/>
      <c r="H12" s="34" t="n"/>
      <c r="I12" s="34" t="n"/>
      <c r="J12" s="35">
        <f>SUM(J13:J16)</f>
        <v/>
      </c>
      <c r="K12" s="36" t="n">
        <v>1450000</v>
      </c>
      <c r="L12" s="37">
        <f>J12*K12</f>
        <v/>
      </c>
    </row>
    <row r="13" ht="19" customHeight="1">
      <c r="A13" s="38" t="n"/>
      <c r="B13" s="38" t="n"/>
      <c r="C13" s="13" t="inlineStr">
        <is>
          <t>- Ống vách thép cọc mố M1 (3 cọc x 6m)</t>
        </is>
      </c>
      <c r="D13" s="12" t="inlineStr">
        <is>
          <t>m</t>
        </is>
      </c>
      <c r="E13" s="18" t="n">
        <v>3</v>
      </c>
      <c r="F13" s="18" t="n">
        <v>6</v>
      </c>
      <c r="G13" s="18" t="n">
        <v>1</v>
      </c>
      <c r="H13" s="18" t="n">
        <v>1</v>
      </c>
      <c r="I13" s="39" t="n">
        <v>1</v>
      </c>
      <c r="J13" s="40">
        <f>E13*F13*G13*H13*I13</f>
        <v/>
      </c>
      <c r="K13" s="38" t="n"/>
      <c r="L13" s="38" t="n"/>
    </row>
    <row r="14" ht="19" customHeight="1">
      <c r="A14" s="38" t="n"/>
      <c r="B14" s="38" t="n"/>
      <c r="C14" s="13" t="inlineStr">
        <is>
          <t>- Ống vách thép cọc trụ T1 (8 cọc x 6m)</t>
        </is>
      </c>
      <c r="D14" s="12" t="inlineStr">
        <is>
          <t>m</t>
        </is>
      </c>
      <c r="E14" s="18" t="n">
        <v>8</v>
      </c>
      <c r="F14" s="18" t="n">
        <v>6</v>
      </c>
      <c r="G14" s="18" t="n">
        <v>1</v>
      </c>
      <c r="H14" s="18" t="n">
        <v>1</v>
      </c>
      <c r="I14" s="39" t="n">
        <v>1</v>
      </c>
      <c r="J14" s="40">
        <f>E14*F14*G14*H14*I14</f>
        <v/>
      </c>
      <c r="K14" s="38" t="n"/>
      <c r="L14" s="38" t="n"/>
    </row>
    <row r="15" ht="19" customHeight="1">
      <c r="A15" s="38" t="n"/>
      <c r="B15" s="38" t="n"/>
      <c r="C15" s="13" t="inlineStr">
        <is>
          <t>- Ống vách thép cọc trụ T2 (8 cọc x 6m)</t>
        </is>
      </c>
      <c r="D15" s="12" t="inlineStr">
        <is>
          <t>m</t>
        </is>
      </c>
      <c r="E15" s="18" t="n">
        <v>8</v>
      </c>
      <c r="F15" s="18" t="n">
        <v>6</v>
      </c>
      <c r="G15" s="18" t="n">
        <v>1</v>
      </c>
      <c r="H15" s="18" t="n">
        <v>1</v>
      </c>
      <c r="I15" s="39" t="n">
        <v>1</v>
      </c>
      <c r="J15" s="40">
        <f>E15*F15*G15*H15*I15</f>
        <v/>
      </c>
      <c r="K15" s="38" t="n"/>
      <c r="L15" s="38" t="n"/>
    </row>
    <row r="16" ht="19" customHeight="1">
      <c r="A16" s="38" t="n"/>
      <c r="B16" s="38" t="n"/>
      <c r="C16" s="13" t="inlineStr">
        <is>
          <t>- Ống vách thép cọc mố M2 (7 cọc x 6m)</t>
        </is>
      </c>
      <c r="D16" s="12" t="inlineStr">
        <is>
          <t>m</t>
        </is>
      </c>
      <c r="E16" s="18" t="n">
        <v>7</v>
      </c>
      <c r="F16" s="18" t="n">
        <v>6</v>
      </c>
      <c r="G16" s="18" t="n">
        <v>1</v>
      </c>
      <c r="H16" s="18" t="n">
        <v>1</v>
      </c>
      <c r="I16" s="39" t="n">
        <v>1</v>
      </c>
      <c r="J16" s="40">
        <f>E16*F16*G16*H16*I16</f>
        <v/>
      </c>
      <c r="K16" s="38" t="n"/>
      <c r="L16" s="38" t="n"/>
    </row>
    <row r="17" ht="22" customHeight="1">
      <c r="A17" s="32" t="inlineStr">
        <is>
          <t>3</t>
        </is>
      </c>
      <c r="B17" s="32" t="inlineStr">
        <is>
          <t>AF.21111</t>
        </is>
      </c>
      <c r="C17" s="33" t="inlineStr">
        <is>
          <t>Bê tông cọc khoan nhồi C30/37 đổ bằng phương pháp rút ống tremie</t>
        </is>
      </c>
      <c r="D17" s="32" t="inlineStr">
        <is>
          <t>m3</t>
        </is>
      </c>
      <c r="E17" s="34" t="n"/>
      <c r="F17" s="34" t="n"/>
      <c r="G17" s="34" t="n"/>
      <c r="H17" s="34" t="n"/>
      <c r="I17" s="34" t="n"/>
      <c r="J17" s="35">
        <f>SUM(J18:J21)</f>
        <v/>
      </c>
      <c r="K17" s="36" t="n">
        <v>1650000</v>
      </c>
      <c r="L17" s="37">
        <f>J17*K17</f>
        <v/>
      </c>
    </row>
    <row r="18" ht="19" customHeight="1">
      <c r="A18" s="38" t="n"/>
      <c r="B18" s="38" t="n"/>
      <c r="C18" s="13" t="inlineStr">
        <is>
          <t>- Bê tông 3 cọc mố M1 (L=20m, D=1.2m, hs nở thành 1.12)</t>
        </is>
      </c>
      <c r="D18" s="12" t="inlineStr">
        <is>
          <t>m3</t>
        </is>
      </c>
      <c r="E18" s="18" t="n">
        <v>3</v>
      </c>
      <c r="F18" s="18" t="n">
        <v>20</v>
      </c>
      <c r="G18" s="18" t="n">
        <v>0.6</v>
      </c>
      <c r="H18" s="18" t="n">
        <v>0.6</v>
      </c>
      <c r="I18" s="39" t="n">
        <v>3.5186</v>
      </c>
      <c r="J18" s="40">
        <f>E18*F18*G18*H18*I18</f>
        <v/>
      </c>
      <c r="K18" s="38" t="n"/>
      <c r="L18" s="38" t="n"/>
    </row>
    <row r="19" ht="19" customHeight="1">
      <c r="A19" s="38" t="n"/>
      <c r="B19" s="38" t="n"/>
      <c r="C19" s="13" t="inlineStr">
        <is>
          <t>- Bê tông 8 cọc trụ T1 (L=40m, D=1.2m, hs nở thành 1.12)</t>
        </is>
      </c>
      <c r="D19" s="12" t="inlineStr">
        <is>
          <t>m3</t>
        </is>
      </c>
      <c r="E19" s="18" t="n">
        <v>8</v>
      </c>
      <c r="F19" s="18" t="n">
        <v>40</v>
      </c>
      <c r="G19" s="18" t="n">
        <v>0.6</v>
      </c>
      <c r="H19" s="18" t="n">
        <v>0.6</v>
      </c>
      <c r="I19" s="39" t="n">
        <v>3.5186</v>
      </c>
      <c r="J19" s="40">
        <f>E19*F19*G19*H19*I19</f>
        <v/>
      </c>
      <c r="K19" s="38" t="n"/>
      <c r="L19" s="38" t="n"/>
    </row>
    <row r="20" ht="19" customHeight="1">
      <c r="A20" s="38" t="n"/>
      <c r="B20" s="38" t="n"/>
      <c r="C20" s="13" t="inlineStr">
        <is>
          <t>- Bê tông 8 cọc trụ T2 (L=30m, D=1.2m, hs nở thành 1.12)</t>
        </is>
      </c>
      <c r="D20" s="12" t="inlineStr">
        <is>
          <t>m3</t>
        </is>
      </c>
      <c r="E20" s="18" t="n">
        <v>8</v>
      </c>
      <c r="F20" s="18" t="n">
        <v>30</v>
      </c>
      <c r="G20" s="18" t="n">
        <v>0.6</v>
      </c>
      <c r="H20" s="18" t="n">
        <v>0.6</v>
      </c>
      <c r="I20" s="39" t="n">
        <v>3.5186</v>
      </c>
      <c r="J20" s="40">
        <f>E20*F20*G20*H20*I20</f>
        <v/>
      </c>
      <c r="K20" s="38" t="n"/>
      <c r="L20" s="38" t="n"/>
    </row>
    <row r="21" ht="19" customHeight="1">
      <c r="A21" s="38" t="n"/>
      <c r="B21" s="38" t="n"/>
      <c r="C21" s="13" t="inlineStr">
        <is>
          <t>- Bê tông 7 cọc mố M2 (L=36m, D=1.2m, hs nở thành 1.12)</t>
        </is>
      </c>
      <c r="D21" s="12" t="inlineStr">
        <is>
          <t>m3</t>
        </is>
      </c>
      <c r="E21" s="18" t="n">
        <v>7</v>
      </c>
      <c r="F21" s="18" t="n">
        <v>36</v>
      </c>
      <c r="G21" s="18" t="n">
        <v>0.6</v>
      </c>
      <c r="H21" s="18" t="n">
        <v>0.6</v>
      </c>
      <c r="I21" s="39" t="n">
        <v>3.5186</v>
      </c>
      <c r="J21" s="40">
        <f>E21*F21*G21*H21*I21</f>
        <v/>
      </c>
      <c r="K21" s="38" t="n"/>
      <c r="L21" s="38" t="n"/>
    </row>
    <row r="22" ht="22" customHeight="1">
      <c r="A22" s="32" t="inlineStr">
        <is>
          <t>4</t>
        </is>
      </c>
      <c r="B22" s="32" t="inlineStr">
        <is>
          <t>AF.61111</t>
        </is>
      </c>
      <c r="C22" s="33" t="inlineStr">
        <is>
          <t>Cốt thép cọc khoan nhồi D1200mm (Thép chủ D25, đai D16, D10)</t>
        </is>
      </c>
      <c r="D22" s="32" t="inlineStr">
        <is>
          <t>Tấn</t>
        </is>
      </c>
      <c r="E22" s="34" t="n"/>
      <c r="F22" s="34" t="n"/>
      <c r="G22" s="34" t="n"/>
      <c r="H22" s="34" t="n"/>
      <c r="I22" s="34" t="n"/>
      <c r="J22" s="41">
        <f>SUMIFS(THONG_KE_THEP_CHI_TIET!$O$6:$O$399, THONG_KE_THEP_CHI_TIET!$B$6:$B$399, "*Cọc khoan nhồi*")</f>
        <v/>
      </c>
      <c r="K22" s="36" t="n">
        <v>18500000</v>
      </c>
      <c r="L22" s="37">
        <f>J22*K22</f>
        <v/>
      </c>
    </row>
    <row r="23" ht="19" customHeight="1">
      <c r="A23" s="38" t="n"/>
      <c r="B23" s="38" t="n"/>
      <c r="C23" s="13" t="inlineStr">
        <is>
          <t>- Cốt thép cọc mố M1 (3 cọc x 5.889 tấn/cọc)</t>
        </is>
      </c>
      <c r="D23" s="12" t="inlineStr">
        <is>
          <t>Tấn</t>
        </is>
      </c>
      <c r="E23" s="18" t="n">
        <v>3</v>
      </c>
      <c r="F23" s="18" t="n">
        <v>5.889</v>
      </c>
      <c r="G23" s="18" t="n">
        <v>1</v>
      </c>
      <c r="H23" s="18" t="n">
        <v>1</v>
      </c>
      <c r="I23" s="39" t="n">
        <v>1</v>
      </c>
      <c r="J23" s="40">
        <f>E23*F23*G23*H23*I23</f>
        <v/>
      </c>
      <c r="K23" s="38" t="n"/>
      <c r="L23" s="38" t="n"/>
    </row>
    <row r="24" ht="19" customHeight="1">
      <c r="A24" s="38" t="n"/>
      <c r="B24" s="38" t="n"/>
      <c r="C24" s="13" t="inlineStr">
        <is>
          <t>- Cốt thép cọc trụ T1 (8 cọc x 4.845 tấn/cọc)</t>
        </is>
      </c>
      <c r="D24" s="12" t="inlineStr">
        <is>
          <t>Tấn</t>
        </is>
      </c>
      <c r="E24" s="18" t="n">
        <v>8</v>
      </c>
      <c r="F24" s="18" t="n">
        <v>4.845</v>
      </c>
      <c r="G24" s="18" t="n">
        <v>1</v>
      </c>
      <c r="H24" s="18" t="n">
        <v>1</v>
      </c>
      <c r="I24" s="39" t="n">
        <v>1</v>
      </c>
      <c r="J24" s="40">
        <f>E24*F24*G24*H24*I24</f>
        <v/>
      </c>
      <c r="K24" s="38" t="n"/>
      <c r="L24" s="38" t="n"/>
    </row>
    <row r="25" ht="19" customHeight="1">
      <c r="A25" s="38" t="n"/>
      <c r="B25" s="38" t="n"/>
      <c r="C25" s="13" t="inlineStr">
        <is>
          <t>- Cốt thép cọc trụ T2 (8 cọc x 3.687 tấn/cọc)</t>
        </is>
      </c>
      <c r="D25" s="12" t="inlineStr">
        <is>
          <t>Tấn</t>
        </is>
      </c>
      <c r="E25" s="18" t="n">
        <v>8</v>
      </c>
      <c r="F25" s="18" t="n">
        <v>3.687</v>
      </c>
      <c r="G25" s="18" t="n">
        <v>1</v>
      </c>
      <c r="H25" s="18" t="n">
        <v>1</v>
      </c>
      <c r="I25" s="39" t="n">
        <v>1</v>
      </c>
      <c r="J25" s="40">
        <f>E25*F25*G25*H25*I25</f>
        <v/>
      </c>
      <c r="K25" s="38" t="n"/>
      <c r="L25" s="38" t="n"/>
    </row>
    <row r="26" ht="19" customHeight="1">
      <c r="A26" s="38" t="n"/>
      <c r="B26" s="38" t="n"/>
      <c r="C26" s="13" t="inlineStr">
        <is>
          <t>- Cốt thép cọc mố M2 (7 cọc x 4.721 tấn/cọc)</t>
        </is>
      </c>
      <c r="D26" s="12" t="inlineStr">
        <is>
          <t>Tấn</t>
        </is>
      </c>
      <c r="E26" s="18" t="n">
        <v>7</v>
      </c>
      <c r="F26" s="18" t="n">
        <v>4.721</v>
      </c>
      <c r="G26" s="18" t="n">
        <v>1</v>
      </c>
      <c r="H26" s="18" t="n">
        <v>1</v>
      </c>
      <c r="I26" s="39" t="n">
        <v>1</v>
      </c>
      <c r="J26" s="40">
        <f>E26*F26*G26*H26*I26</f>
        <v/>
      </c>
      <c r="K26" s="38" t="n"/>
      <c r="L26" s="38" t="n"/>
    </row>
    <row r="27" ht="22" customHeight="1">
      <c r="A27" s="32" t="inlineStr">
        <is>
          <t>5</t>
        </is>
      </c>
      <c r="B27" s="32" t="inlineStr">
        <is>
          <t>AC.13111</t>
        </is>
      </c>
      <c r="C27" s="33" t="inlineStr">
        <is>
          <t>Đập đầu cọc khoan nhồi nhô lên đáy bệ ngàm vào kết cấu</t>
        </is>
      </c>
      <c r="D27" s="32" t="inlineStr">
        <is>
          <t>m3</t>
        </is>
      </c>
      <c r="E27" s="34" t="n"/>
      <c r="F27" s="34" t="n"/>
      <c r="G27" s="34" t="n"/>
      <c r="H27" s="34" t="n"/>
      <c r="I27" s="34" t="n"/>
      <c r="J27" s="35">
        <f>SUM(J28:J28)</f>
        <v/>
      </c>
      <c r="K27" s="36" t="n">
        <v>550000</v>
      </c>
      <c r="L27" s="37">
        <f>J27*K27</f>
        <v/>
      </c>
    </row>
    <row r="28" ht="19" customHeight="1">
      <c r="A28" s="38" t="n"/>
      <c r="B28" s="38" t="n"/>
      <c r="C28" s="13" t="inlineStr">
        <is>
          <t>- Đập đầu 26 cọc khoan nhồi (chiều cao đập h=1.0m)</t>
        </is>
      </c>
      <c r="D28" s="12" t="inlineStr">
        <is>
          <t>m3</t>
        </is>
      </c>
      <c r="E28" s="18" t="n">
        <v>26</v>
      </c>
      <c r="F28" s="18" t="n">
        <v>1</v>
      </c>
      <c r="G28" s="18" t="n">
        <v>0.6</v>
      </c>
      <c r="H28" s="18" t="n">
        <v>0.6</v>
      </c>
      <c r="I28" s="39" t="n">
        <v>3.1416</v>
      </c>
      <c r="J28" s="40">
        <f>E28*F28*G28*H28*I28</f>
        <v/>
      </c>
      <c r="K28" s="38" t="n"/>
      <c r="L28" s="38" t="n"/>
    </row>
    <row r="29" ht="22" customHeight="1">
      <c r="A29" s="32" t="inlineStr">
        <is>
          <t>6</t>
        </is>
      </c>
      <c r="B29" s="32" t="inlineStr">
        <is>
          <t>TN.11111</t>
        </is>
      </c>
      <c r="C29" s="33" t="inlineStr">
        <is>
          <t>Thí nghiệm kiểm soát cọc (Siêu âm 156 mặt cắt, PDA 9434kN, lấy lõi 4 cọc)</t>
        </is>
      </c>
      <c r="D29" s="32" t="inlineStr">
        <is>
          <t>Gói</t>
        </is>
      </c>
      <c r="E29" s="34" t="n"/>
      <c r="F29" s="34" t="n"/>
      <c r="G29" s="34" t="n"/>
      <c r="H29" s="34" t="n"/>
      <c r="I29" s="34" t="n"/>
      <c r="J29" s="35">
        <f>SUM(J30:J30)</f>
        <v/>
      </c>
      <c r="K29" s="36" t="n">
        <v>450000000</v>
      </c>
      <c r="L29" s="37">
        <f>J29*K29</f>
        <v/>
      </c>
    </row>
    <row r="30" ht="19" customHeight="1">
      <c r="A30" s="38" t="n"/>
      <c r="B30" s="38" t="n"/>
      <c r="C30" s="13" t="inlineStr">
        <is>
          <t>- Gói thí nghiệm siêu âm 100% cọc, nén động PDA trụ T1 &amp; khoan lấy lõi</t>
        </is>
      </c>
      <c r="D30" s="12" t="inlineStr">
        <is>
          <t>Gói</t>
        </is>
      </c>
      <c r="E30" s="18" t="n">
        <v>1</v>
      </c>
      <c r="F30" s="18" t="n">
        <v>1</v>
      </c>
      <c r="G30" s="18" t="n">
        <v>1</v>
      </c>
      <c r="H30" s="18" t="n">
        <v>1</v>
      </c>
      <c r="I30" s="39" t="n">
        <v>1</v>
      </c>
      <c r="J30" s="40">
        <f>E30*F30*G30*H30*I30</f>
        <v/>
      </c>
      <c r="K30" s="38" t="n"/>
      <c r="L30" s="38" t="n"/>
    </row>
    <row r="31" ht="24" customHeight="1">
      <c r="A31" s="31" t="inlineStr">
        <is>
          <t>PHẦN II: KẾT CẤU PHẦN DƯỚI (BỆ, THÂN, XÀ MŨ MỐ M1, M2 &amp; TRỤ T1, T2)</t>
        </is>
      </c>
    </row>
    <row r="32" ht="22" customHeight="1">
      <c r="A32" s="32" t="inlineStr">
        <is>
          <t>7</t>
        </is>
      </c>
      <c r="B32" s="32" t="inlineStr">
        <is>
          <t>AB.11111</t>
        </is>
      </c>
      <c r="C32" s="33" t="inlineStr">
        <is>
          <t>Đào đất đá hố móng bệ mố M1, M2 và bệ trụ T1, T2 (Link Sheet Đào Đắp)</t>
        </is>
      </c>
      <c r="D32" s="32" t="inlineStr">
        <is>
          <t>m3</t>
        </is>
      </c>
      <c r="E32" s="34" t="n"/>
      <c r="F32" s="34" t="n"/>
      <c r="G32" s="34" t="n"/>
      <c r="H32" s="34" t="n"/>
      <c r="I32" s="34" t="n"/>
      <c r="J32" s="35">
        <f>SUM(J33:J33)</f>
        <v/>
      </c>
      <c r="K32" s="36" t="n">
        <v>145000</v>
      </c>
      <c r="L32" s="37">
        <f>J32*K32</f>
        <v/>
      </c>
    </row>
    <row r="33" ht="19" customHeight="1">
      <c r="A33" s="38" t="n"/>
      <c r="B33" s="38" t="n"/>
      <c r="C33" s="13" t="inlineStr">
        <is>
          <t>- Đào đất đá hố móng bệ mố M1,M2 &amp; bệ trụ T1,T2 → =KHOI_LUONG_DAO_DAP!F21</t>
        </is>
      </c>
      <c r="D33" s="12" t="inlineStr">
        <is>
          <t>m3</t>
        </is>
      </c>
      <c r="E33" s="18" t="n">
        <v>1</v>
      </c>
      <c r="F33" s="18" t="n">
        <v>1</v>
      </c>
      <c r="G33" s="18" t="n">
        <v>1</v>
      </c>
      <c r="H33" s="18" t="n">
        <v>1</v>
      </c>
      <c r="I33" s="39" t="n">
        <v>1</v>
      </c>
      <c r="J33" s="42" t="n">
        <v>6245</v>
      </c>
      <c r="K33" s="38" t="n"/>
      <c r="L33" s="38" t="n"/>
    </row>
    <row r="34" ht="22" customHeight="1">
      <c r="A34" s="32" t="inlineStr">
        <is>
          <t>8</t>
        </is>
      </c>
      <c r="B34" s="32" t="inlineStr">
        <is>
          <t>AF.11111</t>
        </is>
      </c>
      <c r="C34" s="33" t="inlineStr">
        <is>
          <t>Bê tông lót đáy bệ móng mác C10 dày 10cm</t>
        </is>
      </c>
      <c r="D34" s="32" t="inlineStr">
        <is>
          <t>m3</t>
        </is>
      </c>
      <c r="E34" s="34" t="n"/>
      <c r="F34" s="34" t="n"/>
      <c r="G34" s="34" t="n"/>
      <c r="H34" s="34" t="n"/>
      <c r="I34" s="34" t="n"/>
      <c r="J34" s="35">
        <f>SUM(J35:J38)</f>
        <v/>
      </c>
      <c r="K34" s="36" t="n">
        <v>1150000</v>
      </c>
      <c r="L34" s="37">
        <f>J34*K34</f>
        <v/>
      </c>
    </row>
    <row r="35" ht="19" customHeight="1">
      <c r="A35" s="38" t="n"/>
      <c r="B35" s="38" t="n"/>
      <c r="C35" s="13" t="inlineStr">
        <is>
          <t>- Lớp bê tông lót đáy bệ mố M1 chân dê</t>
        </is>
      </c>
      <c r="D35" s="12" t="inlineStr">
        <is>
          <t>m3</t>
        </is>
      </c>
      <c r="E35" s="18" t="n">
        <v>1</v>
      </c>
      <c r="F35" s="18" t="n">
        <v>12.5</v>
      </c>
      <c r="G35" s="18" t="n">
        <v>6</v>
      </c>
      <c r="H35" s="18" t="n">
        <v>0.1</v>
      </c>
      <c r="I35" s="39" t="n">
        <v>1</v>
      </c>
      <c r="J35" s="40">
        <f>E35*F35*G35*H35*I35</f>
        <v/>
      </c>
      <c r="K35" s="38" t="n"/>
      <c r="L35" s="38" t="n"/>
    </row>
    <row r="36" ht="19" customHeight="1">
      <c r="A36" s="38" t="n"/>
      <c r="B36" s="38" t="n"/>
      <c r="C36" s="13" t="inlineStr">
        <is>
          <t>- Lớp bê tông lót đáy bệ mố M2 chữ U</t>
        </is>
      </c>
      <c r="D36" s="12" t="inlineStr">
        <is>
          <t>m3</t>
        </is>
      </c>
      <c r="E36" s="18" t="n">
        <v>1</v>
      </c>
      <c r="F36" s="18" t="n">
        <v>14</v>
      </c>
      <c r="G36" s="18" t="n">
        <v>6.5</v>
      </c>
      <c r="H36" s="18" t="n">
        <v>0.1</v>
      </c>
      <c r="I36" s="39" t="n">
        <v>1</v>
      </c>
      <c r="J36" s="40">
        <f>E36*F36*G36*H36*I36</f>
        <v/>
      </c>
      <c r="K36" s="38" t="n"/>
      <c r="L36" s="38" t="n"/>
    </row>
    <row r="37" ht="19" customHeight="1">
      <c r="A37" s="38" t="n"/>
      <c r="B37" s="38" t="n"/>
      <c r="C37" s="13" t="inlineStr">
        <is>
          <t>- Lớp bê tông lót đáy bệ trụ T1</t>
        </is>
      </c>
      <c r="D37" s="12" t="inlineStr">
        <is>
          <t>m3</t>
        </is>
      </c>
      <c r="E37" s="18" t="n">
        <v>1</v>
      </c>
      <c r="F37" s="18" t="n">
        <v>13</v>
      </c>
      <c r="G37" s="18" t="n">
        <v>6.5</v>
      </c>
      <c r="H37" s="18" t="n">
        <v>0.1</v>
      </c>
      <c r="I37" s="39" t="n">
        <v>1</v>
      </c>
      <c r="J37" s="40">
        <f>E37*F37*G37*H37*I37</f>
        <v/>
      </c>
      <c r="K37" s="38" t="n"/>
      <c r="L37" s="38" t="n"/>
    </row>
    <row r="38" ht="19" customHeight="1">
      <c r="A38" s="38" t="n"/>
      <c r="B38" s="38" t="n"/>
      <c r="C38" s="13" t="inlineStr">
        <is>
          <t>- Lớp bê tông lót đáy bệ trụ T2</t>
        </is>
      </c>
      <c r="D38" s="12" t="inlineStr">
        <is>
          <t>m3</t>
        </is>
      </c>
      <c r="E38" s="18" t="n">
        <v>1</v>
      </c>
      <c r="F38" s="18" t="n">
        <v>13</v>
      </c>
      <c r="G38" s="18" t="n">
        <v>6.5</v>
      </c>
      <c r="H38" s="18" t="n">
        <v>0.1</v>
      </c>
      <c r="I38" s="39" t="n">
        <v>1</v>
      </c>
      <c r="J38" s="40">
        <f>E38*F38*G38*H38*I38</f>
        <v/>
      </c>
      <c r="K38" s="38" t="n"/>
      <c r="L38" s="38" t="n"/>
    </row>
    <row r="39" ht="22" customHeight="1">
      <c r="A39" s="32" t="inlineStr">
        <is>
          <t>9</t>
        </is>
      </c>
      <c r="B39" s="32" t="inlineStr">
        <is>
          <t>AF.12111</t>
        </is>
      </c>
      <c r="C39" s="33" t="inlineStr">
        <is>
          <t>Bê tông bệ móng mố M1, M2 và bệ trụ T1, T2 mác C30</t>
        </is>
      </c>
      <c r="D39" s="32" t="inlineStr">
        <is>
          <t>m3</t>
        </is>
      </c>
      <c r="E39" s="34" t="n"/>
      <c r="F39" s="34" t="n"/>
      <c r="G39" s="34" t="n"/>
      <c r="H39" s="34" t="n"/>
      <c r="I39" s="34" t="n"/>
      <c r="J39" s="35">
        <f>SUM(J40:J43)</f>
        <v/>
      </c>
      <c r="K39" s="36" t="n">
        <v>1480000</v>
      </c>
      <c r="L39" s="37">
        <f>J39*K39</f>
        <v/>
      </c>
    </row>
    <row r="40" ht="19" customHeight="1">
      <c r="A40" s="38" t="n"/>
      <c r="B40" s="38" t="n"/>
      <c r="C40" s="13" t="inlineStr">
        <is>
          <t>- Bệ móng mố M1 chân dê (chiều cao bệ h=2.0m)</t>
        </is>
      </c>
      <c r="D40" s="12" t="inlineStr">
        <is>
          <t>m3</t>
        </is>
      </c>
      <c r="E40" s="18" t="n">
        <v>1</v>
      </c>
      <c r="F40" s="18" t="n">
        <v>12</v>
      </c>
      <c r="G40" s="18" t="n">
        <v>5.5</v>
      </c>
      <c r="H40" s="18" t="n">
        <v>2</v>
      </c>
      <c r="I40" s="39" t="n">
        <v>1.1287</v>
      </c>
      <c r="J40" s="40">
        <f>E40*F40*G40*H40*I40</f>
        <v/>
      </c>
      <c r="K40" s="38" t="n"/>
      <c r="L40" s="38" t="n"/>
    </row>
    <row r="41" ht="19" customHeight="1">
      <c r="A41" s="38" t="n"/>
      <c r="B41" s="38" t="n"/>
      <c r="C41" s="13" t="inlineStr">
        <is>
          <t>- Bệ móng mố M2 chữ U (chiều cao bệ h=2.0m)</t>
        </is>
      </c>
      <c r="D41" s="12" t="inlineStr">
        <is>
          <t>m3</t>
        </is>
      </c>
      <c r="E41" s="18" t="n">
        <v>1</v>
      </c>
      <c r="F41" s="18" t="n">
        <v>13.5</v>
      </c>
      <c r="G41" s="18" t="n">
        <v>5.5</v>
      </c>
      <c r="H41" s="18" t="n">
        <v>2</v>
      </c>
      <c r="I41" s="39" t="n">
        <v>1.0033</v>
      </c>
      <c r="J41" s="40">
        <f>E41*F41*G41*H41*I41</f>
        <v/>
      </c>
      <c r="K41" s="38" t="n"/>
      <c r="L41" s="38" t="n"/>
    </row>
    <row r="42" ht="19" customHeight="1">
      <c r="A42" s="38" t="n"/>
      <c r="B42" s="38" t="n"/>
      <c r="C42" s="13" t="inlineStr">
        <is>
          <t>- Bệ móng trụ T1 thân đặc (chiều cao bệ h=2.5m)</t>
        </is>
      </c>
      <c r="D42" s="12" t="inlineStr">
        <is>
          <t>m3</t>
        </is>
      </c>
      <c r="E42" s="18" t="n">
        <v>1</v>
      </c>
      <c r="F42" s="18" t="n">
        <v>12.3</v>
      </c>
      <c r="G42" s="18" t="n">
        <v>6</v>
      </c>
      <c r="H42" s="18" t="n">
        <v>2.5</v>
      </c>
      <c r="I42" s="39" t="n">
        <v>1</v>
      </c>
      <c r="J42" s="40">
        <f>E42*F42*G42*H42*I42</f>
        <v/>
      </c>
      <c r="K42" s="38" t="n"/>
      <c r="L42" s="38" t="n"/>
    </row>
    <row r="43" ht="19" customHeight="1">
      <c r="A43" s="38" t="n"/>
      <c r="B43" s="38" t="n"/>
      <c r="C43" s="13" t="inlineStr">
        <is>
          <t>- Bệ móng trụ T2 thân đặc (chiều cao bệ h=2.5m)</t>
        </is>
      </c>
      <c r="D43" s="12" t="inlineStr">
        <is>
          <t>m3</t>
        </is>
      </c>
      <c r="E43" s="18" t="n">
        <v>1</v>
      </c>
      <c r="F43" s="18" t="n">
        <v>12.3</v>
      </c>
      <c r="G43" s="18" t="n">
        <v>6</v>
      </c>
      <c r="H43" s="18" t="n">
        <v>2.5</v>
      </c>
      <c r="I43" s="39" t="n">
        <v>1</v>
      </c>
      <c r="J43" s="40">
        <f>E43*F43*G43*H43*I43</f>
        <v/>
      </c>
      <c r="K43" s="38" t="n"/>
      <c r="L43" s="38" t="n"/>
    </row>
    <row r="44" ht="22" customHeight="1">
      <c r="A44" s="32" t="inlineStr">
        <is>
          <t>10</t>
        </is>
      </c>
      <c r="B44" s="32" t="inlineStr">
        <is>
          <t>AF.12211</t>
        </is>
      </c>
      <c r="C44" s="33" t="inlineStr">
        <is>
          <t>Bê tông thân mố chân dê M1 và mố chữ U M2 mác C30</t>
        </is>
      </c>
      <c r="D44" s="32" t="inlineStr">
        <is>
          <t>m3</t>
        </is>
      </c>
      <c r="E44" s="34" t="n"/>
      <c r="F44" s="34" t="n"/>
      <c r="G44" s="34" t="n"/>
      <c r="H44" s="34" t="n"/>
      <c r="I44" s="34" t="n"/>
      <c r="J44" s="35">
        <f>SUM(J45:J46)</f>
        <v/>
      </c>
      <c r="K44" s="36" t="n">
        <v>1520000</v>
      </c>
      <c r="L44" s="37">
        <f>J44*K44</f>
        <v/>
      </c>
    </row>
    <row r="45" ht="19" customHeight="1">
      <c r="A45" s="38" t="n"/>
      <c r="B45" s="38" t="n"/>
      <c r="C45" s="13" t="inlineStr">
        <is>
          <t>- Thân mố M1 chân dê</t>
        </is>
      </c>
      <c r="D45" s="12" t="inlineStr">
        <is>
          <t>m3</t>
        </is>
      </c>
      <c r="E45" s="18" t="n">
        <v>1</v>
      </c>
      <c r="F45" s="18" t="n">
        <v>11.75</v>
      </c>
      <c r="G45" s="18" t="n">
        <v>1.2</v>
      </c>
      <c r="H45" s="18" t="n">
        <v>6</v>
      </c>
      <c r="I45" s="39" t="n">
        <v>1</v>
      </c>
      <c r="J45" s="40">
        <f>E45*F45*G45*H45*I45</f>
        <v/>
      </c>
      <c r="K45" s="38" t="n"/>
      <c r="L45" s="38" t="n"/>
    </row>
    <row r="46" ht="19" customHeight="1">
      <c r="A46" s="38" t="n"/>
      <c r="B46" s="38" t="n"/>
      <c r="C46" s="13" t="inlineStr">
        <is>
          <t>- Thân mố M2 chữ U (tường thân trước)</t>
        </is>
      </c>
      <c r="D46" s="12" t="inlineStr">
        <is>
          <t>m3</t>
        </is>
      </c>
      <c r="E46" s="18" t="n">
        <v>1</v>
      </c>
      <c r="F46" s="18" t="n">
        <v>11.75</v>
      </c>
      <c r="G46" s="18" t="n">
        <v>1.2</v>
      </c>
      <c r="H46" s="18" t="n">
        <v>6</v>
      </c>
      <c r="I46" s="39" t="n">
        <v>1</v>
      </c>
      <c r="J46" s="40">
        <f>E46*F46*G46*H46*I46</f>
        <v/>
      </c>
      <c r="K46" s="38" t="n"/>
      <c r="L46" s="38" t="n"/>
    </row>
    <row r="47" ht="22" customHeight="1">
      <c r="A47" s="32" t="inlineStr">
        <is>
          <t>11</t>
        </is>
      </c>
      <c r="B47" s="32" t="inlineStr">
        <is>
          <t>AF.12311</t>
        </is>
      </c>
      <c r="C47" s="33" t="inlineStr">
        <is>
          <t>Bê tông tường cánh và tường đỉnh mố M1, M2 mác C30</t>
        </is>
      </c>
      <c r="D47" s="32" t="inlineStr">
        <is>
          <t>m3</t>
        </is>
      </c>
      <c r="E47" s="34" t="n"/>
      <c r="F47" s="34" t="n"/>
      <c r="G47" s="34" t="n"/>
      <c r="H47" s="34" t="n"/>
      <c r="I47" s="34" t="n"/>
      <c r="J47" s="35">
        <f>SUM(J48:J49)</f>
        <v/>
      </c>
      <c r="K47" s="36" t="n">
        <v>1520000</v>
      </c>
      <c r="L47" s="37">
        <f>J47*K47</f>
        <v/>
      </c>
    </row>
    <row r="48" ht="19" customHeight="1">
      <c r="A48" s="38" t="n"/>
      <c r="B48" s="38" t="n"/>
      <c r="C48" s="13" t="inlineStr">
        <is>
          <t>- Tường đỉnh mố M1 và M2</t>
        </is>
      </c>
      <c r="D48" s="12" t="inlineStr">
        <is>
          <t>m3</t>
        </is>
      </c>
      <c r="E48" s="18" t="n">
        <v>2</v>
      </c>
      <c r="F48" s="18" t="n">
        <v>11.75</v>
      </c>
      <c r="G48" s="18" t="n">
        <v>0.45</v>
      </c>
      <c r="H48" s="18" t="n">
        <v>2.71</v>
      </c>
      <c r="I48" s="39" t="n">
        <v>1</v>
      </c>
      <c r="J48" s="40">
        <f>E48*F48*G48*H48*I48</f>
        <v/>
      </c>
      <c r="K48" s="38" t="n"/>
      <c r="L48" s="38" t="n"/>
    </row>
    <row r="49" ht="19" customHeight="1">
      <c r="A49" s="38" t="n"/>
      <c r="B49" s="38" t="n"/>
      <c r="C49" s="13" t="inlineStr">
        <is>
          <t>- Tường cánh mố M1 và M2 (4 tường cánh vát)</t>
        </is>
      </c>
      <c r="D49" s="12" t="inlineStr">
        <is>
          <t>m3</t>
        </is>
      </c>
      <c r="E49" s="18" t="n">
        <v>4</v>
      </c>
      <c r="F49" s="18" t="n">
        <v>7.5</v>
      </c>
      <c r="G49" s="18" t="n">
        <v>0.4</v>
      </c>
      <c r="H49" s="18" t="n">
        <v>4.22</v>
      </c>
      <c r="I49" s="39" t="n">
        <v>0.4</v>
      </c>
      <c r="J49" s="40">
        <f>E49*F49*G49*H49*I49</f>
        <v/>
      </c>
      <c r="K49" s="38" t="n"/>
      <c r="L49" s="38" t="n"/>
    </row>
    <row r="50" ht="22" customHeight="1">
      <c r="A50" s="32" t="inlineStr">
        <is>
          <t>12</t>
        </is>
      </c>
      <c r="B50" s="32" t="inlineStr">
        <is>
          <t>AF.13111</t>
        </is>
      </c>
      <c r="C50" s="33" t="inlineStr">
        <is>
          <t>Bê tông thân đặc trụ T1 và T2 mác C30</t>
        </is>
      </c>
      <c r="D50" s="32" t="inlineStr">
        <is>
          <t>m3</t>
        </is>
      </c>
      <c r="E50" s="34" t="n"/>
      <c r="F50" s="34" t="n"/>
      <c r="G50" s="34" t="n"/>
      <c r="H50" s="34" t="n"/>
      <c r="I50" s="34" t="n"/>
      <c r="J50" s="35">
        <f>SUM(J51:J52)</f>
        <v/>
      </c>
      <c r="K50" s="36" t="n">
        <v>1550000</v>
      </c>
      <c r="L50" s="37">
        <f>J50*K50</f>
        <v/>
      </c>
    </row>
    <row r="51" ht="19" customHeight="1">
      <c r="A51" s="38" t="n"/>
      <c r="B51" s="38" t="n"/>
      <c r="C51" s="13" t="inlineStr">
        <is>
          <t>- Thân đặc trụ T1 (chiều cao trụ H=14.5m)</t>
        </is>
      </c>
      <c r="D51" s="12" t="inlineStr">
        <is>
          <t>m3</t>
        </is>
      </c>
      <c r="E51" s="18" t="n">
        <v>1</v>
      </c>
      <c r="F51" s="18" t="n">
        <v>9.75</v>
      </c>
      <c r="G51" s="18" t="n">
        <v>2</v>
      </c>
      <c r="H51" s="18" t="n">
        <v>14.5</v>
      </c>
      <c r="I51" s="39" t="n">
        <v>0.995</v>
      </c>
      <c r="J51" s="40">
        <f>E51*F51*G51*H51*I51</f>
        <v/>
      </c>
      <c r="K51" s="38" t="n"/>
      <c r="L51" s="38" t="n"/>
    </row>
    <row r="52" ht="19" customHeight="1">
      <c r="A52" s="38" t="n"/>
      <c r="B52" s="38" t="n"/>
      <c r="C52" s="13" t="inlineStr">
        <is>
          <t>- Thân đặc trụ T2 (chiều cao trụ H=11.4m)</t>
        </is>
      </c>
      <c r="D52" s="12" t="inlineStr">
        <is>
          <t>m3</t>
        </is>
      </c>
      <c r="E52" s="18" t="n">
        <v>1</v>
      </c>
      <c r="F52" s="18" t="n">
        <v>9.75</v>
      </c>
      <c r="G52" s="18" t="n">
        <v>2</v>
      </c>
      <c r="H52" s="18" t="n">
        <v>11.4</v>
      </c>
      <c r="I52" s="39" t="n">
        <v>0.995</v>
      </c>
      <c r="J52" s="40">
        <f>E52*F52*G52*H52*I52</f>
        <v/>
      </c>
      <c r="K52" s="38" t="n"/>
      <c r="L52" s="38" t="n"/>
    </row>
    <row r="53" ht="22" customHeight="1">
      <c r="A53" s="32" t="inlineStr">
        <is>
          <t>13</t>
        </is>
      </c>
      <c r="B53" s="32" t="inlineStr">
        <is>
          <t>AF.13211</t>
        </is>
      </c>
      <c r="C53" s="33" t="inlineStr">
        <is>
          <t>Bê tông xà mũ trụ T1, T2 mác C30</t>
        </is>
      </c>
      <c r="D53" s="32" t="inlineStr">
        <is>
          <t>m3</t>
        </is>
      </c>
      <c r="E53" s="34" t="n"/>
      <c r="F53" s="34" t="n"/>
      <c r="G53" s="34" t="n"/>
      <c r="H53" s="34" t="n"/>
      <c r="I53" s="34" t="n"/>
      <c r="J53" s="35">
        <f>SUM(J54:J55)</f>
        <v/>
      </c>
      <c r="K53" s="36" t="n">
        <v>1580000</v>
      </c>
      <c r="L53" s="37">
        <f>J53*K53</f>
        <v/>
      </c>
    </row>
    <row r="54" ht="19" customHeight="1">
      <c r="A54" s="38" t="n"/>
      <c r="B54" s="38" t="n"/>
      <c r="C54" s="13" t="inlineStr">
        <is>
          <t>- Xà mũ trụ T1 (kích thước vát 12.3m x 3.3m x 1.8m)</t>
        </is>
      </c>
      <c r="D54" s="12" t="inlineStr">
        <is>
          <t>m3</t>
        </is>
      </c>
      <c r="E54" s="18" t="n">
        <v>1</v>
      </c>
      <c r="F54" s="18" t="n">
        <v>12.3</v>
      </c>
      <c r="G54" s="18" t="n">
        <v>3.3</v>
      </c>
      <c r="H54" s="18" t="n">
        <v>1.8</v>
      </c>
      <c r="I54" s="39" t="n">
        <v>1</v>
      </c>
      <c r="J54" s="40">
        <f>E54*F54*G54*H54*I54</f>
        <v/>
      </c>
      <c r="K54" s="38" t="n"/>
      <c r="L54" s="38" t="n"/>
    </row>
    <row r="55" ht="19" customHeight="1">
      <c r="A55" s="38" t="n"/>
      <c r="B55" s="38" t="n"/>
      <c r="C55" s="13" t="inlineStr">
        <is>
          <t>- Xà mũ trụ T2 (kích thước vát 12.3m x 3.3m x 1.8m)</t>
        </is>
      </c>
      <c r="D55" s="12" t="inlineStr">
        <is>
          <t>m3</t>
        </is>
      </c>
      <c r="E55" s="18" t="n">
        <v>1</v>
      </c>
      <c r="F55" s="18" t="n">
        <v>12.3</v>
      </c>
      <c r="G55" s="18" t="n">
        <v>3.3</v>
      </c>
      <c r="H55" s="18" t="n">
        <v>1.8</v>
      </c>
      <c r="I55" s="39" t="n">
        <v>1</v>
      </c>
      <c r="J55" s="40">
        <f>E55*F55*G55*H55*I55</f>
        <v/>
      </c>
      <c r="K55" s="38" t="n"/>
      <c r="L55" s="38" t="n"/>
    </row>
    <row r="56" ht="22" customHeight="1">
      <c r="A56" s="32" t="inlineStr">
        <is>
          <t>14</t>
        </is>
      </c>
      <c r="B56" s="32" t="inlineStr">
        <is>
          <t>AF.62111</t>
        </is>
      </c>
      <c r="C56" s="33" t="inlineStr">
        <is>
          <t>Cốt thép mố và trụ (D&lt;=10, 10&lt;D&lt;=18, D&gt;18)</t>
        </is>
      </c>
      <c r="D56" s="32" t="inlineStr">
        <is>
          <t>Tấn</t>
        </is>
      </c>
      <c r="E56" s="34" t="n"/>
      <c r="F56" s="34" t="n"/>
      <c r="G56" s="34" t="n"/>
      <c r="H56" s="34" t="n"/>
      <c r="I56" s="34" t="n"/>
      <c r="J56" s="41">
        <f>SUMIFS(THONG_KE_THEP_CHI_TIET!$O$6:$O$399, THONG_KE_THEP_CHI_TIET!$B$6:$B$399, "*Mố*") + SUMIFS(THONG_KE_THEP_CHI_TIET!$O$6:$O$399, THONG_KE_THEP_CHI_TIET!$B$6:$B$399, "*Trụ*")</f>
        <v/>
      </c>
      <c r="K56" s="36" t="n">
        <v>18500000</v>
      </c>
      <c r="L56" s="37">
        <f>J56*K56</f>
        <v/>
      </c>
    </row>
    <row r="57" ht="19" customHeight="1">
      <c r="A57" s="38" t="n"/>
      <c r="B57" s="38" t="n"/>
      <c r="C57" s="13" t="inlineStr">
        <is>
          <t>- Cốt thép mố M1 (tổng hợp bản vẽ Trang 31)</t>
        </is>
      </c>
      <c r="D57" s="12" t="inlineStr">
        <is>
          <t>Tấn</t>
        </is>
      </c>
      <c r="E57" s="18" t="n">
        <v>1</v>
      </c>
      <c r="F57" s="18" t="n">
        <v>23.45</v>
      </c>
      <c r="G57" s="18" t="n">
        <v>1</v>
      </c>
      <c r="H57" s="18" t="n">
        <v>1</v>
      </c>
      <c r="I57" s="39" t="n">
        <v>1</v>
      </c>
      <c r="J57" s="40">
        <f>E57*F57*G57*H57*I57</f>
        <v/>
      </c>
      <c r="K57" s="38" t="n"/>
      <c r="L57" s="38" t="n"/>
    </row>
    <row r="58" ht="19" customHeight="1">
      <c r="A58" s="38" t="n"/>
      <c r="B58" s="38" t="n"/>
      <c r="C58" s="13" t="inlineStr">
        <is>
          <t>- Cốt thép mố M2 (tổng hợp bản vẽ Trang 40)</t>
        </is>
      </c>
      <c r="D58" s="12" t="inlineStr">
        <is>
          <t>Tấn</t>
        </is>
      </c>
      <c r="E58" s="18" t="n">
        <v>1</v>
      </c>
      <c r="F58" s="18" t="n">
        <v>31.85</v>
      </c>
      <c r="G58" s="18" t="n">
        <v>1</v>
      </c>
      <c r="H58" s="18" t="n">
        <v>1</v>
      </c>
      <c r="I58" s="39" t="n">
        <v>1</v>
      </c>
      <c r="J58" s="40">
        <f>E58*F58*G58*H58*I58</f>
        <v/>
      </c>
      <c r="K58" s="38" t="n"/>
      <c r="L58" s="38" t="n"/>
    </row>
    <row r="59" ht="19" customHeight="1">
      <c r="A59" s="38" t="n"/>
      <c r="B59" s="38" t="n"/>
      <c r="C59" s="13" t="inlineStr">
        <is>
          <t>- Cốt thép trụ T1 (bệ, thân, xà mũ)</t>
        </is>
      </c>
      <c r="D59" s="12" t="inlineStr">
        <is>
          <t>Tấn</t>
        </is>
      </c>
      <c r="E59" s="18" t="n">
        <v>1</v>
      </c>
      <c r="F59" s="18" t="n">
        <v>38.6</v>
      </c>
      <c r="G59" s="18" t="n">
        <v>1</v>
      </c>
      <c r="H59" s="18" t="n">
        <v>1</v>
      </c>
      <c r="I59" s="39" t="n">
        <v>1</v>
      </c>
      <c r="J59" s="40">
        <f>E59*F59*G59*H59*I59</f>
        <v/>
      </c>
      <c r="K59" s="38" t="n"/>
      <c r="L59" s="38" t="n"/>
    </row>
    <row r="60" ht="19" customHeight="1">
      <c r="A60" s="38" t="n"/>
      <c r="B60" s="38" t="n"/>
      <c r="C60" s="13" t="inlineStr">
        <is>
          <t>- Cốt thép trụ T2 (bệ, thân, xà mũ)</t>
        </is>
      </c>
      <c r="D60" s="12" t="inlineStr">
        <is>
          <t>Tấn</t>
        </is>
      </c>
      <c r="E60" s="18" t="n">
        <v>1</v>
      </c>
      <c r="F60" s="18" t="n">
        <v>34.2</v>
      </c>
      <c r="G60" s="18" t="n">
        <v>1</v>
      </c>
      <c r="H60" s="18" t="n">
        <v>1</v>
      </c>
      <c r="I60" s="39" t="n">
        <v>1</v>
      </c>
      <c r="J60" s="40">
        <f>E60*F60*G60*H60*I60</f>
        <v/>
      </c>
      <c r="K60" s="38" t="n"/>
      <c r="L60" s="38" t="n"/>
    </row>
    <row r="61" ht="24" customHeight="1">
      <c r="A61" s="31" t="inlineStr">
        <is>
          <t>PHẦN III: KẾT CẤU PHẦN TRÊN (15 PHIẾN DẦM SUPER-T L=38.2M, BẢN MẶT CẦU)</t>
        </is>
      </c>
    </row>
    <row r="62" ht="22" customHeight="1">
      <c r="A62" s="32" t="inlineStr">
        <is>
          <t>15</t>
        </is>
      </c>
      <c r="B62" s="32" t="inlineStr">
        <is>
          <t>AF.31111</t>
        </is>
      </c>
      <c r="C62" s="33" t="inlineStr">
        <is>
          <t>Bê tông dầm chủ Super-T L=38.2m mác cao C45/55</t>
        </is>
      </c>
      <c r="D62" s="32" t="inlineStr">
        <is>
          <t>m3</t>
        </is>
      </c>
      <c r="E62" s="34" t="n"/>
      <c r="F62" s="34" t="n"/>
      <c r="G62" s="34" t="n"/>
      <c r="H62" s="34" t="n"/>
      <c r="I62" s="34" t="n"/>
      <c r="J62" s="35">
        <f>SUM(J63:J63)</f>
        <v/>
      </c>
      <c r="K62" s="36" t="n">
        <v>2150000</v>
      </c>
      <c r="L62" s="37">
        <f>J62*K62</f>
        <v/>
      </c>
    </row>
    <row r="63" ht="19" customHeight="1">
      <c r="A63" s="38" t="n"/>
      <c r="B63" s="38" t="n"/>
      <c r="C63" s="13" t="inlineStr">
        <is>
          <t>- Bê tông 15 phiến dầm Super-T (chiều dài L=38.2m, F_tb=0.759m2)</t>
        </is>
      </c>
      <c r="D63" s="12" t="inlineStr">
        <is>
          <t>m3</t>
        </is>
      </c>
      <c r="E63" s="18" t="n">
        <v>15</v>
      </c>
      <c r="F63" s="18" t="n">
        <v>38.2</v>
      </c>
      <c r="G63" s="18" t="n">
        <v>0.759</v>
      </c>
      <c r="H63" s="18" t="n">
        <v>1</v>
      </c>
      <c r="I63" s="39" t="n">
        <v>1</v>
      </c>
      <c r="J63" s="40">
        <f>E63*F63*G63*H63*I63</f>
        <v/>
      </c>
      <c r="K63" s="38" t="n"/>
      <c r="L63" s="38" t="n"/>
    </row>
    <row r="64" ht="22" customHeight="1">
      <c r="A64" s="32" t="inlineStr">
        <is>
          <t>16</t>
        </is>
      </c>
      <c r="B64" s="32" t="inlineStr">
        <is>
          <t>AF.63111</t>
        </is>
      </c>
      <c r="C64" s="33" t="inlineStr">
        <is>
          <t>Cáp dự ứng lực tao xoắn 15.2mm Grade 270 kéo căng trước/sau</t>
        </is>
      </c>
      <c r="D64" s="32" t="inlineStr">
        <is>
          <t>Tấn</t>
        </is>
      </c>
      <c r="E64" s="34" t="n"/>
      <c r="F64" s="34" t="n"/>
      <c r="G64" s="34" t="n"/>
      <c r="H64" s="34" t="n"/>
      <c r="I64" s="34" t="n"/>
      <c r="J64" s="41">
        <f>SUMIFS(THONG_KE_THEP_CHI_TIET!$O$6:$O$399, THONG_KE_THEP_CHI_TIET!$D$6:$D$399, "*CABLE*")</f>
        <v/>
      </c>
      <c r="K64" s="36" t="n">
        <v>42000000</v>
      </c>
      <c r="L64" s="37">
        <f>J64*K64</f>
        <v/>
      </c>
    </row>
    <row r="65" ht="19" customHeight="1">
      <c r="A65" s="38" t="n"/>
      <c r="B65" s="38" t="n"/>
      <c r="C65" s="13" t="inlineStr">
        <is>
          <t>- Cáp DUL 15 phiến dầm Super-T (15 phiến x 1.994 tấn/phiến)</t>
        </is>
      </c>
      <c r="D65" s="12" t="inlineStr">
        <is>
          <t>Tấn</t>
        </is>
      </c>
      <c r="E65" s="18" t="n">
        <v>15</v>
      </c>
      <c r="F65" s="18" t="n">
        <v>1.994</v>
      </c>
      <c r="G65" s="18" t="n">
        <v>1</v>
      </c>
      <c r="H65" s="18" t="n">
        <v>1</v>
      </c>
      <c r="I65" s="39" t="n">
        <v>1</v>
      </c>
      <c r="J65" s="40">
        <f>E65*F65*G65*H65*I65</f>
        <v/>
      </c>
      <c r="K65" s="38" t="n"/>
      <c r="L65" s="38" t="n"/>
    </row>
    <row r="66" ht="22" customHeight="1">
      <c r="A66" s="32" t="inlineStr">
        <is>
          <t>17</t>
        </is>
      </c>
      <c r="B66" s="32" t="inlineStr">
        <is>
          <t>AF.64111</t>
        </is>
      </c>
      <c r="C66" s="33" t="inlineStr">
        <is>
          <t>Cốt thép thường dầm chủ Super-T (D10, D14, D16, D20)</t>
        </is>
      </c>
      <c r="D66" s="32" t="inlineStr">
        <is>
          <t>Tấn</t>
        </is>
      </c>
      <c r="E66" s="34" t="n"/>
      <c r="F66" s="34" t="n"/>
      <c r="G66" s="34" t="n"/>
      <c r="H66" s="34" t="n"/>
      <c r="I66" s="34" t="n"/>
      <c r="J66" s="41">
        <f>SUMIFS(THONG_KE_THEP_CHI_TIET!$O$6:$O$399, THONG_KE_THEP_CHI_TIET!$B$6:$B$399, "*Dầm chủ Super-T*", THONG_KE_THEP_CHI_TIET!$D$6:$D$399, "&lt;&gt;*CABLE*")</f>
        <v/>
      </c>
      <c r="K66" s="36" t="n">
        <v>18800000</v>
      </c>
      <c r="L66" s="37">
        <f>J66*K66</f>
        <v/>
      </c>
    </row>
    <row r="67" ht="19" customHeight="1">
      <c r="A67" s="38" t="n"/>
      <c r="B67" s="38" t="n"/>
      <c r="C67" s="13" t="inlineStr">
        <is>
          <t>- Cốt thép thường 15 phiến dầm Super-T (15 phiến x 6.042 tấn/phiến)</t>
        </is>
      </c>
      <c r="D67" s="12" t="inlineStr">
        <is>
          <t>Tấn</t>
        </is>
      </c>
      <c r="E67" s="18" t="n">
        <v>15</v>
      </c>
      <c r="F67" s="18" t="n">
        <v>6.042</v>
      </c>
      <c r="G67" s="18" t="n">
        <v>1</v>
      </c>
      <c r="H67" s="18" t="n">
        <v>1</v>
      </c>
      <c r="I67" s="39" t="n">
        <v>1</v>
      </c>
      <c r="J67" s="40">
        <f>E67*F67*G67*H67*I67</f>
        <v/>
      </c>
      <c r="K67" s="38" t="n"/>
      <c r="L67" s="38" t="n"/>
    </row>
    <row r="68" ht="22" customHeight="1">
      <c r="A68" s="32" t="inlineStr">
        <is>
          <t>18</t>
        </is>
      </c>
      <c r="B68" s="32" t="inlineStr">
        <is>
          <t>AC.21111</t>
        </is>
      </c>
      <c r="C68" s="33" t="inlineStr">
        <is>
          <t>Vận chuyển và lao lắp 15 phiến dầm Super-T bằng giá lao dầm ray P43</t>
        </is>
      </c>
      <c r="D68" s="32" t="inlineStr">
        <is>
          <t>Phiến</t>
        </is>
      </c>
      <c r="E68" s="34" t="n"/>
      <c r="F68" s="34" t="n"/>
      <c r="G68" s="34" t="n"/>
      <c r="H68" s="34" t="n"/>
      <c r="I68" s="34" t="n"/>
      <c r="J68" s="35">
        <f>SUM(J69:J69)</f>
        <v/>
      </c>
      <c r="K68" s="36" t="n">
        <v>18500000</v>
      </c>
      <c r="L68" s="37">
        <f>J68*K68</f>
        <v/>
      </c>
    </row>
    <row r="69" ht="19" customHeight="1">
      <c r="A69" s="38" t="n"/>
      <c r="B69" s="38" t="n"/>
      <c r="C69" s="13" t="inlineStr">
        <is>
          <t>- Lao lắp hoàn chỉnh 15 phiến dầm vào 3 nhịp (3 nhịp x 5 phiến)</t>
        </is>
      </c>
      <c r="D69" s="12" t="inlineStr">
        <is>
          <t>Phiến</t>
        </is>
      </c>
      <c r="E69" s="18" t="n">
        <v>3</v>
      </c>
      <c r="F69" s="18" t="n">
        <v>5</v>
      </c>
      <c r="G69" s="18" t="n">
        <v>1</v>
      </c>
      <c r="H69" s="18" t="n">
        <v>1</v>
      </c>
      <c r="I69" s="39" t="n">
        <v>1</v>
      </c>
      <c r="J69" s="40">
        <f>E69*F69*G69*H69*I69</f>
        <v/>
      </c>
      <c r="K69" s="38" t="n"/>
      <c r="L69" s="38" t="n"/>
    </row>
    <row r="70" ht="22" customHeight="1">
      <c r="A70" s="32" t="inlineStr">
        <is>
          <t>19</t>
        </is>
      </c>
      <c r="B70" s="32" t="inlineStr">
        <is>
          <t>AF.32111</t>
        </is>
      </c>
      <c r="C70" s="33" t="inlineStr">
        <is>
          <t>Gối chậu cao su di động đơn hướng và song hướng</t>
        </is>
      </c>
      <c r="D70" s="32" t="inlineStr">
        <is>
          <t>Cái</t>
        </is>
      </c>
      <c r="E70" s="34" t="n"/>
      <c r="F70" s="34" t="n"/>
      <c r="G70" s="34" t="n"/>
      <c r="H70" s="34" t="n"/>
      <c r="I70" s="34" t="n"/>
      <c r="J70" s="35">
        <f>SUM(J71:J72)</f>
        <v/>
      </c>
      <c r="K70" s="36" t="n">
        <v>12500000</v>
      </c>
      <c r="L70" s="37">
        <f>J70*K70</f>
        <v/>
      </c>
    </row>
    <row r="71" ht="19" customHeight="1">
      <c r="A71" s="38" t="n"/>
      <c r="B71" s="38" t="n"/>
      <c r="C71" s="13" t="inlineStr">
        <is>
          <t>- Gối chậu đơn hướng (15 vị trí trên mố và trụ)</t>
        </is>
      </c>
      <c r="D71" s="12" t="inlineStr">
        <is>
          <t>Cái</t>
        </is>
      </c>
      <c r="E71" s="18" t="n">
        <v>15</v>
      </c>
      <c r="F71" s="18" t="n">
        <v>1</v>
      </c>
      <c r="G71" s="18" t="n">
        <v>1</v>
      </c>
      <c r="H71" s="18" t="n">
        <v>1</v>
      </c>
      <c r="I71" s="39" t="n">
        <v>1</v>
      </c>
      <c r="J71" s="40">
        <f>E71*F71*G71*H71*I71</f>
        <v/>
      </c>
      <c r="K71" s="38" t="n"/>
      <c r="L71" s="38" t="n"/>
    </row>
    <row r="72" ht="19" customHeight="1">
      <c r="A72" s="38" t="n"/>
      <c r="B72" s="38" t="n"/>
      <c r="C72" s="13" t="inlineStr">
        <is>
          <t>- Gối chậu song hướng (15 vị trí trên mố và trụ)</t>
        </is>
      </c>
      <c r="D72" s="12" t="inlineStr">
        <is>
          <t>Cái</t>
        </is>
      </c>
      <c r="E72" s="18" t="n">
        <v>15</v>
      </c>
      <c r="F72" s="18" t="n">
        <v>1</v>
      </c>
      <c r="G72" s="18" t="n">
        <v>1</v>
      </c>
      <c r="H72" s="18" t="n">
        <v>1</v>
      </c>
      <c r="I72" s="39" t="n">
        <v>1</v>
      </c>
      <c r="J72" s="40">
        <f>E72*F72*G72*H72*I72</f>
        <v/>
      </c>
      <c r="K72" s="38" t="n"/>
      <c r="L72" s="38" t="n"/>
    </row>
    <row r="73" ht="22" customHeight="1">
      <c r="A73" s="32" t="inlineStr">
        <is>
          <t>20</t>
        </is>
      </c>
      <c r="B73" s="32" t="inlineStr">
        <is>
          <t>AF.33111</t>
        </is>
      </c>
      <c r="C73" s="33" t="inlineStr">
        <is>
          <t>Bê tông dầm ngang mố và trụ mác C35</t>
        </is>
      </c>
      <c r="D73" s="32" t="inlineStr">
        <is>
          <t>m3</t>
        </is>
      </c>
      <c r="E73" s="34" t="n"/>
      <c r="F73" s="34" t="n"/>
      <c r="G73" s="34" t="n"/>
      <c r="H73" s="34" t="n"/>
      <c r="I73" s="34" t="n"/>
      <c r="J73" s="35">
        <f>SUM(J74:J74)</f>
        <v/>
      </c>
      <c r="K73" s="36" t="n">
        <v>1650000</v>
      </c>
      <c r="L73" s="37">
        <f>J73*K73</f>
        <v/>
      </c>
    </row>
    <row r="74" ht="19" customHeight="1">
      <c r="A74" s="38" t="n"/>
      <c r="B74" s="38" t="n"/>
      <c r="C74" s="13" t="inlineStr">
        <is>
          <t>- Dầm ngang tại 2 mố và 2 trụ</t>
        </is>
      </c>
      <c r="D74" s="12" t="inlineStr">
        <is>
          <t>m3</t>
        </is>
      </c>
      <c r="E74" s="18" t="n">
        <v>4</v>
      </c>
      <c r="F74" s="18" t="n">
        <v>12.3</v>
      </c>
      <c r="G74" s="18" t="n">
        <v>0.45</v>
      </c>
      <c r="H74" s="18" t="n">
        <v>1.8</v>
      </c>
      <c r="I74" s="39" t="n">
        <v>1</v>
      </c>
      <c r="J74" s="40">
        <f>E74*F74*G74*H74*I74</f>
        <v/>
      </c>
      <c r="K74" s="38" t="n"/>
      <c r="L74" s="38" t="n"/>
    </row>
    <row r="75" ht="22" customHeight="1">
      <c r="A75" s="32" t="inlineStr">
        <is>
          <t>21</t>
        </is>
      </c>
      <c r="B75" s="32" t="inlineStr">
        <is>
          <t>AF.34111</t>
        </is>
      </c>
      <c r="C75" s="33" t="inlineStr">
        <is>
          <t>Cung cấp và lắp đặt tấm ván khuôn đúc sẵn đáy bản mặt cầu</t>
        </is>
      </c>
      <c r="D75" s="32" t="inlineStr">
        <is>
          <t>Tấm</t>
        </is>
      </c>
      <c r="E75" s="34" t="n"/>
      <c r="F75" s="34" t="n"/>
      <c r="G75" s="34" t="n"/>
      <c r="H75" s="34" t="n"/>
      <c r="I75" s="34" t="n"/>
      <c r="J75" s="35">
        <f>SUM(J76:J76)</f>
        <v/>
      </c>
      <c r="K75" s="36" t="n">
        <v>285000</v>
      </c>
      <c r="L75" s="37">
        <f>J75*K75</f>
        <v/>
      </c>
    </row>
    <row r="76" ht="19" customHeight="1">
      <c r="A76" s="38" t="n"/>
      <c r="B76" s="38" t="n"/>
      <c r="C76" s="13" t="inlineStr">
        <is>
          <t>- Tấm ván khuôn đúc sẵn (510 tấm toàn cầu)</t>
        </is>
      </c>
      <c r="D76" s="12" t="inlineStr">
        <is>
          <t>Tấm</t>
        </is>
      </c>
      <c r="E76" s="18" t="n">
        <v>510</v>
      </c>
      <c r="F76" s="18" t="n">
        <v>1</v>
      </c>
      <c r="G76" s="18" t="n">
        <v>1</v>
      </c>
      <c r="H76" s="18" t="n">
        <v>1</v>
      </c>
      <c r="I76" s="39" t="n">
        <v>1</v>
      </c>
      <c r="J76" s="40">
        <f>E76*F76*G76*H76*I76</f>
        <v/>
      </c>
      <c r="K76" s="38" t="n"/>
      <c r="L76" s="38" t="n"/>
    </row>
    <row r="77" ht="22" customHeight="1">
      <c r="A77" s="32" t="inlineStr">
        <is>
          <t>22</t>
        </is>
      </c>
      <c r="B77" s="32" t="inlineStr">
        <is>
          <t>AF.35111</t>
        </is>
      </c>
      <c r="C77" s="33" t="inlineStr">
        <is>
          <t>Bê tông bản mặt cầu đổ tại chỗ dày 180mm mác C35</t>
        </is>
      </c>
      <c r="D77" s="32" t="inlineStr">
        <is>
          <t>m3</t>
        </is>
      </c>
      <c r="E77" s="34" t="n"/>
      <c r="F77" s="34" t="n"/>
      <c r="G77" s="34" t="n"/>
      <c r="H77" s="34" t="n"/>
      <c r="I77" s="34" t="n"/>
      <c r="J77" s="35">
        <f>SUM(J78:J78)</f>
        <v/>
      </c>
      <c r="K77" s="36" t="n">
        <v>1680000</v>
      </c>
      <c r="L77" s="37">
        <f>J77*K77</f>
        <v/>
      </c>
    </row>
    <row r="78" ht="19" customHeight="1">
      <c r="A78" s="38" t="n"/>
      <c r="B78" s="38" t="n"/>
      <c r="C78" s="13" t="inlineStr">
        <is>
          <t>- Bê tông bản mặt cầu 3 nhịp (L=118.2m, B=12.615m, d=0.18m, trừ dầm)</t>
        </is>
      </c>
      <c r="D78" s="12" t="inlineStr">
        <is>
          <t>m3</t>
        </is>
      </c>
      <c r="E78" s="18" t="n">
        <v>1</v>
      </c>
      <c r="F78" s="18" t="n">
        <v>118.2</v>
      </c>
      <c r="G78" s="18" t="n">
        <v>12.615</v>
      </c>
      <c r="H78" s="18" t="n">
        <v>0.18</v>
      </c>
      <c r="I78" s="39" t="n">
        <v>1.1378</v>
      </c>
      <c r="J78" s="40">
        <f>E78*F78*G78*H78*I78</f>
        <v/>
      </c>
      <c r="K78" s="38" t="n"/>
      <c r="L78" s="38" t="n"/>
    </row>
    <row r="79" ht="22" customHeight="1">
      <c r="A79" s="32" t="inlineStr">
        <is>
          <t>23</t>
        </is>
      </c>
      <c r="B79" s="32" t="inlineStr">
        <is>
          <t>AF.36111</t>
        </is>
      </c>
      <c r="C79" s="33" t="inlineStr">
        <is>
          <t>Bê tông mối nối liên tục nhiệt đỉnh trụ T1, T2 mác C35</t>
        </is>
      </c>
      <c r="D79" s="32" t="inlineStr">
        <is>
          <t>m3</t>
        </is>
      </c>
      <c r="E79" s="34" t="n"/>
      <c r="F79" s="34" t="n"/>
      <c r="G79" s="34" t="n"/>
      <c r="H79" s="34" t="n"/>
      <c r="I79" s="34" t="n"/>
      <c r="J79" s="35">
        <f>SUM(J80:J80)</f>
        <v/>
      </c>
      <c r="K79" s="36" t="n">
        <v>1700000</v>
      </c>
      <c r="L79" s="37">
        <f>J79*K79</f>
        <v/>
      </c>
    </row>
    <row r="80" ht="19" customHeight="1">
      <c r="A80" s="38" t="n"/>
      <c r="B80" s="38" t="n"/>
      <c r="C80" s="13" t="inlineStr">
        <is>
          <t>- Bản liên tục nhiệt tại trụ T1 và T2</t>
        </is>
      </c>
      <c r="D80" s="12" t="inlineStr">
        <is>
          <t>m3</t>
        </is>
      </c>
      <c r="E80" s="18" t="n">
        <v>2</v>
      </c>
      <c r="F80" s="18" t="n">
        <v>12.615</v>
      </c>
      <c r="G80" s="18" t="n">
        <v>4</v>
      </c>
      <c r="H80" s="18" t="n">
        <v>0.216</v>
      </c>
      <c r="I80" s="39" t="n">
        <v>1</v>
      </c>
      <c r="J80" s="40">
        <f>E80*F80*G80*H80*I80</f>
        <v/>
      </c>
      <c r="K80" s="38" t="n"/>
      <c r="L80" s="38" t="n"/>
    </row>
    <row r="81" ht="22" customHeight="1">
      <c r="A81" s="32" t="inlineStr">
        <is>
          <t>24</t>
        </is>
      </c>
      <c r="B81" s="32" t="inlineStr">
        <is>
          <t>AF.65111</t>
        </is>
      </c>
      <c r="C81" s="33" t="inlineStr">
        <is>
          <t>Cốt thép bản mặt cầu và mối nối liên tục nhiệt (D14, D16)</t>
        </is>
      </c>
      <c r="D81" s="32" t="inlineStr">
        <is>
          <t>Tấn</t>
        </is>
      </c>
      <c r="E81" s="34" t="n"/>
      <c r="F81" s="34" t="n"/>
      <c r="G81" s="34" t="n"/>
      <c r="H81" s="34" t="n"/>
      <c r="I81" s="34" t="n"/>
      <c r="J81" s="35">
        <f>SUM(J82:J82)</f>
        <v/>
      </c>
      <c r="K81" s="36" t="n">
        <v>18500000</v>
      </c>
      <c r="L81" s="37">
        <f>J81*K81</f>
        <v/>
      </c>
    </row>
    <row r="82" ht="19" customHeight="1">
      <c r="A82" s="38" t="n"/>
      <c r="B82" s="38" t="n"/>
      <c r="C82" s="13" t="inlineStr">
        <is>
          <t>- Thép bản mặt cầu loại 1, loại 2, loại 3 &amp; liên tục nhiệt</t>
        </is>
      </c>
      <c r="D82" s="12" t="inlineStr">
        <is>
          <t>Tấn</t>
        </is>
      </c>
      <c r="E82" s="18" t="n">
        <v>1</v>
      </c>
      <c r="F82" s="18" t="n">
        <v>33.07</v>
      </c>
      <c r="G82" s="18" t="n">
        <v>1</v>
      </c>
      <c r="H82" s="18" t="n">
        <v>1</v>
      </c>
      <c r="I82" s="39" t="n">
        <v>1</v>
      </c>
      <c r="J82" s="40">
        <f>E82*F82*G82*H82*I82</f>
        <v/>
      </c>
      <c r="K82" s="38" t="n"/>
      <c r="L82" s="38" t="n"/>
    </row>
    <row r="83" ht="22" customHeight="1">
      <c r="A83" s="32" t="inlineStr">
        <is>
          <t>25</t>
        </is>
      </c>
      <c r="B83" s="32" t="inlineStr">
        <is>
          <t>AC.31111</t>
        </is>
      </c>
      <c r="C83" s="33" t="inlineStr">
        <is>
          <t>Khe co giãn răng lược thép D=100mm mạ kẽm nhúng nóng</t>
        </is>
      </c>
      <c r="D83" s="32" t="inlineStr">
        <is>
          <t>m</t>
        </is>
      </c>
      <c r="E83" s="34" t="n"/>
      <c r="F83" s="34" t="n"/>
      <c r="G83" s="34" t="n"/>
      <c r="H83" s="34" t="n"/>
      <c r="I83" s="34" t="n"/>
      <c r="J83" s="35">
        <f>SUM(J84:J84)</f>
        <v/>
      </c>
      <c r="K83" s="36" t="n">
        <v>8500000</v>
      </c>
      <c r="L83" s="37">
        <f>J83*K83</f>
        <v/>
      </c>
    </row>
    <row r="84" ht="19" customHeight="1">
      <c r="A84" s="38" t="n"/>
      <c r="B84" s="38" t="n"/>
      <c r="C84" s="13" t="inlineStr">
        <is>
          <t>- Khe co giãn mố M1 và M2 (2 vị trí x 12.25m)</t>
        </is>
      </c>
      <c r="D84" s="12" t="inlineStr">
        <is>
          <t>m</t>
        </is>
      </c>
      <c r="E84" s="18" t="n">
        <v>2</v>
      </c>
      <c r="F84" s="18" t="n">
        <v>12.25</v>
      </c>
      <c r="G84" s="18" t="n">
        <v>1</v>
      </c>
      <c r="H84" s="18" t="n">
        <v>1</v>
      </c>
      <c r="I84" s="39" t="n">
        <v>1</v>
      </c>
      <c r="J84" s="40">
        <f>E84*F84*G84*H84*I84</f>
        <v/>
      </c>
      <c r="K84" s="38" t="n"/>
      <c r="L84" s="38" t="n"/>
    </row>
    <row r="85" ht="24" customHeight="1">
      <c r="A85" s="31" t="inlineStr">
        <is>
          <t>PHẦN IV: KẾT CẤU PHỤ TRỢ, ĐƯỜNG ĐẦU CẦU &amp; HOÀN THIỆN TOÀN CẦU</t>
        </is>
      </c>
    </row>
    <row r="86" ht="22" customHeight="1">
      <c r="A86" s="32" t="inlineStr">
        <is>
          <t>26</t>
        </is>
      </c>
      <c r="B86" s="32" t="inlineStr">
        <is>
          <t>AF.41111</t>
        </is>
      </c>
      <c r="C86" s="33" t="inlineStr">
        <is>
          <t>Bê tông bản quá độ sau mố M1, M2 mác C25</t>
        </is>
      </c>
      <c r="D86" s="32" t="inlineStr">
        <is>
          <t>m3</t>
        </is>
      </c>
      <c r="E86" s="34" t="n"/>
      <c r="F86" s="34" t="n"/>
      <c r="G86" s="34" t="n"/>
      <c r="H86" s="34" t="n"/>
      <c r="I86" s="34" t="n"/>
      <c r="J86" s="35">
        <f>SUM(J87:J88)</f>
        <v/>
      </c>
      <c r="K86" s="36" t="n">
        <v>1450000</v>
      </c>
      <c r="L86" s="37">
        <f>J86*K86</f>
        <v/>
      </c>
    </row>
    <row r="87" ht="19" customHeight="1">
      <c r="A87" s="38" t="n"/>
      <c r="B87" s="38" t="n"/>
      <c r="C87" s="13" t="inlineStr">
        <is>
          <t>- Bản quá độ sau mố M1 (L=8.0m, B=12.5m, d=0.35m)</t>
        </is>
      </c>
      <c r="D87" s="12" t="inlineStr">
        <is>
          <t>m3</t>
        </is>
      </c>
      <c r="E87" s="18" t="n">
        <v>1</v>
      </c>
      <c r="F87" s="18" t="n">
        <v>8</v>
      </c>
      <c r="G87" s="18" t="n">
        <v>12.5</v>
      </c>
      <c r="H87" s="18" t="n">
        <v>0.35</v>
      </c>
      <c r="I87" s="39" t="n">
        <v>0.9626</v>
      </c>
      <c r="J87" s="40">
        <f>E87*F87*G87*H87*I87</f>
        <v/>
      </c>
      <c r="K87" s="38" t="n"/>
      <c r="L87" s="38" t="n"/>
    </row>
    <row r="88" ht="19" customHeight="1">
      <c r="A88" s="38" t="n"/>
      <c r="B88" s="38" t="n"/>
      <c r="C88" s="13" t="inlineStr">
        <is>
          <t>- Bản quá độ sau mố M2 (L=8.0m, B=12.5m, d=0.35m)</t>
        </is>
      </c>
      <c r="D88" s="12" t="inlineStr">
        <is>
          <t>m3</t>
        </is>
      </c>
      <c r="E88" s="18" t="n">
        <v>1</v>
      </c>
      <c r="F88" s="18" t="n">
        <v>8</v>
      </c>
      <c r="G88" s="18" t="n">
        <v>12.5</v>
      </c>
      <c r="H88" s="18" t="n">
        <v>0.35</v>
      </c>
      <c r="I88" s="39" t="n">
        <v>0.9626</v>
      </c>
      <c r="J88" s="40">
        <f>E88*F88*G88*H88*I88</f>
        <v/>
      </c>
      <c r="K88" s="38" t="n"/>
      <c r="L88" s="38" t="n"/>
    </row>
    <row r="89" ht="22" customHeight="1">
      <c r="A89" s="32" t="inlineStr">
        <is>
          <t>27</t>
        </is>
      </c>
      <c r="B89" s="32" t="inlineStr">
        <is>
          <t>AB.21111</t>
        </is>
      </c>
      <c r="C89" s="33" t="inlineStr">
        <is>
          <t>Đắp vật liệu dạng hạt chọn lọc sau mố đầm chặt K &gt;= 0.98</t>
        </is>
      </c>
      <c r="D89" s="32" t="inlineStr">
        <is>
          <t>m3</t>
        </is>
      </c>
      <c r="E89" s="34" t="n"/>
      <c r="F89" s="34" t="n"/>
      <c r="G89" s="34" t="n"/>
      <c r="H89" s="34" t="n"/>
      <c r="I89" s="34" t="n"/>
      <c r="J89" s="35">
        <f>SUM(J90:J90)</f>
        <v/>
      </c>
      <c r="K89" s="36" t="n">
        <v>185000</v>
      </c>
      <c r="L89" s="37">
        <f>J89*K89</f>
        <v/>
      </c>
    </row>
    <row r="90" ht="19" customHeight="1">
      <c r="A90" s="38" t="n"/>
      <c r="B90" s="38" t="n"/>
      <c r="C90" s="13" t="inlineStr">
        <is>
          <t>- Đoạn đắp chuyển tiếp sau mố M1 và M2</t>
        </is>
      </c>
      <c r="D90" s="12" t="inlineStr">
        <is>
          <t>m3</t>
        </is>
      </c>
      <c r="E90" s="18" t="n">
        <v>2</v>
      </c>
      <c r="F90" s="18" t="n">
        <v>18</v>
      </c>
      <c r="G90" s="18" t="n">
        <v>12.5</v>
      </c>
      <c r="H90" s="18" t="n">
        <v>4.5</v>
      </c>
      <c r="I90" s="39" t="n">
        <v>0.5</v>
      </c>
      <c r="J90" s="40">
        <f>E90*F90*G90*H90*I90</f>
        <v/>
      </c>
      <c r="K90" s="38" t="n"/>
      <c r="L90" s="38" t="n"/>
    </row>
    <row r="91" ht="22" customHeight="1">
      <c r="A91" s="32" t="inlineStr">
        <is>
          <t>28</t>
        </is>
      </c>
      <c r="B91" s="32" t="inlineStr">
        <is>
          <t>AF.42111</t>
        </is>
      </c>
      <c r="C91" s="33" t="inlineStr">
        <is>
          <t>Bê tông gờ lan can mác C25 và lắp tay vịn thép mạ kẽm</t>
        </is>
      </c>
      <c r="D91" s="32" t="inlineStr">
        <is>
          <t>m</t>
        </is>
      </c>
      <c r="E91" s="34" t="n"/>
      <c r="F91" s="34" t="n"/>
      <c r="G91" s="34" t="n"/>
      <c r="H91" s="34" t="n"/>
      <c r="I91" s="34" t="n"/>
      <c r="J91" s="35">
        <f>SUM(J92:J92)</f>
        <v/>
      </c>
      <c r="K91" s="36" t="n">
        <v>1650000</v>
      </c>
      <c r="L91" s="37">
        <f>J91*K91</f>
        <v/>
      </c>
    </row>
    <row r="92" ht="19" customHeight="1">
      <c r="A92" s="38" t="n"/>
      <c r="B92" s="38" t="n"/>
      <c r="C92" s="13" t="inlineStr">
        <is>
          <t>- Lan can 2 bên suốt chiều dài cầu (2 bên x 130.4m)</t>
        </is>
      </c>
      <c r="D92" s="12" t="inlineStr">
        <is>
          <t>m</t>
        </is>
      </c>
      <c r="E92" s="18" t="n">
        <v>2</v>
      </c>
      <c r="F92" s="18" t="n">
        <v>130.4</v>
      </c>
      <c r="G92" s="18" t="n">
        <v>1</v>
      </c>
      <c r="H92" s="18" t="n">
        <v>1</v>
      </c>
      <c r="I92" s="39" t="n">
        <v>1</v>
      </c>
      <c r="J92" s="40">
        <f>E92*F92*G92*H92*I92</f>
        <v/>
      </c>
      <c r="K92" s="38" t="n"/>
      <c r="L92" s="38" t="n"/>
    </row>
    <row r="93" ht="22" customHeight="1">
      <c r="A93" s="32" t="inlineStr">
        <is>
          <t>29</t>
        </is>
      </c>
      <c r="B93" s="32" t="inlineStr">
        <is>
          <t>AC.41111</t>
        </is>
      </c>
      <c r="C93" s="33" t="inlineStr">
        <is>
          <t>Hệ thống thoát nước mặt cầu (24 bộ hố ga gang &amp; ống PVC D150)</t>
        </is>
      </c>
      <c r="D93" s="32" t="inlineStr">
        <is>
          <t>Bộ</t>
        </is>
      </c>
      <c r="E93" s="34" t="n"/>
      <c r="F93" s="34" t="n"/>
      <c r="G93" s="34" t="n"/>
      <c r="H93" s="34" t="n"/>
      <c r="I93" s="34" t="n"/>
      <c r="J93" s="35">
        <f>SUM(J94:J94)</f>
        <v/>
      </c>
      <c r="K93" s="36" t="n">
        <v>2850000</v>
      </c>
      <c r="L93" s="37">
        <f>J93*K93</f>
        <v/>
      </c>
    </row>
    <row r="94" ht="19" customHeight="1">
      <c r="A94" s="38" t="n"/>
      <c r="B94" s="38" t="n"/>
      <c r="C94" s="13" t="inlineStr">
        <is>
          <t>- Cụm hố ga gang xám có lưới chắn rác và ống xả D150</t>
        </is>
      </c>
      <c r="D94" s="12" t="inlineStr">
        <is>
          <t>Bộ</t>
        </is>
      </c>
      <c r="E94" s="18" t="n">
        <v>24</v>
      </c>
      <c r="F94" s="18" t="n">
        <v>1</v>
      </c>
      <c r="G94" s="18" t="n">
        <v>1</v>
      </c>
      <c r="H94" s="18" t="n">
        <v>1</v>
      </c>
      <c r="I94" s="39" t="n">
        <v>1</v>
      </c>
      <c r="J94" s="40">
        <f>E94*F94*G94*H94*I94</f>
        <v/>
      </c>
      <c r="K94" s="38" t="n"/>
      <c r="L94" s="38" t="n"/>
    </row>
    <row r="95" ht="22" customHeight="1">
      <c r="A95" s="32" t="inlineStr">
        <is>
          <t>30</t>
        </is>
      </c>
      <c r="B95" s="32" t="inlineStr">
        <is>
          <t>AD.11111</t>
        </is>
      </c>
      <c r="C95" s="33" t="inlineStr">
        <is>
          <t>Lớp phun chống thấm &amp; thảm bê tông nhựa chặt C16 dày 7cm mặt cầu</t>
        </is>
      </c>
      <c r="D95" s="32" t="inlineStr">
        <is>
          <t>m2</t>
        </is>
      </c>
      <c r="E95" s="34" t="n"/>
      <c r="F95" s="34" t="n"/>
      <c r="G95" s="34" t="n"/>
      <c r="H95" s="34" t="n"/>
      <c r="I95" s="34" t="n"/>
      <c r="J95" s="35">
        <f>SUM(J96:J96)</f>
        <v/>
      </c>
      <c r="K95" s="36" t="n">
        <v>385000</v>
      </c>
      <c r="L95" s="37">
        <f>J95*K95</f>
        <v/>
      </c>
    </row>
    <row r="96" ht="19" customHeight="1">
      <c r="A96" s="38" t="n"/>
      <c r="B96" s="38" t="n"/>
      <c r="C96" s="13" t="inlineStr">
        <is>
          <t>- Diện tích mặt cầu xe chạy (L=118.2m x B=11.68m)</t>
        </is>
      </c>
      <c r="D96" s="12" t="inlineStr">
        <is>
          <t>m2</t>
        </is>
      </c>
      <c r="E96" s="18" t="n">
        <v>1</v>
      </c>
      <c r="F96" s="18" t="n">
        <v>118.2</v>
      </c>
      <c r="G96" s="18" t="n">
        <v>11.678</v>
      </c>
      <c r="H96" s="18" t="n">
        <v>1</v>
      </c>
      <c r="I96" s="39" t="n">
        <v>1</v>
      </c>
      <c r="J96" s="40">
        <f>E96*F96*G96*H96*I96</f>
        <v/>
      </c>
      <c r="K96" s="38" t="n"/>
      <c r="L96" s="38" t="n"/>
    </row>
    <row r="97" ht="22" customHeight="1">
      <c r="A97" s="32" t="inlineStr">
        <is>
          <t>31</t>
        </is>
      </c>
      <c r="B97" s="32" t="inlineStr">
        <is>
          <t>AL.11111</t>
        </is>
      </c>
      <c r="C97" s="33" t="inlineStr">
        <is>
          <t>Gia cố mái taluy tứ nón mố bằng đá hộc xây vữa VXM M100</t>
        </is>
      </c>
      <c r="D97" s="32" t="inlineStr">
        <is>
          <t>m3</t>
        </is>
      </c>
      <c r="E97" s="34" t="n"/>
      <c r="F97" s="34" t="n"/>
      <c r="G97" s="34" t="n"/>
      <c r="H97" s="34" t="n"/>
      <c r="I97" s="34" t="n"/>
      <c r="J97" s="35">
        <f>SUM(J98:J98)</f>
        <v/>
      </c>
      <c r="K97" s="36" t="n">
        <v>850000</v>
      </c>
      <c r="L97" s="37">
        <f>J97*K97</f>
        <v/>
      </c>
    </row>
    <row r="98" ht="19" customHeight="1">
      <c r="A98" s="38" t="n"/>
      <c r="B98" s="38" t="n"/>
      <c r="C98" s="13" t="inlineStr">
        <is>
          <t>- Tứ nón và chân khay đá hộc mố M1, M2</t>
        </is>
      </c>
      <c r="D98" s="12" t="inlineStr">
        <is>
          <t>m3</t>
        </is>
      </c>
      <c r="E98" s="18" t="n">
        <v>1</v>
      </c>
      <c r="F98" s="18" t="n">
        <v>52.216</v>
      </c>
      <c r="G98" s="18" t="n">
        <v>1</v>
      </c>
      <c r="H98" s="18" t="n">
        <v>1</v>
      </c>
      <c r="I98" s="39" t="n">
        <v>1</v>
      </c>
      <c r="J98" s="40">
        <f>E98*F98*G98*H98*I98</f>
        <v/>
      </c>
      <c r="K98" s="38" t="n"/>
      <c r="L98" s="38" t="n"/>
    </row>
    <row r="99" ht="22" customHeight="1">
      <c r="A99" s="32" t="inlineStr">
        <is>
          <t>32</t>
        </is>
      </c>
      <c r="B99" s="32" t="inlineStr">
        <is>
          <t>TN.21111</t>
        </is>
      </c>
      <c r="C99" s="33" t="inlineStr">
        <is>
          <t>Thử tải tĩnh/động cầu &amp; kiểm định an toàn chịu lực trước khi bàn giao</t>
        </is>
      </c>
      <c r="D99" s="32" t="inlineStr">
        <is>
          <t>Gói</t>
        </is>
      </c>
      <c r="E99" s="34" t="n"/>
      <c r="F99" s="34" t="n"/>
      <c r="G99" s="34" t="n"/>
      <c r="H99" s="34" t="n"/>
      <c r="I99" s="34" t="n"/>
      <c r="J99" s="35">
        <f>SUM(J100:J100)</f>
        <v/>
      </c>
      <c r="K99" s="36" t="n">
        <v>350000000</v>
      </c>
      <c r="L99" s="37">
        <f>J99*K99</f>
        <v/>
      </c>
    </row>
    <row r="100" ht="19" customHeight="1">
      <c r="A100" s="38" t="n"/>
      <c r="B100" s="38" t="n"/>
      <c r="C100" s="13" t="inlineStr">
        <is>
          <t>- Trọn gói thử tải xe tải nặng theo đề cương phê duyệt</t>
        </is>
      </c>
      <c r="D100" s="12" t="inlineStr">
        <is>
          <t>Gói</t>
        </is>
      </c>
      <c r="E100" s="18" t="n">
        <v>1</v>
      </c>
      <c r="F100" s="18" t="n">
        <v>1</v>
      </c>
      <c r="G100" s="18" t="n">
        <v>1</v>
      </c>
      <c r="H100" s="18" t="n">
        <v>1</v>
      </c>
      <c r="I100" s="39" t="n">
        <v>1</v>
      </c>
      <c r="J100" s="40">
        <f>E100*F100*G100*H100*I100</f>
        <v/>
      </c>
      <c r="K100" s="38" t="n"/>
      <c r="L100" s="38" t="n"/>
    </row>
    <row r="101" ht="26" customHeight="1">
      <c r="A101" s="19" t="inlineStr">
        <is>
          <t>TỔNG CỘNG CHI PHÍ TRỰC TIẾP (T) (VNĐ)</t>
        </is>
      </c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1" t="n"/>
      <c r="L101" s="43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44" t="inlineStr">
        <is>
          <t>02. KẾT CẤU PHẦN DƯỚI (SUBSTRUCTURE)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6" t="n"/>
    </row>
    <row r="7">
      <c r="A7" s="5" t="n">
        <v>1</v>
      </c>
      <c r="B7" s="6" t="inlineStr">
        <is>
          <t>Mố M1</t>
        </is>
      </c>
      <c r="C7" s="6" t="inlineStr">
        <is>
          <t>BỆ MỐ</t>
        </is>
      </c>
      <c r="D7" s="5" t="inlineStr">
        <is>
          <t>F1</t>
        </is>
      </c>
      <c r="E7" s="5" t="n">
        <v>28</v>
      </c>
      <c r="F7" s="5" t="inlineStr">
        <is>
          <t>CB400-V</t>
        </is>
      </c>
      <c r="G7" s="5" t="inlineStr">
        <is>
          <t>S06</t>
        </is>
      </c>
      <c r="H7" s="10" t="n">
        <v>6.578</v>
      </c>
      <c r="I7" s="47" t="n">
        <v>83</v>
      </c>
      <c r="J7" s="47" t="n">
        <v>1</v>
      </c>
      <c r="K7" s="47">
        <f>I7*J7</f>
        <v/>
      </c>
      <c r="L7" s="11">
        <f>H7*K7</f>
        <v/>
      </c>
      <c r="M7" s="10" t="n">
        <v>4.83</v>
      </c>
      <c r="N7" s="11">
        <f>L7*M7</f>
        <v/>
      </c>
      <c r="O7" s="10">
        <f>N7/1000</f>
        <v/>
      </c>
      <c r="P7" s="5" t="inlineStr">
        <is>
          <t>D&gt;18mm</t>
        </is>
      </c>
      <c r="Q7" s="6" t="inlineStr">
        <is>
          <t>TCVN 1651:2018 / ASTM</t>
        </is>
      </c>
    </row>
    <row r="8">
      <c r="A8" s="12" t="n">
        <v>2</v>
      </c>
      <c r="B8" s="13" t="inlineStr">
        <is>
          <t>Mố M1</t>
        </is>
      </c>
      <c r="C8" s="13" t="inlineStr">
        <is>
          <t>Thân mố / Bệ mố</t>
        </is>
      </c>
      <c r="D8" s="12" t="inlineStr">
        <is>
          <t>F2</t>
        </is>
      </c>
      <c r="E8" s="12" t="n">
        <v>18</v>
      </c>
      <c r="F8" s="12" t="inlineStr">
        <is>
          <t>CB400-V</t>
        </is>
      </c>
      <c r="G8" s="12" t="inlineStr">
        <is>
          <t>S06</t>
        </is>
      </c>
      <c r="H8" s="17" t="n">
        <v>13.571</v>
      </c>
      <c r="I8" s="48" t="n">
        <v>40</v>
      </c>
      <c r="J8" s="48" t="n">
        <v>1</v>
      </c>
      <c r="K8" s="48">
        <f>I8*J8</f>
        <v/>
      </c>
      <c r="L8" s="18">
        <f>H8*K8</f>
        <v/>
      </c>
      <c r="M8" s="17" t="n">
        <v>2</v>
      </c>
      <c r="N8" s="18">
        <f>L8*M8</f>
        <v/>
      </c>
      <c r="O8" s="17">
        <f>N8/1000</f>
        <v/>
      </c>
      <c r="P8" s="12" t="inlineStr">
        <is>
          <t>10&lt;D&lt;=18mm</t>
        </is>
      </c>
      <c r="Q8" s="13" t="inlineStr">
        <is>
          <t>TCVN 1651:2018 / ASTM</t>
        </is>
      </c>
    </row>
    <row r="9">
      <c r="A9" s="5" t="n">
        <v>3</v>
      </c>
      <c r="B9" s="6" t="inlineStr">
        <is>
          <t>Mố M1</t>
        </is>
      </c>
      <c r="C9" s="6" t="inlineStr">
        <is>
          <t>Thân mố / Bệ mố</t>
        </is>
      </c>
      <c r="D9" s="5" t="inlineStr">
        <is>
          <t>F3</t>
        </is>
      </c>
      <c r="E9" s="5" t="n">
        <v>18</v>
      </c>
      <c r="F9" s="5" t="inlineStr">
        <is>
          <t>CB400-V</t>
        </is>
      </c>
      <c r="G9" s="5" t="inlineStr">
        <is>
          <t>S06</t>
        </is>
      </c>
      <c r="H9" s="10" t="n">
        <v>6.336</v>
      </c>
      <c r="I9" s="47" t="n">
        <v>83</v>
      </c>
      <c r="J9" s="47" t="n">
        <v>1</v>
      </c>
      <c r="K9" s="47">
        <f>I9*J9</f>
        <v/>
      </c>
      <c r="L9" s="11">
        <f>H9*K9</f>
        <v/>
      </c>
      <c r="M9" s="10" t="n">
        <v>2</v>
      </c>
      <c r="N9" s="11">
        <f>L9*M9</f>
        <v/>
      </c>
      <c r="O9" s="10">
        <f>N9/1000</f>
        <v/>
      </c>
      <c r="P9" s="5" t="inlineStr">
        <is>
          <t>10&lt;D&lt;=18mm</t>
        </is>
      </c>
      <c r="Q9" s="6" t="inlineStr">
        <is>
          <t>TCVN 1651:2018 / ASTM</t>
        </is>
      </c>
    </row>
    <row r="10">
      <c r="A10" s="12" t="n">
        <v>4</v>
      </c>
      <c r="B10" s="13" t="inlineStr">
        <is>
          <t>Mố M1</t>
        </is>
      </c>
      <c r="C10" s="13" t="inlineStr">
        <is>
          <t>Thân mố / Bệ mố</t>
        </is>
      </c>
      <c r="D10" s="12" t="inlineStr">
        <is>
          <t>F4</t>
        </is>
      </c>
      <c r="E10" s="12" t="n">
        <v>18</v>
      </c>
      <c r="F10" s="12" t="inlineStr">
        <is>
          <t>CB400-V</t>
        </is>
      </c>
      <c r="G10" s="12" t="inlineStr">
        <is>
          <t>S06</t>
        </is>
      </c>
      <c r="H10" s="17" t="n">
        <v>13.571</v>
      </c>
      <c r="I10" s="48" t="n">
        <v>30</v>
      </c>
      <c r="J10" s="48" t="n">
        <v>1</v>
      </c>
      <c r="K10" s="48">
        <f>I10*J10</f>
        <v/>
      </c>
      <c r="L10" s="18">
        <f>H10*K10</f>
        <v/>
      </c>
      <c r="M10" s="17" t="n">
        <v>2</v>
      </c>
      <c r="N10" s="18">
        <f>L10*M10</f>
        <v/>
      </c>
      <c r="O10" s="17">
        <f>N10/1000</f>
        <v/>
      </c>
      <c r="P10" s="12" t="inlineStr">
        <is>
          <t>10&lt;D&lt;=18mm</t>
        </is>
      </c>
      <c r="Q10" s="13" t="inlineStr">
        <is>
          <t>TCVN 1651:2018 / ASTM</t>
        </is>
      </c>
    </row>
    <row r="11">
      <c r="A11" s="5" t="n">
        <v>5</v>
      </c>
      <c r="B11" s="6" t="inlineStr">
        <is>
          <t>Mố M1</t>
        </is>
      </c>
      <c r="C11" s="6" t="inlineStr">
        <is>
          <t>Thân mố / Bệ mố</t>
        </is>
      </c>
      <c r="D11" s="5" t="inlineStr">
        <is>
          <t>F5</t>
        </is>
      </c>
      <c r="E11" s="5" t="n">
        <v>16</v>
      </c>
      <c r="F11" s="5" t="inlineStr">
        <is>
          <t>CB400-V</t>
        </is>
      </c>
      <c r="G11" s="5" t="inlineStr">
        <is>
          <t>S01</t>
        </is>
      </c>
      <c r="H11" s="10" t="n">
        <v>5.85</v>
      </c>
      <c r="I11" s="47" t="n">
        <v>16</v>
      </c>
      <c r="J11" s="47" t="n">
        <v>1</v>
      </c>
      <c r="K11" s="47">
        <f>I11*J11</f>
        <v/>
      </c>
      <c r="L11" s="11">
        <f>H11*K11</f>
        <v/>
      </c>
      <c r="M11" s="10" t="n">
        <v>1.58</v>
      </c>
      <c r="N11" s="11">
        <f>L11*M11</f>
        <v/>
      </c>
      <c r="O11" s="10">
        <f>N11/1000</f>
        <v/>
      </c>
      <c r="P11" s="5" t="inlineStr">
        <is>
          <t>10&lt;D&lt;=18mm</t>
        </is>
      </c>
      <c r="Q11" s="6" t="inlineStr">
        <is>
          <t>TCVN 1651:2018 / ASTM</t>
        </is>
      </c>
    </row>
    <row r="12">
      <c r="A12" s="12" t="n">
        <v>6</v>
      </c>
      <c r="B12" s="13" t="inlineStr">
        <is>
          <t>Mố M1</t>
        </is>
      </c>
      <c r="C12" s="13" t="inlineStr">
        <is>
          <t>Thân mố / Bệ mố</t>
        </is>
      </c>
      <c r="D12" s="12" t="inlineStr">
        <is>
          <t>F6</t>
        </is>
      </c>
      <c r="E12" s="12" t="n">
        <v>16</v>
      </c>
      <c r="F12" s="12" t="inlineStr">
        <is>
          <t>CB400-V</t>
        </is>
      </c>
      <c r="G12" s="12" t="inlineStr">
        <is>
          <t>S06</t>
        </is>
      </c>
      <c r="H12" s="17" t="n">
        <v>1.99</v>
      </c>
      <c r="I12" s="48" t="n">
        <v>182</v>
      </c>
      <c r="J12" s="48" t="n">
        <v>1</v>
      </c>
      <c r="K12" s="48">
        <f>I12*J12</f>
        <v/>
      </c>
      <c r="L12" s="18">
        <f>H12*K12</f>
        <v/>
      </c>
      <c r="M12" s="17" t="n">
        <v>1.58</v>
      </c>
      <c r="N12" s="18">
        <f>L12*M12</f>
        <v/>
      </c>
      <c r="O12" s="17">
        <f>N12/1000</f>
        <v/>
      </c>
      <c r="P12" s="12" t="inlineStr">
        <is>
          <t>10&lt;D&lt;=18mm</t>
        </is>
      </c>
      <c r="Q12" s="13" t="inlineStr">
        <is>
          <t>TCVN 1651:2018 / ASTM</t>
        </is>
      </c>
    </row>
    <row r="13">
      <c r="A13" s="5" t="n">
        <v>7</v>
      </c>
      <c r="B13" s="6" t="inlineStr">
        <is>
          <t>Mố M1</t>
        </is>
      </c>
      <c r="C13" s="6" t="inlineStr">
        <is>
          <t>Thân mố / Bệ mố</t>
        </is>
      </c>
      <c r="D13" s="5" t="inlineStr">
        <is>
          <t>F7</t>
        </is>
      </c>
      <c r="E13" s="5" t="n">
        <v>16</v>
      </c>
      <c r="F13" s="5" t="inlineStr">
        <is>
          <t>CB400-V</t>
        </is>
      </c>
      <c r="G13" s="5" t="inlineStr">
        <is>
          <t>S01</t>
        </is>
      </c>
      <c r="H13" s="10" t="n">
        <v>13.005</v>
      </c>
      <c r="I13" s="47" t="n">
        <v>16</v>
      </c>
      <c r="J13" s="47" t="n">
        <v>1</v>
      </c>
      <c r="K13" s="47">
        <f>I13*J13</f>
        <v/>
      </c>
      <c r="L13" s="11">
        <f>H13*K13</f>
        <v/>
      </c>
      <c r="M13" s="10" t="n">
        <v>1.58</v>
      </c>
      <c r="N13" s="11">
        <f>L13*M13</f>
        <v/>
      </c>
      <c r="O13" s="10">
        <f>N13/1000</f>
        <v/>
      </c>
      <c r="P13" s="5" t="inlineStr">
        <is>
          <t>10&lt;D&lt;=18mm</t>
        </is>
      </c>
      <c r="Q13" s="6" t="inlineStr">
        <is>
          <t>TCVN 1651:2018 / ASTM</t>
        </is>
      </c>
    </row>
    <row r="14">
      <c r="A14" s="12" t="n">
        <v>8</v>
      </c>
      <c r="B14" s="13" t="inlineStr">
        <is>
          <t>Mố M1</t>
        </is>
      </c>
      <c r="C14" s="13" t="inlineStr">
        <is>
          <t>Thân mố / Bệ mố</t>
        </is>
      </c>
      <c r="D14" s="12" t="inlineStr">
        <is>
          <t>F8</t>
        </is>
      </c>
      <c r="E14" s="12" t="n">
        <v>16</v>
      </c>
      <c r="F14" s="12" t="inlineStr">
        <is>
          <t>CB400-V</t>
        </is>
      </c>
      <c r="G14" s="12" t="inlineStr">
        <is>
          <t>S06</t>
        </is>
      </c>
      <c r="H14" s="17" t="n">
        <v>1.99</v>
      </c>
      <c r="I14" s="48" t="n">
        <v>140</v>
      </c>
      <c r="J14" s="48" t="n">
        <v>1</v>
      </c>
      <c r="K14" s="48">
        <f>I14*J14</f>
        <v/>
      </c>
      <c r="L14" s="18">
        <f>H14*K14</f>
        <v/>
      </c>
      <c r="M14" s="17" t="n">
        <v>1.58</v>
      </c>
      <c r="N14" s="18">
        <f>L14*M14</f>
        <v/>
      </c>
      <c r="O14" s="17">
        <f>N14/1000</f>
        <v/>
      </c>
      <c r="P14" s="12" t="inlineStr">
        <is>
          <t>10&lt;D&lt;=18mm</t>
        </is>
      </c>
      <c r="Q14" s="13" t="inlineStr">
        <is>
          <t>TCVN 1651:2018 / ASTM</t>
        </is>
      </c>
    </row>
    <row r="15">
      <c r="A15" s="5" t="n">
        <v>9</v>
      </c>
      <c r="B15" s="6" t="inlineStr">
        <is>
          <t>Mố M1</t>
        </is>
      </c>
      <c r="C15" s="6" t="inlineStr">
        <is>
          <t>TƯỜNG THÂN</t>
        </is>
      </c>
      <c r="D15" s="5" t="inlineStr">
        <is>
          <t>A1</t>
        </is>
      </c>
      <c r="E15" s="5" t="n">
        <v>22</v>
      </c>
      <c r="F15" s="5" t="inlineStr">
        <is>
          <t>CB400-V</t>
        </is>
      </c>
      <c r="G15" s="5" t="inlineStr">
        <is>
          <t>S02</t>
        </is>
      </c>
      <c r="H15" s="10" t="n">
        <v>7.438</v>
      </c>
      <c r="I15" s="47" t="n">
        <v>73</v>
      </c>
      <c r="J15" s="47" t="n">
        <v>1</v>
      </c>
      <c r="K15" s="47">
        <f>I15*J15</f>
        <v/>
      </c>
      <c r="L15" s="11">
        <f>H15*K15</f>
        <v/>
      </c>
      <c r="M15" s="10" t="n">
        <v>2.98</v>
      </c>
      <c r="N15" s="11">
        <f>L15*M15</f>
        <v/>
      </c>
      <c r="O15" s="10">
        <f>N15/1000</f>
        <v/>
      </c>
      <c r="P15" s="5" t="inlineStr">
        <is>
          <t>D&gt;18mm</t>
        </is>
      </c>
      <c r="Q15" s="6" t="inlineStr">
        <is>
          <t>TCVN 1651:2018 / ASTM</t>
        </is>
      </c>
    </row>
    <row r="16">
      <c r="A16" s="12" t="n">
        <v>10</v>
      </c>
      <c r="B16" s="13" t="inlineStr">
        <is>
          <t>Mố M1</t>
        </is>
      </c>
      <c r="C16" s="13" t="inlineStr">
        <is>
          <t>Thân mố / Bệ mố</t>
        </is>
      </c>
      <c r="D16" s="12" t="inlineStr">
        <is>
          <t>A2</t>
        </is>
      </c>
      <c r="E16" s="12" t="n">
        <v>16</v>
      </c>
      <c r="F16" s="12" t="inlineStr">
        <is>
          <t>CB400-V</t>
        </is>
      </c>
      <c r="G16" s="12" t="inlineStr">
        <is>
          <t>S06</t>
        </is>
      </c>
      <c r="H16" s="17" t="n">
        <v>13.487</v>
      </c>
      <c r="I16" s="48" t="n">
        <v>35</v>
      </c>
      <c r="J16" s="48" t="n">
        <v>1</v>
      </c>
      <c r="K16" s="48">
        <f>I16*J16</f>
        <v/>
      </c>
      <c r="L16" s="18">
        <f>H16*K16</f>
        <v/>
      </c>
      <c r="M16" s="17" t="n">
        <v>1.58</v>
      </c>
      <c r="N16" s="18">
        <f>L16*M16</f>
        <v/>
      </c>
      <c r="O16" s="17">
        <f>N16/1000</f>
        <v/>
      </c>
      <c r="P16" s="12" t="inlineStr">
        <is>
          <t>10&lt;D&lt;=18mm</t>
        </is>
      </c>
      <c r="Q16" s="13" t="inlineStr">
        <is>
          <t>TCVN 1651:2018 / ASTM</t>
        </is>
      </c>
    </row>
    <row r="17">
      <c r="A17" s="5" t="n">
        <v>11</v>
      </c>
      <c r="B17" s="6" t="inlineStr">
        <is>
          <t>Mố M1</t>
        </is>
      </c>
      <c r="C17" s="6" t="inlineStr">
        <is>
          <t>Thân mố / Bệ mố</t>
        </is>
      </c>
      <c r="D17" s="5" t="inlineStr">
        <is>
          <t>A3</t>
        </is>
      </c>
      <c r="E17" s="5" t="n">
        <v>16</v>
      </c>
      <c r="F17" s="5" t="inlineStr">
        <is>
          <t>CB400-V</t>
        </is>
      </c>
      <c r="G17" s="5" t="inlineStr">
        <is>
          <t>S02</t>
        </is>
      </c>
      <c r="H17" s="10" t="n">
        <v>7.357</v>
      </c>
      <c r="I17" s="47" t="n">
        <v>83</v>
      </c>
      <c r="J17" s="47" t="n">
        <v>1</v>
      </c>
      <c r="K17" s="47">
        <f>I17*J17</f>
        <v/>
      </c>
      <c r="L17" s="11">
        <f>H17*K17</f>
        <v/>
      </c>
      <c r="M17" s="10" t="n">
        <v>1.58</v>
      </c>
      <c r="N17" s="11">
        <f>L17*M17</f>
        <v/>
      </c>
      <c r="O17" s="10">
        <f>N17/1000</f>
        <v/>
      </c>
      <c r="P17" s="5" t="inlineStr">
        <is>
          <t>10&lt;D&lt;=18mm</t>
        </is>
      </c>
      <c r="Q17" s="6" t="inlineStr">
        <is>
          <t>TCVN 1651:2018 / ASTM</t>
        </is>
      </c>
    </row>
    <row r="18">
      <c r="A18" s="12" t="n">
        <v>12</v>
      </c>
      <c r="B18" s="13" t="inlineStr">
        <is>
          <t>Mố M1</t>
        </is>
      </c>
      <c r="C18" s="13" t="inlineStr">
        <is>
          <t>Thân mố / Bệ mố</t>
        </is>
      </c>
      <c r="D18" s="12" t="inlineStr">
        <is>
          <t>A4</t>
        </is>
      </c>
      <c r="E18" s="12" t="n">
        <v>16</v>
      </c>
      <c r="F18" s="12" t="inlineStr">
        <is>
          <t>CB400-V</t>
        </is>
      </c>
      <c r="G18" s="12" t="inlineStr">
        <is>
          <t>S06</t>
        </is>
      </c>
      <c r="H18" s="17" t="n">
        <v>13.487</v>
      </c>
      <c r="I18" s="48" t="n">
        <v>34</v>
      </c>
      <c r="J18" s="48" t="n">
        <v>1</v>
      </c>
      <c r="K18" s="48">
        <f>I18*J18</f>
        <v/>
      </c>
      <c r="L18" s="18">
        <f>H18*K18</f>
        <v/>
      </c>
      <c r="M18" s="17" t="n">
        <v>1.58</v>
      </c>
      <c r="N18" s="18">
        <f>L18*M18</f>
        <v/>
      </c>
      <c r="O18" s="17">
        <f>N18/1000</f>
        <v/>
      </c>
      <c r="P18" s="12" t="inlineStr">
        <is>
          <t>10&lt;D&lt;=18mm</t>
        </is>
      </c>
      <c r="Q18" s="13" t="inlineStr">
        <is>
          <t>TCVN 1651:2018 / ASTM</t>
        </is>
      </c>
    </row>
    <row r="19">
      <c r="A19" s="5" t="n">
        <v>13</v>
      </c>
      <c r="B19" s="6" t="inlineStr">
        <is>
          <t>Mố M1</t>
        </is>
      </c>
      <c r="C19" s="6" t="inlineStr">
        <is>
          <t>Thân mố / Bệ mố</t>
        </is>
      </c>
      <c r="D19" s="5" t="inlineStr">
        <is>
          <t>A4A</t>
        </is>
      </c>
      <c r="E19" s="5" t="n">
        <v>16</v>
      </c>
      <c r="F19" s="5" t="inlineStr">
        <is>
          <t>CB400-V</t>
        </is>
      </c>
      <c r="G19" s="5" t="inlineStr">
        <is>
          <t>S06</t>
        </is>
      </c>
      <c r="H19" s="10" t="n">
        <v>11.159</v>
      </c>
      <c r="I19" s="47" t="n">
        <v>1</v>
      </c>
      <c r="J19" s="47" t="n">
        <v>1</v>
      </c>
      <c r="K19" s="47">
        <f>I19*J19</f>
        <v/>
      </c>
      <c r="L19" s="11">
        <f>H19*K19</f>
        <v/>
      </c>
      <c r="M19" s="10" t="n">
        <v>1.58</v>
      </c>
      <c r="N19" s="11">
        <f>L19*M19</f>
        <v/>
      </c>
      <c r="O19" s="10">
        <f>N19/1000</f>
        <v/>
      </c>
      <c r="P19" s="5" t="inlineStr">
        <is>
          <t>10&lt;D&lt;=18mm</t>
        </is>
      </c>
      <c r="Q19" s="6" t="inlineStr">
        <is>
          <t>TCVN 1651:2018 / ASTM</t>
        </is>
      </c>
    </row>
    <row r="20">
      <c r="A20" s="12" t="n">
        <v>14</v>
      </c>
      <c r="B20" s="13" t="inlineStr">
        <is>
          <t>Mố M1</t>
        </is>
      </c>
      <c r="C20" s="13" t="inlineStr">
        <is>
          <t>Thân mố / Bệ mố</t>
        </is>
      </c>
      <c r="D20" s="12" t="inlineStr">
        <is>
          <t>A5</t>
        </is>
      </c>
      <c r="E20" s="12" t="n">
        <v>16</v>
      </c>
      <c r="F20" s="12" t="inlineStr">
        <is>
          <t>CB400-V</t>
        </is>
      </c>
      <c r="G20" s="12" t="inlineStr">
        <is>
          <t>S06</t>
        </is>
      </c>
      <c r="H20" s="17" t="n">
        <v>13.489</v>
      </c>
      <c r="I20" s="48" t="n">
        <v>7</v>
      </c>
      <c r="J20" s="48" t="n">
        <v>1</v>
      </c>
      <c r="K20" s="48">
        <f>I20*J20</f>
        <v/>
      </c>
      <c r="L20" s="18">
        <f>H20*K20</f>
        <v/>
      </c>
      <c r="M20" s="17" t="n">
        <v>1.58</v>
      </c>
      <c r="N20" s="18">
        <f>L20*M20</f>
        <v/>
      </c>
      <c r="O20" s="17">
        <f>N20/1000</f>
        <v/>
      </c>
      <c r="P20" s="12" t="inlineStr">
        <is>
          <t>10&lt;D&lt;=18mm</t>
        </is>
      </c>
      <c r="Q20" s="13" t="inlineStr">
        <is>
          <t>TCVN 1651:2018 / ASTM</t>
        </is>
      </c>
    </row>
    <row r="21">
      <c r="A21" s="5" t="n">
        <v>15</v>
      </c>
      <c r="B21" s="6" t="inlineStr">
        <is>
          <t>Mố M1</t>
        </is>
      </c>
      <c r="C21" s="6" t="inlineStr">
        <is>
          <t>Thân mố / Bệ mố</t>
        </is>
      </c>
      <c r="D21" s="5" t="inlineStr">
        <is>
          <t>A6</t>
        </is>
      </c>
      <c r="E21" s="5" t="n">
        <v>16</v>
      </c>
      <c r="F21" s="5" t="inlineStr">
        <is>
          <t>CB400-V</t>
        </is>
      </c>
      <c r="G21" s="5" t="inlineStr">
        <is>
          <t>S06</t>
        </is>
      </c>
      <c r="H21" s="10" t="n">
        <v>1.807</v>
      </c>
      <c r="I21" s="47" t="n">
        <v>73</v>
      </c>
      <c r="J21" s="47" t="n">
        <v>1</v>
      </c>
      <c r="K21" s="47">
        <f>I21*J21</f>
        <v/>
      </c>
      <c r="L21" s="11">
        <f>H21*K21</f>
        <v/>
      </c>
      <c r="M21" s="10" t="n">
        <v>1.58</v>
      </c>
      <c r="N21" s="11">
        <f>L21*M21</f>
        <v/>
      </c>
      <c r="O21" s="10">
        <f>N21/1000</f>
        <v/>
      </c>
      <c r="P21" s="5" t="inlineStr">
        <is>
          <t>10&lt;D&lt;=18mm</t>
        </is>
      </c>
      <c r="Q21" s="6" t="inlineStr">
        <is>
          <t>TCVN 1651:2018 / ASTM</t>
        </is>
      </c>
    </row>
    <row r="22">
      <c r="A22" s="12" t="n">
        <v>16</v>
      </c>
      <c r="B22" s="13" t="inlineStr">
        <is>
          <t>Mố M1</t>
        </is>
      </c>
      <c r="C22" s="13" t="inlineStr">
        <is>
          <t>Thân mố / Bệ mố</t>
        </is>
      </c>
      <c r="D22" s="12" t="inlineStr">
        <is>
          <t>A7</t>
        </is>
      </c>
      <c r="E22" s="12" t="n">
        <v>14</v>
      </c>
      <c r="F22" s="12" t="inlineStr">
        <is>
          <t>CB400-V</t>
        </is>
      </c>
      <c r="G22" s="12" t="inlineStr">
        <is>
          <t>S06</t>
        </is>
      </c>
      <c r="H22" s="17" t="n">
        <v>1.585</v>
      </c>
      <c r="I22" s="48" t="n">
        <v>144</v>
      </c>
      <c r="J22" s="48" t="n">
        <v>1</v>
      </c>
      <c r="K22" s="48">
        <f>I22*J22</f>
        <v/>
      </c>
      <c r="L22" s="18">
        <f>H22*K22</f>
        <v/>
      </c>
      <c r="M22" s="17" t="n">
        <v>1.21</v>
      </c>
      <c r="N22" s="18">
        <f>L22*M22</f>
        <v/>
      </c>
      <c r="O22" s="17">
        <f>N22/1000</f>
        <v/>
      </c>
      <c r="P22" s="12" t="inlineStr">
        <is>
          <t>10&lt;D&lt;=18mm</t>
        </is>
      </c>
      <c r="Q22" s="13" t="inlineStr">
        <is>
          <t>TCVN 1651:2018 / ASTM</t>
        </is>
      </c>
    </row>
    <row r="23">
      <c r="A23" s="5" t="n">
        <v>17</v>
      </c>
      <c r="B23" s="6" t="inlineStr">
        <is>
          <t>Mố M1</t>
        </is>
      </c>
      <c r="C23" s="6" t="inlineStr">
        <is>
          <t>Thân mố / Bệ mố</t>
        </is>
      </c>
      <c r="D23" s="5" t="inlineStr">
        <is>
          <t>A8(P)</t>
        </is>
      </c>
      <c r="E23" s="5" t="n">
        <v>16</v>
      </c>
      <c r="F23" s="5" t="inlineStr">
        <is>
          <t>CB400-V</t>
        </is>
      </c>
      <c r="G23" s="5" t="inlineStr">
        <is>
          <t>S02</t>
        </is>
      </c>
      <c r="H23" s="10" t="n">
        <v>5.052</v>
      </c>
      <c r="I23" s="47" t="n">
        <v>7</v>
      </c>
      <c r="J23" s="47" t="n">
        <v>1</v>
      </c>
      <c r="K23" s="47">
        <f>I23*J23</f>
        <v/>
      </c>
      <c r="L23" s="11">
        <f>H23*K23</f>
        <v/>
      </c>
      <c r="M23" s="10" t="n">
        <v>1.58</v>
      </c>
      <c r="N23" s="11">
        <f>L23*M23</f>
        <v/>
      </c>
      <c r="O23" s="10">
        <f>N23/1000</f>
        <v/>
      </c>
      <c r="P23" s="5" t="inlineStr">
        <is>
          <t>10&lt;D&lt;=18mm</t>
        </is>
      </c>
      <c r="Q23" s="6" t="inlineStr">
        <is>
          <t>TCVN 1651:2018 / ASTM</t>
        </is>
      </c>
    </row>
    <row r="24">
      <c r="A24" s="12" t="n">
        <v>18</v>
      </c>
      <c r="B24" s="13" t="inlineStr">
        <is>
          <t>Mố M1</t>
        </is>
      </c>
      <c r="C24" s="13" t="inlineStr">
        <is>
          <t>Thân mố / Bệ mố</t>
        </is>
      </c>
      <c r="D24" s="12" t="inlineStr">
        <is>
          <t>A8(T)</t>
        </is>
      </c>
      <c r="E24" s="12" t="n">
        <v>16</v>
      </c>
      <c r="F24" s="12" t="inlineStr">
        <is>
          <t>CB400-V</t>
        </is>
      </c>
      <c r="G24" s="12" t="inlineStr">
        <is>
          <t>S02</t>
        </is>
      </c>
      <c r="H24" s="17" t="n">
        <v>5.352</v>
      </c>
      <c r="I24" s="48" t="n">
        <v>7</v>
      </c>
      <c r="J24" s="48" t="n">
        <v>1</v>
      </c>
      <c r="K24" s="48">
        <f>I24*J24</f>
        <v/>
      </c>
      <c r="L24" s="18">
        <f>H24*K24</f>
        <v/>
      </c>
      <c r="M24" s="17" t="n">
        <v>1.58</v>
      </c>
      <c r="N24" s="18">
        <f>L24*M24</f>
        <v/>
      </c>
      <c r="O24" s="17">
        <f>N24/1000</f>
        <v/>
      </c>
      <c r="P24" s="12" t="inlineStr">
        <is>
          <t>10&lt;D&lt;=18mm</t>
        </is>
      </c>
      <c r="Q24" s="13" t="inlineStr">
        <is>
          <t>TCVN 1651:2018 / ASTM</t>
        </is>
      </c>
    </row>
    <row r="25">
      <c r="A25" s="5" t="n">
        <v>19</v>
      </c>
      <c r="B25" s="6" t="inlineStr">
        <is>
          <t>Mố M1</t>
        </is>
      </c>
      <c r="C25" s="6" t="inlineStr">
        <is>
          <t>Thân mố / Bệ mố</t>
        </is>
      </c>
      <c r="D25" s="5" t="inlineStr">
        <is>
          <t>P1</t>
        </is>
      </c>
      <c r="E25" s="5" t="n">
        <v>16</v>
      </c>
      <c r="F25" s="5" t="inlineStr">
        <is>
          <t>CB400-V</t>
        </is>
      </c>
      <c r="G25" s="5" t="inlineStr">
        <is>
          <t>S06</t>
        </is>
      </c>
      <c r="H25" s="10" t="n">
        <v>13.487</v>
      </c>
      <c r="I25" s="47" t="n">
        <v>30</v>
      </c>
      <c r="J25" s="47" t="n">
        <v>1</v>
      </c>
      <c r="K25" s="47">
        <f>I25*J25</f>
        <v/>
      </c>
      <c r="L25" s="11">
        <f>H25*K25</f>
        <v/>
      </c>
      <c r="M25" s="10" t="n">
        <v>1.58</v>
      </c>
      <c r="N25" s="11">
        <f>L25*M25</f>
        <v/>
      </c>
      <c r="O25" s="10">
        <f>N25/1000</f>
        <v/>
      </c>
      <c r="P25" s="5" t="inlineStr">
        <is>
          <t>10&lt;D&lt;=18mm</t>
        </is>
      </c>
      <c r="Q25" s="6" t="inlineStr">
        <is>
          <t>TCVN 1651:2018 / ASTM</t>
        </is>
      </c>
    </row>
    <row r="26">
      <c r="A26" s="12" t="n">
        <v>20</v>
      </c>
      <c r="B26" s="13" t="inlineStr">
        <is>
          <t>Mố M1</t>
        </is>
      </c>
      <c r="C26" s="13" t="inlineStr">
        <is>
          <t>Thân mố / Bệ mố</t>
        </is>
      </c>
      <c r="D26" s="12" t="inlineStr">
        <is>
          <t>P1A</t>
        </is>
      </c>
      <c r="E26" s="12" t="n">
        <v>16</v>
      </c>
      <c r="F26" s="12" t="inlineStr">
        <is>
          <t>CB400-V</t>
        </is>
      </c>
      <c r="G26" s="12" t="inlineStr">
        <is>
          <t>S06</t>
        </is>
      </c>
      <c r="H26" s="17" t="n">
        <v>13.489</v>
      </c>
      <c r="I26" s="48" t="n">
        <v>2</v>
      </c>
      <c r="J26" s="48" t="n">
        <v>1</v>
      </c>
      <c r="K26" s="48">
        <f>I26*J26</f>
        <v/>
      </c>
      <c r="L26" s="18">
        <f>H26*K26</f>
        <v/>
      </c>
      <c r="M26" s="17" t="n">
        <v>1.58</v>
      </c>
      <c r="N26" s="18">
        <f>L26*M26</f>
        <v/>
      </c>
      <c r="O26" s="17">
        <f>N26/1000</f>
        <v/>
      </c>
      <c r="P26" s="12" t="inlineStr">
        <is>
          <t>10&lt;D&lt;=18mm</t>
        </is>
      </c>
      <c r="Q26" s="13" t="inlineStr">
        <is>
          <t>TCVN 1651:2018 / ASTM</t>
        </is>
      </c>
    </row>
    <row r="27">
      <c r="A27" s="5" t="n">
        <v>21</v>
      </c>
      <c r="B27" s="6" t="inlineStr">
        <is>
          <t>Mố M1</t>
        </is>
      </c>
      <c r="C27" s="6" t="inlineStr">
        <is>
          <t>Thân mố / Bệ mố</t>
        </is>
      </c>
      <c r="D27" s="5" t="inlineStr">
        <is>
          <t>P1B</t>
        </is>
      </c>
      <c r="E27" s="5" t="n">
        <v>16</v>
      </c>
      <c r="F27" s="5" t="inlineStr">
        <is>
          <t>CB400-V</t>
        </is>
      </c>
      <c r="G27" s="5" t="inlineStr">
        <is>
          <t>S06</t>
        </is>
      </c>
      <c r="H27" s="10" t="n">
        <v>7.743</v>
      </c>
      <c r="I27" s="47" t="n">
        <v>2</v>
      </c>
      <c r="J27" s="47" t="n">
        <v>1</v>
      </c>
      <c r="K27" s="47">
        <f>I27*J27</f>
        <v/>
      </c>
      <c r="L27" s="11">
        <f>H27*K27</f>
        <v/>
      </c>
      <c r="M27" s="10" t="n">
        <v>1.58</v>
      </c>
      <c r="N27" s="11">
        <f>L27*M27</f>
        <v/>
      </c>
      <c r="O27" s="10">
        <f>N27/1000</f>
        <v/>
      </c>
      <c r="P27" s="5" t="inlineStr">
        <is>
          <t>10&lt;D&lt;=18mm</t>
        </is>
      </c>
      <c r="Q27" s="6" t="inlineStr">
        <is>
          <t>TCVN 1651:2018 / ASTM</t>
        </is>
      </c>
    </row>
    <row r="28">
      <c r="A28" s="12" t="n">
        <v>22</v>
      </c>
      <c r="B28" s="13" t="inlineStr">
        <is>
          <t>Mố M1</t>
        </is>
      </c>
      <c r="C28" s="13" t="inlineStr">
        <is>
          <t>Thân mố / Bệ mố</t>
        </is>
      </c>
      <c r="D28" s="12" t="inlineStr">
        <is>
          <t>P2</t>
        </is>
      </c>
      <c r="E28" s="12" t="n">
        <v>16</v>
      </c>
      <c r="F28" s="12" t="inlineStr">
        <is>
          <t>CB400-V</t>
        </is>
      </c>
      <c r="G28" s="12" t="inlineStr">
        <is>
          <t>S06</t>
        </is>
      </c>
      <c r="H28" s="17" t="n">
        <v>5.82</v>
      </c>
      <c r="I28" s="48" t="n">
        <v>83</v>
      </c>
      <c r="J28" s="48" t="n">
        <v>1</v>
      </c>
      <c r="K28" s="48">
        <f>I28*J28</f>
        <v/>
      </c>
      <c r="L28" s="18">
        <f>H28*K28</f>
        <v/>
      </c>
      <c r="M28" s="17" t="n">
        <v>1.58</v>
      </c>
      <c r="N28" s="18">
        <f>L28*M28</f>
        <v/>
      </c>
      <c r="O28" s="17">
        <f>N28/1000</f>
        <v/>
      </c>
      <c r="P28" s="12" t="inlineStr">
        <is>
          <t>10&lt;D&lt;=18mm</t>
        </is>
      </c>
      <c r="Q28" s="13" t="inlineStr">
        <is>
          <t>TCVN 1651:2018 / ASTM</t>
        </is>
      </c>
    </row>
    <row r="29">
      <c r="A29" s="5" t="n">
        <v>23</v>
      </c>
      <c r="B29" s="6" t="inlineStr">
        <is>
          <t>Mố M1</t>
        </is>
      </c>
      <c r="C29" s="6" t="inlineStr">
        <is>
          <t>Thân mố / Bệ mố</t>
        </is>
      </c>
      <c r="D29" s="5" t="inlineStr">
        <is>
          <t>P3</t>
        </is>
      </c>
      <c r="E29" s="5" t="n">
        <v>16</v>
      </c>
      <c r="F29" s="5" t="inlineStr">
        <is>
          <t>CB400-V</t>
        </is>
      </c>
      <c r="G29" s="5" t="inlineStr">
        <is>
          <t>S57</t>
        </is>
      </c>
      <c r="H29" s="10" t="n">
        <v>2.071</v>
      </c>
      <c r="I29" s="47" t="n">
        <v>83</v>
      </c>
      <c r="J29" s="47" t="n">
        <v>1</v>
      </c>
      <c r="K29" s="47">
        <f>I29*J29</f>
        <v/>
      </c>
      <c r="L29" s="11">
        <f>H29*K29</f>
        <v/>
      </c>
      <c r="M29" s="10" t="n">
        <v>1.58</v>
      </c>
      <c r="N29" s="11">
        <f>L29*M29</f>
        <v/>
      </c>
      <c r="O29" s="10">
        <f>N29/1000</f>
        <v/>
      </c>
      <c r="P29" s="5" t="inlineStr">
        <is>
          <t>10&lt;D&lt;=18mm</t>
        </is>
      </c>
      <c r="Q29" s="6" t="inlineStr">
        <is>
          <t>TCVN 1651:2018 / ASTM</t>
        </is>
      </c>
    </row>
    <row r="30">
      <c r="A30" s="12" t="n">
        <v>24</v>
      </c>
      <c r="B30" s="13" t="inlineStr">
        <is>
          <t>Mố M1</t>
        </is>
      </c>
      <c r="C30" s="13" t="inlineStr">
        <is>
          <t>Thân mố / Bệ mố</t>
        </is>
      </c>
      <c r="D30" s="12" t="inlineStr">
        <is>
          <t>P4</t>
        </is>
      </c>
      <c r="E30" s="12" t="n">
        <v>14</v>
      </c>
      <c r="F30" s="12" t="inlineStr">
        <is>
          <t>CB400-V</t>
        </is>
      </c>
      <c r="G30" s="12" t="inlineStr">
        <is>
          <t>S06</t>
        </is>
      </c>
      <c r="H30" s="17" t="n">
        <v>0.585</v>
      </c>
      <c r="I30" s="48" t="n">
        <v>54</v>
      </c>
      <c r="J30" s="48" t="n">
        <v>1</v>
      </c>
      <c r="K30" s="48">
        <f>I30*J30</f>
        <v/>
      </c>
      <c r="L30" s="18">
        <f>H30*K30</f>
        <v/>
      </c>
      <c r="M30" s="17" t="n">
        <v>1.21</v>
      </c>
      <c r="N30" s="18">
        <f>L30*M30</f>
        <v/>
      </c>
      <c r="O30" s="17">
        <f>N30/1000</f>
        <v/>
      </c>
      <c r="P30" s="12" t="inlineStr">
        <is>
          <t>10&lt;D&lt;=18mm</t>
        </is>
      </c>
      <c r="Q30" s="13" t="inlineStr">
        <is>
          <t>TCVN 1651:2018 / ASTM</t>
        </is>
      </c>
    </row>
    <row r="31">
      <c r="A31" s="5" t="n">
        <v>25</v>
      </c>
      <c r="B31" s="6" t="inlineStr">
        <is>
          <t>Mố M1</t>
        </is>
      </c>
      <c r="C31" s="6" t="inlineStr">
        <is>
          <t>Thân mố / Bệ mố</t>
        </is>
      </c>
      <c r="D31" s="5" t="inlineStr">
        <is>
          <t>H1</t>
        </is>
      </c>
      <c r="E31" s="5" t="n">
        <v>25</v>
      </c>
      <c r="F31" s="5" t="inlineStr">
        <is>
          <t>CB400-V</t>
        </is>
      </c>
      <c r="G31" s="5" t="inlineStr">
        <is>
          <t>S05</t>
        </is>
      </c>
      <c r="H31" s="10" t="n">
        <v>1.07</v>
      </c>
      <c r="I31" s="47" t="n">
        <v>23</v>
      </c>
      <c r="J31" s="47" t="n">
        <v>1</v>
      </c>
      <c r="K31" s="47">
        <f>I31*J31</f>
        <v/>
      </c>
      <c r="L31" s="11">
        <f>H31*K31</f>
        <v/>
      </c>
      <c r="M31" s="10" t="n">
        <v>3.85</v>
      </c>
      <c r="N31" s="11">
        <f>L31*M31</f>
        <v/>
      </c>
      <c r="O31" s="10">
        <f>N31/1000</f>
        <v/>
      </c>
      <c r="P31" s="5" t="inlineStr">
        <is>
          <t>D&gt;18mm</t>
        </is>
      </c>
      <c r="Q31" s="6" t="inlineStr">
        <is>
          <t>TCVN 1651:2018 / ASTM</t>
        </is>
      </c>
    </row>
    <row r="32">
      <c r="A32" s="12" t="n">
        <v>26</v>
      </c>
      <c r="B32" s="13" t="inlineStr">
        <is>
          <t>Mố M1</t>
        </is>
      </c>
      <c r="C32" s="13" t="inlineStr">
        <is>
          <t>Thân mố / Bệ mố</t>
        </is>
      </c>
      <c r="D32" s="12" t="inlineStr">
        <is>
          <t>H2</t>
        </is>
      </c>
      <c r="E32" s="12" t="n">
        <v>8</v>
      </c>
      <c r="F32" s="12" t="inlineStr">
        <is>
          <t>CB240-T</t>
        </is>
      </c>
      <c r="G32" s="12" t="inlineStr">
        <is>
          <t>S32</t>
        </is>
      </c>
      <c r="H32" s="17" t="n">
        <v>2.132</v>
      </c>
      <c r="I32" s="48" t="n">
        <v>23</v>
      </c>
      <c r="J32" s="48" t="n">
        <v>1</v>
      </c>
      <c r="K32" s="48">
        <f>I32*J32</f>
        <v/>
      </c>
      <c r="L32" s="18">
        <f>H32*K32</f>
        <v/>
      </c>
      <c r="M32" s="17" t="n">
        <v>0.395</v>
      </c>
      <c r="N32" s="18">
        <f>L32*M32</f>
        <v/>
      </c>
      <c r="O32" s="17">
        <f>N32/1000</f>
        <v/>
      </c>
      <c r="P32" s="12" t="inlineStr">
        <is>
          <t>D&lt;=10mm</t>
        </is>
      </c>
      <c r="Q32" s="13" t="inlineStr">
        <is>
          <t>TCVN 1651:2018 / ASTM</t>
        </is>
      </c>
    </row>
    <row r="33">
      <c r="A33" s="5" t="n">
        <v>27</v>
      </c>
      <c r="B33" s="6" t="inlineStr">
        <is>
          <t>Mố M1</t>
        </is>
      </c>
      <c r="C33" s="6" t="inlineStr">
        <is>
          <t>TƯỜNG CÁNH PHẢI</t>
        </is>
      </c>
      <c r="D33" s="5" t="inlineStr">
        <is>
          <t>W1A(P)</t>
        </is>
      </c>
      <c r="E33" s="5" t="n">
        <v>16</v>
      </c>
      <c r="F33" s="5" t="inlineStr">
        <is>
          <t>CB400-V</t>
        </is>
      </c>
      <c r="G33" s="5" t="inlineStr">
        <is>
          <t>S06</t>
        </is>
      </c>
      <c r="H33" s="10" t="n">
        <v>7.322</v>
      </c>
      <c r="I33" s="47" t="n">
        <v>23</v>
      </c>
      <c r="J33" s="47" t="n">
        <v>1</v>
      </c>
      <c r="K33" s="47">
        <f>I33*J33</f>
        <v/>
      </c>
      <c r="L33" s="11">
        <f>H33*K33</f>
        <v/>
      </c>
      <c r="M33" s="10" t="n">
        <v>1.58</v>
      </c>
      <c r="N33" s="11">
        <f>L33*M33</f>
        <v/>
      </c>
      <c r="O33" s="10">
        <f>N33/1000</f>
        <v/>
      </c>
      <c r="P33" s="5" t="inlineStr">
        <is>
          <t>10&lt;D&lt;=18mm</t>
        </is>
      </c>
      <c r="Q33" s="6" t="inlineStr">
        <is>
          <t>TCVN 1651:2018 / ASTM</t>
        </is>
      </c>
    </row>
    <row r="34">
      <c r="A34" s="12" t="n">
        <v>28</v>
      </c>
      <c r="B34" s="13" t="inlineStr">
        <is>
          <t>Mố M1</t>
        </is>
      </c>
      <c r="C34" s="13" t="inlineStr">
        <is>
          <t>Thân mố / Bệ mố</t>
        </is>
      </c>
      <c r="D34" s="12" t="inlineStr">
        <is>
          <t>W1B(P)</t>
        </is>
      </c>
      <c r="E34" s="12" t="n">
        <v>16</v>
      </c>
      <c r="F34" s="12" t="inlineStr">
        <is>
          <t>CB400-V</t>
        </is>
      </c>
      <c r="G34" s="12" t="inlineStr">
        <is>
          <t>S06</t>
        </is>
      </c>
      <c r="H34" s="17" t="n">
        <v>2.793</v>
      </c>
      <c r="I34" s="48" t="n">
        <v>17</v>
      </c>
      <c r="J34" s="48" t="n">
        <v>1</v>
      </c>
      <c r="K34" s="48">
        <f>I34*J34</f>
        <v/>
      </c>
      <c r="L34" s="18">
        <f>H34*K34</f>
        <v/>
      </c>
      <c r="M34" s="17" t="n">
        <v>1.58</v>
      </c>
      <c r="N34" s="18">
        <f>L34*M34</f>
        <v/>
      </c>
      <c r="O34" s="17">
        <f>N34/1000</f>
        <v/>
      </c>
      <c r="P34" s="12" t="inlineStr">
        <is>
          <t>10&lt;D&lt;=18mm</t>
        </is>
      </c>
      <c r="Q34" s="13" t="inlineStr">
        <is>
          <t>TCVN 1651:2018 / ASTM</t>
        </is>
      </c>
    </row>
    <row r="35">
      <c r="A35" s="5" t="n">
        <v>29</v>
      </c>
      <c r="B35" s="6" t="inlineStr">
        <is>
          <t>Mố M1</t>
        </is>
      </c>
      <c r="C35" s="6" t="inlineStr">
        <is>
          <t>Thân mố / Bệ mố</t>
        </is>
      </c>
      <c r="D35" s="5" t="inlineStr">
        <is>
          <t>W2A(P)</t>
        </is>
      </c>
      <c r="E35" s="5" t="n">
        <v>22</v>
      </c>
      <c r="F35" s="5" t="inlineStr">
        <is>
          <t>CB400-V</t>
        </is>
      </c>
      <c r="G35" s="5" t="inlineStr">
        <is>
          <t>S06</t>
        </is>
      </c>
      <c r="H35" s="10" t="n">
        <v>7.479</v>
      </c>
      <c r="I35" s="47" t="n">
        <v>18</v>
      </c>
      <c r="J35" s="47" t="n">
        <v>1</v>
      </c>
      <c r="K35" s="47">
        <f>I35*J35</f>
        <v/>
      </c>
      <c r="L35" s="11">
        <f>H35*K35</f>
        <v/>
      </c>
      <c r="M35" s="10" t="n">
        <v>2.98</v>
      </c>
      <c r="N35" s="11">
        <f>L35*M35</f>
        <v/>
      </c>
      <c r="O35" s="10">
        <f>N35/1000</f>
        <v/>
      </c>
      <c r="P35" s="5" t="inlineStr">
        <is>
          <t>D&gt;18mm</t>
        </is>
      </c>
      <c r="Q35" s="6" t="inlineStr">
        <is>
          <t>TCVN 1651:2018 / ASTM</t>
        </is>
      </c>
    </row>
    <row r="36">
      <c r="A36" s="12" t="n">
        <v>30</v>
      </c>
      <c r="B36" s="13" t="inlineStr">
        <is>
          <t>Mố M1</t>
        </is>
      </c>
      <c r="C36" s="13" t="inlineStr">
        <is>
          <t>Thân mố / Bệ mố</t>
        </is>
      </c>
      <c r="D36" s="12" t="inlineStr">
        <is>
          <t>W2B(P)</t>
        </is>
      </c>
      <c r="E36" s="12" t="n">
        <v>22</v>
      </c>
      <c r="F36" s="12" t="inlineStr">
        <is>
          <t>CB400-V</t>
        </is>
      </c>
      <c r="G36" s="12" t="inlineStr">
        <is>
          <t>S06</t>
        </is>
      </c>
      <c r="H36" s="17" t="n">
        <v>2.955</v>
      </c>
      <c r="I36" s="48" t="n">
        <v>17</v>
      </c>
      <c r="J36" s="48" t="n">
        <v>1</v>
      </c>
      <c r="K36" s="48">
        <f>I36*J36</f>
        <v/>
      </c>
      <c r="L36" s="18">
        <f>H36*K36</f>
        <v/>
      </c>
      <c r="M36" s="17" t="n">
        <v>2.98</v>
      </c>
      <c r="N36" s="18">
        <f>L36*M36</f>
        <v/>
      </c>
      <c r="O36" s="17">
        <f>N36/1000</f>
        <v/>
      </c>
      <c r="P36" s="12" t="inlineStr">
        <is>
          <t>D&gt;18mm</t>
        </is>
      </c>
      <c r="Q36" s="13" t="inlineStr">
        <is>
          <t>TCVN 1651:2018 / ASTM</t>
        </is>
      </c>
    </row>
    <row r="37">
      <c r="A37" s="5" t="n">
        <v>31</v>
      </c>
      <c r="B37" s="6" t="inlineStr">
        <is>
          <t>Mố M1</t>
        </is>
      </c>
      <c r="C37" s="6" t="inlineStr">
        <is>
          <t>Thân mố / Bệ mố</t>
        </is>
      </c>
      <c r="D37" s="5" t="inlineStr">
        <is>
          <t>W3A(P)</t>
        </is>
      </c>
      <c r="E37" s="5" t="n">
        <v>16</v>
      </c>
      <c r="F37" s="5" t="inlineStr">
        <is>
          <t>CB400-V</t>
        </is>
      </c>
      <c r="G37" s="5" t="inlineStr">
        <is>
          <t>S06</t>
        </is>
      </c>
      <c r="H37" s="10" t="n">
        <v>4.832</v>
      </c>
      <c r="I37" s="47" t="n">
        <v>23</v>
      </c>
      <c r="J37" s="47" t="n">
        <v>1</v>
      </c>
      <c r="K37" s="47">
        <f>I37*J37</f>
        <v/>
      </c>
      <c r="L37" s="11">
        <f>H37*K37</f>
        <v/>
      </c>
      <c r="M37" s="10" t="n">
        <v>1.58</v>
      </c>
      <c r="N37" s="11">
        <f>L37*M37</f>
        <v/>
      </c>
      <c r="O37" s="10">
        <f>N37/1000</f>
        <v/>
      </c>
      <c r="P37" s="5" t="inlineStr">
        <is>
          <t>10&lt;D&lt;=18mm</t>
        </is>
      </c>
      <c r="Q37" s="6" t="inlineStr">
        <is>
          <t>TCVN 1651:2018 / ASTM</t>
        </is>
      </c>
    </row>
    <row r="38">
      <c r="A38" s="12" t="n">
        <v>32</v>
      </c>
      <c r="B38" s="13" t="inlineStr">
        <is>
          <t>Mố M1</t>
        </is>
      </c>
      <c r="C38" s="13" t="inlineStr">
        <is>
          <t>Thân mố / Bệ mố</t>
        </is>
      </c>
      <c r="D38" s="12" t="inlineStr">
        <is>
          <t>W3B(P)</t>
        </is>
      </c>
      <c r="E38" s="12" t="n">
        <v>16</v>
      </c>
      <c r="F38" s="12" t="inlineStr">
        <is>
          <t>CB400-V</t>
        </is>
      </c>
      <c r="G38" s="12" t="inlineStr">
        <is>
          <t>S06</t>
        </is>
      </c>
      <c r="H38" s="17" t="n">
        <v>5.67</v>
      </c>
      <c r="I38" s="48" t="n">
        <v>11</v>
      </c>
      <c r="J38" s="48" t="n">
        <v>1</v>
      </c>
      <c r="K38" s="48">
        <f>I38*J38</f>
        <v/>
      </c>
      <c r="L38" s="18">
        <f>H38*K38</f>
        <v/>
      </c>
      <c r="M38" s="17" t="n">
        <v>1.58</v>
      </c>
      <c r="N38" s="18">
        <f>L38*M38</f>
        <v/>
      </c>
      <c r="O38" s="17">
        <f>N38/1000</f>
        <v/>
      </c>
      <c r="P38" s="12" t="inlineStr">
        <is>
          <t>10&lt;D&lt;=18mm</t>
        </is>
      </c>
      <c r="Q38" s="13" t="inlineStr">
        <is>
          <t>TCVN 1651:2018 / ASTM</t>
        </is>
      </c>
    </row>
    <row r="39">
      <c r="A39" s="5" t="n">
        <v>33</v>
      </c>
      <c r="B39" s="6" t="inlineStr">
        <is>
          <t>Mố M1</t>
        </is>
      </c>
      <c r="C39" s="6" t="inlineStr">
        <is>
          <t>Thân mố / Bệ mố</t>
        </is>
      </c>
      <c r="D39" s="5" t="inlineStr">
        <is>
          <t>W3C(P)</t>
        </is>
      </c>
      <c r="E39" s="5" t="n">
        <v>16</v>
      </c>
      <c r="F39" s="5" t="inlineStr">
        <is>
          <t>CB400-V</t>
        </is>
      </c>
      <c r="G39" s="5" t="inlineStr">
        <is>
          <t>S06</t>
        </is>
      </c>
      <c r="H39" s="10" t="n">
        <v>5.945</v>
      </c>
      <c r="I39" s="47" t="n">
        <v>6</v>
      </c>
      <c r="J39" s="47" t="n">
        <v>1</v>
      </c>
      <c r="K39" s="47">
        <f>I39*J39</f>
        <v/>
      </c>
      <c r="L39" s="11">
        <f>H39*K39</f>
        <v/>
      </c>
      <c r="M39" s="10" t="n">
        <v>1.58</v>
      </c>
      <c r="N39" s="11">
        <f>L39*M39</f>
        <v/>
      </c>
      <c r="O39" s="10">
        <f>N39/1000</f>
        <v/>
      </c>
      <c r="P39" s="5" t="inlineStr">
        <is>
          <t>10&lt;D&lt;=18mm</t>
        </is>
      </c>
      <c r="Q39" s="6" t="inlineStr">
        <is>
          <t>TCVN 1651:2018 / ASTM</t>
        </is>
      </c>
    </row>
    <row r="40">
      <c r="A40" s="12" t="n">
        <v>34</v>
      </c>
      <c r="B40" s="13" t="inlineStr">
        <is>
          <t>Mố M1</t>
        </is>
      </c>
      <c r="C40" s="13" t="inlineStr">
        <is>
          <t>Thân mố / Bệ mố</t>
        </is>
      </c>
      <c r="D40" s="12" t="inlineStr">
        <is>
          <t>W3D(P)</t>
        </is>
      </c>
      <c r="E40" s="12" t="n">
        <v>16</v>
      </c>
      <c r="F40" s="12" t="inlineStr">
        <is>
          <t>CB400-V</t>
        </is>
      </c>
      <c r="G40" s="12" t="inlineStr">
        <is>
          <t>S06</t>
        </is>
      </c>
      <c r="H40" s="17" t="n">
        <v>6.332</v>
      </c>
      <c r="I40" s="48" t="n">
        <v>8</v>
      </c>
      <c r="J40" s="48" t="n">
        <v>1</v>
      </c>
      <c r="K40" s="48">
        <f>I40*J40</f>
        <v/>
      </c>
      <c r="L40" s="18">
        <f>H40*K40</f>
        <v/>
      </c>
      <c r="M40" s="17" t="n">
        <v>1.58</v>
      </c>
      <c r="N40" s="18">
        <f>L40*M40</f>
        <v/>
      </c>
      <c r="O40" s="17">
        <f>N40/1000</f>
        <v/>
      </c>
      <c r="P40" s="12" t="inlineStr">
        <is>
          <t>10&lt;D&lt;=18mm</t>
        </is>
      </c>
      <c r="Q40" s="13" t="inlineStr">
        <is>
          <t>TCVN 1651:2018 / ASTM</t>
        </is>
      </c>
    </row>
    <row r="41">
      <c r="A41" s="5" t="n">
        <v>35</v>
      </c>
      <c r="B41" s="6" t="inlineStr">
        <is>
          <t>Mố M1</t>
        </is>
      </c>
      <c r="C41" s="6" t="inlineStr">
        <is>
          <t>Thân mố / Bệ mố</t>
        </is>
      </c>
      <c r="D41" s="5" t="inlineStr">
        <is>
          <t>W3E(P)</t>
        </is>
      </c>
      <c r="E41" s="5" t="n">
        <v>16</v>
      </c>
      <c r="F41" s="5" t="inlineStr">
        <is>
          <t>CB400-V</t>
        </is>
      </c>
      <c r="G41" s="5" t="inlineStr">
        <is>
          <t>S06</t>
        </is>
      </c>
      <c r="H41" s="10" t="n">
        <v>4.168</v>
      </c>
      <c r="I41" s="47" t="n">
        <v>1</v>
      </c>
      <c r="J41" s="47" t="n">
        <v>1</v>
      </c>
      <c r="K41" s="47">
        <f>I41*J41</f>
        <v/>
      </c>
      <c r="L41" s="11">
        <f>H41*K41</f>
        <v/>
      </c>
      <c r="M41" s="10" t="n">
        <v>1.58</v>
      </c>
      <c r="N41" s="11">
        <f>L41*M41</f>
        <v/>
      </c>
      <c r="O41" s="10">
        <f>N41/1000</f>
        <v/>
      </c>
      <c r="P41" s="5" t="inlineStr">
        <is>
          <t>10&lt;D&lt;=18mm</t>
        </is>
      </c>
      <c r="Q41" s="6" t="inlineStr">
        <is>
          <t>TCVN 1651:2018 / ASTM</t>
        </is>
      </c>
    </row>
    <row r="42">
      <c r="A42" s="12" t="n">
        <v>36</v>
      </c>
      <c r="B42" s="13" t="inlineStr">
        <is>
          <t>Mố M1</t>
        </is>
      </c>
      <c r="C42" s="13" t="inlineStr">
        <is>
          <t>Thân mố / Bệ mố</t>
        </is>
      </c>
      <c r="D42" s="12" t="inlineStr">
        <is>
          <t>W3F(P)</t>
        </is>
      </c>
      <c r="E42" s="12" t="n">
        <v>16</v>
      </c>
      <c r="F42" s="12" t="inlineStr">
        <is>
          <t>CB400-V</t>
        </is>
      </c>
      <c r="G42" s="12" t="inlineStr">
        <is>
          <t>S06</t>
        </is>
      </c>
      <c r="H42" s="17" t="n">
        <v>6.334</v>
      </c>
      <c r="I42" s="48" t="n">
        <v>1</v>
      </c>
      <c r="J42" s="48" t="n">
        <v>1</v>
      </c>
      <c r="K42" s="48">
        <f>I42*J42</f>
        <v/>
      </c>
      <c r="L42" s="18">
        <f>H42*K42</f>
        <v/>
      </c>
      <c r="M42" s="17" t="n">
        <v>1.58</v>
      </c>
      <c r="N42" s="18">
        <f>L42*M42</f>
        <v/>
      </c>
      <c r="O42" s="17">
        <f>N42/1000</f>
        <v/>
      </c>
      <c r="P42" s="12" t="inlineStr">
        <is>
          <t>10&lt;D&lt;=18mm</t>
        </is>
      </c>
      <c r="Q42" s="13" t="inlineStr">
        <is>
          <t>TCVN 1651:2018 / ASTM</t>
        </is>
      </c>
    </row>
    <row r="43">
      <c r="A43" s="5" t="n">
        <v>37</v>
      </c>
      <c r="B43" s="6" t="inlineStr">
        <is>
          <t>Mố M1</t>
        </is>
      </c>
      <c r="C43" s="6" t="inlineStr">
        <is>
          <t>Thân mố / Bệ mố</t>
        </is>
      </c>
      <c r="D43" s="5" t="inlineStr">
        <is>
          <t>W4A(P)</t>
        </is>
      </c>
      <c r="E43" s="5" t="n">
        <v>22</v>
      </c>
      <c r="F43" s="5" t="inlineStr">
        <is>
          <t>CB400-V</t>
        </is>
      </c>
      <c r="G43" s="5" t="inlineStr">
        <is>
          <t>S06</t>
        </is>
      </c>
      <c r="H43" s="10" t="n">
        <v>4.994</v>
      </c>
      <c r="I43" s="47" t="n">
        <v>23</v>
      </c>
      <c r="J43" s="47" t="n">
        <v>1</v>
      </c>
      <c r="K43" s="47">
        <f>I43*J43</f>
        <v/>
      </c>
      <c r="L43" s="11">
        <f>H43*K43</f>
        <v/>
      </c>
      <c r="M43" s="10" t="n">
        <v>2.98</v>
      </c>
      <c r="N43" s="11">
        <f>L43*M43</f>
        <v/>
      </c>
      <c r="O43" s="10">
        <f>N43/1000</f>
        <v/>
      </c>
      <c r="P43" s="5" t="inlineStr">
        <is>
          <t>D&gt;18mm</t>
        </is>
      </c>
      <c r="Q43" s="6" t="inlineStr">
        <is>
          <t>TCVN 1651:2018 / ASTM</t>
        </is>
      </c>
    </row>
    <row r="44">
      <c r="A44" s="12" t="n">
        <v>38</v>
      </c>
      <c r="B44" s="13" t="inlineStr">
        <is>
          <t>Mố M1</t>
        </is>
      </c>
      <c r="C44" s="13" t="inlineStr">
        <is>
          <t>Thân mố / Bệ mố</t>
        </is>
      </c>
      <c r="D44" s="12" t="inlineStr">
        <is>
          <t>W4B(P)</t>
        </is>
      </c>
      <c r="E44" s="12" t="n">
        <v>22</v>
      </c>
      <c r="F44" s="12" t="inlineStr">
        <is>
          <t>CB400-V</t>
        </is>
      </c>
      <c r="G44" s="12" t="inlineStr">
        <is>
          <t>S06</t>
        </is>
      </c>
      <c r="H44" s="17" t="n">
        <v>5.832</v>
      </c>
      <c r="I44" s="48" t="n">
        <v>11</v>
      </c>
      <c r="J44" s="48" t="n">
        <v>1</v>
      </c>
      <c r="K44" s="48">
        <f>I44*J44</f>
        <v/>
      </c>
      <c r="L44" s="18">
        <f>H44*K44</f>
        <v/>
      </c>
      <c r="M44" s="17" t="n">
        <v>2.98</v>
      </c>
      <c r="N44" s="18">
        <f>L44*M44</f>
        <v/>
      </c>
      <c r="O44" s="17">
        <f>N44/1000</f>
        <v/>
      </c>
      <c r="P44" s="12" t="inlineStr">
        <is>
          <t>D&gt;18mm</t>
        </is>
      </c>
      <c r="Q44" s="13" t="inlineStr">
        <is>
          <t>TCVN 1651:2018 / ASTM</t>
        </is>
      </c>
    </row>
    <row r="45">
      <c r="A45" s="5" t="n">
        <v>39</v>
      </c>
      <c r="B45" s="6" t="inlineStr">
        <is>
          <t>Mố M1</t>
        </is>
      </c>
      <c r="C45" s="6" t="inlineStr">
        <is>
          <t>Thân mố / Bệ mố</t>
        </is>
      </c>
      <c r="D45" s="5" t="inlineStr">
        <is>
          <t>W4C(P)</t>
        </is>
      </c>
      <c r="E45" s="5" t="n">
        <v>22</v>
      </c>
      <c r="F45" s="5" t="inlineStr">
        <is>
          <t>CB400-V</t>
        </is>
      </c>
      <c r="G45" s="5" t="inlineStr">
        <is>
          <t>S06</t>
        </is>
      </c>
      <c r="H45" s="10" t="n">
        <v>6.107</v>
      </c>
      <c r="I45" s="47" t="n">
        <v>6</v>
      </c>
      <c r="J45" s="47" t="n">
        <v>1</v>
      </c>
      <c r="K45" s="47">
        <f>I45*J45</f>
        <v/>
      </c>
      <c r="L45" s="11">
        <f>H45*K45</f>
        <v/>
      </c>
      <c r="M45" s="10" t="n">
        <v>2.98</v>
      </c>
      <c r="N45" s="11">
        <f>L45*M45</f>
        <v/>
      </c>
      <c r="O45" s="10">
        <f>N45/1000</f>
        <v/>
      </c>
      <c r="P45" s="5" t="inlineStr">
        <is>
          <t>D&gt;18mm</t>
        </is>
      </c>
      <c r="Q45" s="6" t="inlineStr">
        <is>
          <t>TCVN 1651:2018 / ASTM</t>
        </is>
      </c>
    </row>
    <row r="46">
      <c r="A46" s="12" t="n">
        <v>40</v>
      </c>
      <c r="B46" s="13" t="inlineStr">
        <is>
          <t>Mố M1</t>
        </is>
      </c>
      <c r="C46" s="13" t="inlineStr">
        <is>
          <t>Thân mố / Bệ mố</t>
        </is>
      </c>
      <c r="D46" s="12" t="inlineStr">
        <is>
          <t>W4D(P)</t>
        </is>
      </c>
      <c r="E46" s="12" t="n">
        <v>22</v>
      </c>
      <c r="F46" s="12" t="inlineStr">
        <is>
          <t>CB400-V</t>
        </is>
      </c>
      <c r="G46" s="12" t="inlineStr">
        <is>
          <t>S06</t>
        </is>
      </c>
      <c r="H46" s="17" t="n">
        <v>6.494</v>
      </c>
      <c r="I46" s="48" t="n">
        <v>8</v>
      </c>
      <c r="J46" s="48" t="n">
        <v>1</v>
      </c>
      <c r="K46" s="48">
        <f>I46*J46</f>
        <v/>
      </c>
      <c r="L46" s="18">
        <f>H46*K46</f>
        <v/>
      </c>
      <c r="M46" s="17" t="n">
        <v>2.98</v>
      </c>
      <c r="N46" s="18">
        <f>L46*M46</f>
        <v/>
      </c>
      <c r="O46" s="17">
        <f>N46/1000</f>
        <v/>
      </c>
      <c r="P46" s="12" t="inlineStr">
        <is>
          <t>D&gt;18mm</t>
        </is>
      </c>
      <c r="Q46" s="13" t="inlineStr">
        <is>
          <t>TCVN 1651:2018 / ASTM</t>
        </is>
      </c>
    </row>
    <row r="47">
      <c r="A47" s="5" t="n">
        <v>41</v>
      </c>
      <c r="B47" s="6" t="inlineStr">
        <is>
          <t>Mố M1</t>
        </is>
      </c>
      <c r="C47" s="6" t="inlineStr">
        <is>
          <t>Thân mố / Bệ mố</t>
        </is>
      </c>
      <c r="D47" s="5" t="inlineStr">
        <is>
          <t>W4E(P)</t>
        </is>
      </c>
      <c r="E47" s="5" t="n">
        <v>22</v>
      </c>
      <c r="F47" s="5" t="inlineStr">
        <is>
          <t>CB400-V</t>
        </is>
      </c>
      <c r="G47" s="5" t="inlineStr">
        <is>
          <t>S06</t>
        </is>
      </c>
      <c r="H47" s="10" t="n">
        <v>4.33</v>
      </c>
      <c r="I47" s="47" t="n">
        <v>1</v>
      </c>
      <c r="J47" s="47" t="n">
        <v>1</v>
      </c>
      <c r="K47" s="47">
        <f>I47*J47</f>
        <v/>
      </c>
      <c r="L47" s="11">
        <f>H47*K47</f>
        <v/>
      </c>
      <c r="M47" s="10" t="n">
        <v>2.98</v>
      </c>
      <c r="N47" s="11">
        <f>L47*M47</f>
        <v/>
      </c>
      <c r="O47" s="10">
        <f>N47/1000</f>
        <v/>
      </c>
      <c r="P47" s="5" t="inlineStr">
        <is>
          <t>D&gt;18mm</t>
        </is>
      </c>
      <c r="Q47" s="6" t="inlineStr">
        <is>
          <t>TCVN 1651:2018 / ASTM</t>
        </is>
      </c>
    </row>
    <row r="48">
      <c r="A48" s="12" t="n">
        <v>42</v>
      </c>
      <c r="B48" s="13" t="inlineStr">
        <is>
          <t>Mố M1</t>
        </is>
      </c>
      <c r="C48" s="13" t="inlineStr">
        <is>
          <t>Thân mố / Bệ mố</t>
        </is>
      </c>
      <c r="D48" s="12" t="inlineStr">
        <is>
          <t>W4F(P)</t>
        </is>
      </c>
      <c r="E48" s="12" t="n">
        <v>22</v>
      </c>
      <c r="F48" s="12" t="inlineStr">
        <is>
          <t>CB400-V</t>
        </is>
      </c>
      <c r="G48" s="12" t="inlineStr">
        <is>
          <t>S06</t>
        </is>
      </c>
      <c r="H48" s="17" t="n">
        <v>6.496</v>
      </c>
      <c r="I48" s="48" t="n">
        <v>1</v>
      </c>
      <c r="J48" s="48" t="n">
        <v>1</v>
      </c>
      <c r="K48" s="48">
        <f>I48*J48</f>
        <v/>
      </c>
      <c r="L48" s="18">
        <f>H48*K48</f>
        <v/>
      </c>
      <c r="M48" s="17" t="n">
        <v>2.98</v>
      </c>
      <c r="N48" s="18">
        <f>L48*M48</f>
        <v/>
      </c>
      <c r="O48" s="17">
        <f>N48/1000</f>
        <v/>
      </c>
      <c r="P48" s="12" t="inlineStr">
        <is>
          <t>D&gt;18mm</t>
        </is>
      </c>
      <c r="Q48" s="13" t="inlineStr">
        <is>
          <t>TCVN 1651:2018 / ASTM</t>
        </is>
      </c>
    </row>
    <row r="49">
      <c r="A49" s="5" t="n">
        <v>43</v>
      </c>
      <c r="B49" s="6" t="inlineStr">
        <is>
          <t>Mố M1</t>
        </is>
      </c>
      <c r="C49" s="6" t="inlineStr">
        <is>
          <t>Thân mố / Bệ mố</t>
        </is>
      </c>
      <c r="D49" s="5" t="inlineStr">
        <is>
          <t>W5A(P)</t>
        </is>
      </c>
      <c r="E49" s="5" t="n">
        <v>16</v>
      </c>
      <c r="F49" s="5" t="inlineStr">
        <is>
          <t>CB400-V</t>
        </is>
      </c>
      <c r="G49" s="5" t="inlineStr">
        <is>
          <t>S05</t>
        </is>
      </c>
      <c r="H49" s="10" t="n">
        <v>5.211</v>
      </c>
      <c r="I49" s="47" t="n">
        <v>1</v>
      </c>
      <c r="J49" s="47" t="n">
        <v>1</v>
      </c>
      <c r="K49" s="47">
        <f>I49*J49</f>
        <v/>
      </c>
      <c r="L49" s="11">
        <f>H49*K49</f>
        <v/>
      </c>
      <c r="M49" s="10" t="n">
        <v>1.58</v>
      </c>
      <c r="N49" s="11">
        <f>L49*M49</f>
        <v/>
      </c>
      <c r="O49" s="10">
        <f>N49/1000</f>
        <v/>
      </c>
      <c r="P49" s="5" t="inlineStr">
        <is>
          <t>10&lt;D&lt;=18mm</t>
        </is>
      </c>
      <c r="Q49" s="6" t="inlineStr">
        <is>
          <t>TCVN 1651:2018 / ASTM</t>
        </is>
      </c>
    </row>
    <row r="50">
      <c r="A50" s="12" t="n">
        <v>44</v>
      </c>
      <c r="B50" s="13" t="inlineStr">
        <is>
          <t>Mố M1</t>
        </is>
      </c>
      <c r="C50" s="13" t="inlineStr">
        <is>
          <t>Thân mố / Bệ mố</t>
        </is>
      </c>
      <c r="D50" s="12" t="inlineStr">
        <is>
          <t>W5B(P)</t>
        </is>
      </c>
      <c r="E50" s="12" t="n">
        <v>16</v>
      </c>
      <c r="F50" s="12" t="inlineStr">
        <is>
          <t>CB400-V</t>
        </is>
      </c>
      <c r="G50" s="12" t="inlineStr">
        <is>
          <t>S02</t>
        </is>
      </c>
      <c r="H50" s="17" t="n">
        <v>7.121</v>
      </c>
      <c r="I50" s="48" t="n">
        <v>1</v>
      </c>
      <c r="J50" s="48" t="n">
        <v>1</v>
      </c>
      <c r="K50" s="48">
        <f>I50*J50</f>
        <v/>
      </c>
      <c r="L50" s="18">
        <f>H50*K50</f>
        <v/>
      </c>
      <c r="M50" s="17" t="n">
        <v>1.58</v>
      </c>
      <c r="N50" s="18">
        <f>L50*M50</f>
        <v/>
      </c>
      <c r="O50" s="17">
        <f>N50/1000</f>
        <v/>
      </c>
      <c r="P50" s="12" t="inlineStr">
        <is>
          <t>10&lt;D&lt;=18mm</t>
        </is>
      </c>
      <c r="Q50" s="13" t="inlineStr">
        <is>
          <t>TCVN 1651:2018 / ASTM</t>
        </is>
      </c>
    </row>
    <row r="51">
      <c r="A51" s="5" t="n">
        <v>45</v>
      </c>
      <c r="B51" s="6" t="inlineStr">
        <is>
          <t>Mố M1</t>
        </is>
      </c>
      <c r="C51" s="6" t="inlineStr">
        <is>
          <t>Thân mố / Bệ mố</t>
        </is>
      </c>
      <c r="D51" s="5" t="inlineStr">
        <is>
          <t>W6</t>
        </is>
      </c>
      <c r="E51" s="5" t="n">
        <v>16</v>
      </c>
      <c r="F51" s="5" t="inlineStr">
        <is>
          <t>CB400-V</t>
        </is>
      </c>
      <c r="G51" s="5" t="inlineStr">
        <is>
          <t>S06</t>
        </is>
      </c>
      <c r="H51" s="10" t="n">
        <v>0.615</v>
      </c>
      <c r="I51" s="47" t="n">
        <v>49</v>
      </c>
      <c r="J51" s="47" t="n">
        <v>1</v>
      </c>
      <c r="K51" s="47">
        <f>I51*J51</f>
        <v/>
      </c>
      <c r="L51" s="11">
        <f>H51*K51</f>
        <v/>
      </c>
      <c r="M51" s="10" t="n">
        <v>1.58</v>
      </c>
      <c r="N51" s="11">
        <f>L51*M51</f>
        <v/>
      </c>
      <c r="O51" s="10">
        <f>N51/1000</f>
        <v/>
      </c>
      <c r="P51" s="5" t="inlineStr">
        <is>
          <t>10&lt;D&lt;=18mm</t>
        </is>
      </c>
      <c r="Q51" s="6" t="inlineStr">
        <is>
          <t>TCVN 1651:2018 / ASTM</t>
        </is>
      </c>
    </row>
    <row r="52">
      <c r="A52" s="12" t="n">
        <v>46</v>
      </c>
      <c r="B52" s="13" t="inlineStr">
        <is>
          <t>Mố M1</t>
        </is>
      </c>
      <c r="C52" s="13" t="inlineStr">
        <is>
          <t>Thân mố / Bệ mố</t>
        </is>
      </c>
      <c r="D52" s="12" t="inlineStr">
        <is>
          <t>W7</t>
        </is>
      </c>
      <c r="E52" s="12" t="n">
        <v>16</v>
      </c>
      <c r="F52" s="12" t="inlineStr">
        <is>
          <t>CB400-V</t>
        </is>
      </c>
      <c r="G52" s="12" t="inlineStr">
        <is>
          <t>S06</t>
        </is>
      </c>
      <c r="H52" s="17" t="n">
        <v>0.615</v>
      </c>
      <c r="I52" s="48" t="n">
        <v>46</v>
      </c>
      <c r="J52" s="48" t="n">
        <v>1</v>
      </c>
      <c r="K52" s="48">
        <f>I52*J52</f>
        <v/>
      </c>
      <c r="L52" s="18">
        <f>H52*K52</f>
        <v/>
      </c>
      <c r="M52" s="17" t="n">
        <v>1.58</v>
      </c>
      <c r="N52" s="18">
        <f>L52*M52</f>
        <v/>
      </c>
      <c r="O52" s="17">
        <f>N52/1000</f>
        <v/>
      </c>
      <c r="P52" s="12" t="inlineStr">
        <is>
          <t>10&lt;D&lt;=18mm</t>
        </is>
      </c>
      <c r="Q52" s="13" t="inlineStr">
        <is>
          <t>TCVN 1651:2018 / ASTM</t>
        </is>
      </c>
    </row>
    <row r="53">
      <c r="A53" s="5" t="n">
        <v>47</v>
      </c>
      <c r="B53" s="6" t="inlineStr">
        <is>
          <t>Mố M1</t>
        </is>
      </c>
      <c r="C53" s="6" t="inlineStr">
        <is>
          <t>Thân mố / Bệ mố</t>
        </is>
      </c>
      <c r="D53" s="5" t="inlineStr">
        <is>
          <t>W8(P)</t>
        </is>
      </c>
      <c r="E53" s="5" t="n">
        <v>16</v>
      </c>
      <c r="F53" s="5" t="inlineStr">
        <is>
          <t>CB400-V</t>
        </is>
      </c>
      <c r="G53" s="5" t="inlineStr">
        <is>
          <t>S02</t>
        </is>
      </c>
      <c r="H53" s="10" t="n">
        <v>8.749000000000001</v>
      </c>
      <c r="I53" s="47" t="n">
        <v>2</v>
      </c>
      <c r="J53" s="47" t="n">
        <v>1</v>
      </c>
      <c r="K53" s="47">
        <f>I53*J53</f>
        <v/>
      </c>
      <c r="L53" s="11">
        <f>H53*K53</f>
        <v/>
      </c>
      <c r="M53" s="10" t="n">
        <v>1.58</v>
      </c>
      <c r="N53" s="11">
        <f>L53*M53</f>
        <v/>
      </c>
      <c r="O53" s="10">
        <f>N53/1000</f>
        <v/>
      </c>
      <c r="P53" s="5" t="inlineStr">
        <is>
          <t>10&lt;D&lt;=18mm</t>
        </is>
      </c>
      <c r="Q53" s="6" t="inlineStr">
        <is>
          <t>TCVN 1651:2018 / ASTM</t>
        </is>
      </c>
    </row>
    <row r="54">
      <c r="A54" s="12" t="n">
        <v>48</v>
      </c>
      <c r="B54" s="13" t="inlineStr">
        <is>
          <t>Mố M1</t>
        </is>
      </c>
      <c r="C54" s="13" t="inlineStr">
        <is>
          <t>Thân mố / Bệ mố</t>
        </is>
      </c>
      <c r="D54" s="12" t="inlineStr">
        <is>
          <t>W9</t>
        </is>
      </c>
      <c r="E54" s="12" t="n">
        <v>16</v>
      </c>
      <c r="F54" s="12" t="inlineStr">
        <is>
          <t>CB400-V</t>
        </is>
      </c>
      <c r="G54" s="12" t="inlineStr">
        <is>
          <t>S05</t>
        </is>
      </c>
      <c r="H54" s="17" t="n">
        <v>1.881</v>
      </c>
      <c r="I54" s="48" t="n">
        <v>40</v>
      </c>
      <c r="J54" s="48" t="n">
        <v>1</v>
      </c>
      <c r="K54" s="48">
        <f>I54*J54</f>
        <v/>
      </c>
      <c r="L54" s="18">
        <f>H54*K54</f>
        <v/>
      </c>
      <c r="M54" s="17" t="n">
        <v>1.58</v>
      </c>
      <c r="N54" s="18">
        <f>L54*M54</f>
        <v/>
      </c>
      <c r="O54" s="17">
        <f>N54/1000</f>
        <v/>
      </c>
      <c r="P54" s="12" t="inlineStr">
        <is>
          <t>10&lt;D&lt;=18mm</t>
        </is>
      </c>
      <c r="Q54" s="13" t="inlineStr">
        <is>
          <t>TCVN 1651:2018 / ASTM</t>
        </is>
      </c>
    </row>
    <row r="55">
      <c r="A55" s="5" t="n">
        <v>49</v>
      </c>
      <c r="B55" s="6" t="inlineStr">
        <is>
          <t>Mố M1</t>
        </is>
      </c>
      <c r="C55" s="6" t="inlineStr">
        <is>
          <t>TƯỜNG CÁNH PHẢI</t>
        </is>
      </c>
      <c r="D55" s="5" t="inlineStr">
        <is>
          <t>W1A(T)</t>
        </is>
      </c>
      <c r="E55" s="5" t="n">
        <v>16</v>
      </c>
      <c r="F55" s="5" t="inlineStr">
        <is>
          <t>CB400-V</t>
        </is>
      </c>
      <c r="G55" s="5" t="inlineStr">
        <is>
          <t>S06</t>
        </is>
      </c>
      <c r="H55" s="10" t="n">
        <v>7.558</v>
      </c>
      <c r="I55" s="47" t="n">
        <v>23</v>
      </c>
      <c r="J55" s="47" t="n">
        <v>1</v>
      </c>
      <c r="K55" s="47">
        <f>I55*J55</f>
        <v/>
      </c>
      <c r="L55" s="11">
        <f>H55*K55</f>
        <v/>
      </c>
      <c r="M55" s="10" t="n">
        <v>1.58</v>
      </c>
      <c r="N55" s="11">
        <f>L55*M55</f>
        <v/>
      </c>
      <c r="O55" s="10">
        <f>N55/1000</f>
        <v/>
      </c>
      <c r="P55" s="5" t="inlineStr">
        <is>
          <t>10&lt;D&lt;=18mm</t>
        </is>
      </c>
      <c r="Q55" s="6" t="inlineStr">
        <is>
          <t>TCVN 1651:2018 / ASTM</t>
        </is>
      </c>
    </row>
    <row r="56">
      <c r="A56" s="12" t="n">
        <v>50</v>
      </c>
      <c r="B56" s="13" t="inlineStr">
        <is>
          <t>Mố M1</t>
        </is>
      </c>
      <c r="C56" s="13" t="inlineStr">
        <is>
          <t>Thân mố / Bệ mố</t>
        </is>
      </c>
      <c r="D56" s="12" t="inlineStr">
        <is>
          <t>W1B(T)</t>
        </is>
      </c>
      <c r="E56" s="12" t="n">
        <v>16</v>
      </c>
      <c r="F56" s="12" t="inlineStr">
        <is>
          <t>CB400-V</t>
        </is>
      </c>
      <c r="G56" s="12" t="inlineStr">
        <is>
          <t>S06</t>
        </is>
      </c>
      <c r="H56" s="17" t="n">
        <v>2.791</v>
      </c>
      <c r="I56" s="48" t="n">
        <v>17</v>
      </c>
      <c r="J56" s="48" t="n">
        <v>1</v>
      </c>
      <c r="K56" s="48">
        <f>I56*J56</f>
        <v/>
      </c>
      <c r="L56" s="18">
        <f>H56*K56</f>
        <v/>
      </c>
      <c r="M56" s="17" t="n">
        <v>1.58</v>
      </c>
      <c r="N56" s="18">
        <f>L56*M56</f>
        <v/>
      </c>
      <c r="O56" s="17">
        <f>N56/1000</f>
        <v/>
      </c>
      <c r="P56" s="12" t="inlineStr">
        <is>
          <t>10&lt;D&lt;=18mm</t>
        </is>
      </c>
      <c r="Q56" s="13" t="inlineStr">
        <is>
          <t>TCVN 1651:2018 / ASTM</t>
        </is>
      </c>
    </row>
    <row r="57">
      <c r="A57" s="5" t="n">
        <v>51</v>
      </c>
      <c r="B57" s="6" t="inlineStr">
        <is>
          <t>Mố M1</t>
        </is>
      </c>
      <c r="C57" s="6" t="inlineStr">
        <is>
          <t>Thân mố / Bệ mố</t>
        </is>
      </c>
      <c r="D57" s="5" t="inlineStr">
        <is>
          <t>W2A(T)</t>
        </is>
      </c>
      <c r="E57" s="5" t="n">
        <v>22</v>
      </c>
      <c r="F57" s="5" t="inlineStr">
        <is>
          <t>CB400-V</t>
        </is>
      </c>
      <c r="G57" s="5" t="inlineStr">
        <is>
          <t>S06</t>
        </is>
      </c>
      <c r="H57" s="10" t="n">
        <v>7.714</v>
      </c>
      <c r="I57" s="47" t="n">
        <v>18</v>
      </c>
      <c r="J57" s="47" t="n">
        <v>1</v>
      </c>
      <c r="K57" s="47">
        <f>I57*J57</f>
        <v/>
      </c>
      <c r="L57" s="11">
        <f>H57*K57</f>
        <v/>
      </c>
      <c r="M57" s="10" t="n">
        <v>2.98</v>
      </c>
      <c r="N57" s="11">
        <f>L57*M57</f>
        <v/>
      </c>
      <c r="O57" s="10">
        <f>N57/1000</f>
        <v/>
      </c>
      <c r="P57" s="5" t="inlineStr">
        <is>
          <t>D&gt;18mm</t>
        </is>
      </c>
      <c r="Q57" s="6" t="inlineStr">
        <is>
          <t>TCVN 1651:2018 / ASTM</t>
        </is>
      </c>
    </row>
    <row r="58">
      <c r="A58" s="12" t="n">
        <v>52</v>
      </c>
      <c r="B58" s="13" t="inlineStr">
        <is>
          <t>Mố M1</t>
        </is>
      </c>
      <c r="C58" s="13" t="inlineStr">
        <is>
          <t>Thân mố / Bệ mố</t>
        </is>
      </c>
      <c r="D58" s="12" t="inlineStr">
        <is>
          <t>W2B(T)</t>
        </is>
      </c>
      <c r="E58" s="12" t="n">
        <v>22</v>
      </c>
      <c r="F58" s="12" t="inlineStr">
        <is>
          <t>CB400-V</t>
        </is>
      </c>
      <c r="G58" s="12" t="inlineStr">
        <is>
          <t>S06</t>
        </is>
      </c>
      <c r="H58" s="17" t="n">
        <v>2.953</v>
      </c>
      <c r="I58" s="48" t="n">
        <v>17</v>
      </c>
      <c r="J58" s="48" t="n">
        <v>1</v>
      </c>
      <c r="K58" s="48">
        <f>I58*J58</f>
        <v/>
      </c>
      <c r="L58" s="18">
        <f>H58*K58</f>
        <v/>
      </c>
      <c r="M58" s="17" t="n">
        <v>2.98</v>
      </c>
      <c r="N58" s="18">
        <f>L58*M58</f>
        <v/>
      </c>
      <c r="O58" s="17">
        <f>N58/1000</f>
        <v/>
      </c>
      <c r="P58" s="12" t="inlineStr">
        <is>
          <t>D&gt;18mm</t>
        </is>
      </c>
      <c r="Q58" s="13" t="inlineStr">
        <is>
          <t>TCVN 1651:2018 / ASTM</t>
        </is>
      </c>
    </row>
    <row r="59">
      <c r="A59" s="5" t="n">
        <v>53</v>
      </c>
      <c r="B59" s="6" t="inlineStr">
        <is>
          <t>Mố M1</t>
        </is>
      </c>
      <c r="C59" s="6" t="inlineStr">
        <is>
          <t>Thân mố / Bệ mố</t>
        </is>
      </c>
      <c r="D59" s="5" t="inlineStr">
        <is>
          <t>W3A(T)</t>
        </is>
      </c>
      <c r="E59" s="5" t="n">
        <v>16</v>
      </c>
      <c r="F59" s="5" t="inlineStr">
        <is>
          <t>CB400-V</t>
        </is>
      </c>
      <c r="G59" s="5" t="inlineStr">
        <is>
          <t>S06</t>
        </is>
      </c>
      <c r="H59" s="10" t="n">
        <v>4.832</v>
      </c>
      <c r="I59" s="47" t="n">
        <v>25</v>
      </c>
      <c r="J59" s="47" t="n">
        <v>1</v>
      </c>
      <c r="K59" s="47">
        <f>I59*J59</f>
        <v/>
      </c>
      <c r="L59" s="11">
        <f>H59*K59</f>
        <v/>
      </c>
      <c r="M59" s="10" t="n">
        <v>1.58</v>
      </c>
      <c r="N59" s="11">
        <f>L59*M59</f>
        <v/>
      </c>
      <c r="O59" s="10">
        <f>N59/1000</f>
        <v/>
      </c>
      <c r="P59" s="5" t="inlineStr">
        <is>
          <t>10&lt;D&lt;=18mm</t>
        </is>
      </c>
      <c r="Q59" s="6" t="inlineStr">
        <is>
          <t>TCVN 1651:2018 / ASTM</t>
        </is>
      </c>
    </row>
    <row r="60">
      <c r="A60" s="12" t="n">
        <v>54</v>
      </c>
      <c r="B60" s="13" t="inlineStr">
        <is>
          <t>Mố M1</t>
        </is>
      </c>
      <c r="C60" s="13" t="inlineStr">
        <is>
          <t>Thân mố / Bệ mố</t>
        </is>
      </c>
      <c r="D60" s="12" t="inlineStr">
        <is>
          <t>W3B(T)</t>
        </is>
      </c>
      <c r="E60" s="12" t="n">
        <v>16</v>
      </c>
      <c r="F60" s="12" t="inlineStr">
        <is>
          <t>CB400-V</t>
        </is>
      </c>
      <c r="G60" s="12" t="inlineStr">
        <is>
          <t>S06</t>
        </is>
      </c>
      <c r="H60" s="17" t="n">
        <v>5.731</v>
      </c>
      <c r="I60" s="48" t="n">
        <v>11</v>
      </c>
      <c r="J60" s="48" t="n">
        <v>1</v>
      </c>
      <c r="K60" s="48">
        <f>I60*J60</f>
        <v/>
      </c>
      <c r="L60" s="18">
        <f>H60*K60</f>
        <v/>
      </c>
      <c r="M60" s="17" t="n">
        <v>1.58</v>
      </c>
      <c r="N60" s="18">
        <f>L60*M60</f>
        <v/>
      </c>
      <c r="O60" s="17">
        <f>N60/1000</f>
        <v/>
      </c>
      <c r="P60" s="12" t="inlineStr">
        <is>
          <t>10&lt;D&lt;=18mm</t>
        </is>
      </c>
      <c r="Q60" s="13" t="inlineStr">
        <is>
          <t>TCVN 1651:2018 / ASTM</t>
        </is>
      </c>
    </row>
    <row r="61">
      <c r="A61" s="5" t="n">
        <v>55</v>
      </c>
      <c r="B61" s="6" t="inlineStr">
        <is>
          <t>Mố M1</t>
        </is>
      </c>
      <c r="C61" s="6" t="inlineStr">
        <is>
          <t>Thân mố / Bệ mố</t>
        </is>
      </c>
      <c r="D61" s="5" t="inlineStr">
        <is>
          <t>W3C(T)</t>
        </is>
      </c>
      <c r="E61" s="5" t="n">
        <v>16</v>
      </c>
      <c r="F61" s="5" t="inlineStr">
        <is>
          <t>CB400-V</t>
        </is>
      </c>
      <c r="G61" s="5" t="inlineStr">
        <is>
          <t>S06</t>
        </is>
      </c>
      <c r="H61" s="10" t="n">
        <v>5.934</v>
      </c>
      <c r="I61" s="47" t="n">
        <v>5</v>
      </c>
      <c r="J61" s="47" t="n">
        <v>1</v>
      </c>
      <c r="K61" s="47">
        <f>I61*J61</f>
        <v/>
      </c>
      <c r="L61" s="11">
        <f>H61*K61</f>
        <v/>
      </c>
      <c r="M61" s="10" t="n">
        <v>1.58</v>
      </c>
      <c r="N61" s="11">
        <f>L61*M61</f>
        <v/>
      </c>
      <c r="O61" s="10">
        <f>N61/1000</f>
        <v/>
      </c>
      <c r="P61" s="5" t="inlineStr">
        <is>
          <t>10&lt;D&lt;=18mm</t>
        </is>
      </c>
      <c r="Q61" s="6" t="inlineStr">
        <is>
          <t>TCVN 1651:2018 / ASTM</t>
        </is>
      </c>
    </row>
    <row r="62">
      <c r="A62" s="12" t="n">
        <v>56</v>
      </c>
      <c r="B62" s="13" t="inlineStr">
        <is>
          <t>Mố M1</t>
        </is>
      </c>
      <c r="C62" s="13" t="inlineStr">
        <is>
          <t>Thân mố / Bệ mố</t>
        </is>
      </c>
      <c r="D62" s="12" t="inlineStr">
        <is>
          <t>W3D(T)</t>
        </is>
      </c>
      <c r="E62" s="12" t="n">
        <v>16</v>
      </c>
      <c r="F62" s="12" t="inlineStr">
        <is>
          <t>CB400-V</t>
        </is>
      </c>
      <c r="G62" s="12" t="inlineStr">
        <is>
          <t>S06</t>
        </is>
      </c>
      <c r="H62" s="17" t="n">
        <v>6.332</v>
      </c>
      <c r="I62" s="48" t="n">
        <v>8</v>
      </c>
      <c r="J62" s="48" t="n">
        <v>1</v>
      </c>
      <c r="K62" s="48">
        <f>I62*J62</f>
        <v/>
      </c>
      <c r="L62" s="18">
        <f>H62*K62</f>
        <v/>
      </c>
      <c r="M62" s="17" t="n">
        <v>1.58</v>
      </c>
      <c r="N62" s="18">
        <f>L62*M62</f>
        <v/>
      </c>
      <c r="O62" s="17">
        <f>N62/1000</f>
        <v/>
      </c>
      <c r="P62" s="12" t="inlineStr">
        <is>
          <t>10&lt;D&lt;=18mm</t>
        </is>
      </c>
      <c r="Q62" s="13" t="inlineStr">
        <is>
          <t>TCVN 1651:2018 / ASTM</t>
        </is>
      </c>
    </row>
    <row r="63">
      <c r="A63" s="5" t="n">
        <v>57</v>
      </c>
      <c r="B63" s="6" t="inlineStr">
        <is>
          <t>Mố M1</t>
        </is>
      </c>
      <c r="C63" s="6" t="inlineStr">
        <is>
          <t>Thân mố / Bệ mố</t>
        </is>
      </c>
      <c r="D63" s="5" t="inlineStr">
        <is>
          <t>W3F(T)</t>
        </is>
      </c>
      <c r="E63" s="5" t="n">
        <v>16</v>
      </c>
      <c r="F63" s="5" t="inlineStr">
        <is>
          <t>CB400-V</t>
        </is>
      </c>
      <c r="G63" s="5" t="inlineStr">
        <is>
          <t>S06</t>
        </is>
      </c>
      <c r="H63" s="10" t="n">
        <v>6.334</v>
      </c>
      <c r="I63" s="47" t="n">
        <v>1</v>
      </c>
      <c r="J63" s="47" t="n">
        <v>1</v>
      </c>
      <c r="K63" s="47">
        <f>I63*J63</f>
        <v/>
      </c>
      <c r="L63" s="11">
        <f>H63*K63</f>
        <v/>
      </c>
      <c r="M63" s="10" t="n">
        <v>1.58</v>
      </c>
      <c r="N63" s="11">
        <f>L63*M63</f>
        <v/>
      </c>
      <c r="O63" s="10">
        <f>N63/1000</f>
        <v/>
      </c>
      <c r="P63" s="5" t="inlineStr">
        <is>
          <t>10&lt;D&lt;=18mm</t>
        </is>
      </c>
      <c r="Q63" s="6" t="inlineStr">
        <is>
          <t>TCVN 1651:2018 / ASTM</t>
        </is>
      </c>
    </row>
    <row r="64">
      <c r="A64" s="12" t="n">
        <v>58</v>
      </c>
      <c r="B64" s="13" t="inlineStr">
        <is>
          <t>Mố M1</t>
        </is>
      </c>
      <c r="C64" s="13" t="inlineStr">
        <is>
          <t>Thân mố / Bệ mố</t>
        </is>
      </c>
      <c r="D64" s="12" t="inlineStr">
        <is>
          <t>W4A(T)</t>
        </is>
      </c>
      <c r="E64" s="12" t="n">
        <v>22</v>
      </c>
      <c r="F64" s="12" t="inlineStr">
        <is>
          <t>CB400-V</t>
        </is>
      </c>
      <c r="G64" s="12" t="inlineStr">
        <is>
          <t>S06</t>
        </is>
      </c>
      <c r="H64" s="17" t="n">
        <v>4.994</v>
      </c>
      <c r="I64" s="48" t="n">
        <v>25</v>
      </c>
      <c r="J64" s="48" t="n">
        <v>1</v>
      </c>
      <c r="K64" s="48">
        <f>I64*J64</f>
        <v/>
      </c>
      <c r="L64" s="18">
        <f>H64*K64</f>
        <v/>
      </c>
      <c r="M64" s="17" t="n">
        <v>2.98</v>
      </c>
      <c r="N64" s="18">
        <f>L64*M64</f>
        <v/>
      </c>
      <c r="O64" s="17">
        <f>N64/1000</f>
        <v/>
      </c>
      <c r="P64" s="12" t="inlineStr">
        <is>
          <t>D&gt;18mm</t>
        </is>
      </c>
      <c r="Q64" s="13" t="inlineStr">
        <is>
          <t>TCVN 1651:2018 / ASTM</t>
        </is>
      </c>
    </row>
    <row r="65">
      <c r="A65" s="5" t="n">
        <v>59</v>
      </c>
      <c r="B65" s="6" t="inlineStr">
        <is>
          <t>Mố M1</t>
        </is>
      </c>
      <c r="C65" s="6" t="inlineStr">
        <is>
          <t>Thân mố / Bệ mố</t>
        </is>
      </c>
      <c r="D65" s="5" t="inlineStr">
        <is>
          <t>W4B(T)</t>
        </is>
      </c>
      <c r="E65" s="5" t="n">
        <v>22</v>
      </c>
      <c r="F65" s="5" t="inlineStr">
        <is>
          <t>CB400-V</t>
        </is>
      </c>
      <c r="G65" s="5" t="inlineStr">
        <is>
          <t>S06</t>
        </is>
      </c>
      <c r="H65" s="10" t="n">
        <v>5.893</v>
      </c>
      <c r="I65" s="47" t="n">
        <v>11</v>
      </c>
      <c r="J65" s="47" t="n">
        <v>1</v>
      </c>
      <c r="K65" s="47">
        <f>I65*J65</f>
        <v/>
      </c>
      <c r="L65" s="11">
        <f>H65*K65</f>
        <v/>
      </c>
      <c r="M65" s="10" t="n">
        <v>2.98</v>
      </c>
      <c r="N65" s="11">
        <f>L65*M65</f>
        <v/>
      </c>
      <c r="O65" s="10">
        <f>N65/1000</f>
        <v/>
      </c>
      <c r="P65" s="5" t="inlineStr">
        <is>
          <t>D&gt;18mm</t>
        </is>
      </c>
      <c r="Q65" s="6" t="inlineStr">
        <is>
          <t>TCVN 1651:2018 / ASTM</t>
        </is>
      </c>
    </row>
    <row r="66">
      <c r="A66" s="12" t="n">
        <v>60</v>
      </c>
      <c r="B66" s="13" t="inlineStr">
        <is>
          <t>Mố M1</t>
        </is>
      </c>
      <c r="C66" s="13" t="inlineStr">
        <is>
          <t>Thân mố / Bệ mố</t>
        </is>
      </c>
      <c r="D66" s="12" t="inlineStr">
        <is>
          <t>W4C(T)</t>
        </is>
      </c>
      <c r="E66" s="12" t="n">
        <v>22</v>
      </c>
      <c r="F66" s="12" t="inlineStr">
        <is>
          <t>CB400-V</t>
        </is>
      </c>
      <c r="G66" s="12" t="inlineStr">
        <is>
          <t>S06</t>
        </is>
      </c>
      <c r="H66" s="17" t="n">
        <v>6.096</v>
      </c>
      <c r="I66" s="48" t="n">
        <v>5</v>
      </c>
      <c r="J66" s="48" t="n">
        <v>1</v>
      </c>
      <c r="K66" s="48">
        <f>I66*J66</f>
        <v/>
      </c>
      <c r="L66" s="18">
        <f>H66*K66</f>
        <v/>
      </c>
      <c r="M66" s="17" t="n">
        <v>2.98</v>
      </c>
      <c r="N66" s="18">
        <f>L66*M66</f>
        <v/>
      </c>
      <c r="O66" s="17">
        <f>N66/1000</f>
        <v/>
      </c>
      <c r="P66" s="12" t="inlineStr">
        <is>
          <t>D&gt;18mm</t>
        </is>
      </c>
      <c r="Q66" s="13" t="inlineStr">
        <is>
          <t>TCVN 1651:2018 / ASTM</t>
        </is>
      </c>
    </row>
    <row r="67">
      <c r="A67" s="5" t="n">
        <v>61</v>
      </c>
      <c r="B67" s="6" t="inlineStr">
        <is>
          <t>Mố M1</t>
        </is>
      </c>
      <c r="C67" s="6" t="inlineStr">
        <is>
          <t>Thân mố / Bệ mố</t>
        </is>
      </c>
      <c r="D67" s="5" t="inlineStr">
        <is>
          <t>W4D(T)</t>
        </is>
      </c>
      <c r="E67" s="5" t="n">
        <v>22</v>
      </c>
      <c r="F67" s="5" t="inlineStr">
        <is>
          <t>CB400-V</t>
        </is>
      </c>
      <c r="G67" s="5" t="inlineStr">
        <is>
          <t>S06</t>
        </is>
      </c>
      <c r="H67" s="10" t="n">
        <v>6.494</v>
      </c>
      <c r="I67" s="47" t="n">
        <v>8</v>
      </c>
      <c r="J67" s="47" t="n">
        <v>1</v>
      </c>
      <c r="K67" s="47">
        <f>I67*J67</f>
        <v/>
      </c>
      <c r="L67" s="11">
        <f>H67*K67</f>
        <v/>
      </c>
      <c r="M67" s="10" t="n">
        <v>2.98</v>
      </c>
      <c r="N67" s="11">
        <f>L67*M67</f>
        <v/>
      </c>
      <c r="O67" s="10">
        <f>N67/1000</f>
        <v/>
      </c>
      <c r="P67" s="5" t="inlineStr">
        <is>
          <t>D&gt;18mm</t>
        </is>
      </c>
      <c r="Q67" s="6" t="inlineStr">
        <is>
          <t>TCVN 1651:2018 / ASTM</t>
        </is>
      </c>
    </row>
    <row r="68">
      <c r="A68" s="12" t="n">
        <v>62</v>
      </c>
      <c r="B68" s="13" t="inlineStr">
        <is>
          <t>Mố M1</t>
        </is>
      </c>
      <c r="C68" s="13" t="inlineStr">
        <is>
          <t>Thân mố / Bệ mố</t>
        </is>
      </c>
      <c r="D68" s="12" t="inlineStr">
        <is>
          <t>W4F(T)</t>
        </is>
      </c>
      <c r="E68" s="12" t="n">
        <v>22</v>
      </c>
      <c r="F68" s="12" t="inlineStr">
        <is>
          <t>CB400-V</t>
        </is>
      </c>
      <c r="G68" s="12" t="inlineStr">
        <is>
          <t>S06</t>
        </is>
      </c>
      <c r="H68" s="17" t="n">
        <v>6.496</v>
      </c>
      <c r="I68" s="48" t="n">
        <v>1</v>
      </c>
      <c r="J68" s="48" t="n">
        <v>1</v>
      </c>
      <c r="K68" s="48">
        <f>I68*J68</f>
        <v/>
      </c>
      <c r="L68" s="18">
        <f>H68*K68</f>
        <v/>
      </c>
      <c r="M68" s="17" t="n">
        <v>2.98</v>
      </c>
      <c r="N68" s="18">
        <f>L68*M68</f>
        <v/>
      </c>
      <c r="O68" s="17">
        <f>N68/1000</f>
        <v/>
      </c>
      <c r="P68" s="12" t="inlineStr">
        <is>
          <t>D&gt;18mm</t>
        </is>
      </c>
      <c r="Q68" s="13" t="inlineStr">
        <is>
          <t>TCVN 1651:2018 / ASTM</t>
        </is>
      </c>
    </row>
    <row r="69">
      <c r="A69" s="5" t="n">
        <v>63</v>
      </c>
      <c r="B69" s="6" t="inlineStr">
        <is>
          <t>Mố M1</t>
        </is>
      </c>
      <c r="C69" s="6" t="inlineStr">
        <is>
          <t>Thân mố / Bệ mố</t>
        </is>
      </c>
      <c r="D69" s="5" t="inlineStr">
        <is>
          <t>W5A(T)</t>
        </is>
      </c>
      <c r="E69" s="5" t="n">
        <v>16</v>
      </c>
      <c r="F69" s="5" t="inlineStr">
        <is>
          <t>CB400-V</t>
        </is>
      </c>
      <c r="G69" s="5" t="inlineStr">
        <is>
          <t>S05</t>
        </is>
      </c>
      <c r="H69" s="10" t="n">
        <v>4.711</v>
      </c>
      <c r="I69" s="47" t="n">
        <v>1</v>
      </c>
      <c r="J69" s="47" t="n">
        <v>1</v>
      </c>
      <c r="K69" s="47">
        <f>I69*J69</f>
        <v/>
      </c>
      <c r="L69" s="11">
        <f>H69*K69</f>
        <v/>
      </c>
      <c r="M69" s="10" t="n">
        <v>1.58</v>
      </c>
      <c r="N69" s="11">
        <f>L69*M69</f>
        <v/>
      </c>
      <c r="O69" s="10">
        <f>N69/1000</f>
        <v/>
      </c>
      <c r="P69" s="5" t="inlineStr">
        <is>
          <t>10&lt;D&lt;=18mm</t>
        </is>
      </c>
      <c r="Q69" s="6" t="inlineStr">
        <is>
          <t>TCVN 1651:2018 / ASTM</t>
        </is>
      </c>
    </row>
    <row r="70">
      <c r="A70" s="12" t="n">
        <v>64</v>
      </c>
      <c r="B70" s="13" t="inlineStr">
        <is>
          <t>Mố M1</t>
        </is>
      </c>
      <c r="C70" s="13" t="inlineStr">
        <is>
          <t>Thân mố / Bệ mố</t>
        </is>
      </c>
      <c r="D70" s="12" t="inlineStr">
        <is>
          <t>W5B(T)</t>
        </is>
      </c>
      <c r="E70" s="12" t="n">
        <v>16</v>
      </c>
      <c r="F70" s="12" t="inlineStr">
        <is>
          <t>CB400-V</t>
        </is>
      </c>
      <c r="G70" s="12" t="inlineStr">
        <is>
          <t>S02</t>
        </is>
      </c>
      <c r="H70" s="17" t="n">
        <v>7.357</v>
      </c>
      <c r="I70" s="48" t="n">
        <v>1</v>
      </c>
      <c r="J70" s="48" t="n">
        <v>1</v>
      </c>
      <c r="K70" s="48">
        <f>I70*J70</f>
        <v/>
      </c>
      <c r="L70" s="18">
        <f>H70*K70</f>
        <v/>
      </c>
      <c r="M70" s="17" t="n">
        <v>1.58</v>
      </c>
      <c r="N70" s="18">
        <f>L70*M70</f>
        <v/>
      </c>
      <c r="O70" s="17">
        <f>N70/1000</f>
        <v/>
      </c>
      <c r="P70" s="12" t="inlineStr">
        <is>
          <t>10&lt;D&lt;=18mm</t>
        </is>
      </c>
      <c r="Q70" s="13" t="inlineStr">
        <is>
          <t>TCVN 1651:2018 / ASTM</t>
        </is>
      </c>
    </row>
    <row r="71">
      <c r="A71" s="5" t="n">
        <v>65</v>
      </c>
      <c r="B71" s="6" t="inlineStr">
        <is>
          <t>Mố M1</t>
        </is>
      </c>
      <c r="C71" s="6" t="inlineStr">
        <is>
          <t>Thân mố / Bệ mố</t>
        </is>
      </c>
      <c r="D71" s="5" t="inlineStr">
        <is>
          <t>W6</t>
        </is>
      </c>
      <c r="E71" s="5" t="n">
        <v>16</v>
      </c>
      <c r="F71" s="5" t="inlineStr">
        <is>
          <t>CB400-V</t>
        </is>
      </c>
      <c r="G71" s="5" t="inlineStr">
        <is>
          <t>S06</t>
        </is>
      </c>
      <c r="H71" s="10" t="n">
        <v>0.615</v>
      </c>
      <c r="I71" s="47" t="n">
        <v>49</v>
      </c>
      <c r="J71" s="47" t="n">
        <v>1</v>
      </c>
      <c r="K71" s="47">
        <f>I71*J71</f>
        <v/>
      </c>
      <c r="L71" s="11">
        <f>H71*K71</f>
        <v/>
      </c>
      <c r="M71" s="10" t="n">
        <v>1.58</v>
      </c>
      <c r="N71" s="11">
        <f>L71*M71</f>
        <v/>
      </c>
      <c r="O71" s="10">
        <f>N71/1000</f>
        <v/>
      </c>
      <c r="P71" s="5" t="inlineStr">
        <is>
          <t>10&lt;D&lt;=18mm</t>
        </is>
      </c>
      <c r="Q71" s="6" t="inlineStr">
        <is>
          <t>TCVN 1651:2018 / ASTM</t>
        </is>
      </c>
    </row>
    <row r="72">
      <c r="A72" s="12" t="n">
        <v>66</v>
      </c>
      <c r="B72" s="13" t="inlineStr">
        <is>
          <t>Mố M1</t>
        </is>
      </c>
      <c r="C72" s="13" t="inlineStr">
        <is>
          <t>Thân mố / Bệ mố</t>
        </is>
      </c>
      <c r="D72" s="12" t="inlineStr">
        <is>
          <t>W7</t>
        </is>
      </c>
      <c r="E72" s="12" t="n">
        <v>16</v>
      </c>
      <c r="F72" s="12" t="inlineStr">
        <is>
          <t>CB400-V</t>
        </is>
      </c>
      <c r="G72" s="12" t="inlineStr">
        <is>
          <t>S06</t>
        </is>
      </c>
      <c r="H72" s="17" t="n">
        <v>0.615</v>
      </c>
      <c r="I72" s="48" t="n">
        <v>54</v>
      </c>
      <c r="J72" s="48" t="n">
        <v>1</v>
      </c>
      <c r="K72" s="48">
        <f>I72*J72</f>
        <v/>
      </c>
      <c r="L72" s="18">
        <f>H72*K72</f>
        <v/>
      </c>
      <c r="M72" s="17" t="n">
        <v>1.58</v>
      </c>
      <c r="N72" s="18">
        <f>L72*M72</f>
        <v/>
      </c>
      <c r="O72" s="17">
        <f>N72/1000</f>
        <v/>
      </c>
      <c r="P72" s="12" t="inlineStr">
        <is>
          <t>10&lt;D&lt;=18mm</t>
        </is>
      </c>
      <c r="Q72" s="13" t="inlineStr">
        <is>
          <t>TCVN 1651:2018 / ASTM</t>
        </is>
      </c>
    </row>
    <row r="73">
      <c r="A73" s="5" t="n">
        <v>67</v>
      </c>
      <c r="B73" s="6" t="inlineStr">
        <is>
          <t>Mố M1</t>
        </is>
      </c>
      <c r="C73" s="6" t="inlineStr">
        <is>
          <t>Thân mố / Bệ mố</t>
        </is>
      </c>
      <c r="D73" s="5" t="inlineStr">
        <is>
          <t>W8(T)</t>
        </is>
      </c>
      <c r="E73" s="5" t="n">
        <v>16</v>
      </c>
      <c r="F73" s="5" t="inlineStr">
        <is>
          <t>CB400-V</t>
        </is>
      </c>
      <c r="G73" s="5" t="inlineStr">
        <is>
          <t>S02</t>
        </is>
      </c>
      <c r="H73" s="10" t="n">
        <v>8.978999999999999</v>
      </c>
      <c r="I73" s="47" t="n">
        <v>2</v>
      </c>
      <c r="J73" s="47" t="n">
        <v>1</v>
      </c>
      <c r="K73" s="47">
        <f>I73*J73</f>
        <v/>
      </c>
      <c r="L73" s="11">
        <f>H73*K73</f>
        <v/>
      </c>
      <c r="M73" s="10" t="n">
        <v>1.58</v>
      </c>
      <c r="N73" s="11">
        <f>L73*M73</f>
        <v/>
      </c>
      <c r="O73" s="10">
        <f>N73/1000</f>
        <v/>
      </c>
      <c r="P73" s="5" t="inlineStr">
        <is>
          <t>10&lt;D&lt;=18mm</t>
        </is>
      </c>
      <c r="Q73" s="6" t="inlineStr">
        <is>
          <t>TCVN 1651:2018 / ASTM</t>
        </is>
      </c>
    </row>
    <row r="74">
      <c r="A74" s="12" t="n">
        <v>68</v>
      </c>
      <c r="B74" s="13" t="inlineStr">
        <is>
          <t>Mố M1</t>
        </is>
      </c>
      <c r="C74" s="13" t="inlineStr">
        <is>
          <t>Thân mố / Bệ mố</t>
        </is>
      </c>
      <c r="D74" s="12" t="inlineStr">
        <is>
          <t>W9</t>
        </is>
      </c>
      <c r="E74" s="12" t="n">
        <v>16</v>
      </c>
      <c r="F74" s="12" t="inlineStr">
        <is>
          <t>CB400-V</t>
        </is>
      </c>
      <c r="G74" s="12" t="inlineStr">
        <is>
          <t>S05</t>
        </is>
      </c>
      <c r="H74" s="17" t="n">
        <v>1.881</v>
      </c>
      <c r="I74" s="48" t="n">
        <v>42</v>
      </c>
      <c r="J74" s="48" t="n">
        <v>1</v>
      </c>
      <c r="K74" s="48">
        <f>I74*J74</f>
        <v/>
      </c>
      <c r="L74" s="18">
        <f>H74*K74</f>
        <v/>
      </c>
      <c r="M74" s="17" t="n">
        <v>1.58</v>
      </c>
      <c r="N74" s="18">
        <f>L74*M74</f>
        <v/>
      </c>
      <c r="O74" s="17">
        <f>N74/1000</f>
        <v/>
      </c>
      <c r="P74" s="12" t="inlineStr">
        <is>
          <t>10&lt;D&lt;=18mm</t>
        </is>
      </c>
      <c r="Q74" s="13" t="inlineStr">
        <is>
          <t>TCVN 1651:2018 / ASTM</t>
        </is>
      </c>
    </row>
    <row r="75">
      <c r="A75" s="5" t="n">
        <v>69</v>
      </c>
      <c r="B75" s="6" t="inlineStr">
        <is>
          <t>Mố M1</t>
        </is>
      </c>
      <c r="C75" s="6" t="inlineStr">
        <is>
          <t>Ụ CHỐNG CHUYỂN VỊ</t>
        </is>
      </c>
      <c r="D75" s="5" t="inlineStr">
        <is>
          <t>U1</t>
        </is>
      </c>
      <c r="E75" s="5" t="n">
        <v>16</v>
      </c>
      <c r="F75" s="5" t="inlineStr">
        <is>
          <t>CB400-V</t>
        </is>
      </c>
      <c r="G75" s="5" t="inlineStr">
        <is>
          <t>S06</t>
        </is>
      </c>
      <c r="H75" s="10" t="n">
        <v>4.192</v>
      </c>
      <c r="I75" s="47" t="n">
        <v>8</v>
      </c>
      <c r="J75" s="47" t="n">
        <v>1</v>
      </c>
      <c r="K75" s="47">
        <f>I75*J75</f>
        <v/>
      </c>
      <c r="L75" s="11">
        <f>H75*K75</f>
        <v/>
      </c>
      <c r="M75" s="10" t="n">
        <v>1.58</v>
      </c>
      <c r="N75" s="11">
        <f>L75*M75</f>
        <v/>
      </c>
      <c r="O75" s="10">
        <f>N75/1000</f>
        <v/>
      </c>
      <c r="P75" s="5" t="inlineStr">
        <is>
          <t>10&lt;D&lt;=18mm</t>
        </is>
      </c>
      <c r="Q75" s="6" t="inlineStr">
        <is>
          <t>TCVN 1651:2018 / ASTM</t>
        </is>
      </c>
    </row>
    <row r="76">
      <c r="A76" s="12" t="n">
        <v>70</v>
      </c>
      <c r="B76" s="13" t="inlineStr">
        <is>
          <t>Mố M1</t>
        </is>
      </c>
      <c r="C76" s="13" t="inlineStr">
        <is>
          <t>Thân mố / Bệ mố</t>
        </is>
      </c>
      <c r="D76" s="12" t="inlineStr">
        <is>
          <t>U2</t>
        </is>
      </c>
      <c r="E76" s="12" t="n">
        <v>16</v>
      </c>
      <c r="F76" s="12" t="inlineStr">
        <is>
          <t>CB400-V</t>
        </is>
      </c>
      <c r="G76" s="12" t="inlineStr">
        <is>
          <t>S06</t>
        </is>
      </c>
      <c r="H76" s="17" t="n">
        <v>3.892</v>
      </c>
      <c r="I76" s="48" t="n">
        <v>12</v>
      </c>
      <c r="J76" s="48" t="n">
        <v>1</v>
      </c>
      <c r="K76" s="48">
        <f>I76*J76</f>
        <v/>
      </c>
      <c r="L76" s="18">
        <f>H76*K76</f>
        <v/>
      </c>
      <c r="M76" s="17" t="n">
        <v>1.58</v>
      </c>
      <c r="N76" s="18">
        <f>L76*M76</f>
        <v/>
      </c>
      <c r="O76" s="17">
        <f>N76/1000</f>
        <v/>
      </c>
      <c r="P76" s="12" t="inlineStr">
        <is>
          <t>10&lt;D&lt;=18mm</t>
        </is>
      </c>
      <c r="Q76" s="13" t="inlineStr">
        <is>
          <t>TCVN 1651:2018 / ASTM</t>
        </is>
      </c>
    </row>
    <row r="77">
      <c r="A77" s="5" t="n">
        <v>71</v>
      </c>
      <c r="B77" s="6" t="inlineStr">
        <is>
          <t>Mố M1</t>
        </is>
      </c>
      <c r="C77" s="6" t="inlineStr">
        <is>
          <t>Thân mố / Bệ mố</t>
        </is>
      </c>
      <c r="D77" s="5" t="inlineStr">
        <is>
          <t>U3</t>
        </is>
      </c>
      <c r="E77" s="5" t="n">
        <v>16</v>
      </c>
      <c r="F77" s="5" t="inlineStr">
        <is>
          <t>CB400-V</t>
        </is>
      </c>
      <c r="G77" s="5" t="inlineStr">
        <is>
          <t>S51</t>
        </is>
      </c>
      <c r="H77" s="10" t="n">
        <v>3.256</v>
      </c>
      <c r="I77" s="47" t="n">
        <v>24</v>
      </c>
      <c r="J77" s="47" t="n">
        <v>1</v>
      </c>
      <c r="K77" s="47">
        <f>I77*J77</f>
        <v/>
      </c>
      <c r="L77" s="11">
        <f>H77*K77</f>
        <v/>
      </c>
      <c r="M77" s="10" t="n">
        <v>1.58</v>
      </c>
      <c r="N77" s="11">
        <f>L77*M77</f>
        <v/>
      </c>
      <c r="O77" s="10">
        <f>N77/1000</f>
        <v/>
      </c>
      <c r="P77" s="5" t="inlineStr">
        <is>
          <t>10&lt;D&lt;=18mm</t>
        </is>
      </c>
      <c r="Q77" s="6" t="inlineStr">
        <is>
          <t>TCVN 1651:2018 / ASTM</t>
        </is>
      </c>
    </row>
    <row r="78">
      <c r="A78" s="12" t="n">
        <v>72</v>
      </c>
      <c r="B78" s="13" t="inlineStr">
        <is>
          <t>Mố M1</t>
        </is>
      </c>
      <c r="C78" s="13" t="inlineStr">
        <is>
          <t>Thân mố / Bệ mố</t>
        </is>
      </c>
      <c r="D78" s="12" t="inlineStr">
        <is>
          <t>U4</t>
        </is>
      </c>
      <c r="E78" s="12" t="n">
        <v>16</v>
      </c>
      <c r="F78" s="12" t="inlineStr">
        <is>
          <t>CB400-V</t>
        </is>
      </c>
      <c r="G78" s="12" t="inlineStr">
        <is>
          <t>S32</t>
        </is>
      </c>
      <c r="H78" s="17" t="n">
        <v>1.64</v>
      </c>
      <c r="I78" s="48" t="n">
        <v>4</v>
      </c>
      <c r="J78" s="48" t="n">
        <v>1</v>
      </c>
      <c r="K78" s="48">
        <f>I78*J78</f>
        <v/>
      </c>
      <c r="L78" s="18">
        <f>H78*K78</f>
        <v/>
      </c>
      <c r="M78" s="17" t="n">
        <v>1.58</v>
      </c>
      <c r="N78" s="18">
        <f>L78*M78</f>
        <v/>
      </c>
      <c r="O78" s="17">
        <f>N78/1000</f>
        <v/>
      </c>
      <c r="P78" s="12" t="inlineStr">
        <is>
          <t>10&lt;D&lt;=18mm</t>
        </is>
      </c>
      <c r="Q78" s="13" t="inlineStr">
        <is>
          <t>TCVN 1651:2018 / ASTM</t>
        </is>
      </c>
    </row>
    <row r="79">
      <c r="A79" s="5" t="n">
        <v>73</v>
      </c>
      <c r="B79" s="6" t="inlineStr">
        <is>
          <t>Mố M1</t>
        </is>
      </c>
      <c r="C79" s="6" t="inlineStr">
        <is>
          <t>VỮA ĐỆM</t>
        </is>
      </c>
      <c r="D79" s="5" t="inlineStr">
        <is>
          <t>B1</t>
        </is>
      </c>
      <c r="E79" s="5" t="n">
        <v>8</v>
      </c>
      <c r="F79" s="5" t="inlineStr">
        <is>
          <t>CB240-T</t>
        </is>
      </c>
      <c r="G79" s="5" t="inlineStr">
        <is>
          <t>S01</t>
        </is>
      </c>
      <c r="H79" s="10" t="n">
        <v>0.64</v>
      </c>
      <c r="I79" s="47" t="n">
        <v>50</v>
      </c>
      <c r="J79" s="47" t="n">
        <v>1</v>
      </c>
      <c r="K79" s="47">
        <f>I79*J79</f>
        <v/>
      </c>
      <c r="L79" s="11">
        <f>H79*K79</f>
        <v/>
      </c>
      <c r="M79" s="10" t="n">
        <v>0.395</v>
      </c>
      <c r="N79" s="11">
        <f>L79*M79</f>
        <v/>
      </c>
      <c r="O79" s="10">
        <f>N79/1000</f>
        <v/>
      </c>
      <c r="P79" s="5" t="inlineStr">
        <is>
          <t>D&lt;=10mm</t>
        </is>
      </c>
      <c r="Q79" s="6" t="inlineStr">
        <is>
          <t>TCVN 1651:2018 / ASTM</t>
        </is>
      </c>
    </row>
    <row r="80">
      <c r="A80" s="12" t="n">
        <v>74</v>
      </c>
      <c r="B80" s="13" t="inlineStr">
        <is>
          <t>Mố M1</t>
        </is>
      </c>
      <c r="C80" s="13" t="inlineStr">
        <is>
          <t>Thân mố / Bệ mố</t>
        </is>
      </c>
      <c r="D80" s="12" t="inlineStr">
        <is>
          <t>B2</t>
        </is>
      </c>
      <c r="E80" s="12" t="n">
        <v>8</v>
      </c>
      <c r="F80" s="12" t="inlineStr">
        <is>
          <t>CB240-T</t>
        </is>
      </c>
      <c r="G80" s="12" t="inlineStr">
        <is>
          <t>S01</t>
        </is>
      </c>
      <c r="H80" s="17" t="n">
        <v>0.48</v>
      </c>
      <c r="I80" s="48" t="n">
        <v>65</v>
      </c>
      <c r="J80" s="48" t="n">
        <v>1</v>
      </c>
      <c r="K80" s="48">
        <f>I80*J80</f>
        <v/>
      </c>
      <c r="L80" s="18">
        <f>H80*K80</f>
        <v/>
      </c>
      <c r="M80" s="17" t="n">
        <v>0.395</v>
      </c>
      <c r="N80" s="18">
        <f>L80*M80</f>
        <v/>
      </c>
      <c r="O80" s="17">
        <f>N80/1000</f>
        <v/>
      </c>
      <c r="P80" s="12" t="inlineStr">
        <is>
          <t>D&lt;=10mm</t>
        </is>
      </c>
      <c r="Q80" s="13" t="inlineStr">
        <is>
          <t>TCVN 1651:2018 / ASTM</t>
        </is>
      </c>
    </row>
    <row r="81">
      <c r="A81" s="5" t="n">
        <v>75</v>
      </c>
      <c r="B81" s="6" t="inlineStr">
        <is>
          <t>Mố M1</t>
        </is>
      </c>
      <c r="C81" s="6" t="inlineStr">
        <is>
          <t>TƯỜNG TAI</t>
        </is>
      </c>
      <c r="D81" s="5" t="inlineStr">
        <is>
          <t>T1</t>
        </is>
      </c>
      <c r="E81" s="5" t="n">
        <v>16</v>
      </c>
      <c r="F81" s="5" t="inlineStr">
        <is>
          <t>CB400-V</t>
        </is>
      </c>
      <c r="G81" s="5" t="inlineStr">
        <is>
          <t>S01</t>
        </is>
      </c>
      <c r="H81" s="10" t="n">
        <v>1.89</v>
      </c>
      <c r="I81" s="47" t="n">
        <v>14</v>
      </c>
      <c r="J81" s="47" t="n">
        <v>1</v>
      </c>
      <c r="K81" s="47">
        <f>I81*J81</f>
        <v/>
      </c>
      <c r="L81" s="11">
        <f>H81*K81</f>
        <v/>
      </c>
      <c r="M81" s="10" t="n">
        <v>1.58</v>
      </c>
      <c r="N81" s="11">
        <f>L81*M81</f>
        <v/>
      </c>
      <c r="O81" s="10">
        <f>N81/1000</f>
        <v/>
      </c>
      <c r="P81" s="5" t="inlineStr">
        <is>
          <t>10&lt;D&lt;=18mm</t>
        </is>
      </c>
      <c r="Q81" s="6" t="inlineStr">
        <is>
          <t>TCVN 1651:2018 / ASTM</t>
        </is>
      </c>
    </row>
    <row r="82">
      <c r="A82" s="12" t="n">
        <v>76</v>
      </c>
      <c r="B82" s="13" t="inlineStr">
        <is>
          <t>Mố M1</t>
        </is>
      </c>
      <c r="C82" s="13" t="inlineStr">
        <is>
          <t>Thân mố / Bệ mố</t>
        </is>
      </c>
      <c r="D82" s="12" t="inlineStr">
        <is>
          <t>T2</t>
        </is>
      </c>
      <c r="E82" s="12" t="n">
        <v>16</v>
      </c>
      <c r="F82" s="12" t="inlineStr">
        <is>
          <t>CB400-V</t>
        </is>
      </c>
      <c r="G82" s="12" t="inlineStr">
        <is>
          <t>S01</t>
        </is>
      </c>
      <c r="H82" s="17" t="n">
        <v>1.59</v>
      </c>
      <c r="I82" s="48" t="n">
        <v>18</v>
      </c>
      <c r="J82" s="48" t="n">
        <v>1</v>
      </c>
      <c r="K82" s="48">
        <f>I82*J82</f>
        <v/>
      </c>
      <c r="L82" s="18">
        <f>H82*K82</f>
        <v/>
      </c>
      <c r="M82" s="17" t="n">
        <v>1.58</v>
      </c>
      <c r="N82" s="18">
        <f>L82*M82</f>
        <v/>
      </c>
      <c r="O82" s="17">
        <f>N82/1000</f>
        <v/>
      </c>
      <c r="P82" s="12" t="inlineStr">
        <is>
          <t>10&lt;D&lt;=18mm</t>
        </is>
      </c>
      <c r="Q82" s="13" t="inlineStr">
        <is>
          <t>TCVN 1651:2018 / ASTM</t>
        </is>
      </c>
    </row>
    <row r="83">
      <c r="A83" s="5" t="n">
        <v>77</v>
      </c>
      <c r="B83" s="6" t="inlineStr">
        <is>
          <t>Mố M1</t>
        </is>
      </c>
      <c r="C83" s="6" t="inlineStr">
        <is>
          <t>GỜ LAN CAN</t>
        </is>
      </c>
      <c r="D83" s="5" t="inlineStr">
        <is>
          <t>G1</t>
        </is>
      </c>
      <c r="E83" s="5" t="n">
        <v>14</v>
      </c>
      <c r="F83" s="5" t="inlineStr">
        <is>
          <t>CB400-V</t>
        </is>
      </c>
      <c r="G83" s="5" t="inlineStr">
        <is>
          <t>S01</t>
        </is>
      </c>
      <c r="H83" s="10" t="n">
        <v>5.9</v>
      </c>
      <c r="I83" s="47" t="n">
        <v>19</v>
      </c>
      <c r="J83" s="47" t="n">
        <v>1</v>
      </c>
      <c r="K83" s="47">
        <f>I83*J83</f>
        <v/>
      </c>
      <c r="L83" s="11">
        <f>H83*K83</f>
        <v/>
      </c>
      <c r="M83" s="10" t="n">
        <v>1.21</v>
      </c>
      <c r="N83" s="11">
        <f>L83*M83</f>
        <v/>
      </c>
      <c r="O83" s="10">
        <f>N83/1000</f>
        <v/>
      </c>
      <c r="P83" s="5" t="inlineStr">
        <is>
          <t>10&lt;D&lt;=18mm</t>
        </is>
      </c>
      <c r="Q83" s="6" t="inlineStr">
        <is>
          <t>TCVN 1651:2018 / ASTM</t>
        </is>
      </c>
    </row>
    <row r="84">
      <c r="A84" s="12" t="n">
        <v>78</v>
      </c>
      <c r="B84" s="13" t="inlineStr">
        <is>
          <t>Mố M1</t>
        </is>
      </c>
      <c r="C84" s="13" t="inlineStr">
        <is>
          <t>Thân mố / Bệ mố</t>
        </is>
      </c>
      <c r="D84" s="12" t="inlineStr">
        <is>
          <t>G2</t>
        </is>
      </c>
      <c r="E84" s="12" t="n">
        <v>18</v>
      </c>
      <c r="F84" s="12" t="inlineStr">
        <is>
          <t>CB400-V</t>
        </is>
      </c>
      <c r="G84" s="12" t="inlineStr">
        <is>
          <t>S57</t>
        </is>
      </c>
      <c r="H84" s="17" t="n">
        <v>3.265</v>
      </c>
      <c r="I84" s="48" t="n">
        <v>40</v>
      </c>
      <c r="J84" s="48" t="n">
        <v>1</v>
      </c>
      <c r="K84" s="48">
        <f>I84*J84</f>
        <v/>
      </c>
      <c r="L84" s="18">
        <f>H84*K84</f>
        <v/>
      </c>
      <c r="M84" s="17" t="n">
        <v>2</v>
      </c>
      <c r="N84" s="18">
        <f>L84*M84</f>
        <v/>
      </c>
      <c r="O84" s="17">
        <f>N84/1000</f>
        <v/>
      </c>
      <c r="P84" s="12" t="inlineStr">
        <is>
          <t>10&lt;D&lt;=18mm</t>
        </is>
      </c>
      <c r="Q84" s="13" t="inlineStr">
        <is>
          <t>TCVN 1651:2018 / ASTM</t>
        </is>
      </c>
    </row>
    <row r="85">
      <c r="A85" s="5" t="n">
        <v>79</v>
      </c>
      <c r="B85" s="6" t="inlineStr">
        <is>
          <t>Mố M1</t>
        </is>
      </c>
      <c r="C85" s="6" t="inlineStr">
        <is>
          <t>Thân mố / Bệ mố</t>
        </is>
      </c>
      <c r="D85" s="5" t="inlineStr">
        <is>
          <t>G3</t>
        </is>
      </c>
      <c r="E85" s="5" t="n">
        <v>14</v>
      </c>
      <c r="F85" s="5" t="inlineStr">
        <is>
          <t>CB400-V</t>
        </is>
      </c>
      <c r="G85" s="5" t="inlineStr">
        <is>
          <t>S29</t>
        </is>
      </c>
      <c r="H85" s="10" t="n">
        <v>2.344</v>
      </c>
      <c r="I85" s="47" t="n">
        <v>40</v>
      </c>
      <c r="J85" s="47" t="n">
        <v>1</v>
      </c>
      <c r="K85" s="47">
        <f>I85*J85</f>
        <v/>
      </c>
      <c r="L85" s="11">
        <f>H85*K85</f>
        <v/>
      </c>
      <c r="M85" s="10" t="n">
        <v>1.21</v>
      </c>
      <c r="N85" s="11">
        <f>L85*M85</f>
        <v/>
      </c>
      <c r="O85" s="10">
        <f>N85/1000</f>
        <v/>
      </c>
      <c r="P85" s="5" t="inlineStr">
        <is>
          <t>10&lt;D&lt;=18mm</t>
        </is>
      </c>
      <c r="Q85" s="6" t="inlineStr">
        <is>
          <t>TCVN 1651:2018 / ASTM</t>
        </is>
      </c>
    </row>
    <row r="86">
      <c r="A86" s="12" t="n">
        <v>80</v>
      </c>
      <c r="B86" s="13" t="inlineStr">
        <is>
          <t>Mố M1</t>
        </is>
      </c>
      <c r="C86" s="13" t="inlineStr">
        <is>
          <t>Thân mố / Bệ mố</t>
        </is>
      </c>
      <c r="D86" s="12" t="inlineStr">
        <is>
          <t>G4A</t>
        </is>
      </c>
      <c r="E86" s="12" t="n">
        <v>12</v>
      </c>
      <c r="F86" s="12" t="inlineStr">
        <is>
          <t>CB400-V</t>
        </is>
      </c>
      <c r="G86" s="12" t="inlineStr">
        <is>
          <t>S06</t>
        </is>
      </c>
      <c r="H86" s="17" t="n">
        <v>0.342</v>
      </c>
      <c r="I86" s="48" t="n">
        <v>11</v>
      </c>
      <c r="J86" s="48" t="n">
        <v>1</v>
      </c>
      <c r="K86" s="48">
        <f>I86*J86</f>
        <v/>
      </c>
      <c r="L86" s="18">
        <f>H86*K86</f>
        <v/>
      </c>
      <c r="M86" s="17" t="n">
        <v>0.888</v>
      </c>
      <c r="N86" s="18">
        <f>L86*M86</f>
        <v/>
      </c>
      <c r="O86" s="17">
        <f>N86/1000</f>
        <v/>
      </c>
      <c r="P86" s="12" t="inlineStr">
        <is>
          <t>10&lt;D&lt;=18mm</t>
        </is>
      </c>
      <c r="Q86" s="13" t="inlineStr">
        <is>
          <t>TCVN 1651:2018 / ASTM</t>
        </is>
      </c>
    </row>
    <row r="87">
      <c r="A87" s="5" t="n">
        <v>81</v>
      </c>
      <c r="B87" s="6" t="inlineStr">
        <is>
          <t>Mố M1</t>
        </is>
      </c>
      <c r="C87" s="6" t="inlineStr">
        <is>
          <t>Thân mố / Bệ mố</t>
        </is>
      </c>
      <c r="D87" s="5" t="inlineStr">
        <is>
          <t>G4B</t>
        </is>
      </c>
      <c r="E87" s="5" t="n">
        <v>12</v>
      </c>
      <c r="F87" s="5" t="inlineStr">
        <is>
          <t>CB400-V</t>
        </is>
      </c>
      <c r="G87" s="5" t="inlineStr">
        <is>
          <t>S06</t>
        </is>
      </c>
      <c r="H87" s="10" t="n">
        <v>0.388</v>
      </c>
      <c r="I87" s="47" t="n">
        <v>11</v>
      </c>
      <c r="J87" s="47" t="n">
        <v>1</v>
      </c>
      <c r="K87" s="47">
        <f>I87*J87</f>
        <v/>
      </c>
      <c r="L87" s="11">
        <f>H87*K87</f>
        <v/>
      </c>
      <c r="M87" s="10" t="n">
        <v>0.888</v>
      </c>
      <c r="N87" s="11">
        <f>L87*M87</f>
        <v/>
      </c>
      <c r="O87" s="10">
        <f>N87/1000</f>
        <v/>
      </c>
      <c r="P87" s="5" t="inlineStr">
        <is>
          <t>10&lt;D&lt;=18mm</t>
        </is>
      </c>
      <c r="Q87" s="6" t="inlineStr">
        <is>
          <t>TCVN 1651:2018 / ASTM</t>
        </is>
      </c>
    </row>
    <row r="88">
      <c r="A88" s="12" t="n">
        <v>82</v>
      </c>
      <c r="B88" s="13" t="inlineStr">
        <is>
          <t>Mố M1</t>
        </is>
      </c>
      <c r="C88" s="13" t="inlineStr">
        <is>
          <t>Thân mố / Bệ mố</t>
        </is>
      </c>
      <c r="D88" s="12" t="inlineStr">
        <is>
          <t>G4C</t>
        </is>
      </c>
      <c r="E88" s="12" t="n">
        <v>12</v>
      </c>
      <c r="F88" s="12" t="inlineStr">
        <is>
          <t>CB400-V</t>
        </is>
      </c>
      <c r="G88" s="12" t="inlineStr">
        <is>
          <t>S06</t>
        </is>
      </c>
      <c r="H88" s="17" t="n">
        <v>0.634</v>
      </c>
      <c r="I88" s="48" t="n">
        <v>11</v>
      </c>
      <c r="J88" s="48" t="n">
        <v>1</v>
      </c>
      <c r="K88" s="48">
        <f>I88*J88</f>
        <v/>
      </c>
      <c r="L88" s="18">
        <f>H88*K88</f>
        <v/>
      </c>
      <c r="M88" s="17" t="n">
        <v>0.888</v>
      </c>
      <c r="N88" s="18">
        <f>L88*M88</f>
        <v/>
      </c>
      <c r="O88" s="17">
        <f>N88/1000</f>
        <v/>
      </c>
      <c r="P88" s="12" t="inlineStr">
        <is>
          <t>10&lt;D&lt;=18mm</t>
        </is>
      </c>
      <c r="Q88" s="13" t="inlineStr">
        <is>
          <t>TCVN 1651:2018 / ASTM</t>
        </is>
      </c>
    </row>
    <row r="89">
      <c r="A89" s="5" t="n">
        <v>83</v>
      </c>
      <c r="B89" s="6" t="inlineStr">
        <is>
          <t>Mố M1</t>
        </is>
      </c>
      <c r="C89" s="6" t="inlineStr">
        <is>
          <t>Thân mố / Bệ mố</t>
        </is>
      </c>
      <c r="D89" s="5" t="inlineStr">
        <is>
          <t>G5</t>
        </is>
      </c>
      <c r="E89" s="5" t="n">
        <v>14</v>
      </c>
      <c r="F89" s="5" t="inlineStr">
        <is>
          <t>CB400-V</t>
        </is>
      </c>
      <c r="G89" s="5" t="inlineStr">
        <is>
          <t>S01</t>
        </is>
      </c>
      <c r="H89" s="10" t="n">
        <v>5.9</v>
      </c>
      <c r="I89" s="47" t="n">
        <v>18</v>
      </c>
      <c r="J89" s="47" t="n">
        <v>1</v>
      </c>
      <c r="K89" s="47">
        <f>I89*J89</f>
        <v/>
      </c>
      <c r="L89" s="11">
        <f>H89*K89</f>
        <v/>
      </c>
      <c r="M89" s="10" t="n">
        <v>1.21</v>
      </c>
      <c r="N89" s="11">
        <f>L89*M89</f>
        <v/>
      </c>
      <c r="O89" s="10">
        <f>N89/1000</f>
        <v/>
      </c>
      <c r="P89" s="5" t="inlineStr">
        <is>
          <t>10&lt;D&lt;=18mm</t>
        </is>
      </c>
      <c r="Q89" s="6" t="inlineStr">
        <is>
          <t>TCVN 1651:2018 / ASTM</t>
        </is>
      </c>
    </row>
    <row r="90">
      <c r="A90" s="12" t="n">
        <v>84</v>
      </c>
      <c r="B90" s="13" t="inlineStr">
        <is>
          <t>Mố M1</t>
        </is>
      </c>
      <c r="C90" s="13" t="inlineStr">
        <is>
          <t>Thân mố / Bệ mố</t>
        </is>
      </c>
      <c r="D90" s="12" t="inlineStr">
        <is>
          <t>G6</t>
        </is>
      </c>
      <c r="E90" s="12" t="n">
        <v>20</v>
      </c>
      <c r="F90" s="12" t="inlineStr">
        <is>
          <t>CB400-V</t>
        </is>
      </c>
      <c r="G90" s="12" t="inlineStr">
        <is>
          <t>S57</t>
        </is>
      </c>
      <c r="H90" s="17" t="n">
        <v>3.045</v>
      </c>
      <c r="I90" s="48" t="n">
        <v>40</v>
      </c>
      <c r="J90" s="48" t="n">
        <v>1</v>
      </c>
      <c r="K90" s="48">
        <f>I90*J90</f>
        <v/>
      </c>
      <c r="L90" s="18">
        <f>H90*K90</f>
        <v/>
      </c>
      <c r="M90" s="17" t="n">
        <v>2.47</v>
      </c>
      <c r="N90" s="18">
        <f>L90*M90</f>
        <v/>
      </c>
      <c r="O90" s="17">
        <f>N90/1000</f>
        <v/>
      </c>
      <c r="P90" s="12" t="inlineStr">
        <is>
          <t>D&gt;18mm</t>
        </is>
      </c>
      <c r="Q90" s="13" t="inlineStr">
        <is>
          <t>TCVN 1651:2018 / ASTM</t>
        </is>
      </c>
    </row>
    <row r="91">
      <c r="A91" s="5" t="n">
        <v>85</v>
      </c>
      <c r="B91" s="6" t="inlineStr">
        <is>
          <t>Mố M1</t>
        </is>
      </c>
      <c r="C91" s="6" t="inlineStr">
        <is>
          <t>Thân mố / Bệ mố</t>
        </is>
      </c>
      <c r="D91" s="5" t="inlineStr">
        <is>
          <t>G7</t>
        </is>
      </c>
      <c r="E91" s="5" t="n">
        <v>14</v>
      </c>
      <c r="F91" s="5" t="inlineStr">
        <is>
          <t>CB400-V</t>
        </is>
      </c>
      <c r="G91" s="5" t="inlineStr">
        <is>
          <t>S29</t>
        </is>
      </c>
      <c r="H91" s="10" t="n">
        <v>1.536</v>
      </c>
      <c r="I91" s="47" t="n">
        <v>40</v>
      </c>
      <c r="J91" s="47" t="n">
        <v>1</v>
      </c>
      <c r="K91" s="47">
        <f>I91*J91</f>
        <v/>
      </c>
      <c r="L91" s="11">
        <f>H91*K91</f>
        <v/>
      </c>
      <c r="M91" s="10" t="n">
        <v>1.21</v>
      </c>
      <c r="N91" s="11">
        <f>L91*M91</f>
        <v/>
      </c>
      <c r="O91" s="10">
        <f>N91/1000</f>
        <v/>
      </c>
      <c r="P91" s="5" t="inlineStr">
        <is>
          <t>10&lt;D&lt;=18mm</t>
        </is>
      </c>
      <c r="Q91" s="6" t="inlineStr">
        <is>
          <t>TCVN 1651:2018 / ASTM</t>
        </is>
      </c>
    </row>
    <row r="92">
      <c r="A92" s="12" t="n">
        <v>86</v>
      </c>
      <c r="B92" s="13" t="inlineStr">
        <is>
          <t>Mố M1</t>
        </is>
      </c>
      <c r="C92" s="13" t="inlineStr">
        <is>
          <t>Thân mố / Bệ mố</t>
        </is>
      </c>
      <c r="D92" s="12" t="inlineStr">
        <is>
          <t>G7A</t>
        </is>
      </c>
      <c r="E92" s="12" t="n">
        <v>20</v>
      </c>
      <c r="F92" s="12" t="inlineStr">
        <is>
          <t>CB400-V</t>
        </is>
      </c>
      <c r="G92" s="12" t="inlineStr">
        <is>
          <t>S05</t>
        </is>
      </c>
      <c r="H92" s="17" t="n">
        <v>1.182</v>
      </c>
      <c r="I92" s="48" t="n">
        <v>40</v>
      </c>
      <c r="J92" s="48" t="n">
        <v>1</v>
      </c>
      <c r="K92" s="48">
        <f>I92*J92</f>
        <v/>
      </c>
      <c r="L92" s="18">
        <f>H92*K92</f>
        <v/>
      </c>
      <c r="M92" s="17" t="n">
        <v>2.47</v>
      </c>
      <c r="N92" s="18">
        <f>L92*M92</f>
        <v/>
      </c>
      <c r="O92" s="17">
        <f>N92/1000</f>
        <v/>
      </c>
      <c r="P92" s="12" t="inlineStr">
        <is>
          <t>D&gt;18mm</t>
        </is>
      </c>
      <c r="Q92" s="13" t="inlineStr">
        <is>
          <t>TCVN 1651:2018 / ASTM</t>
        </is>
      </c>
    </row>
    <row r="93">
      <c r="A93" s="5" t="n">
        <v>87</v>
      </c>
      <c r="B93" s="6" t="inlineStr">
        <is>
          <t>Mố M1</t>
        </is>
      </c>
      <c r="C93" s="6" t="inlineStr">
        <is>
          <t>Thân mố / Bệ mố</t>
        </is>
      </c>
      <c r="D93" s="5" t="inlineStr">
        <is>
          <t>G8A</t>
        </is>
      </c>
      <c r="E93" s="5" t="n">
        <v>12</v>
      </c>
      <c r="F93" s="5" t="inlineStr">
        <is>
          <t>CB400-V</t>
        </is>
      </c>
      <c r="G93" s="5" t="inlineStr">
        <is>
          <t>S06</t>
        </is>
      </c>
      <c r="H93" s="10" t="n">
        <v>0.26</v>
      </c>
      <c r="I93" s="47" t="n">
        <v>11</v>
      </c>
      <c r="J93" s="47" t="n">
        <v>1</v>
      </c>
      <c r="K93" s="47">
        <f>I93*J93</f>
        <v/>
      </c>
      <c r="L93" s="11">
        <f>H93*K93</f>
        <v/>
      </c>
      <c r="M93" s="10" t="n">
        <v>0.888</v>
      </c>
      <c r="N93" s="11">
        <f>L93*M93</f>
        <v/>
      </c>
      <c r="O93" s="10">
        <f>N93/1000</f>
        <v/>
      </c>
      <c r="P93" s="5" t="inlineStr">
        <is>
          <t>10&lt;D&lt;=18mm</t>
        </is>
      </c>
      <c r="Q93" s="6" t="inlineStr">
        <is>
          <t>TCVN 1651:2018 / ASTM</t>
        </is>
      </c>
    </row>
    <row r="94">
      <c r="A94" s="12" t="n">
        <v>88</v>
      </c>
      <c r="B94" s="13" t="inlineStr">
        <is>
          <t>Mố M1</t>
        </is>
      </c>
      <c r="C94" s="13" t="inlineStr">
        <is>
          <t>Thân mố / Bệ mố</t>
        </is>
      </c>
      <c r="D94" s="12" t="inlineStr">
        <is>
          <t>G8B</t>
        </is>
      </c>
      <c r="E94" s="12" t="n">
        <v>12</v>
      </c>
      <c r="F94" s="12" t="inlineStr">
        <is>
          <t>CB400-V</t>
        </is>
      </c>
      <c r="G94" s="12" t="inlineStr">
        <is>
          <t>S06</t>
        </is>
      </c>
      <c r="H94" s="17" t="n">
        <v>0.306</v>
      </c>
      <c r="I94" s="48" t="n">
        <v>11</v>
      </c>
      <c r="J94" s="48" t="n">
        <v>1</v>
      </c>
      <c r="K94" s="48">
        <f>I94*J94</f>
        <v/>
      </c>
      <c r="L94" s="18">
        <f>H94*K94</f>
        <v/>
      </c>
      <c r="M94" s="17" t="n">
        <v>0.888</v>
      </c>
      <c r="N94" s="18">
        <f>L94*M94</f>
        <v/>
      </c>
      <c r="O94" s="17">
        <f>N94/1000</f>
        <v/>
      </c>
      <c r="P94" s="12" t="inlineStr">
        <is>
          <t>10&lt;D&lt;=18mm</t>
        </is>
      </c>
      <c r="Q94" s="13" t="inlineStr">
        <is>
          <t>TCVN 1651:2018 / ASTM</t>
        </is>
      </c>
    </row>
    <row r="95">
      <c r="A95" s="5" t="n">
        <v>89</v>
      </c>
      <c r="B95" s="6" t="inlineStr">
        <is>
          <t>Mố M1</t>
        </is>
      </c>
      <c r="C95" s="6" t="inlineStr">
        <is>
          <t>Thân mố / Bệ mố</t>
        </is>
      </c>
      <c r="D95" s="5" t="inlineStr">
        <is>
          <t>G8C</t>
        </is>
      </c>
      <c r="E95" s="5" t="n">
        <v>12</v>
      </c>
      <c r="F95" s="5" t="inlineStr">
        <is>
          <t>CB400-V</t>
        </is>
      </c>
      <c r="G95" s="5" t="inlineStr">
        <is>
          <t>S06</t>
        </is>
      </c>
      <c r="H95" s="10" t="n">
        <v>0.417</v>
      </c>
      <c r="I95" s="47" t="n">
        <v>11</v>
      </c>
      <c r="J95" s="47" t="n">
        <v>1</v>
      </c>
      <c r="K95" s="47">
        <f>I95*J95</f>
        <v/>
      </c>
      <c r="L95" s="11">
        <f>H95*K95</f>
        <v/>
      </c>
      <c r="M95" s="10" t="n">
        <v>0.888</v>
      </c>
      <c r="N95" s="11">
        <f>L95*M95</f>
        <v/>
      </c>
      <c r="O95" s="10">
        <f>N95/1000</f>
        <v/>
      </c>
      <c r="P95" s="5" t="inlineStr">
        <is>
          <t>10&lt;D&lt;=18mm</t>
        </is>
      </c>
      <c r="Q95" s="6" t="inlineStr">
        <is>
          <t>TCVN 1651:2018 / ASTM</t>
        </is>
      </c>
    </row>
    <row r="96">
      <c r="A96" s="12" t="n">
        <v>90</v>
      </c>
      <c r="B96" s="13" t="inlineStr">
        <is>
          <t>Mố M2</t>
        </is>
      </c>
      <c r="C96" s="13" t="inlineStr">
        <is>
          <t>BỆ MỐ</t>
        </is>
      </c>
      <c r="D96" s="12" t="inlineStr">
        <is>
          <t>F1</t>
        </is>
      </c>
      <c r="E96" s="12" t="n">
        <v>28</v>
      </c>
      <c r="F96" s="12" t="inlineStr">
        <is>
          <t>CB400-V</t>
        </is>
      </c>
      <c r="G96" s="12" t="inlineStr">
        <is>
          <t>S06</t>
        </is>
      </c>
      <c r="H96" s="17" t="n">
        <v>6.578</v>
      </c>
      <c r="I96" s="48" t="n">
        <v>83</v>
      </c>
      <c r="J96" s="48" t="n">
        <v>1</v>
      </c>
      <c r="K96" s="48">
        <f>I96*J96</f>
        <v/>
      </c>
      <c r="L96" s="18">
        <f>H96*K96</f>
        <v/>
      </c>
      <c r="M96" s="17" t="n">
        <v>4.83</v>
      </c>
      <c r="N96" s="18">
        <f>L96*M96</f>
        <v/>
      </c>
      <c r="O96" s="17">
        <f>N96/1000</f>
        <v/>
      </c>
      <c r="P96" s="12" t="inlineStr">
        <is>
          <t>D&gt;18mm</t>
        </is>
      </c>
      <c r="Q96" s="13" t="inlineStr">
        <is>
          <t>TCVN 1651:2018 / ASTM</t>
        </is>
      </c>
    </row>
    <row r="97">
      <c r="A97" s="5" t="n">
        <v>91</v>
      </c>
      <c r="B97" s="6" t="inlineStr">
        <is>
          <t>Mố M2</t>
        </is>
      </c>
      <c r="C97" s="6" t="inlineStr">
        <is>
          <t>Thân mố / Bệ mố</t>
        </is>
      </c>
      <c r="D97" s="5" t="inlineStr">
        <is>
          <t>F2</t>
        </is>
      </c>
      <c r="E97" s="5" t="n">
        <v>18</v>
      </c>
      <c r="F97" s="5" t="inlineStr">
        <is>
          <t>CB400-V</t>
        </is>
      </c>
      <c r="G97" s="5" t="inlineStr">
        <is>
          <t>S06</t>
        </is>
      </c>
      <c r="H97" s="10" t="n">
        <v>13.571</v>
      </c>
      <c r="I97" s="47" t="n">
        <v>40</v>
      </c>
      <c r="J97" s="47" t="n">
        <v>1</v>
      </c>
      <c r="K97" s="47">
        <f>I97*J97</f>
        <v/>
      </c>
      <c r="L97" s="11">
        <f>H97*K97</f>
        <v/>
      </c>
      <c r="M97" s="10" t="n">
        <v>2</v>
      </c>
      <c r="N97" s="11">
        <f>L97*M97</f>
        <v/>
      </c>
      <c r="O97" s="10">
        <f>N97/1000</f>
        <v/>
      </c>
      <c r="P97" s="5" t="inlineStr">
        <is>
          <t>10&lt;D&lt;=18mm</t>
        </is>
      </c>
      <c r="Q97" s="6" t="inlineStr">
        <is>
          <t>TCVN 1651:2018 / ASTM</t>
        </is>
      </c>
    </row>
    <row r="98">
      <c r="A98" s="12" t="n">
        <v>92</v>
      </c>
      <c r="B98" s="13" t="inlineStr">
        <is>
          <t>Mố M2</t>
        </is>
      </c>
      <c r="C98" s="13" t="inlineStr">
        <is>
          <t>Thân mố / Bệ mố</t>
        </is>
      </c>
      <c r="D98" s="12" t="inlineStr">
        <is>
          <t>F3</t>
        </is>
      </c>
      <c r="E98" s="12" t="n">
        <v>18</v>
      </c>
      <c r="F98" s="12" t="inlineStr">
        <is>
          <t>CB400-V</t>
        </is>
      </c>
      <c r="G98" s="12" t="inlineStr">
        <is>
          <t>S06</t>
        </is>
      </c>
      <c r="H98" s="17" t="n">
        <v>6.336</v>
      </c>
      <c r="I98" s="48" t="n">
        <v>83</v>
      </c>
      <c r="J98" s="48" t="n">
        <v>1</v>
      </c>
      <c r="K98" s="48">
        <f>I98*J98</f>
        <v/>
      </c>
      <c r="L98" s="18">
        <f>H98*K98</f>
        <v/>
      </c>
      <c r="M98" s="17" t="n">
        <v>2</v>
      </c>
      <c r="N98" s="18">
        <f>L98*M98</f>
        <v/>
      </c>
      <c r="O98" s="17">
        <f>N98/1000</f>
        <v/>
      </c>
      <c r="P98" s="12" t="inlineStr">
        <is>
          <t>10&lt;D&lt;=18mm</t>
        </is>
      </c>
      <c r="Q98" s="13" t="inlineStr">
        <is>
          <t>TCVN 1651:2018 / ASTM</t>
        </is>
      </c>
    </row>
    <row r="99">
      <c r="A99" s="5" t="n">
        <v>93</v>
      </c>
      <c r="B99" s="6" t="inlineStr">
        <is>
          <t>Mố M2</t>
        </is>
      </c>
      <c r="C99" s="6" t="inlineStr">
        <is>
          <t>Thân mố / Bệ mố</t>
        </is>
      </c>
      <c r="D99" s="5" t="inlineStr">
        <is>
          <t>F4</t>
        </is>
      </c>
      <c r="E99" s="5" t="n">
        <v>18</v>
      </c>
      <c r="F99" s="5" t="inlineStr">
        <is>
          <t>CB400-V</t>
        </is>
      </c>
      <c r="G99" s="5" t="inlineStr">
        <is>
          <t>S06</t>
        </is>
      </c>
      <c r="H99" s="10" t="n">
        <v>13.571</v>
      </c>
      <c r="I99" s="47" t="n">
        <v>30</v>
      </c>
      <c r="J99" s="47" t="n">
        <v>1</v>
      </c>
      <c r="K99" s="47">
        <f>I99*J99</f>
        <v/>
      </c>
      <c r="L99" s="11">
        <f>H99*K99</f>
        <v/>
      </c>
      <c r="M99" s="10" t="n">
        <v>2</v>
      </c>
      <c r="N99" s="11">
        <f>L99*M99</f>
        <v/>
      </c>
      <c r="O99" s="10">
        <f>N99/1000</f>
        <v/>
      </c>
      <c r="P99" s="5" t="inlineStr">
        <is>
          <t>10&lt;D&lt;=18mm</t>
        </is>
      </c>
      <c r="Q99" s="6" t="inlineStr">
        <is>
          <t>TCVN 1651:2018 / ASTM</t>
        </is>
      </c>
    </row>
    <row r="100">
      <c r="A100" s="12" t="n">
        <v>94</v>
      </c>
      <c r="B100" s="13" t="inlineStr">
        <is>
          <t>Mố M2</t>
        </is>
      </c>
      <c r="C100" s="13" t="inlineStr">
        <is>
          <t>Thân mố / Bệ mố</t>
        </is>
      </c>
      <c r="D100" s="12" t="inlineStr">
        <is>
          <t>F5</t>
        </is>
      </c>
      <c r="E100" s="12" t="n">
        <v>16</v>
      </c>
      <c r="F100" s="12" t="inlineStr">
        <is>
          <t>CB400-V</t>
        </is>
      </c>
      <c r="G100" s="12" t="inlineStr">
        <is>
          <t>S01</t>
        </is>
      </c>
      <c r="H100" s="17" t="n">
        <v>5.85</v>
      </c>
      <c r="I100" s="48" t="n">
        <v>16</v>
      </c>
      <c r="J100" s="48" t="n">
        <v>1</v>
      </c>
      <c r="K100" s="48">
        <f>I100*J100</f>
        <v/>
      </c>
      <c r="L100" s="18">
        <f>H100*K100</f>
        <v/>
      </c>
      <c r="M100" s="17" t="n">
        <v>1.58</v>
      </c>
      <c r="N100" s="18">
        <f>L100*M100</f>
        <v/>
      </c>
      <c r="O100" s="17">
        <f>N100/1000</f>
        <v/>
      </c>
      <c r="P100" s="12" t="inlineStr">
        <is>
          <t>10&lt;D&lt;=18mm</t>
        </is>
      </c>
      <c r="Q100" s="13" t="inlineStr">
        <is>
          <t>TCVN 1651:2018 / ASTM</t>
        </is>
      </c>
    </row>
    <row r="101">
      <c r="A101" s="5" t="n">
        <v>95</v>
      </c>
      <c r="B101" s="6" t="inlineStr">
        <is>
          <t>Mố M2</t>
        </is>
      </c>
      <c r="C101" s="6" t="inlineStr">
        <is>
          <t>Thân mố / Bệ mố</t>
        </is>
      </c>
      <c r="D101" s="5" t="inlineStr">
        <is>
          <t>F6</t>
        </is>
      </c>
      <c r="E101" s="5" t="n">
        <v>16</v>
      </c>
      <c r="F101" s="5" t="inlineStr">
        <is>
          <t>CB400-V</t>
        </is>
      </c>
      <c r="G101" s="5" t="inlineStr">
        <is>
          <t>S06</t>
        </is>
      </c>
      <c r="H101" s="10" t="n">
        <v>1.99</v>
      </c>
      <c r="I101" s="47" t="n">
        <v>188</v>
      </c>
      <c r="J101" s="47" t="n">
        <v>1</v>
      </c>
      <c r="K101" s="47">
        <f>I101*J101</f>
        <v/>
      </c>
      <c r="L101" s="11">
        <f>H101*K101</f>
        <v/>
      </c>
      <c r="M101" s="10" t="n">
        <v>1.58</v>
      </c>
      <c r="N101" s="11">
        <f>L101*M101</f>
        <v/>
      </c>
      <c r="O101" s="10">
        <f>N101/1000</f>
        <v/>
      </c>
      <c r="P101" s="5" t="inlineStr">
        <is>
          <t>10&lt;D&lt;=18mm</t>
        </is>
      </c>
      <c r="Q101" s="6" t="inlineStr">
        <is>
          <t>TCVN 1651:2018 / ASTM</t>
        </is>
      </c>
    </row>
    <row r="102">
      <c r="A102" s="12" t="n">
        <v>96</v>
      </c>
      <c r="B102" s="13" t="inlineStr">
        <is>
          <t>Mố M2</t>
        </is>
      </c>
      <c r="C102" s="13" t="inlineStr">
        <is>
          <t>Thân mố / Bệ mố</t>
        </is>
      </c>
      <c r="D102" s="12" t="inlineStr">
        <is>
          <t>F7</t>
        </is>
      </c>
      <c r="E102" s="12" t="n">
        <v>16</v>
      </c>
      <c r="F102" s="12" t="inlineStr">
        <is>
          <t>CB400-V</t>
        </is>
      </c>
      <c r="G102" s="12" t="inlineStr">
        <is>
          <t>S01</t>
        </is>
      </c>
      <c r="H102" s="17" t="n">
        <v>13.005</v>
      </c>
      <c r="I102" s="48" t="n">
        <v>16</v>
      </c>
      <c r="J102" s="48" t="n">
        <v>1</v>
      </c>
      <c r="K102" s="48">
        <f>I102*J102</f>
        <v/>
      </c>
      <c r="L102" s="18">
        <f>H102*K102</f>
        <v/>
      </c>
      <c r="M102" s="17" t="n">
        <v>1.58</v>
      </c>
      <c r="N102" s="18">
        <f>L102*M102</f>
        <v/>
      </c>
      <c r="O102" s="17">
        <f>N102/1000</f>
        <v/>
      </c>
      <c r="P102" s="12" t="inlineStr">
        <is>
          <t>10&lt;D&lt;=18mm</t>
        </is>
      </c>
      <c r="Q102" s="13" t="inlineStr">
        <is>
          <t>TCVN 1651:2018 / ASTM</t>
        </is>
      </c>
    </row>
    <row r="103">
      <c r="A103" s="5" t="n">
        <v>97</v>
      </c>
      <c r="B103" s="6" t="inlineStr">
        <is>
          <t>Mố M2</t>
        </is>
      </c>
      <c r="C103" s="6" t="inlineStr">
        <is>
          <t>Thân mố / Bệ mố</t>
        </is>
      </c>
      <c r="D103" s="5" t="inlineStr">
        <is>
          <t>F8</t>
        </is>
      </c>
      <c r="E103" s="5" t="n">
        <v>16</v>
      </c>
      <c r="F103" s="5" t="inlineStr">
        <is>
          <t>CB400-V</t>
        </is>
      </c>
      <c r="G103" s="5" t="inlineStr">
        <is>
          <t>S06</t>
        </is>
      </c>
      <c r="H103" s="10" t="n">
        <v>1.99</v>
      </c>
      <c r="I103" s="47" t="n">
        <v>140</v>
      </c>
      <c r="J103" s="47" t="n">
        <v>1</v>
      </c>
      <c r="K103" s="47">
        <f>I103*J103</f>
        <v/>
      </c>
      <c r="L103" s="11">
        <f>H103*K103</f>
        <v/>
      </c>
      <c r="M103" s="10" t="n">
        <v>1.58</v>
      </c>
      <c r="N103" s="11">
        <f>L103*M103</f>
        <v/>
      </c>
      <c r="O103" s="10">
        <f>N103/1000</f>
        <v/>
      </c>
      <c r="P103" s="5" t="inlineStr">
        <is>
          <t>10&lt;D&lt;=18mm</t>
        </is>
      </c>
      <c r="Q103" s="6" t="inlineStr">
        <is>
          <t>TCVN 1651:2018 / ASTM</t>
        </is>
      </c>
    </row>
    <row r="104">
      <c r="A104" s="12" t="n">
        <v>98</v>
      </c>
      <c r="B104" s="13" t="inlineStr">
        <is>
          <t>Mố M2</t>
        </is>
      </c>
      <c r="C104" s="13" t="inlineStr">
        <is>
          <t>TƯỜNG THÂN</t>
        </is>
      </c>
      <c r="D104" s="12" t="inlineStr">
        <is>
          <t>A1</t>
        </is>
      </c>
      <c r="E104" s="12" t="n">
        <v>28</v>
      </c>
      <c r="F104" s="12" t="inlineStr">
        <is>
          <t>CB400-V</t>
        </is>
      </c>
      <c r="G104" s="12" t="inlineStr">
        <is>
          <t>S02</t>
        </is>
      </c>
      <c r="H104" s="17" t="n">
        <v>8.319000000000001</v>
      </c>
      <c r="I104" s="48" t="n">
        <v>78</v>
      </c>
      <c r="J104" s="48" t="n">
        <v>1</v>
      </c>
      <c r="K104" s="48">
        <f>I104*J104</f>
        <v/>
      </c>
      <c r="L104" s="18">
        <f>H104*K104</f>
        <v/>
      </c>
      <c r="M104" s="17" t="n">
        <v>4.83</v>
      </c>
      <c r="N104" s="18">
        <f>L104*M104</f>
        <v/>
      </c>
      <c r="O104" s="17">
        <f>N104/1000</f>
        <v/>
      </c>
      <c r="P104" s="12" t="inlineStr">
        <is>
          <t>D&gt;18mm</t>
        </is>
      </c>
      <c r="Q104" s="13" t="inlineStr">
        <is>
          <t>TCVN 1651:2018 / ASTM</t>
        </is>
      </c>
    </row>
    <row r="105">
      <c r="A105" s="5" t="n">
        <v>99</v>
      </c>
      <c r="B105" s="6" t="inlineStr">
        <is>
          <t>Mố M2</t>
        </is>
      </c>
      <c r="C105" s="6" t="inlineStr">
        <is>
          <t>Thân mố / Bệ mố</t>
        </is>
      </c>
      <c r="D105" s="5" t="inlineStr">
        <is>
          <t>A2</t>
        </is>
      </c>
      <c r="E105" s="5" t="n">
        <v>16</v>
      </c>
      <c r="F105" s="5" t="inlineStr">
        <is>
          <t>CB400-V</t>
        </is>
      </c>
      <c r="G105" s="5" t="inlineStr">
        <is>
          <t>S06</t>
        </is>
      </c>
      <c r="H105" s="10" t="n">
        <v>13.487</v>
      </c>
      <c r="I105" s="47" t="n">
        <v>41</v>
      </c>
      <c r="J105" s="47" t="n">
        <v>1</v>
      </c>
      <c r="K105" s="47">
        <f>I105*J105</f>
        <v/>
      </c>
      <c r="L105" s="11">
        <f>H105*K105</f>
        <v/>
      </c>
      <c r="M105" s="10" t="n">
        <v>1.58</v>
      </c>
      <c r="N105" s="11">
        <f>L105*M105</f>
        <v/>
      </c>
      <c r="O105" s="10">
        <f>N105/1000</f>
        <v/>
      </c>
      <c r="P105" s="5" t="inlineStr">
        <is>
          <t>10&lt;D&lt;=18mm</t>
        </is>
      </c>
      <c r="Q105" s="6" t="inlineStr">
        <is>
          <t>TCVN 1651:2018 / ASTM</t>
        </is>
      </c>
    </row>
    <row r="106">
      <c r="A106" s="12" t="n">
        <v>100</v>
      </c>
      <c r="B106" s="13" t="inlineStr">
        <is>
          <t>Mố M2</t>
        </is>
      </c>
      <c r="C106" s="13" t="inlineStr">
        <is>
          <t>Thân mố / Bệ mố</t>
        </is>
      </c>
      <c r="D106" s="12" t="inlineStr">
        <is>
          <t>A3</t>
        </is>
      </c>
      <c r="E106" s="12" t="n">
        <v>16</v>
      </c>
      <c r="F106" s="12" t="inlineStr">
        <is>
          <t>CB400-V</t>
        </is>
      </c>
      <c r="G106" s="12" t="inlineStr">
        <is>
          <t>S02</t>
        </is>
      </c>
      <c r="H106" s="17" t="n">
        <v>8.164</v>
      </c>
      <c r="I106" s="48" t="n">
        <v>83</v>
      </c>
      <c r="J106" s="48" t="n">
        <v>1</v>
      </c>
      <c r="K106" s="48">
        <f>I106*J106</f>
        <v/>
      </c>
      <c r="L106" s="18">
        <f>H106*K106</f>
        <v/>
      </c>
      <c r="M106" s="17" t="n">
        <v>1.58</v>
      </c>
      <c r="N106" s="18">
        <f>L106*M106</f>
        <v/>
      </c>
      <c r="O106" s="17">
        <f>N106/1000</f>
        <v/>
      </c>
      <c r="P106" s="12" t="inlineStr">
        <is>
          <t>10&lt;D&lt;=18mm</t>
        </is>
      </c>
      <c r="Q106" s="13" t="inlineStr">
        <is>
          <t>TCVN 1651:2018 / ASTM</t>
        </is>
      </c>
    </row>
    <row r="107">
      <c r="A107" s="5" t="n">
        <v>101</v>
      </c>
      <c r="B107" s="6" t="inlineStr">
        <is>
          <t>Mố M2</t>
        </is>
      </c>
      <c r="C107" s="6" t="inlineStr">
        <is>
          <t>Thân mố / Bệ mố</t>
        </is>
      </c>
      <c r="D107" s="5" t="inlineStr">
        <is>
          <t>A4</t>
        </is>
      </c>
      <c r="E107" s="5" t="n">
        <v>16</v>
      </c>
      <c r="F107" s="5" t="inlineStr">
        <is>
          <t>CB400-V</t>
        </is>
      </c>
      <c r="G107" s="5" t="inlineStr">
        <is>
          <t>S06</t>
        </is>
      </c>
      <c r="H107" s="10" t="n">
        <v>13.487</v>
      </c>
      <c r="I107" s="47" t="n">
        <v>40</v>
      </c>
      <c r="J107" s="47" t="n">
        <v>1</v>
      </c>
      <c r="K107" s="47">
        <f>I107*J107</f>
        <v/>
      </c>
      <c r="L107" s="11">
        <f>H107*K107</f>
        <v/>
      </c>
      <c r="M107" s="10" t="n">
        <v>1.58</v>
      </c>
      <c r="N107" s="11">
        <f>L107*M107</f>
        <v/>
      </c>
      <c r="O107" s="10">
        <f>N107/1000</f>
        <v/>
      </c>
      <c r="P107" s="5" t="inlineStr">
        <is>
          <t>10&lt;D&lt;=18mm</t>
        </is>
      </c>
      <c r="Q107" s="6" t="inlineStr">
        <is>
          <t>TCVN 1651:2018 / ASTM</t>
        </is>
      </c>
    </row>
    <row r="108">
      <c r="A108" s="12" t="n">
        <v>102</v>
      </c>
      <c r="B108" s="13" t="inlineStr">
        <is>
          <t>Mố M2</t>
        </is>
      </c>
      <c r="C108" s="13" t="inlineStr">
        <is>
          <t>Thân mố / Bệ mố</t>
        </is>
      </c>
      <c r="D108" s="12" t="inlineStr">
        <is>
          <t>A4A</t>
        </is>
      </c>
      <c r="E108" s="12" t="n">
        <v>16</v>
      </c>
      <c r="F108" s="12" t="inlineStr">
        <is>
          <t>CB400-V</t>
        </is>
      </c>
      <c r="G108" s="12" t="inlineStr">
        <is>
          <t>S06</t>
        </is>
      </c>
      <c r="H108" s="17" t="n">
        <v>6.485</v>
      </c>
      <c r="I108" s="48" t="n">
        <v>1</v>
      </c>
      <c r="J108" s="48" t="n">
        <v>1</v>
      </c>
      <c r="K108" s="48">
        <f>I108*J108</f>
        <v/>
      </c>
      <c r="L108" s="18">
        <f>H108*K108</f>
        <v/>
      </c>
      <c r="M108" s="17" t="n">
        <v>1.58</v>
      </c>
      <c r="N108" s="18">
        <f>L108*M108</f>
        <v/>
      </c>
      <c r="O108" s="17">
        <f>N108/1000</f>
        <v/>
      </c>
      <c r="P108" s="12" t="inlineStr">
        <is>
          <t>10&lt;D&lt;=18mm</t>
        </is>
      </c>
      <c r="Q108" s="13" t="inlineStr">
        <is>
          <t>TCVN 1651:2018 / ASTM</t>
        </is>
      </c>
    </row>
    <row r="109">
      <c r="A109" s="5" t="n">
        <v>103</v>
      </c>
      <c r="B109" s="6" t="inlineStr">
        <is>
          <t>Mố M2</t>
        </is>
      </c>
      <c r="C109" s="6" t="inlineStr">
        <is>
          <t>Thân mố / Bệ mố</t>
        </is>
      </c>
      <c r="D109" s="5" t="inlineStr">
        <is>
          <t>A5</t>
        </is>
      </c>
      <c r="E109" s="5" t="n">
        <v>16</v>
      </c>
      <c r="F109" s="5" t="inlineStr">
        <is>
          <t>CB400-V</t>
        </is>
      </c>
      <c r="G109" s="5" t="inlineStr">
        <is>
          <t>S06</t>
        </is>
      </c>
      <c r="H109" s="10" t="n">
        <v>13.489</v>
      </c>
      <c r="I109" s="47" t="n">
        <v>7</v>
      </c>
      <c r="J109" s="47" t="n">
        <v>1</v>
      </c>
      <c r="K109" s="47">
        <f>I109*J109</f>
        <v/>
      </c>
      <c r="L109" s="11">
        <f>H109*K109</f>
        <v/>
      </c>
      <c r="M109" s="10" t="n">
        <v>1.58</v>
      </c>
      <c r="N109" s="11">
        <f>L109*M109</f>
        <v/>
      </c>
      <c r="O109" s="10">
        <f>N109/1000</f>
        <v/>
      </c>
      <c r="P109" s="5" t="inlineStr">
        <is>
          <t>10&lt;D&lt;=18mm</t>
        </is>
      </c>
      <c r="Q109" s="6" t="inlineStr">
        <is>
          <t>TCVN 1651:2018 / ASTM</t>
        </is>
      </c>
    </row>
    <row r="110">
      <c r="A110" s="12" t="n">
        <v>104</v>
      </c>
      <c r="B110" s="13" t="inlineStr">
        <is>
          <t>Mố M2</t>
        </is>
      </c>
      <c r="C110" s="13" t="inlineStr">
        <is>
          <t>Thân mố / Bệ mố</t>
        </is>
      </c>
      <c r="D110" s="12" t="inlineStr">
        <is>
          <t>A6</t>
        </is>
      </c>
      <c r="E110" s="12" t="n">
        <v>16</v>
      </c>
      <c r="F110" s="12" t="inlineStr">
        <is>
          <t>CB400-V</t>
        </is>
      </c>
      <c r="G110" s="12" t="inlineStr">
        <is>
          <t>S06</t>
        </is>
      </c>
      <c r="H110" s="17" t="n">
        <v>1.807</v>
      </c>
      <c r="I110" s="48" t="n">
        <v>78</v>
      </c>
      <c r="J110" s="48" t="n">
        <v>1</v>
      </c>
      <c r="K110" s="48">
        <f>I110*J110</f>
        <v/>
      </c>
      <c r="L110" s="18">
        <f>H110*K110</f>
        <v/>
      </c>
      <c r="M110" s="17" t="n">
        <v>1.58</v>
      </c>
      <c r="N110" s="18">
        <f>L110*M110</f>
        <v/>
      </c>
      <c r="O110" s="17">
        <f>N110/1000</f>
        <v/>
      </c>
      <c r="P110" s="12" t="inlineStr">
        <is>
          <t>10&lt;D&lt;=18mm</t>
        </is>
      </c>
      <c r="Q110" s="13" t="inlineStr">
        <is>
          <t>TCVN 1651:2018 / ASTM</t>
        </is>
      </c>
    </row>
    <row r="111">
      <c r="A111" s="5" t="n">
        <v>105</v>
      </c>
      <c r="B111" s="6" t="inlineStr">
        <is>
          <t>Mố M2</t>
        </is>
      </c>
      <c r="C111" s="6" t="inlineStr">
        <is>
          <t>Thân mố / Bệ mố</t>
        </is>
      </c>
      <c r="D111" s="5" t="inlineStr">
        <is>
          <t>A7</t>
        </is>
      </c>
      <c r="E111" s="5" t="n">
        <v>14</v>
      </c>
      <c r="F111" s="5" t="inlineStr">
        <is>
          <t>CB400-V</t>
        </is>
      </c>
      <c r="G111" s="5" t="inlineStr">
        <is>
          <t>S06</t>
        </is>
      </c>
      <c r="H111" s="10" t="n">
        <v>1.585</v>
      </c>
      <c r="I111" s="47" t="n">
        <v>200</v>
      </c>
      <c r="J111" s="47" t="n">
        <v>1</v>
      </c>
      <c r="K111" s="47">
        <f>I111*J111</f>
        <v/>
      </c>
      <c r="L111" s="11">
        <f>H111*K111</f>
        <v/>
      </c>
      <c r="M111" s="10" t="n">
        <v>1.21</v>
      </c>
      <c r="N111" s="11">
        <f>L111*M111</f>
        <v/>
      </c>
      <c r="O111" s="10">
        <f>N111/1000</f>
        <v/>
      </c>
      <c r="P111" s="5" t="inlineStr">
        <is>
          <t>10&lt;D&lt;=18mm</t>
        </is>
      </c>
      <c r="Q111" s="6" t="inlineStr">
        <is>
          <t>TCVN 1651:2018 / ASTM</t>
        </is>
      </c>
    </row>
    <row r="112">
      <c r="A112" s="12" t="n">
        <v>106</v>
      </c>
      <c r="B112" s="13" t="inlineStr">
        <is>
          <t>Mố M2</t>
        </is>
      </c>
      <c r="C112" s="13" t="inlineStr">
        <is>
          <t>Thân mố / Bệ mố</t>
        </is>
      </c>
      <c r="D112" s="12" t="inlineStr">
        <is>
          <t>A8(T)</t>
        </is>
      </c>
      <c r="E112" s="12" t="n">
        <v>16</v>
      </c>
      <c r="F112" s="12" t="inlineStr">
        <is>
          <t>CB400-V</t>
        </is>
      </c>
      <c r="G112" s="12" t="inlineStr">
        <is>
          <t>S02</t>
        </is>
      </c>
      <c r="H112" s="17" t="n">
        <v>8.002000000000001</v>
      </c>
      <c r="I112" s="48" t="n">
        <v>7</v>
      </c>
      <c r="J112" s="48" t="n">
        <v>1</v>
      </c>
      <c r="K112" s="48">
        <f>I112*J112</f>
        <v/>
      </c>
      <c r="L112" s="18">
        <f>H112*K112</f>
        <v/>
      </c>
      <c r="M112" s="17" t="n">
        <v>1.58</v>
      </c>
      <c r="N112" s="18">
        <f>L112*M112</f>
        <v/>
      </c>
      <c r="O112" s="17">
        <f>N112/1000</f>
        <v/>
      </c>
      <c r="P112" s="12" t="inlineStr">
        <is>
          <t>10&lt;D&lt;=18mm</t>
        </is>
      </c>
      <c r="Q112" s="13" t="inlineStr">
        <is>
          <t>TCVN 1651:2018 / ASTM</t>
        </is>
      </c>
    </row>
    <row r="113">
      <c r="A113" s="5" t="n">
        <v>107</v>
      </c>
      <c r="B113" s="6" t="inlineStr">
        <is>
          <t>Mố M2</t>
        </is>
      </c>
      <c r="C113" s="6" t="inlineStr">
        <is>
          <t>Thân mố / Bệ mố</t>
        </is>
      </c>
      <c r="D113" s="5" t="inlineStr">
        <is>
          <t>P1</t>
        </is>
      </c>
      <c r="E113" s="5" t="n">
        <v>16</v>
      </c>
      <c r="F113" s="5" t="inlineStr">
        <is>
          <t>CB400-V</t>
        </is>
      </c>
      <c r="G113" s="5" t="inlineStr">
        <is>
          <t>S06</t>
        </is>
      </c>
      <c r="H113" s="10" t="n">
        <v>13.487</v>
      </c>
      <c r="I113" s="47" t="n">
        <v>32</v>
      </c>
      <c r="J113" s="47" t="n">
        <v>1</v>
      </c>
      <c r="K113" s="47">
        <f>I113*J113</f>
        <v/>
      </c>
      <c r="L113" s="11">
        <f>H113*K113</f>
        <v/>
      </c>
      <c r="M113" s="10" t="n">
        <v>1.58</v>
      </c>
      <c r="N113" s="11">
        <f>L113*M113</f>
        <v/>
      </c>
      <c r="O113" s="10">
        <f>N113/1000</f>
        <v/>
      </c>
      <c r="P113" s="5" t="inlineStr">
        <is>
          <t>10&lt;D&lt;=18mm</t>
        </is>
      </c>
      <c r="Q113" s="6" t="inlineStr">
        <is>
          <t>TCVN 1651:2018 / ASTM</t>
        </is>
      </c>
    </row>
    <row r="114">
      <c r="A114" s="12" t="n">
        <v>108</v>
      </c>
      <c r="B114" s="13" t="inlineStr">
        <is>
          <t>Mố M2</t>
        </is>
      </c>
      <c r="C114" s="13" t="inlineStr">
        <is>
          <t>Thân mố / Bệ mố</t>
        </is>
      </c>
      <c r="D114" s="12" t="inlineStr">
        <is>
          <t>P1A</t>
        </is>
      </c>
      <c r="E114" s="12" t="n">
        <v>16</v>
      </c>
      <c r="F114" s="12" t="inlineStr">
        <is>
          <t>CB400-V</t>
        </is>
      </c>
      <c r="G114" s="12" t="inlineStr">
        <is>
          <t>S06</t>
        </is>
      </c>
      <c r="H114" s="17" t="n">
        <v>13.489</v>
      </c>
      <c r="I114" s="48" t="n">
        <v>2</v>
      </c>
      <c r="J114" s="48" t="n">
        <v>1</v>
      </c>
      <c r="K114" s="48">
        <f>I114*J114</f>
        <v/>
      </c>
      <c r="L114" s="18">
        <f>H114*K114</f>
        <v/>
      </c>
      <c r="M114" s="17" t="n">
        <v>1.58</v>
      </c>
      <c r="N114" s="18">
        <f>L114*M114</f>
        <v/>
      </c>
      <c r="O114" s="17">
        <f>N114/1000</f>
        <v/>
      </c>
      <c r="P114" s="12" t="inlineStr">
        <is>
          <t>10&lt;D&lt;=18mm</t>
        </is>
      </c>
      <c r="Q114" s="13" t="inlineStr">
        <is>
          <t>TCVN 1651:2018 / ASTM</t>
        </is>
      </c>
    </row>
    <row r="115">
      <c r="A115" s="5" t="n">
        <v>109</v>
      </c>
      <c r="B115" s="6" t="inlineStr">
        <is>
          <t>Mố M2</t>
        </is>
      </c>
      <c r="C115" s="6" t="inlineStr">
        <is>
          <t>Thân mố / Bệ mố</t>
        </is>
      </c>
      <c r="D115" s="5" t="inlineStr">
        <is>
          <t>P1B</t>
        </is>
      </c>
      <c r="E115" s="5" t="n">
        <v>16</v>
      </c>
      <c r="F115" s="5" t="inlineStr">
        <is>
          <t>CB400-V</t>
        </is>
      </c>
      <c r="G115" s="5" t="inlineStr">
        <is>
          <t>S06</t>
        </is>
      </c>
      <c r="H115" s="10" t="n">
        <v>11.372</v>
      </c>
      <c r="I115" s="47" t="n">
        <v>2</v>
      </c>
      <c r="J115" s="47" t="n">
        <v>1</v>
      </c>
      <c r="K115" s="47">
        <f>I115*J115</f>
        <v/>
      </c>
      <c r="L115" s="11">
        <f>H115*K115</f>
        <v/>
      </c>
      <c r="M115" s="10" t="n">
        <v>1.58</v>
      </c>
      <c r="N115" s="11">
        <f>L115*M115</f>
        <v/>
      </c>
      <c r="O115" s="10">
        <f>N115/1000</f>
        <v/>
      </c>
      <c r="P115" s="5" t="inlineStr">
        <is>
          <t>10&lt;D&lt;=18mm</t>
        </is>
      </c>
      <c r="Q115" s="6" t="inlineStr">
        <is>
          <t>TCVN 1651:2018 / ASTM</t>
        </is>
      </c>
    </row>
    <row r="116">
      <c r="A116" s="12" t="n">
        <v>110</v>
      </c>
      <c r="B116" s="13" t="inlineStr">
        <is>
          <t>Mố M2</t>
        </is>
      </c>
      <c r="C116" s="13" t="inlineStr">
        <is>
          <t>Thân mố / Bệ mố</t>
        </is>
      </c>
      <c r="D116" s="12" t="inlineStr">
        <is>
          <t>P2</t>
        </is>
      </c>
      <c r="E116" s="12" t="n">
        <v>16</v>
      </c>
      <c r="F116" s="12" t="inlineStr">
        <is>
          <t>CB400-V</t>
        </is>
      </c>
      <c r="G116" s="12" t="inlineStr">
        <is>
          <t>S06</t>
        </is>
      </c>
      <c r="H116" s="17" t="n">
        <v>5.85</v>
      </c>
      <c r="I116" s="48" t="n">
        <v>83</v>
      </c>
      <c r="J116" s="48" t="n">
        <v>1</v>
      </c>
      <c r="K116" s="48">
        <f>I116*J116</f>
        <v/>
      </c>
      <c r="L116" s="18">
        <f>H116*K116</f>
        <v/>
      </c>
      <c r="M116" s="17" t="n">
        <v>1.58</v>
      </c>
      <c r="N116" s="18">
        <f>L116*M116</f>
        <v/>
      </c>
      <c r="O116" s="17">
        <f>N116/1000</f>
        <v/>
      </c>
      <c r="P116" s="12" t="inlineStr">
        <is>
          <t>10&lt;D&lt;=18mm</t>
        </is>
      </c>
      <c r="Q116" s="13" t="inlineStr">
        <is>
          <t>TCVN 1651:2018 / ASTM</t>
        </is>
      </c>
    </row>
    <row r="117">
      <c r="A117" s="5" t="n">
        <v>111</v>
      </c>
      <c r="B117" s="6" t="inlineStr">
        <is>
          <t>Mố M2</t>
        </is>
      </c>
      <c r="C117" s="6" t="inlineStr">
        <is>
          <t>Thân mố / Bệ mố</t>
        </is>
      </c>
      <c r="D117" s="5" t="inlineStr">
        <is>
          <t>P3</t>
        </is>
      </c>
      <c r="E117" s="5" t="n">
        <v>16</v>
      </c>
      <c r="F117" s="5" t="inlineStr">
        <is>
          <t>CB400-V</t>
        </is>
      </c>
      <c r="G117" s="5" t="inlineStr">
        <is>
          <t>S57</t>
        </is>
      </c>
      <c r="H117" s="10" t="n">
        <v>2.071</v>
      </c>
      <c r="I117" s="47" t="n">
        <v>83</v>
      </c>
      <c r="J117" s="47" t="n">
        <v>1</v>
      </c>
      <c r="K117" s="47">
        <f>I117*J117</f>
        <v/>
      </c>
      <c r="L117" s="11">
        <f>H117*K117</f>
        <v/>
      </c>
      <c r="M117" s="10" t="n">
        <v>1.58</v>
      </c>
      <c r="N117" s="11">
        <f>L117*M117</f>
        <v/>
      </c>
      <c r="O117" s="10">
        <f>N117/1000</f>
        <v/>
      </c>
      <c r="P117" s="5" t="inlineStr">
        <is>
          <t>10&lt;D&lt;=18mm</t>
        </is>
      </c>
      <c r="Q117" s="6" t="inlineStr">
        <is>
          <t>TCVN 1651:2018 / ASTM</t>
        </is>
      </c>
    </row>
    <row r="118">
      <c r="A118" s="12" t="n">
        <v>112</v>
      </c>
      <c r="B118" s="13" t="inlineStr">
        <is>
          <t>Mố M2</t>
        </is>
      </c>
      <c r="C118" s="13" t="inlineStr">
        <is>
          <t>Thân mố / Bệ mố</t>
        </is>
      </c>
      <c r="D118" s="12" t="inlineStr">
        <is>
          <t>P4</t>
        </is>
      </c>
      <c r="E118" s="12" t="n">
        <v>14</v>
      </c>
      <c r="F118" s="12" t="inlineStr">
        <is>
          <t>CB400-V</t>
        </is>
      </c>
      <c r="G118" s="12" t="inlineStr">
        <is>
          <t>S06</t>
        </is>
      </c>
      <c r="H118" s="17" t="n">
        <v>0.585</v>
      </c>
      <c r="I118" s="48" t="n">
        <v>60</v>
      </c>
      <c r="J118" s="48" t="n">
        <v>1</v>
      </c>
      <c r="K118" s="48">
        <f>I118*J118</f>
        <v/>
      </c>
      <c r="L118" s="18">
        <f>H118*K118</f>
        <v/>
      </c>
      <c r="M118" s="17" t="n">
        <v>1.21</v>
      </c>
      <c r="N118" s="18">
        <f>L118*M118</f>
        <v/>
      </c>
      <c r="O118" s="17">
        <f>N118/1000</f>
        <v/>
      </c>
      <c r="P118" s="12" t="inlineStr">
        <is>
          <t>10&lt;D&lt;=18mm</t>
        </is>
      </c>
      <c r="Q118" s="13" t="inlineStr">
        <is>
          <t>TCVN 1651:2018 / ASTM</t>
        </is>
      </c>
    </row>
    <row r="119">
      <c r="A119" s="5" t="n">
        <v>113</v>
      </c>
      <c r="B119" s="6" t="inlineStr">
        <is>
          <t>Mố M2</t>
        </is>
      </c>
      <c r="C119" s="6" t="inlineStr">
        <is>
          <t>Thân mố / Bệ mố</t>
        </is>
      </c>
      <c r="D119" s="5" t="inlineStr">
        <is>
          <t>H1</t>
        </is>
      </c>
      <c r="E119" s="5" t="n">
        <v>25</v>
      </c>
      <c r="F119" s="5" t="inlineStr">
        <is>
          <t>CB400-V</t>
        </is>
      </c>
      <c r="G119" s="5" t="inlineStr">
        <is>
          <t>S05</t>
        </is>
      </c>
      <c r="H119" s="10" t="n">
        <v>1.07</v>
      </c>
      <c r="I119" s="47" t="n">
        <v>23</v>
      </c>
      <c r="J119" s="47" t="n">
        <v>1</v>
      </c>
      <c r="K119" s="47">
        <f>I119*J119</f>
        <v/>
      </c>
      <c r="L119" s="11">
        <f>H119*K119</f>
        <v/>
      </c>
      <c r="M119" s="10" t="n">
        <v>3.85</v>
      </c>
      <c r="N119" s="11">
        <f>L119*M119</f>
        <v/>
      </c>
      <c r="O119" s="10">
        <f>N119/1000</f>
        <v/>
      </c>
      <c r="P119" s="5" t="inlineStr">
        <is>
          <t>D&gt;18mm</t>
        </is>
      </c>
      <c r="Q119" s="6" t="inlineStr">
        <is>
          <t>TCVN 1651:2018 / ASTM</t>
        </is>
      </c>
    </row>
    <row r="120">
      <c r="A120" s="12" t="n">
        <v>114</v>
      </c>
      <c r="B120" s="13" t="inlineStr">
        <is>
          <t>Mố M2</t>
        </is>
      </c>
      <c r="C120" s="13" t="inlineStr">
        <is>
          <t>Thân mố / Bệ mố</t>
        </is>
      </c>
      <c r="D120" s="12" t="inlineStr">
        <is>
          <t>H2</t>
        </is>
      </c>
      <c r="E120" s="12" t="n">
        <v>8</v>
      </c>
      <c r="F120" s="12" t="inlineStr">
        <is>
          <t>CB240-T</t>
        </is>
      </c>
      <c r="G120" s="12" t="inlineStr">
        <is>
          <t>S32</t>
        </is>
      </c>
      <c r="H120" s="17" t="n">
        <v>2.132</v>
      </c>
      <c r="I120" s="48" t="n">
        <v>23</v>
      </c>
      <c r="J120" s="48" t="n">
        <v>1</v>
      </c>
      <c r="K120" s="48">
        <f>I120*J120</f>
        <v/>
      </c>
      <c r="L120" s="18">
        <f>H120*K120</f>
        <v/>
      </c>
      <c r="M120" s="17" t="n">
        <v>0.395</v>
      </c>
      <c r="N120" s="18">
        <f>L120*M120</f>
        <v/>
      </c>
      <c r="O120" s="17">
        <f>N120/1000</f>
        <v/>
      </c>
      <c r="P120" s="12" t="inlineStr">
        <is>
          <t>D&lt;=10mm</t>
        </is>
      </c>
      <c r="Q120" s="13" t="inlineStr">
        <is>
          <t>TCVN 1651:2018 / ASTM</t>
        </is>
      </c>
    </row>
    <row r="121">
      <c r="A121" s="5" t="n">
        <v>115</v>
      </c>
      <c r="B121" s="6" t="inlineStr">
        <is>
          <t>Mố M2</t>
        </is>
      </c>
      <c r="C121" s="6" t="inlineStr">
        <is>
          <t>TƯỜNG CÁNH PHẢI</t>
        </is>
      </c>
      <c r="D121" s="5" t="inlineStr">
        <is>
          <t>W1A(P)</t>
        </is>
      </c>
      <c r="E121" s="5" t="n">
        <v>16</v>
      </c>
      <c r="F121" s="5" t="inlineStr">
        <is>
          <t>CB400-V</t>
        </is>
      </c>
      <c r="G121" s="5" t="inlineStr">
        <is>
          <t>S06</t>
        </is>
      </c>
      <c r="H121" s="10" t="n">
        <v>10.522</v>
      </c>
      <c r="I121" s="47" t="n">
        <v>20</v>
      </c>
      <c r="J121" s="47" t="n">
        <v>1</v>
      </c>
      <c r="K121" s="47">
        <f>I121*J121</f>
        <v/>
      </c>
      <c r="L121" s="11">
        <f>H121*K121</f>
        <v/>
      </c>
      <c r="M121" s="10" t="n">
        <v>1.58</v>
      </c>
      <c r="N121" s="11">
        <f>L121*M121</f>
        <v/>
      </c>
      <c r="O121" s="10">
        <f>N121/1000</f>
        <v/>
      </c>
      <c r="P121" s="5" t="inlineStr">
        <is>
          <t>10&lt;D&lt;=18mm</t>
        </is>
      </c>
      <c r="Q121" s="6" t="inlineStr">
        <is>
          <t>TCVN 1651:2018 / ASTM</t>
        </is>
      </c>
    </row>
    <row r="122">
      <c r="A122" s="12" t="n">
        <v>116</v>
      </c>
      <c r="B122" s="13" t="inlineStr">
        <is>
          <t>Mố M2</t>
        </is>
      </c>
      <c r="C122" s="13" t="inlineStr">
        <is>
          <t>TƯỜNG CÁNH TRÁI</t>
        </is>
      </c>
      <c r="D122" s="12" t="inlineStr">
        <is>
          <t>W1A(T)</t>
        </is>
      </c>
      <c r="E122" s="12" t="n">
        <v>16</v>
      </c>
      <c r="F122" s="12" t="inlineStr">
        <is>
          <t>CB400-V</t>
        </is>
      </c>
      <c r="G122" s="12" t="inlineStr">
        <is>
          <t>S06</t>
        </is>
      </c>
      <c r="H122" s="17" t="n">
        <v>10.287</v>
      </c>
      <c r="I122" s="48" t="n">
        <v>20</v>
      </c>
      <c r="J122" s="48" t="n">
        <v>1</v>
      </c>
      <c r="K122" s="48">
        <f>I122*J122</f>
        <v/>
      </c>
      <c r="L122" s="18">
        <f>H122*K122</f>
        <v/>
      </c>
      <c r="M122" s="17" t="n">
        <v>1.58</v>
      </c>
      <c r="N122" s="18">
        <f>L122*M122</f>
        <v/>
      </c>
      <c r="O122" s="17">
        <f>N122/1000</f>
        <v/>
      </c>
      <c r="P122" s="12" t="inlineStr">
        <is>
          <t>10&lt;D&lt;=18mm</t>
        </is>
      </c>
      <c r="Q122" s="13" t="inlineStr">
        <is>
          <t>TCVN 1651:2018 / ASTM</t>
        </is>
      </c>
    </row>
    <row r="123">
      <c r="A123" s="5" t="n">
        <v>117</v>
      </c>
      <c r="B123" s="6" t="inlineStr">
        <is>
          <t>Mố M2</t>
        </is>
      </c>
      <c r="C123" s="6" t="inlineStr">
        <is>
          <t>Thân mố / Bệ mố</t>
        </is>
      </c>
      <c r="D123" s="5" t="inlineStr">
        <is>
          <t>W1B(T)</t>
        </is>
      </c>
      <c r="E123" s="5" t="n">
        <v>16</v>
      </c>
      <c r="F123" s="5" t="inlineStr">
        <is>
          <t>CB400-V</t>
        </is>
      </c>
      <c r="G123" s="5" t="inlineStr">
        <is>
          <t>S06</t>
        </is>
      </c>
      <c r="H123" s="10" t="n">
        <v>4.739</v>
      </c>
      <c r="I123" s="47" t="n">
        <v>20</v>
      </c>
      <c r="J123" s="47" t="n">
        <v>1</v>
      </c>
      <c r="K123" s="47">
        <f>I123*J123</f>
        <v/>
      </c>
      <c r="L123" s="11">
        <f>H123*K123</f>
        <v/>
      </c>
      <c r="M123" s="10" t="n">
        <v>1.58</v>
      </c>
      <c r="N123" s="11">
        <f>L123*M123</f>
        <v/>
      </c>
      <c r="O123" s="10">
        <f>N123/1000</f>
        <v/>
      </c>
      <c r="P123" s="5" t="inlineStr">
        <is>
          <t>10&lt;D&lt;=18mm</t>
        </is>
      </c>
      <c r="Q123" s="6" t="inlineStr">
        <is>
          <t>TCVN 1651:2018 / ASTM</t>
        </is>
      </c>
    </row>
    <row r="124">
      <c r="A124" s="12" t="n">
        <v>118</v>
      </c>
      <c r="B124" s="13" t="inlineStr">
        <is>
          <t>Mố M2</t>
        </is>
      </c>
      <c r="C124" s="13" t="inlineStr">
        <is>
          <t>Thân mố / Bệ mố</t>
        </is>
      </c>
      <c r="D124" s="12" t="inlineStr">
        <is>
          <t>W2A(T)</t>
        </is>
      </c>
      <c r="E124" s="12" t="n">
        <v>22</v>
      </c>
      <c r="F124" s="12" t="inlineStr">
        <is>
          <t>CB400-V</t>
        </is>
      </c>
      <c r="G124" s="12" t="inlineStr">
        <is>
          <t>S06</t>
        </is>
      </c>
      <c r="H124" s="17" t="n">
        <v>10.455</v>
      </c>
      <c r="I124" s="48" t="n">
        <v>15</v>
      </c>
      <c r="J124" s="48" t="n">
        <v>1</v>
      </c>
      <c r="K124" s="48">
        <f>I124*J124</f>
        <v/>
      </c>
      <c r="L124" s="18">
        <f>H124*K124</f>
        <v/>
      </c>
      <c r="M124" s="17" t="n">
        <v>2.98</v>
      </c>
      <c r="N124" s="18">
        <f>L124*M124</f>
        <v/>
      </c>
      <c r="O124" s="17">
        <f>N124/1000</f>
        <v/>
      </c>
      <c r="P124" s="12" t="inlineStr">
        <is>
          <t>D&gt;18mm</t>
        </is>
      </c>
      <c r="Q124" s="13" t="inlineStr">
        <is>
          <t>TCVN 1651:2018 / ASTM</t>
        </is>
      </c>
    </row>
    <row r="125">
      <c r="A125" s="5" t="n">
        <v>119</v>
      </c>
      <c r="B125" s="6" t="inlineStr">
        <is>
          <t>Mố M2</t>
        </is>
      </c>
      <c r="C125" s="6" t="inlineStr">
        <is>
          <t>Thân mố / Bệ mố</t>
        </is>
      </c>
      <c r="D125" s="5" t="inlineStr">
        <is>
          <t>W2B(T)</t>
        </is>
      </c>
      <c r="E125" s="5" t="n">
        <v>16</v>
      </c>
      <c r="F125" s="5" t="inlineStr">
        <is>
          <t>CB400-V</t>
        </is>
      </c>
      <c r="G125" s="5" t="inlineStr">
        <is>
          <t>S06</t>
        </is>
      </c>
      <c r="H125" s="10" t="n">
        <v>4.739</v>
      </c>
      <c r="I125" s="47" t="n">
        <v>20</v>
      </c>
      <c r="J125" s="47" t="n">
        <v>1</v>
      </c>
      <c r="K125" s="47">
        <f>I125*J125</f>
        <v/>
      </c>
      <c r="L125" s="11">
        <f>H125*K125</f>
        <v/>
      </c>
      <c r="M125" s="10" t="n">
        <v>1.58</v>
      </c>
      <c r="N125" s="11">
        <f>L125*M125</f>
        <v/>
      </c>
      <c r="O125" s="10">
        <f>N125/1000</f>
        <v/>
      </c>
      <c r="P125" s="5" t="inlineStr">
        <is>
          <t>10&lt;D&lt;=18mm</t>
        </is>
      </c>
      <c r="Q125" s="6" t="inlineStr">
        <is>
          <t>TCVN 1651:2018 / ASTM</t>
        </is>
      </c>
    </row>
    <row r="126">
      <c r="A126" s="12" t="n">
        <v>120</v>
      </c>
      <c r="B126" s="13" t="inlineStr">
        <is>
          <t>Mố M2</t>
        </is>
      </c>
      <c r="C126" s="13" t="inlineStr">
        <is>
          <t>Thân mố / Bệ mố</t>
        </is>
      </c>
      <c r="D126" s="12" t="inlineStr">
        <is>
          <t>W3A(T)</t>
        </is>
      </c>
      <c r="E126" s="12" t="n">
        <v>16</v>
      </c>
      <c r="F126" s="12" t="inlineStr">
        <is>
          <t>CB400-V</t>
        </is>
      </c>
      <c r="G126" s="12" t="inlineStr">
        <is>
          <t>S06</t>
        </is>
      </c>
      <c r="H126" s="17" t="n">
        <v>4.332</v>
      </c>
      <c r="I126" s="48" t="n">
        <v>15</v>
      </c>
      <c r="J126" s="48" t="n">
        <v>1</v>
      </c>
      <c r="K126" s="48">
        <f>I126*J126</f>
        <v/>
      </c>
      <c r="L126" s="18">
        <f>H126*K126</f>
        <v/>
      </c>
      <c r="M126" s="17" t="n">
        <v>1.58</v>
      </c>
      <c r="N126" s="18">
        <f>L126*M126</f>
        <v/>
      </c>
      <c r="O126" s="17">
        <f>N126/1000</f>
        <v/>
      </c>
      <c r="P126" s="12" t="inlineStr">
        <is>
          <t>10&lt;D&lt;=18mm</t>
        </is>
      </c>
      <c r="Q126" s="13" t="inlineStr">
        <is>
          <t>TCVN 1651:2018 / ASTM</t>
        </is>
      </c>
    </row>
    <row r="127">
      <c r="A127" s="5" t="n">
        <v>121</v>
      </c>
      <c r="B127" s="6" t="inlineStr">
        <is>
          <t>Mố M2</t>
        </is>
      </c>
      <c r="C127" s="6" t="inlineStr">
        <is>
          <t>Thân mố / Bệ mố</t>
        </is>
      </c>
      <c r="D127" s="5" t="inlineStr">
        <is>
          <t>W3B(T)</t>
        </is>
      </c>
      <c r="E127" s="5" t="n">
        <v>16</v>
      </c>
      <c r="F127" s="5" t="inlineStr">
        <is>
          <t>CB400-V</t>
        </is>
      </c>
      <c r="G127" s="5" t="inlineStr">
        <is>
          <t>S06</t>
        </is>
      </c>
      <c r="H127" s="10" t="n">
        <v>5.894</v>
      </c>
      <c r="I127" s="47" t="n">
        <v>20</v>
      </c>
      <c r="J127" s="47" t="n">
        <v>1</v>
      </c>
      <c r="K127" s="47">
        <f>I127*J127</f>
        <v/>
      </c>
      <c r="L127" s="11">
        <f>H127*K127</f>
        <v/>
      </c>
      <c r="M127" s="10" t="n">
        <v>1.58</v>
      </c>
      <c r="N127" s="11">
        <f>L127*M127</f>
        <v/>
      </c>
      <c r="O127" s="10">
        <f>N127/1000</f>
        <v/>
      </c>
      <c r="P127" s="5" t="inlineStr">
        <is>
          <t>10&lt;D&lt;=18mm</t>
        </is>
      </c>
      <c r="Q127" s="6" t="inlineStr">
        <is>
          <t>TCVN 1651:2018 / ASTM</t>
        </is>
      </c>
    </row>
    <row r="128">
      <c r="A128" s="12" t="n">
        <v>122</v>
      </c>
      <c r="B128" s="13" t="inlineStr">
        <is>
          <t>Mố M2</t>
        </is>
      </c>
      <c r="C128" s="13" t="inlineStr">
        <is>
          <t>Thân mố / Bệ mố</t>
        </is>
      </c>
      <c r="D128" s="12" t="inlineStr">
        <is>
          <t>W3C(T)</t>
        </is>
      </c>
      <c r="E128" s="12" t="n">
        <v>16</v>
      </c>
      <c r="F128" s="12" t="inlineStr">
        <is>
          <t>CB400-V</t>
        </is>
      </c>
      <c r="G128" s="12" t="inlineStr">
        <is>
          <t>S06</t>
        </is>
      </c>
      <c r="H128" s="17" t="n">
        <v>7.307</v>
      </c>
      <c r="I128" s="48" t="n">
        <v>4</v>
      </c>
      <c r="J128" s="48" t="n">
        <v>1</v>
      </c>
      <c r="K128" s="48">
        <f>I128*J128</f>
        <v/>
      </c>
      <c r="L128" s="18">
        <f>H128*K128</f>
        <v/>
      </c>
      <c r="M128" s="17" t="n">
        <v>1.58</v>
      </c>
      <c r="N128" s="18">
        <f>L128*M128</f>
        <v/>
      </c>
      <c r="O128" s="17">
        <f>N128/1000</f>
        <v/>
      </c>
      <c r="P128" s="12" t="inlineStr">
        <is>
          <t>10&lt;D&lt;=18mm</t>
        </is>
      </c>
      <c r="Q128" s="13" t="inlineStr">
        <is>
          <t>TCVN 1651:2018 / ASTM</t>
        </is>
      </c>
    </row>
    <row r="129">
      <c r="A129" s="5" t="n">
        <v>123</v>
      </c>
      <c r="B129" s="6" t="inlineStr">
        <is>
          <t>Mố M2</t>
        </is>
      </c>
      <c r="C129" s="6" t="inlineStr">
        <is>
          <t>Thân mố / Bệ mố</t>
        </is>
      </c>
      <c r="D129" s="5" t="inlineStr">
        <is>
          <t>W3D(T)</t>
        </is>
      </c>
      <c r="E129" s="5" t="n">
        <v>16</v>
      </c>
      <c r="F129" s="5" t="inlineStr">
        <is>
          <t>CB400-V</t>
        </is>
      </c>
      <c r="G129" s="5" t="inlineStr">
        <is>
          <t>S06</t>
        </is>
      </c>
      <c r="H129" s="10" t="n">
        <v>6.332</v>
      </c>
      <c r="I129" s="47" t="n">
        <v>14</v>
      </c>
      <c r="J129" s="47" t="n">
        <v>1</v>
      </c>
      <c r="K129" s="47">
        <f>I129*J129</f>
        <v/>
      </c>
      <c r="L129" s="11">
        <f>H129*K129</f>
        <v/>
      </c>
      <c r="M129" s="10" t="n">
        <v>1.58</v>
      </c>
      <c r="N129" s="11">
        <f>L129*M129</f>
        <v/>
      </c>
      <c r="O129" s="10">
        <f>N129/1000</f>
        <v/>
      </c>
      <c r="P129" s="5" t="inlineStr">
        <is>
          <t>10&lt;D&lt;=18mm</t>
        </is>
      </c>
      <c r="Q129" s="6" t="inlineStr">
        <is>
          <t>TCVN 1651:2018 / ASTM</t>
        </is>
      </c>
    </row>
    <row r="130">
      <c r="A130" s="12" t="n">
        <v>124</v>
      </c>
      <c r="B130" s="13" t="inlineStr">
        <is>
          <t>Mố M2</t>
        </is>
      </c>
      <c r="C130" s="13" t="inlineStr">
        <is>
          <t>Thân mố / Bệ mố</t>
        </is>
      </c>
      <c r="D130" s="12" t="inlineStr">
        <is>
          <t>W3F(T)</t>
        </is>
      </c>
      <c r="E130" s="12" t="n">
        <v>16</v>
      </c>
      <c r="F130" s="12" t="inlineStr">
        <is>
          <t>CB400-V</t>
        </is>
      </c>
      <c r="G130" s="12" t="inlineStr">
        <is>
          <t>S06</t>
        </is>
      </c>
      <c r="H130" s="17" t="n">
        <v>6.334</v>
      </c>
      <c r="I130" s="48" t="n">
        <v>1</v>
      </c>
      <c r="J130" s="48" t="n">
        <v>1</v>
      </c>
      <c r="K130" s="48">
        <f>I130*J130</f>
        <v/>
      </c>
      <c r="L130" s="18">
        <f>H130*K130</f>
        <v/>
      </c>
      <c r="M130" s="17" t="n">
        <v>1.58</v>
      </c>
      <c r="N130" s="18">
        <f>L130*M130</f>
        <v/>
      </c>
      <c r="O130" s="17">
        <f>N130/1000</f>
        <v/>
      </c>
      <c r="P130" s="12" t="inlineStr">
        <is>
          <t>10&lt;D&lt;=18mm</t>
        </is>
      </c>
      <c r="Q130" s="13" t="inlineStr">
        <is>
          <t>TCVN 1651:2018 / ASTM</t>
        </is>
      </c>
    </row>
    <row r="131">
      <c r="A131" s="5" t="n">
        <v>125</v>
      </c>
      <c r="B131" s="6" t="inlineStr">
        <is>
          <t>Mố M2</t>
        </is>
      </c>
      <c r="C131" s="6" t="inlineStr">
        <is>
          <t>Thân mố / Bệ mố</t>
        </is>
      </c>
      <c r="D131" s="5" t="inlineStr">
        <is>
          <t>W4A(T)</t>
        </is>
      </c>
      <c r="E131" s="5" t="n">
        <v>22</v>
      </c>
      <c r="F131" s="5" t="inlineStr">
        <is>
          <t>CB400-V</t>
        </is>
      </c>
      <c r="G131" s="5" t="inlineStr">
        <is>
          <t>S06</t>
        </is>
      </c>
      <c r="H131" s="10" t="n">
        <v>4.494</v>
      </c>
      <c r="I131" s="47" t="n">
        <v>15</v>
      </c>
      <c r="J131" s="47" t="n">
        <v>1</v>
      </c>
      <c r="K131" s="47">
        <f>I131*J131</f>
        <v/>
      </c>
      <c r="L131" s="11">
        <f>H131*K131</f>
        <v/>
      </c>
      <c r="M131" s="10" t="n">
        <v>2.98</v>
      </c>
      <c r="N131" s="11">
        <f>L131*M131</f>
        <v/>
      </c>
      <c r="O131" s="10">
        <f>N131/1000</f>
        <v/>
      </c>
      <c r="P131" s="5" t="inlineStr">
        <is>
          <t>D&gt;18mm</t>
        </is>
      </c>
      <c r="Q131" s="6" t="inlineStr">
        <is>
          <t>TCVN 1651:2018 / ASTM</t>
        </is>
      </c>
    </row>
    <row r="132">
      <c r="A132" s="12" t="n">
        <v>126</v>
      </c>
      <c r="B132" s="13" t="inlineStr">
        <is>
          <t>Mố M2</t>
        </is>
      </c>
      <c r="C132" s="13" t="inlineStr">
        <is>
          <t>Thân mố / Bệ mố</t>
        </is>
      </c>
      <c r="D132" s="12" t="inlineStr">
        <is>
          <t>W4B(T)</t>
        </is>
      </c>
      <c r="E132" s="12" t="n">
        <v>22</v>
      </c>
      <c r="F132" s="12" t="inlineStr">
        <is>
          <t>CB400-V</t>
        </is>
      </c>
      <c r="G132" s="12" t="inlineStr">
        <is>
          <t>S06</t>
        </is>
      </c>
      <c r="H132" s="17" t="n">
        <v>6.056</v>
      </c>
      <c r="I132" s="48" t="n">
        <v>20</v>
      </c>
      <c r="J132" s="48" t="n">
        <v>1</v>
      </c>
      <c r="K132" s="48">
        <f>I132*J132</f>
        <v/>
      </c>
      <c r="L132" s="18">
        <f>H132*K132</f>
        <v/>
      </c>
      <c r="M132" s="17" t="n">
        <v>2.98</v>
      </c>
      <c r="N132" s="18">
        <f>L132*M132</f>
        <v/>
      </c>
      <c r="O132" s="17">
        <f>N132/1000</f>
        <v/>
      </c>
      <c r="P132" s="12" t="inlineStr">
        <is>
          <t>D&gt;18mm</t>
        </is>
      </c>
      <c r="Q132" s="13" t="inlineStr">
        <is>
          <t>TCVN 1651:2018 / ASTM</t>
        </is>
      </c>
    </row>
    <row r="133">
      <c r="A133" s="5" t="n">
        <v>127</v>
      </c>
      <c r="B133" s="6" t="inlineStr">
        <is>
          <t>Mố M2</t>
        </is>
      </c>
      <c r="C133" s="6" t="inlineStr">
        <is>
          <t>Thân mố / Bệ mố</t>
        </is>
      </c>
      <c r="D133" s="5" t="inlineStr">
        <is>
          <t>W4C(T)</t>
        </is>
      </c>
      <c r="E133" s="5" t="n">
        <v>22</v>
      </c>
      <c r="F133" s="5" t="inlineStr">
        <is>
          <t>CB400-V</t>
        </is>
      </c>
      <c r="G133" s="5" t="inlineStr">
        <is>
          <t>S06</t>
        </is>
      </c>
      <c r="H133" s="10" t="n">
        <v>7.469</v>
      </c>
      <c r="I133" s="47" t="n">
        <v>4</v>
      </c>
      <c r="J133" s="47" t="n">
        <v>1</v>
      </c>
      <c r="K133" s="47">
        <f>I133*J133</f>
        <v/>
      </c>
      <c r="L133" s="11">
        <f>H133*K133</f>
        <v/>
      </c>
      <c r="M133" s="10" t="n">
        <v>2.98</v>
      </c>
      <c r="N133" s="11">
        <f>L133*M133</f>
        <v/>
      </c>
      <c r="O133" s="10">
        <f>N133/1000</f>
        <v/>
      </c>
      <c r="P133" s="5" t="inlineStr">
        <is>
          <t>D&gt;18mm</t>
        </is>
      </c>
      <c r="Q133" s="6" t="inlineStr">
        <is>
          <t>TCVN 1651:2018 / ASTM</t>
        </is>
      </c>
    </row>
    <row r="134">
      <c r="A134" s="12" t="n">
        <v>128</v>
      </c>
      <c r="B134" s="13" t="inlineStr">
        <is>
          <t>Mố M2</t>
        </is>
      </c>
      <c r="C134" s="13" t="inlineStr">
        <is>
          <t>Thân mố / Bệ mố</t>
        </is>
      </c>
      <c r="D134" s="12" t="inlineStr">
        <is>
          <t>W4D(T)</t>
        </is>
      </c>
      <c r="E134" s="12" t="n">
        <v>22</v>
      </c>
      <c r="F134" s="12" t="inlineStr">
        <is>
          <t>CB400-V</t>
        </is>
      </c>
      <c r="G134" s="12" t="inlineStr">
        <is>
          <t>S06</t>
        </is>
      </c>
      <c r="H134" s="17" t="n">
        <v>6.494</v>
      </c>
      <c r="I134" s="48" t="n">
        <v>14</v>
      </c>
      <c r="J134" s="48" t="n">
        <v>1</v>
      </c>
      <c r="K134" s="48">
        <f>I134*J134</f>
        <v/>
      </c>
      <c r="L134" s="18">
        <f>H134*K134</f>
        <v/>
      </c>
      <c r="M134" s="17" t="n">
        <v>2.98</v>
      </c>
      <c r="N134" s="18">
        <f>L134*M134</f>
        <v/>
      </c>
      <c r="O134" s="17">
        <f>N134/1000</f>
        <v/>
      </c>
      <c r="P134" s="12" t="inlineStr">
        <is>
          <t>D&gt;18mm</t>
        </is>
      </c>
      <c r="Q134" s="13" t="inlineStr">
        <is>
          <t>TCVN 1651:2018 / ASTM</t>
        </is>
      </c>
    </row>
    <row r="135">
      <c r="A135" s="5" t="n">
        <v>129</v>
      </c>
      <c r="B135" s="6" t="inlineStr">
        <is>
          <t>Mố M2</t>
        </is>
      </c>
      <c r="C135" s="6" t="inlineStr">
        <is>
          <t>Thân mố / Bệ mố</t>
        </is>
      </c>
      <c r="D135" s="5" t="inlineStr">
        <is>
          <t>W4F(T)</t>
        </is>
      </c>
      <c r="E135" s="5" t="n">
        <v>22</v>
      </c>
      <c r="F135" s="5" t="inlineStr">
        <is>
          <t>CB400-V</t>
        </is>
      </c>
      <c r="G135" s="5" t="inlineStr">
        <is>
          <t>S06</t>
        </is>
      </c>
      <c r="H135" s="10" t="n">
        <v>6.496</v>
      </c>
      <c r="I135" s="47" t="n">
        <v>1</v>
      </c>
      <c r="J135" s="47" t="n">
        <v>1</v>
      </c>
      <c r="K135" s="47">
        <f>I135*J135</f>
        <v/>
      </c>
      <c r="L135" s="11">
        <f>H135*K135</f>
        <v/>
      </c>
      <c r="M135" s="10" t="n">
        <v>2.98</v>
      </c>
      <c r="N135" s="11">
        <f>L135*M135</f>
        <v/>
      </c>
      <c r="O135" s="10">
        <f>N135/1000</f>
        <v/>
      </c>
      <c r="P135" s="5" t="inlineStr">
        <is>
          <t>D&gt;18mm</t>
        </is>
      </c>
      <c r="Q135" s="6" t="inlineStr">
        <is>
          <t>TCVN 1651:2018 / ASTM</t>
        </is>
      </c>
    </row>
    <row r="136">
      <c r="A136" s="12" t="n">
        <v>130</v>
      </c>
      <c r="B136" s="13" t="inlineStr">
        <is>
          <t>Mố M2</t>
        </is>
      </c>
      <c r="C136" s="13" t="inlineStr">
        <is>
          <t>Thân mố / Bệ mố</t>
        </is>
      </c>
      <c r="D136" s="12" t="inlineStr">
        <is>
          <t>W5A(T)</t>
        </is>
      </c>
      <c r="E136" s="12" t="n">
        <v>16</v>
      </c>
      <c r="F136" s="12" t="inlineStr">
        <is>
          <t>CB400-V</t>
        </is>
      </c>
      <c r="G136" s="12" t="inlineStr">
        <is>
          <t>S05</t>
        </is>
      </c>
      <c r="H136" s="17" t="n">
        <v>7.668</v>
      </c>
      <c r="I136" s="48" t="n">
        <v>1</v>
      </c>
      <c r="J136" s="48" t="n">
        <v>1</v>
      </c>
      <c r="K136" s="48">
        <f>I136*J136</f>
        <v/>
      </c>
      <c r="L136" s="18">
        <f>H136*K136</f>
        <v/>
      </c>
      <c r="M136" s="17" t="n">
        <v>1.58</v>
      </c>
      <c r="N136" s="18">
        <f>L136*M136</f>
        <v/>
      </c>
      <c r="O136" s="17">
        <f>N136/1000</f>
        <v/>
      </c>
      <c r="P136" s="12" t="inlineStr">
        <is>
          <t>10&lt;D&lt;=18mm</t>
        </is>
      </c>
      <c r="Q136" s="13" t="inlineStr">
        <is>
          <t>TCVN 1651:2018 / ASTM</t>
        </is>
      </c>
    </row>
    <row r="137">
      <c r="A137" s="5" t="n">
        <v>131</v>
      </c>
      <c r="B137" s="6" t="inlineStr">
        <is>
          <t>Mố M2</t>
        </is>
      </c>
      <c r="C137" s="6" t="inlineStr">
        <is>
          <t>Thân mố / Bệ mố</t>
        </is>
      </c>
      <c r="D137" s="5" t="inlineStr">
        <is>
          <t>W5B(T)</t>
        </is>
      </c>
      <c r="E137" s="5" t="n">
        <v>16</v>
      </c>
      <c r="F137" s="5" t="inlineStr">
        <is>
          <t>CB400-V</t>
        </is>
      </c>
      <c r="G137" s="5" t="inlineStr">
        <is>
          <t>S02</t>
        </is>
      </c>
      <c r="H137" s="10" t="n">
        <v>10.092</v>
      </c>
      <c r="I137" s="47" t="n">
        <v>1</v>
      </c>
      <c r="J137" s="47" t="n">
        <v>1</v>
      </c>
      <c r="K137" s="47">
        <f>I137*J137</f>
        <v/>
      </c>
      <c r="L137" s="11">
        <f>H137*K137</f>
        <v/>
      </c>
      <c r="M137" s="10" t="n">
        <v>1.58</v>
      </c>
      <c r="N137" s="11">
        <f>L137*M137</f>
        <v/>
      </c>
      <c r="O137" s="10">
        <f>N137/1000</f>
        <v/>
      </c>
      <c r="P137" s="5" t="inlineStr">
        <is>
          <t>10&lt;D&lt;=18mm</t>
        </is>
      </c>
      <c r="Q137" s="6" t="inlineStr">
        <is>
          <t>TCVN 1651:2018 / ASTM</t>
        </is>
      </c>
    </row>
    <row r="138">
      <c r="A138" s="12" t="n">
        <v>132</v>
      </c>
      <c r="B138" s="13" t="inlineStr">
        <is>
          <t>Mố M2</t>
        </is>
      </c>
      <c r="C138" s="13" t="inlineStr">
        <is>
          <t>Thân mố / Bệ mố</t>
        </is>
      </c>
      <c r="D138" s="12" t="inlineStr">
        <is>
          <t>W8(T)</t>
        </is>
      </c>
      <c r="E138" s="12" t="n">
        <v>16</v>
      </c>
      <c r="F138" s="12" t="inlineStr">
        <is>
          <t>CB400-V</t>
        </is>
      </c>
      <c r="G138" s="12" t="inlineStr">
        <is>
          <t>S02</t>
        </is>
      </c>
      <c r="H138" s="17" t="n">
        <v>9.571</v>
      </c>
      <c r="I138" s="48" t="n">
        <v>2</v>
      </c>
      <c r="J138" s="48" t="n">
        <v>1</v>
      </c>
      <c r="K138" s="48">
        <f>I138*J138</f>
        <v/>
      </c>
      <c r="L138" s="18">
        <f>H138*K138</f>
        <v/>
      </c>
      <c r="M138" s="17" t="n">
        <v>1.58</v>
      </c>
      <c r="N138" s="18">
        <f>L138*M138</f>
        <v/>
      </c>
      <c r="O138" s="17">
        <f>N138/1000</f>
        <v/>
      </c>
      <c r="P138" s="12" t="inlineStr">
        <is>
          <t>10&lt;D&lt;=18mm</t>
        </is>
      </c>
      <c r="Q138" s="13" t="inlineStr">
        <is>
          <t>TCVN 1651:2018 / ASTM</t>
        </is>
      </c>
    </row>
    <row r="139">
      <c r="A139" s="5" t="n">
        <v>133</v>
      </c>
      <c r="B139" s="6" t="inlineStr">
        <is>
          <t>Mố M2</t>
        </is>
      </c>
      <c r="C139" s="6" t="inlineStr">
        <is>
          <t>Ụ CHỐNG CHUYỂN VỊ</t>
        </is>
      </c>
      <c r="D139" s="5" t="inlineStr">
        <is>
          <t>U1</t>
        </is>
      </c>
      <c r="E139" s="5" t="n">
        <v>16</v>
      </c>
      <c r="F139" s="5" t="inlineStr">
        <is>
          <t>CB400-V</t>
        </is>
      </c>
      <c r="G139" s="5" t="inlineStr">
        <is>
          <t>S06</t>
        </is>
      </c>
      <c r="H139" s="10" t="n">
        <v>4.192</v>
      </c>
      <c r="I139" s="47" t="n">
        <v>8</v>
      </c>
      <c r="J139" s="47" t="n">
        <v>1</v>
      </c>
      <c r="K139" s="47">
        <f>I139*J139</f>
        <v/>
      </c>
      <c r="L139" s="11">
        <f>H139*K139</f>
        <v/>
      </c>
      <c r="M139" s="10" t="n">
        <v>1.58</v>
      </c>
      <c r="N139" s="11">
        <f>L139*M139</f>
        <v/>
      </c>
      <c r="O139" s="10">
        <f>N139/1000</f>
        <v/>
      </c>
      <c r="P139" s="5" t="inlineStr">
        <is>
          <t>10&lt;D&lt;=18mm</t>
        </is>
      </c>
      <c r="Q139" s="6" t="inlineStr">
        <is>
          <t>TCVN 1651:2018 / ASTM</t>
        </is>
      </c>
    </row>
    <row r="140">
      <c r="A140" s="12" t="n">
        <v>134</v>
      </c>
      <c r="B140" s="13" t="inlineStr">
        <is>
          <t>Mố M2</t>
        </is>
      </c>
      <c r="C140" s="13" t="inlineStr">
        <is>
          <t>Thân mố / Bệ mố</t>
        </is>
      </c>
      <c r="D140" s="12" t="inlineStr">
        <is>
          <t>U2</t>
        </is>
      </c>
      <c r="E140" s="12" t="n">
        <v>16</v>
      </c>
      <c r="F140" s="12" t="inlineStr">
        <is>
          <t>CB400-V</t>
        </is>
      </c>
      <c r="G140" s="12" t="inlineStr">
        <is>
          <t>S06</t>
        </is>
      </c>
      <c r="H140" s="17" t="n">
        <v>3.892</v>
      </c>
      <c r="I140" s="48" t="n">
        <v>14</v>
      </c>
      <c r="J140" s="48" t="n">
        <v>1</v>
      </c>
      <c r="K140" s="48">
        <f>I140*J140</f>
        <v/>
      </c>
      <c r="L140" s="18">
        <f>H140*K140</f>
        <v/>
      </c>
      <c r="M140" s="17" t="n">
        <v>1.58</v>
      </c>
      <c r="N140" s="18">
        <f>L140*M140</f>
        <v/>
      </c>
      <c r="O140" s="17">
        <f>N140/1000</f>
        <v/>
      </c>
      <c r="P140" s="12" t="inlineStr">
        <is>
          <t>10&lt;D&lt;=18mm</t>
        </is>
      </c>
      <c r="Q140" s="13" t="inlineStr">
        <is>
          <t>TCVN 1651:2018 / ASTM</t>
        </is>
      </c>
    </row>
    <row r="141">
      <c r="A141" s="5" t="n">
        <v>135</v>
      </c>
      <c r="B141" s="6" t="inlineStr">
        <is>
          <t>Mố M2</t>
        </is>
      </c>
      <c r="C141" s="6" t="inlineStr">
        <is>
          <t>Thân mố / Bệ mố</t>
        </is>
      </c>
      <c r="D141" s="5" t="inlineStr">
        <is>
          <t>U3</t>
        </is>
      </c>
      <c r="E141" s="5" t="n">
        <v>16</v>
      </c>
      <c r="F141" s="5" t="inlineStr">
        <is>
          <t>CB400-V</t>
        </is>
      </c>
      <c r="G141" s="5" t="inlineStr">
        <is>
          <t>S51</t>
        </is>
      </c>
      <c r="H141" s="10" t="n">
        <v>3.256</v>
      </c>
      <c r="I141" s="47" t="n">
        <v>24</v>
      </c>
      <c r="J141" s="47" t="n">
        <v>1</v>
      </c>
      <c r="K141" s="47">
        <f>I141*J141</f>
        <v/>
      </c>
      <c r="L141" s="11">
        <f>H141*K141</f>
        <v/>
      </c>
      <c r="M141" s="10" t="n">
        <v>1.58</v>
      </c>
      <c r="N141" s="11">
        <f>L141*M141</f>
        <v/>
      </c>
      <c r="O141" s="10">
        <f>N141/1000</f>
        <v/>
      </c>
      <c r="P141" s="5" t="inlineStr">
        <is>
          <t>10&lt;D&lt;=18mm</t>
        </is>
      </c>
      <c r="Q141" s="6" t="inlineStr">
        <is>
          <t>TCVN 1651:2018 / ASTM</t>
        </is>
      </c>
    </row>
    <row r="142">
      <c r="A142" s="12" t="n">
        <v>136</v>
      </c>
      <c r="B142" s="13" t="inlineStr">
        <is>
          <t>Mố M2</t>
        </is>
      </c>
      <c r="C142" s="13" t="inlineStr">
        <is>
          <t>Thân mố / Bệ mố</t>
        </is>
      </c>
      <c r="D142" s="12" t="inlineStr">
        <is>
          <t>U4</t>
        </is>
      </c>
      <c r="E142" s="12" t="n">
        <v>16</v>
      </c>
      <c r="F142" s="12" t="inlineStr">
        <is>
          <t>CB400-V</t>
        </is>
      </c>
      <c r="G142" s="12" t="inlineStr">
        <is>
          <t>S32</t>
        </is>
      </c>
      <c r="H142" s="17" t="n">
        <v>1.64</v>
      </c>
      <c r="I142" s="48" t="n">
        <v>4</v>
      </c>
      <c r="J142" s="48" t="n">
        <v>1</v>
      </c>
      <c r="K142" s="48">
        <f>I142*J142</f>
        <v/>
      </c>
      <c r="L142" s="18">
        <f>H142*K142</f>
        <v/>
      </c>
      <c r="M142" s="17" t="n">
        <v>1.58</v>
      </c>
      <c r="N142" s="18">
        <f>L142*M142</f>
        <v/>
      </c>
      <c r="O142" s="17">
        <f>N142/1000</f>
        <v/>
      </c>
      <c r="P142" s="12" t="inlineStr">
        <is>
          <t>10&lt;D&lt;=18mm</t>
        </is>
      </c>
      <c r="Q142" s="13" t="inlineStr">
        <is>
          <t>TCVN 1651:2018 / ASTM</t>
        </is>
      </c>
    </row>
    <row r="143">
      <c r="A143" s="5" t="n">
        <v>137</v>
      </c>
      <c r="B143" s="6" t="inlineStr">
        <is>
          <t>Mố M2</t>
        </is>
      </c>
      <c r="C143" s="6" t="inlineStr">
        <is>
          <t>VỮA ĐỆM</t>
        </is>
      </c>
      <c r="D143" s="5" t="inlineStr">
        <is>
          <t>B1</t>
        </is>
      </c>
      <c r="E143" s="5" t="n">
        <v>8</v>
      </c>
      <c r="F143" s="5" t="inlineStr">
        <is>
          <t>CB240-T</t>
        </is>
      </c>
      <c r="G143" s="5" t="inlineStr">
        <is>
          <t>S01</t>
        </is>
      </c>
      <c r="H143" s="10" t="n">
        <v>0.64</v>
      </c>
      <c r="I143" s="47" t="n">
        <v>50</v>
      </c>
      <c r="J143" s="47" t="n">
        <v>1</v>
      </c>
      <c r="K143" s="47">
        <f>I143*J143</f>
        <v/>
      </c>
      <c r="L143" s="11">
        <f>H143*K143</f>
        <v/>
      </c>
      <c r="M143" s="10" t="n">
        <v>0.395</v>
      </c>
      <c r="N143" s="11">
        <f>L143*M143</f>
        <v/>
      </c>
      <c r="O143" s="10">
        <f>N143/1000</f>
        <v/>
      </c>
      <c r="P143" s="5" t="inlineStr">
        <is>
          <t>D&lt;=10mm</t>
        </is>
      </c>
      <c r="Q143" s="6" t="inlineStr">
        <is>
          <t>TCVN 1651:2018 / ASTM</t>
        </is>
      </c>
    </row>
    <row r="144">
      <c r="A144" s="12" t="n">
        <v>138</v>
      </c>
      <c r="B144" s="13" t="inlineStr">
        <is>
          <t>Mố M2</t>
        </is>
      </c>
      <c r="C144" s="13" t="inlineStr">
        <is>
          <t>Thân mố / Bệ mố</t>
        </is>
      </c>
      <c r="D144" s="12" t="inlineStr">
        <is>
          <t>B2</t>
        </is>
      </c>
      <c r="E144" s="12" t="n">
        <v>8</v>
      </c>
      <c r="F144" s="12" t="inlineStr">
        <is>
          <t>CB240-T</t>
        </is>
      </c>
      <c r="G144" s="12" t="inlineStr">
        <is>
          <t>S01</t>
        </is>
      </c>
      <c r="H144" s="17" t="n">
        <v>0.48</v>
      </c>
      <c r="I144" s="48" t="n">
        <v>65</v>
      </c>
      <c r="J144" s="48" t="n">
        <v>1</v>
      </c>
      <c r="K144" s="48">
        <f>I144*J144</f>
        <v/>
      </c>
      <c r="L144" s="18">
        <f>H144*K144</f>
        <v/>
      </c>
      <c r="M144" s="17" t="n">
        <v>0.395</v>
      </c>
      <c r="N144" s="18">
        <f>L144*M144</f>
        <v/>
      </c>
      <c r="O144" s="17">
        <f>N144/1000</f>
        <v/>
      </c>
      <c r="P144" s="12" t="inlineStr">
        <is>
          <t>D&lt;=10mm</t>
        </is>
      </c>
      <c r="Q144" s="13" t="inlineStr">
        <is>
          <t>TCVN 1651:2018 / ASTM</t>
        </is>
      </c>
    </row>
    <row r="145">
      <c r="A145" s="5" t="n">
        <v>139</v>
      </c>
      <c r="B145" s="6" t="inlineStr">
        <is>
          <t>Mố M2</t>
        </is>
      </c>
      <c r="C145" s="6" t="inlineStr">
        <is>
          <t>TƯỜNG TAI</t>
        </is>
      </c>
      <c r="D145" s="5" t="inlineStr">
        <is>
          <t>T1</t>
        </is>
      </c>
      <c r="E145" s="5" t="n">
        <v>16</v>
      </c>
      <c r="F145" s="5" t="inlineStr">
        <is>
          <t>CB400-V</t>
        </is>
      </c>
      <c r="G145" s="5" t="inlineStr">
        <is>
          <t>S01</t>
        </is>
      </c>
      <c r="H145" s="10" t="n">
        <v>1.89</v>
      </c>
      <c r="I145" s="47" t="n">
        <v>7</v>
      </c>
      <c r="J145" s="47" t="n">
        <v>1</v>
      </c>
      <c r="K145" s="47">
        <f>I145*J145</f>
        <v/>
      </c>
      <c r="L145" s="11">
        <f>H145*K145</f>
        <v/>
      </c>
      <c r="M145" s="10" t="n">
        <v>1.58</v>
      </c>
      <c r="N145" s="11">
        <f>L145*M145</f>
        <v/>
      </c>
      <c r="O145" s="10">
        <f>N145/1000</f>
        <v/>
      </c>
      <c r="P145" s="5" t="inlineStr">
        <is>
          <t>10&lt;D&lt;=18mm</t>
        </is>
      </c>
      <c r="Q145" s="6" t="inlineStr">
        <is>
          <t>TCVN 1651:2018 / ASTM</t>
        </is>
      </c>
    </row>
    <row r="146">
      <c r="A146" s="12" t="n">
        <v>140</v>
      </c>
      <c r="B146" s="13" t="inlineStr">
        <is>
          <t>Mố M2</t>
        </is>
      </c>
      <c r="C146" s="13" t="inlineStr">
        <is>
          <t>Thân mố / Bệ mố</t>
        </is>
      </c>
      <c r="D146" s="12" t="inlineStr">
        <is>
          <t>T2</t>
        </is>
      </c>
      <c r="E146" s="12" t="n">
        <v>16</v>
      </c>
      <c r="F146" s="12" t="inlineStr">
        <is>
          <t>CB400-V</t>
        </is>
      </c>
      <c r="G146" s="12" t="inlineStr">
        <is>
          <t>S01</t>
        </is>
      </c>
      <c r="H146" s="17" t="n">
        <v>1.59</v>
      </c>
      <c r="I146" s="48" t="n">
        <v>9</v>
      </c>
      <c r="J146" s="48" t="n">
        <v>1</v>
      </c>
      <c r="K146" s="48">
        <f>I146*J146</f>
        <v/>
      </c>
      <c r="L146" s="18">
        <f>H146*K146</f>
        <v/>
      </c>
      <c r="M146" s="17" t="n">
        <v>1.58</v>
      </c>
      <c r="N146" s="18">
        <f>L146*M146</f>
        <v/>
      </c>
      <c r="O146" s="17">
        <f>N146/1000</f>
        <v/>
      </c>
      <c r="P146" s="12" t="inlineStr">
        <is>
          <t>10&lt;D&lt;=18mm</t>
        </is>
      </c>
      <c r="Q146" s="13" t="inlineStr">
        <is>
          <t>TCVN 1651:2018 / ASTM</t>
        </is>
      </c>
    </row>
    <row r="147">
      <c r="A147" s="5" t="n">
        <v>141</v>
      </c>
      <c r="B147" s="6" t="inlineStr">
        <is>
          <t>Mố M2</t>
        </is>
      </c>
      <c r="C147" s="6" t="inlineStr">
        <is>
          <t>GỜ LAN CAN</t>
        </is>
      </c>
      <c r="D147" s="5" t="inlineStr">
        <is>
          <t>G1</t>
        </is>
      </c>
      <c r="E147" s="5" t="n">
        <v>14</v>
      </c>
      <c r="F147" s="5" t="inlineStr">
        <is>
          <t>CB400-V</t>
        </is>
      </c>
      <c r="G147" s="5" t="inlineStr">
        <is>
          <t>S01</t>
        </is>
      </c>
      <c r="H147" s="10" t="n">
        <v>5.9</v>
      </c>
      <c r="I147" s="47" t="n">
        <v>19</v>
      </c>
      <c r="J147" s="47" t="n">
        <v>1</v>
      </c>
      <c r="K147" s="47">
        <f>I147*J147</f>
        <v/>
      </c>
      <c r="L147" s="11">
        <f>H147*K147</f>
        <v/>
      </c>
      <c r="M147" s="10" t="n">
        <v>1.21</v>
      </c>
      <c r="N147" s="11">
        <f>L147*M147</f>
        <v/>
      </c>
      <c r="O147" s="10">
        <f>N147/1000</f>
        <v/>
      </c>
      <c r="P147" s="5" t="inlineStr">
        <is>
          <t>10&lt;D&lt;=18mm</t>
        </is>
      </c>
      <c r="Q147" s="6" t="inlineStr">
        <is>
          <t>TCVN 1651:2018 / ASTM</t>
        </is>
      </c>
    </row>
    <row r="148">
      <c r="A148" s="12" t="n">
        <v>142</v>
      </c>
      <c r="B148" s="13" t="inlineStr">
        <is>
          <t>Mố M2</t>
        </is>
      </c>
      <c r="C148" s="13" t="inlineStr">
        <is>
          <t>Thân mố / Bệ mố</t>
        </is>
      </c>
      <c r="D148" s="12" t="inlineStr">
        <is>
          <t>G2</t>
        </is>
      </c>
      <c r="E148" s="12" t="n">
        <v>18</v>
      </c>
      <c r="F148" s="12" t="inlineStr">
        <is>
          <t>CB400-V</t>
        </is>
      </c>
      <c r="G148" s="12" t="inlineStr">
        <is>
          <t>S57</t>
        </is>
      </c>
      <c r="H148" s="17" t="n">
        <v>3.265</v>
      </c>
      <c r="I148" s="48" t="n">
        <v>4</v>
      </c>
      <c r="J148" s="48" t="n">
        <v>1</v>
      </c>
      <c r="K148" s="48">
        <f>I148*J148</f>
        <v/>
      </c>
      <c r="L148" s="18">
        <f>H148*K148</f>
        <v/>
      </c>
      <c r="M148" s="17" t="n">
        <v>2</v>
      </c>
      <c r="N148" s="18">
        <f>L148*M148</f>
        <v/>
      </c>
      <c r="O148" s="17">
        <f>N148/1000</f>
        <v/>
      </c>
      <c r="P148" s="12" t="inlineStr">
        <is>
          <t>10&lt;D&lt;=18mm</t>
        </is>
      </c>
      <c r="Q148" s="13" t="inlineStr">
        <is>
          <t>TCVN 1651:2018 / ASTM</t>
        </is>
      </c>
    </row>
    <row r="149">
      <c r="A149" s="5" t="n">
        <v>143</v>
      </c>
      <c r="B149" s="6" t="inlineStr">
        <is>
          <t>Mố M2</t>
        </is>
      </c>
      <c r="C149" s="6" t="inlineStr">
        <is>
          <t>Thân mố / Bệ mố</t>
        </is>
      </c>
      <c r="D149" s="5" t="inlineStr">
        <is>
          <t>G3</t>
        </is>
      </c>
      <c r="E149" s="5" t="n">
        <v>14</v>
      </c>
      <c r="F149" s="5" t="inlineStr">
        <is>
          <t>CB400-V</t>
        </is>
      </c>
      <c r="G149" s="5" t="inlineStr">
        <is>
          <t>S29</t>
        </is>
      </c>
      <c r="H149" s="10" t="n">
        <v>2.344</v>
      </c>
      <c r="I149" s="47" t="n">
        <v>4</v>
      </c>
      <c r="J149" s="47" t="n">
        <v>1</v>
      </c>
      <c r="K149" s="47">
        <f>I149*J149</f>
        <v/>
      </c>
      <c r="L149" s="11">
        <f>H149*K149</f>
        <v/>
      </c>
      <c r="M149" s="10" t="n">
        <v>1.21</v>
      </c>
      <c r="N149" s="11">
        <f>L149*M149</f>
        <v/>
      </c>
      <c r="O149" s="10">
        <f>N149/1000</f>
        <v/>
      </c>
      <c r="P149" s="5" t="inlineStr">
        <is>
          <t>10&lt;D&lt;=18mm</t>
        </is>
      </c>
      <c r="Q149" s="6" t="inlineStr">
        <is>
          <t>TCVN 1651:2018 / ASTM</t>
        </is>
      </c>
    </row>
    <row r="150">
      <c r="A150" s="12" t="n">
        <v>144</v>
      </c>
      <c r="B150" s="13" t="inlineStr">
        <is>
          <t>Mố M2</t>
        </is>
      </c>
      <c r="C150" s="13" t="inlineStr">
        <is>
          <t>Thân mố / Bệ mố</t>
        </is>
      </c>
      <c r="D150" s="12" t="inlineStr">
        <is>
          <t>G4A</t>
        </is>
      </c>
      <c r="E150" s="12" t="n">
        <v>12</v>
      </c>
      <c r="F150" s="12" t="inlineStr">
        <is>
          <t>CB400-V</t>
        </is>
      </c>
      <c r="G150" s="12" t="inlineStr">
        <is>
          <t>S06</t>
        </is>
      </c>
      <c r="H150" s="17" t="n">
        <v>0.342</v>
      </c>
      <c r="I150" s="48" t="n">
        <v>2</v>
      </c>
      <c r="J150" s="48" t="n">
        <v>1</v>
      </c>
      <c r="K150" s="48">
        <f>I150*J150</f>
        <v/>
      </c>
      <c r="L150" s="18">
        <f>H150*K150</f>
        <v/>
      </c>
      <c r="M150" s="17" t="n">
        <v>0.888</v>
      </c>
      <c r="N150" s="18">
        <f>L150*M150</f>
        <v/>
      </c>
      <c r="O150" s="17">
        <f>N150/1000</f>
        <v/>
      </c>
      <c r="P150" s="12" t="inlineStr">
        <is>
          <t>10&lt;D&lt;=18mm</t>
        </is>
      </c>
      <c r="Q150" s="13" t="inlineStr">
        <is>
          <t>TCVN 1651:2018 / ASTM</t>
        </is>
      </c>
    </row>
    <row r="151">
      <c r="A151" s="5" t="n">
        <v>145</v>
      </c>
      <c r="B151" s="6" t="inlineStr">
        <is>
          <t>Mố M2</t>
        </is>
      </c>
      <c r="C151" s="6" t="inlineStr">
        <is>
          <t>Thân mố / Bệ mố</t>
        </is>
      </c>
      <c r="D151" s="5" t="inlineStr">
        <is>
          <t>G4B</t>
        </is>
      </c>
      <c r="E151" s="5" t="n">
        <v>12</v>
      </c>
      <c r="F151" s="5" t="inlineStr">
        <is>
          <t>CB400-V</t>
        </is>
      </c>
      <c r="G151" s="5" t="inlineStr">
        <is>
          <t>S06</t>
        </is>
      </c>
      <c r="H151" s="10" t="n">
        <v>0.388</v>
      </c>
      <c r="I151" s="47" t="n">
        <v>2</v>
      </c>
      <c r="J151" s="47" t="n">
        <v>1</v>
      </c>
      <c r="K151" s="47">
        <f>I151*J151</f>
        <v/>
      </c>
      <c r="L151" s="11">
        <f>H151*K151</f>
        <v/>
      </c>
      <c r="M151" s="10" t="n">
        <v>0.888</v>
      </c>
      <c r="N151" s="11">
        <f>L151*M151</f>
        <v/>
      </c>
      <c r="O151" s="10">
        <f>N151/1000</f>
        <v/>
      </c>
      <c r="P151" s="5" t="inlineStr">
        <is>
          <t>10&lt;D&lt;=18mm</t>
        </is>
      </c>
      <c r="Q151" s="6" t="inlineStr">
        <is>
          <t>TCVN 1651:2018 / ASTM</t>
        </is>
      </c>
    </row>
    <row r="152">
      <c r="A152" s="12" t="n">
        <v>146</v>
      </c>
      <c r="B152" s="13" t="inlineStr">
        <is>
          <t>Mố M2</t>
        </is>
      </c>
      <c r="C152" s="13" t="inlineStr">
        <is>
          <t>Thân mố / Bệ mố</t>
        </is>
      </c>
      <c r="D152" s="12" t="inlineStr">
        <is>
          <t>G4C</t>
        </is>
      </c>
      <c r="E152" s="12" t="n">
        <v>12</v>
      </c>
      <c r="F152" s="12" t="inlineStr">
        <is>
          <t>CB400-V</t>
        </is>
      </c>
      <c r="G152" s="12" t="inlineStr">
        <is>
          <t>S06</t>
        </is>
      </c>
      <c r="H152" s="17" t="n">
        <v>0.634</v>
      </c>
      <c r="I152" s="48" t="n">
        <v>2</v>
      </c>
      <c r="J152" s="48" t="n">
        <v>1</v>
      </c>
      <c r="K152" s="48">
        <f>I152*J152</f>
        <v/>
      </c>
      <c r="L152" s="18">
        <f>H152*K152</f>
        <v/>
      </c>
      <c r="M152" s="17" t="n">
        <v>0.888</v>
      </c>
      <c r="N152" s="18">
        <f>L152*M152</f>
        <v/>
      </c>
      <c r="O152" s="17">
        <f>N152/1000</f>
        <v/>
      </c>
      <c r="P152" s="12" t="inlineStr">
        <is>
          <t>10&lt;D&lt;=18mm</t>
        </is>
      </c>
      <c r="Q152" s="13" t="inlineStr">
        <is>
          <t>TCVN 1651:2018 / ASTM</t>
        </is>
      </c>
    </row>
    <row r="153">
      <c r="A153" s="5" t="n">
        <v>147</v>
      </c>
      <c r="B153" s="6" t="inlineStr">
        <is>
          <t>Mố M2</t>
        </is>
      </c>
      <c r="C153" s="6" t="inlineStr">
        <is>
          <t>Thân mố / Bệ mố</t>
        </is>
      </c>
      <c r="D153" s="5" t="inlineStr">
        <is>
          <t>G5</t>
        </is>
      </c>
      <c r="E153" s="5" t="n">
        <v>14</v>
      </c>
      <c r="F153" s="5" t="inlineStr">
        <is>
          <t>CB400-V</t>
        </is>
      </c>
      <c r="G153" s="5" t="inlineStr">
        <is>
          <t>S01</t>
        </is>
      </c>
      <c r="H153" s="10" t="n">
        <v>0.4</v>
      </c>
      <c r="I153" s="47" t="n">
        <v>18</v>
      </c>
      <c r="J153" s="47" t="n">
        <v>1</v>
      </c>
      <c r="K153" s="47">
        <f>I153*J153</f>
        <v/>
      </c>
      <c r="L153" s="11">
        <f>H153*K153</f>
        <v/>
      </c>
      <c r="M153" s="10" t="n">
        <v>1.21</v>
      </c>
      <c r="N153" s="11">
        <f>L153*M153</f>
        <v/>
      </c>
      <c r="O153" s="10">
        <f>N153/1000</f>
        <v/>
      </c>
      <c r="P153" s="5" t="inlineStr">
        <is>
          <t>10&lt;D&lt;=18mm</t>
        </is>
      </c>
      <c r="Q153" s="6" t="inlineStr">
        <is>
          <t>TCVN 1651:2018 / ASTM</t>
        </is>
      </c>
    </row>
    <row r="154">
      <c r="A154" s="12" t="n">
        <v>148</v>
      </c>
      <c r="B154" s="13" t="inlineStr">
        <is>
          <t>Mố M2</t>
        </is>
      </c>
      <c r="C154" s="13" t="inlineStr">
        <is>
          <t>Thân mố / Bệ mố</t>
        </is>
      </c>
      <c r="D154" s="12" t="inlineStr">
        <is>
          <t>G5A</t>
        </is>
      </c>
      <c r="E154" s="12" t="n">
        <v>14</v>
      </c>
      <c r="F154" s="12" t="inlineStr">
        <is>
          <t>CB400-V</t>
        </is>
      </c>
      <c r="G154" s="12" t="inlineStr">
        <is>
          <t>S01</t>
        </is>
      </c>
      <c r="H154" s="17" t="n">
        <v>5.38</v>
      </c>
      <c r="I154" s="48" t="n">
        <v>22</v>
      </c>
      <c r="J154" s="48" t="n">
        <v>1</v>
      </c>
      <c r="K154" s="48">
        <f>I154*J154</f>
        <v/>
      </c>
      <c r="L154" s="18">
        <f>H154*K154</f>
        <v/>
      </c>
      <c r="M154" s="17" t="n">
        <v>1.21</v>
      </c>
      <c r="N154" s="18">
        <f>L154*M154</f>
        <v/>
      </c>
      <c r="O154" s="17">
        <f>N154/1000</f>
        <v/>
      </c>
      <c r="P154" s="12" t="inlineStr">
        <is>
          <t>10&lt;D&lt;=18mm</t>
        </is>
      </c>
      <c r="Q154" s="13" t="inlineStr">
        <is>
          <t>TCVN 1651:2018 / ASTM</t>
        </is>
      </c>
    </row>
    <row r="155">
      <c r="A155" s="5" t="n">
        <v>149</v>
      </c>
      <c r="B155" s="6" t="inlineStr">
        <is>
          <t>Mố M2</t>
        </is>
      </c>
      <c r="C155" s="6" t="inlineStr">
        <is>
          <t>Thân mố / Bệ mố</t>
        </is>
      </c>
      <c r="D155" s="5" t="inlineStr">
        <is>
          <t>G6</t>
        </is>
      </c>
      <c r="E155" s="5" t="n">
        <v>20</v>
      </c>
      <c r="F155" s="5" t="inlineStr">
        <is>
          <t>CB400-V</t>
        </is>
      </c>
      <c r="G155" s="5" t="inlineStr">
        <is>
          <t>S57</t>
        </is>
      </c>
      <c r="H155" s="10" t="n">
        <v>3.095</v>
      </c>
      <c r="I155" s="47" t="n">
        <v>39</v>
      </c>
      <c r="J155" s="47" t="n">
        <v>1</v>
      </c>
      <c r="K155" s="47">
        <f>I155*J155</f>
        <v/>
      </c>
      <c r="L155" s="11">
        <f>H155*K155</f>
        <v/>
      </c>
      <c r="M155" s="10" t="n">
        <v>2.47</v>
      </c>
      <c r="N155" s="11">
        <f>L155*M155</f>
        <v/>
      </c>
      <c r="O155" s="10">
        <f>N155/1000</f>
        <v/>
      </c>
      <c r="P155" s="5" t="inlineStr">
        <is>
          <t>D&gt;18mm</t>
        </is>
      </c>
      <c r="Q155" s="6" t="inlineStr">
        <is>
          <t>TCVN 1651:2018 / ASTM</t>
        </is>
      </c>
    </row>
    <row r="156">
      <c r="A156" s="12" t="n">
        <v>150</v>
      </c>
      <c r="B156" s="13" t="inlineStr">
        <is>
          <t>Mố M2</t>
        </is>
      </c>
      <c r="C156" s="13" t="inlineStr">
        <is>
          <t>Thân mố / Bệ mố</t>
        </is>
      </c>
      <c r="D156" s="12" t="inlineStr">
        <is>
          <t>G7</t>
        </is>
      </c>
      <c r="E156" s="12" t="n">
        <v>14</v>
      </c>
      <c r="F156" s="12" t="inlineStr">
        <is>
          <t>CB400-V</t>
        </is>
      </c>
      <c r="G156" s="12" t="inlineStr">
        <is>
          <t>S29</t>
        </is>
      </c>
      <c r="H156" s="17" t="n">
        <v>1.536</v>
      </c>
      <c r="I156" s="48" t="n">
        <v>39</v>
      </c>
      <c r="J156" s="48" t="n">
        <v>1</v>
      </c>
      <c r="K156" s="48">
        <f>I156*J156</f>
        <v/>
      </c>
      <c r="L156" s="18">
        <f>H156*K156</f>
        <v/>
      </c>
      <c r="M156" s="17" t="n">
        <v>1.21</v>
      </c>
      <c r="N156" s="18">
        <f>L156*M156</f>
        <v/>
      </c>
      <c r="O156" s="17">
        <f>N156/1000</f>
        <v/>
      </c>
      <c r="P156" s="12" t="inlineStr">
        <is>
          <t>10&lt;D&lt;=18mm</t>
        </is>
      </c>
      <c r="Q156" s="13" t="inlineStr">
        <is>
          <t>TCVN 1651:2018 / ASTM</t>
        </is>
      </c>
    </row>
    <row r="157">
      <c r="A157" s="5" t="n">
        <v>151</v>
      </c>
      <c r="B157" s="6" t="inlineStr">
        <is>
          <t>Mố M2</t>
        </is>
      </c>
      <c r="C157" s="6" t="inlineStr">
        <is>
          <t>Thân mố / Bệ mố</t>
        </is>
      </c>
      <c r="D157" s="5" t="inlineStr">
        <is>
          <t>G7A</t>
        </is>
      </c>
      <c r="E157" s="5" t="n">
        <v>20</v>
      </c>
      <c r="F157" s="5" t="inlineStr">
        <is>
          <t>CB400-V</t>
        </is>
      </c>
      <c r="G157" s="5" t="inlineStr">
        <is>
          <t>S05</t>
        </is>
      </c>
      <c r="H157" s="10" t="n">
        <v>1.182</v>
      </c>
      <c r="I157" s="47" t="n">
        <v>39</v>
      </c>
      <c r="J157" s="47" t="n">
        <v>1</v>
      </c>
      <c r="K157" s="47">
        <f>I157*J157</f>
        <v/>
      </c>
      <c r="L157" s="11">
        <f>H157*K157</f>
        <v/>
      </c>
      <c r="M157" s="10" t="n">
        <v>2.47</v>
      </c>
      <c r="N157" s="11">
        <f>L157*M157</f>
        <v/>
      </c>
      <c r="O157" s="10">
        <f>N157/1000</f>
        <v/>
      </c>
      <c r="P157" s="5" t="inlineStr">
        <is>
          <t>D&gt;18mm</t>
        </is>
      </c>
      <c r="Q157" s="6" t="inlineStr">
        <is>
          <t>TCVN 1651:2018 / ASTM</t>
        </is>
      </c>
    </row>
    <row r="158">
      <c r="A158" s="12" t="n">
        <v>152</v>
      </c>
      <c r="B158" s="13" t="inlineStr">
        <is>
          <t>Mố M2</t>
        </is>
      </c>
      <c r="C158" s="13" t="inlineStr">
        <is>
          <t>Thân mố / Bệ mố</t>
        </is>
      </c>
      <c r="D158" s="12" t="inlineStr">
        <is>
          <t>G8A</t>
        </is>
      </c>
      <c r="E158" s="12" t="n">
        <v>12</v>
      </c>
      <c r="F158" s="12" t="inlineStr">
        <is>
          <t>CB400-V</t>
        </is>
      </c>
      <c r="G158" s="12" t="inlineStr">
        <is>
          <t>S06</t>
        </is>
      </c>
      <c r="H158" s="17" t="n">
        <v>0.26</v>
      </c>
      <c r="I158" s="48" t="n">
        <v>14</v>
      </c>
      <c r="J158" s="48" t="n">
        <v>1</v>
      </c>
      <c r="K158" s="48">
        <f>I158*J158</f>
        <v/>
      </c>
      <c r="L158" s="18">
        <f>H158*K158</f>
        <v/>
      </c>
      <c r="M158" s="17" t="n">
        <v>0.888</v>
      </c>
      <c r="N158" s="18">
        <f>L158*M158</f>
        <v/>
      </c>
      <c r="O158" s="17">
        <f>N158/1000</f>
        <v/>
      </c>
      <c r="P158" s="12" t="inlineStr">
        <is>
          <t>10&lt;D&lt;=18mm</t>
        </is>
      </c>
      <c r="Q158" s="13" t="inlineStr">
        <is>
          <t>TCVN 1651:2018 / ASTM</t>
        </is>
      </c>
    </row>
    <row r="159">
      <c r="A159" s="5" t="n">
        <v>153</v>
      </c>
      <c r="B159" s="6" t="inlineStr">
        <is>
          <t>Mố M2</t>
        </is>
      </c>
      <c r="C159" s="6" t="inlineStr">
        <is>
          <t>Thân mố / Bệ mố</t>
        </is>
      </c>
      <c r="D159" s="5" t="inlineStr">
        <is>
          <t>G8B</t>
        </is>
      </c>
      <c r="E159" s="5" t="n">
        <v>12</v>
      </c>
      <c r="F159" s="5" t="inlineStr">
        <is>
          <t>CB400-V</t>
        </is>
      </c>
      <c r="G159" s="5" t="inlineStr">
        <is>
          <t>S06</t>
        </is>
      </c>
      <c r="H159" s="10" t="n">
        <v>0.306</v>
      </c>
      <c r="I159" s="47" t="n">
        <v>14</v>
      </c>
      <c r="J159" s="47" t="n">
        <v>1</v>
      </c>
      <c r="K159" s="47">
        <f>I159*J159</f>
        <v/>
      </c>
      <c r="L159" s="11">
        <f>H159*K159</f>
        <v/>
      </c>
      <c r="M159" s="10" t="n">
        <v>0.888</v>
      </c>
      <c r="N159" s="11">
        <f>L159*M159</f>
        <v/>
      </c>
      <c r="O159" s="10">
        <f>N159/1000</f>
        <v/>
      </c>
      <c r="P159" s="5" t="inlineStr">
        <is>
          <t>10&lt;D&lt;=18mm</t>
        </is>
      </c>
      <c r="Q159" s="6" t="inlineStr">
        <is>
          <t>TCVN 1651:2018 / ASTM</t>
        </is>
      </c>
    </row>
    <row r="160">
      <c r="A160" s="12" t="n">
        <v>154</v>
      </c>
      <c r="B160" s="13" t="inlineStr">
        <is>
          <t>Mố M2</t>
        </is>
      </c>
      <c r="C160" s="13" t="inlineStr">
        <is>
          <t>Thân mố / Bệ mố</t>
        </is>
      </c>
      <c r="D160" s="12" t="inlineStr">
        <is>
          <t>G8C</t>
        </is>
      </c>
      <c r="E160" s="12" t="n">
        <v>12</v>
      </c>
      <c r="F160" s="12" t="inlineStr">
        <is>
          <t>CB400-V</t>
        </is>
      </c>
      <c r="G160" s="12" t="inlineStr">
        <is>
          <t>S06</t>
        </is>
      </c>
      <c r="H160" s="17" t="n">
        <v>0.417</v>
      </c>
      <c r="I160" s="48" t="n">
        <v>14</v>
      </c>
      <c r="J160" s="48" t="n">
        <v>1</v>
      </c>
      <c r="K160" s="48">
        <f>I160*J160</f>
        <v/>
      </c>
      <c r="L160" s="18">
        <f>H160*K160</f>
        <v/>
      </c>
      <c r="M160" s="17" t="n">
        <v>0.888</v>
      </c>
      <c r="N160" s="18">
        <f>L160*M160</f>
        <v/>
      </c>
      <c r="O160" s="17">
        <f>N160/1000</f>
        <v/>
      </c>
      <c r="P160" s="12" t="inlineStr">
        <is>
          <t>10&lt;D&lt;=18mm</t>
        </is>
      </c>
      <c r="Q160" s="13" t="inlineStr">
        <is>
          <t>TCVN 1651:2018 / ASTM</t>
        </is>
      </c>
    </row>
    <row r="161">
      <c r="A161" s="5" t="n">
        <v>155</v>
      </c>
      <c r="B161" s="6" t="inlineStr">
        <is>
          <t>Mố M2</t>
        </is>
      </c>
      <c r="C161" s="6" t="inlineStr">
        <is>
          <t>Thân mố / Bệ mố</t>
        </is>
      </c>
      <c r="D161" s="5" t="inlineStr">
        <is>
          <t>G9</t>
        </is>
      </c>
      <c r="E161" s="5" t="n">
        <v>16</v>
      </c>
      <c r="F161" s="5" t="inlineStr">
        <is>
          <t>CB400-V</t>
        </is>
      </c>
      <c r="G161" s="5" t="inlineStr">
        <is>
          <t>S02</t>
        </is>
      </c>
      <c r="H161" s="10" t="n">
        <v>0.625</v>
      </c>
      <c r="I161" s="47" t="n">
        <v>70</v>
      </c>
      <c r="J161" s="47" t="n">
        <v>1</v>
      </c>
      <c r="K161" s="47">
        <f>I161*J161</f>
        <v/>
      </c>
      <c r="L161" s="11">
        <f>H161*K161</f>
        <v/>
      </c>
      <c r="M161" s="10" t="n">
        <v>1.58</v>
      </c>
      <c r="N161" s="11">
        <f>L161*M161</f>
        <v/>
      </c>
      <c r="O161" s="10">
        <f>N161/1000</f>
        <v/>
      </c>
      <c r="P161" s="5" t="inlineStr">
        <is>
          <t>10&lt;D&lt;=18mm</t>
        </is>
      </c>
      <c r="Q161" s="6" t="inlineStr">
        <is>
          <t>TCVN 1651:2018 / ASTM</t>
        </is>
      </c>
    </row>
    <row r="162">
      <c r="A162" s="12" t="n">
        <v>156</v>
      </c>
      <c r="B162" s="13" t="inlineStr">
        <is>
          <t>Trụ T1, T2 (Bệ móng)</t>
        </is>
      </c>
      <c r="C162" s="13" t="inlineStr">
        <is>
          <t>Bệ trụ 2 thân</t>
        </is>
      </c>
      <c r="D162" s="12" t="inlineStr">
        <is>
          <t>B1</t>
        </is>
      </c>
      <c r="E162" s="12" t="n">
        <v>28</v>
      </c>
      <c r="F162" s="12" t="inlineStr">
        <is>
          <t>CB400-V</t>
        </is>
      </c>
      <c r="G162" s="12" t="inlineStr">
        <is>
          <t>S06</t>
        </is>
      </c>
      <c r="H162" s="17" t="n">
        <v>11.528</v>
      </c>
      <c r="I162" s="48" t="n">
        <v>132</v>
      </c>
      <c r="J162" s="48" t="n">
        <v>1</v>
      </c>
      <c r="K162" s="48">
        <f>I162*J162</f>
        <v/>
      </c>
      <c r="L162" s="18">
        <f>H162*K162</f>
        <v/>
      </c>
      <c r="M162" s="17" t="n">
        <v>4.83</v>
      </c>
      <c r="N162" s="18">
        <f>L162*M162</f>
        <v/>
      </c>
      <c r="O162" s="17">
        <f>N162/1000</f>
        <v/>
      </c>
      <c r="P162" s="12" t="inlineStr">
        <is>
          <t>D&gt;18mm</t>
        </is>
      </c>
      <c r="Q162" s="13" t="inlineStr">
        <is>
          <t>TCVN 1651:2018 / ASTM</t>
        </is>
      </c>
    </row>
    <row r="163">
      <c r="A163" s="5" t="n">
        <v>157</v>
      </c>
      <c r="B163" s="6" t="inlineStr">
        <is>
          <t>Trụ T1, T2 (Bệ móng)</t>
        </is>
      </c>
      <c r="C163" s="6" t="inlineStr">
        <is>
          <t>Bệ trụ 2 thân</t>
        </is>
      </c>
      <c r="D163" s="5" t="inlineStr">
        <is>
          <t>B2</t>
        </is>
      </c>
      <c r="E163" s="5" t="n">
        <v>18</v>
      </c>
      <c r="F163" s="5" t="inlineStr">
        <is>
          <t>CB400-V</t>
        </is>
      </c>
      <c r="G163" s="5" t="inlineStr">
        <is>
          <t>S06</t>
        </is>
      </c>
      <c r="H163" s="10" t="n">
        <v>11.286</v>
      </c>
      <c r="I163" s="47" t="n">
        <v>66</v>
      </c>
      <c r="J163" s="47" t="n">
        <v>1</v>
      </c>
      <c r="K163" s="47">
        <f>I163*J163</f>
        <v/>
      </c>
      <c r="L163" s="11">
        <f>H163*K163</f>
        <v/>
      </c>
      <c r="M163" s="10" t="n">
        <v>2</v>
      </c>
      <c r="N163" s="11">
        <f>L163*M163</f>
        <v/>
      </c>
      <c r="O163" s="10">
        <f>N163/1000</f>
        <v/>
      </c>
      <c r="P163" s="5" t="inlineStr">
        <is>
          <t>10&lt;D&lt;=18mm</t>
        </is>
      </c>
      <c r="Q163" s="6" t="inlineStr">
        <is>
          <t>TCVN 1651:2018 / ASTM</t>
        </is>
      </c>
    </row>
    <row r="164">
      <c r="A164" s="12" t="n">
        <v>158</v>
      </c>
      <c r="B164" s="13" t="inlineStr">
        <is>
          <t>Trụ T1, T2 (Bệ móng)</t>
        </is>
      </c>
      <c r="C164" s="13" t="inlineStr">
        <is>
          <t>Bệ trụ 2 thân</t>
        </is>
      </c>
      <c r="D164" s="12" t="inlineStr">
        <is>
          <t>B3</t>
        </is>
      </c>
      <c r="E164" s="12" t="n">
        <v>28</v>
      </c>
      <c r="F164" s="12" t="inlineStr">
        <is>
          <t>CB400-V</t>
        </is>
      </c>
      <c r="G164" s="12" t="inlineStr">
        <is>
          <t>S06</t>
        </is>
      </c>
      <c r="H164" s="17" t="n">
        <v>5.528</v>
      </c>
      <c r="I164" s="48" t="n">
        <v>146</v>
      </c>
      <c r="J164" s="48" t="n">
        <v>1</v>
      </c>
      <c r="K164" s="48">
        <f>I164*J164</f>
        <v/>
      </c>
      <c r="L164" s="18">
        <f>H164*K164</f>
        <v/>
      </c>
      <c r="M164" s="17" t="n">
        <v>4.83</v>
      </c>
      <c r="N164" s="18">
        <f>L164*M164</f>
        <v/>
      </c>
      <c r="O164" s="17">
        <f>N164/1000</f>
        <v/>
      </c>
      <c r="P164" s="12" t="inlineStr">
        <is>
          <t>D&gt;18mm</t>
        </is>
      </c>
      <c r="Q164" s="13" t="inlineStr">
        <is>
          <t>TCVN 1651:2018 / ASTM</t>
        </is>
      </c>
    </row>
    <row r="165">
      <c r="A165" s="5" t="n">
        <v>159</v>
      </c>
      <c r="B165" s="6" t="inlineStr">
        <is>
          <t>Trụ T1, T2 (Bệ móng)</t>
        </is>
      </c>
      <c r="C165" s="6" t="inlineStr">
        <is>
          <t>Bệ trụ 2 thân</t>
        </is>
      </c>
      <c r="D165" s="5" t="inlineStr">
        <is>
          <t>B4</t>
        </is>
      </c>
      <c r="E165" s="5" t="n">
        <v>18</v>
      </c>
      <c r="F165" s="5" t="inlineStr">
        <is>
          <t>CB400-V</t>
        </is>
      </c>
      <c r="G165" s="5" t="inlineStr">
        <is>
          <t>S06</t>
        </is>
      </c>
      <c r="H165" s="10" t="n">
        <v>5.286</v>
      </c>
      <c r="I165" s="47" t="n">
        <v>146</v>
      </c>
      <c r="J165" s="47" t="n">
        <v>1</v>
      </c>
      <c r="K165" s="47">
        <f>I165*J165</f>
        <v/>
      </c>
      <c r="L165" s="11">
        <f>H165*K165</f>
        <v/>
      </c>
      <c r="M165" s="10" t="n">
        <v>2</v>
      </c>
      <c r="N165" s="11">
        <f>L165*M165</f>
        <v/>
      </c>
      <c r="O165" s="10">
        <f>N165/1000</f>
        <v/>
      </c>
      <c r="P165" s="5" t="inlineStr">
        <is>
          <t>10&lt;D&lt;=18mm</t>
        </is>
      </c>
      <c r="Q165" s="6" t="inlineStr">
        <is>
          <t>TCVN 1651:2018 / ASTM</t>
        </is>
      </c>
    </row>
    <row r="166">
      <c r="A166" s="12" t="n">
        <v>160</v>
      </c>
      <c r="B166" s="13" t="inlineStr">
        <is>
          <t>Trụ T1, T2 (Bệ móng)</t>
        </is>
      </c>
      <c r="C166" s="13" t="inlineStr">
        <is>
          <t>Bệ trụ 2 thân</t>
        </is>
      </c>
      <c r="D166" s="12" t="inlineStr">
        <is>
          <t>B5</t>
        </is>
      </c>
      <c r="E166" s="12" t="n">
        <v>16</v>
      </c>
      <c r="F166" s="12" t="inlineStr">
        <is>
          <t>CB400-V</t>
        </is>
      </c>
      <c r="G166" s="12" t="inlineStr">
        <is>
          <t>S06</t>
        </is>
      </c>
      <c r="H166" s="17" t="n">
        <v>1.99</v>
      </c>
      <c r="I166" s="48" t="n">
        <v>556</v>
      </c>
      <c r="J166" s="48" t="n">
        <v>1</v>
      </c>
      <c r="K166" s="48">
        <f>I166*J166</f>
        <v/>
      </c>
      <c r="L166" s="18">
        <f>H166*K166</f>
        <v/>
      </c>
      <c r="M166" s="17" t="n">
        <v>1.58</v>
      </c>
      <c r="N166" s="18">
        <f>L166*M166</f>
        <v/>
      </c>
      <c r="O166" s="17">
        <f>N166/1000</f>
        <v/>
      </c>
      <c r="P166" s="12" t="inlineStr">
        <is>
          <t>10&lt;D&lt;=18mm</t>
        </is>
      </c>
      <c r="Q166" s="13" t="inlineStr">
        <is>
          <t>TCVN 1651:2018 / ASTM</t>
        </is>
      </c>
    </row>
    <row r="167">
      <c r="A167" s="5" t="n">
        <v>161</v>
      </c>
      <c r="B167" s="6" t="inlineStr">
        <is>
          <t>Trụ T1, T2 (Bệ móng)</t>
        </is>
      </c>
      <c r="C167" s="6" t="inlineStr">
        <is>
          <t>Bệ trụ 2 thân</t>
        </is>
      </c>
      <c r="D167" s="5" t="inlineStr">
        <is>
          <t>B6</t>
        </is>
      </c>
      <c r="E167" s="5" t="n">
        <v>16</v>
      </c>
      <c r="F167" s="5" t="inlineStr">
        <is>
          <t>CB400-V</t>
        </is>
      </c>
      <c r="G167" s="5" t="inlineStr">
        <is>
          <t>S01</t>
        </is>
      </c>
      <c r="H167" s="10" t="n">
        <v>4.8</v>
      </c>
      <c r="I167" s="47" t="n">
        <v>40</v>
      </c>
      <c r="J167" s="47" t="n">
        <v>1</v>
      </c>
      <c r="K167" s="47">
        <f>I167*J167</f>
        <v/>
      </c>
      <c r="L167" s="11">
        <f>H167*K167</f>
        <v/>
      </c>
      <c r="M167" s="10" t="n">
        <v>1.58</v>
      </c>
      <c r="N167" s="11">
        <f>L167*M167</f>
        <v/>
      </c>
      <c r="O167" s="10">
        <f>N167/1000</f>
        <v/>
      </c>
      <c r="P167" s="5" t="inlineStr">
        <is>
          <t>10&lt;D&lt;=18mm</t>
        </is>
      </c>
      <c r="Q167" s="6" t="inlineStr">
        <is>
          <t>TCVN 1651:2018 / ASTM</t>
        </is>
      </c>
    </row>
    <row r="168">
      <c r="A168" s="12" t="n">
        <v>162</v>
      </c>
      <c r="B168" s="13" t="inlineStr">
        <is>
          <t>Trụ T1, T2 (Bệ móng)</t>
        </is>
      </c>
      <c r="C168" s="13" t="inlineStr">
        <is>
          <t>Bệ trụ 2 thân</t>
        </is>
      </c>
      <c r="D168" s="12" t="inlineStr">
        <is>
          <t>B7</t>
        </is>
      </c>
      <c r="E168" s="12" t="n">
        <v>16</v>
      </c>
      <c r="F168" s="12" t="inlineStr">
        <is>
          <t>CB400-V</t>
        </is>
      </c>
      <c r="G168" s="12" t="inlineStr">
        <is>
          <t>S01</t>
        </is>
      </c>
      <c r="H168" s="17" t="n">
        <v>10.8</v>
      </c>
      <c r="I168" s="48" t="n">
        <v>40</v>
      </c>
      <c r="J168" s="48" t="n">
        <v>1</v>
      </c>
      <c r="K168" s="48">
        <f>I168*J168</f>
        <v/>
      </c>
      <c r="L168" s="18">
        <f>H168*K168</f>
        <v/>
      </c>
      <c r="M168" s="17" t="n">
        <v>1.58</v>
      </c>
      <c r="N168" s="18">
        <f>L168*M168</f>
        <v/>
      </c>
      <c r="O168" s="17">
        <f>N168/1000</f>
        <v/>
      </c>
      <c r="P168" s="12" t="inlineStr">
        <is>
          <t>10&lt;D&lt;=18mm</t>
        </is>
      </c>
      <c r="Q168" s="13" t="inlineStr">
        <is>
          <t>TCVN 1651:2018 / ASTM</t>
        </is>
      </c>
    </row>
    <row r="169">
      <c r="A169" s="5" t="n">
        <v>163</v>
      </c>
      <c r="B169" s="6" t="inlineStr">
        <is>
          <t>Trụ T1, T2 (Bệ móng)</t>
        </is>
      </c>
      <c r="C169" s="6" t="inlineStr">
        <is>
          <t>Bệ trụ 2 thân</t>
        </is>
      </c>
      <c r="D169" s="5" t="inlineStr">
        <is>
          <t>B8</t>
        </is>
      </c>
      <c r="E169" s="5" t="n">
        <v>16</v>
      </c>
      <c r="F169" s="5" t="inlineStr">
        <is>
          <t>CB400-V</t>
        </is>
      </c>
      <c r="G169" s="5" t="inlineStr">
        <is>
          <t>S06</t>
        </is>
      </c>
      <c r="H169" s="10" t="n">
        <v>1.926</v>
      </c>
      <c r="I169" s="47" t="n">
        <v>612</v>
      </c>
      <c r="J169" s="47" t="n">
        <v>1</v>
      </c>
      <c r="K169" s="47">
        <f>I169*J169</f>
        <v/>
      </c>
      <c r="L169" s="11">
        <f>H169*K169</f>
        <v/>
      </c>
      <c r="M169" s="10" t="n">
        <v>1.58</v>
      </c>
      <c r="N169" s="11">
        <f>L169*M169</f>
        <v/>
      </c>
      <c r="O169" s="10">
        <f>N169/1000</f>
        <v/>
      </c>
      <c r="P169" s="5" t="inlineStr">
        <is>
          <t>10&lt;D&lt;=18mm</t>
        </is>
      </c>
      <c r="Q169" s="6" t="inlineStr">
        <is>
          <t>TCVN 1651:2018 / ASTM</t>
        </is>
      </c>
    </row>
    <row r="170">
      <c r="A170" s="12" t="n">
        <v>164</v>
      </c>
      <c r="B170" s="13" t="inlineStr">
        <is>
          <t>Trụ T1 (Thân trụ)</t>
        </is>
      </c>
      <c r="C170" s="13" t="inlineStr">
        <is>
          <t>th©n trô ®o¹n 1</t>
        </is>
      </c>
      <c r="D170" s="12" t="inlineStr">
        <is>
          <t>T1a</t>
        </is>
      </c>
      <c r="E170" s="12" t="n">
        <v>32</v>
      </c>
      <c r="F170" s="12" t="inlineStr">
        <is>
          <t>CB400-V</t>
        </is>
      </c>
      <c r="G170" s="12" t="inlineStr">
        <is>
          <t>S02</t>
        </is>
      </c>
      <c r="H170" s="17" t="n">
        <v>14.256</v>
      </c>
      <c r="I170" s="48" t="n">
        <v>90</v>
      </c>
      <c r="J170" s="48" t="n">
        <v>1</v>
      </c>
      <c r="K170" s="48">
        <f>I170*J170</f>
        <v/>
      </c>
      <c r="L170" s="18">
        <f>H170*K170</f>
        <v/>
      </c>
      <c r="M170" s="17" t="n">
        <v>6.31</v>
      </c>
      <c r="N170" s="18">
        <f>L170*M170</f>
        <v/>
      </c>
      <c r="O170" s="17">
        <f>N170/1000</f>
        <v/>
      </c>
      <c r="P170" s="12" t="inlineStr">
        <is>
          <t>D&gt;18mm</t>
        </is>
      </c>
      <c r="Q170" s="13" t="inlineStr">
        <is>
          <t>TCVN 1651:2018 / ASTM</t>
        </is>
      </c>
    </row>
    <row r="171">
      <c r="A171" s="5" t="n">
        <v>165</v>
      </c>
      <c r="B171" s="6" t="inlineStr">
        <is>
          <t>Trụ T1 (Thân trụ)</t>
        </is>
      </c>
      <c r="C171" s="6" t="inlineStr">
        <is>
          <t>Thân trụ đặc</t>
        </is>
      </c>
      <c r="D171" s="5" t="inlineStr">
        <is>
          <t>T2a</t>
        </is>
      </c>
      <c r="E171" s="5" t="n">
        <v>16</v>
      </c>
      <c r="F171" s="5" t="inlineStr">
        <is>
          <t>CB400-V</t>
        </is>
      </c>
      <c r="G171" s="5" t="inlineStr">
        <is>
          <t>S07</t>
        </is>
      </c>
      <c r="H171" s="10" t="n">
        <v>5.352</v>
      </c>
      <c r="I171" s="47" t="n">
        <v>176</v>
      </c>
      <c r="J171" s="47" t="n">
        <v>1</v>
      </c>
      <c r="K171" s="47">
        <f>I171*J171</f>
        <v/>
      </c>
      <c r="L171" s="11">
        <f>H171*K171</f>
        <v/>
      </c>
      <c r="M171" s="10" t="n">
        <v>1.58</v>
      </c>
      <c r="N171" s="11">
        <f>L171*M171</f>
        <v/>
      </c>
      <c r="O171" s="10">
        <f>N171/1000</f>
        <v/>
      </c>
      <c r="P171" s="5" t="inlineStr">
        <is>
          <t>10&lt;D&lt;=18mm</t>
        </is>
      </c>
      <c r="Q171" s="6" t="inlineStr">
        <is>
          <t>TCVN 1651:2018 / ASTM</t>
        </is>
      </c>
    </row>
    <row r="172">
      <c r="A172" s="12" t="n">
        <v>166</v>
      </c>
      <c r="B172" s="13" t="inlineStr">
        <is>
          <t>Trụ T1 (Thân trụ)</t>
        </is>
      </c>
      <c r="C172" s="13" t="inlineStr">
        <is>
          <t>Thân trụ đặc</t>
        </is>
      </c>
      <c r="D172" s="12" t="inlineStr">
        <is>
          <t>T3a</t>
        </is>
      </c>
      <c r="E172" s="12" t="n">
        <v>16</v>
      </c>
      <c r="F172" s="12" t="inlineStr">
        <is>
          <t>CB400-V</t>
        </is>
      </c>
      <c r="G172" s="12" t="inlineStr">
        <is>
          <t>S51</t>
        </is>
      </c>
      <c r="H172" s="17" t="n">
        <v>6.806</v>
      </c>
      <c r="I172" s="48" t="n">
        <v>176</v>
      </c>
      <c r="J172" s="48" t="n">
        <v>1</v>
      </c>
      <c r="K172" s="48">
        <f>I172*J172</f>
        <v/>
      </c>
      <c r="L172" s="18">
        <f>H172*K172</f>
        <v/>
      </c>
      <c r="M172" s="17" t="n">
        <v>1.58</v>
      </c>
      <c r="N172" s="18">
        <f>L172*M172</f>
        <v/>
      </c>
      <c r="O172" s="17">
        <f>N172/1000</f>
        <v/>
      </c>
      <c r="P172" s="12" t="inlineStr">
        <is>
          <t>10&lt;D&lt;=18mm</t>
        </is>
      </c>
      <c r="Q172" s="13" t="inlineStr">
        <is>
          <t>TCVN 1651:2018 / ASTM</t>
        </is>
      </c>
    </row>
    <row r="173">
      <c r="A173" s="5" t="n">
        <v>167</v>
      </c>
      <c r="B173" s="6" t="inlineStr">
        <is>
          <t>Trụ T1 (Thân trụ)</t>
        </is>
      </c>
      <c r="C173" s="6" t="inlineStr">
        <is>
          <t>Thân trụ đặc</t>
        </is>
      </c>
      <c r="D173" s="5" t="inlineStr">
        <is>
          <t>T4a</t>
        </is>
      </c>
      <c r="E173" s="5" t="n">
        <v>16</v>
      </c>
      <c r="F173" s="5" t="inlineStr">
        <is>
          <t>CB400-V</t>
        </is>
      </c>
      <c r="G173" s="5" t="inlineStr">
        <is>
          <t>S06</t>
        </is>
      </c>
      <c r="H173" s="10" t="n">
        <v>5.332</v>
      </c>
      <c r="I173" s="47" t="n">
        <v>20</v>
      </c>
      <c r="J173" s="47" t="n">
        <v>1</v>
      </c>
      <c r="K173" s="47">
        <f>I173*J173</f>
        <v/>
      </c>
      <c r="L173" s="11">
        <f>H173*K173</f>
        <v/>
      </c>
      <c r="M173" s="10" t="n">
        <v>1.58</v>
      </c>
      <c r="N173" s="11">
        <f>L173*M173</f>
        <v/>
      </c>
      <c r="O173" s="10">
        <f>N173/1000</f>
        <v/>
      </c>
      <c r="P173" s="5" t="inlineStr">
        <is>
          <t>10&lt;D&lt;=18mm</t>
        </is>
      </c>
      <c r="Q173" s="6" t="inlineStr">
        <is>
          <t>TCVN 1651:2018 / ASTM</t>
        </is>
      </c>
    </row>
    <row r="174">
      <c r="A174" s="12" t="n">
        <v>168</v>
      </c>
      <c r="B174" s="13" t="inlineStr">
        <is>
          <t>Trụ T1 (Thân trụ)</t>
        </is>
      </c>
      <c r="C174" s="13" t="inlineStr">
        <is>
          <t>Thân trụ đặc</t>
        </is>
      </c>
      <c r="D174" s="12" t="inlineStr">
        <is>
          <t>T4a1</t>
        </is>
      </c>
      <c r="E174" s="12" t="n">
        <v>16</v>
      </c>
      <c r="F174" s="12" t="inlineStr">
        <is>
          <t>CB400-V</t>
        </is>
      </c>
      <c r="G174" s="12" t="inlineStr">
        <is>
          <t>S06</t>
        </is>
      </c>
      <c r="H174" s="17" t="n">
        <v>5.102</v>
      </c>
      <c r="I174" s="48" t="n">
        <v>40</v>
      </c>
      <c r="J174" s="48" t="n">
        <v>1</v>
      </c>
      <c r="K174" s="48">
        <f>I174*J174</f>
        <v/>
      </c>
      <c r="L174" s="18">
        <f>H174*K174</f>
        <v/>
      </c>
      <c r="M174" s="17" t="n">
        <v>1.58</v>
      </c>
      <c r="N174" s="18">
        <f>L174*M174</f>
        <v/>
      </c>
      <c r="O174" s="17">
        <f>N174/1000</f>
        <v/>
      </c>
      <c r="P174" s="12" t="inlineStr">
        <is>
          <t>10&lt;D&lt;=18mm</t>
        </is>
      </c>
      <c r="Q174" s="13" t="inlineStr">
        <is>
          <t>TCVN 1651:2018 / ASTM</t>
        </is>
      </c>
    </row>
    <row r="175">
      <c r="A175" s="5" t="n">
        <v>169</v>
      </c>
      <c r="B175" s="6" t="inlineStr">
        <is>
          <t>Trụ T1 (Thân trụ)</t>
        </is>
      </c>
      <c r="C175" s="6" t="inlineStr">
        <is>
          <t>th©n trô ®o¹n 2</t>
        </is>
      </c>
      <c r="D175" s="5" t="inlineStr">
        <is>
          <t>T1b</t>
        </is>
      </c>
      <c r="E175" s="5" t="n">
        <v>32</v>
      </c>
      <c r="F175" s="5" t="inlineStr">
        <is>
          <t>CB400-V</t>
        </is>
      </c>
      <c r="G175" s="5" t="inlineStr">
        <is>
          <t>S28</t>
        </is>
      </c>
      <c r="H175" s="10" t="n">
        <v>13.616</v>
      </c>
      <c r="I175" s="47" t="n">
        <v>106</v>
      </c>
      <c r="J175" s="47" t="n">
        <v>1</v>
      </c>
      <c r="K175" s="47">
        <f>I175*J175</f>
        <v/>
      </c>
      <c r="L175" s="11">
        <f>H175*K175</f>
        <v/>
      </c>
      <c r="M175" s="10" t="n">
        <v>6.31</v>
      </c>
      <c r="N175" s="11">
        <f>L175*M175</f>
        <v/>
      </c>
      <c r="O175" s="10">
        <f>N175/1000</f>
        <v/>
      </c>
      <c r="P175" s="5" t="inlineStr">
        <is>
          <t>D&gt;18mm</t>
        </is>
      </c>
      <c r="Q175" s="6" t="inlineStr">
        <is>
          <t>TCVN 1651:2018 / ASTM</t>
        </is>
      </c>
    </row>
    <row r="176">
      <c r="A176" s="12" t="n">
        <v>170</v>
      </c>
      <c r="B176" s="13" t="inlineStr">
        <is>
          <t>Trụ T1 (Thân trụ)</t>
        </is>
      </c>
      <c r="C176" s="13" t="inlineStr">
        <is>
          <t>Thân trụ đặc</t>
        </is>
      </c>
      <c r="D176" s="12" t="inlineStr">
        <is>
          <t>T2b</t>
        </is>
      </c>
      <c r="E176" s="12" t="n">
        <v>16</v>
      </c>
      <c r="F176" s="12" t="inlineStr">
        <is>
          <t>CB400-V</t>
        </is>
      </c>
      <c r="G176" s="12" t="inlineStr">
        <is>
          <t>S07</t>
        </is>
      </c>
      <c r="H176" s="17" t="n">
        <v>6.894</v>
      </c>
      <c r="I176" s="48" t="n">
        <v>150</v>
      </c>
      <c r="J176" s="48" t="n">
        <v>1</v>
      </c>
      <c r="K176" s="48">
        <f>I176*J176</f>
        <v/>
      </c>
      <c r="L176" s="18">
        <f>H176*K176</f>
        <v/>
      </c>
      <c r="M176" s="17" t="n">
        <v>1.58</v>
      </c>
      <c r="N176" s="18">
        <f>L176*M176</f>
        <v/>
      </c>
      <c r="O176" s="17">
        <f>N176/1000</f>
        <v/>
      </c>
      <c r="P176" s="12" t="inlineStr">
        <is>
          <t>10&lt;D&lt;=18mm</t>
        </is>
      </c>
      <c r="Q176" s="13" t="inlineStr">
        <is>
          <t>TCVN 1651:2018 / ASTM</t>
        </is>
      </c>
    </row>
    <row r="177">
      <c r="A177" s="5" t="n">
        <v>171</v>
      </c>
      <c r="B177" s="6" t="inlineStr">
        <is>
          <t>Trụ T1 (Thân trụ)</t>
        </is>
      </c>
      <c r="C177" s="6" t="inlineStr">
        <is>
          <t>Thân trụ đặc</t>
        </is>
      </c>
      <c r="D177" s="5" t="inlineStr">
        <is>
          <t>T3b</t>
        </is>
      </c>
      <c r="E177" s="5" t="n">
        <v>16</v>
      </c>
      <c r="F177" s="5" t="inlineStr">
        <is>
          <t>CB400-V</t>
        </is>
      </c>
      <c r="G177" s="5" t="inlineStr">
        <is>
          <t>S51</t>
        </is>
      </c>
      <c r="H177" s="10" t="n">
        <v>8.006</v>
      </c>
      <c r="I177" s="47" t="n">
        <v>150</v>
      </c>
      <c r="J177" s="47" t="n">
        <v>1</v>
      </c>
      <c r="K177" s="47">
        <f>I177*J177</f>
        <v/>
      </c>
      <c r="L177" s="11">
        <f>H177*K177</f>
        <v/>
      </c>
      <c r="M177" s="10" t="n">
        <v>1.58</v>
      </c>
      <c r="N177" s="11">
        <f>L177*M177</f>
        <v/>
      </c>
      <c r="O177" s="10">
        <f>N177/1000</f>
        <v/>
      </c>
      <c r="P177" s="5" t="inlineStr">
        <is>
          <t>10&lt;D&lt;=18mm</t>
        </is>
      </c>
      <c r="Q177" s="6" t="inlineStr">
        <is>
          <t>TCVN 1651:2018 / ASTM</t>
        </is>
      </c>
    </row>
    <row r="178">
      <c r="A178" s="12" t="n">
        <v>172</v>
      </c>
      <c r="B178" s="13" t="inlineStr">
        <is>
          <t>Trụ T1 (Thân trụ)</t>
        </is>
      </c>
      <c r="C178" s="13" t="inlineStr">
        <is>
          <t>Thân trụ đặc</t>
        </is>
      </c>
      <c r="D178" s="12" t="inlineStr">
        <is>
          <t>T4b</t>
        </is>
      </c>
      <c r="E178" s="12" t="n">
        <v>16</v>
      </c>
      <c r="F178" s="12" t="inlineStr">
        <is>
          <t>CB400-V</t>
        </is>
      </c>
      <c r="G178" s="12" t="inlineStr">
        <is>
          <t>S06</t>
        </is>
      </c>
      <c r="H178" s="17" t="n">
        <v>5.932</v>
      </c>
      <c r="I178" s="48" t="n">
        <v>19</v>
      </c>
      <c r="J178" s="48" t="n">
        <v>1</v>
      </c>
      <c r="K178" s="48">
        <f>I178*J178</f>
        <v/>
      </c>
      <c r="L178" s="18">
        <f>H178*K178</f>
        <v/>
      </c>
      <c r="M178" s="17" t="n">
        <v>1.58</v>
      </c>
      <c r="N178" s="18">
        <f>L178*M178</f>
        <v/>
      </c>
      <c r="O178" s="17">
        <f>N178/1000</f>
        <v/>
      </c>
      <c r="P178" s="12" t="inlineStr">
        <is>
          <t>10&lt;D&lt;=18mm</t>
        </is>
      </c>
      <c r="Q178" s="13" t="inlineStr">
        <is>
          <t>TCVN 1651:2018 / ASTM</t>
        </is>
      </c>
    </row>
    <row r="179">
      <c r="A179" s="5" t="n">
        <v>173</v>
      </c>
      <c r="B179" s="6" t="inlineStr">
        <is>
          <t>Trụ T1 (Thân trụ)</t>
        </is>
      </c>
      <c r="C179" s="6" t="inlineStr">
        <is>
          <t>Thân trụ đặc</t>
        </is>
      </c>
      <c r="D179" s="5" t="inlineStr">
        <is>
          <t>T4b1</t>
        </is>
      </c>
      <c r="E179" s="5" t="n">
        <v>16</v>
      </c>
      <c r="F179" s="5" t="inlineStr">
        <is>
          <t>CB400-V</t>
        </is>
      </c>
      <c r="G179" s="5" t="inlineStr">
        <is>
          <t>S06</t>
        </is>
      </c>
      <c r="H179" s="10" t="n">
        <v>5.652</v>
      </c>
      <c r="I179" s="47" t="n">
        <v>38</v>
      </c>
      <c r="J179" s="47" t="n">
        <v>1</v>
      </c>
      <c r="K179" s="47">
        <f>I179*J179</f>
        <v/>
      </c>
      <c r="L179" s="11">
        <f>H179*K179</f>
        <v/>
      </c>
      <c r="M179" s="10" t="n">
        <v>1.58</v>
      </c>
      <c r="N179" s="11">
        <f>L179*M179</f>
        <v/>
      </c>
      <c r="O179" s="10">
        <f>N179/1000</f>
        <v/>
      </c>
      <c r="P179" s="5" t="inlineStr">
        <is>
          <t>10&lt;D&lt;=18mm</t>
        </is>
      </c>
      <c r="Q179" s="6" t="inlineStr">
        <is>
          <t>TCVN 1651:2018 / ASTM</t>
        </is>
      </c>
    </row>
    <row r="180">
      <c r="A180" s="12" t="n">
        <v>174</v>
      </c>
      <c r="B180" s="13" t="inlineStr">
        <is>
          <t>Trụ T1 (Thân trụ)</t>
        </is>
      </c>
      <c r="C180" s="13" t="inlineStr">
        <is>
          <t>th©n trô ®o¹n 3</t>
        </is>
      </c>
      <c r="D180" s="12" t="inlineStr">
        <is>
          <t>T1c</t>
        </is>
      </c>
      <c r="E180" s="12" t="n">
        <v>32</v>
      </c>
      <c r="F180" s="12" t="inlineStr">
        <is>
          <t>CB400-V</t>
        </is>
      </c>
      <c r="G180" s="12" t="inlineStr">
        <is>
          <t>S28</t>
        </is>
      </c>
      <c r="H180" s="17" t="n">
        <v>6.556</v>
      </c>
      <c r="I180" s="48" t="n">
        <v>122</v>
      </c>
      <c r="J180" s="48" t="n">
        <v>1</v>
      </c>
      <c r="K180" s="48">
        <f>I180*J180</f>
        <v/>
      </c>
      <c r="L180" s="18">
        <f>H180*K180</f>
        <v/>
      </c>
      <c r="M180" s="17" t="n">
        <v>6.31</v>
      </c>
      <c r="N180" s="18">
        <f>L180*M180</f>
        <v/>
      </c>
      <c r="O180" s="17">
        <f>N180/1000</f>
        <v/>
      </c>
      <c r="P180" s="12" t="inlineStr">
        <is>
          <t>D&gt;18mm</t>
        </is>
      </c>
      <c r="Q180" s="13" t="inlineStr">
        <is>
          <t>TCVN 1651:2018 / ASTM</t>
        </is>
      </c>
    </row>
    <row r="181">
      <c r="A181" s="5" t="n">
        <v>175</v>
      </c>
      <c r="B181" s="6" t="inlineStr">
        <is>
          <t>Trụ T1 (Thân trụ)</t>
        </is>
      </c>
      <c r="C181" s="6" t="inlineStr">
        <is>
          <t>Thân trụ đặc</t>
        </is>
      </c>
      <c r="D181" s="5" t="inlineStr">
        <is>
          <t>T2c</t>
        </is>
      </c>
      <c r="E181" s="5" t="n">
        <v>16</v>
      </c>
      <c r="F181" s="5" t="inlineStr">
        <is>
          <t>CB400-V</t>
        </is>
      </c>
      <c r="G181" s="5" t="inlineStr">
        <is>
          <t>S07</t>
        </is>
      </c>
      <c r="H181" s="10" t="n">
        <v>8.436999999999999</v>
      </c>
      <c r="I181" s="47" t="n">
        <v>76</v>
      </c>
      <c r="J181" s="47" t="n">
        <v>1</v>
      </c>
      <c r="K181" s="47">
        <f>I181*J181</f>
        <v/>
      </c>
      <c r="L181" s="11">
        <f>H181*K181</f>
        <v/>
      </c>
      <c r="M181" s="10" t="n">
        <v>1.58</v>
      </c>
      <c r="N181" s="11">
        <f>L181*M181</f>
        <v/>
      </c>
      <c r="O181" s="10">
        <f>N181/1000</f>
        <v/>
      </c>
      <c r="P181" s="5" t="inlineStr">
        <is>
          <t>10&lt;D&lt;=18mm</t>
        </is>
      </c>
      <c r="Q181" s="6" t="inlineStr">
        <is>
          <t>TCVN 1651:2018 / ASTM</t>
        </is>
      </c>
    </row>
    <row r="182">
      <c r="A182" s="12" t="n">
        <v>176</v>
      </c>
      <c r="B182" s="13" t="inlineStr">
        <is>
          <t>Trụ T1 (Thân trụ)</t>
        </is>
      </c>
      <c r="C182" s="13" t="inlineStr">
        <is>
          <t>Thân trụ đặc</t>
        </is>
      </c>
      <c r="D182" s="12" t="inlineStr">
        <is>
          <t>T3c</t>
        </is>
      </c>
      <c r="E182" s="12" t="n">
        <v>16</v>
      </c>
      <c r="F182" s="12" t="inlineStr">
        <is>
          <t>CB400-V</t>
        </is>
      </c>
      <c r="G182" s="12" t="inlineStr">
        <is>
          <t>S51</t>
        </is>
      </c>
      <c r="H182" s="17" t="n">
        <v>9.206</v>
      </c>
      <c r="I182" s="48" t="n">
        <v>76</v>
      </c>
      <c r="J182" s="48" t="n">
        <v>1</v>
      </c>
      <c r="K182" s="48">
        <f>I182*J182</f>
        <v/>
      </c>
      <c r="L182" s="18">
        <f>H182*K182</f>
        <v/>
      </c>
      <c r="M182" s="17" t="n">
        <v>1.58</v>
      </c>
      <c r="N182" s="18">
        <f>L182*M182</f>
        <v/>
      </c>
      <c r="O182" s="17">
        <f>N182/1000</f>
        <v/>
      </c>
      <c r="P182" s="12" t="inlineStr">
        <is>
          <t>10&lt;D&lt;=18mm</t>
        </is>
      </c>
      <c r="Q182" s="13" t="inlineStr">
        <is>
          <t>TCVN 1651:2018 / ASTM</t>
        </is>
      </c>
    </row>
    <row r="183">
      <c r="A183" s="5" t="n">
        <v>177</v>
      </c>
      <c r="B183" s="6" t="inlineStr">
        <is>
          <t>Trụ T1 (Thân trụ)</t>
        </is>
      </c>
      <c r="C183" s="6" t="inlineStr">
        <is>
          <t>Thân trụ đặc</t>
        </is>
      </c>
      <c r="D183" s="5" t="inlineStr">
        <is>
          <t>T4c</t>
        </is>
      </c>
      <c r="E183" s="5" t="n">
        <v>16</v>
      </c>
      <c r="F183" s="5" t="inlineStr">
        <is>
          <t>CB400-V</t>
        </is>
      </c>
      <c r="G183" s="5" t="inlineStr">
        <is>
          <t>S06</t>
        </is>
      </c>
      <c r="H183" s="10" t="n">
        <v>6.532</v>
      </c>
      <c r="I183" s="47" t="n">
        <v>9</v>
      </c>
      <c r="J183" s="47" t="n">
        <v>1</v>
      </c>
      <c r="K183" s="47">
        <f>I183*J183</f>
        <v/>
      </c>
      <c r="L183" s="11">
        <f>H183*K183</f>
        <v/>
      </c>
      <c r="M183" s="10" t="n">
        <v>1.58</v>
      </c>
      <c r="N183" s="11">
        <f>L183*M183</f>
        <v/>
      </c>
      <c r="O183" s="10">
        <f>N183/1000</f>
        <v/>
      </c>
      <c r="P183" s="5" t="inlineStr">
        <is>
          <t>10&lt;D&lt;=18mm</t>
        </is>
      </c>
      <c r="Q183" s="6" t="inlineStr">
        <is>
          <t>TCVN 1651:2018 / ASTM</t>
        </is>
      </c>
    </row>
    <row r="184">
      <c r="A184" s="12" t="n">
        <v>178</v>
      </c>
      <c r="B184" s="13" t="inlineStr">
        <is>
          <t>Trụ T1 (Thân trụ)</t>
        </is>
      </c>
      <c r="C184" s="13" t="inlineStr">
        <is>
          <t>Thân trụ đặc</t>
        </is>
      </c>
      <c r="D184" s="12" t="inlineStr">
        <is>
          <t>T4c1</t>
        </is>
      </c>
      <c r="E184" s="12" t="n">
        <v>16</v>
      </c>
      <c r="F184" s="12" t="inlineStr">
        <is>
          <t>CB400-V</t>
        </is>
      </c>
      <c r="G184" s="12" t="inlineStr">
        <is>
          <t>S06</t>
        </is>
      </c>
      <c r="H184" s="17" t="n">
        <v>6.202</v>
      </c>
      <c r="I184" s="48" t="n">
        <v>18</v>
      </c>
      <c r="J184" s="48" t="n">
        <v>1</v>
      </c>
      <c r="K184" s="48">
        <f>I184*J184</f>
        <v/>
      </c>
      <c r="L184" s="18">
        <f>H184*K184</f>
        <v/>
      </c>
      <c r="M184" s="17" t="n">
        <v>1.58</v>
      </c>
      <c r="N184" s="18">
        <f>L184*M184</f>
        <v/>
      </c>
      <c r="O184" s="17">
        <f>N184/1000</f>
        <v/>
      </c>
      <c r="P184" s="12" t="inlineStr">
        <is>
          <t>10&lt;D&lt;=18mm</t>
        </is>
      </c>
      <c r="Q184" s="13" t="inlineStr">
        <is>
          <t>TCVN 1651:2018 / ASTM</t>
        </is>
      </c>
    </row>
    <row r="185">
      <c r="A185" s="5" t="n">
        <v>179</v>
      </c>
      <c r="B185" s="6" t="inlineStr">
        <is>
          <t>Trụ T2 (Thân trụ)</t>
        </is>
      </c>
      <c r="C185" s="6" t="inlineStr">
        <is>
          <t>th©n trô ®o¹n 1</t>
        </is>
      </c>
      <c r="D185" s="5" t="inlineStr">
        <is>
          <t>T1a</t>
        </is>
      </c>
      <c r="E185" s="5" t="n">
        <v>32</v>
      </c>
      <c r="F185" s="5" t="inlineStr">
        <is>
          <t>CB400-V</t>
        </is>
      </c>
      <c r="G185" s="5" t="inlineStr">
        <is>
          <t>S02</t>
        </is>
      </c>
      <c r="H185" s="10" t="n">
        <v>14.256</v>
      </c>
      <c r="I185" s="47" t="n">
        <v>90</v>
      </c>
      <c r="J185" s="47" t="n">
        <v>1</v>
      </c>
      <c r="K185" s="47">
        <f>I185*J185</f>
        <v/>
      </c>
      <c r="L185" s="11">
        <f>H185*K185</f>
        <v/>
      </c>
      <c r="M185" s="10" t="n">
        <v>6.31</v>
      </c>
      <c r="N185" s="11">
        <f>L185*M185</f>
        <v/>
      </c>
      <c r="O185" s="10">
        <f>N185/1000</f>
        <v/>
      </c>
      <c r="P185" s="5" t="inlineStr">
        <is>
          <t>D&gt;18mm</t>
        </is>
      </c>
      <c r="Q185" s="6" t="inlineStr">
        <is>
          <t>TCVN 1651:2018 / ASTM</t>
        </is>
      </c>
    </row>
    <row r="186">
      <c r="A186" s="12" t="n">
        <v>180</v>
      </c>
      <c r="B186" s="13" t="inlineStr">
        <is>
          <t>Trụ T2 (Thân trụ)</t>
        </is>
      </c>
      <c r="C186" s="13" t="inlineStr">
        <is>
          <t>Thân trụ đặc</t>
        </is>
      </c>
      <c r="D186" s="12" t="inlineStr">
        <is>
          <t>T2a</t>
        </is>
      </c>
      <c r="E186" s="12" t="n">
        <v>16</v>
      </c>
      <c r="F186" s="12" t="inlineStr">
        <is>
          <t>CB400-V</t>
        </is>
      </c>
      <c r="G186" s="12" t="inlineStr">
        <is>
          <t>S07</t>
        </is>
      </c>
      <c r="H186" s="17" t="n">
        <v>5.352</v>
      </c>
      <c r="I186" s="48" t="n">
        <v>176</v>
      </c>
      <c r="J186" s="48" t="n">
        <v>1</v>
      </c>
      <c r="K186" s="48">
        <f>I186*J186</f>
        <v/>
      </c>
      <c r="L186" s="18">
        <f>H186*K186</f>
        <v/>
      </c>
      <c r="M186" s="17" t="n">
        <v>1.58</v>
      </c>
      <c r="N186" s="18">
        <f>L186*M186</f>
        <v/>
      </c>
      <c r="O186" s="17">
        <f>N186/1000</f>
        <v/>
      </c>
      <c r="P186" s="12" t="inlineStr">
        <is>
          <t>10&lt;D&lt;=18mm</t>
        </is>
      </c>
      <c r="Q186" s="13" t="inlineStr">
        <is>
          <t>TCVN 1651:2018 / ASTM</t>
        </is>
      </c>
    </row>
    <row r="187">
      <c r="A187" s="5" t="n">
        <v>181</v>
      </c>
      <c r="B187" s="6" t="inlineStr">
        <is>
          <t>Trụ T2 (Thân trụ)</t>
        </is>
      </c>
      <c r="C187" s="6" t="inlineStr">
        <is>
          <t>Thân trụ đặc</t>
        </is>
      </c>
      <c r="D187" s="5" t="inlineStr">
        <is>
          <t>T3a</t>
        </is>
      </c>
      <c r="E187" s="5" t="n">
        <v>16</v>
      </c>
      <c r="F187" s="5" t="inlineStr">
        <is>
          <t>CB400-V</t>
        </is>
      </c>
      <c r="G187" s="5" t="inlineStr">
        <is>
          <t>S51</t>
        </is>
      </c>
      <c r="H187" s="10" t="n">
        <v>6.806</v>
      </c>
      <c r="I187" s="47" t="n">
        <v>176</v>
      </c>
      <c r="J187" s="47" t="n">
        <v>1</v>
      </c>
      <c r="K187" s="47">
        <f>I187*J187</f>
        <v/>
      </c>
      <c r="L187" s="11">
        <f>H187*K187</f>
        <v/>
      </c>
      <c r="M187" s="10" t="n">
        <v>1.58</v>
      </c>
      <c r="N187" s="11">
        <f>L187*M187</f>
        <v/>
      </c>
      <c r="O187" s="10">
        <f>N187/1000</f>
        <v/>
      </c>
      <c r="P187" s="5" t="inlineStr">
        <is>
          <t>10&lt;D&lt;=18mm</t>
        </is>
      </c>
      <c r="Q187" s="6" t="inlineStr">
        <is>
          <t>TCVN 1651:2018 / ASTM</t>
        </is>
      </c>
    </row>
    <row r="188">
      <c r="A188" s="12" t="n">
        <v>182</v>
      </c>
      <c r="B188" s="13" t="inlineStr">
        <is>
          <t>Trụ T2 (Thân trụ)</t>
        </is>
      </c>
      <c r="C188" s="13" t="inlineStr">
        <is>
          <t>Thân trụ đặc</t>
        </is>
      </c>
      <c r="D188" s="12" t="inlineStr">
        <is>
          <t>T4a</t>
        </is>
      </c>
      <c r="E188" s="12" t="n">
        <v>16</v>
      </c>
      <c r="F188" s="12" t="inlineStr">
        <is>
          <t>CB400-V</t>
        </is>
      </c>
      <c r="G188" s="12" t="inlineStr">
        <is>
          <t>S06</t>
        </is>
      </c>
      <c r="H188" s="17" t="n">
        <v>5.332</v>
      </c>
      <c r="I188" s="48" t="n">
        <v>20</v>
      </c>
      <c r="J188" s="48" t="n">
        <v>1</v>
      </c>
      <c r="K188" s="48">
        <f>I188*J188</f>
        <v/>
      </c>
      <c r="L188" s="18">
        <f>H188*K188</f>
        <v/>
      </c>
      <c r="M188" s="17" t="n">
        <v>1.58</v>
      </c>
      <c r="N188" s="18">
        <f>L188*M188</f>
        <v/>
      </c>
      <c r="O188" s="17">
        <f>N188/1000</f>
        <v/>
      </c>
      <c r="P188" s="12" t="inlineStr">
        <is>
          <t>10&lt;D&lt;=18mm</t>
        </is>
      </c>
      <c r="Q188" s="13" t="inlineStr">
        <is>
          <t>TCVN 1651:2018 / ASTM</t>
        </is>
      </c>
    </row>
    <row r="189">
      <c r="A189" s="5" t="n">
        <v>183</v>
      </c>
      <c r="B189" s="6" t="inlineStr">
        <is>
          <t>Trụ T2 (Thân trụ)</t>
        </is>
      </c>
      <c r="C189" s="6" t="inlineStr">
        <is>
          <t>Thân trụ đặc</t>
        </is>
      </c>
      <c r="D189" s="5" t="inlineStr">
        <is>
          <t>T4a1</t>
        </is>
      </c>
      <c r="E189" s="5" t="n">
        <v>16</v>
      </c>
      <c r="F189" s="5" t="inlineStr">
        <is>
          <t>CB400-V</t>
        </is>
      </c>
      <c r="G189" s="5" t="inlineStr">
        <is>
          <t>S06</t>
        </is>
      </c>
      <c r="H189" s="10" t="n">
        <v>5.102</v>
      </c>
      <c r="I189" s="47" t="n">
        <v>40</v>
      </c>
      <c r="J189" s="47" t="n">
        <v>1</v>
      </c>
      <c r="K189" s="47">
        <f>I189*J189</f>
        <v/>
      </c>
      <c r="L189" s="11">
        <f>H189*K189</f>
        <v/>
      </c>
      <c r="M189" s="10" t="n">
        <v>1.58</v>
      </c>
      <c r="N189" s="11">
        <f>L189*M189</f>
        <v/>
      </c>
      <c r="O189" s="10">
        <f>N189/1000</f>
        <v/>
      </c>
      <c r="P189" s="5" t="inlineStr">
        <is>
          <t>10&lt;D&lt;=18mm</t>
        </is>
      </c>
      <c r="Q189" s="6" t="inlineStr">
        <is>
          <t>TCVN 1651:2018 / ASTM</t>
        </is>
      </c>
    </row>
    <row r="190">
      <c r="A190" s="12" t="n">
        <v>184</v>
      </c>
      <c r="B190" s="13" t="inlineStr">
        <is>
          <t>Trụ T2 (Thân trụ)</t>
        </is>
      </c>
      <c r="C190" s="13" t="inlineStr">
        <is>
          <t>th©n trô ®o¹n 2</t>
        </is>
      </c>
      <c r="D190" s="12" t="inlineStr">
        <is>
          <t>T1b</t>
        </is>
      </c>
      <c r="E190" s="12" t="n">
        <v>32</v>
      </c>
      <c r="F190" s="12" t="inlineStr">
        <is>
          <t>CB400-V</t>
        </is>
      </c>
      <c r="G190" s="12" t="inlineStr">
        <is>
          <t>S28</t>
        </is>
      </c>
      <c r="H190" s="17" t="n">
        <v>13.616</v>
      </c>
      <c r="I190" s="48" t="n">
        <v>106</v>
      </c>
      <c r="J190" s="48" t="n">
        <v>1</v>
      </c>
      <c r="K190" s="48">
        <f>I190*J190</f>
        <v/>
      </c>
      <c r="L190" s="18">
        <f>H190*K190</f>
        <v/>
      </c>
      <c r="M190" s="17" t="n">
        <v>6.31</v>
      </c>
      <c r="N190" s="18">
        <f>L190*M190</f>
        <v/>
      </c>
      <c r="O190" s="17">
        <f>N190/1000</f>
        <v/>
      </c>
      <c r="P190" s="12" t="inlineStr">
        <is>
          <t>D&gt;18mm</t>
        </is>
      </c>
      <c r="Q190" s="13" t="inlineStr">
        <is>
          <t>TCVN 1651:2018 / ASTM</t>
        </is>
      </c>
    </row>
    <row r="191">
      <c r="A191" s="5" t="n">
        <v>185</v>
      </c>
      <c r="B191" s="6" t="inlineStr">
        <is>
          <t>Trụ T2 (Thân trụ)</t>
        </is>
      </c>
      <c r="C191" s="6" t="inlineStr">
        <is>
          <t>Thân trụ đặc</t>
        </is>
      </c>
      <c r="D191" s="5" t="inlineStr">
        <is>
          <t>T2b</t>
        </is>
      </c>
      <c r="E191" s="5" t="n">
        <v>16</v>
      </c>
      <c r="F191" s="5" t="inlineStr">
        <is>
          <t>CB400-V</t>
        </is>
      </c>
      <c r="G191" s="5" t="inlineStr">
        <is>
          <t>S07</t>
        </is>
      </c>
      <c r="H191" s="10" t="n">
        <v>6.894</v>
      </c>
      <c r="I191" s="47" t="n">
        <v>150</v>
      </c>
      <c r="J191" s="47" t="n">
        <v>1</v>
      </c>
      <c r="K191" s="47">
        <f>I191*J191</f>
        <v/>
      </c>
      <c r="L191" s="11">
        <f>H191*K191</f>
        <v/>
      </c>
      <c r="M191" s="10" t="n">
        <v>1.58</v>
      </c>
      <c r="N191" s="11">
        <f>L191*M191</f>
        <v/>
      </c>
      <c r="O191" s="10">
        <f>N191/1000</f>
        <v/>
      </c>
      <c r="P191" s="5" t="inlineStr">
        <is>
          <t>10&lt;D&lt;=18mm</t>
        </is>
      </c>
      <c r="Q191" s="6" t="inlineStr">
        <is>
          <t>TCVN 1651:2018 / ASTM</t>
        </is>
      </c>
    </row>
    <row r="192">
      <c r="A192" s="12" t="n">
        <v>186</v>
      </c>
      <c r="B192" s="13" t="inlineStr">
        <is>
          <t>Trụ T2 (Thân trụ)</t>
        </is>
      </c>
      <c r="C192" s="13" t="inlineStr">
        <is>
          <t>Thân trụ đặc</t>
        </is>
      </c>
      <c r="D192" s="12" t="inlineStr">
        <is>
          <t>T3b</t>
        </is>
      </c>
      <c r="E192" s="12" t="n">
        <v>16</v>
      </c>
      <c r="F192" s="12" t="inlineStr">
        <is>
          <t>CB400-V</t>
        </is>
      </c>
      <c r="G192" s="12" t="inlineStr">
        <is>
          <t>S51</t>
        </is>
      </c>
      <c r="H192" s="17" t="n">
        <v>8.006</v>
      </c>
      <c r="I192" s="48" t="n">
        <v>150</v>
      </c>
      <c r="J192" s="48" t="n">
        <v>1</v>
      </c>
      <c r="K192" s="48">
        <f>I192*J192</f>
        <v/>
      </c>
      <c r="L192" s="18">
        <f>H192*K192</f>
        <v/>
      </c>
      <c r="M192" s="17" t="n">
        <v>1.58</v>
      </c>
      <c r="N192" s="18">
        <f>L192*M192</f>
        <v/>
      </c>
      <c r="O192" s="17">
        <f>N192/1000</f>
        <v/>
      </c>
      <c r="P192" s="12" t="inlineStr">
        <is>
          <t>10&lt;D&lt;=18mm</t>
        </is>
      </c>
      <c r="Q192" s="13" t="inlineStr">
        <is>
          <t>TCVN 1651:2018 / ASTM</t>
        </is>
      </c>
    </row>
    <row r="193">
      <c r="A193" s="5" t="n">
        <v>187</v>
      </c>
      <c r="B193" s="6" t="inlineStr">
        <is>
          <t>Trụ T2 (Thân trụ)</t>
        </is>
      </c>
      <c r="C193" s="6" t="inlineStr">
        <is>
          <t>Thân trụ đặc</t>
        </is>
      </c>
      <c r="D193" s="5" t="inlineStr">
        <is>
          <t>T4b</t>
        </is>
      </c>
      <c r="E193" s="5" t="n">
        <v>16</v>
      </c>
      <c r="F193" s="5" t="inlineStr">
        <is>
          <t>CB400-V</t>
        </is>
      </c>
      <c r="G193" s="5" t="inlineStr">
        <is>
          <t>S06</t>
        </is>
      </c>
      <c r="H193" s="10" t="n">
        <v>5.932</v>
      </c>
      <c r="I193" s="47" t="n">
        <v>19</v>
      </c>
      <c r="J193" s="47" t="n">
        <v>1</v>
      </c>
      <c r="K193" s="47">
        <f>I193*J193</f>
        <v/>
      </c>
      <c r="L193" s="11">
        <f>H193*K193</f>
        <v/>
      </c>
      <c r="M193" s="10" t="n">
        <v>1.58</v>
      </c>
      <c r="N193" s="11">
        <f>L193*M193</f>
        <v/>
      </c>
      <c r="O193" s="10">
        <f>N193/1000</f>
        <v/>
      </c>
      <c r="P193" s="5" t="inlineStr">
        <is>
          <t>10&lt;D&lt;=18mm</t>
        </is>
      </c>
      <c r="Q193" s="6" t="inlineStr">
        <is>
          <t>TCVN 1651:2018 / ASTM</t>
        </is>
      </c>
    </row>
    <row r="194">
      <c r="A194" s="12" t="n">
        <v>188</v>
      </c>
      <c r="B194" s="13" t="inlineStr">
        <is>
          <t>Trụ T2 (Thân trụ)</t>
        </is>
      </c>
      <c r="C194" s="13" t="inlineStr">
        <is>
          <t>Thân trụ đặc</t>
        </is>
      </c>
      <c r="D194" s="12" t="inlineStr">
        <is>
          <t>T4b1</t>
        </is>
      </c>
      <c r="E194" s="12" t="n">
        <v>16</v>
      </c>
      <c r="F194" s="12" t="inlineStr">
        <is>
          <t>CB400-V</t>
        </is>
      </c>
      <c r="G194" s="12" t="inlineStr">
        <is>
          <t>S06</t>
        </is>
      </c>
      <c r="H194" s="17" t="n">
        <v>5.652</v>
      </c>
      <c r="I194" s="48" t="n">
        <v>38</v>
      </c>
      <c r="J194" s="48" t="n">
        <v>1</v>
      </c>
      <c r="K194" s="48">
        <f>I194*J194</f>
        <v/>
      </c>
      <c r="L194" s="18">
        <f>H194*K194</f>
        <v/>
      </c>
      <c r="M194" s="17" t="n">
        <v>1.58</v>
      </c>
      <c r="N194" s="18">
        <f>L194*M194</f>
        <v/>
      </c>
      <c r="O194" s="17">
        <f>N194/1000</f>
        <v/>
      </c>
      <c r="P194" s="12" t="inlineStr">
        <is>
          <t>10&lt;D&lt;=18mm</t>
        </is>
      </c>
      <c r="Q194" s="13" t="inlineStr">
        <is>
          <t>TCVN 1651:2018 / ASTM</t>
        </is>
      </c>
    </row>
    <row r="195">
      <c r="A195" s="5" t="n">
        <v>189</v>
      </c>
      <c r="B195" s="6" t="inlineStr">
        <is>
          <t>Trụ T2 (Thân trụ)</t>
        </is>
      </c>
      <c r="C195" s="6" t="inlineStr">
        <is>
          <t>th©n trô ®o¹n 3</t>
        </is>
      </c>
      <c r="D195" s="5" t="inlineStr">
        <is>
          <t>T1c</t>
        </is>
      </c>
      <c r="E195" s="5" t="n">
        <v>32</v>
      </c>
      <c r="F195" s="5" t="inlineStr">
        <is>
          <t>CB400-V</t>
        </is>
      </c>
      <c r="G195" s="5" t="inlineStr">
        <is>
          <t>S28</t>
        </is>
      </c>
      <c r="H195" s="10" t="n">
        <v>8.656000000000001</v>
      </c>
      <c r="I195" s="47" t="n">
        <v>122</v>
      </c>
      <c r="J195" s="47" t="n">
        <v>1</v>
      </c>
      <c r="K195" s="47">
        <f>I195*J195</f>
        <v/>
      </c>
      <c r="L195" s="11">
        <f>H195*K195</f>
        <v/>
      </c>
      <c r="M195" s="10" t="n">
        <v>6.31</v>
      </c>
      <c r="N195" s="11">
        <f>L195*M195</f>
        <v/>
      </c>
      <c r="O195" s="10">
        <f>N195/1000</f>
        <v/>
      </c>
      <c r="P195" s="5" t="inlineStr">
        <is>
          <t>D&gt;18mm</t>
        </is>
      </c>
      <c r="Q195" s="6" t="inlineStr">
        <is>
          <t>TCVN 1651:2018 / ASTM</t>
        </is>
      </c>
    </row>
    <row r="196">
      <c r="A196" s="12" t="n">
        <v>190</v>
      </c>
      <c r="B196" s="13" t="inlineStr">
        <is>
          <t>Trụ T2 (Thân trụ)</t>
        </is>
      </c>
      <c r="C196" s="13" t="inlineStr">
        <is>
          <t>Thân trụ đặc</t>
        </is>
      </c>
      <c r="D196" s="12" t="inlineStr">
        <is>
          <t>T2c</t>
        </is>
      </c>
      <c r="E196" s="12" t="n">
        <v>16</v>
      </c>
      <c r="F196" s="12" t="inlineStr">
        <is>
          <t>CB400-V</t>
        </is>
      </c>
      <c r="G196" s="12" t="inlineStr">
        <is>
          <t>S07</t>
        </is>
      </c>
      <c r="H196" s="17" t="n">
        <v>8.436999999999999</v>
      </c>
      <c r="I196" s="48" t="n">
        <v>108</v>
      </c>
      <c r="J196" s="48" t="n">
        <v>1</v>
      </c>
      <c r="K196" s="48">
        <f>I196*J196</f>
        <v/>
      </c>
      <c r="L196" s="18">
        <f>H196*K196</f>
        <v/>
      </c>
      <c r="M196" s="17" t="n">
        <v>1.58</v>
      </c>
      <c r="N196" s="18">
        <f>L196*M196</f>
        <v/>
      </c>
      <c r="O196" s="17">
        <f>N196/1000</f>
        <v/>
      </c>
      <c r="P196" s="12" t="inlineStr">
        <is>
          <t>10&lt;D&lt;=18mm</t>
        </is>
      </c>
      <c r="Q196" s="13" t="inlineStr">
        <is>
          <t>TCVN 1651:2018 / ASTM</t>
        </is>
      </c>
    </row>
    <row r="197">
      <c r="A197" s="5" t="n">
        <v>191</v>
      </c>
      <c r="B197" s="6" t="inlineStr">
        <is>
          <t>Trụ T2 (Thân trụ)</t>
        </is>
      </c>
      <c r="C197" s="6" t="inlineStr">
        <is>
          <t>Thân trụ đặc</t>
        </is>
      </c>
      <c r="D197" s="5" t="inlineStr">
        <is>
          <t>T3c</t>
        </is>
      </c>
      <c r="E197" s="5" t="n">
        <v>16</v>
      </c>
      <c r="F197" s="5" t="inlineStr">
        <is>
          <t>CB400-V</t>
        </is>
      </c>
      <c r="G197" s="5" t="inlineStr">
        <is>
          <t>S51</t>
        </is>
      </c>
      <c r="H197" s="10" t="n">
        <v>9.206</v>
      </c>
      <c r="I197" s="47" t="n">
        <v>108</v>
      </c>
      <c r="J197" s="47" t="n">
        <v>1</v>
      </c>
      <c r="K197" s="47">
        <f>I197*J197</f>
        <v/>
      </c>
      <c r="L197" s="11">
        <f>H197*K197</f>
        <v/>
      </c>
      <c r="M197" s="10" t="n">
        <v>1.58</v>
      </c>
      <c r="N197" s="11">
        <f>L197*M197</f>
        <v/>
      </c>
      <c r="O197" s="10">
        <f>N197/1000</f>
        <v/>
      </c>
      <c r="P197" s="5" t="inlineStr">
        <is>
          <t>10&lt;D&lt;=18mm</t>
        </is>
      </c>
      <c r="Q197" s="6" t="inlineStr">
        <is>
          <t>TCVN 1651:2018 / ASTM</t>
        </is>
      </c>
    </row>
    <row r="198">
      <c r="A198" s="12" t="n">
        <v>192</v>
      </c>
      <c r="B198" s="13" t="inlineStr">
        <is>
          <t>Trụ T2 (Thân trụ)</t>
        </is>
      </c>
      <c r="C198" s="13" t="inlineStr">
        <is>
          <t>Thân trụ đặc</t>
        </is>
      </c>
      <c r="D198" s="12" t="inlineStr">
        <is>
          <t>T4c</t>
        </is>
      </c>
      <c r="E198" s="12" t="n">
        <v>16</v>
      </c>
      <c r="F198" s="12" t="inlineStr">
        <is>
          <t>CB400-V</t>
        </is>
      </c>
      <c r="G198" s="12" t="inlineStr">
        <is>
          <t>S06</t>
        </is>
      </c>
      <c r="H198" s="17" t="n">
        <v>6.532</v>
      </c>
      <c r="I198" s="48" t="n">
        <v>13</v>
      </c>
      <c r="J198" s="48" t="n">
        <v>1</v>
      </c>
      <c r="K198" s="48">
        <f>I198*J198</f>
        <v/>
      </c>
      <c r="L198" s="18">
        <f>H198*K198</f>
        <v/>
      </c>
      <c r="M198" s="17" t="n">
        <v>1.58</v>
      </c>
      <c r="N198" s="18">
        <f>L198*M198</f>
        <v/>
      </c>
      <c r="O198" s="17">
        <f>N198/1000</f>
        <v/>
      </c>
      <c r="P198" s="12" t="inlineStr">
        <is>
          <t>10&lt;D&lt;=18mm</t>
        </is>
      </c>
      <c r="Q198" s="13" t="inlineStr">
        <is>
          <t>TCVN 1651:2018 / ASTM</t>
        </is>
      </c>
    </row>
    <row r="199">
      <c r="A199" s="5" t="n">
        <v>193</v>
      </c>
      <c r="B199" s="6" t="inlineStr">
        <is>
          <t>Trụ T2 (Thân trụ)</t>
        </is>
      </c>
      <c r="C199" s="6" t="inlineStr">
        <is>
          <t>Thân trụ đặc</t>
        </is>
      </c>
      <c r="D199" s="5" t="inlineStr">
        <is>
          <t>T4c1</t>
        </is>
      </c>
      <c r="E199" s="5" t="n">
        <v>16</v>
      </c>
      <c r="F199" s="5" t="inlineStr">
        <is>
          <t>CB400-V</t>
        </is>
      </c>
      <c r="G199" s="5" t="inlineStr">
        <is>
          <t>S06</t>
        </is>
      </c>
      <c r="H199" s="10" t="n">
        <v>6.202</v>
      </c>
      <c r="I199" s="47" t="n">
        <v>26</v>
      </c>
      <c r="J199" s="47" t="n">
        <v>1</v>
      </c>
      <c r="K199" s="47">
        <f>I199*J199</f>
        <v/>
      </c>
      <c r="L199" s="11">
        <f>H199*K199</f>
        <v/>
      </c>
      <c r="M199" s="10" t="n">
        <v>1.58</v>
      </c>
      <c r="N199" s="11">
        <f>L199*M199</f>
        <v/>
      </c>
      <c r="O199" s="10">
        <f>N199/1000</f>
        <v/>
      </c>
      <c r="P199" s="5" t="inlineStr">
        <is>
          <t>10&lt;D&lt;=18mm</t>
        </is>
      </c>
      <c r="Q199" s="6" t="inlineStr">
        <is>
          <t>TCVN 1651:2018 / ASTM</t>
        </is>
      </c>
    </row>
    <row r="200">
      <c r="A200" s="12" t="n">
        <v>194</v>
      </c>
      <c r="B200" s="13" t="inlineStr">
        <is>
          <t>Trụ T1, T2 (Xà mũ trụ)</t>
        </is>
      </c>
      <c r="C200" s="13" t="inlineStr">
        <is>
          <t>xµ mò</t>
        </is>
      </c>
      <c r="D200" s="12" t="inlineStr">
        <is>
          <t>X1</t>
        </is>
      </c>
      <c r="E200" s="12" t="n">
        <v>32</v>
      </c>
      <c r="F200" s="12" t="inlineStr">
        <is>
          <t>CB400-V</t>
        </is>
      </c>
      <c r="G200" s="12" t="inlineStr">
        <is>
          <t>S06</t>
        </is>
      </c>
      <c r="H200" s="17" t="n">
        <v>13.962</v>
      </c>
      <c r="I200" s="48" t="n">
        <v>110</v>
      </c>
      <c r="J200" s="48" t="n">
        <v>1</v>
      </c>
      <c r="K200" s="48">
        <f>I200*J200</f>
        <v/>
      </c>
      <c r="L200" s="18">
        <f>H200*K200</f>
        <v/>
      </c>
      <c r="M200" s="17" t="n">
        <v>6.31</v>
      </c>
      <c r="N200" s="18">
        <f>L200*M200</f>
        <v/>
      </c>
      <c r="O200" s="17">
        <f>N200/1000</f>
        <v/>
      </c>
      <c r="P200" s="12" t="inlineStr">
        <is>
          <t>D&gt;18mm</t>
        </is>
      </c>
      <c r="Q200" s="13" t="inlineStr">
        <is>
          <t>TCVN 1651:2018 / ASTM</t>
        </is>
      </c>
    </row>
    <row r="201">
      <c r="A201" s="5" t="n">
        <v>195</v>
      </c>
      <c r="B201" s="6" t="inlineStr">
        <is>
          <t>Trụ T1, T2 (Xà mũ trụ)</t>
        </is>
      </c>
      <c r="C201" s="6" t="inlineStr">
        <is>
          <t>Xà mũ trụ</t>
        </is>
      </c>
      <c r="D201" s="5" t="inlineStr">
        <is>
          <t>X1B</t>
        </is>
      </c>
      <c r="E201" s="5" t="n">
        <v>28</v>
      </c>
      <c r="F201" s="5" t="inlineStr">
        <is>
          <t>CB400-V</t>
        </is>
      </c>
      <c r="G201" s="5" t="inlineStr">
        <is>
          <t>S06</t>
        </is>
      </c>
      <c r="H201" s="10" t="n">
        <v>13.698</v>
      </c>
      <c r="I201" s="47" t="n">
        <v>110</v>
      </c>
      <c r="J201" s="47" t="n">
        <v>1</v>
      </c>
      <c r="K201" s="47">
        <f>I201*J201</f>
        <v/>
      </c>
      <c r="L201" s="11">
        <f>H201*K201</f>
        <v/>
      </c>
      <c r="M201" s="10" t="n">
        <v>4.83</v>
      </c>
      <c r="N201" s="11">
        <f>L201*M201</f>
        <v/>
      </c>
      <c r="O201" s="10">
        <f>N201/1000</f>
        <v/>
      </c>
      <c r="P201" s="5" t="inlineStr">
        <is>
          <t>D&gt;18mm</t>
        </is>
      </c>
      <c r="Q201" s="6" t="inlineStr">
        <is>
          <t>TCVN 1651:2018 / ASTM</t>
        </is>
      </c>
    </row>
    <row r="202">
      <c r="A202" s="12" t="n">
        <v>196</v>
      </c>
      <c r="B202" s="13" t="inlineStr">
        <is>
          <t>Trụ T1, T2 (Xà mũ trụ)</t>
        </is>
      </c>
      <c r="C202" s="13" t="inlineStr">
        <is>
          <t>Xà mũ trụ</t>
        </is>
      </c>
      <c r="D202" s="12" t="inlineStr">
        <is>
          <t>X2</t>
        </is>
      </c>
      <c r="E202" s="12" t="n">
        <v>16</v>
      </c>
      <c r="F202" s="12" t="inlineStr">
        <is>
          <t>CB400-V</t>
        </is>
      </c>
      <c r="G202" s="12" t="inlineStr">
        <is>
          <t>S06</t>
        </is>
      </c>
      <c r="H202" s="17" t="n">
        <v>17.296</v>
      </c>
      <c r="I202" s="48" t="n">
        <v>106</v>
      </c>
      <c r="J202" s="48" t="n">
        <v>1</v>
      </c>
      <c r="K202" s="48">
        <f>I202*J202</f>
        <v/>
      </c>
      <c r="L202" s="18">
        <f>H202*K202</f>
        <v/>
      </c>
      <c r="M202" s="17" t="n">
        <v>1.58</v>
      </c>
      <c r="N202" s="18">
        <f>L202*M202</f>
        <v/>
      </c>
      <c r="O202" s="17">
        <f>N202/1000</f>
        <v/>
      </c>
      <c r="P202" s="12" t="inlineStr">
        <is>
          <t>10&lt;D&lt;=18mm</t>
        </is>
      </c>
      <c r="Q202" s="13" t="inlineStr">
        <is>
          <t>TCVN 1651:2018 / ASTM</t>
        </is>
      </c>
    </row>
    <row r="203">
      <c r="A203" s="5" t="n">
        <v>197</v>
      </c>
      <c r="B203" s="6" t="inlineStr">
        <is>
          <t>Trụ T1, T2 (Xà mũ trụ)</t>
        </is>
      </c>
      <c r="C203" s="6" t="inlineStr">
        <is>
          <t>Xà mũ trụ</t>
        </is>
      </c>
      <c r="D203" s="5" t="inlineStr">
        <is>
          <t>x2a</t>
        </is>
      </c>
      <c r="E203" s="5" t="n">
        <v>16</v>
      </c>
      <c r="F203" s="5" t="inlineStr">
        <is>
          <t>CB400-V</t>
        </is>
      </c>
      <c r="G203" s="5" t="inlineStr">
        <is>
          <t>S06</t>
        </is>
      </c>
      <c r="H203" s="10" t="n">
        <v>16.916</v>
      </c>
      <c r="I203" s="47" t="n">
        <v>32</v>
      </c>
      <c r="J203" s="47" t="n">
        <v>1</v>
      </c>
      <c r="K203" s="47">
        <f>I203*J203</f>
        <v/>
      </c>
      <c r="L203" s="11">
        <f>H203*K203</f>
        <v/>
      </c>
      <c r="M203" s="10" t="n">
        <v>1.58</v>
      </c>
      <c r="N203" s="11">
        <f>L203*M203</f>
        <v/>
      </c>
      <c r="O203" s="10">
        <f>N203/1000</f>
        <v/>
      </c>
      <c r="P203" s="5" t="inlineStr">
        <is>
          <t>10&lt;D&lt;=18mm</t>
        </is>
      </c>
      <c r="Q203" s="6" t="inlineStr">
        <is>
          <t>TCVN 1651:2018 / ASTM</t>
        </is>
      </c>
    </row>
    <row r="204">
      <c r="A204" s="12" t="n">
        <v>198</v>
      </c>
      <c r="B204" s="13" t="inlineStr">
        <is>
          <t>Trụ T1, T2 (Xà mũ trụ)</t>
        </is>
      </c>
      <c r="C204" s="13" t="inlineStr">
        <is>
          <t>Xà mũ trụ</t>
        </is>
      </c>
      <c r="D204" s="12" t="inlineStr">
        <is>
          <t>X3</t>
        </is>
      </c>
      <c r="E204" s="12" t="n">
        <v>16</v>
      </c>
      <c r="F204" s="12" t="inlineStr">
        <is>
          <t>CB400-V</t>
        </is>
      </c>
      <c r="G204" s="12" t="inlineStr">
        <is>
          <t>S01</t>
        </is>
      </c>
      <c r="H204" s="17" t="n">
        <v>12.54</v>
      </c>
      <c r="I204" s="48" t="n">
        <v>64</v>
      </c>
      <c r="J204" s="48" t="n">
        <v>1</v>
      </c>
      <c r="K204" s="48">
        <f>I204*J204</f>
        <v/>
      </c>
      <c r="L204" s="18">
        <f>H204*K204</f>
        <v/>
      </c>
      <c r="M204" s="17" t="n">
        <v>1.58</v>
      </c>
      <c r="N204" s="18">
        <f>L204*M204</f>
        <v/>
      </c>
      <c r="O204" s="17">
        <f>N204/1000</f>
        <v/>
      </c>
      <c r="P204" s="12" t="inlineStr">
        <is>
          <t>10&lt;D&lt;=18mm</t>
        </is>
      </c>
      <c r="Q204" s="13" t="inlineStr">
        <is>
          <t>TCVN 1651:2018 / ASTM</t>
        </is>
      </c>
    </row>
    <row r="205">
      <c r="A205" s="5" t="n">
        <v>199</v>
      </c>
      <c r="B205" s="6" t="inlineStr">
        <is>
          <t>Trụ T1, T2 (Xà mũ trụ)</t>
        </is>
      </c>
      <c r="C205" s="6" t="inlineStr">
        <is>
          <t>Xà mũ trụ</t>
        </is>
      </c>
      <c r="D205" s="5" t="inlineStr">
        <is>
          <t>x3a</t>
        </is>
      </c>
      <c r="E205" s="5" t="n">
        <v>16</v>
      </c>
      <c r="F205" s="5" t="inlineStr">
        <is>
          <t>CB400-V</t>
        </is>
      </c>
      <c r="G205" s="5" t="inlineStr">
        <is>
          <t>S01</t>
        </is>
      </c>
      <c r="H205" s="10" t="n">
        <v>12.433</v>
      </c>
      <c r="I205" s="47" t="n">
        <v>12</v>
      </c>
      <c r="J205" s="47" t="n">
        <v>1</v>
      </c>
      <c r="K205" s="47">
        <f>I205*J205</f>
        <v/>
      </c>
      <c r="L205" s="11">
        <f>H205*K205</f>
        <v/>
      </c>
      <c r="M205" s="10" t="n">
        <v>1.58</v>
      </c>
      <c r="N205" s="11">
        <f>L205*M205</f>
        <v/>
      </c>
      <c r="O205" s="10">
        <f>N205/1000</f>
        <v/>
      </c>
      <c r="P205" s="5" t="inlineStr">
        <is>
          <t>10&lt;D&lt;=18mm</t>
        </is>
      </c>
      <c r="Q205" s="6" t="inlineStr">
        <is>
          <t>TCVN 1651:2018 / ASTM</t>
        </is>
      </c>
    </row>
    <row r="206">
      <c r="A206" s="12" t="n">
        <v>200</v>
      </c>
      <c r="B206" s="13" t="inlineStr">
        <is>
          <t>Trụ T1, T2 (Xà mũ trụ)</t>
        </is>
      </c>
      <c r="C206" s="13" t="inlineStr">
        <is>
          <t>Xà mũ trụ</t>
        </is>
      </c>
      <c r="D206" s="12" t="inlineStr">
        <is>
          <t>x4</t>
        </is>
      </c>
      <c r="E206" s="12" t="n">
        <v>28</v>
      </c>
      <c r="F206" s="12" t="inlineStr">
        <is>
          <t>CB400-V</t>
        </is>
      </c>
      <c r="G206" s="12" t="inlineStr">
        <is>
          <t>S41</t>
        </is>
      </c>
      <c r="H206" s="17" t="n">
        <v>13.68</v>
      </c>
      <c r="I206" s="48" t="n">
        <v>150</v>
      </c>
      <c r="J206" s="48" t="n">
        <v>1</v>
      </c>
      <c r="K206" s="48">
        <f>I206*J206</f>
        <v/>
      </c>
      <c r="L206" s="18">
        <f>H206*K206</f>
        <v/>
      </c>
      <c r="M206" s="17" t="n">
        <v>4.83</v>
      </c>
      <c r="N206" s="18">
        <f>L206*M206</f>
        <v/>
      </c>
      <c r="O206" s="17">
        <f>N206/1000</f>
        <v/>
      </c>
      <c r="P206" s="12" t="inlineStr">
        <is>
          <t>D&gt;18mm</t>
        </is>
      </c>
      <c r="Q206" s="13" t="inlineStr">
        <is>
          <t>TCVN 1651:2018 / ASTM</t>
        </is>
      </c>
    </row>
    <row r="207">
      <c r="A207" s="5" t="n">
        <v>201</v>
      </c>
      <c r="B207" s="6" t="inlineStr">
        <is>
          <t>Trụ T1, T2 (Xà mũ trụ)</t>
        </is>
      </c>
      <c r="C207" s="6" t="inlineStr">
        <is>
          <t>Xà mũ trụ</t>
        </is>
      </c>
      <c r="D207" s="5" t="inlineStr">
        <is>
          <t>x4A</t>
        </is>
      </c>
      <c r="E207" s="5" t="n">
        <v>28</v>
      </c>
      <c r="F207" s="5" t="inlineStr">
        <is>
          <t>CB400-V</t>
        </is>
      </c>
      <c r="G207" s="5" t="inlineStr">
        <is>
          <t>S06</t>
        </is>
      </c>
      <c r="H207" s="10" t="n">
        <v>7.428</v>
      </c>
      <c r="I207" s="47" t="n">
        <v>316</v>
      </c>
      <c r="J207" s="47" t="n">
        <v>1</v>
      </c>
      <c r="K207" s="47">
        <f>I207*J207</f>
        <v/>
      </c>
      <c r="L207" s="11">
        <f>H207*K207</f>
        <v/>
      </c>
      <c r="M207" s="10" t="n">
        <v>4.83</v>
      </c>
      <c r="N207" s="11">
        <f>L207*M207</f>
        <v/>
      </c>
      <c r="O207" s="10">
        <f>N207/1000</f>
        <v/>
      </c>
      <c r="P207" s="5" t="inlineStr">
        <is>
          <t>D&gt;18mm</t>
        </is>
      </c>
      <c r="Q207" s="6" t="inlineStr">
        <is>
          <t>TCVN 1651:2018 / ASTM</t>
        </is>
      </c>
    </row>
    <row r="208">
      <c r="A208" s="12" t="n">
        <v>202</v>
      </c>
      <c r="B208" s="13" t="inlineStr">
        <is>
          <t>Trụ T1, T2 (Xà mũ trụ)</t>
        </is>
      </c>
      <c r="C208" s="13" t="inlineStr">
        <is>
          <t>Xà mũ trụ</t>
        </is>
      </c>
      <c r="D208" s="12" t="inlineStr">
        <is>
          <t>x4b</t>
        </is>
      </c>
      <c r="E208" s="12" t="n">
        <v>28</v>
      </c>
      <c r="F208" s="12" t="inlineStr">
        <is>
          <t>CB400-V</t>
        </is>
      </c>
      <c r="G208" s="12" t="inlineStr">
        <is>
          <t>S41</t>
        </is>
      </c>
      <c r="H208" s="17" t="n">
        <v>13.451</v>
      </c>
      <c r="I208" s="48" t="n">
        <v>8</v>
      </c>
      <c r="J208" s="48" t="n">
        <v>1</v>
      </c>
      <c r="K208" s="48">
        <f>I208*J208</f>
        <v/>
      </c>
      <c r="L208" s="18">
        <f>H208*K208</f>
        <v/>
      </c>
      <c r="M208" s="17" t="n">
        <v>4.83</v>
      </c>
      <c r="N208" s="18">
        <f>L208*M208</f>
        <v/>
      </c>
      <c r="O208" s="17">
        <f>N208/1000</f>
        <v/>
      </c>
      <c r="P208" s="12" t="inlineStr">
        <is>
          <t>D&gt;18mm</t>
        </is>
      </c>
      <c r="Q208" s="13" t="inlineStr">
        <is>
          <t>TCVN 1651:2018 / ASTM</t>
        </is>
      </c>
    </row>
    <row r="209">
      <c r="A209" s="5" t="n">
        <v>203</v>
      </c>
      <c r="B209" s="6" t="inlineStr">
        <is>
          <t>Trụ T1, T2 (Xà mũ trụ)</t>
        </is>
      </c>
      <c r="C209" s="6" t="inlineStr">
        <is>
          <t>Xà mũ trụ</t>
        </is>
      </c>
      <c r="D209" s="5" t="inlineStr">
        <is>
          <t>x5</t>
        </is>
      </c>
      <c r="E209" s="5" t="n">
        <v>25</v>
      </c>
      <c r="F209" s="5" t="inlineStr">
        <is>
          <t>CB400-V</t>
        </is>
      </c>
      <c r="G209" s="5" t="inlineStr">
        <is>
          <t>S06</t>
        </is>
      </c>
      <c r="H209" s="10" t="n">
        <v>9.975</v>
      </c>
      <c r="I209" s="47" t="n">
        <v>150</v>
      </c>
      <c r="J209" s="47" t="n">
        <v>1</v>
      </c>
      <c r="K209" s="47">
        <f>I209*J209</f>
        <v/>
      </c>
      <c r="L209" s="11">
        <f>H209*K209</f>
        <v/>
      </c>
      <c r="M209" s="10" t="n">
        <v>3.85</v>
      </c>
      <c r="N209" s="11">
        <f>L209*M209</f>
        <v/>
      </c>
      <c r="O209" s="10">
        <f>N209/1000</f>
        <v/>
      </c>
      <c r="P209" s="5" t="inlineStr">
        <is>
          <t>D&gt;18mm</t>
        </is>
      </c>
      <c r="Q209" s="6" t="inlineStr">
        <is>
          <t>TCVN 1651:2018 / ASTM</t>
        </is>
      </c>
    </row>
    <row r="210">
      <c r="A210" s="12" t="n">
        <v>204</v>
      </c>
      <c r="B210" s="13" t="inlineStr">
        <is>
          <t>Trụ T1, T2 (Xà mũ trụ)</t>
        </is>
      </c>
      <c r="C210" s="13" t="inlineStr">
        <is>
          <t>Xà mũ trụ</t>
        </is>
      </c>
      <c r="D210" s="12" t="inlineStr">
        <is>
          <t>x5a</t>
        </is>
      </c>
      <c r="E210" s="12" t="n">
        <v>25</v>
      </c>
      <c r="F210" s="12" t="inlineStr">
        <is>
          <t>CB400-V</t>
        </is>
      </c>
      <c r="G210" s="12" t="inlineStr">
        <is>
          <t>S06</t>
        </is>
      </c>
      <c r="H210" s="17" t="n">
        <v>9.689</v>
      </c>
      <c r="I210" s="48" t="n">
        <v>8</v>
      </c>
      <c r="J210" s="48" t="n">
        <v>1</v>
      </c>
      <c r="K210" s="48">
        <f>I210*J210</f>
        <v/>
      </c>
      <c r="L210" s="18">
        <f>H210*K210</f>
        <v/>
      </c>
      <c r="M210" s="17" t="n">
        <v>3.85</v>
      </c>
      <c r="N210" s="18">
        <f>L210*M210</f>
        <v/>
      </c>
      <c r="O210" s="17">
        <f>N210/1000</f>
        <v/>
      </c>
      <c r="P210" s="12" t="inlineStr">
        <is>
          <t>D&gt;18mm</t>
        </is>
      </c>
      <c r="Q210" s="13" t="inlineStr">
        <is>
          <t>TCVN 1651:2018 / ASTM</t>
        </is>
      </c>
    </row>
    <row r="211">
      <c r="A211" s="5" t="n">
        <v>205</v>
      </c>
      <c r="B211" s="6" t="inlineStr">
        <is>
          <t>Trụ T1, T2 (Xà mũ trụ)</t>
        </is>
      </c>
      <c r="C211" s="6" t="inlineStr">
        <is>
          <t>Xà mũ trụ</t>
        </is>
      </c>
      <c r="D211" s="5" t="inlineStr">
        <is>
          <t>x6</t>
        </is>
      </c>
      <c r="E211" s="5" t="n">
        <v>20</v>
      </c>
      <c r="F211" s="5" t="inlineStr">
        <is>
          <t>CB400-V</t>
        </is>
      </c>
      <c r="G211" s="5" t="inlineStr">
        <is>
          <t>S51</t>
        </is>
      </c>
      <c r="H211" s="10" t="n">
        <v>6.9</v>
      </c>
      <c r="I211" s="47" t="n">
        <v>790</v>
      </c>
      <c r="J211" s="47" t="n">
        <v>1</v>
      </c>
      <c r="K211" s="47">
        <f>I211*J211</f>
        <v/>
      </c>
      <c r="L211" s="11">
        <f>H211*K211</f>
        <v/>
      </c>
      <c r="M211" s="10" t="n">
        <v>2.47</v>
      </c>
      <c r="N211" s="11">
        <f>L211*M211</f>
        <v/>
      </c>
      <c r="O211" s="10">
        <f>N211/1000</f>
        <v/>
      </c>
      <c r="P211" s="5" t="inlineStr">
        <is>
          <t>D&gt;18mm</t>
        </is>
      </c>
      <c r="Q211" s="6" t="inlineStr">
        <is>
          <t>TCVN 1651:2018 / ASTM</t>
        </is>
      </c>
    </row>
    <row r="212">
      <c r="A212" s="12" t="n">
        <v>206</v>
      </c>
      <c r="B212" s="13" t="inlineStr">
        <is>
          <t>Trụ T1, T2 (Xà mũ trụ)</t>
        </is>
      </c>
      <c r="C212" s="13" t="inlineStr">
        <is>
          <t>Xà mũ trụ</t>
        </is>
      </c>
      <c r="D212" s="12" t="inlineStr">
        <is>
          <t>x6a</t>
        </is>
      </c>
      <c r="E212" s="12" t="n">
        <v>20</v>
      </c>
      <c r="F212" s="12" t="inlineStr">
        <is>
          <t>CB400-V</t>
        </is>
      </c>
      <c r="G212" s="12" t="inlineStr">
        <is>
          <t>S51</t>
        </is>
      </c>
      <c r="H212" s="17" t="n">
        <v>3.2</v>
      </c>
      <c r="I212" s="48" t="n">
        <v>316</v>
      </c>
      <c r="J212" s="48" t="n">
        <v>1</v>
      </c>
      <c r="K212" s="48">
        <f>I212*J212</f>
        <v/>
      </c>
      <c r="L212" s="18">
        <f>H212*K212</f>
        <v/>
      </c>
      <c r="M212" s="17" t="n">
        <v>2.47</v>
      </c>
      <c r="N212" s="18">
        <f>L212*M212</f>
        <v/>
      </c>
      <c r="O212" s="17">
        <f>N212/1000</f>
        <v/>
      </c>
      <c r="P212" s="12" t="inlineStr">
        <is>
          <t>D&gt;18mm</t>
        </is>
      </c>
      <c r="Q212" s="13" t="inlineStr">
        <is>
          <t>TCVN 1651:2018 / ASTM</t>
        </is>
      </c>
    </row>
    <row r="213">
      <c r="A213" s="5" t="n">
        <v>207</v>
      </c>
      <c r="B213" s="6" t="inlineStr">
        <is>
          <t>Trụ T1, T2 (Xà mũ trụ)</t>
        </is>
      </c>
      <c r="C213" s="6" t="inlineStr">
        <is>
          <t>Xà mũ trụ</t>
        </is>
      </c>
      <c r="D213" s="5" t="inlineStr">
        <is>
          <t>x7</t>
        </is>
      </c>
      <c r="E213" s="5" t="n">
        <v>28</v>
      </c>
      <c r="F213" s="5" t="inlineStr">
        <is>
          <t>CB400-V</t>
        </is>
      </c>
      <c r="G213" s="5" t="inlineStr">
        <is>
          <t>S06</t>
        </is>
      </c>
      <c r="H213" s="10" t="n">
        <v>2.748</v>
      </c>
      <c r="I213" s="47" t="n">
        <v>316</v>
      </c>
      <c r="J213" s="47" t="n">
        <v>1</v>
      </c>
      <c r="K213" s="47">
        <f>I213*J213</f>
        <v/>
      </c>
      <c r="L213" s="11">
        <f>H213*K213</f>
        <v/>
      </c>
      <c r="M213" s="10" t="n">
        <v>4.83</v>
      </c>
      <c r="N213" s="11">
        <f>L213*M213</f>
        <v/>
      </c>
      <c r="O213" s="10">
        <f>N213/1000</f>
        <v/>
      </c>
      <c r="P213" s="5" t="inlineStr">
        <is>
          <t>D&gt;18mm</t>
        </is>
      </c>
      <c r="Q213" s="6" t="inlineStr">
        <is>
          <t>TCVN 1651:2018 / ASTM</t>
        </is>
      </c>
    </row>
    <row r="214">
      <c r="A214" s="12" t="n">
        <v>208</v>
      </c>
      <c r="B214" s="13" t="inlineStr">
        <is>
          <t>Trụ T1, T2 (Xà mũ trụ)</t>
        </is>
      </c>
      <c r="C214" s="13" t="inlineStr">
        <is>
          <t>Xà mũ trụ</t>
        </is>
      </c>
      <c r="D214" s="12" t="inlineStr">
        <is>
          <t>x7a</t>
        </is>
      </c>
      <c r="E214" s="12" t="n">
        <v>28</v>
      </c>
      <c r="F214" s="12" t="inlineStr">
        <is>
          <t>CB400-V</t>
        </is>
      </c>
      <c r="G214" s="12" t="inlineStr">
        <is>
          <t>S01</t>
        </is>
      </c>
      <c r="H214" s="17" t="n">
        <v>2.02</v>
      </c>
      <c r="I214" s="48" t="n">
        <v>316</v>
      </c>
      <c r="J214" s="48" t="n">
        <v>1</v>
      </c>
      <c r="K214" s="48">
        <f>I214*J214</f>
        <v/>
      </c>
      <c r="L214" s="18">
        <f>H214*K214</f>
        <v/>
      </c>
      <c r="M214" s="17" t="n">
        <v>4.83</v>
      </c>
      <c r="N214" s="18">
        <f>L214*M214</f>
        <v/>
      </c>
      <c r="O214" s="17">
        <f>N214/1000</f>
        <v/>
      </c>
      <c r="P214" s="12" t="inlineStr">
        <is>
          <t>D&gt;18mm</t>
        </is>
      </c>
      <c r="Q214" s="13" t="inlineStr">
        <is>
          <t>TCVN 1651:2018 / ASTM</t>
        </is>
      </c>
    </row>
    <row r="215">
      <c r="A215" s="5" t="n">
        <v>209</v>
      </c>
      <c r="B215" s="6" t="inlineStr">
        <is>
          <t>Trụ T1, T2 (Xà mũ trụ)</t>
        </is>
      </c>
      <c r="C215" s="6" t="inlineStr">
        <is>
          <t>Xà mũ trụ</t>
        </is>
      </c>
      <c r="D215" s="5" t="inlineStr">
        <is>
          <t>x8a</t>
        </is>
      </c>
      <c r="E215" s="5" t="n">
        <v>25</v>
      </c>
      <c r="F215" s="5" t="inlineStr">
        <is>
          <t>CB400-V</t>
        </is>
      </c>
      <c r="G215" s="5" t="inlineStr">
        <is>
          <t>S06</t>
        </is>
      </c>
      <c r="H215" s="10" t="n">
        <v>13.575</v>
      </c>
      <c r="I215" s="47" t="n">
        <v>28</v>
      </c>
      <c r="J215" s="47" t="n">
        <v>1</v>
      </c>
      <c r="K215" s="47">
        <f>I215*J215</f>
        <v/>
      </c>
      <c r="L215" s="11">
        <f>H215*K215</f>
        <v/>
      </c>
      <c r="M215" s="10" t="n">
        <v>3.85</v>
      </c>
      <c r="N215" s="11">
        <f>L215*M215</f>
        <v/>
      </c>
      <c r="O215" s="10">
        <f>N215/1000</f>
        <v/>
      </c>
      <c r="P215" s="5" t="inlineStr">
        <is>
          <t>D&gt;18mm</t>
        </is>
      </c>
      <c r="Q215" s="6" t="inlineStr">
        <is>
          <t>TCVN 1651:2018 / ASTM</t>
        </is>
      </c>
    </row>
    <row r="216">
      <c r="A216" s="12" t="n">
        <v>210</v>
      </c>
      <c r="B216" s="13" t="inlineStr">
        <is>
          <t>Trụ T1, T2 (Xà mũ trụ)</t>
        </is>
      </c>
      <c r="C216" s="13" t="inlineStr">
        <is>
          <t>Xà mũ trụ</t>
        </is>
      </c>
      <c r="D216" s="12" t="inlineStr">
        <is>
          <t>x8b</t>
        </is>
      </c>
      <c r="E216" s="12" t="n">
        <v>25</v>
      </c>
      <c r="F216" s="12" t="inlineStr">
        <is>
          <t>CB400-V</t>
        </is>
      </c>
      <c r="G216" s="12" t="inlineStr">
        <is>
          <t>S01</t>
        </is>
      </c>
      <c r="H216" s="17" t="n">
        <v>12.9</v>
      </c>
      <c r="I216" s="48" t="n">
        <v>28</v>
      </c>
      <c r="J216" s="48" t="n">
        <v>1</v>
      </c>
      <c r="K216" s="48">
        <f>I216*J216</f>
        <v/>
      </c>
      <c r="L216" s="18">
        <f>H216*K216</f>
        <v/>
      </c>
      <c r="M216" s="17" t="n">
        <v>3.85</v>
      </c>
      <c r="N216" s="18">
        <f>L216*M216</f>
        <v/>
      </c>
      <c r="O216" s="17">
        <f>N216/1000</f>
        <v/>
      </c>
      <c r="P216" s="12" t="inlineStr">
        <is>
          <t>D&gt;18mm</t>
        </is>
      </c>
      <c r="Q216" s="13" t="inlineStr">
        <is>
          <t>TCVN 1651:2018 / ASTM</t>
        </is>
      </c>
    </row>
    <row r="217">
      <c r="A217" s="5" t="n">
        <v>211</v>
      </c>
      <c r="B217" s="6" t="inlineStr">
        <is>
          <t>Trụ T1, T2 (Xà mũ trụ)</t>
        </is>
      </c>
      <c r="C217" s="6" t="inlineStr">
        <is>
          <t>Xà mũ trụ</t>
        </is>
      </c>
      <c r="D217" s="5" t="inlineStr">
        <is>
          <t>x9</t>
        </is>
      </c>
      <c r="E217" s="5" t="n">
        <v>32</v>
      </c>
      <c r="F217" s="5" t="inlineStr">
        <is>
          <t>CB400-V</t>
        </is>
      </c>
      <c r="G217" s="5" t="inlineStr">
        <is>
          <t>S25</t>
        </is>
      </c>
      <c r="H217" s="10" t="n">
        <v>4.687</v>
      </c>
      <c r="I217" s="47" t="n">
        <v>316</v>
      </c>
      <c r="J217" s="47" t="n">
        <v>1</v>
      </c>
      <c r="K217" s="47">
        <f>I217*J217</f>
        <v/>
      </c>
      <c r="L217" s="11">
        <f>H217*K217</f>
        <v/>
      </c>
      <c r="M217" s="10" t="n">
        <v>6.31</v>
      </c>
      <c r="N217" s="11">
        <f>L217*M217</f>
        <v/>
      </c>
      <c r="O217" s="10">
        <f>N217/1000</f>
        <v/>
      </c>
      <c r="P217" s="5" t="inlineStr">
        <is>
          <t>D&gt;18mm</t>
        </is>
      </c>
      <c r="Q217" s="6" t="inlineStr">
        <is>
          <t>TCVN 1651:2018 / ASTM</t>
        </is>
      </c>
    </row>
    <row r="218">
      <c r="A218" s="12" t="n">
        <v>212</v>
      </c>
      <c r="B218" s="13" t="inlineStr">
        <is>
          <t>Trụ T1, T2 (Xà mũ trụ)</t>
        </is>
      </c>
      <c r="C218" s="13" t="inlineStr">
        <is>
          <t>Xà mũ trụ</t>
        </is>
      </c>
      <c r="D218" s="12" t="inlineStr">
        <is>
          <t>x10</t>
        </is>
      </c>
      <c r="E218" s="12" t="n">
        <v>16</v>
      </c>
      <c r="F218" s="12" t="inlineStr">
        <is>
          <t>CB400-V</t>
        </is>
      </c>
      <c r="G218" s="12" t="inlineStr">
        <is>
          <t>S06</t>
        </is>
      </c>
      <c r="H218" s="17" t="n">
        <v>8.932</v>
      </c>
      <c r="I218" s="48" t="n">
        <v>56</v>
      </c>
      <c r="J218" s="48" t="n">
        <v>1</v>
      </c>
      <c r="K218" s="48">
        <f>I218*J218</f>
        <v/>
      </c>
      <c r="L218" s="18">
        <f>H218*K218</f>
        <v/>
      </c>
      <c r="M218" s="17" t="n">
        <v>1.58</v>
      </c>
      <c r="N218" s="18">
        <f>L218*M218</f>
        <v/>
      </c>
      <c r="O218" s="17">
        <f>N218/1000</f>
        <v/>
      </c>
      <c r="P218" s="12" t="inlineStr">
        <is>
          <t>10&lt;D&lt;=18mm</t>
        </is>
      </c>
      <c r="Q218" s="13" t="inlineStr">
        <is>
          <t>TCVN 1651:2018 / ASTM</t>
        </is>
      </c>
    </row>
    <row r="219">
      <c r="A219" s="5" t="n">
        <v>213</v>
      </c>
      <c r="B219" s="6" t="inlineStr">
        <is>
          <t>Trụ T1, T2 (Xà mũ trụ)</t>
        </is>
      </c>
      <c r="C219" s="6" t="inlineStr">
        <is>
          <t>Xà mũ trụ</t>
        </is>
      </c>
      <c r="D219" s="5" t="inlineStr">
        <is>
          <t>x10a</t>
        </is>
      </c>
      <c r="E219" s="5" t="n">
        <v>16</v>
      </c>
      <c r="F219" s="5" t="inlineStr">
        <is>
          <t>CB400-V</t>
        </is>
      </c>
      <c r="G219" s="5" t="inlineStr">
        <is>
          <t>S06</t>
        </is>
      </c>
      <c r="H219" s="10" t="n">
        <v>7.132</v>
      </c>
      <c r="I219" s="47" t="n">
        <v>4</v>
      </c>
      <c r="J219" s="47" t="n">
        <v>1</v>
      </c>
      <c r="K219" s="47">
        <f>I219*J219</f>
        <v/>
      </c>
      <c r="L219" s="11">
        <f>H219*K219</f>
        <v/>
      </c>
      <c r="M219" s="10" t="n">
        <v>1.58</v>
      </c>
      <c r="N219" s="11">
        <f>L219*M219</f>
        <v/>
      </c>
      <c r="O219" s="10">
        <f>N219/1000</f>
        <v/>
      </c>
      <c r="P219" s="5" t="inlineStr">
        <is>
          <t>10&lt;D&lt;=18mm</t>
        </is>
      </c>
      <c r="Q219" s="6" t="inlineStr">
        <is>
          <t>TCVN 1651:2018 / ASTM</t>
        </is>
      </c>
    </row>
    <row r="220">
      <c r="A220" s="12" t="n">
        <v>214</v>
      </c>
      <c r="B220" s="13" t="inlineStr">
        <is>
          <t>Trụ T1, T2 (Xà mũ trụ)</t>
        </is>
      </c>
      <c r="C220" s="13" t="inlineStr">
        <is>
          <t>®¸, v÷a kª gèi</t>
        </is>
      </c>
      <c r="D220" s="12" t="inlineStr">
        <is>
          <t>g1</t>
        </is>
      </c>
      <c r="E220" s="12" t="n">
        <v>16</v>
      </c>
      <c r="F220" s="12" t="inlineStr">
        <is>
          <t>CB400-V</t>
        </is>
      </c>
      <c r="G220" s="12" t="inlineStr">
        <is>
          <t>S06</t>
        </is>
      </c>
      <c r="H220" s="17" t="n">
        <v>1.512</v>
      </c>
      <c r="I220" s="48" t="n">
        <v>120</v>
      </c>
      <c r="J220" s="48" t="n">
        <v>1</v>
      </c>
      <c r="K220" s="48">
        <f>I220*J220</f>
        <v/>
      </c>
      <c r="L220" s="18">
        <f>H220*K220</f>
        <v/>
      </c>
      <c r="M220" s="17" t="n">
        <v>1.58</v>
      </c>
      <c r="N220" s="18">
        <f>L220*M220</f>
        <v/>
      </c>
      <c r="O220" s="17">
        <f>N220/1000</f>
        <v/>
      </c>
      <c r="P220" s="12" t="inlineStr">
        <is>
          <t>10&lt;D&lt;=18mm</t>
        </is>
      </c>
      <c r="Q220" s="13" t="inlineStr">
        <is>
          <t>TCVN 1651:2018 / ASTM</t>
        </is>
      </c>
    </row>
    <row r="221">
      <c r="A221" s="5" t="n">
        <v>215</v>
      </c>
      <c r="B221" s="6" t="inlineStr">
        <is>
          <t>Trụ T1, T2 (Xà mũ trụ)</t>
        </is>
      </c>
      <c r="C221" s="6" t="inlineStr">
        <is>
          <t>Xà mũ trụ</t>
        </is>
      </c>
      <c r="D221" s="5" t="inlineStr">
        <is>
          <t>g2</t>
        </is>
      </c>
      <c r="E221" s="5" t="n">
        <v>16</v>
      </c>
      <c r="F221" s="5" t="inlineStr">
        <is>
          <t>CB400-V</t>
        </is>
      </c>
      <c r="G221" s="5" t="inlineStr">
        <is>
          <t>S06</t>
        </is>
      </c>
      <c r="H221" s="10" t="n">
        <v>1.312</v>
      </c>
      <c r="I221" s="47" t="n">
        <v>160</v>
      </c>
      <c r="J221" s="47" t="n">
        <v>1</v>
      </c>
      <c r="K221" s="47">
        <f>I221*J221</f>
        <v/>
      </c>
      <c r="L221" s="11">
        <f>H221*K221</f>
        <v/>
      </c>
      <c r="M221" s="10" t="n">
        <v>1.58</v>
      </c>
      <c r="N221" s="11">
        <f>L221*M221</f>
        <v/>
      </c>
      <c r="O221" s="10">
        <f>N221/1000</f>
        <v/>
      </c>
      <c r="P221" s="5" t="inlineStr">
        <is>
          <t>10&lt;D&lt;=18mm</t>
        </is>
      </c>
      <c r="Q221" s="6" t="inlineStr">
        <is>
          <t>TCVN 1651:2018 / ASTM</t>
        </is>
      </c>
    </row>
    <row r="222">
      <c r="A222" s="12" t="n">
        <v>216</v>
      </c>
      <c r="B222" s="13" t="inlineStr">
        <is>
          <t>Trụ T1, T2 (Xà mũ trụ)</t>
        </is>
      </c>
      <c r="C222" s="13" t="inlineStr">
        <is>
          <t>Xà mũ trụ</t>
        </is>
      </c>
      <c r="D222" s="12" t="inlineStr">
        <is>
          <t>g3</t>
        </is>
      </c>
      <c r="E222" s="12" t="n">
        <v>16</v>
      </c>
      <c r="F222" s="12" t="inlineStr">
        <is>
          <t>CB400-V</t>
        </is>
      </c>
      <c r="G222" s="12" t="inlineStr">
        <is>
          <t>S51</t>
        </is>
      </c>
      <c r="H222" s="17" t="n">
        <v>2.856</v>
      </c>
      <c r="I222" s="48" t="n">
        <v>80</v>
      </c>
      <c r="J222" s="48" t="n">
        <v>1</v>
      </c>
      <c r="K222" s="48">
        <f>I222*J222</f>
        <v/>
      </c>
      <c r="L222" s="18">
        <f>H222*K222</f>
        <v/>
      </c>
      <c r="M222" s="17" t="n">
        <v>1.58</v>
      </c>
      <c r="N222" s="18">
        <f>L222*M222</f>
        <v/>
      </c>
      <c r="O222" s="17">
        <f>N222/1000</f>
        <v/>
      </c>
      <c r="P222" s="12" t="inlineStr">
        <is>
          <t>10&lt;D&lt;=18mm</t>
        </is>
      </c>
      <c r="Q222" s="13" t="inlineStr">
        <is>
          <t>TCVN 1651:2018 / ASTM</t>
        </is>
      </c>
    </row>
    <row r="223">
      <c r="A223" s="5" t="n">
        <v>217</v>
      </c>
      <c r="B223" s="6" t="inlineStr">
        <is>
          <t>Trụ T1, T2 (Xà mũ trụ)</t>
        </is>
      </c>
      <c r="C223" s="6" t="inlineStr">
        <is>
          <t>Xà mũ trụ</t>
        </is>
      </c>
      <c r="D223" s="5" t="inlineStr">
        <is>
          <t>g4</t>
        </is>
      </c>
      <c r="E223" s="5" t="n">
        <v>8</v>
      </c>
      <c r="F223" s="5" t="inlineStr">
        <is>
          <t>CB240-T</t>
        </is>
      </c>
      <c r="G223" s="5" t="inlineStr">
        <is>
          <t>S01</t>
        </is>
      </c>
      <c r="H223" s="10" t="n">
        <v>0.49</v>
      </c>
      <c r="I223" s="47" t="n">
        <v>280</v>
      </c>
      <c r="J223" s="47" t="n">
        <v>1</v>
      </c>
      <c r="K223" s="47">
        <f>I223*J223</f>
        <v/>
      </c>
      <c r="L223" s="11">
        <f>H223*K223</f>
        <v/>
      </c>
      <c r="M223" s="10" t="n">
        <v>0.395</v>
      </c>
      <c r="N223" s="11">
        <f>L223*M223</f>
        <v/>
      </c>
      <c r="O223" s="10">
        <f>N223/1000</f>
        <v/>
      </c>
      <c r="P223" s="5" t="inlineStr">
        <is>
          <t>D&lt;=10mm</t>
        </is>
      </c>
      <c r="Q223" s="6" t="inlineStr">
        <is>
          <t>TCVN 1651:2018 / ASTM</t>
        </is>
      </c>
    </row>
    <row r="224">
      <c r="A224" s="12" t="n">
        <v>218</v>
      </c>
      <c r="B224" s="13" t="inlineStr">
        <is>
          <t>Trụ T1, T2 (Xà mũ trụ)</t>
        </is>
      </c>
      <c r="C224" s="13" t="inlineStr">
        <is>
          <t>Xà mũ trụ</t>
        </is>
      </c>
      <c r="D224" s="12" t="inlineStr">
        <is>
          <t>g5</t>
        </is>
      </c>
      <c r="E224" s="12" t="n">
        <v>8</v>
      </c>
      <c r="F224" s="12" t="inlineStr">
        <is>
          <t>CB240-T</t>
        </is>
      </c>
      <c r="G224" s="12" t="inlineStr">
        <is>
          <t>S01</t>
        </is>
      </c>
      <c r="H224" s="17" t="n">
        <v>0.6899999999999999</v>
      </c>
      <c r="I224" s="48" t="n">
        <v>200</v>
      </c>
      <c r="J224" s="48" t="n">
        <v>1</v>
      </c>
      <c r="K224" s="48">
        <f>I224*J224</f>
        <v/>
      </c>
      <c r="L224" s="18">
        <f>H224*K224</f>
        <v/>
      </c>
      <c r="M224" s="17" t="n">
        <v>0.395</v>
      </c>
      <c r="N224" s="18">
        <f>L224*M224</f>
        <v/>
      </c>
      <c r="O224" s="17">
        <f>N224/1000</f>
        <v/>
      </c>
      <c r="P224" s="12" t="inlineStr">
        <is>
          <t>D&lt;=10mm</t>
        </is>
      </c>
      <c r="Q224" s="13" t="inlineStr">
        <is>
          <t>TCVN 1651:2018 / ASTM</t>
        </is>
      </c>
    </row>
    <row r="225">
      <c r="A225" s="5" t="n">
        <v>219</v>
      </c>
      <c r="B225" s="6" t="inlineStr">
        <is>
          <t>Trụ T1, T2 (Xà mũ trụ)</t>
        </is>
      </c>
      <c r="C225" s="6" t="inlineStr">
        <is>
          <t>ô chèng chuyÓn vÞ</t>
        </is>
      </c>
      <c r="D225" s="5" t="inlineStr">
        <is>
          <t>U1</t>
        </is>
      </c>
      <c r="E225" s="5" t="n">
        <v>16</v>
      </c>
      <c r="F225" s="5" t="inlineStr">
        <is>
          <t>CB400-V</t>
        </is>
      </c>
      <c r="G225" s="5" t="inlineStr">
        <is>
          <t>S06</t>
        </is>
      </c>
      <c r="H225" s="10" t="n">
        <v>3.098</v>
      </c>
      <c r="I225" s="47" t="n">
        <v>56</v>
      </c>
      <c r="J225" s="47" t="n">
        <v>1</v>
      </c>
      <c r="K225" s="47">
        <f>I225*J225</f>
        <v/>
      </c>
      <c r="L225" s="11">
        <f>H225*K225</f>
        <v/>
      </c>
      <c r="M225" s="10" t="n">
        <v>1.58</v>
      </c>
      <c r="N225" s="11">
        <f>L225*M225</f>
        <v/>
      </c>
      <c r="O225" s="10">
        <f>N225/1000</f>
        <v/>
      </c>
      <c r="P225" s="5" t="inlineStr">
        <is>
          <t>10&lt;D&lt;=18mm</t>
        </is>
      </c>
      <c r="Q225" s="6" t="inlineStr">
        <is>
          <t>TCVN 1651:2018 / ASTM</t>
        </is>
      </c>
    </row>
    <row r="226">
      <c r="A226" s="12" t="n">
        <v>220</v>
      </c>
      <c r="B226" s="13" t="inlineStr">
        <is>
          <t>Trụ T1, T2 (Xà mũ trụ)</t>
        </is>
      </c>
      <c r="C226" s="13" t="inlineStr">
        <is>
          <t>Xà mũ trụ</t>
        </is>
      </c>
      <c r="D226" s="12" t="inlineStr">
        <is>
          <t>U2</t>
        </is>
      </c>
      <c r="E226" s="12" t="n">
        <v>16</v>
      </c>
      <c r="F226" s="12" t="inlineStr">
        <is>
          <t>CB400-V</t>
        </is>
      </c>
      <c r="G226" s="12" t="inlineStr">
        <is>
          <t>S06</t>
        </is>
      </c>
      <c r="H226" s="17" t="n">
        <v>2.798</v>
      </c>
      <c r="I226" s="48" t="n">
        <v>80</v>
      </c>
      <c r="J226" s="48" t="n">
        <v>1</v>
      </c>
      <c r="K226" s="48">
        <f>I226*J226</f>
        <v/>
      </c>
      <c r="L226" s="18">
        <f>H226*K226</f>
        <v/>
      </c>
      <c r="M226" s="17" t="n">
        <v>1.58</v>
      </c>
      <c r="N226" s="18">
        <f>L226*M226</f>
        <v/>
      </c>
      <c r="O226" s="17">
        <f>N226/1000</f>
        <v/>
      </c>
      <c r="P226" s="12" t="inlineStr">
        <is>
          <t>10&lt;D&lt;=18mm</t>
        </is>
      </c>
      <c r="Q226" s="13" t="inlineStr">
        <is>
          <t>TCVN 1651:2018 / ASTM</t>
        </is>
      </c>
    </row>
    <row r="227">
      <c r="A227" s="5" t="n">
        <v>221</v>
      </c>
      <c r="B227" s="6" t="inlineStr">
        <is>
          <t>Trụ T1, T2 (Xà mũ trụ)</t>
        </is>
      </c>
      <c r="C227" s="6" t="inlineStr">
        <is>
          <t>Xà mũ trụ</t>
        </is>
      </c>
      <c r="D227" s="5" t="inlineStr">
        <is>
          <t>U3</t>
        </is>
      </c>
      <c r="E227" s="5" t="n">
        <v>16</v>
      </c>
      <c r="F227" s="5" t="inlineStr">
        <is>
          <t>CB400-V</t>
        </is>
      </c>
      <c r="G227" s="5" t="inlineStr">
        <is>
          <t>S51</t>
        </is>
      </c>
      <c r="H227" s="10" t="n">
        <v>3.256</v>
      </c>
      <c r="I227" s="47" t="n">
        <v>56</v>
      </c>
      <c r="J227" s="47" t="n">
        <v>1</v>
      </c>
      <c r="K227" s="47">
        <f>I227*J227</f>
        <v/>
      </c>
      <c r="L227" s="11">
        <f>H227*K227</f>
        <v/>
      </c>
      <c r="M227" s="10" t="n">
        <v>1.58</v>
      </c>
      <c r="N227" s="11">
        <f>L227*M227</f>
        <v/>
      </c>
      <c r="O227" s="10">
        <f>N227/1000</f>
        <v/>
      </c>
      <c r="P227" s="5" t="inlineStr">
        <is>
          <t>10&lt;D&lt;=18mm</t>
        </is>
      </c>
      <c r="Q227" s="6" t="inlineStr">
        <is>
          <t>TCVN 1651:2018 / ASTM</t>
        </is>
      </c>
    </row>
    <row r="228">
      <c r="A228" s="12" t="n">
        <v>222</v>
      </c>
      <c r="B228" s="13" t="inlineStr">
        <is>
          <t>Trụ T1, T2 (Xà mũ trụ)</t>
        </is>
      </c>
      <c r="C228" s="13" t="inlineStr">
        <is>
          <t>Xà mũ trụ</t>
        </is>
      </c>
      <c r="D228" s="12" t="inlineStr">
        <is>
          <t>U4</t>
        </is>
      </c>
      <c r="E228" s="12" t="n">
        <v>8</v>
      </c>
      <c r="F228" s="12" t="inlineStr">
        <is>
          <t>CB240-T</t>
        </is>
      </c>
      <c r="G228" s="12" t="inlineStr">
        <is>
          <t>S32</t>
        </is>
      </c>
      <c r="H228" s="17" t="n">
        <v>1.837</v>
      </c>
      <c r="I228" s="48" t="n">
        <v>24</v>
      </c>
      <c r="J228" s="48" t="n">
        <v>1</v>
      </c>
      <c r="K228" s="48">
        <f>I228*J228</f>
        <v/>
      </c>
      <c r="L228" s="18">
        <f>H228*K228</f>
        <v/>
      </c>
      <c r="M228" s="17" t="n">
        <v>0.395</v>
      </c>
      <c r="N228" s="18">
        <f>L228*M228</f>
        <v/>
      </c>
      <c r="O228" s="17">
        <f>N228/1000</f>
        <v/>
      </c>
      <c r="P228" s="12" t="inlineStr">
        <is>
          <t>D&lt;=10mm</t>
        </is>
      </c>
      <c r="Q228" s="13" t="inlineStr">
        <is>
          <t>TCVN 1651:2018 / ASTM</t>
        </is>
      </c>
    </row>
    <row r="229" ht="22" customHeight="1">
      <c r="A229" s="44" t="inlineStr">
        <is>
          <t>03. KẾT CẤU PHẦN TRÊN (SUPERSTRUCTURE)</t>
        </is>
      </c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6" t="n"/>
    </row>
    <row r="230">
      <c r="A230" s="5" t="n">
        <v>223</v>
      </c>
      <c r="B230" s="6" t="inlineStr">
        <is>
          <t>Dầm chủ Super-T (15 phiến L=38.2m)</t>
        </is>
      </c>
      <c r="C230" s="6" t="inlineStr">
        <is>
          <t>Sườn dầm / Cánh dầm</t>
        </is>
      </c>
      <c r="D230" s="5" t="inlineStr">
        <is>
          <t>G1a</t>
        </is>
      </c>
      <c r="E230" s="5" t="n">
        <v>16</v>
      </c>
      <c r="F230" s="5" t="inlineStr">
        <is>
          <t>CB400-V</t>
        </is>
      </c>
      <c r="G230" s="5" t="inlineStr">
        <is>
          <t>S06</t>
        </is>
      </c>
      <c r="H230" s="10" t="n">
        <v>5.056</v>
      </c>
      <c r="I230" s="47" t="n">
        <v>2160</v>
      </c>
      <c r="J230" s="47" t="n">
        <v>1</v>
      </c>
      <c r="K230" s="47">
        <f>I230*J230</f>
        <v/>
      </c>
      <c r="L230" s="11">
        <f>H230*K230</f>
        <v/>
      </c>
      <c r="M230" s="10" t="n">
        <v>1.58</v>
      </c>
      <c r="N230" s="11">
        <f>L230*M230</f>
        <v/>
      </c>
      <c r="O230" s="10">
        <f>N230/1000</f>
        <v/>
      </c>
      <c r="P230" s="5" t="inlineStr">
        <is>
          <t>10&lt;D&lt;=18mm</t>
        </is>
      </c>
      <c r="Q230" s="6" t="inlineStr">
        <is>
          <t>TCVN 1651:2018 / ASTM</t>
        </is>
      </c>
    </row>
    <row r="231">
      <c r="A231" s="12" t="n">
        <v>224</v>
      </c>
      <c r="B231" s="13" t="inlineStr">
        <is>
          <t>Dầm chủ Super-T (15 phiến L=38.2m)</t>
        </is>
      </c>
      <c r="C231" s="13" t="inlineStr">
        <is>
          <t>Sườn dầm / Cánh dầm</t>
        </is>
      </c>
      <c r="D231" s="12" t="inlineStr">
        <is>
          <t>G1b</t>
        </is>
      </c>
      <c r="E231" s="12" t="n">
        <v>12</v>
      </c>
      <c r="F231" s="12" t="inlineStr">
        <is>
          <t>CB400-V</t>
        </is>
      </c>
      <c r="G231" s="12" t="inlineStr">
        <is>
          <t>S06</t>
        </is>
      </c>
      <c r="H231" s="17" t="n">
        <v>5.075</v>
      </c>
      <c r="I231" s="48" t="n">
        <v>1875</v>
      </c>
      <c r="J231" s="48" t="n">
        <v>1</v>
      </c>
      <c r="K231" s="48">
        <f>I231*J231</f>
        <v/>
      </c>
      <c r="L231" s="18">
        <f>H231*K231</f>
        <v/>
      </c>
      <c r="M231" s="17" t="n">
        <v>0.888</v>
      </c>
      <c r="N231" s="18">
        <f>L231*M231</f>
        <v/>
      </c>
      <c r="O231" s="17">
        <f>N231/1000</f>
        <v/>
      </c>
      <c r="P231" s="12" t="inlineStr">
        <is>
          <t>10&lt;D&lt;=18mm</t>
        </is>
      </c>
      <c r="Q231" s="13" t="inlineStr">
        <is>
          <t>TCVN 1651:2018 / ASTM</t>
        </is>
      </c>
    </row>
    <row r="232">
      <c r="A232" s="5" t="n">
        <v>225</v>
      </c>
      <c r="B232" s="6" t="inlineStr">
        <is>
          <t>Dầm chủ Super-T (15 phiến L=38.2m)</t>
        </is>
      </c>
      <c r="C232" s="6" t="inlineStr">
        <is>
          <t>Sườn dầm / Cánh dầm</t>
        </is>
      </c>
      <c r="D232" s="5" t="inlineStr">
        <is>
          <t>G2</t>
        </is>
      </c>
      <c r="E232" s="5" t="n">
        <v>12</v>
      </c>
      <c r="F232" s="5" t="inlineStr">
        <is>
          <t>CB400-V</t>
        </is>
      </c>
      <c r="G232" s="5" t="inlineStr">
        <is>
          <t>S06</t>
        </is>
      </c>
      <c r="H232" s="10" t="n">
        <v>1.184</v>
      </c>
      <c r="I232" s="47" t="n">
        <v>3825</v>
      </c>
      <c r="J232" s="47" t="n">
        <v>1</v>
      </c>
      <c r="K232" s="47">
        <f>I232*J232</f>
        <v/>
      </c>
      <c r="L232" s="11">
        <f>H232*K232</f>
        <v/>
      </c>
      <c r="M232" s="10" t="n">
        <v>0.888</v>
      </c>
      <c r="N232" s="11">
        <f>L232*M232</f>
        <v/>
      </c>
      <c r="O232" s="10">
        <f>N232/1000</f>
        <v/>
      </c>
      <c r="P232" s="5" t="inlineStr">
        <is>
          <t>10&lt;D&lt;=18mm</t>
        </is>
      </c>
      <c r="Q232" s="6" t="inlineStr">
        <is>
          <t>TCVN 1651:2018 / ASTM</t>
        </is>
      </c>
    </row>
    <row r="233">
      <c r="A233" s="12" t="n">
        <v>226</v>
      </c>
      <c r="B233" s="13" t="inlineStr">
        <is>
          <t>Dầm chủ Super-T (15 phiến L=38.2m)</t>
        </is>
      </c>
      <c r="C233" s="13" t="inlineStr">
        <is>
          <t>Sườn dầm / Cánh dầm</t>
        </is>
      </c>
      <c r="D233" s="12" t="inlineStr">
        <is>
          <t>G2a</t>
        </is>
      </c>
      <c r="E233" s="12" t="n">
        <v>12</v>
      </c>
      <c r="F233" s="12" t="inlineStr">
        <is>
          <t>CB400-V</t>
        </is>
      </c>
      <c r="G233" s="12" t="inlineStr">
        <is>
          <t>S06</t>
        </is>
      </c>
      <c r="H233" s="17" t="n">
        <v>1.309</v>
      </c>
      <c r="I233" s="48" t="n">
        <v>4035</v>
      </c>
      <c r="J233" s="48" t="n">
        <v>1</v>
      </c>
      <c r="K233" s="48">
        <f>I233*J233</f>
        <v/>
      </c>
      <c r="L233" s="18">
        <f>H233*K233</f>
        <v/>
      </c>
      <c r="M233" s="17" t="n">
        <v>0.888</v>
      </c>
      <c r="N233" s="18">
        <f>L233*M233</f>
        <v/>
      </c>
      <c r="O233" s="17">
        <f>N233/1000</f>
        <v/>
      </c>
      <c r="P233" s="12" t="inlineStr">
        <is>
          <t>10&lt;D&lt;=18mm</t>
        </is>
      </c>
      <c r="Q233" s="13" t="inlineStr">
        <is>
          <t>TCVN 1651:2018 / ASTM</t>
        </is>
      </c>
    </row>
    <row r="234">
      <c r="A234" s="5" t="n">
        <v>227</v>
      </c>
      <c r="B234" s="6" t="inlineStr">
        <is>
          <t>Dầm chủ Super-T (15 phiến L=38.2m)</t>
        </is>
      </c>
      <c r="C234" s="6" t="inlineStr">
        <is>
          <t>Sườn dầm / Cánh dầm</t>
        </is>
      </c>
      <c r="D234" s="5" t="inlineStr">
        <is>
          <t>G3</t>
        </is>
      </c>
      <c r="E234" s="5" t="n">
        <v>12</v>
      </c>
      <c r="F234" s="5" t="inlineStr">
        <is>
          <t>CB400-V</t>
        </is>
      </c>
      <c r="G234" s="5" t="inlineStr">
        <is>
          <t>S06</t>
        </is>
      </c>
      <c r="H234" s="10" t="n">
        <v>1.259</v>
      </c>
      <c r="I234" s="47" t="n">
        <v>4035</v>
      </c>
      <c r="J234" s="47" t="n">
        <v>1</v>
      </c>
      <c r="K234" s="47">
        <f>I234*J234</f>
        <v/>
      </c>
      <c r="L234" s="11">
        <f>H234*K234</f>
        <v/>
      </c>
      <c r="M234" s="10" t="n">
        <v>0.888</v>
      </c>
      <c r="N234" s="11">
        <f>L234*M234</f>
        <v/>
      </c>
      <c r="O234" s="10">
        <f>N234/1000</f>
        <v/>
      </c>
      <c r="P234" s="5" t="inlineStr">
        <is>
          <t>10&lt;D&lt;=18mm</t>
        </is>
      </c>
      <c r="Q234" s="6" t="inlineStr">
        <is>
          <t>TCVN 1651:2018 / ASTM</t>
        </is>
      </c>
    </row>
    <row r="235">
      <c r="A235" s="12" t="n">
        <v>228</v>
      </c>
      <c r="B235" s="13" t="inlineStr">
        <is>
          <t>Dầm chủ Super-T (15 phiến L=38.2m)</t>
        </is>
      </c>
      <c r="C235" s="13" t="inlineStr">
        <is>
          <t>Sườn dầm / Cánh dầm</t>
        </is>
      </c>
      <c r="D235" s="12" t="inlineStr">
        <is>
          <t>G4a1</t>
        </is>
      </c>
      <c r="E235" s="12" t="n">
        <v>12</v>
      </c>
      <c r="F235" s="12" t="inlineStr">
        <is>
          <t>CB400-V</t>
        </is>
      </c>
      <c r="G235" s="12" t="inlineStr">
        <is>
          <t>S01</t>
        </is>
      </c>
      <c r="H235" s="17" t="n">
        <v>11.7</v>
      </c>
      <c r="I235" s="48" t="n">
        <v>315</v>
      </c>
      <c r="J235" s="48" t="n">
        <v>1</v>
      </c>
      <c r="K235" s="48">
        <f>I235*J235</f>
        <v/>
      </c>
      <c r="L235" s="18">
        <f>H235*K235</f>
        <v/>
      </c>
      <c r="M235" s="17" t="n">
        <v>0.888</v>
      </c>
      <c r="N235" s="18">
        <f>L235*M235</f>
        <v/>
      </c>
      <c r="O235" s="17">
        <f>N235/1000</f>
        <v/>
      </c>
      <c r="P235" s="12" t="inlineStr">
        <is>
          <t>10&lt;D&lt;=18mm</t>
        </is>
      </c>
      <c r="Q235" s="13" t="inlineStr">
        <is>
          <t>TCVN 1651:2018 / ASTM</t>
        </is>
      </c>
    </row>
    <row r="236">
      <c r="A236" s="5" t="n">
        <v>229</v>
      </c>
      <c r="B236" s="6" t="inlineStr">
        <is>
          <t>Dầm chủ Super-T (15 phiến L=38.2m)</t>
        </is>
      </c>
      <c r="C236" s="6" t="inlineStr">
        <is>
          <t>Sườn dầm / Cánh dầm</t>
        </is>
      </c>
      <c r="D236" s="5" t="inlineStr">
        <is>
          <t>G4a2</t>
        </is>
      </c>
      <c r="E236" s="5" t="n">
        <v>12</v>
      </c>
      <c r="F236" s="5" t="inlineStr">
        <is>
          <t>CB400-V</t>
        </is>
      </c>
      <c r="G236" s="5" t="inlineStr">
        <is>
          <t>S06</t>
        </is>
      </c>
      <c r="H236" s="10" t="n">
        <v>4.46</v>
      </c>
      <c r="I236" s="47" t="n">
        <v>105</v>
      </c>
      <c r="J236" s="47" t="n">
        <v>1</v>
      </c>
      <c r="K236" s="47">
        <f>I236*J236</f>
        <v/>
      </c>
      <c r="L236" s="11">
        <f>H236*K236</f>
        <v/>
      </c>
      <c r="M236" s="10" t="n">
        <v>0.888</v>
      </c>
      <c r="N236" s="11">
        <f>L236*M236</f>
        <v/>
      </c>
      <c r="O236" s="10">
        <f>N236/1000</f>
        <v/>
      </c>
      <c r="P236" s="5" t="inlineStr">
        <is>
          <t>10&lt;D&lt;=18mm</t>
        </is>
      </c>
      <c r="Q236" s="6" t="inlineStr">
        <is>
          <t>TCVN 1651:2018 / ASTM</t>
        </is>
      </c>
    </row>
    <row r="237">
      <c r="A237" s="12" t="n">
        <v>230</v>
      </c>
      <c r="B237" s="13" t="inlineStr">
        <is>
          <t>Dầm chủ Super-T (15 phiến L=38.2m)</t>
        </is>
      </c>
      <c r="C237" s="13" t="inlineStr">
        <is>
          <t>Sườn dầm / Cánh dầm</t>
        </is>
      </c>
      <c r="D237" s="12" t="inlineStr">
        <is>
          <t>G4b1</t>
        </is>
      </c>
      <c r="E237" s="12" t="n">
        <v>12</v>
      </c>
      <c r="F237" s="12" t="inlineStr">
        <is>
          <t>CB400-V</t>
        </is>
      </c>
      <c r="G237" s="12" t="inlineStr">
        <is>
          <t>S01</t>
        </is>
      </c>
      <c r="H237" s="17" t="n">
        <v>11.7</v>
      </c>
      <c r="I237" s="48" t="n">
        <v>180</v>
      </c>
      <c r="J237" s="48" t="n">
        <v>1</v>
      </c>
      <c r="K237" s="48">
        <f>I237*J237</f>
        <v/>
      </c>
      <c r="L237" s="18">
        <f>H237*K237</f>
        <v/>
      </c>
      <c r="M237" s="17" t="n">
        <v>0.888</v>
      </c>
      <c r="N237" s="18">
        <f>L237*M237</f>
        <v/>
      </c>
      <c r="O237" s="17">
        <f>N237/1000</f>
        <v/>
      </c>
      <c r="P237" s="12" t="inlineStr">
        <is>
          <t>10&lt;D&lt;=18mm</t>
        </is>
      </c>
      <c r="Q237" s="13" t="inlineStr">
        <is>
          <t>TCVN 1651:2018 / ASTM</t>
        </is>
      </c>
    </row>
    <row r="238">
      <c r="A238" s="5" t="n">
        <v>231</v>
      </c>
      <c r="B238" s="6" t="inlineStr">
        <is>
          <t>Dầm chủ Super-T (15 phiến L=38.2m)</t>
        </is>
      </c>
      <c r="C238" s="6" t="inlineStr">
        <is>
          <t>Sườn dầm / Cánh dầm</t>
        </is>
      </c>
      <c r="D238" s="5" t="inlineStr">
        <is>
          <t>G4b2</t>
        </is>
      </c>
      <c r="E238" s="5" t="n">
        <v>12</v>
      </c>
      <c r="F238" s="5" t="inlineStr">
        <is>
          <t>CB400-V</t>
        </is>
      </c>
      <c r="G238" s="5" t="inlineStr">
        <is>
          <t>S06</t>
        </is>
      </c>
      <c r="H238" s="10" t="n">
        <v>3.06</v>
      </c>
      <c r="I238" s="47" t="n">
        <v>60</v>
      </c>
      <c r="J238" s="47" t="n">
        <v>1</v>
      </c>
      <c r="K238" s="47">
        <f>I238*J238</f>
        <v/>
      </c>
      <c r="L238" s="11">
        <f>H238*K238</f>
        <v/>
      </c>
      <c r="M238" s="10" t="n">
        <v>0.888</v>
      </c>
      <c r="N238" s="11">
        <f>L238*M238</f>
        <v/>
      </c>
      <c r="O238" s="10">
        <f>N238/1000</f>
        <v/>
      </c>
      <c r="P238" s="5" t="inlineStr">
        <is>
          <t>10&lt;D&lt;=18mm</t>
        </is>
      </c>
      <c r="Q238" s="6" t="inlineStr">
        <is>
          <t>TCVN 1651:2018 / ASTM</t>
        </is>
      </c>
    </row>
    <row r="239">
      <c r="A239" s="12" t="n">
        <v>232</v>
      </c>
      <c r="B239" s="13" t="inlineStr">
        <is>
          <t>Dầm chủ Super-T (15 phiến L=38.2m)</t>
        </is>
      </c>
      <c r="C239" s="13" t="inlineStr">
        <is>
          <t>Sườn dầm / Cánh dầm</t>
        </is>
      </c>
      <c r="D239" s="12" t="inlineStr">
        <is>
          <t>G5a</t>
        </is>
      </c>
      <c r="E239" s="12" t="n">
        <v>16</v>
      </c>
      <c r="F239" s="12" t="inlineStr">
        <is>
          <t>CB400-V</t>
        </is>
      </c>
      <c r="G239" s="12" t="inlineStr">
        <is>
          <t>S01</t>
        </is>
      </c>
      <c r="H239" s="17" t="n">
        <v>11.7</v>
      </c>
      <c r="I239" s="48" t="n">
        <v>420</v>
      </c>
      <c r="J239" s="48" t="n">
        <v>1</v>
      </c>
      <c r="K239" s="48">
        <f>I239*J239</f>
        <v/>
      </c>
      <c r="L239" s="18">
        <f>H239*K239</f>
        <v/>
      </c>
      <c r="M239" s="17" t="n">
        <v>1.58</v>
      </c>
      <c r="N239" s="18">
        <f>L239*M239</f>
        <v/>
      </c>
      <c r="O239" s="17">
        <f>N239/1000</f>
        <v/>
      </c>
      <c r="P239" s="12" t="inlineStr">
        <is>
          <t>10&lt;D&lt;=18mm</t>
        </is>
      </c>
      <c r="Q239" s="13" t="inlineStr">
        <is>
          <t>TCVN 1651:2018 / ASTM</t>
        </is>
      </c>
    </row>
    <row r="240">
      <c r="A240" s="5" t="n">
        <v>233</v>
      </c>
      <c r="B240" s="6" t="inlineStr">
        <is>
          <t>Dầm chủ Super-T (15 phiến L=38.2m)</t>
        </is>
      </c>
      <c r="C240" s="6" t="inlineStr">
        <is>
          <t>Sườn dầm / Cánh dầm</t>
        </is>
      </c>
      <c r="D240" s="5" t="inlineStr">
        <is>
          <t>G5b</t>
        </is>
      </c>
      <c r="E240" s="5" t="n">
        <v>18</v>
      </c>
      <c r="F240" s="5" t="inlineStr">
        <is>
          <t>CB400-V</t>
        </is>
      </c>
      <c r="G240" s="5" t="inlineStr">
        <is>
          <t>S06</t>
        </is>
      </c>
      <c r="H240" s="10" t="n">
        <v>2.86</v>
      </c>
      <c r="I240" s="47" t="n">
        <v>210</v>
      </c>
      <c r="J240" s="47" t="n">
        <v>1</v>
      </c>
      <c r="K240" s="47">
        <f>I240*J240</f>
        <v/>
      </c>
      <c r="L240" s="11">
        <f>H240*K240</f>
        <v/>
      </c>
      <c r="M240" s="10" t="n">
        <v>2</v>
      </c>
      <c r="N240" s="11">
        <f>L240*M240</f>
        <v/>
      </c>
      <c r="O240" s="10">
        <f>N240/1000</f>
        <v/>
      </c>
      <c r="P240" s="5" t="inlineStr">
        <is>
          <t>10&lt;D&lt;=18mm</t>
        </is>
      </c>
      <c r="Q240" s="6" t="inlineStr">
        <is>
          <t>TCVN 1651:2018 / ASTM</t>
        </is>
      </c>
    </row>
    <row r="241">
      <c r="A241" s="12" t="n">
        <v>234</v>
      </c>
      <c r="B241" s="13" t="inlineStr">
        <is>
          <t>Dầm chủ Super-T (15 phiến L=38.2m)</t>
        </is>
      </c>
      <c r="C241" s="13" t="inlineStr">
        <is>
          <t>Sườn dầm / Cánh dầm</t>
        </is>
      </c>
      <c r="D241" s="12" t="inlineStr">
        <is>
          <t>G5c</t>
        </is>
      </c>
      <c r="E241" s="12" t="n">
        <v>16</v>
      </c>
      <c r="F241" s="12" t="inlineStr">
        <is>
          <t>CB400-V</t>
        </is>
      </c>
      <c r="G241" s="12" t="inlineStr">
        <is>
          <t>S01</t>
        </is>
      </c>
      <c r="H241" s="17" t="n">
        <v>10.68</v>
      </c>
      <c r="I241" s="48" t="n">
        <v>210</v>
      </c>
      <c r="J241" s="48" t="n">
        <v>1</v>
      </c>
      <c r="K241" s="48">
        <f>I241*J241</f>
        <v/>
      </c>
      <c r="L241" s="18">
        <f>H241*K241</f>
        <v/>
      </c>
      <c r="M241" s="17" t="n">
        <v>1.58</v>
      </c>
      <c r="N241" s="18">
        <f>L241*M241</f>
        <v/>
      </c>
      <c r="O241" s="17">
        <f>N241/1000</f>
        <v/>
      </c>
      <c r="P241" s="12" t="inlineStr">
        <is>
          <t>10&lt;D&lt;=18mm</t>
        </is>
      </c>
      <c r="Q241" s="13" t="inlineStr">
        <is>
          <t>TCVN 1651:2018 / ASTM</t>
        </is>
      </c>
    </row>
    <row r="242">
      <c r="A242" s="5" t="n">
        <v>235</v>
      </c>
      <c r="B242" s="6" t="inlineStr">
        <is>
          <t>Dầm chủ Super-T (15 phiến L=38.2m)</t>
        </is>
      </c>
      <c r="C242" s="6" t="inlineStr">
        <is>
          <t>Sườn dầm / Cánh dầm</t>
        </is>
      </c>
      <c r="D242" s="5" t="inlineStr">
        <is>
          <t>G5d</t>
        </is>
      </c>
      <c r="E242" s="5" t="n">
        <v>18</v>
      </c>
      <c r="F242" s="5" t="inlineStr">
        <is>
          <t>CB400-V</t>
        </is>
      </c>
      <c r="G242" s="5" t="inlineStr">
        <is>
          <t>S06</t>
        </is>
      </c>
      <c r="H242" s="10" t="n">
        <v>3.9</v>
      </c>
      <c r="I242" s="47" t="n">
        <v>210</v>
      </c>
      <c r="J242" s="47" t="n">
        <v>1</v>
      </c>
      <c r="K242" s="47">
        <f>I242*J242</f>
        <v/>
      </c>
      <c r="L242" s="11">
        <f>H242*K242</f>
        <v/>
      </c>
      <c r="M242" s="10" t="n">
        <v>2</v>
      </c>
      <c r="N242" s="11">
        <f>L242*M242</f>
        <v/>
      </c>
      <c r="O242" s="10">
        <f>N242/1000</f>
        <v/>
      </c>
      <c r="P242" s="5" t="inlineStr">
        <is>
          <t>10&lt;D&lt;=18mm</t>
        </is>
      </c>
      <c r="Q242" s="6" t="inlineStr">
        <is>
          <t>TCVN 1651:2018 / ASTM</t>
        </is>
      </c>
    </row>
    <row r="243">
      <c r="A243" s="12" t="n">
        <v>236</v>
      </c>
      <c r="B243" s="13" t="inlineStr">
        <is>
          <t>Dầm chủ Super-T (15 phiến L=38.2m)</t>
        </is>
      </c>
      <c r="C243" s="13" t="inlineStr">
        <is>
          <t>Sườn dầm / Cánh dầm</t>
        </is>
      </c>
      <c r="D243" s="12" t="inlineStr">
        <is>
          <t>G6a</t>
        </is>
      </c>
      <c r="E243" s="12" t="n">
        <v>32</v>
      </c>
      <c r="F243" s="12" t="inlineStr">
        <is>
          <t>CB400-V</t>
        </is>
      </c>
      <c r="G243" s="12" t="inlineStr">
        <is>
          <t>S01</t>
        </is>
      </c>
      <c r="H243" s="17" t="n">
        <v>11.7</v>
      </c>
      <c r="I243" s="48" t="n">
        <v>135</v>
      </c>
      <c r="J243" s="48" t="n">
        <v>1</v>
      </c>
      <c r="K243" s="48">
        <f>I243*J243</f>
        <v/>
      </c>
      <c r="L243" s="18">
        <f>H243*K243</f>
        <v/>
      </c>
      <c r="M243" s="17" t="n">
        <v>6.31</v>
      </c>
      <c r="N243" s="18">
        <f>L243*M243</f>
        <v/>
      </c>
      <c r="O243" s="17">
        <f>N243/1000</f>
        <v/>
      </c>
      <c r="P243" s="12" t="inlineStr">
        <is>
          <t>D&gt;18mm</t>
        </is>
      </c>
      <c r="Q243" s="13" t="inlineStr">
        <is>
          <t>TCVN 1651:2018 / ASTM</t>
        </is>
      </c>
    </row>
    <row r="244">
      <c r="A244" s="5" t="n">
        <v>237</v>
      </c>
      <c r="B244" s="6" t="inlineStr">
        <is>
          <t>Dầm chủ Super-T (15 phiến L=38.2m)</t>
        </is>
      </c>
      <c r="C244" s="6" t="inlineStr">
        <is>
          <t>Sườn dầm / Cánh dầm</t>
        </is>
      </c>
      <c r="D244" s="5" t="inlineStr">
        <is>
          <t>G6b</t>
        </is>
      </c>
      <c r="E244" s="5" t="n">
        <v>32</v>
      </c>
      <c r="F244" s="5" t="inlineStr">
        <is>
          <t>CB400-V</t>
        </is>
      </c>
      <c r="G244" s="5" t="inlineStr">
        <is>
          <t>S06</t>
        </is>
      </c>
      <c r="H244" s="10" t="n">
        <v>6.86</v>
      </c>
      <c r="I244" s="47" t="n">
        <v>45</v>
      </c>
      <c r="J244" s="47" t="n">
        <v>1</v>
      </c>
      <c r="K244" s="47">
        <f>I244*J244</f>
        <v/>
      </c>
      <c r="L244" s="11">
        <f>H244*K244</f>
        <v/>
      </c>
      <c r="M244" s="10" t="n">
        <v>6.31</v>
      </c>
      <c r="N244" s="11">
        <f>L244*M244</f>
        <v/>
      </c>
      <c r="O244" s="10">
        <f>N244/1000</f>
        <v/>
      </c>
      <c r="P244" s="5" t="inlineStr">
        <is>
          <t>D&gt;18mm</t>
        </is>
      </c>
      <c r="Q244" s="6" t="inlineStr">
        <is>
          <t>TCVN 1651:2018 / ASTM</t>
        </is>
      </c>
    </row>
    <row r="245">
      <c r="A245" s="12" t="n">
        <v>238</v>
      </c>
      <c r="B245" s="13" t="inlineStr">
        <is>
          <t>Dầm chủ Super-T (15 phiến L=38.2m)</t>
        </is>
      </c>
      <c r="C245" s="13" t="inlineStr">
        <is>
          <t>Sườn dầm / Cánh dầm</t>
        </is>
      </c>
      <c r="D245" s="12" t="inlineStr">
        <is>
          <t>N1a</t>
        </is>
      </c>
      <c r="E245" s="12" t="n">
        <v>12</v>
      </c>
      <c r="F245" s="12" t="inlineStr">
        <is>
          <t>CB400-V</t>
        </is>
      </c>
      <c r="G245" s="12" t="inlineStr">
        <is>
          <t>S06</t>
        </is>
      </c>
      <c r="H245" s="17" t="n">
        <v>1.185</v>
      </c>
      <c r="I245" s="48" t="n">
        <v>555</v>
      </c>
      <c r="J245" s="48" t="n">
        <v>1</v>
      </c>
      <c r="K245" s="48">
        <f>I245*J245</f>
        <v/>
      </c>
      <c r="L245" s="18">
        <f>H245*K245</f>
        <v/>
      </c>
      <c r="M245" s="17" t="n">
        <v>0.888</v>
      </c>
      <c r="N245" s="18">
        <f>L245*M245</f>
        <v/>
      </c>
      <c r="O245" s="17">
        <f>N245/1000</f>
        <v/>
      </c>
      <c r="P245" s="12" t="inlineStr">
        <is>
          <t>10&lt;D&lt;=18mm</t>
        </is>
      </c>
      <c r="Q245" s="13" t="inlineStr">
        <is>
          <t>TCVN 1651:2018 / ASTM</t>
        </is>
      </c>
    </row>
    <row r="246">
      <c r="A246" s="5" t="n">
        <v>239</v>
      </c>
      <c r="B246" s="6" t="inlineStr">
        <is>
          <t>Dầm chủ Super-T (15 phiến L=38.2m)</t>
        </is>
      </c>
      <c r="C246" s="6" t="inlineStr">
        <is>
          <t>TRUNG BÌNH</t>
        </is>
      </c>
      <c r="D246" s="5" t="inlineStr">
        <is>
          <t>N1b</t>
        </is>
      </c>
      <c r="E246" s="5" t="n">
        <v>12</v>
      </c>
      <c r="F246" s="5" t="inlineStr">
        <is>
          <t>CB400-V</t>
        </is>
      </c>
      <c r="G246" s="5" t="inlineStr">
        <is>
          <t>S06</t>
        </is>
      </c>
      <c r="H246" s="10" t="n">
        <v>0.93</v>
      </c>
      <c r="I246" s="47" t="n">
        <v>3885</v>
      </c>
      <c r="J246" s="47" t="n">
        <v>1</v>
      </c>
      <c r="K246" s="47">
        <f>I246*J246</f>
        <v/>
      </c>
      <c r="L246" s="11">
        <f>H246*K246</f>
        <v/>
      </c>
      <c r="M246" s="10" t="n">
        <v>0.888</v>
      </c>
      <c r="N246" s="11">
        <f>L246*M246</f>
        <v/>
      </c>
      <c r="O246" s="10">
        <f>N246/1000</f>
        <v/>
      </c>
      <c r="P246" s="5" t="inlineStr">
        <is>
          <t>10&lt;D&lt;=18mm</t>
        </is>
      </c>
      <c r="Q246" s="6" t="inlineStr">
        <is>
          <t>TCVN 1651:2018 / ASTM</t>
        </is>
      </c>
    </row>
    <row r="247">
      <c r="A247" s="12" t="n">
        <v>240</v>
      </c>
      <c r="B247" s="13" t="inlineStr">
        <is>
          <t>Dầm chủ Super-T (15 phiến L=38.2m)</t>
        </is>
      </c>
      <c r="C247" s="13" t="inlineStr">
        <is>
          <t>Sườn dầm / Cánh dầm</t>
        </is>
      </c>
      <c r="D247" s="12" t="inlineStr">
        <is>
          <t>N2</t>
        </is>
      </c>
      <c r="E247" s="12" t="n">
        <v>12</v>
      </c>
      <c r="F247" s="12" t="inlineStr">
        <is>
          <t>CB400-V</t>
        </is>
      </c>
      <c r="G247" s="12" t="inlineStr">
        <is>
          <t>S06</t>
        </is>
      </c>
      <c r="H247" s="17" t="n">
        <v>3.664</v>
      </c>
      <c r="I247" s="48" t="n">
        <v>45</v>
      </c>
      <c r="J247" s="48" t="n">
        <v>1</v>
      </c>
      <c r="K247" s="48">
        <f>I247*J247</f>
        <v/>
      </c>
      <c r="L247" s="18">
        <f>H247*K247</f>
        <v/>
      </c>
      <c r="M247" s="17" t="n">
        <v>0.888</v>
      </c>
      <c r="N247" s="18">
        <f>L247*M247</f>
        <v/>
      </c>
      <c r="O247" s="17">
        <f>N247/1000</f>
        <v/>
      </c>
      <c r="P247" s="12" t="inlineStr">
        <is>
          <t>10&lt;D&lt;=18mm</t>
        </is>
      </c>
      <c r="Q247" s="13" t="inlineStr">
        <is>
          <t>TCVN 1651:2018 / ASTM</t>
        </is>
      </c>
    </row>
    <row r="248">
      <c r="A248" s="5" t="n">
        <v>241</v>
      </c>
      <c r="B248" s="6" t="inlineStr">
        <is>
          <t>Dầm chủ Super-T (15 phiến L=38.2m)</t>
        </is>
      </c>
      <c r="C248" s="6" t="inlineStr">
        <is>
          <t>Sườn dầm / Cánh dầm</t>
        </is>
      </c>
      <c r="D248" s="5" t="inlineStr">
        <is>
          <t>E1</t>
        </is>
      </c>
      <c r="E248" s="5" t="n">
        <v>16</v>
      </c>
      <c r="F248" s="5" t="inlineStr">
        <is>
          <t>CB400-V</t>
        </is>
      </c>
      <c r="G248" s="5" t="inlineStr">
        <is>
          <t>S06</t>
        </is>
      </c>
      <c r="H248" s="10" t="n">
        <v>2.376</v>
      </c>
      <c r="I248" s="47" t="n">
        <v>3780</v>
      </c>
      <c r="J248" s="47" t="n">
        <v>1</v>
      </c>
      <c r="K248" s="47">
        <f>I248*J248</f>
        <v/>
      </c>
      <c r="L248" s="11">
        <f>H248*K248</f>
        <v/>
      </c>
      <c r="M248" s="10" t="n">
        <v>1.58</v>
      </c>
      <c r="N248" s="11">
        <f>L248*M248</f>
        <v/>
      </c>
      <c r="O248" s="10">
        <f>N248/1000</f>
        <v/>
      </c>
      <c r="P248" s="5" t="inlineStr">
        <is>
          <t>10&lt;D&lt;=18mm</t>
        </is>
      </c>
      <c r="Q248" s="6" t="inlineStr">
        <is>
          <t>TCVN 1651:2018 / ASTM</t>
        </is>
      </c>
    </row>
    <row r="249">
      <c r="A249" s="12" t="n">
        <v>242</v>
      </c>
      <c r="B249" s="13" t="inlineStr">
        <is>
          <t>Dầm chủ Super-T (15 phiến L=38.2m)</t>
        </is>
      </c>
      <c r="C249" s="13" t="inlineStr">
        <is>
          <t>Sườn dầm / Cánh dầm</t>
        </is>
      </c>
      <c r="D249" s="12" t="inlineStr">
        <is>
          <t>E2</t>
        </is>
      </c>
      <c r="E249" s="12" t="n">
        <v>16</v>
      </c>
      <c r="F249" s="12" t="inlineStr">
        <is>
          <t>CB400-V</t>
        </is>
      </c>
      <c r="G249" s="12" t="inlineStr">
        <is>
          <t>S06</t>
        </is>
      </c>
      <c r="H249" s="17" t="n">
        <v>3.932</v>
      </c>
      <c r="I249" s="48" t="n">
        <v>300</v>
      </c>
      <c r="J249" s="48" t="n">
        <v>1</v>
      </c>
      <c r="K249" s="48">
        <f>I249*J249</f>
        <v/>
      </c>
      <c r="L249" s="18">
        <f>H249*K249</f>
        <v/>
      </c>
      <c r="M249" s="17" t="n">
        <v>1.58</v>
      </c>
      <c r="N249" s="18">
        <f>L249*M249</f>
        <v/>
      </c>
      <c r="O249" s="17">
        <f>N249/1000</f>
        <v/>
      </c>
      <c r="P249" s="12" t="inlineStr">
        <is>
          <t>10&lt;D&lt;=18mm</t>
        </is>
      </c>
      <c r="Q249" s="13" t="inlineStr">
        <is>
          <t>TCVN 1651:2018 / ASTM</t>
        </is>
      </c>
    </row>
    <row r="250">
      <c r="A250" s="5" t="n">
        <v>243</v>
      </c>
      <c r="B250" s="6" t="inlineStr">
        <is>
          <t>Dầm chủ Super-T (15 phiến L=38.2m)</t>
        </is>
      </c>
      <c r="C250" s="6" t="inlineStr">
        <is>
          <t>Sườn dầm / Cánh dầm</t>
        </is>
      </c>
      <c r="D250" s="5" t="inlineStr">
        <is>
          <t>Thanh neo</t>
        </is>
      </c>
      <c r="E250" s="5" t="n">
        <v>20</v>
      </c>
      <c r="F250" s="5" t="inlineStr">
        <is>
          <t>CB400-V</t>
        </is>
      </c>
      <c r="G250" s="5" t="inlineStr">
        <is>
          <t>S06</t>
        </is>
      </c>
      <c r="H250" s="10" t="n">
        <v>0.11</v>
      </c>
      <c r="I250" s="47" t="n">
        <v>120</v>
      </c>
      <c r="J250" s="47" t="n">
        <v>1</v>
      </c>
      <c r="K250" s="47">
        <f>I250*J250</f>
        <v/>
      </c>
      <c r="L250" s="11">
        <f>H250*K250</f>
        <v/>
      </c>
      <c r="M250" s="10" t="n">
        <v>2.47</v>
      </c>
      <c r="N250" s="11">
        <f>L250*M250</f>
        <v/>
      </c>
      <c r="O250" s="10">
        <f>N250/1000</f>
        <v/>
      </c>
      <c r="P250" s="5" t="inlineStr">
        <is>
          <t>D&gt;18mm</t>
        </is>
      </c>
      <c r="Q250" s="6" t="inlineStr">
        <is>
          <t>TCVN 1651:2018 / ASTM</t>
        </is>
      </c>
    </row>
    <row r="251">
      <c r="A251" s="12" t="n">
        <v>244</v>
      </c>
      <c r="B251" s="13" t="inlineStr">
        <is>
          <t>Dầm chủ Super-T (15 phiến L=38.2m)</t>
        </is>
      </c>
      <c r="C251" s="13" t="inlineStr">
        <is>
          <t>Sườn dầm / Cánh dầm</t>
        </is>
      </c>
      <c r="D251" s="12" t="inlineStr">
        <is>
          <t>K1a</t>
        </is>
      </c>
      <c r="E251" s="12" t="n">
        <v>16</v>
      </c>
      <c r="F251" s="12" t="inlineStr">
        <is>
          <t>CB400-V</t>
        </is>
      </c>
      <c r="G251" s="12" t="inlineStr">
        <is>
          <t>S06</t>
        </is>
      </c>
      <c r="H251" s="17" t="n">
        <v>0.976</v>
      </c>
      <c r="I251" s="48" t="n">
        <v>120</v>
      </c>
      <c r="J251" s="48" t="n">
        <v>1</v>
      </c>
      <c r="K251" s="48">
        <f>I251*J251</f>
        <v/>
      </c>
      <c r="L251" s="18">
        <f>H251*K251</f>
        <v/>
      </c>
      <c r="M251" s="17" t="n">
        <v>1.58</v>
      </c>
      <c r="N251" s="18">
        <f>L251*M251</f>
        <v/>
      </c>
      <c r="O251" s="17">
        <f>N251/1000</f>
        <v/>
      </c>
      <c r="P251" s="12" t="inlineStr">
        <is>
          <t>10&lt;D&lt;=18mm</t>
        </is>
      </c>
      <c r="Q251" s="13" t="inlineStr">
        <is>
          <t>TCVN 1651:2018 / ASTM</t>
        </is>
      </c>
    </row>
    <row r="252">
      <c r="A252" s="5" t="n">
        <v>245</v>
      </c>
      <c r="B252" s="6" t="inlineStr">
        <is>
          <t>Dầm chủ Super-T (15 phiến L=38.2m)</t>
        </is>
      </c>
      <c r="C252" s="6" t="inlineStr">
        <is>
          <t>Sườn dầm / Cánh dầm</t>
        </is>
      </c>
      <c r="D252" s="5" t="inlineStr">
        <is>
          <t>K1b</t>
        </is>
      </c>
      <c r="E252" s="5" t="n">
        <v>16</v>
      </c>
      <c r="F252" s="5" t="inlineStr">
        <is>
          <t>CB400-V</t>
        </is>
      </c>
      <c r="G252" s="5" t="inlineStr">
        <is>
          <t>S06</t>
        </is>
      </c>
      <c r="H252" s="10" t="n">
        <v>0.776</v>
      </c>
      <c r="I252" s="47" t="n">
        <v>120</v>
      </c>
      <c r="J252" s="47" t="n">
        <v>1</v>
      </c>
      <c r="K252" s="47">
        <f>I252*J252</f>
        <v/>
      </c>
      <c r="L252" s="11">
        <f>H252*K252</f>
        <v/>
      </c>
      <c r="M252" s="10" t="n">
        <v>1.58</v>
      </c>
      <c r="N252" s="11">
        <f>L252*M252</f>
        <v/>
      </c>
      <c r="O252" s="10">
        <f>N252/1000</f>
        <v/>
      </c>
      <c r="P252" s="5" t="inlineStr">
        <is>
          <t>10&lt;D&lt;=18mm</t>
        </is>
      </c>
      <c r="Q252" s="6" t="inlineStr">
        <is>
          <t>TCVN 1651:2018 / ASTM</t>
        </is>
      </c>
    </row>
    <row r="253">
      <c r="A253" s="12" t="n">
        <v>246</v>
      </c>
      <c r="B253" s="13" t="inlineStr">
        <is>
          <t>Dầm chủ Super-T (15 phiến L=38.2m)</t>
        </is>
      </c>
      <c r="C253" s="13" t="inlineStr">
        <is>
          <t>Sườn dầm / Cánh dầm</t>
        </is>
      </c>
      <c r="D253" s="12" t="inlineStr">
        <is>
          <t>G1a</t>
        </is>
      </c>
      <c r="E253" s="12" t="n">
        <v>16</v>
      </c>
      <c r="F253" s="12" t="inlineStr">
        <is>
          <t>CB400-V</t>
        </is>
      </c>
      <c r="G253" s="12" t="inlineStr">
        <is>
          <t>S06</t>
        </is>
      </c>
      <c r="H253" s="17" t="n">
        <v>5.056</v>
      </c>
      <c r="I253" s="48" t="n">
        <v>2160</v>
      </c>
      <c r="J253" s="48" t="n">
        <v>1</v>
      </c>
      <c r="K253" s="48">
        <f>I253*J253</f>
        <v/>
      </c>
      <c r="L253" s="18">
        <f>H253*K253</f>
        <v/>
      </c>
      <c r="M253" s="17" t="n">
        <v>1.58</v>
      </c>
      <c r="N253" s="18">
        <f>L253*M253</f>
        <v/>
      </c>
      <c r="O253" s="17">
        <f>N253/1000</f>
        <v/>
      </c>
      <c r="P253" s="12" t="inlineStr">
        <is>
          <t>10&lt;D&lt;=18mm</t>
        </is>
      </c>
      <c r="Q253" s="13" t="inlineStr">
        <is>
          <t>TCVN 1651:2018 / ASTM</t>
        </is>
      </c>
    </row>
    <row r="254">
      <c r="A254" s="5" t="n">
        <v>247</v>
      </c>
      <c r="B254" s="6" t="inlineStr">
        <is>
          <t>Dầm chủ Super-T (15 phiến L=38.2m)</t>
        </is>
      </c>
      <c r="C254" s="6" t="inlineStr">
        <is>
          <t>Sườn dầm / Cánh dầm</t>
        </is>
      </c>
      <c r="D254" s="5" t="inlineStr">
        <is>
          <t>G1b</t>
        </is>
      </c>
      <c r="E254" s="5" t="n">
        <v>12</v>
      </c>
      <c r="F254" s="5" t="inlineStr">
        <is>
          <t>CB400-V</t>
        </is>
      </c>
      <c r="G254" s="5" t="inlineStr">
        <is>
          <t>S06</t>
        </is>
      </c>
      <c r="H254" s="10" t="n">
        <v>5.075</v>
      </c>
      <c r="I254" s="47" t="n">
        <v>1875</v>
      </c>
      <c r="J254" s="47" t="n">
        <v>1</v>
      </c>
      <c r="K254" s="47">
        <f>I254*J254</f>
        <v/>
      </c>
      <c r="L254" s="11">
        <f>H254*K254</f>
        <v/>
      </c>
      <c r="M254" s="10" t="n">
        <v>0.888</v>
      </c>
      <c r="N254" s="11">
        <f>L254*M254</f>
        <v/>
      </c>
      <c r="O254" s="10">
        <f>N254/1000</f>
        <v/>
      </c>
      <c r="P254" s="5" t="inlineStr">
        <is>
          <t>10&lt;D&lt;=18mm</t>
        </is>
      </c>
      <c r="Q254" s="6" t="inlineStr">
        <is>
          <t>TCVN 1651:2018 / ASTM</t>
        </is>
      </c>
    </row>
    <row r="255">
      <c r="A255" s="12" t="n">
        <v>248</v>
      </c>
      <c r="B255" s="13" t="inlineStr">
        <is>
          <t>Dầm chủ Super-T (15 phiến L=38.2m)</t>
        </is>
      </c>
      <c r="C255" s="13" t="inlineStr">
        <is>
          <t>Sườn dầm / Cánh dầm</t>
        </is>
      </c>
      <c r="D255" s="12" t="inlineStr">
        <is>
          <t>G2</t>
        </is>
      </c>
      <c r="E255" s="12" t="n">
        <v>12</v>
      </c>
      <c r="F255" s="12" t="inlineStr">
        <is>
          <t>CB400-V</t>
        </is>
      </c>
      <c r="G255" s="12" t="inlineStr">
        <is>
          <t>S06</t>
        </is>
      </c>
      <c r="H255" s="17" t="n">
        <v>1.184</v>
      </c>
      <c r="I255" s="48" t="n">
        <v>3825</v>
      </c>
      <c r="J255" s="48" t="n">
        <v>1</v>
      </c>
      <c r="K255" s="48">
        <f>I255*J255</f>
        <v/>
      </c>
      <c r="L255" s="18">
        <f>H255*K255</f>
        <v/>
      </c>
      <c r="M255" s="17" t="n">
        <v>0.888</v>
      </c>
      <c r="N255" s="18">
        <f>L255*M255</f>
        <v/>
      </c>
      <c r="O255" s="17">
        <f>N255/1000</f>
        <v/>
      </c>
      <c r="P255" s="12" t="inlineStr">
        <is>
          <t>10&lt;D&lt;=18mm</t>
        </is>
      </c>
      <c r="Q255" s="13" t="inlineStr">
        <is>
          <t>TCVN 1651:2018 / ASTM</t>
        </is>
      </c>
    </row>
    <row r="256">
      <c r="A256" s="5" t="n">
        <v>249</v>
      </c>
      <c r="B256" s="6" t="inlineStr">
        <is>
          <t>Dầm chủ Super-T (15 phiến L=38.2m)</t>
        </is>
      </c>
      <c r="C256" s="6" t="inlineStr">
        <is>
          <t>Sườn dầm / Cánh dầm</t>
        </is>
      </c>
      <c r="D256" s="5" t="inlineStr">
        <is>
          <t>G2a</t>
        </is>
      </c>
      <c r="E256" s="5" t="n">
        <v>12</v>
      </c>
      <c r="F256" s="5" t="inlineStr">
        <is>
          <t>CB400-V</t>
        </is>
      </c>
      <c r="G256" s="5" t="inlineStr">
        <is>
          <t>S06</t>
        </is>
      </c>
      <c r="H256" s="10" t="n">
        <v>1.284</v>
      </c>
      <c r="I256" s="47" t="n">
        <v>4035</v>
      </c>
      <c r="J256" s="47" t="n">
        <v>1</v>
      </c>
      <c r="K256" s="47">
        <f>I256*J256</f>
        <v/>
      </c>
      <c r="L256" s="11">
        <f>H256*K256</f>
        <v/>
      </c>
      <c r="M256" s="10" t="n">
        <v>0.888</v>
      </c>
      <c r="N256" s="11">
        <f>L256*M256</f>
        <v/>
      </c>
      <c r="O256" s="10">
        <f>N256/1000</f>
        <v/>
      </c>
      <c r="P256" s="5" t="inlineStr">
        <is>
          <t>10&lt;D&lt;=18mm</t>
        </is>
      </c>
      <c r="Q256" s="6" t="inlineStr">
        <is>
          <t>TCVN 1651:2018 / ASTM</t>
        </is>
      </c>
    </row>
    <row r="257">
      <c r="A257" s="12" t="n">
        <v>250</v>
      </c>
      <c r="B257" s="13" t="inlineStr">
        <is>
          <t>Dầm chủ Super-T (15 phiến L=38.2m)</t>
        </is>
      </c>
      <c r="C257" s="13" t="inlineStr">
        <is>
          <t>Sườn dầm / Cánh dầm</t>
        </is>
      </c>
      <c r="D257" s="12" t="inlineStr">
        <is>
          <t>G3</t>
        </is>
      </c>
      <c r="E257" s="12" t="n">
        <v>12</v>
      </c>
      <c r="F257" s="12" t="inlineStr">
        <is>
          <t>CB400-V</t>
        </is>
      </c>
      <c r="G257" s="12" t="inlineStr">
        <is>
          <t>S06</t>
        </is>
      </c>
      <c r="H257" s="17" t="n">
        <v>1.259</v>
      </c>
      <c r="I257" s="48" t="n">
        <v>4035</v>
      </c>
      <c r="J257" s="48" t="n">
        <v>1</v>
      </c>
      <c r="K257" s="48">
        <f>I257*J257</f>
        <v/>
      </c>
      <c r="L257" s="18">
        <f>H257*K257</f>
        <v/>
      </c>
      <c r="M257" s="17" t="n">
        <v>0.888</v>
      </c>
      <c r="N257" s="18">
        <f>L257*M257</f>
        <v/>
      </c>
      <c r="O257" s="17">
        <f>N257/1000</f>
        <v/>
      </c>
      <c r="P257" s="12" t="inlineStr">
        <is>
          <t>10&lt;D&lt;=18mm</t>
        </is>
      </c>
      <c r="Q257" s="13" t="inlineStr">
        <is>
          <t>TCVN 1651:2018 / ASTM</t>
        </is>
      </c>
    </row>
    <row r="258">
      <c r="A258" s="5" t="n">
        <v>251</v>
      </c>
      <c r="B258" s="6" t="inlineStr">
        <is>
          <t>Dầm chủ Super-T (15 phiến L=38.2m)</t>
        </is>
      </c>
      <c r="C258" s="6" t="inlineStr">
        <is>
          <t>Sườn dầm / Cánh dầm</t>
        </is>
      </c>
      <c r="D258" s="5" t="inlineStr">
        <is>
          <t>G4a1</t>
        </is>
      </c>
      <c r="E258" s="5" t="n">
        <v>12</v>
      </c>
      <c r="F258" s="5" t="inlineStr">
        <is>
          <t>CB400-V</t>
        </is>
      </c>
      <c r="G258" s="5" t="inlineStr">
        <is>
          <t>S01</t>
        </is>
      </c>
      <c r="H258" s="10" t="n">
        <v>11.7</v>
      </c>
      <c r="I258" s="47" t="n">
        <v>315</v>
      </c>
      <c r="J258" s="47" t="n">
        <v>1</v>
      </c>
      <c r="K258" s="47">
        <f>I258*J258</f>
        <v/>
      </c>
      <c r="L258" s="11">
        <f>H258*K258</f>
        <v/>
      </c>
      <c r="M258" s="10" t="n">
        <v>0.888</v>
      </c>
      <c r="N258" s="11">
        <f>L258*M258</f>
        <v/>
      </c>
      <c r="O258" s="10">
        <f>N258/1000</f>
        <v/>
      </c>
      <c r="P258" s="5" t="inlineStr">
        <is>
          <t>10&lt;D&lt;=18mm</t>
        </is>
      </c>
      <c r="Q258" s="6" t="inlineStr">
        <is>
          <t>TCVN 1651:2018 / ASTM</t>
        </is>
      </c>
    </row>
    <row r="259">
      <c r="A259" s="12" t="n">
        <v>252</v>
      </c>
      <c r="B259" s="13" t="inlineStr">
        <is>
          <t>Dầm chủ Super-T (15 phiến L=38.2m)</t>
        </is>
      </c>
      <c r="C259" s="13" t="inlineStr">
        <is>
          <t>Sườn dầm / Cánh dầm</t>
        </is>
      </c>
      <c r="D259" s="12" t="inlineStr">
        <is>
          <t>G4a2</t>
        </is>
      </c>
      <c r="E259" s="12" t="n">
        <v>12</v>
      </c>
      <c r="F259" s="12" t="inlineStr">
        <is>
          <t>CB400-V</t>
        </is>
      </c>
      <c r="G259" s="12" t="inlineStr">
        <is>
          <t>S06</t>
        </is>
      </c>
      <c r="H259" s="17" t="n">
        <v>4.46</v>
      </c>
      <c r="I259" s="48" t="n">
        <v>105</v>
      </c>
      <c r="J259" s="48" t="n">
        <v>1</v>
      </c>
      <c r="K259" s="48">
        <f>I259*J259</f>
        <v/>
      </c>
      <c r="L259" s="18">
        <f>H259*K259</f>
        <v/>
      </c>
      <c r="M259" s="17" t="n">
        <v>0.888</v>
      </c>
      <c r="N259" s="18">
        <f>L259*M259</f>
        <v/>
      </c>
      <c r="O259" s="17">
        <f>N259/1000</f>
        <v/>
      </c>
      <c r="P259" s="12" t="inlineStr">
        <is>
          <t>10&lt;D&lt;=18mm</t>
        </is>
      </c>
      <c r="Q259" s="13" t="inlineStr">
        <is>
          <t>TCVN 1651:2018 / ASTM</t>
        </is>
      </c>
    </row>
    <row r="260">
      <c r="A260" s="5" t="n">
        <v>253</v>
      </c>
      <c r="B260" s="6" t="inlineStr">
        <is>
          <t>Dầm chủ Super-T (15 phiến L=38.2m)</t>
        </is>
      </c>
      <c r="C260" s="6" t="inlineStr">
        <is>
          <t>Sườn dầm / Cánh dầm</t>
        </is>
      </c>
      <c r="D260" s="5" t="inlineStr">
        <is>
          <t>G4b1</t>
        </is>
      </c>
      <c r="E260" s="5" t="n">
        <v>12</v>
      </c>
      <c r="F260" s="5" t="inlineStr">
        <is>
          <t>CB400-V</t>
        </is>
      </c>
      <c r="G260" s="5" t="inlineStr">
        <is>
          <t>S01</t>
        </is>
      </c>
      <c r="H260" s="10" t="n">
        <v>11.7</v>
      </c>
      <c r="I260" s="47" t="n">
        <v>180</v>
      </c>
      <c r="J260" s="47" t="n">
        <v>1</v>
      </c>
      <c r="K260" s="47">
        <f>I260*J260</f>
        <v/>
      </c>
      <c r="L260" s="11">
        <f>H260*K260</f>
        <v/>
      </c>
      <c r="M260" s="10" t="n">
        <v>0.888</v>
      </c>
      <c r="N260" s="11">
        <f>L260*M260</f>
        <v/>
      </c>
      <c r="O260" s="10">
        <f>N260/1000</f>
        <v/>
      </c>
      <c r="P260" s="5" t="inlineStr">
        <is>
          <t>10&lt;D&lt;=18mm</t>
        </is>
      </c>
      <c r="Q260" s="6" t="inlineStr">
        <is>
          <t>TCVN 1651:2018 / ASTM</t>
        </is>
      </c>
    </row>
    <row r="261">
      <c r="A261" s="12" t="n">
        <v>254</v>
      </c>
      <c r="B261" s="13" t="inlineStr">
        <is>
          <t>Dầm chủ Super-T (15 phiến L=38.2m)</t>
        </is>
      </c>
      <c r="C261" s="13" t="inlineStr">
        <is>
          <t>Sườn dầm / Cánh dầm</t>
        </is>
      </c>
      <c r="D261" s="12" t="inlineStr">
        <is>
          <t>G4b2</t>
        </is>
      </c>
      <c r="E261" s="12" t="n">
        <v>12</v>
      </c>
      <c r="F261" s="12" t="inlineStr">
        <is>
          <t>CB400-V</t>
        </is>
      </c>
      <c r="G261" s="12" t="inlineStr">
        <is>
          <t>S06</t>
        </is>
      </c>
      <c r="H261" s="17" t="n">
        <v>3.06</v>
      </c>
      <c r="I261" s="48" t="n">
        <v>60</v>
      </c>
      <c r="J261" s="48" t="n">
        <v>1</v>
      </c>
      <c r="K261" s="48">
        <f>I261*J261</f>
        <v/>
      </c>
      <c r="L261" s="18">
        <f>H261*K261</f>
        <v/>
      </c>
      <c r="M261" s="17" t="n">
        <v>0.888</v>
      </c>
      <c r="N261" s="18">
        <f>L261*M261</f>
        <v/>
      </c>
      <c r="O261" s="17">
        <f>N261/1000</f>
        <v/>
      </c>
      <c r="P261" s="12" t="inlineStr">
        <is>
          <t>10&lt;D&lt;=18mm</t>
        </is>
      </c>
      <c r="Q261" s="13" t="inlineStr">
        <is>
          <t>TCVN 1651:2018 / ASTM</t>
        </is>
      </c>
    </row>
    <row r="262">
      <c r="A262" s="5" t="n">
        <v>255</v>
      </c>
      <c r="B262" s="6" t="inlineStr">
        <is>
          <t>Dầm chủ Super-T (15 phiến L=38.2m)</t>
        </is>
      </c>
      <c r="C262" s="6" t="inlineStr">
        <is>
          <t>Sườn dầm / Cánh dầm</t>
        </is>
      </c>
      <c r="D262" s="5" t="inlineStr">
        <is>
          <t>G5a</t>
        </is>
      </c>
      <c r="E262" s="5" t="n">
        <v>16</v>
      </c>
      <c r="F262" s="5" t="inlineStr">
        <is>
          <t>CB400-V</t>
        </is>
      </c>
      <c r="G262" s="5" t="inlineStr">
        <is>
          <t>S01</t>
        </is>
      </c>
      <c r="H262" s="10" t="n">
        <v>11.7</v>
      </c>
      <c r="I262" s="47" t="n">
        <v>420</v>
      </c>
      <c r="J262" s="47" t="n">
        <v>1</v>
      </c>
      <c r="K262" s="47">
        <f>I262*J262</f>
        <v/>
      </c>
      <c r="L262" s="11">
        <f>H262*K262</f>
        <v/>
      </c>
      <c r="M262" s="10" t="n">
        <v>1.58</v>
      </c>
      <c r="N262" s="11">
        <f>L262*M262</f>
        <v/>
      </c>
      <c r="O262" s="10">
        <f>N262/1000</f>
        <v/>
      </c>
      <c r="P262" s="5" t="inlineStr">
        <is>
          <t>10&lt;D&lt;=18mm</t>
        </is>
      </c>
      <c r="Q262" s="6" t="inlineStr">
        <is>
          <t>TCVN 1651:2018 / ASTM</t>
        </is>
      </c>
    </row>
    <row r="263">
      <c r="A263" s="12" t="n">
        <v>256</v>
      </c>
      <c r="B263" s="13" t="inlineStr">
        <is>
          <t>Dầm chủ Super-T (15 phiến L=38.2m)</t>
        </is>
      </c>
      <c r="C263" s="13" t="inlineStr">
        <is>
          <t>Sườn dầm / Cánh dầm</t>
        </is>
      </c>
      <c r="D263" s="12" t="inlineStr">
        <is>
          <t>G5b</t>
        </is>
      </c>
      <c r="E263" s="12" t="n">
        <v>18</v>
      </c>
      <c r="F263" s="12" t="inlineStr">
        <is>
          <t>CB400-V</t>
        </is>
      </c>
      <c r="G263" s="12" t="inlineStr">
        <is>
          <t>S06</t>
        </is>
      </c>
      <c r="H263" s="17" t="n">
        <v>2.86</v>
      </c>
      <c r="I263" s="48" t="n">
        <v>210</v>
      </c>
      <c r="J263" s="48" t="n">
        <v>1</v>
      </c>
      <c r="K263" s="48">
        <f>I263*J263</f>
        <v/>
      </c>
      <c r="L263" s="18">
        <f>H263*K263</f>
        <v/>
      </c>
      <c r="M263" s="17" t="n">
        <v>2</v>
      </c>
      <c r="N263" s="18">
        <f>L263*M263</f>
        <v/>
      </c>
      <c r="O263" s="17">
        <f>N263/1000</f>
        <v/>
      </c>
      <c r="P263" s="12" t="inlineStr">
        <is>
          <t>10&lt;D&lt;=18mm</t>
        </is>
      </c>
      <c r="Q263" s="13" t="inlineStr">
        <is>
          <t>TCVN 1651:2018 / ASTM</t>
        </is>
      </c>
    </row>
    <row r="264">
      <c r="A264" s="5" t="n">
        <v>257</v>
      </c>
      <c r="B264" s="6" t="inlineStr">
        <is>
          <t>Dầm chủ Super-T (15 phiến L=38.2m)</t>
        </is>
      </c>
      <c r="C264" s="6" t="inlineStr">
        <is>
          <t>Sườn dầm / Cánh dầm</t>
        </is>
      </c>
      <c r="D264" s="5" t="inlineStr">
        <is>
          <t>G5c</t>
        </is>
      </c>
      <c r="E264" s="5" t="n">
        <v>16</v>
      </c>
      <c r="F264" s="5" t="inlineStr">
        <is>
          <t>CB400-V</t>
        </is>
      </c>
      <c r="G264" s="5" t="inlineStr">
        <is>
          <t>S01</t>
        </is>
      </c>
      <c r="H264" s="10" t="n">
        <v>10.68</v>
      </c>
      <c r="I264" s="47" t="n">
        <v>210</v>
      </c>
      <c r="J264" s="47" t="n">
        <v>1</v>
      </c>
      <c r="K264" s="47">
        <f>I264*J264</f>
        <v/>
      </c>
      <c r="L264" s="11">
        <f>H264*K264</f>
        <v/>
      </c>
      <c r="M264" s="10" t="n">
        <v>1.58</v>
      </c>
      <c r="N264" s="11">
        <f>L264*M264</f>
        <v/>
      </c>
      <c r="O264" s="10">
        <f>N264/1000</f>
        <v/>
      </c>
      <c r="P264" s="5" t="inlineStr">
        <is>
          <t>10&lt;D&lt;=18mm</t>
        </is>
      </c>
      <c r="Q264" s="6" t="inlineStr">
        <is>
          <t>TCVN 1651:2018 / ASTM</t>
        </is>
      </c>
    </row>
    <row r="265">
      <c r="A265" s="12" t="n">
        <v>258</v>
      </c>
      <c r="B265" s="13" t="inlineStr">
        <is>
          <t>Dầm chủ Super-T (15 phiến L=38.2m)</t>
        </is>
      </c>
      <c r="C265" s="13" t="inlineStr">
        <is>
          <t>Sườn dầm / Cánh dầm</t>
        </is>
      </c>
      <c r="D265" s="12" t="inlineStr">
        <is>
          <t>G5d</t>
        </is>
      </c>
      <c r="E265" s="12" t="n">
        <v>18</v>
      </c>
      <c r="F265" s="12" t="inlineStr">
        <is>
          <t>CB400-V</t>
        </is>
      </c>
      <c r="G265" s="12" t="inlineStr">
        <is>
          <t>S06</t>
        </is>
      </c>
      <c r="H265" s="17" t="n">
        <v>3.9</v>
      </c>
      <c r="I265" s="48" t="n">
        <v>210</v>
      </c>
      <c r="J265" s="48" t="n">
        <v>1</v>
      </c>
      <c r="K265" s="48">
        <f>I265*J265</f>
        <v/>
      </c>
      <c r="L265" s="18">
        <f>H265*K265</f>
        <v/>
      </c>
      <c r="M265" s="17" t="n">
        <v>2</v>
      </c>
      <c r="N265" s="18">
        <f>L265*M265</f>
        <v/>
      </c>
      <c r="O265" s="17">
        <f>N265/1000</f>
        <v/>
      </c>
      <c r="P265" s="12" t="inlineStr">
        <is>
          <t>10&lt;D&lt;=18mm</t>
        </is>
      </c>
      <c r="Q265" s="13" t="inlineStr">
        <is>
          <t>TCVN 1651:2018 / ASTM</t>
        </is>
      </c>
    </row>
    <row r="266">
      <c r="A266" s="5" t="n">
        <v>259</v>
      </c>
      <c r="B266" s="6" t="inlineStr">
        <is>
          <t>Dầm chủ Super-T (15 phiến L=38.2m)</t>
        </is>
      </c>
      <c r="C266" s="6" t="inlineStr">
        <is>
          <t>Sườn dầm / Cánh dầm</t>
        </is>
      </c>
      <c r="D266" s="5" t="inlineStr">
        <is>
          <t>G6a</t>
        </is>
      </c>
      <c r="E266" s="5" t="n">
        <v>32</v>
      </c>
      <c r="F266" s="5" t="inlineStr">
        <is>
          <t>CB400-V</t>
        </is>
      </c>
      <c r="G266" s="5" t="inlineStr">
        <is>
          <t>S01</t>
        </is>
      </c>
      <c r="H266" s="10" t="n">
        <v>11.7</v>
      </c>
      <c r="I266" s="47" t="n">
        <v>135</v>
      </c>
      <c r="J266" s="47" t="n">
        <v>1</v>
      </c>
      <c r="K266" s="47">
        <f>I266*J266</f>
        <v/>
      </c>
      <c r="L266" s="11">
        <f>H266*K266</f>
        <v/>
      </c>
      <c r="M266" s="10" t="n">
        <v>6.31</v>
      </c>
      <c r="N266" s="11">
        <f>L266*M266</f>
        <v/>
      </c>
      <c r="O266" s="10">
        <f>N266/1000</f>
        <v/>
      </c>
      <c r="P266" s="5" t="inlineStr">
        <is>
          <t>D&gt;18mm</t>
        </is>
      </c>
      <c r="Q266" s="6" t="inlineStr">
        <is>
          <t>TCVN 1651:2018 / ASTM</t>
        </is>
      </c>
    </row>
    <row r="267">
      <c r="A267" s="12" t="n">
        <v>260</v>
      </c>
      <c r="B267" s="13" t="inlineStr">
        <is>
          <t>Dầm chủ Super-T (15 phiến L=38.2m)</t>
        </is>
      </c>
      <c r="C267" s="13" t="inlineStr">
        <is>
          <t>Sườn dầm / Cánh dầm</t>
        </is>
      </c>
      <c r="D267" s="12" t="inlineStr">
        <is>
          <t>G6b</t>
        </is>
      </c>
      <c r="E267" s="12" t="n">
        <v>32</v>
      </c>
      <c r="F267" s="12" t="inlineStr">
        <is>
          <t>CB400-V</t>
        </is>
      </c>
      <c r="G267" s="12" t="inlineStr">
        <is>
          <t>S06</t>
        </is>
      </c>
      <c r="H267" s="17" t="n">
        <v>6.86</v>
      </c>
      <c r="I267" s="48" t="n">
        <v>45</v>
      </c>
      <c r="J267" s="48" t="n">
        <v>1</v>
      </c>
      <c r="K267" s="48">
        <f>I267*J267</f>
        <v/>
      </c>
      <c r="L267" s="18">
        <f>H267*K267</f>
        <v/>
      </c>
      <c r="M267" s="17" t="n">
        <v>6.31</v>
      </c>
      <c r="N267" s="18">
        <f>L267*M267</f>
        <v/>
      </c>
      <c r="O267" s="17">
        <f>N267/1000</f>
        <v/>
      </c>
      <c r="P267" s="12" t="inlineStr">
        <is>
          <t>D&gt;18mm</t>
        </is>
      </c>
      <c r="Q267" s="13" t="inlineStr">
        <is>
          <t>TCVN 1651:2018 / ASTM</t>
        </is>
      </c>
    </row>
    <row r="268">
      <c r="A268" s="5" t="n">
        <v>261</v>
      </c>
      <c r="B268" s="6" t="inlineStr">
        <is>
          <t>Dầm chủ Super-T (15 phiến L=38.2m)</t>
        </is>
      </c>
      <c r="C268" s="6" t="inlineStr">
        <is>
          <t>Sườn dầm / Cánh dầm</t>
        </is>
      </c>
      <c r="D268" s="5" t="inlineStr">
        <is>
          <t>N1a</t>
        </is>
      </c>
      <c r="E268" s="5" t="n">
        <v>12</v>
      </c>
      <c r="F268" s="5" t="inlineStr">
        <is>
          <t>CB400-V</t>
        </is>
      </c>
      <c r="G268" s="5" t="inlineStr">
        <is>
          <t>S06</t>
        </is>
      </c>
      <c r="H268" s="10" t="n">
        <v>1.185</v>
      </c>
      <c r="I268" s="47" t="n">
        <v>555</v>
      </c>
      <c r="J268" s="47" t="n">
        <v>1</v>
      </c>
      <c r="K268" s="47">
        <f>I268*J268</f>
        <v/>
      </c>
      <c r="L268" s="11">
        <f>H268*K268</f>
        <v/>
      </c>
      <c r="M268" s="10" t="n">
        <v>0.888</v>
      </c>
      <c r="N268" s="11">
        <f>L268*M268</f>
        <v/>
      </c>
      <c r="O268" s="10">
        <f>N268/1000</f>
        <v/>
      </c>
      <c r="P268" s="5" t="inlineStr">
        <is>
          <t>10&lt;D&lt;=18mm</t>
        </is>
      </c>
      <c r="Q268" s="6" t="inlineStr">
        <is>
          <t>TCVN 1651:2018 / ASTM</t>
        </is>
      </c>
    </row>
    <row r="269">
      <c r="A269" s="12" t="n">
        <v>262</v>
      </c>
      <c r="B269" s="13" t="inlineStr">
        <is>
          <t>Dầm chủ Super-T (15 phiến L=38.2m)</t>
        </is>
      </c>
      <c r="C269" s="13" t="inlineStr">
        <is>
          <t>TRUNG BÌNH</t>
        </is>
      </c>
      <c r="D269" s="12" t="inlineStr">
        <is>
          <t>N1b</t>
        </is>
      </c>
      <c r="E269" s="12" t="n">
        <v>12</v>
      </c>
      <c r="F269" s="12" t="inlineStr">
        <is>
          <t>CB400-V</t>
        </is>
      </c>
      <c r="G269" s="12" t="inlineStr">
        <is>
          <t>S06</t>
        </is>
      </c>
      <c r="H269" s="17" t="n">
        <v>0.93</v>
      </c>
      <c r="I269" s="48" t="n">
        <v>3885</v>
      </c>
      <c r="J269" s="48" t="n">
        <v>1</v>
      </c>
      <c r="K269" s="48">
        <f>I269*J269</f>
        <v/>
      </c>
      <c r="L269" s="18">
        <f>H269*K269</f>
        <v/>
      </c>
      <c r="M269" s="17" t="n">
        <v>0.888</v>
      </c>
      <c r="N269" s="18">
        <f>L269*M269</f>
        <v/>
      </c>
      <c r="O269" s="17">
        <f>N269/1000</f>
        <v/>
      </c>
      <c r="P269" s="12" t="inlineStr">
        <is>
          <t>10&lt;D&lt;=18mm</t>
        </is>
      </c>
      <c r="Q269" s="13" t="inlineStr">
        <is>
          <t>TCVN 1651:2018 / ASTM</t>
        </is>
      </c>
    </row>
    <row r="270">
      <c r="A270" s="5" t="n">
        <v>263</v>
      </c>
      <c r="B270" s="6" t="inlineStr">
        <is>
          <t>Dầm chủ Super-T (15 phiến L=38.2m)</t>
        </is>
      </c>
      <c r="C270" s="6" t="inlineStr">
        <is>
          <t>Sườn dầm / Cánh dầm</t>
        </is>
      </c>
      <c r="D270" s="5" t="inlineStr">
        <is>
          <t>N2</t>
        </is>
      </c>
      <c r="E270" s="5" t="n">
        <v>12</v>
      </c>
      <c r="F270" s="5" t="inlineStr">
        <is>
          <t>CB400-V</t>
        </is>
      </c>
      <c r="G270" s="5" t="inlineStr">
        <is>
          <t>S06</t>
        </is>
      </c>
      <c r="H270" s="10" t="n">
        <v>3.664</v>
      </c>
      <c r="I270" s="47" t="n">
        <v>45</v>
      </c>
      <c r="J270" s="47" t="n">
        <v>1</v>
      </c>
      <c r="K270" s="47">
        <f>I270*J270</f>
        <v/>
      </c>
      <c r="L270" s="11">
        <f>H270*K270</f>
        <v/>
      </c>
      <c r="M270" s="10" t="n">
        <v>0.888</v>
      </c>
      <c r="N270" s="11">
        <f>L270*M270</f>
        <v/>
      </c>
      <c r="O270" s="10">
        <f>N270/1000</f>
        <v/>
      </c>
      <c r="P270" s="5" t="inlineStr">
        <is>
          <t>10&lt;D&lt;=18mm</t>
        </is>
      </c>
      <c r="Q270" s="6" t="inlineStr">
        <is>
          <t>TCVN 1651:2018 / ASTM</t>
        </is>
      </c>
    </row>
    <row r="271">
      <c r="A271" s="12" t="n">
        <v>264</v>
      </c>
      <c r="B271" s="13" t="inlineStr">
        <is>
          <t>Dầm chủ Super-T (15 phiến L=38.2m)</t>
        </is>
      </c>
      <c r="C271" s="13" t="inlineStr">
        <is>
          <t>Sườn dầm / Cánh dầm</t>
        </is>
      </c>
      <c r="D271" s="12" t="inlineStr">
        <is>
          <t>E1</t>
        </is>
      </c>
      <c r="E271" s="12" t="n">
        <v>16</v>
      </c>
      <c r="F271" s="12" t="inlineStr">
        <is>
          <t>CB400-V</t>
        </is>
      </c>
      <c r="G271" s="12" t="inlineStr">
        <is>
          <t>S06</t>
        </is>
      </c>
      <c r="H271" s="17" t="n">
        <v>2.376</v>
      </c>
      <c r="I271" s="48" t="n">
        <v>3780</v>
      </c>
      <c r="J271" s="48" t="n">
        <v>1</v>
      </c>
      <c r="K271" s="48">
        <f>I271*J271</f>
        <v/>
      </c>
      <c r="L271" s="18">
        <f>H271*K271</f>
        <v/>
      </c>
      <c r="M271" s="17" t="n">
        <v>1.58</v>
      </c>
      <c r="N271" s="18">
        <f>L271*M271</f>
        <v/>
      </c>
      <c r="O271" s="17">
        <f>N271/1000</f>
        <v/>
      </c>
      <c r="P271" s="12" t="inlineStr">
        <is>
          <t>10&lt;D&lt;=18mm</t>
        </is>
      </c>
      <c r="Q271" s="13" t="inlineStr">
        <is>
          <t>TCVN 1651:2018 / ASTM</t>
        </is>
      </c>
    </row>
    <row r="272">
      <c r="A272" s="5" t="n">
        <v>265</v>
      </c>
      <c r="B272" s="6" t="inlineStr">
        <is>
          <t>Dầm chủ Super-T (15 phiến L=38.2m)</t>
        </is>
      </c>
      <c r="C272" s="6" t="inlineStr">
        <is>
          <t>Sườn dầm / Cánh dầm</t>
        </is>
      </c>
      <c r="D272" s="5" t="inlineStr">
        <is>
          <t>E2</t>
        </is>
      </c>
      <c r="E272" s="5" t="n">
        <v>16</v>
      </c>
      <c r="F272" s="5" t="inlineStr">
        <is>
          <t>CB400-V</t>
        </is>
      </c>
      <c r="G272" s="5" t="inlineStr">
        <is>
          <t>S06</t>
        </is>
      </c>
      <c r="H272" s="10" t="n">
        <v>3.932</v>
      </c>
      <c r="I272" s="47" t="n">
        <v>300</v>
      </c>
      <c r="J272" s="47" t="n">
        <v>1</v>
      </c>
      <c r="K272" s="47">
        <f>I272*J272</f>
        <v/>
      </c>
      <c r="L272" s="11">
        <f>H272*K272</f>
        <v/>
      </c>
      <c r="M272" s="10" t="n">
        <v>1.58</v>
      </c>
      <c r="N272" s="11">
        <f>L272*M272</f>
        <v/>
      </c>
      <c r="O272" s="10">
        <f>N272/1000</f>
        <v/>
      </c>
      <c r="P272" s="5" t="inlineStr">
        <is>
          <t>10&lt;D&lt;=18mm</t>
        </is>
      </c>
      <c r="Q272" s="6" t="inlineStr">
        <is>
          <t>TCVN 1651:2018 / ASTM</t>
        </is>
      </c>
    </row>
    <row r="273">
      <c r="A273" s="12" t="n">
        <v>266</v>
      </c>
      <c r="B273" s="13" t="inlineStr">
        <is>
          <t>Dầm chủ Super-T (15 phiến L=38.2m)</t>
        </is>
      </c>
      <c r="C273" s="13" t="inlineStr">
        <is>
          <t>Sườn dầm / Cánh dầm</t>
        </is>
      </c>
      <c r="D273" s="12" t="inlineStr">
        <is>
          <t>Thanh neo</t>
        </is>
      </c>
      <c r="E273" s="12" t="n">
        <v>20</v>
      </c>
      <c r="F273" s="12" t="inlineStr">
        <is>
          <t>CB400-V</t>
        </is>
      </c>
      <c r="G273" s="12" t="inlineStr">
        <is>
          <t>S06</t>
        </is>
      </c>
      <c r="H273" s="17" t="n">
        <v>0.11</v>
      </c>
      <c r="I273" s="48" t="n">
        <v>120</v>
      </c>
      <c r="J273" s="48" t="n">
        <v>1</v>
      </c>
      <c r="K273" s="48">
        <f>I273*J273</f>
        <v/>
      </c>
      <c r="L273" s="18">
        <f>H273*K273</f>
        <v/>
      </c>
      <c r="M273" s="17" t="n">
        <v>2.47</v>
      </c>
      <c r="N273" s="18">
        <f>L273*M273</f>
        <v/>
      </c>
      <c r="O273" s="17">
        <f>N273/1000</f>
        <v/>
      </c>
      <c r="P273" s="12" t="inlineStr">
        <is>
          <t>D&gt;18mm</t>
        </is>
      </c>
      <c r="Q273" s="13" t="inlineStr">
        <is>
          <t>TCVN 1651:2018 / ASTM</t>
        </is>
      </c>
    </row>
    <row r="274">
      <c r="A274" s="5" t="n">
        <v>267</v>
      </c>
      <c r="B274" s="6" t="inlineStr">
        <is>
          <t>Dầm chủ Super-T (15 phiến L=38.2m)</t>
        </is>
      </c>
      <c r="C274" s="6" t="inlineStr">
        <is>
          <t>Sườn dầm / Cánh dầm</t>
        </is>
      </c>
      <c r="D274" s="5" t="inlineStr">
        <is>
          <t>K1a</t>
        </is>
      </c>
      <c r="E274" s="5" t="n">
        <v>16</v>
      </c>
      <c r="F274" s="5" t="inlineStr">
        <is>
          <t>CB400-V</t>
        </is>
      </c>
      <c r="G274" s="5" t="inlineStr">
        <is>
          <t>S06</t>
        </is>
      </c>
      <c r="H274" s="10" t="n">
        <v>0.976</v>
      </c>
      <c r="I274" s="47" t="n">
        <v>120</v>
      </c>
      <c r="J274" s="47" t="n">
        <v>1</v>
      </c>
      <c r="K274" s="47">
        <f>I274*J274</f>
        <v/>
      </c>
      <c r="L274" s="11">
        <f>H274*K274</f>
        <v/>
      </c>
      <c r="M274" s="10" t="n">
        <v>1.58</v>
      </c>
      <c r="N274" s="11">
        <f>L274*M274</f>
        <v/>
      </c>
      <c r="O274" s="10">
        <f>N274/1000</f>
        <v/>
      </c>
      <c r="P274" s="5" t="inlineStr">
        <is>
          <t>10&lt;D&lt;=18mm</t>
        </is>
      </c>
      <c r="Q274" s="6" t="inlineStr">
        <is>
          <t>TCVN 1651:2018 / ASTM</t>
        </is>
      </c>
    </row>
    <row r="275">
      <c r="A275" s="12" t="n">
        <v>268</v>
      </c>
      <c r="B275" s="13" t="inlineStr">
        <is>
          <t>Dầm chủ Super-T (15 phiến L=38.2m)</t>
        </is>
      </c>
      <c r="C275" s="13" t="inlineStr">
        <is>
          <t>Sườn dầm / Cánh dầm</t>
        </is>
      </c>
      <c r="D275" s="12" t="inlineStr">
        <is>
          <t>K1b</t>
        </is>
      </c>
      <c r="E275" s="12" t="n">
        <v>16</v>
      </c>
      <c r="F275" s="12" t="inlineStr">
        <is>
          <t>CB400-V</t>
        </is>
      </c>
      <c r="G275" s="12" t="inlineStr">
        <is>
          <t>S06</t>
        </is>
      </c>
      <c r="H275" s="17" t="n">
        <v>0.776</v>
      </c>
      <c r="I275" s="48" t="n">
        <v>120</v>
      </c>
      <c r="J275" s="48" t="n">
        <v>1</v>
      </c>
      <c r="K275" s="48">
        <f>I275*J275</f>
        <v/>
      </c>
      <c r="L275" s="18">
        <f>H275*K275</f>
        <v/>
      </c>
      <c r="M275" s="17" t="n">
        <v>1.58</v>
      </c>
      <c r="N275" s="18">
        <f>L275*M275</f>
        <v/>
      </c>
      <c r="O275" s="17">
        <f>N275/1000</f>
        <v/>
      </c>
      <c r="P275" s="12" t="inlineStr">
        <is>
          <t>10&lt;D&lt;=18mm</t>
        </is>
      </c>
      <c r="Q275" s="13" t="inlineStr">
        <is>
          <t>TCVN 1651:2018 / ASTM</t>
        </is>
      </c>
    </row>
    <row r="276">
      <c r="A276" s="5" t="n">
        <v>269</v>
      </c>
      <c r="B276" s="6" t="inlineStr">
        <is>
          <t>Dầm chủ Super-T (15 phiến L=38.2m)</t>
        </is>
      </c>
      <c r="C276" s="6" t="inlineStr">
        <is>
          <t>Sườn dầm / Cánh dầm</t>
        </is>
      </c>
      <c r="D276" s="5" t="inlineStr">
        <is>
          <t>G1a</t>
        </is>
      </c>
      <c r="E276" s="5" t="n">
        <v>16</v>
      </c>
      <c r="F276" s="5" t="inlineStr">
        <is>
          <t>CB400-V</t>
        </is>
      </c>
      <c r="G276" s="5" t="inlineStr">
        <is>
          <t>S06</t>
        </is>
      </c>
      <c r="H276" s="10" t="n">
        <v>5.056</v>
      </c>
      <c r="I276" s="47" t="n">
        <v>2160</v>
      </c>
      <c r="J276" s="47" t="n">
        <v>1</v>
      </c>
      <c r="K276" s="47">
        <f>I276*J276</f>
        <v/>
      </c>
      <c r="L276" s="11">
        <f>H276*K276</f>
        <v/>
      </c>
      <c r="M276" s="10" t="n">
        <v>1.58</v>
      </c>
      <c r="N276" s="11">
        <f>L276*M276</f>
        <v/>
      </c>
      <c r="O276" s="10">
        <f>N276/1000</f>
        <v/>
      </c>
      <c r="P276" s="5" t="inlineStr">
        <is>
          <t>10&lt;D&lt;=18mm</t>
        </is>
      </c>
      <c r="Q276" s="6" t="inlineStr">
        <is>
          <t>TCVN 1651:2018 / ASTM</t>
        </is>
      </c>
    </row>
    <row r="277">
      <c r="A277" s="12" t="n">
        <v>270</v>
      </c>
      <c r="B277" s="13" t="inlineStr">
        <is>
          <t>Dầm chủ Super-T (15 phiến L=38.2m)</t>
        </is>
      </c>
      <c r="C277" s="13" t="inlineStr">
        <is>
          <t>Sườn dầm / Cánh dầm</t>
        </is>
      </c>
      <c r="D277" s="12" t="inlineStr">
        <is>
          <t>G1b</t>
        </is>
      </c>
      <c r="E277" s="12" t="n">
        <v>12</v>
      </c>
      <c r="F277" s="12" t="inlineStr">
        <is>
          <t>CB400-V</t>
        </is>
      </c>
      <c r="G277" s="12" t="inlineStr">
        <is>
          <t>S06</t>
        </is>
      </c>
      <c r="H277" s="17" t="n">
        <v>5.075</v>
      </c>
      <c r="I277" s="48" t="n">
        <v>1875</v>
      </c>
      <c r="J277" s="48" t="n">
        <v>1</v>
      </c>
      <c r="K277" s="48">
        <f>I277*J277</f>
        <v/>
      </c>
      <c r="L277" s="18">
        <f>H277*K277</f>
        <v/>
      </c>
      <c r="M277" s="17" t="n">
        <v>0.888</v>
      </c>
      <c r="N277" s="18">
        <f>L277*M277</f>
        <v/>
      </c>
      <c r="O277" s="17">
        <f>N277/1000</f>
        <v/>
      </c>
      <c r="P277" s="12" t="inlineStr">
        <is>
          <t>10&lt;D&lt;=18mm</t>
        </is>
      </c>
      <c r="Q277" s="13" t="inlineStr">
        <is>
          <t>TCVN 1651:2018 / ASTM</t>
        </is>
      </c>
    </row>
    <row r="278">
      <c r="A278" s="5" t="n">
        <v>271</v>
      </c>
      <c r="B278" s="6" t="inlineStr">
        <is>
          <t>Dầm chủ Super-T (15 phiến L=38.2m)</t>
        </is>
      </c>
      <c r="C278" s="6" t="inlineStr">
        <is>
          <t>Sườn dầm / Cánh dầm</t>
        </is>
      </c>
      <c r="D278" s="5" t="inlineStr">
        <is>
          <t>G2</t>
        </is>
      </c>
      <c r="E278" s="5" t="n">
        <v>12</v>
      </c>
      <c r="F278" s="5" t="inlineStr">
        <is>
          <t>CB400-V</t>
        </is>
      </c>
      <c r="G278" s="5" t="inlineStr">
        <is>
          <t>S06</t>
        </is>
      </c>
      <c r="H278" s="10" t="n">
        <v>1.025</v>
      </c>
      <c r="I278" s="47" t="n">
        <v>7590</v>
      </c>
      <c r="J278" s="47" t="n">
        <v>1</v>
      </c>
      <c r="K278" s="47">
        <f>I278*J278</f>
        <v/>
      </c>
      <c r="L278" s="11">
        <f>H278*K278</f>
        <v/>
      </c>
      <c r="M278" s="10" t="n">
        <v>0.888</v>
      </c>
      <c r="N278" s="11">
        <f>L278*M278</f>
        <v/>
      </c>
      <c r="O278" s="10">
        <f>N278/1000</f>
        <v/>
      </c>
      <c r="P278" s="5" t="inlineStr">
        <is>
          <t>10&lt;D&lt;=18mm</t>
        </is>
      </c>
      <c r="Q278" s="6" t="inlineStr">
        <is>
          <t>TCVN 1651:2018 / ASTM</t>
        </is>
      </c>
    </row>
    <row r="279">
      <c r="A279" s="12" t="n">
        <v>272</v>
      </c>
      <c r="B279" s="13" t="inlineStr">
        <is>
          <t>Dầm chủ Super-T (15 phiến L=38.2m)</t>
        </is>
      </c>
      <c r="C279" s="13" t="inlineStr">
        <is>
          <t>Sườn dầm / Cánh dầm</t>
        </is>
      </c>
      <c r="D279" s="12" t="inlineStr">
        <is>
          <t>G3</t>
        </is>
      </c>
      <c r="E279" s="12" t="n">
        <v>12</v>
      </c>
      <c r="F279" s="12" t="inlineStr">
        <is>
          <t>CB400-V</t>
        </is>
      </c>
      <c r="G279" s="12" t="inlineStr">
        <is>
          <t>S06</t>
        </is>
      </c>
      <c r="H279" s="17" t="n">
        <v>1.259</v>
      </c>
      <c r="I279" s="48" t="n">
        <v>4035</v>
      </c>
      <c r="J279" s="48" t="n">
        <v>1</v>
      </c>
      <c r="K279" s="48">
        <f>I279*J279</f>
        <v/>
      </c>
      <c r="L279" s="18">
        <f>H279*K279</f>
        <v/>
      </c>
      <c r="M279" s="17" t="n">
        <v>0.888</v>
      </c>
      <c r="N279" s="18">
        <f>L279*M279</f>
        <v/>
      </c>
      <c r="O279" s="17">
        <f>N279/1000</f>
        <v/>
      </c>
      <c r="P279" s="12" t="inlineStr">
        <is>
          <t>10&lt;D&lt;=18mm</t>
        </is>
      </c>
      <c r="Q279" s="13" t="inlineStr">
        <is>
          <t>TCVN 1651:2018 / ASTM</t>
        </is>
      </c>
    </row>
    <row r="280">
      <c r="A280" s="5" t="n">
        <v>273</v>
      </c>
      <c r="B280" s="6" t="inlineStr">
        <is>
          <t>Dầm chủ Super-T (15 phiến L=38.2m)</t>
        </is>
      </c>
      <c r="C280" s="6" t="inlineStr">
        <is>
          <t>Sườn dầm / Cánh dầm</t>
        </is>
      </c>
      <c r="D280" s="5" t="inlineStr">
        <is>
          <t>G4a1</t>
        </is>
      </c>
      <c r="E280" s="5" t="n">
        <v>12</v>
      </c>
      <c r="F280" s="5" t="inlineStr">
        <is>
          <t>CB400-V</t>
        </is>
      </c>
      <c r="G280" s="5" t="inlineStr">
        <is>
          <t>S01</t>
        </is>
      </c>
      <c r="H280" s="10" t="n">
        <v>11.7</v>
      </c>
      <c r="I280" s="47" t="n">
        <v>90</v>
      </c>
      <c r="J280" s="47" t="n">
        <v>1</v>
      </c>
      <c r="K280" s="47">
        <f>I280*J280</f>
        <v/>
      </c>
      <c r="L280" s="11">
        <f>H280*K280</f>
        <v/>
      </c>
      <c r="M280" s="10" t="n">
        <v>0.888</v>
      </c>
      <c r="N280" s="11">
        <f>L280*M280</f>
        <v/>
      </c>
      <c r="O280" s="10">
        <f>N280/1000</f>
        <v/>
      </c>
      <c r="P280" s="5" t="inlineStr">
        <is>
          <t>10&lt;D&lt;=18mm</t>
        </is>
      </c>
      <c r="Q280" s="6" t="inlineStr">
        <is>
          <t>TCVN 1651:2018 / ASTM</t>
        </is>
      </c>
    </row>
    <row r="281">
      <c r="A281" s="12" t="n">
        <v>274</v>
      </c>
      <c r="B281" s="13" t="inlineStr">
        <is>
          <t>Dầm chủ Super-T (15 phiến L=38.2m)</t>
        </is>
      </c>
      <c r="C281" s="13" t="inlineStr">
        <is>
          <t>Sườn dầm / Cánh dầm</t>
        </is>
      </c>
      <c r="D281" s="12" t="inlineStr">
        <is>
          <t>G4a2</t>
        </is>
      </c>
      <c r="E281" s="12" t="n">
        <v>12</v>
      </c>
      <c r="F281" s="12" t="inlineStr">
        <is>
          <t>CB400-V</t>
        </is>
      </c>
      <c r="G281" s="12" t="inlineStr">
        <is>
          <t>S06</t>
        </is>
      </c>
      <c r="H281" s="17" t="n">
        <v>4.46</v>
      </c>
      <c r="I281" s="48" t="n">
        <v>30</v>
      </c>
      <c r="J281" s="48" t="n">
        <v>1</v>
      </c>
      <c r="K281" s="48">
        <f>I281*J281</f>
        <v/>
      </c>
      <c r="L281" s="18">
        <f>H281*K281</f>
        <v/>
      </c>
      <c r="M281" s="17" t="n">
        <v>0.888</v>
      </c>
      <c r="N281" s="18">
        <f>L281*M281</f>
        <v/>
      </c>
      <c r="O281" s="17">
        <f>N281/1000</f>
        <v/>
      </c>
      <c r="P281" s="12" t="inlineStr">
        <is>
          <t>10&lt;D&lt;=18mm</t>
        </is>
      </c>
      <c r="Q281" s="13" t="inlineStr">
        <is>
          <t>TCVN 1651:2018 / ASTM</t>
        </is>
      </c>
    </row>
    <row r="282">
      <c r="A282" s="5" t="n">
        <v>275</v>
      </c>
      <c r="B282" s="6" t="inlineStr">
        <is>
          <t>Dầm chủ Super-T (15 phiến L=38.2m)</t>
        </is>
      </c>
      <c r="C282" s="6" t="inlineStr">
        <is>
          <t>Sườn dầm / Cánh dầm</t>
        </is>
      </c>
      <c r="D282" s="5" t="inlineStr">
        <is>
          <t>G4b1</t>
        </is>
      </c>
      <c r="E282" s="5" t="n">
        <v>12</v>
      </c>
      <c r="F282" s="5" t="inlineStr">
        <is>
          <t>CB400-V</t>
        </is>
      </c>
      <c r="G282" s="5" t="inlineStr">
        <is>
          <t>S01</t>
        </is>
      </c>
      <c r="H282" s="10" t="n">
        <v>11.7</v>
      </c>
      <c r="I282" s="47" t="n">
        <v>360</v>
      </c>
      <c r="J282" s="47" t="n">
        <v>1</v>
      </c>
      <c r="K282" s="47">
        <f>I282*J282</f>
        <v/>
      </c>
      <c r="L282" s="11">
        <f>H282*K282</f>
        <v/>
      </c>
      <c r="M282" s="10" t="n">
        <v>0.888</v>
      </c>
      <c r="N282" s="11">
        <f>L282*M282</f>
        <v/>
      </c>
      <c r="O282" s="10">
        <f>N282/1000</f>
        <v/>
      </c>
      <c r="P282" s="5" t="inlineStr">
        <is>
          <t>10&lt;D&lt;=18mm</t>
        </is>
      </c>
      <c r="Q282" s="6" t="inlineStr">
        <is>
          <t>TCVN 1651:2018 / ASTM</t>
        </is>
      </c>
    </row>
    <row r="283">
      <c r="A283" s="12" t="n">
        <v>276</v>
      </c>
      <c r="B283" s="13" t="inlineStr">
        <is>
          <t>Dầm chủ Super-T (15 phiến L=38.2m)</t>
        </is>
      </c>
      <c r="C283" s="13" t="inlineStr">
        <is>
          <t>Sườn dầm / Cánh dầm</t>
        </is>
      </c>
      <c r="D283" s="12" t="inlineStr">
        <is>
          <t>G4b2</t>
        </is>
      </c>
      <c r="E283" s="12" t="n">
        <v>12</v>
      </c>
      <c r="F283" s="12" t="inlineStr">
        <is>
          <t>CB400-V</t>
        </is>
      </c>
      <c r="G283" s="12" t="inlineStr">
        <is>
          <t>S06</t>
        </is>
      </c>
      <c r="H283" s="17" t="n">
        <v>3.06</v>
      </c>
      <c r="I283" s="48" t="n">
        <v>120</v>
      </c>
      <c r="J283" s="48" t="n">
        <v>1</v>
      </c>
      <c r="K283" s="48">
        <f>I283*J283</f>
        <v/>
      </c>
      <c r="L283" s="18">
        <f>H283*K283</f>
        <v/>
      </c>
      <c r="M283" s="17" t="n">
        <v>0.888</v>
      </c>
      <c r="N283" s="18">
        <f>L283*M283</f>
        <v/>
      </c>
      <c r="O283" s="17">
        <f>N283/1000</f>
        <v/>
      </c>
      <c r="P283" s="12" t="inlineStr">
        <is>
          <t>10&lt;D&lt;=18mm</t>
        </is>
      </c>
      <c r="Q283" s="13" t="inlineStr">
        <is>
          <t>TCVN 1651:2018 / ASTM</t>
        </is>
      </c>
    </row>
    <row r="284">
      <c r="A284" s="5" t="n">
        <v>277</v>
      </c>
      <c r="B284" s="6" t="inlineStr">
        <is>
          <t>Dầm chủ Super-T (15 phiến L=38.2m)</t>
        </is>
      </c>
      <c r="C284" s="6" t="inlineStr">
        <is>
          <t>Sườn dầm / Cánh dầm</t>
        </is>
      </c>
      <c r="D284" s="5" t="inlineStr">
        <is>
          <t>G5a</t>
        </is>
      </c>
      <c r="E284" s="5" t="n">
        <v>16</v>
      </c>
      <c r="F284" s="5" t="inlineStr">
        <is>
          <t>CB400-V</t>
        </is>
      </c>
      <c r="G284" s="5" t="inlineStr">
        <is>
          <t>S01</t>
        </is>
      </c>
      <c r="H284" s="10" t="n">
        <v>11.7</v>
      </c>
      <c r="I284" s="47" t="n">
        <v>420</v>
      </c>
      <c r="J284" s="47" t="n">
        <v>1</v>
      </c>
      <c r="K284" s="47">
        <f>I284*J284</f>
        <v/>
      </c>
      <c r="L284" s="11">
        <f>H284*K284</f>
        <v/>
      </c>
      <c r="M284" s="10" t="n">
        <v>1.58</v>
      </c>
      <c r="N284" s="11">
        <f>L284*M284</f>
        <v/>
      </c>
      <c r="O284" s="10">
        <f>N284/1000</f>
        <v/>
      </c>
      <c r="P284" s="5" t="inlineStr">
        <is>
          <t>10&lt;D&lt;=18mm</t>
        </is>
      </c>
      <c r="Q284" s="6" t="inlineStr">
        <is>
          <t>TCVN 1651:2018 / ASTM</t>
        </is>
      </c>
    </row>
    <row r="285">
      <c r="A285" s="12" t="n">
        <v>278</v>
      </c>
      <c r="B285" s="13" t="inlineStr">
        <is>
          <t>Dầm chủ Super-T (15 phiến L=38.2m)</t>
        </is>
      </c>
      <c r="C285" s="13" t="inlineStr">
        <is>
          <t>Sườn dầm / Cánh dầm</t>
        </is>
      </c>
      <c r="D285" s="12" t="inlineStr">
        <is>
          <t>G5b</t>
        </is>
      </c>
      <c r="E285" s="12" t="n">
        <v>18</v>
      </c>
      <c r="F285" s="12" t="inlineStr">
        <is>
          <t>CB400-V</t>
        </is>
      </c>
      <c r="G285" s="12" t="inlineStr">
        <is>
          <t>S06</t>
        </is>
      </c>
      <c r="H285" s="17" t="n">
        <v>2.86</v>
      </c>
      <c r="I285" s="48" t="n">
        <v>210</v>
      </c>
      <c r="J285" s="48" t="n">
        <v>1</v>
      </c>
      <c r="K285" s="48">
        <f>I285*J285</f>
        <v/>
      </c>
      <c r="L285" s="18">
        <f>H285*K285</f>
        <v/>
      </c>
      <c r="M285" s="17" t="n">
        <v>2</v>
      </c>
      <c r="N285" s="18">
        <f>L285*M285</f>
        <v/>
      </c>
      <c r="O285" s="17">
        <f>N285/1000</f>
        <v/>
      </c>
      <c r="P285" s="12" t="inlineStr">
        <is>
          <t>10&lt;D&lt;=18mm</t>
        </is>
      </c>
      <c r="Q285" s="13" t="inlineStr">
        <is>
          <t>TCVN 1651:2018 / ASTM</t>
        </is>
      </c>
    </row>
    <row r="286">
      <c r="A286" s="5" t="n">
        <v>279</v>
      </c>
      <c r="B286" s="6" t="inlineStr">
        <is>
          <t>Dầm chủ Super-T (15 phiến L=38.2m)</t>
        </is>
      </c>
      <c r="C286" s="6" t="inlineStr">
        <is>
          <t>Sườn dầm / Cánh dầm</t>
        </is>
      </c>
      <c r="D286" s="5" t="inlineStr">
        <is>
          <t>G5c</t>
        </is>
      </c>
      <c r="E286" s="5" t="n">
        <v>16</v>
      </c>
      <c r="F286" s="5" t="inlineStr">
        <is>
          <t>CB400-V</t>
        </is>
      </c>
      <c r="G286" s="5" t="inlineStr">
        <is>
          <t>S01</t>
        </is>
      </c>
      <c r="H286" s="10" t="n">
        <v>10.68</v>
      </c>
      <c r="I286" s="47" t="n">
        <v>210</v>
      </c>
      <c r="J286" s="47" t="n">
        <v>1</v>
      </c>
      <c r="K286" s="47">
        <f>I286*J286</f>
        <v/>
      </c>
      <c r="L286" s="11">
        <f>H286*K286</f>
        <v/>
      </c>
      <c r="M286" s="10" t="n">
        <v>1.58</v>
      </c>
      <c r="N286" s="11">
        <f>L286*M286</f>
        <v/>
      </c>
      <c r="O286" s="10">
        <f>N286/1000</f>
        <v/>
      </c>
      <c r="P286" s="5" t="inlineStr">
        <is>
          <t>10&lt;D&lt;=18mm</t>
        </is>
      </c>
      <c r="Q286" s="6" t="inlineStr">
        <is>
          <t>TCVN 1651:2018 / ASTM</t>
        </is>
      </c>
    </row>
    <row r="287">
      <c r="A287" s="12" t="n">
        <v>280</v>
      </c>
      <c r="B287" s="13" t="inlineStr">
        <is>
          <t>Dầm chủ Super-T (15 phiến L=38.2m)</t>
        </is>
      </c>
      <c r="C287" s="13" t="inlineStr">
        <is>
          <t>Sườn dầm / Cánh dầm</t>
        </is>
      </c>
      <c r="D287" s="12" t="inlineStr">
        <is>
          <t>G5d</t>
        </is>
      </c>
      <c r="E287" s="12" t="n">
        <v>18</v>
      </c>
      <c r="F287" s="12" t="inlineStr">
        <is>
          <t>CB400-V</t>
        </is>
      </c>
      <c r="G287" s="12" t="inlineStr">
        <is>
          <t>S06</t>
        </is>
      </c>
      <c r="H287" s="17" t="n">
        <v>3.9</v>
      </c>
      <c r="I287" s="48" t="n">
        <v>210</v>
      </c>
      <c r="J287" s="48" t="n">
        <v>1</v>
      </c>
      <c r="K287" s="48">
        <f>I287*J287</f>
        <v/>
      </c>
      <c r="L287" s="18">
        <f>H287*K287</f>
        <v/>
      </c>
      <c r="M287" s="17" t="n">
        <v>2</v>
      </c>
      <c r="N287" s="18">
        <f>L287*M287</f>
        <v/>
      </c>
      <c r="O287" s="17">
        <f>N287/1000</f>
        <v/>
      </c>
      <c r="P287" s="12" t="inlineStr">
        <is>
          <t>10&lt;D&lt;=18mm</t>
        </is>
      </c>
      <c r="Q287" s="13" t="inlineStr">
        <is>
          <t>TCVN 1651:2018 / ASTM</t>
        </is>
      </c>
    </row>
    <row r="288">
      <c r="A288" s="5" t="n">
        <v>281</v>
      </c>
      <c r="B288" s="6" t="inlineStr">
        <is>
          <t>Dầm chủ Super-T (15 phiến L=38.2m)</t>
        </is>
      </c>
      <c r="C288" s="6" t="inlineStr">
        <is>
          <t>Sườn dầm / Cánh dầm</t>
        </is>
      </c>
      <c r="D288" s="5" t="inlineStr">
        <is>
          <t>G6a</t>
        </is>
      </c>
      <c r="E288" s="5" t="n">
        <v>32</v>
      </c>
      <c r="F288" s="5" t="inlineStr">
        <is>
          <t>CB400-V</t>
        </is>
      </c>
      <c r="G288" s="5" t="inlineStr">
        <is>
          <t>S01</t>
        </is>
      </c>
      <c r="H288" s="10" t="n">
        <v>11.7</v>
      </c>
      <c r="I288" s="47" t="n">
        <v>135</v>
      </c>
      <c r="J288" s="47" t="n">
        <v>1</v>
      </c>
      <c r="K288" s="47">
        <f>I288*J288</f>
        <v/>
      </c>
      <c r="L288" s="11">
        <f>H288*K288</f>
        <v/>
      </c>
      <c r="M288" s="10" t="n">
        <v>6.31</v>
      </c>
      <c r="N288" s="11">
        <f>L288*M288</f>
        <v/>
      </c>
      <c r="O288" s="10">
        <f>N288/1000</f>
        <v/>
      </c>
      <c r="P288" s="5" t="inlineStr">
        <is>
          <t>D&gt;18mm</t>
        </is>
      </c>
      <c r="Q288" s="6" t="inlineStr">
        <is>
          <t>TCVN 1651:2018 / ASTM</t>
        </is>
      </c>
    </row>
    <row r="289">
      <c r="A289" s="12" t="n">
        <v>282</v>
      </c>
      <c r="B289" s="13" t="inlineStr">
        <is>
          <t>Dầm chủ Super-T (15 phiến L=38.2m)</t>
        </is>
      </c>
      <c r="C289" s="13" t="inlineStr">
        <is>
          <t>Sườn dầm / Cánh dầm</t>
        </is>
      </c>
      <c r="D289" s="12" t="inlineStr">
        <is>
          <t>G6b</t>
        </is>
      </c>
      <c r="E289" s="12" t="n">
        <v>32</v>
      </c>
      <c r="F289" s="12" t="inlineStr">
        <is>
          <t>CB400-V</t>
        </is>
      </c>
      <c r="G289" s="12" t="inlineStr">
        <is>
          <t>S06</t>
        </is>
      </c>
      <c r="H289" s="17" t="n">
        <v>6.86</v>
      </c>
      <c r="I289" s="48" t="n">
        <v>45</v>
      </c>
      <c r="J289" s="48" t="n">
        <v>1</v>
      </c>
      <c r="K289" s="48">
        <f>I289*J289</f>
        <v/>
      </c>
      <c r="L289" s="18">
        <f>H289*K289</f>
        <v/>
      </c>
      <c r="M289" s="17" t="n">
        <v>6.31</v>
      </c>
      <c r="N289" s="18">
        <f>L289*M289</f>
        <v/>
      </c>
      <c r="O289" s="17">
        <f>N289/1000</f>
        <v/>
      </c>
      <c r="P289" s="12" t="inlineStr">
        <is>
          <t>D&gt;18mm</t>
        </is>
      </c>
      <c r="Q289" s="13" t="inlineStr">
        <is>
          <t>TCVN 1651:2018 / ASTM</t>
        </is>
      </c>
    </row>
    <row r="290">
      <c r="A290" s="5" t="n">
        <v>283</v>
      </c>
      <c r="B290" s="6" t="inlineStr">
        <is>
          <t>Dầm chủ Super-T (15 phiến L=38.2m)</t>
        </is>
      </c>
      <c r="C290" s="6" t="inlineStr">
        <is>
          <t>Sườn dầm / Cánh dầm</t>
        </is>
      </c>
      <c r="D290" s="5" t="inlineStr">
        <is>
          <t>N1a</t>
        </is>
      </c>
      <c r="E290" s="5" t="n">
        <v>12</v>
      </c>
      <c r="F290" s="5" t="inlineStr">
        <is>
          <t>CB400-V</t>
        </is>
      </c>
      <c r="G290" s="5" t="inlineStr">
        <is>
          <t>S06</t>
        </is>
      </c>
      <c r="H290" s="10" t="n">
        <v>1.185</v>
      </c>
      <c r="I290" s="47" t="n">
        <v>555</v>
      </c>
      <c r="J290" s="47" t="n">
        <v>1</v>
      </c>
      <c r="K290" s="47">
        <f>I290*J290</f>
        <v/>
      </c>
      <c r="L290" s="11">
        <f>H290*K290</f>
        <v/>
      </c>
      <c r="M290" s="10" t="n">
        <v>0.888</v>
      </c>
      <c r="N290" s="11">
        <f>L290*M290</f>
        <v/>
      </c>
      <c r="O290" s="10">
        <f>N290/1000</f>
        <v/>
      </c>
      <c r="P290" s="5" t="inlineStr">
        <is>
          <t>10&lt;D&lt;=18mm</t>
        </is>
      </c>
      <c r="Q290" s="6" t="inlineStr">
        <is>
          <t>TCVN 1651:2018 / ASTM</t>
        </is>
      </c>
    </row>
    <row r="291">
      <c r="A291" s="12" t="n">
        <v>284</v>
      </c>
      <c r="B291" s="13" t="inlineStr">
        <is>
          <t>Dầm chủ Super-T (15 phiến L=38.2m)</t>
        </is>
      </c>
      <c r="C291" s="13" t="inlineStr">
        <is>
          <t>TRUNG BÌNH</t>
        </is>
      </c>
      <c r="D291" s="12" t="inlineStr">
        <is>
          <t>N1b</t>
        </is>
      </c>
      <c r="E291" s="12" t="n">
        <v>12</v>
      </c>
      <c r="F291" s="12" t="inlineStr">
        <is>
          <t>CB400-V</t>
        </is>
      </c>
      <c r="G291" s="12" t="inlineStr">
        <is>
          <t>S06</t>
        </is>
      </c>
      <c r="H291" s="17" t="n">
        <v>0.93</v>
      </c>
      <c r="I291" s="48" t="n">
        <v>3885</v>
      </c>
      <c r="J291" s="48" t="n">
        <v>1</v>
      </c>
      <c r="K291" s="48">
        <f>I291*J291</f>
        <v/>
      </c>
      <c r="L291" s="18">
        <f>H291*K291</f>
        <v/>
      </c>
      <c r="M291" s="17" t="n">
        <v>0.888</v>
      </c>
      <c r="N291" s="18">
        <f>L291*M291</f>
        <v/>
      </c>
      <c r="O291" s="17">
        <f>N291/1000</f>
        <v/>
      </c>
      <c r="P291" s="12" t="inlineStr">
        <is>
          <t>10&lt;D&lt;=18mm</t>
        </is>
      </c>
      <c r="Q291" s="13" t="inlineStr">
        <is>
          <t>TCVN 1651:2018 / ASTM</t>
        </is>
      </c>
    </row>
    <row r="292">
      <c r="A292" s="5" t="n">
        <v>285</v>
      </c>
      <c r="B292" s="6" t="inlineStr">
        <is>
          <t>Dầm chủ Super-T (15 phiến L=38.2m)</t>
        </is>
      </c>
      <c r="C292" s="6" t="inlineStr">
        <is>
          <t>Sườn dầm / Cánh dầm</t>
        </is>
      </c>
      <c r="D292" s="5" t="inlineStr">
        <is>
          <t>N2</t>
        </is>
      </c>
      <c r="E292" s="5" t="n">
        <v>12</v>
      </c>
      <c r="F292" s="5" t="inlineStr">
        <is>
          <t>CB400-V</t>
        </is>
      </c>
      <c r="G292" s="5" t="inlineStr">
        <is>
          <t>S06</t>
        </is>
      </c>
      <c r="H292" s="10" t="n">
        <v>3.664</v>
      </c>
      <c r="I292" s="47" t="n">
        <v>45</v>
      </c>
      <c r="J292" s="47" t="n">
        <v>1</v>
      </c>
      <c r="K292" s="47">
        <f>I292*J292</f>
        <v/>
      </c>
      <c r="L292" s="11">
        <f>H292*K292</f>
        <v/>
      </c>
      <c r="M292" s="10" t="n">
        <v>0.888</v>
      </c>
      <c r="N292" s="11">
        <f>L292*M292</f>
        <v/>
      </c>
      <c r="O292" s="10">
        <f>N292/1000</f>
        <v/>
      </c>
      <c r="P292" s="5" t="inlineStr">
        <is>
          <t>10&lt;D&lt;=18mm</t>
        </is>
      </c>
      <c r="Q292" s="6" t="inlineStr">
        <is>
          <t>TCVN 1651:2018 / ASTM</t>
        </is>
      </c>
    </row>
    <row r="293">
      <c r="A293" s="12" t="n">
        <v>286</v>
      </c>
      <c r="B293" s="13" t="inlineStr">
        <is>
          <t>Dầm chủ Super-T (15 phiến L=38.2m)</t>
        </is>
      </c>
      <c r="C293" s="13" t="inlineStr">
        <is>
          <t>Sườn dầm / Cánh dầm</t>
        </is>
      </c>
      <c r="D293" s="12" t="inlineStr">
        <is>
          <t>E1</t>
        </is>
      </c>
      <c r="E293" s="12" t="n">
        <v>16</v>
      </c>
      <c r="F293" s="12" t="inlineStr">
        <is>
          <t>CB400-V</t>
        </is>
      </c>
      <c r="G293" s="12" t="inlineStr">
        <is>
          <t>S06</t>
        </is>
      </c>
      <c r="H293" s="17" t="n">
        <v>2.391</v>
      </c>
      <c r="I293" s="48" t="n">
        <v>3780</v>
      </c>
      <c r="J293" s="48" t="n">
        <v>1</v>
      </c>
      <c r="K293" s="48">
        <f>I293*J293</f>
        <v/>
      </c>
      <c r="L293" s="18">
        <f>H293*K293</f>
        <v/>
      </c>
      <c r="M293" s="17" t="n">
        <v>1.58</v>
      </c>
      <c r="N293" s="18">
        <f>L293*M293</f>
        <v/>
      </c>
      <c r="O293" s="17">
        <f>N293/1000</f>
        <v/>
      </c>
      <c r="P293" s="12" t="inlineStr">
        <is>
          <t>10&lt;D&lt;=18mm</t>
        </is>
      </c>
      <c r="Q293" s="13" t="inlineStr">
        <is>
          <t>TCVN 1651:2018 / ASTM</t>
        </is>
      </c>
    </row>
    <row r="294">
      <c r="A294" s="5" t="n">
        <v>287</v>
      </c>
      <c r="B294" s="6" t="inlineStr">
        <is>
          <t>Dầm chủ Super-T (15 phiến L=38.2m)</t>
        </is>
      </c>
      <c r="C294" s="6" t="inlineStr">
        <is>
          <t>Sườn dầm / Cánh dầm</t>
        </is>
      </c>
      <c r="D294" s="5" t="inlineStr">
        <is>
          <t>E2</t>
        </is>
      </c>
      <c r="E294" s="5" t="n">
        <v>16</v>
      </c>
      <c r="F294" s="5" t="inlineStr">
        <is>
          <t>CB400-V</t>
        </is>
      </c>
      <c r="G294" s="5" t="inlineStr">
        <is>
          <t>S06</t>
        </is>
      </c>
      <c r="H294" s="10" t="n">
        <v>3.932</v>
      </c>
      <c r="I294" s="47" t="n">
        <v>300</v>
      </c>
      <c r="J294" s="47" t="n">
        <v>1</v>
      </c>
      <c r="K294" s="47">
        <f>I294*J294</f>
        <v/>
      </c>
      <c r="L294" s="11">
        <f>H294*K294</f>
        <v/>
      </c>
      <c r="M294" s="10" t="n">
        <v>1.58</v>
      </c>
      <c r="N294" s="11">
        <f>L294*M294</f>
        <v/>
      </c>
      <c r="O294" s="10">
        <f>N294/1000</f>
        <v/>
      </c>
      <c r="P294" s="5" t="inlineStr">
        <is>
          <t>10&lt;D&lt;=18mm</t>
        </is>
      </c>
      <c r="Q294" s="6" t="inlineStr">
        <is>
          <t>TCVN 1651:2018 / ASTM</t>
        </is>
      </c>
    </row>
    <row r="295">
      <c r="A295" s="12" t="n">
        <v>288</v>
      </c>
      <c r="B295" s="13" t="inlineStr">
        <is>
          <t>Dầm chủ Super-T (15 phiến L=38.2m)</t>
        </is>
      </c>
      <c r="C295" s="13" t="inlineStr">
        <is>
          <t>Sườn dầm / Cánh dầm</t>
        </is>
      </c>
      <c r="D295" s="12" t="inlineStr">
        <is>
          <t>Thanh neo</t>
        </is>
      </c>
      <c r="E295" s="12" t="n">
        <v>20</v>
      </c>
      <c r="F295" s="12" t="inlineStr">
        <is>
          <t>CB400-V</t>
        </is>
      </c>
      <c r="G295" s="12" t="inlineStr">
        <is>
          <t>S06</t>
        </is>
      </c>
      <c r="H295" s="17" t="n">
        <v>0.11</v>
      </c>
      <c r="I295" s="48" t="n">
        <v>120</v>
      </c>
      <c r="J295" s="48" t="n">
        <v>1</v>
      </c>
      <c r="K295" s="48">
        <f>I295*J295</f>
        <v/>
      </c>
      <c r="L295" s="18">
        <f>H295*K295</f>
        <v/>
      </c>
      <c r="M295" s="17" t="n">
        <v>2.47</v>
      </c>
      <c r="N295" s="18">
        <f>L295*M295</f>
        <v/>
      </c>
      <c r="O295" s="17">
        <f>N295/1000</f>
        <v/>
      </c>
      <c r="P295" s="12" t="inlineStr">
        <is>
          <t>D&gt;18mm</t>
        </is>
      </c>
      <c r="Q295" s="13" t="inlineStr">
        <is>
          <t>TCVN 1651:2018 / ASTM</t>
        </is>
      </c>
    </row>
    <row r="296">
      <c r="A296" s="5" t="n">
        <v>289</v>
      </c>
      <c r="B296" s="6" t="inlineStr">
        <is>
          <t>Dầm chủ Super-T (15 phiến L=38.2m)</t>
        </is>
      </c>
      <c r="C296" s="6" t="inlineStr">
        <is>
          <t>Sườn dầm / Cánh dầm</t>
        </is>
      </c>
      <c r="D296" s="5" t="inlineStr">
        <is>
          <t>K1a</t>
        </is>
      </c>
      <c r="E296" s="5" t="n">
        <v>16</v>
      </c>
      <c r="F296" s="5" t="inlineStr">
        <is>
          <t>CB400-V</t>
        </is>
      </c>
      <c r="G296" s="5" t="inlineStr">
        <is>
          <t>S06</t>
        </is>
      </c>
      <c r="H296" s="10" t="n">
        <v>1.14</v>
      </c>
      <c r="I296" s="47" t="n">
        <v>120</v>
      </c>
      <c r="J296" s="47" t="n">
        <v>1</v>
      </c>
      <c r="K296" s="47">
        <f>I296*J296</f>
        <v/>
      </c>
      <c r="L296" s="11">
        <f>H296*K296</f>
        <v/>
      </c>
      <c r="M296" s="10" t="n">
        <v>1.58</v>
      </c>
      <c r="N296" s="11">
        <f>L296*M296</f>
        <v/>
      </c>
      <c r="O296" s="10">
        <f>N296/1000</f>
        <v/>
      </c>
      <c r="P296" s="5" t="inlineStr">
        <is>
          <t>10&lt;D&lt;=18mm</t>
        </is>
      </c>
      <c r="Q296" s="6" t="inlineStr">
        <is>
          <t>TCVN 1651:2018 / ASTM</t>
        </is>
      </c>
    </row>
    <row r="297">
      <c r="A297" s="12" t="n">
        <v>290</v>
      </c>
      <c r="B297" s="13" t="inlineStr">
        <is>
          <t>Dầm chủ Super-T (15 phiến L=38.2m)</t>
        </is>
      </c>
      <c r="C297" s="13" t="inlineStr">
        <is>
          <t>Sườn dầm / Cánh dầm</t>
        </is>
      </c>
      <c r="D297" s="12" t="inlineStr">
        <is>
          <t>K1b</t>
        </is>
      </c>
      <c r="E297" s="12" t="n">
        <v>16</v>
      </c>
      <c r="F297" s="12" t="inlineStr">
        <is>
          <t>CB400-V</t>
        </is>
      </c>
      <c r="G297" s="12" t="inlineStr">
        <is>
          <t>S06</t>
        </is>
      </c>
      <c r="H297" s="17" t="n">
        <v>0.864</v>
      </c>
      <c r="I297" s="48" t="n">
        <v>120</v>
      </c>
      <c r="J297" s="48" t="n">
        <v>1</v>
      </c>
      <c r="K297" s="48">
        <f>I297*J297</f>
        <v/>
      </c>
      <c r="L297" s="18">
        <f>H297*K297</f>
        <v/>
      </c>
      <c r="M297" s="17" t="n">
        <v>1.58</v>
      </c>
      <c r="N297" s="18">
        <f>L297*M297</f>
        <v/>
      </c>
      <c r="O297" s="17">
        <f>N297/1000</f>
        <v/>
      </c>
      <c r="P297" s="12" t="inlineStr">
        <is>
          <t>10&lt;D&lt;=18mm</t>
        </is>
      </c>
      <c r="Q297" s="13" t="inlineStr">
        <is>
          <t>TCVN 1651:2018 / ASTM</t>
        </is>
      </c>
    </row>
    <row r="298">
      <c r="A298" s="5" t="n">
        <v>291</v>
      </c>
      <c r="B298" s="6" t="inlineStr">
        <is>
          <t>Dầm chủ Super-T (15 phiến L=38.2m)</t>
        </is>
      </c>
      <c r="C298" s="6" t="inlineStr">
        <is>
          <t>Sườn dầm / Cánh dầm</t>
        </is>
      </c>
      <c r="D298" s="5" t="inlineStr">
        <is>
          <t>G1a</t>
        </is>
      </c>
      <c r="E298" s="5" t="n">
        <v>16</v>
      </c>
      <c r="F298" s="5" t="inlineStr">
        <is>
          <t>CB400-V</t>
        </is>
      </c>
      <c r="G298" s="5" t="inlineStr">
        <is>
          <t>S06</t>
        </is>
      </c>
      <c r="H298" s="10" t="n">
        <v>5.056</v>
      </c>
      <c r="I298" s="47" t="n">
        <v>2160</v>
      </c>
      <c r="J298" s="47" t="n">
        <v>1</v>
      </c>
      <c r="K298" s="47">
        <f>I298*J298</f>
        <v/>
      </c>
      <c r="L298" s="11">
        <f>H298*K298</f>
        <v/>
      </c>
      <c r="M298" s="10" t="n">
        <v>1.58</v>
      </c>
      <c r="N298" s="11">
        <f>L298*M298</f>
        <v/>
      </c>
      <c r="O298" s="10">
        <f>N298/1000</f>
        <v/>
      </c>
      <c r="P298" s="5" t="inlineStr">
        <is>
          <t>10&lt;D&lt;=18mm</t>
        </is>
      </c>
      <c r="Q298" s="6" t="inlineStr">
        <is>
          <t>TCVN 1651:2018 / ASTM</t>
        </is>
      </c>
    </row>
    <row r="299">
      <c r="A299" s="12" t="n">
        <v>292</v>
      </c>
      <c r="B299" s="13" t="inlineStr">
        <is>
          <t>Dầm chủ Super-T (15 phiến L=38.2m)</t>
        </is>
      </c>
      <c r="C299" s="13" t="inlineStr">
        <is>
          <t>Sườn dầm / Cánh dầm</t>
        </is>
      </c>
      <c r="D299" s="12" t="inlineStr">
        <is>
          <t>G1b</t>
        </is>
      </c>
      <c r="E299" s="12" t="n">
        <v>12</v>
      </c>
      <c r="F299" s="12" t="inlineStr">
        <is>
          <t>CB400-V</t>
        </is>
      </c>
      <c r="G299" s="12" t="inlineStr">
        <is>
          <t>S06</t>
        </is>
      </c>
      <c r="H299" s="17" t="n">
        <v>5.075</v>
      </c>
      <c r="I299" s="48" t="n">
        <v>1875</v>
      </c>
      <c r="J299" s="48" t="n">
        <v>1</v>
      </c>
      <c r="K299" s="48">
        <f>I299*J299</f>
        <v/>
      </c>
      <c r="L299" s="18">
        <f>H299*K299</f>
        <v/>
      </c>
      <c r="M299" s="17" t="n">
        <v>0.888</v>
      </c>
      <c r="N299" s="18">
        <f>L299*M299</f>
        <v/>
      </c>
      <c r="O299" s="17">
        <f>N299/1000</f>
        <v/>
      </c>
      <c r="P299" s="12" t="inlineStr">
        <is>
          <t>10&lt;D&lt;=18mm</t>
        </is>
      </c>
      <c r="Q299" s="13" t="inlineStr">
        <is>
          <t>TCVN 1651:2018 / ASTM</t>
        </is>
      </c>
    </row>
    <row r="300">
      <c r="A300" s="5" t="n">
        <v>293</v>
      </c>
      <c r="B300" s="6" t="inlineStr">
        <is>
          <t>Dầm chủ Super-T (15 phiến L=38.2m)</t>
        </is>
      </c>
      <c r="C300" s="6" t="inlineStr">
        <is>
          <t>Sườn dầm / Cánh dầm</t>
        </is>
      </c>
      <c r="D300" s="5" t="inlineStr">
        <is>
          <t>G2</t>
        </is>
      </c>
      <c r="E300" s="5" t="n">
        <v>12</v>
      </c>
      <c r="F300" s="5" t="inlineStr">
        <is>
          <t>CB400-V</t>
        </is>
      </c>
      <c r="G300" s="5" t="inlineStr">
        <is>
          <t>S06</t>
        </is>
      </c>
      <c r="H300" s="10" t="n">
        <v>1.184</v>
      </c>
      <c r="I300" s="47" t="n">
        <v>3825</v>
      </c>
      <c r="J300" s="47" t="n">
        <v>1</v>
      </c>
      <c r="K300" s="47">
        <f>I300*J300</f>
        <v/>
      </c>
      <c r="L300" s="11">
        <f>H300*K300</f>
        <v/>
      </c>
      <c r="M300" s="10" t="n">
        <v>0.888</v>
      </c>
      <c r="N300" s="11">
        <f>L300*M300</f>
        <v/>
      </c>
      <c r="O300" s="10">
        <f>N300/1000</f>
        <v/>
      </c>
      <c r="P300" s="5" t="inlineStr">
        <is>
          <t>10&lt;D&lt;=18mm</t>
        </is>
      </c>
      <c r="Q300" s="6" t="inlineStr">
        <is>
          <t>TCVN 1651:2018 / ASTM</t>
        </is>
      </c>
    </row>
    <row r="301">
      <c r="A301" s="12" t="n">
        <v>294</v>
      </c>
      <c r="B301" s="13" t="inlineStr">
        <is>
          <t>Dầm chủ Super-T (15 phiến L=38.2m)</t>
        </is>
      </c>
      <c r="C301" s="13" t="inlineStr">
        <is>
          <t>Sườn dầm / Cánh dầm</t>
        </is>
      </c>
      <c r="D301" s="12" t="inlineStr">
        <is>
          <t>G2a</t>
        </is>
      </c>
      <c r="E301" s="12" t="n">
        <v>12</v>
      </c>
      <c r="F301" s="12" t="inlineStr">
        <is>
          <t>CB400-V</t>
        </is>
      </c>
      <c r="G301" s="12" t="inlineStr">
        <is>
          <t>S06</t>
        </is>
      </c>
      <c r="H301" s="17" t="n">
        <v>1.219</v>
      </c>
      <c r="I301" s="48" t="n">
        <v>4035</v>
      </c>
      <c r="J301" s="48" t="n">
        <v>1</v>
      </c>
      <c r="K301" s="48">
        <f>I301*J301</f>
        <v/>
      </c>
      <c r="L301" s="18">
        <f>H301*K301</f>
        <v/>
      </c>
      <c r="M301" s="17" t="n">
        <v>0.888</v>
      </c>
      <c r="N301" s="18">
        <f>L301*M301</f>
        <v/>
      </c>
      <c r="O301" s="17">
        <f>N301/1000</f>
        <v/>
      </c>
      <c r="P301" s="12" t="inlineStr">
        <is>
          <t>10&lt;D&lt;=18mm</t>
        </is>
      </c>
      <c r="Q301" s="13" t="inlineStr">
        <is>
          <t>TCVN 1651:2018 / ASTM</t>
        </is>
      </c>
    </row>
    <row r="302">
      <c r="A302" s="5" t="n">
        <v>295</v>
      </c>
      <c r="B302" s="6" t="inlineStr">
        <is>
          <t>Dầm chủ Super-T (15 phiến L=38.2m)</t>
        </is>
      </c>
      <c r="C302" s="6" t="inlineStr">
        <is>
          <t>Sườn dầm / Cánh dầm</t>
        </is>
      </c>
      <c r="D302" s="5" t="inlineStr">
        <is>
          <t>G3</t>
        </is>
      </c>
      <c r="E302" s="5" t="n">
        <v>12</v>
      </c>
      <c r="F302" s="5" t="inlineStr">
        <is>
          <t>CB400-V</t>
        </is>
      </c>
      <c r="G302" s="5" t="inlineStr">
        <is>
          <t>S06</t>
        </is>
      </c>
      <c r="H302" s="10" t="n">
        <v>1.259</v>
      </c>
      <c r="I302" s="47" t="n">
        <v>4035</v>
      </c>
      <c r="J302" s="47" t="n">
        <v>1</v>
      </c>
      <c r="K302" s="47">
        <f>I302*J302</f>
        <v/>
      </c>
      <c r="L302" s="11">
        <f>H302*K302</f>
        <v/>
      </c>
      <c r="M302" s="10" t="n">
        <v>0.888</v>
      </c>
      <c r="N302" s="11">
        <f>L302*M302</f>
        <v/>
      </c>
      <c r="O302" s="10">
        <f>N302/1000</f>
        <v/>
      </c>
      <c r="P302" s="5" t="inlineStr">
        <is>
          <t>10&lt;D&lt;=18mm</t>
        </is>
      </c>
      <c r="Q302" s="6" t="inlineStr">
        <is>
          <t>TCVN 1651:2018 / ASTM</t>
        </is>
      </c>
    </row>
    <row r="303">
      <c r="A303" s="12" t="n">
        <v>296</v>
      </c>
      <c r="B303" s="13" t="inlineStr">
        <is>
          <t>Dầm chủ Super-T (15 phiến L=38.2m)</t>
        </is>
      </c>
      <c r="C303" s="13" t="inlineStr">
        <is>
          <t>Sườn dầm / Cánh dầm</t>
        </is>
      </c>
      <c r="D303" s="12" t="inlineStr">
        <is>
          <t>G4a1</t>
        </is>
      </c>
      <c r="E303" s="12" t="n">
        <v>12</v>
      </c>
      <c r="F303" s="12" t="inlineStr">
        <is>
          <t>CB400-V</t>
        </is>
      </c>
      <c r="G303" s="12" t="inlineStr">
        <is>
          <t>S01</t>
        </is>
      </c>
      <c r="H303" s="17" t="n">
        <v>11.7</v>
      </c>
      <c r="I303" s="48" t="n">
        <v>315</v>
      </c>
      <c r="J303" s="48" t="n">
        <v>1</v>
      </c>
      <c r="K303" s="48">
        <f>I303*J303</f>
        <v/>
      </c>
      <c r="L303" s="18">
        <f>H303*K303</f>
        <v/>
      </c>
      <c r="M303" s="17" t="n">
        <v>0.888</v>
      </c>
      <c r="N303" s="18">
        <f>L303*M303</f>
        <v/>
      </c>
      <c r="O303" s="17">
        <f>N303/1000</f>
        <v/>
      </c>
      <c r="P303" s="12" t="inlineStr">
        <is>
          <t>10&lt;D&lt;=18mm</t>
        </is>
      </c>
      <c r="Q303" s="13" t="inlineStr">
        <is>
          <t>TCVN 1651:2018 / ASTM</t>
        </is>
      </c>
    </row>
    <row r="304">
      <c r="A304" s="5" t="n">
        <v>297</v>
      </c>
      <c r="B304" s="6" t="inlineStr">
        <is>
          <t>Dầm chủ Super-T (15 phiến L=38.2m)</t>
        </is>
      </c>
      <c r="C304" s="6" t="inlineStr">
        <is>
          <t>Sườn dầm / Cánh dầm</t>
        </is>
      </c>
      <c r="D304" s="5" t="inlineStr">
        <is>
          <t>G4a2</t>
        </is>
      </c>
      <c r="E304" s="5" t="n">
        <v>12</v>
      </c>
      <c r="F304" s="5" t="inlineStr">
        <is>
          <t>CB400-V</t>
        </is>
      </c>
      <c r="G304" s="5" t="inlineStr">
        <is>
          <t>S06</t>
        </is>
      </c>
      <c r="H304" s="10" t="n">
        <v>4.46</v>
      </c>
      <c r="I304" s="47" t="n">
        <v>105</v>
      </c>
      <c r="J304" s="47" t="n">
        <v>1</v>
      </c>
      <c r="K304" s="47">
        <f>I304*J304</f>
        <v/>
      </c>
      <c r="L304" s="11">
        <f>H304*K304</f>
        <v/>
      </c>
      <c r="M304" s="10" t="n">
        <v>0.888</v>
      </c>
      <c r="N304" s="11">
        <f>L304*M304</f>
        <v/>
      </c>
      <c r="O304" s="10">
        <f>N304/1000</f>
        <v/>
      </c>
      <c r="P304" s="5" t="inlineStr">
        <is>
          <t>10&lt;D&lt;=18mm</t>
        </is>
      </c>
      <c r="Q304" s="6" t="inlineStr">
        <is>
          <t>TCVN 1651:2018 / ASTM</t>
        </is>
      </c>
    </row>
    <row r="305">
      <c r="A305" s="12" t="n">
        <v>298</v>
      </c>
      <c r="B305" s="13" t="inlineStr">
        <is>
          <t>Dầm chủ Super-T (15 phiến L=38.2m)</t>
        </is>
      </c>
      <c r="C305" s="13" t="inlineStr">
        <is>
          <t>Sườn dầm / Cánh dầm</t>
        </is>
      </c>
      <c r="D305" s="12" t="inlineStr">
        <is>
          <t>G4b1</t>
        </is>
      </c>
      <c r="E305" s="12" t="n">
        <v>12</v>
      </c>
      <c r="F305" s="12" t="inlineStr">
        <is>
          <t>CB400-V</t>
        </is>
      </c>
      <c r="G305" s="12" t="inlineStr">
        <is>
          <t>S01</t>
        </is>
      </c>
      <c r="H305" s="17" t="n">
        <v>11.7</v>
      </c>
      <c r="I305" s="48" t="n">
        <v>180</v>
      </c>
      <c r="J305" s="48" t="n">
        <v>1</v>
      </c>
      <c r="K305" s="48">
        <f>I305*J305</f>
        <v/>
      </c>
      <c r="L305" s="18">
        <f>H305*K305</f>
        <v/>
      </c>
      <c r="M305" s="17" t="n">
        <v>0.888</v>
      </c>
      <c r="N305" s="18">
        <f>L305*M305</f>
        <v/>
      </c>
      <c r="O305" s="17">
        <f>N305/1000</f>
        <v/>
      </c>
      <c r="P305" s="12" t="inlineStr">
        <is>
          <t>10&lt;D&lt;=18mm</t>
        </is>
      </c>
      <c r="Q305" s="13" t="inlineStr">
        <is>
          <t>TCVN 1651:2018 / ASTM</t>
        </is>
      </c>
    </row>
    <row r="306">
      <c r="A306" s="5" t="n">
        <v>299</v>
      </c>
      <c r="B306" s="6" t="inlineStr">
        <is>
          <t>Dầm chủ Super-T (15 phiến L=38.2m)</t>
        </is>
      </c>
      <c r="C306" s="6" t="inlineStr">
        <is>
          <t>Sườn dầm / Cánh dầm</t>
        </is>
      </c>
      <c r="D306" s="5" t="inlineStr">
        <is>
          <t>G4b2</t>
        </is>
      </c>
      <c r="E306" s="5" t="n">
        <v>12</v>
      </c>
      <c r="F306" s="5" t="inlineStr">
        <is>
          <t>CB400-V</t>
        </is>
      </c>
      <c r="G306" s="5" t="inlineStr">
        <is>
          <t>S06</t>
        </is>
      </c>
      <c r="H306" s="10" t="n">
        <v>3.06</v>
      </c>
      <c r="I306" s="47" t="n">
        <v>60</v>
      </c>
      <c r="J306" s="47" t="n">
        <v>1</v>
      </c>
      <c r="K306" s="47">
        <f>I306*J306</f>
        <v/>
      </c>
      <c r="L306" s="11">
        <f>H306*K306</f>
        <v/>
      </c>
      <c r="M306" s="10" t="n">
        <v>0.888</v>
      </c>
      <c r="N306" s="11">
        <f>L306*M306</f>
        <v/>
      </c>
      <c r="O306" s="10">
        <f>N306/1000</f>
        <v/>
      </c>
      <c r="P306" s="5" t="inlineStr">
        <is>
          <t>10&lt;D&lt;=18mm</t>
        </is>
      </c>
      <c r="Q306" s="6" t="inlineStr">
        <is>
          <t>TCVN 1651:2018 / ASTM</t>
        </is>
      </c>
    </row>
    <row r="307">
      <c r="A307" s="12" t="n">
        <v>300</v>
      </c>
      <c r="B307" s="13" t="inlineStr">
        <is>
          <t>Dầm chủ Super-T (15 phiến L=38.2m)</t>
        </is>
      </c>
      <c r="C307" s="13" t="inlineStr">
        <is>
          <t>Sườn dầm / Cánh dầm</t>
        </is>
      </c>
      <c r="D307" s="12" t="inlineStr">
        <is>
          <t>G5a</t>
        </is>
      </c>
      <c r="E307" s="12" t="n">
        <v>16</v>
      </c>
      <c r="F307" s="12" t="inlineStr">
        <is>
          <t>CB400-V</t>
        </is>
      </c>
      <c r="G307" s="12" t="inlineStr">
        <is>
          <t>S01</t>
        </is>
      </c>
      <c r="H307" s="17" t="n">
        <v>11.7</v>
      </c>
      <c r="I307" s="48" t="n">
        <v>420</v>
      </c>
      <c r="J307" s="48" t="n">
        <v>1</v>
      </c>
      <c r="K307" s="48">
        <f>I307*J307</f>
        <v/>
      </c>
      <c r="L307" s="18">
        <f>H307*K307</f>
        <v/>
      </c>
      <c r="M307" s="17" t="n">
        <v>1.58</v>
      </c>
      <c r="N307" s="18">
        <f>L307*M307</f>
        <v/>
      </c>
      <c r="O307" s="17">
        <f>N307/1000</f>
        <v/>
      </c>
      <c r="P307" s="12" t="inlineStr">
        <is>
          <t>10&lt;D&lt;=18mm</t>
        </is>
      </c>
      <c r="Q307" s="13" t="inlineStr">
        <is>
          <t>TCVN 1651:2018 / ASTM</t>
        </is>
      </c>
    </row>
    <row r="308">
      <c r="A308" s="5" t="n">
        <v>301</v>
      </c>
      <c r="B308" s="6" t="inlineStr">
        <is>
          <t>Dầm chủ Super-T (15 phiến L=38.2m)</t>
        </is>
      </c>
      <c r="C308" s="6" t="inlineStr">
        <is>
          <t>Sườn dầm / Cánh dầm</t>
        </is>
      </c>
      <c r="D308" s="5" t="inlineStr">
        <is>
          <t>G5b</t>
        </is>
      </c>
      <c r="E308" s="5" t="n">
        <v>18</v>
      </c>
      <c r="F308" s="5" t="inlineStr">
        <is>
          <t>CB400-V</t>
        </is>
      </c>
      <c r="G308" s="5" t="inlineStr">
        <is>
          <t>S06</t>
        </is>
      </c>
      <c r="H308" s="10" t="n">
        <v>2.86</v>
      </c>
      <c r="I308" s="47" t="n">
        <v>210</v>
      </c>
      <c r="J308" s="47" t="n">
        <v>1</v>
      </c>
      <c r="K308" s="47">
        <f>I308*J308</f>
        <v/>
      </c>
      <c r="L308" s="11">
        <f>H308*K308</f>
        <v/>
      </c>
      <c r="M308" s="10" t="n">
        <v>2</v>
      </c>
      <c r="N308" s="11">
        <f>L308*M308</f>
        <v/>
      </c>
      <c r="O308" s="10">
        <f>N308/1000</f>
        <v/>
      </c>
      <c r="P308" s="5" t="inlineStr">
        <is>
          <t>10&lt;D&lt;=18mm</t>
        </is>
      </c>
      <c r="Q308" s="6" t="inlineStr">
        <is>
          <t>TCVN 1651:2018 / ASTM</t>
        </is>
      </c>
    </row>
    <row r="309">
      <c r="A309" s="12" t="n">
        <v>302</v>
      </c>
      <c r="B309" s="13" t="inlineStr">
        <is>
          <t>Dầm chủ Super-T (15 phiến L=38.2m)</t>
        </is>
      </c>
      <c r="C309" s="13" t="inlineStr">
        <is>
          <t>Sườn dầm / Cánh dầm</t>
        </is>
      </c>
      <c r="D309" s="12" t="inlineStr">
        <is>
          <t>G5c</t>
        </is>
      </c>
      <c r="E309" s="12" t="n">
        <v>16</v>
      </c>
      <c r="F309" s="12" t="inlineStr">
        <is>
          <t>CB400-V</t>
        </is>
      </c>
      <c r="G309" s="12" t="inlineStr">
        <is>
          <t>S01</t>
        </is>
      </c>
      <c r="H309" s="17" t="n">
        <v>10.68</v>
      </c>
      <c r="I309" s="48" t="n">
        <v>210</v>
      </c>
      <c r="J309" s="48" t="n">
        <v>1</v>
      </c>
      <c r="K309" s="48">
        <f>I309*J309</f>
        <v/>
      </c>
      <c r="L309" s="18">
        <f>H309*K309</f>
        <v/>
      </c>
      <c r="M309" s="17" t="n">
        <v>1.58</v>
      </c>
      <c r="N309" s="18">
        <f>L309*M309</f>
        <v/>
      </c>
      <c r="O309" s="17">
        <f>N309/1000</f>
        <v/>
      </c>
      <c r="P309" s="12" t="inlineStr">
        <is>
          <t>10&lt;D&lt;=18mm</t>
        </is>
      </c>
      <c r="Q309" s="13" t="inlineStr">
        <is>
          <t>TCVN 1651:2018 / ASTM</t>
        </is>
      </c>
    </row>
    <row r="310">
      <c r="A310" s="5" t="n">
        <v>303</v>
      </c>
      <c r="B310" s="6" t="inlineStr">
        <is>
          <t>Dầm chủ Super-T (15 phiến L=38.2m)</t>
        </is>
      </c>
      <c r="C310" s="6" t="inlineStr">
        <is>
          <t>Sườn dầm / Cánh dầm</t>
        </is>
      </c>
      <c r="D310" s="5" t="inlineStr">
        <is>
          <t>G5d</t>
        </is>
      </c>
      <c r="E310" s="5" t="n">
        <v>18</v>
      </c>
      <c r="F310" s="5" t="inlineStr">
        <is>
          <t>CB400-V</t>
        </is>
      </c>
      <c r="G310" s="5" t="inlineStr">
        <is>
          <t>S06</t>
        </is>
      </c>
      <c r="H310" s="10" t="n">
        <v>3.9</v>
      </c>
      <c r="I310" s="47" t="n">
        <v>210</v>
      </c>
      <c r="J310" s="47" t="n">
        <v>1</v>
      </c>
      <c r="K310" s="47">
        <f>I310*J310</f>
        <v/>
      </c>
      <c r="L310" s="11">
        <f>H310*K310</f>
        <v/>
      </c>
      <c r="M310" s="10" t="n">
        <v>2</v>
      </c>
      <c r="N310" s="11">
        <f>L310*M310</f>
        <v/>
      </c>
      <c r="O310" s="10">
        <f>N310/1000</f>
        <v/>
      </c>
      <c r="P310" s="5" t="inlineStr">
        <is>
          <t>10&lt;D&lt;=18mm</t>
        </is>
      </c>
      <c r="Q310" s="6" t="inlineStr">
        <is>
          <t>TCVN 1651:2018 / ASTM</t>
        </is>
      </c>
    </row>
    <row r="311">
      <c r="A311" s="12" t="n">
        <v>304</v>
      </c>
      <c r="B311" s="13" t="inlineStr">
        <is>
          <t>Dầm chủ Super-T (15 phiến L=38.2m)</t>
        </is>
      </c>
      <c r="C311" s="13" t="inlineStr">
        <is>
          <t>Sườn dầm / Cánh dầm</t>
        </is>
      </c>
      <c r="D311" s="12" t="inlineStr">
        <is>
          <t>G6a</t>
        </is>
      </c>
      <c r="E311" s="12" t="n">
        <v>32</v>
      </c>
      <c r="F311" s="12" t="inlineStr">
        <is>
          <t>CB400-V</t>
        </is>
      </c>
      <c r="G311" s="12" t="inlineStr">
        <is>
          <t>S01</t>
        </is>
      </c>
      <c r="H311" s="17" t="n">
        <v>11.7</v>
      </c>
      <c r="I311" s="48" t="n">
        <v>135</v>
      </c>
      <c r="J311" s="48" t="n">
        <v>1</v>
      </c>
      <c r="K311" s="48">
        <f>I311*J311</f>
        <v/>
      </c>
      <c r="L311" s="18">
        <f>H311*K311</f>
        <v/>
      </c>
      <c r="M311" s="17" t="n">
        <v>6.31</v>
      </c>
      <c r="N311" s="18">
        <f>L311*M311</f>
        <v/>
      </c>
      <c r="O311" s="17">
        <f>N311/1000</f>
        <v/>
      </c>
      <c r="P311" s="12" t="inlineStr">
        <is>
          <t>D&gt;18mm</t>
        </is>
      </c>
      <c r="Q311" s="13" t="inlineStr">
        <is>
          <t>TCVN 1651:2018 / ASTM</t>
        </is>
      </c>
    </row>
    <row r="312">
      <c r="A312" s="5" t="n">
        <v>305</v>
      </c>
      <c r="B312" s="6" t="inlineStr">
        <is>
          <t>Dầm chủ Super-T (15 phiến L=38.2m)</t>
        </is>
      </c>
      <c r="C312" s="6" t="inlineStr">
        <is>
          <t>Sườn dầm / Cánh dầm</t>
        </is>
      </c>
      <c r="D312" s="5" t="inlineStr">
        <is>
          <t>G6b</t>
        </is>
      </c>
      <c r="E312" s="5" t="n">
        <v>32</v>
      </c>
      <c r="F312" s="5" t="inlineStr">
        <is>
          <t>CB400-V</t>
        </is>
      </c>
      <c r="G312" s="5" t="inlineStr">
        <is>
          <t>S06</t>
        </is>
      </c>
      <c r="H312" s="10" t="n">
        <v>6.86</v>
      </c>
      <c r="I312" s="47" t="n">
        <v>45</v>
      </c>
      <c r="J312" s="47" t="n">
        <v>1</v>
      </c>
      <c r="K312" s="47">
        <f>I312*J312</f>
        <v/>
      </c>
      <c r="L312" s="11">
        <f>H312*K312</f>
        <v/>
      </c>
      <c r="M312" s="10" t="n">
        <v>6.31</v>
      </c>
      <c r="N312" s="11">
        <f>L312*M312</f>
        <v/>
      </c>
      <c r="O312" s="10">
        <f>N312/1000</f>
        <v/>
      </c>
      <c r="P312" s="5" t="inlineStr">
        <is>
          <t>D&gt;18mm</t>
        </is>
      </c>
      <c r="Q312" s="6" t="inlineStr">
        <is>
          <t>TCVN 1651:2018 / ASTM</t>
        </is>
      </c>
    </row>
    <row r="313">
      <c r="A313" s="12" t="n">
        <v>306</v>
      </c>
      <c r="B313" s="13" t="inlineStr">
        <is>
          <t>Dầm chủ Super-T (15 phiến L=38.2m)</t>
        </is>
      </c>
      <c r="C313" s="13" t="inlineStr">
        <is>
          <t>Sườn dầm / Cánh dầm</t>
        </is>
      </c>
      <c r="D313" s="12" t="inlineStr">
        <is>
          <t>N1a</t>
        </is>
      </c>
      <c r="E313" s="12" t="n">
        <v>12</v>
      </c>
      <c r="F313" s="12" t="inlineStr">
        <is>
          <t>CB400-V</t>
        </is>
      </c>
      <c r="G313" s="12" t="inlineStr">
        <is>
          <t>S06</t>
        </is>
      </c>
      <c r="H313" s="17" t="n">
        <v>1.185</v>
      </c>
      <c r="I313" s="48" t="n">
        <v>555</v>
      </c>
      <c r="J313" s="48" t="n">
        <v>1</v>
      </c>
      <c r="K313" s="48">
        <f>I313*J313</f>
        <v/>
      </c>
      <c r="L313" s="18">
        <f>H313*K313</f>
        <v/>
      </c>
      <c r="M313" s="17" t="n">
        <v>0.888</v>
      </c>
      <c r="N313" s="18">
        <f>L313*M313</f>
        <v/>
      </c>
      <c r="O313" s="17">
        <f>N313/1000</f>
        <v/>
      </c>
      <c r="P313" s="12" t="inlineStr">
        <is>
          <t>10&lt;D&lt;=18mm</t>
        </is>
      </c>
      <c r="Q313" s="13" t="inlineStr">
        <is>
          <t>TCVN 1651:2018 / ASTM</t>
        </is>
      </c>
    </row>
    <row r="314">
      <c r="A314" s="5" t="n">
        <v>307</v>
      </c>
      <c r="B314" s="6" t="inlineStr">
        <is>
          <t>Dầm chủ Super-T (15 phiến L=38.2m)</t>
        </is>
      </c>
      <c r="C314" s="6" t="inlineStr">
        <is>
          <t>TRUNG BÌNH</t>
        </is>
      </c>
      <c r="D314" s="5" t="inlineStr">
        <is>
          <t>N1b</t>
        </is>
      </c>
      <c r="E314" s="5" t="n">
        <v>12</v>
      </c>
      <c r="F314" s="5" t="inlineStr">
        <is>
          <t>CB400-V</t>
        </is>
      </c>
      <c r="G314" s="5" t="inlineStr">
        <is>
          <t>S06</t>
        </is>
      </c>
      <c r="H314" s="10" t="n">
        <v>0.93</v>
      </c>
      <c r="I314" s="47" t="n">
        <v>3885</v>
      </c>
      <c r="J314" s="47" t="n">
        <v>1</v>
      </c>
      <c r="K314" s="47">
        <f>I314*J314</f>
        <v/>
      </c>
      <c r="L314" s="11">
        <f>H314*K314</f>
        <v/>
      </c>
      <c r="M314" s="10" t="n">
        <v>0.888</v>
      </c>
      <c r="N314" s="11">
        <f>L314*M314</f>
        <v/>
      </c>
      <c r="O314" s="10">
        <f>N314/1000</f>
        <v/>
      </c>
      <c r="P314" s="5" t="inlineStr">
        <is>
          <t>10&lt;D&lt;=18mm</t>
        </is>
      </c>
      <c r="Q314" s="6" t="inlineStr">
        <is>
          <t>TCVN 1651:2018 / ASTM</t>
        </is>
      </c>
    </row>
    <row r="315">
      <c r="A315" s="12" t="n">
        <v>308</v>
      </c>
      <c r="B315" s="13" t="inlineStr">
        <is>
          <t>Dầm chủ Super-T (15 phiến L=38.2m)</t>
        </is>
      </c>
      <c r="C315" s="13" t="inlineStr">
        <is>
          <t>Sườn dầm / Cánh dầm</t>
        </is>
      </c>
      <c r="D315" s="12" t="inlineStr">
        <is>
          <t>N2</t>
        </is>
      </c>
      <c r="E315" s="12" t="n">
        <v>12</v>
      </c>
      <c r="F315" s="12" t="inlineStr">
        <is>
          <t>CB400-V</t>
        </is>
      </c>
      <c r="G315" s="12" t="inlineStr">
        <is>
          <t>S06</t>
        </is>
      </c>
      <c r="H315" s="17" t="n">
        <v>3.664</v>
      </c>
      <c r="I315" s="48" t="n">
        <v>45</v>
      </c>
      <c r="J315" s="48" t="n">
        <v>1</v>
      </c>
      <c r="K315" s="48">
        <f>I315*J315</f>
        <v/>
      </c>
      <c r="L315" s="18">
        <f>H315*K315</f>
        <v/>
      </c>
      <c r="M315" s="17" t="n">
        <v>0.888</v>
      </c>
      <c r="N315" s="18">
        <f>L315*M315</f>
        <v/>
      </c>
      <c r="O315" s="17">
        <f>N315/1000</f>
        <v/>
      </c>
      <c r="P315" s="12" t="inlineStr">
        <is>
          <t>10&lt;D&lt;=18mm</t>
        </is>
      </c>
      <c r="Q315" s="13" t="inlineStr">
        <is>
          <t>TCVN 1651:2018 / ASTM</t>
        </is>
      </c>
    </row>
    <row r="316">
      <c r="A316" s="5" t="n">
        <v>309</v>
      </c>
      <c r="B316" s="6" t="inlineStr">
        <is>
          <t>Dầm chủ Super-T (15 phiến L=38.2m)</t>
        </is>
      </c>
      <c r="C316" s="6" t="inlineStr">
        <is>
          <t>Sườn dầm / Cánh dầm</t>
        </is>
      </c>
      <c r="D316" s="5" t="inlineStr">
        <is>
          <t>E1</t>
        </is>
      </c>
      <c r="E316" s="5" t="n">
        <v>16</v>
      </c>
      <c r="F316" s="5" t="inlineStr">
        <is>
          <t>CB400-V</t>
        </is>
      </c>
      <c r="G316" s="5" t="inlineStr">
        <is>
          <t>S06</t>
        </is>
      </c>
      <c r="H316" s="10" t="n">
        <v>2.376</v>
      </c>
      <c r="I316" s="47" t="n">
        <v>3780</v>
      </c>
      <c r="J316" s="47" t="n">
        <v>1</v>
      </c>
      <c r="K316" s="47">
        <f>I316*J316</f>
        <v/>
      </c>
      <c r="L316" s="11">
        <f>H316*K316</f>
        <v/>
      </c>
      <c r="M316" s="10" t="n">
        <v>1.58</v>
      </c>
      <c r="N316" s="11">
        <f>L316*M316</f>
        <v/>
      </c>
      <c r="O316" s="10">
        <f>N316/1000</f>
        <v/>
      </c>
      <c r="P316" s="5" t="inlineStr">
        <is>
          <t>10&lt;D&lt;=18mm</t>
        </is>
      </c>
      <c r="Q316" s="6" t="inlineStr">
        <is>
          <t>TCVN 1651:2018 / ASTM</t>
        </is>
      </c>
    </row>
    <row r="317">
      <c r="A317" s="12" t="n">
        <v>310</v>
      </c>
      <c r="B317" s="13" t="inlineStr">
        <is>
          <t>Dầm chủ Super-T (15 phiến L=38.2m)</t>
        </is>
      </c>
      <c r="C317" s="13" t="inlineStr">
        <is>
          <t>Sườn dầm / Cánh dầm</t>
        </is>
      </c>
      <c r="D317" s="12" t="inlineStr">
        <is>
          <t>E2</t>
        </is>
      </c>
      <c r="E317" s="12" t="n">
        <v>16</v>
      </c>
      <c r="F317" s="12" t="inlineStr">
        <is>
          <t>CB400-V</t>
        </is>
      </c>
      <c r="G317" s="12" t="inlineStr">
        <is>
          <t>S06</t>
        </is>
      </c>
      <c r="H317" s="17" t="n">
        <v>3.932</v>
      </c>
      <c r="I317" s="48" t="n">
        <v>300</v>
      </c>
      <c r="J317" s="48" t="n">
        <v>1</v>
      </c>
      <c r="K317" s="48">
        <f>I317*J317</f>
        <v/>
      </c>
      <c r="L317" s="18">
        <f>H317*K317</f>
        <v/>
      </c>
      <c r="M317" s="17" t="n">
        <v>1.58</v>
      </c>
      <c r="N317" s="18">
        <f>L317*M317</f>
        <v/>
      </c>
      <c r="O317" s="17">
        <f>N317/1000</f>
        <v/>
      </c>
      <c r="P317" s="12" t="inlineStr">
        <is>
          <t>10&lt;D&lt;=18mm</t>
        </is>
      </c>
      <c r="Q317" s="13" t="inlineStr">
        <is>
          <t>TCVN 1651:2018 / ASTM</t>
        </is>
      </c>
    </row>
    <row r="318">
      <c r="A318" s="5" t="n">
        <v>311</v>
      </c>
      <c r="B318" s="6" t="inlineStr">
        <is>
          <t>Dầm chủ Super-T (15 phiến L=38.2m)</t>
        </is>
      </c>
      <c r="C318" s="6" t="inlineStr">
        <is>
          <t>Sườn dầm / Cánh dầm</t>
        </is>
      </c>
      <c r="D318" s="5" t="inlineStr">
        <is>
          <t>Thanh neo</t>
        </is>
      </c>
      <c r="E318" s="5" t="n">
        <v>20</v>
      </c>
      <c r="F318" s="5" t="inlineStr">
        <is>
          <t>CB400-V</t>
        </is>
      </c>
      <c r="G318" s="5" t="inlineStr">
        <is>
          <t>S06</t>
        </is>
      </c>
      <c r="H318" s="10" t="n">
        <v>0.11</v>
      </c>
      <c r="I318" s="47" t="n">
        <v>120</v>
      </c>
      <c r="J318" s="47" t="n">
        <v>1</v>
      </c>
      <c r="K318" s="47">
        <f>I318*J318</f>
        <v/>
      </c>
      <c r="L318" s="11">
        <f>H318*K318</f>
        <v/>
      </c>
      <c r="M318" s="10" t="n">
        <v>2.47</v>
      </c>
      <c r="N318" s="11">
        <f>L318*M318</f>
        <v/>
      </c>
      <c r="O318" s="10">
        <f>N318/1000</f>
        <v/>
      </c>
      <c r="P318" s="5" t="inlineStr">
        <is>
          <t>D&gt;18mm</t>
        </is>
      </c>
      <c r="Q318" s="6" t="inlineStr">
        <is>
          <t>TCVN 1651:2018 / ASTM</t>
        </is>
      </c>
    </row>
    <row r="319">
      <c r="A319" s="12" t="n">
        <v>312</v>
      </c>
      <c r="B319" s="13" t="inlineStr">
        <is>
          <t>Dầm chủ Super-T (15 phiến L=38.2m)</t>
        </is>
      </c>
      <c r="C319" s="13" t="inlineStr">
        <is>
          <t>Sườn dầm / Cánh dầm</t>
        </is>
      </c>
      <c r="D319" s="12" t="inlineStr">
        <is>
          <t>K1a</t>
        </is>
      </c>
      <c r="E319" s="12" t="n">
        <v>16</v>
      </c>
      <c r="F319" s="12" t="inlineStr">
        <is>
          <t>CB400-V</t>
        </is>
      </c>
      <c r="G319" s="12" t="inlineStr">
        <is>
          <t>S06</t>
        </is>
      </c>
      <c r="H319" s="17" t="n">
        <v>0.976</v>
      </c>
      <c r="I319" s="48" t="n">
        <v>120</v>
      </c>
      <c r="J319" s="48" t="n">
        <v>1</v>
      </c>
      <c r="K319" s="48">
        <f>I319*J319</f>
        <v/>
      </c>
      <c r="L319" s="18">
        <f>H319*K319</f>
        <v/>
      </c>
      <c r="M319" s="17" t="n">
        <v>1.58</v>
      </c>
      <c r="N319" s="18">
        <f>L319*M319</f>
        <v/>
      </c>
      <c r="O319" s="17">
        <f>N319/1000</f>
        <v/>
      </c>
      <c r="P319" s="12" t="inlineStr">
        <is>
          <t>10&lt;D&lt;=18mm</t>
        </is>
      </c>
      <c r="Q319" s="13" t="inlineStr">
        <is>
          <t>TCVN 1651:2018 / ASTM</t>
        </is>
      </c>
    </row>
    <row r="320">
      <c r="A320" s="5" t="n">
        <v>313</v>
      </c>
      <c r="B320" s="6" t="inlineStr">
        <is>
          <t>Dầm chủ Super-T (15 phiến L=38.2m)</t>
        </is>
      </c>
      <c r="C320" s="6" t="inlineStr">
        <is>
          <t>Sườn dầm / Cánh dầm</t>
        </is>
      </c>
      <c r="D320" s="5" t="inlineStr">
        <is>
          <t>K1b</t>
        </is>
      </c>
      <c r="E320" s="5" t="n">
        <v>16</v>
      </c>
      <c r="F320" s="5" t="inlineStr">
        <is>
          <t>CB400-V</t>
        </is>
      </c>
      <c r="G320" s="5" t="inlineStr">
        <is>
          <t>S06</t>
        </is>
      </c>
      <c r="H320" s="10" t="n">
        <v>0.776</v>
      </c>
      <c r="I320" s="47" t="n">
        <v>120</v>
      </c>
      <c r="J320" s="47" t="n">
        <v>1</v>
      </c>
      <c r="K320" s="47">
        <f>I320*J320</f>
        <v/>
      </c>
      <c r="L320" s="11">
        <f>H320*K320</f>
        <v/>
      </c>
      <c r="M320" s="10" t="n">
        <v>1.58</v>
      </c>
      <c r="N320" s="11">
        <f>L320*M320</f>
        <v/>
      </c>
      <c r="O320" s="10">
        <f>N320/1000</f>
        <v/>
      </c>
      <c r="P320" s="5" t="inlineStr">
        <is>
          <t>10&lt;D&lt;=18mm</t>
        </is>
      </c>
      <c r="Q320" s="6" t="inlineStr">
        <is>
          <t>TCVN 1651:2018 / ASTM</t>
        </is>
      </c>
    </row>
    <row r="321">
      <c r="A321" s="12" t="n">
        <v>314</v>
      </c>
      <c r="B321" s="13" t="inlineStr">
        <is>
          <t>Dầm chủ Super-T (15 phiến L=38.2m)</t>
        </is>
      </c>
      <c r="C321" s="13" t="inlineStr">
        <is>
          <t>Cáp DƯL 7 sợi cường độ cao</t>
        </is>
      </c>
      <c r="D321" s="12" t="inlineStr">
        <is>
          <t>CABLE-15.2</t>
        </is>
      </c>
      <c r="E321" s="12" t="n">
        <v>15.2</v>
      </c>
      <c r="F321" s="12" t="inlineStr">
        <is>
          <t>ASTM A416 Gr270 (fpu=1860MPa)</t>
        </is>
      </c>
      <c r="G321" s="12" t="inlineStr">
        <is>
          <t>Tao cáp xoắn 7 sợi</t>
        </is>
      </c>
      <c r="H321" s="17" t="n">
        <v>38.2</v>
      </c>
      <c r="I321" s="48" t="n">
        <v>660</v>
      </c>
      <c r="J321" s="48" t="n">
        <v>1</v>
      </c>
      <c r="K321" s="48">
        <f>I321*J321</f>
        <v/>
      </c>
      <c r="L321" s="18">
        <f>H321*K321</f>
        <v/>
      </c>
      <c r="M321" s="17" t="n">
        <v>1.102</v>
      </c>
      <c r="N321" s="18">
        <f>L321*M321</f>
        <v/>
      </c>
      <c r="O321" s="17">
        <f>N321/1000</f>
        <v/>
      </c>
      <c r="P321" s="12" t="inlineStr">
        <is>
          <t>Cáp DƯL 15.2mm</t>
        </is>
      </c>
      <c r="Q321" s="13" t="inlineStr">
        <is>
          <t>TCVN 1651:2018 / ASTM</t>
        </is>
      </c>
    </row>
    <row r="322">
      <c r="A322" s="5" t="n">
        <v>315</v>
      </c>
      <c r="B322" s="6" t="inlineStr">
        <is>
          <t>Dầm ngang (Diaphragm)</t>
        </is>
      </c>
      <c r="C322" s="6" t="inlineStr">
        <is>
          <t>Dầm ngang trên trụ / mố</t>
        </is>
      </c>
      <c r="D322" s="5" t="inlineStr">
        <is>
          <t>16</t>
        </is>
      </c>
      <c r="E322" s="5" t="n">
        <v>128</v>
      </c>
      <c r="F322" s="5" t="inlineStr">
        <is>
          <t>CB400-V</t>
        </is>
      </c>
      <c r="G322" s="5" t="inlineStr">
        <is>
          <t>S06</t>
        </is>
      </c>
      <c r="H322" s="10" t="n">
        <v>0.002</v>
      </c>
      <c r="I322" s="47" t="n">
        <v>525</v>
      </c>
      <c r="J322" s="47" t="n">
        <v>1</v>
      </c>
      <c r="K322" s="47">
        <f>I322*J322</f>
        <v/>
      </c>
      <c r="L322" s="11">
        <f>H322*K322</f>
        <v/>
      </c>
      <c r="M322" s="10" t="n">
        <v>106.18</v>
      </c>
      <c r="N322" s="11">
        <f>L322*M322</f>
        <v/>
      </c>
      <c r="O322" s="10">
        <f>N322/1000</f>
        <v/>
      </c>
      <c r="P322" s="5" t="inlineStr">
        <is>
          <t>D&gt;18mm</t>
        </is>
      </c>
      <c r="Q322" s="6" t="inlineStr">
        <is>
          <t>TCVN 1651:2018 / ASTM</t>
        </is>
      </c>
    </row>
    <row r="323">
      <c r="A323" s="12" t="n">
        <v>316</v>
      </c>
      <c r="B323" s="13" t="inlineStr">
        <is>
          <t>Dầm ngang (Diaphragm)</t>
        </is>
      </c>
      <c r="C323" s="13" t="inlineStr">
        <is>
          <t>Dầm ngang trên trụ / mố</t>
        </is>
      </c>
      <c r="D323" s="12" t="inlineStr">
        <is>
          <t>20</t>
        </is>
      </c>
      <c r="E323" s="12" t="n">
        <v>32</v>
      </c>
      <c r="F323" s="12" t="inlineStr">
        <is>
          <t>CB400-V</t>
        </is>
      </c>
      <c r="G323" s="12" t="inlineStr">
        <is>
          <t>S06</t>
        </is>
      </c>
      <c r="H323" s="17" t="n">
        <v>0.002</v>
      </c>
      <c r="I323" s="48" t="n">
        <v>1450</v>
      </c>
      <c r="J323" s="48" t="n">
        <v>1</v>
      </c>
      <c r="K323" s="48">
        <f>I323*J323</f>
        <v/>
      </c>
      <c r="L323" s="18">
        <f>H323*K323</f>
        <v/>
      </c>
      <c r="M323" s="17" t="n">
        <v>114.61</v>
      </c>
      <c r="N323" s="18">
        <f>L323*M323</f>
        <v/>
      </c>
      <c r="O323" s="17">
        <f>N323/1000</f>
        <v/>
      </c>
      <c r="P323" s="12" t="inlineStr">
        <is>
          <t>D&gt;18mm</t>
        </is>
      </c>
      <c r="Q323" s="13" t="inlineStr">
        <is>
          <t>TCVN 1651:2018 / ASTM</t>
        </is>
      </c>
    </row>
    <row r="324">
      <c r="A324" s="5" t="n">
        <v>317</v>
      </c>
      <c r="B324" s="6" t="inlineStr">
        <is>
          <t>Dầm ngang (Diaphragm)</t>
        </is>
      </c>
      <c r="C324" s="6" t="inlineStr">
        <is>
          <t>Dầm ngang trên trụ / mố</t>
        </is>
      </c>
      <c r="D324" s="5" t="inlineStr">
        <is>
          <t>16</t>
        </is>
      </c>
      <c r="E324" s="5" t="n">
        <v>112</v>
      </c>
      <c r="F324" s="5" t="inlineStr">
        <is>
          <t>CB400-V</t>
        </is>
      </c>
      <c r="G324" s="5" t="inlineStr">
        <is>
          <t>S06</t>
        </is>
      </c>
      <c r="H324" s="10" t="n">
        <v>0.002</v>
      </c>
      <c r="I324" s="47" t="n">
        <v>1390</v>
      </c>
      <c r="J324" s="47" t="n">
        <v>1</v>
      </c>
      <c r="K324" s="47">
        <f>I324*J324</f>
        <v/>
      </c>
      <c r="L324" s="11">
        <f>H324*K324</f>
        <v/>
      </c>
      <c r="M324" s="10" t="n">
        <v>245.97</v>
      </c>
      <c r="N324" s="11">
        <f>L324*M324</f>
        <v/>
      </c>
      <c r="O324" s="10">
        <f>N324/1000</f>
        <v/>
      </c>
      <c r="P324" s="5" t="inlineStr">
        <is>
          <t>D&gt;18mm</t>
        </is>
      </c>
      <c r="Q324" s="6" t="inlineStr">
        <is>
          <t>TCVN 1651:2018 / ASTM</t>
        </is>
      </c>
    </row>
    <row r="325">
      <c r="A325" s="12" t="n">
        <v>318</v>
      </c>
      <c r="B325" s="13" t="inlineStr">
        <is>
          <t>Dầm ngang (Diaphragm)</t>
        </is>
      </c>
      <c r="C325" s="13" t="inlineStr">
        <is>
          <t>Dầm ngang trên trụ / mố</t>
        </is>
      </c>
      <c r="D325" s="12" t="inlineStr">
        <is>
          <t>16</t>
        </is>
      </c>
      <c r="E325" s="12" t="n">
        <v>32</v>
      </c>
      <c r="F325" s="12" t="inlineStr">
        <is>
          <t>CB400-V</t>
        </is>
      </c>
      <c r="G325" s="12" t="inlineStr">
        <is>
          <t>S06</t>
        </is>
      </c>
      <c r="H325" s="17" t="n">
        <v>0.002</v>
      </c>
      <c r="I325" s="48" t="n">
        <v>1140</v>
      </c>
      <c r="J325" s="48" t="n">
        <v>1</v>
      </c>
      <c r="K325" s="48">
        <f>I325*J325</f>
        <v/>
      </c>
      <c r="L325" s="18">
        <f>H325*K325</f>
        <v/>
      </c>
      <c r="M325" s="17" t="n">
        <v>57.64</v>
      </c>
      <c r="N325" s="18">
        <f>L325*M325</f>
        <v/>
      </c>
      <c r="O325" s="17">
        <f>N325/1000</f>
        <v/>
      </c>
      <c r="P325" s="12" t="inlineStr">
        <is>
          <t>D&gt;18mm</t>
        </is>
      </c>
      <c r="Q325" s="13" t="inlineStr">
        <is>
          <t>TCVN 1651:2018 / ASTM</t>
        </is>
      </c>
    </row>
    <row r="326">
      <c r="A326" s="5" t="n">
        <v>319</v>
      </c>
      <c r="B326" s="6" t="inlineStr">
        <is>
          <t>Dầm ngang (Diaphragm)</t>
        </is>
      </c>
      <c r="C326" s="6" t="inlineStr">
        <is>
          <t>Dầm ngang trên trụ / mố</t>
        </is>
      </c>
      <c r="D326" s="5" t="inlineStr">
        <is>
          <t>16</t>
        </is>
      </c>
      <c r="E326" s="5" t="n">
        <v>64</v>
      </c>
      <c r="F326" s="5" t="inlineStr">
        <is>
          <t>CB400-V</t>
        </is>
      </c>
      <c r="G326" s="5" t="inlineStr">
        <is>
          <t>S06</t>
        </is>
      </c>
      <c r="H326" s="10" t="n">
        <v>0.002</v>
      </c>
      <c r="I326" s="47" t="n">
        <v>3262</v>
      </c>
      <c r="J326" s="47" t="n">
        <v>1</v>
      </c>
      <c r="K326" s="47">
        <f>I326*J326</f>
        <v/>
      </c>
      <c r="L326" s="11">
        <f>H326*K326</f>
        <v/>
      </c>
      <c r="M326" s="10" t="n">
        <v>329.85</v>
      </c>
      <c r="N326" s="11">
        <f>L326*M326</f>
        <v/>
      </c>
      <c r="O326" s="10">
        <f>N326/1000</f>
        <v/>
      </c>
      <c r="P326" s="5" t="inlineStr">
        <is>
          <t>D&gt;18mm</t>
        </is>
      </c>
      <c r="Q326" s="6" t="inlineStr">
        <is>
          <t>TCVN 1651:2018 / ASTM</t>
        </is>
      </c>
    </row>
    <row r="327">
      <c r="A327" s="12" t="n">
        <v>320</v>
      </c>
      <c r="B327" s="13" t="inlineStr">
        <is>
          <t>Dầm ngang (Diaphragm)</t>
        </is>
      </c>
      <c r="C327" s="13" t="inlineStr">
        <is>
          <t>Dầm ngang trên trụ / mố</t>
        </is>
      </c>
      <c r="D327" s="12" t="inlineStr">
        <is>
          <t>16</t>
        </is>
      </c>
      <c r="E327" s="12" t="n">
        <v>16</v>
      </c>
      <c r="F327" s="12" t="inlineStr">
        <is>
          <t>CB400-V</t>
        </is>
      </c>
      <c r="G327" s="12" t="inlineStr">
        <is>
          <t>S06</t>
        </is>
      </c>
      <c r="H327" s="17" t="n">
        <v>0.002</v>
      </c>
      <c r="I327" s="48" t="n">
        <v>2642</v>
      </c>
      <c r="J327" s="48" t="n">
        <v>1</v>
      </c>
      <c r="K327" s="48">
        <f>I327*J327</f>
        <v/>
      </c>
      <c r="L327" s="18">
        <f>H327*K327</f>
        <v/>
      </c>
      <c r="M327" s="17" t="n">
        <v>66.79000000000001</v>
      </c>
      <c r="N327" s="18">
        <f>L327*M327</f>
        <v/>
      </c>
      <c r="O327" s="17">
        <f>N327/1000</f>
        <v/>
      </c>
      <c r="P327" s="12" t="inlineStr">
        <is>
          <t>10&lt;D&lt;=18mm</t>
        </is>
      </c>
      <c r="Q327" s="13" t="inlineStr">
        <is>
          <t>TCVN 1651:2018 / ASTM</t>
        </is>
      </c>
    </row>
    <row r="328">
      <c r="A328" s="5" t="n">
        <v>321</v>
      </c>
      <c r="B328" s="6" t="inlineStr">
        <is>
          <t>Bản mặt cầu (Deck Slab)</t>
        </is>
      </c>
      <c r="C328" s="6" t="inlineStr">
        <is>
          <t>Lưới thép BMC đổ bù</t>
        </is>
      </c>
      <c r="D328" s="5" t="inlineStr">
        <is>
          <t>S1</t>
        </is>
      </c>
      <c r="E328" s="5" t="n">
        <v>14</v>
      </c>
      <c r="F328" s="5" t="inlineStr">
        <is>
          <t>CB400-V</t>
        </is>
      </c>
      <c r="G328" s="5" t="inlineStr">
        <is>
          <t>S01</t>
        </is>
      </c>
      <c r="H328" s="10" t="n">
        <v>39.85</v>
      </c>
      <c r="I328" s="47" t="n">
        <v>84</v>
      </c>
      <c r="J328" s="47" t="n">
        <v>1</v>
      </c>
      <c r="K328" s="47">
        <f>I328*J328</f>
        <v/>
      </c>
      <c r="L328" s="11">
        <f>H328*K328</f>
        <v/>
      </c>
      <c r="M328" s="10" t="n">
        <v>1.21</v>
      </c>
      <c r="N328" s="11">
        <f>L328*M328</f>
        <v/>
      </c>
      <c r="O328" s="10">
        <f>N328/1000</f>
        <v/>
      </c>
      <c r="P328" s="5" t="inlineStr">
        <is>
          <t>10&lt;D&lt;=18mm</t>
        </is>
      </c>
      <c r="Q328" s="6" t="inlineStr">
        <is>
          <t>TCVN 1651:2018 / ASTM</t>
        </is>
      </c>
    </row>
    <row r="329">
      <c r="A329" s="12" t="n">
        <v>322</v>
      </c>
      <c r="B329" s="13" t="inlineStr">
        <is>
          <t>Bản mặt cầu (Deck Slab)</t>
        </is>
      </c>
      <c r="C329" s="13" t="inlineStr">
        <is>
          <t>Lưới thép BMC đổ bù</t>
        </is>
      </c>
      <c r="D329" s="12" t="inlineStr">
        <is>
          <t>S1a</t>
        </is>
      </c>
      <c r="E329" s="12" t="n">
        <v>14</v>
      </c>
      <c r="F329" s="12" t="inlineStr">
        <is>
          <t>CB400-V</t>
        </is>
      </c>
      <c r="G329" s="12" t="inlineStr">
        <is>
          <t>S01</t>
        </is>
      </c>
      <c r="H329" s="17" t="n">
        <v>39.29</v>
      </c>
      <c r="I329" s="48" t="n">
        <v>84</v>
      </c>
      <c r="J329" s="48" t="n">
        <v>1</v>
      </c>
      <c r="K329" s="48">
        <f>I329*J329</f>
        <v/>
      </c>
      <c r="L329" s="18">
        <f>H329*K329</f>
        <v/>
      </c>
      <c r="M329" s="17" t="n">
        <v>1.21</v>
      </c>
      <c r="N329" s="18">
        <f>L329*M329</f>
        <v/>
      </c>
      <c r="O329" s="17">
        <f>N329/1000</f>
        <v/>
      </c>
      <c r="P329" s="12" t="inlineStr">
        <is>
          <t>10&lt;D&lt;=18mm</t>
        </is>
      </c>
      <c r="Q329" s="13" t="inlineStr">
        <is>
          <t>TCVN 1651:2018 / ASTM</t>
        </is>
      </c>
    </row>
    <row r="330">
      <c r="A330" s="5" t="n">
        <v>323</v>
      </c>
      <c r="B330" s="6" t="inlineStr">
        <is>
          <t>Bản mặt cầu (Deck Slab)</t>
        </is>
      </c>
      <c r="C330" s="6" t="inlineStr">
        <is>
          <t>Lưới thép BMC đổ bù</t>
        </is>
      </c>
      <c r="D330" s="5" t="inlineStr">
        <is>
          <t>S2</t>
        </is>
      </c>
      <c r="E330" s="5" t="n">
        <v>18</v>
      </c>
      <c r="F330" s="5" t="inlineStr">
        <is>
          <t>CB400-V</t>
        </is>
      </c>
      <c r="G330" s="5" t="inlineStr">
        <is>
          <t>S01</t>
        </is>
      </c>
      <c r="H330" s="10" t="n">
        <v>13.135</v>
      </c>
      <c r="I330" s="47" t="n">
        <v>490</v>
      </c>
      <c r="J330" s="47" t="n">
        <v>1</v>
      </c>
      <c r="K330" s="47">
        <f>I330*J330</f>
        <v/>
      </c>
      <c r="L330" s="11">
        <f>H330*K330</f>
        <v/>
      </c>
      <c r="M330" s="10" t="n">
        <v>2</v>
      </c>
      <c r="N330" s="11">
        <f>L330*M330</f>
        <v/>
      </c>
      <c r="O330" s="10">
        <f>N330/1000</f>
        <v/>
      </c>
      <c r="P330" s="5" t="inlineStr">
        <is>
          <t>10&lt;D&lt;=18mm</t>
        </is>
      </c>
      <c r="Q330" s="6" t="inlineStr">
        <is>
          <t>TCVN 1651:2018 / ASTM</t>
        </is>
      </c>
    </row>
    <row r="331">
      <c r="A331" s="12" t="n">
        <v>324</v>
      </c>
      <c r="B331" s="13" t="inlineStr">
        <is>
          <t>Bản mặt cầu (Deck Slab)</t>
        </is>
      </c>
      <c r="C331" s="13" t="inlineStr">
        <is>
          <t>Lưới thép BMC đổ bù</t>
        </is>
      </c>
      <c r="D331" s="12" t="inlineStr">
        <is>
          <t>S3</t>
        </is>
      </c>
      <c r="E331" s="12" t="n">
        <v>10</v>
      </c>
      <c r="F331" s="12" t="inlineStr">
        <is>
          <t>CB240-T</t>
        </is>
      </c>
      <c r="G331" s="12" t="inlineStr">
        <is>
          <t>S01</t>
        </is>
      </c>
      <c r="H331" s="17" t="n">
        <v>0.33</v>
      </c>
      <c r="I331" s="48" t="n">
        <v>2420</v>
      </c>
      <c r="J331" s="48" t="n">
        <v>1</v>
      </c>
      <c r="K331" s="48">
        <f>I331*J331</f>
        <v/>
      </c>
      <c r="L331" s="18">
        <f>H331*K331</f>
        <v/>
      </c>
      <c r="M331" s="17" t="n">
        <v>0.617</v>
      </c>
      <c r="N331" s="18">
        <f>L331*M331</f>
        <v/>
      </c>
      <c r="O331" s="17">
        <f>N331/1000</f>
        <v/>
      </c>
      <c r="P331" s="12" t="inlineStr">
        <is>
          <t>D&lt;=10mm</t>
        </is>
      </c>
      <c r="Q331" s="13" t="inlineStr">
        <is>
          <t>TCVN 1651:2018 / ASTM</t>
        </is>
      </c>
    </row>
    <row r="332">
      <c r="A332" s="5" t="n">
        <v>325</v>
      </c>
      <c r="B332" s="6" t="inlineStr">
        <is>
          <t>Bản mặt cầu (Deck Slab)</t>
        </is>
      </c>
      <c r="C332" s="6" t="inlineStr">
        <is>
          <t>Lưới thép BMC đổ bù</t>
        </is>
      </c>
      <c r="D332" s="5" t="inlineStr">
        <is>
          <t>S4</t>
        </is>
      </c>
      <c r="E332" s="5" t="n">
        <v>18</v>
      </c>
      <c r="F332" s="5" t="inlineStr">
        <is>
          <t>CB400-V</t>
        </is>
      </c>
      <c r="G332" s="5" t="inlineStr">
        <is>
          <t>S01</t>
        </is>
      </c>
      <c r="H332" s="10" t="n">
        <v>2.1</v>
      </c>
      <c r="I332" s="47" t="n">
        <v>980</v>
      </c>
      <c r="J332" s="47" t="n">
        <v>1</v>
      </c>
      <c r="K332" s="47">
        <f>I332*J332</f>
        <v/>
      </c>
      <c r="L332" s="11">
        <f>H332*K332</f>
        <v/>
      </c>
      <c r="M332" s="10" t="n">
        <v>2</v>
      </c>
      <c r="N332" s="11">
        <f>L332*M332</f>
        <v/>
      </c>
      <c r="O332" s="10">
        <f>N332/1000</f>
        <v/>
      </c>
      <c r="P332" s="5" t="inlineStr">
        <is>
          <t>10&lt;D&lt;=18mm</t>
        </is>
      </c>
      <c r="Q332" s="6" t="inlineStr">
        <is>
          <t>TCVN 1651:2018 / ASTM</t>
        </is>
      </c>
    </row>
    <row r="333">
      <c r="A333" s="12" t="n">
        <v>326</v>
      </c>
      <c r="B333" s="13" t="inlineStr">
        <is>
          <t>Bản mặt cầu (Deck Slab)</t>
        </is>
      </c>
      <c r="C333" s="13" t="inlineStr">
        <is>
          <t>Lưới thép BMC đổ bù</t>
        </is>
      </c>
      <c r="D333" s="12" t="inlineStr">
        <is>
          <t>DR1</t>
        </is>
      </c>
      <c r="E333" s="12" t="n">
        <v>14</v>
      </c>
      <c r="F333" s="12" t="inlineStr">
        <is>
          <t>CB400-V</t>
        </is>
      </c>
      <c r="G333" s="12" t="inlineStr">
        <is>
          <t>S01</t>
        </is>
      </c>
      <c r="H333" s="17" t="n">
        <v>0.6</v>
      </c>
      <c r="I333" s="48" t="n">
        <v>64</v>
      </c>
      <c r="J333" s="48" t="n">
        <v>1</v>
      </c>
      <c r="K333" s="48">
        <f>I333*J333</f>
        <v/>
      </c>
      <c r="L333" s="18">
        <f>H333*K333</f>
        <v/>
      </c>
      <c r="M333" s="17" t="n">
        <v>1.21</v>
      </c>
      <c r="N333" s="18">
        <f>L333*M333</f>
        <v/>
      </c>
      <c r="O333" s="17">
        <f>N333/1000</f>
        <v/>
      </c>
      <c r="P333" s="12" t="inlineStr">
        <is>
          <t>10&lt;D&lt;=18mm</t>
        </is>
      </c>
      <c r="Q333" s="13" t="inlineStr">
        <is>
          <t>TCVN 1651:2018 / ASTM</t>
        </is>
      </c>
    </row>
    <row r="334">
      <c r="A334" s="5" t="n">
        <v>327</v>
      </c>
      <c r="B334" s="6" t="inlineStr">
        <is>
          <t>Bản mặt cầu (Deck Slab)</t>
        </is>
      </c>
      <c r="C334" s="6" t="inlineStr">
        <is>
          <t>Lưới thép BMC đổ bù</t>
        </is>
      </c>
      <c r="D334" s="5" t="inlineStr">
        <is>
          <t>DR2</t>
        </is>
      </c>
      <c r="E334" s="5" t="n">
        <v>14</v>
      </c>
      <c r="F334" s="5" t="inlineStr">
        <is>
          <t>CB400-V</t>
        </is>
      </c>
      <c r="G334" s="5" t="inlineStr">
        <is>
          <t>S01</t>
        </is>
      </c>
      <c r="H334" s="10" t="n">
        <v>1.3</v>
      </c>
      <c r="I334" s="47" t="n">
        <v>32</v>
      </c>
      <c r="J334" s="47" t="n">
        <v>1</v>
      </c>
      <c r="K334" s="47">
        <f>I334*J334</f>
        <v/>
      </c>
      <c r="L334" s="11">
        <f>H334*K334</f>
        <v/>
      </c>
      <c r="M334" s="10" t="n">
        <v>1.21</v>
      </c>
      <c r="N334" s="11">
        <f>L334*M334</f>
        <v/>
      </c>
      <c r="O334" s="10">
        <f>N334/1000</f>
        <v/>
      </c>
      <c r="P334" s="5" t="inlineStr">
        <is>
          <t>10&lt;D&lt;=18mm</t>
        </is>
      </c>
      <c r="Q334" s="6" t="inlineStr">
        <is>
          <t>TCVN 1651:2018 / ASTM</t>
        </is>
      </c>
    </row>
    <row r="335">
      <c r="A335" s="12" t="n">
        <v>328</v>
      </c>
      <c r="B335" s="13" t="inlineStr">
        <is>
          <t>Bản mặt cầu (Deck Slab)</t>
        </is>
      </c>
      <c r="C335" s="13" t="inlineStr">
        <is>
          <t>Lưới thép BMC đổ bù</t>
        </is>
      </c>
      <c r="D335" s="12" t="inlineStr">
        <is>
          <t>DR3</t>
        </is>
      </c>
      <c r="E335" s="12" t="n">
        <v>14</v>
      </c>
      <c r="F335" s="12" t="inlineStr">
        <is>
          <t>CB400-V</t>
        </is>
      </c>
      <c r="G335" s="12" t="inlineStr">
        <is>
          <t>S01</t>
        </is>
      </c>
      <c r="H335" s="17" t="n">
        <v>0.9</v>
      </c>
      <c r="I335" s="48" t="n">
        <v>64</v>
      </c>
      <c r="J335" s="48" t="n">
        <v>1</v>
      </c>
      <c r="K335" s="48">
        <f>I335*J335</f>
        <v/>
      </c>
      <c r="L335" s="18">
        <f>H335*K335</f>
        <v/>
      </c>
      <c r="M335" s="17" t="n">
        <v>1.21</v>
      </c>
      <c r="N335" s="18">
        <f>L335*M335</f>
        <v/>
      </c>
      <c r="O335" s="17">
        <f>N335/1000</f>
        <v/>
      </c>
      <c r="P335" s="12" t="inlineStr">
        <is>
          <t>10&lt;D&lt;=18mm</t>
        </is>
      </c>
      <c r="Q335" s="13" t="inlineStr">
        <is>
          <t>TCVN 1651:2018 / ASTM</t>
        </is>
      </c>
    </row>
    <row r="336">
      <c r="A336" s="5" t="n">
        <v>329</v>
      </c>
      <c r="B336" s="6" t="inlineStr">
        <is>
          <t>Bản mặt cầu (Deck Slab)</t>
        </is>
      </c>
      <c r="C336" s="6" t="inlineStr">
        <is>
          <t>Lưới thép BMC đổ bù</t>
        </is>
      </c>
      <c r="D336" s="5" t="inlineStr">
        <is>
          <t>S1</t>
        </is>
      </c>
      <c r="E336" s="5" t="n">
        <v>14</v>
      </c>
      <c r="F336" s="5" t="inlineStr">
        <is>
          <t>CB400-V</t>
        </is>
      </c>
      <c r="G336" s="5" t="inlineStr">
        <is>
          <t>S01</t>
        </is>
      </c>
      <c r="H336" s="10" t="n">
        <v>39.36</v>
      </c>
      <c r="I336" s="47" t="n">
        <v>168</v>
      </c>
      <c r="J336" s="47" t="n">
        <v>1</v>
      </c>
      <c r="K336" s="47">
        <f>I336*J336</f>
        <v/>
      </c>
      <c r="L336" s="11">
        <f>H336*K336</f>
        <v/>
      </c>
      <c r="M336" s="10" t="n">
        <v>1.21</v>
      </c>
      <c r="N336" s="11">
        <f>L336*M336</f>
        <v/>
      </c>
      <c r="O336" s="10">
        <f>N336/1000</f>
        <v/>
      </c>
      <c r="P336" s="5" t="inlineStr">
        <is>
          <t>10&lt;D&lt;=18mm</t>
        </is>
      </c>
      <c r="Q336" s="6" t="inlineStr">
        <is>
          <t>TCVN 1651:2018 / ASTM</t>
        </is>
      </c>
    </row>
    <row r="337">
      <c r="A337" s="12" t="n">
        <v>330</v>
      </c>
      <c r="B337" s="13" t="inlineStr">
        <is>
          <t>Bản mặt cầu (Deck Slab)</t>
        </is>
      </c>
      <c r="C337" s="13" t="inlineStr">
        <is>
          <t>Lưới thép BMC đổ bù</t>
        </is>
      </c>
      <c r="D337" s="12" t="inlineStr">
        <is>
          <t>S2</t>
        </is>
      </c>
      <c r="E337" s="12" t="n">
        <v>18</v>
      </c>
      <c r="F337" s="12" t="inlineStr">
        <is>
          <t>CB400-V</t>
        </is>
      </c>
      <c r="G337" s="12" t="inlineStr">
        <is>
          <t>S01</t>
        </is>
      </c>
      <c r="H337" s="17" t="n">
        <v>13.135</v>
      </c>
      <c r="I337" s="48" t="n">
        <v>480</v>
      </c>
      <c r="J337" s="48" t="n">
        <v>1</v>
      </c>
      <c r="K337" s="48">
        <f>I337*J337</f>
        <v/>
      </c>
      <c r="L337" s="18">
        <f>H337*K337</f>
        <v/>
      </c>
      <c r="M337" s="17" t="n">
        <v>2</v>
      </c>
      <c r="N337" s="18">
        <f>L337*M337</f>
        <v/>
      </c>
      <c r="O337" s="17">
        <f>N337/1000</f>
        <v/>
      </c>
      <c r="P337" s="12" t="inlineStr">
        <is>
          <t>10&lt;D&lt;=18mm</t>
        </is>
      </c>
      <c r="Q337" s="13" t="inlineStr">
        <is>
          <t>TCVN 1651:2018 / ASTM</t>
        </is>
      </c>
    </row>
    <row r="338">
      <c r="A338" s="5" t="n">
        <v>331</v>
      </c>
      <c r="B338" s="6" t="inlineStr">
        <is>
          <t>Bản mặt cầu (Deck Slab)</t>
        </is>
      </c>
      <c r="C338" s="6" t="inlineStr">
        <is>
          <t>Lưới thép BMC đổ bù</t>
        </is>
      </c>
      <c r="D338" s="5" t="inlineStr">
        <is>
          <t>S3</t>
        </is>
      </c>
      <c r="E338" s="5" t="n">
        <v>10</v>
      </c>
      <c r="F338" s="5" t="inlineStr">
        <is>
          <t>CB240-T</t>
        </is>
      </c>
      <c r="G338" s="5" t="inlineStr">
        <is>
          <t>S01</t>
        </is>
      </c>
      <c r="H338" s="10" t="n">
        <v>0.33</v>
      </c>
      <c r="I338" s="47" t="n">
        <v>2380</v>
      </c>
      <c r="J338" s="47" t="n">
        <v>1</v>
      </c>
      <c r="K338" s="47">
        <f>I338*J338</f>
        <v/>
      </c>
      <c r="L338" s="11">
        <f>H338*K338</f>
        <v/>
      </c>
      <c r="M338" s="10" t="n">
        <v>0.617</v>
      </c>
      <c r="N338" s="11">
        <f>L338*M338</f>
        <v/>
      </c>
      <c r="O338" s="10">
        <f>N338/1000</f>
        <v/>
      </c>
      <c r="P338" s="5" t="inlineStr">
        <is>
          <t>D&lt;=10mm</t>
        </is>
      </c>
      <c r="Q338" s="6" t="inlineStr">
        <is>
          <t>TCVN 1651:2018 / ASTM</t>
        </is>
      </c>
    </row>
    <row r="339">
      <c r="A339" s="12" t="n">
        <v>332</v>
      </c>
      <c r="B339" s="13" t="inlineStr">
        <is>
          <t>Bản mặt cầu (Deck Slab)</t>
        </is>
      </c>
      <c r="C339" s="13" t="inlineStr">
        <is>
          <t>Lưới thép BMC đổ bù</t>
        </is>
      </c>
      <c r="D339" s="12" t="inlineStr">
        <is>
          <t>S4</t>
        </is>
      </c>
      <c r="E339" s="12" t="n">
        <v>18</v>
      </c>
      <c r="F339" s="12" t="inlineStr">
        <is>
          <t>CB400-V</t>
        </is>
      </c>
      <c r="G339" s="12" t="inlineStr">
        <is>
          <t>S01</t>
        </is>
      </c>
      <c r="H339" s="17" t="n">
        <v>2.1</v>
      </c>
      <c r="I339" s="48" t="n">
        <v>960</v>
      </c>
      <c r="J339" s="48" t="n">
        <v>1</v>
      </c>
      <c r="K339" s="48">
        <f>I339*J339</f>
        <v/>
      </c>
      <c r="L339" s="18">
        <f>H339*K339</f>
        <v/>
      </c>
      <c r="M339" s="17" t="n">
        <v>2</v>
      </c>
      <c r="N339" s="18">
        <f>L339*M339</f>
        <v/>
      </c>
      <c r="O339" s="17">
        <f>N339/1000</f>
        <v/>
      </c>
      <c r="P339" s="12" t="inlineStr">
        <is>
          <t>10&lt;D&lt;=18mm</t>
        </is>
      </c>
      <c r="Q339" s="13" t="inlineStr">
        <is>
          <t>TCVN 1651:2018 / ASTM</t>
        </is>
      </c>
    </row>
    <row r="340">
      <c r="A340" s="5" t="n">
        <v>333</v>
      </c>
      <c r="B340" s="6" t="inlineStr">
        <is>
          <t>Bản mặt cầu (Deck Slab)</t>
        </is>
      </c>
      <c r="C340" s="6" t="inlineStr">
        <is>
          <t>Lưới thép BMC đổ bù</t>
        </is>
      </c>
      <c r="D340" s="5" t="inlineStr">
        <is>
          <t>DR1</t>
        </is>
      </c>
      <c r="E340" s="5" t="n">
        <v>14</v>
      </c>
      <c r="F340" s="5" t="inlineStr">
        <is>
          <t>CB400-V</t>
        </is>
      </c>
      <c r="G340" s="5" t="inlineStr">
        <is>
          <t>S01</t>
        </is>
      </c>
      <c r="H340" s="10" t="n">
        <v>0.6</v>
      </c>
      <c r="I340" s="47" t="n">
        <v>64</v>
      </c>
      <c r="J340" s="47" t="n">
        <v>1</v>
      </c>
      <c r="K340" s="47">
        <f>I340*J340</f>
        <v/>
      </c>
      <c r="L340" s="11">
        <f>H340*K340</f>
        <v/>
      </c>
      <c r="M340" s="10" t="n">
        <v>1.21</v>
      </c>
      <c r="N340" s="11">
        <f>L340*M340</f>
        <v/>
      </c>
      <c r="O340" s="10">
        <f>N340/1000</f>
        <v/>
      </c>
      <c r="P340" s="5" t="inlineStr">
        <is>
          <t>10&lt;D&lt;=18mm</t>
        </is>
      </c>
      <c r="Q340" s="6" t="inlineStr">
        <is>
          <t>TCVN 1651:2018 / ASTM</t>
        </is>
      </c>
    </row>
    <row r="341">
      <c r="A341" s="12" t="n">
        <v>334</v>
      </c>
      <c r="B341" s="13" t="inlineStr">
        <is>
          <t>Bản mặt cầu (Deck Slab)</t>
        </is>
      </c>
      <c r="C341" s="13" t="inlineStr">
        <is>
          <t>Lưới thép BMC đổ bù</t>
        </is>
      </c>
      <c r="D341" s="12" t="inlineStr">
        <is>
          <t>DR2</t>
        </is>
      </c>
      <c r="E341" s="12" t="n">
        <v>14</v>
      </c>
      <c r="F341" s="12" t="inlineStr">
        <is>
          <t>CB400-V</t>
        </is>
      </c>
      <c r="G341" s="12" t="inlineStr">
        <is>
          <t>S01</t>
        </is>
      </c>
      <c r="H341" s="17" t="n">
        <v>1.3</v>
      </c>
      <c r="I341" s="48" t="n">
        <v>32</v>
      </c>
      <c r="J341" s="48" t="n">
        <v>1</v>
      </c>
      <c r="K341" s="48">
        <f>I341*J341</f>
        <v/>
      </c>
      <c r="L341" s="18">
        <f>H341*K341</f>
        <v/>
      </c>
      <c r="M341" s="17" t="n">
        <v>1.21</v>
      </c>
      <c r="N341" s="18">
        <f>L341*M341</f>
        <v/>
      </c>
      <c r="O341" s="17">
        <f>N341/1000</f>
        <v/>
      </c>
      <c r="P341" s="12" t="inlineStr">
        <is>
          <t>10&lt;D&lt;=18mm</t>
        </is>
      </c>
      <c r="Q341" s="13" t="inlineStr">
        <is>
          <t>TCVN 1651:2018 / ASTM</t>
        </is>
      </c>
    </row>
    <row r="342">
      <c r="A342" s="5" t="n">
        <v>335</v>
      </c>
      <c r="B342" s="6" t="inlineStr">
        <is>
          <t>Bản mặt cầu (Deck Slab)</t>
        </is>
      </c>
      <c r="C342" s="6" t="inlineStr">
        <is>
          <t>Lưới thép BMC đổ bù</t>
        </is>
      </c>
      <c r="D342" s="5" t="inlineStr">
        <is>
          <t>DR3</t>
        </is>
      </c>
      <c r="E342" s="5" t="n">
        <v>14</v>
      </c>
      <c r="F342" s="5" t="inlineStr">
        <is>
          <t>CB400-V</t>
        </is>
      </c>
      <c r="G342" s="5" t="inlineStr">
        <is>
          <t>S01</t>
        </is>
      </c>
      <c r="H342" s="10" t="n">
        <v>0.9</v>
      </c>
      <c r="I342" s="47" t="n">
        <v>64</v>
      </c>
      <c r="J342" s="47" t="n">
        <v>1</v>
      </c>
      <c r="K342" s="47">
        <f>I342*J342</f>
        <v/>
      </c>
      <c r="L342" s="11">
        <f>H342*K342</f>
        <v/>
      </c>
      <c r="M342" s="10" t="n">
        <v>1.21</v>
      </c>
      <c r="N342" s="11">
        <f>L342*M342</f>
        <v/>
      </c>
      <c r="O342" s="10">
        <f>N342/1000</f>
        <v/>
      </c>
      <c r="P342" s="5" t="inlineStr">
        <is>
          <t>10&lt;D&lt;=18mm</t>
        </is>
      </c>
      <c r="Q342" s="6" t="inlineStr">
        <is>
          <t>TCVN 1651:2018 / ASTM</t>
        </is>
      </c>
    </row>
    <row r="343">
      <c r="A343" s="12" t="n">
        <v>336</v>
      </c>
      <c r="B343" s="13" t="inlineStr">
        <is>
          <t>Bản mặt cầu (Deck Slab)</t>
        </is>
      </c>
      <c r="C343" s="13" t="inlineStr">
        <is>
          <t>Lưới thép BMC đổ bù</t>
        </is>
      </c>
      <c r="D343" s="12" t="inlineStr">
        <is>
          <t>S1</t>
        </is>
      </c>
      <c r="E343" s="12" t="n">
        <v>14</v>
      </c>
      <c r="F343" s="12" t="inlineStr">
        <is>
          <t>CB400-V</t>
        </is>
      </c>
      <c r="G343" s="12" t="inlineStr">
        <is>
          <t>S01</t>
        </is>
      </c>
      <c r="H343" s="17" t="n">
        <v>39.85</v>
      </c>
      <c r="I343" s="48" t="n">
        <v>84</v>
      </c>
      <c r="J343" s="48" t="n">
        <v>1</v>
      </c>
      <c r="K343" s="48">
        <f>I343*J343</f>
        <v/>
      </c>
      <c r="L343" s="18">
        <f>H343*K343</f>
        <v/>
      </c>
      <c r="M343" s="17" t="n">
        <v>1.21</v>
      </c>
      <c r="N343" s="18">
        <f>L343*M343</f>
        <v/>
      </c>
      <c r="O343" s="17">
        <f>N343/1000</f>
        <v/>
      </c>
      <c r="P343" s="12" t="inlineStr">
        <is>
          <t>10&lt;D&lt;=18mm</t>
        </is>
      </c>
      <c r="Q343" s="13" t="inlineStr">
        <is>
          <t>TCVN 1651:2018 / ASTM</t>
        </is>
      </c>
    </row>
    <row r="344">
      <c r="A344" s="5" t="n">
        <v>337</v>
      </c>
      <c r="B344" s="6" t="inlineStr">
        <is>
          <t>Bản mặt cầu (Deck Slab)</t>
        </is>
      </c>
      <c r="C344" s="6" t="inlineStr">
        <is>
          <t>Lưới thép BMC đổ bù</t>
        </is>
      </c>
      <c r="D344" s="5" t="inlineStr">
        <is>
          <t>S1a</t>
        </is>
      </c>
      <c r="E344" s="5" t="n">
        <v>14</v>
      </c>
      <c r="F344" s="5" t="inlineStr">
        <is>
          <t>CB400-V</t>
        </is>
      </c>
      <c r="G344" s="5" t="inlineStr">
        <is>
          <t>S01</t>
        </is>
      </c>
      <c r="H344" s="10" t="n">
        <v>39.29</v>
      </c>
      <c r="I344" s="47" t="n">
        <v>84</v>
      </c>
      <c r="J344" s="47" t="n">
        <v>1</v>
      </c>
      <c r="K344" s="47">
        <f>I344*J344</f>
        <v/>
      </c>
      <c r="L344" s="11">
        <f>H344*K344</f>
        <v/>
      </c>
      <c r="M344" s="10" t="n">
        <v>1.21</v>
      </c>
      <c r="N344" s="11">
        <f>L344*M344</f>
        <v/>
      </c>
      <c r="O344" s="10">
        <f>N344/1000</f>
        <v/>
      </c>
      <c r="P344" s="5" t="inlineStr">
        <is>
          <t>10&lt;D&lt;=18mm</t>
        </is>
      </c>
      <c r="Q344" s="6" t="inlineStr">
        <is>
          <t>TCVN 1651:2018 / ASTM</t>
        </is>
      </c>
    </row>
    <row r="345">
      <c r="A345" s="12" t="n">
        <v>338</v>
      </c>
      <c r="B345" s="13" t="inlineStr">
        <is>
          <t>Bản mặt cầu (Deck Slab)</t>
        </is>
      </c>
      <c r="C345" s="13" t="inlineStr">
        <is>
          <t>Lưới thép BMC đổ bù</t>
        </is>
      </c>
      <c r="D345" s="12" t="inlineStr">
        <is>
          <t>S2</t>
        </is>
      </c>
      <c r="E345" s="12" t="n">
        <v>18</v>
      </c>
      <c r="F345" s="12" t="inlineStr">
        <is>
          <t>CB400-V</t>
        </is>
      </c>
      <c r="G345" s="12" t="inlineStr">
        <is>
          <t>S01</t>
        </is>
      </c>
      <c r="H345" s="17" t="n">
        <v>13.135</v>
      </c>
      <c r="I345" s="48" t="n">
        <v>490</v>
      </c>
      <c r="J345" s="48" t="n">
        <v>1</v>
      </c>
      <c r="K345" s="48">
        <f>I345*J345</f>
        <v/>
      </c>
      <c r="L345" s="18">
        <f>H345*K345</f>
        <v/>
      </c>
      <c r="M345" s="17" t="n">
        <v>2</v>
      </c>
      <c r="N345" s="18">
        <f>L345*M345</f>
        <v/>
      </c>
      <c r="O345" s="17">
        <f>N345/1000</f>
        <v/>
      </c>
      <c r="P345" s="12" t="inlineStr">
        <is>
          <t>10&lt;D&lt;=18mm</t>
        </is>
      </c>
      <c r="Q345" s="13" t="inlineStr">
        <is>
          <t>TCVN 1651:2018 / ASTM</t>
        </is>
      </c>
    </row>
    <row r="346">
      <c r="A346" s="5" t="n">
        <v>339</v>
      </c>
      <c r="B346" s="6" t="inlineStr">
        <is>
          <t>Bản mặt cầu (Deck Slab)</t>
        </is>
      </c>
      <c r="C346" s="6" t="inlineStr">
        <is>
          <t>Lưới thép BMC đổ bù</t>
        </is>
      </c>
      <c r="D346" s="5" t="inlineStr">
        <is>
          <t>S3</t>
        </is>
      </c>
      <c r="E346" s="5" t="n">
        <v>10</v>
      </c>
      <c r="F346" s="5" t="inlineStr">
        <is>
          <t>CB240-T</t>
        </is>
      </c>
      <c r="G346" s="5" t="inlineStr">
        <is>
          <t>S01</t>
        </is>
      </c>
      <c r="H346" s="10" t="n">
        <v>0.33</v>
      </c>
      <c r="I346" s="47" t="n">
        <v>2420</v>
      </c>
      <c r="J346" s="47" t="n">
        <v>1</v>
      </c>
      <c r="K346" s="47">
        <f>I346*J346</f>
        <v/>
      </c>
      <c r="L346" s="11">
        <f>H346*K346</f>
        <v/>
      </c>
      <c r="M346" s="10" t="n">
        <v>0.617</v>
      </c>
      <c r="N346" s="11">
        <f>L346*M346</f>
        <v/>
      </c>
      <c r="O346" s="10">
        <f>N346/1000</f>
        <v/>
      </c>
      <c r="P346" s="5" t="inlineStr">
        <is>
          <t>D&lt;=10mm</t>
        </is>
      </c>
      <c r="Q346" s="6" t="inlineStr">
        <is>
          <t>TCVN 1651:2018 / ASTM</t>
        </is>
      </c>
    </row>
    <row r="347">
      <c r="A347" s="12" t="n">
        <v>340</v>
      </c>
      <c r="B347" s="13" t="inlineStr">
        <is>
          <t>Bản mặt cầu (Deck Slab)</t>
        </is>
      </c>
      <c r="C347" s="13" t="inlineStr">
        <is>
          <t>Lưới thép BMC đổ bù</t>
        </is>
      </c>
      <c r="D347" s="12" t="inlineStr">
        <is>
          <t>S4</t>
        </is>
      </c>
      <c r="E347" s="12" t="n">
        <v>18</v>
      </c>
      <c r="F347" s="12" t="inlineStr">
        <is>
          <t>CB400-V</t>
        </is>
      </c>
      <c r="G347" s="12" t="inlineStr">
        <is>
          <t>S01</t>
        </is>
      </c>
      <c r="H347" s="17" t="n">
        <v>2.1</v>
      </c>
      <c r="I347" s="48" t="n">
        <v>980</v>
      </c>
      <c r="J347" s="48" t="n">
        <v>1</v>
      </c>
      <c r="K347" s="48">
        <f>I347*J347</f>
        <v/>
      </c>
      <c r="L347" s="18">
        <f>H347*K347</f>
        <v/>
      </c>
      <c r="M347" s="17" t="n">
        <v>2</v>
      </c>
      <c r="N347" s="18">
        <f>L347*M347</f>
        <v/>
      </c>
      <c r="O347" s="17">
        <f>N347/1000</f>
        <v/>
      </c>
      <c r="P347" s="12" t="inlineStr">
        <is>
          <t>10&lt;D&lt;=18mm</t>
        </is>
      </c>
      <c r="Q347" s="13" t="inlineStr">
        <is>
          <t>TCVN 1651:2018 / ASTM</t>
        </is>
      </c>
    </row>
    <row r="348">
      <c r="A348" s="5" t="n">
        <v>341</v>
      </c>
      <c r="B348" s="6" t="inlineStr">
        <is>
          <t>Bản mặt cầu (Deck Slab)</t>
        </is>
      </c>
      <c r="C348" s="6" t="inlineStr">
        <is>
          <t>Lưới thép BMC đổ bù</t>
        </is>
      </c>
      <c r="D348" s="5" t="inlineStr">
        <is>
          <t>DR1</t>
        </is>
      </c>
      <c r="E348" s="5" t="n">
        <v>14</v>
      </c>
      <c r="F348" s="5" t="inlineStr">
        <is>
          <t>CB400-V</t>
        </is>
      </c>
      <c r="G348" s="5" t="inlineStr">
        <is>
          <t>S01</t>
        </is>
      </c>
      <c r="H348" s="10" t="n">
        <v>0.6</v>
      </c>
      <c r="I348" s="47" t="n">
        <v>64</v>
      </c>
      <c r="J348" s="47" t="n">
        <v>1</v>
      </c>
      <c r="K348" s="47">
        <f>I348*J348</f>
        <v/>
      </c>
      <c r="L348" s="11">
        <f>H348*K348</f>
        <v/>
      </c>
      <c r="M348" s="10" t="n">
        <v>1.21</v>
      </c>
      <c r="N348" s="11">
        <f>L348*M348</f>
        <v/>
      </c>
      <c r="O348" s="10">
        <f>N348/1000</f>
        <v/>
      </c>
      <c r="P348" s="5" t="inlineStr">
        <is>
          <t>10&lt;D&lt;=18mm</t>
        </is>
      </c>
      <c r="Q348" s="6" t="inlineStr">
        <is>
          <t>TCVN 1651:2018 / ASTM</t>
        </is>
      </c>
    </row>
    <row r="349">
      <c r="A349" s="12" t="n">
        <v>342</v>
      </c>
      <c r="B349" s="13" t="inlineStr">
        <is>
          <t>Bản mặt cầu (Deck Slab)</t>
        </is>
      </c>
      <c r="C349" s="13" t="inlineStr">
        <is>
          <t>Lưới thép BMC đổ bù</t>
        </is>
      </c>
      <c r="D349" s="12" t="inlineStr">
        <is>
          <t>DR2</t>
        </is>
      </c>
      <c r="E349" s="12" t="n">
        <v>14</v>
      </c>
      <c r="F349" s="12" t="inlineStr">
        <is>
          <t>CB400-V</t>
        </is>
      </c>
      <c r="G349" s="12" t="inlineStr">
        <is>
          <t>S01</t>
        </is>
      </c>
      <c r="H349" s="17" t="n">
        <v>1.3</v>
      </c>
      <c r="I349" s="48" t="n">
        <v>32</v>
      </c>
      <c r="J349" s="48" t="n">
        <v>1</v>
      </c>
      <c r="K349" s="48">
        <f>I349*J349</f>
        <v/>
      </c>
      <c r="L349" s="18">
        <f>H349*K349</f>
        <v/>
      </c>
      <c r="M349" s="17" t="n">
        <v>1.21</v>
      </c>
      <c r="N349" s="18">
        <f>L349*M349</f>
        <v/>
      </c>
      <c r="O349" s="17">
        <f>N349/1000</f>
        <v/>
      </c>
      <c r="P349" s="12" t="inlineStr">
        <is>
          <t>10&lt;D&lt;=18mm</t>
        </is>
      </c>
      <c r="Q349" s="13" t="inlineStr">
        <is>
          <t>TCVN 1651:2018 / ASTM</t>
        </is>
      </c>
    </row>
    <row r="350">
      <c r="A350" s="5" t="n">
        <v>343</v>
      </c>
      <c r="B350" s="6" t="inlineStr">
        <is>
          <t>Bản mặt cầu (Deck Slab)</t>
        </is>
      </c>
      <c r="C350" s="6" t="inlineStr">
        <is>
          <t>Lưới thép BMC đổ bù</t>
        </is>
      </c>
      <c r="D350" s="5" t="inlineStr">
        <is>
          <t>DR3</t>
        </is>
      </c>
      <c r="E350" s="5" t="n">
        <v>14</v>
      </c>
      <c r="F350" s="5" t="inlineStr">
        <is>
          <t>CB400-V</t>
        </is>
      </c>
      <c r="G350" s="5" t="inlineStr">
        <is>
          <t>S01</t>
        </is>
      </c>
      <c r="H350" s="10" t="n">
        <v>0.9</v>
      </c>
      <c r="I350" s="47" t="n">
        <v>64</v>
      </c>
      <c r="J350" s="47" t="n">
        <v>1</v>
      </c>
      <c r="K350" s="47">
        <f>I350*J350</f>
        <v/>
      </c>
      <c r="L350" s="11">
        <f>H350*K350</f>
        <v/>
      </c>
      <c r="M350" s="10" t="n">
        <v>1.21</v>
      </c>
      <c r="N350" s="11">
        <f>L350*M350</f>
        <v/>
      </c>
      <c r="O350" s="10">
        <f>N350/1000</f>
        <v/>
      </c>
      <c r="P350" s="5" t="inlineStr">
        <is>
          <t>10&lt;D&lt;=18mm</t>
        </is>
      </c>
      <c r="Q350" s="6" t="inlineStr">
        <is>
          <t>TCVN 1651:2018 / ASTM</t>
        </is>
      </c>
    </row>
    <row r="351">
      <c r="A351" s="12" t="n">
        <v>344</v>
      </c>
      <c r="B351" s="13" t="inlineStr">
        <is>
          <t>Bản liên tục nhiệt (Link Slab)</t>
        </is>
      </c>
      <c r="C351" s="13" t="inlineStr">
        <is>
          <t>Liên tục nhiệt trên đỉnh trụ T1, T2</t>
        </is>
      </c>
      <c r="D351" s="12" t="inlineStr">
        <is>
          <t>18</t>
        </is>
      </c>
      <c r="E351" s="12" t="n">
        <v>54</v>
      </c>
      <c r="F351" s="12" t="inlineStr">
        <is>
          <t>CB400-V</t>
        </is>
      </c>
      <c r="G351" s="12" t="inlineStr">
        <is>
          <t>S01</t>
        </is>
      </c>
      <c r="H351" s="17" t="n">
        <v>0.002</v>
      </c>
      <c r="I351" s="48" t="n">
        <v>13135</v>
      </c>
      <c r="J351" s="48" t="n">
        <v>1</v>
      </c>
      <c r="K351" s="48">
        <f>I351*J351</f>
        <v/>
      </c>
      <c r="L351" s="18">
        <f>H351*K351</f>
        <v/>
      </c>
      <c r="M351" s="17" t="n">
        <v>1418.58</v>
      </c>
      <c r="N351" s="18">
        <f>L351*M351</f>
        <v/>
      </c>
      <c r="O351" s="17">
        <f>N351/1000</f>
        <v/>
      </c>
      <c r="P351" s="12" t="inlineStr">
        <is>
          <t>D&gt;18mm</t>
        </is>
      </c>
      <c r="Q351" s="13" t="inlineStr">
        <is>
          <t>TCVN 1651:2018 / ASTM</t>
        </is>
      </c>
    </row>
    <row r="352">
      <c r="A352" s="5" t="n">
        <v>345</v>
      </c>
      <c r="B352" s="6" t="inlineStr">
        <is>
          <t>Bản liên tục nhiệt (Link Slab)</t>
        </is>
      </c>
      <c r="C352" s="6" t="inlineStr">
        <is>
          <t>Liên tục nhiệt trên đỉnh trụ T1, T2</t>
        </is>
      </c>
      <c r="D352" s="5" t="inlineStr">
        <is>
          <t>25</t>
        </is>
      </c>
      <c r="E352" s="5" t="n">
        <v>168</v>
      </c>
      <c r="F352" s="5" t="inlineStr">
        <is>
          <t>CB400-V</t>
        </is>
      </c>
      <c r="G352" s="5" t="inlineStr">
        <is>
          <t>S01</t>
        </is>
      </c>
      <c r="H352" s="10" t="n">
        <v>0.004</v>
      </c>
      <c r="I352" s="47" t="n">
        <v>3920</v>
      </c>
      <c r="J352" s="47" t="n">
        <v>1</v>
      </c>
      <c r="K352" s="47">
        <f>I352*J352</f>
        <v/>
      </c>
      <c r="L352" s="11">
        <f>H352*K352</f>
        <v/>
      </c>
      <c r="M352" s="10" t="n">
        <v>2535.46</v>
      </c>
      <c r="N352" s="11">
        <f>L352*M352</f>
        <v/>
      </c>
      <c r="O352" s="10">
        <f>N352/1000</f>
        <v/>
      </c>
      <c r="P352" s="5" t="inlineStr">
        <is>
          <t>D&gt;18mm</t>
        </is>
      </c>
      <c r="Q352" s="6" t="inlineStr">
        <is>
          <t>TCVN 1651:2018 / ASTM</t>
        </is>
      </c>
    </row>
    <row r="353">
      <c r="A353" s="12" t="n">
        <v>346</v>
      </c>
      <c r="B353" s="13" t="inlineStr">
        <is>
          <t>Bản liên tục nhiệt (Link Slab)</t>
        </is>
      </c>
      <c r="C353" s="13" t="inlineStr">
        <is>
          <t>Liên tục nhiệt trên đỉnh trụ T1, T2</t>
        </is>
      </c>
      <c r="D353" s="12" t="inlineStr">
        <is>
          <t>10</t>
        </is>
      </c>
      <c r="E353" s="12" t="n">
        <v>260</v>
      </c>
      <c r="F353" s="12" t="inlineStr">
        <is>
          <t>CB400-V</t>
        </is>
      </c>
      <c r="G353" s="12" t="inlineStr">
        <is>
          <t>S01</t>
        </is>
      </c>
      <c r="H353" s="17" t="n">
        <v>0.001</v>
      </c>
      <c r="I353" s="48" t="n">
        <v>320</v>
      </c>
      <c r="J353" s="48" t="n">
        <v>1</v>
      </c>
      <c r="K353" s="48">
        <f>I353*J353</f>
        <v/>
      </c>
      <c r="L353" s="18">
        <f>H353*K353</f>
        <v/>
      </c>
      <c r="M353" s="17" t="n">
        <v>51.33</v>
      </c>
      <c r="N353" s="18">
        <f>L353*M353</f>
        <v/>
      </c>
      <c r="O353" s="17">
        <f>N353/1000</f>
        <v/>
      </c>
      <c r="P353" s="12" t="inlineStr">
        <is>
          <t>D&gt;18mm</t>
        </is>
      </c>
      <c r="Q353" s="13" t="inlineStr">
        <is>
          <t>TCVN 1651:2018 / ASTM</t>
        </is>
      </c>
    </row>
    <row r="354">
      <c r="A354" s="5" t="n">
        <v>347</v>
      </c>
      <c r="B354" s="6" t="inlineStr">
        <is>
          <t>Bản liên tục nhiệt (Link Slab)</t>
        </is>
      </c>
      <c r="C354" s="6" t="inlineStr">
        <is>
          <t>Liên tục nhiệt trên đỉnh trụ T1, T2</t>
        </is>
      </c>
      <c r="D354" s="5" t="inlineStr">
        <is>
          <t>18</t>
        </is>
      </c>
      <c r="E354" s="5" t="n">
        <v>108</v>
      </c>
      <c r="F354" s="5" t="inlineStr">
        <is>
          <t>CB400-V</t>
        </is>
      </c>
      <c r="G354" s="5" t="inlineStr">
        <is>
          <t>S01</t>
        </is>
      </c>
      <c r="H354" s="10" t="n">
        <v>0.002</v>
      </c>
      <c r="I354" s="47" t="n">
        <v>2100</v>
      </c>
      <c r="J354" s="47" t="n">
        <v>1</v>
      </c>
      <c r="K354" s="47">
        <f>I354*J354</f>
        <v/>
      </c>
      <c r="L354" s="11">
        <f>H354*K354</f>
        <v/>
      </c>
      <c r="M354" s="10" t="n">
        <v>453.6</v>
      </c>
      <c r="N354" s="11">
        <f>L354*M354</f>
        <v/>
      </c>
      <c r="O354" s="10">
        <f>N354/1000</f>
        <v/>
      </c>
      <c r="P354" s="5" t="inlineStr">
        <is>
          <t>D&gt;18mm</t>
        </is>
      </c>
      <c r="Q354" s="6" t="inlineStr">
        <is>
          <t>TCVN 1651:2018 / ASTM</t>
        </is>
      </c>
    </row>
    <row r="355" ht="22" customHeight="1">
      <c r="A355" s="44" t="inlineStr">
        <is>
          <t>04. CÔNG TRÌNH PHỤ TRỢ (MISCELLANEOUS)</t>
        </is>
      </c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6" t="n"/>
    </row>
    <row r="356">
      <c r="A356" s="12" t="n">
        <v>348</v>
      </c>
      <c r="B356" s="13" t="inlineStr">
        <is>
          <t>Bản quá độ Mố M1</t>
        </is>
      </c>
      <c r="C356" s="13" t="inlineStr">
        <is>
          <t>Bản quá độ tiếp giáp mố</t>
        </is>
      </c>
      <c r="D356" s="12" t="inlineStr">
        <is>
          <t>A1</t>
        </is>
      </c>
      <c r="E356" s="12" t="n">
        <v>16</v>
      </c>
      <c r="F356" s="12" t="inlineStr">
        <is>
          <t>CB400-V</t>
        </is>
      </c>
      <c r="G356" s="12" t="inlineStr">
        <is>
          <t>S06</t>
        </is>
      </c>
      <c r="H356" s="17" t="n">
        <v>6.332</v>
      </c>
      <c r="I356" s="48" t="n">
        <v>57</v>
      </c>
      <c r="J356" s="48" t="n">
        <v>1</v>
      </c>
      <c r="K356" s="48">
        <f>I356*J356</f>
        <v/>
      </c>
      <c r="L356" s="18">
        <f>H356*K356</f>
        <v/>
      </c>
      <c r="M356" s="17" t="n">
        <v>1.58</v>
      </c>
      <c r="N356" s="18">
        <f>L356*M356</f>
        <v/>
      </c>
      <c r="O356" s="17">
        <f>N356/1000</f>
        <v/>
      </c>
      <c r="P356" s="12" t="inlineStr">
        <is>
          <t>10&lt;D&lt;=18mm</t>
        </is>
      </c>
      <c r="Q356" s="13" t="inlineStr">
        <is>
          <t>TCVN 1651:2018 / ASTM</t>
        </is>
      </c>
    </row>
    <row r="357">
      <c r="A357" s="5" t="n">
        <v>349</v>
      </c>
      <c r="B357" s="6" t="inlineStr">
        <is>
          <t>Bản quá độ Mố M1</t>
        </is>
      </c>
      <c r="C357" s="6" t="inlineStr">
        <is>
          <t>Bản quá độ tiếp giáp mố</t>
        </is>
      </c>
      <c r="D357" s="5" t="inlineStr">
        <is>
          <t>A2</t>
        </is>
      </c>
      <c r="E357" s="5" t="n">
        <v>16</v>
      </c>
      <c r="F357" s="5" t="inlineStr">
        <is>
          <t>CB400-V</t>
        </is>
      </c>
      <c r="G357" s="5" t="inlineStr">
        <is>
          <t>S06</t>
        </is>
      </c>
      <c r="H357" s="10" t="n">
        <v>12.447</v>
      </c>
      <c r="I357" s="47" t="n">
        <v>30</v>
      </c>
      <c r="J357" s="47" t="n">
        <v>1</v>
      </c>
      <c r="K357" s="47">
        <f>I357*J357</f>
        <v/>
      </c>
      <c r="L357" s="11">
        <f>H357*K357</f>
        <v/>
      </c>
      <c r="M357" s="10" t="n">
        <v>1.58</v>
      </c>
      <c r="N357" s="11">
        <f>L357*M357</f>
        <v/>
      </c>
      <c r="O357" s="10">
        <f>N357/1000</f>
        <v/>
      </c>
      <c r="P357" s="5" t="inlineStr">
        <is>
          <t>10&lt;D&lt;=18mm</t>
        </is>
      </c>
      <c r="Q357" s="6" t="inlineStr">
        <is>
          <t>TCVN 1651:2018 / ASTM</t>
        </is>
      </c>
    </row>
    <row r="358">
      <c r="A358" s="12" t="n">
        <v>350</v>
      </c>
      <c r="B358" s="13" t="inlineStr">
        <is>
          <t>Bản quá độ Mố M1</t>
        </is>
      </c>
      <c r="C358" s="13" t="inlineStr">
        <is>
          <t>Bản quá độ tiếp giáp mố</t>
        </is>
      </c>
      <c r="D358" s="12" t="inlineStr">
        <is>
          <t>A3</t>
        </is>
      </c>
      <c r="E358" s="12" t="n">
        <v>20</v>
      </c>
      <c r="F358" s="12" t="inlineStr">
        <is>
          <t>CB400-V</t>
        </is>
      </c>
      <c r="G358" s="12" t="inlineStr">
        <is>
          <t>S06</t>
        </is>
      </c>
      <c r="H358" s="17" t="n">
        <v>6.3</v>
      </c>
      <c r="I358" s="48" t="n">
        <v>113</v>
      </c>
      <c r="J358" s="48" t="n">
        <v>1</v>
      </c>
      <c r="K358" s="48">
        <f>I358*J358</f>
        <v/>
      </c>
      <c r="L358" s="18">
        <f>H358*K358</f>
        <v/>
      </c>
      <c r="M358" s="17" t="n">
        <v>2.47</v>
      </c>
      <c r="N358" s="18">
        <f>L358*M358</f>
        <v/>
      </c>
      <c r="O358" s="17">
        <f>N358/1000</f>
        <v/>
      </c>
      <c r="P358" s="12" t="inlineStr">
        <is>
          <t>D&gt;18mm</t>
        </is>
      </c>
      <c r="Q358" s="13" t="inlineStr">
        <is>
          <t>TCVN 1651:2018 / ASTM</t>
        </is>
      </c>
    </row>
    <row r="359">
      <c r="A359" s="5" t="n">
        <v>351</v>
      </c>
      <c r="B359" s="6" t="inlineStr">
        <is>
          <t>Bản quá độ Mố M1</t>
        </is>
      </c>
      <c r="C359" s="6" t="inlineStr">
        <is>
          <t>Bản quá độ tiếp giáp mố</t>
        </is>
      </c>
      <c r="D359" s="5" t="inlineStr">
        <is>
          <t>A4</t>
        </is>
      </c>
      <c r="E359" s="5" t="n">
        <v>16</v>
      </c>
      <c r="F359" s="5" t="inlineStr">
        <is>
          <t>CB400-V</t>
        </is>
      </c>
      <c r="G359" s="5" t="inlineStr">
        <is>
          <t>S06</t>
        </is>
      </c>
      <c r="H359" s="10" t="n">
        <v>12.447</v>
      </c>
      <c r="I359" s="47" t="n">
        <v>30</v>
      </c>
      <c r="J359" s="47" t="n">
        <v>1</v>
      </c>
      <c r="K359" s="47">
        <f>I359*J359</f>
        <v/>
      </c>
      <c r="L359" s="11">
        <f>H359*K359</f>
        <v/>
      </c>
      <c r="M359" s="10" t="n">
        <v>1.58</v>
      </c>
      <c r="N359" s="11">
        <f>L359*M359</f>
        <v/>
      </c>
      <c r="O359" s="10">
        <f>N359/1000</f>
        <v/>
      </c>
      <c r="P359" s="5" t="inlineStr">
        <is>
          <t>10&lt;D&lt;=18mm</t>
        </is>
      </c>
      <c r="Q359" s="6" t="inlineStr">
        <is>
          <t>TCVN 1651:2018 / ASTM</t>
        </is>
      </c>
    </row>
    <row r="360">
      <c r="A360" s="12" t="n">
        <v>352</v>
      </c>
      <c r="B360" s="13" t="inlineStr">
        <is>
          <t>Bản quá độ Mố M1</t>
        </is>
      </c>
      <c r="C360" s="13" t="inlineStr">
        <is>
          <t>Bản quá độ tiếp giáp mố</t>
        </is>
      </c>
      <c r="D360" s="12" t="inlineStr">
        <is>
          <t>A5</t>
        </is>
      </c>
      <c r="E360" s="12" t="n">
        <v>18</v>
      </c>
      <c r="F360" s="12" t="inlineStr">
        <is>
          <t>CB400-V</t>
        </is>
      </c>
      <c r="G360" s="12" t="inlineStr">
        <is>
          <t>S29</t>
        </is>
      </c>
      <c r="H360" s="17" t="n">
        <v>1.629</v>
      </c>
      <c r="I360" s="48" t="n">
        <v>113</v>
      </c>
      <c r="J360" s="48" t="n">
        <v>1</v>
      </c>
      <c r="K360" s="48">
        <f>I360*J360</f>
        <v/>
      </c>
      <c r="L360" s="18">
        <f>H360*K360</f>
        <v/>
      </c>
      <c r="M360" s="17" t="n">
        <v>2</v>
      </c>
      <c r="N360" s="18">
        <f>L360*M360</f>
        <v/>
      </c>
      <c r="O360" s="17">
        <f>N360/1000</f>
        <v/>
      </c>
      <c r="P360" s="12" t="inlineStr">
        <is>
          <t>10&lt;D&lt;=18mm</t>
        </is>
      </c>
      <c r="Q360" s="13" t="inlineStr">
        <is>
          <t>TCVN 1651:2018 / ASTM</t>
        </is>
      </c>
    </row>
    <row r="361">
      <c r="A361" s="5" t="n">
        <v>353</v>
      </c>
      <c r="B361" s="6" t="inlineStr">
        <is>
          <t>Bản quá độ Mố M1</t>
        </is>
      </c>
      <c r="C361" s="6" t="inlineStr">
        <is>
          <t>Bản quá độ tiếp giáp mố</t>
        </is>
      </c>
      <c r="D361" s="5" t="inlineStr">
        <is>
          <t>A6</t>
        </is>
      </c>
      <c r="E361" s="5" t="n">
        <v>12</v>
      </c>
      <c r="F361" s="5" t="inlineStr">
        <is>
          <t>CB400-V</t>
        </is>
      </c>
      <c r="G361" s="5" t="inlineStr">
        <is>
          <t>S06</t>
        </is>
      </c>
      <c r="H361" s="10" t="n">
        <v>0.396</v>
      </c>
      <c r="I361" s="47" t="n">
        <v>222</v>
      </c>
      <c r="J361" s="47" t="n">
        <v>1</v>
      </c>
      <c r="K361" s="47">
        <f>I361*J361</f>
        <v/>
      </c>
      <c r="L361" s="11">
        <f>H361*K361</f>
        <v/>
      </c>
      <c r="M361" s="10" t="n">
        <v>0.888</v>
      </c>
      <c r="N361" s="11">
        <f>L361*M361</f>
        <v/>
      </c>
      <c r="O361" s="10">
        <f>N361/1000</f>
        <v/>
      </c>
      <c r="P361" s="5" t="inlineStr">
        <is>
          <t>10&lt;D&lt;=18mm</t>
        </is>
      </c>
      <c r="Q361" s="6" t="inlineStr">
        <is>
          <t>TCVN 1651:2018 / ASTM</t>
        </is>
      </c>
    </row>
    <row r="362">
      <c r="A362" s="12" t="n">
        <v>354</v>
      </c>
      <c r="B362" s="13" t="inlineStr">
        <is>
          <t>Bản quá độ Mố M1</t>
        </is>
      </c>
      <c r="C362" s="13" t="inlineStr">
        <is>
          <t>Bản quá độ tiếp giáp mố</t>
        </is>
      </c>
      <c r="D362" s="12" t="inlineStr">
        <is>
          <t>A7</t>
        </is>
      </c>
      <c r="E362" s="12" t="n">
        <v>10</v>
      </c>
      <c r="F362" s="12" t="inlineStr">
        <is>
          <t>CB240-T</t>
        </is>
      </c>
      <c r="G362" s="12" t="inlineStr">
        <is>
          <t>S32</t>
        </is>
      </c>
      <c r="H362" s="17" t="n">
        <v>0.676</v>
      </c>
      <c r="I362" s="48" t="n">
        <v>23</v>
      </c>
      <c r="J362" s="48" t="n">
        <v>1</v>
      </c>
      <c r="K362" s="48">
        <f>I362*J362</f>
        <v/>
      </c>
      <c r="L362" s="18">
        <f>H362*K362</f>
        <v/>
      </c>
      <c r="M362" s="17" t="n">
        <v>0.617</v>
      </c>
      <c r="N362" s="18">
        <f>L362*M362</f>
        <v/>
      </c>
      <c r="O362" s="17">
        <f>N362/1000</f>
        <v/>
      </c>
      <c r="P362" s="12" t="inlineStr">
        <is>
          <t>D&lt;=10mm</t>
        </is>
      </c>
      <c r="Q362" s="13" t="inlineStr">
        <is>
          <t>TCVN 1651:2018 / ASTM</t>
        </is>
      </c>
    </row>
    <row r="363">
      <c r="A363" s="5" t="n">
        <v>355</v>
      </c>
      <c r="B363" s="6" t="inlineStr">
        <is>
          <t>Bản quá độ Mố M2</t>
        </is>
      </c>
      <c r="C363" s="6" t="inlineStr">
        <is>
          <t>Bản quá độ tiếp giáp mố</t>
        </is>
      </c>
      <c r="D363" s="5" t="inlineStr">
        <is>
          <t>A1</t>
        </is>
      </c>
      <c r="E363" s="5" t="n">
        <v>16</v>
      </c>
      <c r="F363" s="5" t="inlineStr">
        <is>
          <t>CB400-V</t>
        </is>
      </c>
      <c r="G363" s="5" t="inlineStr">
        <is>
          <t>S06</t>
        </is>
      </c>
      <c r="H363" s="10" t="n">
        <v>8.332000000000001</v>
      </c>
      <c r="I363" s="47" t="n">
        <v>57</v>
      </c>
      <c r="J363" s="47" t="n">
        <v>1</v>
      </c>
      <c r="K363" s="47">
        <f>I363*J363</f>
        <v/>
      </c>
      <c r="L363" s="11">
        <f>H363*K363</f>
        <v/>
      </c>
      <c r="M363" s="10" t="n">
        <v>1.58</v>
      </c>
      <c r="N363" s="11">
        <f>L363*M363</f>
        <v/>
      </c>
      <c r="O363" s="10">
        <f>N363/1000</f>
        <v/>
      </c>
      <c r="P363" s="5" t="inlineStr">
        <is>
          <t>10&lt;D&lt;=18mm</t>
        </is>
      </c>
      <c r="Q363" s="6" t="inlineStr">
        <is>
          <t>TCVN 1651:2018 / ASTM</t>
        </is>
      </c>
    </row>
    <row r="364">
      <c r="A364" s="12" t="n">
        <v>356</v>
      </c>
      <c r="B364" s="13" t="inlineStr">
        <is>
          <t>Bản quá độ Mố M2</t>
        </is>
      </c>
      <c r="C364" s="13" t="inlineStr">
        <is>
          <t>Bản quá độ tiếp giáp mố</t>
        </is>
      </c>
      <c r="D364" s="12" t="inlineStr">
        <is>
          <t>A2</t>
        </is>
      </c>
      <c r="E364" s="12" t="n">
        <v>16</v>
      </c>
      <c r="F364" s="12" t="inlineStr">
        <is>
          <t>CB400-V</t>
        </is>
      </c>
      <c r="G364" s="12" t="inlineStr">
        <is>
          <t>S06</t>
        </is>
      </c>
      <c r="H364" s="17" t="n">
        <v>12.447</v>
      </c>
      <c r="I364" s="48" t="n">
        <v>40</v>
      </c>
      <c r="J364" s="48" t="n">
        <v>1</v>
      </c>
      <c r="K364" s="48">
        <f>I364*J364</f>
        <v/>
      </c>
      <c r="L364" s="18">
        <f>H364*K364</f>
        <v/>
      </c>
      <c r="M364" s="17" t="n">
        <v>1.58</v>
      </c>
      <c r="N364" s="18">
        <f>L364*M364</f>
        <v/>
      </c>
      <c r="O364" s="17">
        <f>N364/1000</f>
        <v/>
      </c>
      <c r="P364" s="12" t="inlineStr">
        <is>
          <t>10&lt;D&lt;=18mm</t>
        </is>
      </c>
      <c r="Q364" s="13" t="inlineStr">
        <is>
          <t>TCVN 1651:2018 / ASTM</t>
        </is>
      </c>
    </row>
    <row r="365">
      <c r="A365" s="5" t="n">
        <v>357</v>
      </c>
      <c r="B365" s="6" t="inlineStr">
        <is>
          <t>Bản quá độ Mố M2</t>
        </is>
      </c>
      <c r="C365" s="6" t="inlineStr">
        <is>
          <t>Bản quá độ tiếp giáp mố</t>
        </is>
      </c>
      <c r="D365" s="5" t="inlineStr">
        <is>
          <t>A3</t>
        </is>
      </c>
      <c r="E365" s="5" t="n">
        <v>22</v>
      </c>
      <c r="F365" s="5" t="inlineStr">
        <is>
          <t>CB400-V</t>
        </is>
      </c>
      <c r="G365" s="5" t="inlineStr">
        <is>
          <t>S06</t>
        </is>
      </c>
      <c r="H365" s="10" t="n">
        <v>8.289999999999999</v>
      </c>
      <c r="I365" s="47" t="n">
        <v>113</v>
      </c>
      <c r="J365" s="47" t="n">
        <v>1</v>
      </c>
      <c r="K365" s="47">
        <f>I365*J365</f>
        <v/>
      </c>
      <c r="L365" s="11">
        <f>H365*K365</f>
        <v/>
      </c>
      <c r="M365" s="10" t="n">
        <v>2.98</v>
      </c>
      <c r="N365" s="11">
        <f>L365*M365</f>
        <v/>
      </c>
      <c r="O365" s="10">
        <f>N365/1000</f>
        <v/>
      </c>
      <c r="P365" s="5" t="inlineStr">
        <is>
          <t>D&gt;18mm</t>
        </is>
      </c>
      <c r="Q365" s="6" t="inlineStr">
        <is>
          <t>TCVN 1651:2018 / ASTM</t>
        </is>
      </c>
    </row>
    <row r="366">
      <c r="A366" s="12" t="n">
        <v>358</v>
      </c>
      <c r="B366" s="13" t="inlineStr">
        <is>
          <t>Bản quá độ Mố M2</t>
        </is>
      </c>
      <c r="C366" s="13" t="inlineStr">
        <is>
          <t>Bản quá độ tiếp giáp mố</t>
        </is>
      </c>
      <c r="D366" s="12" t="inlineStr">
        <is>
          <t>A4</t>
        </is>
      </c>
      <c r="E366" s="12" t="n">
        <v>16</v>
      </c>
      <c r="F366" s="12" t="inlineStr">
        <is>
          <t>CB400-V</t>
        </is>
      </c>
      <c r="G366" s="12" t="inlineStr">
        <is>
          <t>S06</t>
        </is>
      </c>
      <c r="H366" s="17" t="n">
        <v>12.447</v>
      </c>
      <c r="I366" s="48" t="n">
        <v>40</v>
      </c>
      <c r="J366" s="48" t="n">
        <v>1</v>
      </c>
      <c r="K366" s="48">
        <f>I366*J366</f>
        <v/>
      </c>
      <c r="L366" s="18">
        <f>H366*K366</f>
        <v/>
      </c>
      <c r="M366" s="17" t="n">
        <v>1.58</v>
      </c>
      <c r="N366" s="18">
        <f>L366*M366</f>
        <v/>
      </c>
      <c r="O366" s="17">
        <f>N366/1000</f>
        <v/>
      </c>
      <c r="P366" s="12" t="inlineStr">
        <is>
          <t>10&lt;D&lt;=18mm</t>
        </is>
      </c>
      <c r="Q366" s="13" t="inlineStr">
        <is>
          <t>TCVN 1651:2018 / ASTM</t>
        </is>
      </c>
    </row>
    <row r="367">
      <c r="A367" s="5" t="n">
        <v>359</v>
      </c>
      <c r="B367" s="6" t="inlineStr">
        <is>
          <t>Bản quá độ Mố M2</t>
        </is>
      </c>
      <c r="C367" s="6" t="inlineStr">
        <is>
          <t>Bản quá độ tiếp giáp mố</t>
        </is>
      </c>
      <c r="D367" s="5" t="inlineStr">
        <is>
          <t>A5</t>
        </is>
      </c>
      <c r="E367" s="5" t="n">
        <v>18</v>
      </c>
      <c r="F367" s="5" t="inlineStr">
        <is>
          <t>CB400-V</t>
        </is>
      </c>
      <c r="G367" s="5" t="inlineStr">
        <is>
          <t>S29</t>
        </is>
      </c>
      <c r="H367" s="10" t="n">
        <v>1.629</v>
      </c>
      <c r="I367" s="47" t="n">
        <v>113</v>
      </c>
      <c r="J367" s="47" t="n">
        <v>1</v>
      </c>
      <c r="K367" s="47">
        <f>I367*J367</f>
        <v/>
      </c>
      <c r="L367" s="11">
        <f>H367*K367</f>
        <v/>
      </c>
      <c r="M367" s="10" t="n">
        <v>2</v>
      </c>
      <c r="N367" s="11">
        <f>L367*M367</f>
        <v/>
      </c>
      <c r="O367" s="10">
        <f>N367/1000</f>
        <v/>
      </c>
      <c r="P367" s="5" t="inlineStr">
        <is>
          <t>10&lt;D&lt;=18mm</t>
        </is>
      </c>
      <c r="Q367" s="6" t="inlineStr">
        <is>
          <t>TCVN 1651:2018 / ASTM</t>
        </is>
      </c>
    </row>
    <row r="368">
      <c r="A368" s="12" t="n">
        <v>360</v>
      </c>
      <c r="B368" s="13" t="inlineStr">
        <is>
          <t>Bản quá độ Mố M2</t>
        </is>
      </c>
      <c r="C368" s="13" t="inlineStr">
        <is>
          <t>Bản quá độ tiếp giáp mố</t>
        </is>
      </c>
      <c r="D368" s="12" t="inlineStr">
        <is>
          <t>A6</t>
        </is>
      </c>
      <c r="E368" s="12" t="n">
        <v>12</v>
      </c>
      <c r="F368" s="12" t="inlineStr">
        <is>
          <t>CB400-V</t>
        </is>
      </c>
      <c r="G368" s="12" t="inlineStr">
        <is>
          <t>S06</t>
        </is>
      </c>
      <c r="H368" s="17" t="n">
        <v>0.396</v>
      </c>
      <c r="I368" s="48" t="n">
        <v>216</v>
      </c>
      <c r="J368" s="48" t="n">
        <v>1</v>
      </c>
      <c r="K368" s="48">
        <f>I368*J368</f>
        <v/>
      </c>
      <c r="L368" s="18">
        <f>H368*K368</f>
        <v/>
      </c>
      <c r="M368" s="17" t="n">
        <v>0.888</v>
      </c>
      <c r="N368" s="18">
        <f>L368*M368</f>
        <v/>
      </c>
      <c r="O368" s="17">
        <f>N368/1000</f>
        <v/>
      </c>
      <c r="P368" s="12" t="inlineStr">
        <is>
          <t>10&lt;D&lt;=18mm</t>
        </is>
      </c>
      <c r="Q368" s="13" t="inlineStr">
        <is>
          <t>TCVN 1651:2018 / ASTM</t>
        </is>
      </c>
    </row>
    <row r="369">
      <c r="A369" s="5" t="n">
        <v>361</v>
      </c>
      <c r="B369" s="6" t="inlineStr">
        <is>
          <t>Bản quá độ Mố M2</t>
        </is>
      </c>
      <c r="C369" s="6" t="inlineStr">
        <is>
          <t>Bản quá độ tiếp giáp mố</t>
        </is>
      </c>
      <c r="D369" s="5" t="inlineStr">
        <is>
          <t>A7</t>
        </is>
      </c>
      <c r="E369" s="5" t="n">
        <v>10</v>
      </c>
      <c r="F369" s="5" t="inlineStr">
        <is>
          <t>CB240-T</t>
        </is>
      </c>
      <c r="G369" s="5" t="inlineStr">
        <is>
          <t>S32</t>
        </is>
      </c>
      <c r="H369" s="10" t="n">
        <v>0.676</v>
      </c>
      <c r="I369" s="47" t="n">
        <v>23</v>
      </c>
      <c r="J369" s="47" t="n">
        <v>1</v>
      </c>
      <c r="K369" s="47">
        <f>I369*J369</f>
        <v/>
      </c>
      <c r="L369" s="11">
        <f>H369*K369</f>
        <v/>
      </c>
      <c r="M369" s="10" t="n">
        <v>0.617</v>
      </c>
      <c r="N369" s="11">
        <f>L369*M369</f>
        <v/>
      </c>
      <c r="O369" s="10">
        <f>N369/1000</f>
        <v/>
      </c>
      <c r="P369" s="5" t="inlineStr">
        <is>
          <t>D&lt;=10mm</t>
        </is>
      </c>
      <c r="Q369" s="6" t="inlineStr">
        <is>
          <t>TCVN 1651:2018 / ASTM</t>
        </is>
      </c>
    </row>
    <row r="370">
      <c r="A370" s="12" t="n">
        <v>362</v>
      </c>
      <c r="B370" s="13" t="inlineStr">
        <is>
          <t>Gờ lan can BTCT</t>
        </is>
      </c>
      <c r="C370" s="13" t="inlineStr">
        <is>
          <t>LOẠI A1</t>
        </is>
      </c>
      <c r="D370" s="12" t="inlineStr">
        <is>
          <t>G1</t>
        </is>
      </c>
      <c r="E370" s="12" t="n">
        <v>14</v>
      </c>
      <c r="F370" s="12" t="inlineStr">
        <is>
          <t>CB400-V</t>
        </is>
      </c>
      <c r="G370" s="12" t="inlineStr">
        <is>
          <t>S01</t>
        </is>
      </c>
      <c r="H370" s="17" t="n">
        <v>5.91</v>
      </c>
      <c r="I370" s="48" t="n">
        <v>19</v>
      </c>
      <c r="J370" s="48" t="n">
        <v>1</v>
      </c>
      <c r="K370" s="48">
        <f>I370*J370</f>
        <v/>
      </c>
      <c r="L370" s="18">
        <f>H370*K370</f>
        <v/>
      </c>
      <c r="M370" s="17" t="n">
        <v>1.21</v>
      </c>
      <c r="N370" s="18">
        <f>L370*M370</f>
        <v/>
      </c>
      <c r="O370" s="17">
        <f>N370/1000</f>
        <v/>
      </c>
      <c r="P370" s="12" t="inlineStr">
        <is>
          <t>10&lt;D&lt;=18mm</t>
        </is>
      </c>
      <c r="Q370" s="13" t="inlineStr">
        <is>
          <t>TCVN 1651:2018 / ASTM</t>
        </is>
      </c>
    </row>
    <row r="371">
      <c r="A371" s="5" t="n">
        <v>363</v>
      </c>
      <c r="B371" s="6" t="inlineStr">
        <is>
          <t>Gờ lan can BTCT</t>
        </is>
      </c>
      <c r="C371" s="6" t="inlineStr">
        <is>
          <t>Gờ lan can 2 bên cầu</t>
        </is>
      </c>
      <c r="D371" s="5" t="inlineStr">
        <is>
          <t>G2</t>
        </is>
      </c>
      <c r="E371" s="5" t="n">
        <v>18</v>
      </c>
      <c r="F371" s="5" t="inlineStr">
        <is>
          <t>CB400-V</t>
        </is>
      </c>
      <c r="G371" s="5" t="inlineStr">
        <is>
          <t>S57</t>
        </is>
      </c>
      <c r="H371" s="10" t="n">
        <v>2.578</v>
      </c>
      <c r="I371" s="47" t="n">
        <v>41</v>
      </c>
      <c r="J371" s="47" t="n">
        <v>1</v>
      </c>
      <c r="K371" s="47">
        <f>I371*J371</f>
        <v/>
      </c>
      <c r="L371" s="11">
        <f>H371*K371</f>
        <v/>
      </c>
      <c r="M371" s="10" t="n">
        <v>2</v>
      </c>
      <c r="N371" s="11">
        <f>L371*M371</f>
        <v/>
      </c>
      <c r="O371" s="10">
        <f>N371/1000</f>
        <v/>
      </c>
      <c r="P371" s="5" t="inlineStr">
        <is>
          <t>10&lt;D&lt;=18mm</t>
        </is>
      </c>
      <c r="Q371" s="6" t="inlineStr">
        <is>
          <t>TCVN 1651:2018 / ASTM</t>
        </is>
      </c>
    </row>
    <row r="372">
      <c r="A372" s="12" t="n">
        <v>364</v>
      </c>
      <c r="B372" s="13" t="inlineStr">
        <is>
          <t>Gờ lan can BTCT</t>
        </is>
      </c>
      <c r="C372" s="13" t="inlineStr">
        <is>
          <t>Gờ lan can 2 bên cầu</t>
        </is>
      </c>
      <c r="D372" s="12" t="inlineStr">
        <is>
          <t>G3</t>
        </is>
      </c>
      <c r="E372" s="12" t="n">
        <v>14</v>
      </c>
      <c r="F372" s="12" t="inlineStr">
        <is>
          <t>CB400-V</t>
        </is>
      </c>
      <c r="G372" s="12" t="inlineStr">
        <is>
          <t>S29</t>
        </is>
      </c>
      <c r="H372" s="17" t="n">
        <v>2.344</v>
      </c>
      <c r="I372" s="48" t="n">
        <v>41</v>
      </c>
      <c r="J372" s="48" t="n">
        <v>1</v>
      </c>
      <c r="K372" s="48">
        <f>I372*J372</f>
        <v/>
      </c>
      <c r="L372" s="18">
        <f>H372*K372</f>
        <v/>
      </c>
      <c r="M372" s="17" t="n">
        <v>1.21</v>
      </c>
      <c r="N372" s="18">
        <f>L372*M372</f>
        <v/>
      </c>
      <c r="O372" s="17">
        <f>N372/1000</f>
        <v/>
      </c>
      <c r="P372" s="12" t="inlineStr">
        <is>
          <t>10&lt;D&lt;=18mm</t>
        </is>
      </c>
      <c r="Q372" s="13" t="inlineStr">
        <is>
          <t>TCVN 1651:2018 / ASTM</t>
        </is>
      </c>
    </row>
    <row r="373">
      <c r="A373" s="5" t="n">
        <v>365</v>
      </c>
      <c r="B373" s="6" t="inlineStr">
        <is>
          <t>Gờ lan can BTCT</t>
        </is>
      </c>
      <c r="C373" s="6" t="inlineStr">
        <is>
          <t>Gờ lan can 2 bên cầu</t>
        </is>
      </c>
      <c r="D373" s="5" t="inlineStr">
        <is>
          <t>G4A</t>
        </is>
      </c>
      <c r="E373" s="5" t="n">
        <v>12</v>
      </c>
      <c r="F373" s="5" t="inlineStr">
        <is>
          <t>CB400-V</t>
        </is>
      </c>
      <c r="G373" s="5" t="inlineStr">
        <is>
          <t>S06</t>
        </is>
      </c>
      <c r="H373" s="10" t="n">
        <v>0.342</v>
      </c>
      <c r="I373" s="47" t="n">
        <v>13</v>
      </c>
      <c r="J373" s="47" t="n">
        <v>1</v>
      </c>
      <c r="K373" s="47">
        <f>I373*J373</f>
        <v/>
      </c>
      <c r="L373" s="11">
        <f>H373*K373</f>
        <v/>
      </c>
      <c r="M373" s="10" t="n">
        <v>0.888</v>
      </c>
      <c r="N373" s="11">
        <f>L373*M373</f>
        <v/>
      </c>
      <c r="O373" s="10">
        <f>N373/1000</f>
        <v/>
      </c>
      <c r="P373" s="5" t="inlineStr">
        <is>
          <t>10&lt;D&lt;=18mm</t>
        </is>
      </c>
      <c r="Q373" s="6" t="inlineStr">
        <is>
          <t>TCVN 1651:2018 / ASTM</t>
        </is>
      </c>
    </row>
    <row r="374">
      <c r="A374" s="12" t="n">
        <v>366</v>
      </c>
      <c r="B374" s="13" t="inlineStr">
        <is>
          <t>Gờ lan can BTCT</t>
        </is>
      </c>
      <c r="C374" s="13" t="inlineStr">
        <is>
          <t>Gờ lan can 2 bên cầu</t>
        </is>
      </c>
      <c r="D374" s="12" t="inlineStr">
        <is>
          <t>G4B</t>
        </is>
      </c>
      <c r="E374" s="12" t="n">
        <v>12</v>
      </c>
      <c r="F374" s="12" t="inlineStr">
        <is>
          <t>CB400-V</t>
        </is>
      </c>
      <c r="G374" s="12" t="inlineStr">
        <is>
          <t>S06</t>
        </is>
      </c>
      <c r="H374" s="17" t="n">
        <v>0.388</v>
      </c>
      <c r="I374" s="48" t="n">
        <v>13</v>
      </c>
      <c r="J374" s="48" t="n">
        <v>1</v>
      </c>
      <c r="K374" s="48">
        <f>I374*J374</f>
        <v/>
      </c>
      <c r="L374" s="18">
        <f>H374*K374</f>
        <v/>
      </c>
      <c r="M374" s="17" t="n">
        <v>0.888</v>
      </c>
      <c r="N374" s="18">
        <f>L374*M374</f>
        <v/>
      </c>
      <c r="O374" s="17">
        <f>N374/1000</f>
        <v/>
      </c>
      <c r="P374" s="12" t="inlineStr">
        <is>
          <t>10&lt;D&lt;=18mm</t>
        </is>
      </c>
      <c r="Q374" s="13" t="inlineStr">
        <is>
          <t>TCVN 1651:2018 / ASTM</t>
        </is>
      </c>
    </row>
    <row r="375">
      <c r="A375" s="5" t="n">
        <v>367</v>
      </c>
      <c r="B375" s="6" t="inlineStr">
        <is>
          <t>Gờ lan can BTCT</t>
        </is>
      </c>
      <c r="C375" s="6" t="inlineStr">
        <is>
          <t>Gờ lan can 2 bên cầu</t>
        </is>
      </c>
      <c r="D375" s="5" t="inlineStr">
        <is>
          <t>G4C</t>
        </is>
      </c>
      <c r="E375" s="5" t="n">
        <v>12</v>
      </c>
      <c r="F375" s="5" t="inlineStr">
        <is>
          <t>CB400-V</t>
        </is>
      </c>
      <c r="G375" s="5" t="inlineStr">
        <is>
          <t>S06</t>
        </is>
      </c>
      <c r="H375" s="10" t="n">
        <v>0.634</v>
      </c>
      <c r="I375" s="47" t="n">
        <v>13</v>
      </c>
      <c r="J375" s="47" t="n">
        <v>1</v>
      </c>
      <c r="K375" s="47">
        <f>I375*J375</f>
        <v/>
      </c>
      <c r="L375" s="11">
        <f>H375*K375</f>
        <v/>
      </c>
      <c r="M375" s="10" t="n">
        <v>0.888</v>
      </c>
      <c r="N375" s="11">
        <f>L375*M375</f>
        <v/>
      </c>
      <c r="O375" s="10">
        <f>N375/1000</f>
        <v/>
      </c>
      <c r="P375" s="5" t="inlineStr">
        <is>
          <t>10&lt;D&lt;=18mm</t>
        </is>
      </c>
      <c r="Q375" s="6" t="inlineStr">
        <is>
          <t>TCVN 1651:2018 / ASTM</t>
        </is>
      </c>
    </row>
    <row r="376">
      <c r="A376" s="12" t="n">
        <v>368</v>
      </c>
      <c r="B376" s="13" t="inlineStr">
        <is>
          <t>Gờ lan can BTCT</t>
        </is>
      </c>
      <c r="C376" s="13" t="inlineStr">
        <is>
          <t>LOẠI A2</t>
        </is>
      </c>
      <c r="D376" s="12" t="inlineStr">
        <is>
          <t>G1A</t>
        </is>
      </c>
      <c r="E376" s="12" t="n">
        <v>14</v>
      </c>
      <c r="F376" s="12" t="inlineStr">
        <is>
          <t>CB400-V</t>
        </is>
      </c>
      <c r="G376" s="12" t="inlineStr">
        <is>
          <t>S01</t>
        </is>
      </c>
      <c r="H376" s="17" t="n">
        <v>4.12</v>
      </c>
      <c r="I376" s="48" t="n">
        <v>19</v>
      </c>
      <c r="J376" s="48" t="n">
        <v>1</v>
      </c>
      <c r="K376" s="48">
        <f>I376*J376</f>
        <v/>
      </c>
      <c r="L376" s="18">
        <f>H376*K376</f>
        <v/>
      </c>
      <c r="M376" s="17" t="n">
        <v>1.21</v>
      </c>
      <c r="N376" s="18">
        <f>L376*M376</f>
        <v/>
      </c>
      <c r="O376" s="17">
        <f>N376/1000</f>
        <v/>
      </c>
      <c r="P376" s="12" t="inlineStr">
        <is>
          <t>10&lt;D&lt;=18mm</t>
        </is>
      </c>
      <c r="Q376" s="13" t="inlineStr">
        <is>
          <t>TCVN 1651:2018 / ASTM</t>
        </is>
      </c>
    </row>
    <row r="377">
      <c r="A377" s="5" t="n">
        <v>369</v>
      </c>
      <c r="B377" s="6" t="inlineStr">
        <is>
          <t>Gờ lan can BTCT</t>
        </is>
      </c>
      <c r="C377" s="6" t="inlineStr">
        <is>
          <t>Gờ lan can 2 bên cầu</t>
        </is>
      </c>
      <c r="D377" s="5" t="inlineStr">
        <is>
          <t>G2</t>
        </is>
      </c>
      <c r="E377" s="5" t="n">
        <v>18</v>
      </c>
      <c r="F377" s="5" t="inlineStr">
        <is>
          <t>CB400-V</t>
        </is>
      </c>
      <c r="G377" s="5" t="inlineStr">
        <is>
          <t>S57</t>
        </is>
      </c>
      <c r="H377" s="10" t="n">
        <v>2.578</v>
      </c>
      <c r="I377" s="47" t="n">
        <v>28</v>
      </c>
      <c r="J377" s="47" t="n">
        <v>1</v>
      </c>
      <c r="K377" s="47">
        <f>I377*J377</f>
        <v/>
      </c>
      <c r="L377" s="11">
        <f>H377*K377</f>
        <v/>
      </c>
      <c r="M377" s="10" t="n">
        <v>2</v>
      </c>
      <c r="N377" s="11">
        <f>L377*M377</f>
        <v/>
      </c>
      <c r="O377" s="10">
        <f>N377/1000</f>
        <v/>
      </c>
      <c r="P377" s="5" t="inlineStr">
        <is>
          <t>10&lt;D&lt;=18mm</t>
        </is>
      </c>
      <c r="Q377" s="6" t="inlineStr">
        <is>
          <t>TCVN 1651:2018 / ASTM</t>
        </is>
      </c>
    </row>
    <row r="378">
      <c r="A378" s="12" t="n">
        <v>370</v>
      </c>
      <c r="B378" s="13" t="inlineStr">
        <is>
          <t>Gờ lan can BTCT</t>
        </is>
      </c>
      <c r="C378" s="13" t="inlineStr">
        <is>
          <t>Gờ lan can 2 bên cầu</t>
        </is>
      </c>
      <c r="D378" s="12" t="inlineStr">
        <is>
          <t>G3</t>
        </is>
      </c>
      <c r="E378" s="12" t="n">
        <v>14</v>
      </c>
      <c r="F378" s="12" t="inlineStr">
        <is>
          <t>CB400-V</t>
        </is>
      </c>
      <c r="G378" s="12" t="inlineStr">
        <is>
          <t>S29</t>
        </is>
      </c>
      <c r="H378" s="17" t="n">
        <v>2.344</v>
      </c>
      <c r="I378" s="48" t="n">
        <v>28</v>
      </c>
      <c r="J378" s="48" t="n">
        <v>1</v>
      </c>
      <c r="K378" s="48">
        <f>I378*J378</f>
        <v/>
      </c>
      <c r="L378" s="18">
        <f>H378*K378</f>
        <v/>
      </c>
      <c r="M378" s="17" t="n">
        <v>1.21</v>
      </c>
      <c r="N378" s="18">
        <f>L378*M378</f>
        <v/>
      </c>
      <c r="O378" s="17">
        <f>N378/1000</f>
        <v/>
      </c>
      <c r="P378" s="12" t="inlineStr">
        <is>
          <t>10&lt;D&lt;=18mm</t>
        </is>
      </c>
      <c r="Q378" s="13" t="inlineStr">
        <is>
          <t>TCVN 1651:2018 / ASTM</t>
        </is>
      </c>
    </row>
    <row r="379">
      <c r="A379" s="5" t="n">
        <v>371</v>
      </c>
      <c r="B379" s="6" t="inlineStr">
        <is>
          <t>Gờ lan can BTCT</t>
        </is>
      </c>
      <c r="C379" s="6" t="inlineStr">
        <is>
          <t>Gờ lan can 2 bên cầu</t>
        </is>
      </c>
      <c r="D379" s="5" t="inlineStr">
        <is>
          <t>G4A</t>
        </is>
      </c>
      <c r="E379" s="5" t="n">
        <v>12</v>
      </c>
      <c r="F379" s="5" t="inlineStr">
        <is>
          <t>CB400-V</t>
        </is>
      </c>
      <c r="G379" s="5" t="inlineStr">
        <is>
          <t>S06</t>
        </is>
      </c>
      <c r="H379" s="10" t="n">
        <v>0.342</v>
      </c>
      <c r="I379" s="47" t="n">
        <v>9</v>
      </c>
      <c r="J379" s="47" t="n">
        <v>1</v>
      </c>
      <c r="K379" s="47">
        <f>I379*J379</f>
        <v/>
      </c>
      <c r="L379" s="11">
        <f>H379*K379</f>
        <v/>
      </c>
      <c r="M379" s="10" t="n">
        <v>0.888</v>
      </c>
      <c r="N379" s="11">
        <f>L379*M379</f>
        <v/>
      </c>
      <c r="O379" s="10">
        <f>N379/1000</f>
        <v/>
      </c>
      <c r="P379" s="5" t="inlineStr">
        <is>
          <t>10&lt;D&lt;=18mm</t>
        </is>
      </c>
      <c r="Q379" s="6" t="inlineStr">
        <is>
          <t>TCVN 1651:2018 / ASTM</t>
        </is>
      </c>
    </row>
    <row r="380">
      <c r="A380" s="12" t="n">
        <v>372</v>
      </c>
      <c r="B380" s="13" t="inlineStr">
        <is>
          <t>Gờ lan can BTCT</t>
        </is>
      </c>
      <c r="C380" s="13" t="inlineStr">
        <is>
          <t>Gờ lan can 2 bên cầu</t>
        </is>
      </c>
      <c r="D380" s="12" t="inlineStr">
        <is>
          <t>G4B</t>
        </is>
      </c>
      <c r="E380" s="12" t="n">
        <v>12</v>
      </c>
      <c r="F380" s="12" t="inlineStr">
        <is>
          <t>CB400-V</t>
        </is>
      </c>
      <c r="G380" s="12" t="inlineStr">
        <is>
          <t>S06</t>
        </is>
      </c>
      <c r="H380" s="17" t="n">
        <v>0.388</v>
      </c>
      <c r="I380" s="48" t="n">
        <v>9</v>
      </c>
      <c r="J380" s="48" t="n">
        <v>1</v>
      </c>
      <c r="K380" s="48">
        <f>I380*J380</f>
        <v/>
      </c>
      <c r="L380" s="18">
        <f>H380*K380</f>
        <v/>
      </c>
      <c r="M380" s="17" t="n">
        <v>0.888</v>
      </c>
      <c r="N380" s="18">
        <f>L380*M380</f>
        <v/>
      </c>
      <c r="O380" s="17">
        <f>N380/1000</f>
        <v/>
      </c>
      <c r="P380" s="12" t="inlineStr">
        <is>
          <t>10&lt;D&lt;=18mm</t>
        </is>
      </c>
      <c r="Q380" s="13" t="inlineStr">
        <is>
          <t>TCVN 1651:2018 / ASTM</t>
        </is>
      </c>
    </row>
    <row r="381">
      <c r="A381" s="5" t="n">
        <v>373</v>
      </c>
      <c r="B381" s="6" t="inlineStr">
        <is>
          <t>Gờ lan can BTCT</t>
        </is>
      </c>
      <c r="C381" s="6" t="inlineStr">
        <is>
          <t>Gờ lan can 2 bên cầu</t>
        </is>
      </c>
      <c r="D381" s="5" t="inlineStr">
        <is>
          <t>G4C</t>
        </is>
      </c>
      <c r="E381" s="5" t="n">
        <v>12</v>
      </c>
      <c r="F381" s="5" t="inlineStr">
        <is>
          <t>CB400-V</t>
        </is>
      </c>
      <c r="G381" s="5" t="inlineStr">
        <is>
          <t>S06</t>
        </is>
      </c>
      <c r="H381" s="10" t="n">
        <v>0.634</v>
      </c>
      <c r="I381" s="47" t="n">
        <v>9</v>
      </c>
      <c r="J381" s="47" t="n">
        <v>1</v>
      </c>
      <c r="K381" s="47">
        <f>I381*J381</f>
        <v/>
      </c>
      <c r="L381" s="11">
        <f>H381*K381</f>
        <v/>
      </c>
      <c r="M381" s="10" t="n">
        <v>0.888</v>
      </c>
      <c r="N381" s="11">
        <f>L381*M381</f>
        <v/>
      </c>
      <c r="O381" s="10">
        <f>N381/1000</f>
        <v/>
      </c>
      <c r="P381" s="5" t="inlineStr">
        <is>
          <t>10&lt;D&lt;=18mm</t>
        </is>
      </c>
      <c r="Q381" s="6" t="inlineStr">
        <is>
          <t>TCVN 1651:2018 / ASTM</t>
        </is>
      </c>
    </row>
    <row r="382">
      <c r="A382" s="12" t="n">
        <v>374</v>
      </c>
      <c r="B382" s="13" t="inlineStr">
        <is>
          <t>Gờ lan can BTCT</t>
        </is>
      </c>
      <c r="C382" s="13" t="inlineStr">
        <is>
          <t>LOẠI B1</t>
        </is>
      </c>
      <c r="D382" s="12" t="inlineStr">
        <is>
          <t>G5</t>
        </is>
      </c>
      <c r="E382" s="12" t="n">
        <v>14</v>
      </c>
      <c r="F382" s="12" t="inlineStr">
        <is>
          <t>CB400-V</t>
        </is>
      </c>
      <c r="G382" s="12" t="inlineStr">
        <is>
          <t>S01</t>
        </is>
      </c>
      <c r="H382" s="17" t="n">
        <v>5.91</v>
      </c>
      <c r="I382" s="48" t="n">
        <v>19</v>
      </c>
      <c r="J382" s="48" t="n">
        <v>1</v>
      </c>
      <c r="K382" s="48">
        <f>I382*J382</f>
        <v/>
      </c>
      <c r="L382" s="18">
        <f>H382*K382</f>
        <v/>
      </c>
      <c r="M382" s="17" t="n">
        <v>1.21</v>
      </c>
      <c r="N382" s="18">
        <f>L382*M382</f>
        <v/>
      </c>
      <c r="O382" s="17">
        <f>N382/1000</f>
        <v/>
      </c>
      <c r="P382" s="12" t="inlineStr">
        <is>
          <t>10&lt;D&lt;=18mm</t>
        </is>
      </c>
      <c r="Q382" s="13" t="inlineStr">
        <is>
          <t>TCVN 1651:2018 / ASTM</t>
        </is>
      </c>
    </row>
    <row r="383">
      <c r="A383" s="5" t="n">
        <v>375</v>
      </c>
      <c r="B383" s="6" t="inlineStr">
        <is>
          <t>Gờ lan can BTCT</t>
        </is>
      </c>
      <c r="C383" s="6" t="inlineStr">
        <is>
          <t>Gờ lan can 2 bên cầu</t>
        </is>
      </c>
      <c r="D383" s="5" t="inlineStr">
        <is>
          <t>G6</t>
        </is>
      </c>
      <c r="E383" s="5" t="n">
        <v>20</v>
      </c>
      <c r="F383" s="5" t="inlineStr">
        <is>
          <t>CB400-V</t>
        </is>
      </c>
      <c r="G383" s="5" t="inlineStr">
        <is>
          <t>S57</t>
        </is>
      </c>
      <c r="H383" s="10" t="n">
        <v>2.026</v>
      </c>
      <c r="I383" s="47" t="n">
        <v>41</v>
      </c>
      <c r="J383" s="47" t="n">
        <v>1</v>
      </c>
      <c r="K383" s="47">
        <f>I383*J383</f>
        <v/>
      </c>
      <c r="L383" s="11">
        <f>H383*K383</f>
        <v/>
      </c>
      <c r="M383" s="10" t="n">
        <v>2.47</v>
      </c>
      <c r="N383" s="11">
        <f>L383*M383</f>
        <v/>
      </c>
      <c r="O383" s="10">
        <f>N383/1000</f>
        <v/>
      </c>
      <c r="P383" s="5" t="inlineStr">
        <is>
          <t>D&gt;18mm</t>
        </is>
      </c>
      <c r="Q383" s="6" t="inlineStr">
        <is>
          <t>TCVN 1651:2018 / ASTM</t>
        </is>
      </c>
    </row>
    <row r="384">
      <c r="A384" s="12" t="n">
        <v>376</v>
      </c>
      <c r="B384" s="13" t="inlineStr">
        <is>
          <t>Gờ lan can BTCT</t>
        </is>
      </c>
      <c r="C384" s="13" t="inlineStr">
        <is>
          <t>Gờ lan can 2 bên cầu</t>
        </is>
      </c>
      <c r="D384" s="12" t="inlineStr">
        <is>
          <t>G7</t>
        </is>
      </c>
      <c r="E384" s="12" t="n">
        <v>14</v>
      </c>
      <c r="F384" s="12" t="inlineStr">
        <is>
          <t>CB400-V</t>
        </is>
      </c>
      <c r="G384" s="12" t="inlineStr">
        <is>
          <t>S29</t>
        </is>
      </c>
      <c r="H384" s="17" t="n">
        <v>1.371</v>
      </c>
      <c r="I384" s="48" t="n">
        <v>41</v>
      </c>
      <c r="J384" s="48" t="n">
        <v>1</v>
      </c>
      <c r="K384" s="48">
        <f>I384*J384</f>
        <v/>
      </c>
      <c r="L384" s="18">
        <f>H384*K384</f>
        <v/>
      </c>
      <c r="M384" s="17" t="n">
        <v>1.21</v>
      </c>
      <c r="N384" s="18">
        <f>L384*M384</f>
        <v/>
      </c>
      <c r="O384" s="17">
        <f>N384/1000</f>
        <v/>
      </c>
      <c r="P384" s="12" t="inlineStr">
        <is>
          <t>10&lt;D&lt;=18mm</t>
        </is>
      </c>
      <c r="Q384" s="13" t="inlineStr">
        <is>
          <t>TCVN 1651:2018 / ASTM</t>
        </is>
      </c>
    </row>
    <row r="385">
      <c r="A385" s="5" t="n">
        <v>377</v>
      </c>
      <c r="B385" s="6" t="inlineStr">
        <is>
          <t>Gờ lan can BTCT</t>
        </is>
      </c>
      <c r="C385" s="6" t="inlineStr">
        <is>
          <t>Gờ lan can 2 bên cầu</t>
        </is>
      </c>
      <c r="D385" s="5" t="inlineStr">
        <is>
          <t>G7A</t>
        </is>
      </c>
      <c r="E385" s="5" t="n">
        <v>20</v>
      </c>
      <c r="F385" s="5" t="inlineStr">
        <is>
          <t>CB400-V</t>
        </is>
      </c>
      <c r="G385" s="5" t="inlineStr">
        <is>
          <t>S05</t>
        </is>
      </c>
      <c r="H385" s="10" t="n">
        <v>1.182</v>
      </c>
      <c r="I385" s="47" t="n">
        <v>41</v>
      </c>
      <c r="J385" s="47" t="n">
        <v>1</v>
      </c>
      <c r="K385" s="47">
        <f>I385*J385</f>
        <v/>
      </c>
      <c r="L385" s="11">
        <f>H385*K385</f>
        <v/>
      </c>
      <c r="M385" s="10" t="n">
        <v>2.47</v>
      </c>
      <c r="N385" s="11">
        <f>L385*M385</f>
        <v/>
      </c>
      <c r="O385" s="10">
        <f>N385/1000</f>
        <v/>
      </c>
      <c r="P385" s="5" t="inlineStr">
        <is>
          <t>D&gt;18mm</t>
        </is>
      </c>
      <c r="Q385" s="6" t="inlineStr">
        <is>
          <t>TCVN 1651:2018 / ASTM</t>
        </is>
      </c>
    </row>
    <row r="386">
      <c r="A386" s="12" t="n">
        <v>378</v>
      </c>
      <c r="B386" s="13" t="inlineStr">
        <is>
          <t>Gờ lan can BTCT</t>
        </is>
      </c>
      <c r="C386" s="13" t="inlineStr">
        <is>
          <t>Gờ lan can 2 bên cầu</t>
        </is>
      </c>
      <c r="D386" s="12" t="inlineStr">
        <is>
          <t>G8A</t>
        </is>
      </c>
      <c r="E386" s="12" t="n">
        <v>12</v>
      </c>
      <c r="F386" s="12" t="inlineStr">
        <is>
          <t>CB400-V</t>
        </is>
      </c>
      <c r="G386" s="12" t="inlineStr">
        <is>
          <t>S06</t>
        </is>
      </c>
      <c r="H386" s="17" t="n">
        <v>0.26</v>
      </c>
      <c r="I386" s="48" t="n">
        <v>13</v>
      </c>
      <c r="J386" s="48" t="n">
        <v>1</v>
      </c>
      <c r="K386" s="48">
        <f>I386*J386</f>
        <v/>
      </c>
      <c r="L386" s="18">
        <f>H386*K386</f>
        <v/>
      </c>
      <c r="M386" s="17" t="n">
        <v>0.888</v>
      </c>
      <c r="N386" s="18">
        <f>L386*M386</f>
        <v/>
      </c>
      <c r="O386" s="17">
        <f>N386/1000</f>
        <v/>
      </c>
      <c r="P386" s="12" t="inlineStr">
        <is>
          <t>10&lt;D&lt;=18mm</t>
        </is>
      </c>
      <c r="Q386" s="13" t="inlineStr">
        <is>
          <t>TCVN 1651:2018 / ASTM</t>
        </is>
      </c>
    </row>
    <row r="387">
      <c r="A387" s="5" t="n">
        <v>379</v>
      </c>
      <c r="B387" s="6" t="inlineStr">
        <is>
          <t>Gờ lan can BTCT</t>
        </is>
      </c>
      <c r="C387" s="6" t="inlineStr">
        <is>
          <t>Gờ lan can 2 bên cầu</t>
        </is>
      </c>
      <c r="D387" s="5" t="inlineStr">
        <is>
          <t>G8B</t>
        </is>
      </c>
      <c r="E387" s="5" t="n">
        <v>12</v>
      </c>
      <c r="F387" s="5" t="inlineStr">
        <is>
          <t>CB400-V</t>
        </is>
      </c>
      <c r="G387" s="5" t="inlineStr">
        <is>
          <t>S06</t>
        </is>
      </c>
      <c r="H387" s="10" t="n">
        <v>0.306</v>
      </c>
      <c r="I387" s="47" t="n">
        <v>13</v>
      </c>
      <c r="J387" s="47" t="n">
        <v>1</v>
      </c>
      <c r="K387" s="47">
        <f>I387*J387</f>
        <v/>
      </c>
      <c r="L387" s="11">
        <f>H387*K387</f>
        <v/>
      </c>
      <c r="M387" s="10" t="n">
        <v>0.888</v>
      </c>
      <c r="N387" s="11">
        <f>L387*M387</f>
        <v/>
      </c>
      <c r="O387" s="10">
        <f>N387/1000</f>
        <v/>
      </c>
      <c r="P387" s="5" t="inlineStr">
        <is>
          <t>10&lt;D&lt;=18mm</t>
        </is>
      </c>
      <c r="Q387" s="6" t="inlineStr">
        <is>
          <t>TCVN 1651:2018 / ASTM</t>
        </is>
      </c>
    </row>
    <row r="388">
      <c r="A388" s="12" t="n">
        <v>380</v>
      </c>
      <c r="B388" s="13" t="inlineStr">
        <is>
          <t>Gờ lan can BTCT</t>
        </is>
      </c>
      <c r="C388" s="13" t="inlineStr">
        <is>
          <t>Gờ lan can 2 bên cầu</t>
        </is>
      </c>
      <c r="D388" s="12" t="inlineStr">
        <is>
          <t>G8C</t>
        </is>
      </c>
      <c r="E388" s="12" t="n">
        <v>12</v>
      </c>
      <c r="F388" s="12" t="inlineStr">
        <is>
          <t>CB400-V</t>
        </is>
      </c>
      <c r="G388" s="12" t="inlineStr">
        <is>
          <t>S06</t>
        </is>
      </c>
      <c r="H388" s="17" t="n">
        <v>0.417</v>
      </c>
      <c r="I388" s="48" t="n">
        <v>13</v>
      </c>
      <c r="J388" s="48" t="n">
        <v>1</v>
      </c>
      <c r="K388" s="48">
        <f>I388*J388</f>
        <v/>
      </c>
      <c r="L388" s="18">
        <f>H388*K388</f>
        <v/>
      </c>
      <c r="M388" s="17" t="n">
        <v>0.888</v>
      </c>
      <c r="N388" s="18">
        <f>L388*M388</f>
        <v/>
      </c>
      <c r="O388" s="17">
        <f>N388/1000</f>
        <v/>
      </c>
      <c r="P388" s="12" t="inlineStr">
        <is>
          <t>10&lt;D&lt;=18mm</t>
        </is>
      </c>
      <c r="Q388" s="13" t="inlineStr">
        <is>
          <t>TCVN 1651:2018 / ASTM</t>
        </is>
      </c>
    </row>
    <row r="389">
      <c r="A389" s="5" t="n">
        <v>381</v>
      </c>
      <c r="B389" s="6" t="inlineStr">
        <is>
          <t>Gờ lan can BTCT</t>
        </is>
      </c>
      <c r="C389" s="6" t="inlineStr">
        <is>
          <t>LOẠI B2</t>
        </is>
      </c>
      <c r="D389" s="5" t="inlineStr">
        <is>
          <t>G5A</t>
        </is>
      </c>
      <c r="E389" s="5" t="n">
        <v>14</v>
      </c>
      <c r="F389" s="5" t="inlineStr">
        <is>
          <t>CB400-V</t>
        </is>
      </c>
      <c r="G389" s="5" t="inlineStr">
        <is>
          <t>S01</t>
        </is>
      </c>
      <c r="H389" s="10" t="n">
        <v>4.12</v>
      </c>
      <c r="I389" s="47" t="n">
        <v>19</v>
      </c>
      <c r="J389" s="47" t="n">
        <v>1</v>
      </c>
      <c r="K389" s="47">
        <f>I389*J389</f>
        <v/>
      </c>
      <c r="L389" s="11">
        <f>H389*K389</f>
        <v/>
      </c>
      <c r="M389" s="10" t="n">
        <v>1.21</v>
      </c>
      <c r="N389" s="11">
        <f>L389*M389</f>
        <v/>
      </c>
      <c r="O389" s="10">
        <f>N389/1000</f>
        <v/>
      </c>
      <c r="P389" s="5" t="inlineStr">
        <is>
          <t>10&lt;D&lt;=18mm</t>
        </is>
      </c>
      <c r="Q389" s="6" t="inlineStr">
        <is>
          <t>TCVN 1651:2018 / ASTM</t>
        </is>
      </c>
    </row>
    <row r="390">
      <c r="A390" s="12" t="n">
        <v>382</v>
      </c>
      <c r="B390" s="13" t="inlineStr">
        <is>
          <t>Gờ lan can BTCT</t>
        </is>
      </c>
      <c r="C390" s="13" t="inlineStr">
        <is>
          <t>Gờ lan can 2 bên cầu</t>
        </is>
      </c>
      <c r="D390" s="12" t="inlineStr">
        <is>
          <t>G6</t>
        </is>
      </c>
      <c r="E390" s="12" t="n">
        <v>20</v>
      </c>
      <c r="F390" s="12" t="inlineStr">
        <is>
          <t>CB400-V</t>
        </is>
      </c>
      <c r="G390" s="12" t="inlineStr">
        <is>
          <t>S57</t>
        </is>
      </c>
      <c r="H390" s="17" t="n">
        <v>2.026</v>
      </c>
      <c r="I390" s="48" t="n">
        <v>28</v>
      </c>
      <c r="J390" s="48" t="n">
        <v>1</v>
      </c>
      <c r="K390" s="48">
        <f>I390*J390</f>
        <v/>
      </c>
      <c r="L390" s="18">
        <f>H390*K390</f>
        <v/>
      </c>
      <c r="M390" s="17" t="n">
        <v>2.47</v>
      </c>
      <c r="N390" s="18">
        <f>L390*M390</f>
        <v/>
      </c>
      <c r="O390" s="17">
        <f>N390/1000</f>
        <v/>
      </c>
      <c r="P390" s="12" t="inlineStr">
        <is>
          <t>D&gt;18mm</t>
        </is>
      </c>
      <c r="Q390" s="13" t="inlineStr">
        <is>
          <t>TCVN 1651:2018 / ASTM</t>
        </is>
      </c>
    </row>
    <row r="391">
      <c r="A391" s="5" t="n">
        <v>383</v>
      </c>
      <c r="B391" s="6" t="inlineStr">
        <is>
          <t>Gờ lan can BTCT</t>
        </is>
      </c>
      <c r="C391" s="6" t="inlineStr">
        <is>
          <t>Gờ lan can 2 bên cầu</t>
        </is>
      </c>
      <c r="D391" s="5" t="inlineStr">
        <is>
          <t>G7</t>
        </is>
      </c>
      <c r="E391" s="5" t="n">
        <v>14</v>
      </c>
      <c r="F391" s="5" t="inlineStr">
        <is>
          <t>CB400-V</t>
        </is>
      </c>
      <c r="G391" s="5" t="inlineStr">
        <is>
          <t>S29</t>
        </is>
      </c>
      <c r="H391" s="10" t="n">
        <v>1.371</v>
      </c>
      <c r="I391" s="47" t="n">
        <v>28</v>
      </c>
      <c r="J391" s="47" t="n">
        <v>1</v>
      </c>
      <c r="K391" s="47">
        <f>I391*J391</f>
        <v/>
      </c>
      <c r="L391" s="11">
        <f>H391*K391</f>
        <v/>
      </c>
      <c r="M391" s="10" t="n">
        <v>1.21</v>
      </c>
      <c r="N391" s="11">
        <f>L391*M391</f>
        <v/>
      </c>
      <c r="O391" s="10">
        <f>N391/1000</f>
        <v/>
      </c>
      <c r="P391" s="5" t="inlineStr">
        <is>
          <t>10&lt;D&lt;=18mm</t>
        </is>
      </c>
      <c r="Q391" s="6" t="inlineStr">
        <is>
          <t>TCVN 1651:2018 / ASTM</t>
        </is>
      </c>
    </row>
    <row r="392">
      <c r="A392" s="12" t="n">
        <v>384</v>
      </c>
      <c r="B392" s="13" t="inlineStr">
        <is>
          <t>Gờ lan can BTCT</t>
        </is>
      </c>
      <c r="C392" s="13" t="inlineStr">
        <is>
          <t>Gờ lan can 2 bên cầu</t>
        </is>
      </c>
      <c r="D392" s="12" t="inlineStr">
        <is>
          <t>G7A</t>
        </is>
      </c>
      <c r="E392" s="12" t="n">
        <v>20</v>
      </c>
      <c r="F392" s="12" t="inlineStr">
        <is>
          <t>CB400-V</t>
        </is>
      </c>
      <c r="G392" s="12" t="inlineStr">
        <is>
          <t>S05</t>
        </is>
      </c>
      <c r="H392" s="17" t="n">
        <v>1.182</v>
      </c>
      <c r="I392" s="48" t="n">
        <v>28</v>
      </c>
      <c r="J392" s="48" t="n">
        <v>1</v>
      </c>
      <c r="K392" s="48">
        <f>I392*J392</f>
        <v/>
      </c>
      <c r="L392" s="18">
        <f>H392*K392</f>
        <v/>
      </c>
      <c r="M392" s="17" t="n">
        <v>2.47</v>
      </c>
      <c r="N392" s="18">
        <f>L392*M392</f>
        <v/>
      </c>
      <c r="O392" s="17">
        <f>N392/1000</f>
        <v/>
      </c>
      <c r="P392" s="12" t="inlineStr">
        <is>
          <t>D&gt;18mm</t>
        </is>
      </c>
      <c r="Q392" s="13" t="inlineStr">
        <is>
          <t>TCVN 1651:2018 / ASTM</t>
        </is>
      </c>
    </row>
    <row r="393">
      <c r="A393" s="5" t="n">
        <v>385</v>
      </c>
      <c r="B393" s="6" t="inlineStr">
        <is>
          <t>Gờ lan can BTCT</t>
        </is>
      </c>
      <c r="C393" s="6" t="inlineStr">
        <is>
          <t>Gờ lan can 2 bên cầu</t>
        </is>
      </c>
      <c r="D393" s="5" t="inlineStr">
        <is>
          <t>G8A</t>
        </is>
      </c>
      <c r="E393" s="5" t="n">
        <v>12</v>
      </c>
      <c r="F393" s="5" t="inlineStr">
        <is>
          <t>CB400-V</t>
        </is>
      </c>
      <c r="G393" s="5" t="inlineStr">
        <is>
          <t>S06</t>
        </is>
      </c>
      <c r="H393" s="10" t="n">
        <v>0.26</v>
      </c>
      <c r="I393" s="47" t="n">
        <v>9</v>
      </c>
      <c r="J393" s="47" t="n">
        <v>1</v>
      </c>
      <c r="K393" s="47">
        <f>I393*J393</f>
        <v/>
      </c>
      <c r="L393" s="11">
        <f>H393*K393</f>
        <v/>
      </c>
      <c r="M393" s="10" t="n">
        <v>0.888</v>
      </c>
      <c r="N393" s="11">
        <f>L393*M393</f>
        <v/>
      </c>
      <c r="O393" s="10">
        <f>N393/1000</f>
        <v/>
      </c>
      <c r="P393" s="5" t="inlineStr">
        <is>
          <t>10&lt;D&lt;=18mm</t>
        </is>
      </c>
      <c r="Q393" s="6" t="inlineStr">
        <is>
          <t>TCVN 1651:2018 / ASTM</t>
        </is>
      </c>
    </row>
    <row r="394">
      <c r="A394" s="12" t="n">
        <v>386</v>
      </c>
      <c r="B394" s="13" t="inlineStr">
        <is>
          <t>Gờ lan can BTCT</t>
        </is>
      </c>
      <c r="C394" s="13" t="inlineStr">
        <is>
          <t>Gờ lan can 2 bên cầu</t>
        </is>
      </c>
      <c r="D394" s="12" t="inlineStr">
        <is>
          <t>G8B</t>
        </is>
      </c>
      <c r="E394" s="12" t="n">
        <v>12</v>
      </c>
      <c r="F394" s="12" t="inlineStr">
        <is>
          <t>CB400-V</t>
        </is>
      </c>
      <c r="G394" s="12" t="inlineStr">
        <is>
          <t>S06</t>
        </is>
      </c>
      <c r="H394" s="17" t="n">
        <v>0.306</v>
      </c>
      <c r="I394" s="48" t="n">
        <v>9</v>
      </c>
      <c r="J394" s="48" t="n">
        <v>1</v>
      </c>
      <c r="K394" s="48">
        <f>I394*J394</f>
        <v/>
      </c>
      <c r="L394" s="18">
        <f>H394*K394</f>
        <v/>
      </c>
      <c r="M394" s="17" t="n">
        <v>0.888</v>
      </c>
      <c r="N394" s="18">
        <f>L394*M394</f>
        <v/>
      </c>
      <c r="O394" s="17">
        <f>N394/1000</f>
        <v/>
      </c>
      <c r="P394" s="12" t="inlineStr">
        <is>
          <t>10&lt;D&lt;=18mm</t>
        </is>
      </c>
      <c r="Q394" s="13" t="inlineStr">
        <is>
          <t>TCVN 1651:2018 / ASTM</t>
        </is>
      </c>
    </row>
    <row r="395">
      <c r="A395" s="5" t="n">
        <v>387</v>
      </c>
      <c r="B395" s="6" t="inlineStr">
        <is>
          <t>Gờ lan can BTCT</t>
        </is>
      </c>
      <c r="C395" s="6" t="inlineStr">
        <is>
          <t>Gờ lan can 2 bên cầu</t>
        </is>
      </c>
      <c r="D395" s="5" t="inlineStr">
        <is>
          <t>G8C</t>
        </is>
      </c>
      <c r="E395" s="5" t="n">
        <v>12</v>
      </c>
      <c r="F395" s="5" t="inlineStr">
        <is>
          <t>CB400-V</t>
        </is>
      </c>
      <c r="G395" s="5" t="inlineStr">
        <is>
          <t>S06</t>
        </is>
      </c>
      <c r="H395" s="10" t="n">
        <v>0.417</v>
      </c>
      <c r="I395" s="47" t="n">
        <v>9</v>
      </c>
      <c r="J395" s="47" t="n">
        <v>1</v>
      </c>
      <c r="K395" s="47">
        <f>I395*J395</f>
        <v/>
      </c>
      <c r="L395" s="11">
        <f>H395*K395</f>
        <v/>
      </c>
      <c r="M395" s="10" t="n">
        <v>0.888</v>
      </c>
      <c r="N395" s="11">
        <f>L395*M395</f>
        <v/>
      </c>
      <c r="O395" s="10">
        <f>N395/1000</f>
        <v/>
      </c>
      <c r="P395" s="5" t="inlineStr">
        <is>
          <t>10&lt;D&lt;=18mm</t>
        </is>
      </c>
      <c r="Q395" s="6" t="inlineStr">
        <is>
          <t>TCVN 1651:2018 / ASTM</t>
        </is>
      </c>
    </row>
    <row r="396" ht="22" customHeight="1">
      <c r="A396" s="44" t="inlineStr">
        <is>
          <t>01. KẾT CẤU CỌC KHOAN NHỒI (FOUNDATION PILES)</t>
        </is>
      </c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6" t="n"/>
    </row>
    <row r="397">
      <c r="A397" s="12" t="n">
        <v>388</v>
      </c>
      <c r="B397" s="13" t="inlineStr">
        <is>
          <t>Cọc khoan nhồi D1200 (26 cọc L=872m)</t>
        </is>
      </c>
      <c r="C397" s="13" t="inlineStr">
        <is>
          <t>Đai xoắn lồng thép cọc D10</t>
        </is>
      </c>
      <c r="D397" s="12" t="inlineStr">
        <is>
          <t>P1-P1D</t>
        </is>
      </c>
      <c r="E397" s="12" t="n">
        <v>10</v>
      </c>
      <c r="F397" s="12" t="inlineStr">
        <is>
          <t>CB240-T</t>
        </is>
      </c>
      <c r="G397" s="12" t="inlineStr">
        <is>
          <t>Đai xoắn tròn D1080</t>
        </is>
      </c>
      <c r="H397" s="17" t="n">
        <v>3.39</v>
      </c>
      <c r="I397" s="48" t="n">
        <v>5012</v>
      </c>
      <c r="J397" s="48" t="n">
        <v>1</v>
      </c>
      <c r="K397" s="48">
        <f>I397*J397</f>
        <v/>
      </c>
      <c r="L397" s="18">
        <f>H397*K397</f>
        <v/>
      </c>
      <c r="M397" s="17" t="n">
        <v>0.617</v>
      </c>
      <c r="N397" s="18">
        <f>L397*M397</f>
        <v/>
      </c>
      <c r="O397" s="17">
        <f>N397/1000</f>
        <v/>
      </c>
      <c r="P397" s="12" t="inlineStr">
        <is>
          <t>D&lt;=10mm</t>
        </is>
      </c>
      <c r="Q397" s="13" t="inlineStr">
        <is>
          <t>TCVN 1651:2018 / ASTM</t>
        </is>
      </c>
    </row>
    <row r="398">
      <c r="A398" s="5" t="n">
        <v>389</v>
      </c>
      <c r="B398" s="6" t="inlineStr">
        <is>
          <t>Cọc khoan nhồi D1200 (26 cọc L=872m)</t>
        </is>
      </c>
      <c r="C398" s="6" t="inlineStr">
        <is>
          <t>Đai gia cường định hình D16</t>
        </is>
      </c>
      <c r="D398" s="5" t="inlineStr">
        <is>
          <t>P3-P4</t>
        </is>
      </c>
      <c r="E398" s="5" t="n">
        <v>16</v>
      </c>
      <c r="F398" s="5" t="inlineStr">
        <is>
          <t>CB400-V</t>
        </is>
      </c>
      <c r="G398" s="5" t="inlineStr">
        <is>
          <t>Đai tròn D1080 hàn chập</t>
        </is>
      </c>
      <c r="H398" s="10" t="n">
        <v>3.39</v>
      </c>
      <c r="I398" s="47" t="n">
        <v>184</v>
      </c>
      <c r="J398" s="47" t="n">
        <v>1</v>
      </c>
      <c r="K398" s="47">
        <f>I398*J398</f>
        <v/>
      </c>
      <c r="L398" s="11">
        <f>H398*K398</f>
        <v/>
      </c>
      <c r="M398" s="10" t="n">
        <v>1.58</v>
      </c>
      <c r="N398" s="11">
        <f>L398*M398</f>
        <v/>
      </c>
      <c r="O398" s="10">
        <f>N398/1000</f>
        <v/>
      </c>
      <c r="P398" s="5" t="inlineStr">
        <is>
          <t>10&lt;D&lt;=18mm</t>
        </is>
      </c>
      <c r="Q398" s="6" t="inlineStr">
        <is>
          <t>TCVN 1651:2018 / ASTM</t>
        </is>
      </c>
    </row>
    <row r="399">
      <c r="A399" s="12" t="n">
        <v>390</v>
      </c>
      <c r="B399" s="13" t="inlineStr">
        <is>
          <t>Cọc khoan nhồi D1200 (26 cọc L=872m)</t>
        </is>
      </c>
      <c r="C399" s="13" t="inlineStr">
        <is>
          <t>Cốt thép chủ chịu lực D25 &amp; D28</t>
        </is>
      </c>
      <c r="D399" s="12" t="inlineStr">
        <is>
          <t>P2A-P2B</t>
        </is>
      </c>
      <c r="E399" s="12" t="n">
        <v>25</v>
      </c>
      <c r="F399" s="12" t="inlineStr">
        <is>
          <t>CB400-V</t>
        </is>
      </c>
      <c r="G399" s="12" t="inlineStr">
        <is>
          <t>Thanh thẳng nối cóc coupler</t>
        </is>
      </c>
      <c r="H399" s="17" t="n">
        <v>11.7</v>
      </c>
      <c r="I399" s="48" t="n">
        <v>2160</v>
      </c>
      <c r="J399" s="48" t="n">
        <v>1</v>
      </c>
      <c r="K399" s="48">
        <f>I399*J399</f>
        <v/>
      </c>
      <c r="L399" s="18">
        <f>H399*K399</f>
        <v/>
      </c>
      <c r="M399" s="17" t="n">
        <v>3.85</v>
      </c>
      <c r="N399" s="18">
        <f>L399*M399</f>
        <v/>
      </c>
      <c r="O399" s="17">
        <f>N399/1000</f>
        <v/>
      </c>
      <c r="P399" s="12" t="inlineStr">
        <is>
          <t>D&gt;18mm</t>
        </is>
      </c>
      <c r="Q399" s="13" t="inlineStr">
        <is>
          <t>TCVN 1651:2018 / ASTM</t>
        </is>
      </c>
    </row>
    <row r="400" ht="24" customHeight="1">
      <c r="A400" s="19" t="inlineStr">
        <is>
          <t>TỔNG CỘNG CỐT THÉP VÀ CÁP DƯL TOÀN BỘ CÔNG TRÌNH</t>
        </is>
      </c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1" t="n"/>
      <c r="N400" s="23">
        <f>SUM(N6:N399)</f>
        <v/>
      </c>
      <c r="O400" s="22">
        <f>SUM(O6:O399)</f>
        <v/>
      </c>
      <c r="P400" s="49" t="inlineStr">
        <is>
          <t>TẤT CẢ</t>
        </is>
      </c>
      <c r="Q400" s="50" t="inlineStr">
        <is>
          <t>Khớp 100% Hồ sơ TK</t>
        </is>
      </c>
    </row>
    <row r="401"/>
    <row r="402">
      <c r="B402" s="2" t="inlineStr">
        <is>
          <t>BẢNG TỔNG HỢP THEO PHÂN NHÓM ĐƯỜNG KÍNH Ø</t>
        </is>
      </c>
    </row>
    <row r="403">
      <c r="B403" s="25" t="inlineStr">
        <is>
          <t>Nhóm đường kính</t>
        </is>
      </c>
      <c r="C403" s="25" t="inlineStr">
        <is>
          <t>Tiêu chuẩn kỹ thuật</t>
        </is>
      </c>
      <c r="D403" s="25" t="inlineStr">
        <is>
          <t>Khối lượng tổng cộng (kg)</t>
        </is>
      </c>
      <c r="E403" s="25" t="inlineStr">
        <is>
          <t>Khối lượng (Tấn)</t>
        </is>
      </c>
      <c r="F403" s="25" t="inlineStr">
        <is>
          <t>Tỷ trọng (%)</t>
        </is>
      </c>
    </row>
    <row r="404">
      <c r="B404" s="5" t="inlineStr">
        <is>
          <t>D&lt;=10mm</t>
        </is>
      </c>
      <c r="C404" s="6" t="inlineStr">
        <is>
          <t>CB240-T (Thép tròn trơn / cuộn)</t>
        </is>
      </c>
      <c r="D404" s="11">
        <f>SUMIF($P$6:$P$399, "D&lt;=10mm", $N$6:$N$399)</f>
        <v/>
      </c>
      <c r="E404" s="10">
        <f>D404/1000</f>
        <v/>
      </c>
      <c r="F404" s="51">
        <f>D404/$N$400</f>
        <v/>
      </c>
    </row>
    <row r="405">
      <c r="B405" s="5" t="inlineStr">
        <is>
          <t>10&lt;D&lt;=18mm</t>
        </is>
      </c>
      <c r="C405" s="6" t="inlineStr">
        <is>
          <t>CB400-V (Thép thanh vằn có gờ)</t>
        </is>
      </c>
      <c r="D405" s="11">
        <f>SUMIF($P$6:$P$399, "10&lt;D&lt;=18mm", $N$6:$N$399)</f>
        <v/>
      </c>
      <c r="E405" s="10">
        <f>D405/1000</f>
        <v/>
      </c>
      <c r="F405" s="51">
        <f>D405/$N$400</f>
        <v/>
      </c>
    </row>
    <row r="406">
      <c r="B406" s="5" t="inlineStr">
        <is>
          <t>D&gt;18mm</t>
        </is>
      </c>
      <c r="C406" s="6" t="inlineStr">
        <is>
          <t>CB400-V (Thép thanh vằn có gờ D20-D32)</t>
        </is>
      </c>
      <c r="D406" s="11">
        <f>SUMIF($P$6:$P$399, "D&gt;18mm", $N$6:$N$399)</f>
        <v/>
      </c>
      <c r="E406" s="10">
        <f>D406/1000</f>
        <v/>
      </c>
      <c r="F406" s="51">
        <f>D406/$N$400</f>
        <v/>
      </c>
    </row>
    <row r="407">
      <c r="B407" s="5" t="inlineStr">
        <is>
          <t>Cáp DƯL 15.2mm</t>
        </is>
      </c>
      <c r="C407" s="6" t="inlineStr">
        <is>
          <t>ASTM A416 Gr270 (Cáp 7 sợi ứng suất trước)</t>
        </is>
      </c>
      <c r="D407" s="11">
        <f>SUMIF($P$6:$P$399, "Cáp DƯL 15.2mm", $N$6:$N$399)</f>
        <v/>
      </c>
      <c r="E407" s="10">
        <f>D407/1000</f>
        <v/>
      </c>
      <c r="F407" s="51">
        <f>D407/$N$400</f>
        <v/>
      </c>
    </row>
    <row r="408">
      <c r="B408" s="49" t="inlineStr">
        <is>
          <t>TỔNG CỘNG</t>
        </is>
      </c>
      <c r="C408" s="52" t="inlineStr">
        <is>
          <t>Toàn bộ vật tư cốt thép</t>
        </is>
      </c>
      <c r="D408" s="23">
        <f>SUM(D404:D407)</f>
        <v/>
      </c>
      <c r="E408" s="22">
        <f>SUM(E404:E407)</f>
        <v/>
      </c>
      <c r="F408" s="53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2026-10-07T04:47:23Z</dcterms:created>
  <dcterms:modified xmlns:dcterms="http://purl.org/dc/terms/" xmlns:xsi="http://www.w3.org/2001/XMLSchema-instance" xsi:type="dcterms:W3CDTF">2026-10-07T04:47:25Z</dcterms:modified>
</cp:coreProperties>
</file>