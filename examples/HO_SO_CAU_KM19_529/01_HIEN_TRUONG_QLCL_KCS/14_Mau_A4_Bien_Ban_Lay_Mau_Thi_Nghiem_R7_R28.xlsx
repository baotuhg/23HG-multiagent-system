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BB_LAY_MAU_HIEN_TRUONG" sheetId="1" state="visible" r:id="rId1"/>
    <sheet xmlns:r="http://schemas.openxmlformats.org/officeDocument/2006/relationships" name="CAP_PHOI_1M3_VA_TAN_S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#,##0.000"/>
  </numFmts>
  <fonts count="12">
    <font>
      <name val="Calibri"/>
      <family val="2"/>
      <color theme="1"/>
      <sz val="11"/>
      <scheme val="minor"/>
    </font>
    <font>
      <name val="Times New Roman"/>
      <b val="1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color rgb="00C00000"/>
      <sz val="11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color rgb="001F497D"/>
      <sz val="13"/>
    </font>
    <font>
      <name val="Times New Roman"/>
      <b val="1"/>
      <color rgb="001F497D"/>
      <sz val="11"/>
    </font>
    <font>
      <name val="Times New Roman"/>
      <sz val="9"/>
    </font>
    <font>
      <name val="Times New Roman"/>
      <i val="1"/>
      <color rgb="00595959"/>
      <sz val="10"/>
    </font>
    <font>
      <name val="Times New Roman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244062"/>
        <bgColor rgb="00244062"/>
      </patternFill>
    </fill>
    <fill>
      <patternFill patternType="solid">
        <fgColor rgb="00EBF1F5"/>
        <bgColor rgb="00EBF1F5"/>
      </patternFill>
    </fill>
  </fills>
  <borders count="8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166" fontId="9" fillId="0" borderId="2" applyAlignment="1" pivotButton="0" quotePrefix="0" xfId="0">
      <alignment horizontal="right" vertical="center"/>
    </xf>
    <xf numFmtId="4" fontId="9" fillId="0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/>
    </xf>
    <xf numFmtId="164" fontId="9" fillId="4" borderId="2" applyAlignment="1" pivotButton="0" quotePrefix="0" xfId="0">
      <alignment horizontal="right" vertical="center"/>
    </xf>
    <xf numFmtId="165" fontId="9" fillId="4" borderId="2" applyAlignment="1" pivotButton="0" quotePrefix="0" xfId="0">
      <alignment horizontal="right" vertical="center"/>
    </xf>
    <xf numFmtId="2" fontId="9" fillId="4" borderId="2" applyAlignment="1" pivotButton="0" quotePrefix="0" xfId="0">
      <alignment horizontal="right" vertical="center"/>
    </xf>
    <xf numFmtId="166" fontId="9" fillId="4" borderId="2" applyAlignment="1" pivotButton="0" quotePrefix="0" xfId="0">
      <alignment horizontal="right" vertical="center"/>
    </xf>
    <xf numFmtId="4" fontId="9" fillId="4" borderId="2" applyAlignment="1" pivotButton="0" quotePrefix="0" xfId="0">
      <alignment horizontal="right" vertical="center"/>
    </xf>
    <xf numFmtId="0" fontId="1" fillId="2" borderId="3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6" fontId="1" fillId="2" borderId="3" applyAlignment="1" pivotButton="0" quotePrefix="0" xfId="0">
      <alignment horizontal="right" vertical="center"/>
    </xf>
    <xf numFmtId="4" fontId="1" fillId="2" borderId="3" applyAlignment="1" pivotButton="0" quotePrefix="0" xfId="0">
      <alignment horizontal="right" vertical="center"/>
    </xf>
    <xf numFmtId="0" fontId="3" fillId="2" borderId="3" pivotButton="0" quotePrefix="0" xfId="0"/>
    <xf numFmtId="0" fontId="11" fillId="5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3" fontId="1" fillId="6" borderId="2" applyAlignment="1" pivotButton="0" quotePrefix="0" xfId="0">
      <alignment horizontal="right" vertical="center"/>
    </xf>
    <xf numFmtId="1" fontId="9" fillId="4" borderId="2" applyAlignment="1" pivotButton="0" quotePrefix="0" xfId="0">
      <alignment horizontal="center" vertical="center" wrapText="1"/>
    </xf>
    <xf numFmtId="3" fontId="1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CHỌN MÃ HẠNG MỤC LẤY MẪU (17 - 26):</t>
        </is>
      </c>
      <c r="C2" s="2" t="n">
        <v>22</v>
      </c>
      <c r="D2" s="3" t="inlineStr">
        <is>
          <t>(Nhập mã từ 17 đến 26 tương ứng các hạng mục mẫu nén bê tông để tự động điền form)</t>
        </is>
      </c>
    </row>
    <row r="3">
      <c r="B3" s="1" t="inlineStr">
        <is>
          <t>CHỌN NGÀY ĐÚC MẪU (YYYY-MM-DD):</t>
        </is>
      </c>
      <c r="C3" s="4" t="inlineStr">
        <is>
          <t>2026-11-20</t>
        </is>
      </c>
      <c r="D3" s="3" t="inlineStr">
        <is>
          <t>(Tự động tính ngày nén mẫu R7 = Ngày đúc + 7, R28 = Ngày đúc + 28 theo đúng quy định)</t>
        </is>
      </c>
    </row>
    <row r="4"/>
    <row r="5">
      <c r="B5" s="5" t="inlineStr">
        <is>
          <t>CỘNG HÒA XÃ HỘI CHỦ NGHĨA VIỆT NAM</t>
        </is>
      </c>
    </row>
    <row r="6">
      <c r="B6" s="6" t="inlineStr">
        <is>
          <t>Độc lập - Tự do - Hạnh phúc</t>
        </is>
      </c>
    </row>
    <row r="7"/>
    <row r="8">
      <c r="B8" s="7" t="inlineStr">
        <is>
          <t>BIÊN BẢN LẤY MẪU THÍ NGHIỆM TẠI HIỆN TRƯỜNG</t>
        </is>
      </c>
    </row>
    <row r="9">
      <c r="B9" s="8">
        <f>"Số: " &amp; TEXT(C2, "00") &amp; "/BBLM-HT/KM19+529.080"</f>
        <v/>
      </c>
    </row>
    <row r="10"/>
    <row r="11"/>
    <row r="12">
      <c r="B12" s="1" t="inlineStr">
        <is>
          <t>1. Đối tượng và cấu kiện lấy mẫu:</t>
        </is>
      </c>
      <c r="C12" s="9">
        <f>IFERROR(VLOOKUP(C2, CAP_PHOI_1M3_VA_TAN_SUAT!$A$24:$L$52, 2, FALSE), VLOOKUP(TEXT(C2, "@"), CAP_PHOI_1M3_VA_TAN_SUAT!$A$24:$L$52, 2, FALSE))</f>
        <v/>
      </c>
    </row>
    <row r="13">
      <c r="B13" s="1" t="inlineStr">
        <is>
          <t>2. Thể tích bê tông / Quy mô mẻ đổ:</t>
        </is>
      </c>
      <c r="C13" s="1">
        <f>TEXT(IFERROR(VLOOKUP(C2, CAP_PHOI_1M3_VA_TAN_SUAT!$A$24:$L$52, 7, FALSE), VLOOKUP(TEXT(C2, "@"), CAP_PHOI_1M3_VA_TAN_SUAT!$A$24:$L$52, 7, FALSE)), "#,##0.00") &amp; " " &amp; IFERROR(VLOOKUP(C2, CAP_PHOI_1M3_VA_TAN_SUAT!$A$24:$L$52, 6, FALSE), VLOOKUP(TEXT(C2, "@"), CAP_PHOI_1M3_VA_TAN_SUAT!$A$24:$L$52, 6, FALSE))</f>
        <v/>
      </c>
    </row>
    <row r="14">
      <c r="B14" s="1" t="inlineStr">
        <is>
          <t>3. Quy định số tổ mẫu bắt buộc:</t>
        </is>
      </c>
      <c r="C14" s="1">
        <f>IFERROR(VLOOKUP(C2, CAP_PHOI_1M3_VA_TAN_SUAT!$A$24:$L$52, 9, FALSE), VLOOKUP(TEXT(C2, "@"), CAP_PHOI_1M3_VA_TAN_SUAT!$A$24:$L$52, 9, FALSE)) &amp; " tổ mẫu (" &amp; IFERROR(VLOOKUP(C2, CAP_PHOI_1M3_VA_TAN_SUAT!$A$24:$L$52, 10, FALSE), VLOOKUP(TEXT(C2, "@"), CAP_PHOI_1M3_VA_TAN_SUAT!$A$24:$L$52, 10, FALSE)) &amp; ")"</f>
        <v/>
      </c>
    </row>
    <row r="15">
      <c r="B15" s="1" t="inlineStr">
        <is>
          <t>4. Tiêu chuẩn lấy mẫu &amp; thử nghiệm:</t>
        </is>
      </c>
      <c r="C15" s="10">
        <f>IFERROR(VLOOKUP(C2, CAP_PHOI_1M3_VA_TAN_SUAT!$A$24:$L$52, 3, FALSE), VLOOKUP(TEXT(C2, "@"), CAP_PHOI_1M3_VA_TAN_SUAT!$A$24:$L$52, 3, FALSE))</f>
        <v/>
      </c>
    </row>
    <row r="16">
      <c r="B16" s="1" t="inlineStr">
        <is>
          <t>5. Phương pháp bảo dưỡng mẫu:</t>
        </is>
      </c>
      <c r="C16" s="10" t="inlineStr">
        <is>
          <t>Bảo dưỡng ẩm tiêu chuẩn trong phòng thí nghiệm (TCVN 3105:2022)</t>
        </is>
      </c>
    </row>
    <row r="17">
      <c r="B17" s="1" t="inlineStr">
        <is>
          <t>6. Kế hoạch nén kiểm tra cường độ:</t>
        </is>
      </c>
      <c r="C17" s="1">
        <f>"Nén kiểm tra R7 ngày (" &amp; TEXT(DATEVALUE(C3)+7, "dd/mm/yyyy") &amp; "): Đạt &gt;= 70-80% f'c | Nén R28 ngày (" &amp; TEXT(DATEVALUE(C3)+28, "dd/mm/yyyy") &amp; "): Đạt &gt;= 100% f'c"</f>
        <v/>
      </c>
    </row>
    <row r="18"/>
    <row r="19">
      <c r="B19" s="1" t="inlineStr">
        <is>
          <t>7. Tình trạng mẫu khi bàn giao:</t>
        </is>
      </c>
    </row>
    <row r="20">
      <c r="B20" s="3" t="inlineStr">
        <is>
          <t>Mẫu đúc nguyên vẹn, bề mặt phẳng đều, dán nhãn ghi rõ ngày đúc, vị trí cấu kiện và ký hiệu tổ mẫu.</t>
        </is>
      </c>
    </row>
    <row r="21"/>
    <row r="22"/>
    <row r="23">
      <c r="B23" s="11" t="inlineStr">
        <is>
          <t>CÁN BỘ LẤY MẪU THÍ NGHIỆM (LAS-XD)</t>
        </is>
      </c>
      <c r="E23" s="11" t="inlineStr">
        <is>
          <t>KỸ SƯ GIÁM SÁT CHỨNG KIẾN (TVGS)</t>
        </is>
      </c>
    </row>
    <row r="24"/>
    <row r="25"/>
    <row r="26"/>
    <row r="27"/>
    <row r="28"/>
    <row r="29">
      <c r="B29" s="11" t="inlineStr">
        <is>
          <t>Hoàng Trung Kiên</t>
        </is>
      </c>
      <c r="E29" s="11" t="inlineStr">
        <is>
          <t>Nguyễn Văn Thắng</t>
        </is>
      </c>
    </row>
  </sheetData>
  <mergeCells count="15">
    <mergeCell ref="B20:G20"/>
    <mergeCell ref="C12:G12"/>
    <mergeCell ref="B5:G5"/>
    <mergeCell ref="B23:D23"/>
    <mergeCell ref="C16:G16"/>
    <mergeCell ref="E23:G23"/>
    <mergeCell ref="C15:G15"/>
    <mergeCell ref="B9:G9"/>
    <mergeCell ref="B8:G8"/>
    <mergeCell ref="C14:G14"/>
    <mergeCell ref="B29:D29"/>
    <mergeCell ref="C13:G13"/>
    <mergeCell ref="E29:G29"/>
    <mergeCell ref="C17:G1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36" customWidth="1" min="4" max="4"/>
    <col width="28" customWidth="1" min="5" max="5"/>
    <col width="12" customWidth="1" min="6" max="6"/>
    <col width="22" customWidth="1" min="7" max="7"/>
    <col width="24" customWidth="1" min="8" max="8"/>
    <col width="22" customWidth="1" min="9" max="9"/>
    <col width="25" customWidth="1" min="10" max="10"/>
    <col width="20" customWidth="1" min="11" max="11"/>
    <col width="32" customWidth="1" min="12" max="12"/>
  </cols>
  <sheetData>
    <row r="1"/>
    <row r="2">
      <c r="B2" s="12" t="inlineStr">
        <is>
          <t>DỰ ÁN: CAO TỐC TUYÊN QUANG - HÀ GIANG (GIAI ĐOẠN 1) - CẦU KM19+529.080</t>
        </is>
      </c>
    </row>
    <row r="3">
      <c r="B3" s="9" t="inlineStr">
        <is>
          <t>PHÂN TÍCH ĐỊNH MỨC CẤP PHỐI 1M³ BÊ TÔNG &amp; MA TRẬN TẦN SUẤT THÍ NGHIỆM KCS</t>
        </is>
      </c>
    </row>
    <row r="4">
      <c r="B4" s="13" t="inlineStr">
        <is>
          <t>Căn cứ: Định mức Thông tư 12/2021/TT-BXD, TCVN 4453:1995, TCVN 1651:2018, TCVN 6260:2020, TCVN 7570:2006, Nghị định 207/2026/NĐ-CP</t>
        </is>
      </c>
    </row>
    <row r="5"/>
    <row r="6">
      <c r="B6" s="9" t="inlineStr">
        <is>
          <t>I. BẢNG PHÂN TÍCH ĐỊNH MỨC CẤP PHỐI CHO 1 M³ BÊ TÔNG CỦA TỪNG KẾT CẤU CÔNG TRÌNH</t>
        </is>
      </c>
    </row>
    <row r="7"/>
    <row r="8" ht="28" customHeight="1">
      <c r="A8" s="14" t="inlineStr">
        <is>
          <t>TT</t>
        </is>
      </c>
      <c r="B8" s="14" t="inlineStr">
        <is>
          <t>Loại kết cấu công trình</t>
        </is>
      </c>
      <c r="C8" s="14" t="inlineStr">
        <is>
          <t>Mác thiết kế (f'c / Mác)</t>
        </is>
      </c>
      <c r="D8" s="14" t="inlineStr">
        <is>
          <t>Độ sụt yêu cầu (cm)</t>
        </is>
      </c>
      <c r="E8" s="14" t="inlineStr">
        <is>
          <t>Xi măng PCB40 (kg/m3)</t>
        </is>
      </c>
      <c r="F8" s="14" t="inlineStr">
        <is>
          <t>Cát vàng Mk&gt;=2.5 (m3/m3)</t>
        </is>
      </c>
      <c r="G8" s="14" t="inlineStr">
        <is>
          <t>Đá dăm 1x2 (m3/m3)</t>
        </is>
      </c>
      <c r="H8" s="14" t="inlineStr">
        <is>
          <t>Nước sạch (lít/m3)</t>
        </is>
      </c>
      <c r="I8" s="14" t="inlineStr">
        <is>
          <t>Phụ gia (lít hoặc kg/m3)</t>
        </is>
      </c>
      <c r="J8" s="14" t="inlineStr">
        <is>
          <t>Tổng KL bê tông (m3)</t>
        </is>
      </c>
      <c r="K8" s="14" t="inlineStr">
        <is>
          <t>Tổng Xi măng (Tấn)</t>
        </is>
      </c>
      <c r="L8" s="14" t="inlineStr">
        <is>
          <t>Tổng Cát vàng (m3)</t>
        </is>
      </c>
      <c r="M8" s="14" t="inlineStr">
        <is>
          <t>Tổng Đá dăm 1x2 (m3)</t>
        </is>
      </c>
      <c r="N8" s="14" t="inlineStr">
        <is>
          <t>Tổng Nước (m3)</t>
        </is>
      </c>
      <c r="O8" s="14" t="inlineStr">
        <is>
          <t>Tổng Phụ gia (Lít/kg)</t>
        </is>
      </c>
      <c r="P8" s="14" t="inlineStr">
        <is>
          <t>Tiêu chuẩn &amp; Yêu cầu kỹ thuật</t>
        </is>
      </c>
    </row>
    <row r="9" ht="20" customHeight="1">
      <c r="A9" s="15" t="inlineStr">
        <is>
          <t>1</t>
        </is>
      </c>
      <c r="B9" s="16" t="inlineStr">
        <is>
          <t>Bê tông đệm móng mố, bệ trụ, bản quá độ</t>
        </is>
      </c>
      <c r="C9" s="15" t="inlineStr">
        <is>
          <t>C10 (Mác 150)</t>
        </is>
      </c>
      <c r="D9" s="15" t="inlineStr">
        <is>
          <t>6 ± 2</t>
        </is>
      </c>
      <c r="E9" s="17" t="n">
        <v>225</v>
      </c>
      <c r="F9" s="18" t="n">
        <v>0.51</v>
      </c>
      <c r="G9" s="18" t="n">
        <v>0.88</v>
      </c>
      <c r="H9" s="17" t="n">
        <v>185</v>
      </c>
      <c r="I9" s="19" t="n">
        <v>0</v>
      </c>
      <c r="J9" s="20" t="n">
        <v>33.50000000000001</v>
      </c>
      <c r="K9" s="21">
        <f>J9*E9/1000</f>
        <v/>
      </c>
      <c r="L9" s="21">
        <f>J9*F9</f>
        <v/>
      </c>
      <c r="M9" s="21">
        <f>J9*G9</f>
        <v/>
      </c>
      <c r="N9" s="21">
        <f>J9*H9/1000</f>
        <v/>
      </c>
      <c r="O9" s="17">
        <f>J9*I9</f>
        <v/>
      </c>
      <c r="P9" s="16" t="inlineStr">
        <is>
          <t>Đệm cách ly đáy móng, TCVN 4453</t>
        </is>
      </c>
    </row>
    <row r="10" ht="20" customHeight="1">
      <c r="A10" s="22" t="inlineStr">
        <is>
          <t>2</t>
        </is>
      </c>
      <c r="B10" s="23" t="inlineStr">
        <is>
          <t>Bản quá độ sau mố &amp; Gờ lan can, tấm đúc sẵn</t>
        </is>
      </c>
      <c r="C10" s="22" t="inlineStr">
        <is>
          <t>C25 (Mác 300)</t>
        </is>
      </c>
      <c r="D10" s="22" t="inlineStr">
        <is>
          <t>10 ± 2</t>
        </is>
      </c>
      <c r="E10" s="24" t="n">
        <v>350</v>
      </c>
      <c r="F10" s="25" t="n">
        <v>0.46</v>
      </c>
      <c r="G10" s="25" t="n">
        <v>0.86</v>
      </c>
      <c r="H10" s="24" t="n">
        <v>175</v>
      </c>
      <c r="I10" s="26" t="n">
        <v>2.8</v>
      </c>
      <c r="J10" s="27" t="n">
        <v>184.919</v>
      </c>
      <c r="K10" s="28">
        <f>J10*E10/1000</f>
        <v/>
      </c>
      <c r="L10" s="28">
        <f>J10*F10</f>
        <v/>
      </c>
      <c r="M10" s="28">
        <f>J10*G10</f>
        <v/>
      </c>
      <c r="N10" s="28">
        <f>J10*H10/1000</f>
        <v/>
      </c>
      <c r="O10" s="24">
        <f>J10*I10</f>
        <v/>
      </c>
      <c r="P10" s="23" t="inlineStr">
        <is>
          <t>Bản quá độ, gờ lan can C25</t>
        </is>
      </c>
    </row>
    <row r="11" ht="20" customHeight="1">
      <c r="A11" s="15" t="inlineStr">
        <is>
          <t>3</t>
        </is>
      </c>
      <c r="B11" s="16" t="inlineStr">
        <is>
          <t>Bê tông Cọc khoan nhồi D1200mm (thi công Tremie)</t>
        </is>
      </c>
      <c r="C11" s="15" t="inlineStr">
        <is>
          <t>C30 (Mác 350)</t>
        </is>
      </c>
      <c r="D11" s="15" t="inlineStr">
        <is>
          <t>18 ± 2</t>
        </is>
      </c>
      <c r="E11" s="17" t="n">
        <v>410</v>
      </c>
      <c r="F11" s="18" t="n">
        <v>0.47</v>
      </c>
      <c r="G11" s="18" t="n">
        <v>0.84</v>
      </c>
      <c r="H11" s="17" t="n">
        <v>180</v>
      </c>
      <c r="I11" s="19" t="n">
        <v>4.1</v>
      </c>
      <c r="J11" s="20" t="n">
        <v>1133.964288</v>
      </c>
      <c r="K11" s="21">
        <f>J11*E11/1000</f>
        <v/>
      </c>
      <c r="L11" s="21">
        <f>J11*F11</f>
        <v/>
      </c>
      <c r="M11" s="21">
        <f>J11*G11</f>
        <v/>
      </c>
      <c r="N11" s="21">
        <f>J11*H11/1000</f>
        <v/>
      </c>
      <c r="O11" s="17">
        <f>J11*I11</f>
        <v/>
      </c>
      <c r="P11" s="16" t="inlineStr">
        <is>
          <t>Đổ dưới nước ống tremie, đông kết chậm</t>
        </is>
      </c>
    </row>
    <row r="12" ht="20" customHeight="1">
      <c r="A12" s="22" t="inlineStr">
        <is>
          <t>4</t>
        </is>
      </c>
      <c r="B12" s="23" t="inlineStr">
        <is>
          <t>Bê tông Bệ mố M1, M2; Thân mố; Tường cánh</t>
        </is>
      </c>
      <c r="C12" s="22" t="inlineStr">
        <is>
          <t>C30 (Mác 350)</t>
        </is>
      </c>
      <c r="D12" s="22" t="inlineStr">
        <is>
          <t>12 ± 2</t>
        </is>
      </c>
      <c r="E12" s="24" t="n">
        <v>385</v>
      </c>
      <c r="F12" s="25" t="n">
        <v>0.45</v>
      </c>
      <c r="G12" s="25" t="n">
        <v>0.85</v>
      </c>
      <c r="H12" s="24" t="n">
        <v>175</v>
      </c>
      <c r="I12" s="26" t="n">
        <v>3.5</v>
      </c>
      <c r="J12" s="27" t="n">
        <v>481.57073775</v>
      </c>
      <c r="K12" s="28">
        <f>J12*E12/1000</f>
        <v/>
      </c>
      <c r="L12" s="28">
        <f>J12*F12</f>
        <v/>
      </c>
      <c r="M12" s="28">
        <f>J12*G12</f>
        <v/>
      </c>
      <c r="N12" s="28">
        <f>J12*H12/1000</f>
        <v/>
      </c>
      <c r="O12" s="24">
        <f>J12*I12</f>
        <v/>
      </c>
      <c r="P12" s="23" t="inlineStr">
        <is>
          <t>Bê tông khối lớn mố M1, M2</t>
        </is>
      </c>
    </row>
    <row r="13" ht="20" customHeight="1">
      <c r="A13" s="15" t="inlineStr">
        <is>
          <t>5</t>
        </is>
      </c>
      <c r="B13" s="16" t="inlineStr">
        <is>
          <t>Bê tông Bệ trụ T1, T2 &amp; Thân trụ đặc</t>
        </is>
      </c>
      <c r="C13" s="15" t="inlineStr">
        <is>
          <t>C30 (Mác 350)</t>
        </is>
      </c>
      <c r="D13" s="15" t="inlineStr">
        <is>
          <t>12 ± 2</t>
        </is>
      </c>
      <c r="E13" s="17" t="n">
        <v>385</v>
      </c>
      <c r="F13" s="18" t="n">
        <v>0.45</v>
      </c>
      <c r="G13" s="18" t="n">
        <v>0.85</v>
      </c>
      <c r="H13" s="17" t="n">
        <v>175</v>
      </c>
      <c r="I13" s="19" t="n">
        <v>3.5</v>
      </c>
      <c r="J13" s="20" t="n">
        <v>906.04671225</v>
      </c>
      <c r="K13" s="21">
        <f>J13*E13/1000</f>
        <v/>
      </c>
      <c r="L13" s="21">
        <f>J13*F13</f>
        <v/>
      </c>
      <c r="M13" s="21">
        <f>J13*G13</f>
        <v/>
      </c>
      <c r="N13" s="21">
        <f>J13*H13/1000</f>
        <v/>
      </c>
      <c r="O13" s="17">
        <f>J13*I13</f>
        <v/>
      </c>
      <c r="P13" s="16" t="inlineStr">
        <is>
          <t>Bê tông bệ trụ &amp; thân trụ 2 thân</t>
        </is>
      </c>
    </row>
    <row r="14" ht="20" customHeight="1">
      <c r="A14" s="22" t="inlineStr">
        <is>
          <t>6</t>
        </is>
      </c>
      <c r="B14" s="23" t="inlineStr">
        <is>
          <t>Bê tông Xà mũ trụ T1, T2 &amp; Tường tai</t>
        </is>
      </c>
      <c r="C14" s="22" t="inlineStr">
        <is>
          <t>C35 (Mác 400)</t>
        </is>
      </c>
      <c r="D14" s="22" t="inlineStr">
        <is>
          <t>14 ± 2</t>
        </is>
      </c>
      <c r="E14" s="24" t="n">
        <v>430</v>
      </c>
      <c r="F14" s="25" t="n">
        <v>0.44</v>
      </c>
      <c r="G14" s="25" t="n">
        <v>0.85</v>
      </c>
      <c r="H14" s="24" t="n">
        <v>165</v>
      </c>
      <c r="I14" s="26" t="n">
        <v>4.3</v>
      </c>
      <c r="J14" s="27" t="n">
        <v>146.124</v>
      </c>
      <c r="K14" s="28">
        <f>J14*E14/1000</f>
        <v/>
      </c>
      <c r="L14" s="28">
        <f>J14*F14</f>
        <v/>
      </c>
      <c r="M14" s="28">
        <f>J14*G14</f>
        <v/>
      </c>
      <c r="N14" s="28">
        <f>J14*H14/1000</f>
        <v/>
      </c>
      <c r="O14" s="24">
        <f>J14*I14</f>
        <v/>
      </c>
      <c r="P14" s="23" t="inlineStr">
        <is>
          <t>Xà mũ trụ dự ứng lực ngang</t>
        </is>
      </c>
    </row>
    <row r="15" ht="20" customHeight="1">
      <c r="A15" s="15" t="inlineStr">
        <is>
          <t>7</t>
        </is>
      </c>
      <c r="B15" s="16" t="inlineStr">
        <is>
          <t>Bê tông Bản mặt cầu, Dầm ngang, Liên tục nhiệt</t>
        </is>
      </c>
      <c r="C15" s="15" t="inlineStr">
        <is>
          <t>C35 (Mác 400)</t>
        </is>
      </c>
      <c r="D15" s="15" t="inlineStr">
        <is>
          <t>14 ± 2</t>
        </is>
      </c>
      <c r="E15" s="17" t="n">
        <v>430</v>
      </c>
      <c r="F15" s="18" t="n">
        <v>0.44</v>
      </c>
      <c r="G15" s="18" t="n">
        <v>0.85</v>
      </c>
      <c r="H15" s="17" t="n">
        <v>165</v>
      </c>
      <c r="I15" s="19" t="n">
        <v>4.3</v>
      </c>
      <c r="J15" s="20" t="n">
        <v>367.032530772</v>
      </c>
      <c r="K15" s="21">
        <f>J15*E15/1000</f>
        <v/>
      </c>
      <c r="L15" s="21">
        <f>J15*F15</f>
        <v/>
      </c>
      <c r="M15" s="21">
        <f>J15*G15</f>
        <v/>
      </c>
      <c r="N15" s="21">
        <f>J15*H15/1000</f>
        <v/>
      </c>
      <c r="O15" s="17">
        <f>J15*I15</f>
        <v/>
      </c>
      <c r="P15" s="16" t="inlineStr">
        <is>
          <t>Chống thấm tốt, co ngót thấp</t>
        </is>
      </c>
    </row>
    <row r="16" ht="20" customHeight="1">
      <c r="A16" s="22" t="inlineStr">
        <is>
          <t>8</t>
        </is>
      </c>
      <c r="B16" s="23" t="inlineStr">
        <is>
          <t>Bê tông Dầm chủ Super-T đúc sẵn (15 phiến L=38.2m)</t>
        </is>
      </c>
      <c r="C16" s="22" t="inlineStr">
        <is>
          <t>C45 (Mác 550)</t>
        </is>
      </c>
      <c r="D16" s="22" t="inlineStr">
        <is>
          <t>16 ± 2</t>
        </is>
      </c>
      <c r="E16" s="24" t="n">
        <v>475</v>
      </c>
      <c r="F16" s="25" t="n">
        <v>0.42</v>
      </c>
      <c r="G16" s="25" t="n">
        <v>0.83</v>
      </c>
      <c r="H16" s="24" t="n">
        <v>150</v>
      </c>
      <c r="I16" s="26" t="n">
        <v>5.7</v>
      </c>
      <c r="J16" s="27" t="n">
        <v>434.907</v>
      </c>
      <c r="K16" s="28">
        <f>J16*E16/1000</f>
        <v/>
      </c>
      <c r="L16" s="28">
        <f>J16*F16</f>
        <v/>
      </c>
      <c r="M16" s="28">
        <f>J16*G16</f>
        <v/>
      </c>
      <c r="N16" s="28">
        <f>J16*H16/1000</f>
        <v/>
      </c>
      <c r="O16" s="24">
        <f>J16*I16</f>
        <v/>
      </c>
      <c r="P16" s="23" t="inlineStr">
        <is>
          <t>Cường độ sớm R kéo &gt;= 85% f'c</t>
        </is>
      </c>
    </row>
    <row r="17" ht="20" customHeight="1">
      <c r="A17" s="15" t="inlineStr">
        <is>
          <t>9</t>
        </is>
      </c>
      <c r="B17" s="16" t="inlineStr">
        <is>
          <t>Bê tông hạt nhỏ không co ngót chèn khe co giãn</t>
        </is>
      </c>
      <c r="C17" s="15" t="inlineStr">
        <is>
          <t>C40 (Mác 450)</t>
        </is>
      </c>
      <c r="D17" s="15" t="inlineStr">
        <is>
          <t>12 ± 2</t>
        </is>
      </c>
      <c r="E17" s="17" t="n">
        <v>450</v>
      </c>
      <c r="F17" s="18" t="n">
        <v>0.46</v>
      </c>
      <c r="G17" s="18" t="n">
        <v>0.8</v>
      </c>
      <c r="H17" s="17" t="n">
        <v>160</v>
      </c>
      <c r="I17" s="19" t="n">
        <v>4.5</v>
      </c>
      <c r="J17" s="20" t="n">
        <v>67.38200000000001</v>
      </c>
      <c r="K17" s="21">
        <f>J17*E17/1000</f>
        <v/>
      </c>
      <c r="L17" s="21">
        <f>J17*F17</f>
        <v/>
      </c>
      <c r="M17" s="21">
        <f>J17*G17</f>
        <v/>
      </c>
      <c r="N17" s="21">
        <f>J17*H17/1000</f>
        <v/>
      </c>
      <c r="O17" s="17">
        <f>J17*I17</f>
        <v/>
      </c>
      <c r="P17" s="16" t="inlineStr">
        <is>
          <t>Cốt liệu nhỏ, chống co ngót</t>
        </is>
      </c>
    </row>
    <row r="18" ht="24" customHeight="1">
      <c r="A18" s="29" t="inlineStr">
        <is>
          <t>TỔNG CỘNG TOÀN CÔNG TRÌNH</t>
        </is>
      </c>
      <c r="B18" s="30" t="n"/>
      <c r="C18" s="30" t="n"/>
      <c r="D18" s="30" t="n"/>
      <c r="E18" s="30" t="n"/>
      <c r="F18" s="30" t="n"/>
      <c r="G18" s="30" t="n"/>
      <c r="H18" s="30" t="n"/>
      <c r="I18" s="31" t="n"/>
      <c r="J18" s="32">
        <f>SUM(J9:J17)</f>
        <v/>
      </c>
      <c r="K18" s="33">
        <f>SUM(K9:K17)</f>
        <v/>
      </c>
      <c r="L18" s="33">
        <f>SUM(L9:L17)</f>
        <v/>
      </c>
      <c r="M18" s="33">
        <f>SUM(M9:M17)</f>
        <v/>
      </c>
      <c r="N18" s="33">
        <f>SUM(N9:N17)</f>
        <v/>
      </c>
      <c r="O18" s="33">
        <f>SUM(O9:O17)</f>
        <v/>
      </c>
      <c r="P18" s="34" t="inlineStr">
        <is>
          <t>Tổng hợp cấp phối toàn dự án</t>
        </is>
      </c>
    </row>
    <row r="19"/>
    <row r="20"/>
    <row r="21">
      <c r="B21" s="9" t="inlineStr">
        <is>
          <t>II. MA TRẬN QUY ĐỊNH TẦN SUẤT THÍ NGHIỆM VẬT LIỆU ĐẦU VÀO VÀ NGHIỆM THU KCS</t>
        </is>
      </c>
    </row>
    <row r="22">
      <c r="B22" s="13" t="inlineStr">
        <is>
          <t>Quy định tần suất lấy mẫu kiểm soát chất lượng QA/QC theo Luật Xây dựng 135/2025/QH15, Nghị định 207/2026/NĐ-CP, TCVN 4453:1995, TCVN 1651:2018</t>
        </is>
      </c>
    </row>
    <row r="23" ht="28" customHeight="1">
      <c r="A23" s="35" t="inlineStr">
        <is>
          <t>TT</t>
        </is>
      </c>
      <c r="B23" s="35" t="inlineStr">
        <is>
          <t>Tên vật liệu / Chỉ tiêu kiểm tra</t>
        </is>
      </c>
      <c r="C23" s="35" t="inlineStr">
        <is>
          <t>Tiêu chuẩn kỹ thuật áp dụng</t>
        </is>
      </c>
      <c r="D23" s="35" t="inlineStr">
        <is>
          <t>Chỉ tiêu kiểm tra bắt buộc</t>
        </is>
      </c>
      <c r="E23" s="35" t="inlineStr">
        <is>
          <t>Quy định tần suất lấy mẫu</t>
        </is>
      </c>
      <c r="F23" s="35" t="inlineStr">
        <is>
          <t>ĐVT vật tư</t>
        </is>
      </c>
      <c r="G23" s="35" t="inlineStr">
        <is>
          <t>Tổng KL công trình</t>
        </is>
      </c>
      <c r="H23" s="35" t="inlineStr">
        <is>
          <t>Định mức tần suất (KL/tổ mẫu)</t>
        </is>
      </c>
      <c r="I23" s="35" t="inlineStr">
        <is>
          <t>Số tổ mẫu thí nghiệm</t>
        </is>
      </c>
      <c r="J23" s="35" t="inlineStr">
        <is>
          <t>Quy cách tổ mẫu thí nghiệm</t>
        </is>
      </c>
      <c r="K23" s="35" t="inlineStr">
        <is>
          <t>Đơn vị thực hiện</t>
        </is>
      </c>
      <c r="L23" s="35" t="inlineStr">
        <is>
          <t>Điều kiện nghiệm thu (Hold Point)</t>
        </is>
      </c>
    </row>
    <row r="24" ht="20" customHeight="1">
      <c r="A24" s="36" t="n">
        <v>1</v>
      </c>
      <c r="B24" s="16" t="inlineStr">
        <is>
          <t>Cốt thép tròn trơn Ø&lt;=10mm (CB240-T)</t>
        </is>
      </c>
      <c r="C24" s="16" t="inlineStr">
        <is>
          <t>TCVN 1651-1:2018</t>
        </is>
      </c>
      <c r="D24" s="16" t="inlineStr">
        <is>
          <t>Giới hạn chảy, độ bền kéo, độ giãn dài, uốn nguội</t>
        </is>
      </c>
      <c r="E24" s="16" t="inlineStr">
        <is>
          <t>&lt;= 50 Tấn / lô / đường kính</t>
        </is>
      </c>
      <c r="F24" s="15" t="inlineStr">
        <is>
          <t>Tấn</t>
        </is>
      </c>
      <c r="G24" s="17" t="n">
        <v>12.187285192</v>
      </c>
      <c r="H24" s="17" t="n">
        <v>50</v>
      </c>
      <c r="I24" s="37">
        <f>ROUNDUP(G24/H24, 0)</f>
        <v/>
      </c>
      <c r="J24" s="16" t="inlineStr">
        <is>
          <t>3 thanh kéo + 3 thanh uốn</t>
        </is>
      </c>
      <c r="K24" s="16" t="inlineStr">
        <is>
          <t>LAS-XD hợp chuẩn</t>
        </is>
      </c>
      <c r="L24" s="16" t="inlineStr">
        <is>
          <t>Bắt buộc có KQTN trước khi gia công</t>
        </is>
      </c>
    </row>
    <row r="25" ht="20" customHeight="1">
      <c r="A25" s="38" t="n">
        <v>2</v>
      </c>
      <c r="B25" s="23" t="inlineStr">
        <is>
          <t>Cốt thép thanh vằn Ø12mm (CB400-V)</t>
        </is>
      </c>
      <c r="C25" s="23" t="inlineStr">
        <is>
          <t>TCVN 1651-2:2018</t>
        </is>
      </c>
      <c r="D25" s="23" t="inlineStr">
        <is>
          <t>Giới hạn chảy Re, độ bền kéo Rm, Rm/Re, uốn 180°</t>
        </is>
      </c>
      <c r="E25" s="23" t="inlineStr">
        <is>
          <t>&lt;= 50 Tấn / lô / đường kính</t>
        </is>
      </c>
      <c r="F25" s="22" t="inlineStr">
        <is>
          <t>Tấn</t>
        </is>
      </c>
      <c r="G25" s="24" t="n">
        <v>122.753869032</v>
      </c>
      <c r="H25" s="24" t="n">
        <v>50</v>
      </c>
      <c r="I25" s="37">
        <f>ROUNDUP(G25/H25, 0)</f>
        <v/>
      </c>
      <c r="J25" s="23" t="inlineStr">
        <is>
          <t>3 thanh kéo + 3 thanh uốn</t>
        </is>
      </c>
      <c r="K25" s="23" t="inlineStr">
        <is>
          <t>LAS-XD hợp chuẩn</t>
        </is>
      </c>
      <c r="L25" s="23" t="inlineStr">
        <is>
          <t>Bắt buộc có KQTN trước khi gia công</t>
        </is>
      </c>
    </row>
    <row r="26" ht="20" customHeight="1">
      <c r="A26" s="36" t="n">
        <v>3</v>
      </c>
      <c r="B26" s="16" t="inlineStr">
        <is>
          <t>Cốt thép thanh vằn Ø14mm (CB400-V)</t>
        </is>
      </c>
      <c r="C26" s="16" t="inlineStr">
        <is>
          <t>TCVN 1651-2:2018</t>
        </is>
      </c>
      <c r="D26" s="16" t="inlineStr">
        <is>
          <t>Giới hạn chảy Re, độ bền kéo Rm, Rm/Re, uốn 180°</t>
        </is>
      </c>
      <c r="E26" s="16" t="inlineStr">
        <is>
          <t>&lt;= 50 Tấn / lô / đường kính</t>
        </is>
      </c>
      <c r="F26" s="15" t="inlineStr">
        <is>
          <t>Tấn</t>
        </is>
      </c>
      <c r="G26" s="17" t="n">
        <v>26.92328045</v>
      </c>
      <c r="H26" s="17" t="n">
        <v>50</v>
      </c>
      <c r="I26" s="37">
        <f>ROUNDUP(G26/H26, 0)</f>
        <v/>
      </c>
      <c r="J26" s="16" t="inlineStr">
        <is>
          <t>3 thanh kéo + 3 thanh uốn</t>
        </is>
      </c>
      <c r="K26" s="16" t="inlineStr">
        <is>
          <t>LAS-XD hợp chuẩn</t>
        </is>
      </c>
      <c r="L26" s="16" t="inlineStr">
        <is>
          <t>Bắt buộc có KQTN trước khi gia công</t>
        </is>
      </c>
    </row>
    <row r="27" ht="20" customHeight="1">
      <c r="A27" s="38" t="n">
        <v>4</v>
      </c>
      <c r="B27" s="23" t="inlineStr">
        <is>
          <t>Cốt thép thanh vằn Ø16mm (CB400-V)</t>
        </is>
      </c>
      <c r="C27" s="23" t="inlineStr">
        <is>
          <t>TCVN 1651-2:2018</t>
        </is>
      </c>
      <c r="D27" s="23" t="inlineStr">
        <is>
          <t>Giới hạn chảy Re, độ bền kéo Rm, Rm/Re, uốn 180°</t>
        </is>
      </c>
      <c r="E27" s="23" t="inlineStr">
        <is>
          <t>&lt;= 50 Tấn / lô / đường kính</t>
        </is>
      </c>
      <c r="F27" s="22" t="inlineStr">
        <is>
          <t>Tấn</t>
        </is>
      </c>
      <c r="G27" s="24" t="n">
        <v>236.59789798</v>
      </c>
      <c r="H27" s="24" t="n">
        <v>50</v>
      </c>
      <c r="I27" s="37">
        <f>ROUNDUP(G27/H27, 0)</f>
        <v/>
      </c>
      <c r="J27" s="23" t="inlineStr">
        <is>
          <t>3 thanh kéo + 3 thanh uốn</t>
        </is>
      </c>
      <c r="K27" s="23" t="inlineStr">
        <is>
          <t>LAS-XD hợp chuẩn</t>
        </is>
      </c>
      <c r="L27" s="23" t="inlineStr">
        <is>
          <t>Bắt buộc có KQTN trước khi gia công</t>
        </is>
      </c>
    </row>
    <row r="28" ht="20" customHeight="1">
      <c r="A28" s="36" t="n">
        <v>5</v>
      </c>
      <c r="B28" s="16" t="inlineStr">
        <is>
          <t>Cốt thép thanh vằn Ø18mm (CB400-V)</t>
        </is>
      </c>
      <c r="C28" s="16" t="inlineStr">
        <is>
          <t>TCVN 1651-2:2018</t>
        </is>
      </c>
      <c r="D28" s="16" t="inlineStr">
        <is>
          <t>Giới hạn chảy Re, độ bền kéo Rm, Rm/Re, uốn 180°</t>
        </is>
      </c>
      <c r="E28" s="16" t="inlineStr">
        <is>
          <t>&lt;= 50 Tấn / lô / đường kính</t>
        </is>
      </c>
      <c r="F28" s="15" t="inlineStr">
        <is>
          <t>Tấn</t>
        </is>
      </c>
      <c r="G28" s="17" t="n">
        <v>72.29108799999999</v>
      </c>
      <c r="H28" s="17" t="n">
        <v>50</v>
      </c>
      <c r="I28" s="37">
        <f>ROUNDUP(G28/H28, 0)</f>
        <v/>
      </c>
      <c r="J28" s="16" t="inlineStr">
        <is>
          <t>3 thanh kéo + 3 thanh uốn</t>
        </is>
      </c>
      <c r="K28" s="16" t="inlineStr">
        <is>
          <t>LAS-XD hợp chuẩn</t>
        </is>
      </c>
      <c r="L28" s="16" t="inlineStr">
        <is>
          <t>Bắt buộc có KQTN trước khi gia công</t>
        </is>
      </c>
    </row>
    <row r="29" ht="20" customHeight="1">
      <c r="A29" s="38" t="n">
        <v>6</v>
      </c>
      <c r="B29" s="23" t="inlineStr">
        <is>
          <t>Cốt thép thanh vằn Ø20mm (CB400-V)</t>
        </is>
      </c>
      <c r="C29" s="23" t="inlineStr">
        <is>
          <t>TCVN 1651-2:2018</t>
        </is>
      </c>
      <c r="D29" s="23" t="inlineStr">
        <is>
          <t>Giới hạn chảy Re, độ bền kéo Rm, Rm/Re, uốn 180°</t>
        </is>
      </c>
      <c r="E29" s="23" t="inlineStr">
        <is>
          <t>&lt;= 50 Tấn / lô / đường kính</t>
        </is>
      </c>
      <c r="F29" s="22" t="inlineStr">
        <is>
          <t>Tấn</t>
        </is>
      </c>
      <c r="G29" s="24" t="n">
        <v>19.22681345</v>
      </c>
      <c r="H29" s="24" t="n">
        <v>50</v>
      </c>
      <c r="I29" s="37">
        <f>ROUNDUP(G29/H29, 0)</f>
        <v/>
      </c>
      <c r="J29" s="23" t="inlineStr">
        <is>
          <t>3 thanh kéo + 3 thanh uốn</t>
        </is>
      </c>
      <c r="K29" s="23" t="inlineStr">
        <is>
          <t>LAS-XD hợp chuẩn</t>
        </is>
      </c>
      <c r="L29" s="23" t="inlineStr">
        <is>
          <t>Bắt buộc có KQTN trước khi gia công</t>
        </is>
      </c>
    </row>
    <row r="30" ht="20" customHeight="1">
      <c r="A30" s="36" t="n">
        <v>7</v>
      </c>
      <c r="B30" s="16" t="inlineStr">
        <is>
          <t>Cốt thép thanh vằn Ø22mm (CB400-V)</t>
        </is>
      </c>
      <c r="C30" s="16" t="inlineStr">
        <is>
          <t>TCVN 1651-2:2018</t>
        </is>
      </c>
      <c r="D30" s="16" t="inlineStr">
        <is>
          <t>Giới hạn chảy Re, độ bền kéo Rm, Rm/Re, uốn 180°</t>
        </is>
      </c>
      <c r="E30" s="16" t="inlineStr">
        <is>
          <t>&lt;= 50 Tấn / lô / đường kính</t>
        </is>
      </c>
      <c r="F30" s="15" t="inlineStr">
        <is>
          <t>Tấn</t>
        </is>
      </c>
      <c r="G30" s="17" t="n">
        <v>8.592329359999999</v>
      </c>
      <c r="H30" s="17" t="n">
        <v>50</v>
      </c>
      <c r="I30" s="37">
        <f>ROUNDUP(G30/H30, 0)</f>
        <v/>
      </c>
      <c r="J30" s="16" t="inlineStr">
        <is>
          <t>3 thanh kéo + 3 thanh uốn</t>
        </is>
      </c>
      <c r="K30" s="16" t="inlineStr">
        <is>
          <t>LAS-XD hợp chuẩn</t>
        </is>
      </c>
      <c r="L30" s="16" t="inlineStr">
        <is>
          <t>Bắt buộc có KQTN trước khi gia công</t>
        </is>
      </c>
    </row>
    <row r="31" ht="20" customHeight="1">
      <c r="A31" s="38" t="n">
        <v>8</v>
      </c>
      <c r="B31" s="23" t="inlineStr">
        <is>
          <t>Cốt thép thanh vằn Ø25mm (CB400-V)</t>
        </is>
      </c>
      <c r="C31" s="23" t="inlineStr">
        <is>
          <t>TCVN 1651-2:2018</t>
        </is>
      </c>
      <c r="D31" s="23" t="inlineStr">
        <is>
          <t>Giới hạn chảy Re, độ bền kéo Rm, Rm/Re, uốn 180°</t>
        </is>
      </c>
      <c r="E31" s="23" t="inlineStr">
        <is>
          <t>&lt;= 50 Tấn / lô / đường kính</t>
        </is>
      </c>
      <c r="F31" s="22" t="inlineStr">
        <is>
          <t>Tấn</t>
        </is>
      </c>
      <c r="G31" s="24" t="n">
        <v>106.3996857</v>
      </c>
      <c r="H31" s="24" t="n">
        <v>50</v>
      </c>
      <c r="I31" s="37">
        <f>ROUNDUP(G31/H31, 0)</f>
        <v/>
      </c>
      <c r="J31" s="23" t="inlineStr">
        <is>
          <t>3 thanh kéo + 3 thanh uốn</t>
        </is>
      </c>
      <c r="K31" s="23" t="inlineStr">
        <is>
          <t>LAS-XD hợp chuẩn</t>
        </is>
      </c>
      <c r="L31" s="23" t="inlineStr">
        <is>
          <t>Bắt buộc có KQTN trước khi gia công</t>
        </is>
      </c>
    </row>
    <row r="32" ht="20" customHeight="1">
      <c r="A32" s="36" t="n">
        <v>9</v>
      </c>
      <c r="B32" s="16" t="inlineStr">
        <is>
          <t>Cốt thép thanh vằn Ø28mm (CB400-V)</t>
        </is>
      </c>
      <c r="C32" s="16" t="inlineStr">
        <is>
          <t>TCVN 1651-2:2018</t>
        </is>
      </c>
      <c r="D32" s="16" t="inlineStr">
        <is>
          <t>Giới hạn chảy Re, độ bền kéo Rm, Rm/Re, uốn 180°</t>
        </is>
      </c>
      <c r="E32" s="16" t="inlineStr">
        <is>
          <t>&lt;= 50 Tấn / lô / đường kính</t>
        </is>
      </c>
      <c r="F32" s="15" t="inlineStr">
        <is>
          <t>Tấn</t>
        </is>
      </c>
      <c r="G32" s="17" t="n">
        <v>55.97940054</v>
      </c>
      <c r="H32" s="17" t="n">
        <v>50</v>
      </c>
      <c r="I32" s="37">
        <f>ROUNDUP(G32/H32, 0)</f>
        <v/>
      </c>
      <c r="J32" s="16" t="inlineStr">
        <is>
          <t>3 thanh kéo + 3 thanh uốn</t>
        </is>
      </c>
      <c r="K32" s="16" t="inlineStr">
        <is>
          <t>LAS-XD hợp chuẩn</t>
        </is>
      </c>
      <c r="L32" s="16" t="inlineStr">
        <is>
          <t>Bắt buộc có KQTN trước khi gia công</t>
        </is>
      </c>
    </row>
    <row r="33" ht="20" customHeight="1">
      <c r="A33" s="38" t="n">
        <v>10</v>
      </c>
      <c r="B33" s="23" t="inlineStr">
        <is>
          <t>Cốt thép thanh vằn Ø32mm (CB400-V)</t>
        </is>
      </c>
      <c r="C33" s="23" t="inlineStr">
        <is>
          <t>TCVN 1651-2:2018</t>
        </is>
      </c>
      <c r="D33" s="23" t="inlineStr">
        <is>
          <t>Giới hạn chảy Re, độ bền kéo Rm, Rm/Re, uốn 180°</t>
        </is>
      </c>
      <c r="E33" s="23" t="inlineStr">
        <is>
          <t>&lt;= 50 Tấn / lô / đường kính</t>
        </is>
      </c>
      <c r="F33" s="22" t="inlineStr">
        <is>
          <t>Tấn</t>
        </is>
      </c>
      <c r="G33" s="24" t="n">
        <v>113.27553308</v>
      </c>
      <c r="H33" s="24" t="n">
        <v>50</v>
      </c>
      <c r="I33" s="37">
        <f>ROUNDUP(G33/H33, 0)</f>
        <v/>
      </c>
      <c r="J33" s="23" t="inlineStr">
        <is>
          <t>3 thanh kéo + 3 thanh uốn</t>
        </is>
      </c>
      <c r="K33" s="23" t="inlineStr">
        <is>
          <t>LAS-XD hợp chuẩn</t>
        </is>
      </c>
      <c r="L33" s="23" t="inlineStr">
        <is>
          <t>Bắt buộc có KQTN trước khi gia công</t>
        </is>
      </c>
    </row>
    <row r="34" ht="20" customHeight="1">
      <c r="A34" s="36" t="n">
        <v>11</v>
      </c>
      <c r="B34" s="16" t="inlineStr">
        <is>
          <t>Cáp thép DƯL 15.2mm (7 sợi xoắn)</t>
        </is>
      </c>
      <c r="C34" s="16" t="inlineStr">
        <is>
          <t>ASTM A416 / TCVN 10569</t>
        </is>
      </c>
      <c r="D34" s="16" t="inlineStr">
        <is>
          <t>Giới hạn chảy, lực kéo đứt &gt;=260.7kN, độ giãn dài</t>
        </is>
      </c>
      <c r="E34" s="16" t="inlineStr">
        <is>
          <t>&lt;= 20-50 Tấn / lô sản xuất</t>
        </is>
      </c>
      <c r="F34" s="15" t="inlineStr">
        <is>
          <t>Tấn</t>
        </is>
      </c>
      <c r="G34" s="17" t="n">
        <v>27.78362400000001</v>
      </c>
      <c r="H34" s="17" t="n">
        <v>30</v>
      </c>
      <c r="I34" s="37">
        <f>ROUNDUP(G34/H34, 0)</f>
        <v/>
      </c>
      <c r="J34" s="16" t="inlineStr">
        <is>
          <t>3 tao cáp L=1.5m</t>
        </is>
      </c>
      <c r="K34" s="16" t="inlineStr">
        <is>
          <t>LAS-XD chuyên ngành</t>
        </is>
      </c>
      <c r="L34" s="16" t="inlineStr">
        <is>
          <t>Nghiệm thu trước khi xỏ cáp dầm</t>
        </is>
      </c>
    </row>
    <row r="35" ht="20" customHeight="1">
      <c r="A35" s="38" t="n">
        <v>12</v>
      </c>
      <c r="B35" s="23" t="inlineStr">
        <is>
          <t>Xi măng PCB40 (bao hoặc xá rời)</t>
        </is>
      </c>
      <c r="C35" s="23" t="inlineStr">
        <is>
          <t>TCVN 6260:2020</t>
        </is>
      </c>
      <c r="D35" s="23" t="inlineStr">
        <is>
          <t>Độ mịn, thời gian đông kết, nén R3, R7, R28</t>
        </is>
      </c>
      <c r="E35" s="23" t="inlineStr">
        <is>
          <t>&lt;= 100-200 Tấn / lô nhập kho</t>
        </is>
      </c>
      <c r="F35" s="22" t="inlineStr">
        <is>
          <t>Tấn</t>
        </is>
      </c>
      <c r="G35" s="24">
        <f>K18</f>
        <v/>
      </c>
      <c r="H35" s="24" t="n">
        <v>100</v>
      </c>
      <c r="I35" s="37">
        <f>ROUNDUP(G35/H35, 0)</f>
        <v/>
      </c>
      <c r="J35" s="23" t="inlineStr">
        <is>
          <t>1 tổ mẫu 10kg</t>
        </is>
      </c>
      <c r="K35" s="23" t="inlineStr">
        <is>
          <t>LAS-XD hợp chuẩn</t>
        </is>
      </c>
      <c r="L35" s="23" t="inlineStr">
        <is>
          <t>Kiểm tra từng lô xuất xưởng</t>
        </is>
      </c>
    </row>
    <row r="36" ht="20" customHeight="1">
      <c r="A36" s="36" t="n">
        <v>13</v>
      </c>
      <c r="B36" s="16" t="inlineStr">
        <is>
          <t>Cát vàng đổ bê tông (Mk &gt;= 2.5)</t>
        </is>
      </c>
      <c r="C36" s="16" t="inlineStr">
        <is>
          <t>TCVN 7570:2006</t>
        </is>
      </c>
      <c r="D36" s="16" t="inlineStr">
        <is>
          <t>Thành phần hạt, mô đun Mk, độ bẩn bùn sét, hữu cơ</t>
        </is>
      </c>
      <c r="E36" s="16" t="inlineStr">
        <is>
          <t>&lt;= 200-250 m3 / lô tập kết</t>
        </is>
      </c>
      <c r="F36" s="15" t="inlineStr">
        <is>
          <t>m3</t>
        </is>
      </c>
      <c r="G36" s="17">
        <f>L18</f>
        <v/>
      </c>
      <c r="H36" s="17" t="n">
        <v>200</v>
      </c>
      <c r="I36" s="37">
        <f>ROUNDUP(G36/H36, 0)</f>
        <v/>
      </c>
      <c r="J36" s="16" t="inlineStr">
        <is>
          <t>1 tổ mẫu 20kg</t>
        </is>
      </c>
      <c r="K36" s="16" t="inlineStr">
        <is>
          <t>LAS-XD hợp chuẩn</t>
        </is>
      </c>
      <c r="L36" s="16" t="inlineStr">
        <is>
          <t>Nghiệm thu bãi cát trước khi trộn</t>
        </is>
      </c>
    </row>
    <row r="37" ht="20" customHeight="1">
      <c r="A37" s="38" t="n">
        <v>14</v>
      </c>
      <c r="B37" s="23" t="inlineStr">
        <is>
          <t>Đá dăm 1x2 bê tông chọn lọc</t>
        </is>
      </c>
      <c r="C37" s="23" t="inlineStr">
        <is>
          <t>TCVN 7570:2006</t>
        </is>
      </c>
      <c r="D37" s="23" t="inlineStr">
        <is>
          <t>Thành phần hạt, độ nén dập, thoi dẹt, bùn bụi sét</t>
        </is>
      </c>
      <c r="E37" s="23" t="inlineStr">
        <is>
          <t>&lt;= 200-250 m3 / lô tập kết</t>
        </is>
      </c>
      <c r="F37" s="22" t="inlineStr">
        <is>
          <t>m3</t>
        </is>
      </c>
      <c r="G37" s="24">
        <f>M18</f>
        <v/>
      </c>
      <c r="H37" s="24" t="n">
        <v>200</v>
      </c>
      <c r="I37" s="37">
        <f>ROUNDUP(G37/H37, 0)</f>
        <v/>
      </c>
      <c r="J37" s="23" t="inlineStr">
        <is>
          <t>1 tổ mẫu 50kg</t>
        </is>
      </c>
      <c r="K37" s="23" t="inlineStr">
        <is>
          <t>LAS-XD hợp chuẩn</t>
        </is>
      </c>
      <c r="L37" s="23" t="inlineStr">
        <is>
          <t>Rửa đá sạch trước khi nạp trạm trộn</t>
        </is>
      </c>
    </row>
    <row r="38" ht="20" customHeight="1">
      <c r="A38" s="36" t="n">
        <v>15</v>
      </c>
      <c r="B38" s="16" t="inlineStr">
        <is>
          <t>Nước sạch trộn &amp; bảo dưỡng bê tông</t>
        </is>
      </c>
      <c r="C38" s="16" t="inlineStr">
        <is>
          <t>TCVN 4506:2012</t>
        </is>
      </c>
      <c r="D38" s="16" t="inlineStr">
        <is>
          <t>Hàm lượng muối tan, ion Cl-, pH, tạp chất hữu cơ</t>
        </is>
      </c>
      <c r="E38" s="16" t="inlineStr">
        <is>
          <t>1 mẫu / nguồn cấp nước thi công</t>
        </is>
      </c>
      <c r="F38" s="15" t="inlineStr">
        <is>
          <t>Nguồn</t>
        </is>
      </c>
      <c r="G38" s="17">
        <f>N18</f>
        <v/>
      </c>
      <c r="H38" s="17" t="n">
        <v>1</v>
      </c>
      <c r="I38" s="37">
        <f>ROUNDUP(G38/H38, 0)</f>
        <v/>
      </c>
      <c r="J38" s="16" t="inlineStr">
        <is>
          <t>1 can 5 lít</t>
        </is>
      </c>
      <c r="K38" s="16" t="inlineStr">
        <is>
          <t>LAS-XD hợp chuẩn</t>
        </is>
      </c>
      <c r="L38" s="16" t="inlineStr">
        <is>
          <t>Chấp thuận nguồn nước trước khi thi công</t>
        </is>
      </c>
    </row>
    <row r="39" ht="20" customHeight="1">
      <c r="A39" s="38" t="n">
        <v>16</v>
      </c>
      <c r="B39" s="23" t="inlineStr">
        <is>
          <t>Phụ gia hoá dẻo, siêu dẻo &amp; chậm đông kết</t>
        </is>
      </c>
      <c r="C39" s="23" t="inlineStr">
        <is>
          <t>TCVN 8826:2011</t>
        </is>
      </c>
      <c r="D39" s="23" t="inlineStr">
        <is>
          <t>Tỷ trọng, độ pH, hàm lượng Cl-, tương thích xi măng</t>
        </is>
      </c>
      <c r="E39" s="23" t="inlineStr">
        <is>
          <t>1 mẫu / lô nhập xưởng (hoặc CO/CQ)</t>
        </is>
      </c>
      <c r="F39" s="22" t="inlineStr">
        <is>
          <t>Lô</t>
        </is>
      </c>
      <c r="G39" s="24">
        <f>O18</f>
        <v/>
      </c>
      <c r="H39" s="24" t="n">
        <v>1</v>
      </c>
      <c r="I39" s="37">
        <f>ROUNDUP(G39/H39, 0)</f>
        <v/>
      </c>
      <c r="J39" s="23" t="inlineStr">
        <is>
          <t>1 chai 1 lít / lô</t>
        </is>
      </c>
      <c r="K39" s="23" t="inlineStr">
        <is>
          <t>LAS-XD hợp chuẩn</t>
        </is>
      </c>
      <c r="L39" s="23" t="inlineStr">
        <is>
          <t>Chấp thuận trước khi trộn hàng loạt</t>
        </is>
      </c>
    </row>
    <row r="40" ht="20" customHeight="1">
      <c r="A40" s="36" t="n">
        <v>17</v>
      </c>
      <c r="B40" s="16" t="inlineStr">
        <is>
          <t>Độ sụt bê tông tươi tại hiện trường</t>
        </is>
      </c>
      <c r="C40" s="16" t="inlineStr">
        <is>
          <t>TCVN 3106:1993</t>
        </is>
      </c>
      <c r="D40" s="16" t="inlineStr">
        <is>
          <t>Đo độ sụt kiểm tra tính công tác hỗn hợp</t>
        </is>
      </c>
      <c r="E40" s="16" t="inlineStr">
        <is>
          <t>100% các xe / mẻ trộn trước khi đổ</t>
        </is>
      </c>
      <c r="F40" s="15" t="inlineStr">
        <is>
          <t>Xe</t>
        </is>
      </c>
      <c r="G40" s="17">
        <f>ROUNDUP(J18/8, 0)</f>
        <v/>
      </c>
      <c r="H40" s="17" t="n">
        <v>1</v>
      </c>
      <c r="I40" s="37">
        <f>ROUNDUP(G40/H40, 0)</f>
        <v/>
      </c>
      <c r="J40" s="16" t="inlineStr">
        <is>
          <t>1 nón thử sụt / xe</t>
        </is>
      </c>
      <c r="K40" s="16" t="inlineStr">
        <is>
          <t>Bộ phận KCS &amp; TVGS</t>
        </is>
      </c>
      <c r="L40" s="16" t="inlineStr">
        <is>
          <t>Đạt độ sụt mới cho phép xả bê tông</t>
        </is>
      </c>
    </row>
    <row r="41" ht="20" customHeight="1">
      <c r="A41" s="38" t="n">
        <v>18</v>
      </c>
      <c r="B41" s="23" t="inlineStr">
        <is>
          <t>Mẫu nén bê tông Cọc khoan nhồi C30</t>
        </is>
      </c>
      <c r="C41" s="23" t="inlineStr">
        <is>
          <t>TCVN 3118:1993</t>
        </is>
      </c>
      <c r="D41" s="23" t="inlineStr">
        <is>
          <t>Cường độ chịu nén mẫu lập phương R7, R28</t>
        </is>
      </c>
      <c r="E41" s="23" t="inlineStr">
        <is>
          <t>Mỗi cọc 1-2 tổ (&lt;= 50m3 / tổ mẫu)</t>
        </is>
      </c>
      <c r="F41" s="22" t="inlineStr">
        <is>
          <t>Tổ</t>
        </is>
      </c>
      <c r="G41" s="24">
        <f>J11</f>
        <v/>
      </c>
      <c r="H41" s="24" t="n">
        <v>20</v>
      </c>
      <c r="I41" s="37">
        <f>ROUNDUP(G41/H41, 0)</f>
        <v/>
      </c>
      <c r="J41" s="23" t="inlineStr">
        <is>
          <t>3 viên R7 + 3 viên R28</t>
        </is>
      </c>
      <c r="K41" s="23" t="inlineStr">
        <is>
          <t>LAS-XD hợp chuẩn</t>
        </is>
      </c>
      <c r="L41" s="23" t="inlineStr">
        <is>
          <t>Đạt R28 nghiệm thu cấu kiện cọc</t>
        </is>
      </c>
    </row>
    <row r="42" ht="20" customHeight="1">
      <c r="A42" s="36" t="n">
        <v>19</v>
      </c>
      <c r="B42" s="16" t="inlineStr">
        <is>
          <t>Mẫu nén bê tông Móng &amp; Thân mố M1, M2</t>
        </is>
      </c>
      <c r="C42" s="16" t="inlineStr">
        <is>
          <t>TCVN 3118:1993</t>
        </is>
      </c>
      <c r="D42" s="16" t="inlineStr">
        <is>
          <t>Cường độ chịu nén mẫu lập phương R7, R28</t>
        </is>
      </c>
      <c r="E42" s="16" t="inlineStr">
        <is>
          <t>&lt;= 50m3 hoặc 1 ca đổ đúc 1 tổ</t>
        </is>
      </c>
      <c r="F42" s="15" t="inlineStr">
        <is>
          <t>Tổ</t>
        </is>
      </c>
      <c r="G42" s="17">
        <f>J12</f>
        <v/>
      </c>
      <c r="H42" s="17" t="n">
        <v>40</v>
      </c>
      <c r="I42" s="37">
        <f>ROUNDUP(G42/H42, 0)</f>
        <v/>
      </c>
      <c r="J42" s="16" t="inlineStr">
        <is>
          <t>3 viên R7 + 3 viên R28</t>
        </is>
      </c>
      <c r="K42" s="16" t="inlineStr">
        <is>
          <t>LAS-XD hợp chuẩn</t>
        </is>
      </c>
      <c r="L42" s="16" t="inlineStr">
        <is>
          <t>Đạt R28 nghiệm thu chuyển bước</t>
        </is>
      </c>
    </row>
    <row r="43" ht="20" customHeight="1">
      <c r="A43" s="38" t="n">
        <v>20</v>
      </c>
      <c r="B43" s="23" t="inlineStr">
        <is>
          <t>Mẫu nén bê tông Bệ trụ &amp; Thân trụ T1, T2</t>
        </is>
      </c>
      <c r="C43" s="23" t="inlineStr">
        <is>
          <t>TCVN 3118:1993</t>
        </is>
      </c>
      <c r="D43" s="23" t="inlineStr">
        <is>
          <t>Cường độ chịu nén mẫu lập phương R7, R28</t>
        </is>
      </c>
      <c r="E43" s="23" t="inlineStr">
        <is>
          <t>&lt;= 50m3 hoặc 1 ca đổ đúc 1 tổ</t>
        </is>
      </c>
      <c r="F43" s="22" t="inlineStr">
        <is>
          <t>Tổ</t>
        </is>
      </c>
      <c r="G43" s="24">
        <f>J13</f>
        <v/>
      </c>
      <c r="H43" s="24" t="n">
        <v>40</v>
      </c>
      <c r="I43" s="37">
        <f>ROUNDUP(G43/H43, 0)</f>
        <v/>
      </c>
      <c r="J43" s="23" t="inlineStr">
        <is>
          <t>3 viên R7 + 3 viên R28</t>
        </is>
      </c>
      <c r="K43" s="23" t="inlineStr">
        <is>
          <t>LAS-XD hợp chuẩn</t>
        </is>
      </c>
      <c r="L43" s="23" t="inlineStr">
        <is>
          <t>Đạt R28 cho phép thi công thân/xà mũ</t>
        </is>
      </c>
    </row>
    <row r="44" ht="20" customHeight="1">
      <c r="A44" s="36" t="n">
        <v>21</v>
      </c>
      <c r="B44" s="16" t="inlineStr">
        <is>
          <t>Mẫu nén bê tông Xà mũ trụ T1, T2 C35</t>
        </is>
      </c>
      <c r="C44" s="16" t="inlineStr">
        <is>
          <t>TCVN 3118:1993</t>
        </is>
      </c>
      <c r="D44" s="16" t="inlineStr">
        <is>
          <t>Cường độ chịu nén mẫu lập phương R7, R28</t>
        </is>
      </c>
      <c r="E44" s="16" t="inlineStr">
        <is>
          <t>&lt;= 50m3 hoặc 1 ca đổ đúc 1 tổ</t>
        </is>
      </c>
      <c r="F44" s="15" t="inlineStr">
        <is>
          <t>Tổ</t>
        </is>
      </c>
      <c r="G44" s="17">
        <f>J14</f>
        <v/>
      </c>
      <c r="H44" s="17" t="n">
        <v>36</v>
      </c>
      <c r="I44" s="37">
        <f>ROUNDUP(G44/H44, 0)</f>
        <v/>
      </c>
      <c r="J44" s="16" t="inlineStr">
        <is>
          <t>3 viên R7 + 3 viên R28</t>
        </is>
      </c>
      <c r="K44" s="16" t="inlineStr">
        <is>
          <t>LAS-XD hợp chuẩn</t>
        </is>
      </c>
      <c r="L44" s="16" t="inlineStr">
        <is>
          <t>Đạt R28 cho phép đặt gối và lao dầm</t>
        </is>
      </c>
    </row>
    <row r="45" ht="20" customHeight="1">
      <c r="A45" s="38" t="n">
        <v>22</v>
      </c>
      <c r="B45" s="23" t="inlineStr">
        <is>
          <t>Mẫu nén bê tông Dầm Super-T C45 (15 phiến)</t>
        </is>
      </c>
      <c r="C45" s="23" t="inlineStr">
        <is>
          <t>TCVN 3118:1993</t>
        </is>
      </c>
      <c r="D45" s="23" t="inlineStr">
        <is>
          <t>Cường độ nén trước kéo cáp &gt;=85%, R7, R28</t>
        </is>
      </c>
      <c r="E45" s="23" t="inlineStr">
        <is>
          <t>Mỗi phiến dầm tối thiểu 3 tổ mẫu</t>
        </is>
      </c>
      <c r="F45" s="22" t="inlineStr">
        <is>
          <t>Tổ</t>
        </is>
      </c>
      <c r="G45" s="24">
        <f>J16</f>
        <v/>
      </c>
      <c r="H45" s="24" t="n">
        <v>9.66</v>
      </c>
      <c r="I45" s="37">
        <f>ROUNDUP(G45/H45, 0)</f>
        <v/>
      </c>
      <c r="J45" s="23" t="inlineStr">
        <is>
          <t>3 tổ (9 viên) / phiến dầm</t>
        </is>
      </c>
      <c r="K45" s="23" t="inlineStr">
        <is>
          <t>LAS-XD hợp chuẩn</t>
        </is>
      </c>
      <c r="L45" s="23" t="inlineStr">
        <is>
          <t>Đạt R kéo &gt;= 85% mới cho kích cáp</t>
        </is>
      </c>
    </row>
    <row r="46" ht="20" customHeight="1">
      <c r="A46" s="36" t="n">
        <v>23</v>
      </c>
      <c r="B46" s="16" t="inlineStr">
        <is>
          <t>Mẫu nén bê tông Bản mặt cầu &amp; Dầm ngang</t>
        </is>
      </c>
      <c r="C46" s="16" t="inlineStr">
        <is>
          <t>TCVN 3118:1993</t>
        </is>
      </c>
      <c r="D46" s="16" t="inlineStr">
        <is>
          <t>Cường độ chịu nén mẫu lập phương R7, R28</t>
        </is>
      </c>
      <c r="E46" s="16" t="inlineStr">
        <is>
          <t>&lt;= 50m3 hoặc 1 ca đổ đúc 1 tổ</t>
        </is>
      </c>
      <c r="F46" s="15" t="inlineStr">
        <is>
          <t>Tổ</t>
        </is>
      </c>
      <c r="G46" s="17">
        <f>J15</f>
        <v/>
      </c>
      <c r="H46" s="17" t="n">
        <v>40</v>
      </c>
      <c r="I46" s="37">
        <f>ROUNDUP(G46/H46, 0)</f>
        <v/>
      </c>
      <c r="J46" s="16" t="inlineStr">
        <is>
          <t>3 viên R7 + 3 viên R28</t>
        </is>
      </c>
      <c r="K46" s="16" t="inlineStr">
        <is>
          <t>LAS-XD hợp chuẩn</t>
        </is>
      </c>
      <c r="L46" s="16" t="inlineStr">
        <is>
          <t>Đạt R28 nghiệm thu hoàn thành BMC</t>
        </is>
      </c>
    </row>
    <row r="47" ht="20" customHeight="1">
      <c r="A47" s="38" t="n">
        <v>24</v>
      </c>
      <c r="B47" s="23" t="inlineStr">
        <is>
          <t>Mẫu nén bê tông Bản quá độ &amp; Gờ lan can C25</t>
        </is>
      </c>
      <c r="C47" s="23" t="inlineStr">
        <is>
          <t>TCVN 3118:1993</t>
        </is>
      </c>
      <c r="D47" s="23" t="inlineStr">
        <is>
          <t>Cường độ chịu nén mẫu lập phương R7, R28</t>
        </is>
      </c>
      <c r="E47" s="23" t="inlineStr">
        <is>
          <t>&lt;= 50m3 hoặc 1 ca đổ đúc 1 tổ</t>
        </is>
      </c>
      <c r="F47" s="22" t="inlineStr">
        <is>
          <t>Tổ</t>
        </is>
      </c>
      <c r="G47" s="24">
        <f>J10</f>
        <v/>
      </c>
      <c r="H47" s="24" t="n">
        <v>40</v>
      </c>
      <c r="I47" s="37">
        <f>ROUNDUP(G47/H47, 0)</f>
        <v/>
      </c>
      <c r="J47" s="23" t="inlineStr">
        <is>
          <t>3 viên R7 + 3 viên R28</t>
        </is>
      </c>
      <c r="K47" s="23" t="inlineStr">
        <is>
          <t>LAS-XD hợp chuẩn</t>
        </is>
      </c>
      <c r="L47" s="23" t="inlineStr">
        <is>
          <t>Đạt R28 nghiệm thu KCS</t>
        </is>
      </c>
    </row>
    <row r="48" ht="20" customHeight="1">
      <c r="A48" s="36" t="n">
        <v>25</v>
      </c>
      <c r="B48" s="16" t="inlineStr">
        <is>
          <t>Mẫu nén bê tông lót đệm C10</t>
        </is>
      </c>
      <c r="C48" s="16" t="inlineStr">
        <is>
          <t>TCVN 3118:1993</t>
        </is>
      </c>
      <c r="D48" s="16" t="inlineStr">
        <is>
          <t>Cường độ chịu nén mẫu lập phương R28</t>
        </is>
      </c>
      <c r="E48" s="16" t="inlineStr">
        <is>
          <t>Mỗi hạng mục móng đúc 1 tổ mẫu</t>
        </is>
      </c>
      <c r="F48" s="15" t="inlineStr">
        <is>
          <t>Tổ</t>
        </is>
      </c>
      <c r="G48" s="17">
        <f>J9</f>
        <v/>
      </c>
      <c r="H48" s="17" t="n">
        <v>15</v>
      </c>
      <c r="I48" s="37">
        <f>ROUNDUP(G48/H48, 0)</f>
        <v/>
      </c>
      <c r="J48" s="16" t="inlineStr">
        <is>
          <t>3 viên nén R28</t>
        </is>
      </c>
      <c r="K48" s="16" t="inlineStr">
        <is>
          <t>LAS-XD hợp chuẩn</t>
        </is>
      </c>
      <c r="L48" s="16" t="inlineStr">
        <is>
          <t>Đạt R28 nghiệm thu bê tông lót</t>
        </is>
      </c>
    </row>
    <row r="49" ht="20" customHeight="1">
      <c r="A49" s="38" t="n">
        <v>26</v>
      </c>
      <c r="B49" s="23" t="inlineStr">
        <is>
          <t>Mẫu nén vữa chèn khe co giãn không co ngót</t>
        </is>
      </c>
      <c r="C49" s="23" t="inlineStr">
        <is>
          <t>TCVN 9204:2012</t>
        </is>
      </c>
      <c r="D49" s="23" t="inlineStr">
        <is>
          <t>Cường độ nén vữa R3, R7, R28 (&gt;=40MPa)</t>
        </is>
      </c>
      <c r="E49" s="23" t="inlineStr">
        <is>
          <t>Mỗi khe co giãn đúc 1 tổ mẫu</t>
        </is>
      </c>
      <c r="F49" s="22" t="inlineStr">
        <is>
          <t>Tổ</t>
        </is>
      </c>
      <c r="G49" s="24">
        <f>J17</f>
        <v/>
      </c>
      <c r="H49" s="24" t="n">
        <v>1.5</v>
      </c>
      <c r="I49" s="37">
        <f>ROUNDUP(G49/H49, 0)</f>
        <v/>
      </c>
      <c r="J49" s="23" t="inlineStr">
        <is>
          <t>3 viên R7 + 3 viên R28</t>
        </is>
      </c>
      <c r="K49" s="23" t="inlineStr">
        <is>
          <t>LAS-XD hợp chuẩn</t>
        </is>
      </c>
      <c r="L49" s="23" t="inlineStr">
        <is>
          <t>Đạt R28 trước khi thông xe</t>
        </is>
      </c>
    </row>
    <row r="50" ht="20" customHeight="1">
      <c r="A50" s="36" t="n">
        <v>27</v>
      </c>
      <c r="B50" s="16" t="inlineStr">
        <is>
          <t>Siêu âm kiểm tra độ đồng nhất cọc D1200</t>
        </is>
      </c>
      <c r="C50" s="16" t="inlineStr">
        <is>
          <t>TCVN 9396:2012 / ASTM D6760</t>
        </is>
      </c>
      <c r="D50" s="16" t="inlineStr">
        <is>
          <t>Thời gian truyền sóng, suy giảm biên độ sóng âm</t>
        </is>
      </c>
      <c r="E50" s="16" t="inlineStr">
        <is>
          <t>100% số cọc (6 mặt cắt / cọc 4 ống sonic)</t>
        </is>
      </c>
      <c r="F50" s="15" t="inlineStr">
        <is>
          <t>Mặt cắt</t>
        </is>
      </c>
      <c r="G50" s="17" t="n">
        <v>156</v>
      </c>
      <c r="H50" s="17" t="n">
        <v>1</v>
      </c>
      <c r="I50" s="37">
        <f>ROUNDUP(G50/H50, 0)</f>
        <v/>
      </c>
      <c r="J50" s="16" t="inlineStr">
        <is>
          <t>6 mặt cắt / cọc</t>
        </is>
      </c>
      <c r="K50" s="16" t="inlineStr">
        <is>
          <t>LAS-XD chuyên ngành</t>
        </is>
      </c>
      <c r="L50" s="16" t="inlineStr">
        <is>
          <t>100% cọc đạt khuyết tật loại 1</t>
        </is>
      </c>
    </row>
    <row r="51" ht="20" customHeight="1">
      <c r="A51" s="38" t="n">
        <v>28</v>
      </c>
      <c r="B51" s="23" t="inlineStr">
        <is>
          <t>Thí nghiệm thử tải động biến dạng lớn PDA</t>
        </is>
      </c>
      <c r="C51" s="23" t="inlineStr">
        <is>
          <t>ASTM D4945 / TCVN 11321</t>
        </is>
      </c>
      <c r="D51" s="23" t="inlineStr">
        <is>
          <t>Sức chịu tải giới hạn cọc, tính toàn vẹn cọc BTA</t>
        </is>
      </c>
      <c r="E51" s="23" t="inlineStr">
        <is>
          <t>Tối thiểu 1% số cọc (1 cọc thử PDA)</t>
        </is>
      </c>
      <c r="F51" s="22" t="inlineStr">
        <is>
          <t>Cọc</t>
        </is>
      </c>
      <c r="G51" s="24" t="n">
        <v>1</v>
      </c>
      <c r="H51" s="24" t="n">
        <v>1</v>
      </c>
      <c r="I51" s="37">
        <f>ROUNDUP(G51/H51, 0)</f>
        <v/>
      </c>
      <c r="J51" s="23" t="inlineStr">
        <is>
          <t>1 cọc đại diện</t>
        </is>
      </c>
      <c r="K51" s="23" t="inlineStr">
        <is>
          <t>LAS-XD chuyên ngành</t>
        </is>
      </c>
      <c r="L51" s="23" t="inlineStr">
        <is>
          <t>Đạt sức chịu tải thiết kế Qtk&gt;=450T</t>
        </is>
      </c>
    </row>
    <row r="52" ht="20" customHeight="1">
      <c r="A52" s="36" t="n">
        <v>29</v>
      </c>
      <c r="B52" s="16" t="inlineStr">
        <is>
          <t>Khoan kiểm tra tiếp xúc mũi cọc &amp; đáy cọc</t>
        </is>
      </c>
      <c r="C52" s="16" t="inlineStr">
        <is>
          <t>TCVN 9395:2012</t>
        </is>
      </c>
      <c r="D52" s="16" t="inlineStr">
        <is>
          <t>Đo chiều dày lớp cặn lắng, độ ngậm đá gốc</t>
        </is>
      </c>
      <c r="E52" s="16" t="inlineStr">
        <is>
          <t>Khoan kiểm tra theo chỉ định (4 cọc)</t>
        </is>
      </c>
      <c r="F52" s="15" t="inlineStr">
        <is>
          <t>Cọc</t>
        </is>
      </c>
      <c r="G52" s="17" t="n">
        <v>4</v>
      </c>
      <c r="H52" s="17" t="n">
        <v>1</v>
      </c>
      <c r="I52" s="37">
        <f>ROUNDUP(G52/H52, 0)</f>
        <v/>
      </c>
      <c r="J52" s="16" t="inlineStr">
        <is>
          <t>4 cọc kiểm tra</t>
        </is>
      </c>
      <c r="K52" s="16" t="inlineStr">
        <is>
          <t>LAS-XD chuyên ngành</t>
        </is>
      </c>
      <c r="L52" s="16" t="inlineStr">
        <is>
          <t>Cặn lắng &lt;= 5cm, ngậm đá gốc &gt;=1m</t>
        </is>
      </c>
    </row>
    <row r="53" ht="24" customHeight="1">
      <c r="A53" s="29" t="inlineStr">
        <is>
          <t>TỔNG SỐ TỔ MẪU THÍ NGHIỆM VÀ PHÉP THỬ KCS BẮT BUỘC TOÀN CÔNG TRÌNH</t>
        </is>
      </c>
      <c r="B53" s="30" t="n"/>
      <c r="C53" s="30" t="n"/>
      <c r="D53" s="30" t="n"/>
      <c r="E53" s="30" t="n"/>
      <c r="F53" s="30" t="n"/>
      <c r="G53" s="30" t="n"/>
      <c r="H53" s="31" t="n"/>
      <c r="I53" s="39">
        <f>SUM(I24:I52)</f>
        <v/>
      </c>
      <c r="J53" s="34" t="inlineStr">
        <is>
          <t>Tổng số tổ mẫu nén, kéo uốn và siêu âm KCS hoàn chỉnh</t>
        </is>
      </c>
      <c r="K53" s="30" t="n"/>
      <c r="L53" s="31" t="n"/>
    </row>
  </sheetData>
  <mergeCells count="3">
    <mergeCell ref="A18:I18"/>
    <mergeCell ref="A53:H53"/>
    <mergeCell ref="J53:L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2026-10-07T04:47:28Z</dcterms:created>
  <dcterms:modified xmlns:dcterms="http://purl.org/dc/terms/" xmlns:xsi="http://www.w3.org/2001/XMLSchema-instance" xsi:type="dcterms:W3CDTF">2026-10-07T04:47:29Z</dcterms:modified>
</cp:coreProperties>
</file>