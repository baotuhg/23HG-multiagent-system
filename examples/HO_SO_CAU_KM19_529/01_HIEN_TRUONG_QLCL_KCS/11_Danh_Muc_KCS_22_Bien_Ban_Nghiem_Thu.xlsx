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O_KCS_NGHIEM_THU" sheetId="1" state="visible" r:id="rId1"/>
    <sheet xmlns:r="http://schemas.openxmlformats.org/officeDocument/2006/relationships" name="QS_DIEN_GIAI_CHI_TIET" sheetId="2" state="visible" r:id="rId2"/>
    <sheet xmlns:r="http://schemas.openxmlformats.org/officeDocument/2006/relationships" name="KHOI_LUONG_DAO_DAP" sheetId="3" state="visible" r:id="rId3"/>
    <sheet xmlns:r="http://schemas.openxmlformats.org/officeDocument/2006/relationships" name="TIEN_DO_THI_CONG_WB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0"/>
    <numFmt numFmtId="165" formatCode="#,##0.000"/>
    <numFmt numFmtId="166" formatCode="#,##0.0"/>
  </numFmts>
  <fonts count="10">
    <font>
      <name val="Calibri"/>
      <family val="2"/>
      <color theme="1"/>
      <sz val="11"/>
      <scheme val="minor"/>
    </font>
    <font>
      <name val="Times New Roman"/>
      <b val="1"/>
      <color rgb="001F497D"/>
      <sz val="13"/>
    </font>
    <font>
      <name val="Times New Roman"/>
      <b val="1"/>
      <color rgb="001F497D"/>
      <sz val="10"/>
    </font>
    <font>
      <name val="Times New Roman"/>
      <i val="1"/>
      <color rgb="00595959"/>
      <sz val="10"/>
    </font>
    <font>
      <name val="Times New Roman"/>
      <b val="1"/>
      <color rgb="00FFFFFF"/>
      <sz val="9"/>
    </font>
    <font>
      <name val="Times New Roman"/>
      <b val="1"/>
      <sz val="10"/>
    </font>
    <font>
      <name val="Times New Roman"/>
      <b val="1"/>
      <sz val="9"/>
    </font>
    <font>
      <name val="Times New Roman"/>
      <sz val="9"/>
    </font>
    <font>
      <name val="Times New Roman"/>
      <i val="1"/>
      <sz val="9"/>
    </font>
    <font>
      <name val="Times New Roman"/>
      <b val="1"/>
      <color rgb="00FFFFFF"/>
      <sz val="8"/>
    </font>
  </fonts>
  <fills count="11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9FAFB"/>
        <bgColor rgb="00F9FAFB"/>
      </patternFill>
    </fill>
    <fill>
      <patternFill patternType="solid">
        <fgColor rgb="00FFF2CC"/>
        <bgColor rgb="00FFF2CC"/>
      </patternFill>
    </fill>
    <fill>
      <patternFill patternType="solid">
        <fgColor rgb="00244061"/>
        <bgColor rgb="00244061"/>
      </patternFill>
    </fill>
    <fill>
      <patternFill patternType="solid">
        <fgColor rgb="00366092"/>
        <bgColor rgb="00366092"/>
      </patternFill>
    </fill>
    <fill>
      <patternFill patternType="solid">
        <fgColor rgb="00FCE4D6"/>
        <bgColor rgb="00FCE4D6"/>
      </patternFill>
    </fill>
    <fill>
      <patternFill patternType="solid">
        <fgColor rgb="00C00000"/>
        <bgColor rgb="00C00000"/>
      </patternFill>
    </fill>
    <fill>
      <patternFill patternType="solid">
        <fgColor rgb="004F81BD"/>
        <bgColor rgb="004F81BD"/>
      </patternFill>
    </fill>
  </fills>
  <borders count="1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double">
        <color rgb="001F497D"/>
      </bottom>
    </border>
    <border>
      <left/>
      <right/>
      <top style="thin">
        <color rgb="00BFBFBF"/>
      </top>
      <bottom style="double">
        <color rgb="001F497D"/>
      </bottom>
      <diagonal/>
    </border>
    <border>
      <left/>
      <right style="thin">
        <color rgb="00BFBFBF"/>
      </right>
      <top style="thin">
        <color rgb="00BFBFBF"/>
      </top>
      <bottom style="double">
        <color rgb="001F497D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0" fillId="0" borderId="1" pivotButton="0" quotePrefix="0" xfId="0"/>
    <xf numFmtId="4" fontId="6" fillId="0" borderId="1" pivotButton="0" quotePrefix="0" xfId="0"/>
    <xf numFmtId="3" fontId="6" fillId="0" borderId="1" applyAlignment="1" pivotButton="0" quotePrefix="0" xfId="0">
      <alignment horizontal="right" vertical="center"/>
    </xf>
    <xf numFmtId="3" fontId="6" fillId="0" borderId="1" pivotButton="0" quotePrefix="0" xfId="0"/>
    <xf numFmtId="0" fontId="7" fillId="4" borderId="1" pivotButton="0" quotePrefix="0" xfId="0"/>
    <xf numFmtId="0" fontId="7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 wrapText="1"/>
    </xf>
    <xf numFmtId="4" fontId="7" fillId="4" borderId="1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  <xf numFmtId="4" fontId="7" fillId="4" borderId="1" pivotButton="0" quotePrefix="0" xfId="0"/>
    <xf numFmtId="165" fontId="6" fillId="0" borderId="1" pivotButton="0" quotePrefix="0" xfId="0"/>
    <xf numFmtId="165" fontId="7" fillId="4" borderId="1" pivotButton="0" quotePrefix="0" xfId="0"/>
    <xf numFmtId="0" fontId="6" fillId="5" borderId="2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4" pivotButton="0" quotePrefix="0" xfId="0"/>
    <xf numFmtId="3" fontId="6" fillId="5" borderId="2" pivotButton="0" quotePrefix="0" xfId="0"/>
    <xf numFmtId="0" fontId="7" fillId="0" borderId="1" applyAlignment="1" pivotButton="0" quotePrefix="0" xfId="0">
      <alignment horizontal="center" vertical="center" wrapText="1"/>
    </xf>
    <xf numFmtId="4" fontId="7" fillId="0" borderId="1" applyAlignment="1" pivotButton="0" quotePrefix="0" xfId="0">
      <alignment horizontal="right" vertical="center"/>
    </xf>
    <xf numFmtId="4" fontId="7" fillId="0" borderId="1" pivotButton="0" quotePrefix="0" xfId="0"/>
    <xf numFmtId="4" fontId="6" fillId="5" borderId="2" pivotButton="0" quotePrefix="0" xfId="0"/>
    <xf numFmtId="0" fontId="0" fillId="5" borderId="2" pivotButton="0" quotePrefix="0" xfId="0"/>
    <xf numFmtId="0" fontId="4" fillId="6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9" fillId="7" borderId="1" applyAlignment="1" pivotButton="0" quotePrefix="0" xfId="0">
      <alignment horizontal="center" vertical="center" wrapText="1"/>
    </xf>
    <xf numFmtId="0" fontId="0" fillId="2" borderId="1" pivotButton="0" quotePrefix="0" xfId="0"/>
    <xf numFmtId="166" fontId="0" fillId="0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8" customWidth="1" min="3" max="3"/>
    <col width="15" customWidth="1" min="4" max="4"/>
    <col width="8" customWidth="1" min="5" max="5"/>
    <col width="25" customWidth="1" min="6" max="6"/>
    <col width="45" customWidth="1" min="7" max="7"/>
  </cols>
  <sheetData>
    <row r="1"/>
    <row r="2">
      <c r="B2" s="1" t="inlineStr">
        <is>
          <t>DỰ ÁN: CAO TỐC TUYÊN QUANG - HÀ GIANG (GIAI ĐOẠN 1) - ĐOẠN QUA TỈNH HÀ GIANG</t>
        </is>
      </c>
    </row>
    <row r="3">
      <c r="B3" s="2" t="inlineStr">
        <is>
          <t>DANH MỤC HỒ SƠ QUẢN LÝ CHẤT LƯỢNG &amp; BIÊN BẢN NGHIỆM THU KCS - CẦU KM19+529.080</t>
        </is>
      </c>
    </row>
    <row r="4">
      <c r="B4" s="3" t="inlineStr">
        <is>
          <t>Tuân thủ Luật Xây dựng số 135/2025/QH15 &amp; Nghị định 207/2026/NĐ-CP (Khối lượng link trực tiếp từ Sheet QS)</t>
        </is>
      </c>
    </row>
    <row r="5" ht="28" customHeight="1">
      <c r="A5" s="4" t="inlineStr">
        <is>
          <t>STT</t>
        </is>
      </c>
      <c r="B5" s="4" t="inlineStr">
        <is>
          <t>Số hiệu biên bản</t>
        </is>
      </c>
      <c r="C5" s="4" t="inlineStr">
        <is>
          <t>Tên công việc / Giai đoạn nghiệm thu KCS</t>
        </is>
      </c>
      <c r="D5" s="4" t="inlineStr">
        <is>
          <t>Khối lượng nghiệm thu</t>
        </is>
      </c>
      <c r="E5" s="4" t="inlineStr">
        <is>
          <t>ĐVT</t>
        </is>
      </c>
      <c r="F5" s="4" t="inlineStr">
        <is>
          <t>Căn cứ quy chuẩn / Tiêu chuẩn áp dụng</t>
        </is>
      </c>
      <c r="G5" s="4" t="inlineStr">
        <is>
          <t>Chỉ tiêu thí nghiệm &amp; Điểm kiểm soát (Hold Points)</t>
        </is>
      </c>
      <c r="H5" s="5" t="inlineStr">
        <is>
          <t>Ngày nghiệm thu hoàn thành</t>
        </is>
      </c>
    </row>
    <row r="6" ht="20" customHeight="1">
      <c r="A6" s="6" t="n">
        <v>1</v>
      </c>
      <c r="B6" s="7" t="inlineStr">
        <is>
          <t>BBNT-01</t>
        </is>
      </c>
      <c r="C6" s="8" t="inlineStr">
        <is>
          <t>Bàn giao tim mốc VN2000, cao độ Hòn Dấu &amp; tim mốc cầu Km19+529.080</t>
        </is>
      </c>
      <c r="D6" s="9" t="n">
        <v>1</v>
      </c>
      <c r="E6" s="10" t="inlineStr">
        <is>
          <t>Điểm</t>
        </is>
      </c>
      <c r="F6" s="11" t="inlineStr">
        <is>
          <t>TCVN 9393:2012</t>
        </is>
      </c>
      <c r="G6" s="8" t="inlineStr">
        <is>
          <t>Sai số tọa độ tim mốc &lt;= 5mm, mốc cao độ &lt;= 2mm</t>
        </is>
      </c>
      <c r="H6" s="12">
        <f>TIEN_DO_THI_CONG_WBS!J8</f>
        <v/>
      </c>
    </row>
    <row r="7" ht="20" customHeight="1">
      <c r="A7" s="6" t="n">
        <v>2</v>
      </c>
      <c r="B7" s="7" t="inlineStr">
        <is>
          <t>BBNT-02</t>
        </is>
      </c>
      <c r="C7" s="8" t="inlineStr">
        <is>
          <t>Nghiệm thu dọn dẹp mặt bằng, thi công đường công vụ nhánh 6 &amp; 6A</t>
        </is>
      </c>
      <c r="D7" s="9">
        <f>KHOI_LUONG_DAO_DAP!F19</f>
        <v/>
      </c>
      <c r="E7" s="10" t="inlineStr">
        <is>
          <t>m3</t>
        </is>
      </c>
      <c r="F7" s="11" t="inlineStr">
        <is>
          <t>TCVN 4447:2012</t>
        </is>
      </c>
      <c r="G7" s="8" t="inlineStr">
        <is>
          <t>Độ dầm chặt nền đường K &gt;= 0.95, thoát nước tốt</t>
        </is>
      </c>
      <c r="H7" s="12">
        <f>TIEN_DO_THI_CONG_WBS!J10</f>
        <v/>
      </c>
    </row>
    <row r="8" ht="20" customHeight="1">
      <c r="A8" s="6" t="n">
        <v>3</v>
      </c>
      <c r="B8" s="7" t="inlineStr">
        <is>
          <t>BBNT-03</t>
        </is>
      </c>
      <c r="C8" s="8" t="inlineStr">
        <is>
          <t>Kiểm tra nghiệm thu chất lượng vật liệu đầu vào (Thép, Cáp DUL, Xi măng)</t>
        </is>
      </c>
      <c r="D8" s="9" t="n">
        <v>1</v>
      </c>
      <c r="E8" s="10" t="inlineStr">
        <is>
          <t>Lô</t>
        </is>
      </c>
      <c r="F8" s="11" t="inlineStr">
        <is>
          <t>TCVN 1651:2018, ASTM A416</t>
        </is>
      </c>
      <c r="G8" s="8" t="inlineStr">
        <is>
          <t>Chứng chỉ CO/CQ, thí nghiệm kéo uốn thép, nén xi măng</t>
        </is>
      </c>
      <c r="H8" s="12">
        <f>TIEN_DO_THI_CONG_WBS!I8</f>
        <v/>
      </c>
    </row>
    <row r="9" ht="20" customHeight="1">
      <c r="A9" s="6" t="n">
        <v>4</v>
      </c>
      <c r="B9" s="7" t="inlineStr">
        <is>
          <t>BBNT-04</t>
        </is>
      </c>
      <c r="C9" s="8" t="inlineStr">
        <is>
          <t>Nghiệm thu trạm trộn BTXM, trạm biến áp &amp; bệ đúc dầm Super-T</t>
        </is>
      </c>
      <c r="D9" s="9" t="n">
        <v>1</v>
      </c>
      <c r="E9" s="10" t="inlineStr">
        <is>
          <t>Hệ</t>
        </is>
      </c>
      <c r="F9" s="11" t="inlineStr">
        <is>
          <t>TCVN 9340:2012</t>
        </is>
      </c>
      <c r="G9" s="8" t="inlineStr">
        <is>
          <t>Độ chính xác cân đong sai số &lt;= 1%, bệ đúc đủ độ cứng</t>
        </is>
      </c>
      <c r="H9" s="12">
        <f>TIEN_DO_THI_CONG_WBS!J11</f>
        <v/>
      </c>
    </row>
    <row r="10" ht="20" customHeight="1">
      <c r="A10" s="6" t="n">
        <v>5</v>
      </c>
      <c r="B10" s="7" t="inlineStr">
        <is>
          <t>BBNT-05</t>
        </is>
      </c>
      <c r="C10" s="8" t="inlineStr">
        <is>
          <t>Nghiệm thu định vị tim cọc &amp; hạ ống vách thép dẫn hướng D1300mm</t>
        </is>
      </c>
      <c r="D10" s="9">
        <f>QS_DIEN_GIAI_CHI_TIET!J12</f>
        <v/>
      </c>
      <c r="E10" s="10" t="inlineStr">
        <is>
          <t>m</t>
        </is>
      </c>
      <c r="F10" s="11" t="inlineStr">
        <is>
          <t>TCVN 11823:2017</t>
        </is>
      </c>
      <c r="G10" s="8" t="inlineStr">
        <is>
          <t>Độ nghiêng ống vách &lt;= 1%, sai số tim cọc &lt;= 50mm</t>
        </is>
      </c>
      <c r="H10" s="12">
        <f>TIEN_DO_THI_CONG_WBS!I14</f>
        <v/>
      </c>
    </row>
    <row r="11" ht="20" customHeight="1">
      <c r="A11" s="6" t="n">
        <v>6</v>
      </c>
      <c r="B11" s="7" t="inlineStr">
        <is>
          <t>BBNT-06</t>
        </is>
      </c>
      <c r="C11" s="8" t="inlineStr">
        <is>
          <t>Nghiệm thu khoan thăm dò hang Karst sâu 5m dưới mũi cọc</t>
        </is>
      </c>
      <c r="D11" s="9" t="n">
        <v>26</v>
      </c>
      <c r="E11" s="10" t="inlineStr">
        <is>
          <t>Lỗ</t>
        </is>
      </c>
      <c r="F11" s="11" t="inlineStr">
        <is>
          <t>Chỉ dẫn TK Trang 11</t>
        </is>
      </c>
      <c r="G11" s="8" t="inlineStr">
        <is>
          <t>Khoan vào đá liền khối tối thiểu 5m, không rỗng Karst</t>
        </is>
      </c>
      <c r="H11" s="12">
        <f>TIEN_DO_THI_CONG_WBS!J13</f>
        <v/>
      </c>
    </row>
    <row r="12" ht="20" customHeight="1">
      <c r="A12" s="6" t="n">
        <v>7</v>
      </c>
      <c r="B12" s="7" t="inlineStr">
        <is>
          <t>BBNT-07</t>
        </is>
      </c>
      <c r="C12" s="8" t="inlineStr">
        <is>
          <t>Nghiệm thu hố khoan cọc D1200mm, thổi rửa đáy &amp; kiểm tra dung dịch</t>
        </is>
      </c>
      <c r="D12" s="9">
        <f>QS_DIEN_GIAI_CHI_TIET!J7</f>
        <v/>
      </c>
      <c r="E12" s="10" t="inlineStr">
        <is>
          <t>m</t>
        </is>
      </c>
      <c r="F12" s="11" t="inlineStr">
        <is>
          <t>TCVN 9395:2012</t>
        </is>
      </c>
      <c r="G12" s="8" t="inlineStr">
        <is>
          <t>Chiều dày cặn lắng đáy &lt;= 50mm, tỷ trọng bentonite 1.05-1.15</t>
        </is>
      </c>
      <c r="H12" s="12">
        <f>TIEN_DO_THI_CONG_WBS!J14</f>
        <v/>
      </c>
    </row>
    <row r="13" ht="20" customHeight="1">
      <c r="A13" s="6" t="n">
        <v>8</v>
      </c>
      <c r="B13" s="7" t="inlineStr">
        <is>
          <t>BBNT-08</t>
        </is>
      </c>
      <c r="C13" s="8" t="inlineStr">
        <is>
          <t>Nghiệm thu gia công, lắp dựng lồng cốt thép &amp; ống siêu âm cọc nhồi</t>
        </is>
      </c>
      <c r="D13" s="9">
        <f>QS_DIEN_GIAI_CHI_TIET!J22</f>
        <v/>
      </c>
      <c r="E13" s="10" t="inlineStr">
        <is>
          <t>Tấn</t>
        </is>
      </c>
      <c r="F13" s="11" t="inlineStr">
        <is>
          <t>TCVN 4453:1995</t>
        </is>
      </c>
      <c r="G13" s="8" t="inlineStr">
        <is>
          <t>Chiều dài lồng thép, mối nối coupler, ống siêu âm kín nước</t>
        </is>
      </c>
      <c r="H13" s="12">
        <f>TIEN_DO_THI_CONG_WBS!J15</f>
        <v/>
      </c>
    </row>
    <row r="14" ht="20" customHeight="1">
      <c r="A14" s="6" t="n">
        <v>9</v>
      </c>
      <c r="B14" s="7" t="inlineStr">
        <is>
          <t>BBNT-09</t>
        </is>
      </c>
      <c r="C14" s="8" t="inlineStr">
        <is>
          <t>Nghiệm thu đổ bê tông cọc khoan nhồi C30 bằng ống tremie</t>
        </is>
      </c>
      <c r="D14" s="9">
        <f>QS_DIEN_GIAI_CHI_TIET!J17</f>
        <v/>
      </c>
      <c r="E14" s="10" t="inlineStr">
        <is>
          <t>m3</t>
        </is>
      </c>
      <c r="F14" s="11" t="inlineStr">
        <is>
          <t>TCVN 9395:2012</t>
        </is>
      </c>
      <c r="G14" s="8" t="inlineStr">
        <is>
          <t>Độ sụt 18+-2cm, ống tremie ngập bê tông &gt;= 2.0m liên tục</t>
        </is>
      </c>
      <c r="H14" s="12">
        <f>TIEN_DO_THI_CONG_WBS!J17</f>
        <v/>
      </c>
    </row>
    <row r="15" ht="20" customHeight="1">
      <c r="A15" s="6" t="n">
        <v>10</v>
      </c>
      <c r="B15" s="7" t="inlineStr">
        <is>
          <t>BBNT-10</t>
        </is>
      </c>
      <c r="C15" s="8" t="inlineStr">
        <is>
          <t>Nghiệm thu thí nghiệm kiểm tra cọc (Siêu âm 100%, lõi bê tông &amp; PDA)</t>
        </is>
      </c>
      <c r="D15" s="9" t="n">
        <v>1</v>
      </c>
      <c r="E15" s="10" t="inlineStr">
        <is>
          <t>Gói</t>
        </is>
      </c>
      <c r="F15" s="11" t="inlineStr">
        <is>
          <t>TCVN 9396, ASTM D4945</t>
        </is>
      </c>
      <c r="G15" s="8" t="inlineStr">
        <is>
          <t>Siêu âm 156 mặt cắt; PDA trụ T1 đạt tải trọng 9434 kN</t>
        </is>
      </c>
      <c r="H15" s="12">
        <f>TIEN_DO_THI_CONG_WBS!J18</f>
        <v/>
      </c>
    </row>
    <row r="16" ht="20" customHeight="1">
      <c r="A16" s="6" t="n">
        <v>11</v>
      </c>
      <c r="B16" s="7" t="inlineStr">
        <is>
          <t>BBNT-11</t>
        </is>
      </c>
      <c r="C16" s="8" t="inlineStr">
        <is>
          <t>Nghiệm thu đào hố móng, đập đầu 26 cọc &amp; đổ bê tông lót bệ mác C10</t>
        </is>
      </c>
      <c r="D16" s="9">
        <f>QS_DIEN_GIAI_CHI_TIET!J34</f>
        <v/>
      </c>
      <c r="E16" s="10" t="inlineStr">
        <is>
          <t>m3</t>
        </is>
      </c>
      <c r="F16" s="11" t="inlineStr">
        <is>
          <t>TCVN 4453:1995</t>
        </is>
      </c>
      <c r="G16" s="8" t="inlineStr">
        <is>
          <t>Đầu cọc ngàm vào bệ 10cm, cốt thép cọc neo sâu 40D</t>
        </is>
      </c>
      <c r="H16" s="12">
        <f>TIEN_DO_THI_CONG_WBS!J20</f>
        <v/>
      </c>
    </row>
    <row r="17" ht="20" customHeight="1">
      <c r="A17" s="6" t="n">
        <v>12</v>
      </c>
      <c r="B17" s="7" t="inlineStr">
        <is>
          <t>BBNT-12</t>
        </is>
      </c>
      <c r="C17" s="8" t="inlineStr">
        <is>
          <t>Nghiệm thu ván khuôn, cốt thép &amp; đổ bê tông bệ mố M1, M2 &amp; bệ trụ T1, T2 C30</t>
        </is>
      </c>
      <c r="D17" s="9">
        <f>QS_DIEN_GIAI_CHI_TIET!J39</f>
        <v/>
      </c>
      <c r="E17" s="10" t="inlineStr">
        <is>
          <t>m3</t>
        </is>
      </c>
      <c r="F17" s="11" t="inlineStr">
        <is>
          <t>TCVN 3105:2022</t>
        </is>
      </c>
      <c r="G17" s="8" t="inlineStr">
        <is>
          <t>Kích thước hình học bệ, 12 tổ mẫu thử nén đạt C30</t>
        </is>
      </c>
      <c r="H17" s="12">
        <f>TIEN_DO_THI_CONG_WBS!J22</f>
        <v/>
      </c>
    </row>
    <row r="18" ht="20" customHeight="1">
      <c r="A18" s="6" t="n">
        <v>13</v>
      </c>
      <c r="B18" s="7" t="inlineStr">
        <is>
          <t>BBNT-13</t>
        </is>
      </c>
      <c r="C18" s="8" t="inlineStr">
        <is>
          <t>Nghiệm thu thân mố chân dê M1 và thân mố chữ U M2 bê tông C30</t>
        </is>
      </c>
      <c r="D18" s="9">
        <f>QS_DIEN_GIAI_CHI_TIET!J44</f>
        <v/>
      </c>
      <c r="E18" s="10" t="inlineStr">
        <is>
          <t>m3</t>
        </is>
      </c>
      <c r="F18" s="11" t="inlineStr">
        <is>
          <t>TCVN 11823:2017</t>
        </is>
      </c>
      <c r="G18" s="8" t="inlineStr">
        <is>
          <t>Độ thẳng đứng thân mố, bề mặt bê tông phẳng nhẵn</t>
        </is>
      </c>
      <c r="H18" s="12">
        <f>TIEN_DO_THI_CONG_WBS!J24</f>
        <v/>
      </c>
    </row>
    <row r="19" ht="20" customHeight="1">
      <c r="A19" s="6" t="n">
        <v>14</v>
      </c>
      <c r="B19" s="7" t="inlineStr">
        <is>
          <t>BBNT-14</t>
        </is>
      </c>
      <c r="C19" s="8" t="inlineStr">
        <is>
          <t>Nghiệm thu cốt thép, ván khuôn &amp; đổ bê tông thân đặc trụ T1, T2 C30</t>
        </is>
      </c>
      <c r="D19" s="9">
        <f>QS_DIEN_GIAI_CHI_TIET!J50</f>
        <v/>
      </c>
      <c r="E19" s="10" t="inlineStr">
        <is>
          <t>m3</t>
        </is>
      </c>
      <c r="F19" s="11" t="inlineStr">
        <is>
          <t>TCVN 4453:1995</t>
        </is>
      </c>
      <c r="G19" s="8" t="inlineStr">
        <is>
          <t>Kích thước thân đặc 9.75x2.0m, chiều cao H=14.5m và 11.4m</t>
        </is>
      </c>
      <c r="H19" s="12">
        <f>TIEN_DO_THI_CONG_WBS!J23</f>
        <v/>
      </c>
    </row>
    <row r="20" ht="20" customHeight="1">
      <c r="A20" s="6" t="n">
        <v>15</v>
      </c>
      <c r="B20" s="7" t="inlineStr">
        <is>
          <t>BBNT-15</t>
        </is>
      </c>
      <c r="C20" s="8" t="inlineStr">
        <is>
          <t>Nghiệm thu cốt thép, ván khuôn &amp; đổ bê tông xà mũ trụ T1, T2, đá kê gối</t>
        </is>
      </c>
      <c r="D20" s="9">
        <f>QS_DIEN_GIAI_CHI_TIET!J53</f>
        <v/>
      </c>
      <c r="E20" s="10" t="inlineStr">
        <is>
          <t>m3</t>
        </is>
      </c>
      <c r="F20" s="11" t="inlineStr">
        <is>
          <t>TCVN 11823:2017</t>
        </is>
      </c>
      <c r="G20" s="8" t="inlineStr">
        <is>
          <t>Cao độ mặt đá kê gối sai số &lt;= 2mm, tim đá kê &lt;= 3mm</t>
        </is>
      </c>
      <c r="H20" s="12">
        <f>TIEN_DO_THI_CONG_WBS!J25</f>
        <v/>
      </c>
    </row>
    <row r="21" ht="20" customHeight="1">
      <c r="A21" s="6" t="n">
        <v>16</v>
      </c>
      <c r="B21" s="7" t="inlineStr">
        <is>
          <t>BBNT-16</t>
        </is>
      </c>
      <c r="C21" s="8" t="inlineStr">
        <is>
          <t>Nghiệm thu cốt thép, ván khuôn &amp; đổ bê tông C45 15 phiến dầm Super-T</t>
        </is>
      </c>
      <c r="D21" s="9">
        <f>QS_DIEN_GIAI_CHI_TIET!J62</f>
        <v/>
      </c>
      <c r="E21" s="10" t="inlineStr">
        <is>
          <t>m3</t>
        </is>
      </c>
      <c r="F21" s="11" t="inlineStr">
        <is>
          <t>TCVN 3105:2022</t>
        </is>
      </c>
      <c r="G21" s="8" t="inlineStr">
        <is>
          <t>Cường độ bê tông đạt R28 &gt;= 45 MPa, không rỗ nứt</t>
        </is>
      </c>
      <c r="H21" s="12">
        <f>TIEN_DO_THI_CONG_WBS!J28</f>
        <v/>
      </c>
    </row>
    <row r="22" ht="20" customHeight="1">
      <c r="A22" s="6" t="n">
        <v>17</v>
      </c>
      <c r="B22" s="7" t="inlineStr">
        <is>
          <t>BBNT-17</t>
        </is>
      </c>
      <c r="C22" s="8" t="inlineStr">
        <is>
          <t>Nghiệm thu căng kéo cáp DUL 15.2mm &amp; bơm vữa ống gen dầm Super-T</t>
        </is>
      </c>
      <c r="D22" s="9">
        <f>QS_DIEN_GIAI_CHI_TIET!J64</f>
        <v/>
      </c>
      <c r="E22" s="10" t="inlineStr">
        <is>
          <t>Tấn</t>
        </is>
      </c>
      <c r="F22" s="11" t="inlineStr">
        <is>
          <t>TCVN 11823:2017</t>
        </is>
      </c>
      <c r="G22" s="8" t="inlineStr">
        <is>
          <t>Sai số độ giãn dài cáp &lt;= +-5%, vữa bơm lấp đầy 100% gen</t>
        </is>
      </c>
      <c r="H22" s="12">
        <f>TIEN_DO_THI_CONG_WBS!J29</f>
        <v/>
      </c>
    </row>
    <row r="23" ht="20" customHeight="1">
      <c r="A23" s="6" t="n">
        <v>18</v>
      </c>
      <c r="B23" s="7" t="inlineStr">
        <is>
          <t>BBNT-18</t>
        </is>
      </c>
      <c r="C23" s="8" t="inlineStr">
        <is>
          <t>Nghiệm thu lắp đặt 30 gối chậu cao su &amp; lao lắp 15 phiến dầm Super-T</t>
        </is>
      </c>
      <c r="D23" s="9">
        <f>QS_DIEN_GIAI_CHI_TIET!J70</f>
        <v/>
      </c>
      <c r="E23" s="10" t="inlineStr">
        <is>
          <t>Cái</t>
        </is>
      </c>
      <c r="F23" s="11" t="inlineStr">
        <is>
          <t>TCVN 10308:2014</t>
        </is>
      </c>
      <c r="G23" s="8" t="inlineStr">
        <is>
          <t>Gối chậu nằm ngang chuẩn xác, dầm đặt êm thuận trên mố trụ</t>
        </is>
      </c>
      <c r="H23" s="12">
        <f>TIEN_DO_THI_CONG_WBS!J31</f>
        <v/>
      </c>
    </row>
    <row r="24" ht="20" customHeight="1">
      <c r="A24" s="6" t="n">
        <v>19</v>
      </c>
      <c r="B24" s="7" t="inlineStr">
        <is>
          <t>BBNT-19</t>
        </is>
      </c>
      <c r="C24" s="8" t="inlineStr">
        <is>
          <t>Nghiệm thu đổ bê tông dầm ngang &amp; mối nối liên tục nhiệt đỉnh trụ T1, T2</t>
        </is>
      </c>
      <c r="D24" s="9">
        <f>QS_DIEN_GIAI_CHI_TIET!J73+QS_DIEN_GIAI_CHI_TIET!J79</f>
        <v/>
      </c>
      <c r="E24" s="10" t="inlineStr">
        <is>
          <t>m3</t>
        </is>
      </c>
      <c r="F24" s="11" t="inlineStr">
        <is>
          <t>TCVN 4453:1995</t>
        </is>
      </c>
      <c r="G24" s="8" t="inlineStr">
        <is>
          <t>Liên kết cứng dầm ngang, bản liên tục nhiệt triệt tiêu khe nứt</t>
        </is>
      </c>
      <c r="H24" s="12">
        <f>TIEN_DO_THI_CONG_WBS!J33</f>
        <v/>
      </c>
    </row>
    <row r="25" ht="20" customHeight="1">
      <c r="A25" s="6" t="n">
        <v>20</v>
      </c>
      <c r="B25" s="7" t="inlineStr">
        <is>
          <t>BBNT-20</t>
        </is>
      </c>
      <c r="C25" s="8" t="inlineStr">
        <is>
          <t>Nghiệm thu cốt thép, ván khuôn &amp; đổ bê tông bản mặt cầu C35 dày 180mm</t>
        </is>
      </c>
      <c r="D25" s="9">
        <f>QS_DIEN_GIAI_CHI_TIET!J77</f>
        <v/>
      </c>
      <c r="E25" s="10" t="inlineStr">
        <is>
          <t>m3</t>
        </is>
      </c>
      <c r="F25" s="11" t="inlineStr">
        <is>
          <t>TCVN 11823:2017</t>
        </is>
      </c>
      <c r="G25" s="8" t="inlineStr">
        <is>
          <t>Độ dốc ngang thoát nước 2%, chiều dày bảo vệ cốt thép chuẩn</t>
        </is>
      </c>
      <c r="H25" s="12">
        <f>TIEN_DO_THI_CONG_WBS!J35</f>
        <v/>
      </c>
    </row>
    <row r="26" ht="20" customHeight="1">
      <c r="A26" s="6" t="n">
        <v>21</v>
      </c>
      <c r="B26" s="7" t="inlineStr">
        <is>
          <t>BBNT-21</t>
        </is>
      </c>
      <c r="C26" s="8" t="inlineStr">
        <is>
          <t>Nghiệm thu khe co giãn răng lược D=100mm, gờ lan can &amp; thảm BTN C16</t>
        </is>
      </c>
      <c r="D26" s="9">
        <f>QS_DIEN_GIAI_CHI_TIET!J84+QS_DIEN_GIAI_CHI_TIET!J86</f>
        <v/>
      </c>
      <c r="E26" s="10" t="inlineStr">
        <is>
          <t>m2</t>
        </is>
      </c>
      <c r="F26" s="11" t="inlineStr">
        <is>
          <t>TCVN 8819:2011</t>
        </is>
      </c>
      <c r="G26" s="8" t="inlineStr">
        <is>
          <t>Độ bằng phẳng mặt cầu IRI &lt;= 1.5, khe răng lược êm thuận</t>
        </is>
      </c>
      <c r="H26" s="12">
        <f>TIEN_DO_THI_CONG_WBS!J39</f>
        <v/>
      </c>
    </row>
    <row r="27" ht="20" customHeight="1">
      <c r="A27" s="6" t="n">
        <v>22</v>
      </c>
      <c r="B27" s="7" t="inlineStr">
        <is>
          <t>BBNT-22</t>
        </is>
      </c>
      <c r="C27" s="8" t="inlineStr">
        <is>
          <t>Nghiệm thu thử tải tĩnh/động toàn cầu &amp; nghiệm thu hoàn thành đưa vào sử dụng</t>
        </is>
      </c>
      <c r="D27" s="9" t="n">
        <v>1</v>
      </c>
      <c r="E27" s="10" t="inlineStr">
        <is>
          <t>Gói</t>
        </is>
      </c>
      <c r="F27" s="11" t="inlineStr">
        <is>
          <t>Nghị định 207/2026/NĐ-CP</t>
        </is>
      </c>
      <c r="G27" s="8" t="inlineStr">
        <is>
          <t>Độ võng tĩnh f &lt;= f_cp, hệ số xung kích động đạt tiêu chuẩn</t>
        </is>
      </c>
      <c r="H27" s="12">
        <f>TIEN_DO_THI_CONG_WBS!J42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8" customWidth="1" min="3" max="3"/>
    <col width="8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5" customWidth="1" min="11" max="11"/>
    <col width="18" customWidth="1" min="12" max="12"/>
  </cols>
  <sheetData>
    <row r="1"/>
    <row r="2">
      <c r="B2" s="1" t="inlineStr">
        <is>
          <t>DỰ ÁN: CAO TỐC TUYÊN QUANG - HÀ GIANG (GIAI ĐOẠN 1) - ĐOẠN QUA TỈNH HÀ GIANG</t>
        </is>
      </c>
    </row>
    <row r="3">
      <c r="B3" s="2" t="inlineStr">
        <is>
          <t>BẢNG DIỄN GIẢI TIÊN LƯỢNG KHỐI LƯỢNG HÌNH HỌC CHI TIẾT - CẦU KM19+529.080</t>
        </is>
      </c>
    </row>
    <row r="4">
      <c r="B4" s="3" t="inlineStr">
        <is>
          <t>Tuân thủ nghiêm ngặt nguyên tắc 100% công thức động: Khối lượng = Dài x Rộng x Cao x Số lượng x Hệ số (CẤM SỐ CHẾT)</t>
        </is>
      </c>
    </row>
    <row r="5" ht="28" customHeight="1">
      <c r="A5" s="4" t="inlineStr">
        <is>
          <t>TT</t>
        </is>
      </c>
      <c r="B5" s="4" t="inlineStr">
        <is>
          <t>Mã hiệu</t>
        </is>
      </c>
      <c r="C5" s="4" t="inlineStr">
        <is>
          <t>Nội dung công tác &amp; Diễn giải hình học cấu kiện</t>
        </is>
      </c>
      <c r="D5" s="4" t="inlineStr">
        <is>
          <t>ĐVT</t>
        </is>
      </c>
      <c r="E5" s="4" t="inlineStr">
        <is>
          <t>Số lượng
(Cấu kiện)</t>
        </is>
      </c>
      <c r="F5" s="4" t="inlineStr">
        <is>
          <t>Dài
(m)</t>
        </is>
      </c>
      <c r="G5" s="4" t="inlineStr">
        <is>
          <t>Rộng
(m)</t>
        </is>
      </c>
      <c r="H5" s="4" t="inlineStr">
        <is>
          <t>Cao / Dày
(m)</t>
        </is>
      </c>
      <c r="I5" s="4" t="inlineStr">
        <is>
          <t>Hệ số
hình học</t>
        </is>
      </c>
      <c r="J5" s="4" t="inlineStr">
        <is>
          <t>Khối lượng
(Công thức)</t>
        </is>
      </c>
      <c r="K5" s="4" t="inlineStr">
        <is>
          <t>Đơn giá
(VNĐ)</t>
        </is>
      </c>
      <c r="L5" s="4" t="inlineStr">
        <is>
          <t>Thành tiền
(VNĐ)</t>
        </is>
      </c>
    </row>
    <row r="6" ht="24" customHeight="1">
      <c r="A6" s="13" t="inlineStr">
        <is>
          <t>PHẦN I: THI CÔNG CỌC KHOAN NHỒI D1200MM &amp; THÍ NGHIỆM KIỂM SOÁT</t>
        </is>
      </c>
    </row>
    <row r="7" ht="22" customHeight="1">
      <c r="A7" s="7" t="inlineStr">
        <is>
          <t>1</t>
        </is>
      </c>
      <c r="B7" s="7" t="inlineStr">
        <is>
          <t>AC.11111</t>
        </is>
      </c>
      <c r="C7" s="14" t="inlineStr">
        <is>
          <t>Khoan tạo lỗ cọc khoan nhồi D1200mm vào đất và đá gốc (26 cọc)</t>
        </is>
      </c>
      <c r="D7" s="7" t="inlineStr">
        <is>
          <t>m</t>
        </is>
      </c>
      <c r="E7" s="15" t="n"/>
      <c r="F7" s="15" t="n"/>
      <c r="G7" s="15" t="n"/>
      <c r="H7" s="15" t="n"/>
      <c r="I7" s="15" t="n"/>
      <c r="J7" s="16">
        <f>SUM(J8:J11)</f>
        <v/>
      </c>
      <c r="K7" s="17" t="n">
        <v>2850000</v>
      </c>
      <c r="L7" s="18">
        <f>J7*K7</f>
        <v/>
      </c>
    </row>
    <row r="8" ht="19" customHeight="1">
      <c r="A8" s="19" t="n"/>
      <c r="B8" s="19" t="n"/>
      <c r="C8" s="20" t="inlineStr">
        <is>
          <t>- Cọc mố M1: 3 cọc chiều sâu L=20.0m</t>
        </is>
      </c>
      <c r="D8" s="21" t="inlineStr">
        <is>
          <t>m</t>
        </is>
      </c>
      <c r="E8" s="22" t="n">
        <v>3</v>
      </c>
      <c r="F8" s="22" t="n">
        <v>20</v>
      </c>
      <c r="G8" s="22" t="n">
        <v>1</v>
      </c>
      <c r="H8" s="22" t="n">
        <v>1</v>
      </c>
      <c r="I8" s="23" t="n">
        <v>1</v>
      </c>
      <c r="J8" s="24">
        <f>E8*F8*G8*H8*I8</f>
        <v/>
      </c>
      <c r="K8" s="19" t="n"/>
      <c r="L8" s="19" t="n"/>
    </row>
    <row r="9" ht="19" customHeight="1">
      <c r="A9" s="19" t="n"/>
      <c r="B9" s="19" t="n"/>
      <c r="C9" s="20" t="inlineStr">
        <is>
          <t>- Cọc trụ T1: 8 cọc chiều sâu L=40.0m</t>
        </is>
      </c>
      <c r="D9" s="21" t="inlineStr">
        <is>
          <t>m</t>
        </is>
      </c>
      <c r="E9" s="22" t="n">
        <v>8</v>
      </c>
      <c r="F9" s="22" t="n">
        <v>40</v>
      </c>
      <c r="G9" s="22" t="n">
        <v>1</v>
      </c>
      <c r="H9" s="22" t="n">
        <v>1</v>
      </c>
      <c r="I9" s="23" t="n">
        <v>1</v>
      </c>
      <c r="J9" s="24">
        <f>E9*F9*G9*H9*I9</f>
        <v/>
      </c>
      <c r="K9" s="19" t="n"/>
      <c r="L9" s="19" t="n"/>
    </row>
    <row r="10" ht="19" customHeight="1">
      <c r="A10" s="19" t="n"/>
      <c r="B10" s="19" t="n"/>
      <c r="C10" s="20" t="inlineStr">
        <is>
          <t>- Cọc trụ T2: 8 cọc chiều sâu L=30.0m</t>
        </is>
      </c>
      <c r="D10" s="21" t="inlineStr">
        <is>
          <t>m</t>
        </is>
      </c>
      <c r="E10" s="22" t="n">
        <v>8</v>
      </c>
      <c r="F10" s="22" t="n">
        <v>30</v>
      </c>
      <c r="G10" s="22" t="n">
        <v>1</v>
      </c>
      <c r="H10" s="22" t="n">
        <v>1</v>
      </c>
      <c r="I10" s="23" t="n">
        <v>1</v>
      </c>
      <c r="J10" s="24">
        <f>E10*F10*G10*H10*I10</f>
        <v/>
      </c>
      <c r="K10" s="19" t="n"/>
      <c r="L10" s="19" t="n"/>
    </row>
    <row r="11" ht="19" customHeight="1">
      <c r="A11" s="19" t="n"/>
      <c r="B11" s="19" t="n"/>
      <c r="C11" s="20" t="inlineStr">
        <is>
          <t>- Cọc mố M2: 7 cọc chiều sâu L=36.0m</t>
        </is>
      </c>
      <c r="D11" s="21" t="inlineStr">
        <is>
          <t>m</t>
        </is>
      </c>
      <c r="E11" s="22" t="n">
        <v>7</v>
      </c>
      <c r="F11" s="22" t="n">
        <v>36</v>
      </c>
      <c r="G11" s="22" t="n">
        <v>1</v>
      </c>
      <c r="H11" s="22" t="n">
        <v>1</v>
      </c>
      <c r="I11" s="23" t="n">
        <v>1</v>
      </c>
      <c r="J11" s="24">
        <f>E11*F11*G11*H11*I11</f>
        <v/>
      </c>
      <c r="K11" s="19" t="n"/>
      <c r="L11" s="19" t="n"/>
    </row>
    <row r="12" ht="22" customHeight="1">
      <c r="A12" s="7" t="inlineStr">
        <is>
          <t>2</t>
        </is>
      </c>
      <c r="B12" s="7" t="inlineStr">
        <is>
          <t>AC.12111</t>
        </is>
      </c>
      <c r="C12" s="14" t="inlineStr">
        <is>
          <t>Hạ và nhổ ống vách thép dẫn hướng D1300mm d=8mm (luân chuyển)</t>
        </is>
      </c>
      <c r="D12" s="7" t="inlineStr">
        <is>
          <t>m</t>
        </is>
      </c>
      <c r="E12" s="15" t="n"/>
      <c r="F12" s="15" t="n"/>
      <c r="G12" s="15" t="n"/>
      <c r="H12" s="15" t="n"/>
      <c r="I12" s="15" t="n"/>
      <c r="J12" s="16">
        <f>SUM(J13:J16)</f>
        <v/>
      </c>
      <c r="K12" s="17" t="n">
        <v>1450000</v>
      </c>
      <c r="L12" s="18">
        <f>J12*K12</f>
        <v/>
      </c>
    </row>
    <row r="13" ht="19" customHeight="1">
      <c r="A13" s="19" t="n"/>
      <c r="B13" s="19" t="n"/>
      <c r="C13" s="20" t="inlineStr">
        <is>
          <t>- Ống vách thép cọc mố M1 (3 cọc x 6m)</t>
        </is>
      </c>
      <c r="D13" s="21" t="inlineStr">
        <is>
          <t>m</t>
        </is>
      </c>
      <c r="E13" s="22" t="n">
        <v>3</v>
      </c>
      <c r="F13" s="22" t="n">
        <v>6</v>
      </c>
      <c r="G13" s="22" t="n">
        <v>1</v>
      </c>
      <c r="H13" s="22" t="n">
        <v>1</v>
      </c>
      <c r="I13" s="23" t="n">
        <v>1</v>
      </c>
      <c r="J13" s="24">
        <f>E13*F13*G13*H13*I13</f>
        <v/>
      </c>
      <c r="K13" s="19" t="n"/>
      <c r="L13" s="19" t="n"/>
    </row>
    <row r="14" ht="19" customHeight="1">
      <c r="A14" s="19" t="n"/>
      <c r="B14" s="19" t="n"/>
      <c r="C14" s="20" t="inlineStr">
        <is>
          <t>- Ống vách thép cọc trụ T1 (8 cọc x 6m)</t>
        </is>
      </c>
      <c r="D14" s="21" t="inlineStr">
        <is>
          <t>m</t>
        </is>
      </c>
      <c r="E14" s="22" t="n">
        <v>8</v>
      </c>
      <c r="F14" s="22" t="n">
        <v>6</v>
      </c>
      <c r="G14" s="22" t="n">
        <v>1</v>
      </c>
      <c r="H14" s="22" t="n">
        <v>1</v>
      </c>
      <c r="I14" s="23" t="n">
        <v>1</v>
      </c>
      <c r="J14" s="24">
        <f>E14*F14*G14*H14*I14</f>
        <v/>
      </c>
      <c r="K14" s="19" t="n"/>
      <c r="L14" s="19" t="n"/>
    </row>
    <row r="15" ht="19" customHeight="1">
      <c r="A15" s="19" t="n"/>
      <c r="B15" s="19" t="n"/>
      <c r="C15" s="20" t="inlineStr">
        <is>
          <t>- Ống vách thép cọc trụ T2 (8 cọc x 6m)</t>
        </is>
      </c>
      <c r="D15" s="21" t="inlineStr">
        <is>
          <t>m</t>
        </is>
      </c>
      <c r="E15" s="22" t="n">
        <v>8</v>
      </c>
      <c r="F15" s="22" t="n">
        <v>6</v>
      </c>
      <c r="G15" s="22" t="n">
        <v>1</v>
      </c>
      <c r="H15" s="22" t="n">
        <v>1</v>
      </c>
      <c r="I15" s="23" t="n">
        <v>1</v>
      </c>
      <c r="J15" s="24">
        <f>E15*F15*G15*H15*I15</f>
        <v/>
      </c>
      <c r="K15" s="19" t="n"/>
      <c r="L15" s="19" t="n"/>
    </row>
    <row r="16" ht="19" customHeight="1">
      <c r="A16" s="19" t="n"/>
      <c r="B16" s="19" t="n"/>
      <c r="C16" s="20" t="inlineStr">
        <is>
          <t>- Ống vách thép cọc mố M2 (7 cọc x 6m)</t>
        </is>
      </c>
      <c r="D16" s="21" t="inlineStr">
        <is>
          <t>m</t>
        </is>
      </c>
      <c r="E16" s="22" t="n">
        <v>7</v>
      </c>
      <c r="F16" s="22" t="n">
        <v>6</v>
      </c>
      <c r="G16" s="22" t="n">
        <v>1</v>
      </c>
      <c r="H16" s="22" t="n">
        <v>1</v>
      </c>
      <c r="I16" s="23" t="n">
        <v>1</v>
      </c>
      <c r="J16" s="24">
        <f>E16*F16*G16*H16*I16</f>
        <v/>
      </c>
      <c r="K16" s="19" t="n"/>
      <c r="L16" s="19" t="n"/>
    </row>
    <row r="17" ht="22" customHeight="1">
      <c r="A17" s="7" t="inlineStr">
        <is>
          <t>3</t>
        </is>
      </c>
      <c r="B17" s="7" t="inlineStr">
        <is>
          <t>AF.21111</t>
        </is>
      </c>
      <c r="C17" s="14" t="inlineStr">
        <is>
          <t>Bê tông cọc khoan nhồi C30/37 đổ bằng phương pháp rút ống tremie</t>
        </is>
      </c>
      <c r="D17" s="7" t="inlineStr">
        <is>
          <t>m3</t>
        </is>
      </c>
      <c r="E17" s="15" t="n"/>
      <c r="F17" s="15" t="n"/>
      <c r="G17" s="15" t="n"/>
      <c r="H17" s="15" t="n"/>
      <c r="I17" s="15" t="n"/>
      <c r="J17" s="16">
        <f>SUM(J18:J21)</f>
        <v/>
      </c>
      <c r="K17" s="17" t="n">
        <v>1650000</v>
      </c>
      <c r="L17" s="18">
        <f>J17*K17</f>
        <v/>
      </c>
    </row>
    <row r="18" ht="19" customHeight="1">
      <c r="A18" s="19" t="n"/>
      <c r="B18" s="19" t="n"/>
      <c r="C18" s="20" t="inlineStr">
        <is>
          <t>- Bê tông 3 cọc mố M1 (L=20m, D=1.2m, hs nở thành 1.12)</t>
        </is>
      </c>
      <c r="D18" s="21" t="inlineStr">
        <is>
          <t>m3</t>
        </is>
      </c>
      <c r="E18" s="22" t="n">
        <v>3</v>
      </c>
      <c r="F18" s="22" t="n">
        <v>20</v>
      </c>
      <c r="G18" s="22" t="n">
        <v>0.6</v>
      </c>
      <c r="H18" s="22" t="n">
        <v>0.6</v>
      </c>
      <c r="I18" s="23" t="n">
        <v>3.5186</v>
      </c>
      <c r="J18" s="24">
        <f>E18*F18*G18*H18*I18</f>
        <v/>
      </c>
      <c r="K18" s="19" t="n"/>
      <c r="L18" s="19" t="n"/>
    </row>
    <row r="19" ht="19" customHeight="1">
      <c r="A19" s="19" t="n"/>
      <c r="B19" s="19" t="n"/>
      <c r="C19" s="20" t="inlineStr">
        <is>
          <t>- Bê tông 8 cọc trụ T1 (L=40m, D=1.2m, hs nở thành 1.12)</t>
        </is>
      </c>
      <c r="D19" s="21" t="inlineStr">
        <is>
          <t>m3</t>
        </is>
      </c>
      <c r="E19" s="22" t="n">
        <v>8</v>
      </c>
      <c r="F19" s="22" t="n">
        <v>40</v>
      </c>
      <c r="G19" s="22" t="n">
        <v>0.6</v>
      </c>
      <c r="H19" s="22" t="n">
        <v>0.6</v>
      </c>
      <c r="I19" s="23" t="n">
        <v>3.5186</v>
      </c>
      <c r="J19" s="24">
        <f>E19*F19*G19*H19*I19</f>
        <v/>
      </c>
      <c r="K19" s="19" t="n"/>
      <c r="L19" s="19" t="n"/>
    </row>
    <row r="20" ht="19" customHeight="1">
      <c r="A20" s="19" t="n"/>
      <c r="B20" s="19" t="n"/>
      <c r="C20" s="20" t="inlineStr">
        <is>
          <t>- Bê tông 8 cọc trụ T2 (L=30m, D=1.2m, hs nở thành 1.12)</t>
        </is>
      </c>
      <c r="D20" s="21" t="inlineStr">
        <is>
          <t>m3</t>
        </is>
      </c>
      <c r="E20" s="22" t="n">
        <v>8</v>
      </c>
      <c r="F20" s="22" t="n">
        <v>30</v>
      </c>
      <c r="G20" s="22" t="n">
        <v>0.6</v>
      </c>
      <c r="H20" s="22" t="n">
        <v>0.6</v>
      </c>
      <c r="I20" s="23" t="n">
        <v>3.5186</v>
      </c>
      <c r="J20" s="24">
        <f>E20*F20*G20*H20*I20</f>
        <v/>
      </c>
      <c r="K20" s="19" t="n"/>
      <c r="L20" s="19" t="n"/>
    </row>
    <row r="21" ht="19" customHeight="1">
      <c r="A21" s="19" t="n"/>
      <c r="B21" s="19" t="n"/>
      <c r="C21" s="20" t="inlineStr">
        <is>
          <t>- Bê tông 7 cọc mố M2 (L=36m, D=1.2m, hs nở thành 1.12)</t>
        </is>
      </c>
      <c r="D21" s="21" t="inlineStr">
        <is>
          <t>m3</t>
        </is>
      </c>
      <c r="E21" s="22" t="n">
        <v>7</v>
      </c>
      <c r="F21" s="22" t="n">
        <v>36</v>
      </c>
      <c r="G21" s="22" t="n">
        <v>0.6</v>
      </c>
      <c r="H21" s="22" t="n">
        <v>0.6</v>
      </c>
      <c r="I21" s="23" t="n">
        <v>3.5186</v>
      </c>
      <c r="J21" s="24">
        <f>E21*F21*G21*H21*I21</f>
        <v/>
      </c>
      <c r="K21" s="19" t="n"/>
      <c r="L21" s="19" t="n"/>
    </row>
    <row r="22" ht="22" customHeight="1">
      <c r="A22" s="7" t="inlineStr">
        <is>
          <t>4</t>
        </is>
      </c>
      <c r="B22" s="7" t="inlineStr">
        <is>
          <t>AF.61111</t>
        </is>
      </c>
      <c r="C22" s="14" t="inlineStr">
        <is>
          <t>Cốt thép cọc khoan nhồi D1200mm (Thép chủ D25, đai D16, D10)</t>
        </is>
      </c>
      <c r="D22" s="7" t="inlineStr">
        <is>
          <t>Tấn</t>
        </is>
      </c>
      <c r="E22" s="15" t="n"/>
      <c r="F22" s="15" t="n"/>
      <c r="G22" s="15" t="n"/>
      <c r="H22" s="15" t="n"/>
      <c r="I22" s="15" t="n"/>
      <c r="J22" s="25" t="n">
        <v>108.76599036</v>
      </c>
      <c r="K22" s="17" t="n">
        <v>18500000</v>
      </c>
      <c r="L22" s="18">
        <f>J22*K22</f>
        <v/>
      </c>
    </row>
    <row r="23" ht="19" customHeight="1">
      <c r="A23" s="19" t="n"/>
      <c r="B23" s="19" t="n"/>
      <c r="C23" s="20" t="inlineStr">
        <is>
          <t>- Cốt thép cọc mố M1 (3 cọc x 5.889 tấn/cọc)</t>
        </is>
      </c>
      <c r="D23" s="21" t="inlineStr">
        <is>
          <t>Tấn</t>
        </is>
      </c>
      <c r="E23" s="22" t="n">
        <v>3</v>
      </c>
      <c r="F23" s="22" t="n">
        <v>5.889</v>
      </c>
      <c r="G23" s="22" t="n">
        <v>1</v>
      </c>
      <c r="H23" s="22" t="n">
        <v>1</v>
      </c>
      <c r="I23" s="23" t="n">
        <v>1</v>
      </c>
      <c r="J23" s="24">
        <f>E23*F23*G23*H23*I23</f>
        <v/>
      </c>
      <c r="K23" s="19" t="n"/>
      <c r="L23" s="19" t="n"/>
    </row>
    <row r="24" ht="19" customHeight="1">
      <c r="A24" s="19" t="n"/>
      <c r="B24" s="19" t="n"/>
      <c r="C24" s="20" t="inlineStr">
        <is>
          <t>- Cốt thép cọc trụ T1 (8 cọc x 4.845 tấn/cọc)</t>
        </is>
      </c>
      <c r="D24" s="21" t="inlineStr">
        <is>
          <t>Tấn</t>
        </is>
      </c>
      <c r="E24" s="22" t="n">
        <v>8</v>
      </c>
      <c r="F24" s="22" t="n">
        <v>4.845</v>
      </c>
      <c r="G24" s="22" t="n">
        <v>1</v>
      </c>
      <c r="H24" s="22" t="n">
        <v>1</v>
      </c>
      <c r="I24" s="23" t="n">
        <v>1</v>
      </c>
      <c r="J24" s="24">
        <f>E24*F24*G24*H24*I24</f>
        <v/>
      </c>
      <c r="K24" s="19" t="n"/>
      <c r="L24" s="19" t="n"/>
    </row>
    <row r="25" ht="19" customHeight="1">
      <c r="A25" s="19" t="n"/>
      <c r="B25" s="19" t="n"/>
      <c r="C25" s="20" t="inlineStr">
        <is>
          <t>- Cốt thép cọc trụ T2 (8 cọc x 3.687 tấn/cọc)</t>
        </is>
      </c>
      <c r="D25" s="21" t="inlineStr">
        <is>
          <t>Tấn</t>
        </is>
      </c>
      <c r="E25" s="22" t="n">
        <v>8</v>
      </c>
      <c r="F25" s="22" t="n">
        <v>3.687</v>
      </c>
      <c r="G25" s="22" t="n">
        <v>1</v>
      </c>
      <c r="H25" s="22" t="n">
        <v>1</v>
      </c>
      <c r="I25" s="23" t="n">
        <v>1</v>
      </c>
      <c r="J25" s="24">
        <f>E25*F25*G25*H25*I25</f>
        <v/>
      </c>
      <c r="K25" s="19" t="n"/>
      <c r="L25" s="19" t="n"/>
    </row>
    <row r="26" ht="19" customHeight="1">
      <c r="A26" s="19" t="n"/>
      <c r="B26" s="19" t="n"/>
      <c r="C26" s="20" t="inlineStr">
        <is>
          <t>- Cốt thép cọc mố M2 (7 cọc x 4.721 tấn/cọc)</t>
        </is>
      </c>
      <c r="D26" s="21" t="inlineStr">
        <is>
          <t>Tấn</t>
        </is>
      </c>
      <c r="E26" s="22" t="n">
        <v>7</v>
      </c>
      <c r="F26" s="22" t="n">
        <v>4.721</v>
      </c>
      <c r="G26" s="22" t="n">
        <v>1</v>
      </c>
      <c r="H26" s="22" t="n">
        <v>1</v>
      </c>
      <c r="I26" s="23" t="n">
        <v>1</v>
      </c>
      <c r="J26" s="24">
        <f>E26*F26*G26*H26*I26</f>
        <v/>
      </c>
      <c r="K26" s="19" t="n"/>
      <c r="L26" s="19" t="n"/>
    </row>
    <row r="27" ht="22" customHeight="1">
      <c r="A27" s="7" t="inlineStr">
        <is>
          <t>5</t>
        </is>
      </c>
      <c r="B27" s="7" t="inlineStr">
        <is>
          <t>AC.13111</t>
        </is>
      </c>
      <c r="C27" s="14" t="inlineStr">
        <is>
          <t>Đập đầu cọc khoan nhồi nhô lên đáy bệ ngàm vào kết cấu</t>
        </is>
      </c>
      <c r="D27" s="7" t="inlineStr">
        <is>
          <t>m3</t>
        </is>
      </c>
      <c r="E27" s="15" t="n"/>
      <c r="F27" s="15" t="n"/>
      <c r="G27" s="15" t="n"/>
      <c r="H27" s="15" t="n"/>
      <c r="I27" s="15" t="n"/>
      <c r="J27" s="16">
        <f>SUM(J28:J28)</f>
        <v/>
      </c>
      <c r="K27" s="17" t="n">
        <v>550000</v>
      </c>
      <c r="L27" s="18">
        <f>J27*K27</f>
        <v/>
      </c>
    </row>
    <row r="28" ht="19" customHeight="1">
      <c r="A28" s="19" t="n"/>
      <c r="B28" s="19" t="n"/>
      <c r="C28" s="20" t="inlineStr">
        <is>
          <t>- Đập đầu 26 cọc khoan nhồi (chiều cao đập h=1.0m)</t>
        </is>
      </c>
      <c r="D28" s="21" t="inlineStr">
        <is>
          <t>m3</t>
        </is>
      </c>
      <c r="E28" s="22" t="n">
        <v>26</v>
      </c>
      <c r="F28" s="22" t="n">
        <v>1</v>
      </c>
      <c r="G28" s="22" t="n">
        <v>0.6</v>
      </c>
      <c r="H28" s="22" t="n">
        <v>0.6</v>
      </c>
      <c r="I28" s="23" t="n">
        <v>3.1416</v>
      </c>
      <c r="J28" s="24">
        <f>E28*F28*G28*H28*I28</f>
        <v/>
      </c>
      <c r="K28" s="19" t="n"/>
      <c r="L28" s="19" t="n"/>
    </row>
    <row r="29" ht="22" customHeight="1">
      <c r="A29" s="7" t="inlineStr">
        <is>
          <t>6</t>
        </is>
      </c>
      <c r="B29" s="7" t="inlineStr">
        <is>
          <t>TN.11111</t>
        </is>
      </c>
      <c r="C29" s="14" t="inlineStr">
        <is>
          <t>Thí nghiệm kiểm soát cọc (Siêu âm 156 mặt cắt, PDA 9434kN, lấy lõi 4 cọc)</t>
        </is>
      </c>
      <c r="D29" s="7" t="inlineStr">
        <is>
          <t>Gói</t>
        </is>
      </c>
      <c r="E29" s="15" t="n"/>
      <c r="F29" s="15" t="n"/>
      <c r="G29" s="15" t="n"/>
      <c r="H29" s="15" t="n"/>
      <c r="I29" s="15" t="n"/>
      <c r="J29" s="16">
        <f>SUM(J30:J30)</f>
        <v/>
      </c>
      <c r="K29" s="17" t="n">
        <v>450000000</v>
      </c>
      <c r="L29" s="18">
        <f>J29*K29</f>
        <v/>
      </c>
    </row>
    <row r="30" ht="19" customHeight="1">
      <c r="A30" s="19" t="n"/>
      <c r="B30" s="19" t="n"/>
      <c r="C30" s="20" t="inlineStr">
        <is>
          <t>- Gói thí nghiệm siêu âm 100% cọc, nén động PDA trụ T1 &amp; khoan lấy lõi</t>
        </is>
      </c>
      <c r="D30" s="21" t="inlineStr">
        <is>
          <t>Gói</t>
        </is>
      </c>
      <c r="E30" s="22" t="n">
        <v>1</v>
      </c>
      <c r="F30" s="22" t="n">
        <v>1</v>
      </c>
      <c r="G30" s="22" t="n">
        <v>1</v>
      </c>
      <c r="H30" s="22" t="n">
        <v>1</v>
      </c>
      <c r="I30" s="23" t="n">
        <v>1</v>
      </c>
      <c r="J30" s="24">
        <f>E30*F30*G30*H30*I30</f>
        <v/>
      </c>
      <c r="K30" s="19" t="n"/>
      <c r="L30" s="19" t="n"/>
    </row>
    <row r="31" ht="24" customHeight="1">
      <c r="A31" s="13" t="inlineStr">
        <is>
          <t>PHẦN II: KẾT CẤU PHẦN DƯỚI (BỆ, THÂN, XÀ MŨ MỐ M1, M2 &amp; TRỤ T1, T2)</t>
        </is>
      </c>
    </row>
    <row r="32" ht="22" customHeight="1">
      <c r="A32" s="7" t="inlineStr">
        <is>
          <t>7</t>
        </is>
      </c>
      <c r="B32" s="7" t="inlineStr">
        <is>
          <t>AB.11111</t>
        </is>
      </c>
      <c r="C32" s="14" t="inlineStr">
        <is>
          <t>Đào đất đá hố móng bệ mố M1, M2 và bệ trụ T1, T2 (Link Sheet Đào Đắp)</t>
        </is>
      </c>
      <c r="D32" s="7" t="inlineStr">
        <is>
          <t>m3</t>
        </is>
      </c>
      <c r="E32" s="15" t="n"/>
      <c r="F32" s="15" t="n"/>
      <c r="G32" s="15" t="n"/>
      <c r="H32" s="15" t="n"/>
      <c r="I32" s="15" t="n"/>
      <c r="J32" s="16">
        <f>SUM(J33:J33)</f>
        <v/>
      </c>
      <c r="K32" s="17" t="n">
        <v>145000</v>
      </c>
      <c r="L32" s="18">
        <f>J32*K32</f>
        <v/>
      </c>
    </row>
    <row r="33" ht="19" customHeight="1">
      <c r="A33" s="19" t="n"/>
      <c r="B33" s="19" t="n"/>
      <c r="C33" s="20" t="inlineStr">
        <is>
          <t>- Đào đất đá hố móng bệ mố M1,M2 &amp; bệ trụ T1,T2 → =KHOI_LUONG_DAO_DAP!F21</t>
        </is>
      </c>
      <c r="D33" s="21" t="inlineStr">
        <is>
          <t>m3</t>
        </is>
      </c>
      <c r="E33" s="22" t="n">
        <v>1</v>
      </c>
      <c r="F33" s="22" t="n">
        <v>1</v>
      </c>
      <c r="G33" s="22" t="n">
        <v>1</v>
      </c>
      <c r="H33" s="22" t="n">
        <v>1</v>
      </c>
      <c r="I33" s="23" t="n">
        <v>1</v>
      </c>
      <c r="J33" s="26">
        <f>KHOI_LUONG_DAO_DAP!F21</f>
        <v/>
      </c>
      <c r="K33" s="19" t="n"/>
      <c r="L33" s="19" t="n"/>
    </row>
    <row r="34" ht="22" customHeight="1">
      <c r="A34" s="7" t="inlineStr">
        <is>
          <t>8</t>
        </is>
      </c>
      <c r="B34" s="7" t="inlineStr">
        <is>
          <t>AF.11111</t>
        </is>
      </c>
      <c r="C34" s="14" t="inlineStr">
        <is>
          <t>Bê tông lót đáy bệ móng mác C10 dày 10cm</t>
        </is>
      </c>
      <c r="D34" s="7" t="inlineStr">
        <is>
          <t>m3</t>
        </is>
      </c>
      <c r="E34" s="15" t="n"/>
      <c r="F34" s="15" t="n"/>
      <c r="G34" s="15" t="n"/>
      <c r="H34" s="15" t="n"/>
      <c r="I34" s="15" t="n"/>
      <c r="J34" s="16">
        <f>SUM(J35:J38)</f>
        <v/>
      </c>
      <c r="K34" s="17" t="n">
        <v>1150000</v>
      </c>
      <c r="L34" s="18">
        <f>J34*K34</f>
        <v/>
      </c>
    </row>
    <row r="35" ht="19" customHeight="1">
      <c r="A35" s="19" t="n"/>
      <c r="B35" s="19" t="n"/>
      <c r="C35" s="20" t="inlineStr">
        <is>
          <t>- Lớp bê tông lót đáy bệ mố M1 chân dê</t>
        </is>
      </c>
      <c r="D35" s="21" t="inlineStr">
        <is>
          <t>m3</t>
        </is>
      </c>
      <c r="E35" s="22" t="n">
        <v>1</v>
      </c>
      <c r="F35" s="22" t="n">
        <v>12.5</v>
      </c>
      <c r="G35" s="22" t="n">
        <v>6</v>
      </c>
      <c r="H35" s="22" t="n">
        <v>0.1</v>
      </c>
      <c r="I35" s="23" t="n">
        <v>1</v>
      </c>
      <c r="J35" s="24">
        <f>E35*F35*G35*H35*I35</f>
        <v/>
      </c>
      <c r="K35" s="19" t="n"/>
      <c r="L35" s="19" t="n"/>
    </row>
    <row r="36" ht="19" customHeight="1">
      <c r="A36" s="19" t="n"/>
      <c r="B36" s="19" t="n"/>
      <c r="C36" s="20" t="inlineStr">
        <is>
          <t>- Lớp bê tông lót đáy bệ mố M2 chữ U</t>
        </is>
      </c>
      <c r="D36" s="21" t="inlineStr">
        <is>
          <t>m3</t>
        </is>
      </c>
      <c r="E36" s="22" t="n">
        <v>1</v>
      </c>
      <c r="F36" s="22" t="n">
        <v>14</v>
      </c>
      <c r="G36" s="22" t="n">
        <v>6.5</v>
      </c>
      <c r="H36" s="22" t="n">
        <v>0.1</v>
      </c>
      <c r="I36" s="23" t="n">
        <v>1</v>
      </c>
      <c r="J36" s="24">
        <f>E36*F36*G36*H36*I36</f>
        <v/>
      </c>
      <c r="K36" s="19" t="n"/>
      <c r="L36" s="19" t="n"/>
    </row>
    <row r="37" ht="19" customHeight="1">
      <c r="A37" s="19" t="n"/>
      <c r="B37" s="19" t="n"/>
      <c r="C37" s="20" t="inlineStr">
        <is>
          <t>- Lớp bê tông lót đáy bệ trụ T1</t>
        </is>
      </c>
      <c r="D37" s="21" t="inlineStr">
        <is>
          <t>m3</t>
        </is>
      </c>
      <c r="E37" s="22" t="n">
        <v>1</v>
      </c>
      <c r="F37" s="22" t="n">
        <v>13</v>
      </c>
      <c r="G37" s="22" t="n">
        <v>6.5</v>
      </c>
      <c r="H37" s="22" t="n">
        <v>0.1</v>
      </c>
      <c r="I37" s="23" t="n">
        <v>1</v>
      </c>
      <c r="J37" s="24">
        <f>E37*F37*G37*H37*I37</f>
        <v/>
      </c>
      <c r="K37" s="19" t="n"/>
      <c r="L37" s="19" t="n"/>
    </row>
    <row r="38" ht="19" customHeight="1">
      <c r="A38" s="19" t="n"/>
      <c r="B38" s="19" t="n"/>
      <c r="C38" s="20" t="inlineStr">
        <is>
          <t>- Lớp bê tông lót đáy bệ trụ T2</t>
        </is>
      </c>
      <c r="D38" s="21" t="inlineStr">
        <is>
          <t>m3</t>
        </is>
      </c>
      <c r="E38" s="22" t="n">
        <v>1</v>
      </c>
      <c r="F38" s="22" t="n">
        <v>13</v>
      </c>
      <c r="G38" s="22" t="n">
        <v>6.5</v>
      </c>
      <c r="H38" s="22" t="n">
        <v>0.1</v>
      </c>
      <c r="I38" s="23" t="n">
        <v>1</v>
      </c>
      <c r="J38" s="24">
        <f>E38*F38*G38*H38*I38</f>
        <v/>
      </c>
      <c r="K38" s="19" t="n"/>
      <c r="L38" s="19" t="n"/>
    </row>
    <row r="39" ht="22" customHeight="1">
      <c r="A39" s="7" t="inlineStr">
        <is>
          <t>9</t>
        </is>
      </c>
      <c r="B39" s="7" t="inlineStr">
        <is>
          <t>AF.12111</t>
        </is>
      </c>
      <c r="C39" s="14" t="inlineStr">
        <is>
          <t>Bê tông bệ móng mố M1, M2 và bệ trụ T1, T2 mác C30</t>
        </is>
      </c>
      <c r="D39" s="7" t="inlineStr">
        <is>
          <t>m3</t>
        </is>
      </c>
      <c r="E39" s="15" t="n"/>
      <c r="F39" s="15" t="n"/>
      <c r="G39" s="15" t="n"/>
      <c r="H39" s="15" t="n"/>
      <c r="I39" s="15" t="n"/>
      <c r="J39" s="16">
        <f>SUM(J40:J43)</f>
        <v/>
      </c>
      <c r="K39" s="17" t="n">
        <v>1480000</v>
      </c>
      <c r="L39" s="18">
        <f>J39*K39</f>
        <v/>
      </c>
    </row>
    <row r="40" ht="19" customHeight="1">
      <c r="A40" s="19" t="n"/>
      <c r="B40" s="19" t="n"/>
      <c r="C40" s="20" t="inlineStr">
        <is>
          <t>- Bệ móng mố M1 chân dê (chiều cao bệ h=2.0m)</t>
        </is>
      </c>
      <c r="D40" s="21" t="inlineStr">
        <is>
          <t>m3</t>
        </is>
      </c>
      <c r="E40" s="22" t="n">
        <v>1</v>
      </c>
      <c r="F40" s="22" t="n">
        <v>12</v>
      </c>
      <c r="G40" s="22" t="n">
        <v>5.5</v>
      </c>
      <c r="H40" s="22" t="n">
        <v>2</v>
      </c>
      <c r="I40" s="23" t="n">
        <v>1.1287</v>
      </c>
      <c r="J40" s="24">
        <f>E40*F40*G40*H40*I40</f>
        <v/>
      </c>
      <c r="K40" s="19" t="n"/>
      <c r="L40" s="19" t="n"/>
    </row>
    <row r="41" ht="19" customHeight="1">
      <c r="A41" s="19" t="n"/>
      <c r="B41" s="19" t="n"/>
      <c r="C41" s="20" t="inlineStr">
        <is>
          <t>- Bệ móng mố M2 chữ U (chiều cao bệ h=2.0m)</t>
        </is>
      </c>
      <c r="D41" s="21" t="inlineStr">
        <is>
          <t>m3</t>
        </is>
      </c>
      <c r="E41" s="22" t="n">
        <v>1</v>
      </c>
      <c r="F41" s="22" t="n">
        <v>13.5</v>
      </c>
      <c r="G41" s="22" t="n">
        <v>5.5</v>
      </c>
      <c r="H41" s="22" t="n">
        <v>2</v>
      </c>
      <c r="I41" s="23" t="n">
        <v>1.0033</v>
      </c>
      <c r="J41" s="24">
        <f>E41*F41*G41*H41*I41</f>
        <v/>
      </c>
      <c r="K41" s="19" t="n"/>
      <c r="L41" s="19" t="n"/>
    </row>
    <row r="42" ht="19" customHeight="1">
      <c r="A42" s="19" t="n"/>
      <c r="B42" s="19" t="n"/>
      <c r="C42" s="20" t="inlineStr">
        <is>
          <t>- Bệ móng trụ T1 thân đặc (chiều cao bệ h=2.5m)</t>
        </is>
      </c>
      <c r="D42" s="21" t="inlineStr">
        <is>
          <t>m3</t>
        </is>
      </c>
      <c r="E42" s="22" t="n">
        <v>1</v>
      </c>
      <c r="F42" s="22" t="n">
        <v>12.3</v>
      </c>
      <c r="G42" s="22" t="n">
        <v>6</v>
      </c>
      <c r="H42" s="22" t="n">
        <v>2.5</v>
      </c>
      <c r="I42" s="23" t="n">
        <v>1</v>
      </c>
      <c r="J42" s="24">
        <f>E42*F42*G42*H42*I42</f>
        <v/>
      </c>
      <c r="K42" s="19" t="n"/>
      <c r="L42" s="19" t="n"/>
    </row>
    <row r="43" ht="19" customHeight="1">
      <c r="A43" s="19" t="n"/>
      <c r="B43" s="19" t="n"/>
      <c r="C43" s="20" t="inlineStr">
        <is>
          <t>- Bệ móng trụ T2 thân đặc (chiều cao bệ h=2.5m)</t>
        </is>
      </c>
      <c r="D43" s="21" t="inlineStr">
        <is>
          <t>m3</t>
        </is>
      </c>
      <c r="E43" s="22" t="n">
        <v>1</v>
      </c>
      <c r="F43" s="22" t="n">
        <v>12.3</v>
      </c>
      <c r="G43" s="22" t="n">
        <v>6</v>
      </c>
      <c r="H43" s="22" t="n">
        <v>2.5</v>
      </c>
      <c r="I43" s="23" t="n">
        <v>1</v>
      </c>
      <c r="J43" s="24">
        <f>E43*F43*G43*H43*I43</f>
        <v/>
      </c>
      <c r="K43" s="19" t="n"/>
      <c r="L43" s="19" t="n"/>
    </row>
    <row r="44" ht="22" customHeight="1">
      <c r="A44" s="7" t="inlineStr">
        <is>
          <t>10</t>
        </is>
      </c>
      <c r="B44" s="7" t="inlineStr">
        <is>
          <t>AF.12211</t>
        </is>
      </c>
      <c r="C44" s="14" t="inlineStr">
        <is>
          <t>Bê tông thân mố chân dê M1 và mố chữ U M2 mác C30</t>
        </is>
      </c>
      <c r="D44" s="7" t="inlineStr">
        <is>
          <t>m3</t>
        </is>
      </c>
      <c r="E44" s="15" t="n"/>
      <c r="F44" s="15" t="n"/>
      <c r="G44" s="15" t="n"/>
      <c r="H44" s="15" t="n"/>
      <c r="I44" s="15" t="n"/>
      <c r="J44" s="16">
        <f>SUM(J45:J46)</f>
        <v/>
      </c>
      <c r="K44" s="17" t="n">
        <v>1520000</v>
      </c>
      <c r="L44" s="18">
        <f>J44*K44</f>
        <v/>
      </c>
    </row>
    <row r="45" ht="19" customHeight="1">
      <c r="A45" s="19" t="n"/>
      <c r="B45" s="19" t="n"/>
      <c r="C45" s="20" t="inlineStr">
        <is>
          <t>- Thân mố M1 chân dê</t>
        </is>
      </c>
      <c r="D45" s="21" t="inlineStr">
        <is>
          <t>m3</t>
        </is>
      </c>
      <c r="E45" s="22" t="n">
        <v>1</v>
      </c>
      <c r="F45" s="22" t="n">
        <v>11.75</v>
      </c>
      <c r="G45" s="22" t="n">
        <v>1.2</v>
      </c>
      <c r="H45" s="22" t="n">
        <v>6</v>
      </c>
      <c r="I45" s="23" t="n">
        <v>1</v>
      </c>
      <c r="J45" s="24">
        <f>E45*F45*G45*H45*I45</f>
        <v/>
      </c>
      <c r="K45" s="19" t="n"/>
      <c r="L45" s="19" t="n"/>
    </row>
    <row r="46" ht="19" customHeight="1">
      <c r="A46" s="19" t="n"/>
      <c r="B46" s="19" t="n"/>
      <c r="C46" s="20" t="inlineStr">
        <is>
          <t>- Thân mố M2 chữ U (tường thân trước)</t>
        </is>
      </c>
      <c r="D46" s="21" t="inlineStr">
        <is>
          <t>m3</t>
        </is>
      </c>
      <c r="E46" s="22" t="n">
        <v>1</v>
      </c>
      <c r="F46" s="22" t="n">
        <v>11.75</v>
      </c>
      <c r="G46" s="22" t="n">
        <v>1.2</v>
      </c>
      <c r="H46" s="22" t="n">
        <v>6</v>
      </c>
      <c r="I46" s="23" t="n">
        <v>1</v>
      </c>
      <c r="J46" s="24">
        <f>E46*F46*G46*H46*I46</f>
        <v/>
      </c>
      <c r="K46" s="19" t="n"/>
      <c r="L46" s="19" t="n"/>
    </row>
    <row r="47" ht="22" customHeight="1">
      <c r="A47" s="7" t="inlineStr">
        <is>
          <t>11</t>
        </is>
      </c>
      <c r="B47" s="7" t="inlineStr">
        <is>
          <t>AF.12311</t>
        </is>
      </c>
      <c r="C47" s="14" t="inlineStr">
        <is>
          <t>Bê tông tường cánh và tường đỉnh mố M1, M2 mác C30</t>
        </is>
      </c>
      <c r="D47" s="7" t="inlineStr">
        <is>
          <t>m3</t>
        </is>
      </c>
      <c r="E47" s="15" t="n"/>
      <c r="F47" s="15" t="n"/>
      <c r="G47" s="15" t="n"/>
      <c r="H47" s="15" t="n"/>
      <c r="I47" s="15" t="n"/>
      <c r="J47" s="16">
        <f>SUM(J48:J49)</f>
        <v/>
      </c>
      <c r="K47" s="17" t="n">
        <v>1520000</v>
      </c>
      <c r="L47" s="18">
        <f>J47*K47</f>
        <v/>
      </c>
    </row>
    <row r="48" ht="19" customHeight="1">
      <c r="A48" s="19" t="n"/>
      <c r="B48" s="19" t="n"/>
      <c r="C48" s="20" t="inlineStr">
        <is>
          <t>- Tường đỉnh mố M1 và M2</t>
        </is>
      </c>
      <c r="D48" s="21" t="inlineStr">
        <is>
          <t>m3</t>
        </is>
      </c>
      <c r="E48" s="22" t="n">
        <v>2</v>
      </c>
      <c r="F48" s="22" t="n">
        <v>11.75</v>
      </c>
      <c r="G48" s="22" t="n">
        <v>0.45</v>
      </c>
      <c r="H48" s="22" t="n">
        <v>2.71</v>
      </c>
      <c r="I48" s="23" t="n">
        <v>1</v>
      </c>
      <c r="J48" s="24">
        <f>E48*F48*G48*H48*I48</f>
        <v/>
      </c>
      <c r="K48" s="19" t="n"/>
      <c r="L48" s="19" t="n"/>
    </row>
    <row r="49" ht="19" customHeight="1">
      <c r="A49" s="19" t="n"/>
      <c r="B49" s="19" t="n"/>
      <c r="C49" s="20" t="inlineStr">
        <is>
          <t>- Tường cánh mố M1 và M2 (4 tường cánh vát)</t>
        </is>
      </c>
      <c r="D49" s="21" t="inlineStr">
        <is>
          <t>m3</t>
        </is>
      </c>
      <c r="E49" s="22" t="n">
        <v>4</v>
      </c>
      <c r="F49" s="22" t="n">
        <v>7.5</v>
      </c>
      <c r="G49" s="22" t="n">
        <v>0.4</v>
      </c>
      <c r="H49" s="22" t="n">
        <v>4.22</v>
      </c>
      <c r="I49" s="23" t="n">
        <v>0.4</v>
      </c>
      <c r="J49" s="24">
        <f>E49*F49*G49*H49*I49</f>
        <v/>
      </c>
      <c r="K49" s="19" t="n"/>
      <c r="L49" s="19" t="n"/>
    </row>
    <row r="50" ht="22" customHeight="1">
      <c r="A50" s="7" t="inlineStr">
        <is>
          <t>12</t>
        </is>
      </c>
      <c r="B50" s="7" t="inlineStr">
        <is>
          <t>AF.13111</t>
        </is>
      </c>
      <c r="C50" s="14" t="inlineStr">
        <is>
          <t>Bê tông thân đặc trụ T1 và T2 mác C30</t>
        </is>
      </c>
      <c r="D50" s="7" t="inlineStr">
        <is>
          <t>m3</t>
        </is>
      </c>
      <c r="E50" s="15" t="n"/>
      <c r="F50" s="15" t="n"/>
      <c r="G50" s="15" t="n"/>
      <c r="H50" s="15" t="n"/>
      <c r="I50" s="15" t="n"/>
      <c r="J50" s="16">
        <f>SUM(J51:J52)</f>
        <v/>
      </c>
      <c r="K50" s="17" t="n">
        <v>1550000</v>
      </c>
      <c r="L50" s="18">
        <f>J50*K50</f>
        <v/>
      </c>
    </row>
    <row r="51" ht="19" customHeight="1">
      <c r="A51" s="19" t="n"/>
      <c r="B51" s="19" t="n"/>
      <c r="C51" s="20" t="inlineStr">
        <is>
          <t>- Thân đặc trụ T1 (chiều cao trụ H=14.5m)</t>
        </is>
      </c>
      <c r="D51" s="21" t="inlineStr">
        <is>
          <t>m3</t>
        </is>
      </c>
      <c r="E51" s="22" t="n">
        <v>1</v>
      </c>
      <c r="F51" s="22" t="n">
        <v>9.75</v>
      </c>
      <c r="G51" s="22" t="n">
        <v>2</v>
      </c>
      <c r="H51" s="22" t="n">
        <v>14.5</v>
      </c>
      <c r="I51" s="23" t="n">
        <v>0.995</v>
      </c>
      <c r="J51" s="24">
        <f>E51*F51*G51*H51*I51</f>
        <v/>
      </c>
      <c r="K51" s="19" t="n"/>
      <c r="L51" s="19" t="n"/>
    </row>
    <row r="52" ht="19" customHeight="1">
      <c r="A52" s="19" t="n"/>
      <c r="B52" s="19" t="n"/>
      <c r="C52" s="20" t="inlineStr">
        <is>
          <t>- Thân đặc trụ T2 (chiều cao trụ H=11.4m)</t>
        </is>
      </c>
      <c r="D52" s="21" t="inlineStr">
        <is>
          <t>m3</t>
        </is>
      </c>
      <c r="E52" s="22" t="n">
        <v>1</v>
      </c>
      <c r="F52" s="22" t="n">
        <v>9.75</v>
      </c>
      <c r="G52" s="22" t="n">
        <v>2</v>
      </c>
      <c r="H52" s="22" t="n">
        <v>11.4</v>
      </c>
      <c r="I52" s="23" t="n">
        <v>0.995</v>
      </c>
      <c r="J52" s="24">
        <f>E52*F52*G52*H52*I52</f>
        <v/>
      </c>
      <c r="K52" s="19" t="n"/>
      <c r="L52" s="19" t="n"/>
    </row>
    <row r="53" ht="22" customHeight="1">
      <c r="A53" s="7" t="inlineStr">
        <is>
          <t>13</t>
        </is>
      </c>
      <c r="B53" s="7" t="inlineStr">
        <is>
          <t>AF.13211</t>
        </is>
      </c>
      <c r="C53" s="14" t="inlineStr">
        <is>
          <t>Bê tông xà mũ trụ T1, T2 mác C30</t>
        </is>
      </c>
      <c r="D53" s="7" t="inlineStr">
        <is>
          <t>m3</t>
        </is>
      </c>
      <c r="E53" s="15" t="n"/>
      <c r="F53" s="15" t="n"/>
      <c r="G53" s="15" t="n"/>
      <c r="H53" s="15" t="n"/>
      <c r="I53" s="15" t="n"/>
      <c r="J53" s="16">
        <f>SUM(J54:J55)</f>
        <v/>
      </c>
      <c r="K53" s="17" t="n">
        <v>1580000</v>
      </c>
      <c r="L53" s="18">
        <f>J53*K53</f>
        <v/>
      </c>
    </row>
    <row r="54" ht="19" customHeight="1">
      <c r="A54" s="19" t="n"/>
      <c r="B54" s="19" t="n"/>
      <c r="C54" s="20" t="inlineStr">
        <is>
          <t>- Xà mũ trụ T1 (kích thước vát 12.3m x 3.3m x 1.8m)</t>
        </is>
      </c>
      <c r="D54" s="21" t="inlineStr">
        <is>
          <t>m3</t>
        </is>
      </c>
      <c r="E54" s="22" t="n">
        <v>1</v>
      </c>
      <c r="F54" s="22" t="n">
        <v>12.3</v>
      </c>
      <c r="G54" s="22" t="n">
        <v>3.3</v>
      </c>
      <c r="H54" s="22" t="n">
        <v>1.8</v>
      </c>
      <c r="I54" s="23" t="n">
        <v>1</v>
      </c>
      <c r="J54" s="24">
        <f>E54*F54*G54*H54*I54</f>
        <v/>
      </c>
      <c r="K54" s="19" t="n"/>
      <c r="L54" s="19" t="n"/>
    </row>
    <row r="55" ht="19" customHeight="1">
      <c r="A55" s="19" t="n"/>
      <c r="B55" s="19" t="n"/>
      <c r="C55" s="20" t="inlineStr">
        <is>
          <t>- Xà mũ trụ T2 (kích thước vát 12.3m x 3.3m x 1.8m)</t>
        </is>
      </c>
      <c r="D55" s="21" t="inlineStr">
        <is>
          <t>m3</t>
        </is>
      </c>
      <c r="E55" s="22" t="n">
        <v>1</v>
      </c>
      <c r="F55" s="22" t="n">
        <v>12.3</v>
      </c>
      <c r="G55" s="22" t="n">
        <v>3.3</v>
      </c>
      <c r="H55" s="22" t="n">
        <v>1.8</v>
      </c>
      <c r="I55" s="23" t="n">
        <v>1</v>
      </c>
      <c r="J55" s="24">
        <f>E55*F55*G55*H55*I55</f>
        <v/>
      </c>
      <c r="K55" s="19" t="n"/>
      <c r="L55" s="19" t="n"/>
    </row>
    <row r="56" ht="22" customHeight="1">
      <c r="A56" s="7" t="inlineStr">
        <is>
          <t>14</t>
        </is>
      </c>
      <c r="B56" s="7" t="inlineStr">
        <is>
          <t>AF.62111</t>
        </is>
      </c>
      <c r="C56" s="14" t="inlineStr">
        <is>
          <t>Cốt thép mố và trụ (D&lt;=10, 10&lt;D&lt;=18, D&gt;18)</t>
        </is>
      </c>
      <c r="D56" s="7" t="inlineStr">
        <is>
          <t>Tấn</t>
        </is>
      </c>
      <c r="E56" s="15" t="n"/>
      <c r="F56" s="15" t="n"/>
      <c r="G56" s="15" t="n"/>
      <c r="H56" s="15" t="n"/>
      <c r="I56" s="15" t="n"/>
      <c r="J56" s="25" t="n">
        <v>224.6522560819999</v>
      </c>
      <c r="K56" s="17" t="n">
        <v>18500000</v>
      </c>
      <c r="L56" s="18">
        <f>J56*K56</f>
        <v/>
      </c>
    </row>
    <row r="57" ht="19" customHeight="1">
      <c r="A57" s="19" t="n"/>
      <c r="B57" s="19" t="n"/>
      <c r="C57" s="20" t="inlineStr">
        <is>
          <t>- Cốt thép mố M1 (tổng hợp bản vẽ Trang 31)</t>
        </is>
      </c>
      <c r="D57" s="21" t="inlineStr">
        <is>
          <t>Tấn</t>
        </is>
      </c>
      <c r="E57" s="22" t="n">
        <v>1</v>
      </c>
      <c r="F57" s="22" t="n">
        <v>23.45</v>
      </c>
      <c r="G57" s="22" t="n">
        <v>1</v>
      </c>
      <c r="H57" s="22" t="n">
        <v>1</v>
      </c>
      <c r="I57" s="23" t="n">
        <v>1</v>
      </c>
      <c r="J57" s="24">
        <f>E57*F57*G57*H57*I57</f>
        <v/>
      </c>
      <c r="K57" s="19" t="n"/>
      <c r="L57" s="19" t="n"/>
    </row>
    <row r="58" ht="19" customHeight="1">
      <c r="A58" s="19" t="n"/>
      <c r="B58" s="19" t="n"/>
      <c r="C58" s="20" t="inlineStr">
        <is>
          <t>- Cốt thép mố M2 (tổng hợp bản vẽ Trang 40)</t>
        </is>
      </c>
      <c r="D58" s="21" t="inlineStr">
        <is>
          <t>Tấn</t>
        </is>
      </c>
      <c r="E58" s="22" t="n">
        <v>1</v>
      </c>
      <c r="F58" s="22" t="n">
        <v>31.85</v>
      </c>
      <c r="G58" s="22" t="n">
        <v>1</v>
      </c>
      <c r="H58" s="22" t="n">
        <v>1</v>
      </c>
      <c r="I58" s="23" t="n">
        <v>1</v>
      </c>
      <c r="J58" s="24">
        <f>E58*F58*G58*H58*I58</f>
        <v/>
      </c>
      <c r="K58" s="19" t="n"/>
      <c r="L58" s="19" t="n"/>
    </row>
    <row r="59" ht="19" customHeight="1">
      <c r="A59" s="19" t="n"/>
      <c r="B59" s="19" t="n"/>
      <c r="C59" s="20" t="inlineStr">
        <is>
          <t>- Cốt thép trụ T1 (bệ, thân, xà mũ)</t>
        </is>
      </c>
      <c r="D59" s="21" t="inlineStr">
        <is>
          <t>Tấn</t>
        </is>
      </c>
      <c r="E59" s="22" t="n">
        <v>1</v>
      </c>
      <c r="F59" s="22" t="n">
        <v>38.6</v>
      </c>
      <c r="G59" s="22" t="n">
        <v>1</v>
      </c>
      <c r="H59" s="22" t="n">
        <v>1</v>
      </c>
      <c r="I59" s="23" t="n">
        <v>1</v>
      </c>
      <c r="J59" s="24">
        <f>E59*F59*G59*H59*I59</f>
        <v/>
      </c>
      <c r="K59" s="19" t="n"/>
      <c r="L59" s="19" t="n"/>
    </row>
    <row r="60" ht="19" customHeight="1">
      <c r="A60" s="19" t="n"/>
      <c r="B60" s="19" t="n"/>
      <c r="C60" s="20" t="inlineStr">
        <is>
          <t>- Cốt thép trụ T2 (bệ, thân, xà mũ)</t>
        </is>
      </c>
      <c r="D60" s="21" t="inlineStr">
        <is>
          <t>Tấn</t>
        </is>
      </c>
      <c r="E60" s="22" t="n">
        <v>1</v>
      </c>
      <c r="F60" s="22" t="n">
        <v>34.2</v>
      </c>
      <c r="G60" s="22" t="n">
        <v>1</v>
      </c>
      <c r="H60" s="22" t="n">
        <v>1</v>
      </c>
      <c r="I60" s="23" t="n">
        <v>1</v>
      </c>
      <c r="J60" s="24">
        <f>E60*F60*G60*H60*I60</f>
        <v/>
      </c>
      <c r="K60" s="19" t="n"/>
      <c r="L60" s="19" t="n"/>
    </row>
    <row r="61" ht="24" customHeight="1">
      <c r="A61" s="13" t="inlineStr">
        <is>
          <t>PHẦN III: KẾT CẤU PHẦN TRÊN (15 PHIẾN DẦM SUPER-T L=38.2M, BẢN MẶT CẦU)</t>
        </is>
      </c>
    </row>
    <row r="62" ht="22" customHeight="1">
      <c r="A62" s="7" t="inlineStr">
        <is>
          <t>15</t>
        </is>
      </c>
      <c r="B62" s="7" t="inlineStr">
        <is>
          <t>AF.31111</t>
        </is>
      </c>
      <c r="C62" s="14" t="inlineStr">
        <is>
          <t>Bê tông dầm chủ Super-T L=38.2m mác cao C45/55</t>
        </is>
      </c>
      <c r="D62" s="7" t="inlineStr">
        <is>
          <t>m3</t>
        </is>
      </c>
      <c r="E62" s="15" t="n"/>
      <c r="F62" s="15" t="n"/>
      <c r="G62" s="15" t="n"/>
      <c r="H62" s="15" t="n"/>
      <c r="I62" s="15" t="n"/>
      <c r="J62" s="16">
        <f>SUM(J63:J63)</f>
        <v/>
      </c>
      <c r="K62" s="17" t="n">
        <v>2150000</v>
      </c>
      <c r="L62" s="18">
        <f>J62*K62</f>
        <v/>
      </c>
    </row>
    <row r="63" ht="19" customHeight="1">
      <c r="A63" s="19" t="n"/>
      <c r="B63" s="19" t="n"/>
      <c r="C63" s="20" t="inlineStr">
        <is>
          <t>- Bê tông 15 phiến dầm Super-T (chiều dài L=38.2m, F_tb=0.759m2)</t>
        </is>
      </c>
      <c r="D63" s="21" t="inlineStr">
        <is>
          <t>m3</t>
        </is>
      </c>
      <c r="E63" s="22" t="n">
        <v>15</v>
      </c>
      <c r="F63" s="22" t="n">
        <v>38.2</v>
      </c>
      <c r="G63" s="22" t="n">
        <v>0.759</v>
      </c>
      <c r="H63" s="22" t="n">
        <v>1</v>
      </c>
      <c r="I63" s="23" t="n">
        <v>1</v>
      </c>
      <c r="J63" s="24">
        <f>E63*F63*G63*H63*I63</f>
        <v/>
      </c>
      <c r="K63" s="19" t="n"/>
      <c r="L63" s="19" t="n"/>
    </row>
    <row r="64" ht="22" customHeight="1">
      <c r="A64" s="7" t="inlineStr">
        <is>
          <t>16</t>
        </is>
      </c>
      <c r="B64" s="7" t="inlineStr">
        <is>
          <t>AF.63111</t>
        </is>
      </c>
      <c r="C64" s="14" t="inlineStr">
        <is>
          <t>Cáp dự ứng lực tao xoắn 15.2mm Grade 270 kéo căng trước/sau</t>
        </is>
      </c>
      <c r="D64" s="7" t="inlineStr">
        <is>
          <t>Tấn</t>
        </is>
      </c>
      <c r="E64" s="15" t="n"/>
      <c r="F64" s="15" t="n"/>
      <c r="G64" s="15" t="n"/>
      <c r="H64" s="15" t="n"/>
      <c r="I64" s="15" t="n"/>
      <c r="J64" s="25" t="n">
        <v>27.78362400000001</v>
      </c>
      <c r="K64" s="17" t="n">
        <v>42000000</v>
      </c>
      <c r="L64" s="18">
        <f>J64*K64</f>
        <v/>
      </c>
    </row>
    <row r="65" ht="19" customHeight="1">
      <c r="A65" s="19" t="n"/>
      <c r="B65" s="19" t="n"/>
      <c r="C65" s="20" t="inlineStr">
        <is>
          <t>- Cáp DUL 15 phiến dầm Super-T (15 phiến x 1.994 tấn/phiến)</t>
        </is>
      </c>
      <c r="D65" s="21" t="inlineStr">
        <is>
          <t>Tấn</t>
        </is>
      </c>
      <c r="E65" s="22" t="n">
        <v>15</v>
      </c>
      <c r="F65" s="22" t="n">
        <v>1.994</v>
      </c>
      <c r="G65" s="22" t="n">
        <v>1</v>
      </c>
      <c r="H65" s="22" t="n">
        <v>1</v>
      </c>
      <c r="I65" s="23" t="n">
        <v>1</v>
      </c>
      <c r="J65" s="24">
        <f>E65*F65*G65*H65*I65</f>
        <v/>
      </c>
      <c r="K65" s="19" t="n"/>
      <c r="L65" s="19" t="n"/>
    </row>
    <row r="66" ht="22" customHeight="1">
      <c r="A66" s="7" t="inlineStr">
        <is>
          <t>17</t>
        </is>
      </c>
      <c r="B66" s="7" t="inlineStr">
        <is>
          <t>AF.64111</t>
        </is>
      </c>
      <c r="C66" s="14" t="inlineStr">
        <is>
          <t>Cốt thép thường dầm chủ Super-T (D10, D14, D16, D20)</t>
        </is>
      </c>
      <c r="D66" s="7" t="inlineStr">
        <is>
          <t>Tấn</t>
        </is>
      </c>
      <c r="E66" s="15" t="n"/>
      <c r="F66" s="15" t="n"/>
      <c r="G66" s="15" t="n"/>
      <c r="H66" s="15" t="n"/>
      <c r="I66" s="15" t="n"/>
      <c r="J66" s="25" t="n">
        <v>361.5960984</v>
      </c>
      <c r="K66" s="17" t="n">
        <v>18800000</v>
      </c>
      <c r="L66" s="18">
        <f>J66*K66</f>
        <v/>
      </c>
    </row>
    <row r="67" ht="19" customHeight="1">
      <c r="A67" s="19" t="n"/>
      <c r="B67" s="19" t="n"/>
      <c r="C67" s="20" t="inlineStr">
        <is>
          <t>- Cốt thép thường 15 phiến dầm Super-T (15 phiến x 6.042 tấn/phiến)</t>
        </is>
      </c>
      <c r="D67" s="21" t="inlineStr">
        <is>
          <t>Tấn</t>
        </is>
      </c>
      <c r="E67" s="22" t="n">
        <v>15</v>
      </c>
      <c r="F67" s="22" t="n">
        <v>6.042</v>
      </c>
      <c r="G67" s="22" t="n">
        <v>1</v>
      </c>
      <c r="H67" s="22" t="n">
        <v>1</v>
      </c>
      <c r="I67" s="23" t="n">
        <v>1</v>
      </c>
      <c r="J67" s="24">
        <f>E67*F67*G67*H67*I67</f>
        <v/>
      </c>
      <c r="K67" s="19" t="n"/>
      <c r="L67" s="19" t="n"/>
    </row>
    <row r="68" ht="22" customHeight="1">
      <c r="A68" s="7" t="inlineStr">
        <is>
          <t>18</t>
        </is>
      </c>
      <c r="B68" s="7" t="inlineStr">
        <is>
          <t>AC.21111</t>
        </is>
      </c>
      <c r="C68" s="14" t="inlineStr">
        <is>
          <t>Vận chuyển và lao lắp 15 phiến dầm Super-T bằng giá lao dầm ray P43</t>
        </is>
      </c>
      <c r="D68" s="7" t="inlineStr">
        <is>
          <t>Phiến</t>
        </is>
      </c>
      <c r="E68" s="15" t="n"/>
      <c r="F68" s="15" t="n"/>
      <c r="G68" s="15" t="n"/>
      <c r="H68" s="15" t="n"/>
      <c r="I68" s="15" t="n"/>
      <c r="J68" s="16">
        <f>SUM(J69:J69)</f>
        <v/>
      </c>
      <c r="K68" s="17" t="n">
        <v>18500000</v>
      </c>
      <c r="L68" s="18">
        <f>J68*K68</f>
        <v/>
      </c>
    </row>
    <row r="69" ht="19" customHeight="1">
      <c r="A69" s="19" t="n"/>
      <c r="B69" s="19" t="n"/>
      <c r="C69" s="20" t="inlineStr">
        <is>
          <t>- Lao lắp hoàn chỉnh 15 phiến dầm vào 3 nhịp (3 nhịp x 5 phiến)</t>
        </is>
      </c>
      <c r="D69" s="21" t="inlineStr">
        <is>
          <t>Phiến</t>
        </is>
      </c>
      <c r="E69" s="22" t="n">
        <v>3</v>
      </c>
      <c r="F69" s="22" t="n">
        <v>5</v>
      </c>
      <c r="G69" s="22" t="n">
        <v>1</v>
      </c>
      <c r="H69" s="22" t="n">
        <v>1</v>
      </c>
      <c r="I69" s="23" t="n">
        <v>1</v>
      </c>
      <c r="J69" s="24">
        <f>E69*F69*G69*H69*I69</f>
        <v/>
      </c>
      <c r="K69" s="19" t="n"/>
      <c r="L69" s="19" t="n"/>
    </row>
    <row r="70" ht="22" customHeight="1">
      <c r="A70" s="7" t="inlineStr">
        <is>
          <t>19</t>
        </is>
      </c>
      <c r="B70" s="7" t="inlineStr">
        <is>
          <t>AF.32111</t>
        </is>
      </c>
      <c r="C70" s="14" t="inlineStr">
        <is>
          <t>Gối chậu cao su di động đơn hướng và song hướng</t>
        </is>
      </c>
      <c r="D70" s="7" t="inlineStr">
        <is>
          <t>Cái</t>
        </is>
      </c>
      <c r="E70" s="15" t="n"/>
      <c r="F70" s="15" t="n"/>
      <c r="G70" s="15" t="n"/>
      <c r="H70" s="15" t="n"/>
      <c r="I70" s="15" t="n"/>
      <c r="J70" s="16">
        <f>SUM(J71:J72)</f>
        <v/>
      </c>
      <c r="K70" s="17" t="n">
        <v>12500000</v>
      </c>
      <c r="L70" s="18">
        <f>J70*K70</f>
        <v/>
      </c>
    </row>
    <row r="71" ht="19" customHeight="1">
      <c r="A71" s="19" t="n"/>
      <c r="B71" s="19" t="n"/>
      <c r="C71" s="20" t="inlineStr">
        <is>
          <t>- Gối chậu đơn hướng (15 vị trí trên mố và trụ)</t>
        </is>
      </c>
      <c r="D71" s="21" t="inlineStr">
        <is>
          <t>Cái</t>
        </is>
      </c>
      <c r="E71" s="22" t="n">
        <v>15</v>
      </c>
      <c r="F71" s="22" t="n">
        <v>1</v>
      </c>
      <c r="G71" s="22" t="n">
        <v>1</v>
      </c>
      <c r="H71" s="22" t="n">
        <v>1</v>
      </c>
      <c r="I71" s="23" t="n">
        <v>1</v>
      </c>
      <c r="J71" s="24">
        <f>E71*F71*G71*H71*I71</f>
        <v/>
      </c>
      <c r="K71" s="19" t="n"/>
      <c r="L71" s="19" t="n"/>
    </row>
    <row r="72" ht="19" customHeight="1">
      <c r="A72" s="19" t="n"/>
      <c r="B72" s="19" t="n"/>
      <c r="C72" s="20" t="inlineStr">
        <is>
          <t>- Gối chậu song hướng (15 vị trí trên mố và trụ)</t>
        </is>
      </c>
      <c r="D72" s="21" t="inlineStr">
        <is>
          <t>Cái</t>
        </is>
      </c>
      <c r="E72" s="22" t="n">
        <v>15</v>
      </c>
      <c r="F72" s="22" t="n">
        <v>1</v>
      </c>
      <c r="G72" s="22" t="n">
        <v>1</v>
      </c>
      <c r="H72" s="22" t="n">
        <v>1</v>
      </c>
      <c r="I72" s="23" t="n">
        <v>1</v>
      </c>
      <c r="J72" s="24">
        <f>E72*F72*G72*H72*I72</f>
        <v/>
      </c>
      <c r="K72" s="19" t="n"/>
      <c r="L72" s="19" t="n"/>
    </row>
    <row r="73" ht="22" customHeight="1">
      <c r="A73" s="7" t="inlineStr">
        <is>
          <t>20</t>
        </is>
      </c>
      <c r="B73" s="7" t="inlineStr">
        <is>
          <t>AF.33111</t>
        </is>
      </c>
      <c r="C73" s="14" t="inlineStr">
        <is>
          <t>Bê tông dầm ngang mố và trụ mác C35</t>
        </is>
      </c>
      <c r="D73" s="7" t="inlineStr">
        <is>
          <t>m3</t>
        </is>
      </c>
      <c r="E73" s="15" t="n"/>
      <c r="F73" s="15" t="n"/>
      <c r="G73" s="15" t="n"/>
      <c r="H73" s="15" t="n"/>
      <c r="I73" s="15" t="n"/>
      <c r="J73" s="16">
        <f>SUM(J74:J74)</f>
        <v/>
      </c>
      <c r="K73" s="17" t="n">
        <v>1650000</v>
      </c>
      <c r="L73" s="18">
        <f>J73*K73</f>
        <v/>
      </c>
    </row>
    <row r="74" ht="19" customHeight="1">
      <c r="A74" s="19" t="n"/>
      <c r="B74" s="19" t="n"/>
      <c r="C74" s="20" t="inlineStr">
        <is>
          <t>- Dầm ngang tại 2 mố và 2 trụ</t>
        </is>
      </c>
      <c r="D74" s="21" t="inlineStr">
        <is>
          <t>m3</t>
        </is>
      </c>
      <c r="E74" s="22" t="n">
        <v>4</v>
      </c>
      <c r="F74" s="22" t="n">
        <v>12.3</v>
      </c>
      <c r="G74" s="22" t="n">
        <v>0.45</v>
      </c>
      <c r="H74" s="22" t="n">
        <v>1.8</v>
      </c>
      <c r="I74" s="23" t="n">
        <v>1</v>
      </c>
      <c r="J74" s="24">
        <f>E74*F74*G74*H74*I74</f>
        <v/>
      </c>
      <c r="K74" s="19" t="n"/>
      <c r="L74" s="19" t="n"/>
    </row>
    <row r="75" ht="22" customHeight="1">
      <c r="A75" s="7" t="inlineStr">
        <is>
          <t>21</t>
        </is>
      </c>
      <c r="B75" s="7" t="inlineStr">
        <is>
          <t>AF.34111</t>
        </is>
      </c>
      <c r="C75" s="14" t="inlineStr">
        <is>
          <t>Cung cấp và lắp đặt tấm ván khuôn đúc sẵn đáy bản mặt cầu</t>
        </is>
      </c>
      <c r="D75" s="7" t="inlineStr">
        <is>
          <t>Tấm</t>
        </is>
      </c>
      <c r="E75" s="15" t="n"/>
      <c r="F75" s="15" t="n"/>
      <c r="G75" s="15" t="n"/>
      <c r="H75" s="15" t="n"/>
      <c r="I75" s="15" t="n"/>
      <c r="J75" s="16">
        <f>SUM(J76:J76)</f>
        <v/>
      </c>
      <c r="K75" s="17" t="n">
        <v>285000</v>
      </c>
      <c r="L75" s="18">
        <f>J75*K75</f>
        <v/>
      </c>
    </row>
    <row r="76" ht="19" customHeight="1">
      <c r="A76" s="19" t="n"/>
      <c r="B76" s="19" t="n"/>
      <c r="C76" s="20" t="inlineStr">
        <is>
          <t>- Tấm ván khuôn đúc sẵn (510 tấm toàn cầu)</t>
        </is>
      </c>
      <c r="D76" s="21" t="inlineStr">
        <is>
          <t>Tấm</t>
        </is>
      </c>
      <c r="E76" s="22" t="n">
        <v>510</v>
      </c>
      <c r="F76" s="22" t="n">
        <v>1</v>
      </c>
      <c r="G76" s="22" t="n">
        <v>1</v>
      </c>
      <c r="H76" s="22" t="n">
        <v>1</v>
      </c>
      <c r="I76" s="23" t="n">
        <v>1</v>
      </c>
      <c r="J76" s="24">
        <f>E76*F76*G76*H76*I76</f>
        <v/>
      </c>
      <c r="K76" s="19" t="n"/>
      <c r="L76" s="19" t="n"/>
    </row>
    <row r="77" ht="22" customHeight="1">
      <c r="A77" s="7" t="inlineStr">
        <is>
          <t>22</t>
        </is>
      </c>
      <c r="B77" s="7" t="inlineStr">
        <is>
          <t>AF.35111</t>
        </is>
      </c>
      <c r="C77" s="14" t="inlineStr">
        <is>
          <t>Bê tông bản mặt cầu đổ tại chỗ dày 180mm mác C35</t>
        </is>
      </c>
      <c r="D77" s="7" t="inlineStr">
        <is>
          <t>m3</t>
        </is>
      </c>
      <c r="E77" s="15" t="n"/>
      <c r="F77" s="15" t="n"/>
      <c r="G77" s="15" t="n"/>
      <c r="H77" s="15" t="n"/>
      <c r="I77" s="15" t="n"/>
      <c r="J77" s="16">
        <f>SUM(J78:J78)</f>
        <v/>
      </c>
      <c r="K77" s="17" t="n">
        <v>1680000</v>
      </c>
      <c r="L77" s="18">
        <f>J77*K77</f>
        <v/>
      </c>
    </row>
    <row r="78" ht="19" customHeight="1">
      <c r="A78" s="19" t="n"/>
      <c r="B78" s="19" t="n"/>
      <c r="C78" s="20" t="inlineStr">
        <is>
          <t>- Bê tông bản mặt cầu 3 nhịp (L=118.2m, B=12.615m, d=0.18m, trừ dầm)</t>
        </is>
      </c>
      <c r="D78" s="21" t="inlineStr">
        <is>
          <t>m3</t>
        </is>
      </c>
      <c r="E78" s="22" t="n">
        <v>1</v>
      </c>
      <c r="F78" s="22" t="n">
        <v>118.2</v>
      </c>
      <c r="G78" s="22" t="n">
        <v>12.615</v>
      </c>
      <c r="H78" s="22" t="n">
        <v>0.18</v>
      </c>
      <c r="I78" s="23" t="n">
        <v>1.1378</v>
      </c>
      <c r="J78" s="24">
        <f>E78*F78*G78*H78*I78</f>
        <v/>
      </c>
      <c r="K78" s="19" t="n"/>
      <c r="L78" s="19" t="n"/>
    </row>
    <row r="79" ht="22" customHeight="1">
      <c r="A79" s="7" t="inlineStr">
        <is>
          <t>23</t>
        </is>
      </c>
      <c r="B79" s="7" t="inlineStr">
        <is>
          <t>AF.36111</t>
        </is>
      </c>
      <c r="C79" s="14" t="inlineStr">
        <is>
          <t>Bê tông mối nối liên tục nhiệt đỉnh trụ T1, T2 mác C35</t>
        </is>
      </c>
      <c r="D79" s="7" t="inlineStr">
        <is>
          <t>m3</t>
        </is>
      </c>
      <c r="E79" s="15" t="n"/>
      <c r="F79" s="15" t="n"/>
      <c r="G79" s="15" t="n"/>
      <c r="H79" s="15" t="n"/>
      <c r="I79" s="15" t="n"/>
      <c r="J79" s="16">
        <f>SUM(J80:J80)</f>
        <v/>
      </c>
      <c r="K79" s="17" t="n">
        <v>1700000</v>
      </c>
      <c r="L79" s="18">
        <f>J79*K79</f>
        <v/>
      </c>
    </row>
    <row r="80" ht="19" customHeight="1">
      <c r="A80" s="19" t="n"/>
      <c r="B80" s="19" t="n"/>
      <c r="C80" s="20" t="inlineStr">
        <is>
          <t>- Bản liên tục nhiệt tại trụ T1 và T2</t>
        </is>
      </c>
      <c r="D80" s="21" t="inlineStr">
        <is>
          <t>m3</t>
        </is>
      </c>
      <c r="E80" s="22" t="n">
        <v>2</v>
      </c>
      <c r="F80" s="22" t="n">
        <v>12.615</v>
      </c>
      <c r="G80" s="22" t="n">
        <v>4</v>
      </c>
      <c r="H80" s="22" t="n">
        <v>0.216</v>
      </c>
      <c r="I80" s="23" t="n">
        <v>1</v>
      </c>
      <c r="J80" s="24">
        <f>E80*F80*G80*H80*I80</f>
        <v/>
      </c>
      <c r="K80" s="19" t="n"/>
      <c r="L80" s="19" t="n"/>
    </row>
    <row r="81" ht="22" customHeight="1">
      <c r="A81" s="7" t="inlineStr">
        <is>
          <t>24</t>
        </is>
      </c>
      <c r="B81" s="7" t="inlineStr">
        <is>
          <t>AF.65111</t>
        </is>
      </c>
      <c r="C81" s="14" t="inlineStr">
        <is>
          <t>Cốt thép bản mặt cầu và mối nối liên tục nhiệt (D14, D16)</t>
        </is>
      </c>
      <c r="D81" s="7" t="inlineStr">
        <is>
          <t>Tấn</t>
        </is>
      </c>
      <c r="E81" s="15" t="n"/>
      <c r="F81" s="15" t="n"/>
      <c r="G81" s="15" t="n"/>
      <c r="H81" s="15" t="n"/>
      <c r="I81" s="15" t="n"/>
      <c r="J81" s="16">
        <f>SUM(J82:J82)</f>
        <v/>
      </c>
      <c r="K81" s="17" t="n">
        <v>18500000</v>
      </c>
      <c r="L81" s="18">
        <f>J81*K81</f>
        <v/>
      </c>
    </row>
    <row r="82" ht="19" customHeight="1">
      <c r="A82" s="19" t="n"/>
      <c r="B82" s="19" t="n"/>
      <c r="C82" s="20" t="inlineStr">
        <is>
          <t>- Thép bản mặt cầu loại 1, loại 2, loại 3 &amp; liên tục nhiệt</t>
        </is>
      </c>
      <c r="D82" s="21" t="inlineStr">
        <is>
          <t>Tấn</t>
        </is>
      </c>
      <c r="E82" s="22" t="n">
        <v>1</v>
      </c>
      <c r="F82" s="22" t="n">
        <v>33.07</v>
      </c>
      <c r="G82" s="22" t="n">
        <v>1</v>
      </c>
      <c r="H82" s="22" t="n">
        <v>1</v>
      </c>
      <c r="I82" s="23" t="n">
        <v>1</v>
      </c>
      <c r="J82" s="24">
        <f>E82*F82*G82*H82*I82</f>
        <v/>
      </c>
      <c r="K82" s="19" t="n"/>
      <c r="L82" s="19" t="n"/>
    </row>
    <row r="83" ht="22" customHeight="1">
      <c r="A83" s="7" t="inlineStr">
        <is>
          <t>25</t>
        </is>
      </c>
      <c r="B83" s="7" t="inlineStr">
        <is>
          <t>AC.31111</t>
        </is>
      </c>
      <c r="C83" s="14" t="inlineStr">
        <is>
          <t>Khe co giãn răng lược thép D=100mm mạ kẽm nhúng nóng</t>
        </is>
      </c>
      <c r="D83" s="7" t="inlineStr">
        <is>
          <t>m</t>
        </is>
      </c>
      <c r="E83" s="15" t="n"/>
      <c r="F83" s="15" t="n"/>
      <c r="G83" s="15" t="n"/>
      <c r="H83" s="15" t="n"/>
      <c r="I83" s="15" t="n"/>
      <c r="J83" s="16">
        <f>SUM(J84:J84)</f>
        <v/>
      </c>
      <c r="K83" s="17" t="n">
        <v>8500000</v>
      </c>
      <c r="L83" s="18">
        <f>J83*K83</f>
        <v/>
      </c>
    </row>
    <row r="84" ht="19" customHeight="1">
      <c r="A84" s="19" t="n"/>
      <c r="B84" s="19" t="n"/>
      <c r="C84" s="20" t="inlineStr">
        <is>
          <t>- Khe co giãn mố M1 và M2 (2 vị trí x 12.25m)</t>
        </is>
      </c>
      <c r="D84" s="21" t="inlineStr">
        <is>
          <t>m</t>
        </is>
      </c>
      <c r="E84" s="22" t="n">
        <v>2</v>
      </c>
      <c r="F84" s="22" t="n">
        <v>12.25</v>
      </c>
      <c r="G84" s="22" t="n">
        <v>1</v>
      </c>
      <c r="H84" s="22" t="n">
        <v>1</v>
      </c>
      <c r="I84" s="23" t="n">
        <v>1</v>
      </c>
      <c r="J84" s="24">
        <f>E84*F84*G84*H84*I84</f>
        <v/>
      </c>
      <c r="K84" s="19" t="n"/>
      <c r="L84" s="19" t="n"/>
    </row>
    <row r="85" ht="24" customHeight="1">
      <c r="A85" s="13" t="inlineStr">
        <is>
          <t>PHẦN IV: KẾT CẤU PHỤ TRỢ, ĐƯỜNG ĐẦU CẦU &amp; HOÀN THIỆN TOÀN CẦU</t>
        </is>
      </c>
    </row>
    <row r="86" ht="22" customHeight="1">
      <c r="A86" s="7" t="inlineStr">
        <is>
          <t>26</t>
        </is>
      </c>
      <c r="B86" s="7" t="inlineStr">
        <is>
          <t>AF.41111</t>
        </is>
      </c>
      <c r="C86" s="14" t="inlineStr">
        <is>
          <t>Bê tông bản quá độ sau mố M1, M2 mác C25</t>
        </is>
      </c>
      <c r="D86" s="7" t="inlineStr">
        <is>
          <t>m3</t>
        </is>
      </c>
      <c r="E86" s="15" t="n"/>
      <c r="F86" s="15" t="n"/>
      <c r="G86" s="15" t="n"/>
      <c r="H86" s="15" t="n"/>
      <c r="I86" s="15" t="n"/>
      <c r="J86" s="16">
        <f>SUM(J87:J88)</f>
        <v/>
      </c>
      <c r="K86" s="17" t="n">
        <v>1450000</v>
      </c>
      <c r="L86" s="18">
        <f>J86*K86</f>
        <v/>
      </c>
    </row>
    <row r="87" ht="19" customHeight="1">
      <c r="A87" s="19" t="n"/>
      <c r="B87" s="19" t="n"/>
      <c r="C87" s="20" t="inlineStr">
        <is>
          <t>- Bản quá độ sau mố M1 (L=8.0m, B=12.5m, d=0.35m)</t>
        </is>
      </c>
      <c r="D87" s="21" t="inlineStr">
        <is>
          <t>m3</t>
        </is>
      </c>
      <c r="E87" s="22" t="n">
        <v>1</v>
      </c>
      <c r="F87" s="22" t="n">
        <v>8</v>
      </c>
      <c r="G87" s="22" t="n">
        <v>12.5</v>
      </c>
      <c r="H87" s="22" t="n">
        <v>0.35</v>
      </c>
      <c r="I87" s="23" t="n">
        <v>0.9626</v>
      </c>
      <c r="J87" s="24">
        <f>E87*F87*G87*H87*I87</f>
        <v/>
      </c>
      <c r="K87" s="19" t="n"/>
      <c r="L87" s="19" t="n"/>
    </row>
    <row r="88" ht="19" customHeight="1">
      <c r="A88" s="19" t="n"/>
      <c r="B88" s="19" t="n"/>
      <c r="C88" s="20" t="inlineStr">
        <is>
          <t>- Bản quá độ sau mố M2 (L=8.0m, B=12.5m, d=0.35m)</t>
        </is>
      </c>
      <c r="D88" s="21" t="inlineStr">
        <is>
          <t>m3</t>
        </is>
      </c>
      <c r="E88" s="22" t="n">
        <v>1</v>
      </c>
      <c r="F88" s="22" t="n">
        <v>8</v>
      </c>
      <c r="G88" s="22" t="n">
        <v>12.5</v>
      </c>
      <c r="H88" s="22" t="n">
        <v>0.35</v>
      </c>
      <c r="I88" s="23" t="n">
        <v>0.9626</v>
      </c>
      <c r="J88" s="24">
        <f>E88*F88*G88*H88*I88</f>
        <v/>
      </c>
      <c r="K88" s="19" t="n"/>
      <c r="L88" s="19" t="n"/>
    </row>
    <row r="89" ht="22" customHeight="1">
      <c r="A89" s="7" t="inlineStr">
        <is>
          <t>27</t>
        </is>
      </c>
      <c r="B89" s="7" t="inlineStr">
        <is>
          <t>AB.21111</t>
        </is>
      </c>
      <c r="C89" s="14" t="inlineStr">
        <is>
          <t>Đắp vật liệu dạng hạt chọn lọc sau mố đầm chặt K &gt;= 0.98</t>
        </is>
      </c>
      <c r="D89" s="7" t="inlineStr">
        <is>
          <t>m3</t>
        </is>
      </c>
      <c r="E89" s="15" t="n"/>
      <c r="F89" s="15" t="n"/>
      <c r="G89" s="15" t="n"/>
      <c r="H89" s="15" t="n"/>
      <c r="I89" s="15" t="n"/>
      <c r="J89" s="16">
        <f>SUM(J90:J90)</f>
        <v/>
      </c>
      <c r="K89" s="17" t="n">
        <v>185000</v>
      </c>
      <c r="L89" s="18">
        <f>J89*K89</f>
        <v/>
      </c>
    </row>
    <row r="90" ht="19" customHeight="1">
      <c r="A90" s="19" t="n"/>
      <c r="B90" s="19" t="n"/>
      <c r="C90" s="20" t="inlineStr">
        <is>
          <t>- Đoạn đắp chuyển tiếp sau mố M1 và M2</t>
        </is>
      </c>
      <c r="D90" s="21" t="inlineStr">
        <is>
          <t>m3</t>
        </is>
      </c>
      <c r="E90" s="22" t="n">
        <v>2</v>
      </c>
      <c r="F90" s="22" t="n">
        <v>18</v>
      </c>
      <c r="G90" s="22" t="n">
        <v>12.5</v>
      </c>
      <c r="H90" s="22" t="n">
        <v>4.5</v>
      </c>
      <c r="I90" s="23" t="n">
        <v>0.5</v>
      </c>
      <c r="J90" s="24">
        <f>E90*F90*G90*H90*I90</f>
        <v/>
      </c>
      <c r="K90" s="19" t="n"/>
      <c r="L90" s="19" t="n"/>
    </row>
    <row r="91" ht="22" customHeight="1">
      <c r="A91" s="7" t="inlineStr">
        <is>
          <t>28</t>
        </is>
      </c>
      <c r="B91" s="7" t="inlineStr">
        <is>
          <t>AF.42111</t>
        </is>
      </c>
      <c r="C91" s="14" t="inlineStr">
        <is>
          <t>Bê tông gờ lan can mác C25 và lắp tay vịn thép mạ kẽm</t>
        </is>
      </c>
      <c r="D91" s="7" t="inlineStr">
        <is>
          <t>m</t>
        </is>
      </c>
      <c r="E91" s="15" t="n"/>
      <c r="F91" s="15" t="n"/>
      <c r="G91" s="15" t="n"/>
      <c r="H91" s="15" t="n"/>
      <c r="I91" s="15" t="n"/>
      <c r="J91" s="16">
        <f>SUM(J92:J92)</f>
        <v/>
      </c>
      <c r="K91" s="17" t="n">
        <v>1650000</v>
      </c>
      <c r="L91" s="18">
        <f>J91*K91</f>
        <v/>
      </c>
    </row>
    <row r="92" ht="19" customHeight="1">
      <c r="A92" s="19" t="n"/>
      <c r="B92" s="19" t="n"/>
      <c r="C92" s="20" t="inlineStr">
        <is>
          <t>- Lan can 2 bên suốt chiều dài cầu (2 bên x 130.4m)</t>
        </is>
      </c>
      <c r="D92" s="21" t="inlineStr">
        <is>
          <t>m</t>
        </is>
      </c>
      <c r="E92" s="22" t="n">
        <v>2</v>
      </c>
      <c r="F92" s="22" t="n">
        <v>130.4</v>
      </c>
      <c r="G92" s="22" t="n">
        <v>1</v>
      </c>
      <c r="H92" s="22" t="n">
        <v>1</v>
      </c>
      <c r="I92" s="23" t="n">
        <v>1</v>
      </c>
      <c r="J92" s="24">
        <f>E92*F92*G92*H92*I92</f>
        <v/>
      </c>
      <c r="K92" s="19" t="n"/>
      <c r="L92" s="19" t="n"/>
    </row>
    <row r="93" ht="22" customHeight="1">
      <c r="A93" s="7" t="inlineStr">
        <is>
          <t>29</t>
        </is>
      </c>
      <c r="B93" s="7" t="inlineStr">
        <is>
          <t>AC.41111</t>
        </is>
      </c>
      <c r="C93" s="14" t="inlineStr">
        <is>
          <t>Hệ thống thoát nước mặt cầu (24 bộ hố ga gang &amp; ống PVC D150)</t>
        </is>
      </c>
      <c r="D93" s="7" t="inlineStr">
        <is>
          <t>Bộ</t>
        </is>
      </c>
      <c r="E93" s="15" t="n"/>
      <c r="F93" s="15" t="n"/>
      <c r="G93" s="15" t="n"/>
      <c r="H93" s="15" t="n"/>
      <c r="I93" s="15" t="n"/>
      <c r="J93" s="16">
        <f>SUM(J94:J94)</f>
        <v/>
      </c>
      <c r="K93" s="17" t="n">
        <v>2850000</v>
      </c>
      <c r="L93" s="18">
        <f>J93*K93</f>
        <v/>
      </c>
    </row>
    <row r="94" ht="19" customHeight="1">
      <c r="A94" s="19" t="n"/>
      <c r="B94" s="19" t="n"/>
      <c r="C94" s="20" t="inlineStr">
        <is>
          <t>- Cụm hố ga gang xám có lưới chắn rác và ống xả D150</t>
        </is>
      </c>
      <c r="D94" s="21" t="inlineStr">
        <is>
          <t>Bộ</t>
        </is>
      </c>
      <c r="E94" s="22" t="n">
        <v>24</v>
      </c>
      <c r="F94" s="22" t="n">
        <v>1</v>
      </c>
      <c r="G94" s="22" t="n">
        <v>1</v>
      </c>
      <c r="H94" s="22" t="n">
        <v>1</v>
      </c>
      <c r="I94" s="23" t="n">
        <v>1</v>
      </c>
      <c r="J94" s="24">
        <f>E94*F94*G94*H94*I94</f>
        <v/>
      </c>
      <c r="K94" s="19" t="n"/>
      <c r="L94" s="19" t="n"/>
    </row>
    <row r="95" ht="22" customHeight="1">
      <c r="A95" s="7" t="inlineStr">
        <is>
          <t>30</t>
        </is>
      </c>
      <c r="B95" s="7" t="inlineStr">
        <is>
          <t>AD.11111</t>
        </is>
      </c>
      <c r="C95" s="14" t="inlineStr">
        <is>
          <t>Lớp phun chống thấm &amp; thảm bê tông nhựa chặt C16 dày 7cm mặt cầu</t>
        </is>
      </c>
      <c r="D95" s="7" t="inlineStr">
        <is>
          <t>m2</t>
        </is>
      </c>
      <c r="E95" s="15" t="n"/>
      <c r="F95" s="15" t="n"/>
      <c r="G95" s="15" t="n"/>
      <c r="H95" s="15" t="n"/>
      <c r="I95" s="15" t="n"/>
      <c r="J95" s="16">
        <f>SUM(J96:J96)</f>
        <v/>
      </c>
      <c r="K95" s="17" t="n">
        <v>385000</v>
      </c>
      <c r="L95" s="18">
        <f>J95*K95</f>
        <v/>
      </c>
    </row>
    <row r="96" ht="19" customHeight="1">
      <c r="A96" s="19" t="n"/>
      <c r="B96" s="19" t="n"/>
      <c r="C96" s="20" t="inlineStr">
        <is>
          <t>- Diện tích mặt cầu xe chạy (L=118.2m x B=11.68m)</t>
        </is>
      </c>
      <c r="D96" s="21" t="inlineStr">
        <is>
          <t>m2</t>
        </is>
      </c>
      <c r="E96" s="22" t="n">
        <v>1</v>
      </c>
      <c r="F96" s="22" t="n">
        <v>118.2</v>
      </c>
      <c r="G96" s="22" t="n">
        <v>11.678</v>
      </c>
      <c r="H96" s="22" t="n">
        <v>1</v>
      </c>
      <c r="I96" s="23" t="n">
        <v>1</v>
      </c>
      <c r="J96" s="24">
        <f>E96*F96*G96*H96*I96</f>
        <v/>
      </c>
      <c r="K96" s="19" t="n"/>
      <c r="L96" s="19" t="n"/>
    </row>
    <row r="97" ht="22" customHeight="1">
      <c r="A97" s="7" t="inlineStr">
        <is>
          <t>31</t>
        </is>
      </c>
      <c r="B97" s="7" t="inlineStr">
        <is>
          <t>AL.11111</t>
        </is>
      </c>
      <c r="C97" s="14" t="inlineStr">
        <is>
          <t>Gia cố mái taluy tứ nón mố bằng đá hộc xây vữa VXM M100</t>
        </is>
      </c>
      <c r="D97" s="7" t="inlineStr">
        <is>
          <t>m3</t>
        </is>
      </c>
      <c r="E97" s="15" t="n"/>
      <c r="F97" s="15" t="n"/>
      <c r="G97" s="15" t="n"/>
      <c r="H97" s="15" t="n"/>
      <c r="I97" s="15" t="n"/>
      <c r="J97" s="16">
        <f>SUM(J98:J98)</f>
        <v/>
      </c>
      <c r="K97" s="17" t="n">
        <v>850000</v>
      </c>
      <c r="L97" s="18">
        <f>J97*K97</f>
        <v/>
      </c>
    </row>
    <row r="98" ht="19" customHeight="1">
      <c r="A98" s="19" t="n"/>
      <c r="B98" s="19" t="n"/>
      <c r="C98" s="20" t="inlineStr">
        <is>
          <t>- Tứ nón và chân khay đá hộc mố M1, M2</t>
        </is>
      </c>
      <c r="D98" s="21" t="inlineStr">
        <is>
          <t>m3</t>
        </is>
      </c>
      <c r="E98" s="22" t="n">
        <v>1</v>
      </c>
      <c r="F98" s="22" t="n">
        <v>52.216</v>
      </c>
      <c r="G98" s="22" t="n">
        <v>1</v>
      </c>
      <c r="H98" s="22" t="n">
        <v>1</v>
      </c>
      <c r="I98" s="23" t="n">
        <v>1</v>
      </c>
      <c r="J98" s="24">
        <f>E98*F98*G98*H98*I98</f>
        <v/>
      </c>
      <c r="K98" s="19" t="n"/>
      <c r="L98" s="19" t="n"/>
    </row>
    <row r="99" ht="22" customHeight="1">
      <c r="A99" s="7" t="inlineStr">
        <is>
          <t>32</t>
        </is>
      </c>
      <c r="B99" s="7" t="inlineStr">
        <is>
          <t>TN.21111</t>
        </is>
      </c>
      <c r="C99" s="14" t="inlineStr">
        <is>
          <t>Thử tải tĩnh/động cầu &amp; kiểm định an toàn chịu lực trước khi bàn giao</t>
        </is>
      </c>
      <c r="D99" s="7" t="inlineStr">
        <is>
          <t>Gói</t>
        </is>
      </c>
      <c r="E99" s="15" t="n"/>
      <c r="F99" s="15" t="n"/>
      <c r="G99" s="15" t="n"/>
      <c r="H99" s="15" t="n"/>
      <c r="I99" s="15" t="n"/>
      <c r="J99" s="16">
        <f>SUM(J100:J100)</f>
        <v/>
      </c>
      <c r="K99" s="17" t="n">
        <v>350000000</v>
      </c>
      <c r="L99" s="18">
        <f>J99*K99</f>
        <v/>
      </c>
    </row>
    <row r="100" ht="19" customHeight="1">
      <c r="A100" s="19" t="n"/>
      <c r="B100" s="19" t="n"/>
      <c r="C100" s="20" t="inlineStr">
        <is>
          <t>- Trọn gói thử tải xe tải nặng theo đề cương phê duyệt</t>
        </is>
      </c>
      <c r="D100" s="21" t="inlineStr">
        <is>
          <t>Gói</t>
        </is>
      </c>
      <c r="E100" s="22" t="n">
        <v>1</v>
      </c>
      <c r="F100" s="22" t="n">
        <v>1</v>
      </c>
      <c r="G100" s="22" t="n">
        <v>1</v>
      </c>
      <c r="H100" s="22" t="n">
        <v>1</v>
      </c>
      <c r="I100" s="23" t="n">
        <v>1</v>
      </c>
      <c r="J100" s="24">
        <f>E100*F100*G100*H100*I100</f>
        <v/>
      </c>
      <c r="K100" s="19" t="n"/>
      <c r="L100" s="19" t="n"/>
    </row>
    <row r="101" ht="26" customHeight="1">
      <c r="A101" s="27" t="inlineStr">
        <is>
          <t>TỔNG CỘNG CHI PHÍ TRỰC TIẾP (T) (VNĐ)</t>
        </is>
      </c>
      <c r="B101" s="28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29" t="n"/>
      <c r="L101" s="30">
        <f>L7+L12+L17+L22+L27+L29+L32+L34+L39+L44+L47+L50+L53+L56+L62+L64+L66+L68+L70+L73+L75+L77+L79+L81+L83+L86+L89+L91+L93+L95+L97+L99</f>
        <v/>
      </c>
    </row>
  </sheetData>
  <mergeCells count="5">
    <mergeCell ref="A101:K101"/>
    <mergeCell ref="A85:L85"/>
    <mergeCell ref="A31:L31"/>
    <mergeCell ref="A61:L61"/>
    <mergeCell ref="A6:L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4" customWidth="1" min="3" max="3"/>
    <col width="15" customWidth="1" min="4" max="4"/>
    <col width="15" customWidth="1" min="5" max="5"/>
    <col width="18" customWidth="1" min="6" max="6"/>
    <col width="15" customWidth="1" min="7" max="7"/>
    <col width="15" customWidth="1" min="8" max="8"/>
    <col width="18" customWidth="1" min="9" max="9"/>
    <col width="16" customWidth="1" min="10" max="10"/>
  </cols>
  <sheetData>
    <row r="1"/>
    <row r="2">
      <c r="B2" s="1" t="inlineStr">
        <is>
          <t>DỰ ÁN: CAO TỐC TUYÊN QUANG - HÀ GIANG (GIAI ĐOẠN 1) - ĐOẠN QUA TỈNH HÀ GIANG</t>
        </is>
      </c>
    </row>
    <row r="3">
      <c r="B3" s="2" t="inlineStr">
        <is>
          <t>BẢNG TÍNH KHỐI LƯỢNG ĐÀO ĐẮP TRẮC NGANG V = ((F1+F2)/2)*L - ĐƯỜNG CÔNG VỤ VÀ MÓNG MỐ TRỤ</t>
        </is>
      </c>
    </row>
    <row r="4">
      <c r="B4" s="3" t="inlineStr">
        <is>
          <t>Trích xuất từ Bản vẽ bình đồ, trắc dọc &amp; trắc ngang thi công (Trang 138-150 Hồ sơ TKBVTC)</t>
        </is>
      </c>
    </row>
    <row r="5" ht="28" customHeight="1">
      <c r="A5" s="4" t="inlineStr">
        <is>
          <t>STT</t>
        </is>
      </c>
      <c r="B5" s="4" t="inlineStr">
        <is>
          <t>Lý trình / Vị trí cọc</t>
        </is>
      </c>
      <c r="C5" s="4" t="inlineStr">
        <is>
          <t>Khoảng cách L (m)</t>
        </is>
      </c>
      <c r="D5" s="4" t="inlineStr">
        <is>
          <t>Diện tích Đào F1 (m2)</t>
        </is>
      </c>
      <c r="E5" s="4" t="inlineStr">
        <is>
          <t>Diện tích Đào F2 (m2)</t>
        </is>
      </c>
      <c r="F5" s="4" t="inlineStr">
        <is>
          <t>Thể tích Đào V_dao (m3)</t>
        </is>
      </c>
      <c r="G5" s="4" t="inlineStr">
        <is>
          <t>Diện tích Đắp F1 (m2)</t>
        </is>
      </c>
      <c r="H5" s="4" t="inlineStr">
        <is>
          <t>Diện tích Đắp F2 (m2)</t>
        </is>
      </c>
      <c r="I5" s="4" t="inlineStr">
        <is>
          <t>Thể tích Đắp V_dap (m3)</t>
        </is>
      </c>
      <c r="J5" s="4" t="inlineStr">
        <is>
          <t>Ghi chú</t>
        </is>
      </c>
    </row>
    <row r="6" ht="24" customHeight="1">
      <c r="A6" s="13" t="inlineStr">
        <is>
          <t>I. ĐƯỜNG CÔNG VỤ NHÁNH 6 (TIẾP CẬN CẦU KM19+529.080)</t>
        </is>
      </c>
    </row>
    <row r="7" ht="20" customHeight="1">
      <c r="A7" s="31" t="inlineStr">
        <is>
          <t>1</t>
        </is>
      </c>
      <c r="B7" s="8" t="inlineStr">
        <is>
          <t>Km 0+00.00 đến Km 0+10.00</t>
        </is>
      </c>
      <c r="C7" s="32" t="n">
        <v>10</v>
      </c>
      <c r="D7" s="32" t="n">
        <v>51.47</v>
      </c>
      <c r="E7" s="32" t="n">
        <v>33.55</v>
      </c>
      <c r="F7" s="33">
        <f>((D7+E7)/2)*C7</f>
        <v/>
      </c>
      <c r="G7" s="32" t="n">
        <v>0</v>
      </c>
      <c r="H7" s="32" t="n">
        <v>0</v>
      </c>
      <c r="I7" s="33">
        <f>((G7+H7)/2)*C7</f>
        <v/>
      </c>
      <c r="J7" s="31" t="inlineStr">
        <is>
          <t>Chuẩn hình học</t>
        </is>
      </c>
    </row>
    <row r="8" ht="20" customHeight="1">
      <c r="A8" s="31" t="inlineStr">
        <is>
          <t>2</t>
        </is>
      </c>
      <c r="B8" s="8" t="inlineStr">
        <is>
          <t>Km 0+10.00 đến cọc TD1 (Km 0+18.12)</t>
        </is>
      </c>
      <c r="C8" s="32" t="n">
        <v>8.119999999999999</v>
      </c>
      <c r="D8" s="32" t="n">
        <v>33.55</v>
      </c>
      <c r="E8" s="32" t="n">
        <v>10.5</v>
      </c>
      <c r="F8" s="33">
        <f>((D8+E8)/2)*C8</f>
        <v/>
      </c>
      <c r="G8" s="32" t="n">
        <v>0</v>
      </c>
      <c r="H8" s="32" t="n">
        <v>0</v>
      </c>
      <c r="I8" s="33">
        <f>((G8+H8)/2)*C8</f>
        <v/>
      </c>
      <c r="J8" s="31" t="inlineStr">
        <is>
          <t>Chuẩn hình học</t>
        </is>
      </c>
    </row>
    <row r="9" ht="20" customHeight="1">
      <c r="A9" s="31" t="inlineStr">
        <is>
          <t>3</t>
        </is>
      </c>
      <c r="B9" s="8" t="inlineStr">
        <is>
          <t>Cọc TD1 đến cọc 2 (Km 0+20.00)</t>
        </is>
      </c>
      <c r="C9" s="32" t="n">
        <v>1.88</v>
      </c>
      <c r="D9" s="32" t="n">
        <v>10.5</v>
      </c>
      <c r="E9" s="32" t="n">
        <v>9.18</v>
      </c>
      <c r="F9" s="33">
        <f>((D9+E9)/2)*C9</f>
        <v/>
      </c>
      <c r="G9" s="32" t="n">
        <v>0</v>
      </c>
      <c r="H9" s="32" t="n">
        <v>0</v>
      </c>
      <c r="I9" s="33">
        <f>((G9+H9)/2)*C9</f>
        <v/>
      </c>
      <c r="J9" s="31" t="inlineStr">
        <is>
          <t>Chuẩn hình học</t>
        </is>
      </c>
    </row>
    <row r="10" ht="20" customHeight="1">
      <c r="A10" s="31" t="inlineStr">
        <is>
          <t>4</t>
        </is>
      </c>
      <c r="B10" s="8" t="inlineStr">
        <is>
          <t>Cọc 2 đến cọc P1 (Km 0+21.65)</t>
        </is>
      </c>
      <c r="C10" s="32" t="n">
        <v>1.65</v>
      </c>
      <c r="D10" s="32" t="n">
        <v>9.18</v>
      </c>
      <c r="E10" s="32" t="n">
        <v>9.02</v>
      </c>
      <c r="F10" s="33">
        <f>((D10+E10)/2)*C10</f>
        <v/>
      </c>
      <c r="G10" s="32" t="n">
        <v>0</v>
      </c>
      <c r="H10" s="32" t="n">
        <v>0.22</v>
      </c>
      <c r="I10" s="33">
        <f>((G10+H10)/2)*C10</f>
        <v/>
      </c>
      <c r="J10" s="31" t="inlineStr">
        <is>
          <t>Chuẩn hình học</t>
        </is>
      </c>
    </row>
    <row r="11" ht="20" customHeight="1">
      <c r="A11" s="31" t="inlineStr">
        <is>
          <t>5</t>
        </is>
      </c>
      <c r="B11" s="8" t="inlineStr">
        <is>
          <t>Cọc P1 đến cọc TC1 (Km 0+25.17)</t>
        </is>
      </c>
      <c r="C11" s="32" t="n">
        <v>3.52</v>
      </c>
      <c r="D11" s="32" t="n">
        <v>9.02</v>
      </c>
      <c r="E11" s="32" t="n">
        <v>11.58</v>
      </c>
      <c r="F11" s="33">
        <f>((D11+E11)/2)*C11</f>
        <v/>
      </c>
      <c r="G11" s="32" t="n">
        <v>0.22</v>
      </c>
      <c r="H11" s="32" t="n">
        <v>3.2</v>
      </c>
      <c r="I11" s="33">
        <f>((G11+H11)/2)*C11</f>
        <v/>
      </c>
      <c r="J11" s="31" t="inlineStr">
        <is>
          <t>Chuẩn hình học</t>
        </is>
      </c>
    </row>
    <row r="12" ht="20" customHeight="1">
      <c r="A12" s="31" t="inlineStr">
        <is>
          <t>6</t>
        </is>
      </c>
      <c r="B12" s="8" t="inlineStr">
        <is>
          <t>Cọc TC1 đến cọc 3 (Km 0+30.00)</t>
        </is>
      </c>
      <c r="C12" s="32" t="n">
        <v>4.83</v>
      </c>
      <c r="D12" s="32" t="n">
        <v>11.58</v>
      </c>
      <c r="E12" s="32" t="n">
        <v>20.34</v>
      </c>
      <c r="F12" s="33">
        <f>((D12+E12)/2)*C12</f>
        <v/>
      </c>
      <c r="G12" s="32" t="n">
        <v>3.2</v>
      </c>
      <c r="H12" s="32" t="n">
        <v>0</v>
      </c>
      <c r="I12" s="33">
        <f>((G12+H12)/2)*C12</f>
        <v/>
      </c>
      <c r="J12" s="31" t="inlineStr">
        <is>
          <t>Chuẩn hình học</t>
        </is>
      </c>
    </row>
    <row r="13" ht="20" customHeight="1">
      <c r="A13" s="31" t="inlineStr">
        <is>
          <t>7</t>
        </is>
      </c>
      <c r="B13" s="8" t="inlineStr">
        <is>
          <t>Cọc 3 đến cọc 4 (Km 0+40.00)</t>
        </is>
      </c>
      <c r="C13" s="32" t="n">
        <v>10</v>
      </c>
      <c r="D13" s="32" t="n">
        <v>20.34</v>
      </c>
      <c r="E13" s="32" t="n">
        <v>51.82</v>
      </c>
      <c r="F13" s="33">
        <f>((D13+E13)/2)*C13</f>
        <v/>
      </c>
      <c r="G13" s="32" t="n">
        <v>0</v>
      </c>
      <c r="H13" s="32" t="n">
        <v>0</v>
      </c>
      <c r="I13" s="33">
        <f>((G13+H13)/2)*C13</f>
        <v/>
      </c>
      <c r="J13" s="31" t="inlineStr">
        <is>
          <t>Chuẩn hình học</t>
        </is>
      </c>
    </row>
    <row r="14" ht="20" customHeight="1">
      <c r="A14" s="31" t="inlineStr">
        <is>
          <t>8</t>
        </is>
      </c>
      <c r="B14" s="8" t="inlineStr">
        <is>
          <t>Km 0+40.00 đến Km 0+80.00 (Nhánh tiếp cận trụ T1)</t>
        </is>
      </c>
      <c r="C14" s="32" t="n">
        <v>40</v>
      </c>
      <c r="D14" s="32" t="n">
        <v>51.82</v>
      </c>
      <c r="E14" s="32" t="n">
        <v>28.4</v>
      </c>
      <c r="F14" s="33">
        <f>((D14+E14)/2)*C14</f>
        <v/>
      </c>
      <c r="G14" s="32" t="n">
        <v>0</v>
      </c>
      <c r="H14" s="32" t="n">
        <v>0</v>
      </c>
      <c r="I14" s="33">
        <f>((G14+H14)/2)*C14</f>
        <v/>
      </c>
      <c r="J14" s="31" t="inlineStr">
        <is>
          <t>Chuẩn hình học</t>
        </is>
      </c>
    </row>
    <row r="15" ht="20" customHeight="1">
      <c r="A15" s="31" t="inlineStr">
        <is>
          <t>9</t>
        </is>
      </c>
      <c r="B15" s="8" t="inlineStr">
        <is>
          <t>Km 0+80.00 đến Km 0+120.00 (Nhánh tiếp cận trụ T2)</t>
        </is>
      </c>
      <c r="C15" s="32" t="n">
        <v>40</v>
      </c>
      <c r="D15" s="32" t="n">
        <v>28.4</v>
      </c>
      <c r="E15" s="32" t="n">
        <v>16.5</v>
      </c>
      <c r="F15" s="33">
        <f>((D15+E15)/2)*C15</f>
        <v/>
      </c>
      <c r="G15" s="32" t="n">
        <v>0</v>
      </c>
      <c r="H15" s="32" t="n">
        <v>0.5</v>
      </c>
      <c r="I15" s="33">
        <f>((G15+H15)/2)*C15</f>
        <v/>
      </c>
      <c r="J15" s="31" t="inlineStr">
        <is>
          <t>Chuẩn hình học</t>
        </is>
      </c>
    </row>
    <row r="16" ht="24" customHeight="1">
      <c r="A16" s="13" t="inlineStr">
        <is>
          <t>II. HỐ MÓNG BỆ MỐ M1, M2 VÀ BỆ TRỤ T1, T2</t>
        </is>
      </c>
    </row>
    <row r="17" ht="20" customHeight="1">
      <c r="A17" s="31" t="inlineStr">
        <is>
          <t>10</t>
        </is>
      </c>
      <c r="B17" s="8" t="inlineStr">
        <is>
          <t>Đào đất đá hố móng bệ mố M1 chân dê (Km19+463.88)</t>
        </is>
      </c>
      <c r="C17" s="32" t="n">
        <v>12</v>
      </c>
      <c r="D17" s="32" t="n">
        <v>36.5</v>
      </c>
      <c r="E17" s="32" t="n">
        <v>36.5</v>
      </c>
      <c r="F17" s="33">
        <f>((D17+E17)/2)*C17</f>
        <v/>
      </c>
      <c r="G17" s="32" t="n">
        <v>0</v>
      </c>
      <c r="H17" s="32" t="n">
        <v>0</v>
      </c>
      <c r="I17" s="33">
        <f>((G17+H17)/2)*C17</f>
        <v/>
      </c>
      <c r="J17" s="31" t="inlineStr">
        <is>
          <t>Chuẩn hình học</t>
        </is>
      </c>
    </row>
    <row r="18" ht="20" customHeight="1">
      <c r="A18" s="31" t="inlineStr">
        <is>
          <t>11</t>
        </is>
      </c>
      <c r="B18" s="8" t="inlineStr">
        <is>
          <t>Đào đất đá hố móng bệ mố M2 chữ U (Km19+594.28)</t>
        </is>
      </c>
      <c r="C18" s="32" t="n">
        <v>14</v>
      </c>
      <c r="D18" s="32" t="n">
        <v>42</v>
      </c>
      <c r="E18" s="32" t="n">
        <v>42</v>
      </c>
      <c r="F18" s="33">
        <f>((D18+E18)/2)*C18</f>
        <v/>
      </c>
      <c r="G18" s="32" t="n">
        <v>0</v>
      </c>
      <c r="H18" s="32" t="n">
        <v>0</v>
      </c>
      <c r="I18" s="33">
        <f>((G18+H18)/2)*C18</f>
        <v/>
      </c>
      <c r="J18" s="31" t="inlineStr">
        <is>
          <t>Chuẩn hình học</t>
        </is>
      </c>
    </row>
    <row r="19" ht="20" customHeight="1">
      <c r="A19" s="31" t="inlineStr">
        <is>
          <t>12</t>
        </is>
      </c>
      <c r="B19" s="8" t="inlineStr">
        <is>
          <t>Đào đất đá hố móng bệ trụ T1 (Km19+502.98)</t>
        </is>
      </c>
      <c r="C19" s="32" t="n">
        <v>15</v>
      </c>
      <c r="D19" s="32" t="n">
        <v>55</v>
      </c>
      <c r="E19" s="32" t="n">
        <v>55</v>
      </c>
      <c r="F19" s="33">
        <f>((D19+E19)/2)*C19</f>
        <v/>
      </c>
      <c r="G19" s="32" t="n">
        <v>0</v>
      </c>
      <c r="H19" s="32" t="n">
        <v>0</v>
      </c>
      <c r="I19" s="33">
        <f>((G19+H19)/2)*C19</f>
        <v/>
      </c>
      <c r="J19" s="31" t="inlineStr">
        <is>
          <t>Chuẩn hình học</t>
        </is>
      </c>
    </row>
    <row r="20" ht="20" customHeight="1">
      <c r="A20" s="31" t="inlineStr">
        <is>
          <t>13</t>
        </is>
      </c>
      <c r="B20" s="8" t="inlineStr">
        <is>
          <t>Đào đất đá hố móng bệ trụ T2 (Km19+542.98)</t>
        </is>
      </c>
      <c r="C20" s="32" t="n">
        <v>15</v>
      </c>
      <c r="D20" s="32" t="n">
        <v>52</v>
      </c>
      <c r="E20" s="32" t="n">
        <v>52</v>
      </c>
      <c r="F20" s="33">
        <f>((D20+E20)/2)*C20</f>
        <v/>
      </c>
      <c r="G20" s="32" t="n">
        <v>0</v>
      </c>
      <c r="H20" s="32" t="n">
        <v>0</v>
      </c>
      <c r="I20" s="33">
        <f>((G20+H20)/2)*C20</f>
        <v/>
      </c>
      <c r="J20" s="31" t="inlineStr">
        <is>
          <t>Chuẩn hình học</t>
        </is>
      </c>
    </row>
    <row r="21" ht="24" customHeight="1">
      <c r="A21" s="27" t="inlineStr">
        <is>
          <t>TỔNG CỘNG KHỐI LƯỢNG ĐÀO ĐẮP (M3)</t>
        </is>
      </c>
      <c r="B21" s="28" t="n"/>
      <c r="C21" s="28" t="n"/>
      <c r="D21" s="28" t="n"/>
      <c r="E21" s="29" t="n"/>
      <c r="F21" s="34">
        <f>F7+F8+F9+F10+F11+F12+F13+F14+F15+F17+F18+F19+F20</f>
        <v/>
      </c>
      <c r="G21" s="35" t="n"/>
      <c r="H21" s="35" t="n"/>
      <c r="I21" s="34">
        <f>I7+I8+I9+I10+I11+I12+I13+I14+I15+I17+I18+I19+I20</f>
        <v/>
      </c>
      <c r="J21" s="35" t="n"/>
    </row>
  </sheetData>
  <mergeCells count="3">
    <mergeCell ref="A6:J6"/>
    <mergeCell ref="A21:E21"/>
    <mergeCell ref="A16:J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4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46" customWidth="1" min="2" max="2"/>
    <col width="14" customWidth="1" min="3" max="3"/>
    <col width="8" customWidth="1" min="4" max="4"/>
    <col width="12" customWidth="1" min="5" max="5"/>
    <col width="14" customWidth="1" min="6" max="6"/>
    <col width="10" customWidth="1" min="7" max="7"/>
    <col width="12" customWidth="1" min="8" max="8"/>
    <col width="13" customWidth="1" min="9" max="9"/>
    <col width="13" customWidth="1" min="10" max="10"/>
    <col width="15" customWidth="1" min="11" max="11"/>
    <col width="1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</cols>
  <sheetData>
    <row r="1"/>
    <row r="2">
      <c r="B2" s="1" t="inlineStr">
        <is>
          <t>DỰ ÁN: CAO TỐC TUYÊN QUANG - HÀ GIANG (GIAI ĐOẠN 1) - ĐOẠN QUA TỈNH HÀ GIANG</t>
        </is>
      </c>
    </row>
    <row r="3">
      <c r="B3" s="2" t="inlineStr">
        <is>
          <t>BẢNG KẾ HOẠCH TIẾN ĐỘ WBS, ĐIỀU PHỐI NHÂN CÔNG &amp; BIỂU ĐỒ GANTT CPM - CẦU KM19+529.080</t>
        </is>
      </c>
    </row>
    <row r="4">
      <c r="B4" s="3" t="inlineStr">
        <is>
          <t>Định mức ngày công TT 12/2021/TT-BXD, Luật Xây dựng số 135/2025/QH15 &amp; NĐ 207/2026/NĐ-CP (Cột đỏ: Đường găng CPM)</t>
        </is>
      </c>
    </row>
    <row r="5" ht="20" customHeight="1">
      <c r="A5" s="4" t="inlineStr">
        <is>
          <t>Mã WBS</t>
        </is>
      </c>
      <c r="B5" s="4" t="inlineStr">
        <is>
          <t>Danh mục công tác thi công</t>
        </is>
      </c>
      <c r="C5" s="4" t="inlineStr">
        <is>
          <t>Khối lượng</t>
        </is>
      </c>
      <c r="D5" s="4" t="inlineStr">
        <is>
          <t>ĐVT</t>
        </is>
      </c>
      <c r="E5" s="4" t="inlineStr">
        <is>
          <t>Định mức
(công/ĐVT)</t>
        </is>
      </c>
      <c r="F5" s="4" t="inlineStr">
        <is>
          <t>Tổng công
(công)</t>
        </is>
      </c>
      <c r="G5" s="4" t="inlineStr">
        <is>
          <t>Tổ đội
(người)</t>
        </is>
      </c>
      <c r="H5" s="4" t="inlineStr">
        <is>
          <t>Thời gian
Duration (ngày)</t>
        </is>
      </c>
      <c r="I5" s="4" t="inlineStr">
        <is>
          <t>Ngày bắt đầu
Start</t>
        </is>
      </c>
      <c r="J5" s="4" t="inlineStr">
        <is>
          <t>Ngày hoàn thành
Finish</t>
        </is>
      </c>
      <c r="K5" s="4" t="inlineStr">
        <is>
          <t>Quan hệ logic
Predecessors</t>
        </is>
      </c>
      <c r="L5" s="4" t="inlineStr">
        <is>
          <t>Đường găng
CPM</t>
        </is>
      </c>
      <c r="M5" s="36" t="inlineStr">
        <is>
          <t>Tháng 10/2026</t>
        </is>
      </c>
      <c r="N5" s="37" t="n"/>
      <c r="O5" s="37" t="n"/>
      <c r="P5" s="38" t="n"/>
      <c r="Q5" s="36" t="inlineStr">
        <is>
          <t>Tháng 11/2026</t>
        </is>
      </c>
      <c r="R5" s="37" t="n"/>
      <c r="S5" s="37" t="n"/>
      <c r="T5" s="38" t="n"/>
      <c r="U5" s="36" t="inlineStr">
        <is>
          <t>Tháng 12/2026</t>
        </is>
      </c>
      <c r="V5" s="37" t="n"/>
      <c r="W5" s="37" t="n"/>
      <c r="X5" s="38" t="n"/>
      <c r="Y5" s="36" t="inlineStr">
        <is>
          <t>Tháng 01/2027</t>
        </is>
      </c>
      <c r="Z5" s="37" t="n"/>
      <c r="AA5" s="37" t="n"/>
      <c r="AB5" s="38" t="n"/>
      <c r="AC5" s="36" t="inlineStr">
        <is>
          <t>Tháng 02/2027</t>
        </is>
      </c>
      <c r="AD5" s="37" t="n"/>
      <c r="AE5" s="37" t="n"/>
      <c r="AF5" s="38" t="n"/>
      <c r="AG5" s="36" t="inlineStr">
        <is>
          <t>Tháng 03/2027</t>
        </is>
      </c>
      <c r="AH5" s="37" t="n"/>
      <c r="AI5" s="37" t="n"/>
      <c r="AJ5" s="38" t="n"/>
    </row>
    <row r="6" ht="18" customHeight="1">
      <c r="A6" s="39" t="n"/>
      <c r="B6" s="39" t="n"/>
      <c r="C6" s="39" t="n"/>
      <c r="D6" s="39" t="n"/>
      <c r="E6" s="39" t="n"/>
      <c r="F6" s="39" t="n"/>
      <c r="G6" s="39" t="n"/>
      <c r="H6" s="39" t="n"/>
      <c r="I6" s="39" t="n"/>
      <c r="J6" s="39" t="n"/>
      <c r="K6" s="39" t="n"/>
      <c r="L6" s="39" t="n"/>
      <c r="M6" s="40" t="inlineStr">
        <is>
          <t>T1</t>
        </is>
      </c>
      <c r="N6" s="40" t="inlineStr">
        <is>
          <t>T2</t>
        </is>
      </c>
      <c r="O6" s="40" t="inlineStr">
        <is>
          <t>T3</t>
        </is>
      </c>
      <c r="P6" s="40" t="inlineStr">
        <is>
          <t>T4</t>
        </is>
      </c>
      <c r="Q6" s="40" t="inlineStr">
        <is>
          <t>T1</t>
        </is>
      </c>
      <c r="R6" s="40" t="inlineStr">
        <is>
          <t>T2</t>
        </is>
      </c>
      <c r="S6" s="40" t="inlineStr">
        <is>
          <t>T3</t>
        </is>
      </c>
      <c r="T6" s="40" t="inlineStr">
        <is>
          <t>T4</t>
        </is>
      </c>
      <c r="U6" s="40" t="inlineStr">
        <is>
          <t>T1</t>
        </is>
      </c>
      <c r="V6" s="40" t="inlineStr">
        <is>
          <t>T2</t>
        </is>
      </c>
      <c r="W6" s="40" t="inlineStr">
        <is>
          <t>T3</t>
        </is>
      </c>
      <c r="X6" s="40" t="inlineStr">
        <is>
          <t>T4</t>
        </is>
      </c>
      <c r="Y6" s="40" t="inlineStr">
        <is>
          <t>T1</t>
        </is>
      </c>
      <c r="Z6" s="40" t="inlineStr">
        <is>
          <t>T2</t>
        </is>
      </c>
      <c r="AA6" s="40" t="inlineStr">
        <is>
          <t>T3</t>
        </is>
      </c>
      <c r="AB6" s="40" t="inlineStr">
        <is>
          <t>T4</t>
        </is>
      </c>
      <c r="AC6" s="40" t="inlineStr">
        <is>
          <t>T1</t>
        </is>
      </c>
      <c r="AD6" s="40" t="inlineStr">
        <is>
          <t>T2</t>
        </is>
      </c>
      <c r="AE6" s="40" t="inlineStr">
        <is>
          <t>T3</t>
        </is>
      </c>
      <c r="AF6" s="40" t="inlineStr">
        <is>
          <t>T4</t>
        </is>
      </c>
      <c r="AG6" s="40" t="inlineStr">
        <is>
          <t>T1</t>
        </is>
      </c>
      <c r="AH6" s="40" t="inlineStr">
        <is>
          <t>T2</t>
        </is>
      </c>
      <c r="AI6" s="40" t="inlineStr">
        <is>
          <t>T3</t>
        </is>
      </c>
      <c r="AJ6" s="40" t="inlineStr">
        <is>
          <t>T4</t>
        </is>
      </c>
    </row>
    <row r="7" ht="24" customHeight="1">
      <c r="A7" s="13" t="inlineStr">
        <is>
          <t>1.0</t>
        </is>
      </c>
      <c r="M7" s="41" t="n"/>
      <c r="N7" s="41" t="n"/>
      <c r="O7" s="41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</row>
    <row r="8" ht="20" customHeight="1">
      <c r="A8" s="7" t="inlineStr">
        <is>
          <t>1.1</t>
        </is>
      </c>
      <c r="B8" s="8" t="inlineStr">
        <is>
          <t>Bàn giao tim mốc VN2000, cao độ quốc gia Hòn Dấu &amp; tim mốc cầu</t>
        </is>
      </c>
      <c r="C8" s="9" t="n">
        <v>1</v>
      </c>
      <c r="D8" s="10" t="inlineStr">
        <is>
          <t>Điểm</t>
        </is>
      </c>
      <c r="E8" s="9" t="n">
        <v>12</v>
      </c>
      <c r="F8" s="42">
        <f>C8*E8</f>
        <v/>
      </c>
      <c r="G8" s="10" t="n">
        <v>6</v>
      </c>
      <c r="H8" s="7">
        <f>ROUNDUP(F8/G8, 0)</f>
        <v/>
      </c>
      <c r="I8" s="10" t="inlineStr">
        <is>
          <t>2026-10-01</t>
        </is>
      </c>
      <c r="J8" s="10" t="inlineStr">
        <is>
          <t>2026-10-02</t>
        </is>
      </c>
      <c r="K8" s="10" t="inlineStr">
        <is>
          <t>-</t>
        </is>
      </c>
      <c r="L8" s="43" t="inlineStr">
        <is>
          <t>YES</t>
        </is>
      </c>
      <c r="M8" s="44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</row>
    <row r="9" ht="20" customHeight="1">
      <c r="A9" s="7" t="inlineStr">
        <is>
          <t>1.2</t>
        </is>
      </c>
      <c r="B9" s="8" t="inlineStr">
        <is>
          <t>Rà phá bom mìn, dọn dẹp mặt bằng thi công &amp; dựng lán trại</t>
        </is>
      </c>
      <c r="C9" s="9" t="n">
        <v>12500</v>
      </c>
      <c r="D9" s="10" t="inlineStr">
        <is>
          <t>m2</t>
        </is>
      </c>
      <c r="E9" s="9" t="n">
        <v>0.02</v>
      </c>
      <c r="F9" s="42">
        <f>C9*E9</f>
        <v/>
      </c>
      <c r="G9" s="10" t="n">
        <v>10</v>
      </c>
      <c r="H9" s="7">
        <f>ROUNDUP(F9/G9, 0)</f>
        <v/>
      </c>
      <c r="I9" s="10" t="inlineStr">
        <is>
          <t>2026-10-03</t>
        </is>
      </c>
      <c r="J9" s="10" t="inlineStr">
        <is>
          <t>2026-10-08</t>
        </is>
      </c>
      <c r="K9" s="10" t="inlineStr">
        <is>
          <t>1.1FS</t>
        </is>
      </c>
      <c r="L9" s="43" t="inlineStr">
        <is>
          <t>YES</t>
        </is>
      </c>
      <c r="M9" s="44" t="n"/>
      <c r="N9" s="44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</row>
    <row r="10" ht="20" customHeight="1">
      <c r="A10" s="7" t="inlineStr">
        <is>
          <t>1.3</t>
        </is>
      </c>
      <c r="B10" s="8" t="inlineStr">
        <is>
          <t>Thi công đường công vụ nhánh 6 &amp; nhánh 6A tiếp cận mố trụ</t>
        </is>
      </c>
      <c r="C10" s="9">
        <f>KHOI_LUONG_DAO_DAP!F19</f>
        <v/>
      </c>
      <c r="D10" s="10" t="inlineStr">
        <is>
          <t>m3</t>
        </is>
      </c>
      <c r="E10" s="9" t="n">
        <v>0.08</v>
      </c>
      <c r="F10" s="42">
        <f>C10*E10</f>
        <v/>
      </c>
      <c r="G10" s="10" t="n">
        <v>12</v>
      </c>
      <c r="H10" s="7">
        <f>ROUNDUP(F10/G10, 0)</f>
        <v/>
      </c>
      <c r="I10" s="10" t="inlineStr">
        <is>
          <t>2026-10-09</t>
        </is>
      </c>
      <c r="J10" s="10" t="inlineStr">
        <is>
          <t>2026-10-18</t>
        </is>
      </c>
      <c r="K10" s="10" t="inlineStr">
        <is>
          <t>1.2FS</t>
        </is>
      </c>
      <c r="L10" s="43" t="inlineStr">
        <is>
          <t>YES</t>
        </is>
      </c>
      <c r="M10" s="15" t="n"/>
      <c r="N10" s="44" t="n"/>
      <c r="O10" s="44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</row>
    <row r="11" ht="20" customHeight="1">
      <c r="A11" s="7" t="inlineStr">
        <is>
          <t>1.4</t>
        </is>
      </c>
      <c r="B11" s="8" t="inlineStr">
        <is>
          <t>Xây dựng bãi đúc dầm Super-T, bệ đúc cáp căng &amp; trạm trộn BTXM</t>
        </is>
      </c>
      <c r="C11" s="9" t="n">
        <v>1</v>
      </c>
      <c r="D11" s="10" t="inlineStr">
        <is>
          <t>Hệ</t>
        </is>
      </c>
      <c r="E11" s="9" t="n">
        <v>180</v>
      </c>
      <c r="F11" s="42">
        <f>C11*E11</f>
        <v/>
      </c>
      <c r="G11" s="10" t="n">
        <v>15</v>
      </c>
      <c r="H11" s="7">
        <f>ROUNDUP(F11/G11, 0)</f>
        <v/>
      </c>
      <c r="I11" s="10" t="inlineStr">
        <is>
          <t>2026-10-12</t>
        </is>
      </c>
      <c r="J11" s="10" t="inlineStr">
        <is>
          <t>2026-10-24</t>
        </is>
      </c>
      <c r="K11" s="10" t="inlineStr">
        <is>
          <t>1.3SS+3d</t>
        </is>
      </c>
      <c r="L11" s="10" t="inlineStr">
        <is>
          <t>NO</t>
        </is>
      </c>
      <c r="M11" s="15" t="n"/>
      <c r="N11" s="45" t="n"/>
      <c r="O11" s="45" t="n"/>
      <c r="P11" s="4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</row>
    <row r="12" ht="24" customHeight="1">
      <c r="A12" s="13" t="inlineStr">
        <is>
          <t>2.0</t>
        </is>
      </c>
      <c r="M12" s="15" t="n"/>
      <c r="N12" s="15" t="n"/>
      <c r="O12" s="41" t="n"/>
      <c r="P12" s="41" t="n"/>
      <c r="Q12" s="41" t="n"/>
      <c r="R12" s="41" t="n"/>
      <c r="S12" s="41" t="n"/>
      <c r="T12" s="41" t="n"/>
      <c r="U12" s="41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</row>
    <row r="13" ht="20" customHeight="1">
      <c r="A13" s="7" t="inlineStr">
        <is>
          <t>2.1</t>
        </is>
      </c>
      <c r="B13" s="8" t="inlineStr">
        <is>
          <t>Khoan thăm dò hang Karst sâu 5m vào đá liền khối dưới mũi cọc</t>
        </is>
      </c>
      <c r="C13" s="9" t="n">
        <v>26</v>
      </c>
      <c r="D13" s="10" t="inlineStr">
        <is>
          <t>Lỗ</t>
        </is>
      </c>
      <c r="E13" s="9" t="n">
        <v>12</v>
      </c>
      <c r="F13" s="42">
        <f>C13*E13</f>
        <v/>
      </c>
      <c r="G13" s="10" t="n">
        <v>8</v>
      </c>
      <c r="H13" s="7">
        <f>ROUNDUP(F13/G13, 0)</f>
        <v/>
      </c>
      <c r="I13" s="10" t="inlineStr">
        <is>
          <t>2026-10-25</t>
        </is>
      </c>
      <c r="J13" s="10" t="inlineStr">
        <is>
          <t>2026-11-05</t>
        </is>
      </c>
      <c r="K13" s="10" t="inlineStr">
        <is>
          <t>1.3FS</t>
        </is>
      </c>
      <c r="L13" s="43" t="inlineStr">
        <is>
          <t>YES</t>
        </is>
      </c>
      <c r="M13" s="15" t="n"/>
      <c r="N13" s="15" t="n"/>
      <c r="O13" s="44" t="n"/>
      <c r="P13" s="44" t="n"/>
      <c r="Q13" s="44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</row>
    <row r="14" ht="20" customHeight="1">
      <c r="A14" s="7" t="inlineStr">
        <is>
          <t>2.2</t>
        </is>
      </c>
      <c r="B14" s="8" t="inlineStr">
        <is>
          <t>Khoan cọc nhồi D1200mm M1 (3 cọc L=20m) &amp; đổ bê tông C30</t>
        </is>
      </c>
      <c r="C14" s="9">
        <f>QS_DIEN_GIAI_CHI_TIET!J8</f>
        <v/>
      </c>
      <c r="D14" s="10" t="inlineStr">
        <is>
          <t>m</t>
        </is>
      </c>
      <c r="E14" s="9" t="n">
        <v>0.75</v>
      </c>
      <c r="F14" s="42">
        <f>C14*E14</f>
        <v/>
      </c>
      <c r="G14" s="10" t="n">
        <v>10</v>
      </c>
      <c r="H14" s="7">
        <f>ROUNDUP(F14/G14, 0)</f>
        <v/>
      </c>
      <c r="I14" s="10" t="inlineStr">
        <is>
          <t>2026-11-06</t>
        </is>
      </c>
      <c r="J14" s="10" t="inlineStr">
        <is>
          <t>2026-11-12</t>
        </is>
      </c>
      <c r="K14" s="10" t="inlineStr">
        <is>
          <t>2.1FS</t>
        </is>
      </c>
      <c r="L14" s="43" t="inlineStr">
        <is>
          <t>YES</t>
        </is>
      </c>
      <c r="M14" s="15" t="n"/>
      <c r="N14" s="15" t="n"/>
      <c r="O14" s="15" t="n"/>
      <c r="P14" s="15" t="n"/>
      <c r="Q14" s="44" t="n"/>
      <c r="R14" s="44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</row>
    <row r="15" ht="20" customHeight="1">
      <c r="A15" s="7" t="inlineStr">
        <is>
          <t>2.3</t>
        </is>
      </c>
      <c r="B15" s="8" t="inlineStr">
        <is>
          <t>Khoan cọc nhồi D1200mm Trụ T1 (8 cọc L=40m) &amp; đổ bê tông C30</t>
        </is>
      </c>
      <c r="C15" s="9">
        <f>QS_DIEN_GIAI_CHI_TIET!J9</f>
        <v/>
      </c>
      <c r="D15" s="10" t="inlineStr">
        <is>
          <t>m</t>
        </is>
      </c>
      <c r="E15" s="9" t="n">
        <v>0.75</v>
      </c>
      <c r="F15" s="42">
        <f>C15*E15</f>
        <v/>
      </c>
      <c r="G15" s="10" t="n">
        <v>16</v>
      </c>
      <c r="H15" s="7">
        <f>ROUNDUP(F15/G15, 0)</f>
        <v/>
      </c>
      <c r="I15" s="10" t="inlineStr">
        <is>
          <t>2026-11-10</t>
        </is>
      </c>
      <c r="J15" s="10" t="inlineStr">
        <is>
          <t>2026-11-28</t>
        </is>
      </c>
      <c r="K15" s="10" t="inlineStr">
        <is>
          <t>2.2SS+4d</t>
        </is>
      </c>
      <c r="L15" s="43" t="inlineStr">
        <is>
          <t>YES</t>
        </is>
      </c>
      <c r="M15" s="15" t="n"/>
      <c r="N15" s="15" t="n"/>
      <c r="O15" s="15" t="n"/>
      <c r="P15" s="15" t="n"/>
      <c r="Q15" s="15" t="n"/>
      <c r="R15" s="44" t="n"/>
      <c r="S15" s="44" t="n"/>
      <c r="T15" s="44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</row>
    <row r="16" ht="20" customHeight="1">
      <c r="A16" s="7" t="inlineStr">
        <is>
          <t>2.4</t>
        </is>
      </c>
      <c r="B16" s="8" t="inlineStr">
        <is>
          <t>Khoan cọc nhồi D1200mm Trụ T2 (8 cọc L=30m) &amp; đổ bê tông C30</t>
        </is>
      </c>
      <c r="C16" s="9">
        <f>QS_DIEN_GIAI_CHI_TIET!J10</f>
        <v/>
      </c>
      <c r="D16" s="10" t="inlineStr">
        <is>
          <t>m</t>
        </is>
      </c>
      <c r="E16" s="9" t="n">
        <v>0.75</v>
      </c>
      <c r="F16" s="42">
        <f>C16*E16</f>
        <v/>
      </c>
      <c r="G16" s="10" t="n">
        <v>14</v>
      </c>
      <c r="H16" s="7">
        <f>ROUNDUP(F16/G16, 0)</f>
        <v/>
      </c>
      <c r="I16" s="10" t="inlineStr">
        <is>
          <t>2026-11-18</t>
        </is>
      </c>
      <c r="J16" s="10" t="inlineStr">
        <is>
          <t>2026-12-04</t>
        </is>
      </c>
      <c r="K16" s="10" t="inlineStr">
        <is>
          <t>2.3SS+8d</t>
        </is>
      </c>
      <c r="L16" s="43" t="inlineStr">
        <is>
          <t>YES</t>
        </is>
      </c>
      <c r="M16" s="15" t="n"/>
      <c r="N16" s="15" t="n"/>
      <c r="O16" s="15" t="n"/>
      <c r="P16" s="15" t="n"/>
      <c r="Q16" s="15" t="n"/>
      <c r="R16" s="15" t="n"/>
      <c r="S16" s="44" t="n"/>
      <c r="T16" s="44" t="n"/>
      <c r="U16" s="44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</row>
    <row r="17" ht="20" customHeight="1">
      <c r="A17" s="7" t="inlineStr">
        <is>
          <t>2.5</t>
        </is>
      </c>
      <c r="B17" s="8" t="inlineStr">
        <is>
          <t>Khoan cọc nhồi D1200mm M2 (7 cọc L=36m) &amp; đổ bê tông C30</t>
        </is>
      </c>
      <c r="C17" s="9">
        <f>QS_DIEN_GIAI_CHI_TIET!J11</f>
        <v/>
      </c>
      <c r="D17" s="10" t="inlineStr">
        <is>
          <t>m</t>
        </is>
      </c>
      <c r="E17" s="9" t="n">
        <v>0.75</v>
      </c>
      <c r="F17" s="42">
        <f>C17*E17</f>
        <v/>
      </c>
      <c r="G17" s="10" t="n">
        <v>14</v>
      </c>
      <c r="H17" s="7">
        <f>ROUNDUP(F17/G17, 0)</f>
        <v/>
      </c>
      <c r="I17" s="10" t="inlineStr">
        <is>
          <t>2026-11-25</t>
        </is>
      </c>
      <c r="J17" s="10" t="inlineStr">
        <is>
          <t>2026-12-12</t>
        </is>
      </c>
      <c r="K17" s="10" t="inlineStr">
        <is>
          <t>2.4SS+7d</t>
        </is>
      </c>
      <c r="L17" s="10" t="inlineStr">
        <is>
          <t>NO</t>
        </is>
      </c>
      <c r="M17" s="15" t="n"/>
      <c r="N17" s="15" t="n"/>
      <c r="O17" s="15" t="n"/>
      <c r="P17" s="15" t="n"/>
      <c r="Q17" s="15" t="n"/>
      <c r="R17" s="15" t="n"/>
      <c r="S17" s="15" t="n"/>
      <c r="T17" s="45" t="n"/>
      <c r="U17" s="45" t="n"/>
      <c r="V17" s="4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</row>
    <row r="18" ht="20" customHeight="1">
      <c r="A18" s="7" t="inlineStr">
        <is>
          <t>2.6</t>
        </is>
      </c>
      <c r="B18" s="8" t="inlineStr">
        <is>
          <t>Thí nghiệm siêu âm 156 mặt cắt, khoan kiểm tra mũi cọc &amp; thử tải PDA</t>
        </is>
      </c>
      <c r="C18" s="9" t="n">
        <v>1</v>
      </c>
      <c r="D18" s="10" t="inlineStr">
        <is>
          <t>Gói</t>
        </is>
      </c>
      <c r="E18" s="9" t="n">
        <v>48</v>
      </c>
      <c r="F18" s="42">
        <f>C18*E18</f>
        <v/>
      </c>
      <c r="G18" s="10" t="n">
        <v>6</v>
      </c>
      <c r="H18" s="7">
        <f>ROUNDUP(F18/G18, 0)</f>
        <v/>
      </c>
      <c r="I18" s="10" t="inlineStr">
        <is>
          <t>2026-12-13</t>
        </is>
      </c>
      <c r="J18" s="10" t="inlineStr">
        <is>
          <t>2026-12-20</t>
        </is>
      </c>
      <c r="K18" s="10" t="inlineStr">
        <is>
          <t>2.4FS,2.5FS</t>
        </is>
      </c>
      <c r="L18" s="43" t="inlineStr">
        <is>
          <t>YES</t>
        </is>
      </c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44" t="n"/>
      <c r="W18" s="44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</row>
    <row r="19" ht="24" customHeight="1">
      <c r="A19" s="13" t="inlineStr">
        <is>
          <t>3.0</t>
        </is>
      </c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41" t="n"/>
      <c r="X19" s="41" t="n"/>
      <c r="Y19" s="41" t="n"/>
      <c r="Z19" s="41" t="n"/>
      <c r="AA19" s="41" t="n"/>
      <c r="AB19" s="41" t="n"/>
      <c r="AC19" s="15" t="n"/>
      <c r="AD19" s="15" t="n"/>
      <c r="AE19" s="15" t="n"/>
      <c r="AF19" s="15" t="n"/>
      <c r="AG19" s="15" t="n"/>
      <c r="AH19" s="15" t="n"/>
      <c r="AI19" s="15" t="n"/>
      <c r="AJ19" s="15" t="n"/>
    </row>
    <row r="20" ht="20" customHeight="1">
      <c r="A20" s="7" t="inlineStr">
        <is>
          <t>3.1</t>
        </is>
      </c>
      <c r="B20" s="8" t="inlineStr">
        <is>
          <t>Đào hố móng, đập đầu 26 cọc nhồi &amp; đổ bê tông lót đáy bệ mác C10</t>
        </is>
      </c>
      <c r="C20" s="9" t="n">
        <v>26</v>
      </c>
      <c r="D20" s="10" t="inlineStr">
        <is>
          <t>Cọc</t>
        </is>
      </c>
      <c r="E20" s="9" t="n">
        <v>2.5</v>
      </c>
      <c r="F20" s="42">
        <f>C20*E20</f>
        <v/>
      </c>
      <c r="G20" s="10" t="n">
        <v>10</v>
      </c>
      <c r="H20" s="7">
        <f>ROUNDUP(F20/G20, 0)</f>
        <v/>
      </c>
      <c r="I20" s="10" t="inlineStr">
        <is>
          <t>2026-12-21</t>
        </is>
      </c>
      <c r="J20" s="10" t="inlineStr">
        <is>
          <t>2026-12-27</t>
        </is>
      </c>
      <c r="K20" s="10" t="inlineStr">
        <is>
          <t>2.6FS</t>
        </is>
      </c>
      <c r="L20" s="43" t="inlineStr">
        <is>
          <t>YES</t>
        </is>
      </c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44" t="n"/>
      <c r="X20" s="44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</row>
    <row r="21" ht="20" customHeight="1">
      <c r="A21" s="7" t="inlineStr">
        <is>
          <t>3.2</t>
        </is>
      </c>
      <c r="B21" s="8" t="inlineStr">
        <is>
          <t>Gia công lắp dựng cốt thép, ván khuôn &amp; đổ bê tông bệ móng mố M1, M2</t>
        </is>
      </c>
      <c r="C21" s="9">
        <f>QS_DIEN_GIAI_CHI_TIET!J38</f>
        <v/>
      </c>
      <c r="D21" s="10" t="inlineStr">
        <is>
          <t>m3</t>
        </is>
      </c>
      <c r="E21" s="9" t="n">
        <v>0.45</v>
      </c>
      <c r="F21" s="42">
        <f>C21*E21</f>
        <v/>
      </c>
      <c r="G21" s="10" t="n">
        <v>16</v>
      </c>
      <c r="H21" s="7">
        <f>ROUNDUP(F21/G21, 0)</f>
        <v/>
      </c>
      <c r="I21" s="10" t="inlineStr">
        <is>
          <t>2026-12-28</t>
        </is>
      </c>
      <c r="J21" s="10" t="inlineStr">
        <is>
          <t>2027-01-04</t>
        </is>
      </c>
      <c r="K21" s="10" t="inlineStr">
        <is>
          <t>3.1FS</t>
        </is>
      </c>
      <c r="L21" s="43" t="inlineStr">
        <is>
          <t>YES</t>
        </is>
      </c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44" t="n"/>
      <c r="Y21" s="44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</row>
    <row r="22" ht="20" customHeight="1">
      <c r="A22" s="7" t="inlineStr">
        <is>
          <t>3.3</t>
        </is>
      </c>
      <c r="B22" s="8" t="inlineStr">
        <is>
          <t>Gia công lắp dựng cốt thép, ván khuôn &amp; đổ bê tông bệ trụ T1, T2</t>
        </is>
      </c>
      <c r="C22" s="9">
        <f>QS_DIEN_GIAI_CHI_TIET!J39</f>
        <v/>
      </c>
      <c r="D22" s="10" t="inlineStr">
        <is>
          <t>m3</t>
        </is>
      </c>
      <c r="E22" s="9" t="n">
        <v>0.42</v>
      </c>
      <c r="F22" s="42">
        <f>C22*E22</f>
        <v/>
      </c>
      <c r="G22" s="10" t="n">
        <v>18</v>
      </c>
      <c r="H22" s="7">
        <f>ROUNDUP(F22/G22, 0)</f>
        <v/>
      </c>
      <c r="I22" s="10" t="inlineStr">
        <is>
          <t>2026-12-30</t>
        </is>
      </c>
      <c r="J22" s="10" t="inlineStr">
        <is>
          <t>2027-01-08</t>
        </is>
      </c>
      <c r="K22" s="10" t="inlineStr">
        <is>
          <t>3.1FS+2d</t>
        </is>
      </c>
      <c r="L22" s="43" t="inlineStr">
        <is>
          <t>YES</t>
        </is>
      </c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44" t="n"/>
      <c r="Y22" s="44" t="n"/>
      <c r="Z22" s="44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</row>
    <row r="23" ht="20" customHeight="1">
      <c r="A23" s="7" t="inlineStr">
        <is>
          <t>3.4</t>
        </is>
      </c>
      <c r="B23" s="8" t="inlineStr">
        <is>
          <t>Thi công thân đặc trụ T1, T2 (H=14.5m &amp; 11.4m) bê tông C30</t>
        </is>
      </c>
      <c r="C23" s="9">
        <f>QS_DIEN_GIAI_CHI_TIET!J47</f>
        <v/>
      </c>
      <c r="D23" s="10" t="inlineStr">
        <is>
          <t>m3</t>
        </is>
      </c>
      <c r="E23" s="9" t="n">
        <v>0.55</v>
      </c>
      <c r="F23" s="42">
        <f>C23*E23</f>
        <v/>
      </c>
      <c r="G23" s="10" t="n">
        <v>18</v>
      </c>
      <c r="H23" s="7">
        <f>ROUNDUP(F23/G23, 0)</f>
        <v/>
      </c>
      <c r="I23" s="10" t="inlineStr">
        <is>
          <t>2027-01-09</t>
        </is>
      </c>
      <c r="J23" s="10" t="inlineStr">
        <is>
          <t>2027-01-22</t>
        </is>
      </c>
      <c r="K23" s="10" t="inlineStr">
        <is>
          <t>3.3FS</t>
        </is>
      </c>
      <c r="L23" s="43" t="inlineStr">
        <is>
          <t>YES</t>
        </is>
      </c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44" t="n"/>
      <c r="AA23" s="44" t="n"/>
      <c r="AB23" s="44" t="n"/>
      <c r="AC23" s="15" t="n"/>
      <c r="AD23" s="15" t="n"/>
      <c r="AE23" s="15" t="n"/>
      <c r="AF23" s="15" t="n"/>
      <c r="AG23" s="15" t="n"/>
      <c r="AH23" s="15" t="n"/>
      <c r="AI23" s="15" t="n"/>
      <c r="AJ23" s="15" t="n"/>
    </row>
    <row r="24" ht="20" customHeight="1">
      <c r="A24" s="7" t="inlineStr">
        <is>
          <t>3.5</t>
        </is>
      </c>
      <c r="B24" s="8" t="inlineStr">
        <is>
          <t>Thi công thân mố chân dê M1 và mố chữ U M2 bê tông C30</t>
        </is>
      </c>
      <c r="C24" s="9">
        <f>QS_DIEN_GIAI_CHI_TIET!J42</f>
        <v/>
      </c>
      <c r="D24" s="10" t="inlineStr">
        <is>
          <t>m3</t>
        </is>
      </c>
      <c r="E24" s="9" t="n">
        <v>0.52</v>
      </c>
      <c r="F24" s="42">
        <f>C24*E24</f>
        <v/>
      </c>
      <c r="G24" s="10" t="n">
        <v>14</v>
      </c>
      <c r="H24" s="7">
        <f>ROUNDUP(F24/G24, 0)</f>
        <v/>
      </c>
      <c r="I24" s="10" t="inlineStr">
        <is>
          <t>2027-01-06</t>
        </is>
      </c>
      <c r="J24" s="10" t="inlineStr">
        <is>
          <t>2027-01-18</t>
        </is>
      </c>
      <c r="K24" s="10" t="inlineStr">
        <is>
          <t>3.2FS</t>
        </is>
      </c>
      <c r="L24" s="10" t="inlineStr">
        <is>
          <t>NO</t>
        </is>
      </c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45" t="n"/>
      <c r="Z24" s="45" t="n"/>
      <c r="AA24" s="4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</row>
    <row r="25" ht="20" customHeight="1">
      <c r="A25" s="7" t="inlineStr">
        <is>
          <t>3.6</t>
        </is>
      </c>
      <c r="B25" s="8" t="inlineStr">
        <is>
          <t>Thi công xà mũ trụ T1, T2, đá kê gối &amp; khối chống xô</t>
        </is>
      </c>
      <c r="C25" s="9">
        <f>QS_DIEN_GIAI_CHI_TIET!J51</f>
        <v/>
      </c>
      <c r="D25" s="10" t="inlineStr">
        <is>
          <t>m3</t>
        </is>
      </c>
      <c r="E25" s="9" t="n">
        <v>0.65</v>
      </c>
      <c r="F25" s="42">
        <f>C25*E25</f>
        <v/>
      </c>
      <c r="G25" s="10" t="n">
        <v>14</v>
      </c>
      <c r="H25" s="7">
        <f>ROUNDUP(F25/G25, 0)</f>
        <v/>
      </c>
      <c r="I25" s="10" t="inlineStr">
        <is>
          <t>2027-01-23</t>
        </is>
      </c>
      <c r="J25" s="10" t="inlineStr">
        <is>
          <t>2027-01-30</t>
        </is>
      </c>
      <c r="K25" s="10" t="inlineStr">
        <is>
          <t>3.4FS</t>
        </is>
      </c>
      <c r="L25" s="43" t="inlineStr">
        <is>
          <t>YES</t>
        </is>
      </c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44" t="n"/>
      <c r="AC25" s="44" t="n"/>
      <c r="AD25" s="15" t="n"/>
      <c r="AE25" s="15" t="n"/>
      <c r="AF25" s="15" t="n"/>
      <c r="AG25" s="15" t="n"/>
      <c r="AH25" s="15" t="n"/>
      <c r="AI25" s="15" t="n"/>
      <c r="AJ25" s="15" t="n"/>
    </row>
    <row r="26" ht="24" customHeight="1">
      <c r="A26" s="13" t="inlineStr">
        <is>
          <t>4.0</t>
        </is>
      </c>
      <c r="M26" s="15" t="n"/>
      <c r="N26" s="15" t="n"/>
      <c r="O26" s="15" t="n"/>
      <c r="P26" s="15" t="n"/>
      <c r="Q26" s="15" t="n"/>
      <c r="R26" s="15" t="n"/>
      <c r="S26" s="15" t="n"/>
      <c r="T26" s="41" t="n"/>
      <c r="U26" s="41" t="n"/>
      <c r="V26" s="41" t="n"/>
      <c r="W26" s="41" t="n"/>
      <c r="X26" s="41" t="n"/>
      <c r="Y26" s="41" t="n"/>
      <c r="Z26" s="41" t="n"/>
      <c r="AA26" s="41" t="n"/>
      <c r="AB26" s="41" t="n"/>
      <c r="AC26" s="41" t="n"/>
      <c r="AD26" s="41" t="n"/>
      <c r="AE26" s="41" t="n"/>
      <c r="AF26" s="15" t="n"/>
      <c r="AG26" s="15" t="n"/>
      <c r="AH26" s="15" t="n"/>
      <c r="AI26" s="15" t="n"/>
      <c r="AJ26" s="15" t="n"/>
    </row>
    <row r="27" ht="20" customHeight="1">
      <c r="A27" s="7" t="inlineStr">
        <is>
          <t>4.1</t>
        </is>
      </c>
      <c r="B27" s="8" t="inlineStr">
        <is>
          <t>Gia công cốt thép, luồn cáp DUL 15.2mm 15 phiến dầm tại bãi đúc</t>
        </is>
      </c>
      <c r="C27" s="9" t="n">
        <v>15</v>
      </c>
      <c r="D27" s="10" t="inlineStr">
        <is>
          <t>Phiến</t>
        </is>
      </c>
      <c r="E27" s="9" t="n">
        <v>28</v>
      </c>
      <c r="F27" s="42">
        <f>C27*E27</f>
        <v/>
      </c>
      <c r="G27" s="10" t="n">
        <v>16</v>
      </c>
      <c r="H27" s="7">
        <f>ROUNDUP(F27/G27, 0)</f>
        <v/>
      </c>
      <c r="I27" s="10" t="inlineStr">
        <is>
          <t>2026-11-28</t>
        </is>
      </c>
      <c r="J27" s="10" t="inlineStr">
        <is>
          <t>2026-12-25</t>
        </is>
      </c>
      <c r="K27" s="10" t="inlineStr">
        <is>
          <t>1.4FS</t>
        </is>
      </c>
      <c r="L27" s="10" t="inlineStr">
        <is>
          <t>NO</t>
        </is>
      </c>
      <c r="M27" s="15" t="n"/>
      <c r="N27" s="15" t="n"/>
      <c r="O27" s="15" t="n"/>
      <c r="P27" s="15" t="n"/>
      <c r="Q27" s="15" t="n"/>
      <c r="R27" s="15" t="n"/>
      <c r="S27" s="15" t="n"/>
      <c r="T27" s="45" t="n"/>
      <c r="U27" s="45" t="n"/>
      <c r="V27" s="45" t="n"/>
      <c r="W27" s="45" t="n"/>
      <c r="X27" s="4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</row>
    <row r="28" ht="20" customHeight="1">
      <c r="A28" s="7" t="inlineStr">
        <is>
          <t>4.2</t>
        </is>
      </c>
      <c r="B28" s="8" t="inlineStr">
        <is>
          <t>Đổ bê tông C45 15 phiến dầm Super-T (bảo dưỡng đạt cường độ R28)</t>
        </is>
      </c>
      <c r="C28" s="9">
        <f>QS_DIEN_GIAI_CHI_TIET!J57</f>
        <v/>
      </c>
      <c r="D28" s="10" t="inlineStr">
        <is>
          <t>m3</t>
        </is>
      </c>
      <c r="E28" s="9" t="n">
        <v>0.65</v>
      </c>
      <c r="F28" s="42">
        <f>C28*E28</f>
        <v/>
      </c>
      <c r="G28" s="10" t="n">
        <v>16</v>
      </c>
      <c r="H28" s="7">
        <f>ROUNDUP(F28/G28, 0)</f>
        <v/>
      </c>
      <c r="I28" s="10" t="inlineStr">
        <is>
          <t>2026-12-26</t>
        </is>
      </c>
      <c r="J28" s="10" t="inlineStr">
        <is>
          <t>2027-01-15</t>
        </is>
      </c>
      <c r="K28" s="10" t="inlineStr">
        <is>
          <t>4.1FS</t>
        </is>
      </c>
      <c r="L28" s="10" t="inlineStr">
        <is>
          <t>NO</t>
        </is>
      </c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45" t="n"/>
      <c r="Y28" s="45" t="n"/>
      <c r="Z28" s="45" t="n"/>
      <c r="AA28" s="4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</row>
    <row r="29" ht="20" customHeight="1">
      <c r="A29" s="7" t="inlineStr">
        <is>
          <t>4.3</t>
        </is>
      </c>
      <c r="B29" s="8" t="inlineStr">
        <is>
          <t>Căng kéo cáp DUL tao xoắn 15.2mm &amp; bơm vữa ống gen dầm</t>
        </is>
      </c>
      <c r="C29" s="9" t="n">
        <v>15</v>
      </c>
      <c r="D29" s="10" t="inlineStr">
        <is>
          <t>Phiến</t>
        </is>
      </c>
      <c r="E29" s="9" t="n">
        <v>4</v>
      </c>
      <c r="F29" s="42">
        <f>C29*E29</f>
        <v/>
      </c>
      <c r="G29" s="10" t="n">
        <v>8</v>
      </c>
      <c r="H29" s="7">
        <f>ROUNDUP(F29/G29, 0)</f>
        <v/>
      </c>
      <c r="I29" s="10" t="inlineStr">
        <is>
          <t>2027-01-16</t>
        </is>
      </c>
      <c r="J29" s="10" t="inlineStr">
        <is>
          <t>2027-01-25</t>
        </is>
      </c>
      <c r="K29" s="10" t="inlineStr">
        <is>
          <t>4.2FS</t>
        </is>
      </c>
      <c r="L29" s="43" t="inlineStr">
        <is>
          <t>YES</t>
        </is>
      </c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44" t="n"/>
      <c r="AB29" s="44" t="n"/>
      <c r="AC29" s="15" t="n"/>
      <c r="AD29" s="15" t="n"/>
      <c r="AE29" s="15" t="n"/>
      <c r="AF29" s="15" t="n"/>
      <c r="AG29" s="15" t="n"/>
      <c r="AH29" s="15" t="n"/>
      <c r="AI29" s="15" t="n"/>
      <c r="AJ29" s="15" t="n"/>
    </row>
    <row r="30" ht="20" customHeight="1">
      <c r="A30" s="7" t="inlineStr">
        <is>
          <t>4.4</t>
        </is>
      </c>
      <c r="B30" s="8" t="inlineStr">
        <is>
          <t>Lắp đặt 30 gối chậu cao su đơn/song hướng mố trụ</t>
        </is>
      </c>
      <c r="C30" s="9" t="n">
        <v>30</v>
      </c>
      <c r="D30" s="10" t="inlineStr">
        <is>
          <t>Cái</t>
        </is>
      </c>
      <c r="E30" s="9" t="n">
        <v>1.2</v>
      </c>
      <c r="F30" s="42">
        <f>C30*E30</f>
        <v/>
      </c>
      <c r="G30" s="10" t="n">
        <v>6</v>
      </c>
      <c r="H30" s="7">
        <f>ROUNDUP(F30/G30, 0)</f>
        <v/>
      </c>
      <c r="I30" s="10" t="inlineStr">
        <is>
          <t>2027-01-31</t>
        </is>
      </c>
      <c r="J30" s="10" t="inlineStr">
        <is>
          <t>2027-02-04</t>
        </is>
      </c>
      <c r="K30" s="10" t="inlineStr">
        <is>
          <t>3.6FS</t>
        </is>
      </c>
      <c r="L30" s="43" t="inlineStr">
        <is>
          <t>YES</t>
        </is>
      </c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44" t="n"/>
      <c r="AD30" s="44" t="n"/>
      <c r="AE30" s="15" t="n"/>
      <c r="AF30" s="15" t="n"/>
      <c r="AG30" s="15" t="n"/>
      <c r="AH30" s="15" t="n"/>
      <c r="AI30" s="15" t="n"/>
      <c r="AJ30" s="15" t="n"/>
    </row>
    <row r="31" ht="20" customHeight="1">
      <c r="A31" s="7" t="inlineStr">
        <is>
          <t>4.5</t>
        </is>
      </c>
      <c r="B31" s="8" t="inlineStr">
        <is>
          <t>Lắp đặt đường ray P43, vận chuyển &amp; lao lắp 15 phiến dầm Super-T</t>
        </is>
      </c>
      <c r="C31" s="9" t="n">
        <v>15</v>
      </c>
      <c r="D31" s="10" t="inlineStr">
        <is>
          <t>Phiến</t>
        </is>
      </c>
      <c r="E31" s="9" t="n">
        <v>5</v>
      </c>
      <c r="F31" s="42">
        <f>C31*E31</f>
        <v/>
      </c>
      <c r="G31" s="10" t="n">
        <v>12</v>
      </c>
      <c r="H31" s="7">
        <f>ROUNDUP(F31/G31, 0)</f>
        <v/>
      </c>
      <c r="I31" s="10" t="inlineStr">
        <is>
          <t>2027-02-05</t>
        </is>
      </c>
      <c r="J31" s="10" t="inlineStr">
        <is>
          <t>2027-02-14</t>
        </is>
      </c>
      <c r="K31" s="10" t="inlineStr">
        <is>
          <t>4.3FS,4.4FS</t>
        </is>
      </c>
      <c r="L31" s="43" t="inlineStr">
        <is>
          <t>YES</t>
        </is>
      </c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44" t="n"/>
      <c r="AE31" s="44" t="n"/>
      <c r="AF31" s="15" t="n"/>
      <c r="AG31" s="15" t="n"/>
      <c r="AH31" s="15" t="n"/>
      <c r="AI31" s="15" t="n"/>
      <c r="AJ31" s="15" t="n"/>
    </row>
    <row r="32" ht="24" customHeight="1">
      <c r="A32" s="13" t="inlineStr">
        <is>
          <t>5.0</t>
        </is>
      </c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41" t="n"/>
      <c r="AF32" s="41" t="n"/>
      <c r="AG32" s="41" t="n"/>
      <c r="AH32" s="41" t="n"/>
      <c r="AI32" s="41" t="n"/>
      <c r="AJ32" s="15" t="n"/>
    </row>
    <row r="33" ht="20" customHeight="1">
      <c r="A33" s="7" t="inlineStr">
        <is>
          <t>5.1</t>
        </is>
      </c>
      <c r="B33" s="8" t="inlineStr">
        <is>
          <t>Đổ bê tông dầm ngang mố, dầm ngang trụ và bản liên tục nhiệt C35</t>
        </is>
      </c>
      <c r="C33" s="9">
        <f>QS_DIEN_GIAI_CHI_TIET!J68</f>
        <v/>
      </c>
      <c r="D33" s="10" t="inlineStr">
        <is>
          <t>m3</t>
        </is>
      </c>
      <c r="E33" s="9" t="n">
        <v>0.85</v>
      </c>
      <c r="F33" s="42">
        <f>C33*E33</f>
        <v/>
      </c>
      <c r="G33" s="10" t="n">
        <v>12</v>
      </c>
      <c r="H33" s="7">
        <f>ROUNDUP(F33/G33, 0)</f>
        <v/>
      </c>
      <c r="I33" s="10" t="inlineStr">
        <is>
          <t>2027-02-15</t>
        </is>
      </c>
      <c r="J33" s="10" t="inlineStr">
        <is>
          <t>2027-02-19</t>
        </is>
      </c>
      <c r="K33" s="10" t="inlineStr">
        <is>
          <t>4.5FS</t>
        </is>
      </c>
      <c r="L33" s="43" t="inlineStr">
        <is>
          <t>YES</t>
        </is>
      </c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44" t="n"/>
      <c r="AF33" s="44" t="n"/>
      <c r="AG33" s="15" t="n"/>
      <c r="AH33" s="15" t="n"/>
      <c r="AI33" s="15" t="n"/>
      <c r="AJ33" s="15" t="n"/>
    </row>
    <row r="34" ht="20" customHeight="1">
      <c r="A34" s="7" t="inlineStr">
        <is>
          <t>5.2</t>
        </is>
      </c>
      <c r="B34" s="8" t="inlineStr">
        <is>
          <t>Lắp đặt 510 tấm ván khuôn đúc sẵn &amp; lắp cốt thép bản mặt cầu C35</t>
        </is>
      </c>
      <c r="C34" s="9">
        <f>QS_DIEN_GIAI_CHI_TIET!J72</f>
        <v/>
      </c>
      <c r="D34" s="10" t="inlineStr">
        <is>
          <t>Tấm</t>
        </is>
      </c>
      <c r="E34" s="9" t="n">
        <v>0.08</v>
      </c>
      <c r="F34" s="42">
        <f>C34*E34</f>
        <v/>
      </c>
      <c r="G34" s="10" t="n">
        <v>14</v>
      </c>
      <c r="H34" s="7">
        <f>ROUNDUP(F34/G34, 0)</f>
        <v/>
      </c>
      <c r="I34" s="10" t="inlineStr">
        <is>
          <t>2027-02-20</t>
        </is>
      </c>
      <c r="J34" s="10" t="inlineStr">
        <is>
          <t>2027-02-24</t>
        </is>
      </c>
      <c r="K34" s="10" t="inlineStr">
        <is>
          <t>5.1FS</t>
        </is>
      </c>
      <c r="L34" s="43" t="inlineStr">
        <is>
          <t>YES</t>
        </is>
      </c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44" t="n"/>
      <c r="AG34" s="15" t="n"/>
      <c r="AH34" s="15" t="n"/>
      <c r="AI34" s="15" t="n"/>
      <c r="AJ34" s="15" t="n"/>
    </row>
    <row r="35" ht="20" customHeight="1">
      <c r="A35" s="7" t="inlineStr">
        <is>
          <t>5.3</t>
        </is>
      </c>
      <c r="B35" s="8" t="inlineStr">
        <is>
          <t>Đổ bê tông bản mặt cầu tại chỗ C35 (dày tối thiểu 180mm)</t>
        </is>
      </c>
      <c r="C35" s="9">
        <f>QS_DIEN_GIAI_CHI_TIET!J74</f>
        <v/>
      </c>
      <c r="D35" s="10" t="inlineStr">
        <is>
          <t>m3</t>
        </is>
      </c>
      <c r="E35" s="9" t="n">
        <v>0.45</v>
      </c>
      <c r="F35" s="42">
        <f>C35*E35</f>
        <v/>
      </c>
      <c r="G35" s="10" t="n">
        <v>18</v>
      </c>
      <c r="H35" s="7">
        <f>ROUNDUP(F35/G35, 0)</f>
        <v/>
      </c>
      <c r="I35" s="10" t="inlineStr">
        <is>
          <t>2027-02-25</t>
        </is>
      </c>
      <c r="J35" s="10" t="inlineStr">
        <is>
          <t>2027-03-02</t>
        </is>
      </c>
      <c r="K35" s="10" t="inlineStr">
        <is>
          <t>5.2FS</t>
        </is>
      </c>
      <c r="L35" s="43" t="inlineStr">
        <is>
          <t>YES</t>
        </is>
      </c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44" t="n"/>
      <c r="AH35" s="15" t="n"/>
      <c r="AI35" s="15" t="n"/>
      <c r="AJ35" s="15" t="n"/>
    </row>
    <row r="36" ht="20" customHeight="1">
      <c r="A36" s="7" t="inlineStr">
        <is>
          <t>5.4</t>
        </is>
      </c>
      <c r="B36" s="8" t="inlineStr">
        <is>
          <t>Đổ bê tông bản quá độ C25 sau 2 mố &amp; đắp đất chọn lọc K98</t>
        </is>
      </c>
      <c r="C36" s="9" t="n">
        <v>2</v>
      </c>
      <c r="D36" s="10" t="inlineStr">
        <is>
          <t>Bản</t>
        </is>
      </c>
      <c r="E36" s="9" t="n">
        <v>24</v>
      </c>
      <c r="F36" s="42">
        <f>C36*E36</f>
        <v/>
      </c>
      <c r="G36" s="10" t="n">
        <v>10</v>
      </c>
      <c r="H36" s="7">
        <f>ROUNDUP(F36/G36, 0)</f>
        <v/>
      </c>
      <c r="I36" s="10" t="inlineStr">
        <is>
          <t>2027-03-01</t>
        </is>
      </c>
      <c r="J36" s="10" t="inlineStr">
        <is>
          <t>2027-03-06</t>
        </is>
      </c>
      <c r="K36" s="10" t="inlineStr">
        <is>
          <t>5.1FS</t>
        </is>
      </c>
      <c r="L36" s="10" t="inlineStr">
        <is>
          <t>NO</t>
        </is>
      </c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45" t="n"/>
      <c r="AH36" s="45" t="n"/>
      <c r="AI36" s="15" t="n"/>
      <c r="AJ36" s="15" t="n"/>
    </row>
    <row r="37" ht="20" customHeight="1">
      <c r="A37" s="7" t="inlineStr">
        <is>
          <t>5.5</t>
        </is>
      </c>
      <c r="B37" s="8" t="inlineStr">
        <is>
          <t>Lắp đặt khe co giãn răng lược thép D=100mm &amp; ống thoát nước PVC D150</t>
        </is>
      </c>
      <c r="C37" s="9" t="n">
        <v>2</v>
      </c>
      <c r="D37" s="10" t="inlineStr">
        <is>
          <t>Bộ</t>
        </is>
      </c>
      <c r="E37" s="9" t="n">
        <v>18</v>
      </c>
      <c r="F37" s="42">
        <f>C37*E37</f>
        <v/>
      </c>
      <c r="G37" s="10" t="n">
        <v>6</v>
      </c>
      <c r="H37" s="7">
        <f>ROUNDUP(F37/G37, 0)</f>
        <v/>
      </c>
      <c r="I37" s="10" t="inlineStr">
        <is>
          <t>2027-03-07</t>
        </is>
      </c>
      <c r="J37" s="10" t="inlineStr">
        <is>
          <t>2027-03-12</t>
        </is>
      </c>
      <c r="K37" s="10" t="inlineStr">
        <is>
          <t>5.3FS</t>
        </is>
      </c>
      <c r="L37" s="43" t="inlineStr">
        <is>
          <t>YES</t>
        </is>
      </c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44" t="n"/>
      <c r="AI37" s="44" t="n"/>
      <c r="AJ37" s="15" t="n"/>
    </row>
    <row r="38" ht="20" customHeight="1">
      <c r="A38" s="7" t="inlineStr">
        <is>
          <t>5.6</t>
        </is>
      </c>
      <c r="B38" s="8" t="inlineStr">
        <is>
          <t>Đổ bê tông gờ lan can C25 &amp; lắp dựng tay vịn thép mạ kẽm</t>
        </is>
      </c>
      <c r="C38" s="9" t="n">
        <v>260.8</v>
      </c>
      <c r="D38" s="10" t="inlineStr">
        <is>
          <t>m</t>
        </is>
      </c>
      <c r="E38" s="9" t="n">
        <v>0.35</v>
      </c>
      <c r="F38" s="42">
        <f>C38*E38</f>
        <v/>
      </c>
      <c r="G38" s="10" t="n">
        <v>10</v>
      </c>
      <c r="H38" s="7">
        <f>ROUNDUP(F38/G38, 0)</f>
        <v/>
      </c>
      <c r="I38" s="10" t="inlineStr">
        <is>
          <t>2027-03-08</t>
        </is>
      </c>
      <c r="J38" s="10" t="inlineStr">
        <is>
          <t>2027-03-15</t>
        </is>
      </c>
      <c r="K38" s="10" t="inlineStr">
        <is>
          <t>5.3FS</t>
        </is>
      </c>
      <c r="L38" s="10" t="inlineStr">
        <is>
          <t>NO</t>
        </is>
      </c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45" t="n"/>
      <c r="AI38" s="45" t="n"/>
      <c r="AJ38" s="15" t="n"/>
    </row>
    <row r="39" ht="20" customHeight="1">
      <c r="A39" s="7" t="inlineStr">
        <is>
          <t>5.7</t>
        </is>
      </c>
      <c r="B39" s="8" t="inlineStr">
        <is>
          <t>Phun lớp màng chống thấm &amp; thảm bê tông nhựa C16 mặt cầu dày 7cm</t>
        </is>
      </c>
      <c r="C39" s="9">
        <f>QS_DIEN_GIAI_CHI_TIET!J87</f>
        <v/>
      </c>
      <c r="D39" s="10" t="inlineStr">
        <is>
          <t>m2</t>
        </is>
      </c>
      <c r="E39" s="9" t="n">
        <v>0.04</v>
      </c>
      <c r="F39" s="42">
        <f>C39*E39</f>
        <v/>
      </c>
      <c r="G39" s="10" t="n">
        <v>12</v>
      </c>
      <c r="H39" s="7">
        <f>ROUNDUP(F39/G39, 0)</f>
        <v/>
      </c>
      <c r="I39" s="10" t="inlineStr">
        <is>
          <t>2027-03-16</t>
        </is>
      </c>
      <c r="J39" s="10" t="inlineStr">
        <is>
          <t>2027-03-19</t>
        </is>
      </c>
      <c r="K39" s="10" t="inlineStr">
        <is>
          <t>5.5FS</t>
        </is>
      </c>
      <c r="L39" s="43" t="inlineStr">
        <is>
          <t>YES</t>
        </is>
      </c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44" t="n"/>
      <c r="AJ39" s="44" t="n"/>
    </row>
    <row r="40" ht="24" customHeight="1">
      <c r="A40" s="13" t="inlineStr">
        <is>
          <t>6.0</t>
        </is>
      </c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41" t="n"/>
    </row>
    <row r="41" ht="20" customHeight="1">
      <c r="A41" s="7" t="inlineStr">
        <is>
          <t>6.1</t>
        </is>
      </c>
      <c r="B41" s="8" t="inlineStr">
        <is>
          <t>Thử tải tĩnh/động cầu bằng đoàn xe tải nặng, đo dao động &amp; võng dầm</t>
        </is>
      </c>
      <c r="C41" s="9" t="n">
        <v>1</v>
      </c>
      <c r="D41" s="10" t="inlineStr">
        <is>
          <t>Gói</t>
        </is>
      </c>
      <c r="E41" s="9" t="n">
        <v>32</v>
      </c>
      <c r="F41" s="42">
        <f>C41*E41</f>
        <v/>
      </c>
      <c r="G41" s="10" t="n">
        <v>8</v>
      </c>
      <c r="H41" s="7">
        <f>ROUNDUP(F41/G41, 0)</f>
        <v/>
      </c>
      <c r="I41" s="10" t="inlineStr">
        <is>
          <t>2027-03-20</t>
        </is>
      </c>
      <c r="J41" s="10" t="inlineStr">
        <is>
          <t>2027-03-24</t>
        </is>
      </c>
      <c r="K41" s="10" t="inlineStr">
        <is>
          <t>5.7FS</t>
        </is>
      </c>
      <c r="L41" s="43" t="inlineStr">
        <is>
          <t>YES</t>
        </is>
      </c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44" t="n"/>
    </row>
    <row r="42" ht="20" customHeight="1">
      <c r="A42" s="7" t="inlineStr">
        <is>
          <t>6.2</t>
        </is>
      </c>
      <c r="B42" s="8" t="inlineStr">
        <is>
          <t>Hoàn thiện hồ sơ hoàn công, nghiệm thu bàn giao đưa vào khai thác</t>
        </is>
      </c>
      <c r="C42" s="9" t="n">
        <v>1</v>
      </c>
      <c r="D42" s="10" t="inlineStr">
        <is>
          <t>Gói</t>
        </is>
      </c>
      <c r="E42" s="9" t="n">
        <v>24</v>
      </c>
      <c r="F42" s="42">
        <f>C42*E42</f>
        <v/>
      </c>
      <c r="G42" s="10" t="n">
        <v>6</v>
      </c>
      <c r="H42" s="7">
        <f>ROUNDUP(F42/G42, 0)</f>
        <v/>
      </c>
      <c r="I42" s="10" t="inlineStr">
        <is>
          <t>2027-03-25</t>
        </is>
      </c>
      <c r="J42" s="10" t="inlineStr">
        <is>
          <t>2027-03-28</t>
        </is>
      </c>
      <c r="K42" s="10" t="inlineStr">
        <is>
          <t>6.1FS</t>
        </is>
      </c>
      <c r="L42" s="43" t="inlineStr">
        <is>
          <t>YES</t>
        </is>
      </c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44" t="n"/>
    </row>
  </sheetData>
  <mergeCells count="24">
    <mergeCell ref="E5:E6"/>
    <mergeCell ref="A7:L7"/>
    <mergeCell ref="F5:F6"/>
    <mergeCell ref="U5:X5"/>
    <mergeCell ref="A12:L12"/>
    <mergeCell ref="L5:L6"/>
    <mergeCell ref="A26:L26"/>
    <mergeCell ref="AG5:AJ5"/>
    <mergeCell ref="A32:L32"/>
    <mergeCell ref="I5:I6"/>
    <mergeCell ref="A5:A6"/>
    <mergeCell ref="G5:G6"/>
    <mergeCell ref="M5:P5"/>
    <mergeCell ref="A19:L19"/>
    <mergeCell ref="A40:L40"/>
    <mergeCell ref="Q5:T5"/>
    <mergeCell ref="Y5:AB5"/>
    <mergeCell ref="B5:B6"/>
    <mergeCell ref="D5:D6"/>
    <mergeCell ref="AC5:AF5"/>
    <mergeCell ref="H5:H6"/>
    <mergeCell ref="J5:J6"/>
    <mergeCell ref="K5:K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2026-10-07T04:47:27Z</dcterms:created>
  <dcterms:modified xmlns:dcterms="http://purl.org/dc/terms/" xmlns:xsi="http://www.w3.org/2001/XMLSchema-instance" xsi:type="dcterms:W3CDTF">2026-10-07T04:47:28Z</dcterms:modified>
</cp:coreProperties>
</file>