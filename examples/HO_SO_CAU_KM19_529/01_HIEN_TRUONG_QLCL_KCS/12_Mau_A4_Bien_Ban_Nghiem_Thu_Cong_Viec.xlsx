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U_BIEN_BAN_KCS" sheetId="1" state="visible" r:id="rId1"/>
    <sheet xmlns:r="http://schemas.openxmlformats.org/officeDocument/2006/relationships" name="HOSO_KCS_NGHIEM_TH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Times New Roman"/>
      <b val="1"/>
      <sz val="9"/>
    </font>
    <font>
      <name val="Times New Roman"/>
      <b val="1"/>
      <color rgb="00C00000"/>
      <sz val="12"/>
    </font>
    <font>
      <name val="Times New Roman"/>
      <i val="1"/>
      <sz val="9"/>
    </font>
    <font>
      <name val="Times New Roman"/>
      <b val="1"/>
      <sz val="11"/>
    </font>
    <font>
      <name val="Times New Roman"/>
      <b val="1"/>
      <sz val="10"/>
    </font>
    <font>
      <name val="Times New Roman"/>
      <b val="1"/>
      <color rgb="001F497D"/>
      <sz val="13"/>
    </font>
    <font>
      <name val="Times New Roman"/>
      <i val="1"/>
      <sz val="10"/>
    </font>
    <font>
      <name val="Times New Roman"/>
      <b val="1"/>
      <color rgb="001F497D"/>
      <sz val="11"/>
    </font>
    <font>
      <name val="Times New Roman"/>
      <sz val="9"/>
    </font>
    <font>
      <name val="Times New Roman"/>
      <b val="1"/>
      <color rgb="00006100"/>
      <sz val="10"/>
    </font>
    <font>
      <name val="Times New Roman"/>
      <b val="1"/>
      <color rgb="001F497D"/>
      <sz val="10"/>
    </font>
    <font>
      <name val="Times New Roman"/>
      <i val="1"/>
      <color rgb="00595959"/>
      <sz val="10"/>
    </font>
    <font>
      <name val="Times New Roman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1F497D"/>
        <bgColor rgb="001F497D"/>
      </patternFill>
    </fill>
  </fills>
  <borders count="3">
    <border>
      <left/>
      <right/>
      <top/>
      <bottom/>
      <diagonal/>
    </border>
    <border>
      <left style="medium">
        <color rgb="001F497D"/>
      </left>
      <right style="medium">
        <color rgb="001F497D"/>
      </right>
      <top style="medium">
        <color rgb="001F497D"/>
      </top>
      <bottom style="medium">
        <color rgb="001F497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3" borderId="2" applyAlignment="1" pivotButton="0" quotePrefix="0" xfId="0">
      <alignment horizontal="center" vertical="center" wrapText="1"/>
    </xf>
    <xf numFmtId="1" fontId="0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center"/>
    </xf>
    <xf numFmtId="4" fontId="0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/>
    <row r="2">
      <c r="B2" s="1" t="inlineStr">
        <is>
          <t>CHỌN SỐ BIÊN BẢN (1 - 22):</t>
        </is>
      </c>
      <c r="C2" s="2" t="n">
        <v>14</v>
      </c>
      <c r="D2" s="3" t="inlineStr">
        <is>
          <t>(Nhập số thứ tự từ 1 đến 22 để tự động nhảy toàn bộ nội dung biên bản A4)</t>
        </is>
      </c>
    </row>
    <row r="3"/>
    <row r="4">
      <c r="B4" s="4" t="inlineStr">
        <is>
          <t>CỘNG HÒA XÃ HỘI CHỦ NGHĨA VIỆT NAM</t>
        </is>
      </c>
    </row>
    <row r="5">
      <c r="B5" s="5" t="inlineStr">
        <is>
          <t>Độc lập - Tự do - Hạnh phúc</t>
        </is>
      </c>
    </row>
    <row r="6">
      <c r="B6" s="6" t="inlineStr">
        <is>
          <t>-------------------------</t>
        </is>
      </c>
    </row>
    <row r="7"/>
    <row r="8">
      <c r="B8" s="7" t="inlineStr">
        <is>
          <t>BIÊN BẢN NGHIỆM THU CÔNG VIỆC XÂY DỰNG</t>
        </is>
      </c>
    </row>
    <row r="9">
      <c r="B9" s="8">
        <f>"Số: " &amp; TEXT(C2, "00") &amp; "/BBNT-XD/KM19+529.080"</f>
        <v/>
      </c>
    </row>
    <row r="10"/>
    <row r="11">
      <c r="B11" s="3" t="inlineStr">
        <is>
          <t>Căn cứ Luật Xây dựng số 135/2025/QH15;</t>
        </is>
      </c>
    </row>
    <row r="12">
      <c r="B12" s="3" t="inlineStr">
        <is>
          <t>Căn cứ Nghị định số 207/2026/NĐ-CP ngày 15/01/2026 của Chính phủ về quản lý chất lượng công trình;</t>
        </is>
      </c>
    </row>
    <row r="13">
      <c r="B13" s="3" t="inlineStr">
        <is>
          <t>Căn cứ Hợp đồng thi công xây dựng số 09/2026/HĐ-XL gói thầu xây lắp Cầu Km19+529.080;</t>
        </is>
      </c>
    </row>
    <row r="14">
      <c r="B14" s="3" t="inlineStr">
        <is>
          <t>Căn cứ Hồ sơ thiết kế bản vẽ thi công và Chỉ dẫn kỹ thuật được phê duyệt.</t>
        </is>
      </c>
    </row>
    <row r="15"/>
    <row r="16">
      <c r="B16" s="1" t="inlineStr">
        <is>
          <t>1. Tên công trình / Dự án:</t>
        </is>
      </c>
      <c r="C16" t="inlineStr">
        <is>
          <t>Dự án đầu tư xây dựng đường cao tốc Tuyên Quang - Hà Giang (Giai đoạn 1)</t>
        </is>
      </c>
    </row>
    <row r="17">
      <c r="B17" s="1" t="inlineStr">
        <is>
          <t>2. Hạng mục công trình:</t>
        </is>
      </c>
      <c r="C17" t="inlineStr">
        <is>
          <t>CẦU KM19+529.080 (Sơ đồ nhịp 3x39.1m Super-T)</t>
        </is>
      </c>
    </row>
    <row r="18">
      <c r="B18" s="1" t="inlineStr">
        <is>
          <t>3. Địa điểm xây dựng:</t>
        </is>
      </c>
      <c r="C18" t="inlineStr">
        <is>
          <t>Km19+529.080, Tỉnh Hà Giang</t>
        </is>
      </c>
    </row>
    <row r="19">
      <c r="B19" s="1" t="inlineStr">
        <is>
          <t>4. Đối tượng nghiệm thu:</t>
        </is>
      </c>
      <c r="C19" s="9">
        <f>IFERROR(VLOOKUP(C2, HOSO_KCS_NGHIEM_THU!$A$6:$H$27, 3, FALSE), VLOOKUP(TEXT(C2, "@"), HOSO_KCS_NGHIEM_THU!$A$6:$H$27, 3, FALSE))</f>
        <v/>
      </c>
    </row>
    <row r="20">
      <c r="B20" s="1" t="inlineStr">
        <is>
          <t>5. Khối lượng nghiệm thu:</t>
        </is>
      </c>
      <c r="C20" s="1">
        <f>TEXT(IFERROR(VLOOKUP(C2, HOSO_KCS_NGHIEM_THU!$A$6:$H$27, 4, FALSE), VLOOKUP(TEXT(C2, "@"), HOSO_KCS_NGHIEM_THU!$A$6:$H$27, 4, FALSE)), "#,##0.00") &amp; " " &amp; IFERROR(VLOOKUP(C2, HOSO_KCS_NGHIEM_THU!$A$6:$H$27, 5, FALSE), VLOOKUP(TEXT(C2, "@"), HOSO_KCS_NGHIEM_THU!$A$6:$H$27, 5, FALSE))</f>
        <v/>
      </c>
    </row>
    <row r="21">
      <c r="B21" s="1" t="inlineStr">
        <is>
          <t>6. Tiêu chuẩn kỹ thuật áp dụng:</t>
        </is>
      </c>
      <c r="C21" s="10">
        <f>IFERROR(VLOOKUP(C2, HOSO_KCS_NGHIEM_THU!$A$6:$H$27, 6, FALSE), VLOOKUP(TEXT(C2, "@"), HOSO_KCS_NGHIEM_THU!$A$6:$H$27, 6, FALSE))</f>
        <v/>
      </c>
    </row>
    <row r="22">
      <c r="B22" s="1" t="inlineStr">
        <is>
          <t>7. Thời gian nghiệm thu:</t>
        </is>
      </c>
      <c r="C22" s="10">
        <f>"Bắt đầu: 08 giờ 30 phút - Kết thúc: 11 giờ 30 phút, ngày " &amp; TEXT(IFERROR(VLOOKUP(C2, HOSO_KCS_NGHIEM_THU!$A$6:$H$27, 8, FALSE), VLOOKUP(TEXT(C2, "@"), HOSO_KCS_NGHIEM_THU!$A$6:$H$27, 8, FALSE)), "dd/mm/yyyy")</f>
        <v/>
      </c>
    </row>
    <row r="23"/>
    <row r="24">
      <c r="B24" s="1" t="inlineStr">
        <is>
          <t>8. Thành phần trực tiếp nghiệm thu:</t>
        </is>
      </c>
    </row>
    <row r="25">
      <c r="B25" s="1" t="inlineStr">
        <is>
          <t>a) Đại diện Tư vấn giám sát (TVGS):</t>
        </is>
      </c>
      <c r="C25" t="inlineStr">
        <is>
          <t>- Ông: Nguyễn Văn Thắng     - Chức vụ: Kỹ sư Giám sát trưởng</t>
        </is>
      </c>
    </row>
    <row r="26">
      <c r="B26" s="1" t="inlineStr">
        <is>
          <t>b) Đại diện Nhà thầu thi công:</t>
        </is>
      </c>
      <c r="C26" t="inlineStr">
        <is>
          <t>- Ông: Trần Đình Hoàng      - Chức vụ: Chỉ huy trưởng công trường</t>
        </is>
      </c>
    </row>
    <row r="27">
      <c r="C27" t="inlineStr">
        <is>
          <t>- Ông: Lê Văn Dũng          - Chức vụ: Kỹ sư QA/QC hiện trường</t>
        </is>
      </c>
    </row>
    <row r="28"/>
    <row r="29">
      <c r="B29" s="1" t="inlineStr">
        <is>
          <t>9. Đánh giá kết quả công việc đã thực hiện:</t>
        </is>
      </c>
    </row>
    <row r="30">
      <c r="B30" s="10" t="inlineStr">
        <is>
          <t>- Về kích thước hình học, cao độ, tim mốc: Đạt yêu cầu theo hồ sơ thiết kế bản vẽ thi công.</t>
        </is>
      </c>
    </row>
    <row r="31">
      <c r="B31" s="10" t="inlineStr">
        <is>
          <t>- Về chất lượng vật liệu, chứng chỉ xuất xưởng, kết quả thí nghiệm KCS: Đạt yêu cầu theo tiêu chuẩn áp dụng.</t>
        </is>
      </c>
    </row>
    <row r="32">
      <c r="B32" s="10" t="inlineStr">
        <is>
          <t>- Về an toàn lao động, vệ sinh môi trường: Tuân thủ đầy đủ biện pháp thi công được duyệt.</t>
        </is>
      </c>
    </row>
    <row r="33"/>
    <row r="34">
      <c r="B34" s="1" t="inlineStr">
        <is>
          <t>10. Kết luận nghiệm thu:</t>
        </is>
      </c>
    </row>
    <row r="35">
      <c r="B35" s="11" t="inlineStr">
        <is>
          <t>CHẤP THUẬN NGHIỆM THU CÔNG VIỆC XÂY DỰNG. ĐỒNG Ý CHO PHÉP TRIỂN KHAI BƯỚC THI CÔNG TIẾP THEO.</t>
        </is>
      </c>
    </row>
    <row r="36"/>
    <row r="37"/>
    <row r="38">
      <c r="B38" s="12" t="inlineStr">
        <is>
          <t>ĐẠI DIỆN NHÀ THẦU THI CÔNG</t>
        </is>
      </c>
      <c r="E38" s="12" t="inlineStr">
        <is>
          <t>ĐẠI DIỆN TƯ VẤN GIÁM SÁT</t>
        </is>
      </c>
    </row>
    <row r="39">
      <c r="B39" s="13" t="inlineStr">
        <is>
          <t>(Ký, ghi rõ họ tên &amp; đóng dấu)</t>
        </is>
      </c>
      <c r="E39" s="13" t="inlineStr">
        <is>
          <t>(Ký, ghi rõ họ tên)</t>
        </is>
      </c>
    </row>
    <row r="40"/>
    <row r="41"/>
    <row r="42"/>
    <row r="43"/>
    <row r="44">
      <c r="B44" s="12" t="inlineStr">
        <is>
          <t>Trần Đình Hoàng</t>
        </is>
      </c>
      <c r="E44" s="12" t="inlineStr">
        <is>
          <t>Nguyễn Văn Thắng</t>
        </is>
      </c>
    </row>
  </sheetData>
  <mergeCells count="25">
    <mergeCell ref="B8:G8"/>
    <mergeCell ref="B44:D44"/>
    <mergeCell ref="B38:D38"/>
    <mergeCell ref="C26:G26"/>
    <mergeCell ref="C20:G20"/>
    <mergeCell ref="C16:G16"/>
    <mergeCell ref="B9:G9"/>
    <mergeCell ref="C25:G25"/>
    <mergeCell ref="C22:G22"/>
    <mergeCell ref="B30:G30"/>
    <mergeCell ref="B6:G6"/>
    <mergeCell ref="C21:G21"/>
    <mergeCell ref="B5:G5"/>
    <mergeCell ref="C27:G27"/>
    <mergeCell ref="B4:G4"/>
    <mergeCell ref="B32:G32"/>
    <mergeCell ref="B35:G35"/>
    <mergeCell ref="C17:G17"/>
    <mergeCell ref="B31:G31"/>
    <mergeCell ref="E39:G39"/>
    <mergeCell ref="C19:G19"/>
    <mergeCell ref="E44:G44"/>
    <mergeCell ref="B39:D39"/>
    <mergeCell ref="C18:G18"/>
    <mergeCell ref="E38:G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8" customWidth="1" min="3" max="3"/>
    <col width="15" customWidth="1" min="4" max="4"/>
    <col width="8" customWidth="1" min="5" max="5"/>
    <col width="25" customWidth="1" min="6" max="6"/>
    <col width="45" customWidth="1" min="7" max="7"/>
  </cols>
  <sheetData>
    <row r="1"/>
    <row r="2">
      <c r="B2" s="14" t="inlineStr">
        <is>
          <t>DỰ ÁN: CAO TỐC TUYÊN QUANG - HÀ GIANG (GIAI ĐOẠN 1) - ĐOẠN QUA TỈNH HÀ GIANG</t>
        </is>
      </c>
    </row>
    <row r="3">
      <c r="B3" s="15" t="inlineStr">
        <is>
          <t>DANH MỤC HỒ SƠ QUẢN LÝ CHẤT LƯỢNG &amp; BIÊN BẢN NGHIỆM THU KCS - CẦU KM19+529.080</t>
        </is>
      </c>
    </row>
    <row r="4">
      <c r="B4" s="16" t="inlineStr">
        <is>
          <t>Tuân thủ Luật Xây dựng số 135/2025/QH15 &amp; Nghị định 207/2026/NĐ-CP (Khối lượng link trực tiếp từ Sheet QS)</t>
        </is>
      </c>
    </row>
    <row r="5" ht="28" customHeight="1">
      <c r="A5" s="17" t="inlineStr">
        <is>
          <t>STT</t>
        </is>
      </c>
      <c r="B5" s="17" t="inlineStr">
        <is>
          <t>Số hiệu biên bản</t>
        </is>
      </c>
      <c r="C5" s="17" t="inlineStr">
        <is>
          <t>Tên công việc / Giai đoạn nghiệm thu KCS</t>
        </is>
      </c>
      <c r="D5" s="17" t="inlineStr">
        <is>
          <t>Khối lượng nghiệm thu</t>
        </is>
      </c>
      <c r="E5" s="17" t="inlineStr">
        <is>
          <t>ĐVT</t>
        </is>
      </c>
      <c r="F5" s="17" t="inlineStr">
        <is>
          <t>Căn cứ quy chuẩn / Tiêu chuẩn áp dụng</t>
        </is>
      </c>
      <c r="G5" s="17" t="inlineStr">
        <is>
          <t>Chỉ tiêu thí nghiệm &amp; Điểm kiểm soát (Hold Points)</t>
        </is>
      </c>
      <c r="H5" s="5" t="inlineStr">
        <is>
          <t>Ngày nghiệm thu hoàn thành</t>
        </is>
      </c>
    </row>
    <row r="6" ht="20" customHeight="1">
      <c r="A6" s="18" t="n">
        <v>1</v>
      </c>
      <c r="B6" s="19" t="inlineStr">
        <is>
          <t>BBNT-01</t>
        </is>
      </c>
      <c r="C6" s="20" t="inlineStr">
        <is>
          <t>Bàn giao tim mốc VN2000, cao độ Hòn Dấu &amp; tim mốc cầu Km19+529.080</t>
        </is>
      </c>
      <c r="D6" s="21" t="n">
        <v>1</v>
      </c>
      <c r="E6" s="22" t="inlineStr">
        <is>
          <t>Điểm</t>
        </is>
      </c>
      <c r="F6" s="23" t="inlineStr">
        <is>
          <t>TCVN 9393:2012</t>
        </is>
      </c>
      <c r="G6" s="20" t="inlineStr">
        <is>
          <t>Sai số tọa độ tim mốc &lt;= 5mm, mốc cao độ &lt;= 2mm</t>
        </is>
      </c>
      <c r="H6" s="24" t="inlineStr">
        <is>
          <t>2026-10-02</t>
        </is>
      </c>
    </row>
    <row r="7" ht="20" customHeight="1">
      <c r="A7" s="18" t="n">
        <v>2</v>
      </c>
      <c r="B7" s="19" t="inlineStr">
        <is>
          <t>BBNT-02</t>
        </is>
      </c>
      <c r="C7" s="20" t="inlineStr">
        <is>
          <t>Nghiệm thu dọn dẹp mặt bằng, thi công đường công vụ nhánh 6 &amp; 6A</t>
        </is>
      </c>
      <c r="D7" s="21" t="n">
        <v>825</v>
      </c>
      <c r="E7" s="22" t="inlineStr">
        <is>
          <t>m3</t>
        </is>
      </c>
      <c r="F7" s="23" t="inlineStr">
        <is>
          <t>TCVN 4447:2012</t>
        </is>
      </c>
      <c r="G7" s="20" t="inlineStr">
        <is>
          <t>Độ dầm chặt nền đường K &gt;= 0.95, thoát nước tốt</t>
        </is>
      </c>
      <c r="H7" s="24" t="inlineStr">
        <is>
          <t>2026-10-18</t>
        </is>
      </c>
    </row>
    <row r="8" ht="20" customHeight="1">
      <c r="A8" s="18" t="n">
        <v>3</v>
      </c>
      <c r="B8" s="19" t="inlineStr">
        <is>
          <t>BBNT-03</t>
        </is>
      </c>
      <c r="C8" s="20" t="inlineStr">
        <is>
          <t>Kiểm tra nghiệm thu chất lượng vật liệu đầu vào (Thép, Cáp DUL, Xi măng)</t>
        </is>
      </c>
      <c r="D8" s="21" t="n">
        <v>1</v>
      </c>
      <c r="E8" s="22" t="inlineStr">
        <is>
          <t>Lô</t>
        </is>
      </c>
      <c r="F8" s="23" t="inlineStr">
        <is>
          <t>TCVN 1651:2018, ASTM A416</t>
        </is>
      </c>
      <c r="G8" s="20" t="inlineStr">
        <is>
          <t>Chứng chỉ CO/CQ, thí nghiệm kéo uốn thép, nén xi măng</t>
        </is>
      </c>
      <c r="H8" s="24" t="inlineStr">
        <is>
          <t>2026-10-01</t>
        </is>
      </c>
    </row>
    <row r="9" ht="20" customHeight="1">
      <c r="A9" s="18" t="n">
        <v>4</v>
      </c>
      <c r="B9" s="19" t="inlineStr">
        <is>
          <t>BBNT-04</t>
        </is>
      </c>
      <c r="C9" s="20" t="inlineStr">
        <is>
          <t>Nghiệm thu trạm trộn BTXM, trạm biến áp &amp; bệ đúc dầm Super-T</t>
        </is>
      </c>
      <c r="D9" s="21" t="n">
        <v>1</v>
      </c>
      <c r="E9" s="22" t="inlineStr">
        <is>
          <t>Hệ</t>
        </is>
      </c>
      <c r="F9" s="23" t="inlineStr">
        <is>
          <t>TCVN 9340:2012</t>
        </is>
      </c>
      <c r="G9" s="20" t="inlineStr">
        <is>
          <t>Độ chính xác cân đong sai số &lt;= 1%, bệ đúc đủ độ cứng</t>
        </is>
      </c>
      <c r="H9" s="24" t="inlineStr">
        <is>
          <t>2026-10-24</t>
        </is>
      </c>
    </row>
    <row r="10" ht="20" customHeight="1">
      <c r="A10" s="18" t="n">
        <v>5</v>
      </c>
      <c r="B10" s="19" t="inlineStr">
        <is>
          <t>BBNT-05</t>
        </is>
      </c>
      <c r="C10" s="20" t="inlineStr">
        <is>
          <t>Nghiệm thu định vị tim cọc &amp; hạ ống vách thép dẫn hướng D1300mm</t>
        </is>
      </c>
      <c r="D10" s="21" t="n">
        <v>156</v>
      </c>
      <c r="E10" s="22" t="inlineStr">
        <is>
          <t>m</t>
        </is>
      </c>
      <c r="F10" s="23" t="inlineStr">
        <is>
          <t>TCVN 11823:2017</t>
        </is>
      </c>
      <c r="G10" s="20" t="inlineStr">
        <is>
          <t>Độ nghiêng ống vách &lt;= 1%, sai số tim cọc &lt;= 50mm</t>
        </is>
      </c>
      <c r="H10" s="24" t="inlineStr">
        <is>
          <t>2026-11-06</t>
        </is>
      </c>
    </row>
    <row r="11" ht="20" customHeight="1">
      <c r="A11" s="18" t="n">
        <v>6</v>
      </c>
      <c r="B11" s="19" t="inlineStr">
        <is>
          <t>BBNT-06</t>
        </is>
      </c>
      <c r="C11" s="20" t="inlineStr">
        <is>
          <t>Nghiệm thu khoan thăm dò hang Karst sâu 5m dưới mũi cọc</t>
        </is>
      </c>
      <c r="D11" s="21" t="n">
        <v>26</v>
      </c>
      <c r="E11" s="22" t="inlineStr">
        <is>
          <t>Lỗ</t>
        </is>
      </c>
      <c r="F11" s="23" t="inlineStr">
        <is>
          <t>Chỉ dẫn TK Trang 11</t>
        </is>
      </c>
      <c r="G11" s="20" t="inlineStr">
        <is>
          <t>Khoan vào đá liền khối tối thiểu 5m, không rỗng Karst</t>
        </is>
      </c>
      <c r="H11" s="24" t="inlineStr">
        <is>
          <t>2026-11-05</t>
        </is>
      </c>
    </row>
    <row r="12" ht="20" customHeight="1">
      <c r="A12" s="18" t="n">
        <v>7</v>
      </c>
      <c r="B12" s="19" t="inlineStr">
        <is>
          <t>BBNT-07</t>
        </is>
      </c>
      <c r="C12" s="20" t="inlineStr">
        <is>
          <t>Nghiệm thu hố khoan cọc D1200mm, thổi rửa đáy &amp; kiểm tra dung dịch</t>
        </is>
      </c>
      <c r="D12" s="21" t="n">
        <v>872</v>
      </c>
      <c r="E12" s="22" t="inlineStr">
        <is>
          <t>m</t>
        </is>
      </c>
      <c r="F12" s="23" t="inlineStr">
        <is>
          <t>TCVN 9395:2012</t>
        </is>
      </c>
      <c r="G12" s="20" t="inlineStr">
        <is>
          <t>Chiều dày cặn lắng đáy &lt;= 50mm, tỷ trọng bentonite 1.05-1.15</t>
        </is>
      </c>
      <c r="H12" s="24" t="inlineStr">
        <is>
          <t>2026-11-12</t>
        </is>
      </c>
    </row>
    <row r="13" ht="20" customHeight="1">
      <c r="A13" s="18" t="n">
        <v>8</v>
      </c>
      <c r="B13" s="19" t="inlineStr">
        <is>
          <t>BBNT-08</t>
        </is>
      </c>
      <c r="C13" s="20" t="inlineStr">
        <is>
          <t>Nghiệm thu gia công, lắp dựng lồng cốt thép &amp; ống siêu âm cọc nhồi</t>
        </is>
      </c>
      <c r="D13" s="21" t="n">
        <v>108.76599036</v>
      </c>
      <c r="E13" s="22" t="inlineStr">
        <is>
          <t>Tấn</t>
        </is>
      </c>
      <c r="F13" s="23" t="inlineStr">
        <is>
          <t>TCVN 4453:1995</t>
        </is>
      </c>
      <c r="G13" s="20" t="inlineStr">
        <is>
          <t>Chiều dài lồng thép, mối nối coupler, ống siêu âm kín nước</t>
        </is>
      </c>
      <c r="H13" s="24" t="inlineStr">
        <is>
          <t>2026-11-28</t>
        </is>
      </c>
    </row>
    <row r="14" ht="20" customHeight="1">
      <c r="A14" s="18" t="n">
        <v>9</v>
      </c>
      <c r="B14" s="19" t="inlineStr">
        <is>
          <t>BBNT-09</t>
        </is>
      </c>
      <c r="C14" s="20" t="inlineStr">
        <is>
          <t>Nghiệm thu đổ bê tông cọc khoan nhồi C30 bằng ống tremie</t>
        </is>
      </c>
      <c r="D14" s="21" t="n">
        <v>1104.558912</v>
      </c>
      <c r="E14" s="22" t="inlineStr">
        <is>
          <t>m3</t>
        </is>
      </c>
      <c r="F14" s="23" t="inlineStr">
        <is>
          <t>TCVN 9395:2012</t>
        </is>
      </c>
      <c r="G14" s="20" t="inlineStr">
        <is>
          <t>Độ sụt 18+-2cm, ống tremie ngập bê tông &gt;= 2.0m liên tục</t>
        </is>
      </c>
      <c r="H14" s="24" t="inlineStr">
        <is>
          <t>2026-12-12</t>
        </is>
      </c>
    </row>
    <row r="15" ht="20" customHeight="1">
      <c r="A15" s="18" t="n">
        <v>10</v>
      </c>
      <c r="B15" s="19" t="inlineStr">
        <is>
          <t>BBNT-10</t>
        </is>
      </c>
      <c r="C15" s="20" t="inlineStr">
        <is>
          <t>Nghiệm thu thí nghiệm kiểm tra cọc (Siêu âm 100%, lõi bê tông &amp; PDA)</t>
        </is>
      </c>
      <c r="D15" s="21" t="n">
        <v>1</v>
      </c>
      <c r="E15" s="22" t="inlineStr">
        <is>
          <t>Gói</t>
        </is>
      </c>
      <c r="F15" s="23" t="inlineStr">
        <is>
          <t>TCVN 9396, ASTM D4945</t>
        </is>
      </c>
      <c r="G15" s="20" t="inlineStr">
        <is>
          <t>Siêu âm 156 mặt cắt; PDA trụ T1 đạt tải trọng 9434 kN</t>
        </is>
      </c>
      <c r="H15" s="24" t="inlineStr">
        <is>
          <t>2026-12-20</t>
        </is>
      </c>
    </row>
    <row r="16" ht="20" customHeight="1">
      <c r="A16" s="18" t="n">
        <v>11</v>
      </c>
      <c r="B16" s="19" t="inlineStr">
        <is>
          <t>BBNT-11</t>
        </is>
      </c>
      <c r="C16" s="20" t="inlineStr">
        <is>
          <t>Nghiệm thu đào hố móng, đập đầu 26 cọc &amp; đổ bê tông lót bệ mác C10</t>
        </is>
      </c>
      <c r="D16" s="21" t="n">
        <v>33.50000000000001</v>
      </c>
      <c r="E16" s="22" t="inlineStr">
        <is>
          <t>m3</t>
        </is>
      </c>
      <c r="F16" s="23" t="inlineStr">
        <is>
          <t>TCVN 4453:1995</t>
        </is>
      </c>
      <c r="G16" s="20" t="inlineStr">
        <is>
          <t>Đầu cọc ngàm vào bệ 10cm, cốt thép cọc neo sâu 40D</t>
        </is>
      </c>
      <c r="H16" s="24" t="inlineStr">
        <is>
          <t>2026-12-27</t>
        </is>
      </c>
    </row>
    <row r="17" ht="20" customHeight="1">
      <c r="A17" s="18" t="n">
        <v>12</v>
      </c>
      <c r="B17" s="19" t="inlineStr">
        <is>
          <t>BBNT-12</t>
        </is>
      </c>
      <c r="C17" s="20" t="inlineStr">
        <is>
          <t>Nghiệm thu ván khuôn, cốt thép &amp; đổ bê tông bệ mố M1, M2 &amp; bệ trụ T1, T2 C30</t>
        </is>
      </c>
      <c r="D17" s="21" t="n">
        <v>666.9784500000001</v>
      </c>
      <c r="E17" s="22" t="inlineStr">
        <is>
          <t>m3</t>
        </is>
      </c>
      <c r="F17" s="23" t="inlineStr">
        <is>
          <t>TCVN 3105:2022</t>
        </is>
      </c>
      <c r="G17" s="20" t="inlineStr">
        <is>
          <t>Kích thước hình học bệ, 12 tổ mẫu thử nén đạt C30</t>
        </is>
      </c>
      <c r="H17" s="24" t="inlineStr">
        <is>
          <t>2027-01-08</t>
        </is>
      </c>
    </row>
    <row r="18" ht="20" customHeight="1">
      <c r="A18" s="18" t="n">
        <v>13</v>
      </c>
      <c r="B18" s="19" t="inlineStr">
        <is>
          <t>BBNT-13</t>
        </is>
      </c>
      <c r="C18" s="20" t="inlineStr">
        <is>
          <t>Nghiệm thu thân mố chân dê M1 và thân mố chữ U M2 bê tông C30</t>
        </is>
      </c>
      <c r="D18" s="21" t="n">
        <v>169.2</v>
      </c>
      <c r="E18" s="22" t="inlineStr">
        <is>
          <t>m3</t>
        </is>
      </c>
      <c r="F18" s="23" t="inlineStr">
        <is>
          <t>TCVN 11823:2017</t>
        </is>
      </c>
      <c r="G18" s="20" t="inlineStr">
        <is>
          <t>Độ thẳng đứng thân mố, bề mặt bê tông phẳng nhẵn</t>
        </is>
      </c>
      <c r="H18" s="24" t="inlineStr">
        <is>
          <t>2027-01-18</t>
        </is>
      </c>
    </row>
    <row r="19" ht="20" customHeight="1">
      <c r="A19" s="18" t="n">
        <v>14</v>
      </c>
      <c r="B19" s="19" t="inlineStr">
        <is>
          <t>BBNT-14</t>
        </is>
      </c>
      <c r="C19" s="20" t="inlineStr">
        <is>
          <t>Nghiệm thu cốt thép, ván khuôn &amp; đổ bê tông thân đặc trụ T1, T2 C30</t>
        </is>
      </c>
      <c r="D19" s="21" t="n">
        <v>502.52475</v>
      </c>
      <c r="E19" s="22" t="inlineStr">
        <is>
          <t>m3</t>
        </is>
      </c>
      <c r="F19" s="23" t="inlineStr">
        <is>
          <t>TCVN 4453:1995</t>
        </is>
      </c>
      <c r="G19" s="20" t="inlineStr">
        <is>
          <t>Kích thước thân đặc 9.75x2.0m, chiều cao H=14.5m và 11.4m</t>
        </is>
      </c>
      <c r="H19" s="24" t="inlineStr">
        <is>
          <t>2027-01-22</t>
        </is>
      </c>
    </row>
    <row r="20" ht="20" customHeight="1">
      <c r="A20" s="18" t="n">
        <v>15</v>
      </c>
      <c r="B20" s="19" t="inlineStr">
        <is>
          <t>BBNT-15</t>
        </is>
      </c>
      <c r="C20" s="20" t="inlineStr">
        <is>
          <t>Nghiệm thu cốt thép, ván khuôn &amp; đổ bê tông xà mũ trụ T1, T2, đá kê gối</t>
        </is>
      </c>
      <c r="D20" s="21" t="n">
        <v>146.124</v>
      </c>
      <c r="E20" s="22" t="inlineStr">
        <is>
          <t>m3</t>
        </is>
      </c>
      <c r="F20" s="23" t="inlineStr">
        <is>
          <t>TCVN 11823:2017</t>
        </is>
      </c>
      <c r="G20" s="20" t="inlineStr">
        <is>
          <t>Cao độ mặt đá kê gối sai số &lt;= 2mm, tim đá kê &lt;= 3mm</t>
        </is>
      </c>
      <c r="H20" s="24" t="inlineStr">
        <is>
          <t>2027-01-30</t>
        </is>
      </c>
    </row>
    <row r="21" ht="20" customHeight="1">
      <c r="A21" s="18" t="n">
        <v>16</v>
      </c>
      <c r="B21" s="19" t="inlineStr">
        <is>
          <t>BBNT-16</t>
        </is>
      </c>
      <c r="C21" s="20" t="inlineStr">
        <is>
          <t>Nghiệm thu cốt thép, ván khuôn &amp; đổ bê tông C45 15 phiến dầm Super-T</t>
        </is>
      </c>
      <c r="D21" s="21" t="n">
        <v>434.907</v>
      </c>
      <c r="E21" s="22" t="inlineStr">
        <is>
          <t>m3</t>
        </is>
      </c>
      <c r="F21" s="23" t="inlineStr">
        <is>
          <t>TCVN 3105:2022</t>
        </is>
      </c>
      <c r="G21" s="20" t="inlineStr">
        <is>
          <t>Cường độ bê tông đạt R28 &gt;= 45 MPa, không rỗ nứt</t>
        </is>
      </c>
      <c r="H21" s="24" t="inlineStr">
        <is>
          <t>2027-01-15</t>
        </is>
      </c>
    </row>
    <row r="22" ht="20" customHeight="1">
      <c r="A22" s="18" t="n">
        <v>17</v>
      </c>
      <c r="B22" s="19" t="inlineStr">
        <is>
          <t>BBNT-17</t>
        </is>
      </c>
      <c r="C22" s="20" t="inlineStr">
        <is>
          <t>Nghiệm thu căng kéo cáp DUL 15.2mm &amp; bơm vữa ống gen dầm Super-T</t>
        </is>
      </c>
      <c r="D22" s="21" t="n">
        <v>27.78362400000001</v>
      </c>
      <c r="E22" s="22" t="inlineStr">
        <is>
          <t>Tấn</t>
        </is>
      </c>
      <c r="F22" s="23" t="inlineStr">
        <is>
          <t>TCVN 11823:2017</t>
        </is>
      </c>
      <c r="G22" s="20" t="inlineStr">
        <is>
          <t>Sai số độ giãn dài cáp &lt;= +-5%, vữa bơm lấp đầy 100% gen</t>
        </is>
      </c>
      <c r="H22" s="24" t="inlineStr">
        <is>
          <t>2027-01-25</t>
        </is>
      </c>
    </row>
    <row r="23" ht="20" customHeight="1">
      <c r="A23" s="18" t="n">
        <v>18</v>
      </c>
      <c r="B23" s="19" t="inlineStr">
        <is>
          <t>BBNT-18</t>
        </is>
      </c>
      <c r="C23" s="20" t="inlineStr">
        <is>
          <t>Nghiệm thu lắp đặt 30 gối chậu cao su &amp; lao lắp 15 phiến dầm Super-T</t>
        </is>
      </c>
      <c r="D23" s="21" t="n">
        <v>30</v>
      </c>
      <c r="E23" s="22" t="inlineStr">
        <is>
          <t>Cái</t>
        </is>
      </c>
      <c r="F23" s="23" t="inlineStr">
        <is>
          <t>TCVN 10308:2014</t>
        </is>
      </c>
      <c r="G23" s="20" t="inlineStr">
        <is>
          <t>Gối chậu nằm ngang chuẩn xác, dầm đặt êm thuận trên mố trụ</t>
        </is>
      </c>
      <c r="H23" s="24" t="inlineStr">
        <is>
          <t>2027-02-14</t>
        </is>
      </c>
    </row>
    <row r="24" ht="20" customHeight="1">
      <c r="A24" s="18" t="n">
        <v>19</v>
      </c>
      <c r="B24" s="19" t="inlineStr">
        <is>
          <t>BBNT-19</t>
        </is>
      </c>
      <c r="C24" s="20" t="inlineStr">
        <is>
          <t>Nghiệm thu đổ bê tông dầm ngang &amp; mối nối liên tục nhiệt đỉnh trụ T1, T2</t>
        </is>
      </c>
      <c r="D24" s="21" t="n">
        <v>61.65072000000001</v>
      </c>
      <c r="E24" s="22" t="inlineStr">
        <is>
          <t>m3</t>
        </is>
      </c>
      <c r="F24" s="23" t="inlineStr">
        <is>
          <t>TCVN 4453:1995</t>
        </is>
      </c>
      <c r="G24" s="20" t="inlineStr">
        <is>
          <t>Liên kết cứng dầm ngang, bản liên tục nhiệt triệt tiêu khe nứt</t>
        </is>
      </c>
      <c r="H24" s="24" t="inlineStr">
        <is>
          <t>2027-02-19</t>
        </is>
      </c>
    </row>
    <row r="25" ht="20" customHeight="1">
      <c r="A25" s="18" t="n">
        <v>20</v>
      </c>
      <c r="B25" s="19" t="inlineStr">
        <is>
          <t>BBNT-20</t>
        </is>
      </c>
      <c r="C25" s="20" t="inlineStr">
        <is>
          <t>Nghiệm thu cốt thép, ván khuôn &amp; đổ bê tông bản mặt cầu C35 dày 180mm</t>
        </is>
      </c>
      <c r="D25" s="21" t="n">
        <v>305.381810772</v>
      </c>
      <c r="E25" s="22" t="inlineStr">
        <is>
          <t>m3</t>
        </is>
      </c>
      <c r="F25" s="23" t="inlineStr">
        <is>
          <t>TCVN 11823:2017</t>
        </is>
      </c>
      <c r="G25" s="20" t="inlineStr">
        <is>
          <t>Độ dốc ngang thoát nước 2%, chiều dày bảo vệ cốt thép chuẩn</t>
        </is>
      </c>
      <c r="H25" s="24" t="inlineStr">
        <is>
          <t>2027-03-02</t>
        </is>
      </c>
    </row>
    <row r="26" ht="20" customHeight="1">
      <c r="A26" s="18" t="n">
        <v>21</v>
      </c>
      <c r="B26" s="19" t="inlineStr">
        <is>
          <t>BBNT-21</t>
        </is>
      </c>
      <c r="C26" s="20" t="inlineStr">
        <is>
          <t>Nghiệm thu khe co giãn răng lược D=100mm, gờ lan can &amp; thảm BTN C16</t>
        </is>
      </c>
      <c r="D26" s="21" t="n">
        <v>91.88200000000001</v>
      </c>
      <c r="E26" s="22" t="inlineStr">
        <is>
          <t>m2</t>
        </is>
      </c>
      <c r="F26" s="23" t="inlineStr">
        <is>
          <t>TCVN 8819:2011</t>
        </is>
      </c>
      <c r="G26" s="20" t="inlineStr">
        <is>
          <t>Độ bằng phẳng mặt cầu IRI &lt;= 1.5, khe răng lược êm thuận</t>
        </is>
      </c>
      <c r="H26" s="24" t="inlineStr">
        <is>
          <t>2027-03-19</t>
        </is>
      </c>
    </row>
    <row r="27" ht="20" customHeight="1">
      <c r="A27" s="18" t="n">
        <v>22</v>
      </c>
      <c r="B27" s="19" t="inlineStr">
        <is>
          <t>BBNT-22</t>
        </is>
      </c>
      <c r="C27" s="20" t="inlineStr">
        <is>
          <t>Nghiệm thu thử tải tĩnh/động toàn cầu &amp; nghiệm thu hoàn thành đưa vào sử dụng</t>
        </is>
      </c>
      <c r="D27" s="21" t="n">
        <v>1</v>
      </c>
      <c r="E27" s="22" t="inlineStr">
        <is>
          <t>Gói</t>
        </is>
      </c>
      <c r="F27" s="23" t="inlineStr">
        <is>
          <t>Nghị định 207/2026/NĐ-CP</t>
        </is>
      </c>
      <c r="G27" s="20" t="inlineStr">
        <is>
          <t>Độ võng tĩnh f &lt;= f_cp, hệ số xung kích động đạt tiêu chuẩn</t>
        </is>
      </c>
      <c r="H27" s="24" t="inlineStr">
        <is>
          <t>2027-03-28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2026-10-07T04:47:28Z</dcterms:created>
  <dcterms:modified xmlns:dcterms="http://purl.org/dc/terms/" xmlns:xsi="http://www.w3.org/2001/XMLSchema-instance" xsi:type="dcterms:W3CDTF">2026-10-07T04:47:28Z</dcterms:modified>
</cp:coreProperties>
</file>