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o_Doi_Tan_Suat_Be_Tong" sheetId="1" state="visible" r:id="rId1"/>
    <sheet xmlns:r="http://schemas.openxmlformats.org/officeDocument/2006/relationships" name="Theo_Doi_Tan_Suat_Cot_Thep" sheetId="2" state="visible" r:id="rId2"/>
    <sheet xmlns:r="http://schemas.openxmlformats.org/officeDocument/2006/relationships" name="Tong_Hop_Tan_Suat_Vat_Lieu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00"/>
    <numFmt numFmtId="166" formatCode="#,##0.000"/>
    <numFmt numFmtId="167" formatCode="0.0"/>
  </numFmts>
  <fonts count="15">
    <font>
      <name val="Calibri"/>
      <family val="2"/>
      <color theme="1"/>
      <sz val="11"/>
      <scheme val="minor"/>
    </font>
    <font>
      <name val="Arial"/>
      <b val="1"/>
      <sz val="9"/>
    </font>
    <font>
      <name val="Arial"/>
      <b val="1"/>
      <color rgb="00C00000"/>
      <sz val="9"/>
    </font>
    <font>
      <name val="Arial"/>
      <b val="1"/>
      <color rgb="000070C0"/>
      <sz val="9"/>
    </font>
    <font>
      <name val="Arial"/>
      <b val="1"/>
      <color rgb="001B365D"/>
      <sz val="9.5"/>
    </font>
    <font>
      <name val="Arial"/>
      <sz val="8.5"/>
    </font>
    <font>
      <name val="Arial"/>
      <b val="1"/>
      <color rgb="00C00000"/>
      <sz val="8.5"/>
    </font>
    <font>
      <name val="Arial"/>
      <b val="1"/>
      <color rgb="00008000"/>
      <sz val="8.5"/>
    </font>
    <font>
      <name val="Arial"/>
      <b val="1"/>
      <color rgb="007030A0"/>
      <sz val="9"/>
    </font>
    <font>
      <name val="Arial"/>
      <b val="1"/>
      <color rgb="001B365D"/>
      <sz val="10"/>
    </font>
    <font>
      <name val="Arial"/>
      <b val="1"/>
      <color rgb="00203764"/>
      <sz val="9"/>
    </font>
    <font>
      <name val="Arial"/>
      <b val="1"/>
      <sz val="8.5"/>
    </font>
    <font>
      <name val="Arial"/>
      <b val="1"/>
      <color rgb="007030A0"/>
      <sz val="8.5"/>
    </font>
    <font>
      <name val="Arial"/>
      <b val="1"/>
      <color rgb="001B365D"/>
      <sz val="13"/>
    </font>
    <font>
      <name val="Arial"/>
      <i val="1"/>
      <color rgb="00595959"/>
      <sz val="9.5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F2F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4" fontId="1" fillId="4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11" fillId="0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166" fontId="1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1"/>
  <sheetViews>
    <sheetView showGridLines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6" customWidth="1" min="2" max="2"/>
    <col width="13" customWidth="1" min="3" max="3"/>
    <col width="12" customWidth="1" min="4" max="4"/>
    <col width="13" customWidth="1" min="5" max="5"/>
    <col width="1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3" customWidth="1" min="14" max="14"/>
    <col width="13" customWidth="1" min="15" max="15"/>
    <col width="12" customWidth="1" min="16" max="16"/>
    <col width="12" customWidth="1" min="17" max="17"/>
    <col width="12" customWidth="1" min="18" max="18"/>
    <col width="18" customWidth="1" min="19" max="19"/>
    <col width="10" customWidth="1" min="20" max="20"/>
  </cols>
  <sheetData>
    <row r="1" ht="24" customHeight="1">
      <c r="A1" s="1" t="inlineStr">
        <is>
          <t>STT</t>
        </is>
      </c>
      <c r="B1" s="1" t="inlineStr">
        <is>
          <t>HẠNG MỤC CÔNG VIỆC</t>
        </is>
      </c>
      <c r="C1" s="1" t="inlineStr">
        <is>
          <t>N/T/N</t>
        </is>
      </c>
      <c r="D1" s="1" t="inlineStr">
        <is>
          <t>KL/T.tế
(m3)</t>
        </is>
      </c>
      <c r="E1" s="1" t="inlineStr">
        <is>
          <t>Tuổi Bt</t>
        </is>
      </c>
      <c r="F1" s="1" t="n"/>
      <c r="G1" s="1" t="inlineStr">
        <is>
          <t>30Mpa-18±2 (Cọc nhồi)</t>
        </is>
      </c>
      <c r="H1" s="1" t="n"/>
      <c r="I1" s="1" t="n"/>
      <c r="J1" s="1" t="inlineStr">
        <is>
          <t>30Mpa-14±2 (Bệ, thân, mố, trụ, dầm)</t>
        </is>
      </c>
      <c r="K1" s="1" t="n"/>
      <c r="L1" s="1" t="n"/>
      <c r="M1" s="1" t="inlineStr">
        <is>
          <t>Khối lượng vật tư lũy kế</t>
        </is>
      </c>
      <c r="N1" s="1" t="n"/>
      <c r="O1" s="1" t="n"/>
      <c r="P1" s="2" t="inlineStr">
        <is>
          <t>Tần suất lấy mẫu thí nghiệm</t>
        </is>
      </c>
      <c r="Q1" s="3" t="n"/>
      <c r="R1" s="2" t="n"/>
      <c r="S1" s="1" t="inlineStr">
        <is>
          <t>Số lô</t>
        </is>
      </c>
      <c r="T1" s="1" t="inlineStr">
        <is>
          <t>KL
(Tấn)</t>
        </is>
      </c>
    </row>
    <row r="2" ht="28" customHeight="1">
      <c r="A2" s="1" t="n"/>
      <c r="B2" s="1" t="n"/>
      <c r="C2" s="1" t="n"/>
      <c r="D2" s="1" t="n"/>
      <c r="E2" s="1" t="inlineStr">
        <is>
          <t>R7</t>
        </is>
      </c>
      <c r="F2" s="1" t="inlineStr">
        <is>
          <t>R28</t>
        </is>
      </c>
      <c r="G2" s="1" t="inlineStr">
        <is>
          <t>Xi măng
0,445</t>
        </is>
      </c>
      <c r="H2" s="1" t="inlineStr">
        <is>
          <t>Cát
0,525</t>
        </is>
      </c>
      <c r="I2" s="1" t="inlineStr">
        <is>
          <t>Đá
0,696</t>
        </is>
      </c>
      <c r="J2" s="1" t="inlineStr">
        <is>
          <t>Xi măng
0,425</t>
        </is>
      </c>
      <c r="K2" s="1" t="inlineStr">
        <is>
          <t>Cát
0,555</t>
        </is>
      </c>
      <c r="L2" s="1" t="inlineStr">
        <is>
          <t>Đá
0,700</t>
        </is>
      </c>
      <c r="M2" s="1" t="inlineStr">
        <is>
          <t>Xi măng
(Tấn)</t>
        </is>
      </c>
      <c r="N2" s="1" t="inlineStr">
        <is>
          <t>Cát
(m3)</t>
        </is>
      </c>
      <c r="O2" s="1" t="inlineStr">
        <is>
          <t>Đá
(m3)</t>
        </is>
      </c>
      <c r="P2" s="2" t="inlineStr">
        <is>
          <t>Xi măng
50 tấn
Lần</t>
        </is>
      </c>
      <c r="Q2" s="3" t="inlineStr">
        <is>
          <t>Cát
200m3
Lần</t>
        </is>
      </c>
      <c r="R2" s="2" t="inlineStr">
        <is>
          <t>Đá
350m3
Lần</t>
        </is>
      </c>
      <c r="S2" s="1" t="n"/>
      <c r="T2" s="1" t="n"/>
    </row>
    <row r="3" ht="22" customHeight="1">
      <c r="A3" s="4" t="inlineStr">
        <is>
          <t>I. HẠNG MỤC CỌC KHOAN NHỒI D1.2M (C30 ĐỘ SỤT 18±2CM)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</row>
    <row r="4" ht="20" customHeight="1">
      <c r="A4" s="6" t="n">
        <v>1</v>
      </c>
      <c r="B4" s="7" t="inlineStr">
        <is>
          <t>Bê tông cọc khoan nhồi - C1 mố M1 (L=20m)</t>
        </is>
      </c>
      <c r="C4" s="8" t="n"/>
      <c r="D4" s="9" t="n">
        <v>24.71</v>
      </c>
      <c r="E4" s="8">
        <f>IF(C4="","",C4+7)</f>
        <v/>
      </c>
      <c r="F4" s="8">
        <f>IF(C4="","",C4+28)</f>
        <v/>
      </c>
      <c r="G4" s="10" t="n">
        <v>0.445</v>
      </c>
      <c r="H4" s="10" t="n">
        <v>0.525</v>
      </c>
      <c r="I4" s="10" t="n">
        <v>0.696</v>
      </c>
      <c r="J4" s="6" t="inlineStr"/>
      <c r="K4" s="6" t="inlineStr"/>
      <c r="L4" s="6" t="inlineStr"/>
      <c r="M4" s="9">
        <f>IF(D4="","",ROUND(IF(G4&gt;0,D4*G4,D4*J4),2))</f>
        <v/>
      </c>
      <c r="N4" s="9">
        <f>IF(D4="","",ROUND(IF(H4&gt;0,D4*H4,D4*K4),2))</f>
        <v/>
      </c>
      <c r="O4" s="9">
        <f>IF(D4="","",ROUND(IF(I4&gt;0,D4*I4,D4*L4),2))</f>
        <v/>
      </c>
      <c r="P4" s="11">
        <f>IF(M4="","",IF(INT(M4/50)&gt;0,"Lần " &amp; INT(M4/50),""))</f>
        <v/>
      </c>
      <c r="Q4" s="12">
        <f>IF(N4="","",IF(INT(N4/200)&gt;0,"Lần " &amp; INT(N4/200),""))</f>
        <v/>
      </c>
      <c r="R4" s="11">
        <f>IF(O4="","",IF(INT(O4/350)&gt;0,"Lần " &amp; INT(O4/350),""))</f>
        <v/>
      </c>
      <c r="S4" s="6" t="inlineStr"/>
      <c r="T4" s="9" t="inlineStr"/>
    </row>
    <row r="5" ht="20" customHeight="1">
      <c r="A5" s="6" t="n">
        <v>2</v>
      </c>
      <c r="B5" s="7" t="inlineStr">
        <is>
          <t>Bê tông cọc khoan nhồi - C2 mố M1 (L=20m)</t>
        </is>
      </c>
      <c r="C5" s="8" t="n"/>
      <c r="D5" s="9" t="n">
        <v>24.71</v>
      </c>
      <c r="E5" s="8">
        <f>IF(C5="","",C5+7)</f>
        <v/>
      </c>
      <c r="F5" s="8">
        <f>IF(C5="","",C5+28)</f>
        <v/>
      </c>
      <c r="G5" s="10" t="n">
        <v>0.445</v>
      </c>
      <c r="H5" s="10" t="n">
        <v>0.525</v>
      </c>
      <c r="I5" s="10" t="n">
        <v>0.696</v>
      </c>
      <c r="J5" s="6" t="inlineStr"/>
      <c r="K5" s="6" t="inlineStr"/>
      <c r="L5" s="6" t="inlineStr"/>
      <c r="M5" s="9">
        <f>IF(D5="","",ROUND(M4+IF(G5&gt;0,D5*G5,D5*J5),2))</f>
        <v/>
      </c>
      <c r="N5" s="9">
        <f>IF(D5="","",ROUND(N4+IF(H5&gt;0,D5*H5,D5*K5),2))</f>
        <v/>
      </c>
      <c r="O5" s="9">
        <f>IF(D5="","",ROUND(O4+IF(I5&gt;0,D5*I5,D5*L5),2))</f>
        <v/>
      </c>
      <c r="P5" s="11">
        <f>IF(M5="","",IF(INT(M5/50)&gt;INT(M4/50),"Lần " &amp; INT(M5/50),""))</f>
        <v/>
      </c>
      <c r="Q5" s="12">
        <f>IF(N5="","",IF(INT(N5/200)&gt;INT(N4/200),"Lần " &amp; INT(N5/200),""))</f>
        <v/>
      </c>
      <c r="R5" s="11">
        <f>IF(O5="","",IF(INT(O5/350)&gt;INT(O4/350),"Lần " &amp; INT(O5/350),""))</f>
        <v/>
      </c>
      <c r="S5" s="6" t="inlineStr"/>
      <c r="T5" s="9" t="inlineStr"/>
    </row>
    <row r="6" ht="20" customHeight="1">
      <c r="A6" s="6" t="n">
        <v>3</v>
      </c>
      <c r="B6" s="7" t="inlineStr">
        <is>
          <t>Bê tông cọc khoan nhồi - C3 mố M1 (L=20m)</t>
        </is>
      </c>
      <c r="C6" s="8" t="n"/>
      <c r="D6" s="9" t="n">
        <v>24.71</v>
      </c>
      <c r="E6" s="8">
        <f>IF(C6="","",C6+7)</f>
        <v/>
      </c>
      <c r="F6" s="8">
        <f>IF(C6="","",C6+28)</f>
        <v/>
      </c>
      <c r="G6" s="10" t="n">
        <v>0.445</v>
      </c>
      <c r="H6" s="10" t="n">
        <v>0.525</v>
      </c>
      <c r="I6" s="10" t="n">
        <v>0.696</v>
      </c>
      <c r="J6" s="6" t="inlineStr"/>
      <c r="K6" s="6" t="inlineStr"/>
      <c r="L6" s="6" t="inlineStr"/>
      <c r="M6" s="9">
        <f>IF(D6="","",ROUND(M5+IF(G6&gt;0,D6*G6,D6*J6),2))</f>
        <v/>
      </c>
      <c r="N6" s="9">
        <f>IF(D6="","",ROUND(N5+IF(H6&gt;0,D6*H6,D6*K6),2))</f>
        <v/>
      </c>
      <c r="O6" s="9">
        <f>IF(D6="","",ROUND(O5+IF(I6&gt;0,D6*I6,D6*L6),2))</f>
        <v/>
      </c>
      <c r="P6" s="11">
        <f>IF(M6="","",IF(INT(M6/50)&gt;INT(M5/50),"Lần " &amp; INT(M6/50),""))</f>
        <v/>
      </c>
      <c r="Q6" s="12">
        <f>IF(N6="","",IF(INT(N6/200)&gt;INT(N5/200),"Lần " &amp; INT(N6/200),""))</f>
        <v/>
      </c>
      <c r="R6" s="11">
        <f>IF(O6="","",IF(INT(O6/350)&gt;INT(O5/350),"Lần " &amp; INT(O6/350),""))</f>
        <v/>
      </c>
      <c r="S6" s="6" t="inlineStr"/>
      <c r="T6" s="9" t="inlineStr"/>
    </row>
    <row r="7" ht="20" customHeight="1">
      <c r="A7" s="6" t="n">
        <v>4</v>
      </c>
      <c r="B7" s="7" t="inlineStr">
        <is>
          <t>Bê tông cọc khoan nhồi - C4 mố M1 (L=20m)</t>
        </is>
      </c>
      <c r="C7" s="8" t="n"/>
      <c r="D7" s="9" t="n">
        <v>24.71</v>
      </c>
      <c r="E7" s="8">
        <f>IF(C7="","",C7+7)</f>
        <v/>
      </c>
      <c r="F7" s="8">
        <f>IF(C7="","",C7+28)</f>
        <v/>
      </c>
      <c r="G7" s="10" t="n">
        <v>0.445</v>
      </c>
      <c r="H7" s="10" t="n">
        <v>0.525</v>
      </c>
      <c r="I7" s="10" t="n">
        <v>0.696</v>
      </c>
      <c r="J7" s="6" t="inlineStr"/>
      <c r="K7" s="6" t="inlineStr"/>
      <c r="L7" s="6" t="inlineStr"/>
      <c r="M7" s="9">
        <f>IF(D7="","",ROUND(M6+IF(G7&gt;0,D7*G7,D7*J7),2))</f>
        <v/>
      </c>
      <c r="N7" s="9">
        <f>IF(D7="","",ROUND(N6+IF(H7&gt;0,D7*H7,D7*K7),2))</f>
        <v/>
      </c>
      <c r="O7" s="9">
        <f>IF(D7="","",ROUND(O6+IF(I7&gt;0,D7*I7,D7*L7),2))</f>
        <v/>
      </c>
      <c r="P7" s="11">
        <f>IF(M7="","",IF(INT(M7/50)&gt;INT(M6/50),"Lần " &amp; INT(M7/50),""))</f>
        <v/>
      </c>
      <c r="Q7" s="12">
        <f>IF(N7="","",IF(INT(N7/200)&gt;INT(N6/200),"Lần " &amp; INT(N7/200),""))</f>
        <v/>
      </c>
      <c r="R7" s="11">
        <f>IF(O7="","",IF(INT(O7/350)&gt;INT(O6/350),"Lần " &amp; INT(O7/350),""))</f>
        <v/>
      </c>
      <c r="S7" s="6" t="inlineStr"/>
      <c r="T7" s="9" t="inlineStr"/>
    </row>
    <row r="8" ht="20" customHeight="1">
      <c r="A8" s="6" t="n">
        <v>5</v>
      </c>
      <c r="B8" s="7" t="inlineStr">
        <is>
          <t>Bê tông cọc khoan nhồi - C5 mố M1 (L=20m)</t>
        </is>
      </c>
      <c r="C8" s="8" t="n"/>
      <c r="D8" s="9" t="n">
        <v>24.71</v>
      </c>
      <c r="E8" s="8">
        <f>IF(C8="","",C8+7)</f>
        <v/>
      </c>
      <c r="F8" s="8">
        <f>IF(C8="","",C8+28)</f>
        <v/>
      </c>
      <c r="G8" s="10" t="n">
        <v>0.445</v>
      </c>
      <c r="H8" s="10" t="n">
        <v>0.525</v>
      </c>
      <c r="I8" s="10" t="n">
        <v>0.696</v>
      </c>
      <c r="J8" s="6" t="inlineStr"/>
      <c r="K8" s="6" t="inlineStr"/>
      <c r="L8" s="6" t="inlineStr"/>
      <c r="M8" s="9">
        <f>IF(D8="","",ROUND(M7+IF(G8&gt;0,D8*G8,D8*J8),2))</f>
        <v/>
      </c>
      <c r="N8" s="9">
        <f>IF(D8="","",ROUND(N7+IF(H8&gt;0,D8*H8,D8*K8),2))</f>
        <v/>
      </c>
      <c r="O8" s="9">
        <f>IF(D8="","",ROUND(O7+IF(I8&gt;0,D8*I8,D8*L8),2))</f>
        <v/>
      </c>
      <c r="P8" s="11">
        <f>IF(M8="","",IF(INT(M8/50)&gt;INT(M7/50),"Lần " &amp; INT(M8/50),""))</f>
        <v/>
      </c>
      <c r="Q8" s="12">
        <f>IF(N8="","",IF(INT(N8/200)&gt;INT(N7/200),"Lần " &amp; INT(N8/200),""))</f>
        <v/>
      </c>
      <c r="R8" s="11">
        <f>IF(O8="","",IF(INT(O8/350)&gt;INT(O7/350),"Lần " &amp; INT(O8/350),""))</f>
        <v/>
      </c>
      <c r="S8" s="6" t="inlineStr"/>
      <c r="T8" s="9" t="inlineStr"/>
    </row>
    <row r="9" ht="20" customHeight="1">
      <c r="A9" s="6" t="n">
        <v>6</v>
      </c>
      <c r="B9" s="7" t="inlineStr">
        <is>
          <t>Bê tông cọc khoan nhồi - C6 mố M1 (L=20m)</t>
        </is>
      </c>
      <c r="C9" s="8" t="n"/>
      <c r="D9" s="9" t="n">
        <v>24.71</v>
      </c>
      <c r="E9" s="8">
        <f>IF(C9="","",C9+7)</f>
        <v/>
      </c>
      <c r="F9" s="8">
        <f>IF(C9="","",C9+28)</f>
        <v/>
      </c>
      <c r="G9" s="10" t="n">
        <v>0.445</v>
      </c>
      <c r="H9" s="10" t="n">
        <v>0.525</v>
      </c>
      <c r="I9" s="10" t="n">
        <v>0.696</v>
      </c>
      <c r="J9" s="6" t="inlineStr"/>
      <c r="K9" s="6" t="inlineStr"/>
      <c r="L9" s="6" t="inlineStr"/>
      <c r="M9" s="9">
        <f>IF(D9="","",ROUND(M8+IF(G9&gt;0,D9*G9,D9*J9),2))</f>
        <v/>
      </c>
      <c r="N9" s="9">
        <f>IF(D9="","",ROUND(N8+IF(H9&gt;0,D9*H9,D9*K9),2))</f>
        <v/>
      </c>
      <c r="O9" s="9">
        <f>IF(D9="","",ROUND(O8+IF(I9&gt;0,D9*I9,D9*L9),2))</f>
        <v/>
      </c>
      <c r="P9" s="11">
        <f>IF(M9="","",IF(INT(M9/50)&gt;INT(M8/50),"Lần " &amp; INT(M9/50),""))</f>
        <v/>
      </c>
      <c r="Q9" s="12">
        <f>IF(N9="","",IF(INT(N9/200)&gt;INT(N8/200),"Lần " &amp; INT(N9/200),""))</f>
        <v/>
      </c>
      <c r="R9" s="11">
        <f>IF(O9="","",IF(INT(O9/350)&gt;INT(O8/350),"Lần " &amp; INT(O9/350),""))</f>
        <v/>
      </c>
      <c r="S9" s="6" t="inlineStr"/>
      <c r="T9" s="9" t="inlineStr"/>
    </row>
    <row r="10" ht="20" customHeight="1">
      <c r="A10" s="6" t="n">
        <v>7</v>
      </c>
      <c r="B10" s="7" t="inlineStr">
        <is>
          <t>Bê tông cọc khoan nhồi - C7 mố M1 (L=20m)</t>
        </is>
      </c>
      <c r="C10" s="8" t="n"/>
      <c r="D10" s="9" t="n">
        <v>24.71</v>
      </c>
      <c r="E10" s="8">
        <f>IF(C10="","",C10+7)</f>
        <v/>
      </c>
      <c r="F10" s="8">
        <f>IF(C10="","",C10+28)</f>
        <v/>
      </c>
      <c r="G10" s="10" t="n">
        <v>0.445</v>
      </c>
      <c r="H10" s="10" t="n">
        <v>0.525</v>
      </c>
      <c r="I10" s="10" t="n">
        <v>0.696</v>
      </c>
      <c r="J10" s="6" t="inlineStr"/>
      <c r="K10" s="6" t="inlineStr"/>
      <c r="L10" s="6" t="inlineStr"/>
      <c r="M10" s="9">
        <f>IF(D10="","",ROUND(M9+IF(G10&gt;0,D10*G10,D10*J10),2))</f>
        <v/>
      </c>
      <c r="N10" s="9">
        <f>IF(D10="","",ROUND(N9+IF(H10&gt;0,D10*H10,D10*K10),2))</f>
        <v/>
      </c>
      <c r="O10" s="9">
        <f>IF(D10="","",ROUND(O9+IF(I10&gt;0,D10*I10,D10*L10),2))</f>
        <v/>
      </c>
      <c r="P10" s="11">
        <f>IF(M10="","",IF(INT(M10/50)&gt;INT(M9/50),"Lần " &amp; INT(M10/50),""))</f>
        <v/>
      </c>
      <c r="Q10" s="12">
        <f>IF(N10="","",IF(INT(N10/200)&gt;INT(N9/200),"Lần " &amp; INT(N10/200),""))</f>
        <v/>
      </c>
      <c r="R10" s="11">
        <f>IF(O10="","",IF(INT(O10/350)&gt;INT(O9/350),"Lần " &amp; INT(O10/350),""))</f>
        <v/>
      </c>
      <c r="S10" s="6" t="inlineStr"/>
      <c r="T10" s="9" t="inlineStr"/>
    </row>
    <row r="11" ht="20" customHeight="1">
      <c r="A11" s="6" t="n">
        <v>8</v>
      </c>
      <c r="B11" s="7" t="inlineStr">
        <is>
          <t>Bê tông cọc khoan nhồi - C1 trụ T1 (L=40m)</t>
        </is>
      </c>
      <c r="C11" s="8" t="n"/>
      <c r="D11" s="9" t="n">
        <v>47.01</v>
      </c>
      <c r="E11" s="8">
        <f>IF(C11="","",C11+7)</f>
        <v/>
      </c>
      <c r="F11" s="8">
        <f>IF(C11="","",C11+28)</f>
        <v/>
      </c>
      <c r="G11" s="10" t="n">
        <v>0.445</v>
      </c>
      <c r="H11" s="10" t="n">
        <v>0.525</v>
      </c>
      <c r="I11" s="10" t="n">
        <v>0.696</v>
      </c>
      <c r="J11" s="6" t="inlineStr"/>
      <c r="K11" s="6" t="inlineStr"/>
      <c r="L11" s="6" t="inlineStr"/>
      <c r="M11" s="9">
        <f>IF(D11="","",ROUND(M10+IF(G11&gt;0,D11*G11,D11*J11),2))</f>
        <v/>
      </c>
      <c r="N11" s="9">
        <f>IF(D11="","",ROUND(N10+IF(H11&gt;0,D11*H11,D11*K11),2))</f>
        <v/>
      </c>
      <c r="O11" s="9">
        <f>IF(D11="","",ROUND(O10+IF(I11&gt;0,D11*I11,D11*L11),2))</f>
        <v/>
      </c>
      <c r="P11" s="11">
        <f>IF(M11="","",IF(INT(M11/50)&gt;INT(M10/50),"Lần " &amp; INT(M11/50),""))</f>
        <v/>
      </c>
      <c r="Q11" s="12">
        <f>IF(N11="","",IF(INT(N11/200)&gt;INT(N10/200),"Lần " &amp; INT(N11/200),""))</f>
        <v/>
      </c>
      <c r="R11" s="11">
        <f>IF(O11="","",IF(INT(O11/350)&gt;INT(O10/350),"Lần " &amp; INT(O11/350),""))</f>
        <v/>
      </c>
      <c r="S11" s="6" t="inlineStr"/>
      <c r="T11" s="9" t="inlineStr"/>
    </row>
    <row r="12" ht="20" customHeight="1">
      <c r="A12" s="6" t="n">
        <v>9</v>
      </c>
      <c r="B12" s="7" t="inlineStr">
        <is>
          <t>Bê tông cọc khoan nhồi - C2 trụ T1 (L=40m)</t>
        </is>
      </c>
      <c r="C12" s="8" t="n"/>
      <c r="D12" s="9" t="n">
        <v>47.01</v>
      </c>
      <c r="E12" s="8">
        <f>IF(C12="","",C12+7)</f>
        <v/>
      </c>
      <c r="F12" s="8">
        <f>IF(C12="","",C12+28)</f>
        <v/>
      </c>
      <c r="G12" s="10" t="n">
        <v>0.445</v>
      </c>
      <c r="H12" s="10" t="n">
        <v>0.525</v>
      </c>
      <c r="I12" s="10" t="n">
        <v>0.696</v>
      </c>
      <c r="J12" s="6" t="inlineStr"/>
      <c r="K12" s="6" t="inlineStr"/>
      <c r="L12" s="6" t="inlineStr"/>
      <c r="M12" s="9">
        <f>IF(D12="","",ROUND(M11+IF(G12&gt;0,D12*G12,D12*J12),2))</f>
        <v/>
      </c>
      <c r="N12" s="9">
        <f>IF(D12="","",ROUND(N11+IF(H12&gt;0,D12*H12,D12*K12),2))</f>
        <v/>
      </c>
      <c r="O12" s="9">
        <f>IF(D12="","",ROUND(O11+IF(I12&gt;0,D12*I12,D12*L12),2))</f>
        <v/>
      </c>
      <c r="P12" s="11">
        <f>IF(M12="","",IF(INT(M12/50)&gt;INT(M11/50),"Lần " &amp; INT(M12/50),""))</f>
        <v/>
      </c>
      <c r="Q12" s="12">
        <f>IF(N12="","",IF(INT(N12/200)&gt;INT(N11/200),"Lần " &amp; INT(N12/200),""))</f>
        <v/>
      </c>
      <c r="R12" s="11">
        <f>IF(O12="","",IF(INT(O12/350)&gt;INT(O11/350),"Lần " &amp; INT(O12/350),""))</f>
        <v/>
      </c>
      <c r="S12" s="6" t="inlineStr"/>
      <c r="T12" s="9" t="inlineStr"/>
    </row>
    <row r="13" ht="20" customHeight="1">
      <c r="A13" s="6" t="n">
        <v>10</v>
      </c>
      <c r="B13" s="7" t="inlineStr">
        <is>
          <t>Bê tông cọc khoan nhồi - C3 trụ T1 (L=40m)</t>
        </is>
      </c>
      <c r="C13" s="8" t="n"/>
      <c r="D13" s="9" t="n">
        <v>47.01</v>
      </c>
      <c r="E13" s="8">
        <f>IF(C13="","",C13+7)</f>
        <v/>
      </c>
      <c r="F13" s="8">
        <f>IF(C13="","",C13+28)</f>
        <v/>
      </c>
      <c r="G13" s="10" t="n">
        <v>0.445</v>
      </c>
      <c r="H13" s="10" t="n">
        <v>0.525</v>
      </c>
      <c r="I13" s="10" t="n">
        <v>0.696</v>
      </c>
      <c r="J13" s="6" t="inlineStr"/>
      <c r="K13" s="6" t="inlineStr"/>
      <c r="L13" s="6" t="inlineStr"/>
      <c r="M13" s="9">
        <f>IF(D13="","",ROUND(M12+IF(G13&gt;0,D13*G13,D13*J13),2))</f>
        <v/>
      </c>
      <c r="N13" s="9">
        <f>IF(D13="","",ROUND(N12+IF(H13&gt;0,D13*H13,D13*K13),2))</f>
        <v/>
      </c>
      <c r="O13" s="9">
        <f>IF(D13="","",ROUND(O12+IF(I13&gt;0,D13*I13,D13*L13),2))</f>
        <v/>
      </c>
      <c r="P13" s="11">
        <f>IF(M13="","",IF(INT(M13/50)&gt;INT(M12/50),"Lần " &amp; INT(M13/50),""))</f>
        <v/>
      </c>
      <c r="Q13" s="12">
        <f>IF(N13="","",IF(INT(N13/200)&gt;INT(N12/200),"Lần " &amp; INT(N13/200),""))</f>
        <v/>
      </c>
      <c r="R13" s="11">
        <f>IF(O13="","",IF(INT(O13/350)&gt;INT(O12/350),"Lần " &amp; INT(O13/350),""))</f>
        <v/>
      </c>
      <c r="S13" s="6" t="inlineStr"/>
      <c r="T13" s="9" t="inlineStr"/>
    </row>
    <row r="14" ht="20" customHeight="1">
      <c r="A14" s="6" t="n">
        <v>11</v>
      </c>
      <c r="B14" s="7" t="inlineStr">
        <is>
          <t>Bê tông cọc khoan nhồi - C4 trụ T1 (L=40m)</t>
        </is>
      </c>
      <c r="C14" s="8" t="n"/>
      <c r="D14" s="9" t="n">
        <v>47.01</v>
      </c>
      <c r="E14" s="8">
        <f>IF(C14="","",C14+7)</f>
        <v/>
      </c>
      <c r="F14" s="8">
        <f>IF(C14="","",C14+28)</f>
        <v/>
      </c>
      <c r="G14" s="10" t="n">
        <v>0.445</v>
      </c>
      <c r="H14" s="10" t="n">
        <v>0.525</v>
      </c>
      <c r="I14" s="10" t="n">
        <v>0.696</v>
      </c>
      <c r="J14" s="6" t="inlineStr"/>
      <c r="K14" s="6" t="inlineStr"/>
      <c r="L14" s="6" t="inlineStr"/>
      <c r="M14" s="9">
        <f>IF(D14="","",ROUND(M13+IF(G14&gt;0,D14*G14,D14*J14),2))</f>
        <v/>
      </c>
      <c r="N14" s="9">
        <f>IF(D14="","",ROUND(N13+IF(H14&gt;0,D14*H14,D14*K14),2))</f>
        <v/>
      </c>
      <c r="O14" s="9">
        <f>IF(D14="","",ROUND(O13+IF(I14&gt;0,D14*I14,D14*L14),2))</f>
        <v/>
      </c>
      <c r="P14" s="11">
        <f>IF(M14="","",IF(INT(M14/50)&gt;INT(M13/50),"Lần " &amp; INT(M14/50),""))</f>
        <v/>
      </c>
      <c r="Q14" s="12">
        <f>IF(N14="","",IF(INT(N14/200)&gt;INT(N13/200),"Lần " &amp; INT(N14/200),""))</f>
        <v/>
      </c>
      <c r="R14" s="11">
        <f>IF(O14="","",IF(INT(O14/350)&gt;INT(O13/350),"Lần " &amp; INT(O14/350),""))</f>
        <v/>
      </c>
      <c r="S14" s="6" t="inlineStr"/>
      <c r="T14" s="9" t="inlineStr"/>
    </row>
    <row r="15" ht="20" customHeight="1">
      <c r="A15" s="6" t="n">
        <v>12</v>
      </c>
      <c r="B15" s="7" t="inlineStr">
        <is>
          <t>Bê tông cọc khoan nhồi - C5 trụ T1 (L=40m)</t>
        </is>
      </c>
      <c r="C15" s="8" t="n"/>
      <c r="D15" s="9" t="n">
        <v>47.01</v>
      </c>
      <c r="E15" s="8">
        <f>IF(C15="","",C15+7)</f>
        <v/>
      </c>
      <c r="F15" s="8">
        <f>IF(C15="","",C15+28)</f>
        <v/>
      </c>
      <c r="G15" s="10" t="n">
        <v>0.445</v>
      </c>
      <c r="H15" s="10" t="n">
        <v>0.525</v>
      </c>
      <c r="I15" s="10" t="n">
        <v>0.696</v>
      </c>
      <c r="J15" s="6" t="inlineStr"/>
      <c r="K15" s="6" t="inlineStr"/>
      <c r="L15" s="6" t="inlineStr"/>
      <c r="M15" s="9">
        <f>IF(D15="","",ROUND(M14+IF(G15&gt;0,D15*G15,D15*J15),2))</f>
        <v/>
      </c>
      <c r="N15" s="9">
        <f>IF(D15="","",ROUND(N14+IF(H15&gt;0,D15*H15,D15*K15),2))</f>
        <v/>
      </c>
      <c r="O15" s="9">
        <f>IF(D15="","",ROUND(O14+IF(I15&gt;0,D15*I15,D15*L15),2))</f>
        <v/>
      </c>
      <c r="P15" s="11">
        <f>IF(M15="","",IF(INT(M15/50)&gt;INT(M14/50),"Lần " &amp; INT(M15/50),""))</f>
        <v/>
      </c>
      <c r="Q15" s="12">
        <f>IF(N15="","",IF(INT(N15/200)&gt;INT(N14/200),"Lần " &amp; INT(N15/200),""))</f>
        <v/>
      </c>
      <c r="R15" s="11">
        <f>IF(O15="","",IF(INT(O15/350)&gt;INT(O14/350),"Lần " &amp; INT(O15/350),""))</f>
        <v/>
      </c>
      <c r="S15" s="6" t="inlineStr"/>
      <c r="T15" s="9" t="inlineStr"/>
    </row>
    <row r="16" ht="20" customHeight="1">
      <c r="A16" s="6" t="n">
        <v>13</v>
      </c>
      <c r="B16" s="7" t="inlineStr">
        <is>
          <t>Bê tông cọc khoan nhồi - C6 trụ T1 (L=40m)</t>
        </is>
      </c>
      <c r="C16" s="8" t="n"/>
      <c r="D16" s="9" t="n">
        <v>47.01</v>
      </c>
      <c r="E16" s="8">
        <f>IF(C16="","",C16+7)</f>
        <v/>
      </c>
      <c r="F16" s="8">
        <f>IF(C16="","",C16+28)</f>
        <v/>
      </c>
      <c r="G16" s="10" t="n">
        <v>0.445</v>
      </c>
      <c r="H16" s="10" t="n">
        <v>0.525</v>
      </c>
      <c r="I16" s="10" t="n">
        <v>0.696</v>
      </c>
      <c r="J16" s="6" t="inlineStr"/>
      <c r="K16" s="6" t="inlineStr"/>
      <c r="L16" s="6" t="inlineStr"/>
      <c r="M16" s="9">
        <f>IF(D16="","",ROUND(M15+IF(G16&gt;0,D16*G16,D16*J16),2))</f>
        <v/>
      </c>
      <c r="N16" s="9">
        <f>IF(D16="","",ROUND(N15+IF(H16&gt;0,D16*H16,D16*K16),2))</f>
        <v/>
      </c>
      <c r="O16" s="9">
        <f>IF(D16="","",ROUND(O15+IF(I16&gt;0,D16*I16,D16*L16),2))</f>
        <v/>
      </c>
      <c r="P16" s="11">
        <f>IF(M16="","",IF(INT(M16/50)&gt;INT(M15/50),"Lần " &amp; INT(M16/50),""))</f>
        <v/>
      </c>
      <c r="Q16" s="12">
        <f>IF(N16="","",IF(INT(N16/200)&gt;INT(N15/200),"Lần " &amp; INT(N16/200),""))</f>
        <v/>
      </c>
      <c r="R16" s="11">
        <f>IF(O16="","",IF(INT(O16/350)&gt;INT(O15/350),"Lần " &amp; INT(O16/350),""))</f>
        <v/>
      </c>
      <c r="S16" s="6" t="inlineStr"/>
      <c r="T16" s="9" t="inlineStr"/>
    </row>
    <row r="17" ht="20" customHeight="1">
      <c r="A17" s="6" t="n">
        <v>14</v>
      </c>
      <c r="B17" s="7" t="inlineStr">
        <is>
          <t>Bê tông cọc khoan nhồi - C7 trụ T1 (L=40m)</t>
        </is>
      </c>
      <c r="C17" s="8" t="n"/>
      <c r="D17" s="9" t="n">
        <v>47.01</v>
      </c>
      <c r="E17" s="8">
        <f>IF(C17="","",C17+7)</f>
        <v/>
      </c>
      <c r="F17" s="8">
        <f>IF(C17="","",C17+28)</f>
        <v/>
      </c>
      <c r="G17" s="10" t="n">
        <v>0.445</v>
      </c>
      <c r="H17" s="10" t="n">
        <v>0.525</v>
      </c>
      <c r="I17" s="10" t="n">
        <v>0.696</v>
      </c>
      <c r="J17" s="6" t="inlineStr"/>
      <c r="K17" s="6" t="inlineStr"/>
      <c r="L17" s="6" t="inlineStr"/>
      <c r="M17" s="9">
        <f>IF(D17="","",ROUND(M16+IF(G17&gt;0,D17*G17,D17*J17),2))</f>
        <v/>
      </c>
      <c r="N17" s="9">
        <f>IF(D17="","",ROUND(N16+IF(H17&gt;0,D17*H17,D17*K17),2))</f>
        <v/>
      </c>
      <c r="O17" s="9">
        <f>IF(D17="","",ROUND(O16+IF(I17&gt;0,D17*I17,D17*L17),2))</f>
        <v/>
      </c>
      <c r="P17" s="11">
        <f>IF(M17="","",IF(INT(M17/50)&gt;INT(M16/50),"Lần " &amp; INT(M17/50),""))</f>
        <v/>
      </c>
      <c r="Q17" s="12">
        <f>IF(N17="","",IF(INT(N17/200)&gt;INT(N16/200),"Lần " &amp; INT(N17/200),""))</f>
        <v/>
      </c>
      <c r="R17" s="11">
        <f>IF(O17="","",IF(INT(O17/350)&gt;INT(O16/350),"Lần " &amp; INT(O17/350),""))</f>
        <v/>
      </c>
      <c r="S17" s="6" t="inlineStr"/>
      <c r="T17" s="9" t="inlineStr"/>
    </row>
    <row r="18" ht="20" customHeight="1">
      <c r="A18" s="6" t="n">
        <v>15</v>
      </c>
      <c r="B18" s="7" t="inlineStr">
        <is>
          <t>Bê tông cọc khoan nhồi - C8 trụ T1 (L=40m)</t>
        </is>
      </c>
      <c r="C18" s="8" t="n"/>
      <c r="D18" s="9" t="n">
        <v>47.01</v>
      </c>
      <c r="E18" s="8">
        <f>IF(C18="","",C18+7)</f>
        <v/>
      </c>
      <c r="F18" s="8">
        <f>IF(C18="","",C18+28)</f>
        <v/>
      </c>
      <c r="G18" s="10" t="n">
        <v>0.445</v>
      </c>
      <c r="H18" s="10" t="n">
        <v>0.525</v>
      </c>
      <c r="I18" s="10" t="n">
        <v>0.696</v>
      </c>
      <c r="J18" s="6" t="inlineStr"/>
      <c r="K18" s="6" t="inlineStr"/>
      <c r="L18" s="6" t="inlineStr"/>
      <c r="M18" s="9">
        <f>IF(D18="","",ROUND(M17+IF(G18&gt;0,D18*G18,D18*J18),2))</f>
        <v/>
      </c>
      <c r="N18" s="9">
        <f>IF(D18="","",ROUND(N17+IF(H18&gt;0,D18*H18,D18*K18),2))</f>
        <v/>
      </c>
      <c r="O18" s="9">
        <f>IF(D18="","",ROUND(O17+IF(I18&gt;0,D18*I18,D18*L18),2))</f>
        <v/>
      </c>
      <c r="P18" s="11">
        <f>IF(M18="","",IF(INT(M18/50)&gt;INT(M17/50),"Lần " &amp; INT(M18/50),""))</f>
        <v/>
      </c>
      <c r="Q18" s="12">
        <f>IF(N18="","",IF(INT(N18/200)&gt;INT(N17/200),"Lần " &amp; INT(N18/200),""))</f>
        <v/>
      </c>
      <c r="R18" s="11">
        <f>IF(O18="","",IF(INT(O18/350)&gt;INT(O17/350),"Lần " &amp; INT(O18/350),""))</f>
        <v/>
      </c>
      <c r="S18" s="6" t="inlineStr"/>
      <c r="T18" s="9" t="inlineStr"/>
    </row>
    <row r="19" ht="20" customHeight="1">
      <c r="A19" s="6" t="n">
        <v>16</v>
      </c>
      <c r="B19" s="7" t="inlineStr">
        <is>
          <t>Bê tông cọc khoan nhồi - C1 trụ T2 (L=30m)</t>
        </is>
      </c>
      <c r="C19" s="8" t="n"/>
      <c r="D19" s="9" t="n">
        <v>35.86</v>
      </c>
      <c r="E19" s="8">
        <f>IF(C19="","",C19+7)</f>
        <v/>
      </c>
      <c r="F19" s="8">
        <f>IF(C19="","",C19+28)</f>
        <v/>
      </c>
      <c r="G19" s="10" t="n">
        <v>0.445</v>
      </c>
      <c r="H19" s="10" t="n">
        <v>0.525</v>
      </c>
      <c r="I19" s="10" t="n">
        <v>0.696</v>
      </c>
      <c r="J19" s="6" t="inlineStr"/>
      <c r="K19" s="6" t="inlineStr"/>
      <c r="L19" s="6" t="inlineStr"/>
      <c r="M19" s="9">
        <f>IF(D19="","",ROUND(M18+IF(G19&gt;0,D19*G19,D19*J19),2))</f>
        <v/>
      </c>
      <c r="N19" s="9">
        <f>IF(D19="","",ROUND(N18+IF(H19&gt;0,D19*H19,D19*K19),2))</f>
        <v/>
      </c>
      <c r="O19" s="9">
        <f>IF(D19="","",ROUND(O18+IF(I19&gt;0,D19*I19,D19*L19),2))</f>
        <v/>
      </c>
      <c r="P19" s="11">
        <f>IF(M19="","",IF(INT(M19/50)&gt;INT(M18/50),"Lần " &amp; INT(M19/50),""))</f>
        <v/>
      </c>
      <c r="Q19" s="12">
        <f>IF(N19="","",IF(INT(N19/200)&gt;INT(N18/200),"Lần " &amp; INT(N19/200),""))</f>
        <v/>
      </c>
      <c r="R19" s="11">
        <f>IF(O19="","",IF(INT(O19/350)&gt;INT(O18/350),"Lần " &amp; INT(O19/350),""))</f>
        <v/>
      </c>
      <c r="S19" s="6" t="inlineStr"/>
      <c r="T19" s="9" t="inlineStr"/>
    </row>
    <row r="20" ht="20" customHeight="1">
      <c r="A20" s="6" t="n">
        <v>17</v>
      </c>
      <c r="B20" s="7" t="inlineStr">
        <is>
          <t>Bê tông cọc khoan nhồi - C2 trụ T2 (L=30m)</t>
        </is>
      </c>
      <c r="C20" s="8" t="n"/>
      <c r="D20" s="9" t="n">
        <v>35.86</v>
      </c>
      <c r="E20" s="8">
        <f>IF(C20="","",C20+7)</f>
        <v/>
      </c>
      <c r="F20" s="8">
        <f>IF(C20="","",C20+28)</f>
        <v/>
      </c>
      <c r="G20" s="10" t="n">
        <v>0.445</v>
      </c>
      <c r="H20" s="10" t="n">
        <v>0.525</v>
      </c>
      <c r="I20" s="10" t="n">
        <v>0.696</v>
      </c>
      <c r="J20" s="6" t="inlineStr"/>
      <c r="K20" s="6" t="inlineStr"/>
      <c r="L20" s="6" t="inlineStr"/>
      <c r="M20" s="9">
        <f>IF(D20="","",ROUND(M19+IF(G20&gt;0,D20*G20,D20*J20),2))</f>
        <v/>
      </c>
      <c r="N20" s="9">
        <f>IF(D20="","",ROUND(N19+IF(H20&gt;0,D20*H20,D20*K20),2))</f>
        <v/>
      </c>
      <c r="O20" s="9">
        <f>IF(D20="","",ROUND(O19+IF(I20&gt;0,D20*I20,D20*L20),2))</f>
        <v/>
      </c>
      <c r="P20" s="11">
        <f>IF(M20="","",IF(INT(M20/50)&gt;INT(M19/50),"Lần " &amp; INT(M20/50),""))</f>
        <v/>
      </c>
      <c r="Q20" s="12">
        <f>IF(N20="","",IF(INT(N20/200)&gt;INT(N19/200),"Lần " &amp; INT(N20/200),""))</f>
        <v/>
      </c>
      <c r="R20" s="11">
        <f>IF(O20="","",IF(INT(O20/350)&gt;INT(O19/350),"Lần " &amp; INT(O20/350),""))</f>
        <v/>
      </c>
      <c r="S20" s="6" t="inlineStr"/>
      <c r="T20" s="9" t="inlineStr"/>
    </row>
    <row r="21" ht="20" customHeight="1">
      <c r="A21" s="6" t="n">
        <v>18</v>
      </c>
      <c r="B21" s="7" t="inlineStr">
        <is>
          <t>Bê tông cọc khoan nhồi - C3 trụ T2 (L=30m)</t>
        </is>
      </c>
      <c r="C21" s="8" t="n"/>
      <c r="D21" s="9" t="n">
        <v>35.86</v>
      </c>
      <c r="E21" s="8">
        <f>IF(C21="","",C21+7)</f>
        <v/>
      </c>
      <c r="F21" s="8">
        <f>IF(C21="","",C21+28)</f>
        <v/>
      </c>
      <c r="G21" s="10" t="n">
        <v>0.445</v>
      </c>
      <c r="H21" s="10" t="n">
        <v>0.525</v>
      </c>
      <c r="I21" s="10" t="n">
        <v>0.696</v>
      </c>
      <c r="J21" s="6" t="inlineStr"/>
      <c r="K21" s="6" t="inlineStr"/>
      <c r="L21" s="6" t="inlineStr"/>
      <c r="M21" s="9">
        <f>IF(D21="","",ROUND(M20+IF(G21&gt;0,D21*G21,D21*J21),2))</f>
        <v/>
      </c>
      <c r="N21" s="9">
        <f>IF(D21="","",ROUND(N20+IF(H21&gt;0,D21*H21,D21*K21),2))</f>
        <v/>
      </c>
      <c r="O21" s="9">
        <f>IF(D21="","",ROUND(O20+IF(I21&gt;0,D21*I21,D21*L21),2))</f>
        <v/>
      </c>
      <c r="P21" s="11">
        <f>IF(M21="","",IF(INT(M21/50)&gt;INT(M20/50),"Lần " &amp; INT(M21/50),""))</f>
        <v/>
      </c>
      <c r="Q21" s="12">
        <f>IF(N21="","",IF(INT(N21/200)&gt;INT(N20/200),"Lần " &amp; INT(N21/200),""))</f>
        <v/>
      </c>
      <c r="R21" s="11">
        <f>IF(O21="","",IF(INT(O21/350)&gt;INT(O20/350),"Lần " &amp; INT(O21/350),""))</f>
        <v/>
      </c>
      <c r="S21" s="6" t="inlineStr"/>
      <c r="T21" s="9" t="inlineStr"/>
    </row>
    <row r="22" ht="20" customHeight="1">
      <c r="A22" s="6" t="n">
        <v>19</v>
      </c>
      <c r="B22" s="7" t="inlineStr">
        <is>
          <t>Bê tông cọc khoan nhồi - C4 trụ T2 (L=30m)</t>
        </is>
      </c>
      <c r="C22" s="8" t="n"/>
      <c r="D22" s="9" t="n">
        <v>35.86</v>
      </c>
      <c r="E22" s="8">
        <f>IF(C22="","",C22+7)</f>
        <v/>
      </c>
      <c r="F22" s="8">
        <f>IF(C22="","",C22+28)</f>
        <v/>
      </c>
      <c r="G22" s="10" t="n">
        <v>0.445</v>
      </c>
      <c r="H22" s="10" t="n">
        <v>0.525</v>
      </c>
      <c r="I22" s="10" t="n">
        <v>0.696</v>
      </c>
      <c r="J22" s="6" t="inlineStr"/>
      <c r="K22" s="6" t="inlineStr"/>
      <c r="L22" s="6" t="inlineStr"/>
      <c r="M22" s="9">
        <f>IF(D22="","",ROUND(M21+IF(G22&gt;0,D22*G22,D22*J22),2))</f>
        <v/>
      </c>
      <c r="N22" s="9">
        <f>IF(D22="","",ROUND(N21+IF(H22&gt;0,D22*H22,D22*K22),2))</f>
        <v/>
      </c>
      <c r="O22" s="9">
        <f>IF(D22="","",ROUND(O21+IF(I22&gt;0,D22*I22,D22*L22),2))</f>
        <v/>
      </c>
      <c r="P22" s="11">
        <f>IF(M22="","",IF(INT(M22/50)&gt;INT(M21/50),"Lần " &amp; INT(M22/50),""))</f>
        <v/>
      </c>
      <c r="Q22" s="12">
        <f>IF(N22="","",IF(INT(N22/200)&gt;INT(N21/200),"Lần " &amp; INT(N22/200),""))</f>
        <v/>
      </c>
      <c r="R22" s="11">
        <f>IF(O22="","",IF(INT(O22/350)&gt;INT(O21/350),"Lần " &amp; INT(O22/350),""))</f>
        <v/>
      </c>
      <c r="S22" s="6" t="inlineStr"/>
      <c r="T22" s="9" t="inlineStr"/>
    </row>
    <row r="23" ht="20" customHeight="1">
      <c r="A23" s="6" t="n">
        <v>20</v>
      </c>
      <c r="B23" s="7" t="inlineStr">
        <is>
          <t>Bê tông cọc khoan nhồi - C5 trụ T2 (L=30m)</t>
        </is>
      </c>
      <c r="C23" s="8" t="n"/>
      <c r="D23" s="9" t="n">
        <v>35.86</v>
      </c>
      <c r="E23" s="8">
        <f>IF(C23="","",C23+7)</f>
        <v/>
      </c>
      <c r="F23" s="8">
        <f>IF(C23="","",C23+28)</f>
        <v/>
      </c>
      <c r="G23" s="10" t="n">
        <v>0.445</v>
      </c>
      <c r="H23" s="10" t="n">
        <v>0.525</v>
      </c>
      <c r="I23" s="10" t="n">
        <v>0.696</v>
      </c>
      <c r="J23" s="6" t="inlineStr"/>
      <c r="K23" s="6" t="inlineStr"/>
      <c r="L23" s="6" t="inlineStr"/>
      <c r="M23" s="9">
        <f>IF(D23="","",ROUND(M22+IF(G23&gt;0,D23*G23,D23*J23),2))</f>
        <v/>
      </c>
      <c r="N23" s="9">
        <f>IF(D23="","",ROUND(N22+IF(H23&gt;0,D23*H23,D23*K23),2))</f>
        <v/>
      </c>
      <c r="O23" s="9">
        <f>IF(D23="","",ROUND(O22+IF(I23&gt;0,D23*I23,D23*L23),2))</f>
        <v/>
      </c>
      <c r="P23" s="11">
        <f>IF(M23="","",IF(INT(M23/50)&gt;INT(M22/50),"Lần " &amp; INT(M23/50),""))</f>
        <v/>
      </c>
      <c r="Q23" s="12">
        <f>IF(N23="","",IF(INT(N23/200)&gt;INT(N22/200),"Lần " &amp; INT(N23/200),""))</f>
        <v/>
      </c>
      <c r="R23" s="11">
        <f>IF(O23="","",IF(INT(O23/350)&gt;INT(O22/350),"Lần " &amp; INT(O23/350),""))</f>
        <v/>
      </c>
      <c r="S23" s="6" t="inlineStr"/>
      <c r="T23" s="9" t="inlineStr"/>
    </row>
    <row r="24" ht="20" customHeight="1">
      <c r="A24" s="6" t="n">
        <v>21</v>
      </c>
      <c r="B24" s="7" t="inlineStr">
        <is>
          <t>Bê tông cọc khoan nhồi - C6 trụ T2 (L=30m)</t>
        </is>
      </c>
      <c r="C24" s="8" t="n"/>
      <c r="D24" s="9" t="n">
        <v>35.86</v>
      </c>
      <c r="E24" s="8">
        <f>IF(C24="","",C24+7)</f>
        <v/>
      </c>
      <c r="F24" s="8">
        <f>IF(C24="","",C24+28)</f>
        <v/>
      </c>
      <c r="G24" s="10" t="n">
        <v>0.445</v>
      </c>
      <c r="H24" s="10" t="n">
        <v>0.525</v>
      </c>
      <c r="I24" s="10" t="n">
        <v>0.696</v>
      </c>
      <c r="J24" s="6" t="inlineStr"/>
      <c r="K24" s="6" t="inlineStr"/>
      <c r="L24" s="6" t="inlineStr"/>
      <c r="M24" s="9">
        <f>IF(D24="","",ROUND(M23+IF(G24&gt;0,D24*G24,D24*J24),2))</f>
        <v/>
      </c>
      <c r="N24" s="9">
        <f>IF(D24="","",ROUND(N23+IF(H24&gt;0,D24*H24,D24*K24),2))</f>
        <v/>
      </c>
      <c r="O24" s="9">
        <f>IF(D24="","",ROUND(O23+IF(I24&gt;0,D24*I24,D24*L24),2))</f>
        <v/>
      </c>
      <c r="P24" s="11">
        <f>IF(M24="","",IF(INT(M24/50)&gt;INT(M23/50),"Lần " &amp; INT(M24/50),""))</f>
        <v/>
      </c>
      <c r="Q24" s="12">
        <f>IF(N24="","",IF(INT(N24/200)&gt;INT(N23/200),"Lần " &amp; INT(N24/200),""))</f>
        <v/>
      </c>
      <c r="R24" s="11">
        <f>IF(O24="","",IF(INT(O24/350)&gt;INT(O23/350),"Lần " &amp; INT(O24/350),""))</f>
        <v/>
      </c>
      <c r="S24" s="6" t="inlineStr"/>
      <c r="T24" s="9" t="inlineStr"/>
    </row>
    <row r="25" ht="20" customHeight="1">
      <c r="A25" s="6" t="n">
        <v>22</v>
      </c>
      <c r="B25" s="7" t="inlineStr">
        <is>
          <t>Bê tông cọc khoan nhồi - C7 trụ T2 (L=30m)</t>
        </is>
      </c>
      <c r="C25" s="8" t="n"/>
      <c r="D25" s="9" t="n">
        <v>35.86</v>
      </c>
      <c r="E25" s="8">
        <f>IF(C25="","",C25+7)</f>
        <v/>
      </c>
      <c r="F25" s="8">
        <f>IF(C25="","",C25+28)</f>
        <v/>
      </c>
      <c r="G25" s="10" t="n">
        <v>0.445</v>
      </c>
      <c r="H25" s="10" t="n">
        <v>0.525</v>
      </c>
      <c r="I25" s="10" t="n">
        <v>0.696</v>
      </c>
      <c r="J25" s="6" t="inlineStr"/>
      <c r="K25" s="6" t="inlineStr"/>
      <c r="L25" s="6" t="inlineStr"/>
      <c r="M25" s="9">
        <f>IF(D25="","",ROUND(M24+IF(G25&gt;0,D25*G25,D25*J25),2))</f>
        <v/>
      </c>
      <c r="N25" s="9">
        <f>IF(D25="","",ROUND(N24+IF(H25&gt;0,D25*H25,D25*K25),2))</f>
        <v/>
      </c>
      <c r="O25" s="9">
        <f>IF(D25="","",ROUND(O24+IF(I25&gt;0,D25*I25,D25*L25),2))</f>
        <v/>
      </c>
      <c r="P25" s="11">
        <f>IF(M25="","",IF(INT(M25/50)&gt;INT(M24/50),"Lần " &amp; INT(M25/50),""))</f>
        <v/>
      </c>
      <c r="Q25" s="12">
        <f>IF(N25="","",IF(INT(N25/200)&gt;INT(N24/200),"Lần " &amp; INT(N25/200),""))</f>
        <v/>
      </c>
      <c r="R25" s="11">
        <f>IF(O25="","",IF(INT(O25/350)&gt;INT(O24/350),"Lần " &amp; INT(O25/350),""))</f>
        <v/>
      </c>
      <c r="S25" s="6" t="inlineStr"/>
      <c r="T25" s="9" t="inlineStr"/>
    </row>
    <row r="26" ht="20" customHeight="1">
      <c r="A26" s="6" t="n">
        <v>23</v>
      </c>
      <c r="B26" s="7" t="inlineStr">
        <is>
          <t>Bê tông cọc khoan nhồi - C8 trụ T2 (L=30m)</t>
        </is>
      </c>
      <c r="C26" s="8" t="n"/>
      <c r="D26" s="9" t="n">
        <v>35.86</v>
      </c>
      <c r="E26" s="8">
        <f>IF(C26="","",C26+7)</f>
        <v/>
      </c>
      <c r="F26" s="8">
        <f>IF(C26="","",C26+28)</f>
        <v/>
      </c>
      <c r="G26" s="10" t="n">
        <v>0.445</v>
      </c>
      <c r="H26" s="10" t="n">
        <v>0.525</v>
      </c>
      <c r="I26" s="10" t="n">
        <v>0.696</v>
      </c>
      <c r="J26" s="6" t="inlineStr"/>
      <c r="K26" s="6" t="inlineStr"/>
      <c r="L26" s="6" t="inlineStr"/>
      <c r="M26" s="9">
        <f>IF(D26="","",ROUND(M25+IF(G26&gt;0,D26*G26,D26*J26),2))</f>
        <v/>
      </c>
      <c r="N26" s="9">
        <f>IF(D26="","",ROUND(N25+IF(H26&gt;0,D26*H26,D26*K26),2))</f>
        <v/>
      </c>
      <c r="O26" s="9">
        <f>IF(D26="","",ROUND(O25+IF(I26&gt;0,D26*I26,D26*L26),2))</f>
        <v/>
      </c>
      <c r="P26" s="11">
        <f>IF(M26="","",IF(INT(M26/50)&gt;INT(M25/50),"Lần " &amp; INT(M26/50),""))</f>
        <v/>
      </c>
      <c r="Q26" s="12">
        <f>IF(N26="","",IF(INT(N26/200)&gt;INT(N25/200),"Lần " &amp; INT(N26/200),""))</f>
        <v/>
      </c>
      <c r="R26" s="11">
        <f>IF(O26="","",IF(INT(O26/350)&gt;INT(O25/350),"Lần " &amp; INT(O26/350),""))</f>
        <v/>
      </c>
      <c r="S26" s="6" t="inlineStr"/>
      <c r="T26" s="9" t="inlineStr"/>
    </row>
    <row r="27" ht="20" customHeight="1">
      <c r="A27" s="6" t="n">
        <v>24</v>
      </c>
      <c r="B27" s="7" t="inlineStr">
        <is>
          <t>Bê tông cọc khoan nhồi - C1 mố M2 (L=36m)</t>
        </is>
      </c>
      <c r="C27" s="8" t="n"/>
      <c r="D27" s="9" t="n">
        <v>42.83</v>
      </c>
      <c r="E27" s="8">
        <f>IF(C27="","",C27+7)</f>
        <v/>
      </c>
      <c r="F27" s="8">
        <f>IF(C27="","",C27+28)</f>
        <v/>
      </c>
      <c r="G27" s="10" t="n">
        <v>0.445</v>
      </c>
      <c r="H27" s="10" t="n">
        <v>0.525</v>
      </c>
      <c r="I27" s="10" t="n">
        <v>0.696</v>
      </c>
      <c r="J27" s="6" t="inlineStr"/>
      <c r="K27" s="6" t="inlineStr"/>
      <c r="L27" s="6" t="inlineStr"/>
      <c r="M27" s="9">
        <f>IF(D27="","",ROUND(M26+IF(G27&gt;0,D27*G27,D27*J27),2))</f>
        <v/>
      </c>
      <c r="N27" s="9">
        <f>IF(D27="","",ROUND(N26+IF(H27&gt;0,D27*H27,D27*K27),2))</f>
        <v/>
      </c>
      <c r="O27" s="9">
        <f>IF(D27="","",ROUND(O26+IF(I27&gt;0,D27*I27,D27*L27),2))</f>
        <v/>
      </c>
      <c r="P27" s="11">
        <f>IF(M27="","",IF(INT(M27/50)&gt;INT(M26/50),"Lần " &amp; INT(M27/50),""))</f>
        <v/>
      </c>
      <c r="Q27" s="12">
        <f>IF(N27="","",IF(INT(N27/200)&gt;INT(N26/200),"Lần " &amp; INT(N27/200),""))</f>
        <v/>
      </c>
      <c r="R27" s="11">
        <f>IF(O27="","",IF(INT(O27/350)&gt;INT(O26/350),"Lần " &amp; INT(O27/350),""))</f>
        <v/>
      </c>
      <c r="S27" s="6" t="inlineStr"/>
      <c r="T27" s="9" t="inlineStr"/>
    </row>
    <row r="28" ht="20" customHeight="1">
      <c r="A28" s="6" t="n">
        <v>25</v>
      </c>
      <c r="B28" s="7" t="inlineStr">
        <is>
          <t>Bê tông cọc khoan nhồi - C2 mố M2 (L=36m)</t>
        </is>
      </c>
      <c r="C28" s="8" t="n"/>
      <c r="D28" s="9" t="n">
        <v>42.83</v>
      </c>
      <c r="E28" s="8">
        <f>IF(C28="","",C28+7)</f>
        <v/>
      </c>
      <c r="F28" s="8">
        <f>IF(C28="","",C28+28)</f>
        <v/>
      </c>
      <c r="G28" s="10" t="n">
        <v>0.445</v>
      </c>
      <c r="H28" s="10" t="n">
        <v>0.525</v>
      </c>
      <c r="I28" s="10" t="n">
        <v>0.696</v>
      </c>
      <c r="J28" s="6" t="inlineStr"/>
      <c r="K28" s="6" t="inlineStr"/>
      <c r="L28" s="6" t="inlineStr"/>
      <c r="M28" s="9">
        <f>IF(D28="","",ROUND(M27+IF(G28&gt;0,D28*G28,D28*J28),2))</f>
        <v/>
      </c>
      <c r="N28" s="9">
        <f>IF(D28="","",ROUND(N27+IF(H28&gt;0,D28*H28,D28*K28),2))</f>
        <v/>
      </c>
      <c r="O28" s="9">
        <f>IF(D28="","",ROUND(O27+IF(I28&gt;0,D28*I28,D28*L28),2))</f>
        <v/>
      </c>
      <c r="P28" s="11">
        <f>IF(M28="","",IF(INT(M28/50)&gt;INT(M27/50),"Lần " &amp; INT(M28/50),""))</f>
        <v/>
      </c>
      <c r="Q28" s="12">
        <f>IF(N28="","",IF(INT(N28/200)&gt;INT(N27/200),"Lần " &amp; INT(N28/200),""))</f>
        <v/>
      </c>
      <c r="R28" s="11">
        <f>IF(O28="","",IF(INT(O28/350)&gt;INT(O27/350),"Lần " &amp; INT(O28/350),""))</f>
        <v/>
      </c>
      <c r="S28" s="6" t="inlineStr"/>
      <c r="T28" s="9" t="inlineStr"/>
    </row>
    <row r="29" ht="20" customHeight="1">
      <c r="A29" s="6" t="n">
        <v>26</v>
      </c>
      <c r="B29" s="7" t="inlineStr">
        <is>
          <t>Bê tông cọc khoan nhồi - C3 mố M2 (L=36m)</t>
        </is>
      </c>
      <c r="C29" s="8" t="n"/>
      <c r="D29" s="9" t="n">
        <v>42.83</v>
      </c>
      <c r="E29" s="8">
        <f>IF(C29="","",C29+7)</f>
        <v/>
      </c>
      <c r="F29" s="8">
        <f>IF(C29="","",C29+28)</f>
        <v/>
      </c>
      <c r="G29" s="10" t="n">
        <v>0.445</v>
      </c>
      <c r="H29" s="10" t="n">
        <v>0.525</v>
      </c>
      <c r="I29" s="10" t="n">
        <v>0.696</v>
      </c>
      <c r="J29" s="6" t="inlineStr"/>
      <c r="K29" s="6" t="inlineStr"/>
      <c r="L29" s="6" t="inlineStr"/>
      <c r="M29" s="9">
        <f>IF(D29="","",ROUND(M28+IF(G29&gt;0,D29*G29,D29*J29),2))</f>
        <v/>
      </c>
      <c r="N29" s="9">
        <f>IF(D29="","",ROUND(N28+IF(H29&gt;0,D29*H29,D29*K29),2))</f>
        <v/>
      </c>
      <c r="O29" s="9">
        <f>IF(D29="","",ROUND(O28+IF(I29&gt;0,D29*I29,D29*L29),2))</f>
        <v/>
      </c>
      <c r="P29" s="11">
        <f>IF(M29="","",IF(INT(M29/50)&gt;INT(M28/50),"Lần " &amp; INT(M29/50),""))</f>
        <v/>
      </c>
      <c r="Q29" s="12">
        <f>IF(N29="","",IF(INT(N29/200)&gt;INT(N28/200),"Lần " &amp; INT(N29/200),""))</f>
        <v/>
      </c>
      <c r="R29" s="11">
        <f>IF(O29="","",IF(INT(O29/350)&gt;INT(O28/350),"Lần " &amp; INT(O29/350),""))</f>
        <v/>
      </c>
      <c r="S29" s="6" t="inlineStr"/>
      <c r="T29" s="9" t="inlineStr"/>
    </row>
    <row r="30" ht="20" customHeight="1">
      <c r="A30" s="6" t="n">
        <v>27</v>
      </c>
      <c r="B30" s="7" t="inlineStr">
        <is>
          <t>Bê tông cọc khoan nhồi - C4 mố M2 (L=36m)</t>
        </is>
      </c>
      <c r="C30" s="8" t="n"/>
      <c r="D30" s="9" t="n">
        <v>42.83</v>
      </c>
      <c r="E30" s="8">
        <f>IF(C30="","",C30+7)</f>
        <v/>
      </c>
      <c r="F30" s="8">
        <f>IF(C30="","",C30+28)</f>
        <v/>
      </c>
      <c r="G30" s="10" t="n">
        <v>0.445</v>
      </c>
      <c r="H30" s="10" t="n">
        <v>0.525</v>
      </c>
      <c r="I30" s="10" t="n">
        <v>0.696</v>
      </c>
      <c r="J30" s="6" t="inlineStr"/>
      <c r="K30" s="6" t="inlineStr"/>
      <c r="L30" s="6" t="inlineStr"/>
      <c r="M30" s="9">
        <f>IF(D30="","",ROUND(M29+IF(G30&gt;0,D30*G30,D30*J30),2))</f>
        <v/>
      </c>
      <c r="N30" s="9">
        <f>IF(D30="","",ROUND(N29+IF(H30&gt;0,D30*H30,D30*K30),2))</f>
        <v/>
      </c>
      <c r="O30" s="9">
        <f>IF(D30="","",ROUND(O29+IF(I30&gt;0,D30*I30,D30*L30),2))</f>
        <v/>
      </c>
      <c r="P30" s="11">
        <f>IF(M30="","",IF(INT(M30/50)&gt;INT(M29/50),"Lần " &amp; INT(M30/50),""))</f>
        <v/>
      </c>
      <c r="Q30" s="12">
        <f>IF(N30="","",IF(INT(N30/200)&gt;INT(N29/200),"Lần " &amp; INT(N30/200),""))</f>
        <v/>
      </c>
      <c r="R30" s="11">
        <f>IF(O30="","",IF(INT(O30/350)&gt;INT(O29/350),"Lần " &amp; INT(O30/350),""))</f>
        <v/>
      </c>
      <c r="S30" s="6" t="inlineStr"/>
      <c r="T30" s="9" t="inlineStr"/>
    </row>
    <row r="31" ht="20" customHeight="1">
      <c r="A31" s="6" t="n">
        <v>28</v>
      </c>
      <c r="B31" s="7" t="inlineStr">
        <is>
          <t>Bê tông cọc khoan nhồi - C5 mố M2 (L=36m)</t>
        </is>
      </c>
      <c r="C31" s="8" t="n"/>
      <c r="D31" s="9" t="n">
        <v>42.83</v>
      </c>
      <c r="E31" s="8">
        <f>IF(C31="","",C31+7)</f>
        <v/>
      </c>
      <c r="F31" s="8">
        <f>IF(C31="","",C31+28)</f>
        <v/>
      </c>
      <c r="G31" s="10" t="n">
        <v>0.445</v>
      </c>
      <c r="H31" s="10" t="n">
        <v>0.525</v>
      </c>
      <c r="I31" s="10" t="n">
        <v>0.696</v>
      </c>
      <c r="J31" s="6" t="inlineStr"/>
      <c r="K31" s="6" t="inlineStr"/>
      <c r="L31" s="6" t="inlineStr"/>
      <c r="M31" s="9">
        <f>IF(D31="","",ROUND(M30+IF(G31&gt;0,D31*G31,D31*J31),2))</f>
        <v/>
      </c>
      <c r="N31" s="9">
        <f>IF(D31="","",ROUND(N30+IF(H31&gt;0,D31*H31,D31*K31),2))</f>
        <v/>
      </c>
      <c r="O31" s="9">
        <f>IF(D31="","",ROUND(O30+IF(I31&gt;0,D31*I31,D31*L31),2))</f>
        <v/>
      </c>
      <c r="P31" s="11">
        <f>IF(M31="","",IF(INT(M31/50)&gt;INT(M30/50),"Lần " &amp; INT(M31/50),""))</f>
        <v/>
      </c>
      <c r="Q31" s="12">
        <f>IF(N31="","",IF(INT(N31/200)&gt;INT(N30/200),"Lần " &amp; INT(N31/200),""))</f>
        <v/>
      </c>
      <c r="R31" s="11">
        <f>IF(O31="","",IF(INT(O31/350)&gt;INT(O30/350),"Lần " &amp; INT(O31/350),""))</f>
        <v/>
      </c>
      <c r="S31" s="6" t="inlineStr"/>
      <c r="T31" s="9" t="inlineStr"/>
    </row>
    <row r="32" ht="20" customHeight="1">
      <c r="A32" s="6" t="n">
        <v>29</v>
      </c>
      <c r="B32" s="7" t="inlineStr">
        <is>
          <t>Bê tông cọc khoan nhồi - C6 mố M2 (L=36m)</t>
        </is>
      </c>
      <c r="C32" s="8" t="n"/>
      <c r="D32" s="9" t="n">
        <v>42.83</v>
      </c>
      <c r="E32" s="8">
        <f>IF(C32="","",C32+7)</f>
        <v/>
      </c>
      <c r="F32" s="8">
        <f>IF(C32="","",C32+28)</f>
        <v/>
      </c>
      <c r="G32" s="10" t="n">
        <v>0.445</v>
      </c>
      <c r="H32" s="10" t="n">
        <v>0.525</v>
      </c>
      <c r="I32" s="10" t="n">
        <v>0.696</v>
      </c>
      <c r="J32" s="6" t="inlineStr"/>
      <c r="K32" s="6" t="inlineStr"/>
      <c r="L32" s="6" t="inlineStr"/>
      <c r="M32" s="9">
        <f>IF(D32="","",ROUND(M31+IF(G32&gt;0,D32*G32,D32*J32),2))</f>
        <v/>
      </c>
      <c r="N32" s="9">
        <f>IF(D32="","",ROUND(N31+IF(H32&gt;0,D32*H32,D32*K32),2))</f>
        <v/>
      </c>
      <c r="O32" s="9">
        <f>IF(D32="","",ROUND(O31+IF(I32&gt;0,D32*I32,D32*L32),2))</f>
        <v/>
      </c>
      <c r="P32" s="11">
        <f>IF(M32="","",IF(INT(M32/50)&gt;INT(M31/50),"Lần " &amp; INT(M32/50),""))</f>
        <v/>
      </c>
      <c r="Q32" s="12">
        <f>IF(N32="","",IF(INT(N32/200)&gt;INT(N31/200),"Lần " &amp; INT(N32/200),""))</f>
        <v/>
      </c>
      <c r="R32" s="11">
        <f>IF(O32="","",IF(INT(O32/350)&gt;INT(O31/350),"Lần " &amp; INT(O32/350),""))</f>
        <v/>
      </c>
      <c r="S32" s="6" t="inlineStr"/>
      <c r="T32" s="9" t="inlineStr"/>
    </row>
    <row r="33" ht="20" customHeight="1">
      <c r="A33" s="6" t="n">
        <v>30</v>
      </c>
      <c r="B33" s="7" t="inlineStr">
        <is>
          <t>Bê tông cọc khoan nhồi - C7 mố M2 (L=36m)</t>
        </is>
      </c>
      <c r="C33" s="8" t="n"/>
      <c r="D33" s="9" t="n">
        <v>42.83</v>
      </c>
      <c r="E33" s="8">
        <f>IF(C33="","",C33+7)</f>
        <v/>
      </c>
      <c r="F33" s="8">
        <f>IF(C33="","",C33+28)</f>
        <v/>
      </c>
      <c r="G33" s="10" t="n">
        <v>0.445</v>
      </c>
      <c r="H33" s="10" t="n">
        <v>0.525</v>
      </c>
      <c r="I33" s="10" t="n">
        <v>0.696</v>
      </c>
      <c r="J33" s="6" t="inlineStr"/>
      <c r="K33" s="6" t="inlineStr"/>
      <c r="L33" s="6" t="inlineStr"/>
      <c r="M33" s="9">
        <f>IF(D33="","",ROUND(M32+IF(G33&gt;0,D33*G33,D33*J33),2))</f>
        <v/>
      </c>
      <c r="N33" s="9">
        <f>IF(D33="","",ROUND(N32+IF(H33&gt;0,D33*H33,D33*K33),2))</f>
        <v/>
      </c>
      <c r="O33" s="9">
        <f>IF(D33="","",ROUND(O32+IF(I33&gt;0,D33*I33,D33*L33),2))</f>
        <v/>
      </c>
      <c r="P33" s="11">
        <f>IF(M33="","",IF(INT(M33/50)&gt;INT(M32/50),"Lần " &amp; INT(M33/50),""))</f>
        <v/>
      </c>
      <c r="Q33" s="12">
        <f>IF(N33="","",IF(INT(N33/200)&gt;INT(N32/200),"Lần " &amp; INT(N33/200),""))</f>
        <v/>
      </c>
      <c r="R33" s="11">
        <f>IF(O33="","",IF(INT(O33/350)&gt;INT(O32/350),"Lần " &amp; INT(O33/350),""))</f>
        <v/>
      </c>
      <c r="S33" s="6" t="inlineStr"/>
      <c r="T33" s="9" t="inlineStr"/>
    </row>
    <row r="34" ht="22" customHeight="1">
      <c r="A34" s="4" t="inlineStr">
        <is>
          <t>II. HẠNG MỤC BÊ TÔNG BỆ MỐ &amp; BỆ TRỤ (C30 ĐỘ SỤT 14±2CM)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 ht="20" customHeight="1">
      <c r="A35" s="6" t="n">
        <v>31</v>
      </c>
      <c r="B35" s="7" t="inlineStr">
        <is>
          <t>Bê tông lót móng bệ mố M1 (M100 đá 4x6)</t>
        </is>
      </c>
      <c r="C35" s="8" t="n"/>
      <c r="D35" s="9" t="n">
        <v>9.550000000000001</v>
      </c>
      <c r="E35" s="8">
        <f>IF(C35="","",C35+7)</f>
        <v/>
      </c>
      <c r="F35" s="8">
        <f>IF(C35="","",C35+28)</f>
        <v/>
      </c>
      <c r="G35" s="6" t="inlineStr"/>
      <c r="H35" s="6" t="inlineStr"/>
      <c r="I35" s="6" t="inlineStr"/>
      <c r="J35" s="10" t="n">
        <v>0.425</v>
      </c>
      <c r="K35" s="10" t="n">
        <v>0.555</v>
      </c>
      <c r="L35" s="10" t="n">
        <v>0.7</v>
      </c>
      <c r="M35" s="9">
        <f>IF(D35="","",ROUND(M33+IF(G35&gt;0,D35*G35,D35*J35),2))</f>
        <v/>
      </c>
      <c r="N35" s="9">
        <f>IF(D35="","",ROUND(N33+IF(H35&gt;0,D35*H35,D35*K35),2))</f>
        <v/>
      </c>
      <c r="O35" s="9">
        <f>IF(D35="","",ROUND(O33+IF(I35&gt;0,D35*I35,D35*L35),2))</f>
        <v/>
      </c>
      <c r="P35" s="11">
        <f>IF(M35="","",IF(INT(M35/50)&gt;INT(M33/50),"Lần " &amp; INT(M35/50),""))</f>
        <v/>
      </c>
      <c r="Q35" s="12">
        <f>IF(N35="","",IF(INT(N35/200)&gt;INT(N33/200),"Lần " &amp; INT(N35/200),""))</f>
        <v/>
      </c>
      <c r="R35" s="11">
        <f>IF(O35="","",IF(INT(O35/350)&gt;INT(O33/350),"Lần " &amp; INT(O35/350),""))</f>
        <v/>
      </c>
      <c r="S35" s="6" t="inlineStr"/>
      <c r="T35" s="9" t="inlineStr"/>
    </row>
    <row r="36" ht="20" customHeight="1">
      <c r="A36" s="6" t="n">
        <v>32</v>
      </c>
      <c r="B36" s="7" t="inlineStr">
        <is>
          <t>Bê tông bệ mố M1 (C30 đá 1x2)</t>
        </is>
      </c>
      <c r="C36" s="8" t="n"/>
      <c r="D36" s="9" t="n">
        <v>74.5</v>
      </c>
      <c r="E36" s="8">
        <f>IF(C36="","",C36+7)</f>
        <v/>
      </c>
      <c r="F36" s="8">
        <f>IF(C36="","",C36+28)</f>
        <v/>
      </c>
      <c r="G36" s="6" t="inlineStr"/>
      <c r="H36" s="6" t="inlineStr"/>
      <c r="I36" s="6" t="inlineStr"/>
      <c r="J36" s="10" t="n">
        <v>0.425</v>
      </c>
      <c r="K36" s="10" t="n">
        <v>0.555</v>
      </c>
      <c r="L36" s="10" t="n">
        <v>0.7</v>
      </c>
      <c r="M36" s="9">
        <f>IF(D36="","",ROUND(M35+IF(G36&gt;0,D36*G36,D36*J36),2))</f>
        <v/>
      </c>
      <c r="N36" s="9">
        <f>IF(D36="","",ROUND(N35+IF(H36&gt;0,D36*H36,D36*K36),2))</f>
        <v/>
      </c>
      <c r="O36" s="9">
        <f>IF(D36="","",ROUND(O35+IF(I36&gt;0,D36*I36,D36*L36),2))</f>
        <v/>
      </c>
      <c r="P36" s="11">
        <f>IF(M36="","",IF(INT(M36/50)&gt;INT(M35/50),"Lần " &amp; INT(M36/50),""))</f>
        <v/>
      </c>
      <c r="Q36" s="12">
        <f>IF(N36="","",IF(INT(N36/200)&gt;INT(N35/200),"Lần " &amp; INT(N36/200),""))</f>
        <v/>
      </c>
      <c r="R36" s="11">
        <f>IF(O36="","",IF(INT(O36/350)&gt;INT(O35/350),"Lần " &amp; INT(O36/350),""))</f>
        <v/>
      </c>
      <c r="S36" s="6" t="inlineStr"/>
      <c r="T36" s="9" t="inlineStr"/>
    </row>
    <row r="37" ht="20" customHeight="1">
      <c r="A37" s="6" t="n">
        <v>33</v>
      </c>
      <c r="B37" s="7" t="inlineStr">
        <is>
          <t>Bê tông lót móng bệ trụ T1 (M100 đá 4x6)</t>
        </is>
      </c>
      <c r="C37" s="8" t="n"/>
      <c r="D37" s="9" t="n">
        <v>12.5</v>
      </c>
      <c r="E37" s="8">
        <f>IF(C37="","",C37+7)</f>
        <v/>
      </c>
      <c r="F37" s="8">
        <f>IF(C37="","",C37+28)</f>
        <v/>
      </c>
      <c r="G37" s="6" t="inlineStr"/>
      <c r="H37" s="6" t="inlineStr"/>
      <c r="I37" s="6" t="inlineStr"/>
      <c r="J37" s="10" t="n">
        <v>0.425</v>
      </c>
      <c r="K37" s="10" t="n">
        <v>0.555</v>
      </c>
      <c r="L37" s="10" t="n">
        <v>0.7</v>
      </c>
      <c r="M37" s="9">
        <f>IF(D37="","",ROUND(M36+IF(G37&gt;0,D37*G37,D37*J37),2))</f>
        <v/>
      </c>
      <c r="N37" s="9">
        <f>IF(D37="","",ROUND(N36+IF(H37&gt;0,D37*H37,D37*K37),2))</f>
        <v/>
      </c>
      <c r="O37" s="9">
        <f>IF(D37="","",ROUND(O36+IF(I37&gt;0,D37*I37,D37*L37),2))</f>
        <v/>
      </c>
      <c r="P37" s="11">
        <f>IF(M37="","",IF(INT(M37/50)&gt;INT(M36/50),"Lần " &amp; INT(M37/50),""))</f>
        <v/>
      </c>
      <c r="Q37" s="12">
        <f>IF(N37="","",IF(INT(N37/200)&gt;INT(N36/200),"Lần " &amp; INT(N37/200),""))</f>
        <v/>
      </c>
      <c r="R37" s="11">
        <f>IF(O37="","",IF(INT(O37/350)&gt;INT(O36/350),"Lần " &amp; INT(O37/350),""))</f>
        <v/>
      </c>
      <c r="S37" s="6" t="inlineStr"/>
      <c r="T37" s="9" t="inlineStr"/>
    </row>
    <row r="38" ht="20" customHeight="1">
      <c r="A38" s="6" t="n">
        <v>34</v>
      </c>
      <c r="B38" s="7" t="inlineStr">
        <is>
          <t>Bê tông bệ trụ T1 - Đợt 1 (C30 đá 1x2)</t>
        </is>
      </c>
      <c r="C38" s="8" t="n"/>
      <c r="D38" s="9" t="n">
        <v>82.5</v>
      </c>
      <c r="E38" s="8">
        <f>IF(C38="","",C38+7)</f>
        <v/>
      </c>
      <c r="F38" s="8">
        <f>IF(C38="","",C38+28)</f>
        <v/>
      </c>
      <c r="G38" s="6" t="inlineStr"/>
      <c r="H38" s="6" t="inlineStr"/>
      <c r="I38" s="6" t="inlineStr"/>
      <c r="J38" s="10" t="n">
        <v>0.425</v>
      </c>
      <c r="K38" s="10" t="n">
        <v>0.555</v>
      </c>
      <c r="L38" s="10" t="n">
        <v>0.7</v>
      </c>
      <c r="M38" s="9">
        <f>IF(D38="","",ROUND(M37+IF(G38&gt;0,D38*G38,D38*J38),2))</f>
        <v/>
      </c>
      <c r="N38" s="9">
        <f>IF(D38="","",ROUND(N37+IF(H38&gt;0,D38*H38,D38*K38),2))</f>
        <v/>
      </c>
      <c r="O38" s="9">
        <f>IF(D38="","",ROUND(O37+IF(I38&gt;0,D38*I38,D38*L38),2))</f>
        <v/>
      </c>
      <c r="P38" s="11">
        <f>IF(M38="","",IF(INT(M38/50)&gt;INT(M37/50),"Lần " &amp; INT(M38/50),""))</f>
        <v/>
      </c>
      <c r="Q38" s="12">
        <f>IF(N38="","",IF(INT(N38/200)&gt;INT(N37/200),"Lần " &amp; INT(N38/200),""))</f>
        <v/>
      </c>
      <c r="R38" s="11">
        <f>IF(O38="","",IF(INT(O38/350)&gt;INT(O37/350),"Lần " &amp; INT(O38/350),""))</f>
        <v/>
      </c>
      <c r="S38" s="6" t="inlineStr"/>
      <c r="T38" s="9" t="inlineStr"/>
    </row>
    <row r="39" ht="20" customHeight="1">
      <c r="A39" s="6" t="n">
        <v>35</v>
      </c>
      <c r="B39" s="7" t="inlineStr">
        <is>
          <t>Bê tông bệ trụ T1 - Đợt 2 (C30 đá 1x2)</t>
        </is>
      </c>
      <c r="C39" s="8" t="n"/>
      <c r="D39" s="9" t="n">
        <v>82.5</v>
      </c>
      <c r="E39" s="8">
        <f>IF(C39="","",C39+7)</f>
        <v/>
      </c>
      <c r="F39" s="8">
        <f>IF(C39="","",C39+28)</f>
        <v/>
      </c>
      <c r="G39" s="6" t="inlineStr"/>
      <c r="H39" s="6" t="inlineStr"/>
      <c r="I39" s="6" t="inlineStr"/>
      <c r="J39" s="10" t="n">
        <v>0.425</v>
      </c>
      <c r="K39" s="10" t="n">
        <v>0.555</v>
      </c>
      <c r="L39" s="10" t="n">
        <v>0.7</v>
      </c>
      <c r="M39" s="9">
        <f>IF(D39="","",ROUND(M38+IF(G39&gt;0,D39*G39,D39*J39),2))</f>
        <v/>
      </c>
      <c r="N39" s="9">
        <f>IF(D39="","",ROUND(N38+IF(H39&gt;0,D39*H39,D39*K39),2))</f>
        <v/>
      </c>
      <c r="O39" s="9">
        <f>IF(D39="","",ROUND(O38+IF(I39&gt;0,D39*I39,D39*L39),2))</f>
        <v/>
      </c>
      <c r="P39" s="11">
        <f>IF(M39="","",IF(INT(M39/50)&gt;INT(M38/50),"Lần " &amp; INT(M39/50),""))</f>
        <v/>
      </c>
      <c r="Q39" s="12">
        <f>IF(N39="","",IF(INT(N39/200)&gt;INT(N38/200),"Lần " &amp; INT(N39/200),""))</f>
        <v/>
      </c>
      <c r="R39" s="11">
        <f>IF(O39="","",IF(INT(O39/350)&gt;INT(O38/350),"Lần " &amp; INT(O39/350),""))</f>
        <v/>
      </c>
      <c r="S39" s="6" t="inlineStr"/>
      <c r="T39" s="9" t="inlineStr"/>
    </row>
    <row r="40" ht="20" customHeight="1">
      <c r="A40" s="6" t="n">
        <v>36</v>
      </c>
      <c r="B40" s="7" t="inlineStr">
        <is>
          <t>Bê tông lót móng bệ trụ T2 (M100 đá 4x6)</t>
        </is>
      </c>
      <c r="C40" s="8" t="n"/>
      <c r="D40" s="9" t="n">
        <v>12.5</v>
      </c>
      <c r="E40" s="8">
        <f>IF(C40="","",C40+7)</f>
        <v/>
      </c>
      <c r="F40" s="8">
        <f>IF(C40="","",C40+28)</f>
        <v/>
      </c>
      <c r="G40" s="6" t="inlineStr"/>
      <c r="H40" s="6" t="inlineStr"/>
      <c r="I40" s="6" t="inlineStr"/>
      <c r="J40" s="10" t="n">
        <v>0.425</v>
      </c>
      <c r="K40" s="10" t="n">
        <v>0.555</v>
      </c>
      <c r="L40" s="10" t="n">
        <v>0.7</v>
      </c>
      <c r="M40" s="9">
        <f>IF(D40="","",ROUND(M39+IF(G40&gt;0,D40*G40,D40*J40),2))</f>
        <v/>
      </c>
      <c r="N40" s="9">
        <f>IF(D40="","",ROUND(N39+IF(H40&gt;0,D40*H40,D40*K40),2))</f>
        <v/>
      </c>
      <c r="O40" s="9">
        <f>IF(D40="","",ROUND(O39+IF(I40&gt;0,D40*I40,D40*L40),2))</f>
        <v/>
      </c>
      <c r="P40" s="11">
        <f>IF(M40="","",IF(INT(M40/50)&gt;INT(M39/50),"Lần " &amp; INT(M40/50),""))</f>
        <v/>
      </c>
      <c r="Q40" s="12">
        <f>IF(N40="","",IF(INT(N40/200)&gt;INT(N39/200),"Lần " &amp; INT(N40/200),""))</f>
        <v/>
      </c>
      <c r="R40" s="11">
        <f>IF(O40="","",IF(INT(O40/350)&gt;INT(O39/350),"Lần " &amp; INT(O40/350),""))</f>
        <v/>
      </c>
      <c r="S40" s="6" t="inlineStr"/>
      <c r="T40" s="9" t="inlineStr"/>
    </row>
    <row r="41" ht="20" customHeight="1">
      <c r="A41" s="6" t="n">
        <v>37</v>
      </c>
      <c r="B41" s="7" t="inlineStr">
        <is>
          <t>Bê tông bệ trụ T2 - Đợt 1 (C30 đá 1x2)</t>
        </is>
      </c>
      <c r="C41" s="8" t="n"/>
      <c r="D41" s="9" t="n">
        <v>82.5</v>
      </c>
      <c r="E41" s="8">
        <f>IF(C41="","",C41+7)</f>
        <v/>
      </c>
      <c r="F41" s="8">
        <f>IF(C41="","",C41+28)</f>
        <v/>
      </c>
      <c r="G41" s="6" t="inlineStr"/>
      <c r="H41" s="6" t="inlineStr"/>
      <c r="I41" s="6" t="inlineStr"/>
      <c r="J41" s="10" t="n">
        <v>0.425</v>
      </c>
      <c r="K41" s="10" t="n">
        <v>0.555</v>
      </c>
      <c r="L41" s="10" t="n">
        <v>0.7</v>
      </c>
      <c r="M41" s="9">
        <f>IF(D41="","",ROUND(M40+IF(G41&gt;0,D41*G41,D41*J41),2))</f>
        <v/>
      </c>
      <c r="N41" s="9">
        <f>IF(D41="","",ROUND(N40+IF(H41&gt;0,D41*H41,D41*K41),2))</f>
        <v/>
      </c>
      <c r="O41" s="9">
        <f>IF(D41="","",ROUND(O40+IF(I41&gt;0,D41*I41,D41*L41),2))</f>
        <v/>
      </c>
      <c r="P41" s="11">
        <f>IF(M41="","",IF(INT(M41/50)&gt;INT(M40/50),"Lần " &amp; INT(M41/50),""))</f>
        <v/>
      </c>
      <c r="Q41" s="12">
        <f>IF(N41="","",IF(INT(N41/200)&gt;INT(N40/200),"Lần " &amp; INT(N41/200),""))</f>
        <v/>
      </c>
      <c r="R41" s="11">
        <f>IF(O41="","",IF(INT(O41/350)&gt;INT(O40/350),"Lần " &amp; INT(O41/350),""))</f>
        <v/>
      </c>
      <c r="S41" s="6" t="inlineStr"/>
      <c r="T41" s="9" t="inlineStr"/>
    </row>
    <row r="42" ht="20" customHeight="1">
      <c r="A42" s="6" t="n">
        <v>38</v>
      </c>
      <c r="B42" s="7" t="inlineStr">
        <is>
          <t>Bê tông bệ trụ T2 - Đợt 2 (C30 đá 1x2)</t>
        </is>
      </c>
      <c r="C42" s="8" t="n"/>
      <c r="D42" s="9" t="n">
        <v>82.5</v>
      </c>
      <c r="E42" s="8">
        <f>IF(C42="","",C42+7)</f>
        <v/>
      </c>
      <c r="F42" s="8">
        <f>IF(C42="","",C42+28)</f>
        <v/>
      </c>
      <c r="G42" s="6" t="inlineStr"/>
      <c r="H42" s="6" t="inlineStr"/>
      <c r="I42" s="6" t="inlineStr"/>
      <c r="J42" s="10" t="n">
        <v>0.425</v>
      </c>
      <c r="K42" s="10" t="n">
        <v>0.555</v>
      </c>
      <c r="L42" s="10" t="n">
        <v>0.7</v>
      </c>
      <c r="M42" s="9">
        <f>IF(D42="","",ROUND(M41+IF(G42&gt;0,D42*G42,D42*J42),2))</f>
        <v/>
      </c>
      <c r="N42" s="9">
        <f>IF(D42="","",ROUND(N41+IF(H42&gt;0,D42*H42,D42*K42),2))</f>
        <v/>
      </c>
      <c r="O42" s="9">
        <f>IF(D42="","",ROUND(O41+IF(I42&gt;0,D42*I42,D42*L42),2))</f>
        <v/>
      </c>
      <c r="P42" s="11">
        <f>IF(M42="","",IF(INT(M42/50)&gt;INT(M41/50),"Lần " &amp; INT(M42/50),""))</f>
        <v/>
      </c>
      <c r="Q42" s="12">
        <f>IF(N42="","",IF(INT(N42/200)&gt;INT(N41/200),"Lần " &amp; INT(N42/200),""))</f>
        <v/>
      </c>
      <c r="R42" s="11">
        <f>IF(O42="","",IF(INT(O42/350)&gt;INT(O41/350),"Lần " &amp; INT(O42/350),""))</f>
        <v/>
      </c>
      <c r="S42" s="6" t="inlineStr"/>
      <c r="T42" s="9" t="inlineStr"/>
    </row>
    <row r="43" ht="20" customHeight="1">
      <c r="A43" s="6" t="n">
        <v>39</v>
      </c>
      <c r="B43" s="7" t="inlineStr">
        <is>
          <t>Bê tông lót móng bệ mố M2 (M100 đá 4x6)</t>
        </is>
      </c>
      <c r="C43" s="8" t="n"/>
      <c r="D43" s="9" t="n">
        <v>9.550000000000001</v>
      </c>
      <c r="E43" s="8">
        <f>IF(C43="","",C43+7)</f>
        <v/>
      </c>
      <c r="F43" s="8">
        <f>IF(C43="","",C43+28)</f>
        <v/>
      </c>
      <c r="G43" s="6" t="inlineStr"/>
      <c r="H43" s="6" t="inlineStr"/>
      <c r="I43" s="6" t="inlineStr"/>
      <c r="J43" s="10" t="n">
        <v>0.425</v>
      </c>
      <c r="K43" s="10" t="n">
        <v>0.555</v>
      </c>
      <c r="L43" s="10" t="n">
        <v>0.7</v>
      </c>
      <c r="M43" s="9">
        <f>IF(D43="","",ROUND(M42+IF(G43&gt;0,D43*G43,D43*J43),2))</f>
        <v/>
      </c>
      <c r="N43" s="9">
        <f>IF(D43="","",ROUND(N42+IF(H43&gt;0,D43*H43,D43*K43),2))</f>
        <v/>
      </c>
      <c r="O43" s="9">
        <f>IF(D43="","",ROUND(O42+IF(I43&gt;0,D43*I43,D43*L43),2))</f>
        <v/>
      </c>
      <c r="P43" s="11">
        <f>IF(M43="","",IF(INT(M43/50)&gt;INT(M42/50),"Lần " &amp; INT(M43/50),""))</f>
        <v/>
      </c>
      <c r="Q43" s="12">
        <f>IF(N43="","",IF(INT(N43/200)&gt;INT(N42/200),"Lần " &amp; INT(N43/200),""))</f>
        <v/>
      </c>
      <c r="R43" s="11">
        <f>IF(O43="","",IF(INT(O43/350)&gt;INT(O42/350),"Lần " &amp; INT(O43/350),""))</f>
        <v/>
      </c>
      <c r="S43" s="6" t="inlineStr"/>
      <c r="T43" s="9" t="inlineStr"/>
    </row>
    <row r="44" ht="20" customHeight="1">
      <c r="A44" s="6" t="n">
        <v>40</v>
      </c>
      <c r="B44" s="7" t="inlineStr">
        <is>
          <t>Bê tông bệ mố M2 (C30 đá 1x2)</t>
        </is>
      </c>
      <c r="C44" s="8" t="n"/>
      <c r="D44" s="9" t="n">
        <v>74.5</v>
      </c>
      <c r="E44" s="8">
        <f>IF(C44="","",C44+7)</f>
        <v/>
      </c>
      <c r="F44" s="8">
        <f>IF(C44="","",C44+28)</f>
        <v/>
      </c>
      <c r="G44" s="6" t="inlineStr"/>
      <c r="H44" s="6" t="inlineStr"/>
      <c r="I44" s="6" t="inlineStr"/>
      <c r="J44" s="10" t="n">
        <v>0.425</v>
      </c>
      <c r="K44" s="10" t="n">
        <v>0.555</v>
      </c>
      <c r="L44" s="10" t="n">
        <v>0.7</v>
      </c>
      <c r="M44" s="9">
        <f>IF(D44="","",ROUND(M43+IF(G44&gt;0,D44*G44,D44*J44),2))</f>
        <v/>
      </c>
      <c r="N44" s="9">
        <f>IF(D44="","",ROUND(N43+IF(H44&gt;0,D44*H44,D44*K44),2))</f>
        <v/>
      </c>
      <c r="O44" s="9">
        <f>IF(D44="","",ROUND(O43+IF(I44&gt;0,D44*I44,D44*L44),2))</f>
        <v/>
      </c>
      <c r="P44" s="11">
        <f>IF(M44="","",IF(INT(M44/50)&gt;INT(M43/50),"Lần " &amp; INT(M44/50),""))</f>
        <v/>
      </c>
      <c r="Q44" s="12">
        <f>IF(N44="","",IF(INT(N44/200)&gt;INT(N43/200),"Lần " &amp; INT(N44/200),""))</f>
        <v/>
      </c>
      <c r="R44" s="11">
        <f>IF(O44="","",IF(INT(O44/350)&gt;INT(O43/350),"Lần " &amp; INT(O44/350),""))</f>
        <v/>
      </c>
      <c r="S44" s="6" t="inlineStr"/>
      <c r="T44" s="9" t="inlineStr"/>
    </row>
    <row r="45" ht="22" customHeight="1">
      <c r="A45" s="4" t="inlineStr">
        <is>
          <t>III. HẠNG MỤC THÂN TRỤ, THÂN MỐ &amp; XÀ MŨ (CÁC ĐỐT LÊN HOÀN THIỆN)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20" customHeight="1">
      <c r="A46" s="6" t="n">
        <v>41</v>
      </c>
      <c r="B46" s="7" t="inlineStr">
        <is>
          <t>Bê tông thân trụ T1 - Đốt 1 (C30 đá 1x2)</t>
        </is>
      </c>
      <c r="C46" s="8" t="n"/>
      <c r="D46" s="9" t="n">
        <v>42</v>
      </c>
      <c r="E46" s="8">
        <f>IF(C46="","",C46+7)</f>
        <v/>
      </c>
      <c r="F46" s="8">
        <f>IF(C46="","",C46+28)</f>
        <v/>
      </c>
      <c r="G46" s="6" t="inlineStr"/>
      <c r="H46" s="6" t="inlineStr"/>
      <c r="I46" s="6" t="inlineStr"/>
      <c r="J46" s="10" t="n">
        <v>0.425</v>
      </c>
      <c r="K46" s="10" t="n">
        <v>0.555</v>
      </c>
      <c r="L46" s="10" t="n">
        <v>0.7</v>
      </c>
      <c r="M46" s="9">
        <f>IF(D46="","",ROUND(M44+IF(G46&gt;0,D46*G46,D46*J46),2))</f>
        <v/>
      </c>
      <c r="N46" s="9">
        <f>IF(D46="","",ROUND(N44+IF(H46&gt;0,D46*H46,D46*K46),2))</f>
        <v/>
      </c>
      <c r="O46" s="9">
        <f>IF(D46="","",ROUND(O44+IF(I46&gt;0,D46*I46,D46*L46),2))</f>
        <v/>
      </c>
      <c r="P46" s="11">
        <f>IF(M46="","",IF(INT(M46/50)&gt;INT(M44/50),"Lần " &amp; INT(M46/50),""))</f>
        <v/>
      </c>
      <c r="Q46" s="12">
        <f>IF(N46="","",IF(INT(N46/200)&gt;INT(N44/200),"Lần " &amp; INT(N46/200),""))</f>
        <v/>
      </c>
      <c r="R46" s="11">
        <f>IF(O46="","",IF(INT(O46/350)&gt;INT(O44/350),"Lần " &amp; INT(O46/350),""))</f>
        <v/>
      </c>
      <c r="S46" s="6" t="inlineStr"/>
      <c r="T46" s="9" t="inlineStr"/>
    </row>
    <row r="47" ht="20" customHeight="1">
      <c r="A47" s="6" t="n">
        <v>42</v>
      </c>
      <c r="B47" s="7" t="inlineStr">
        <is>
          <t>Bê tông thân trụ T1 - Đốt 2 (C30 đá 1x2)</t>
        </is>
      </c>
      <c r="C47" s="8" t="n"/>
      <c r="D47" s="9" t="n">
        <v>42</v>
      </c>
      <c r="E47" s="8">
        <f>IF(C47="","",C47+7)</f>
        <v/>
      </c>
      <c r="F47" s="8">
        <f>IF(C47="","",C47+28)</f>
        <v/>
      </c>
      <c r="G47" s="6" t="inlineStr"/>
      <c r="H47" s="6" t="inlineStr"/>
      <c r="I47" s="6" t="inlineStr"/>
      <c r="J47" s="10" t="n">
        <v>0.425</v>
      </c>
      <c r="K47" s="10" t="n">
        <v>0.555</v>
      </c>
      <c r="L47" s="10" t="n">
        <v>0.7</v>
      </c>
      <c r="M47" s="9">
        <f>IF(D47="","",ROUND(M46+IF(G47&gt;0,D47*G47,D47*J47),2))</f>
        <v/>
      </c>
      <c r="N47" s="9">
        <f>IF(D47="","",ROUND(N46+IF(H47&gt;0,D47*H47,D47*K47),2))</f>
        <v/>
      </c>
      <c r="O47" s="9">
        <f>IF(D47="","",ROUND(O46+IF(I47&gt;0,D47*I47,D47*L47),2))</f>
        <v/>
      </c>
      <c r="P47" s="11">
        <f>IF(M47="","",IF(INT(M47/50)&gt;INT(M46/50),"Lần " &amp; INT(M47/50),""))</f>
        <v/>
      </c>
      <c r="Q47" s="12">
        <f>IF(N47="","",IF(INT(N47/200)&gt;INT(N46/200),"Lần " &amp; INT(N47/200),""))</f>
        <v/>
      </c>
      <c r="R47" s="11">
        <f>IF(O47="","",IF(INT(O47/350)&gt;INT(O46/350),"Lần " &amp; INT(O47/350),""))</f>
        <v/>
      </c>
      <c r="S47" s="6" t="inlineStr"/>
      <c r="T47" s="9" t="inlineStr"/>
    </row>
    <row r="48" ht="20" customHeight="1">
      <c r="A48" s="6" t="n">
        <v>43</v>
      </c>
      <c r="B48" s="7" t="inlineStr">
        <is>
          <t>Bê tông thân trụ T1 - Đốt 3 (C30 đá 1x2)</t>
        </is>
      </c>
      <c r="C48" s="8" t="n"/>
      <c r="D48" s="9" t="n">
        <v>38</v>
      </c>
      <c r="E48" s="8">
        <f>IF(C48="","",C48+7)</f>
        <v/>
      </c>
      <c r="F48" s="8">
        <f>IF(C48="","",C48+28)</f>
        <v/>
      </c>
      <c r="G48" s="6" t="inlineStr"/>
      <c r="H48" s="6" t="inlineStr"/>
      <c r="I48" s="6" t="inlineStr"/>
      <c r="J48" s="10" t="n">
        <v>0.425</v>
      </c>
      <c r="K48" s="10" t="n">
        <v>0.555</v>
      </c>
      <c r="L48" s="10" t="n">
        <v>0.7</v>
      </c>
      <c r="M48" s="9">
        <f>IF(D48="","",ROUND(M47+IF(G48&gt;0,D48*G48,D48*J48),2))</f>
        <v/>
      </c>
      <c r="N48" s="9">
        <f>IF(D48="","",ROUND(N47+IF(H48&gt;0,D48*H48,D48*K48),2))</f>
        <v/>
      </c>
      <c r="O48" s="9">
        <f>IF(D48="","",ROUND(O47+IF(I48&gt;0,D48*I48,D48*L48),2))</f>
        <v/>
      </c>
      <c r="P48" s="11">
        <f>IF(M48="","",IF(INT(M48/50)&gt;INT(M47/50),"Lần " &amp; INT(M48/50),""))</f>
        <v/>
      </c>
      <c r="Q48" s="12">
        <f>IF(N48="","",IF(INT(N48/200)&gt;INT(N47/200),"Lần " &amp; INT(N48/200),""))</f>
        <v/>
      </c>
      <c r="R48" s="11">
        <f>IF(O48="","",IF(INT(O48/350)&gt;INT(O47/350),"Lần " &amp; INT(O48/350),""))</f>
        <v/>
      </c>
      <c r="S48" s="6" t="inlineStr"/>
      <c r="T48" s="9" t="inlineStr"/>
    </row>
    <row r="49" ht="20" customHeight="1">
      <c r="A49" s="6" t="n">
        <v>44</v>
      </c>
      <c r="B49" s="7" t="inlineStr">
        <is>
          <t>Bê tông xà mũ trụ T1 &amp; đá kê gối (C35/C30 đá 1x2)</t>
        </is>
      </c>
      <c r="C49" s="8" t="n"/>
      <c r="D49" s="9" t="n">
        <v>45</v>
      </c>
      <c r="E49" s="8">
        <f>IF(C49="","",C49+7)</f>
        <v/>
      </c>
      <c r="F49" s="8">
        <f>IF(C49="","",C49+28)</f>
        <v/>
      </c>
      <c r="G49" s="6" t="inlineStr"/>
      <c r="H49" s="6" t="inlineStr"/>
      <c r="I49" s="6" t="inlineStr"/>
      <c r="J49" s="10" t="n">
        <v>0.425</v>
      </c>
      <c r="K49" s="10" t="n">
        <v>0.555</v>
      </c>
      <c r="L49" s="10" t="n">
        <v>0.7</v>
      </c>
      <c r="M49" s="9">
        <f>IF(D49="","",ROUND(M48+IF(G49&gt;0,D49*G49,D49*J49),2))</f>
        <v/>
      </c>
      <c r="N49" s="9">
        <f>IF(D49="","",ROUND(N48+IF(H49&gt;0,D49*H49,D49*K49),2))</f>
        <v/>
      </c>
      <c r="O49" s="9">
        <f>IF(D49="","",ROUND(O48+IF(I49&gt;0,D49*I49,D49*L49),2))</f>
        <v/>
      </c>
      <c r="P49" s="11">
        <f>IF(M49="","",IF(INT(M49/50)&gt;INT(M48/50),"Lần " &amp; INT(M49/50),""))</f>
        <v/>
      </c>
      <c r="Q49" s="12">
        <f>IF(N49="","",IF(INT(N49/200)&gt;INT(N48/200),"Lần " &amp; INT(N49/200),""))</f>
        <v/>
      </c>
      <c r="R49" s="11">
        <f>IF(O49="","",IF(INT(O49/350)&gt;INT(O48/350),"Lần " &amp; INT(O49/350),""))</f>
        <v/>
      </c>
      <c r="S49" s="6" t="inlineStr"/>
      <c r="T49" s="9" t="inlineStr"/>
    </row>
    <row r="50" ht="20" customHeight="1">
      <c r="A50" s="6" t="n">
        <v>45</v>
      </c>
      <c r="B50" s="7" t="inlineStr">
        <is>
          <t>Bê tông thân trụ T2 - Đốt 1 (C30 đá 1x2)</t>
        </is>
      </c>
      <c r="C50" s="8" t="n"/>
      <c r="D50" s="9" t="n">
        <v>45</v>
      </c>
      <c r="E50" s="8">
        <f>IF(C50="","",C50+7)</f>
        <v/>
      </c>
      <c r="F50" s="8">
        <f>IF(C50="","",C50+28)</f>
        <v/>
      </c>
      <c r="G50" s="6" t="inlineStr"/>
      <c r="H50" s="6" t="inlineStr"/>
      <c r="I50" s="6" t="inlineStr"/>
      <c r="J50" s="10" t="n">
        <v>0.425</v>
      </c>
      <c r="K50" s="10" t="n">
        <v>0.555</v>
      </c>
      <c r="L50" s="10" t="n">
        <v>0.7</v>
      </c>
      <c r="M50" s="9">
        <f>IF(D50="","",ROUND(M49+IF(G50&gt;0,D50*G50,D50*J50),2))</f>
        <v/>
      </c>
      <c r="N50" s="9">
        <f>IF(D50="","",ROUND(N49+IF(H50&gt;0,D50*H50,D50*K50),2))</f>
        <v/>
      </c>
      <c r="O50" s="9">
        <f>IF(D50="","",ROUND(O49+IF(I50&gt;0,D50*I50,D50*L50),2))</f>
        <v/>
      </c>
      <c r="P50" s="11">
        <f>IF(M50="","",IF(INT(M50/50)&gt;INT(M49/50),"Lần " &amp; INT(M50/50),""))</f>
        <v/>
      </c>
      <c r="Q50" s="12">
        <f>IF(N50="","",IF(INT(N50/200)&gt;INT(N49/200),"Lần " &amp; INT(N50/200),""))</f>
        <v/>
      </c>
      <c r="R50" s="11">
        <f>IF(O50="","",IF(INT(O50/350)&gt;INT(O49/350),"Lần " &amp; INT(O50/350),""))</f>
        <v/>
      </c>
      <c r="S50" s="6" t="inlineStr"/>
      <c r="T50" s="9" t="inlineStr"/>
    </row>
    <row r="51" ht="20" customHeight="1">
      <c r="A51" s="6" t="n">
        <v>46</v>
      </c>
      <c r="B51" s="7" t="inlineStr">
        <is>
          <t>Bê tông thân trụ T2 - Đốt 2 (C30 đá 1x2)</t>
        </is>
      </c>
      <c r="C51" s="8" t="n"/>
      <c r="D51" s="9" t="n">
        <v>45</v>
      </c>
      <c r="E51" s="8">
        <f>IF(C51="","",C51+7)</f>
        <v/>
      </c>
      <c r="F51" s="8">
        <f>IF(C51="","",C51+28)</f>
        <v/>
      </c>
      <c r="G51" s="6" t="inlineStr"/>
      <c r="H51" s="6" t="inlineStr"/>
      <c r="I51" s="6" t="inlineStr"/>
      <c r="J51" s="10" t="n">
        <v>0.425</v>
      </c>
      <c r="K51" s="10" t="n">
        <v>0.555</v>
      </c>
      <c r="L51" s="10" t="n">
        <v>0.7</v>
      </c>
      <c r="M51" s="9">
        <f>IF(D51="","",ROUND(M50+IF(G51&gt;0,D51*G51,D51*J51),2))</f>
        <v/>
      </c>
      <c r="N51" s="9">
        <f>IF(D51="","",ROUND(N50+IF(H51&gt;0,D51*H51,D51*K51),2))</f>
        <v/>
      </c>
      <c r="O51" s="9">
        <f>IF(D51="","",ROUND(O50+IF(I51&gt;0,D51*I51,D51*L51),2))</f>
        <v/>
      </c>
      <c r="P51" s="11">
        <f>IF(M51="","",IF(INT(M51/50)&gt;INT(M50/50),"Lần " &amp; INT(M51/50),""))</f>
        <v/>
      </c>
      <c r="Q51" s="12">
        <f>IF(N51="","",IF(INT(N51/200)&gt;INT(N50/200),"Lần " &amp; INT(N51/200),""))</f>
        <v/>
      </c>
      <c r="R51" s="11">
        <f>IF(O51="","",IF(INT(O51/350)&gt;INT(O50/350),"Lần " &amp; INT(O51/350),""))</f>
        <v/>
      </c>
      <c r="S51" s="6" t="inlineStr"/>
      <c r="T51" s="9" t="inlineStr"/>
    </row>
    <row r="52" ht="20" customHeight="1">
      <c r="A52" s="6" t="n">
        <v>47</v>
      </c>
      <c r="B52" s="7" t="inlineStr">
        <is>
          <t>Bê tông thân trụ T2 - Đốt 3 (C30 đá 1x2)</t>
        </is>
      </c>
      <c r="C52" s="8" t="n"/>
      <c r="D52" s="9" t="n">
        <v>42</v>
      </c>
      <c r="E52" s="8">
        <f>IF(C52="","",C52+7)</f>
        <v/>
      </c>
      <c r="F52" s="8">
        <f>IF(C52="","",C52+28)</f>
        <v/>
      </c>
      <c r="G52" s="6" t="inlineStr"/>
      <c r="H52" s="6" t="inlineStr"/>
      <c r="I52" s="6" t="inlineStr"/>
      <c r="J52" s="10" t="n">
        <v>0.425</v>
      </c>
      <c r="K52" s="10" t="n">
        <v>0.555</v>
      </c>
      <c r="L52" s="10" t="n">
        <v>0.7</v>
      </c>
      <c r="M52" s="9">
        <f>IF(D52="","",ROUND(M51+IF(G52&gt;0,D52*G52,D52*J52),2))</f>
        <v/>
      </c>
      <c r="N52" s="9">
        <f>IF(D52="","",ROUND(N51+IF(H52&gt;0,D52*H52,D52*K52),2))</f>
        <v/>
      </c>
      <c r="O52" s="9">
        <f>IF(D52="","",ROUND(O51+IF(I52&gt;0,D52*I52,D52*L52),2))</f>
        <v/>
      </c>
      <c r="P52" s="11">
        <f>IF(M52="","",IF(INT(M52/50)&gt;INT(M51/50),"Lần " &amp; INT(M52/50),""))</f>
        <v/>
      </c>
      <c r="Q52" s="12">
        <f>IF(N52="","",IF(INT(N52/200)&gt;INT(N51/200),"Lần " &amp; INT(N52/200),""))</f>
        <v/>
      </c>
      <c r="R52" s="11">
        <f>IF(O52="","",IF(INT(O52/350)&gt;INT(O51/350),"Lần " &amp; INT(O52/350),""))</f>
        <v/>
      </c>
      <c r="S52" s="6" t="inlineStr"/>
      <c r="T52" s="9" t="inlineStr"/>
    </row>
    <row r="53" ht="20" customHeight="1">
      <c r="A53" s="6" t="n">
        <v>48</v>
      </c>
      <c r="B53" s="7" t="inlineStr">
        <is>
          <t>Bê tông xà mũ trụ T2 &amp; đá kê gối (C35/C30 đá 1x2)</t>
        </is>
      </c>
      <c r="C53" s="8" t="n"/>
      <c r="D53" s="9" t="n">
        <v>45</v>
      </c>
      <c r="E53" s="8">
        <f>IF(C53="","",C53+7)</f>
        <v/>
      </c>
      <c r="F53" s="8">
        <f>IF(C53="","",C53+28)</f>
        <v/>
      </c>
      <c r="G53" s="6" t="inlineStr"/>
      <c r="H53" s="6" t="inlineStr"/>
      <c r="I53" s="6" t="inlineStr"/>
      <c r="J53" s="10" t="n">
        <v>0.425</v>
      </c>
      <c r="K53" s="10" t="n">
        <v>0.555</v>
      </c>
      <c r="L53" s="10" t="n">
        <v>0.7</v>
      </c>
      <c r="M53" s="9">
        <f>IF(D53="","",ROUND(M52+IF(G53&gt;0,D53*G53,D53*J53),2))</f>
        <v/>
      </c>
      <c r="N53" s="9">
        <f>IF(D53="","",ROUND(N52+IF(H53&gt;0,D53*H53,D53*K53),2))</f>
        <v/>
      </c>
      <c r="O53" s="9">
        <f>IF(D53="","",ROUND(O52+IF(I53&gt;0,D53*I53,D53*L53),2))</f>
        <v/>
      </c>
      <c r="P53" s="11">
        <f>IF(M53="","",IF(INT(M53/50)&gt;INT(M52/50),"Lần " &amp; INT(M53/50),""))</f>
        <v/>
      </c>
      <c r="Q53" s="12">
        <f>IF(N53="","",IF(INT(N53/200)&gt;INT(N52/200),"Lần " &amp; INT(N53/200),""))</f>
        <v/>
      </c>
      <c r="R53" s="11">
        <f>IF(O53="","",IF(INT(O53/350)&gt;INT(O52/350),"Lần " &amp; INT(O53/350),""))</f>
        <v/>
      </c>
      <c r="S53" s="6" t="inlineStr"/>
      <c r="T53" s="9" t="inlineStr"/>
    </row>
    <row r="54" ht="20" customHeight="1">
      <c r="A54" s="6" t="n">
        <v>49</v>
      </c>
      <c r="B54" s="7" t="inlineStr">
        <is>
          <t>Bê tông tường thân mố M1 - Đợt 1 (C30 đá 1x2)</t>
        </is>
      </c>
      <c r="C54" s="8" t="n"/>
      <c r="D54" s="9" t="n">
        <v>45</v>
      </c>
      <c r="E54" s="8">
        <f>IF(C54="","",C54+7)</f>
        <v/>
      </c>
      <c r="F54" s="8">
        <f>IF(C54="","",C54+28)</f>
        <v/>
      </c>
      <c r="G54" s="6" t="inlineStr"/>
      <c r="H54" s="6" t="inlineStr"/>
      <c r="I54" s="6" t="inlineStr"/>
      <c r="J54" s="10" t="n">
        <v>0.425</v>
      </c>
      <c r="K54" s="10" t="n">
        <v>0.555</v>
      </c>
      <c r="L54" s="10" t="n">
        <v>0.7</v>
      </c>
      <c r="M54" s="9">
        <f>IF(D54="","",ROUND(M53+IF(G54&gt;0,D54*G54,D54*J54),2))</f>
        <v/>
      </c>
      <c r="N54" s="9">
        <f>IF(D54="","",ROUND(N53+IF(H54&gt;0,D54*H54,D54*K54),2))</f>
        <v/>
      </c>
      <c r="O54" s="9">
        <f>IF(D54="","",ROUND(O53+IF(I54&gt;0,D54*I54,D54*L54),2))</f>
        <v/>
      </c>
      <c r="P54" s="11">
        <f>IF(M54="","",IF(INT(M54/50)&gt;INT(M53/50),"Lần " &amp; INT(M54/50),""))</f>
        <v/>
      </c>
      <c r="Q54" s="12">
        <f>IF(N54="","",IF(INT(N54/200)&gt;INT(N53/200),"Lần " &amp; INT(N54/200),""))</f>
        <v/>
      </c>
      <c r="R54" s="11">
        <f>IF(O54="","",IF(INT(O54/350)&gt;INT(O53/350),"Lần " &amp; INT(O54/350),""))</f>
        <v/>
      </c>
      <c r="S54" s="6" t="inlineStr"/>
      <c r="T54" s="9" t="inlineStr"/>
    </row>
    <row r="55" ht="20" customHeight="1">
      <c r="A55" s="6" t="n">
        <v>50</v>
      </c>
      <c r="B55" s="7" t="inlineStr">
        <is>
          <t>Bê tông tường thân mố M1 - Đợt 2 (C30 đá 1x2)</t>
        </is>
      </c>
      <c r="C55" s="8" t="n"/>
      <c r="D55" s="9" t="n">
        <v>39.44</v>
      </c>
      <c r="E55" s="8">
        <f>IF(C55="","",C55+7)</f>
        <v/>
      </c>
      <c r="F55" s="8">
        <f>IF(C55="","",C55+28)</f>
        <v/>
      </c>
      <c r="G55" s="6" t="inlineStr"/>
      <c r="H55" s="6" t="inlineStr"/>
      <c r="I55" s="6" t="inlineStr"/>
      <c r="J55" s="10" t="n">
        <v>0.425</v>
      </c>
      <c r="K55" s="10" t="n">
        <v>0.555</v>
      </c>
      <c r="L55" s="10" t="n">
        <v>0.7</v>
      </c>
      <c r="M55" s="9">
        <f>IF(D55="","",ROUND(M54+IF(G55&gt;0,D55*G55,D55*J55),2))</f>
        <v/>
      </c>
      <c r="N55" s="9">
        <f>IF(D55="","",ROUND(N54+IF(H55&gt;0,D55*H55,D55*K55),2))</f>
        <v/>
      </c>
      <c r="O55" s="9">
        <f>IF(D55="","",ROUND(O54+IF(I55&gt;0,D55*I55,D55*L55),2))</f>
        <v/>
      </c>
      <c r="P55" s="11">
        <f>IF(M55="","",IF(INT(M55/50)&gt;INT(M54/50),"Lần " &amp; INT(M55/50),""))</f>
        <v/>
      </c>
      <c r="Q55" s="12">
        <f>IF(N55="","",IF(INT(N55/200)&gt;INT(N54/200),"Lần " &amp; INT(N55/200),""))</f>
        <v/>
      </c>
      <c r="R55" s="11">
        <f>IF(O55="","",IF(INT(O55/350)&gt;INT(O54/350),"Lần " &amp; INT(O55/350),""))</f>
        <v/>
      </c>
      <c r="S55" s="6" t="inlineStr"/>
      <c r="T55" s="9" t="inlineStr"/>
    </row>
    <row r="56" ht="20" customHeight="1">
      <c r="A56" s="6" t="n">
        <v>51</v>
      </c>
      <c r="B56" s="7" t="inlineStr">
        <is>
          <t>Bê tông tường đỉnh mố M1 &amp; đá kê gối (C30)</t>
        </is>
      </c>
      <c r="C56" s="8" t="n"/>
      <c r="D56" s="9" t="n">
        <v>14.33</v>
      </c>
      <c r="E56" s="8">
        <f>IF(C56="","",C56+7)</f>
        <v/>
      </c>
      <c r="F56" s="8">
        <f>IF(C56="","",C56+28)</f>
        <v/>
      </c>
      <c r="G56" s="6" t="inlineStr"/>
      <c r="H56" s="6" t="inlineStr"/>
      <c r="I56" s="6" t="inlineStr"/>
      <c r="J56" s="10" t="n">
        <v>0.425</v>
      </c>
      <c r="K56" s="10" t="n">
        <v>0.555</v>
      </c>
      <c r="L56" s="10" t="n">
        <v>0.7</v>
      </c>
      <c r="M56" s="9">
        <f>IF(D56="","",ROUND(M55+IF(G56&gt;0,D56*G56,D56*J56),2))</f>
        <v/>
      </c>
      <c r="N56" s="9">
        <f>IF(D56="","",ROUND(N55+IF(H56&gt;0,D56*H56,D56*K56),2))</f>
        <v/>
      </c>
      <c r="O56" s="9">
        <f>IF(D56="","",ROUND(O55+IF(I56&gt;0,D56*I56,D56*L56),2))</f>
        <v/>
      </c>
      <c r="P56" s="11">
        <f>IF(M56="","",IF(INT(M56/50)&gt;INT(M55/50),"Lần " &amp; INT(M56/50),""))</f>
        <v/>
      </c>
      <c r="Q56" s="12">
        <f>IF(N56="","",IF(INT(N56/200)&gt;INT(N55/200),"Lần " &amp; INT(N56/200),""))</f>
        <v/>
      </c>
      <c r="R56" s="11">
        <f>IF(O56="","",IF(INT(O56/350)&gt;INT(O55/350),"Lần " &amp; INT(O56/350),""))</f>
        <v/>
      </c>
      <c r="S56" s="6" t="inlineStr"/>
      <c r="T56" s="9" t="inlineStr"/>
    </row>
    <row r="57" ht="20" customHeight="1">
      <c r="A57" s="6" t="n">
        <v>52</v>
      </c>
      <c r="B57" s="7" t="inlineStr">
        <is>
          <t>Bê tông tường cánh mố M1 (C30 đá 1x2)</t>
        </is>
      </c>
      <c r="C57" s="8" t="n"/>
      <c r="D57" s="9" t="n">
        <v>10.13</v>
      </c>
      <c r="E57" s="8">
        <f>IF(C57="","",C57+7)</f>
        <v/>
      </c>
      <c r="F57" s="8">
        <f>IF(C57="","",C57+28)</f>
        <v/>
      </c>
      <c r="G57" s="6" t="inlineStr"/>
      <c r="H57" s="6" t="inlineStr"/>
      <c r="I57" s="6" t="inlineStr"/>
      <c r="J57" s="10" t="n">
        <v>0.425</v>
      </c>
      <c r="K57" s="10" t="n">
        <v>0.555</v>
      </c>
      <c r="L57" s="10" t="n">
        <v>0.7</v>
      </c>
      <c r="M57" s="9">
        <f>IF(D57="","",ROUND(M56+IF(G57&gt;0,D57*G57,D57*J57),2))</f>
        <v/>
      </c>
      <c r="N57" s="9">
        <f>IF(D57="","",ROUND(N56+IF(H57&gt;0,D57*H57,D57*K57),2))</f>
        <v/>
      </c>
      <c r="O57" s="9">
        <f>IF(D57="","",ROUND(O56+IF(I57&gt;0,D57*I57,D57*L57),2))</f>
        <v/>
      </c>
      <c r="P57" s="11">
        <f>IF(M57="","",IF(INT(M57/50)&gt;INT(M56/50),"Lần " &amp; INT(M57/50),""))</f>
        <v/>
      </c>
      <c r="Q57" s="12">
        <f>IF(N57="","",IF(INT(N57/200)&gt;INT(N56/200),"Lần " &amp; INT(N57/200),""))</f>
        <v/>
      </c>
      <c r="R57" s="11">
        <f>IF(O57="","",IF(INT(O57/350)&gt;INT(O56/350),"Lần " &amp; INT(O57/350),""))</f>
        <v/>
      </c>
      <c r="S57" s="6" t="inlineStr"/>
      <c r="T57" s="9" t="inlineStr"/>
    </row>
    <row r="58" ht="20" customHeight="1">
      <c r="A58" s="6" t="n">
        <v>53</v>
      </c>
      <c r="B58" s="7" t="inlineStr">
        <is>
          <t>Bê tông tường thân mố M2 - Đợt 1 (C30 đá 1x2)</t>
        </is>
      </c>
      <c r="C58" s="8" t="n"/>
      <c r="D58" s="9" t="n">
        <v>45</v>
      </c>
      <c r="E58" s="8">
        <f>IF(C58="","",C58+7)</f>
        <v/>
      </c>
      <c r="F58" s="8">
        <f>IF(C58="","",C58+28)</f>
        <v/>
      </c>
      <c r="G58" s="6" t="inlineStr"/>
      <c r="H58" s="6" t="inlineStr"/>
      <c r="I58" s="6" t="inlineStr"/>
      <c r="J58" s="10" t="n">
        <v>0.425</v>
      </c>
      <c r="K58" s="10" t="n">
        <v>0.555</v>
      </c>
      <c r="L58" s="10" t="n">
        <v>0.7</v>
      </c>
      <c r="M58" s="9">
        <f>IF(D58="","",ROUND(M57+IF(G58&gt;0,D58*G58,D58*J58),2))</f>
        <v/>
      </c>
      <c r="N58" s="9">
        <f>IF(D58="","",ROUND(N57+IF(H58&gt;0,D58*H58,D58*K58),2))</f>
        <v/>
      </c>
      <c r="O58" s="9">
        <f>IF(D58="","",ROUND(O57+IF(I58&gt;0,D58*I58,D58*L58),2))</f>
        <v/>
      </c>
      <c r="P58" s="11">
        <f>IF(M58="","",IF(INT(M58/50)&gt;INT(M57/50),"Lần " &amp; INT(M58/50),""))</f>
        <v/>
      </c>
      <c r="Q58" s="12">
        <f>IF(N58="","",IF(INT(N58/200)&gt;INT(N57/200),"Lần " &amp; INT(N58/200),""))</f>
        <v/>
      </c>
      <c r="R58" s="11">
        <f>IF(O58="","",IF(INT(O58/350)&gt;INT(O57/350),"Lần " &amp; INT(O58/350),""))</f>
        <v/>
      </c>
      <c r="S58" s="6" t="inlineStr"/>
      <c r="T58" s="9" t="inlineStr"/>
    </row>
    <row r="59" ht="20" customHeight="1">
      <c r="A59" s="6" t="n">
        <v>54</v>
      </c>
      <c r="B59" s="7" t="inlineStr">
        <is>
          <t>Bê tông tường thân mố M2 - Đợt 2 (C30 đá 1x2)</t>
        </is>
      </c>
      <c r="C59" s="8" t="n"/>
      <c r="D59" s="9" t="n">
        <v>39.44</v>
      </c>
      <c r="E59" s="8">
        <f>IF(C59="","",C59+7)</f>
        <v/>
      </c>
      <c r="F59" s="8">
        <f>IF(C59="","",C59+28)</f>
        <v/>
      </c>
      <c r="G59" s="6" t="inlineStr"/>
      <c r="H59" s="6" t="inlineStr"/>
      <c r="I59" s="6" t="inlineStr"/>
      <c r="J59" s="10" t="n">
        <v>0.425</v>
      </c>
      <c r="K59" s="10" t="n">
        <v>0.555</v>
      </c>
      <c r="L59" s="10" t="n">
        <v>0.7</v>
      </c>
      <c r="M59" s="9">
        <f>IF(D59="","",ROUND(M58+IF(G59&gt;0,D59*G59,D59*J59),2))</f>
        <v/>
      </c>
      <c r="N59" s="9">
        <f>IF(D59="","",ROUND(N58+IF(H59&gt;0,D59*H59,D59*K59),2))</f>
        <v/>
      </c>
      <c r="O59" s="9">
        <f>IF(D59="","",ROUND(O58+IF(I59&gt;0,D59*I59,D59*L59),2))</f>
        <v/>
      </c>
      <c r="P59" s="11">
        <f>IF(M59="","",IF(INT(M59/50)&gt;INT(M58/50),"Lần " &amp; INT(M59/50),""))</f>
        <v/>
      </c>
      <c r="Q59" s="12">
        <f>IF(N59="","",IF(INT(N59/200)&gt;INT(N58/200),"Lần " &amp; INT(N59/200),""))</f>
        <v/>
      </c>
      <c r="R59" s="11">
        <f>IF(O59="","",IF(INT(O59/350)&gt;INT(O58/350),"Lần " &amp; INT(O59/350),""))</f>
        <v/>
      </c>
      <c r="S59" s="6" t="inlineStr"/>
      <c r="T59" s="9" t="inlineStr"/>
    </row>
    <row r="60" ht="20" customHeight="1">
      <c r="A60" s="6" t="n">
        <v>55</v>
      </c>
      <c r="B60" s="7" t="inlineStr">
        <is>
          <t>Bê tông tường đỉnh mố M2 &amp; đá kê gối (C30)</t>
        </is>
      </c>
      <c r="C60" s="8" t="n"/>
      <c r="D60" s="9" t="n">
        <v>14.33</v>
      </c>
      <c r="E60" s="8">
        <f>IF(C60="","",C60+7)</f>
        <v/>
      </c>
      <c r="F60" s="8">
        <f>IF(C60="","",C60+28)</f>
        <v/>
      </c>
      <c r="G60" s="6" t="inlineStr"/>
      <c r="H60" s="6" t="inlineStr"/>
      <c r="I60" s="6" t="inlineStr"/>
      <c r="J60" s="10" t="n">
        <v>0.425</v>
      </c>
      <c r="K60" s="10" t="n">
        <v>0.555</v>
      </c>
      <c r="L60" s="10" t="n">
        <v>0.7</v>
      </c>
      <c r="M60" s="9">
        <f>IF(D60="","",ROUND(M59+IF(G60&gt;0,D60*G60,D60*J60),2))</f>
        <v/>
      </c>
      <c r="N60" s="9">
        <f>IF(D60="","",ROUND(N59+IF(H60&gt;0,D60*H60,D60*K60),2))</f>
        <v/>
      </c>
      <c r="O60" s="9">
        <f>IF(D60="","",ROUND(O59+IF(I60&gt;0,D60*I60,D60*L60),2))</f>
        <v/>
      </c>
      <c r="P60" s="11">
        <f>IF(M60="","",IF(INT(M60/50)&gt;INT(M59/50),"Lần " &amp; INT(M60/50),""))</f>
        <v/>
      </c>
      <c r="Q60" s="12">
        <f>IF(N60="","",IF(INT(N60/200)&gt;INT(N59/200),"Lần " &amp; INT(N60/200),""))</f>
        <v/>
      </c>
      <c r="R60" s="11">
        <f>IF(O60="","",IF(INT(O60/350)&gt;INT(O59/350),"Lần " &amp; INT(O60/350),""))</f>
        <v/>
      </c>
      <c r="S60" s="6" t="inlineStr"/>
      <c r="T60" s="9" t="inlineStr"/>
    </row>
    <row r="61" ht="20" customHeight="1">
      <c r="A61" s="6" t="n">
        <v>56</v>
      </c>
      <c r="B61" s="7" t="inlineStr">
        <is>
          <t>Bê tông tường cánh mố M2 (C30 đá 1x2)</t>
        </is>
      </c>
      <c r="C61" s="8" t="n"/>
      <c r="D61" s="9" t="n">
        <v>10.13</v>
      </c>
      <c r="E61" s="8">
        <f>IF(C61="","",C61+7)</f>
        <v/>
      </c>
      <c r="F61" s="8">
        <f>IF(C61="","",C61+28)</f>
        <v/>
      </c>
      <c r="G61" s="6" t="inlineStr"/>
      <c r="H61" s="6" t="inlineStr"/>
      <c r="I61" s="6" t="inlineStr"/>
      <c r="J61" s="10" t="n">
        <v>0.425</v>
      </c>
      <c r="K61" s="10" t="n">
        <v>0.555</v>
      </c>
      <c r="L61" s="10" t="n">
        <v>0.7</v>
      </c>
      <c r="M61" s="9">
        <f>IF(D61="","",ROUND(M60+IF(G61&gt;0,D61*G61,D61*J61),2))</f>
        <v/>
      </c>
      <c r="N61" s="9">
        <f>IF(D61="","",ROUND(N60+IF(H61&gt;0,D61*H61,D61*K61),2))</f>
        <v/>
      </c>
      <c r="O61" s="9">
        <f>IF(D61="","",ROUND(O60+IF(I61&gt;0,D61*I61,D61*L61),2))</f>
        <v/>
      </c>
      <c r="P61" s="11">
        <f>IF(M61="","",IF(INT(M61/50)&gt;INT(M60/50),"Lần " &amp; INT(M61/50),""))</f>
        <v/>
      </c>
      <c r="Q61" s="12">
        <f>IF(N61="","",IF(INT(N61/200)&gt;INT(N60/200),"Lần " &amp; INT(N61/200),""))</f>
        <v/>
      </c>
      <c r="R61" s="11">
        <f>IF(O61="","",IF(INT(O61/350)&gt;INT(O60/350),"Lần " &amp; INT(O61/350),""))</f>
        <v/>
      </c>
      <c r="S61" s="6" t="inlineStr"/>
      <c r="T61" s="9" t="inlineStr"/>
    </row>
    <row r="62" ht="22" customHeight="1">
      <c r="A62" s="4" t="inlineStr">
        <is>
          <t>IV. HẠNG MỤC DẦM CHỦ SUPER-T L=38.2M (15 PHIẾN DẦM C45/C35)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 ht="20" customHeight="1">
      <c r="A63" s="6" t="n">
        <v>57</v>
      </c>
      <c r="B63" s="7" t="inlineStr">
        <is>
          <t>Bê tông dầm Super-T Nhịp 1 - Phiến D1 (C45 đá 1x2)</t>
        </is>
      </c>
      <c r="C63" s="8" t="n"/>
      <c r="D63" s="9" t="n">
        <v>28.99</v>
      </c>
      <c r="E63" s="8">
        <f>IF(C63="","",C63+7)</f>
        <v/>
      </c>
      <c r="F63" s="8">
        <f>IF(C63="","",C63+28)</f>
        <v/>
      </c>
      <c r="G63" s="6" t="inlineStr"/>
      <c r="H63" s="6" t="inlineStr"/>
      <c r="I63" s="6" t="inlineStr"/>
      <c r="J63" s="10" t="n">
        <v>0.425</v>
      </c>
      <c r="K63" s="10" t="n">
        <v>0.555</v>
      </c>
      <c r="L63" s="10" t="n">
        <v>0.7</v>
      </c>
      <c r="M63" s="9">
        <f>IF(D63="","",ROUND(M61+IF(G63&gt;0,D63*G63,D63*J63),2))</f>
        <v/>
      </c>
      <c r="N63" s="9">
        <f>IF(D63="","",ROUND(N61+IF(H63&gt;0,D63*H63,D63*K63),2))</f>
        <v/>
      </c>
      <c r="O63" s="9">
        <f>IF(D63="","",ROUND(O61+IF(I63&gt;0,D63*I63,D63*L63),2))</f>
        <v/>
      </c>
      <c r="P63" s="11">
        <f>IF(M63="","",IF(INT(M63/50)&gt;INT(M61/50),"Lần " &amp; INT(M63/50),""))</f>
        <v/>
      </c>
      <c r="Q63" s="12">
        <f>IF(N63="","",IF(INT(N63/200)&gt;INT(N61/200),"Lần " &amp; INT(N63/200),""))</f>
        <v/>
      </c>
      <c r="R63" s="11">
        <f>IF(O63="","",IF(INT(O63/350)&gt;INT(O61/350),"Lần " &amp; INT(O63/350),""))</f>
        <v/>
      </c>
      <c r="S63" s="6" t="inlineStr"/>
      <c r="T63" s="9" t="inlineStr"/>
    </row>
    <row r="64" ht="20" customHeight="1">
      <c r="A64" s="6" t="n">
        <v>58</v>
      </c>
      <c r="B64" s="7" t="inlineStr">
        <is>
          <t>Bê tông dầm Super-T Nhịp 1 - Phiến D2 (C45 đá 1x2)</t>
        </is>
      </c>
      <c r="C64" s="8" t="n"/>
      <c r="D64" s="9" t="n">
        <v>28.99</v>
      </c>
      <c r="E64" s="8">
        <f>IF(C64="","",C64+7)</f>
        <v/>
      </c>
      <c r="F64" s="8">
        <f>IF(C64="","",C64+28)</f>
        <v/>
      </c>
      <c r="G64" s="6" t="inlineStr"/>
      <c r="H64" s="6" t="inlineStr"/>
      <c r="I64" s="6" t="inlineStr"/>
      <c r="J64" s="10" t="n">
        <v>0.425</v>
      </c>
      <c r="K64" s="10" t="n">
        <v>0.555</v>
      </c>
      <c r="L64" s="10" t="n">
        <v>0.7</v>
      </c>
      <c r="M64" s="9">
        <f>IF(D64="","",ROUND(M63+IF(G64&gt;0,D64*G64,D64*J64),2))</f>
        <v/>
      </c>
      <c r="N64" s="9">
        <f>IF(D64="","",ROUND(N63+IF(H64&gt;0,D64*H64,D64*K64),2))</f>
        <v/>
      </c>
      <c r="O64" s="9">
        <f>IF(D64="","",ROUND(O63+IF(I64&gt;0,D64*I64,D64*L64),2))</f>
        <v/>
      </c>
      <c r="P64" s="11">
        <f>IF(M64="","",IF(INT(M64/50)&gt;INT(M63/50),"Lần " &amp; INT(M64/50),""))</f>
        <v/>
      </c>
      <c r="Q64" s="12">
        <f>IF(N64="","",IF(INT(N64/200)&gt;INT(N63/200),"Lần " &amp; INT(N64/200),""))</f>
        <v/>
      </c>
      <c r="R64" s="11">
        <f>IF(O64="","",IF(INT(O64/350)&gt;INT(O63/350),"Lần " &amp; INT(O64/350),""))</f>
        <v/>
      </c>
      <c r="S64" s="6" t="inlineStr"/>
      <c r="T64" s="9" t="inlineStr"/>
    </row>
    <row r="65" ht="20" customHeight="1">
      <c r="A65" s="6" t="n">
        <v>59</v>
      </c>
      <c r="B65" s="7" t="inlineStr">
        <is>
          <t>Bê tông dầm Super-T Nhịp 1 - Phiến D3 (C45 đá 1x2)</t>
        </is>
      </c>
      <c r="C65" s="8" t="n"/>
      <c r="D65" s="9" t="n">
        <v>28.99</v>
      </c>
      <c r="E65" s="8">
        <f>IF(C65="","",C65+7)</f>
        <v/>
      </c>
      <c r="F65" s="8">
        <f>IF(C65="","",C65+28)</f>
        <v/>
      </c>
      <c r="G65" s="6" t="inlineStr"/>
      <c r="H65" s="6" t="inlineStr"/>
      <c r="I65" s="6" t="inlineStr"/>
      <c r="J65" s="10" t="n">
        <v>0.425</v>
      </c>
      <c r="K65" s="10" t="n">
        <v>0.555</v>
      </c>
      <c r="L65" s="10" t="n">
        <v>0.7</v>
      </c>
      <c r="M65" s="9">
        <f>IF(D65="","",ROUND(M64+IF(G65&gt;0,D65*G65,D65*J65),2))</f>
        <v/>
      </c>
      <c r="N65" s="9">
        <f>IF(D65="","",ROUND(N64+IF(H65&gt;0,D65*H65,D65*K65),2))</f>
        <v/>
      </c>
      <c r="O65" s="9">
        <f>IF(D65="","",ROUND(O64+IF(I65&gt;0,D65*I65,D65*L65),2))</f>
        <v/>
      </c>
      <c r="P65" s="11">
        <f>IF(M65="","",IF(INT(M65/50)&gt;INT(M64/50),"Lần " &amp; INT(M65/50),""))</f>
        <v/>
      </c>
      <c r="Q65" s="12">
        <f>IF(N65="","",IF(INT(N65/200)&gt;INT(N64/200),"Lần " &amp; INT(N65/200),""))</f>
        <v/>
      </c>
      <c r="R65" s="11">
        <f>IF(O65="","",IF(INT(O65/350)&gt;INT(O64/350),"Lần " &amp; INT(O65/350),""))</f>
        <v/>
      </c>
      <c r="S65" s="6" t="inlineStr"/>
      <c r="T65" s="9" t="inlineStr"/>
    </row>
    <row r="66" ht="20" customHeight="1">
      <c r="A66" s="6" t="n">
        <v>60</v>
      </c>
      <c r="B66" s="7" t="inlineStr">
        <is>
          <t>Bê tông dầm Super-T Nhịp 1 - Phiến D4 (C45 đá 1x2)</t>
        </is>
      </c>
      <c r="C66" s="8" t="n"/>
      <c r="D66" s="9" t="n">
        <v>28.99</v>
      </c>
      <c r="E66" s="8">
        <f>IF(C66="","",C66+7)</f>
        <v/>
      </c>
      <c r="F66" s="8">
        <f>IF(C66="","",C66+28)</f>
        <v/>
      </c>
      <c r="G66" s="6" t="inlineStr"/>
      <c r="H66" s="6" t="inlineStr"/>
      <c r="I66" s="6" t="inlineStr"/>
      <c r="J66" s="10" t="n">
        <v>0.425</v>
      </c>
      <c r="K66" s="10" t="n">
        <v>0.555</v>
      </c>
      <c r="L66" s="10" t="n">
        <v>0.7</v>
      </c>
      <c r="M66" s="9">
        <f>IF(D66="","",ROUND(M65+IF(G66&gt;0,D66*G66,D66*J66),2))</f>
        <v/>
      </c>
      <c r="N66" s="9">
        <f>IF(D66="","",ROUND(N65+IF(H66&gt;0,D66*H66,D66*K66),2))</f>
        <v/>
      </c>
      <c r="O66" s="9">
        <f>IF(D66="","",ROUND(O65+IF(I66&gt;0,D66*I66,D66*L66),2))</f>
        <v/>
      </c>
      <c r="P66" s="11">
        <f>IF(M66="","",IF(INT(M66/50)&gt;INT(M65/50),"Lần " &amp; INT(M66/50),""))</f>
        <v/>
      </c>
      <c r="Q66" s="12">
        <f>IF(N66="","",IF(INT(N66/200)&gt;INT(N65/200),"Lần " &amp; INT(N66/200),""))</f>
        <v/>
      </c>
      <c r="R66" s="11">
        <f>IF(O66="","",IF(INT(O66/350)&gt;INT(O65/350),"Lần " &amp; INT(O66/350),""))</f>
        <v/>
      </c>
      <c r="S66" s="6" t="inlineStr"/>
      <c r="T66" s="9" t="inlineStr"/>
    </row>
    <row r="67" ht="20" customHeight="1">
      <c r="A67" s="6" t="n">
        <v>61</v>
      </c>
      <c r="B67" s="7" t="inlineStr">
        <is>
          <t>Bê tông dầm Super-T Nhịp 1 - Phiến D5 (C45 đá 1x2)</t>
        </is>
      </c>
      <c r="C67" s="8" t="n"/>
      <c r="D67" s="9" t="n">
        <v>28.99</v>
      </c>
      <c r="E67" s="8">
        <f>IF(C67="","",C67+7)</f>
        <v/>
      </c>
      <c r="F67" s="8">
        <f>IF(C67="","",C67+28)</f>
        <v/>
      </c>
      <c r="G67" s="6" t="inlineStr"/>
      <c r="H67" s="6" t="inlineStr"/>
      <c r="I67" s="6" t="inlineStr"/>
      <c r="J67" s="10" t="n">
        <v>0.425</v>
      </c>
      <c r="K67" s="10" t="n">
        <v>0.555</v>
      </c>
      <c r="L67" s="10" t="n">
        <v>0.7</v>
      </c>
      <c r="M67" s="9">
        <f>IF(D67="","",ROUND(M66+IF(G67&gt;0,D67*G67,D67*J67),2))</f>
        <v/>
      </c>
      <c r="N67" s="9">
        <f>IF(D67="","",ROUND(N66+IF(H67&gt;0,D67*H67,D67*K67),2))</f>
        <v/>
      </c>
      <c r="O67" s="9">
        <f>IF(D67="","",ROUND(O66+IF(I67&gt;0,D67*I67,D67*L67),2))</f>
        <v/>
      </c>
      <c r="P67" s="11">
        <f>IF(M67="","",IF(INT(M67/50)&gt;INT(M66/50),"Lần " &amp; INT(M67/50),""))</f>
        <v/>
      </c>
      <c r="Q67" s="12">
        <f>IF(N67="","",IF(INT(N67/200)&gt;INT(N66/200),"Lần " &amp; INT(N67/200),""))</f>
        <v/>
      </c>
      <c r="R67" s="11">
        <f>IF(O67="","",IF(INT(O67/350)&gt;INT(O66/350),"Lần " &amp; INT(O67/350),""))</f>
        <v/>
      </c>
      <c r="S67" s="6" t="inlineStr"/>
      <c r="T67" s="9" t="inlineStr"/>
    </row>
    <row r="68" ht="20" customHeight="1">
      <c r="A68" s="6" t="n">
        <v>62</v>
      </c>
      <c r="B68" s="7" t="inlineStr">
        <is>
          <t>Bê tông dầm Super-T Nhịp 2 - Phiến D1 (C45 đá 1x2)</t>
        </is>
      </c>
      <c r="C68" s="8" t="n"/>
      <c r="D68" s="9" t="n">
        <v>28.99</v>
      </c>
      <c r="E68" s="8">
        <f>IF(C68="","",C68+7)</f>
        <v/>
      </c>
      <c r="F68" s="8">
        <f>IF(C68="","",C68+28)</f>
        <v/>
      </c>
      <c r="G68" s="6" t="inlineStr"/>
      <c r="H68" s="6" t="inlineStr"/>
      <c r="I68" s="6" t="inlineStr"/>
      <c r="J68" s="10" t="n">
        <v>0.425</v>
      </c>
      <c r="K68" s="10" t="n">
        <v>0.555</v>
      </c>
      <c r="L68" s="10" t="n">
        <v>0.7</v>
      </c>
      <c r="M68" s="9">
        <f>IF(D68="","",ROUND(M67+IF(G68&gt;0,D68*G68,D68*J68),2))</f>
        <v/>
      </c>
      <c r="N68" s="9">
        <f>IF(D68="","",ROUND(N67+IF(H68&gt;0,D68*H68,D68*K68),2))</f>
        <v/>
      </c>
      <c r="O68" s="9">
        <f>IF(D68="","",ROUND(O67+IF(I68&gt;0,D68*I68,D68*L68),2))</f>
        <v/>
      </c>
      <c r="P68" s="11">
        <f>IF(M68="","",IF(INT(M68/50)&gt;INT(M67/50),"Lần " &amp; INT(M68/50),""))</f>
        <v/>
      </c>
      <c r="Q68" s="12">
        <f>IF(N68="","",IF(INT(N68/200)&gt;INT(N67/200),"Lần " &amp; INT(N68/200),""))</f>
        <v/>
      </c>
      <c r="R68" s="11">
        <f>IF(O68="","",IF(INT(O68/350)&gt;INT(O67/350),"Lần " &amp; INT(O68/350),""))</f>
        <v/>
      </c>
      <c r="S68" s="6" t="inlineStr"/>
      <c r="T68" s="9" t="inlineStr"/>
    </row>
    <row r="69" ht="20" customHeight="1">
      <c r="A69" s="6" t="n">
        <v>63</v>
      </c>
      <c r="B69" s="7" t="inlineStr">
        <is>
          <t>Bê tông dầm Super-T Nhịp 2 - Phiến D2 (C45 đá 1x2)</t>
        </is>
      </c>
      <c r="C69" s="8" t="n"/>
      <c r="D69" s="9" t="n">
        <v>28.99</v>
      </c>
      <c r="E69" s="8">
        <f>IF(C69="","",C69+7)</f>
        <v/>
      </c>
      <c r="F69" s="8">
        <f>IF(C69="","",C69+28)</f>
        <v/>
      </c>
      <c r="G69" s="6" t="inlineStr"/>
      <c r="H69" s="6" t="inlineStr"/>
      <c r="I69" s="6" t="inlineStr"/>
      <c r="J69" s="10" t="n">
        <v>0.425</v>
      </c>
      <c r="K69" s="10" t="n">
        <v>0.555</v>
      </c>
      <c r="L69" s="10" t="n">
        <v>0.7</v>
      </c>
      <c r="M69" s="9">
        <f>IF(D69="","",ROUND(M68+IF(G69&gt;0,D69*G69,D69*J69),2))</f>
        <v/>
      </c>
      <c r="N69" s="9">
        <f>IF(D69="","",ROUND(N68+IF(H69&gt;0,D69*H69,D69*K69),2))</f>
        <v/>
      </c>
      <c r="O69" s="9">
        <f>IF(D69="","",ROUND(O68+IF(I69&gt;0,D69*I69,D69*L69),2))</f>
        <v/>
      </c>
      <c r="P69" s="11">
        <f>IF(M69="","",IF(INT(M69/50)&gt;INT(M68/50),"Lần " &amp; INT(M69/50),""))</f>
        <v/>
      </c>
      <c r="Q69" s="12">
        <f>IF(N69="","",IF(INT(N69/200)&gt;INT(N68/200),"Lần " &amp; INT(N69/200),""))</f>
        <v/>
      </c>
      <c r="R69" s="11">
        <f>IF(O69="","",IF(INT(O69/350)&gt;INT(O68/350),"Lần " &amp; INT(O69/350),""))</f>
        <v/>
      </c>
      <c r="S69" s="6" t="inlineStr"/>
      <c r="T69" s="9" t="inlineStr"/>
    </row>
    <row r="70" ht="20" customHeight="1">
      <c r="A70" s="6" t="n">
        <v>64</v>
      </c>
      <c r="B70" s="7" t="inlineStr">
        <is>
          <t>Bê tông dầm Super-T Nhịp 2 - Phiến D3 (C45 đá 1x2)</t>
        </is>
      </c>
      <c r="C70" s="8" t="n"/>
      <c r="D70" s="9" t="n">
        <v>28.99</v>
      </c>
      <c r="E70" s="8">
        <f>IF(C70="","",C70+7)</f>
        <v/>
      </c>
      <c r="F70" s="8">
        <f>IF(C70="","",C70+28)</f>
        <v/>
      </c>
      <c r="G70" s="6" t="inlineStr"/>
      <c r="H70" s="6" t="inlineStr"/>
      <c r="I70" s="6" t="inlineStr"/>
      <c r="J70" s="10" t="n">
        <v>0.425</v>
      </c>
      <c r="K70" s="10" t="n">
        <v>0.555</v>
      </c>
      <c r="L70" s="10" t="n">
        <v>0.7</v>
      </c>
      <c r="M70" s="9">
        <f>IF(D70="","",ROUND(M69+IF(G70&gt;0,D70*G70,D70*J70),2))</f>
        <v/>
      </c>
      <c r="N70" s="9">
        <f>IF(D70="","",ROUND(N69+IF(H70&gt;0,D70*H70,D70*K70),2))</f>
        <v/>
      </c>
      <c r="O70" s="9">
        <f>IF(D70="","",ROUND(O69+IF(I70&gt;0,D70*I70,D70*L70),2))</f>
        <v/>
      </c>
      <c r="P70" s="11">
        <f>IF(M70="","",IF(INT(M70/50)&gt;INT(M69/50),"Lần " &amp; INT(M70/50),""))</f>
        <v/>
      </c>
      <c r="Q70" s="12">
        <f>IF(N70="","",IF(INT(N70/200)&gt;INT(N69/200),"Lần " &amp; INT(N70/200),""))</f>
        <v/>
      </c>
      <c r="R70" s="11">
        <f>IF(O70="","",IF(INT(O70/350)&gt;INT(O69/350),"Lần " &amp; INT(O70/350),""))</f>
        <v/>
      </c>
      <c r="S70" s="6" t="inlineStr"/>
      <c r="T70" s="9" t="inlineStr"/>
    </row>
    <row r="71" ht="20" customHeight="1">
      <c r="A71" s="6" t="n">
        <v>65</v>
      </c>
      <c r="B71" s="7" t="inlineStr">
        <is>
          <t>Bê tông dầm Super-T Nhịp 2 - Phiến D4 (C45 đá 1x2)</t>
        </is>
      </c>
      <c r="C71" s="8" t="n"/>
      <c r="D71" s="9" t="n">
        <v>28.99</v>
      </c>
      <c r="E71" s="8">
        <f>IF(C71="","",C71+7)</f>
        <v/>
      </c>
      <c r="F71" s="8">
        <f>IF(C71="","",C71+28)</f>
        <v/>
      </c>
      <c r="G71" s="6" t="inlineStr"/>
      <c r="H71" s="6" t="inlineStr"/>
      <c r="I71" s="6" t="inlineStr"/>
      <c r="J71" s="10" t="n">
        <v>0.425</v>
      </c>
      <c r="K71" s="10" t="n">
        <v>0.555</v>
      </c>
      <c r="L71" s="10" t="n">
        <v>0.7</v>
      </c>
      <c r="M71" s="9">
        <f>IF(D71="","",ROUND(M70+IF(G71&gt;0,D71*G71,D71*J71),2))</f>
        <v/>
      </c>
      <c r="N71" s="9">
        <f>IF(D71="","",ROUND(N70+IF(H71&gt;0,D71*H71,D71*K71),2))</f>
        <v/>
      </c>
      <c r="O71" s="9">
        <f>IF(D71="","",ROUND(O70+IF(I71&gt;0,D71*I71,D71*L71),2))</f>
        <v/>
      </c>
      <c r="P71" s="11">
        <f>IF(M71="","",IF(INT(M71/50)&gt;INT(M70/50),"Lần " &amp; INT(M71/50),""))</f>
        <v/>
      </c>
      <c r="Q71" s="12">
        <f>IF(N71="","",IF(INT(N71/200)&gt;INT(N70/200),"Lần " &amp; INT(N71/200),""))</f>
        <v/>
      </c>
      <c r="R71" s="11">
        <f>IF(O71="","",IF(INT(O71/350)&gt;INT(O70/350),"Lần " &amp; INT(O71/350),""))</f>
        <v/>
      </c>
      <c r="S71" s="6" t="inlineStr"/>
      <c r="T71" s="9" t="inlineStr"/>
    </row>
    <row r="72" ht="20" customHeight="1">
      <c r="A72" s="6" t="n">
        <v>66</v>
      </c>
      <c r="B72" s="7" t="inlineStr">
        <is>
          <t>Bê tông dầm Super-T Nhịp 2 - Phiến D5 (C45 đá 1x2)</t>
        </is>
      </c>
      <c r="C72" s="8" t="n"/>
      <c r="D72" s="9" t="n">
        <v>28.99</v>
      </c>
      <c r="E72" s="8">
        <f>IF(C72="","",C72+7)</f>
        <v/>
      </c>
      <c r="F72" s="8">
        <f>IF(C72="","",C72+28)</f>
        <v/>
      </c>
      <c r="G72" s="6" t="inlineStr"/>
      <c r="H72" s="6" t="inlineStr"/>
      <c r="I72" s="6" t="inlineStr"/>
      <c r="J72" s="10" t="n">
        <v>0.425</v>
      </c>
      <c r="K72" s="10" t="n">
        <v>0.555</v>
      </c>
      <c r="L72" s="10" t="n">
        <v>0.7</v>
      </c>
      <c r="M72" s="9">
        <f>IF(D72="","",ROUND(M71+IF(G72&gt;0,D72*G72,D72*J72),2))</f>
        <v/>
      </c>
      <c r="N72" s="9">
        <f>IF(D72="","",ROUND(N71+IF(H72&gt;0,D72*H72,D72*K72),2))</f>
        <v/>
      </c>
      <c r="O72" s="9">
        <f>IF(D72="","",ROUND(O71+IF(I72&gt;0,D72*I72,D72*L72),2))</f>
        <v/>
      </c>
      <c r="P72" s="11">
        <f>IF(M72="","",IF(INT(M72/50)&gt;INT(M71/50),"Lần " &amp; INT(M72/50),""))</f>
        <v/>
      </c>
      <c r="Q72" s="12">
        <f>IF(N72="","",IF(INT(N72/200)&gt;INT(N71/200),"Lần " &amp; INT(N72/200),""))</f>
        <v/>
      </c>
      <c r="R72" s="11">
        <f>IF(O72="","",IF(INT(O72/350)&gt;INT(O71/350),"Lần " &amp; INT(O72/350),""))</f>
        <v/>
      </c>
      <c r="S72" s="6" t="inlineStr"/>
      <c r="T72" s="9" t="inlineStr"/>
    </row>
    <row r="73" ht="20" customHeight="1">
      <c r="A73" s="6" t="n">
        <v>67</v>
      </c>
      <c r="B73" s="7" t="inlineStr">
        <is>
          <t>Bê tông dầm Super-T Nhịp 3 - Phiến D1 (C45 đá 1x2)</t>
        </is>
      </c>
      <c r="C73" s="8" t="n"/>
      <c r="D73" s="9" t="n">
        <v>28.99</v>
      </c>
      <c r="E73" s="8">
        <f>IF(C73="","",C73+7)</f>
        <v/>
      </c>
      <c r="F73" s="8">
        <f>IF(C73="","",C73+28)</f>
        <v/>
      </c>
      <c r="G73" s="6" t="inlineStr"/>
      <c r="H73" s="6" t="inlineStr"/>
      <c r="I73" s="6" t="inlineStr"/>
      <c r="J73" s="10" t="n">
        <v>0.425</v>
      </c>
      <c r="K73" s="10" t="n">
        <v>0.555</v>
      </c>
      <c r="L73" s="10" t="n">
        <v>0.7</v>
      </c>
      <c r="M73" s="9">
        <f>IF(D73="","",ROUND(M72+IF(G73&gt;0,D73*G73,D73*J73),2))</f>
        <v/>
      </c>
      <c r="N73" s="9">
        <f>IF(D73="","",ROUND(N72+IF(H73&gt;0,D73*H73,D73*K73),2))</f>
        <v/>
      </c>
      <c r="O73" s="9">
        <f>IF(D73="","",ROUND(O72+IF(I73&gt;0,D73*I73,D73*L73),2))</f>
        <v/>
      </c>
      <c r="P73" s="11">
        <f>IF(M73="","",IF(INT(M73/50)&gt;INT(M72/50),"Lần " &amp; INT(M73/50),""))</f>
        <v/>
      </c>
      <c r="Q73" s="12">
        <f>IF(N73="","",IF(INT(N73/200)&gt;INT(N72/200),"Lần " &amp; INT(N73/200),""))</f>
        <v/>
      </c>
      <c r="R73" s="11">
        <f>IF(O73="","",IF(INT(O73/350)&gt;INT(O72/350),"Lần " &amp; INT(O73/350),""))</f>
        <v/>
      </c>
      <c r="S73" s="6" t="inlineStr"/>
      <c r="T73" s="9" t="inlineStr"/>
    </row>
    <row r="74" ht="20" customHeight="1">
      <c r="A74" s="6" t="n">
        <v>68</v>
      </c>
      <c r="B74" s="7" t="inlineStr">
        <is>
          <t>Bê tông dầm Super-T Nhịp 3 - Phiến D2 (C45 đá 1x2)</t>
        </is>
      </c>
      <c r="C74" s="8" t="n"/>
      <c r="D74" s="9" t="n">
        <v>28.99</v>
      </c>
      <c r="E74" s="8">
        <f>IF(C74="","",C74+7)</f>
        <v/>
      </c>
      <c r="F74" s="8">
        <f>IF(C74="","",C74+28)</f>
        <v/>
      </c>
      <c r="G74" s="6" t="inlineStr"/>
      <c r="H74" s="6" t="inlineStr"/>
      <c r="I74" s="6" t="inlineStr"/>
      <c r="J74" s="10" t="n">
        <v>0.425</v>
      </c>
      <c r="K74" s="10" t="n">
        <v>0.555</v>
      </c>
      <c r="L74" s="10" t="n">
        <v>0.7</v>
      </c>
      <c r="M74" s="9">
        <f>IF(D74="","",ROUND(M73+IF(G74&gt;0,D74*G74,D74*J74),2))</f>
        <v/>
      </c>
      <c r="N74" s="9">
        <f>IF(D74="","",ROUND(N73+IF(H74&gt;0,D74*H74,D74*K74),2))</f>
        <v/>
      </c>
      <c r="O74" s="9">
        <f>IF(D74="","",ROUND(O73+IF(I74&gt;0,D74*I74,D74*L74),2))</f>
        <v/>
      </c>
      <c r="P74" s="11">
        <f>IF(M74="","",IF(INT(M74/50)&gt;INT(M73/50),"Lần " &amp; INT(M74/50),""))</f>
        <v/>
      </c>
      <c r="Q74" s="12">
        <f>IF(N74="","",IF(INT(N74/200)&gt;INT(N73/200),"Lần " &amp; INT(N74/200),""))</f>
        <v/>
      </c>
      <c r="R74" s="11">
        <f>IF(O74="","",IF(INT(O74/350)&gt;INT(O73/350),"Lần " &amp; INT(O74/350),""))</f>
        <v/>
      </c>
      <c r="S74" s="6" t="inlineStr"/>
      <c r="T74" s="9" t="inlineStr"/>
    </row>
    <row r="75" ht="20" customHeight="1">
      <c r="A75" s="6" t="n">
        <v>69</v>
      </c>
      <c r="B75" s="7" t="inlineStr">
        <is>
          <t>Bê tông dầm Super-T Nhịp 3 - Phiến D3 (C45 đá 1x2)</t>
        </is>
      </c>
      <c r="C75" s="8" t="n"/>
      <c r="D75" s="9" t="n">
        <v>28.99</v>
      </c>
      <c r="E75" s="8">
        <f>IF(C75="","",C75+7)</f>
        <v/>
      </c>
      <c r="F75" s="8">
        <f>IF(C75="","",C75+28)</f>
        <v/>
      </c>
      <c r="G75" s="6" t="inlineStr"/>
      <c r="H75" s="6" t="inlineStr"/>
      <c r="I75" s="6" t="inlineStr"/>
      <c r="J75" s="10" t="n">
        <v>0.425</v>
      </c>
      <c r="K75" s="10" t="n">
        <v>0.555</v>
      </c>
      <c r="L75" s="10" t="n">
        <v>0.7</v>
      </c>
      <c r="M75" s="9">
        <f>IF(D75="","",ROUND(M74+IF(G75&gt;0,D75*G75,D75*J75),2))</f>
        <v/>
      </c>
      <c r="N75" s="9">
        <f>IF(D75="","",ROUND(N74+IF(H75&gt;0,D75*H75,D75*K75),2))</f>
        <v/>
      </c>
      <c r="O75" s="9">
        <f>IF(D75="","",ROUND(O74+IF(I75&gt;0,D75*I75,D75*L75),2))</f>
        <v/>
      </c>
      <c r="P75" s="11">
        <f>IF(M75="","",IF(INT(M75/50)&gt;INT(M74/50),"Lần " &amp; INT(M75/50),""))</f>
        <v/>
      </c>
      <c r="Q75" s="12">
        <f>IF(N75="","",IF(INT(N75/200)&gt;INT(N74/200),"Lần " &amp; INT(N75/200),""))</f>
        <v/>
      </c>
      <c r="R75" s="11">
        <f>IF(O75="","",IF(INT(O75/350)&gt;INT(O74/350),"Lần " &amp; INT(O75/350),""))</f>
        <v/>
      </c>
      <c r="S75" s="6" t="inlineStr"/>
      <c r="T75" s="9" t="inlineStr"/>
    </row>
    <row r="76" ht="20" customHeight="1">
      <c r="A76" s="6" t="n">
        <v>70</v>
      </c>
      <c r="B76" s="7" t="inlineStr">
        <is>
          <t>Bê tông dầm Super-T Nhịp 3 - Phiến D4 (C45 đá 1x2)</t>
        </is>
      </c>
      <c r="C76" s="8" t="n"/>
      <c r="D76" s="9" t="n">
        <v>28.99</v>
      </c>
      <c r="E76" s="8">
        <f>IF(C76="","",C76+7)</f>
        <v/>
      </c>
      <c r="F76" s="8">
        <f>IF(C76="","",C76+28)</f>
        <v/>
      </c>
      <c r="G76" s="6" t="inlineStr"/>
      <c r="H76" s="6" t="inlineStr"/>
      <c r="I76" s="6" t="inlineStr"/>
      <c r="J76" s="10" t="n">
        <v>0.425</v>
      </c>
      <c r="K76" s="10" t="n">
        <v>0.555</v>
      </c>
      <c r="L76" s="10" t="n">
        <v>0.7</v>
      </c>
      <c r="M76" s="9">
        <f>IF(D76="","",ROUND(M75+IF(G76&gt;0,D76*G76,D76*J76),2))</f>
        <v/>
      </c>
      <c r="N76" s="9">
        <f>IF(D76="","",ROUND(N75+IF(H76&gt;0,D76*H76,D76*K76),2))</f>
        <v/>
      </c>
      <c r="O76" s="9">
        <f>IF(D76="","",ROUND(O75+IF(I76&gt;0,D76*I76,D76*L76),2))</f>
        <v/>
      </c>
      <c r="P76" s="11">
        <f>IF(M76="","",IF(INT(M76/50)&gt;INT(M75/50),"Lần " &amp; INT(M76/50),""))</f>
        <v/>
      </c>
      <c r="Q76" s="12">
        <f>IF(N76="","",IF(INT(N76/200)&gt;INT(N75/200),"Lần " &amp; INT(N76/200),""))</f>
        <v/>
      </c>
      <c r="R76" s="11">
        <f>IF(O76="","",IF(INT(O76/350)&gt;INT(O75/350),"Lần " &amp; INT(O76/350),""))</f>
        <v/>
      </c>
      <c r="S76" s="6" t="inlineStr"/>
      <c r="T76" s="9" t="inlineStr"/>
    </row>
    <row r="77" ht="20" customHeight="1">
      <c r="A77" s="6" t="n">
        <v>71</v>
      </c>
      <c r="B77" s="7" t="inlineStr">
        <is>
          <t>Bê tông dầm Super-T Nhịp 3 - Phiến D5 (C45 đá 1x2)</t>
        </is>
      </c>
      <c r="C77" s="8" t="n"/>
      <c r="D77" s="9" t="n">
        <v>28.99</v>
      </c>
      <c r="E77" s="8">
        <f>IF(C77="","",C77+7)</f>
        <v/>
      </c>
      <c r="F77" s="8">
        <f>IF(C77="","",C77+28)</f>
        <v/>
      </c>
      <c r="G77" s="6" t="inlineStr"/>
      <c r="H77" s="6" t="inlineStr"/>
      <c r="I77" s="6" t="inlineStr"/>
      <c r="J77" s="10" t="n">
        <v>0.425</v>
      </c>
      <c r="K77" s="10" t="n">
        <v>0.555</v>
      </c>
      <c r="L77" s="10" t="n">
        <v>0.7</v>
      </c>
      <c r="M77" s="9">
        <f>IF(D77="","",ROUND(M76+IF(G77&gt;0,D77*G77,D77*J77),2))</f>
        <v/>
      </c>
      <c r="N77" s="9">
        <f>IF(D77="","",ROUND(N76+IF(H77&gt;0,D77*H77,D77*K77),2))</f>
        <v/>
      </c>
      <c r="O77" s="9">
        <f>IF(D77="","",ROUND(O76+IF(I77&gt;0,D77*I77,D77*L77),2))</f>
        <v/>
      </c>
      <c r="P77" s="11">
        <f>IF(M77="","",IF(INT(M77/50)&gt;INT(M76/50),"Lần " &amp; INT(M77/50),""))</f>
        <v/>
      </c>
      <c r="Q77" s="12">
        <f>IF(N77="","",IF(INT(N77/200)&gt;INT(N76/200),"Lần " &amp; INT(N77/200),""))</f>
        <v/>
      </c>
      <c r="R77" s="11">
        <f>IF(O77="","",IF(INT(O77/350)&gt;INT(O76/350),"Lần " &amp; INT(O77/350),""))</f>
        <v/>
      </c>
      <c r="S77" s="6" t="inlineStr"/>
      <c r="T77" s="9" t="inlineStr"/>
    </row>
    <row r="78" ht="22" customHeight="1">
      <c r="A78" s="4" t="inlineStr">
        <is>
          <t>V. HẠNG MỤC DẦM NGANG, BẢN MẶT CẦU &amp; KẾT CẤU HOÀN THIỆN</t>
        </is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20" customHeight="1">
      <c r="A79" s="6" t="n">
        <v>72</v>
      </c>
      <c r="B79" s="7" t="inlineStr">
        <is>
          <t>Bê tông dầm ngang mố M1 &amp; Trụ T1 (C35 đá 1x2)</t>
        </is>
      </c>
      <c r="C79" s="8" t="n"/>
      <c r="D79" s="9" t="n">
        <v>6.46</v>
      </c>
      <c r="E79" s="8">
        <f>IF(C79="","",C79+7)</f>
        <v/>
      </c>
      <c r="F79" s="8">
        <f>IF(C79="","",C79+28)</f>
        <v/>
      </c>
      <c r="G79" s="6" t="inlineStr"/>
      <c r="H79" s="6" t="inlineStr"/>
      <c r="I79" s="6" t="inlineStr"/>
      <c r="J79" s="10" t="n">
        <v>0.425</v>
      </c>
      <c r="K79" s="10" t="n">
        <v>0.555</v>
      </c>
      <c r="L79" s="10" t="n">
        <v>0.7</v>
      </c>
      <c r="M79" s="9">
        <f>IF(D79="","",ROUND(M77+IF(G79&gt;0,D79*G79,D79*J79),2))</f>
        <v/>
      </c>
      <c r="N79" s="9">
        <f>IF(D79="","",ROUND(N77+IF(H79&gt;0,D79*H79,D79*K79),2))</f>
        <v/>
      </c>
      <c r="O79" s="9">
        <f>IF(D79="","",ROUND(O77+IF(I79&gt;0,D79*I79,D79*L79),2))</f>
        <v/>
      </c>
      <c r="P79" s="11">
        <f>IF(M79="","",IF(INT(M79/50)&gt;INT(M77/50),"Lần " &amp; INT(M79/50),""))</f>
        <v/>
      </c>
      <c r="Q79" s="12">
        <f>IF(N79="","",IF(INT(N79/200)&gt;INT(N77/200),"Lần " &amp; INT(N79/200),""))</f>
        <v/>
      </c>
      <c r="R79" s="11">
        <f>IF(O79="","",IF(INT(O79/350)&gt;INT(O77/350),"Lần " &amp; INT(O79/350),""))</f>
        <v/>
      </c>
      <c r="S79" s="6" t="inlineStr"/>
      <c r="T79" s="9" t="inlineStr"/>
    </row>
    <row r="80" ht="20" customHeight="1">
      <c r="A80" s="6" t="n">
        <v>73</v>
      </c>
      <c r="B80" s="7" t="inlineStr">
        <is>
          <t>Bê tông dầm ngang Trụ T1 &amp; Trụ T2 (C35 đá 1x2)</t>
        </is>
      </c>
      <c r="C80" s="8" t="n"/>
      <c r="D80" s="9" t="n">
        <v>6.46</v>
      </c>
      <c r="E80" s="8">
        <f>IF(C80="","",C80+7)</f>
        <v/>
      </c>
      <c r="F80" s="8">
        <f>IF(C80="","",C80+28)</f>
        <v/>
      </c>
      <c r="G80" s="6" t="inlineStr"/>
      <c r="H80" s="6" t="inlineStr"/>
      <c r="I80" s="6" t="inlineStr"/>
      <c r="J80" s="10" t="n">
        <v>0.425</v>
      </c>
      <c r="K80" s="10" t="n">
        <v>0.555</v>
      </c>
      <c r="L80" s="10" t="n">
        <v>0.7</v>
      </c>
      <c r="M80" s="9">
        <f>IF(D80="","",ROUND(M79+IF(G80&gt;0,D80*G80,D80*J80),2))</f>
        <v/>
      </c>
      <c r="N80" s="9">
        <f>IF(D80="","",ROUND(N79+IF(H80&gt;0,D80*H80,D80*K80),2))</f>
        <v/>
      </c>
      <c r="O80" s="9">
        <f>IF(D80="","",ROUND(O79+IF(I80&gt;0,D80*I80,D80*L80),2))</f>
        <v/>
      </c>
      <c r="P80" s="11">
        <f>IF(M80="","",IF(INT(M80/50)&gt;INT(M79/50),"Lần " &amp; INT(M80/50),""))</f>
        <v/>
      </c>
      <c r="Q80" s="12">
        <f>IF(N80="","",IF(INT(N80/200)&gt;INT(N79/200),"Lần " &amp; INT(N80/200),""))</f>
        <v/>
      </c>
      <c r="R80" s="11">
        <f>IF(O80="","",IF(INT(O80/350)&gt;INT(O79/350),"Lần " &amp; INT(O80/350),""))</f>
        <v/>
      </c>
      <c r="S80" s="6" t="inlineStr"/>
      <c r="T80" s="9" t="inlineStr"/>
    </row>
    <row r="81" ht="20" customHeight="1">
      <c r="A81" s="6" t="n">
        <v>74</v>
      </c>
      <c r="B81" s="7" t="inlineStr">
        <is>
          <t>Bê tông dầm ngang Trụ T2 &amp; Mố M2 (C35 đá 1x2)</t>
        </is>
      </c>
      <c r="C81" s="8" t="n"/>
      <c r="D81" s="9" t="n">
        <v>6.46</v>
      </c>
      <c r="E81" s="8">
        <f>IF(C81="","",C81+7)</f>
        <v/>
      </c>
      <c r="F81" s="8">
        <f>IF(C81="","",C81+28)</f>
        <v/>
      </c>
      <c r="G81" s="6" t="inlineStr"/>
      <c r="H81" s="6" t="inlineStr"/>
      <c r="I81" s="6" t="inlineStr"/>
      <c r="J81" s="10" t="n">
        <v>0.425</v>
      </c>
      <c r="K81" s="10" t="n">
        <v>0.555</v>
      </c>
      <c r="L81" s="10" t="n">
        <v>0.7</v>
      </c>
      <c r="M81" s="9">
        <f>IF(D81="","",ROUND(M80+IF(G81&gt;0,D81*G81,D81*J81),2))</f>
        <v/>
      </c>
      <c r="N81" s="9">
        <f>IF(D81="","",ROUND(N80+IF(H81&gt;0,D81*H81,D81*K81),2))</f>
        <v/>
      </c>
      <c r="O81" s="9">
        <f>IF(D81="","",ROUND(O80+IF(I81&gt;0,D81*I81,D81*L81),2))</f>
        <v/>
      </c>
      <c r="P81" s="11">
        <f>IF(M81="","",IF(INT(M81/50)&gt;INT(M80/50),"Lần " &amp; INT(M81/50),""))</f>
        <v/>
      </c>
      <c r="Q81" s="12">
        <f>IF(N81="","",IF(INT(N81/200)&gt;INT(N80/200),"Lần " &amp; INT(N81/200),""))</f>
        <v/>
      </c>
      <c r="R81" s="11">
        <f>IF(O81="","",IF(INT(O81/350)&gt;INT(O80/350),"Lần " &amp; INT(O81/350),""))</f>
        <v/>
      </c>
      <c r="S81" s="6" t="inlineStr"/>
      <c r="T81" s="9" t="inlineStr"/>
    </row>
    <row r="82" ht="20" customHeight="1">
      <c r="A82" s="6" t="n">
        <v>75</v>
      </c>
      <c r="B82" s="7" t="inlineStr">
        <is>
          <t>Bê tông mối nối ướt liên tục nhiệt dầm Super-T (C45)</t>
        </is>
      </c>
      <c r="C82" s="8" t="n"/>
      <c r="D82" s="9" t="n">
        <v>8.5</v>
      </c>
      <c r="E82" s="8">
        <f>IF(C82="","",C82+7)</f>
        <v/>
      </c>
      <c r="F82" s="8">
        <f>IF(C82="","",C82+28)</f>
        <v/>
      </c>
      <c r="G82" s="6" t="inlineStr"/>
      <c r="H82" s="6" t="inlineStr"/>
      <c r="I82" s="6" t="inlineStr"/>
      <c r="J82" s="10" t="n">
        <v>0.425</v>
      </c>
      <c r="K82" s="10" t="n">
        <v>0.555</v>
      </c>
      <c r="L82" s="10" t="n">
        <v>0.7</v>
      </c>
      <c r="M82" s="9">
        <f>IF(D82="","",ROUND(M81+IF(G82&gt;0,D82*G82,D82*J82),2))</f>
        <v/>
      </c>
      <c r="N82" s="9">
        <f>IF(D82="","",ROUND(N81+IF(H82&gt;0,D82*H82,D82*K82),2))</f>
        <v/>
      </c>
      <c r="O82" s="9">
        <f>IF(D82="","",ROUND(O81+IF(I82&gt;0,D82*I82,D82*L82),2))</f>
        <v/>
      </c>
      <c r="P82" s="11">
        <f>IF(M82="","",IF(INT(M82/50)&gt;INT(M81/50),"Lần " &amp; INT(M82/50),""))</f>
        <v/>
      </c>
      <c r="Q82" s="12">
        <f>IF(N82="","",IF(INT(N82/200)&gt;INT(N81/200),"Lần " &amp; INT(N82/200),""))</f>
        <v/>
      </c>
      <c r="R82" s="11">
        <f>IF(O82="","",IF(INT(O82/350)&gt;INT(O81/350),"Lần " &amp; INT(O82/350),""))</f>
        <v/>
      </c>
      <c r="S82" s="6" t="inlineStr"/>
      <c r="T82" s="9" t="inlineStr"/>
    </row>
    <row r="83" ht="20" customHeight="1">
      <c r="A83" s="6" t="n">
        <v>76</v>
      </c>
      <c r="B83" s="7" t="inlineStr">
        <is>
          <t>Bê tông bản mặt cầu Nhịp 1 (C35 đá 1x2)</t>
        </is>
      </c>
      <c r="C83" s="8" t="n"/>
      <c r="D83" s="9" t="n">
        <v>85</v>
      </c>
      <c r="E83" s="8">
        <f>IF(C83="","",C83+7)</f>
        <v/>
      </c>
      <c r="F83" s="8">
        <f>IF(C83="","",C83+28)</f>
        <v/>
      </c>
      <c r="G83" s="6" t="inlineStr"/>
      <c r="H83" s="6" t="inlineStr"/>
      <c r="I83" s="6" t="inlineStr"/>
      <c r="J83" s="10" t="n">
        <v>0.425</v>
      </c>
      <c r="K83" s="10" t="n">
        <v>0.555</v>
      </c>
      <c r="L83" s="10" t="n">
        <v>0.7</v>
      </c>
      <c r="M83" s="9">
        <f>IF(D83="","",ROUND(M82+IF(G83&gt;0,D83*G83,D83*J83),2))</f>
        <v/>
      </c>
      <c r="N83" s="9">
        <f>IF(D83="","",ROUND(N82+IF(H83&gt;0,D83*H83,D83*K83),2))</f>
        <v/>
      </c>
      <c r="O83" s="9">
        <f>IF(D83="","",ROUND(O82+IF(I83&gt;0,D83*I83,D83*L83),2))</f>
        <v/>
      </c>
      <c r="P83" s="11">
        <f>IF(M83="","",IF(INT(M83/50)&gt;INT(M82/50),"Lần " &amp; INT(M83/50),""))</f>
        <v/>
      </c>
      <c r="Q83" s="12">
        <f>IF(N83="","",IF(INT(N83/200)&gt;INT(N82/200),"Lần " &amp; INT(N83/200),""))</f>
        <v/>
      </c>
      <c r="R83" s="11">
        <f>IF(O83="","",IF(INT(O83/350)&gt;INT(O82/350),"Lần " &amp; INT(O83/350),""))</f>
        <v/>
      </c>
      <c r="S83" s="6" t="inlineStr"/>
      <c r="T83" s="9" t="inlineStr"/>
    </row>
    <row r="84" ht="20" customHeight="1">
      <c r="A84" s="6" t="n">
        <v>77</v>
      </c>
      <c r="B84" s="7" t="inlineStr">
        <is>
          <t>Bê tông bản mặt cầu Nhịp 2 (C35 đá 1x2)</t>
        </is>
      </c>
      <c r="C84" s="8" t="n"/>
      <c r="D84" s="9" t="n">
        <v>85</v>
      </c>
      <c r="E84" s="8">
        <f>IF(C84="","",C84+7)</f>
        <v/>
      </c>
      <c r="F84" s="8">
        <f>IF(C84="","",C84+28)</f>
        <v/>
      </c>
      <c r="G84" s="6" t="inlineStr"/>
      <c r="H84" s="6" t="inlineStr"/>
      <c r="I84" s="6" t="inlineStr"/>
      <c r="J84" s="10" t="n">
        <v>0.425</v>
      </c>
      <c r="K84" s="10" t="n">
        <v>0.555</v>
      </c>
      <c r="L84" s="10" t="n">
        <v>0.7</v>
      </c>
      <c r="M84" s="9">
        <f>IF(D84="","",ROUND(M83+IF(G84&gt;0,D84*G84,D84*J84),2))</f>
        <v/>
      </c>
      <c r="N84" s="9">
        <f>IF(D84="","",ROUND(N83+IF(H84&gt;0,D84*H84,D84*K84),2))</f>
        <v/>
      </c>
      <c r="O84" s="9">
        <f>IF(D84="","",ROUND(O83+IF(I84&gt;0,D84*I84,D84*L84),2))</f>
        <v/>
      </c>
      <c r="P84" s="11">
        <f>IF(M84="","",IF(INT(M84/50)&gt;INT(M83/50),"Lần " &amp; INT(M84/50),""))</f>
        <v/>
      </c>
      <c r="Q84" s="12">
        <f>IF(N84="","",IF(INT(N84/200)&gt;INT(N83/200),"Lần " &amp; INT(N84/200),""))</f>
        <v/>
      </c>
      <c r="R84" s="11">
        <f>IF(O84="","",IF(INT(O84/350)&gt;INT(O83/350),"Lần " &amp; INT(O84/350),""))</f>
        <v/>
      </c>
      <c r="S84" s="6" t="inlineStr"/>
      <c r="T84" s="9" t="inlineStr"/>
    </row>
    <row r="85" ht="20" customHeight="1">
      <c r="A85" s="6" t="n">
        <v>78</v>
      </c>
      <c r="B85" s="7" t="inlineStr">
        <is>
          <t>Bê tông bản mặt cầu Nhịp 3 (C35 đá 1x2)</t>
        </is>
      </c>
      <c r="C85" s="8" t="n"/>
      <c r="D85" s="9" t="n">
        <v>85</v>
      </c>
      <c r="E85" s="8">
        <f>IF(C85="","",C85+7)</f>
        <v/>
      </c>
      <c r="F85" s="8">
        <f>IF(C85="","",C85+28)</f>
        <v/>
      </c>
      <c r="G85" s="6" t="inlineStr"/>
      <c r="H85" s="6" t="inlineStr"/>
      <c r="I85" s="6" t="inlineStr"/>
      <c r="J85" s="10" t="n">
        <v>0.425</v>
      </c>
      <c r="K85" s="10" t="n">
        <v>0.555</v>
      </c>
      <c r="L85" s="10" t="n">
        <v>0.7</v>
      </c>
      <c r="M85" s="9">
        <f>IF(D85="","",ROUND(M84+IF(G85&gt;0,D85*G85,D85*J85),2))</f>
        <v/>
      </c>
      <c r="N85" s="9">
        <f>IF(D85="","",ROUND(N84+IF(H85&gt;0,D85*H85,D85*K85),2))</f>
        <v/>
      </c>
      <c r="O85" s="9">
        <f>IF(D85="","",ROUND(O84+IF(I85&gt;0,D85*I85,D85*L85),2))</f>
        <v/>
      </c>
      <c r="P85" s="11">
        <f>IF(M85="","",IF(INT(M85/50)&gt;INT(M84/50),"Lần " &amp; INT(M85/50),""))</f>
        <v/>
      </c>
      <c r="Q85" s="12">
        <f>IF(N85="","",IF(INT(N85/200)&gt;INT(N84/200),"Lần " &amp; INT(N85/200),""))</f>
        <v/>
      </c>
      <c r="R85" s="11">
        <f>IF(O85="","",IF(INT(O85/350)&gt;INT(O84/350),"Lần " &amp; INT(O85/350),""))</f>
        <v/>
      </c>
      <c r="S85" s="6" t="inlineStr"/>
      <c r="T85" s="9" t="inlineStr"/>
    </row>
    <row r="86" ht="20" customHeight="1">
      <c r="A86" s="6" t="n">
        <v>79</v>
      </c>
      <c r="B86" s="7" t="inlineStr">
        <is>
          <t>Bê tông bản quá độ mố M1 (C30 đá 1x2)</t>
        </is>
      </c>
      <c r="C86" s="8" t="n"/>
      <c r="D86" s="9" t="n">
        <v>16</v>
      </c>
      <c r="E86" s="8">
        <f>IF(C86="","",C86+7)</f>
        <v/>
      </c>
      <c r="F86" s="8">
        <f>IF(C86="","",C86+28)</f>
        <v/>
      </c>
      <c r="G86" s="6" t="inlineStr"/>
      <c r="H86" s="6" t="inlineStr"/>
      <c r="I86" s="6" t="inlineStr"/>
      <c r="J86" s="10" t="n">
        <v>0.425</v>
      </c>
      <c r="K86" s="10" t="n">
        <v>0.555</v>
      </c>
      <c r="L86" s="10" t="n">
        <v>0.7</v>
      </c>
      <c r="M86" s="9">
        <f>IF(D86="","",ROUND(M85+IF(G86&gt;0,D86*G86,D86*J86),2))</f>
        <v/>
      </c>
      <c r="N86" s="9">
        <f>IF(D86="","",ROUND(N85+IF(H86&gt;0,D86*H86,D86*K86),2))</f>
        <v/>
      </c>
      <c r="O86" s="9">
        <f>IF(D86="","",ROUND(O85+IF(I86&gt;0,D86*I86,D86*L86),2))</f>
        <v/>
      </c>
      <c r="P86" s="11">
        <f>IF(M86="","",IF(INT(M86/50)&gt;INT(M85/50),"Lần " &amp; INT(M86/50),""))</f>
        <v/>
      </c>
      <c r="Q86" s="12">
        <f>IF(N86="","",IF(INT(N86/200)&gt;INT(N85/200),"Lần " &amp; INT(N86/200),""))</f>
        <v/>
      </c>
      <c r="R86" s="11">
        <f>IF(O86="","",IF(INT(O86/350)&gt;INT(O85/350),"Lần " &amp; INT(O86/350),""))</f>
        <v/>
      </c>
      <c r="S86" s="6" t="inlineStr"/>
      <c r="T86" s="9" t="inlineStr"/>
    </row>
    <row r="87" ht="20" customHeight="1">
      <c r="A87" s="6" t="n">
        <v>80</v>
      </c>
      <c r="B87" s="7" t="inlineStr">
        <is>
          <t>Bê tông bản quá độ mố M2 (C30 đá 1x2)</t>
        </is>
      </c>
      <c r="C87" s="8" t="n"/>
      <c r="D87" s="9" t="n">
        <v>16</v>
      </c>
      <c r="E87" s="8">
        <f>IF(C87="","",C87+7)</f>
        <v/>
      </c>
      <c r="F87" s="8">
        <f>IF(C87="","",C87+28)</f>
        <v/>
      </c>
      <c r="G87" s="6" t="inlineStr"/>
      <c r="H87" s="6" t="inlineStr"/>
      <c r="I87" s="6" t="inlineStr"/>
      <c r="J87" s="10" t="n">
        <v>0.425</v>
      </c>
      <c r="K87" s="10" t="n">
        <v>0.555</v>
      </c>
      <c r="L87" s="10" t="n">
        <v>0.7</v>
      </c>
      <c r="M87" s="9">
        <f>IF(D87="","",ROUND(M86+IF(G87&gt;0,D87*G87,D87*J87),2))</f>
        <v/>
      </c>
      <c r="N87" s="9">
        <f>IF(D87="","",ROUND(N86+IF(H87&gt;0,D87*H87,D87*K87),2))</f>
        <v/>
      </c>
      <c r="O87" s="9">
        <f>IF(D87="","",ROUND(O86+IF(I87&gt;0,D87*I87,D87*L87),2))</f>
        <v/>
      </c>
      <c r="P87" s="11">
        <f>IF(M87="","",IF(INT(M87/50)&gt;INT(M86/50),"Lần " &amp; INT(M87/50),""))</f>
        <v/>
      </c>
      <c r="Q87" s="12">
        <f>IF(N87="","",IF(INT(N87/200)&gt;INT(N86/200),"Lần " &amp; INT(N87/200),""))</f>
        <v/>
      </c>
      <c r="R87" s="11">
        <f>IF(O87="","",IF(INT(O87/350)&gt;INT(O86/350),"Lần " &amp; INT(O87/350),""))</f>
        <v/>
      </c>
      <c r="S87" s="6" t="inlineStr"/>
      <c r="T87" s="9" t="inlineStr"/>
    </row>
    <row r="88" ht="20" customHeight="1">
      <c r="A88" s="6" t="n">
        <v>81</v>
      </c>
      <c r="B88" s="7" t="inlineStr">
        <is>
          <t>Bê tông gờ lan can mố M1 &amp; Nhịp 1 (C30 đá 1x2)</t>
        </is>
      </c>
      <c r="C88" s="8" t="n"/>
      <c r="D88" s="9" t="n">
        <v>9.5</v>
      </c>
      <c r="E88" s="8">
        <f>IF(C88="","",C88+7)</f>
        <v/>
      </c>
      <c r="F88" s="8">
        <f>IF(C88="","",C88+28)</f>
        <v/>
      </c>
      <c r="G88" s="6" t="inlineStr"/>
      <c r="H88" s="6" t="inlineStr"/>
      <c r="I88" s="6" t="inlineStr"/>
      <c r="J88" s="10" t="n">
        <v>0.425</v>
      </c>
      <c r="K88" s="10" t="n">
        <v>0.555</v>
      </c>
      <c r="L88" s="10" t="n">
        <v>0.7</v>
      </c>
      <c r="M88" s="9">
        <f>IF(D88="","",ROUND(M87+IF(G88&gt;0,D88*G88,D88*J88),2))</f>
        <v/>
      </c>
      <c r="N88" s="9">
        <f>IF(D88="","",ROUND(N87+IF(H88&gt;0,D88*H88,D88*K88),2))</f>
        <v/>
      </c>
      <c r="O88" s="9">
        <f>IF(D88="","",ROUND(O87+IF(I88&gt;0,D88*I88,D88*L88),2))</f>
        <v/>
      </c>
      <c r="P88" s="11">
        <f>IF(M88="","",IF(INT(M88/50)&gt;INT(M87/50),"Lần " &amp; INT(M88/50),""))</f>
        <v/>
      </c>
      <c r="Q88" s="12">
        <f>IF(N88="","",IF(INT(N88/200)&gt;INT(N87/200),"Lần " &amp; INT(N88/200),""))</f>
        <v/>
      </c>
      <c r="R88" s="11">
        <f>IF(O88="","",IF(INT(O88/350)&gt;INT(O87/350),"Lần " &amp; INT(O88/350),""))</f>
        <v/>
      </c>
      <c r="S88" s="6" t="inlineStr"/>
      <c r="T88" s="9" t="inlineStr"/>
    </row>
    <row r="89" ht="20" customHeight="1">
      <c r="A89" s="6" t="n">
        <v>82</v>
      </c>
      <c r="B89" s="7" t="inlineStr">
        <is>
          <t>Bê tông gờ lan can Nhịp 2, Nhịp 3 &amp; mố M2 (C30)</t>
        </is>
      </c>
      <c r="C89" s="8" t="n"/>
      <c r="D89" s="9" t="n">
        <v>9.5</v>
      </c>
      <c r="E89" s="8">
        <f>IF(C89="","",C89+7)</f>
        <v/>
      </c>
      <c r="F89" s="8">
        <f>IF(C89="","",C89+28)</f>
        <v/>
      </c>
      <c r="G89" s="6" t="inlineStr"/>
      <c r="H89" s="6" t="inlineStr"/>
      <c r="I89" s="6" t="inlineStr"/>
      <c r="J89" s="10" t="n">
        <v>0.425</v>
      </c>
      <c r="K89" s="10" t="n">
        <v>0.555</v>
      </c>
      <c r="L89" s="10" t="n">
        <v>0.7</v>
      </c>
      <c r="M89" s="9">
        <f>IF(D89="","",ROUND(M88+IF(G89&gt;0,D89*G89,D89*J89),2))</f>
        <v/>
      </c>
      <c r="N89" s="9">
        <f>IF(D89="","",ROUND(N88+IF(H89&gt;0,D89*H89,D89*K89),2))</f>
        <v/>
      </c>
      <c r="O89" s="9">
        <f>IF(D89="","",ROUND(O88+IF(I89&gt;0,D89*I89,D89*L89),2))</f>
        <v/>
      </c>
      <c r="P89" s="11">
        <f>IF(M89="","",IF(INT(M89/50)&gt;INT(M88/50),"Lần " &amp; INT(M89/50),""))</f>
        <v/>
      </c>
      <c r="Q89" s="12">
        <f>IF(N89="","",IF(INT(N89/200)&gt;INT(N88/200),"Lần " &amp; INT(N89/200),""))</f>
        <v/>
      </c>
      <c r="R89" s="11">
        <f>IF(O89="","",IF(INT(O89/350)&gt;INT(O88/350),"Lần " &amp; INT(O89/350),""))</f>
        <v/>
      </c>
      <c r="S89" s="6" t="inlineStr"/>
      <c r="T89" s="9" t="inlineStr"/>
    </row>
    <row r="90" ht="20" customHeight="1">
      <c r="A90" s="6" t="n">
        <v>83</v>
      </c>
      <c r="B90" s="7" t="inlineStr">
        <is>
          <t>Bê tông khe co giãn răng lược D=100mm mố M1 &amp; M2 (C40)</t>
        </is>
      </c>
      <c r="C90" s="8" t="n"/>
      <c r="D90" s="9" t="n">
        <v>4.67</v>
      </c>
      <c r="E90" s="8">
        <f>IF(C90="","",C90+7)</f>
        <v/>
      </c>
      <c r="F90" s="8">
        <f>IF(C90="","",C90+28)</f>
        <v/>
      </c>
      <c r="G90" s="6" t="inlineStr"/>
      <c r="H90" s="6" t="inlineStr"/>
      <c r="I90" s="6" t="inlineStr"/>
      <c r="J90" s="10" t="n">
        <v>0.425</v>
      </c>
      <c r="K90" s="10" t="n">
        <v>0.555</v>
      </c>
      <c r="L90" s="10" t="n">
        <v>0.7</v>
      </c>
      <c r="M90" s="9">
        <f>IF(D90="","",ROUND(M89+IF(G90&gt;0,D90*G90,D90*J90),2))</f>
        <v/>
      </c>
      <c r="N90" s="9">
        <f>IF(D90="","",ROUND(N89+IF(H90&gt;0,D90*H90,D90*K90),2))</f>
        <v/>
      </c>
      <c r="O90" s="9">
        <f>IF(D90="","",ROUND(O89+IF(I90&gt;0,D90*I90,D90*L90),2))</f>
        <v/>
      </c>
      <c r="P90" s="11">
        <f>IF(M90="","",IF(INT(M90/50)&gt;INT(M89/50),"Lần " &amp; INT(M90/50),""))</f>
        <v/>
      </c>
      <c r="Q90" s="12">
        <f>IF(N90="","",IF(INT(N90/200)&gt;INT(N89/200),"Lần " &amp; INT(N90/200),""))</f>
        <v/>
      </c>
      <c r="R90" s="11">
        <f>IF(O90="","",IF(INT(O90/350)&gt;INT(O89/350),"Lần " &amp; INT(O90/350),""))</f>
        <v/>
      </c>
      <c r="S90" s="6" t="inlineStr"/>
      <c r="T90" s="9" t="inlineStr"/>
    </row>
    <row r="91" ht="24" customHeight="1">
      <c r="A91" s="13" t="inlineStr">
        <is>
          <t>TỔNG CỘNG TOÀN CẦU</t>
        </is>
      </c>
      <c r="B91" s="14" t="n"/>
      <c r="C91" s="14" t="n"/>
      <c r="D91" s="15">
        <f>SUM(D4:D90)</f>
        <v/>
      </c>
      <c r="E91" s="14" t="n"/>
      <c r="F91" s="14" t="n"/>
      <c r="G91" s="14" t="n"/>
      <c r="H91" s="14" t="n"/>
      <c r="I91" s="14" t="n"/>
      <c r="J91" s="14" t="n"/>
      <c r="K91" s="14" t="n"/>
      <c r="L91" s="14" t="n"/>
      <c r="M91" s="15">
        <f>M90</f>
        <v/>
      </c>
      <c r="N91" s="15">
        <f>N90</f>
        <v/>
      </c>
      <c r="O91" s="15">
        <f>O90</f>
        <v/>
      </c>
      <c r="P91" s="14" t="n"/>
      <c r="Q91" s="14" t="n"/>
      <c r="R91" s="14" t="n"/>
      <c r="S91" s="14" t="n"/>
      <c r="T91" s="14" t="n"/>
    </row>
  </sheetData>
  <mergeCells count="17">
    <mergeCell ref="A45:T45"/>
    <mergeCell ref="J1:L1"/>
    <mergeCell ref="P1:R1"/>
    <mergeCell ref="A34:T34"/>
    <mergeCell ref="A62:T62"/>
    <mergeCell ref="E1:F1"/>
    <mergeCell ref="A3:T3"/>
    <mergeCell ref="A78:T78"/>
    <mergeCell ref="M1:O1"/>
    <mergeCell ref="C1:C2"/>
    <mergeCell ref="B1:B2"/>
    <mergeCell ref="D1:D2"/>
    <mergeCell ref="A91:C91"/>
    <mergeCell ref="T1:T2"/>
    <mergeCell ref="G1:I1"/>
    <mergeCell ref="S1:S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861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8" customWidth="1" min="2" max="2"/>
    <col width="32" customWidth="1" min="3" max="3"/>
    <col width="12" customWidth="1" min="4" max="4"/>
    <col width="12" customWidth="1" min="5" max="5"/>
    <col width="14" customWidth="1" min="6" max="6"/>
    <col width="24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4" customWidth="1" min="14" max="14"/>
    <col width="14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8" customWidth="1" min="22" max="22"/>
    <col width="18" customWidth="1" min="23" max="23"/>
  </cols>
  <sheetData>
    <row r="1" ht="24" customHeight="1">
      <c r="A1" s="1" t="inlineStr">
        <is>
          <t>STT</t>
        </is>
      </c>
      <c r="B1" s="1" t="inlineStr">
        <is>
          <t>HẠNG MỤC CẤU KIỆN</t>
        </is>
      </c>
      <c r="C1" s="1" t="inlineStr">
        <is>
          <t>BỘ PHẬN / VỊ TRÍ CHI TIẾT</t>
        </is>
      </c>
      <c r="D1" s="1" t="inlineStr">
        <is>
          <t>KÝ HIỆU
THANH</t>
        </is>
      </c>
      <c r="E1" s="1" t="inlineStr">
        <is>
          <t>ĐƯỜNG KÍNH
Ø (mm)</t>
        </is>
      </c>
      <c r="F1" s="1" t="inlineStr">
        <is>
          <t>MÁC THÉP /
TIÊU CHUẨN</t>
        </is>
      </c>
      <c r="G1" s="1" t="inlineStr">
        <is>
          <t>HÌNH DẠNG /
QUY CÁCH</t>
        </is>
      </c>
      <c r="H1" s="1" t="inlineStr">
        <is>
          <t>CHIỀU DÀI
1 THANH (m)</t>
        </is>
      </c>
      <c r="I1" s="1" t="inlineStr">
        <is>
          <t>SỐ LƯỢNG
(Thanh)</t>
        </is>
      </c>
      <c r="J1" s="1" t="inlineStr">
        <is>
          <t>TRỌNG LƯỢNG
1M (kg/m)</t>
        </is>
      </c>
      <c r="K1" s="1" t="inlineStr">
        <is>
          <t>TỔNG KL
(kg)</t>
        </is>
      </c>
      <c r="L1" s="1" t="inlineStr">
        <is>
          <t>KHỐI LƯỢNG
(Tấn)</t>
        </is>
      </c>
      <c r="M1" s="1" t="inlineStr">
        <is>
          <t>N/T/N
LẮP DỰNG</t>
        </is>
      </c>
      <c r="N1" s="1" t="inlineStr">
        <is>
          <t>Khối lượng vật tư cốt thép lũy kế (Tấn)</t>
        </is>
      </c>
      <c r="O1" s="1" t="n"/>
      <c r="P1" s="1" t="n"/>
      <c r="Q1" s="1" t="n"/>
      <c r="R1" s="2" t="inlineStr">
        <is>
          <t>Tần suất thí nghiệm cơ lý kéo / uốn (20 Tấn / lần - TCVN 1651:2018)</t>
        </is>
      </c>
      <c r="S1" s="3" t="n"/>
      <c r="T1" s="2" t="n"/>
      <c r="U1" s="16" t="n"/>
      <c r="V1" s="1" t="inlineStr">
        <is>
          <t>Số lô /
Chứng chỉ CO-CQ</t>
        </is>
      </c>
      <c r="W1" s="1" t="inlineStr">
        <is>
          <t>Đánh giá &amp;
Kết luận</t>
        </is>
      </c>
    </row>
    <row r="2" ht="28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inlineStr">
        <is>
          <t>Thép ≤ 10mm
(CB240-T)</t>
        </is>
      </c>
      <c r="O2" s="1" t="inlineStr">
        <is>
          <t>10 &lt; Ø ≤ 18mm
(CB400-V)</t>
        </is>
      </c>
      <c r="P2" s="1" t="inlineStr">
        <is>
          <t>Thép &gt; 18mm
(CB400/CB500)</t>
        </is>
      </c>
      <c r="Q2" s="1" t="inlineStr">
        <is>
          <t>Cáp DƯL 15.2mm
(ASTM A416)</t>
        </is>
      </c>
      <c r="R2" s="2" t="inlineStr">
        <is>
          <t>Thép ≤ 10mm
20T / Lần</t>
        </is>
      </c>
      <c r="S2" s="3" t="inlineStr">
        <is>
          <t>10 &lt; Ø ≤ 18mm
20T / Lần</t>
        </is>
      </c>
      <c r="T2" s="2" t="inlineStr">
        <is>
          <t>Thép &gt; 18mm
20T / Lần</t>
        </is>
      </c>
      <c r="U2" s="16" t="inlineStr">
        <is>
          <t>Cáp DƯL 15.2mm
20T / Lần</t>
        </is>
      </c>
      <c r="V2" s="1" t="n"/>
      <c r="W2" s="1" t="n"/>
    </row>
    <row r="3" ht="23" customHeight="1">
      <c r="A3" s="17" t="inlineStr">
        <is>
          <t>PHẦN I: KẾT CẤU CỌC KHOAN NHỒI D1.2M (30 CỌC TOÀN CẦU)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</row>
    <row r="4" ht="20" customHeight="1">
      <c r="A4" s="18" t="inlineStr">
        <is>
          <t>--- CỌC KHOAN NHỒI C1 MỐ M1 (D1.2M, L=20.0M) ---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</row>
    <row r="5" ht="19" customHeight="1">
      <c r="A5" s="6" t="n">
        <v>1</v>
      </c>
      <c r="B5" s="7" t="inlineStr">
        <is>
          <t>Cọc khoan nhồi C1 Mố M1 (D1.2m, L=20.0m)</t>
        </is>
      </c>
      <c r="C5" s="7" t="inlineStr">
        <is>
          <t>Thép đai xoắn lồng cọc</t>
        </is>
      </c>
      <c r="D5" s="19" t="inlineStr">
        <is>
          <t>P1</t>
        </is>
      </c>
      <c r="E5" s="20" t="n">
        <v>10</v>
      </c>
      <c r="F5" s="6" t="inlineStr">
        <is>
          <t>CB240-T</t>
        </is>
      </c>
      <c r="G5" s="7" t="inlineStr">
        <is>
          <t>Đai xoắn tròn</t>
        </is>
      </c>
      <c r="H5" s="21" t="n">
        <v>96.604</v>
      </c>
      <c r="I5" s="22" t="n">
        <v>1</v>
      </c>
      <c r="J5" s="23" t="n">
        <v>0.617</v>
      </c>
      <c r="K5" s="9">
        <f>ROUND(H5*I5*J5, 2)</f>
        <v/>
      </c>
      <c r="L5" s="24">
        <f>ROUND(K5/1000, 3)</f>
        <v/>
      </c>
      <c r="M5" s="8" t="n"/>
      <c r="N5" s="21">
        <f>IF(AND(E5&lt;=10, F5&lt;&gt;"ASTM A416"), L5, 0)</f>
        <v/>
      </c>
      <c r="O5" s="21">
        <f>IF(AND(E5&gt;10, E5&lt;=18, F5&lt;&gt;"ASTM A416"), L5, 0)</f>
        <v/>
      </c>
      <c r="P5" s="21">
        <f>IF(AND(E5&gt;18, F5&lt;&gt;"ASTM A416"), L5, 0)</f>
        <v/>
      </c>
      <c r="Q5" s="21">
        <f>IF(F5="ASTM A416", L5, 0)</f>
        <v/>
      </c>
      <c r="R5" s="11">
        <f>IF(N5=0, "", IF(INT(N5/20)&gt;0, "Lần " &amp; INT(N5/20), ""))</f>
        <v/>
      </c>
      <c r="S5" s="12">
        <f>IF(O5=0, "", IF(INT(O5/20)&gt;0, "Lần " &amp; INT(O5/20), ""))</f>
        <v/>
      </c>
      <c r="T5" s="11">
        <f>IF(P5=0, "", IF(INT(P5/20)&gt;0, "Lần " &amp; INT(P5/20), ""))</f>
        <v/>
      </c>
      <c r="U5" s="25">
        <f>IF(Q5=0, "", IF(INT(Q5/20)&gt;0, "Lần " &amp; INT(Q5/20), ""))</f>
        <v/>
      </c>
      <c r="V5" s="6" t="inlineStr"/>
      <c r="W5" s="6" t="inlineStr">
        <is>
          <t>ĐẠT TCVN 1651:2018</t>
        </is>
      </c>
    </row>
    <row r="6" ht="19" customHeight="1">
      <c r="A6" s="6" t="n">
        <v>2</v>
      </c>
      <c r="B6" s="7" t="inlineStr">
        <is>
          <t>Cọc khoan nhồi C1 Mố M1 (D1.2m, L=20.0m)</t>
        </is>
      </c>
      <c r="C6" s="7" t="inlineStr">
        <is>
          <t>Thép đai xoắn lồng cọc</t>
        </is>
      </c>
      <c r="D6" s="19" t="inlineStr">
        <is>
          <t>P1A</t>
        </is>
      </c>
      <c r="E6" s="20" t="n">
        <v>10</v>
      </c>
      <c r="F6" s="6" t="inlineStr">
        <is>
          <t>CB240-T</t>
        </is>
      </c>
      <c r="G6" s="7" t="inlineStr">
        <is>
          <t>Đai xoắn tròn</t>
        </is>
      </c>
      <c r="H6" s="21" t="n">
        <v>373.535</v>
      </c>
      <c r="I6" s="22" t="n">
        <v>1</v>
      </c>
      <c r="J6" s="23" t="n">
        <v>0.617</v>
      </c>
      <c r="K6" s="9">
        <f>ROUND(H6*I6*J6, 2)</f>
        <v/>
      </c>
      <c r="L6" s="24">
        <f>ROUND(K6/1000, 3)</f>
        <v/>
      </c>
      <c r="M6" s="8" t="n"/>
      <c r="N6" s="21">
        <f>ROUND(N5 + IF(AND(E6&lt;=10, F6&lt;&gt;"ASTM A416"), L6, 0), 3)</f>
        <v/>
      </c>
      <c r="O6" s="21">
        <f>ROUND(O5 + IF(AND(E6&gt;10, E6&lt;=18, F6&lt;&gt;"ASTM A416"), L6, 0), 3)</f>
        <v/>
      </c>
      <c r="P6" s="21">
        <f>ROUND(P5 + IF(AND(E6&gt;18, F6&lt;&gt;"ASTM A416"), L6, 0), 3)</f>
        <v/>
      </c>
      <c r="Q6" s="21">
        <f>ROUND(Q5 + IF(F6="ASTM A416", L6, 0), 3)</f>
        <v/>
      </c>
      <c r="R6" s="11">
        <f>IF(INT(N6/20)&gt;INT(N5/20), "Lần " &amp; INT(N6/20), "")</f>
        <v/>
      </c>
      <c r="S6" s="12">
        <f>IF(INT(O6/20)&gt;INT(O5/20), "Lần " &amp; INT(O6/20), "")</f>
        <v/>
      </c>
      <c r="T6" s="11">
        <f>IF(INT(P6/20)&gt;INT(P5/20), "Lần " &amp; INT(P6/20), "")</f>
        <v/>
      </c>
      <c r="U6" s="25">
        <f>IF(INT(Q6/20)&gt;INT(Q5/20), "Lần " &amp; INT(Q6/20), "")</f>
        <v/>
      </c>
      <c r="V6" s="6" t="inlineStr"/>
      <c r="W6" s="6" t="inlineStr">
        <is>
          <t>ĐẠT TCVN 1651:2018</t>
        </is>
      </c>
    </row>
    <row r="7" ht="19" customHeight="1">
      <c r="A7" s="6" t="n">
        <v>3</v>
      </c>
      <c r="B7" s="7" t="inlineStr">
        <is>
          <t>Cọc khoan nhồi C1 Mố M1 (D1.2m, L=20.0m)</t>
        </is>
      </c>
      <c r="C7" s="7" t="inlineStr">
        <is>
          <t>Thép đai xoắn lồng cọc</t>
        </is>
      </c>
      <c r="D7" s="19" t="inlineStr">
        <is>
          <t>P1C</t>
        </is>
      </c>
      <c r="E7" s="20" t="n">
        <v>10</v>
      </c>
      <c r="F7" s="6" t="inlineStr">
        <is>
          <t>CB240-T</t>
        </is>
      </c>
      <c r="G7" s="7" t="inlineStr">
        <is>
          <t>Đai xoắn tròn</t>
        </is>
      </c>
      <c r="H7" s="21" t="n">
        <v>3.592</v>
      </c>
      <c r="I7" s="22" t="n">
        <v>2</v>
      </c>
      <c r="J7" s="23" t="n">
        <v>0.617</v>
      </c>
      <c r="K7" s="9">
        <f>ROUND(H7*I7*J7, 2)</f>
        <v/>
      </c>
      <c r="L7" s="24">
        <f>ROUND(K7/1000, 3)</f>
        <v/>
      </c>
      <c r="M7" s="8" t="n"/>
      <c r="N7" s="21">
        <f>ROUND(N6 + IF(AND(E7&lt;=10, F7&lt;&gt;"ASTM A416"), L7, 0), 3)</f>
        <v/>
      </c>
      <c r="O7" s="21">
        <f>ROUND(O6 + IF(AND(E7&gt;10, E7&lt;=18, F7&lt;&gt;"ASTM A416"), L7, 0), 3)</f>
        <v/>
      </c>
      <c r="P7" s="21">
        <f>ROUND(P6 + IF(AND(E7&gt;18, F7&lt;&gt;"ASTM A416"), L7, 0), 3)</f>
        <v/>
      </c>
      <c r="Q7" s="21">
        <f>ROUND(Q6 + IF(F7="ASTM A416", L7, 0), 3)</f>
        <v/>
      </c>
      <c r="R7" s="11">
        <f>IF(INT(N7/20)&gt;INT(N6/20), "Lần " &amp; INT(N7/20), "")</f>
        <v/>
      </c>
      <c r="S7" s="12">
        <f>IF(INT(O7/20)&gt;INT(O6/20), "Lần " &amp; INT(O7/20), "")</f>
        <v/>
      </c>
      <c r="T7" s="11">
        <f>IF(INT(P7/20)&gt;INT(P6/20), "Lần " &amp; INT(P7/20), "")</f>
        <v/>
      </c>
      <c r="U7" s="25">
        <f>IF(INT(Q7/20)&gt;INT(Q6/20), "Lần " &amp; INT(Q7/20), "")</f>
        <v/>
      </c>
      <c r="V7" s="6" t="inlineStr"/>
      <c r="W7" s="6" t="inlineStr">
        <is>
          <t>ĐẠT TCVN 1651:2018</t>
        </is>
      </c>
    </row>
    <row r="8" ht="19" customHeight="1">
      <c r="A8" s="6" t="n">
        <v>4</v>
      </c>
      <c r="B8" s="7" t="inlineStr">
        <is>
          <t>Cọc khoan nhồi C1 Mố M1 (D1.2m, L=20.0m)</t>
        </is>
      </c>
      <c r="C8" s="7" t="inlineStr">
        <is>
          <t>Thép đai xoắn lồng cọc</t>
        </is>
      </c>
      <c r="D8" s="19" t="inlineStr">
        <is>
          <t>P1D</t>
        </is>
      </c>
      <c r="E8" s="20" t="n">
        <v>10</v>
      </c>
      <c r="F8" s="6" t="inlineStr">
        <is>
          <t>CB240-T</t>
        </is>
      </c>
      <c r="G8" s="7" t="inlineStr">
        <is>
          <t>Đai xoắn tròn</t>
        </is>
      </c>
      <c r="H8" s="21" t="n">
        <v>19.721</v>
      </c>
      <c r="I8" s="22" t="n">
        <v>1</v>
      </c>
      <c r="J8" s="23" t="n">
        <v>0.617</v>
      </c>
      <c r="K8" s="9">
        <f>ROUND(H8*I8*J8, 2)</f>
        <v/>
      </c>
      <c r="L8" s="24">
        <f>ROUND(K8/1000, 3)</f>
        <v/>
      </c>
      <c r="M8" s="8" t="n"/>
      <c r="N8" s="21">
        <f>ROUND(N7 + IF(AND(E8&lt;=10, F8&lt;&gt;"ASTM A416"), L8, 0), 3)</f>
        <v/>
      </c>
      <c r="O8" s="21">
        <f>ROUND(O7 + IF(AND(E8&gt;10, E8&lt;=18, F8&lt;&gt;"ASTM A416"), L8, 0), 3)</f>
        <v/>
      </c>
      <c r="P8" s="21">
        <f>ROUND(P7 + IF(AND(E8&gt;18, F8&lt;&gt;"ASTM A416"), L8, 0), 3)</f>
        <v/>
      </c>
      <c r="Q8" s="21">
        <f>ROUND(Q7 + IF(F8="ASTM A416", L8, 0), 3)</f>
        <v/>
      </c>
      <c r="R8" s="11">
        <f>IF(INT(N8/20)&gt;INT(N7/20), "Lần " &amp; INT(N8/20), "")</f>
        <v/>
      </c>
      <c r="S8" s="12">
        <f>IF(INT(O8/20)&gt;INT(O7/20), "Lần " &amp; INT(O8/20), "")</f>
        <v/>
      </c>
      <c r="T8" s="11">
        <f>IF(INT(P8/20)&gt;INT(P7/20), "Lần " &amp; INT(P8/20), "")</f>
        <v/>
      </c>
      <c r="U8" s="25">
        <f>IF(INT(Q8/20)&gt;INT(Q7/20), "Lần " &amp; INT(Q8/20), "")</f>
        <v/>
      </c>
      <c r="V8" s="6" t="inlineStr"/>
      <c r="W8" s="6" t="inlineStr">
        <is>
          <t>ĐẠT TCVN 1651:2018</t>
        </is>
      </c>
    </row>
    <row r="9" ht="19" customHeight="1">
      <c r="A9" s="6" t="n">
        <v>5</v>
      </c>
      <c r="B9" s="7" t="inlineStr">
        <is>
          <t>Cọc khoan nhồi C1 Mố M1 (D1.2m, L=20.0m)</t>
        </is>
      </c>
      <c r="C9" s="7" t="inlineStr">
        <is>
          <t>Cốt thép chủ chịu lực cọc</t>
        </is>
      </c>
      <c r="D9" s="19" t="inlineStr">
        <is>
          <t>P2B</t>
        </is>
      </c>
      <c r="E9" s="20" t="n">
        <v>25</v>
      </c>
      <c r="F9" s="6" t="inlineStr">
        <is>
          <t>CB400-V</t>
        </is>
      </c>
      <c r="G9" s="7" t="inlineStr">
        <is>
          <t>Thanh thẳng nối ren/hàn</t>
        </is>
      </c>
      <c r="H9" s="21" t="n">
        <v>2.985</v>
      </c>
      <c r="I9" s="22" t="n">
        <v>8</v>
      </c>
      <c r="J9" s="23" t="n">
        <v>3.85</v>
      </c>
      <c r="K9" s="9">
        <f>ROUND(H9*I9*J9, 2)</f>
        <v/>
      </c>
      <c r="L9" s="24">
        <f>ROUND(K9/1000, 3)</f>
        <v/>
      </c>
      <c r="M9" s="8" t="n"/>
      <c r="N9" s="21">
        <f>ROUND(N8 + IF(AND(E9&lt;=10, F9&lt;&gt;"ASTM A416"), L9, 0), 3)</f>
        <v/>
      </c>
      <c r="O9" s="21">
        <f>ROUND(O8 + IF(AND(E9&gt;10, E9&lt;=18, F9&lt;&gt;"ASTM A416"), L9, 0), 3)</f>
        <v/>
      </c>
      <c r="P9" s="21">
        <f>ROUND(P8 + IF(AND(E9&gt;18, F9&lt;&gt;"ASTM A416"), L9, 0), 3)</f>
        <v/>
      </c>
      <c r="Q9" s="21">
        <f>ROUND(Q8 + IF(F9="ASTM A416", L9, 0), 3)</f>
        <v/>
      </c>
      <c r="R9" s="11">
        <f>IF(INT(N9/20)&gt;INT(N8/20), "Lần " &amp; INT(N9/20), "")</f>
        <v/>
      </c>
      <c r="S9" s="12">
        <f>IF(INT(O9/20)&gt;INT(O8/20), "Lần " &amp; INT(O9/20), "")</f>
        <v/>
      </c>
      <c r="T9" s="11">
        <f>IF(INT(P9/20)&gt;INT(P8/20), "Lần " &amp; INT(P9/20), "")</f>
        <v/>
      </c>
      <c r="U9" s="25">
        <f>IF(INT(Q9/20)&gt;INT(Q8/20), "Lần " &amp; INT(Q9/20), "")</f>
        <v/>
      </c>
      <c r="V9" s="6" t="inlineStr"/>
      <c r="W9" s="6" t="inlineStr">
        <is>
          <t>ĐẠT TCVN 1651:2018</t>
        </is>
      </c>
    </row>
    <row r="10" ht="19" customHeight="1">
      <c r="A10" s="6" t="n">
        <v>6</v>
      </c>
      <c r="B10" s="7" t="inlineStr">
        <is>
          <t>Cọc khoan nhồi C1 Mố M1 (D1.2m, L=20.0m)</t>
        </is>
      </c>
      <c r="C10" s="7" t="inlineStr">
        <is>
          <t>Cốt thép chủ chịu lực cọc</t>
        </is>
      </c>
      <c r="D10" s="19" t="inlineStr">
        <is>
          <t>P3</t>
        </is>
      </c>
      <c r="E10" s="20" t="n">
        <v>25</v>
      </c>
      <c r="F10" s="6" t="inlineStr">
        <is>
          <t>CB400-V</t>
        </is>
      </c>
      <c r="G10" s="7" t="inlineStr">
        <is>
          <t>Thanh thẳng nối ren/hàn</t>
        </is>
      </c>
      <c r="H10" s="21" t="n">
        <v>10.7</v>
      </c>
      <c r="I10" s="22" t="n">
        <v>12</v>
      </c>
      <c r="J10" s="23" t="n">
        <v>3.85</v>
      </c>
      <c r="K10" s="9">
        <f>ROUND(H10*I10*J10, 2)</f>
        <v/>
      </c>
      <c r="L10" s="24">
        <f>ROUND(K10/1000, 3)</f>
        <v/>
      </c>
      <c r="M10" s="8" t="n"/>
      <c r="N10" s="21">
        <f>ROUND(N9 + IF(AND(E10&lt;=10, F10&lt;&gt;"ASTM A416"), L10, 0), 3)</f>
        <v/>
      </c>
      <c r="O10" s="21">
        <f>ROUND(O9 + IF(AND(E10&gt;10, E10&lt;=18, F10&lt;&gt;"ASTM A416"), L10, 0), 3)</f>
        <v/>
      </c>
      <c r="P10" s="21">
        <f>ROUND(P9 + IF(AND(E10&gt;18, F10&lt;&gt;"ASTM A416"), L10, 0), 3)</f>
        <v/>
      </c>
      <c r="Q10" s="21">
        <f>ROUND(Q9 + IF(F10="ASTM A416", L10, 0), 3)</f>
        <v/>
      </c>
      <c r="R10" s="11">
        <f>IF(INT(N10/20)&gt;INT(N9/20), "Lần " &amp; INT(N10/20), "")</f>
        <v/>
      </c>
      <c r="S10" s="12">
        <f>IF(INT(O10/20)&gt;INT(O9/20), "Lần " &amp; INT(O10/20), "")</f>
        <v/>
      </c>
      <c r="T10" s="11">
        <f>IF(INT(P10/20)&gt;INT(P9/20), "Lần " &amp; INT(P10/20), "")</f>
        <v/>
      </c>
      <c r="U10" s="25">
        <f>IF(INT(Q10/20)&gt;INT(Q9/20), "Lần " &amp; INT(Q10/20), "")</f>
        <v/>
      </c>
      <c r="V10" s="6" t="inlineStr"/>
      <c r="W10" s="6" t="inlineStr">
        <is>
          <t>ĐẠT TCVN 1651:2018</t>
        </is>
      </c>
    </row>
    <row r="11" ht="19" customHeight="1">
      <c r="A11" s="6" t="n">
        <v>7</v>
      </c>
      <c r="B11" s="7" t="inlineStr">
        <is>
          <t>Cọc khoan nhồi C1 Mố M1 (D1.2m, L=20.0m)</t>
        </is>
      </c>
      <c r="C11" s="7" t="inlineStr">
        <is>
          <t>Cốt thép chủ chịu lực cọc</t>
        </is>
      </c>
      <c r="D11" s="19" t="inlineStr">
        <is>
          <t>P4</t>
        </is>
      </c>
      <c r="E11" s="20" t="n">
        <v>25</v>
      </c>
      <c r="F11" s="6" t="inlineStr">
        <is>
          <t>CB400-V</t>
        </is>
      </c>
      <c r="G11" s="7" t="inlineStr">
        <is>
          <t>Thanh thẳng nối ren/hàn</t>
        </is>
      </c>
      <c r="H11" s="21" t="n">
        <v>11.7</v>
      </c>
      <c r="I11" s="22" t="n">
        <v>12</v>
      </c>
      <c r="J11" s="23" t="n">
        <v>3.85</v>
      </c>
      <c r="K11" s="9">
        <f>ROUND(H11*I11*J11, 2)</f>
        <v/>
      </c>
      <c r="L11" s="24">
        <f>ROUND(K11/1000, 3)</f>
        <v/>
      </c>
      <c r="M11" s="8" t="n"/>
      <c r="N11" s="21">
        <f>ROUND(N10 + IF(AND(E11&lt;=10, F11&lt;&gt;"ASTM A416"), L11, 0), 3)</f>
        <v/>
      </c>
      <c r="O11" s="21">
        <f>ROUND(O10 + IF(AND(E11&gt;10, E11&lt;=18, F11&lt;&gt;"ASTM A416"), L11, 0), 3)</f>
        <v/>
      </c>
      <c r="P11" s="21">
        <f>ROUND(P10 + IF(AND(E11&gt;18, F11&lt;&gt;"ASTM A416"), L11, 0), 3)</f>
        <v/>
      </c>
      <c r="Q11" s="21">
        <f>ROUND(Q10 + IF(F11="ASTM A416", L11, 0), 3)</f>
        <v/>
      </c>
      <c r="R11" s="11">
        <f>IF(INT(N11/20)&gt;INT(N10/20), "Lần " &amp; INT(N11/20), "")</f>
        <v/>
      </c>
      <c r="S11" s="12">
        <f>IF(INT(O11/20)&gt;INT(O10/20), "Lần " &amp; INT(O11/20), "")</f>
        <v/>
      </c>
      <c r="T11" s="11">
        <f>IF(INT(P11/20)&gt;INT(P10/20), "Lần " &amp; INT(P11/20), "")</f>
        <v/>
      </c>
      <c r="U11" s="25">
        <f>IF(INT(Q11/20)&gt;INT(Q10/20), "Lần " &amp; INT(Q11/20), "")</f>
        <v/>
      </c>
      <c r="V11" s="6" t="inlineStr"/>
      <c r="W11" s="6" t="inlineStr">
        <is>
          <t>ĐẠT TCVN 1651:2018</t>
        </is>
      </c>
    </row>
    <row r="12" ht="19" customHeight="1">
      <c r="A12" s="6" t="n">
        <v>8</v>
      </c>
      <c r="B12" s="7" t="inlineStr">
        <is>
          <t>Cọc khoan nhồi C1 Mố M1 (D1.2m, L=20.0m)</t>
        </is>
      </c>
      <c r="C12" s="7" t="inlineStr">
        <is>
          <t>Cốt thép chủ chịu lực cọc</t>
        </is>
      </c>
      <c r="D12" s="19" t="inlineStr">
        <is>
          <t>P6</t>
        </is>
      </c>
      <c r="E12" s="20" t="n">
        <v>25</v>
      </c>
      <c r="F12" s="6" t="inlineStr">
        <is>
          <t>CB400-V</t>
        </is>
      </c>
      <c r="G12" s="7" t="inlineStr">
        <is>
          <t>Thanh thẳng nối ren/hàn</t>
        </is>
      </c>
      <c r="H12" s="21" t="n">
        <v>10.433</v>
      </c>
      <c r="I12" s="22" t="n">
        <v>12</v>
      </c>
      <c r="J12" s="23" t="n">
        <v>3.85</v>
      </c>
      <c r="K12" s="9">
        <f>ROUND(H12*I12*J12, 2)</f>
        <v/>
      </c>
      <c r="L12" s="24">
        <f>ROUND(K12/1000, 3)</f>
        <v/>
      </c>
      <c r="M12" s="8" t="n"/>
      <c r="N12" s="21">
        <f>ROUND(N11 + IF(AND(E12&lt;=10, F12&lt;&gt;"ASTM A416"), L12, 0), 3)</f>
        <v/>
      </c>
      <c r="O12" s="21">
        <f>ROUND(O11 + IF(AND(E12&gt;10, E12&lt;=18, F12&lt;&gt;"ASTM A416"), L12, 0), 3)</f>
        <v/>
      </c>
      <c r="P12" s="21">
        <f>ROUND(P11 + IF(AND(E12&gt;18, F12&lt;&gt;"ASTM A416"), L12, 0), 3)</f>
        <v/>
      </c>
      <c r="Q12" s="21">
        <f>ROUND(Q11 + IF(F12="ASTM A416", L12, 0), 3)</f>
        <v/>
      </c>
      <c r="R12" s="11">
        <f>IF(INT(N12/20)&gt;INT(N11/20), "Lần " &amp; INT(N12/20), "")</f>
        <v/>
      </c>
      <c r="S12" s="12">
        <f>IF(INT(O12/20)&gt;INT(O11/20), "Lần " &amp; INT(O12/20), "")</f>
        <v/>
      </c>
      <c r="T12" s="11">
        <f>IF(INT(P12/20)&gt;INT(P11/20), "Lần " &amp; INT(P12/20), "")</f>
        <v/>
      </c>
      <c r="U12" s="25">
        <f>IF(INT(Q12/20)&gt;INT(Q11/20), "Lần " &amp; INT(Q12/20), "")</f>
        <v/>
      </c>
      <c r="V12" s="6" t="inlineStr"/>
      <c r="W12" s="6" t="inlineStr">
        <is>
          <t>ĐẠT TCVN 1651:2018</t>
        </is>
      </c>
    </row>
    <row r="13" ht="19" customHeight="1">
      <c r="A13" s="6" t="n">
        <v>9</v>
      </c>
      <c r="B13" s="7" t="inlineStr">
        <is>
          <t>Cọc khoan nhồi C1 Mố M1 (D1.2m, L=20.0m)</t>
        </is>
      </c>
      <c r="C13" s="7" t="inlineStr">
        <is>
          <t>Cốt thép chủ chịu lực cọc</t>
        </is>
      </c>
      <c r="D13" s="19" t="inlineStr">
        <is>
          <t>P7</t>
        </is>
      </c>
      <c r="E13" s="20" t="n">
        <v>25</v>
      </c>
      <c r="F13" s="6" t="inlineStr">
        <is>
          <t>CB400-V</t>
        </is>
      </c>
      <c r="G13" s="7" t="inlineStr">
        <is>
          <t>Thanh thẳng nối ren/hàn</t>
        </is>
      </c>
      <c r="H13" s="21" t="n">
        <v>11.433</v>
      </c>
      <c r="I13" s="22" t="n">
        <v>12</v>
      </c>
      <c r="J13" s="23" t="n">
        <v>3.85</v>
      </c>
      <c r="K13" s="9">
        <f>ROUND(H13*I13*J13, 2)</f>
        <v/>
      </c>
      <c r="L13" s="24">
        <f>ROUND(K13/1000, 3)</f>
        <v/>
      </c>
      <c r="M13" s="8" t="n"/>
      <c r="N13" s="21">
        <f>ROUND(N12 + IF(AND(E13&lt;=10, F13&lt;&gt;"ASTM A416"), L13, 0), 3)</f>
        <v/>
      </c>
      <c r="O13" s="21">
        <f>ROUND(O12 + IF(AND(E13&gt;10, E13&lt;=18, F13&lt;&gt;"ASTM A416"), L13, 0), 3)</f>
        <v/>
      </c>
      <c r="P13" s="21">
        <f>ROUND(P12 + IF(AND(E13&gt;18, F13&lt;&gt;"ASTM A416"), L13, 0), 3)</f>
        <v/>
      </c>
      <c r="Q13" s="21">
        <f>ROUND(Q12 + IF(F13="ASTM A416", L13, 0), 3)</f>
        <v/>
      </c>
      <c r="R13" s="11">
        <f>IF(INT(N13/20)&gt;INT(N12/20), "Lần " &amp; INT(N13/20), "")</f>
        <v/>
      </c>
      <c r="S13" s="12">
        <f>IF(INT(O13/20)&gt;INT(O12/20), "Lần " &amp; INT(O13/20), "")</f>
        <v/>
      </c>
      <c r="T13" s="11">
        <f>IF(INT(P13/20)&gt;INT(P12/20), "Lần " &amp; INT(P13/20), "")</f>
        <v/>
      </c>
      <c r="U13" s="25">
        <f>IF(INT(Q13/20)&gt;INT(Q12/20), "Lần " &amp; INT(Q13/20), "")</f>
        <v/>
      </c>
      <c r="V13" s="6" t="inlineStr"/>
      <c r="W13" s="6" t="inlineStr">
        <is>
          <t>ĐẠT TCVN 1651:2018</t>
        </is>
      </c>
    </row>
    <row r="14" ht="19" customHeight="1">
      <c r="A14" s="6" t="n">
        <v>10</v>
      </c>
      <c r="B14" s="7" t="inlineStr">
        <is>
          <t>Cọc khoan nhồi C1 Mố M1 (D1.2m, L=20.0m)</t>
        </is>
      </c>
      <c r="C14" s="7" t="inlineStr">
        <is>
          <t>Đai tăng cường / Con kê bảo vệ</t>
        </is>
      </c>
      <c r="D14" s="19" t="inlineStr">
        <is>
          <t>P8</t>
        </is>
      </c>
      <c r="E14" s="20" t="n">
        <v>12</v>
      </c>
      <c r="F14" s="6" t="inlineStr">
        <is>
          <t>CB400-V</t>
        </is>
      </c>
      <c r="G14" s="7" t="inlineStr">
        <is>
          <t>Móc neo / Vòng đai</t>
        </is>
      </c>
      <c r="H14" s="21" t="n">
        <v>0.647</v>
      </c>
      <c r="I14" s="22" t="n">
        <v>8</v>
      </c>
      <c r="J14" s="23" t="n">
        <v>0.888</v>
      </c>
      <c r="K14" s="9">
        <f>ROUND(H14*I14*J14, 2)</f>
        <v/>
      </c>
      <c r="L14" s="24">
        <f>ROUND(K14/1000, 3)</f>
        <v/>
      </c>
      <c r="M14" s="8" t="n"/>
      <c r="N14" s="21">
        <f>ROUND(N13 + IF(AND(E14&lt;=10, F14&lt;&gt;"ASTM A416"), L14, 0), 3)</f>
        <v/>
      </c>
      <c r="O14" s="21">
        <f>ROUND(O13 + IF(AND(E14&gt;10, E14&lt;=18, F14&lt;&gt;"ASTM A416"), L14, 0), 3)</f>
        <v/>
      </c>
      <c r="P14" s="21">
        <f>ROUND(P13 + IF(AND(E14&gt;18, F14&lt;&gt;"ASTM A416"), L14, 0), 3)</f>
        <v/>
      </c>
      <c r="Q14" s="21">
        <f>ROUND(Q13 + IF(F14="ASTM A416", L14, 0), 3)</f>
        <v/>
      </c>
      <c r="R14" s="11">
        <f>IF(INT(N14/20)&gt;INT(N13/20), "Lần " &amp; INT(N14/20), "")</f>
        <v/>
      </c>
      <c r="S14" s="12">
        <f>IF(INT(O14/20)&gt;INT(O13/20), "Lần " &amp; INT(O14/20), "")</f>
        <v/>
      </c>
      <c r="T14" s="11">
        <f>IF(INT(P14/20)&gt;INT(P13/20), "Lần " &amp; INT(P14/20), "")</f>
        <v/>
      </c>
      <c r="U14" s="25">
        <f>IF(INT(Q14/20)&gt;INT(Q13/20), "Lần " &amp; INT(Q14/20), "")</f>
        <v/>
      </c>
      <c r="V14" s="6" t="inlineStr"/>
      <c r="W14" s="6" t="inlineStr">
        <is>
          <t>ĐẠT TCVN 1651:2018</t>
        </is>
      </c>
    </row>
    <row r="15" ht="19" customHeight="1">
      <c r="A15" s="6" t="n">
        <v>11</v>
      </c>
      <c r="B15" s="7" t="inlineStr">
        <is>
          <t>Cọc khoan nhồi C1 Mố M1 (D1.2m, L=20.0m)</t>
        </is>
      </c>
      <c r="C15" s="7" t="inlineStr">
        <is>
          <t>Đai tăng cường / Con kê bảo vệ</t>
        </is>
      </c>
      <c r="D15" s="19" t="inlineStr">
        <is>
          <t>P9</t>
        </is>
      </c>
      <c r="E15" s="20" t="n">
        <v>12</v>
      </c>
      <c r="F15" s="6" t="inlineStr">
        <is>
          <t>CB400-V</t>
        </is>
      </c>
      <c r="G15" s="7" t="inlineStr">
        <is>
          <t>Móc neo / Vòng đai</t>
        </is>
      </c>
      <c r="H15" s="21" t="n">
        <v>0.379</v>
      </c>
      <c r="I15" s="22" t="n">
        <v>24</v>
      </c>
      <c r="J15" s="23" t="n">
        <v>0.888</v>
      </c>
      <c r="K15" s="9">
        <f>ROUND(H15*I15*J15, 2)</f>
        <v/>
      </c>
      <c r="L15" s="24">
        <f>ROUND(K15/1000, 3)</f>
        <v/>
      </c>
      <c r="M15" s="8" t="n"/>
      <c r="N15" s="21">
        <f>ROUND(N14 + IF(AND(E15&lt;=10, F15&lt;&gt;"ASTM A416"), L15, 0), 3)</f>
        <v/>
      </c>
      <c r="O15" s="21">
        <f>ROUND(O14 + IF(AND(E15&gt;10, E15&lt;=18, F15&lt;&gt;"ASTM A416"), L15, 0), 3)</f>
        <v/>
      </c>
      <c r="P15" s="21">
        <f>ROUND(P14 + IF(AND(E15&gt;18, F15&lt;&gt;"ASTM A416"), L15, 0), 3)</f>
        <v/>
      </c>
      <c r="Q15" s="21">
        <f>ROUND(Q14 + IF(F15="ASTM A416", L15, 0), 3)</f>
        <v/>
      </c>
      <c r="R15" s="11">
        <f>IF(INT(N15/20)&gt;INT(N14/20), "Lần " &amp; INT(N15/20), "")</f>
        <v/>
      </c>
      <c r="S15" s="12">
        <f>IF(INT(O15/20)&gt;INT(O14/20), "Lần " &amp; INT(O15/20), "")</f>
        <v/>
      </c>
      <c r="T15" s="11">
        <f>IF(INT(P15/20)&gt;INT(P14/20), "Lần " &amp; INT(P15/20), "")</f>
        <v/>
      </c>
      <c r="U15" s="25">
        <f>IF(INT(Q15/20)&gt;INT(Q14/20), "Lần " &amp; INT(Q15/20), "")</f>
        <v/>
      </c>
      <c r="V15" s="6" t="inlineStr"/>
      <c r="W15" s="6" t="inlineStr">
        <is>
          <t>ĐẠT TCVN 1651:2018</t>
        </is>
      </c>
    </row>
    <row r="16" ht="19" customHeight="1">
      <c r="A16" s="6" t="n">
        <v>12</v>
      </c>
      <c r="B16" s="7" t="inlineStr">
        <is>
          <t>Cọc khoan nhồi C1 Mố M1 (D1.2m, L=20.0m)</t>
        </is>
      </c>
      <c r="C16" s="7" t="inlineStr">
        <is>
          <t>Thép đai xoắn lồng cọc</t>
        </is>
      </c>
      <c r="D16" s="19" t="inlineStr">
        <is>
          <t>P10</t>
        </is>
      </c>
      <c r="E16" s="20" t="n">
        <v>20</v>
      </c>
      <c r="F16" s="6" t="inlineStr">
        <is>
          <t>CB400-V</t>
        </is>
      </c>
      <c r="G16" s="7" t="inlineStr">
        <is>
          <t>Đai xoắn tròn</t>
        </is>
      </c>
      <c r="H16" s="21" t="n">
        <v>2.057</v>
      </c>
      <c r="I16" s="22" t="n">
        <v>1</v>
      </c>
      <c r="J16" s="23" t="n">
        <v>2.47</v>
      </c>
      <c r="K16" s="9">
        <f>ROUND(H16*I16*J16, 2)</f>
        <v/>
      </c>
      <c r="L16" s="24">
        <f>ROUND(K16/1000, 3)</f>
        <v/>
      </c>
      <c r="M16" s="8" t="n"/>
      <c r="N16" s="21">
        <f>ROUND(N15 + IF(AND(E16&lt;=10, F16&lt;&gt;"ASTM A416"), L16, 0), 3)</f>
        <v/>
      </c>
      <c r="O16" s="21">
        <f>ROUND(O15 + IF(AND(E16&gt;10, E16&lt;=18, F16&lt;&gt;"ASTM A416"), L16, 0), 3)</f>
        <v/>
      </c>
      <c r="P16" s="21">
        <f>ROUND(P15 + IF(AND(E16&gt;18, F16&lt;&gt;"ASTM A416"), L16, 0), 3)</f>
        <v/>
      </c>
      <c r="Q16" s="21">
        <f>ROUND(Q15 + IF(F16="ASTM A416", L16, 0), 3)</f>
        <v/>
      </c>
      <c r="R16" s="11">
        <f>IF(INT(N16/20)&gt;INT(N15/20), "Lần " &amp; INT(N16/20), "")</f>
        <v/>
      </c>
      <c r="S16" s="12">
        <f>IF(INT(O16/20)&gt;INT(O15/20), "Lần " &amp; INT(O16/20), "")</f>
        <v/>
      </c>
      <c r="T16" s="11">
        <f>IF(INT(P16/20)&gt;INT(P15/20), "Lần " &amp; INT(P16/20), "")</f>
        <v/>
      </c>
      <c r="U16" s="25">
        <f>IF(INT(Q16/20)&gt;INT(Q15/20), "Lần " &amp; INT(Q16/20), "")</f>
        <v/>
      </c>
      <c r="V16" s="6" t="inlineStr"/>
      <c r="W16" s="6" t="inlineStr">
        <is>
          <t>ĐẠT TCVN 1651:2018</t>
        </is>
      </c>
    </row>
    <row r="17" ht="19" customHeight="1">
      <c r="A17" s="6" t="n">
        <v>13</v>
      </c>
      <c r="B17" s="7" t="inlineStr">
        <is>
          <t>Cọc khoan nhồi C1 Mố M1 (D1.2m, L=20.0m)</t>
        </is>
      </c>
      <c r="C17" s="7" t="inlineStr">
        <is>
          <t>Thép đai xoắn lồng cọc</t>
        </is>
      </c>
      <c r="D17" s="19" t="inlineStr">
        <is>
          <t>P12</t>
        </is>
      </c>
      <c r="E17" s="20" t="n">
        <v>20</v>
      </c>
      <c r="F17" s="6" t="inlineStr">
        <is>
          <t>CB400-V</t>
        </is>
      </c>
      <c r="G17" s="7" t="inlineStr">
        <is>
          <t>Đai xoắn tròn</t>
        </is>
      </c>
      <c r="H17" s="21" t="n">
        <v>0.583</v>
      </c>
      <c r="I17" s="22" t="n">
        <v>32</v>
      </c>
      <c r="J17" s="23" t="n">
        <v>2.47</v>
      </c>
      <c r="K17" s="9">
        <f>ROUND(H17*I17*J17, 2)</f>
        <v/>
      </c>
      <c r="L17" s="24">
        <f>ROUND(K17/1000, 3)</f>
        <v/>
      </c>
      <c r="M17" s="8" t="n"/>
      <c r="N17" s="21">
        <f>ROUND(N16 + IF(AND(E17&lt;=10, F17&lt;&gt;"ASTM A416"), L17, 0), 3)</f>
        <v/>
      </c>
      <c r="O17" s="21">
        <f>ROUND(O16 + IF(AND(E17&gt;10, E17&lt;=18, F17&lt;&gt;"ASTM A416"), L17, 0), 3)</f>
        <v/>
      </c>
      <c r="P17" s="21">
        <f>ROUND(P16 + IF(AND(E17&gt;18, F17&lt;&gt;"ASTM A416"), L17, 0), 3)</f>
        <v/>
      </c>
      <c r="Q17" s="21">
        <f>ROUND(Q16 + IF(F17="ASTM A416", L17, 0), 3)</f>
        <v/>
      </c>
      <c r="R17" s="11">
        <f>IF(INT(N17/20)&gt;INT(N16/20), "Lần " &amp; INT(N17/20), "")</f>
        <v/>
      </c>
      <c r="S17" s="12">
        <f>IF(INT(O17/20)&gt;INT(O16/20), "Lần " &amp; INT(O17/20), "")</f>
        <v/>
      </c>
      <c r="T17" s="11">
        <f>IF(INT(P17/20)&gt;INT(P16/20), "Lần " &amp; INT(P17/20), "")</f>
        <v/>
      </c>
      <c r="U17" s="25">
        <f>IF(INT(Q17/20)&gt;INT(Q16/20), "Lần " &amp; INT(Q17/20), "")</f>
        <v/>
      </c>
      <c r="V17" s="6" t="inlineStr"/>
      <c r="W17" s="6" t="inlineStr">
        <is>
          <t>ĐẠT TCVN 1651:2018</t>
        </is>
      </c>
    </row>
    <row r="18" ht="20" customHeight="1">
      <c r="A18" s="18" t="inlineStr">
        <is>
          <t>--- CỌC KHOAN NHỒI C2 MỐ M1 (D1.2M, L=20.0M) ---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</row>
    <row r="19" ht="19" customHeight="1">
      <c r="A19" s="6" t="n">
        <v>14</v>
      </c>
      <c r="B19" s="7" t="inlineStr">
        <is>
          <t>Cọc khoan nhồi C2 Mố M1 (D1.2m, L=20.0m)</t>
        </is>
      </c>
      <c r="C19" s="7" t="inlineStr">
        <is>
          <t>Thép đai xoắn lồng cọc</t>
        </is>
      </c>
      <c r="D19" s="19" t="inlineStr">
        <is>
          <t>P1</t>
        </is>
      </c>
      <c r="E19" s="20" t="n">
        <v>10</v>
      </c>
      <c r="F19" s="6" t="inlineStr">
        <is>
          <t>CB240-T</t>
        </is>
      </c>
      <c r="G19" s="7" t="inlineStr">
        <is>
          <t>Đai xoắn tròn</t>
        </is>
      </c>
      <c r="H19" s="21" t="n">
        <v>96.604</v>
      </c>
      <c r="I19" s="22" t="n">
        <v>1</v>
      </c>
      <c r="J19" s="23" t="n">
        <v>0.617</v>
      </c>
      <c r="K19" s="9">
        <f>ROUND(H19*I19*J19, 2)</f>
        <v/>
      </c>
      <c r="L19" s="24">
        <f>ROUND(K19/1000, 3)</f>
        <v/>
      </c>
      <c r="M19" s="8" t="n"/>
      <c r="N19" s="21">
        <f>ROUND(N17 + IF(AND(E19&lt;=10, F19&lt;&gt;"ASTM A416"), L19, 0), 3)</f>
        <v/>
      </c>
      <c r="O19" s="21">
        <f>ROUND(O17 + IF(AND(E19&gt;10, E19&lt;=18, F19&lt;&gt;"ASTM A416"), L19, 0), 3)</f>
        <v/>
      </c>
      <c r="P19" s="21">
        <f>ROUND(P17 + IF(AND(E19&gt;18, F19&lt;&gt;"ASTM A416"), L19, 0), 3)</f>
        <v/>
      </c>
      <c r="Q19" s="21">
        <f>ROUND(Q17 + IF(F19="ASTM A416", L19, 0), 3)</f>
        <v/>
      </c>
      <c r="R19" s="11">
        <f>IF(INT(N19/20)&gt;INT(N17/20), "Lần " &amp; INT(N19/20), "")</f>
        <v/>
      </c>
      <c r="S19" s="12">
        <f>IF(INT(O19/20)&gt;INT(O17/20), "Lần " &amp; INT(O19/20), "")</f>
        <v/>
      </c>
      <c r="T19" s="11">
        <f>IF(INT(P19/20)&gt;INT(P17/20), "Lần " &amp; INT(P19/20), "")</f>
        <v/>
      </c>
      <c r="U19" s="25">
        <f>IF(INT(Q19/20)&gt;INT(Q17/20), "Lần " &amp; INT(Q19/20), "")</f>
        <v/>
      </c>
      <c r="V19" s="6" t="inlineStr"/>
      <c r="W19" s="6" t="inlineStr">
        <is>
          <t>ĐẠT TCVN 1651:2018</t>
        </is>
      </c>
    </row>
    <row r="20" ht="19" customHeight="1">
      <c r="A20" s="6" t="n">
        <v>15</v>
      </c>
      <c r="B20" s="7" t="inlineStr">
        <is>
          <t>Cọc khoan nhồi C2 Mố M1 (D1.2m, L=20.0m)</t>
        </is>
      </c>
      <c r="C20" s="7" t="inlineStr">
        <is>
          <t>Thép đai xoắn lồng cọc</t>
        </is>
      </c>
      <c r="D20" s="19" t="inlineStr">
        <is>
          <t>P1A</t>
        </is>
      </c>
      <c r="E20" s="20" t="n">
        <v>10</v>
      </c>
      <c r="F20" s="6" t="inlineStr">
        <is>
          <t>CB240-T</t>
        </is>
      </c>
      <c r="G20" s="7" t="inlineStr">
        <is>
          <t>Đai xoắn tròn</t>
        </is>
      </c>
      <c r="H20" s="21" t="n">
        <v>373.535</v>
      </c>
      <c r="I20" s="22" t="n">
        <v>1</v>
      </c>
      <c r="J20" s="23" t="n">
        <v>0.617</v>
      </c>
      <c r="K20" s="9">
        <f>ROUND(H20*I20*J20, 2)</f>
        <v/>
      </c>
      <c r="L20" s="24">
        <f>ROUND(K20/1000, 3)</f>
        <v/>
      </c>
      <c r="M20" s="8" t="n"/>
      <c r="N20" s="21">
        <f>ROUND(N19 + IF(AND(E20&lt;=10, F20&lt;&gt;"ASTM A416"), L20, 0), 3)</f>
        <v/>
      </c>
      <c r="O20" s="21">
        <f>ROUND(O19 + IF(AND(E20&gt;10, E20&lt;=18, F20&lt;&gt;"ASTM A416"), L20, 0), 3)</f>
        <v/>
      </c>
      <c r="P20" s="21">
        <f>ROUND(P19 + IF(AND(E20&gt;18, F20&lt;&gt;"ASTM A416"), L20, 0), 3)</f>
        <v/>
      </c>
      <c r="Q20" s="21">
        <f>ROUND(Q19 + IF(F20="ASTM A416", L20, 0), 3)</f>
        <v/>
      </c>
      <c r="R20" s="11">
        <f>IF(INT(N20/20)&gt;INT(N19/20), "Lần " &amp; INT(N20/20), "")</f>
        <v/>
      </c>
      <c r="S20" s="12">
        <f>IF(INT(O20/20)&gt;INT(O19/20), "Lần " &amp; INT(O20/20), "")</f>
        <v/>
      </c>
      <c r="T20" s="11">
        <f>IF(INT(P20/20)&gt;INT(P19/20), "Lần " &amp; INT(P20/20), "")</f>
        <v/>
      </c>
      <c r="U20" s="25">
        <f>IF(INT(Q20/20)&gt;INT(Q19/20), "Lần " &amp; INT(Q20/20), "")</f>
        <v/>
      </c>
      <c r="V20" s="6" t="inlineStr"/>
      <c r="W20" s="6" t="inlineStr">
        <is>
          <t>ĐẠT TCVN 1651:2018</t>
        </is>
      </c>
    </row>
    <row r="21" ht="19" customHeight="1">
      <c r="A21" s="6" t="n">
        <v>16</v>
      </c>
      <c r="B21" s="7" t="inlineStr">
        <is>
          <t>Cọc khoan nhồi C2 Mố M1 (D1.2m, L=20.0m)</t>
        </is>
      </c>
      <c r="C21" s="7" t="inlineStr">
        <is>
          <t>Thép đai xoắn lồng cọc</t>
        </is>
      </c>
      <c r="D21" s="19" t="inlineStr">
        <is>
          <t>P1C</t>
        </is>
      </c>
      <c r="E21" s="20" t="n">
        <v>10</v>
      </c>
      <c r="F21" s="6" t="inlineStr">
        <is>
          <t>CB240-T</t>
        </is>
      </c>
      <c r="G21" s="7" t="inlineStr">
        <is>
          <t>Đai xoắn tròn</t>
        </is>
      </c>
      <c r="H21" s="21" t="n">
        <v>3.592</v>
      </c>
      <c r="I21" s="22" t="n">
        <v>2</v>
      </c>
      <c r="J21" s="23" t="n">
        <v>0.617</v>
      </c>
      <c r="K21" s="9">
        <f>ROUND(H21*I21*J21, 2)</f>
        <v/>
      </c>
      <c r="L21" s="24">
        <f>ROUND(K21/1000, 3)</f>
        <v/>
      </c>
      <c r="M21" s="8" t="n"/>
      <c r="N21" s="21">
        <f>ROUND(N20 + IF(AND(E21&lt;=10, F21&lt;&gt;"ASTM A416"), L21, 0), 3)</f>
        <v/>
      </c>
      <c r="O21" s="21">
        <f>ROUND(O20 + IF(AND(E21&gt;10, E21&lt;=18, F21&lt;&gt;"ASTM A416"), L21, 0), 3)</f>
        <v/>
      </c>
      <c r="P21" s="21">
        <f>ROUND(P20 + IF(AND(E21&gt;18, F21&lt;&gt;"ASTM A416"), L21, 0), 3)</f>
        <v/>
      </c>
      <c r="Q21" s="21">
        <f>ROUND(Q20 + IF(F21="ASTM A416", L21, 0), 3)</f>
        <v/>
      </c>
      <c r="R21" s="11">
        <f>IF(INT(N21/20)&gt;INT(N20/20), "Lần " &amp; INT(N21/20), "")</f>
        <v/>
      </c>
      <c r="S21" s="12">
        <f>IF(INT(O21/20)&gt;INT(O20/20), "Lần " &amp; INT(O21/20), "")</f>
        <v/>
      </c>
      <c r="T21" s="11">
        <f>IF(INT(P21/20)&gt;INT(P20/20), "Lần " &amp; INT(P21/20), "")</f>
        <v/>
      </c>
      <c r="U21" s="25">
        <f>IF(INT(Q21/20)&gt;INT(Q20/20), "Lần " &amp; INT(Q21/20), "")</f>
        <v/>
      </c>
      <c r="V21" s="6" t="inlineStr"/>
      <c r="W21" s="6" t="inlineStr">
        <is>
          <t>ĐẠT TCVN 1651:2018</t>
        </is>
      </c>
    </row>
    <row r="22" ht="19" customHeight="1">
      <c r="A22" s="6" t="n">
        <v>17</v>
      </c>
      <c r="B22" s="7" t="inlineStr">
        <is>
          <t>Cọc khoan nhồi C2 Mố M1 (D1.2m, L=20.0m)</t>
        </is>
      </c>
      <c r="C22" s="7" t="inlineStr">
        <is>
          <t>Thép đai xoắn lồng cọc</t>
        </is>
      </c>
      <c r="D22" s="19" t="inlineStr">
        <is>
          <t>P1D</t>
        </is>
      </c>
      <c r="E22" s="20" t="n">
        <v>10</v>
      </c>
      <c r="F22" s="6" t="inlineStr">
        <is>
          <t>CB240-T</t>
        </is>
      </c>
      <c r="G22" s="7" t="inlineStr">
        <is>
          <t>Đai xoắn tròn</t>
        </is>
      </c>
      <c r="H22" s="21" t="n">
        <v>19.721</v>
      </c>
      <c r="I22" s="22" t="n">
        <v>1</v>
      </c>
      <c r="J22" s="23" t="n">
        <v>0.617</v>
      </c>
      <c r="K22" s="9">
        <f>ROUND(H22*I22*J22, 2)</f>
        <v/>
      </c>
      <c r="L22" s="24">
        <f>ROUND(K22/1000, 3)</f>
        <v/>
      </c>
      <c r="M22" s="8" t="n"/>
      <c r="N22" s="21">
        <f>ROUND(N21 + IF(AND(E22&lt;=10, F22&lt;&gt;"ASTM A416"), L22, 0), 3)</f>
        <v/>
      </c>
      <c r="O22" s="21">
        <f>ROUND(O21 + IF(AND(E22&gt;10, E22&lt;=18, F22&lt;&gt;"ASTM A416"), L22, 0), 3)</f>
        <v/>
      </c>
      <c r="P22" s="21">
        <f>ROUND(P21 + IF(AND(E22&gt;18, F22&lt;&gt;"ASTM A416"), L22, 0), 3)</f>
        <v/>
      </c>
      <c r="Q22" s="21">
        <f>ROUND(Q21 + IF(F22="ASTM A416", L22, 0), 3)</f>
        <v/>
      </c>
      <c r="R22" s="11">
        <f>IF(INT(N22/20)&gt;INT(N21/20), "Lần " &amp; INT(N22/20), "")</f>
        <v/>
      </c>
      <c r="S22" s="12">
        <f>IF(INT(O22/20)&gt;INT(O21/20), "Lần " &amp; INT(O22/20), "")</f>
        <v/>
      </c>
      <c r="T22" s="11">
        <f>IF(INT(P22/20)&gt;INT(P21/20), "Lần " &amp; INT(P22/20), "")</f>
        <v/>
      </c>
      <c r="U22" s="25">
        <f>IF(INT(Q22/20)&gt;INT(Q21/20), "Lần " &amp; INT(Q22/20), "")</f>
        <v/>
      </c>
      <c r="V22" s="6" t="inlineStr"/>
      <c r="W22" s="6" t="inlineStr">
        <is>
          <t>ĐẠT TCVN 1651:2018</t>
        </is>
      </c>
    </row>
    <row r="23" ht="19" customHeight="1">
      <c r="A23" s="6" t="n">
        <v>18</v>
      </c>
      <c r="B23" s="7" t="inlineStr">
        <is>
          <t>Cọc khoan nhồi C2 Mố M1 (D1.2m, L=20.0m)</t>
        </is>
      </c>
      <c r="C23" s="7" t="inlineStr">
        <is>
          <t>Cốt thép chủ chịu lực cọc</t>
        </is>
      </c>
      <c r="D23" s="19" t="inlineStr">
        <is>
          <t>P2B</t>
        </is>
      </c>
      <c r="E23" s="20" t="n">
        <v>25</v>
      </c>
      <c r="F23" s="6" t="inlineStr">
        <is>
          <t>CB400-V</t>
        </is>
      </c>
      <c r="G23" s="7" t="inlineStr">
        <is>
          <t>Thanh thẳng nối ren/hàn</t>
        </is>
      </c>
      <c r="H23" s="21" t="n">
        <v>2.985</v>
      </c>
      <c r="I23" s="22" t="n">
        <v>8</v>
      </c>
      <c r="J23" s="23" t="n">
        <v>3.85</v>
      </c>
      <c r="K23" s="9">
        <f>ROUND(H23*I23*J23, 2)</f>
        <v/>
      </c>
      <c r="L23" s="24">
        <f>ROUND(K23/1000, 3)</f>
        <v/>
      </c>
      <c r="M23" s="8" t="n"/>
      <c r="N23" s="21">
        <f>ROUND(N22 + IF(AND(E23&lt;=10, F23&lt;&gt;"ASTM A416"), L23, 0), 3)</f>
        <v/>
      </c>
      <c r="O23" s="21">
        <f>ROUND(O22 + IF(AND(E23&gt;10, E23&lt;=18, F23&lt;&gt;"ASTM A416"), L23, 0), 3)</f>
        <v/>
      </c>
      <c r="P23" s="21">
        <f>ROUND(P22 + IF(AND(E23&gt;18, F23&lt;&gt;"ASTM A416"), L23, 0), 3)</f>
        <v/>
      </c>
      <c r="Q23" s="21">
        <f>ROUND(Q22 + IF(F23="ASTM A416", L23, 0), 3)</f>
        <v/>
      </c>
      <c r="R23" s="11">
        <f>IF(INT(N23/20)&gt;INT(N22/20), "Lần " &amp; INT(N23/20), "")</f>
        <v/>
      </c>
      <c r="S23" s="12">
        <f>IF(INT(O23/20)&gt;INT(O22/20), "Lần " &amp; INT(O23/20), "")</f>
        <v/>
      </c>
      <c r="T23" s="11">
        <f>IF(INT(P23/20)&gt;INT(P22/20), "Lần " &amp; INT(P23/20), "")</f>
        <v/>
      </c>
      <c r="U23" s="25">
        <f>IF(INT(Q23/20)&gt;INT(Q22/20), "Lần " &amp; INT(Q23/20), "")</f>
        <v/>
      </c>
      <c r="V23" s="6" t="inlineStr"/>
      <c r="W23" s="6" t="inlineStr">
        <is>
          <t>ĐẠT TCVN 1651:2018</t>
        </is>
      </c>
    </row>
    <row r="24" ht="19" customHeight="1">
      <c r="A24" s="6" t="n">
        <v>19</v>
      </c>
      <c r="B24" s="7" t="inlineStr">
        <is>
          <t>Cọc khoan nhồi C2 Mố M1 (D1.2m, L=20.0m)</t>
        </is>
      </c>
      <c r="C24" s="7" t="inlineStr">
        <is>
          <t>Cốt thép chủ chịu lực cọc</t>
        </is>
      </c>
      <c r="D24" s="19" t="inlineStr">
        <is>
          <t>P3</t>
        </is>
      </c>
      <c r="E24" s="20" t="n">
        <v>25</v>
      </c>
      <c r="F24" s="6" t="inlineStr">
        <is>
          <t>CB400-V</t>
        </is>
      </c>
      <c r="G24" s="7" t="inlineStr">
        <is>
          <t>Thanh thẳng nối ren/hàn</t>
        </is>
      </c>
      <c r="H24" s="21" t="n">
        <v>10.7</v>
      </c>
      <c r="I24" s="22" t="n">
        <v>12</v>
      </c>
      <c r="J24" s="23" t="n">
        <v>3.85</v>
      </c>
      <c r="K24" s="9">
        <f>ROUND(H24*I24*J24, 2)</f>
        <v/>
      </c>
      <c r="L24" s="24">
        <f>ROUND(K24/1000, 3)</f>
        <v/>
      </c>
      <c r="M24" s="8" t="n"/>
      <c r="N24" s="21">
        <f>ROUND(N23 + IF(AND(E24&lt;=10, F24&lt;&gt;"ASTM A416"), L24, 0), 3)</f>
        <v/>
      </c>
      <c r="O24" s="21">
        <f>ROUND(O23 + IF(AND(E24&gt;10, E24&lt;=18, F24&lt;&gt;"ASTM A416"), L24, 0), 3)</f>
        <v/>
      </c>
      <c r="P24" s="21">
        <f>ROUND(P23 + IF(AND(E24&gt;18, F24&lt;&gt;"ASTM A416"), L24, 0), 3)</f>
        <v/>
      </c>
      <c r="Q24" s="21">
        <f>ROUND(Q23 + IF(F24="ASTM A416", L24, 0), 3)</f>
        <v/>
      </c>
      <c r="R24" s="11">
        <f>IF(INT(N24/20)&gt;INT(N23/20), "Lần " &amp; INT(N24/20), "")</f>
        <v/>
      </c>
      <c r="S24" s="12">
        <f>IF(INT(O24/20)&gt;INT(O23/20), "Lần " &amp; INT(O24/20), "")</f>
        <v/>
      </c>
      <c r="T24" s="11">
        <f>IF(INT(P24/20)&gt;INT(P23/20), "Lần " &amp; INT(P24/20), "")</f>
        <v/>
      </c>
      <c r="U24" s="25">
        <f>IF(INT(Q24/20)&gt;INT(Q23/20), "Lần " &amp; INT(Q24/20), "")</f>
        <v/>
      </c>
      <c r="V24" s="6" t="inlineStr"/>
      <c r="W24" s="6" t="inlineStr">
        <is>
          <t>ĐẠT TCVN 1651:2018</t>
        </is>
      </c>
    </row>
    <row r="25" ht="19" customHeight="1">
      <c r="A25" s="6" t="n">
        <v>20</v>
      </c>
      <c r="B25" s="7" t="inlineStr">
        <is>
          <t>Cọc khoan nhồi C2 Mố M1 (D1.2m, L=20.0m)</t>
        </is>
      </c>
      <c r="C25" s="7" t="inlineStr">
        <is>
          <t>Cốt thép chủ chịu lực cọc</t>
        </is>
      </c>
      <c r="D25" s="19" t="inlineStr">
        <is>
          <t>P4</t>
        </is>
      </c>
      <c r="E25" s="20" t="n">
        <v>25</v>
      </c>
      <c r="F25" s="6" t="inlineStr">
        <is>
          <t>CB400-V</t>
        </is>
      </c>
      <c r="G25" s="7" t="inlineStr">
        <is>
          <t>Thanh thẳng nối ren/hàn</t>
        </is>
      </c>
      <c r="H25" s="21" t="n">
        <v>11.7</v>
      </c>
      <c r="I25" s="22" t="n">
        <v>12</v>
      </c>
      <c r="J25" s="23" t="n">
        <v>3.85</v>
      </c>
      <c r="K25" s="9">
        <f>ROUND(H25*I25*J25, 2)</f>
        <v/>
      </c>
      <c r="L25" s="24">
        <f>ROUND(K25/1000, 3)</f>
        <v/>
      </c>
      <c r="M25" s="8" t="n"/>
      <c r="N25" s="21">
        <f>ROUND(N24 + IF(AND(E25&lt;=10, F25&lt;&gt;"ASTM A416"), L25, 0), 3)</f>
        <v/>
      </c>
      <c r="O25" s="21">
        <f>ROUND(O24 + IF(AND(E25&gt;10, E25&lt;=18, F25&lt;&gt;"ASTM A416"), L25, 0), 3)</f>
        <v/>
      </c>
      <c r="P25" s="21">
        <f>ROUND(P24 + IF(AND(E25&gt;18, F25&lt;&gt;"ASTM A416"), L25, 0), 3)</f>
        <v/>
      </c>
      <c r="Q25" s="21">
        <f>ROUND(Q24 + IF(F25="ASTM A416", L25, 0), 3)</f>
        <v/>
      </c>
      <c r="R25" s="11">
        <f>IF(INT(N25/20)&gt;INT(N24/20), "Lần " &amp; INT(N25/20), "")</f>
        <v/>
      </c>
      <c r="S25" s="12">
        <f>IF(INT(O25/20)&gt;INT(O24/20), "Lần " &amp; INT(O25/20), "")</f>
        <v/>
      </c>
      <c r="T25" s="11">
        <f>IF(INT(P25/20)&gt;INT(P24/20), "Lần " &amp; INT(P25/20), "")</f>
        <v/>
      </c>
      <c r="U25" s="25">
        <f>IF(INT(Q25/20)&gt;INT(Q24/20), "Lần " &amp; INT(Q25/20), "")</f>
        <v/>
      </c>
      <c r="V25" s="6" t="inlineStr"/>
      <c r="W25" s="6" t="inlineStr">
        <is>
          <t>ĐẠT TCVN 1651:2018</t>
        </is>
      </c>
    </row>
    <row r="26" ht="19" customHeight="1">
      <c r="A26" s="6" t="n">
        <v>21</v>
      </c>
      <c r="B26" s="7" t="inlineStr">
        <is>
          <t>Cọc khoan nhồi C2 Mố M1 (D1.2m, L=20.0m)</t>
        </is>
      </c>
      <c r="C26" s="7" t="inlineStr">
        <is>
          <t>Cốt thép chủ chịu lực cọc</t>
        </is>
      </c>
      <c r="D26" s="19" t="inlineStr">
        <is>
          <t>P6</t>
        </is>
      </c>
      <c r="E26" s="20" t="n">
        <v>25</v>
      </c>
      <c r="F26" s="6" t="inlineStr">
        <is>
          <t>CB400-V</t>
        </is>
      </c>
      <c r="G26" s="7" t="inlineStr">
        <is>
          <t>Thanh thẳng nối ren/hàn</t>
        </is>
      </c>
      <c r="H26" s="21" t="n">
        <v>10.433</v>
      </c>
      <c r="I26" s="22" t="n">
        <v>12</v>
      </c>
      <c r="J26" s="23" t="n">
        <v>3.85</v>
      </c>
      <c r="K26" s="9">
        <f>ROUND(H26*I26*J26, 2)</f>
        <v/>
      </c>
      <c r="L26" s="24">
        <f>ROUND(K26/1000, 3)</f>
        <v/>
      </c>
      <c r="M26" s="8" t="n"/>
      <c r="N26" s="21">
        <f>ROUND(N25 + IF(AND(E26&lt;=10, F26&lt;&gt;"ASTM A416"), L26, 0), 3)</f>
        <v/>
      </c>
      <c r="O26" s="21">
        <f>ROUND(O25 + IF(AND(E26&gt;10, E26&lt;=18, F26&lt;&gt;"ASTM A416"), L26, 0), 3)</f>
        <v/>
      </c>
      <c r="P26" s="21">
        <f>ROUND(P25 + IF(AND(E26&gt;18, F26&lt;&gt;"ASTM A416"), L26, 0), 3)</f>
        <v/>
      </c>
      <c r="Q26" s="21">
        <f>ROUND(Q25 + IF(F26="ASTM A416", L26, 0), 3)</f>
        <v/>
      </c>
      <c r="R26" s="11">
        <f>IF(INT(N26/20)&gt;INT(N25/20), "Lần " &amp; INT(N26/20), "")</f>
        <v/>
      </c>
      <c r="S26" s="12">
        <f>IF(INT(O26/20)&gt;INT(O25/20), "Lần " &amp; INT(O26/20), "")</f>
        <v/>
      </c>
      <c r="T26" s="11">
        <f>IF(INT(P26/20)&gt;INT(P25/20), "Lần " &amp; INT(P26/20), "")</f>
        <v/>
      </c>
      <c r="U26" s="25">
        <f>IF(INT(Q26/20)&gt;INT(Q25/20), "Lần " &amp; INT(Q26/20), "")</f>
        <v/>
      </c>
      <c r="V26" s="6" t="inlineStr"/>
      <c r="W26" s="6" t="inlineStr">
        <is>
          <t>ĐẠT TCVN 1651:2018</t>
        </is>
      </c>
    </row>
    <row r="27" ht="19" customHeight="1">
      <c r="A27" s="6" t="n">
        <v>22</v>
      </c>
      <c r="B27" s="7" t="inlineStr">
        <is>
          <t>Cọc khoan nhồi C2 Mố M1 (D1.2m, L=20.0m)</t>
        </is>
      </c>
      <c r="C27" s="7" t="inlineStr">
        <is>
          <t>Cốt thép chủ chịu lực cọc</t>
        </is>
      </c>
      <c r="D27" s="19" t="inlineStr">
        <is>
          <t>P7</t>
        </is>
      </c>
      <c r="E27" s="20" t="n">
        <v>25</v>
      </c>
      <c r="F27" s="6" t="inlineStr">
        <is>
          <t>CB400-V</t>
        </is>
      </c>
      <c r="G27" s="7" t="inlineStr">
        <is>
          <t>Thanh thẳng nối ren/hàn</t>
        </is>
      </c>
      <c r="H27" s="21" t="n">
        <v>11.433</v>
      </c>
      <c r="I27" s="22" t="n">
        <v>12</v>
      </c>
      <c r="J27" s="23" t="n">
        <v>3.85</v>
      </c>
      <c r="K27" s="9">
        <f>ROUND(H27*I27*J27, 2)</f>
        <v/>
      </c>
      <c r="L27" s="24">
        <f>ROUND(K27/1000, 3)</f>
        <v/>
      </c>
      <c r="M27" s="8" t="n"/>
      <c r="N27" s="21">
        <f>ROUND(N26 + IF(AND(E27&lt;=10, F27&lt;&gt;"ASTM A416"), L27, 0), 3)</f>
        <v/>
      </c>
      <c r="O27" s="21">
        <f>ROUND(O26 + IF(AND(E27&gt;10, E27&lt;=18, F27&lt;&gt;"ASTM A416"), L27, 0), 3)</f>
        <v/>
      </c>
      <c r="P27" s="21">
        <f>ROUND(P26 + IF(AND(E27&gt;18, F27&lt;&gt;"ASTM A416"), L27, 0), 3)</f>
        <v/>
      </c>
      <c r="Q27" s="21">
        <f>ROUND(Q26 + IF(F27="ASTM A416", L27, 0), 3)</f>
        <v/>
      </c>
      <c r="R27" s="11">
        <f>IF(INT(N27/20)&gt;INT(N26/20), "Lần " &amp; INT(N27/20), "")</f>
        <v/>
      </c>
      <c r="S27" s="12">
        <f>IF(INT(O27/20)&gt;INT(O26/20), "Lần " &amp; INT(O27/20), "")</f>
        <v/>
      </c>
      <c r="T27" s="11">
        <f>IF(INT(P27/20)&gt;INT(P26/20), "Lần " &amp; INT(P27/20), "")</f>
        <v/>
      </c>
      <c r="U27" s="25">
        <f>IF(INT(Q27/20)&gt;INT(Q26/20), "Lần " &amp; INT(Q27/20), "")</f>
        <v/>
      </c>
      <c r="V27" s="6" t="inlineStr"/>
      <c r="W27" s="6" t="inlineStr">
        <is>
          <t>ĐẠT TCVN 1651:2018</t>
        </is>
      </c>
    </row>
    <row r="28" ht="19" customHeight="1">
      <c r="A28" s="6" t="n">
        <v>23</v>
      </c>
      <c r="B28" s="7" t="inlineStr">
        <is>
          <t>Cọc khoan nhồi C2 Mố M1 (D1.2m, L=20.0m)</t>
        </is>
      </c>
      <c r="C28" s="7" t="inlineStr">
        <is>
          <t>Đai tăng cường / Con kê bảo vệ</t>
        </is>
      </c>
      <c r="D28" s="19" t="inlineStr">
        <is>
          <t>P8</t>
        </is>
      </c>
      <c r="E28" s="20" t="n">
        <v>12</v>
      </c>
      <c r="F28" s="6" t="inlineStr">
        <is>
          <t>CB400-V</t>
        </is>
      </c>
      <c r="G28" s="7" t="inlineStr">
        <is>
          <t>Móc neo / Vòng đai</t>
        </is>
      </c>
      <c r="H28" s="21" t="n">
        <v>0.647</v>
      </c>
      <c r="I28" s="22" t="n">
        <v>8</v>
      </c>
      <c r="J28" s="23" t="n">
        <v>0.888</v>
      </c>
      <c r="K28" s="9">
        <f>ROUND(H28*I28*J28, 2)</f>
        <v/>
      </c>
      <c r="L28" s="24">
        <f>ROUND(K28/1000, 3)</f>
        <v/>
      </c>
      <c r="M28" s="8" t="n"/>
      <c r="N28" s="21">
        <f>ROUND(N27 + IF(AND(E28&lt;=10, F28&lt;&gt;"ASTM A416"), L28, 0), 3)</f>
        <v/>
      </c>
      <c r="O28" s="21">
        <f>ROUND(O27 + IF(AND(E28&gt;10, E28&lt;=18, F28&lt;&gt;"ASTM A416"), L28, 0), 3)</f>
        <v/>
      </c>
      <c r="P28" s="21">
        <f>ROUND(P27 + IF(AND(E28&gt;18, F28&lt;&gt;"ASTM A416"), L28, 0), 3)</f>
        <v/>
      </c>
      <c r="Q28" s="21">
        <f>ROUND(Q27 + IF(F28="ASTM A416", L28, 0), 3)</f>
        <v/>
      </c>
      <c r="R28" s="11">
        <f>IF(INT(N28/20)&gt;INT(N27/20), "Lần " &amp; INT(N28/20), "")</f>
        <v/>
      </c>
      <c r="S28" s="12">
        <f>IF(INT(O28/20)&gt;INT(O27/20), "Lần " &amp; INT(O28/20), "")</f>
        <v/>
      </c>
      <c r="T28" s="11">
        <f>IF(INT(P28/20)&gt;INT(P27/20), "Lần " &amp; INT(P28/20), "")</f>
        <v/>
      </c>
      <c r="U28" s="25">
        <f>IF(INT(Q28/20)&gt;INT(Q27/20), "Lần " &amp; INT(Q28/20), "")</f>
        <v/>
      </c>
      <c r="V28" s="6" t="inlineStr"/>
      <c r="W28" s="6" t="inlineStr">
        <is>
          <t>ĐẠT TCVN 1651:2018</t>
        </is>
      </c>
    </row>
    <row r="29" ht="19" customHeight="1">
      <c r="A29" s="6" t="n">
        <v>24</v>
      </c>
      <c r="B29" s="7" t="inlineStr">
        <is>
          <t>Cọc khoan nhồi C2 Mố M1 (D1.2m, L=20.0m)</t>
        </is>
      </c>
      <c r="C29" s="7" t="inlineStr">
        <is>
          <t>Đai tăng cường / Con kê bảo vệ</t>
        </is>
      </c>
      <c r="D29" s="19" t="inlineStr">
        <is>
          <t>P9</t>
        </is>
      </c>
      <c r="E29" s="20" t="n">
        <v>12</v>
      </c>
      <c r="F29" s="6" t="inlineStr">
        <is>
          <t>CB400-V</t>
        </is>
      </c>
      <c r="G29" s="7" t="inlineStr">
        <is>
          <t>Móc neo / Vòng đai</t>
        </is>
      </c>
      <c r="H29" s="21" t="n">
        <v>0.379</v>
      </c>
      <c r="I29" s="22" t="n">
        <v>24</v>
      </c>
      <c r="J29" s="23" t="n">
        <v>0.888</v>
      </c>
      <c r="K29" s="9">
        <f>ROUND(H29*I29*J29, 2)</f>
        <v/>
      </c>
      <c r="L29" s="24">
        <f>ROUND(K29/1000, 3)</f>
        <v/>
      </c>
      <c r="M29" s="8" t="n"/>
      <c r="N29" s="21">
        <f>ROUND(N28 + IF(AND(E29&lt;=10, F29&lt;&gt;"ASTM A416"), L29, 0), 3)</f>
        <v/>
      </c>
      <c r="O29" s="21">
        <f>ROUND(O28 + IF(AND(E29&gt;10, E29&lt;=18, F29&lt;&gt;"ASTM A416"), L29, 0), 3)</f>
        <v/>
      </c>
      <c r="P29" s="21">
        <f>ROUND(P28 + IF(AND(E29&gt;18, F29&lt;&gt;"ASTM A416"), L29, 0), 3)</f>
        <v/>
      </c>
      <c r="Q29" s="21">
        <f>ROUND(Q28 + IF(F29="ASTM A416", L29, 0), 3)</f>
        <v/>
      </c>
      <c r="R29" s="11">
        <f>IF(INT(N29/20)&gt;INT(N28/20), "Lần " &amp; INT(N29/20), "")</f>
        <v/>
      </c>
      <c r="S29" s="12">
        <f>IF(INT(O29/20)&gt;INT(O28/20), "Lần " &amp; INT(O29/20), "")</f>
        <v/>
      </c>
      <c r="T29" s="11">
        <f>IF(INT(P29/20)&gt;INT(P28/20), "Lần " &amp; INT(P29/20), "")</f>
        <v/>
      </c>
      <c r="U29" s="25">
        <f>IF(INT(Q29/20)&gt;INT(Q28/20), "Lần " &amp; INT(Q29/20), "")</f>
        <v/>
      </c>
      <c r="V29" s="6" t="inlineStr"/>
      <c r="W29" s="6" t="inlineStr">
        <is>
          <t>ĐẠT TCVN 1651:2018</t>
        </is>
      </c>
    </row>
    <row r="30" ht="19" customHeight="1">
      <c r="A30" s="6" t="n">
        <v>25</v>
      </c>
      <c r="B30" s="7" t="inlineStr">
        <is>
          <t>Cọc khoan nhồi C2 Mố M1 (D1.2m, L=20.0m)</t>
        </is>
      </c>
      <c r="C30" s="7" t="inlineStr">
        <is>
          <t>Thép đai xoắn lồng cọc</t>
        </is>
      </c>
      <c r="D30" s="19" t="inlineStr">
        <is>
          <t>P10</t>
        </is>
      </c>
      <c r="E30" s="20" t="n">
        <v>20</v>
      </c>
      <c r="F30" s="6" t="inlineStr">
        <is>
          <t>CB400-V</t>
        </is>
      </c>
      <c r="G30" s="7" t="inlineStr">
        <is>
          <t>Đai xoắn tròn</t>
        </is>
      </c>
      <c r="H30" s="21" t="n">
        <v>2.057</v>
      </c>
      <c r="I30" s="22" t="n">
        <v>1</v>
      </c>
      <c r="J30" s="23" t="n">
        <v>2.47</v>
      </c>
      <c r="K30" s="9">
        <f>ROUND(H30*I30*J30, 2)</f>
        <v/>
      </c>
      <c r="L30" s="24">
        <f>ROUND(K30/1000, 3)</f>
        <v/>
      </c>
      <c r="M30" s="8" t="n"/>
      <c r="N30" s="21">
        <f>ROUND(N29 + IF(AND(E30&lt;=10, F30&lt;&gt;"ASTM A416"), L30, 0), 3)</f>
        <v/>
      </c>
      <c r="O30" s="21">
        <f>ROUND(O29 + IF(AND(E30&gt;10, E30&lt;=18, F30&lt;&gt;"ASTM A416"), L30, 0), 3)</f>
        <v/>
      </c>
      <c r="P30" s="21">
        <f>ROUND(P29 + IF(AND(E30&gt;18, F30&lt;&gt;"ASTM A416"), L30, 0), 3)</f>
        <v/>
      </c>
      <c r="Q30" s="21">
        <f>ROUND(Q29 + IF(F30="ASTM A416", L30, 0), 3)</f>
        <v/>
      </c>
      <c r="R30" s="11">
        <f>IF(INT(N30/20)&gt;INT(N29/20), "Lần " &amp; INT(N30/20), "")</f>
        <v/>
      </c>
      <c r="S30" s="12">
        <f>IF(INT(O30/20)&gt;INT(O29/20), "Lần " &amp; INT(O30/20), "")</f>
        <v/>
      </c>
      <c r="T30" s="11">
        <f>IF(INT(P30/20)&gt;INT(P29/20), "Lần " &amp; INT(P30/20), "")</f>
        <v/>
      </c>
      <c r="U30" s="25">
        <f>IF(INT(Q30/20)&gt;INT(Q29/20), "Lần " &amp; INT(Q30/20), "")</f>
        <v/>
      </c>
      <c r="V30" s="6" t="inlineStr"/>
      <c r="W30" s="6" t="inlineStr">
        <is>
          <t>ĐẠT TCVN 1651:2018</t>
        </is>
      </c>
    </row>
    <row r="31" ht="19" customHeight="1">
      <c r="A31" s="6" t="n">
        <v>26</v>
      </c>
      <c r="B31" s="7" t="inlineStr">
        <is>
          <t>Cọc khoan nhồi C2 Mố M1 (D1.2m, L=20.0m)</t>
        </is>
      </c>
      <c r="C31" s="7" t="inlineStr">
        <is>
          <t>Thép đai xoắn lồng cọc</t>
        </is>
      </c>
      <c r="D31" s="19" t="inlineStr">
        <is>
          <t>P12</t>
        </is>
      </c>
      <c r="E31" s="20" t="n">
        <v>20</v>
      </c>
      <c r="F31" s="6" t="inlineStr">
        <is>
          <t>CB400-V</t>
        </is>
      </c>
      <c r="G31" s="7" t="inlineStr">
        <is>
          <t>Đai xoắn tròn</t>
        </is>
      </c>
      <c r="H31" s="21" t="n">
        <v>0.583</v>
      </c>
      <c r="I31" s="22" t="n">
        <v>32</v>
      </c>
      <c r="J31" s="23" t="n">
        <v>2.47</v>
      </c>
      <c r="K31" s="9">
        <f>ROUND(H31*I31*J31, 2)</f>
        <v/>
      </c>
      <c r="L31" s="24">
        <f>ROUND(K31/1000, 3)</f>
        <v/>
      </c>
      <c r="M31" s="8" t="n"/>
      <c r="N31" s="21">
        <f>ROUND(N30 + IF(AND(E31&lt;=10, F31&lt;&gt;"ASTM A416"), L31, 0), 3)</f>
        <v/>
      </c>
      <c r="O31" s="21">
        <f>ROUND(O30 + IF(AND(E31&gt;10, E31&lt;=18, F31&lt;&gt;"ASTM A416"), L31, 0), 3)</f>
        <v/>
      </c>
      <c r="P31" s="21">
        <f>ROUND(P30 + IF(AND(E31&gt;18, F31&lt;&gt;"ASTM A416"), L31, 0), 3)</f>
        <v/>
      </c>
      <c r="Q31" s="21">
        <f>ROUND(Q30 + IF(F31="ASTM A416", L31, 0), 3)</f>
        <v/>
      </c>
      <c r="R31" s="11">
        <f>IF(INT(N31/20)&gt;INT(N30/20), "Lần " &amp; INT(N31/20), "")</f>
        <v/>
      </c>
      <c r="S31" s="12">
        <f>IF(INT(O31/20)&gt;INT(O30/20), "Lần " &amp; INT(O31/20), "")</f>
        <v/>
      </c>
      <c r="T31" s="11">
        <f>IF(INT(P31/20)&gt;INT(P30/20), "Lần " &amp; INT(P31/20), "")</f>
        <v/>
      </c>
      <c r="U31" s="25">
        <f>IF(INT(Q31/20)&gt;INT(Q30/20), "Lần " &amp; INT(Q31/20), "")</f>
        <v/>
      </c>
      <c r="V31" s="6" t="inlineStr"/>
      <c r="W31" s="6" t="inlineStr">
        <is>
          <t>ĐẠT TCVN 1651:2018</t>
        </is>
      </c>
    </row>
    <row r="32" ht="20" customHeight="1">
      <c r="A32" s="18" t="inlineStr">
        <is>
          <t>--- CỌC KHOAN NHỒI C3 MỐ M1 (D1.2M, L=20.0M) ---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</row>
    <row r="33" ht="19" customHeight="1">
      <c r="A33" s="6" t="n">
        <v>27</v>
      </c>
      <c r="B33" s="7" t="inlineStr">
        <is>
          <t>Cọc khoan nhồi C3 Mố M1 (D1.2m, L=20.0m)</t>
        </is>
      </c>
      <c r="C33" s="7" t="inlineStr">
        <is>
          <t>Thép đai xoắn lồng cọc</t>
        </is>
      </c>
      <c r="D33" s="19" t="inlineStr">
        <is>
          <t>P1</t>
        </is>
      </c>
      <c r="E33" s="20" t="n">
        <v>10</v>
      </c>
      <c r="F33" s="6" t="inlineStr">
        <is>
          <t>CB240-T</t>
        </is>
      </c>
      <c r="G33" s="7" t="inlineStr">
        <is>
          <t>Đai xoắn tròn</t>
        </is>
      </c>
      <c r="H33" s="21" t="n">
        <v>96.604</v>
      </c>
      <c r="I33" s="22" t="n">
        <v>1</v>
      </c>
      <c r="J33" s="23" t="n">
        <v>0.617</v>
      </c>
      <c r="K33" s="9">
        <f>ROUND(H33*I33*J33, 2)</f>
        <v/>
      </c>
      <c r="L33" s="24">
        <f>ROUND(K33/1000, 3)</f>
        <v/>
      </c>
      <c r="M33" s="8" t="n"/>
      <c r="N33" s="21">
        <f>ROUND(N31 + IF(AND(E33&lt;=10, F33&lt;&gt;"ASTM A416"), L33, 0), 3)</f>
        <v/>
      </c>
      <c r="O33" s="21">
        <f>ROUND(O31 + IF(AND(E33&gt;10, E33&lt;=18, F33&lt;&gt;"ASTM A416"), L33, 0), 3)</f>
        <v/>
      </c>
      <c r="P33" s="21">
        <f>ROUND(P31 + IF(AND(E33&gt;18, F33&lt;&gt;"ASTM A416"), L33, 0), 3)</f>
        <v/>
      </c>
      <c r="Q33" s="21">
        <f>ROUND(Q31 + IF(F33="ASTM A416", L33, 0), 3)</f>
        <v/>
      </c>
      <c r="R33" s="11">
        <f>IF(INT(N33/20)&gt;INT(N31/20), "Lần " &amp; INT(N33/20), "")</f>
        <v/>
      </c>
      <c r="S33" s="12">
        <f>IF(INT(O33/20)&gt;INT(O31/20), "Lần " &amp; INT(O33/20), "")</f>
        <v/>
      </c>
      <c r="T33" s="11">
        <f>IF(INT(P33/20)&gt;INT(P31/20), "Lần " &amp; INT(P33/20), "")</f>
        <v/>
      </c>
      <c r="U33" s="25">
        <f>IF(INT(Q33/20)&gt;INT(Q31/20), "Lần " &amp; INT(Q33/20), "")</f>
        <v/>
      </c>
      <c r="V33" s="6" t="inlineStr"/>
      <c r="W33" s="6" t="inlineStr">
        <is>
          <t>ĐẠT TCVN 1651:2018</t>
        </is>
      </c>
    </row>
    <row r="34" ht="19" customHeight="1">
      <c r="A34" s="6" t="n">
        <v>28</v>
      </c>
      <c r="B34" s="7" t="inlineStr">
        <is>
          <t>Cọc khoan nhồi C3 Mố M1 (D1.2m, L=20.0m)</t>
        </is>
      </c>
      <c r="C34" s="7" t="inlineStr">
        <is>
          <t>Thép đai xoắn lồng cọc</t>
        </is>
      </c>
      <c r="D34" s="19" t="inlineStr">
        <is>
          <t>P1A</t>
        </is>
      </c>
      <c r="E34" s="20" t="n">
        <v>10</v>
      </c>
      <c r="F34" s="6" t="inlineStr">
        <is>
          <t>CB240-T</t>
        </is>
      </c>
      <c r="G34" s="7" t="inlineStr">
        <is>
          <t>Đai xoắn tròn</t>
        </is>
      </c>
      <c r="H34" s="21" t="n">
        <v>373.535</v>
      </c>
      <c r="I34" s="22" t="n">
        <v>1</v>
      </c>
      <c r="J34" s="23" t="n">
        <v>0.617</v>
      </c>
      <c r="K34" s="9">
        <f>ROUND(H34*I34*J34, 2)</f>
        <v/>
      </c>
      <c r="L34" s="24">
        <f>ROUND(K34/1000, 3)</f>
        <v/>
      </c>
      <c r="M34" s="8" t="n"/>
      <c r="N34" s="21">
        <f>ROUND(N33 + IF(AND(E34&lt;=10, F34&lt;&gt;"ASTM A416"), L34, 0), 3)</f>
        <v/>
      </c>
      <c r="O34" s="21">
        <f>ROUND(O33 + IF(AND(E34&gt;10, E34&lt;=18, F34&lt;&gt;"ASTM A416"), L34, 0), 3)</f>
        <v/>
      </c>
      <c r="P34" s="21">
        <f>ROUND(P33 + IF(AND(E34&gt;18, F34&lt;&gt;"ASTM A416"), L34, 0), 3)</f>
        <v/>
      </c>
      <c r="Q34" s="21">
        <f>ROUND(Q33 + IF(F34="ASTM A416", L34, 0), 3)</f>
        <v/>
      </c>
      <c r="R34" s="11">
        <f>IF(INT(N34/20)&gt;INT(N33/20), "Lần " &amp; INT(N34/20), "")</f>
        <v/>
      </c>
      <c r="S34" s="12">
        <f>IF(INT(O34/20)&gt;INT(O33/20), "Lần " &amp; INT(O34/20), "")</f>
        <v/>
      </c>
      <c r="T34" s="11">
        <f>IF(INT(P34/20)&gt;INT(P33/20), "Lần " &amp; INT(P34/20), "")</f>
        <v/>
      </c>
      <c r="U34" s="25">
        <f>IF(INT(Q34/20)&gt;INT(Q33/20), "Lần " &amp; INT(Q34/20), "")</f>
        <v/>
      </c>
      <c r="V34" s="6" t="inlineStr"/>
      <c r="W34" s="6" t="inlineStr">
        <is>
          <t>ĐẠT TCVN 1651:2018</t>
        </is>
      </c>
    </row>
    <row r="35" ht="19" customHeight="1">
      <c r="A35" s="6" t="n">
        <v>29</v>
      </c>
      <c r="B35" s="7" t="inlineStr">
        <is>
          <t>Cọc khoan nhồi C3 Mố M1 (D1.2m, L=20.0m)</t>
        </is>
      </c>
      <c r="C35" s="7" t="inlineStr">
        <is>
          <t>Thép đai xoắn lồng cọc</t>
        </is>
      </c>
      <c r="D35" s="19" t="inlineStr">
        <is>
          <t>P1C</t>
        </is>
      </c>
      <c r="E35" s="20" t="n">
        <v>10</v>
      </c>
      <c r="F35" s="6" t="inlineStr">
        <is>
          <t>CB240-T</t>
        </is>
      </c>
      <c r="G35" s="7" t="inlineStr">
        <is>
          <t>Đai xoắn tròn</t>
        </is>
      </c>
      <c r="H35" s="21" t="n">
        <v>3.592</v>
      </c>
      <c r="I35" s="22" t="n">
        <v>2</v>
      </c>
      <c r="J35" s="23" t="n">
        <v>0.617</v>
      </c>
      <c r="K35" s="9">
        <f>ROUND(H35*I35*J35, 2)</f>
        <v/>
      </c>
      <c r="L35" s="24">
        <f>ROUND(K35/1000, 3)</f>
        <v/>
      </c>
      <c r="M35" s="8" t="n"/>
      <c r="N35" s="21">
        <f>ROUND(N34 + IF(AND(E35&lt;=10, F35&lt;&gt;"ASTM A416"), L35, 0), 3)</f>
        <v/>
      </c>
      <c r="O35" s="21">
        <f>ROUND(O34 + IF(AND(E35&gt;10, E35&lt;=18, F35&lt;&gt;"ASTM A416"), L35, 0), 3)</f>
        <v/>
      </c>
      <c r="P35" s="21">
        <f>ROUND(P34 + IF(AND(E35&gt;18, F35&lt;&gt;"ASTM A416"), L35, 0), 3)</f>
        <v/>
      </c>
      <c r="Q35" s="21">
        <f>ROUND(Q34 + IF(F35="ASTM A416", L35, 0), 3)</f>
        <v/>
      </c>
      <c r="R35" s="11">
        <f>IF(INT(N35/20)&gt;INT(N34/20), "Lần " &amp; INT(N35/20), "")</f>
        <v/>
      </c>
      <c r="S35" s="12">
        <f>IF(INT(O35/20)&gt;INT(O34/20), "Lần " &amp; INT(O35/20), "")</f>
        <v/>
      </c>
      <c r="T35" s="11">
        <f>IF(INT(P35/20)&gt;INT(P34/20), "Lần " &amp; INT(P35/20), "")</f>
        <v/>
      </c>
      <c r="U35" s="25">
        <f>IF(INT(Q35/20)&gt;INT(Q34/20), "Lần " &amp; INT(Q35/20), "")</f>
        <v/>
      </c>
      <c r="V35" s="6" t="inlineStr"/>
      <c r="W35" s="6" t="inlineStr">
        <is>
          <t>ĐẠT TCVN 1651:2018</t>
        </is>
      </c>
    </row>
    <row r="36" ht="19" customHeight="1">
      <c r="A36" s="6" t="n">
        <v>30</v>
      </c>
      <c r="B36" s="7" t="inlineStr">
        <is>
          <t>Cọc khoan nhồi C3 Mố M1 (D1.2m, L=20.0m)</t>
        </is>
      </c>
      <c r="C36" s="7" t="inlineStr">
        <is>
          <t>Thép đai xoắn lồng cọc</t>
        </is>
      </c>
      <c r="D36" s="19" t="inlineStr">
        <is>
          <t>P1D</t>
        </is>
      </c>
      <c r="E36" s="20" t="n">
        <v>10</v>
      </c>
      <c r="F36" s="6" t="inlineStr">
        <is>
          <t>CB240-T</t>
        </is>
      </c>
      <c r="G36" s="7" t="inlineStr">
        <is>
          <t>Đai xoắn tròn</t>
        </is>
      </c>
      <c r="H36" s="21" t="n">
        <v>19.721</v>
      </c>
      <c r="I36" s="22" t="n">
        <v>1</v>
      </c>
      <c r="J36" s="23" t="n">
        <v>0.617</v>
      </c>
      <c r="K36" s="9">
        <f>ROUND(H36*I36*J36, 2)</f>
        <v/>
      </c>
      <c r="L36" s="24">
        <f>ROUND(K36/1000, 3)</f>
        <v/>
      </c>
      <c r="M36" s="8" t="n"/>
      <c r="N36" s="21">
        <f>ROUND(N35 + IF(AND(E36&lt;=10, F36&lt;&gt;"ASTM A416"), L36, 0), 3)</f>
        <v/>
      </c>
      <c r="O36" s="21">
        <f>ROUND(O35 + IF(AND(E36&gt;10, E36&lt;=18, F36&lt;&gt;"ASTM A416"), L36, 0), 3)</f>
        <v/>
      </c>
      <c r="P36" s="21">
        <f>ROUND(P35 + IF(AND(E36&gt;18, F36&lt;&gt;"ASTM A416"), L36, 0), 3)</f>
        <v/>
      </c>
      <c r="Q36" s="21">
        <f>ROUND(Q35 + IF(F36="ASTM A416", L36, 0), 3)</f>
        <v/>
      </c>
      <c r="R36" s="11">
        <f>IF(INT(N36/20)&gt;INT(N35/20), "Lần " &amp; INT(N36/20), "")</f>
        <v/>
      </c>
      <c r="S36" s="12">
        <f>IF(INT(O36/20)&gt;INT(O35/20), "Lần " &amp; INT(O36/20), "")</f>
        <v/>
      </c>
      <c r="T36" s="11">
        <f>IF(INT(P36/20)&gt;INT(P35/20), "Lần " &amp; INT(P36/20), "")</f>
        <v/>
      </c>
      <c r="U36" s="25">
        <f>IF(INT(Q36/20)&gt;INT(Q35/20), "Lần " &amp; INT(Q36/20), "")</f>
        <v/>
      </c>
      <c r="V36" s="6" t="inlineStr"/>
      <c r="W36" s="6" t="inlineStr">
        <is>
          <t>ĐẠT TCVN 1651:2018</t>
        </is>
      </c>
    </row>
    <row r="37" ht="19" customHeight="1">
      <c r="A37" s="6" t="n">
        <v>31</v>
      </c>
      <c r="B37" s="7" t="inlineStr">
        <is>
          <t>Cọc khoan nhồi C3 Mố M1 (D1.2m, L=20.0m)</t>
        </is>
      </c>
      <c r="C37" s="7" t="inlineStr">
        <is>
          <t>Cốt thép chủ chịu lực cọc</t>
        </is>
      </c>
      <c r="D37" s="19" t="inlineStr">
        <is>
          <t>P2B</t>
        </is>
      </c>
      <c r="E37" s="20" t="n">
        <v>25</v>
      </c>
      <c r="F37" s="6" t="inlineStr">
        <is>
          <t>CB400-V</t>
        </is>
      </c>
      <c r="G37" s="7" t="inlineStr">
        <is>
          <t>Thanh thẳng nối ren/hàn</t>
        </is>
      </c>
      <c r="H37" s="21" t="n">
        <v>2.985</v>
      </c>
      <c r="I37" s="22" t="n">
        <v>8</v>
      </c>
      <c r="J37" s="23" t="n">
        <v>3.85</v>
      </c>
      <c r="K37" s="9">
        <f>ROUND(H37*I37*J37, 2)</f>
        <v/>
      </c>
      <c r="L37" s="24">
        <f>ROUND(K37/1000, 3)</f>
        <v/>
      </c>
      <c r="M37" s="8" t="n"/>
      <c r="N37" s="21">
        <f>ROUND(N36 + IF(AND(E37&lt;=10, F37&lt;&gt;"ASTM A416"), L37, 0), 3)</f>
        <v/>
      </c>
      <c r="O37" s="21">
        <f>ROUND(O36 + IF(AND(E37&gt;10, E37&lt;=18, F37&lt;&gt;"ASTM A416"), L37, 0), 3)</f>
        <v/>
      </c>
      <c r="P37" s="21">
        <f>ROUND(P36 + IF(AND(E37&gt;18, F37&lt;&gt;"ASTM A416"), L37, 0), 3)</f>
        <v/>
      </c>
      <c r="Q37" s="21">
        <f>ROUND(Q36 + IF(F37="ASTM A416", L37, 0), 3)</f>
        <v/>
      </c>
      <c r="R37" s="11">
        <f>IF(INT(N37/20)&gt;INT(N36/20), "Lần " &amp; INT(N37/20), "")</f>
        <v/>
      </c>
      <c r="S37" s="12">
        <f>IF(INT(O37/20)&gt;INT(O36/20), "Lần " &amp; INT(O37/20), "")</f>
        <v/>
      </c>
      <c r="T37" s="11">
        <f>IF(INT(P37/20)&gt;INT(P36/20), "Lần " &amp; INT(P37/20), "")</f>
        <v/>
      </c>
      <c r="U37" s="25">
        <f>IF(INT(Q37/20)&gt;INT(Q36/20), "Lần " &amp; INT(Q37/20), "")</f>
        <v/>
      </c>
      <c r="V37" s="6" t="inlineStr"/>
      <c r="W37" s="6" t="inlineStr">
        <is>
          <t>ĐẠT TCVN 1651:2018</t>
        </is>
      </c>
    </row>
    <row r="38" ht="19" customHeight="1">
      <c r="A38" s="6" t="n">
        <v>32</v>
      </c>
      <c r="B38" s="7" t="inlineStr">
        <is>
          <t>Cọc khoan nhồi C3 Mố M1 (D1.2m, L=20.0m)</t>
        </is>
      </c>
      <c r="C38" s="7" t="inlineStr">
        <is>
          <t>Cốt thép chủ chịu lực cọc</t>
        </is>
      </c>
      <c r="D38" s="19" t="inlineStr">
        <is>
          <t>P3</t>
        </is>
      </c>
      <c r="E38" s="20" t="n">
        <v>25</v>
      </c>
      <c r="F38" s="6" t="inlineStr">
        <is>
          <t>CB400-V</t>
        </is>
      </c>
      <c r="G38" s="7" t="inlineStr">
        <is>
          <t>Thanh thẳng nối ren/hàn</t>
        </is>
      </c>
      <c r="H38" s="21" t="n">
        <v>10.7</v>
      </c>
      <c r="I38" s="22" t="n">
        <v>12</v>
      </c>
      <c r="J38" s="23" t="n">
        <v>3.85</v>
      </c>
      <c r="K38" s="9">
        <f>ROUND(H38*I38*J38, 2)</f>
        <v/>
      </c>
      <c r="L38" s="24">
        <f>ROUND(K38/1000, 3)</f>
        <v/>
      </c>
      <c r="M38" s="8" t="n"/>
      <c r="N38" s="21">
        <f>ROUND(N37 + IF(AND(E38&lt;=10, F38&lt;&gt;"ASTM A416"), L38, 0), 3)</f>
        <v/>
      </c>
      <c r="O38" s="21">
        <f>ROUND(O37 + IF(AND(E38&gt;10, E38&lt;=18, F38&lt;&gt;"ASTM A416"), L38, 0), 3)</f>
        <v/>
      </c>
      <c r="P38" s="21">
        <f>ROUND(P37 + IF(AND(E38&gt;18, F38&lt;&gt;"ASTM A416"), L38, 0), 3)</f>
        <v/>
      </c>
      <c r="Q38" s="21">
        <f>ROUND(Q37 + IF(F38="ASTM A416", L38, 0), 3)</f>
        <v/>
      </c>
      <c r="R38" s="11">
        <f>IF(INT(N38/20)&gt;INT(N37/20), "Lần " &amp; INT(N38/20), "")</f>
        <v/>
      </c>
      <c r="S38" s="12">
        <f>IF(INT(O38/20)&gt;INT(O37/20), "Lần " &amp; INT(O38/20), "")</f>
        <v/>
      </c>
      <c r="T38" s="11">
        <f>IF(INT(P38/20)&gt;INT(P37/20), "Lần " &amp; INT(P38/20), "")</f>
        <v/>
      </c>
      <c r="U38" s="25">
        <f>IF(INT(Q38/20)&gt;INT(Q37/20), "Lần " &amp; INT(Q38/20), "")</f>
        <v/>
      </c>
      <c r="V38" s="6" t="inlineStr"/>
      <c r="W38" s="6" t="inlineStr">
        <is>
          <t>ĐẠT TCVN 1651:2018</t>
        </is>
      </c>
    </row>
    <row r="39" ht="19" customHeight="1">
      <c r="A39" s="6" t="n">
        <v>33</v>
      </c>
      <c r="B39" s="7" t="inlineStr">
        <is>
          <t>Cọc khoan nhồi C3 Mố M1 (D1.2m, L=20.0m)</t>
        </is>
      </c>
      <c r="C39" s="7" t="inlineStr">
        <is>
          <t>Cốt thép chủ chịu lực cọc</t>
        </is>
      </c>
      <c r="D39" s="19" t="inlineStr">
        <is>
          <t>P4</t>
        </is>
      </c>
      <c r="E39" s="20" t="n">
        <v>25</v>
      </c>
      <c r="F39" s="6" t="inlineStr">
        <is>
          <t>CB400-V</t>
        </is>
      </c>
      <c r="G39" s="7" t="inlineStr">
        <is>
          <t>Thanh thẳng nối ren/hàn</t>
        </is>
      </c>
      <c r="H39" s="21" t="n">
        <v>11.7</v>
      </c>
      <c r="I39" s="22" t="n">
        <v>12</v>
      </c>
      <c r="J39" s="23" t="n">
        <v>3.85</v>
      </c>
      <c r="K39" s="9">
        <f>ROUND(H39*I39*J39, 2)</f>
        <v/>
      </c>
      <c r="L39" s="24">
        <f>ROUND(K39/1000, 3)</f>
        <v/>
      </c>
      <c r="M39" s="8" t="n"/>
      <c r="N39" s="21">
        <f>ROUND(N38 + IF(AND(E39&lt;=10, F39&lt;&gt;"ASTM A416"), L39, 0), 3)</f>
        <v/>
      </c>
      <c r="O39" s="21">
        <f>ROUND(O38 + IF(AND(E39&gt;10, E39&lt;=18, F39&lt;&gt;"ASTM A416"), L39, 0), 3)</f>
        <v/>
      </c>
      <c r="P39" s="21">
        <f>ROUND(P38 + IF(AND(E39&gt;18, F39&lt;&gt;"ASTM A416"), L39, 0), 3)</f>
        <v/>
      </c>
      <c r="Q39" s="21">
        <f>ROUND(Q38 + IF(F39="ASTM A416", L39, 0), 3)</f>
        <v/>
      </c>
      <c r="R39" s="11">
        <f>IF(INT(N39/20)&gt;INT(N38/20), "Lần " &amp; INT(N39/20), "")</f>
        <v/>
      </c>
      <c r="S39" s="12">
        <f>IF(INT(O39/20)&gt;INT(O38/20), "Lần " &amp; INT(O39/20), "")</f>
        <v/>
      </c>
      <c r="T39" s="11">
        <f>IF(INT(P39/20)&gt;INT(P38/20), "Lần " &amp; INT(P39/20), "")</f>
        <v/>
      </c>
      <c r="U39" s="25">
        <f>IF(INT(Q39/20)&gt;INT(Q38/20), "Lần " &amp; INT(Q39/20), "")</f>
        <v/>
      </c>
      <c r="V39" s="6" t="inlineStr"/>
      <c r="W39" s="6" t="inlineStr">
        <is>
          <t>ĐẠT TCVN 1651:2018</t>
        </is>
      </c>
    </row>
    <row r="40" ht="19" customHeight="1">
      <c r="A40" s="6" t="n">
        <v>34</v>
      </c>
      <c r="B40" s="7" t="inlineStr">
        <is>
          <t>Cọc khoan nhồi C3 Mố M1 (D1.2m, L=20.0m)</t>
        </is>
      </c>
      <c r="C40" s="7" t="inlineStr">
        <is>
          <t>Cốt thép chủ chịu lực cọc</t>
        </is>
      </c>
      <c r="D40" s="19" t="inlineStr">
        <is>
          <t>P6</t>
        </is>
      </c>
      <c r="E40" s="20" t="n">
        <v>25</v>
      </c>
      <c r="F40" s="6" t="inlineStr">
        <is>
          <t>CB400-V</t>
        </is>
      </c>
      <c r="G40" s="7" t="inlineStr">
        <is>
          <t>Thanh thẳng nối ren/hàn</t>
        </is>
      </c>
      <c r="H40" s="21" t="n">
        <v>10.433</v>
      </c>
      <c r="I40" s="22" t="n">
        <v>12</v>
      </c>
      <c r="J40" s="23" t="n">
        <v>3.85</v>
      </c>
      <c r="K40" s="9">
        <f>ROUND(H40*I40*J40, 2)</f>
        <v/>
      </c>
      <c r="L40" s="24">
        <f>ROUND(K40/1000, 3)</f>
        <v/>
      </c>
      <c r="M40" s="8" t="n"/>
      <c r="N40" s="21">
        <f>ROUND(N39 + IF(AND(E40&lt;=10, F40&lt;&gt;"ASTM A416"), L40, 0), 3)</f>
        <v/>
      </c>
      <c r="O40" s="21">
        <f>ROUND(O39 + IF(AND(E40&gt;10, E40&lt;=18, F40&lt;&gt;"ASTM A416"), L40, 0), 3)</f>
        <v/>
      </c>
      <c r="P40" s="21">
        <f>ROUND(P39 + IF(AND(E40&gt;18, F40&lt;&gt;"ASTM A416"), L40, 0), 3)</f>
        <v/>
      </c>
      <c r="Q40" s="21">
        <f>ROUND(Q39 + IF(F40="ASTM A416", L40, 0), 3)</f>
        <v/>
      </c>
      <c r="R40" s="11">
        <f>IF(INT(N40/20)&gt;INT(N39/20), "Lần " &amp; INT(N40/20), "")</f>
        <v/>
      </c>
      <c r="S40" s="12">
        <f>IF(INT(O40/20)&gt;INT(O39/20), "Lần " &amp; INT(O40/20), "")</f>
        <v/>
      </c>
      <c r="T40" s="11">
        <f>IF(INT(P40/20)&gt;INT(P39/20), "Lần " &amp; INT(P40/20), "")</f>
        <v/>
      </c>
      <c r="U40" s="25">
        <f>IF(INT(Q40/20)&gt;INT(Q39/20), "Lần " &amp; INT(Q40/20), "")</f>
        <v/>
      </c>
      <c r="V40" s="6" t="inlineStr"/>
      <c r="W40" s="6" t="inlineStr">
        <is>
          <t>ĐẠT TCVN 1651:2018</t>
        </is>
      </c>
    </row>
    <row r="41" ht="19" customHeight="1">
      <c r="A41" s="6" t="n">
        <v>35</v>
      </c>
      <c r="B41" s="7" t="inlineStr">
        <is>
          <t>Cọc khoan nhồi C3 Mố M1 (D1.2m, L=20.0m)</t>
        </is>
      </c>
      <c r="C41" s="7" t="inlineStr">
        <is>
          <t>Cốt thép chủ chịu lực cọc</t>
        </is>
      </c>
      <c r="D41" s="19" t="inlineStr">
        <is>
          <t>P7</t>
        </is>
      </c>
      <c r="E41" s="20" t="n">
        <v>25</v>
      </c>
      <c r="F41" s="6" t="inlineStr">
        <is>
          <t>CB400-V</t>
        </is>
      </c>
      <c r="G41" s="7" t="inlineStr">
        <is>
          <t>Thanh thẳng nối ren/hàn</t>
        </is>
      </c>
      <c r="H41" s="21" t="n">
        <v>11.433</v>
      </c>
      <c r="I41" s="22" t="n">
        <v>12</v>
      </c>
      <c r="J41" s="23" t="n">
        <v>3.85</v>
      </c>
      <c r="K41" s="9">
        <f>ROUND(H41*I41*J41, 2)</f>
        <v/>
      </c>
      <c r="L41" s="24">
        <f>ROUND(K41/1000, 3)</f>
        <v/>
      </c>
      <c r="M41" s="8" t="n"/>
      <c r="N41" s="21">
        <f>ROUND(N40 + IF(AND(E41&lt;=10, F41&lt;&gt;"ASTM A416"), L41, 0), 3)</f>
        <v/>
      </c>
      <c r="O41" s="21">
        <f>ROUND(O40 + IF(AND(E41&gt;10, E41&lt;=18, F41&lt;&gt;"ASTM A416"), L41, 0), 3)</f>
        <v/>
      </c>
      <c r="P41" s="21">
        <f>ROUND(P40 + IF(AND(E41&gt;18, F41&lt;&gt;"ASTM A416"), L41, 0), 3)</f>
        <v/>
      </c>
      <c r="Q41" s="21">
        <f>ROUND(Q40 + IF(F41="ASTM A416", L41, 0), 3)</f>
        <v/>
      </c>
      <c r="R41" s="11">
        <f>IF(INT(N41/20)&gt;INT(N40/20), "Lần " &amp; INT(N41/20), "")</f>
        <v/>
      </c>
      <c r="S41" s="12">
        <f>IF(INT(O41/20)&gt;INT(O40/20), "Lần " &amp; INT(O41/20), "")</f>
        <v/>
      </c>
      <c r="T41" s="11">
        <f>IF(INT(P41/20)&gt;INT(P40/20), "Lần " &amp; INT(P41/20), "")</f>
        <v/>
      </c>
      <c r="U41" s="25">
        <f>IF(INT(Q41/20)&gt;INT(Q40/20), "Lần " &amp; INT(Q41/20), "")</f>
        <v/>
      </c>
      <c r="V41" s="6" t="inlineStr"/>
      <c r="W41" s="6" t="inlineStr">
        <is>
          <t>ĐẠT TCVN 1651:2018</t>
        </is>
      </c>
    </row>
    <row r="42" ht="19" customHeight="1">
      <c r="A42" s="6" t="n">
        <v>36</v>
      </c>
      <c r="B42" s="7" t="inlineStr">
        <is>
          <t>Cọc khoan nhồi C3 Mố M1 (D1.2m, L=20.0m)</t>
        </is>
      </c>
      <c r="C42" s="7" t="inlineStr">
        <is>
          <t>Đai tăng cường / Con kê bảo vệ</t>
        </is>
      </c>
      <c r="D42" s="19" t="inlineStr">
        <is>
          <t>P8</t>
        </is>
      </c>
      <c r="E42" s="20" t="n">
        <v>12</v>
      </c>
      <c r="F42" s="6" t="inlineStr">
        <is>
          <t>CB400-V</t>
        </is>
      </c>
      <c r="G42" s="7" t="inlineStr">
        <is>
          <t>Móc neo / Vòng đai</t>
        </is>
      </c>
      <c r="H42" s="21" t="n">
        <v>0.647</v>
      </c>
      <c r="I42" s="22" t="n">
        <v>8</v>
      </c>
      <c r="J42" s="23" t="n">
        <v>0.888</v>
      </c>
      <c r="K42" s="9">
        <f>ROUND(H42*I42*J42, 2)</f>
        <v/>
      </c>
      <c r="L42" s="24">
        <f>ROUND(K42/1000, 3)</f>
        <v/>
      </c>
      <c r="M42" s="8" t="n"/>
      <c r="N42" s="21">
        <f>ROUND(N41 + IF(AND(E42&lt;=10, F42&lt;&gt;"ASTM A416"), L42, 0), 3)</f>
        <v/>
      </c>
      <c r="O42" s="21">
        <f>ROUND(O41 + IF(AND(E42&gt;10, E42&lt;=18, F42&lt;&gt;"ASTM A416"), L42, 0), 3)</f>
        <v/>
      </c>
      <c r="P42" s="21">
        <f>ROUND(P41 + IF(AND(E42&gt;18, F42&lt;&gt;"ASTM A416"), L42, 0), 3)</f>
        <v/>
      </c>
      <c r="Q42" s="21">
        <f>ROUND(Q41 + IF(F42="ASTM A416", L42, 0), 3)</f>
        <v/>
      </c>
      <c r="R42" s="11">
        <f>IF(INT(N42/20)&gt;INT(N41/20), "Lần " &amp; INT(N42/20), "")</f>
        <v/>
      </c>
      <c r="S42" s="12">
        <f>IF(INT(O42/20)&gt;INT(O41/20), "Lần " &amp; INT(O42/20), "")</f>
        <v/>
      </c>
      <c r="T42" s="11">
        <f>IF(INT(P42/20)&gt;INT(P41/20), "Lần " &amp; INT(P42/20), "")</f>
        <v/>
      </c>
      <c r="U42" s="25">
        <f>IF(INT(Q42/20)&gt;INT(Q41/20), "Lần " &amp; INT(Q42/20), "")</f>
        <v/>
      </c>
      <c r="V42" s="6" t="inlineStr"/>
      <c r="W42" s="6" t="inlineStr">
        <is>
          <t>ĐẠT TCVN 1651:2018</t>
        </is>
      </c>
    </row>
    <row r="43" ht="19" customHeight="1">
      <c r="A43" s="6" t="n">
        <v>37</v>
      </c>
      <c r="B43" s="7" t="inlineStr">
        <is>
          <t>Cọc khoan nhồi C3 Mố M1 (D1.2m, L=20.0m)</t>
        </is>
      </c>
      <c r="C43" s="7" t="inlineStr">
        <is>
          <t>Đai tăng cường / Con kê bảo vệ</t>
        </is>
      </c>
      <c r="D43" s="19" t="inlineStr">
        <is>
          <t>P9</t>
        </is>
      </c>
      <c r="E43" s="20" t="n">
        <v>12</v>
      </c>
      <c r="F43" s="6" t="inlineStr">
        <is>
          <t>CB400-V</t>
        </is>
      </c>
      <c r="G43" s="7" t="inlineStr">
        <is>
          <t>Móc neo / Vòng đai</t>
        </is>
      </c>
      <c r="H43" s="21" t="n">
        <v>0.379</v>
      </c>
      <c r="I43" s="22" t="n">
        <v>24</v>
      </c>
      <c r="J43" s="23" t="n">
        <v>0.888</v>
      </c>
      <c r="K43" s="9">
        <f>ROUND(H43*I43*J43, 2)</f>
        <v/>
      </c>
      <c r="L43" s="24">
        <f>ROUND(K43/1000, 3)</f>
        <v/>
      </c>
      <c r="M43" s="8" t="n"/>
      <c r="N43" s="21">
        <f>ROUND(N42 + IF(AND(E43&lt;=10, F43&lt;&gt;"ASTM A416"), L43, 0), 3)</f>
        <v/>
      </c>
      <c r="O43" s="21">
        <f>ROUND(O42 + IF(AND(E43&gt;10, E43&lt;=18, F43&lt;&gt;"ASTM A416"), L43, 0), 3)</f>
        <v/>
      </c>
      <c r="P43" s="21">
        <f>ROUND(P42 + IF(AND(E43&gt;18, F43&lt;&gt;"ASTM A416"), L43, 0), 3)</f>
        <v/>
      </c>
      <c r="Q43" s="21">
        <f>ROUND(Q42 + IF(F43="ASTM A416", L43, 0), 3)</f>
        <v/>
      </c>
      <c r="R43" s="11">
        <f>IF(INT(N43/20)&gt;INT(N42/20), "Lần " &amp; INT(N43/20), "")</f>
        <v/>
      </c>
      <c r="S43" s="12">
        <f>IF(INT(O43/20)&gt;INT(O42/20), "Lần " &amp; INT(O43/20), "")</f>
        <v/>
      </c>
      <c r="T43" s="11">
        <f>IF(INT(P43/20)&gt;INT(P42/20), "Lần " &amp; INT(P43/20), "")</f>
        <v/>
      </c>
      <c r="U43" s="25">
        <f>IF(INT(Q43/20)&gt;INT(Q42/20), "Lần " &amp; INT(Q43/20), "")</f>
        <v/>
      </c>
      <c r="V43" s="6" t="inlineStr"/>
      <c r="W43" s="6" t="inlineStr">
        <is>
          <t>ĐẠT TCVN 1651:2018</t>
        </is>
      </c>
    </row>
    <row r="44" ht="19" customHeight="1">
      <c r="A44" s="6" t="n">
        <v>38</v>
      </c>
      <c r="B44" s="7" t="inlineStr">
        <is>
          <t>Cọc khoan nhồi C3 Mố M1 (D1.2m, L=20.0m)</t>
        </is>
      </c>
      <c r="C44" s="7" t="inlineStr">
        <is>
          <t>Thép đai xoắn lồng cọc</t>
        </is>
      </c>
      <c r="D44" s="19" t="inlineStr">
        <is>
          <t>P10</t>
        </is>
      </c>
      <c r="E44" s="20" t="n">
        <v>20</v>
      </c>
      <c r="F44" s="6" t="inlineStr">
        <is>
          <t>CB400-V</t>
        </is>
      </c>
      <c r="G44" s="7" t="inlineStr">
        <is>
          <t>Đai xoắn tròn</t>
        </is>
      </c>
      <c r="H44" s="21" t="n">
        <v>2.057</v>
      </c>
      <c r="I44" s="22" t="n">
        <v>1</v>
      </c>
      <c r="J44" s="23" t="n">
        <v>2.47</v>
      </c>
      <c r="K44" s="9">
        <f>ROUND(H44*I44*J44, 2)</f>
        <v/>
      </c>
      <c r="L44" s="24">
        <f>ROUND(K44/1000, 3)</f>
        <v/>
      </c>
      <c r="M44" s="8" t="n"/>
      <c r="N44" s="21">
        <f>ROUND(N43 + IF(AND(E44&lt;=10, F44&lt;&gt;"ASTM A416"), L44, 0), 3)</f>
        <v/>
      </c>
      <c r="O44" s="21">
        <f>ROUND(O43 + IF(AND(E44&gt;10, E44&lt;=18, F44&lt;&gt;"ASTM A416"), L44, 0), 3)</f>
        <v/>
      </c>
      <c r="P44" s="21">
        <f>ROUND(P43 + IF(AND(E44&gt;18, F44&lt;&gt;"ASTM A416"), L44, 0), 3)</f>
        <v/>
      </c>
      <c r="Q44" s="21">
        <f>ROUND(Q43 + IF(F44="ASTM A416", L44, 0), 3)</f>
        <v/>
      </c>
      <c r="R44" s="11">
        <f>IF(INT(N44/20)&gt;INT(N43/20), "Lần " &amp; INT(N44/20), "")</f>
        <v/>
      </c>
      <c r="S44" s="12">
        <f>IF(INT(O44/20)&gt;INT(O43/20), "Lần " &amp; INT(O44/20), "")</f>
        <v/>
      </c>
      <c r="T44" s="11">
        <f>IF(INT(P44/20)&gt;INT(P43/20), "Lần " &amp; INT(P44/20), "")</f>
        <v/>
      </c>
      <c r="U44" s="25">
        <f>IF(INT(Q44/20)&gt;INT(Q43/20), "Lần " &amp; INT(Q44/20), "")</f>
        <v/>
      </c>
      <c r="V44" s="6" t="inlineStr"/>
      <c r="W44" s="6" t="inlineStr">
        <is>
          <t>ĐẠT TCVN 1651:2018</t>
        </is>
      </c>
    </row>
    <row r="45" ht="19" customHeight="1">
      <c r="A45" s="6" t="n">
        <v>39</v>
      </c>
      <c r="B45" s="7" t="inlineStr">
        <is>
          <t>Cọc khoan nhồi C3 Mố M1 (D1.2m, L=20.0m)</t>
        </is>
      </c>
      <c r="C45" s="7" t="inlineStr">
        <is>
          <t>Thép đai xoắn lồng cọc</t>
        </is>
      </c>
      <c r="D45" s="19" t="inlineStr">
        <is>
          <t>P12</t>
        </is>
      </c>
      <c r="E45" s="20" t="n">
        <v>20</v>
      </c>
      <c r="F45" s="6" t="inlineStr">
        <is>
          <t>CB400-V</t>
        </is>
      </c>
      <c r="G45" s="7" t="inlineStr">
        <is>
          <t>Đai xoắn tròn</t>
        </is>
      </c>
      <c r="H45" s="21" t="n">
        <v>0.583</v>
      </c>
      <c r="I45" s="22" t="n">
        <v>32</v>
      </c>
      <c r="J45" s="23" t="n">
        <v>2.47</v>
      </c>
      <c r="K45" s="9">
        <f>ROUND(H45*I45*J45, 2)</f>
        <v/>
      </c>
      <c r="L45" s="24">
        <f>ROUND(K45/1000, 3)</f>
        <v/>
      </c>
      <c r="M45" s="8" t="n"/>
      <c r="N45" s="21">
        <f>ROUND(N44 + IF(AND(E45&lt;=10, F45&lt;&gt;"ASTM A416"), L45, 0), 3)</f>
        <v/>
      </c>
      <c r="O45" s="21">
        <f>ROUND(O44 + IF(AND(E45&gt;10, E45&lt;=18, F45&lt;&gt;"ASTM A416"), L45, 0), 3)</f>
        <v/>
      </c>
      <c r="P45" s="21">
        <f>ROUND(P44 + IF(AND(E45&gt;18, F45&lt;&gt;"ASTM A416"), L45, 0), 3)</f>
        <v/>
      </c>
      <c r="Q45" s="21">
        <f>ROUND(Q44 + IF(F45="ASTM A416", L45, 0), 3)</f>
        <v/>
      </c>
      <c r="R45" s="11">
        <f>IF(INT(N45/20)&gt;INT(N44/20), "Lần " &amp; INT(N45/20), "")</f>
        <v/>
      </c>
      <c r="S45" s="12">
        <f>IF(INT(O45/20)&gt;INT(O44/20), "Lần " &amp; INT(O45/20), "")</f>
        <v/>
      </c>
      <c r="T45" s="11">
        <f>IF(INT(P45/20)&gt;INT(P44/20), "Lần " &amp; INT(P45/20), "")</f>
        <v/>
      </c>
      <c r="U45" s="25">
        <f>IF(INT(Q45/20)&gt;INT(Q44/20), "Lần " &amp; INT(Q45/20), "")</f>
        <v/>
      </c>
      <c r="V45" s="6" t="inlineStr"/>
      <c r="W45" s="6" t="inlineStr">
        <is>
          <t>ĐẠT TCVN 1651:2018</t>
        </is>
      </c>
    </row>
    <row r="46" ht="20" customHeight="1">
      <c r="A46" s="18" t="inlineStr">
        <is>
          <t>--- CỌC KHOAN NHỒI C4 MỐ M1 (D1.2M, L=20.0M) ---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</row>
    <row r="47" ht="19" customHeight="1">
      <c r="A47" s="6" t="n">
        <v>40</v>
      </c>
      <c r="B47" s="7" t="inlineStr">
        <is>
          <t>Cọc khoan nhồi C4 Mố M1 (D1.2m, L=20.0m)</t>
        </is>
      </c>
      <c r="C47" s="7" t="inlineStr">
        <is>
          <t>Thép đai xoắn lồng cọc</t>
        </is>
      </c>
      <c r="D47" s="19" t="inlineStr">
        <is>
          <t>P1</t>
        </is>
      </c>
      <c r="E47" s="20" t="n">
        <v>10</v>
      </c>
      <c r="F47" s="6" t="inlineStr">
        <is>
          <t>CB240-T</t>
        </is>
      </c>
      <c r="G47" s="7" t="inlineStr">
        <is>
          <t>Đai xoắn tròn</t>
        </is>
      </c>
      <c r="H47" s="21" t="n">
        <v>96.604</v>
      </c>
      <c r="I47" s="22" t="n">
        <v>1</v>
      </c>
      <c r="J47" s="23" t="n">
        <v>0.617</v>
      </c>
      <c r="K47" s="9">
        <f>ROUND(H47*I47*J47, 2)</f>
        <v/>
      </c>
      <c r="L47" s="24">
        <f>ROUND(K47/1000, 3)</f>
        <v/>
      </c>
      <c r="M47" s="8" t="n"/>
      <c r="N47" s="21">
        <f>ROUND(N45 + IF(AND(E47&lt;=10, F47&lt;&gt;"ASTM A416"), L47, 0), 3)</f>
        <v/>
      </c>
      <c r="O47" s="21">
        <f>ROUND(O45 + IF(AND(E47&gt;10, E47&lt;=18, F47&lt;&gt;"ASTM A416"), L47, 0), 3)</f>
        <v/>
      </c>
      <c r="P47" s="21">
        <f>ROUND(P45 + IF(AND(E47&gt;18, F47&lt;&gt;"ASTM A416"), L47, 0), 3)</f>
        <v/>
      </c>
      <c r="Q47" s="21">
        <f>ROUND(Q45 + IF(F47="ASTM A416", L47, 0), 3)</f>
        <v/>
      </c>
      <c r="R47" s="11">
        <f>IF(INT(N47/20)&gt;INT(N45/20), "Lần " &amp; INT(N47/20), "")</f>
        <v/>
      </c>
      <c r="S47" s="12">
        <f>IF(INT(O47/20)&gt;INT(O45/20), "Lần " &amp; INT(O47/20), "")</f>
        <v/>
      </c>
      <c r="T47" s="11">
        <f>IF(INT(P47/20)&gt;INT(P45/20), "Lần " &amp; INT(P47/20), "")</f>
        <v/>
      </c>
      <c r="U47" s="25">
        <f>IF(INT(Q47/20)&gt;INT(Q45/20), "Lần " &amp; INT(Q47/20), "")</f>
        <v/>
      </c>
      <c r="V47" s="6" t="inlineStr"/>
      <c r="W47" s="6" t="inlineStr">
        <is>
          <t>ĐẠT TCVN 1651:2018</t>
        </is>
      </c>
    </row>
    <row r="48" ht="19" customHeight="1">
      <c r="A48" s="6" t="n">
        <v>41</v>
      </c>
      <c r="B48" s="7" t="inlineStr">
        <is>
          <t>Cọc khoan nhồi C4 Mố M1 (D1.2m, L=20.0m)</t>
        </is>
      </c>
      <c r="C48" s="7" t="inlineStr">
        <is>
          <t>Thép đai xoắn lồng cọc</t>
        </is>
      </c>
      <c r="D48" s="19" t="inlineStr">
        <is>
          <t>P1A</t>
        </is>
      </c>
      <c r="E48" s="20" t="n">
        <v>10</v>
      </c>
      <c r="F48" s="6" t="inlineStr">
        <is>
          <t>CB240-T</t>
        </is>
      </c>
      <c r="G48" s="7" t="inlineStr">
        <is>
          <t>Đai xoắn tròn</t>
        </is>
      </c>
      <c r="H48" s="21" t="n">
        <v>373.535</v>
      </c>
      <c r="I48" s="22" t="n">
        <v>1</v>
      </c>
      <c r="J48" s="23" t="n">
        <v>0.617</v>
      </c>
      <c r="K48" s="9">
        <f>ROUND(H48*I48*J48, 2)</f>
        <v/>
      </c>
      <c r="L48" s="24">
        <f>ROUND(K48/1000, 3)</f>
        <v/>
      </c>
      <c r="M48" s="8" t="n"/>
      <c r="N48" s="21">
        <f>ROUND(N47 + IF(AND(E48&lt;=10, F48&lt;&gt;"ASTM A416"), L48, 0), 3)</f>
        <v/>
      </c>
      <c r="O48" s="21">
        <f>ROUND(O47 + IF(AND(E48&gt;10, E48&lt;=18, F48&lt;&gt;"ASTM A416"), L48, 0), 3)</f>
        <v/>
      </c>
      <c r="P48" s="21">
        <f>ROUND(P47 + IF(AND(E48&gt;18, F48&lt;&gt;"ASTM A416"), L48, 0), 3)</f>
        <v/>
      </c>
      <c r="Q48" s="21">
        <f>ROUND(Q47 + IF(F48="ASTM A416", L48, 0), 3)</f>
        <v/>
      </c>
      <c r="R48" s="11">
        <f>IF(INT(N48/20)&gt;INT(N47/20), "Lần " &amp; INT(N48/20), "")</f>
        <v/>
      </c>
      <c r="S48" s="12">
        <f>IF(INT(O48/20)&gt;INT(O47/20), "Lần " &amp; INT(O48/20), "")</f>
        <v/>
      </c>
      <c r="T48" s="11">
        <f>IF(INT(P48/20)&gt;INT(P47/20), "Lần " &amp; INT(P48/20), "")</f>
        <v/>
      </c>
      <c r="U48" s="25">
        <f>IF(INT(Q48/20)&gt;INT(Q47/20), "Lần " &amp; INT(Q48/20), "")</f>
        <v/>
      </c>
      <c r="V48" s="6" t="inlineStr"/>
      <c r="W48" s="6" t="inlineStr">
        <is>
          <t>ĐẠT TCVN 1651:2018</t>
        </is>
      </c>
    </row>
    <row r="49" ht="19" customHeight="1">
      <c r="A49" s="6" t="n">
        <v>42</v>
      </c>
      <c r="B49" s="7" t="inlineStr">
        <is>
          <t>Cọc khoan nhồi C4 Mố M1 (D1.2m, L=20.0m)</t>
        </is>
      </c>
      <c r="C49" s="7" t="inlineStr">
        <is>
          <t>Thép đai xoắn lồng cọc</t>
        </is>
      </c>
      <c r="D49" s="19" t="inlineStr">
        <is>
          <t>P1C</t>
        </is>
      </c>
      <c r="E49" s="20" t="n">
        <v>10</v>
      </c>
      <c r="F49" s="6" t="inlineStr">
        <is>
          <t>CB240-T</t>
        </is>
      </c>
      <c r="G49" s="7" t="inlineStr">
        <is>
          <t>Đai xoắn tròn</t>
        </is>
      </c>
      <c r="H49" s="21" t="n">
        <v>3.592</v>
      </c>
      <c r="I49" s="22" t="n">
        <v>2</v>
      </c>
      <c r="J49" s="23" t="n">
        <v>0.617</v>
      </c>
      <c r="K49" s="9">
        <f>ROUND(H49*I49*J49, 2)</f>
        <v/>
      </c>
      <c r="L49" s="24">
        <f>ROUND(K49/1000, 3)</f>
        <v/>
      </c>
      <c r="M49" s="8" t="n"/>
      <c r="N49" s="21">
        <f>ROUND(N48 + IF(AND(E49&lt;=10, F49&lt;&gt;"ASTM A416"), L49, 0), 3)</f>
        <v/>
      </c>
      <c r="O49" s="21">
        <f>ROUND(O48 + IF(AND(E49&gt;10, E49&lt;=18, F49&lt;&gt;"ASTM A416"), L49, 0), 3)</f>
        <v/>
      </c>
      <c r="P49" s="21">
        <f>ROUND(P48 + IF(AND(E49&gt;18, F49&lt;&gt;"ASTM A416"), L49, 0), 3)</f>
        <v/>
      </c>
      <c r="Q49" s="21">
        <f>ROUND(Q48 + IF(F49="ASTM A416", L49, 0), 3)</f>
        <v/>
      </c>
      <c r="R49" s="11">
        <f>IF(INT(N49/20)&gt;INT(N48/20), "Lần " &amp; INT(N49/20), "")</f>
        <v/>
      </c>
      <c r="S49" s="12">
        <f>IF(INT(O49/20)&gt;INT(O48/20), "Lần " &amp; INT(O49/20), "")</f>
        <v/>
      </c>
      <c r="T49" s="11">
        <f>IF(INT(P49/20)&gt;INT(P48/20), "Lần " &amp; INT(P49/20), "")</f>
        <v/>
      </c>
      <c r="U49" s="25">
        <f>IF(INT(Q49/20)&gt;INT(Q48/20), "Lần " &amp; INT(Q49/20), "")</f>
        <v/>
      </c>
      <c r="V49" s="6" t="inlineStr"/>
      <c r="W49" s="6" t="inlineStr">
        <is>
          <t>ĐẠT TCVN 1651:2018</t>
        </is>
      </c>
    </row>
    <row r="50" ht="19" customHeight="1">
      <c r="A50" s="6" t="n">
        <v>43</v>
      </c>
      <c r="B50" s="7" t="inlineStr">
        <is>
          <t>Cọc khoan nhồi C4 Mố M1 (D1.2m, L=20.0m)</t>
        </is>
      </c>
      <c r="C50" s="7" t="inlineStr">
        <is>
          <t>Thép đai xoắn lồng cọc</t>
        </is>
      </c>
      <c r="D50" s="19" t="inlineStr">
        <is>
          <t>P1D</t>
        </is>
      </c>
      <c r="E50" s="20" t="n">
        <v>10</v>
      </c>
      <c r="F50" s="6" t="inlineStr">
        <is>
          <t>CB240-T</t>
        </is>
      </c>
      <c r="G50" s="7" t="inlineStr">
        <is>
          <t>Đai xoắn tròn</t>
        </is>
      </c>
      <c r="H50" s="21" t="n">
        <v>19.721</v>
      </c>
      <c r="I50" s="22" t="n">
        <v>1</v>
      </c>
      <c r="J50" s="23" t="n">
        <v>0.617</v>
      </c>
      <c r="K50" s="9">
        <f>ROUND(H50*I50*J50, 2)</f>
        <v/>
      </c>
      <c r="L50" s="24">
        <f>ROUND(K50/1000, 3)</f>
        <v/>
      </c>
      <c r="M50" s="8" t="n"/>
      <c r="N50" s="21">
        <f>ROUND(N49 + IF(AND(E50&lt;=10, F50&lt;&gt;"ASTM A416"), L50, 0), 3)</f>
        <v/>
      </c>
      <c r="O50" s="21">
        <f>ROUND(O49 + IF(AND(E50&gt;10, E50&lt;=18, F50&lt;&gt;"ASTM A416"), L50, 0), 3)</f>
        <v/>
      </c>
      <c r="P50" s="21">
        <f>ROUND(P49 + IF(AND(E50&gt;18, F50&lt;&gt;"ASTM A416"), L50, 0), 3)</f>
        <v/>
      </c>
      <c r="Q50" s="21">
        <f>ROUND(Q49 + IF(F50="ASTM A416", L50, 0), 3)</f>
        <v/>
      </c>
      <c r="R50" s="11">
        <f>IF(INT(N50/20)&gt;INT(N49/20), "Lần " &amp; INT(N50/20), "")</f>
        <v/>
      </c>
      <c r="S50" s="12">
        <f>IF(INT(O50/20)&gt;INT(O49/20), "Lần " &amp; INT(O50/20), "")</f>
        <v/>
      </c>
      <c r="T50" s="11">
        <f>IF(INT(P50/20)&gt;INT(P49/20), "Lần " &amp; INT(P50/20), "")</f>
        <v/>
      </c>
      <c r="U50" s="25">
        <f>IF(INT(Q50/20)&gt;INT(Q49/20), "Lần " &amp; INT(Q50/20), "")</f>
        <v/>
      </c>
      <c r="V50" s="6" t="inlineStr"/>
      <c r="W50" s="6" t="inlineStr">
        <is>
          <t>ĐẠT TCVN 1651:2018</t>
        </is>
      </c>
    </row>
    <row r="51" ht="19" customHeight="1">
      <c r="A51" s="6" t="n">
        <v>44</v>
      </c>
      <c r="B51" s="7" t="inlineStr">
        <is>
          <t>Cọc khoan nhồi C4 Mố M1 (D1.2m, L=20.0m)</t>
        </is>
      </c>
      <c r="C51" s="7" t="inlineStr">
        <is>
          <t>Cốt thép chủ chịu lực cọc</t>
        </is>
      </c>
      <c r="D51" s="19" t="inlineStr">
        <is>
          <t>P2B</t>
        </is>
      </c>
      <c r="E51" s="20" t="n">
        <v>25</v>
      </c>
      <c r="F51" s="6" t="inlineStr">
        <is>
          <t>CB400-V</t>
        </is>
      </c>
      <c r="G51" s="7" t="inlineStr">
        <is>
          <t>Thanh thẳng nối ren/hàn</t>
        </is>
      </c>
      <c r="H51" s="21" t="n">
        <v>2.985</v>
      </c>
      <c r="I51" s="22" t="n">
        <v>8</v>
      </c>
      <c r="J51" s="23" t="n">
        <v>3.85</v>
      </c>
      <c r="K51" s="9">
        <f>ROUND(H51*I51*J51, 2)</f>
        <v/>
      </c>
      <c r="L51" s="24">
        <f>ROUND(K51/1000, 3)</f>
        <v/>
      </c>
      <c r="M51" s="8" t="n"/>
      <c r="N51" s="21">
        <f>ROUND(N50 + IF(AND(E51&lt;=10, F51&lt;&gt;"ASTM A416"), L51, 0), 3)</f>
        <v/>
      </c>
      <c r="O51" s="21">
        <f>ROUND(O50 + IF(AND(E51&gt;10, E51&lt;=18, F51&lt;&gt;"ASTM A416"), L51, 0), 3)</f>
        <v/>
      </c>
      <c r="P51" s="21">
        <f>ROUND(P50 + IF(AND(E51&gt;18, F51&lt;&gt;"ASTM A416"), L51, 0), 3)</f>
        <v/>
      </c>
      <c r="Q51" s="21">
        <f>ROUND(Q50 + IF(F51="ASTM A416", L51, 0), 3)</f>
        <v/>
      </c>
      <c r="R51" s="11">
        <f>IF(INT(N51/20)&gt;INT(N50/20), "Lần " &amp; INT(N51/20), "")</f>
        <v/>
      </c>
      <c r="S51" s="12">
        <f>IF(INT(O51/20)&gt;INT(O50/20), "Lần " &amp; INT(O51/20), "")</f>
        <v/>
      </c>
      <c r="T51" s="11">
        <f>IF(INT(P51/20)&gt;INT(P50/20), "Lần " &amp; INT(P51/20), "")</f>
        <v/>
      </c>
      <c r="U51" s="25">
        <f>IF(INT(Q51/20)&gt;INT(Q50/20), "Lần " &amp; INT(Q51/20), "")</f>
        <v/>
      </c>
      <c r="V51" s="6" t="inlineStr"/>
      <c r="W51" s="6" t="inlineStr">
        <is>
          <t>ĐẠT TCVN 1651:2018</t>
        </is>
      </c>
    </row>
    <row r="52" ht="19" customHeight="1">
      <c r="A52" s="6" t="n">
        <v>45</v>
      </c>
      <c r="B52" s="7" t="inlineStr">
        <is>
          <t>Cọc khoan nhồi C4 Mố M1 (D1.2m, L=20.0m)</t>
        </is>
      </c>
      <c r="C52" s="7" t="inlineStr">
        <is>
          <t>Cốt thép chủ chịu lực cọc</t>
        </is>
      </c>
      <c r="D52" s="19" t="inlineStr">
        <is>
          <t>P3</t>
        </is>
      </c>
      <c r="E52" s="20" t="n">
        <v>25</v>
      </c>
      <c r="F52" s="6" t="inlineStr">
        <is>
          <t>CB400-V</t>
        </is>
      </c>
      <c r="G52" s="7" t="inlineStr">
        <is>
          <t>Thanh thẳng nối ren/hàn</t>
        </is>
      </c>
      <c r="H52" s="21" t="n">
        <v>10.7</v>
      </c>
      <c r="I52" s="22" t="n">
        <v>12</v>
      </c>
      <c r="J52" s="23" t="n">
        <v>3.85</v>
      </c>
      <c r="K52" s="9">
        <f>ROUND(H52*I52*J52, 2)</f>
        <v/>
      </c>
      <c r="L52" s="24">
        <f>ROUND(K52/1000, 3)</f>
        <v/>
      </c>
      <c r="M52" s="8" t="n"/>
      <c r="N52" s="21">
        <f>ROUND(N51 + IF(AND(E52&lt;=10, F52&lt;&gt;"ASTM A416"), L52, 0), 3)</f>
        <v/>
      </c>
      <c r="O52" s="21">
        <f>ROUND(O51 + IF(AND(E52&gt;10, E52&lt;=18, F52&lt;&gt;"ASTM A416"), L52, 0), 3)</f>
        <v/>
      </c>
      <c r="P52" s="21">
        <f>ROUND(P51 + IF(AND(E52&gt;18, F52&lt;&gt;"ASTM A416"), L52, 0), 3)</f>
        <v/>
      </c>
      <c r="Q52" s="21">
        <f>ROUND(Q51 + IF(F52="ASTM A416", L52, 0), 3)</f>
        <v/>
      </c>
      <c r="R52" s="11">
        <f>IF(INT(N52/20)&gt;INT(N51/20), "Lần " &amp; INT(N52/20), "")</f>
        <v/>
      </c>
      <c r="S52" s="12">
        <f>IF(INT(O52/20)&gt;INT(O51/20), "Lần " &amp; INT(O52/20), "")</f>
        <v/>
      </c>
      <c r="T52" s="11">
        <f>IF(INT(P52/20)&gt;INT(P51/20), "Lần " &amp; INT(P52/20), "")</f>
        <v/>
      </c>
      <c r="U52" s="25">
        <f>IF(INT(Q52/20)&gt;INT(Q51/20), "Lần " &amp; INT(Q52/20), "")</f>
        <v/>
      </c>
      <c r="V52" s="6" t="inlineStr"/>
      <c r="W52" s="6" t="inlineStr">
        <is>
          <t>ĐẠT TCVN 1651:2018</t>
        </is>
      </c>
    </row>
    <row r="53" ht="19" customHeight="1">
      <c r="A53" s="6" t="n">
        <v>46</v>
      </c>
      <c r="B53" s="7" t="inlineStr">
        <is>
          <t>Cọc khoan nhồi C4 Mố M1 (D1.2m, L=20.0m)</t>
        </is>
      </c>
      <c r="C53" s="7" t="inlineStr">
        <is>
          <t>Cốt thép chủ chịu lực cọc</t>
        </is>
      </c>
      <c r="D53" s="19" t="inlineStr">
        <is>
          <t>P4</t>
        </is>
      </c>
      <c r="E53" s="20" t="n">
        <v>25</v>
      </c>
      <c r="F53" s="6" t="inlineStr">
        <is>
          <t>CB400-V</t>
        </is>
      </c>
      <c r="G53" s="7" t="inlineStr">
        <is>
          <t>Thanh thẳng nối ren/hàn</t>
        </is>
      </c>
      <c r="H53" s="21" t="n">
        <v>11.7</v>
      </c>
      <c r="I53" s="22" t="n">
        <v>12</v>
      </c>
      <c r="J53" s="23" t="n">
        <v>3.85</v>
      </c>
      <c r="K53" s="9">
        <f>ROUND(H53*I53*J53, 2)</f>
        <v/>
      </c>
      <c r="L53" s="24">
        <f>ROUND(K53/1000, 3)</f>
        <v/>
      </c>
      <c r="M53" s="8" t="n"/>
      <c r="N53" s="21">
        <f>ROUND(N52 + IF(AND(E53&lt;=10, F53&lt;&gt;"ASTM A416"), L53, 0), 3)</f>
        <v/>
      </c>
      <c r="O53" s="21">
        <f>ROUND(O52 + IF(AND(E53&gt;10, E53&lt;=18, F53&lt;&gt;"ASTM A416"), L53, 0), 3)</f>
        <v/>
      </c>
      <c r="P53" s="21">
        <f>ROUND(P52 + IF(AND(E53&gt;18, F53&lt;&gt;"ASTM A416"), L53, 0), 3)</f>
        <v/>
      </c>
      <c r="Q53" s="21">
        <f>ROUND(Q52 + IF(F53="ASTM A416", L53, 0), 3)</f>
        <v/>
      </c>
      <c r="R53" s="11">
        <f>IF(INT(N53/20)&gt;INT(N52/20), "Lần " &amp; INT(N53/20), "")</f>
        <v/>
      </c>
      <c r="S53" s="12">
        <f>IF(INT(O53/20)&gt;INT(O52/20), "Lần " &amp; INT(O53/20), "")</f>
        <v/>
      </c>
      <c r="T53" s="11">
        <f>IF(INT(P53/20)&gt;INT(P52/20), "Lần " &amp; INT(P53/20), "")</f>
        <v/>
      </c>
      <c r="U53" s="25">
        <f>IF(INT(Q53/20)&gt;INT(Q52/20), "Lần " &amp; INT(Q53/20), "")</f>
        <v/>
      </c>
      <c r="V53" s="6" t="inlineStr"/>
      <c r="W53" s="6" t="inlineStr">
        <is>
          <t>ĐẠT TCVN 1651:2018</t>
        </is>
      </c>
    </row>
    <row r="54" ht="19" customHeight="1">
      <c r="A54" s="6" t="n">
        <v>47</v>
      </c>
      <c r="B54" s="7" t="inlineStr">
        <is>
          <t>Cọc khoan nhồi C4 Mố M1 (D1.2m, L=20.0m)</t>
        </is>
      </c>
      <c r="C54" s="7" t="inlineStr">
        <is>
          <t>Cốt thép chủ chịu lực cọc</t>
        </is>
      </c>
      <c r="D54" s="19" t="inlineStr">
        <is>
          <t>P6</t>
        </is>
      </c>
      <c r="E54" s="20" t="n">
        <v>25</v>
      </c>
      <c r="F54" s="6" t="inlineStr">
        <is>
          <t>CB400-V</t>
        </is>
      </c>
      <c r="G54" s="7" t="inlineStr">
        <is>
          <t>Thanh thẳng nối ren/hàn</t>
        </is>
      </c>
      <c r="H54" s="21" t="n">
        <v>10.433</v>
      </c>
      <c r="I54" s="22" t="n">
        <v>12</v>
      </c>
      <c r="J54" s="23" t="n">
        <v>3.85</v>
      </c>
      <c r="K54" s="9">
        <f>ROUND(H54*I54*J54, 2)</f>
        <v/>
      </c>
      <c r="L54" s="24">
        <f>ROUND(K54/1000, 3)</f>
        <v/>
      </c>
      <c r="M54" s="8" t="n"/>
      <c r="N54" s="21">
        <f>ROUND(N53 + IF(AND(E54&lt;=10, F54&lt;&gt;"ASTM A416"), L54, 0), 3)</f>
        <v/>
      </c>
      <c r="O54" s="21">
        <f>ROUND(O53 + IF(AND(E54&gt;10, E54&lt;=18, F54&lt;&gt;"ASTM A416"), L54, 0), 3)</f>
        <v/>
      </c>
      <c r="P54" s="21">
        <f>ROUND(P53 + IF(AND(E54&gt;18, F54&lt;&gt;"ASTM A416"), L54, 0), 3)</f>
        <v/>
      </c>
      <c r="Q54" s="21">
        <f>ROUND(Q53 + IF(F54="ASTM A416", L54, 0), 3)</f>
        <v/>
      </c>
      <c r="R54" s="11">
        <f>IF(INT(N54/20)&gt;INT(N53/20), "Lần " &amp; INT(N54/20), "")</f>
        <v/>
      </c>
      <c r="S54" s="12">
        <f>IF(INT(O54/20)&gt;INT(O53/20), "Lần " &amp; INT(O54/20), "")</f>
        <v/>
      </c>
      <c r="T54" s="11">
        <f>IF(INT(P54/20)&gt;INT(P53/20), "Lần " &amp; INT(P54/20), "")</f>
        <v/>
      </c>
      <c r="U54" s="25">
        <f>IF(INT(Q54/20)&gt;INT(Q53/20), "Lần " &amp; INT(Q54/20), "")</f>
        <v/>
      </c>
      <c r="V54" s="6" t="inlineStr"/>
      <c r="W54" s="6" t="inlineStr">
        <is>
          <t>ĐẠT TCVN 1651:2018</t>
        </is>
      </c>
    </row>
    <row r="55" ht="19" customHeight="1">
      <c r="A55" s="6" t="n">
        <v>48</v>
      </c>
      <c r="B55" s="7" t="inlineStr">
        <is>
          <t>Cọc khoan nhồi C4 Mố M1 (D1.2m, L=20.0m)</t>
        </is>
      </c>
      <c r="C55" s="7" t="inlineStr">
        <is>
          <t>Cốt thép chủ chịu lực cọc</t>
        </is>
      </c>
      <c r="D55" s="19" t="inlineStr">
        <is>
          <t>P7</t>
        </is>
      </c>
      <c r="E55" s="20" t="n">
        <v>25</v>
      </c>
      <c r="F55" s="6" t="inlineStr">
        <is>
          <t>CB400-V</t>
        </is>
      </c>
      <c r="G55" s="7" t="inlineStr">
        <is>
          <t>Thanh thẳng nối ren/hàn</t>
        </is>
      </c>
      <c r="H55" s="21" t="n">
        <v>11.433</v>
      </c>
      <c r="I55" s="22" t="n">
        <v>12</v>
      </c>
      <c r="J55" s="23" t="n">
        <v>3.85</v>
      </c>
      <c r="K55" s="9">
        <f>ROUND(H55*I55*J55, 2)</f>
        <v/>
      </c>
      <c r="L55" s="24">
        <f>ROUND(K55/1000, 3)</f>
        <v/>
      </c>
      <c r="M55" s="8" t="n"/>
      <c r="N55" s="21">
        <f>ROUND(N54 + IF(AND(E55&lt;=10, F55&lt;&gt;"ASTM A416"), L55, 0), 3)</f>
        <v/>
      </c>
      <c r="O55" s="21">
        <f>ROUND(O54 + IF(AND(E55&gt;10, E55&lt;=18, F55&lt;&gt;"ASTM A416"), L55, 0), 3)</f>
        <v/>
      </c>
      <c r="P55" s="21">
        <f>ROUND(P54 + IF(AND(E55&gt;18, F55&lt;&gt;"ASTM A416"), L55, 0), 3)</f>
        <v/>
      </c>
      <c r="Q55" s="21">
        <f>ROUND(Q54 + IF(F55="ASTM A416", L55, 0), 3)</f>
        <v/>
      </c>
      <c r="R55" s="11">
        <f>IF(INT(N55/20)&gt;INT(N54/20), "Lần " &amp; INT(N55/20), "")</f>
        <v/>
      </c>
      <c r="S55" s="12">
        <f>IF(INT(O55/20)&gt;INT(O54/20), "Lần " &amp; INT(O55/20), "")</f>
        <v/>
      </c>
      <c r="T55" s="11">
        <f>IF(INT(P55/20)&gt;INT(P54/20), "Lần " &amp; INT(P55/20), "")</f>
        <v/>
      </c>
      <c r="U55" s="25">
        <f>IF(INT(Q55/20)&gt;INT(Q54/20), "Lần " &amp; INT(Q55/20), "")</f>
        <v/>
      </c>
      <c r="V55" s="6" t="inlineStr"/>
      <c r="W55" s="6" t="inlineStr">
        <is>
          <t>ĐẠT TCVN 1651:2018</t>
        </is>
      </c>
    </row>
    <row r="56" ht="19" customHeight="1">
      <c r="A56" s="6" t="n">
        <v>49</v>
      </c>
      <c r="B56" s="7" t="inlineStr">
        <is>
          <t>Cọc khoan nhồi C4 Mố M1 (D1.2m, L=20.0m)</t>
        </is>
      </c>
      <c r="C56" s="7" t="inlineStr">
        <is>
          <t>Đai tăng cường / Con kê bảo vệ</t>
        </is>
      </c>
      <c r="D56" s="19" t="inlineStr">
        <is>
          <t>P8</t>
        </is>
      </c>
      <c r="E56" s="20" t="n">
        <v>12</v>
      </c>
      <c r="F56" s="6" t="inlineStr">
        <is>
          <t>CB400-V</t>
        </is>
      </c>
      <c r="G56" s="7" t="inlineStr">
        <is>
          <t>Móc neo / Vòng đai</t>
        </is>
      </c>
      <c r="H56" s="21" t="n">
        <v>0.647</v>
      </c>
      <c r="I56" s="22" t="n">
        <v>8</v>
      </c>
      <c r="J56" s="23" t="n">
        <v>0.888</v>
      </c>
      <c r="K56" s="9">
        <f>ROUND(H56*I56*J56, 2)</f>
        <v/>
      </c>
      <c r="L56" s="24">
        <f>ROUND(K56/1000, 3)</f>
        <v/>
      </c>
      <c r="M56" s="8" t="n"/>
      <c r="N56" s="21">
        <f>ROUND(N55 + IF(AND(E56&lt;=10, F56&lt;&gt;"ASTM A416"), L56, 0), 3)</f>
        <v/>
      </c>
      <c r="O56" s="21">
        <f>ROUND(O55 + IF(AND(E56&gt;10, E56&lt;=18, F56&lt;&gt;"ASTM A416"), L56, 0), 3)</f>
        <v/>
      </c>
      <c r="P56" s="21">
        <f>ROUND(P55 + IF(AND(E56&gt;18, F56&lt;&gt;"ASTM A416"), L56, 0), 3)</f>
        <v/>
      </c>
      <c r="Q56" s="21">
        <f>ROUND(Q55 + IF(F56="ASTM A416", L56, 0), 3)</f>
        <v/>
      </c>
      <c r="R56" s="11">
        <f>IF(INT(N56/20)&gt;INT(N55/20), "Lần " &amp; INT(N56/20), "")</f>
        <v/>
      </c>
      <c r="S56" s="12">
        <f>IF(INT(O56/20)&gt;INT(O55/20), "Lần " &amp; INT(O56/20), "")</f>
        <v/>
      </c>
      <c r="T56" s="11">
        <f>IF(INT(P56/20)&gt;INT(P55/20), "Lần " &amp; INT(P56/20), "")</f>
        <v/>
      </c>
      <c r="U56" s="25">
        <f>IF(INT(Q56/20)&gt;INT(Q55/20), "Lần " &amp; INT(Q56/20), "")</f>
        <v/>
      </c>
      <c r="V56" s="6" t="inlineStr"/>
      <c r="W56" s="6" t="inlineStr">
        <is>
          <t>ĐẠT TCVN 1651:2018</t>
        </is>
      </c>
    </row>
    <row r="57" ht="19" customHeight="1">
      <c r="A57" s="6" t="n">
        <v>50</v>
      </c>
      <c r="B57" s="7" t="inlineStr">
        <is>
          <t>Cọc khoan nhồi C4 Mố M1 (D1.2m, L=20.0m)</t>
        </is>
      </c>
      <c r="C57" s="7" t="inlineStr">
        <is>
          <t>Đai tăng cường / Con kê bảo vệ</t>
        </is>
      </c>
      <c r="D57" s="19" t="inlineStr">
        <is>
          <t>P9</t>
        </is>
      </c>
      <c r="E57" s="20" t="n">
        <v>12</v>
      </c>
      <c r="F57" s="6" t="inlineStr">
        <is>
          <t>CB400-V</t>
        </is>
      </c>
      <c r="G57" s="7" t="inlineStr">
        <is>
          <t>Móc neo / Vòng đai</t>
        </is>
      </c>
      <c r="H57" s="21" t="n">
        <v>0.379</v>
      </c>
      <c r="I57" s="22" t="n">
        <v>24</v>
      </c>
      <c r="J57" s="23" t="n">
        <v>0.888</v>
      </c>
      <c r="K57" s="9">
        <f>ROUND(H57*I57*J57, 2)</f>
        <v/>
      </c>
      <c r="L57" s="24">
        <f>ROUND(K57/1000, 3)</f>
        <v/>
      </c>
      <c r="M57" s="8" t="n"/>
      <c r="N57" s="21">
        <f>ROUND(N56 + IF(AND(E57&lt;=10, F57&lt;&gt;"ASTM A416"), L57, 0), 3)</f>
        <v/>
      </c>
      <c r="O57" s="21">
        <f>ROUND(O56 + IF(AND(E57&gt;10, E57&lt;=18, F57&lt;&gt;"ASTM A416"), L57, 0), 3)</f>
        <v/>
      </c>
      <c r="P57" s="21">
        <f>ROUND(P56 + IF(AND(E57&gt;18, F57&lt;&gt;"ASTM A416"), L57, 0), 3)</f>
        <v/>
      </c>
      <c r="Q57" s="21">
        <f>ROUND(Q56 + IF(F57="ASTM A416", L57, 0), 3)</f>
        <v/>
      </c>
      <c r="R57" s="11">
        <f>IF(INT(N57/20)&gt;INT(N56/20), "Lần " &amp; INT(N57/20), "")</f>
        <v/>
      </c>
      <c r="S57" s="12">
        <f>IF(INT(O57/20)&gt;INT(O56/20), "Lần " &amp; INT(O57/20), "")</f>
        <v/>
      </c>
      <c r="T57" s="11">
        <f>IF(INT(P57/20)&gt;INT(P56/20), "Lần " &amp; INT(P57/20), "")</f>
        <v/>
      </c>
      <c r="U57" s="25">
        <f>IF(INT(Q57/20)&gt;INT(Q56/20), "Lần " &amp; INT(Q57/20), "")</f>
        <v/>
      </c>
      <c r="V57" s="6" t="inlineStr"/>
      <c r="W57" s="6" t="inlineStr">
        <is>
          <t>ĐẠT TCVN 1651:2018</t>
        </is>
      </c>
    </row>
    <row r="58" ht="19" customHeight="1">
      <c r="A58" s="6" t="n">
        <v>51</v>
      </c>
      <c r="B58" s="7" t="inlineStr">
        <is>
          <t>Cọc khoan nhồi C4 Mố M1 (D1.2m, L=20.0m)</t>
        </is>
      </c>
      <c r="C58" s="7" t="inlineStr">
        <is>
          <t>Thép đai xoắn lồng cọc</t>
        </is>
      </c>
      <c r="D58" s="19" t="inlineStr">
        <is>
          <t>P10</t>
        </is>
      </c>
      <c r="E58" s="20" t="n">
        <v>20</v>
      </c>
      <c r="F58" s="6" t="inlineStr">
        <is>
          <t>CB400-V</t>
        </is>
      </c>
      <c r="G58" s="7" t="inlineStr">
        <is>
          <t>Đai xoắn tròn</t>
        </is>
      </c>
      <c r="H58" s="21" t="n">
        <v>2.057</v>
      </c>
      <c r="I58" s="22" t="n">
        <v>1</v>
      </c>
      <c r="J58" s="23" t="n">
        <v>2.47</v>
      </c>
      <c r="K58" s="9">
        <f>ROUND(H58*I58*J58, 2)</f>
        <v/>
      </c>
      <c r="L58" s="24">
        <f>ROUND(K58/1000, 3)</f>
        <v/>
      </c>
      <c r="M58" s="8" t="n"/>
      <c r="N58" s="21">
        <f>ROUND(N57 + IF(AND(E58&lt;=10, F58&lt;&gt;"ASTM A416"), L58, 0), 3)</f>
        <v/>
      </c>
      <c r="O58" s="21">
        <f>ROUND(O57 + IF(AND(E58&gt;10, E58&lt;=18, F58&lt;&gt;"ASTM A416"), L58, 0), 3)</f>
        <v/>
      </c>
      <c r="P58" s="21">
        <f>ROUND(P57 + IF(AND(E58&gt;18, F58&lt;&gt;"ASTM A416"), L58, 0), 3)</f>
        <v/>
      </c>
      <c r="Q58" s="21">
        <f>ROUND(Q57 + IF(F58="ASTM A416", L58, 0), 3)</f>
        <v/>
      </c>
      <c r="R58" s="11">
        <f>IF(INT(N58/20)&gt;INT(N57/20), "Lần " &amp; INT(N58/20), "")</f>
        <v/>
      </c>
      <c r="S58" s="12">
        <f>IF(INT(O58/20)&gt;INT(O57/20), "Lần " &amp; INT(O58/20), "")</f>
        <v/>
      </c>
      <c r="T58" s="11">
        <f>IF(INT(P58/20)&gt;INT(P57/20), "Lần " &amp; INT(P58/20), "")</f>
        <v/>
      </c>
      <c r="U58" s="25">
        <f>IF(INT(Q58/20)&gt;INT(Q57/20), "Lần " &amp; INT(Q58/20), "")</f>
        <v/>
      </c>
      <c r="V58" s="6" t="inlineStr"/>
      <c r="W58" s="6" t="inlineStr">
        <is>
          <t>ĐẠT TCVN 1651:2018</t>
        </is>
      </c>
    </row>
    <row r="59" ht="19" customHeight="1">
      <c r="A59" s="6" t="n">
        <v>52</v>
      </c>
      <c r="B59" s="7" t="inlineStr">
        <is>
          <t>Cọc khoan nhồi C4 Mố M1 (D1.2m, L=20.0m)</t>
        </is>
      </c>
      <c r="C59" s="7" t="inlineStr">
        <is>
          <t>Thép đai xoắn lồng cọc</t>
        </is>
      </c>
      <c r="D59" s="19" t="inlineStr">
        <is>
          <t>P12</t>
        </is>
      </c>
      <c r="E59" s="20" t="n">
        <v>20</v>
      </c>
      <c r="F59" s="6" t="inlineStr">
        <is>
          <t>CB400-V</t>
        </is>
      </c>
      <c r="G59" s="7" t="inlineStr">
        <is>
          <t>Đai xoắn tròn</t>
        </is>
      </c>
      <c r="H59" s="21" t="n">
        <v>0.583</v>
      </c>
      <c r="I59" s="22" t="n">
        <v>32</v>
      </c>
      <c r="J59" s="23" t="n">
        <v>2.47</v>
      </c>
      <c r="K59" s="9">
        <f>ROUND(H59*I59*J59, 2)</f>
        <v/>
      </c>
      <c r="L59" s="24">
        <f>ROUND(K59/1000, 3)</f>
        <v/>
      </c>
      <c r="M59" s="8" t="n"/>
      <c r="N59" s="21">
        <f>ROUND(N58 + IF(AND(E59&lt;=10, F59&lt;&gt;"ASTM A416"), L59, 0), 3)</f>
        <v/>
      </c>
      <c r="O59" s="21">
        <f>ROUND(O58 + IF(AND(E59&gt;10, E59&lt;=18, F59&lt;&gt;"ASTM A416"), L59, 0), 3)</f>
        <v/>
      </c>
      <c r="P59" s="21">
        <f>ROUND(P58 + IF(AND(E59&gt;18, F59&lt;&gt;"ASTM A416"), L59, 0), 3)</f>
        <v/>
      </c>
      <c r="Q59" s="21">
        <f>ROUND(Q58 + IF(F59="ASTM A416", L59, 0), 3)</f>
        <v/>
      </c>
      <c r="R59" s="11">
        <f>IF(INT(N59/20)&gt;INT(N58/20), "Lần " &amp; INT(N59/20), "")</f>
        <v/>
      </c>
      <c r="S59" s="12">
        <f>IF(INT(O59/20)&gt;INT(O58/20), "Lần " &amp; INT(O59/20), "")</f>
        <v/>
      </c>
      <c r="T59" s="11">
        <f>IF(INT(P59/20)&gt;INT(P58/20), "Lần " &amp; INT(P59/20), "")</f>
        <v/>
      </c>
      <c r="U59" s="25">
        <f>IF(INT(Q59/20)&gt;INT(Q58/20), "Lần " &amp; INT(Q59/20), "")</f>
        <v/>
      </c>
      <c r="V59" s="6" t="inlineStr"/>
      <c r="W59" s="6" t="inlineStr">
        <is>
          <t>ĐẠT TCVN 1651:2018</t>
        </is>
      </c>
    </row>
    <row r="60" ht="20" customHeight="1">
      <c r="A60" s="18" t="inlineStr">
        <is>
          <t>--- CỌC KHOAN NHỒI C5 MỐ M1 (D1.2M, L=20.0M) ---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</row>
    <row r="61" ht="19" customHeight="1">
      <c r="A61" s="6" t="n">
        <v>53</v>
      </c>
      <c r="B61" s="7" t="inlineStr">
        <is>
          <t>Cọc khoan nhồi C5 Mố M1 (D1.2m, L=20.0m)</t>
        </is>
      </c>
      <c r="C61" s="7" t="inlineStr">
        <is>
          <t>Thép đai xoắn lồng cọc</t>
        </is>
      </c>
      <c r="D61" s="19" t="inlineStr">
        <is>
          <t>P1</t>
        </is>
      </c>
      <c r="E61" s="20" t="n">
        <v>10</v>
      </c>
      <c r="F61" s="6" t="inlineStr">
        <is>
          <t>CB240-T</t>
        </is>
      </c>
      <c r="G61" s="7" t="inlineStr">
        <is>
          <t>Đai xoắn tròn</t>
        </is>
      </c>
      <c r="H61" s="21" t="n">
        <v>96.604</v>
      </c>
      <c r="I61" s="22" t="n">
        <v>1</v>
      </c>
      <c r="J61" s="23" t="n">
        <v>0.617</v>
      </c>
      <c r="K61" s="9">
        <f>ROUND(H61*I61*J61, 2)</f>
        <v/>
      </c>
      <c r="L61" s="24">
        <f>ROUND(K61/1000, 3)</f>
        <v/>
      </c>
      <c r="M61" s="8" t="n"/>
      <c r="N61" s="21">
        <f>ROUND(N59 + IF(AND(E61&lt;=10, F61&lt;&gt;"ASTM A416"), L61, 0), 3)</f>
        <v/>
      </c>
      <c r="O61" s="21">
        <f>ROUND(O59 + IF(AND(E61&gt;10, E61&lt;=18, F61&lt;&gt;"ASTM A416"), L61, 0), 3)</f>
        <v/>
      </c>
      <c r="P61" s="21">
        <f>ROUND(P59 + IF(AND(E61&gt;18, F61&lt;&gt;"ASTM A416"), L61, 0), 3)</f>
        <v/>
      </c>
      <c r="Q61" s="21">
        <f>ROUND(Q59 + IF(F61="ASTM A416", L61, 0), 3)</f>
        <v/>
      </c>
      <c r="R61" s="11">
        <f>IF(INT(N61/20)&gt;INT(N59/20), "Lần " &amp; INT(N61/20), "")</f>
        <v/>
      </c>
      <c r="S61" s="12">
        <f>IF(INT(O61/20)&gt;INT(O59/20), "Lần " &amp; INT(O61/20), "")</f>
        <v/>
      </c>
      <c r="T61" s="11">
        <f>IF(INT(P61/20)&gt;INT(P59/20), "Lần " &amp; INT(P61/20), "")</f>
        <v/>
      </c>
      <c r="U61" s="25">
        <f>IF(INT(Q61/20)&gt;INT(Q59/20), "Lần " &amp; INT(Q61/20), "")</f>
        <v/>
      </c>
      <c r="V61" s="6" t="inlineStr"/>
      <c r="W61" s="6" t="inlineStr">
        <is>
          <t>ĐẠT TCVN 1651:2018</t>
        </is>
      </c>
    </row>
    <row r="62" ht="19" customHeight="1">
      <c r="A62" s="6" t="n">
        <v>54</v>
      </c>
      <c r="B62" s="7" t="inlineStr">
        <is>
          <t>Cọc khoan nhồi C5 Mố M1 (D1.2m, L=20.0m)</t>
        </is>
      </c>
      <c r="C62" s="7" t="inlineStr">
        <is>
          <t>Thép đai xoắn lồng cọc</t>
        </is>
      </c>
      <c r="D62" s="19" t="inlineStr">
        <is>
          <t>P1A</t>
        </is>
      </c>
      <c r="E62" s="20" t="n">
        <v>10</v>
      </c>
      <c r="F62" s="6" t="inlineStr">
        <is>
          <t>CB240-T</t>
        </is>
      </c>
      <c r="G62" s="7" t="inlineStr">
        <is>
          <t>Đai xoắn tròn</t>
        </is>
      </c>
      <c r="H62" s="21" t="n">
        <v>373.535</v>
      </c>
      <c r="I62" s="22" t="n">
        <v>1</v>
      </c>
      <c r="J62" s="23" t="n">
        <v>0.617</v>
      </c>
      <c r="K62" s="9">
        <f>ROUND(H62*I62*J62, 2)</f>
        <v/>
      </c>
      <c r="L62" s="24">
        <f>ROUND(K62/1000, 3)</f>
        <v/>
      </c>
      <c r="M62" s="8" t="n"/>
      <c r="N62" s="21">
        <f>ROUND(N61 + IF(AND(E62&lt;=10, F62&lt;&gt;"ASTM A416"), L62, 0), 3)</f>
        <v/>
      </c>
      <c r="O62" s="21">
        <f>ROUND(O61 + IF(AND(E62&gt;10, E62&lt;=18, F62&lt;&gt;"ASTM A416"), L62, 0), 3)</f>
        <v/>
      </c>
      <c r="P62" s="21">
        <f>ROUND(P61 + IF(AND(E62&gt;18, F62&lt;&gt;"ASTM A416"), L62, 0), 3)</f>
        <v/>
      </c>
      <c r="Q62" s="21">
        <f>ROUND(Q61 + IF(F62="ASTM A416", L62, 0), 3)</f>
        <v/>
      </c>
      <c r="R62" s="11">
        <f>IF(INT(N62/20)&gt;INT(N61/20), "Lần " &amp; INT(N62/20), "")</f>
        <v/>
      </c>
      <c r="S62" s="12">
        <f>IF(INT(O62/20)&gt;INT(O61/20), "Lần " &amp; INT(O62/20), "")</f>
        <v/>
      </c>
      <c r="T62" s="11">
        <f>IF(INT(P62/20)&gt;INT(P61/20), "Lần " &amp; INT(P62/20), "")</f>
        <v/>
      </c>
      <c r="U62" s="25">
        <f>IF(INT(Q62/20)&gt;INT(Q61/20), "Lần " &amp; INT(Q62/20), "")</f>
        <v/>
      </c>
      <c r="V62" s="6" t="inlineStr"/>
      <c r="W62" s="6" t="inlineStr">
        <is>
          <t>ĐẠT TCVN 1651:2018</t>
        </is>
      </c>
    </row>
    <row r="63" ht="19" customHeight="1">
      <c r="A63" s="6" t="n">
        <v>55</v>
      </c>
      <c r="B63" s="7" t="inlineStr">
        <is>
          <t>Cọc khoan nhồi C5 Mố M1 (D1.2m, L=20.0m)</t>
        </is>
      </c>
      <c r="C63" s="7" t="inlineStr">
        <is>
          <t>Thép đai xoắn lồng cọc</t>
        </is>
      </c>
      <c r="D63" s="19" t="inlineStr">
        <is>
          <t>P1C</t>
        </is>
      </c>
      <c r="E63" s="20" t="n">
        <v>10</v>
      </c>
      <c r="F63" s="6" t="inlineStr">
        <is>
          <t>CB240-T</t>
        </is>
      </c>
      <c r="G63" s="7" t="inlineStr">
        <is>
          <t>Đai xoắn tròn</t>
        </is>
      </c>
      <c r="H63" s="21" t="n">
        <v>3.592</v>
      </c>
      <c r="I63" s="22" t="n">
        <v>2</v>
      </c>
      <c r="J63" s="23" t="n">
        <v>0.617</v>
      </c>
      <c r="K63" s="9">
        <f>ROUND(H63*I63*J63, 2)</f>
        <v/>
      </c>
      <c r="L63" s="24">
        <f>ROUND(K63/1000, 3)</f>
        <v/>
      </c>
      <c r="M63" s="8" t="n"/>
      <c r="N63" s="21">
        <f>ROUND(N62 + IF(AND(E63&lt;=10, F63&lt;&gt;"ASTM A416"), L63, 0), 3)</f>
        <v/>
      </c>
      <c r="O63" s="21">
        <f>ROUND(O62 + IF(AND(E63&gt;10, E63&lt;=18, F63&lt;&gt;"ASTM A416"), L63, 0), 3)</f>
        <v/>
      </c>
      <c r="P63" s="21">
        <f>ROUND(P62 + IF(AND(E63&gt;18, F63&lt;&gt;"ASTM A416"), L63, 0), 3)</f>
        <v/>
      </c>
      <c r="Q63" s="21">
        <f>ROUND(Q62 + IF(F63="ASTM A416", L63, 0), 3)</f>
        <v/>
      </c>
      <c r="R63" s="11">
        <f>IF(INT(N63/20)&gt;INT(N62/20), "Lần " &amp; INT(N63/20), "")</f>
        <v/>
      </c>
      <c r="S63" s="12">
        <f>IF(INT(O63/20)&gt;INT(O62/20), "Lần " &amp; INT(O63/20), "")</f>
        <v/>
      </c>
      <c r="T63" s="11">
        <f>IF(INT(P63/20)&gt;INT(P62/20), "Lần " &amp; INT(P63/20), "")</f>
        <v/>
      </c>
      <c r="U63" s="25">
        <f>IF(INT(Q63/20)&gt;INT(Q62/20), "Lần " &amp; INT(Q63/20), "")</f>
        <v/>
      </c>
      <c r="V63" s="6" t="inlineStr"/>
      <c r="W63" s="6" t="inlineStr">
        <is>
          <t>ĐẠT TCVN 1651:2018</t>
        </is>
      </c>
    </row>
    <row r="64" ht="19" customHeight="1">
      <c r="A64" s="6" t="n">
        <v>56</v>
      </c>
      <c r="B64" s="7" t="inlineStr">
        <is>
          <t>Cọc khoan nhồi C5 Mố M1 (D1.2m, L=20.0m)</t>
        </is>
      </c>
      <c r="C64" s="7" t="inlineStr">
        <is>
          <t>Thép đai xoắn lồng cọc</t>
        </is>
      </c>
      <c r="D64" s="19" t="inlineStr">
        <is>
          <t>P1D</t>
        </is>
      </c>
      <c r="E64" s="20" t="n">
        <v>10</v>
      </c>
      <c r="F64" s="6" t="inlineStr">
        <is>
          <t>CB240-T</t>
        </is>
      </c>
      <c r="G64" s="7" t="inlineStr">
        <is>
          <t>Đai xoắn tròn</t>
        </is>
      </c>
      <c r="H64" s="21" t="n">
        <v>19.721</v>
      </c>
      <c r="I64" s="22" t="n">
        <v>1</v>
      </c>
      <c r="J64" s="23" t="n">
        <v>0.617</v>
      </c>
      <c r="K64" s="9">
        <f>ROUND(H64*I64*J64, 2)</f>
        <v/>
      </c>
      <c r="L64" s="24">
        <f>ROUND(K64/1000, 3)</f>
        <v/>
      </c>
      <c r="M64" s="8" t="n"/>
      <c r="N64" s="21">
        <f>ROUND(N63 + IF(AND(E64&lt;=10, F64&lt;&gt;"ASTM A416"), L64, 0), 3)</f>
        <v/>
      </c>
      <c r="O64" s="21">
        <f>ROUND(O63 + IF(AND(E64&gt;10, E64&lt;=18, F64&lt;&gt;"ASTM A416"), L64, 0), 3)</f>
        <v/>
      </c>
      <c r="P64" s="21">
        <f>ROUND(P63 + IF(AND(E64&gt;18, F64&lt;&gt;"ASTM A416"), L64, 0), 3)</f>
        <v/>
      </c>
      <c r="Q64" s="21">
        <f>ROUND(Q63 + IF(F64="ASTM A416", L64, 0), 3)</f>
        <v/>
      </c>
      <c r="R64" s="11">
        <f>IF(INT(N64/20)&gt;INT(N63/20), "Lần " &amp; INT(N64/20), "")</f>
        <v/>
      </c>
      <c r="S64" s="12">
        <f>IF(INT(O64/20)&gt;INT(O63/20), "Lần " &amp; INT(O64/20), "")</f>
        <v/>
      </c>
      <c r="T64" s="11">
        <f>IF(INT(P64/20)&gt;INT(P63/20), "Lần " &amp; INT(P64/20), "")</f>
        <v/>
      </c>
      <c r="U64" s="25">
        <f>IF(INT(Q64/20)&gt;INT(Q63/20), "Lần " &amp; INT(Q64/20), "")</f>
        <v/>
      </c>
      <c r="V64" s="6" t="inlineStr"/>
      <c r="W64" s="6" t="inlineStr">
        <is>
          <t>ĐẠT TCVN 1651:2018</t>
        </is>
      </c>
    </row>
    <row r="65" ht="19" customHeight="1">
      <c r="A65" s="6" t="n">
        <v>57</v>
      </c>
      <c r="B65" s="7" t="inlineStr">
        <is>
          <t>Cọc khoan nhồi C5 Mố M1 (D1.2m, L=20.0m)</t>
        </is>
      </c>
      <c r="C65" s="7" t="inlineStr">
        <is>
          <t>Cốt thép chủ chịu lực cọc</t>
        </is>
      </c>
      <c r="D65" s="19" t="inlineStr">
        <is>
          <t>P2B</t>
        </is>
      </c>
      <c r="E65" s="20" t="n">
        <v>25</v>
      </c>
      <c r="F65" s="6" t="inlineStr">
        <is>
          <t>CB400-V</t>
        </is>
      </c>
      <c r="G65" s="7" t="inlineStr">
        <is>
          <t>Thanh thẳng nối ren/hàn</t>
        </is>
      </c>
      <c r="H65" s="21" t="n">
        <v>2.985</v>
      </c>
      <c r="I65" s="22" t="n">
        <v>8</v>
      </c>
      <c r="J65" s="23" t="n">
        <v>3.85</v>
      </c>
      <c r="K65" s="9">
        <f>ROUND(H65*I65*J65, 2)</f>
        <v/>
      </c>
      <c r="L65" s="24">
        <f>ROUND(K65/1000, 3)</f>
        <v/>
      </c>
      <c r="M65" s="8" t="n"/>
      <c r="N65" s="21">
        <f>ROUND(N64 + IF(AND(E65&lt;=10, F65&lt;&gt;"ASTM A416"), L65, 0), 3)</f>
        <v/>
      </c>
      <c r="O65" s="21">
        <f>ROUND(O64 + IF(AND(E65&gt;10, E65&lt;=18, F65&lt;&gt;"ASTM A416"), L65, 0), 3)</f>
        <v/>
      </c>
      <c r="P65" s="21">
        <f>ROUND(P64 + IF(AND(E65&gt;18, F65&lt;&gt;"ASTM A416"), L65, 0), 3)</f>
        <v/>
      </c>
      <c r="Q65" s="21">
        <f>ROUND(Q64 + IF(F65="ASTM A416", L65, 0), 3)</f>
        <v/>
      </c>
      <c r="R65" s="11">
        <f>IF(INT(N65/20)&gt;INT(N64/20), "Lần " &amp; INT(N65/20), "")</f>
        <v/>
      </c>
      <c r="S65" s="12">
        <f>IF(INT(O65/20)&gt;INT(O64/20), "Lần " &amp; INT(O65/20), "")</f>
        <v/>
      </c>
      <c r="T65" s="11">
        <f>IF(INT(P65/20)&gt;INT(P64/20), "Lần " &amp; INT(P65/20), "")</f>
        <v/>
      </c>
      <c r="U65" s="25">
        <f>IF(INT(Q65/20)&gt;INT(Q64/20), "Lần " &amp; INT(Q65/20), "")</f>
        <v/>
      </c>
      <c r="V65" s="6" t="inlineStr"/>
      <c r="W65" s="6" t="inlineStr">
        <is>
          <t>ĐẠT TCVN 1651:2018</t>
        </is>
      </c>
    </row>
    <row r="66" ht="19" customHeight="1">
      <c r="A66" s="6" t="n">
        <v>58</v>
      </c>
      <c r="B66" s="7" t="inlineStr">
        <is>
          <t>Cọc khoan nhồi C5 Mố M1 (D1.2m, L=20.0m)</t>
        </is>
      </c>
      <c r="C66" s="7" t="inlineStr">
        <is>
          <t>Cốt thép chủ chịu lực cọc</t>
        </is>
      </c>
      <c r="D66" s="19" t="inlineStr">
        <is>
          <t>P3</t>
        </is>
      </c>
      <c r="E66" s="20" t="n">
        <v>25</v>
      </c>
      <c r="F66" s="6" t="inlineStr">
        <is>
          <t>CB400-V</t>
        </is>
      </c>
      <c r="G66" s="7" t="inlineStr">
        <is>
          <t>Thanh thẳng nối ren/hàn</t>
        </is>
      </c>
      <c r="H66" s="21" t="n">
        <v>10.7</v>
      </c>
      <c r="I66" s="22" t="n">
        <v>12</v>
      </c>
      <c r="J66" s="23" t="n">
        <v>3.85</v>
      </c>
      <c r="K66" s="9">
        <f>ROUND(H66*I66*J66, 2)</f>
        <v/>
      </c>
      <c r="L66" s="24">
        <f>ROUND(K66/1000, 3)</f>
        <v/>
      </c>
      <c r="M66" s="8" t="n"/>
      <c r="N66" s="21">
        <f>ROUND(N65 + IF(AND(E66&lt;=10, F66&lt;&gt;"ASTM A416"), L66, 0), 3)</f>
        <v/>
      </c>
      <c r="O66" s="21">
        <f>ROUND(O65 + IF(AND(E66&gt;10, E66&lt;=18, F66&lt;&gt;"ASTM A416"), L66, 0), 3)</f>
        <v/>
      </c>
      <c r="P66" s="21">
        <f>ROUND(P65 + IF(AND(E66&gt;18, F66&lt;&gt;"ASTM A416"), L66, 0), 3)</f>
        <v/>
      </c>
      <c r="Q66" s="21">
        <f>ROUND(Q65 + IF(F66="ASTM A416", L66, 0), 3)</f>
        <v/>
      </c>
      <c r="R66" s="11">
        <f>IF(INT(N66/20)&gt;INT(N65/20), "Lần " &amp; INT(N66/20), "")</f>
        <v/>
      </c>
      <c r="S66" s="12">
        <f>IF(INT(O66/20)&gt;INT(O65/20), "Lần " &amp; INT(O66/20), "")</f>
        <v/>
      </c>
      <c r="T66" s="11">
        <f>IF(INT(P66/20)&gt;INT(P65/20), "Lần " &amp; INT(P66/20), "")</f>
        <v/>
      </c>
      <c r="U66" s="25">
        <f>IF(INT(Q66/20)&gt;INT(Q65/20), "Lần " &amp; INT(Q66/20), "")</f>
        <v/>
      </c>
      <c r="V66" s="6" t="inlineStr"/>
      <c r="W66" s="6" t="inlineStr">
        <is>
          <t>ĐẠT TCVN 1651:2018</t>
        </is>
      </c>
    </row>
    <row r="67" ht="19" customHeight="1">
      <c r="A67" s="6" t="n">
        <v>59</v>
      </c>
      <c r="B67" s="7" t="inlineStr">
        <is>
          <t>Cọc khoan nhồi C5 Mố M1 (D1.2m, L=20.0m)</t>
        </is>
      </c>
      <c r="C67" s="7" t="inlineStr">
        <is>
          <t>Cốt thép chủ chịu lực cọc</t>
        </is>
      </c>
      <c r="D67" s="19" t="inlineStr">
        <is>
          <t>P4</t>
        </is>
      </c>
      <c r="E67" s="20" t="n">
        <v>25</v>
      </c>
      <c r="F67" s="6" t="inlineStr">
        <is>
          <t>CB400-V</t>
        </is>
      </c>
      <c r="G67" s="7" t="inlineStr">
        <is>
          <t>Thanh thẳng nối ren/hàn</t>
        </is>
      </c>
      <c r="H67" s="21" t="n">
        <v>11.7</v>
      </c>
      <c r="I67" s="22" t="n">
        <v>12</v>
      </c>
      <c r="J67" s="23" t="n">
        <v>3.85</v>
      </c>
      <c r="K67" s="9">
        <f>ROUND(H67*I67*J67, 2)</f>
        <v/>
      </c>
      <c r="L67" s="24">
        <f>ROUND(K67/1000, 3)</f>
        <v/>
      </c>
      <c r="M67" s="8" t="n"/>
      <c r="N67" s="21">
        <f>ROUND(N66 + IF(AND(E67&lt;=10, F67&lt;&gt;"ASTM A416"), L67, 0), 3)</f>
        <v/>
      </c>
      <c r="O67" s="21">
        <f>ROUND(O66 + IF(AND(E67&gt;10, E67&lt;=18, F67&lt;&gt;"ASTM A416"), L67, 0), 3)</f>
        <v/>
      </c>
      <c r="P67" s="21">
        <f>ROUND(P66 + IF(AND(E67&gt;18, F67&lt;&gt;"ASTM A416"), L67, 0), 3)</f>
        <v/>
      </c>
      <c r="Q67" s="21">
        <f>ROUND(Q66 + IF(F67="ASTM A416", L67, 0), 3)</f>
        <v/>
      </c>
      <c r="R67" s="11">
        <f>IF(INT(N67/20)&gt;INT(N66/20), "Lần " &amp; INT(N67/20), "")</f>
        <v/>
      </c>
      <c r="S67" s="12">
        <f>IF(INT(O67/20)&gt;INT(O66/20), "Lần " &amp; INT(O67/20), "")</f>
        <v/>
      </c>
      <c r="T67" s="11">
        <f>IF(INT(P67/20)&gt;INT(P66/20), "Lần " &amp; INT(P67/20), "")</f>
        <v/>
      </c>
      <c r="U67" s="25">
        <f>IF(INT(Q67/20)&gt;INT(Q66/20), "Lần " &amp; INT(Q67/20), "")</f>
        <v/>
      </c>
      <c r="V67" s="6" t="inlineStr"/>
      <c r="W67" s="6" t="inlineStr">
        <is>
          <t>ĐẠT TCVN 1651:2018</t>
        </is>
      </c>
    </row>
    <row r="68" ht="19" customHeight="1">
      <c r="A68" s="6" t="n">
        <v>60</v>
      </c>
      <c r="B68" s="7" t="inlineStr">
        <is>
          <t>Cọc khoan nhồi C5 Mố M1 (D1.2m, L=20.0m)</t>
        </is>
      </c>
      <c r="C68" s="7" t="inlineStr">
        <is>
          <t>Cốt thép chủ chịu lực cọc</t>
        </is>
      </c>
      <c r="D68" s="19" t="inlineStr">
        <is>
          <t>P6</t>
        </is>
      </c>
      <c r="E68" s="20" t="n">
        <v>25</v>
      </c>
      <c r="F68" s="6" t="inlineStr">
        <is>
          <t>CB400-V</t>
        </is>
      </c>
      <c r="G68" s="7" t="inlineStr">
        <is>
          <t>Thanh thẳng nối ren/hàn</t>
        </is>
      </c>
      <c r="H68" s="21" t="n">
        <v>10.433</v>
      </c>
      <c r="I68" s="22" t="n">
        <v>12</v>
      </c>
      <c r="J68" s="23" t="n">
        <v>3.85</v>
      </c>
      <c r="K68" s="9">
        <f>ROUND(H68*I68*J68, 2)</f>
        <v/>
      </c>
      <c r="L68" s="24">
        <f>ROUND(K68/1000, 3)</f>
        <v/>
      </c>
      <c r="M68" s="8" t="n"/>
      <c r="N68" s="21">
        <f>ROUND(N67 + IF(AND(E68&lt;=10, F68&lt;&gt;"ASTM A416"), L68, 0), 3)</f>
        <v/>
      </c>
      <c r="O68" s="21">
        <f>ROUND(O67 + IF(AND(E68&gt;10, E68&lt;=18, F68&lt;&gt;"ASTM A416"), L68, 0), 3)</f>
        <v/>
      </c>
      <c r="P68" s="21">
        <f>ROUND(P67 + IF(AND(E68&gt;18, F68&lt;&gt;"ASTM A416"), L68, 0), 3)</f>
        <v/>
      </c>
      <c r="Q68" s="21">
        <f>ROUND(Q67 + IF(F68="ASTM A416", L68, 0), 3)</f>
        <v/>
      </c>
      <c r="R68" s="11">
        <f>IF(INT(N68/20)&gt;INT(N67/20), "Lần " &amp; INT(N68/20), "")</f>
        <v/>
      </c>
      <c r="S68" s="12">
        <f>IF(INT(O68/20)&gt;INT(O67/20), "Lần " &amp; INT(O68/20), "")</f>
        <v/>
      </c>
      <c r="T68" s="11">
        <f>IF(INT(P68/20)&gt;INT(P67/20), "Lần " &amp; INT(P68/20), "")</f>
        <v/>
      </c>
      <c r="U68" s="25">
        <f>IF(INT(Q68/20)&gt;INT(Q67/20), "Lần " &amp; INT(Q68/20), "")</f>
        <v/>
      </c>
      <c r="V68" s="6" t="inlineStr"/>
      <c r="W68" s="6" t="inlineStr">
        <is>
          <t>ĐẠT TCVN 1651:2018</t>
        </is>
      </c>
    </row>
    <row r="69" ht="19" customHeight="1">
      <c r="A69" s="6" t="n">
        <v>61</v>
      </c>
      <c r="B69" s="7" t="inlineStr">
        <is>
          <t>Cọc khoan nhồi C5 Mố M1 (D1.2m, L=20.0m)</t>
        </is>
      </c>
      <c r="C69" s="7" t="inlineStr">
        <is>
          <t>Cốt thép chủ chịu lực cọc</t>
        </is>
      </c>
      <c r="D69" s="19" t="inlineStr">
        <is>
          <t>P7</t>
        </is>
      </c>
      <c r="E69" s="20" t="n">
        <v>25</v>
      </c>
      <c r="F69" s="6" t="inlineStr">
        <is>
          <t>CB400-V</t>
        </is>
      </c>
      <c r="G69" s="7" t="inlineStr">
        <is>
          <t>Thanh thẳng nối ren/hàn</t>
        </is>
      </c>
      <c r="H69" s="21" t="n">
        <v>11.433</v>
      </c>
      <c r="I69" s="22" t="n">
        <v>12</v>
      </c>
      <c r="J69" s="23" t="n">
        <v>3.85</v>
      </c>
      <c r="K69" s="9">
        <f>ROUND(H69*I69*J69, 2)</f>
        <v/>
      </c>
      <c r="L69" s="24">
        <f>ROUND(K69/1000, 3)</f>
        <v/>
      </c>
      <c r="M69" s="8" t="n"/>
      <c r="N69" s="21">
        <f>ROUND(N68 + IF(AND(E69&lt;=10, F69&lt;&gt;"ASTM A416"), L69, 0), 3)</f>
        <v/>
      </c>
      <c r="O69" s="21">
        <f>ROUND(O68 + IF(AND(E69&gt;10, E69&lt;=18, F69&lt;&gt;"ASTM A416"), L69, 0), 3)</f>
        <v/>
      </c>
      <c r="P69" s="21">
        <f>ROUND(P68 + IF(AND(E69&gt;18, F69&lt;&gt;"ASTM A416"), L69, 0), 3)</f>
        <v/>
      </c>
      <c r="Q69" s="21">
        <f>ROUND(Q68 + IF(F69="ASTM A416", L69, 0), 3)</f>
        <v/>
      </c>
      <c r="R69" s="11">
        <f>IF(INT(N69/20)&gt;INT(N68/20), "Lần " &amp; INT(N69/20), "")</f>
        <v/>
      </c>
      <c r="S69" s="12">
        <f>IF(INT(O69/20)&gt;INT(O68/20), "Lần " &amp; INT(O69/20), "")</f>
        <v/>
      </c>
      <c r="T69" s="11">
        <f>IF(INT(P69/20)&gt;INT(P68/20), "Lần " &amp; INT(P69/20), "")</f>
        <v/>
      </c>
      <c r="U69" s="25">
        <f>IF(INT(Q69/20)&gt;INT(Q68/20), "Lần " &amp; INT(Q69/20), "")</f>
        <v/>
      </c>
      <c r="V69" s="6" t="inlineStr"/>
      <c r="W69" s="6" t="inlineStr">
        <is>
          <t>ĐẠT TCVN 1651:2018</t>
        </is>
      </c>
    </row>
    <row r="70" ht="19" customHeight="1">
      <c r="A70" s="6" t="n">
        <v>62</v>
      </c>
      <c r="B70" s="7" t="inlineStr">
        <is>
          <t>Cọc khoan nhồi C5 Mố M1 (D1.2m, L=20.0m)</t>
        </is>
      </c>
      <c r="C70" s="7" t="inlineStr">
        <is>
          <t>Đai tăng cường / Con kê bảo vệ</t>
        </is>
      </c>
      <c r="D70" s="19" t="inlineStr">
        <is>
          <t>P8</t>
        </is>
      </c>
      <c r="E70" s="20" t="n">
        <v>12</v>
      </c>
      <c r="F70" s="6" t="inlineStr">
        <is>
          <t>CB400-V</t>
        </is>
      </c>
      <c r="G70" s="7" t="inlineStr">
        <is>
          <t>Móc neo / Vòng đai</t>
        </is>
      </c>
      <c r="H70" s="21" t="n">
        <v>0.647</v>
      </c>
      <c r="I70" s="22" t="n">
        <v>8</v>
      </c>
      <c r="J70" s="23" t="n">
        <v>0.888</v>
      </c>
      <c r="K70" s="9">
        <f>ROUND(H70*I70*J70, 2)</f>
        <v/>
      </c>
      <c r="L70" s="24">
        <f>ROUND(K70/1000, 3)</f>
        <v/>
      </c>
      <c r="M70" s="8" t="n"/>
      <c r="N70" s="21">
        <f>ROUND(N69 + IF(AND(E70&lt;=10, F70&lt;&gt;"ASTM A416"), L70, 0), 3)</f>
        <v/>
      </c>
      <c r="O70" s="21">
        <f>ROUND(O69 + IF(AND(E70&gt;10, E70&lt;=18, F70&lt;&gt;"ASTM A416"), L70, 0), 3)</f>
        <v/>
      </c>
      <c r="P70" s="21">
        <f>ROUND(P69 + IF(AND(E70&gt;18, F70&lt;&gt;"ASTM A416"), L70, 0), 3)</f>
        <v/>
      </c>
      <c r="Q70" s="21">
        <f>ROUND(Q69 + IF(F70="ASTM A416", L70, 0), 3)</f>
        <v/>
      </c>
      <c r="R70" s="11">
        <f>IF(INT(N70/20)&gt;INT(N69/20), "Lần " &amp; INT(N70/20), "")</f>
        <v/>
      </c>
      <c r="S70" s="12">
        <f>IF(INT(O70/20)&gt;INT(O69/20), "Lần " &amp; INT(O70/20), "")</f>
        <v/>
      </c>
      <c r="T70" s="11">
        <f>IF(INT(P70/20)&gt;INT(P69/20), "Lần " &amp; INT(P70/20), "")</f>
        <v/>
      </c>
      <c r="U70" s="25">
        <f>IF(INT(Q70/20)&gt;INT(Q69/20), "Lần " &amp; INT(Q70/20), "")</f>
        <v/>
      </c>
      <c r="V70" s="6" t="inlineStr"/>
      <c r="W70" s="6" t="inlineStr">
        <is>
          <t>ĐẠT TCVN 1651:2018</t>
        </is>
      </c>
    </row>
    <row r="71" ht="19" customHeight="1">
      <c r="A71" s="6" t="n">
        <v>63</v>
      </c>
      <c r="B71" s="7" t="inlineStr">
        <is>
          <t>Cọc khoan nhồi C5 Mố M1 (D1.2m, L=20.0m)</t>
        </is>
      </c>
      <c r="C71" s="7" t="inlineStr">
        <is>
          <t>Đai tăng cường / Con kê bảo vệ</t>
        </is>
      </c>
      <c r="D71" s="19" t="inlineStr">
        <is>
          <t>P9</t>
        </is>
      </c>
      <c r="E71" s="20" t="n">
        <v>12</v>
      </c>
      <c r="F71" s="6" t="inlineStr">
        <is>
          <t>CB400-V</t>
        </is>
      </c>
      <c r="G71" s="7" t="inlineStr">
        <is>
          <t>Móc neo / Vòng đai</t>
        </is>
      </c>
      <c r="H71" s="21" t="n">
        <v>0.379</v>
      </c>
      <c r="I71" s="22" t="n">
        <v>24</v>
      </c>
      <c r="J71" s="23" t="n">
        <v>0.888</v>
      </c>
      <c r="K71" s="9">
        <f>ROUND(H71*I71*J71, 2)</f>
        <v/>
      </c>
      <c r="L71" s="24">
        <f>ROUND(K71/1000, 3)</f>
        <v/>
      </c>
      <c r="M71" s="8" t="n"/>
      <c r="N71" s="21">
        <f>ROUND(N70 + IF(AND(E71&lt;=10, F71&lt;&gt;"ASTM A416"), L71, 0), 3)</f>
        <v/>
      </c>
      <c r="O71" s="21">
        <f>ROUND(O70 + IF(AND(E71&gt;10, E71&lt;=18, F71&lt;&gt;"ASTM A416"), L71, 0), 3)</f>
        <v/>
      </c>
      <c r="P71" s="21">
        <f>ROUND(P70 + IF(AND(E71&gt;18, F71&lt;&gt;"ASTM A416"), L71, 0), 3)</f>
        <v/>
      </c>
      <c r="Q71" s="21">
        <f>ROUND(Q70 + IF(F71="ASTM A416", L71, 0), 3)</f>
        <v/>
      </c>
      <c r="R71" s="11">
        <f>IF(INT(N71/20)&gt;INT(N70/20), "Lần " &amp; INT(N71/20), "")</f>
        <v/>
      </c>
      <c r="S71" s="12">
        <f>IF(INT(O71/20)&gt;INT(O70/20), "Lần " &amp; INT(O71/20), "")</f>
        <v/>
      </c>
      <c r="T71" s="11">
        <f>IF(INT(P71/20)&gt;INT(P70/20), "Lần " &amp; INT(P71/20), "")</f>
        <v/>
      </c>
      <c r="U71" s="25">
        <f>IF(INT(Q71/20)&gt;INT(Q70/20), "Lần " &amp; INT(Q71/20), "")</f>
        <v/>
      </c>
      <c r="V71" s="6" t="inlineStr"/>
      <c r="W71" s="6" t="inlineStr">
        <is>
          <t>ĐẠT TCVN 1651:2018</t>
        </is>
      </c>
    </row>
    <row r="72" ht="19" customHeight="1">
      <c r="A72" s="6" t="n">
        <v>64</v>
      </c>
      <c r="B72" s="7" t="inlineStr">
        <is>
          <t>Cọc khoan nhồi C5 Mố M1 (D1.2m, L=20.0m)</t>
        </is>
      </c>
      <c r="C72" s="7" t="inlineStr">
        <is>
          <t>Thép đai xoắn lồng cọc</t>
        </is>
      </c>
      <c r="D72" s="19" t="inlineStr">
        <is>
          <t>P10</t>
        </is>
      </c>
      <c r="E72" s="20" t="n">
        <v>20</v>
      </c>
      <c r="F72" s="6" t="inlineStr">
        <is>
          <t>CB400-V</t>
        </is>
      </c>
      <c r="G72" s="7" t="inlineStr">
        <is>
          <t>Đai xoắn tròn</t>
        </is>
      </c>
      <c r="H72" s="21" t="n">
        <v>2.057</v>
      </c>
      <c r="I72" s="22" t="n">
        <v>1</v>
      </c>
      <c r="J72" s="23" t="n">
        <v>2.47</v>
      </c>
      <c r="K72" s="9">
        <f>ROUND(H72*I72*J72, 2)</f>
        <v/>
      </c>
      <c r="L72" s="24">
        <f>ROUND(K72/1000, 3)</f>
        <v/>
      </c>
      <c r="M72" s="8" t="n"/>
      <c r="N72" s="21">
        <f>ROUND(N71 + IF(AND(E72&lt;=10, F72&lt;&gt;"ASTM A416"), L72, 0), 3)</f>
        <v/>
      </c>
      <c r="O72" s="21">
        <f>ROUND(O71 + IF(AND(E72&gt;10, E72&lt;=18, F72&lt;&gt;"ASTM A416"), L72, 0), 3)</f>
        <v/>
      </c>
      <c r="P72" s="21">
        <f>ROUND(P71 + IF(AND(E72&gt;18, F72&lt;&gt;"ASTM A416"), L72, 0), 3)</f>
        <v/>
      </c>
      <c r="Q72" s="21">
        <f>ROUND(Q71 + IF(F72="ASTM A416", L72, 0), 3)</f>
        <v/>
      </c>
      <c r="R72" s="11">
        <f>IF(INT(N72/20)&gt;INT(N71/20), "Lần " &amp; INT(N72/20), "")</f>
        <v/>
      </c>
      <c r="S72" s="12">
        <f>IF(INT(O72/20)&gt;INT(O71/20), "Lần " &amp; INT(O72/20), "")</f>
        <v/>
      </c>
      <c r="T72" s="11">
        <f>IF(INT(P72/20)&gt;INT(P71/20), "Lần " &amp; INT(P72/20), "")</f>
        <v/>
      </c>
      <c r="U72" s="25">
        <f>IF(INT(Q72/20)&gt;INT(Q71/20), "Lần " &amp; INT(Q72/20), "")</f>
        <v/>
      </c>
      <c r="V72" s="6" t="inlineStr"/>
      <c r="W72" s="6" t="inlineStr">
        <is>
          <t>ĐẠT TCVN 1651:2018</t>
        </is>
      </c>
    </row>
    <row r="73" ht="19" customHeight="1">
      <c r="A73" s="6" t="n">
        <v>65</v>
      </c>
      <c r="B73" s="7" t="inlineStr">
        <is>
          <t>Cọc khoan nhồi C5 Mố M1 (D1.2m, L=20.0m)</t>
        </is>
      </c>
      <c r="C73" s="7" t="inlineStr">
        <is>
          <t>Thép đai xoắn lồng cọc</t>
        </is>
      </c>
      <c r="D73" s="19" t="inlineStr">
        <is>
          <t>P12</t>
        </is>
      </c>
      <c r="E73" s="20" t="n">
        <v>20</v>
      </c>
      <c r="F73" s="6" t="inlineStr">
        <is>
          <t>CB400-V</t>
        </is>
      </c>
      <c r="G73" s="7" t="inlineStr">
        <is>
          <t>Đai xoắn tròn</t>
        </is>
      </c>
      <c r="H73" s="21" t="n">
        <v>0.583</v>
      </c>
      <c r="I73" s="22" t="n">
        <v>32</v>
      </c>
      <c r="J73" s="23" t="n">
        <v>2.47</v>
      </c>
      <c r="K73" s="9">
        <f>ROUND(H73*I73*J73, 2)</f>
        <v/>
      </c>
      <c r="L73" s="24">
        <f>ROUND(K73/1000, 3)</f>
        <v/>
      </c>
      <c r="M73" s="8" t="n"/>
      <c r="N73" s="21">
        <f>ROUND(N72 + IF(AND(E73&lt;=10, F73&lt;&gt;"ASTM A416"), L73, 0), 3)</f>
        <v/>
      </c>
      <c r="O73" s="21">
        <f>ROUND(O72 + IF(AND(E73&gt;10, E73&lt;=18, F73&lt;&gt;"ASTM A416"), L73, 0), 3)</f>
        <v/>
      </c>
      <c r="P73" s="21">
        <f>ROUND(P72 + IF(AND(E73&gt;18, F73&lt;&gt;"ASTM A416"), L73, 0), 3)</f>
        <v/>
      </c>
      <c r="Q73" s="21">
        <f>ROUND(Q72 + IF(F73="ASTM A416", L73, 0), 3)</f>
        <v/>
      </c>
      <c r="R73" s="11">
        <f>IF(INT(N73/20)&gt;INT(N72/20), "Lần " &amp; INT(N73/20), "")</f>
        <v/>
      </c>
      <c r="S73" s="12">
        <f>IF(INT(O73/20)&gt;INT(O72/20), "Lần " &amp; INT(O73/20), "")</f>
        <v/>
      </c>
      <c r="T73" s="11">
        <f>IF(INT(P73/20)&gt;INT(P72/20), "Lần " &amp; INT(P73/20), "")</f>
        <v/>
      </c>
      <c r="U73" s="25">
        <f>IF(INT(Q73/20)&gt;INT(Q72/20), "Lần " &amp; INT(Q73/20), "")</f>
        <v/>
      </c>
      <c r="V73" s="6" t="inlineStr"/>
      <c r="W73" s="6" t="inlineStr">
        <is>
          <t>ĐẠT TCVN 1651:2018</t>
        </is>
      </c>
    </row>
    <row r="74" ht="20" customHeight="1">
      <c r="A74" s="18" t="inlineStr">
        <is>
          <t>--- CỌC KHOAN NHỒI C6 MỐ M1 (D1.2M, L=20.0M) ---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</row>
    <row r="75" ht="19" customHeight="1">
      <c r="A75" s="6" t="n">
        <v>66</v>
      </c>
      <c r="B75" s="7" t="inlineStr">
        <is>
          <t>Cọc khoan nhồi C6 Mố M1 (D1.2m, L=20.0m)</t>
        </is>
      </c>
      <c r="C75" s="7" t="inlineStr">
        <is>
          <t>Thép đai xoắn lồng cọc</t>
        </is>
      </c>
      <c r="D75" s="19" t="inlineStr">
        <is>
          <t>P1</t>
        </is>
      </c>
      <c r="E75" s="20" t="n">
        <v>10</v>
      </c>
      <c r="F75" s="6" t="inlineStr">
        <is>
          <t>CB240-T</t>
        </is>
      </c>
      <c r="G75" s="7" t="inlineStr">
        <is>
          <t>Đai xoắn tròn</t>
        </is>
      </c>
      <c r="H75" s="21" t="n">
        <v>96.604</v>
      </c>
      <c r="I75" s="22" t="n">
        <v>1</v>
      </c>
      <c r="J75" s="23" t="n">
        <v>0.617</v>
      </c>
      <c r="K75" s="9">
        <f>ROUND(H75*I75*J75, 2)</f>
        <v/>
      </c>
      <c r="L75" s="24">
        <f>ROUND(K75/1000, 3)</f>
        <v/>
      </c>
      <c r="M75" s="8" t="n"/>
      <c r="N75" s="21">
        <f>ROUND(N73 + IF(AND(E75&lt;=10, F75&lt;&gt;"ASTM A416"), L75, 0), 3)</f>
        <v/>
      </c>
      <c r="O75" s="21">
        <f>ROUND(O73 + IF(AND(E75&gt;10, E75&lt;=18, F75&lt;&gt;"ASTM A416"), L75, 0), 3)</f>
        <v/>
      </c>
      <c r="P75" s="21">
        <f>ROUND(P73 + IF(AND(E75&gt;18, F75&lt;&gt;"ASTM A416"), L75, 0), 3)</f>
        <v/>
      </c>
      <c r="Q75" s="21">
        <f>ROUND(Q73 + IF(F75="ASTM A416", L75, 0), 3)</f>
        <v/>
      </c>
      <c r="R75" s="11">
        <f>IF(INT(N75/20)&gt;INT(N73/20), "Lần " &amp; INT(N75/20), "")</f>
        <v/>
      </c>
      <c r="S75" s="12">
        <f>IF(INT(O75/20)&gt;INT(O73/20), "Lần " &amp; INT(O75/20), "")</f>
        <v/>
      </c>
      <c r="T75" s="11">
        <f>IF(INT(P75/20)&gt;INT(P73/20), "Lần " &amp; INT(P75/20), "")</f>
        <v/>
      </c>
      <c r="U75" s="25">
        <f>IF(INT(Q75/20)&gt;INT(Q73/20), "Lần " &amp; INT(Q75/20), "")</f>
        <v/>
      </c>
      <c r="V75" s="6" t="inlineStr"/>
      <c r="W75" s="6" t="inlineStr">
        <is>
          <t>ĐẠT TCVN 1651:2018</t>
        </is>
      </c>
    </row>
    <row r="76" ht="19" customHeight="1">
      <c r="A76" s="6" t="n">
        <v>67</v>
      </c>
      <c r="B76" s="7" t="inlineStr">
        <is>
          <t>Cọc khoan nhồi C6 Mố M1 (D1.2m, L=20.0m)</t>
        </is>
      </c>
      <c r="C76" s="7" t="inlineStr">
        <is>
          <t>Thép đai xoắn lồng cọc</t>
        </is>
      </c>
      <c r="D76" s="19" t="inlineStr">
        <is>
          <t>P1A</t>
        </is>
      </c>
      <c r="E76" s="20" t="n">
        <v>10</v>
      </c>
      <c r="F76" s="6" t="inlineStr">
        <is>
          <t>CB240-T</t>
        </is>
      </c>
      <c r="G76" s="7" t="inlineStr">
        <is>
          <t>Đai xoắn tròn</t>
        </is>
      </c>
      <c r="H76" s="21" t="n">
        <v>373.535</v>
      </c>
      <c r="I76" s="22" t="n">
        <v>1</v>
      </c>
      <c r="J76" s="23" t="n">
        <v>0.617</v>
      </c>
      <c r="K76" s="9">
        <f>ROUND(H76*I76*J76, 2)</f>
        <v/>
      </c>
      <c r="L76" s="24">
        <f>ROUND(K76/1000, 3)</f>
        <v/>
      </c>
      <c r="M76" s="8" t="n"/>
      <c r="N76" s="21">
        <f>ROUND(N75 + IF(AND(E76&lt;=10, F76&lt;&gt;"ASTM A416"), L76, 0), 3)</f>
        <v/>
      </c>
      <c r="O76" s="21">
        <f>ROUND(O75 + IF(AND(E76&gt;10, E76&lt;=18, F76&lt;&gt;"ASTM A416"), L76, 0), 3)</f>
        <v/>
      </c>
      <c r="P76" s="21">
        <f>ROUND(P75 + IF(AND(E76&gt;18, F76&lt;&gt;"ASTM A416"), L76, 0), 3)</f>
        <v/>
      </c>
      <c r="Q76" s="21">
        <f>ROUND(Q75 + IF(F76="ASTM A416", L76, 0), 3)</f>
        <v/>
      </c>
      <c r="R76" s="11">
        <f>IF(INT(N76/20)&gt;INT(N75/20), "Lần " &amp; INT(N76/20), "")</f>
        <v/>
      </c>
      <c r="S76" s="12">
        <f>IF(INT(O76/20)&gt;INT(O75/20), "Lần " &amp; INT(O76/20), "")</f>
        <v/>
      </c>
      <c r="T76" s="11">
        <f>IF(INT(P76/20)&gt;INT(P75/20), "Lần " &amp; INT(P76/20), "")</f>
        <v/>
      </c>
      <c r="U76" s="25">
        <f>IF(INT(Q76/20)&gt;INT(Q75/20), "Lần " &amp; INT(Q76/20), "")</f>
        <v/>
      </c>
      <c r="V76" s="6" t="inlineStr"/>
      <c r="W76" s="6" t="inlineStr">
        <is>
          <t>ĐẠT TCVN 1651:2018</t>
        </is>
      </c>
    </row>
    <row r="77" ht="19" customHeight="1">
      <c r="A77" s="6" t="n">
        <v>68</v>
      </c>
      <c r="B77" s="7" t="inlineStr">
        <is>
          <t>Cọc khoan nhồi C6 Mố M1 (D1.2m, L=20.0m)</t>
        </is>
      </c>
      <c r="C77" s="7" t="inlineStr">
        <is>
          <t>Thép đai xoắn lồng cọc</t>
        </is>
      </c>
      <c r="D77" s="19" t="inlineStr">
        <is>
          <t>P1C</t>
        </is>
      </c>
      <c r="E77" s="20" t="n">
        <v>10</v>
      </c>
      <c r="F77" s="6" t="inlineStr">
        <is>
          <t>CB240-T</t>
        </is>
      </c>
      <c r="G77" s="7" t="inlineStr">
        <is>
          <t>Đai xoắn tròn</t>
        </is>
      </c>
      <c r="H77" s="21" t="n">
        <v>3.592</v>
      </c>
      <c r="I77" s="22" t="n">
        <v>2</v>
      </c>
      <c r="J77" s="23" t="n">
        <v>0.617</v>
      </c>
      <c r="K77" s="9">
        <f>ROUND(H77*I77*J77, 2)</f>
        <v/>
      </c>
      <c r="L77" s="24">
        <f>ROUND(K77/1000, 3)</f>
        <v/>
      </c>
      <c r="M77" s="8" t="n"/>
      <c r="N77" s="21">
        <f>ROUND(N76 + IF(AND(E77&lt;=10, F77&lt;&gt;"ASTM A416"), L77, 0), 3)</f>
        <v/>
      </c>
      <c r="O77" s="21">
        <f>ROUND(O76 + IF(AND(E77&gt;10, E77&lt;=18, F77&lt;&gt;"ASTM A416"), L77, 0), 3)</f>
        <v/>
      </c>
      <c r="P77" s="21">
        <f>ROUND(P76 + IF(AND(E77&gt;18, F77&lt;&gt;"ASTM A416"), L77, 0), 3)</f>
        <v/>
      </c>
      <c r="Q77" s="21">
        <f>ROUND(Q76 + IF(F77="ASTM A416", L77, 0), 3)</f>
        <v/>
      </c>
      <c r="R77" s="11">
        <f>IF(INT(N77/20)&gt;INT(N76/20), "Lần " &amp; INT(N77/20), "")</f>
        <v/>
      </c>
      <c r="S77" s="12">
        <f>IF(INT(O77/20)&gt;INT(O76/20), "Lần " &amp; INT(O77/20), "")</f>
        <v/>
      </c>
      <c r="T77" s="11">
        <f>IF(INT(P77/20)&gt;INT(P76/20), "Lần " &amp; INT(P77/20), "")</f>
        <v/>
      </c>
      <c r="U77" s="25">
        <f>IF(INT(Q77/20)&gt;INT(Q76/20), "Lần " &amp; INT(Q77/20), "")</f>
        <v/>
      </c>
      <c r="V77" s="6" t="inlineStr"/>
      <c r="W77" s="6" t="inlineStr">
        <is>
          <t>ĐẠT TCVN 1651:2018</t>
        </is>
      </c>
    </row>
    <row r="78" ht="19" customHeight="1">
      <c r="A78" s="6" t="n">
        <v>69</v>
      </c>
      <c r="B78" s="7" t="inlineStr">
        <is>
          <t>Cọc khoan nhồi C6 Mố M1 (D1.2m, L=20.0m)</t>
        </is>
      </c>
      <c r="C78" s="7" t="inlineStr">
        <is>
          <t>Thép đai xoắn lồng cọc</t>
        </is>
      </c>
      <c r="D78" s="19" t="inlineStr">
        <is>
          <t>P1D</t>
        </is>
      </c>
      <c r="E78" s="20" t="n">
        <v>10</v>
      </c>
      <c r="F78" s="6" t="inlineStr">
        <is>
          <t>CB240-T</t>
        </is>
      </c>
      <c r="G78" s="7" t="inlineStr">
        <is>
          <t>Đai xoắn tròn</t>
        </is>
      </c>
      <c r="H78" s="21" t="n">
        <v>19.721</v>
      </c>
      <c r="I78" s="22" t="n">
        <v>1</v>
      </c>
      <c r="J78" s="23" t="n">
        <v>0.617</v>
      </c>
      <c r="K78" s="9">
        <f>ROUND(H78*I78*J78, 2)</f>
        <v/>
      </c>
      <c r="L78" s="24">
        <f>ROUND(K78/1000, 3)</f>
        <v/>
      </c>
      <c r="M78" s="8" t="n"/>
      <c r="N78" s="21">
        <f>ROUND(N77 + IF(AND(E78&lt;=10, F78&lt;&gt;"ASTM A416"), L78, 0), 3)</f>
        <v/>
      </c>
      <c r="O78" s="21">
        <f>ROUND(O77 + IF(AND(E78&gt;10, E78&lt;=18, F78&lt;&gt;"ASTM A416"), L78, 0), 3)</f>
        <v/>
      </c>
      <c r="P78" s="21">
        <f>ROUND(P77 + IF(AND(E78&gt;18, F78&lt;&gt;"ASTM A416"), L78, 0), 3)</f>
        <v/>
      </c>
      <c r="Q78" s="21">
        <f>ROUND(Q77 + IF(F78="ASTM A416", L78, 0), 3)</f>
        <v/>
      </c>
      <c r="R78" s="11">
        <f>IF(INT(N78/20)&gt;INT(N77/20), "Lần " &amp; INT(N78/20), "")</f>
        <v/>
      </c>
      <c r="S78" s="12">
        <f>IF(INT(O78/20)&gt;INT(O77/20), "Lần " &amp; INT(O78/20), "")</f>
        <v/>
      </c>
      <c r="T78" s="11">
        <f>IF(INT(P78/20)&gt;INT(P77/20), "Lần " &amp; INT(P78/20), "")</f>
        <v/>
      </c>
      <c r="U78" s="25">
        <f>IF(INT(Q78/20)&gt;INT(Q77/20), "Lần " &amp; INT(Q78/20), "")</f>
        <v/>
      </c>
      <c r="V78" s="6" t="inlineStr"/>
      <c r="W78" s="6" t="inlineStr">
        <is>
          <t>ĐẠT TCVN 1651:2018</t>
        </is>
      </c>
    </row>
    <row r="79" ht="19" customHeight="1">
      <c r="A79" s="6" t="n">
        <v>70</v>
      </c>
      <c r="B79" s="7" t="inlineStr">
        <is>
          <t>Cọc khoan nhồi C6 Mố M1 (D1.2m, L=20.0m)</t>
        </is>
      </c>
      <c r="C79" s="7" t="inlineStr">
        <is>
          <t>Cốt thép chủ chịu lực cọc</t>
        </is>
      </c>
      <c r="D79" s="19" t="inlineStr">
        <is>
          <t>P2B</t>
        </is>
      </c>
      <c r="E79" s="20" t="n">
        <v>25</v>
      </c>
      <c r="F79" s="6" t="inlineStr">
        <is>
          <t>CB400-V</t>
        </is>
      </c>
      <c r="G79" s="7" t="inlineStr">
        <is>
          <t>Thanh thẳng nối ren/hàn</t>
        </is>
      </c>
      <c r="H79" s="21" t="n">
        <v>2.985</v>
      </c>
      <c r="I79" s="22" t="n">
        <v>8</v>
      </c>
      <c r="J79" s="23" t="n">
        <v>3.85</v>
      </c>
      <c r="K79" s="9">
        <f>ROUND(H79*I79*J79, 2)</f>
        <v/>
      </c>
      <c r="L79" s="24">
        <f>ROUND(K79/1000, 3)</f>
        <v/>
      </c>
      <c r="M79" s="8" t="n"/>
      <c r="N79" s="21">
        <f>ROUND(N78 + IF(AND(E79&lt;=10, F79&lt;&gt;"ASTM A416"), L79, 0), 3)</f>
        <v/>
      </c>
      <c r="O79" s="21">
        <f>ROUND(O78 + IF(AND(E79&gt;10, E79&lt;=18, F79&lt;&gt;"ASTM A416"), L79, 0), 3)</f>
        <v/>
      </c>
      <c r="P79" s="21">
        <f>ROUND(P78 + IF(AND(E79&gt;18, F79&lt;&gt;"ASTM A416"), L79, 0), 3)</f>
        <v/>
      </c>
      <c r="Q79" s="21">
        <f>ROUND(Q78 + IF(F79="ASTM A416", L79, 0), 3)</f>
        <v/>
      </c>
      <c r="R79" s="11">
        <f>IF(INT(N79/20)&gt;INT(N78/20), "Lần " &amp; INT(N79/20), "")</f>
        <v/>
      </c>
      <c r="S79" s="12">
        <f>IF(INT(O79/20)&gt;INT(O78/20), "Lần " &amp; INT(O79/20), "")</f>
        <v/>
      </c>
      <c r="T79" s="11">
        <f>IF(INT(P79/20)&gt;INT(P78/20), "Lần " &amp; INT(P79/20), "")</f>
        <v/>
      </c>
      <c r="U79" s="25">
        <f>IF(INT(Q79/20)&gt;INT(Q78/20), "Lần " &amp; INT(Q79/20), "")</f>
        <v/>
      </c>
      <c r="V79" s="6" t="inlineStr"/>
      <c r="W79" s="6" t="inlineStr">
        <is>
          <t>ĐẠT TCVN 1651:2018</t>
        </is>
      </c>
    </row>
    <row r="80" ht="19" customHeight="1">
      <c r="A80" s="6" t="n">
        <v>71</v>
      </c>
      <c r="B80" s="7" t="inlineStr">
        <is>
          <t>Cọc khoan nhồi C6 Mố M1 (D1.2m, L=20.0m)</t>
        </is>
      </c>
      <c r="C80" s="7" t="inlineStr">
        <is>
          <t>Cốt thép chủ chịu lực cọc</t>
        </is>
      </c>
      <c r="D80" s="19" t="inlineStr">
        <is>
          <t>P3</t>
        </is>
      </c>
      <c r="E80" s="20" t="n">
        <v>25</v>
      </c>
      <c r="F80" s="6" t="inlineStr">
        <is>
          <t>CB400-V</t>
        </is>
      </c>
      <c r="G80" s="7" t="inlineStr">
        <is>
          <t>Thanh thẳng nối ren/hàn</t>
        </is>
      </c>
      <c r="H80" s="21" t="n">
        <v>10.7</v>
      </c>
      <c r="I80" s="22" t="n">
        <v>12</v>
      </c>
      <c r="J80" s="23" t="n">
        <v>3.85</v>
      </c>
      <c r="K80" s="9">
        <f>ROUND(H80*I80*J80, 2)</f>
        <v/>
      </c>
      <c r="L80" s="24">
        <f>ROUND(K80/1000, 3)</f>
        <v/>
      </c>
      <c r="M80" s="8" t="n"/>
      <c r="N80" s="21">
        <f>ROUND(N79 + IF(AND(E80&lt;=10, F80&lt;&gt;"ASTM A416"), L80, 0), 3)</f>
        <v/>
      </c>
      <c r="O80" s="21">
        <f>ROUND(O79 + IF(AND(E80&gt;10, E80&lt;=18, F80&lt;&gt;"ASTM A416"), L80, 0), 3)</f>
        <v/>
      </c>
      <c r="P80" s="21">
        <f>ROUND(P79 + IF(AND(E80&gt;18, F80&lt;&gt;"ASTM A416"), L80, 0), 3)</f>
        <v/>
      </c>
      <c r="Q80" s="21">
        <f>ROUND(Q79 + IF(F80="ASTM A416", L80, 0), 3)</f>
        <v/>
      </c>
      <c r="R80" s="11">
        <f>IF(INT(N80/20)&gt;INT(N79/20), "Lần " &amp; INT(N80/20), "")</f>
        <v/>
      </c>
      <c r="S80" s="12">
        <f>IF(INT(O80/20)&gt;INT(O79/20), "Lần " &amp; INT(O80/20), "")</f>
        <v/>
      </c>
      <c r="T80" s="11">
        <f>IF(INT(P80/20)&gt;INT(P79/20), "Lần " &amp; INT(P80/20), "")</f>
        <v/>
      </c>
      <c r="U80" s="25">
        <f>IF(INT(Q80/20)&gt;INT(Q79/20), "Lần " &amp; INT(Q80/20), "")</f>
        <v/>
      </c>
      <c r="V80" s="6" t="inlineStr"/>
      <c r="W80" s="6" t="inlineStr">
        <is>
          <t>ĐẠT TCVN 1651:2018</t>
        </is>
      </c>
    </row>
    <row r="81" ht="19" customHeight="1">
      <c r="A81" s="6" t="n">
        <v>72</v>
      </c>
      <c r="B81" s="7" t="inlineStr">
        <is>
          <t>Cọc khoan nhồi C6 Mố M1 (D1.2m, L=20.0m)</t>
        </is>
      </c>
      <c r="C81" s="7" t="inlineStr">
        <is>
          <t>Cốt thép chủ chịu lực cọc</t>
        </is>
      </c>
      <c r="D81" s="19" t="inlineStr">
        <is>
          <t>P4</t>
        </is>
      </c>
      <c r="E81" s="20" t="n">
        <v>25</v>
      </c>
      <c r="F81" s="6" t="inlineStr">
        <is>
          <t>CB400-V</t>
        </is>
      </c>
      <c r="G81" s="7" t="inlineStr">
        <is>
          <t>Thanh thẳng nối ren/hàn</t>
        </is>
      </c>
      <c r="H81" s="21" t="n">
        <v>11.7</v>
      </c>
      <c r="I81" s="22" t="n">
        <v>12</v>
      </c>
      <c r="J81" s="23" t="n">
        <v>3.85</v>
      </c>
      <c r="K81" s="9">
        <f>ROUND(H81*I81*J81, 2)</f>
        <v/>
      </c>
      <c r="L81" s="24">
        <f>ROUND(K81/1000, 3)</f>
        <v/>
      </c>
      <c r="M81" s="8" t="n"/>
      <c r="N81" s="21">
        <f>ROUND(N80 + IF(AND(E81&lt;=10, F81&lt;&gt;"ASTM A416"), L81, 0), 3)</f>
        <v/>
      </c>
      <c r="O81" s="21">
        <f>ROUND(O80 + IF(AND(E81&gt;10, E81&lt;=18, F81&lt;&gt;"ASTM A416"), L81, 0), 3)</f>
        <v/>
      </c>
      <c r="P81" s="21">
        <f>ROUND(P80 + IF(AND(E81&gt;18, F81&lt;&gt;"ASTM A416"), L81, 0), 3)</f>
        <v/>
      </c>
      <c r="Q81" s="21">
        <f>ROUND(Q80 + IF(F81="ASTM A416", L81, 0), 3)</f>
        <v/>
      </c>
      <c r="R81" s="11">
        <f>IF(INT(N81/20)&gt;INT(N80/20), "Lần " &amp; INT(N81/20), "")</f>
        <v/>
      </c>
      <c r="S81" s="12">
        <f>IF(INT(O81/20)&gt;INT(O80/20), "Lần " &amp; INT(O81/20), "")</f>
        <v/>
      </c>
      <c r="T81" s="11">
        <f>IF(INT(P81/20)&gt;INT(P80/20), "Lần " &amp; INT(P81/20), "")</f>
        <v/>
      </c>
      <c r="U81" s="25">
        <f>IF(INT(Q81/20)&gt;INT(Q80/20), "Lần " &amp; INT(Q81/20), "")</f>
        <v/>
      </c>
      <c r="V81" s="6" t="inlineStr"/>
      <c r="W81" s="6" t="inlineStr">
        <is>
          <t>ĐẠT TCVN 1651:2018</t>
        </is>
      </c>
    </row>
    <row r="82" ht="19" customHeight="1">
      <c r="A82" s="6" t="n">
        <v>73</v>
      </c>
      <c r="B82" s="7" t="inlineStr">
        <is>
          <t>Cọc khoan nhồi C6 Mố M1 (D1.2m, L=20.0m)</t>
        </is>
      </c>
      <c r="C82" s="7" t="inlineStr">
        <is>
          <t>Cốt thép chủ chịu lực cọc</t>
        </is>
      </c>
      <c r="D82" s="19" t="inlineStr">
        <is>
          <t>P6</t>
        </is>
      </c>
      <c r="E82" s="20" t="n">
        <v>25</v>
      </c>
      <c r="F82" s="6" t="inlineStr">
        <is>
          <t>CB400-V</t>
        </is>
      </c>
      <c r="G82" s="7" t="inlineStr">
        <is>
          <t>Thanh thẳng nối ren/hàn</t>
        </is>
      </c>
      <c r="H82" s="21" t="n">
        <v>10.433</v>
      </c>
      <c r="I82" s="22" t="n">
        <v>12</v>
      </c>
      <c r="J82" s="23" t="n">
        <v>3.85</v>
      </c>
      <c r="K82" s="9">
        <f>ROUND(H82*I82*J82, 2)</f>
        <v/>
      </c>
      <c r="L82" s="24">
        <f>ROUND(K82/1000, 3)</f>
        <v/>
      </c>
      <c r="M82" s="8" t="n"/>
      <c r="N82" s="21">
        <f>ROUND(N81 + IF(AND(E82&lt;=10, F82&lt;&gt;"ASTM A416"), L82, 0), 3)</f>
        <v/>
      </c>
      <c r="O82" s="21">
        <f>ROUND(O81 + IF(AND(E82&gt;10, E82&lt;=18, F82&lt;&gt;"ASTM A416"), L82, 0), 3)</f>
        <v/>
      </c>
      <c r="P82" s="21">
        <f>ROUND(P81 + IF(AND(E82&gt;18, F82&lt;&gt;"ASTM A416"), L82, 0), 3)</f>
        <v/>
      </c>
      <c r="Q82" s="21">
        <f>ROUND(Q81 + IF(F82="ASTM A416", L82, 0), 3)</f>
        <v/>
      </c>
      <c r="R82" s="11">
        <f>IF(INT(N82/20)&gt;INT(N81/20), "Lần " &amp; INT(N82/20), "")</f>
        <v/>
      </c>
      <c r="S82" s="12">
        <f>IF(INT(O82/20)&gt;INT(O81/20), "Lần " &amp; INT(O82/20), "")</f>
        <v/>
      </c>
      <c r="T82" s="11">
        <f>IF(INT(P82/20)&gt;INT(P81/20), "Lần " &amp; INT(P82/20), "")</f>
        <v/>
      </c>
      <c r="U82" s="25">
        <f>IF(INT(Q82/20)&gt;INT(Q81/20), "Lần " &amp; INT(Q82/20), "")</f>
        <v/>
      </c>
      <c r="V82" s="6" t="inlineStr"/>
      <c r="W82" s="6" t="inlineStr">
        <is>
          <t>ĐẠT TCVN 1651:2018</t>
        </is>
      </c>
    </row>
    <row r="83" ht="19" customHeight="1">
      <c r="A83" s="6" t="n">
        <v>74</v>
      </c>
      <c r="B83" s="7" t="inlineStr">
        <is>
          <t>Cọc khoan nhồi C6 Mố M1 (D1.2m, L=20.0m)</t>
        </is>
      </c>
      <c r="C83" s="7" t="inlineStr">
        <is>
          <t>Cốt thép chủ chịu lực cọc</t>
        </is>
      </c>
      <c r="D83" s="19" t="inlineStr">
        <is>
          <t>P7</t>
        </is>
      </c>
      <c r="E83" s="20" t="n">
        <v>25</v>
      </c>
      <c r="F83" s="6" t="inlineStr">
        <is>
          <t>CB400-V</t>
        </is>
      </c>
      <c r="G83" s="7" t="inlineStr">
        <is>
          <t>Thanh thẳng nối ren/hàn</t>
        </is>
      </c>
      <c r="H83" s="21" t="n">
        <v>11.433</v>
      </c>
      <c r="I83" s="22" t="n">
        <v>12</v>
      </c>
      <c r="J83" s="23" t="n">
        <v>3.85</v>
      </c>
      <c r="K83" s="9">
        <f>ROUND(H83*I83*J83, 2)</f>
        <v/>
      </c>
      <c r="L83" s="24">
        <f>ROUND(K83/1000, 3)</f>
        <v/>
      </c>
      <c r="M83" s="8" t="n"/>
      <c r="N83" s="21">
        <f>ROUND(N82 + IF(AND(E83&lt;=10, F83&lt;&gt;"ASTM A416"), L83, 0), 3)</f>
        <v/>
      </c>
      <c r="O83" s="21">
        <f>ROUND(O82 + IF(AND(E83&gt;10, E83&lt;=18, F83&lt;&gt;"ASTM A416"), L83, 0), 3)</f>
        <v/>
      </c>
      <c r="P83" s="21">
        <f>ROUND(P82 + IF(AND(E83&gt;18, F83&lt;&gt;"ASTM A416"), L83, 0), 3)</f>
        <v/>
      </c>
      <c r="Q83" s="21">
        <f>ROUND(Q82 + IF(F83="ASTM A416", L83, 0), 3)</f>
        <v/>
      </c>
      <c r="R83" s="11">
        <f>IF(INT(N83/20)&gt;INT(N82/20), "Lần " &amp; INT(N83/20), "")</f>
        <v/>
      </c>
      <c r="S83" s="12">
        <f>IF(INT(O83/20)&gt;INT(O82/20), "Lần " &amp; INT(O83/20), "")</f>
        <v/>
      </c>
      <c r="T83" s="11">
        <f>IF(INT(P83/20)&gt;INT(P82/20), "Lần " &amp; INT(P83/20), "")</f>
        <v/>
      </c>
      <c r="U83" s="25">
        <f>IF(INT(Q83/20)&gt;INT(Q82/20), "Lần " &amp; INT(Q83/20), "")</f>
        <v/>
      </c>
      <c r="V83" s="6" t="inlineStr"/>
      <c r="W83" s="6" t="inlineStr">
        <is>
          <t>ĐẠT TCVN 1651:2018</t>
        </is>
      </c>
    </row>
    <row r="84" ht="19" customHeight="1">
      <c r="A84" s="6" t="n">
        <v>75</v>
      </c>
      <c r="B84" s="7" t="inlineStr">
        <is>
          <t>Cọc khoan nhồi C6 Mố M1 (D1.2m, L=20.0m)</t>
        </is>
      </c>
      <c r="C84" s="7" t="inlineStr">
        <is>
          <t>Đai tăng cường / Con kê bảo vệ</t>
        </is>
      </c>
      <c r="D84" s="19" t="inlineStr">
        <is>
          <t>P8</t>
        </is>
      </c>
      <c r="E84" s="20" t="n">
        <v>12</v>
      </c>
      <c r="F84" s="6" t="inlineStr">
        <is>
          <t>CB400-V</t>
        </is>
      </c>
      <c r="G84" s="7" t="inlineStr">
        <is>
          <t>Móc neo / Vòng đai</t>
        </is>
      </c>
      <c r="H84" s="21" t="n">
        <v>0.647</v>
      </c>
      <c r="I84" s="22" t="n">
        <v>8</v>
      </c>
      <c r="J84" s="23" t="n">
        <v>0.888</v>
      </c>
      <c r="K84" s="9">
        <f>ROUND(H84*I84*J84, 2)</f>
        <v/>
      </c>
      <c r="L84" s="24">
        <f>ROUND(K84/1000, 3)</f>
        <v/>
      </c>
      <c r="M84" s="8" t="n"/>
      <c r="N84" s="21">
        <f>ROUND(N83 + IF(AND(E84&lt;=10, F84&lt;&gt;"ASTM A416"), L84, 0), 3)</f>
        <v/>
      </c>
      <c r="O84" s="21">
        <f>ROUND(O83 + IF(AND(E84&gt;10, E84&lt;=18, F84&lt;&gt;"ASTM A416"), L84, 0), 3)</f>
        <v/>
      </c>
      <c r="P84" s="21">
        <f>ROUND(P83 + IF(AND(E84&gt;18, F84&lt;&gt;"ASTM A416"), L84, 0), 3)</f>
        <v/>
      </c>
      <c r="Q84" s="21">
        <f>ROUND(Q83 + IF(F84="ASTM A416", L84, 0), 3)</f>
        <v/>
      </c>
      <c r="R84" s="11">
        <f>IF(INT(N84/20)&gt;INT(N83/20), "Lần " &amp; INT(N84/20), "")</f>
        <v/>
      </c>
      <c r="S84" s="12">
        <f>IF(INT(O84/20)&gt;INT(O83/20), "Lần " &amp; INT(O84/20), "")</f>
        <v/>
      </c>
      <c r="T84" s="11">
        <f>IF(INT(P84/20)&gt;INT(P83/20), "Lần " &amp; INT(P84/20), "")</f>
        <v/>
      </c>
      <c r="U84" s="25">
        <f>IF(INT(Q84/20)&gt;INT(Q83/20), "Lần " &amp; INT(Q84/20), "")</f>
        <v/>
      </c>
      <c r="V84" s="6" t="inlineStr"/>
      <c r="W84" s="6" t="inlineStr">
        <is>
          <t>ĐẠT TCVN 1651:2018</t>
        </is>
      </c>
    </row>
    <row r="85" ht="19" customHeight="1">
      <c r="A85" s="6" t="n">
        <v>76</v>
      </c>
      <c r="B85" s="7" t="inlineStr">
        <is>
          <t>Cọc khoan nhồi C6 Mố M1 (D1.2m, L=20.0m)</t>
        </is>
      </c>
      <c r="C85" s="7" t="inlineStr">
        <is>
          <t>Đai tăng cường / Con kê bảo vệ</t>
        </is>
      </c>
      <c r="D85" s="19" t="inlineStr">
        <is>
          <t>P9</t>
        </is>
      </c>
      <c r="E85" s="20" t="n">
        <v>12</v>
      </c>
      <c r="F85" s="6" t="inlineStr">
        <is>
          <t>CB400-V</t>
        </is>
      </c>
      <c r="G85" s="7" t="inlineStr">
        <is>
          <t>Móc neo / Vòng đai</t>
        </is>
      </c>
      <c r="H85" s="21" t="n">
        <v>0.379</v>
      </c>
      <c r="I85" s="22" t="n">
        <v>24</v>
      </c>
      <c r="J85" s="23" t="n">
        <v>0.888</v>
      </c>
      <c r="K85" s="9">
        <f>ROUND(H85*I85*J85, 2)</f>
        <v/>
      </c>
      <c r="L85" s="24">
        <f>ROUND(K85/1000, 3)</f>
        <v/>
      </c>
      <c r="M85" s="8" t="n"/>
      <c r="N85" s="21">
        <f>ROUND(N84 + IF(AND(E85&lt;=10, F85&lt;&gt;"ASTM A416"), L85, 0), 3)</f>
        <v/>
      </c>
      <c r="O85" s="21">
        <f>ROUND(O84 + IF(AND(E85&gt;10, E85&lt;=18, F85&lt;&gt;"ASTM A416"), L85, 0), 3)</f>
        <v/>
      </c>
      <c r="P85" s="21">
        <f>ROUND(P84 + IF(AND(E85&gt;18, F85&lt;&gt;"ASTM A416"), L85, 0), 3)</f>
        <v/>
      </c>
      <c r="Q85" s="21">
        <f>ROUND(Q84 + IF(F85="ASTM A416", L85, 0), 3)</f>
        <v/>
      </c>
      <c r="R85" s="11">
        <f>IF(INT(N85/20)&gt;INT(N84/20), "Lần " &amp; INT(N85/20), "")</f>
        <v/>
      </c>
      <c r="S85" s="12">
        <f>IF(INT(O85/20)&gt;INT(O84/20), "Lần " &amp; INT(O85/20), "")</f>
        <v/>
      </c>
      <c r="T85" s="11">
        <f>IF(INT(P85/20)&gt;INT(P84/20), "Lần " &amp; INT(P85/20), "")</f>
        <v/>
      </c>
      <c r="U85" s="25">
        <f>IF(INT(Q85/20)&gt;INT(Q84/20), "Lần " &amp; INT(Q85/20), "")</f>
        <v/>
      </c>
      <c r="V85" s="6" t="inlineStr"/>
      <c r="W85" s="6" t="inlineStr">
        <is>
          <t>ĐẠT TCVN 1651:2018</t>
        </is>
      </c>
    </row>
    <row r="86" ht="19" customHeight="1">
      <c r="A86" s="6" t="n">
        <v>77</v>
      </c>
      <c r="B86" s="7" t="inlineStr">
        <is>
          <t>Cọc khoan nhồi C6 Mố M1 (D1.2m, L=20.0m)</t>
        </is>
      </c>
      <c r="C86" s="7" t="inlineStr">
        <is>
          <t>Thép đai xoắn lồng cọc</t>
        </is>
      </c>
      <c r="D86" s="19" t="inlineStr">
        <is>
          <t>P10</t>
        </is>
      </c>
      <c r="E86" s="20" t="n">
        <v>20</v>
      </c>
      <c r="F86" s="6" t="inlineStr">
        <is>
          <t>CB400-V</t>
        </is>
      </c>
      <c r="G86" s="7" t="inlineStr">
        <is>
          <t>Đai xoắn tròn</t>
        </is>
      </c>
      <c r="H86" s="21" t="n">
        <v>2.057</v>
      </c>
      <c r="I86" s="22" t="n">
        <v>1</v>
      </c>
      <c r="J86" s="23" t="n">
        <v>2.47</v>
      </c>
      <c r="K86" s="9">
        <f>ROUND(H86*I86*J86, 2)</f>
        <v/>
      </c>
      <c r="L86" s="24">
        <f>ROUND(K86/1000, 3)</f>
        <v/>
      </c>
      <c r="M86" s="8" t="n"/>
      <c r="N86" s="21">
        <f>ROUND(N85 + IF(AND(E86&lt;=10, F86&lt;&gt;"ASTM A416"), L86, 0), 3)</f>
        <v/>
      </c>
      <c r="O86" s="21">
        <f>ROUND(O85 + IF(AND(E86&gt;10, E86&lt;=18, F86&lt;&gt;"ASTM A416"), L86, 0), 3)</f>
        <v/>
      </c>
      <c r="P86" s="21">
        <f>ROUND(P85 + IF(AND(E86&gt;18, F86&lt;&gt;"ASTM A416"), L86, 0), 3)</f>
        <v/>
      </c>
      <c r="Q86" s="21">
        <f>ROUND(Q85 + IF(F86="ASTM A416", L86, 0), 3)</f>
        <v/>
      </c>
      <c r="R86" s="11">
        <f>IF(INT(N86/20)&gt;INT(N85/20), "Lần " &amp; INT(N86/20), "")</f>
        <v/>
      </c>
      <c r="S86" s="12">
        <f>IF(INT(O86/20)&gt;INT(O85/20), "Lần " &amp; INT(O86/20), "")</f>
        <v/>
      </c>
      <c r="T86" s="11">
        <f>IF(INT(P86/20)&gt;INT(P85/20), "Lần " &amp; INT(P86/20), "")</f>
        <v/>
      </c>
      <c r="U86" s="25">
        <f>IF(INT(Q86/20)&gt;INT(Q85/20), "Lần " &amp; INT(Q86/20), "")</f>
        <v/>
      </c>
      <c r="V86" s="6" t="inlineStr"/>
      <c r="W86" s="6" t="inlineStr">
        <is>
          <t>ĐẠT TCVN 1651:2018</t>
        </is>
      </c>
    </row>
    <row r="87" ht="19" customHeight="1">
      <c r="A87" s="6" t="n">
        <v>78</v>
      </c>
      <c r="B87" s="7" t="inlineStr">
        <is>
          <t>Cọc khoan nhồi C6 Mố M1 (D1.2m, L=20.0m)</t>
        </is>
      </c>
      <c r="C87" s="7" t="inlineStr">
        <is>
          <t>Thép đai xoắn lồng cọc</t>
        </is>
      </c>
      <c r="D87" s="19" t="inlineStr">
        <is>
          <t>P12</t>
        </is>
      </c>
      <c r="E87" s="20" t="n">
        <v>20</v>
      </c>
      <c r="F87" s="6" t="inlineStr">
        <is>
          <t>CB400-V</t>
        </is>
      </c>
      <c r="G87" s="7" t="inlineStr">
        <is>
          <t>Đai xoắn tròn</t>
        </is>
      </c>
      <c r="H87" s="21" t="n">
        <v>0.583</v>
      </c>
      <c r="I87" s="22" t="n">
        <v>32</v>
      </c>
      <c r="J87" s="23" t="n">
        <v>2.47</v>
      </c>
      <c r="K87" s="9">
        <f>ROUND(H87*I87*J87, 2)</f>
        <v/>
      </c>
      <c r="L87" s="24">
        <f>ROUND(K87/1000, 3)</f>
        <v/>
      </c>
      <c r="M87" s="8" t="n"/>
      <c r="N87" s="21">
        <f>ROUND(N86 + IF(AND(E87&lt;=10, F87&lt;&gt;"ASTM A416"), L87, 0), 3)</f>
        <v/>
      </c>
      <c r="O87" s="21">
        <f>ROUND(O86 + IF(AND(E87&gt;10, E87&lt;=18, F87&lt;&gt;"ASTM A416"), L87, 0), 3)</f>
        <v/>
      </c>
      <c r="P87" s="21">
        <f>ROUND(P86 + IF(AND(E87&gt;18, F87&lt;&gt;"ASTM A416"), L87, 0), 3)</f>
        <v/>
      </c>
      <c r="Q87" s="21">
        <f>ROUND(Q86 + IF(F87="ASTM A416", L87, 0), 3)</f>
        <v/>
      </c>
      <c r="R87" s="11">
        <f>IF(INT(N87/20)&gt;INT(N86/20), "Lần " &amp; INT(N87/20), "")</f>
        <v/>
      </c>
      <c r="S87" s="12">
        <f>IF(INT(O87/20)&gt;INT(O86/20), "Lần " &amp; INT(O87/20), "")</f>
        <v/>
      </c>
      <c r="T87" s="11">
        <f>IF(INT(P87/20)&gt;INT(P86/20), "Lần " &amp; INT(P87/20), "")</f>
        <v/>
      </c>
      <c r="U87" s="25">
        <f>IF(INT(Q87/20)&gt;INT(Q86/20), "Lần " &amp; INT(Q87/20), "")</f>
        <v/>
      </c>
      <c r="V87" s="6" t="inlineStr"/>
      <c r="W87" s="6" t="inlineStr">
        <is>
          <t>ĐẠT TCVN 1651:2018</t>
        </is>
      </c>
    </row>
    <row r="88" ht="20" customHeight="1">
      <c r="A88" s="18" t="inlineStr">
        <is>
          <t>--- CỌC KHOAN NHỒI C7 MỐ M1 (D1.2M, L=20.0M) ---</t>
        </is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</row>
    <row r="89" ht="19" customHeight="1">
      <c r="A89" s="6" t="n">
        <v>79</v>
      </c>
      <c r="B89" s="7" t="inlineStr">
        <is>
          <t>Cọc khoan nhồi C7 Mố M1 (D1.2m, L=20.0m)</t>
        </is>
      </c>
      <c r="C89" s="7" t="inlineStr">
        <is>
          <t>Thép đai xoắn lồng cọc</t>
        </is>
      </c>
      <c r="D89" s="19" t="inlineStr">
        <is>
          <t>P1</t>
        </is>
      </c>
      <c r="E89" s="20" t="n">
        <v>10</v>
      </c>
      <c r="F89" s="6" t="inlineStr">
        <is>
          <t>CB240-T</t>
        </is>
      </c>
      <c r="G89" s="7" t="inlineStr">
        <is>
          <t>Đai xoắn tròn</t>
        </is>
      </c>
      <c r="H89" s="21" t="n">
        <v>96.604</v>
      </c>
      <c r="I89" s="22" t="n">
        <v>1</v>
      </c>
      <c r="J89" s="23" t="n">
        <v>0.617</v>
      </c>
      <c r="K89" s="9">
        <f>ROUND(H89*I89*J89, 2)</f>
        <v/>
      </c>
      <c r="L89" s="24">
        <f>ROUND(K89/1000, 3)</f>
        <v/>
      </c>
      <c r="M89" s="8" t="n"/>
      <c r="N89" s="21">
        <f>ROUND(N87 + IF(AND(E89&lt;=10, F89&lt;&gt;"ASTM A416"), L89, 0), 3)</f>
        <v/>
      </c>
      <c r="O89" s="21">
        <f>ROUND(O87 + IF(AND(E89&gt;10, E89&lt;=18, F89&lt;&gt;"ASTM A416"), L89, 0), 3)</f>
        <v/>
      </c>
      <c r="P89" s="21">
        <f>ROUND(P87 + IF(AND(E89&gt;18, F89&lt;&gt;"ASTM A416"), L89, 0), 3)</f>
        <v/>
      </c>
      <c r="Q89" s="21">
        <f>ROUND(Q87 + IF(F89="ASTM A416", L89, 0), 3)</f>
        <v/>
      </c>
      <c r="R89" s="11">
        <f>IF(INT(N89/20)&gt;INT(N87/20), "Lần " &amp; INT(N89/20), "")</f>
        <v/>
      </c>
      <c r="S89" s="12">
        <f>IF(INT(O89/20)&gt;INT(O87/20), "Lần " &amp; INT(O89/20), "")</f>
        <v/>
      </c>
      <c r="T89" s="11">
        <f>IF(INT(P89/20)&gt;INT(P87/20), "Lần " &amp; INT(P89/20), "")</f>
        <v/>
      </c>
      <c r="U89" s="25">
        <f>IF(INT(Q89/20)&gt;INT(Q87/20), "Lần " &amp; INT(Q89/20), "")</f>
        <v/>
      </c>
      <c r="V89" s="6" t="inlineStr"/>
      <c r="W89" s="6" t="inlineStr">
        <is>
          <t>ĐẠT TCVN 1651:2018</t>
        </is>
      </c>
    </row>
    <row r="90" ht="19" customHeight="1">
      <c r="A90" s="6" t="n">
        <v>80</v>
      </c>
      <c r="B90" s="7" t="inlineStr">
        <is>
          <t>Cọc khoan nhồi C7 Mố M1 (D1.2m, L=20.0m)</t>
        </is>
      </c>
      <c r="C90" s="7" t="inlineStr">
        <is>
          <t>Thép đai xoắn lồng cọc</t>
        </is>
      </c>
      <c r="D90" s="19" t="inlineStr">
        <is>
          <t>P1A</t>
        </is>
      </c>
      <c r="E90" s="20" t="n">
        <v>10</v>
      </c>
      <c r="F90" s="6" t="inlineStr">
        <is>
          <t>CB240-T</t>
        </is>
      </c>
      <c r="G90" s="7" t="inlineStr">
        <is>
          <t>Đai xoắn tròn</t>
        </is>
      </c>
      <c r="H90" s="21" t="n">
        <v>373.535</v>
      </c>
      <c r="I90" s="22" t="n">
        <v>1</v>
      </c>
      <c r="J90" s="23" t="n">
        <v>0.617</v>
      </c>
      <c r="K90" s="9">
        <f>ROUND(H90*I90*J90, 2)</f>
        <v/>
      </c>
      <c r="L90" s="24">
        <f>ROUND(K90/1000, 3)</f>
        <v/>
      </c>
      <c r="M90" s="8" t="n"/>
      <c r="N90" s="21">
        <f>ROUND(N89 + IF(AND(E90&lt;=10, F90&lt;&gt;"ASTM A416"), L90, 0), 3)</f>
        <v/>
      </c>
      <c r="O90" s="21">
        <f>ROUND(O89 + IF(AND(E90&gt;10, E90&lt;=18, F90&lt;&gt;"ASTM A416"), L90, 0), 3)</f>
        <v/>
      </c>
      <c r="P90" s="21">
        <f>ROUND(P89 + IF(AND(E90&gt;18, F90&lt;&gt;"ASTM A416"), L90, 0), 3)</f>
        <v/>
      </c>
      <c r="Q90" s="21">
        <f>ROUND(Q89 + IF(F90="ASTM A416", L90, 0), 3)</f>
        <v/>
      </c>
      <c r="R90" s="11">
        <f>IF(INT(N90/20)&gt;INT(N89/20), "Lần " &amp; INT(N90/20), "")</f>
        <v/>
      </c>
      <c r="S90" s="12">
        <f>IF(INT(O90/20)&gt;INT(O89/20), "Lần " &amp; INT(O90/20), "")</f>
        <v/>
      </c>
      <c r="T90" s="11">
        <f>IF(INT(P90/20)&gt;INT(P89/20), "Lần " &amp; INT(P90/20), "")</f>
        <v/>
      </c>
      <c r="U90" s="25">
        <f>IF(INT(Q90/20)&gt;INT(Q89/20), "Lần " &amp; INT(Q90/20), "")</f>
        <v/>
      </c>
      <c r="V90" s="6" t="inlineStr"/>
      <c r="W90" s="6" t="inlineStr">
        <is>
          <t>ĐẠT TCVN 1651:2018</t>
        </is>
      </c>
    </row>
    <row r="91" ht="19" customHeight="1">
      <c r="A91" s="6" t="n">
        <v>81</v>
      </c>
      <c r="B91" s="7" t="inlineStr">
        <is>
          <t>Cọc khoan nhồi C7 Mố M1 (D1.2m, L=20.0m)</t>
        </is>
      </c>
      <c r="C91" s="7" t="inlineStr">
        <is>
          <t>Thép đai xoắn lồng cọc</t>
        </is>
      </c>
      <c r="D91" s="19" t="inlineStr">
        <is>
          <t>P1C</t>
        </is>
      </c>
      <c r="E91" s="20" t="n">
        <v>10</v>
      </c>
      <c r="F91" s="6" t="inlineStr">
        <is>
          <t>CB240-T</t>
        </is>
      </c>
      <c r="G91" s="7" t="inlineStr">
        <is>
          <t>Đai xoắn tròn</t>
        </is>
      </c>
      <c r="H91" s="21" t="n">
        <v>3.592</v>
      </c>
      <c r="I91" s="22" t="n">
        <v>2</v>
      </c>
      <c r="J91" s="23" t="n">
        <v>0.617</v>
      </c>
      <c r="K91" s="9">
        <f>ROUND(H91*I91*J91, 2)</f>
        <v/>
      </c>
      <c r="L91" s="24">
        <f>ROUND(K91/1000, 3)</f>
        <v/>
      </c>
      <c r="M91" s="8" t="n"/>
      <c r="N91" s="21">
        <f>ROUND(N90 + IF(AND(E91&lt;=10, F91&lt;&gt;"ASTM A416"), L91, 0), 3)</f>
        <v/>
      </c>
      <c r="O91" s="21">
        <f>ROUND(O90 + IF(AND(E91&gt;10, E91&lt;=18, F91&lt;&gt;"ASTM A416"), L91, 0), 3)</f>
        <v/>
      </c>
      <c r="P91" s="21">
        <f>ROUND(P90 + IF(AND(E91&gt;18, F91&lt;&gt;"ASTM A416"), L91, 0), 3)</f>
        <v/>
      </c>
      <c r="Q91" s="21">
        <f>ROUND(Q90 + IF(F91="ASTM A416", L91, 0), 3)</f>
        <v/>
      </c>
      <c r="R91" s="11">
        <f>IF(INT(N91/20)&gt;INT(N90/20), "Lần " &amp; INT(N91/20), "")</f>
        <v/>
      </c>
      <c r="S91" s="12">
        <f>IF(INT(O91/20)&gt;INT(O90/20), "Lần " &amp; INT(O91/20), "")</f>
        <v/>
      </c>
      <c r="T91" s="11">
        <f>IF(INT(P91/20)&gt;INT(P90/20), "Lần " &amp; INT(P91/20), "")</f>
        <v/>
      </c>
      <c r="U91" s="25">
        <f>IF(INT(Q91/20)&gt;INT(Q90/20), "Lần " &amp; INT(Q91/20), "")</f>
        <v/>
      </c>
      <c r="V91" s="6" t="inlineStr"/>
      <c r="W91" s="6" t="inlineStr">
        <is>
          <t>ĐẠT TCVN 1651:2018</t>
        </is>
      </c>
    </row>
    <row r="92" ht="19" customHeight="1">
      <c r="A92" s="6" t="n">
        <v>82</v>
      </c>
      <c r="B92" s="7" t="inlineStr">
        <is>
          <t>Cọc khoan nhồi C7 Mố M1 (D1.2m, L=20.0m)</t>
        </is>
      </c>
      <c r="C92" s="7" t="inlineStr">
        <is>
          <t>Thép đai xoắn lồng cọc</t>
        </is>
      </c>
      <c r="D92" s="19" t="inlineStr">
        <is>
          <t>P1D</t>
        </is>
      </c>
      <c r="E92" s="20" t="n">
        <v>10</v>
      </c>
      <c r="F92" s="6" t="inlineStr">
        <is>
          <t>CB240-T</t>
        </is>
      </c>
      <c r="G92" s="7" t="inlineStr">
        <is>
          <t>Đai xoắn tròn</t>
        </is>
      </c>
      <c r="H92" s="21" t="n">
        <v>19.721</v>
      </c>
      <c r="I92" s="22" t="n">
        <v>1</v>
      </c>
      <c r="J92" s="23" t="n">
        <v>0.617</v>
      </c>
      <c r="K92" s="9">
        <f>ROUND(H92*I92*J92, 2)</f>
        <v/>
      </c>
      <c r="L92" s="24">
        <f>ROUND(K92/1000, 3)</f>
        <v/>
      </c>
      <c r="M92" s="8" t="n"/>
      <c r="N92" s="21">
        <f>ROUND(N91 + IF(AND(E92&lt;=10, F92&lt;&gt;"ASTM A416"), L92, 0), 3)</f>
        <v/>
      </c>
      <c r="O92" s="21">
        <f>ROUND(O91 + IF(AND(E92&gt;10, E92&lt;=18, F92&lt;&gt;"ASTM A416"), L92, 0), 3)</f>
        <v/>
      </c>
      <c r="P92" s="21">
        <f>ROUND(P91 + IF(AND(E92&gt;18, F92&lt;&gt;"ASTM A416"), L92, 0), 3)</f>
        <v/>
      </c>
      <c r="Q92" s="21">
        <f>ROUND(Q91 + IF(F92="ASTM A416", L92, 0), 3)</f>
        <v/>
      </c>
      <c r="R92" s="11">
        <f>IF(INT(N92/20)&gt;INT(N91/20), "Lần " &amp; INT(N92/20), "")</f>
        <v/>
      </c>
      <c r="S92" s="12">
        <f>IF(INT(O92/20)&gt;INT(O91/20), "Lần " &amp; INT(O92/20), "")</f>
        <v/>
      </c>
      <c r="T92" s="11">
        <f>IF(INT(P92/20)&gt;INT(P91/20), "Lần " &amp; INT(P92/20), "")</f>
        <v/>
      </c>
      <c r="U92" s="25">
        <f>IF(INT(Q92/20)&gt;INT(Q91/20), "Lần " &amp; INT(Q92/20), "")</f>
        <v/>
      </c>
      <c r="V92" s="6" t="inlineStr"/>
      <c r="W92" s="6" t="inlineStr">
        <is>
          <t>ĐẠT TCVN 1651:2018</t>
        </is>
      </c>
    </row>
    <row r="93" ht="19" customHeight="1">
      <c r="A93" s="6" t="n">
        <v>83</v>
      </c>
      <c r="B93" s="7" t="inlineStr">
        <is>
          <t>Cọc khoan nhồi C7 Mố M1 (D1.2m, L=20.0m)</t>
        </is>
      </c>
      <c r="C93" s="7" t="inlineStr">
        <is>
          <t>Cốt thép chủ chịu lực cọc</t>
        </is>
      </c>
      <c r="D93" s="19" t="inlineStr">
        <is>
          <t>P2B</t>
        </is>
      </c>
      <c r="E93" s="20" t="n">
        <v>25</v>
      </c>
      <c r="F93" s="6" t="inlineStr">
        <is>
          <t>CB400-V</t>
        </is>
      </c>
      <c r="G93" s="7" t="inlineStr">
        <is>
          <t>Thanh thẳng nối ren/hàn</t>
        </is>
      </c>
      <c r="H93" s="21" t="n">
        <v>2.985</v>
      </c>
      <c r="I93" s="22" t="n">
        <v>8</v>
      </c>
      <c r="J93" s="23" t="n">
        <v>3.85</v>
      </c>
      <c r="K93" s="9">
        <f>ROUND(H93*I93*J93, 2)</f>
        <v/>
      </c>
      <c r="L93" s="24">
        <f>ROUND(K93/1000, 3)</f>
        <v/>
      </c>
      <c r="M93" s="8" t="n"/>
      <c r="N93" s="21">
        <f>ROUND(N92 + IF(AND(E93&lt;=10, F93&lt;&gt;"ASTM A416"), L93, 0), 3)</f>
        <v/>
      </c>
      <c r="O93" s="21">
        <f>ROUND(O92 + IF(AND(E93&gt;10, E93&lt;=18, F93&lt;&gt;"ASTM A416"), L93, 0), 3)</f>
        <v/>
      </c>
      <c r="P93" s="21">
        <f>ROUND(P92 + IF(AND(E93&gt;18, F93&lt;&gt;"ASTM A416"), L93, 0), 3)</f>
        <v/>
      </c>
      <c r="Q93" s="21">
        <f>ROUND(Q92 + IF(F93="ASTM A416", L93, 0), 3)</f>
        <v/>
      </c>
      <c r="R93" s="11">
        <f>IF(INT(N93/20)&gt;INT(N92/20), "Lần " &amp; INT(N93/20), "")</f>
        <v/>
      </c>
      <c r="S93" s="12">
        <f>IF(INT(O93/20)&gt;INT(O92/20), "Lần " &amp; INT(O93/20), "")</f>
        <v/>
      </c>
      <c r="T93" s="11">
        <f>IF(INT(P93/20)&gt;INT(P92/20), "Lần " &amp; INT(P93/20), "")</f>
        <v/>
      </c>
      <c r="U93" s="25">
        <f>IF(INT(Q93/20)&gt;INT(Q92/20), "Lần " &amp; INT(Q93/20), "")</f>
        <v/>
      </c>
      <c r="V93" s="6" t="inlineStr"/>
      <c r="W93" s="6" t="inlineStr">
        <is>
          <t>ĐẠT TCVN 1651:2018</t>
        </is>
      </c>
    </row>
    <row r="94" ht="19" customHeight="1">
      <c r="A94" s="6" t="n">
        <v>84</v>
      </c>
      <c r="B94" s="7" t="inlineStr">
        <is>
          <t>Cọc khoan nhồi C7 Mố M1 (D1.2m, L=20.0m)</t>
        </is>
      </c>
      <c r="C94" s="7" t="inlineStr">
        <is>
          <t>Cốt thép chủ chịu lực cọc</t>
        </is>
      </c>
      <c r="D94" s="19" t="inlineStr">
        <is>
          <t>P3</t>
        </is>
      </c>
      <c r="E94" s="20" t="n">
        <v>25</v>
      </c>
      <c r="F94" s="6" t="inlineStr">
        <is>
          <t>CB400-V</t>
        </is>
      </c>
      <c r="G94" s="7" t="inlineStr">
        <is>
          <t>Thanh thẳng nối ren/hàn</t>
        </is>
      </c>
      <c r="H94" s="21" t="n">
        <v>10.7</v>
      </c>
      <c r="I94" s="22" t="n">
        <v>12</v>
      </c>
      <c r="J94" s="23" t="n">
        <v>3.85</v>
      </c>
      <c r="K94" s="9">
        <f>ROUND(H94*I94*J94, 2)</f>
        <v/>
      </c>
      <c r="L94" s="24">
        <f>ROUND(K94/1000, 3)</f>
        <v/>
      </c>
      <c r="M94" s="8" t="n"/>
      <c r="N94" s="21">
        <f>ROUND(N93 + IF(AND(E94&lt;=10, F94&lt;&gt;"ASTM A416"), L94, 0), 3)</f>
        <v/>
      </c>
      <c r="O94" s="21">
        <f>ROUND(O93 + IF(AND(E94&gt;10, E94&lt;=18, F94&lt;&gt;"ASTM A416"), L94, 0), 3)</f>
        <v/>
      </c>
      <c r="P94" s="21">
        <f>ROUND(P93 + IF(AND(E94&gt;18, F94&lt;&gt;"ASTM A416"), L94, 0), 3)</f>
        <v/>
      </c>
      <c r="Q94" s="21">
        <f>ROUND(Q93 + IF(F94="ASTM A416", L94, 0), 3)</f>
        <v/>
      </c>
      <c r="R94" s="11">
        <f>IF(INT(N94/20)&gt;INT(N93/20), "Lần " &amp; INT(N94/20), "")</f>
        <v/>
      </c>
      <c r="S94" s="12">
        <f>IF(INT(O94/20)&gt;INT(O93/20), "Lần " &amp; INT(O94/20), "")</f>
        <v/>
      </c>
      <c r="T94" s="11">
        <f>IF(INT(P94/20)&gt;INT(P93/20), "Lần " &amp; INT(P94/20), "")</f>
        <v/>
      </c>
      <c r="U94" s="25">
        <f>IF(INT(Q94/20)&gt;INT(Q93/20), "Lần " &amp; INT(Q94/20), "")</f>
        <v/>
      </c>
      <c r="V94" s="6" t="inlineStr"/>
      <c r="W94" s="6" t="inlineStr">
        <is>
          <t>ĐẠT TCVN 1651:2018</t>
        </is>
      </c>
    </row>
    <row r="95" ht="19" customHeight="1">
      <c r="A95" s="6" t="n">
        <v>85</v>
      </c>
      <c r="B95" s="7" t="inlineStr">
        <is>
          <t>Cọc khoan nhồi C7 Mố M1 (D1.2m, L=20.0m)</t>
        </is>
      </c>
      <c r="C95" s="7" t="inlineStr">
        <is>
          <t>Cốt thép chủ chịu lực cọc</t>
        </is>
      </c>
      <c r="D95" s="19" t="inlineStr">
        <is>
          <t>P4</t>
        </is>
      </c>
      <c r="E95" s="20" t="n">
        <v>25</v>
      </c>
      <c r="F95" s="6" t="inlineStr">
        <is>
          <t>CB400-V</t>
        </is>
      </c>
      <c r="G95" s="7" t="inlineStr">
        <is>
          <t>Thanh thẳng nối ren/hàn</t>
        </is>
      </c>
      <c r="H95" s="21" t="n">
        <v>11.7</v>
      </c>
      <c r="I95" s="22" t="n">
        <v>12</v>
      </c>
      <c r="J95" s="23" t="n">
        <v>3.85</v>
      </c>
      <c r="K95" s="9">
        <f>ROUND(H95*I95*J95, 2)</f>
        <v/>
      </c>
      <c r="L95" s="24">
        <f>ROUND(K95/1000, 3)</f>
        <v/>
      </c>
      <c r="M95" s="8" t="n"/>
      <c r="N95" s="21">
        <f>ROUND(N94 + IF(AND(E95&lt;=10, F95&lt;&gt;"ASTM A416"), L95, 0), 3)</f>
        <v/>
      </c>
      <c r="O95" s="21">
        <f>ROUND(O94 + IF(AND(E95&gt;10, E95&lt;=18, F95&lt;&gt;"ASTM A416"), L95, 0), 3)</f>
        <v/>
      </c>
      <c r="P95" s="21">
        <f>ROUND(P94 + IF(AND(E95&gt;18, F95&lt;&gt;"ASTM A416"), L95, 0), 3)</f>
        <v/>
      </c>
      <c r="Q95" s="21">
        <f>ROUND(Q94 + IF(F95="ASTM A416", L95, 0), 3)</f>
        <v/>
      </c>
      <c r="R95" s="11">
        <f>IF(INT(N95/20)&gt;INT(N94/20), "Lần " &amp; INT(N95/20), "")</f>
        <v/>
      </c>
      <c r="S95" s="12">
        <f>IF(INT(O95/20)&gt;INT(O94/20), "Lần " &amp; INT(O95/20), "")</f>
        <v/>
      </c>
      <c r="T95" s="11">
        <f>IF(INT(P95/20)&gt;INT(P94/20), "Lần " &amp; INT(P95/20), "")</f>
        <v/>
      </c>
      <c r="U95" s="25">
        <f>IF(INT(Q95/20)&gt;INT(Q94/20), "Lần " &amp; INT(Q95/20), "")</f>
        <v/>
      </c>
      <c r="V95" s="6" t="inlineStr"/>
      <c r="W95" s="6" t="inlineStr">
        <is>
          <t>ĐẠT TCVN 1651:2018</t>
        </is>
      </c>
    </row>
    <row r="96" ht="19" customHeight="1">
      <c r="A96" s="6" t="n">
        <v>86</v>
      </c>
      <c r="B96" s="7" t="inlineStr">
        <is>
          <t>Cọc khoan nhồi C7 Mố M1 (D1.2m, L=20.0m)</t>
        </is>
      </c>
      <c r="C96" s="7" t="inlineStr">
        <is>
          <t>Cốt thép chủ chịu lực cọc</t>
        </is>
      </c>
      <c r="D96" s="19" t="inlineStr">
        <is>
          <t>P6</t>
        </is>
      </c>
      <c r="E96" s="20" t="n">
        <v>25</v>
      </c>
      <c r="F96" s="6" t="inlineStr">
        <is>
          <t>CB400-V</t>
        </is>
      </c>
      <c r="G96" s="7" t="inlineStr">
        <is>
          <t>Thanh thẳng nối ren/hàn</t>
        </is>
      </c>
      <c r="H96" s="21" t="n">
        <v>10.433</v>
      </c>
      <c r="I96" s="22" t="n">
        <v>12</v>
      </c>
      <c r="J96" s="23" t="n">
        <v>3.85</v>
      </c>
      <c r="K96" s="9">
        <f>ROUND(H96*I96*J96, 2)</f>
        <v/>
      </c>
      <c r="L96" s="24">
        <f>ROUND(K96/1000, 3)</f>
        <v/>
      </c>
      <c r="M96" s="8" t="n"/>
      <c r="N96" s="21">
        <f>ROUND(N95 + IF(AND(E96&lt;=10, F96&lt;&gt;"ASTM A416"), L96, 0), 3)</f>
        <v/>
      </c>
      <c r="O96" s="21">
        <f>ROUND(O95 + IF(AND(E96&gt;10, E96&lt;=18, F96&lt;&gt;"ASTM A416"), L96, 0), 3)</f>
        <v/>
      </c>
      <c r="P96" s="21">
        <f>ROUND(P95 + IF(AND(E96&gt;18, F96&lt;&gt;"ASTM A416"), L96, 0), 3)</f>
        <v/>
      </c>
      <c r="Q96" s="21">
        <f>ROUND(Q95 + IF(F96="ASTM A416", L96, 0), 3)</f>
        <v/>
      </c>
      <c r="R96" s="11">
        <f>IF(INT(N96/20)&gt;INT(N95/20), "Lần " &amp; INT(N96/20), "")</f>
        <v/>
      </c>
      <c r="S96" s="12">
        <f>IF(INT(O96/20)&gt;INT(O95/20), "Lần " &amp; INT(O96/20), "")</f>
        <v/>
      </c>
      <c r="T96" s="11">
        <f>IF(INT(P96/20)&gt;INT(P95/20), "Lần " &amp; INT(P96/20), "")</f>
        <v/>
      </c>
      <c r="U96" s="25">
        <f>IF(INT(Q96/20)&gt;INT(Q95/20), "Lần " &amp; INT(Q96/20), "")</f>
        <v/>
      </c>
      <c r="V96" s="6" t="inlineStr"/>
      <c r="W96" s="6" t="inlineStr">
        <is>
          <t>ĐẠT TCVN 1651:2018</t>
        </is>
      </c>
    </row>
    <row r="97" ht="19" customHeight="1">
      <c r="A97" s="6" t="n">
        <v>87</v>
      </c>
      <c r="B97" s="7" t="inlineStr">
        <is>
          <t>Cọc khoan nhồi C7 Mố M1 (D1.2m, L=20.0m)</t>
        </is>
      </c>
      <c r="C97" s="7" t="inlineStr">
        <is>
          <t>Cốt thép chủ chịu lực cọc</t>
        </is>
      </c>
      <c r="D97" s="19" t="inlineStr">
        <is>
          <t>P7</t>
        </is>
      </c>
      <c r="E97" s="20" t="n">
        <v>25</v>
      </c>
      <c r="F97" s="6" t="inlineStr">
        <is>
          <t>CB400-V</t>
        </is>
      </c>
      <c r="G97" s="7" t="inlineStr">
        <is>
          <t>Thanh thẳng nối ren/hàn</t>
        </is>
      </c>
      <c r="H97" s="21" t="n">
        <v>11.433</v>
      </c>
      <c r="I97" s="22" t="n">
        <v>12</v>
      </c>
      <c r="J97" s="23" t="n">
        <v>3.85</v>
      </c>
      <c r="K97" s="9">
        <f>ROUND(H97*I97*J97, 2)</f>
        <v/>
      </c>
      <c r="L97" s="24">
        <f>ROUND(K97/1000, 3)</f>
        <v/>
      </c>
      <c r="M97" s="8" t="n"/>
      <c r="N97" s="21">
        <f>ROUND(N96 + IF(AND(E97&lt;=10, F97&lt;&gt;"ASTM A416"), L97, 0), 3)</f>
        <v/>
      </c>
      <c r="O97" s="21">
        <f>ROUND(O96 + IF(AND(E97&gt;10, E97&lt;=18, F97&lt;&gt;"ASTM A416"), L97, 0), 3)</f>
        <v/>
      </c>
      <c r="P97" s="21">
        <f>ROUND(P96 + IF(AND(E97&gt;18, F97&lt;&gt;"ASTM A416"), L97, 0), 3)</f>
        <v/>
      </c>
      <c r="Q97" s="21">
        <f>ROUND(Q96 + IF(F97="ASTM A416", L97, 0), 3)</f>
        <v/>
      </c>
      <c r="R97" s="11">
        <f>IF(INT(N97/20)&gt;INT(N96/20), "Lần " &amp; INT(N97/20), "")</f>
        <v/>
      </c>
      <c r="S97" s="12">
        <f>IF(INT(O97/20)&gt;INT(O96/20), "Lần " &amp; INT(O97/20), "")</f>
        <v/>
      </c>
      <c r="T97" s="11">
        <f>IF(INT(P97/20)&gt;INT(P96/20), "Lần " &amp; INT(P97/20), "")</f>
        <v/>
      </c>
      <c r="U97" s="25">
        <f>IF(INT(Q97/20)&gt;INT(Q96/20), "Lần " &amp; INT(Q97/20), "")</f>
        <v/>
      </c>
      <c r="V97" s="6" t="inlineStr"/>
      <c r="W97" s="6" t="inlineStr">
        <is>
          <t>ĐẠT TCVN 1651:2018</t>
        </is>
      </c>
    </row>
    <row r="98" ht="19" customHeight="1">
      <c r="A98" s="6" t="n">
        <v>88</v>
      </c>
      <c r="B98" s="7" t="inlineStr">
        <is>
          <t>Cọc khoan nhồi C7 Mố M1 (D1.2m, L=20.0m)</t>
        </is>
      </c>
      <c r="C98" s="7" t="inlineStr">
        <is>
          <t>Đai tăng cường / Con kê bảo vệ</t>
        </is>
      </c>
      <c r="D98" s="19" t="inlineStr">
        <is>
          <t>P8</t>
        </is>
      </c>
      <c r="E98" s="20" t="n">
        <v>12</v>
      </c>
      <c r="F98" s="6" t="inlineStr">
        <is>
          <t>CB400-V</t>
        </is>
      </c>
      <c r="G98" s="7" t="inlineStr">
        <is>
          <t>Móc neo / Vòng đai</t>
        </is>
      </c>
      <c r="H98" s="21" t="n">
        <v>0.647</v>
      </c>
      <c r="I98" s="22" t="n">
        <v>8</v>
      </c>
      <c r="J98" s="23" t="n">
        <v>0.888</v>
      </c>
      <c r="K98" s="9">
        <f>ROUND(H98*I98*J98, 2)</f>
        <v/>
      </c>
      <c r="L98" s="24">
        <f>ROUND(K98/1000, 3)</f>
        <v/>
      </c>
      <c r="M98" s="8" t="n"/>
      <c r="N98" s="21">
        <f>ROUND(N97 + IF(AND(E98&lt;=10, F98&lt;&gt;"ASTM A416"), L98, 0), 3)</f>
        <v/>
      </c>
      <c r="O98" s="21">
        <f>ROUND(O97 + IF(AND(E98&gt;10, E98&lt;=18, F98&lt;&gt;"ASTM A416"), L98, 0), 3)</f>
        <v/>
      </c>
      <c r="P98" s="21">
        <f>ROUND(P97 + IF(AND(E98&gt;18, F98&lt;&gt;"ASTM A416"), L98, 0), 3)</f>
        <v/>
      </c>
      <c r="Q98" s="21">
        <f>ROUND(Q97 + IF(F98="ASTM A416", L98, 0), 3)</f>
        <v/>
      </c>
      <c r="R98" s="11">
        <f>IF(INT(N98/20)&gt;INT(N97/20), "Lần " &amp; INT(N98/20), "")</f>
        <v/>
      </c>
      <c r="S98" s="12">
        <f>IF(INT(O98/20)&gt;INT(O97/20), "Lần " &amp; INT(O98/20), "")</f>
        <v/>
      </c>
      <c r="T98" s="11">
        <f>IF(INT(P98/20)&gt;INT(P97/20), "Lần " &amp; INT(P98/20), "")</f>
        <v/>
      </c>
      <c r="U98" s="25">
        <f>IF(INT(Q98/20)&gt;INT(Q97/20), "Lần " &amp; INT(Q98/20), "")</f>
        <v/>
      </c>
      <c r="V98" s="6" t="inlineStr"/>
      <c r="W98" s="6" t="inlineStr">
        <is>
          <t>ĐẠT TCVN 1651:2018</t>
        </is>
      </c>
    </row>
    <row r="99" ht="19" customHeight="1">
      <c r="A99" s="6" t="n">
        <v>89</v>
      </c>
      <c r="B99" s="7" t="inlineStr">
        <is>
          <t>Cọc khoan nhồi C7 Mố M1 (D1.2m, L=20.0m)</t>
        </is>
      </c>
      <c r="C99" s="7" t="inlineStr">
        <is>
          <t>Đai tăng cường / Con kê bảo vệ</t>
        </is>
      </c>
      <c r="D99" s="19" t="inlineStr">
        <is>
          <t>P9</t>
        </is>
      </c>
      <c r="E99" s="20" t="n">
        <v>12</v>
      </c>
      <c r="F99" s="6" t="inlineStr">
        <is>
          <t>CB400-V</t>
        </is>
      </c>
      <c r="G99" s="7" t="inlineStr">
        <is>
          <t>Móc neo / Vòng đai</t>
        </is>
      </c>
      <c r="H99" s="21" t="n">
        <v>0.379</v>
      </c>
      <c r="I99" s="22" t="n">
        <v>24</v>
      </c>
      <c r="J99" s="23" t="n">
        <v>0.888</v>
      </c>
      <c r="K99" s="9">
        <f>ROUND(H99*I99*J99, 2)</f>
        <v/>
      </c>
      <c r="L99" s="24">
        <f>ROUND(K99/1000, 3)</f>
        <v/>
      </c>
      <c r="M99" s="8" t="n"/>
      <c r="N99" s="21">
        <f>ROUND(N98 + IF(AND(E99&lt;=10, F99&lt;&gt;"ASTM A416"), L99, 0), 3)</f>
        <v/>
      </c>
      <c r="O99" s="21">
        <f>ROUND(O98 + IF(AND(E99&gt;10, E99&lt;=18, F99&lt;&gt;"ASTM A416"), L99, 0), 3)</f>
        <v/>
      </c>
      <c r="P99" s="21">
        <f>ROUND(P98 + IF(AND(E99&gt;18, F99&lt;&gt;"ASTM A416"), L99, 0), 3)</f>
        <v/>
      </c>
      <c r="Q99" s="21">
        <f>ROUND(Q98 + IF(F99="ASTM A416", L99, 0), 3)</f>
        <v/>
      </c>
      <c r="R99" s="11">
        <f>IF(INT(N99/20)&gt;INT(N98/20), "Lần " &amp; INT(N99/20), "")</f>
        <v/>
      </c>
      <c r="S99" s="12">
        <f>IF(INT(O99/20)&gt;INT(O98/20), "Lần " &amp; INT(O99/20), "")</f>
        <v/>
      </c>
      <c r="T99" s="11">
        <f>IF(INT(P99/20)&gt;INT(P98/20), "Lần " &amp; INT(P99/20), "")</f>
        <v/>
      </c>
      <c r="U99" s="25">
        <f>IF(INT(Q99/20)&gt;INT(Q98/20), "Lần " &amp; INT(Q99/20), "")</f>
        <v/>
      </c>
      <c r="V99" s="6" t="inlineStr"/>
      <c r="W99" s="6" t="inlineStr">
        <is>
          <t>ĐẠT TCVN 1651:2018</t>
        </is>
      </c>
    </row>
    <row r="100" ht="19" customHeight="1">
      <c r="A100" s="6" t="n">
        <v>90</v>
      </c>
      <c r="B100" s="7" t="inlineStr">
        <is>
          <t>Cọc khoan nhồi C7 Mố M1 (D1.2m, L=20.0m)</t>
        </is>
      </c>
      <c r="C100" s="7" t="inlineStr">
        <is>
          <t>Thép đai xoắn lồng cọc</t>
        </is>
      </c>
      <c r="D100" s="19" t="inlineStr">
        <is>
          <t>P10</t>
        </is>
      </c>
      <c r="E100" s="20" t="n">
        <v>20</v>
      </c>
      <c r="F100" s="6" t="inlineStr">
        <is>
          <t>CB400-V</t>
        </is>
      </c>
      <c r="G100" s="7" t="inlineStr">
        <is>
          <t>Đai xoắn tròn</t>
        </is>
      </c>
      <c r="H100" s="21" t="n">
        <v>2.057</v>
      </c>
      <c r="I100" s="22" t="n">
        <v>1</v>
      </c>
      <c r="J100" s="23" t="n">
        <v>2.47</v>
      </c>
      <c r="K100" s="9">
        <f>ROUND(H100*I100*J100, 2)</f>
        <v/>
      </c>
      <c r="L100" s="24">
        <f>ROUND(K100/1000, 3)</f>
        <v/>
      </c>
      <c r="M100" s="8" t="n"/>
      <c r="N100" s="21">
        <f>ROUND(N99 + IF(AND(E100&lt;=10, F100&lt;&gt;"ASTM A416"), L100, 0), 3)</f>
        <v/>
      </c>
      <c r="O100" s="21">
        <f>ROUND(O99 + IF(AND(E100&gt;10, E100&lt;=18, F100&lt;&gt;"ASTM A416"), L100, 0), 3)</f>
        <v/>
      </c>
      <c r="P100" s="21">
        <f>ROUND(P99 + IF(AND(E100&gt;18, F100&lt;&gt;"ASTM A416"), L100, 0), 3)</f>
        <v/>
      </c>
      <c r="Q100" s="21">
        <f>ROUND(Q99 + IF(F100="ASTM A416", L100, 0), 3)</f>
        <v/>
      </c>
      <c r="R100" s="11">
        <f>IF(INT(N100/20)&gt;INT(N99/20), "Lần " &amp; INT(N100/20), "")</f>
        <v/>
      </c>
      <c r="S100" s="12">
        <f>IF(INT(O100/20)&gt;INT(O99/20), "Lần " &amp; INT(O100/20), "")</f>
        <v/>
      </c>
      <c r="T100" s="11">
        <f>IF(INT(P100/20)&gt;INT(P99/20), "Lần " &amp; INT(P100/20), "")</f>
        <v/>
      </c>
      <c r="U100" s="25">
        <f>IF(INT(Q100/20)&gt;INT(Q99/20), "Lần " &amp; INT(Q100/20), "")</f>
        <v/>
      </c>
      <c r="V100" s="6" t="inlineStr"/>
      <c r="W100" s="6" t="inlineStr">
        <is>
          <t>ĐẠT TCVN 1651:2018</t>
        </is>
      </c>
    </row>
    <row r="101" ht="19" customHeight="1">
      <c r="A101" s="6" t="n">
        <v>91</v>
      </c>
      <c r="B101" s="7" t="inlineStr">
        <is>
          <t>Cọc khoan nhồi C7 Mố M1 (D1.2m, L=20.0m)</t>
        </is>
      </c>
      <c r="C101" s="7" t="inlineStr">
        <is>
          <t>Thép đai xoắn lồng cọc</t>
        </is>
      </c>
      <c r="D101" s="19" t="inlineStr">
        <is>
          <t>P12</t>
        </is>
      </c>
      <c r="E101" s="20" t="n">
        <v>20</v>
      </c>
      <c r="F101" s="6" t="inlineStr">
        <is>
          <t>CB400-V</t>
        </is>
      </c>
      <c r="G101" s="7" t="inlineStr">
        <is>
          <t>Đai xoắn tròn</t>
        </is>
      </c>
      <c r="H101" s="21" t="n">
        <v>0.583</v>
      </c>
      <c r="I101" s="22" t="n">
        <v>32</v>
      </c>
      <c r="J101" s="23" t="n">
        <v>2.47</v>
      </c>
      <c r="K101" s="9">
        <f>ROUND(H101*I101*J101, 2)</f>
        <v/>
      </c>
      <c r="L101" s="24">
        <f>ROUND(K101/1000, 3)</f>
        <v/>
      </c>
      <c r="M101" s="8" t="n"/>
      <c r="N101" s="21">
        <f>ROUND(N100 + IF(AND(E101&lt;=10, F101&lt;&gt;"ASTM A416"), L101, 0), 3)</f>
        <v/>
      </c>
      <c r="O101" s="21">
        <f>ROUND(O100 + IF(AND(E101&gt;10, E101&lt;=18, F101&lt;&gt;"ASTM A416"), L101, 0), 3)</f>
        <v/>
      </c>
      <c r="P101" s="21">
        <f>ROUND(P100 + IF(AND(E101&gt;18, F101&lt;&gt;"ASTM A416"), L101, 0), 3)</f>
        <v/>
      </c>
      <c r="Q101" s="21">
        <f>ROUND(Q100 + IF(F101="ASTM A416", L101, 0), 3)</f>
        <v/>
      </c>
      <c r="R101" s="11">
        <f>IF(INT(N101/20)&gt;INT(N100/20), "Lần " &amp; INT(N101/20), "")</f>
        <v/>
      </c>
      <c r="S101" s="12">
        <f>IF(INT(O101/20)&gt;INT(O100/20), "Lần " &amp; INT(O101/20), "")</f>
        <v/>
      </c>
      <c r="T101" s="11">
        <f>IF(INT(P101/20)&gt;INT(P100/20), "Lần " &amp; INT(P101/20), "")</f>
        <v/>
      </c>
      <c r="U101" s="25">
        <f>IF(INT(Q101/20)&gt;INT(Q100/20), "Lần " &amp; INT(Q101/20), "")</f>
        <v/>
      </c>
      <c r="V101" s="6" t="inlineStr"/>
      <c r="W101" s="6" t="inlineStr">
        <is>
          <t>ĐẠT TCVN 1651:2018</t>
        </is>
      </c>
    </row>
    <row r="102" ht="20" customHeight="1">
      <c r="A102" s="18" t="inlineStr">
        <is>
          <t>--- CỌC KHOAN NHỒI C1 TRỤ T1 (D1.2M, L=40.0M) ---</t>
        </is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</row>
    <row r="103" ht="19" customHeight="1">
      <c r="A103" s="6" t="n">
        <v>92</v>
      </c>
      <c r="B103" s="7" t="inlineStr">
        <is>
          <t>Cọc khoan nhồi C1 Trụ T1 (D1.2m, L=40.0m)</t>
        </is>
      </c>
      <c r="C103" s="7" t="inlineStr">
        <is>
          <t>Thép đai xoắn lồng cọc</t>
        </is>
      </c>
      <c r="D103" s="19" t="inlineStr">
        <is>
          <t>P1</t>
        </is>
      </c>
      <c r="E103" s="20" t="n">
        <v>10</v>
      </c>
      <c r="F103" s="6" t="inlineStr">
        <is>
          <t>CB240-T</t>
        </is>
      </c>
      <c r="G103" s="7" t="inlineStr">
        <is>
          <t>Đai xoắn tròn</t>
        </is>
      </c>
      <c r="H103" s="21" t="n">
        <v>96.604</v>
      </c>
      <c r="I103" s="22" t="n">
        <v>1</v>
      </c>
      <c r="J103" s="23" t="n">
        <v>0.617</v>
      </c>
      <c r="K103" s="9">
        <f>ROUND(H103*I103*J103, 2)</f>
        <v/>
      </c>
      <c r="L103" s="24">
        <f>ROUND(K103/1000, 3)</f>
        <v/>
      </c>
      <c r="M103" s="8" t="n"/>
      <c r="N103" s="21">
        <f>ROUND(N101 + IF(AND(E103&lt;=10, F103&lt;&gt;"ASTM A416"), L103, 0), 3)</f>
        <v/>
      </c>
      <c r="O103" s="21">
        <f>ROUND(O101 + IF(AND(E103&gt;10, E103&lt;=18, F103&lt;&gt;"ASTM A416"), L103, 0), 3)</f>
        <v/>
      </c>
      <c r="P103" s="21">
        <f>ROUND(P101 + IF(AND(E103&gt;18, F103&lt;&gt;"ASTM A416"), L103, 0), 3)</f>
        <v/>
      </c>
      <c r="Q103" s="21">
        <f>ROUND(Q101 + IF(F103="ASTM A416", L103, 0), 3)</f>
        <v/>
      </c>
      <c r="R103" s="11">
        <f>IF(INT(N103/20)&gt;INT(N101/20), "Lần " &amp; INT(N103/20), "")</f>
        <v/>
      </c>
      <c r="S103" s="12">
        <f>IF(INT(O103/20)&gt;INT(O101/20), "Lần " &amp; INT(O103/20), "")</f>
        <v/>
      </c>
      <c r="T103" s="11">
        <f>IF(INT(P103/20)&gt;INT(P101/20), "Lần " &amp; INT(P103/20), "")</f>
        <v/>
      </c>
      <c r="U103" s="25">
        <f>IF(INT(Q103/20)&gt;INT(Q101/20), "Lần " &amp; INT(Q103/20), "")</f>
        <v/>
      </c>
      <c r="V103" s="6" t="inlineStr"/>
      <c r="W103" s="6" t="inlineStr">
        <is>
          <t>ĐẠT TCVN 1651:2018</t>
        </is>
      </c>
    </row>
    <row r="104" ht="19" customHeight="1">
      <c r="A104" s="6" t="n">
        <v>93</v>
      </c>
      <c r="B104" s="7" t="inlineStr">
        <is>
          <t>Cọc khoan nhồi C1 Trụ T1 (D1.2m, L=40.0m)</t>
        </is>
      </c>
      <c r="C104" s="7" t="inlineStr">
        <is>
          <t>Thép đai xoắn lồng cọc</t>
        </is>
      </c>
      <c r="D104" s="19" t="inlineStr">
        <is>
          <t>P1A</t>
        </is>
      </c>
      <c r="E104" s="20" t="n">
        <v>10</v>
      </c>
      <c r="F104" s="6" t="inlineStr">
        <is>
          <t>CB240-T</t>
        </is>
      </c>
      <c r="G104" s="7" t="inlineStr">
        <is>
          <t>Đai xoắn tròn</t>
        </is>
      </c>
      <c r="H104" s="21" t="n">
        <v>389.636</v>
      </c>
      <c r="I104" s="22" t="n">
        <v>1</v>
      </c>
      <c r="J104" s="23" t="n">
        <v>0.617</v>
      </c>
      <c r="K104" s="9">
        <f>ROUND(H104*I104*J104, 2)</f>
        <v/>
      </c>
      <c r="L104" s="24">
        <f>ROUND(K104/1000, 3)</f>
        <v/>
      </c>
      <c r="M104" s="8" t="n"/>
      <c r="N104" s="21">
        <f>ROUND(N103 + IF(AND(E104&lt;=10, F104&lt;&gt;"ASTM A416"), L104, 0), 3)</f>
        <v/>
      </c>
      <c r="O104" s="21">
        <f>ROUND(O103 + IF(AND(E104&gt;10, E104&lt;=18, F104&lt;&gt;"ASTM A416"), L104, 0), 3)</f>
        <v/>
      </c>
      <c r="P104" s="21">
        <f>ROUND(P103 + IF(AND(E104&gt;18, F104&lt;&gt;"ASTM A416"), L104, 0), 3)</f>
        <v/>
      </c>
      <c r="Q104" s="21">
        <f>ROUND(Q103 + IF(F104="ASTM A416", L104, 0), 3)</f>
        <v/>
      </c>
      <c r="R104" s="11">
        <f>IF(INT(N104/20)&gt;INT(N103/20), "Lần " &amp; INT(N104/20), "")</f>
        <v/>
      </c>
      <c r="S104" s="12">
        <f>IF(INT(O104/20)&gt;INT(O103/20), "Lần " &amp; INT(O104/20), "")</f>
        <v/>
      </c>
      <c r="T104" s="11">
        <f>IF(INT(P104/20)&gt;INT(P103/20), "Lần " &amp; INT(P104/20), "")</f>
        <v/>
      </c>
      <c r="U104" s="25">
        <f>IF(INT(Q104/20)&gt;INT(Q103/20), "Lần " &amp; INT(Q104/20), "")</f>
        <v/>
      </c>
      <c r="V104" s="6" t="inlineStr"/>
      <c r="W104" s="6" t="inlineStr">
        <is>
          <t>ĐẠT TCVN 1651:2018</t>
        </is>
      </c>
    </row>
    <row r="105" ht="19" customHeight="1">
      <c r="A105" s="6" t="n">
        <v>94</v>
      </c>
      <c r="B105" s="7" t="inlineStr">
        <is>
          <t>Cọc khoan nhồi C1 Trụ T1 (D1.2m, L=40.0m)</t>
        </is>
      </c>
      <c r="C105" s="7" t="inlineStr">
        <is>
          <t>Thép đai xoắn lồng cọc</t>
        </is>
      </c>
      <c r="D105" s="19" t="inlineStr">
        <is>
          <t>P1B</t>
        </is>
      </c>
      <c r="E105" s="20" t="n">
        <v>10</v>
      </c>
      <c r="F105" s="6" t="inlineStr">
        <is>
          <t>CB240-T</t>
        </is>
      </c>
      <c r="G105" s="7" t="inlineStr">
        <is>
          <t>Đai xoắn tròn</t>
        </is>
      </c>
      <c r="H105" s="21" t="n">
        <v>206.981</v>
      </c>
      <c r="I105" s="22" t="n">
        <v>1</v>
      </c>
      <c r="J105" s="23" t="n">
        <v>0.617</v>
      </c>
      <c r="K105" s="9">
        <f>ROUND(H105*I105*J105, 2)</f>
        <v/>
      </c>
      <c r="L105" s="24">
        <f>ROUND(K105/1000, 3)</f>
        <v/>
      </c>
      <c r="M105" s="8" t="n"/>
      <c r="N105" s="21">
        <f>ROUND(N104 + IF(AND(E105&lt;=10, F105&lt;&gt;"ASTM A416"), L105, 0), 3)</f>
        <v/>
      </c>
      <c r="O105" s="21">
        <f>ROUND(O104 + IF(AND(E105&gt;10, E105&lt;=18, F105&lt;&gt;"ASTM A416"), L105, 0), 3)</f>
        <v/>
      </c>
      <c r="P105" s="21">
        <f>ROUND(P104 + IF(AND(E105&gt;18, F105&lt;&gt;"ASTM A416"), L105, 0), 3)</f>
        <v/>
      </c>
      <c r="Q105" s="21">
        <f>ROUND(Q104 + IF(F105="ASTM A416", L105, 0), 3)</f>
        <v/>
      </c>
      <c r="R105" s="11">
        <f>IF(INT(N105/20)&gt;INT(N104/20), "Lần " &amp; INT(N105/20), "")</f>
        <v/>
      </c>
      <c r="S105" s="12">
        <f>IF(INT(O105/20)&gt;INT(O104/20), "Lần " &amp; INT(O105/20), "")</f>
        <v/>
      </c>
      <c r="T105" s="11">
        <f>IF(INT(P105/20)&gt;INT(P104/20), "Lần " &amp; INT(P105/20), "")</f>
        <v/>
      </c>
      <c r="U105" s="25">
        <f>IF(INT(Q105/20)&gt;INT(Q104/20), "Lần " &amp; INT(Q105/20), "")</f>
        <v/>
      </c>
      <c r="V105" s="6" t="inlineStr"/>
      <c r="W105" s="6" t="inlineStr">
        <is>
          <t>ĐẠT TCVN 1651:2018</t>
        </is>
      </c>
    </row>
    <row r="106" ht="19" customHeight="1">
      <c r="A106" s="6" t="n">
        <v>95</v>
      </c>
      <c r="B106" s="7" t="inlineStr">
        <is>
          <t>Cọc khoan nhồi C1 Trụ T1 (D1.2m, L=40.0m)</t>
        </is>
      </c>
      <c r="C106" s="7" t="inlineStr">
        <is>
          <t>Thép đai xoắn lồng cọc</t>
        </is>
      </c>
      <c r="D106" s="19" t="inlineStr">
        <is>
          <t>P1C</t>
        </is>
      </c>
      <c r="E106" s="20" t="n">
        <v>10</v>
      </c>
      <c r="F106" s="6" t="inlineStr">
        <is>
          <t>CB240-T</t>
        </is>
      </c>
      <c r="G106" s="7" t="inlineStr">
        <is>
          <t>Đai xoắn tròn</t>
        </is>
      </c>
      <c r="H106" s="21" t="n">
        <v>3.592</v>
      </c>
      <c r="I106" s="22" t="n">
        <v>2</v>
      </c>
      <c r="J106" s="23" t="n">
        <v>0.617</v>
      </c>
      <c r="K106" s="9">
        <f>ROUND(H106*I106*J106, 2)</f>
        <v/>
      </c>
      <c r="L106" s="24">
        <f>ROUND(K106/1000, 3)</f>
        <v/>
      </c>
      <c r="M106" s="8" t="n"/>
      <c r="N106" s="21">
        <f>ROUND(N105 + IF(AND(E106&lt;=10, F106&lt;&gt;"ASTM A416"), L106, 0), 3)</f>
        <v/>
      </c>
      <c r="O106" s="21">
        <f>ROUND(O105 + IF(AND(E106&gt;10, E106&lt;=18, F106&lt;&gt;"ASTM A416"), L106, 0), 3)</f>
        <v/>
      </c>
      <c r="P106" s="21">
        <f>ROUND(P105 + IF(AND(E106&gt;18, F106&lt;&gt;"ASTM A416"), L106, 0), 3)</f>
        <v/>
      </c>
      <c r="Q106" s="21">
        <f>ROUND(Q105 + IF(F106="ASTM A416", L106, 0), 3)</f>
        <v/>
      </c>
      <c r="R106" s="11">
        <f>IF(INT(N106/20)&gt;INT(N105/20), "Lần " &amp; INT(N106/20), "")</f>
        <v/>
      </c>
      <c r="S106" s="12">
        <f>IF(INT(O106/20)&gt;INT(O105/20), "Lần " &amp; INT(O106/20), "")</f>
        <v/>
      </c>
      <c r="T106" s="11">
        <f>IF(INT(P106/20)&gt;INT(P105/20), "Lần " &amp; INT(P106/20), "")</f>
        <v/>
      </c>
      <c r="U106" s="25">
        <f>IF(INT(Q106/20)&gt;INT(Q105/20), "Lần " &amp; INT(Q106/20), "")</f>
        <v/>
      </c>
      <c r="V106" s="6" t="inlineStr"/>
      <c r="W106" s="6" t="inlineStr">
        <is>
          <t>ĐẠT TCVN 1651:2018</t>
        </is>
      </c>
    </row>
    <row r="107" ht="19" customHeight="1">
      <c r="A107" s="6" t="n">
        <v>96</v>
      </c>
      <c r="B107" s="7" t="inlineStr">
        <is>
          <t>Cọc khoan nhồi C1 Trụ T1 (D1.2m, L=40.0m)</t>
        </is>
      </c>
      <c r="C107" s="7" t="inlineStr">
        <is>
          <t>Thép đai xoắn lồng cọc</t>
        </is>
      </c>
      <c r="D107" s="19" t="inlineStr">
        <is>
          <t>P1D</t>
        </is>
      </c>
      <c r="E107" s="20" t="n">
        <v>10</v>
      </c>
      <c r="F107" s="6" t="inlineStr">
        <is>
          <t>CB240-T</t>
        </is>
      </c>
      <c r="G107" s="7" t="inlineStr">
        <is>
          <t>Đai xoắn tròn</t>
        </is>
      </c>
      <c r="H107" s="21" t="n">
        <v>19.721</v>
      </c>
      <c r="I107" s="22" t="n">
        <v>1</v>
      </c>
      <c r="J107" s="23" t="n">
        <v>0.617</v>
      </c>
      <c r="K107" s="9">
        <f>ROUND(H107*I107*J107, 2)</f>
        <v/>
      </c>
      <c r="L107" s="24">
        <f>ROUND(K107/1000, 3)</f>
        <v/>
      </c>
      <c r="M107" s="8" t="n"/>
      <c r="N107" s="21">
        <f>ROUND(N106 + IF(AND(E107&lt;=10, F107&lt;&gt;"ASTM A416"), L107, 0), 3)</f>
        <v/>
      </c>
      <c r="O107" s="21">
        <f>ROUND(O106 + IF(AND(E107&gt;10, E107&lt;=18, F107&lt;&gt;"ASTM A416"), L107, 0), 3)</f>
        <v/>
      </c>
      <c r="P107" s="21">
        <f>ROUND(P106 + IF(AND(E107&gt;18, F107&lt;&gt;"ASTM A416"), L107, 0), 3)</f>
        <v/>
      </c>
      <c r="Q107" s="21">
        <f>ROUND(Q106 + IF(F107="ASTM A416", L107, 0), 3)</f>
        <v/>
      </c>
      <c r="R107" s="11">
        <f>IF(INT(N107/20)&gt;INT(N106/20), "Lần " &amp; INT(N107/20), "")</f>
        <v/>
      </c>
      <c r="S107" s="12">
        <f>IF(INT(O107/20)&gt;INT(O106/20), "Lần " &amp; INT(O107/20), "")</f>
        <v/>
      </c>
      <c r="T107" s="11">
        <f>IF(INT(P107/20)&gt;INT(P106/20), "Lần " &amp; INT(P107/20), "")</f>
        <v/>
      </c>
      <c r="U107" s="25">
        <f>IF(INT(Q107/20)&gt;INT(Q106/20), "Lần " &amp; INT(Q107/20), "")</f>
        <v/>
      </c>
      <c r="V107" s="6" t="inlineStr"/>
      <c r="W107" s="6" t="inlineStr">
        <is>
          <t>ĐẠT TCVN 1651:2018</t>
        </is>
      </c>
    </row>
    <row r="108" ht="19" customHeight="1">
      <c r="A108" s="6" t="n">
        <v>97</v>
      </c>
      <c r="B108" s="7" t="inlineStr">
        <is>
          <t>Cọc khoan nhồi C1 Trụ T1 (D1.2m, L=40.0m)</t>
        </is>
      </c>
      <c r="C108" s="7" t="inlineStr">
        <is>
          <t>Cốt thép chủ chịu lực cọc</t>
        </is>
      </c>
      <c r="D108" s="19" t="inlineStr">
        <is>
          <t>P2B</t>
        </is>
      </c>
      <c r="E108" s="20" t="n">
        <v>25</v>
      </c>
      <c r="F108" s="6" t="inlineStr">
        <is>
          <t>CB400-V</t>
        </is>
      </c>
      <c r="G108" s="7" t="inlineStr">
        <is>
          <t>Thanh thẳng nối ren/hàn</t>
        </is>
      </c>
      <c r="H108" s="21" t="n">
        <v>2.985</v>
      </c>
      <c r="I108" s="22" t="n">
        <v>16</v>
      </c>
      <c r="J108" s="23" t="n">
        <v>3.85</v>
      </c>
      <c r="K108" s="9">
        <f>ROUND(H108*I108*J108, 2)</f>
        <v/>
      </c>
      <c r="L108" s="24">
        <f>ROUND(K108/1000, 3)</f>
        <v/>
      </c>
      <c r="M108" s="8" t="n"/>
      <c r="N108" s="21">
        <f>ROUND(N107 + IF(AND(E108&lt;=10, F108&lt;&gt;"ASTM A416"), L108, 0), 3)</f>
        <v/>
      </c>
      <c r="O108" s="21">
        <f>ROUND(O107 + IF(AND(E108&gt;10, E108&lt;=18, F108&lt;&gt;"ASTM A416"), L108, 0), 3)</f>
        <v/>
      </c>
      <c r="P108" s="21">
        <f>ROUND(P107 + IF(AND(E108&gt;18, F108&lt;&gt;"ASTM A416"), L108, 0), 3)</f>
        <v/>
      </c>
      <c r="Q108" s="21">
        <f>ROUND(Q107 + IF(F108="ASTM A416", L108, 0), 3)</f>
        <v/>
      </c>
      <c r="R108" s="11">
        <f>IF(INT(N108/20)&gt;INT(N107/20), "Lần " &amp; INT(N108/20), "")</f>
        <v/>
      </c>
      <c r="S108" s="12">
        <f>IF(INT(O108/20)&gt;INT(O107/20), "Lần " &amp; INT(O108/20), "")</f>
        <v/>
      </c>
      <c r="T108" s="11">
        <f>IF(INT(P108/20)&gt;INT(P107/20), "Lần " &amp; INT(P108/20), "")</f>
        <v/>
      </c>
      <c r="U108" s="25">
        <f>IF(INT(Q108/20)&gt;INT(Q107/20), "Lần " &amp; INT(Q108/20), "")</f>
        <v/>
      </c>
      <c r="V108" s="6" t="inlineStr"/>
      <c r="W108" s="6" t="inlineStr">
        <is>
          <t>ĐẠT TCVN 1651:2018</t>
        </is>
      </c>
    </row>
    <row r="109" ht="19" customHeight="1">
      <c r="A109" s="6" t="n">
        <v>98</v>
      </c>
      <c r="B109" s="7" t="inlineStr">
        <is>
          <t>Cọc khoan nhồi C1 Trụ T1 (D1.2m, L=40.0m)</t>
        </is>
      </c>
      <c r="C109" s="7" t="inlineStr">
        <is>
          <t>Cốt thép chủ chịu lực cọc</t>
        </is>
      </c>
      <c r="D109" s="19" t="inlineStr">
        <is>
          <t>P3</t>
        </is>
      </c>
      <c r="E109" s="20" t="n">
        <v>25</v>
      </c>
      <c r="F109" s="6" t="inlineStr">
        <is>
          <t>CB400-V</t>
        </is>
      </c>
      <c r="G109" s="7" t="inlineStr">
        <is>
          <t>Thanh thẳng nối ren/hàn</t>
        </is>
      </c>
      <c r="H109" s="21" t="n">
        <v>10.7</v>
      </c>
      <c r="I109" s="22" t="n">
        <v>12</v>
      </c>
      <c r="J109" s="23" t="n">
        <v>3.85</v>
      </c>
      <c r="K109" s="9">
        <f>ROUND(H109*I109*J109, 2)</f>
        <v/>
      </c>
      <c r="L109" s="24">
        <f>ROUND(K109/1000, 3)</f>
        <v/>
      </c>
      <c r="M109" s="8" t="n"/>
      <c r="N109" s="21">
        <f>ROUND(N108 + IF(AND(E109&lt;=10, F109&lt;&gt;"ASTM A416"), L109, 0), 3)</f>
        <v/>
      </c>
      <c r="O109" s="21">
        <f>ROUND(O108 + IF(AND(E109&gt;10, E109&lt;=18, F109&lt;&gt;"ASTM A416"), L109, 0), 3)</f>
        <v/>
      </c>
      <c r="P109" s="21">
        <f>ROUND(P108 + IF(AND(E109&gt;18, F109&lt;&gt;"ASTM A416"), L109, 0), 3)</f>
        <v/>
      </c>
      <c r="Q109" s="21">
        <f>ROUND(Q108 + IF(F109="ASTM A416", L109, 0), 3)</f>
        <v/>
      </c>
      <c r="R109" s="11">
        <f>IF(INT(N109/20)&gt;INT(N108/20), "Lần " &amp; INT(N109/20), "")</f>
        <v/>
      </c>
      <c r="S109" s="12">
        <f>IF(INT(O109/20)&gt;INT(O108/20), "Lần " &amp; INT(O109/20), "")</f>
        <v/>
      </c>
      <c r="T109" s="11">
        <f>IF(INT(P109/20)&gt;INT(P108/20), "Lần " &amp; INT(P109/20), "")</f>
        <v/>
      </c>
      <c r="U109" s="25">
        <f>IF(INT(Q109/20)&gt;INT(Q108/20), "Lần " &amp; INT(Q109/20), "")</f>
        <v/>
      </c>
      <c r="V109" s="6" t="inlineStr"/>
      <c r="W109" s="6" t="inlineStr">
        <is>
          <t>ĐẠT TCVN 1651:2018</t>
        </is>
      </c>
    </row>
    <row r="110" ht="19" customHeight="1">
      <c r="A110" s="6" t="n">
        <v>99</v>
      </c>
      <c r="B110" s="7" t="inlineStr">
        <is>
          <t>Cọc khoan nhồi C1 Trụ T1 (D1.2m, L=40.0m)</t>
        </is>
      </c>
      <c r="C110" s="7" t="inlineStr">
        <is>
          <t>Cốt thép chủ chịu lực cọc</t>
        </is>
      </c>
      <c r="D110" s="19" t="inlineStr">
        <is>
          <t>P4</t>
        </is>
      </c>
      <c r="E110" s="20" t="n">
        <v>25</v>
      </c>
      <c r="F110" s="6" t="inlineStr">
        <is>
          <t>CB400-V</t>
        </is>
      </c>
      <c r="G110" s="7" t="inlineStr">
        <is>
          <t>Thanh thẳng nối ren/hàn</t>
        </is>
      </c>
      <c r="H110" s="21" t="n">
        <v>11.7</v>
      </c>
      <c r="I110" s="22" t="n">
        <v>60</v>
      </c>
      <c r="J110" s="23" t="n">
        <v>3.85</v>
      </c>
      <c r="K110" s="9">
        <f>ROUND(H110*I110*J110, 2)</f>
        <v/>
      </c>
      <c r="L110" s="24">
        <f>ROUND(K110/1000, 3)</f>
        <v/>
      </c>
      <c r="M110" s="8" t="n"/>
      <c r="N110" s="21">
        <f>ROUND(N109 + IF(AND(E110&lt;=10, F110&lt;&gt;"ASTM A416"), L110, 0), 3)</f>
        <v/>
      </c>
      <c r="O110" s="21">
        <f>ROUND(O109 + IF(AND(E110&gt;10, E110&lt;=18, F110&lt;&gt;"ASTM A416"), L110, 0), 3)</f>
        <v/>
      </c>
      <c r="P110" s="21">
        <f>ROUND(P109 + IF(AND(E110&gt;18, F110&lt;&gt;"ASTM A416"), L110, 0), 3)</f>
        <v/>
      </c>
      <c r="Q110" s="21">
        <f>ROUND(Q109 + IF(F110="ASTM A416", L110, 0), 3)</f>
        <v/>
      </c>
      <c r="R110" s="11">
        <f>IF(INT(N110/20)&gt;INT(N109/20), "Lần " &amp; INT(N110/20), "")</f>
        <v/>
      </c>
      <c r="S110" s="12">
        <f>IF(INT(O110/20)&gt;INT(O109/20), "Lần " &amp; INT(O110/20), "")</f>
        <v/>
      </c>
      <c r="T110" s="11">
        <f>IF(INT(P110/20)&gt;INT(P109/20), "Lần " &amp; INT(P110/20), "")</f>
        <v/>
      </c>
      <c r="U110" s="25">
        <f>IF(INT(Q110/20)&gt;INT(Q109/20), "Lần " &amp; INT(Q110/20), "")</f>
        <v/>
      </c>
      <c r="V110" s="6" t="inlineStr"/>
      <c r="W110" s="6" t="inlineStr">
        <is>
          <t>ĐẠT TCVN 1651:2018</t>
        </is>
      </c>
    </row>
    <row r="111" ht="19" customHeight="1">
      <c r="A111" s="6" t="n">
        <v>100</v>
      </c>
      <c r="B111" s="7" t="inlineStr">
        <is>
          <t>Cọc khoan nhồi C1 Trụ T1 (D1.2m, L=40.0m)</t>
        </is>
      </c>
      <c r="C111" s="7" t="inlineStr">
        <is>
          <t>Cốt thép chủ chịu lực cọc</t>
        </is>
      </c>
      <c r="D111" s="19" t="inlineStr">
        <is>
          <t>P6</t>
        </is>
      </c>
      <c r="E111" s="20" t="n">
        <v>25</v>
      </c>
      <c r="F111" s="6" t="inlineStr">
        <is>
          <t>CB400-V</t>
        </is>
      </c>
      <c r="G111" s="7" t="inlineStr">
        <is>
          <t>Thanh thẳng nối ren/hàn</t>
        </is>
      </c>
      <c r="H111" s="21" t="n">
        <v>9.032999999999999</v>
      </c>
      <c r="I111" s="22" t="n">
        <v>12</v>
      </c>
      <c r="J111" s="23" t="n">
        <v>3.85</v>
      </c>
      <c r="K111" s="9">
        <f>ROUND(H111*I111*J111, 2)</f>
        <v/>
      </c>
      <c r="L111" s="24">
        <f>ROUND(K111/1000, 3)</f>
        <v/>
      </c>
      <c r="M111" s="8" t="n"/>
      <c r="N111" s="21">
        <f>ROUND(N110 + IF(AND(E111&lt;=10, F111&lt;&gt;"ASTM A416"), L111, 0), 3)</f>
        <v/>
      </c>
      <c r="O111" s="21">
        <f>ROUND(O110 + IF(AND(E111&gt;10, E111&lt;=18, F111&lt;&gt;"ASTM A416"), L111, 0), 3)</f>
        <v/>
      </c>
      <c r="P111" s="21">
        <f>ROUND(P110 + IF(AND(E111&gt;18, F111&lt;&gt;"ASTM A416"), L111, 0), 3)</f>
        <v/>
      </c>
      <c r="Q111" s="21">
        <f>ROUND(Q110 + IF(F111="ASTM A416", L111, 0), 3)</f>
        <v/>
      </c>
      <c r="R111" s="11">
        <f>IF(INT(N111/20)&gt;INT(N110/20), "Lần " &amp; INT(N111/20), "")</f>
        <v/>
      </c>
      <c r="S111" s="12">
        <f>IF(INT(O111/20)&gt;INT(O110/20), "Lần " &amp; INT(O111/20), "")</f>
        <v/>
      </c>
      <c r="T111" s="11">
        <f>IF(INT(P111/20)&gt;INT(P110/20), "Lần " &amp; INT(P111/20), "")</f>
        <v/>
      </c>
      <c r="U111" s="25">
        <f>IF(INT(Q111/20)&gt;INT(Q110/20), "Lần " &amp; INT(Q111/20), "")</f>
        <v/>
      </c>
      <c r="V111" s="6" t="inlineStr"/>
      <c r="W111" s="6" t="inlineStr">
        <is>
          <t>ĐẠT TCVN 1651:2018</t>
        </is>
      </c>
    </row>
    <row r="112" ht="19" customHeight="1">
      <c r="A112" s="6" t="n">
        <v>101</v>
      </c>
      <c r="B112" s="7" t="inlineStr">
        <is>
          <t>Cọc khoan nhồi C1 Trụ T1 (D1.2m, L=40.0m)</t>
        </is>
      </c>
      <c r="C112" s="7" t="inlineStr">
        <is>
          <t>Cốt thép chủ chịu lực cọc</t>
        </is>
      </c>
      <c r="D112" s="19" t="inlineStr">
        <is>
          <t>P7</t>
        </is>
      </c>
      <c r="E112" s="20" t="n">
        <v>25</v>
      </c>
      <c r="F112" s="6" t="inlineStr">
        <is>
          <t>CB400-V</t>
        </is>
      </c>
      <c r="G112" s="7" t="inlineStr">
        <is>
          <t>Thanh thẳng nối ren/hàn</t>
        </is>
      </c>
      <c r="H112" s="21" t="n">
        <v>10.033</v>
      </c>
      <c r="I112" s="22" t="n">
        <v>12</v>
      </c>
      <c r="J112" s="23" t="n">
        <v>3.85</v>
      </c>
      <c r="K112" s="9">
        <f>ROUND(H112*I112*J112, 2)</f>
        <v/>
      </c>
      <c r="L112" s="24">
        <f>ROUND(K112/1000, 3)</f>
        <v/>
      </c>
      <c r="M112" s="8" t="n"/>
      <c r="N112" s="21">
        <f>ROUND(N111 + IF(AND(E112&lt;=10, F112&lt;&gt;"ASTM A416"), L112, 0), 3)</f>
        <v/>
      </c>
      <c r="O112" s="21">
        <f>ROUND(O111 + IF(AND(E112&gt;10, E112&lt;=18, F112&lt;&gt;"ASTM A416"), L112, 0), 3)</f>
        <v/>
      </c>
      <c r="P112" s="21">
        <f>ROUND(P111 + IF(AND(E112&gt;18, F112&lt;&gt;"ASTM A416"), L112, 0), 3)</f>
        <v/>
      </c>
      <c r="Q112" s="21">
        <f>ROUND(Q111 + IF(F112="ASTM A416", L112, 0), 3)</f>
        <v/>
      </c>
      <c r="R112" s="11">
        <f>IF(INT(N112/20)&gt;INT(N111/20), "Lần " &amp; INT(N112/20), "")</f>
        <v/>
      </c>
      <c r="S112" s="12">
        <f>IF(INT(O112/20)&gt;INT(O111/20), "Lần " &amp; INT(O112/20), "")</f>
        <v/>
      </c>
      <c r="T112" s="11">
        <f>IF(INT(P112/20)&gt;INT(P111/20), "Lần " &amp; INT(P112/20), "")</f>
        <v/>
      </c>
      <c r="U112" s="25">
        <f>IF(INT(Q112/20)&gt;INT(Q111/20), "Lần " &amp; INT(Q112/20), "")</f>
        <v/>
      </c>
      <c r="V112" s="6" t="inlineStr"/>
      <c r="W112" s="6" t="inlineStr">
        <is>
          <t>ĐẠT TCVN 1651:2018</t>
        </is>
      </c>
    </row>
    <row r="113" ht="19" customHeight="1">
      <c r="A113" s="6" t="n">
        <v>102</v>
      </c>
      <c r="B113" s="7" t="inlineStr">
        <is>
          <t>Cọc khoan nhồi C1 Trụ T1 (D1.2m, L=40.0m)</t>
        </is>
      </c>
      <c r="C113" s="7" t="inlineStr">
        <is>
          <t>Đai tăng cường / Con kê bảo vệ</t>
        </is>
      </c>
      <c r="D113" s="19" t="inlineStr">
        <is>
          <t>P8</t>
        </is>
      </c>
      <c r="E113" s="20" t="n">
        <v>12</v>
      </c>
      <c r="F113" s="6" t="inlineStr">
        <is>
          <t>CB400-V</t>
        </is>
      </c>
      <c r="G113" s="7" t="inlineStr">
        <is>
          <t>Móc neo / Vòng đai</t>
        </is>
      </c>
      <c r="H113" s="21" t="n">
        <v>0.647</v>
      </c>
      <c r="I113" s="22" t="n">
        <v>16</v>
      </c>
      <c r="J113" s="23" t="n">
        <v>0.888</v>
      </c>
      <c r="K113" s="9">
        <f>ROUND(H113*I113*J113, 2)</f>
        <v/>
      </c>
      <c r="L113" s="24">
        <f>ROUND(K113/1000, 3)</f>
        <v/>
      </c>
      <c r="M113" s="8" t="n"/>
      <c r="N113" s="21">
        <f>ROUND(N112 + IF(AND(E113&lt;=10, F113&lt;&gt;"ASTM A416"), L113, 0), 3)</f>
        <v/>
      </c>
      <c r="O113" s="21">
        <f>ROUND(O112 + IF(AND(E113&gt;10, E113&lt;=18, F113&lt;&gt;"ASTM A416"), L113, 0), 3)</f>
        <v/>
      </c>
      <c r="P113" s="21">
        <f>ROUND(P112 + IF(AND(E113&gt;18, F113&lt;&gt;"ASTM A416"), L113, 0), 3)</f>
        <v/>
      </c>
      <c r="Q113" s="21">
        <f>ROUND(Q112 + IF(F113="ASTM A416", L113, 0), 3)</f>
        <v/>
      </c>
      <c r="R113" s="11">
        <f>IF(INT(N113/20)&gt;INT(N112/20), "Lần " &amp; INT(N113/20), "")</f>
        <v/>
      </c>
      <c r="S113" s="12">
        <f>IF(INT(O113/20)&gt;INT(O112/20), "Lần " &amp; INT(O113/20), "")</f>
        <v/>
      </c>
      <c r="T113" s="11">
        <f>IF(INT(P113/20)&gt;INT(P112/20), "Lần " &amp; INT(P113/20), "")</f>
        <v/>
      </c>
      <c r="U113" s="25">
        <f>IF(INT(Q113/20)&gt;INT(Q112/20), "Lần " &amp; INT(Q113/20), "")</f>
        <v/>
      </c>
      <c r="V113" s="6" t="inlineStr"/>
      <c r="W113" s="6" t="inlineStr">
        <is>
          <t>ĐẠT TCVN 1651:2018</t>
        </is>
      </c>
    </row>
    <row r="114" ht="19" customHeight="1">
      <c r="A114" s="6" t="n">
        <v>103</v>
      </c>
      <c r="B114" s="7" t="inlineStr">
        <is>
          <t>Cọc khoan nhồi C1 Trụ T1 (D1.2m, L=40.0m)</t>
        </is>
      </c>
      <c r="C114" s="7" t="inlineStr">
        <is>
          <t>Đai tăng cường / Con kê bảo vệ</t>
        </is>
      </c>
      <c r="D114" s="19" t="inlineStr">
        <is>
          <t>P9</t>
        </is>
      </c>
      <c r="E114" s="20" t="n">
        <v>12</v>
      </c>
      <c r="F114" s="6" t="inlineStr">
        <is>
          <t>CB400-V</t>
        </is>
      </c>
      <c r="G114" s="7" t="inlineStr">
        <is>
          <t>Móc neo / Vòng đai</t>
        </is>
      </c>
      <c r="H114" s="21" t="n">
        <v>0.379</v>
      </c>
      <c r="I114" s="22" t="n">
        <v>48</v>
      </c>
      <c r="J114" s="23" t="n">
        <v>0.888</v>
      </c>
      <c r="K114" s="9">
        <f>ROUND(H114*I114*J114, 2)</f>
        <v/>
      </c>
      <c r="L114" s="24">
        <f>ROUND(K114/1000, 3)</f>
        <v/>
      </c>
      <c r="M114" s="8" t="n"/>
      <c r="N114" s="21">
        <f>ROUND(N113 + IF(AND(E114&lt;=10, F114&lt;&gt;"ASTM A416"), L114, 0), 3)</f>
        <v/>
      </c>
      <c r="O114" s="21">
        <f>ROUND(O113 + IF(AND(E114&gt;10, E114&lt;=18, F114&lt;&gt;"ASTM A416"), L114, 0), 3)</f>
        <v/>
      </c>
      <c r="P114" s="21">
        <f>ROUND(P113 + IF(AND(E114&gt;18, F114&lt;&gt;"ASTM A416"), L114, 0), 3)</f>
        <v/>
      </c>
      <c r="Q114" s="21">
        <f>ROUND(Q113 + IF(F114="ASTM A416", L114, 0), 3)</f>
        <v/>
      </c>
      <c r="R114" s="11">
        <f>IF(INT(N114/20)&gt;INT(N113/20), "Lần " &amp; INT(N114/20), "")</f>
        <v/>
      </c>
      <c r="S114" s="12">
        <f>IF(INT(O114/20)&gt;INT(O113/20), "Lần " &amp; INT(O114/20), "")</f>
        <v/>
      </c>
      <c r="T114" s="11">
        <f>IF(INT(P114/20)&gt;INT(P113/20), "Lần " &amp; INT(P114/20), "")</f>
        <v/>
      </c>
      <c r="U114" s="25">
        <f>IF(INT(Q114/20)&gt;INT(Q113/20), "Lần " &amp; INT(Q114/20), "")</f>
        <v/>
      </c>
      <c r="V114" s="6" t="inlineStr"/>
      <c r="W114" s="6" t="inlineStr">
        <is>
          <t>ĐẠT TCVN 1651:2018</t>
        </is>
      </c>
    </row>
    <row r="115" ht="19" customHeight="1">
      <c r="A115" s="6" t="n">
        <v>104</v>
      </c>
      <c r="B115" s="7" t="inlineStr">
        <is>
          <t>Cọc khoan nhồi C1 Trụ T1 (D1.2m, L=40.0m)</t>
        </is>
      </c>
      <c r="C115" s="7" t="inlineStr">
        <is>
          <t>Thép đai xoắn lồng cọc</t>
        </is>
      </c>
      <c r="D115" s="19" t="inlineStr">
        <is>
          <t>P10</t>
        </is>
      </c>
      <c r="E115" s="20" t="n">
        <v>20</v>
      </c>
      <c r="F115" s="6" t="inlineStr">
        <is>
          <t>CB400-V</t>
        </is>
      </c>
      <c r="G115" s="7" t="inlineStr">
        <is>
          <t>Đai xoắn tròn</t>
        </is>
      </c>
      <c r="H115" s="21" t="n">
        <v>2.057</v>
      </c>
      <c r="I115" s="22" t="n">
        <v>1</v>
      </c>
      <c r="J115" s="23" t="n">
        <v>2.47</v>
      </c>
      <c r="K115" s="9">
        <f>ROUND(H115*I115*J115, 2)</f>
        <v/>
      </c>
      <c r="L115" s="24">
        <f>ROUND(K115/1000, 3)</f>
        <v/>
      </c>
      <c r="M115" s="8" t="n"/>
      <c r="N115" s="21">
        <f>ROUND(N114 + IF(AND(E115&lt;=10, F115&lt;&gt;"ASTM A416"), L115, 0), 3)</f>
        <v/>
      </c>
      <c r="O115" s="21">
        <f>ROUND(O114 + IF(AND(E115&gt;10, E115&lt;=18, F115&lt;&gt;"ASTM A416"), L115, 0), 3)</f>
        <v/>
      </c>
      <c r="P115" s="21">
        <f>ROUND(P114 + IF(AND(E115&gt;18, F115&lt;&gt;"ASTM A416"), L115, 0), 3)</f>
        <v/>
      </c>
      <c r="Q115" s="21">
        <f>ROUND(Q114 + IF(F115="ASTM A416", L115, 0), 3)</f>
        <v/>
      </c>
      <c r="R115" s="11">
        <f>IF(INT(N115/20)&gt;INT(N114/20), "Lần " &amp; INT(N115/20), "")</f>
        <v/>
      </c>
      <c r="S115" s="12">
        <f>IF(INT(O115/20)&gt;INT(O114/20), "Lần " &amp; INT(O115/20), "")</f>
        <v/>
      </c>
      <c r="T115" s="11">
        <f>IF(INT(P115/20)&gt;INT(P114/20), "Lần " &amp; INT(P115/20), "")</f>
        <v/>
      </c>
      <c r="U115" s="25">
        <f>IF(INT(Q115/20)&gt;INT(Q114/20), "Lần " &amp; INT(Q115/20), "")</f>
        <v/>
      </c>
      <c r="V115" s="6" t="inlineStr"/>
      <c r="W115" s="6" t="inlineStr">
        <is>
          <t>ĐẠT TCVN 1651:2018</t>
        </is>
      </c>
    </row>
    <row r="116" ht="19" customHeight="1">
      <c r="A116" s="6" t="n">
        <v>105</v>
      </c>
      <c r="B116" s="7" t="inlineStr">
        <is>
          <t>Cọc khoan nhồi C1 Trụ T1 (D1.2m, L=40.0m)</t>
        </is>
      </c>
      <c r="C116" s="7" t="inlineStr">
        <is>
          <t>Thép đai xoắn lồng cọc</t>
        </is>
      </c>
      <c r="D116" s="19" t="inlineStr">
        <is>
          <t>P12</t>
        </is>
      </c>
      <c r="E116" s="20" t="n">
        <v>20</v>
      </c>
      <c r="F116" s="6" t="inlineStr">
        <is>
          <t>CB400-V</t>
        </is>
      </c>
      <c r="G116" s="7" t="inlineStr">
        <is>
          <t>Đai xoắn tròn</t>
        </is>
      </c>
      <c r="H116" s="21" t="n">
        <v>0.583</v>
      </c>
      <c r="I116" s="22" t="n">
        <v>64</v>
      </c>
      <c r="J116" s="23" t="n">
        <v>2.47</v>
      </c>
      <c r="K116" s="9">
        <f>ROUND(H116*I116*J116, 2)</f>
        <v/>
      </c>
      <c r="L116" s="24">
        <f>ROUND(K116/1000, 3)</f>
        <v/>
      </c>
      <c r="M116" s="8" t="n"/>
      <c r="N116" s="21">
        <f>ROUND(N115 + IF(AND(E116&lt;=10, F116&lt;&gt;"ASTM A416"), L116, 0), 3)</f>
        <v/>
      </c>
      <c r="O116" s="21">
        <f>ROUND(O115 + IF(AND(E116&gt;10, E116&lt;=18, F116&lt;&gt;"ASTM A416"), L116, 0), 3)</f>
        <v/>
      </c>
      <c r="P116" s="21">
        <f>ROUND(P115 + IF(AND(E116&gt;18, F116&lt;&gt;"ASTM A416"), L116, 0), 3)</f>
        <v/>
      </c>
      <c r="Q116" s="21">
        <f>ROUND(Q115 + IF(F116="ASTM A416", L116, 0), 3)</f>
        <v/>
      </c>
      <c r="R116" s="11">
        <f>IF(INT(N116/20)&gt;INT(N115/20), "Lần " &amp; INT(N116/20), "")</f>
        <v/>
      </c>
      <c r="S116" s="12">
        <f>IF(INT(O116/20)&gt;INT(O115/20), "Lần " &amp; INT(O116/20), "")</f>
        <v/>
      </c>
      <c r="T116" s="11">
        <f>IF(INT(P116/20)&gt;INT(P115/20), "Lần " &amp; INT(P116/20), "")</f>
        <v/>
      </c>
      <c r="U116" s="25">
        <f>IF(INT(Q116/20)&gt;INT(Q115/20), "Lần " &amp; INT(Q116/20), "")</f>
        <v/>
      </c>
      <c r="V116" s="6" t="inlineStr"/>
      <c r="W116" s="6" t="inlineStr">
        <is>
          <t>ĐẠT TCVN 1651:2018</t>
        </is>
      </c>
    </row>
    <row r="117" ht="20" customHeight="1">
      <c r="A117" s="18" t="inlineStr">
        <is>
          <t>--- CỌC KHOAN NHỒI C2 TRỤ T1 (D1.2M, L=40.0M) ---</t>
        </is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</row>
    <row r="118" ht="19" customHeight="1">
      <c r="A118" s="6" t="n">
        <v>106</v>
      </c>
      <c r="B118" s="7" t="inlineStr">
        <is>
          <t>Cọc khoan nhồi C2 Trụ T1 (D1.2m, L=40.0m)</t>
        </is>
      </c>
      <c r="C118" s="7" t="inlineStr">
        <is>
          <t>Thép đai xoắn lồng cọc</t>
        </is>
      </c>
      <c r="D118" s="19" t="inlineStr">
        <is>
          <t>P1</t>
        </is>
      </c>
      <c r="E118" s="20" t="n">
        <v>10</v>
      </c>
      <c r="F118" s="6" t="inlineStr">
        <is>
          <t>CB240-T</t>
        </is>
      </c>
      <c r="G118" s="7" t="inlineStr">
        <is>
          <t>Đai xoắn tròn</t>
        </is>
      </c>
      <c r="H118" s="21" t="n">
        <v>96.604</v>
      </c>
      <c r="I118" s="22" t="n">
        <v>1</v>
      </c>
      <c r="J118" s="23" t="n">
        <v>0.617</v>
      </c>
      <c r="K118" s="9">
        <f>ROUND(H118*I118*J118, 2)</f>
        <v/>
      </c>
      <c r="L118" s="24">
        <f>ROUND(K118/1000, 3)</f>
        <v/>
      </c>
      <c r="M118" s="8" t="n"/>
      <c r="N118" s="21">
        <f>ROUND(N116 + IF(AND(E118&lt;=10, F118&lt;&gt;"ASTM A416"), L118, 0), 3)</f>
        <v/>
      </c>
      <c r="O118" s="21">
        <f>ROUND(O116 + IF(AND(E118&gt;10, E118&lt;=18, F118&lt;&gt;"ASTM A416"), L118, 0), 3)</f>
        <v/>
      </c>
      <c r="P118" s="21">
        <f>ROUND(P116 + IF(AND(E118&gt;18, F118&lt;&gt;"ASTM A416"), L118, 0), 3)</f>
        <v/>
      </c>
      <c r="Q118" s="21">
        <f>ROUND(Q116 + IF(F118="ASTM A416", L118, 0), 3)</f>
        <v/>
      </c>
      <c r="R118" s="11">
        <f>IF(INT(N118/20)&gt;INT(N116/20), "Lần " &amp; INT(N118/20), "")</f>
        <v/>
      </c>
      <c r="S118" s="12">
        <f>IF(INT(O118/20)&gt;INT(O116/20), "Lần " &amp; INT(O118/20), "")</f>
        <v/>
      </c>
      <c r="T118" s="11">
        <f>IF(INT(P118/20)&gt;INT(P116/20), "Lần " &amp; INT(P118/20), "")</f>
        <v/>
      </c>
      <c r="U118" s="25">
        <f>IF(INT(Q118/20)&gt;INT(Q116/20), "Lần " &amp; INT(Q118/20), "")</f>
        <v/>
      </c>
      <c r="V118" s="6" t="inlineStr"/>
      <c r="W118" s="6" t="inlineStr">
        <is>
          <t>ĐẠT TCVN 1651:2018</t>
        </is>
      </c>
    </row>
    <row r="119" ht="19" customHeight="1">
      <c r="A119" s="6" t="n">
        <v>107</v>
      </c>
      <c r="B119" s="7" t="inlineStr">
        <is>
          <t>Cọc khoan nhồi C2 Trụ T1 (D1.2m, L=40.0m)</t>
        </is>
      </c>
      <c r="C119" s="7" t="inlineStr">
        <is>
          <t>Thép đai xoắn lồng cọc</t>
        </is>
      </c>
      <c r="D119" s="19" t="inlineStr">
        <is>
          <t>P1A</t>
        </is>
      </c>
      <c r="E119" s="20" t="n">
        <v>10</v>
      </c>
      <c r="F119" s="6" t="inlineStr">
        <is>
          <t>CB240-T</t>
        </is>
      </c>
      <c r="G119" s="7" t="inlineStr">
        <is>
          <t>Đai xoắn tròn</t>
        </is>
      </c>
      <c r="H119" s="21" t="n">
        <v>389.636</v>
      </c>
      <c r="I119" s="22" t="n">
        <v>1</v>
      </c>
      <c r="J119" s="23" t="n">
        <v>0.617</v>
      </c>
      <c r="K119" s="9">
        <f>ROUND(H119*I119*J119, 2)</f>
        <v/>
      </c>
      <c r="L119" s="24">
        <f>ROUND(K119/1000, 3)</f>
        <v/>
      </c>
      <c r="M119" s="8" t="n"/>
      <c r="N119" s="21">
        <f>ROUND(N118 + IF(AND(E119&lt;=10, F119&lt;&gt;"ASTM A416"), L119, 0), 3)</f>
        <v/>
      </c>
      <c r="O119" s="21">
        <f>ROUND(O118 + IF(AND(E119&gt;10, E119&lt;=18, F119&lt;&gt;"ASTM A416"), L119, 0), 3)</f>
        <v/>
      </c>
      <c r="P119" s="21">
        <f>ROUND(P118 + IF(AND(E119&gt;18, F119&lt;&gt;"ASTM A416"), L119, 0), 3)</f>
        <v/>
      </c>
      <c r="Q119" s="21">
        <f>ROUND(Q118 + IF(F119="ASTM A416", L119, 0), 3)</f>
        <v/>
      </c>
      <c r="R119" s="11">
        <f>IF(INT(N119/20)&gt;INT(N118/20), "Lần " &amp; INT(N119/20), "")</f>
        <v/>
      </c>
      <c r="S119" s="12">
        <f>IF(INT(O119/20)&gt;INT(O118/20), "Lần " &amp; INT(O119/20), "")</f>
        <v/>
      </c>
      <c r="T119" s="11">
        <f>IF(INT(P119/20)&gt;INT(P118/20), "Lần " &amp; INT(P119/20), "")</f>
        <v/>
      </c>
      <c r="U119" s="25">
        <f>IF(INT(Q119/20)&gt;INT(Q118/20), "Lần " &amp; INT(Q119/20), "")</f>
        <v/>
      </c>
      <c r="V119" s="6" t="inlineStr"/>
      <c r="W119" s="6" t="inlineStr">
        <is>
          <t>ĐẠT TCVN 1651:2018</t>
        </is>
      </c>
    </row>
    <row r="120" ht="19" customHeight="1">
      <c r="A120" s="6" t="n">
        <v>108</v>
      </c>
      <c r="B120" s="7" t="inlineStr">
        <is>
          <t>Cọc khoan nhồi C2 Trụ T1 (D1.2m, L=40.0m)</t>
        </is>
      </c>
      <c r="C120" s="7" t="inlineStr">
        <is>
          <t>Thép đai xoắn lồng cọc</t>
        </is>
      </c>
      <c r="D120" s="19" t="inlineStr">
        <is>
          <t>P1B</t>
        </is>
      </c>
      <c r="E120" s="20" t="n">
        <v>10</v>
      </c>
      <c r="F120" s="6" t="inlineStr">
        <is>
          <t>CB240-T</t>
        </is>
      </c>
      <c r="G120" s="7" t="inlineStr">
        <is>
          <t>Đai xoắn tròn</t>
        </is>
      </c>
      <c r="H120" s="21" t="n">
        <v>206.981</v>
      </c>
      <c r="I120" s="22" t="n">
        <v>1</v>
      </c>
      <c r="J120" s="23" t="n">
        <v>0.617</v>
      </c>
      <c r="K120" s="9">
        <f>ROUND(H120*I120*J120, 2)</f>
        <v/>
      </c>
      <c r="L120" s="24">
        <f>ROUND(K120/1000, 3)</f>
        <v/>
      </c>
      <c r="M120" s="8" t="n"/>
      <c r="N120" s="21">
        <f>ROUND(N119 + IF(AND(E120&lt;=10, F120&lt;&gt;"ASTM A416"), L120, 0), 3)</f>
        <v/>
      </c>
      <c r="O120" s="21">
        <f>ROUND(O119 + IF(AND(E120&gt;10, E120&lt;=18, F120&lt;&gt;"ASTM A416"), L120, 0), 3)</f>
        <v/>
      </c>
      <c r="P120" s="21">
        <f>ROUND(P119 + IF(AND(E120&gt;18, F120&lt;&gt;"ASTM A416"), L120, 0), 3)</f>
        <v/>
      </c>
      <c r="Q120" s="21">
        <f>ROUND(Q119 + IF(F120="ASTM A416", L120, 0), 3)</f>
        <v/>
      </c>
      <c r="R120" s="11">
        <f>IF(INT(N120/20)&gt;INT(N119/20), "Lần " &amp; INT(N120/20), "")</f>
        <v/>
      </c>
      <c r="S120" s="12">
        <f>IF(INT(O120/20)&gt;INT(O119/20), "Lần " &amp; INT(O120/20), "")</f>
        <v/>
      </c>
      <c r="T120" s="11">
        <f>IF(INT(P120/20)&gt;INT(P119/20), "Lần " &amp; INT(P120/20), "")</f>
        <v/>
      </c>
      <c r="U120" s="25">
        <f>IF(INT(Q120/20)&gt;INT(Q119/20), "Lần " &amp; INT(Q120/20), "")</f>
        <v/>
      </c>
      <c r="V120" s="6" t="inlineStr"/>
      <c r="W120" s="6" t="inlineStr">
        <is>
          <t>ĐẠT TCVN 1651:2018</t>
        </is>
      </c>
    </row>
    <row r="121" ht="19" customHeight="1">
      <c r="A121" s="6" t="n">
        <v>109</v>
      </c>
      <c r="B121" s="7" t="inlineStr">
        <is>
          <t>Cọc khoan nhồi C2 Trụ T1 (D1.2m, L=40.0m)</t>
        </is>
      </c>
      <c r="C121" s="7" t="inlineStr">
        <is>
          <t>Thép đai xoắn lồng cọc</t>
        </is>
      </c>
      <c r="D121" s="19" t="inlineStr">
        <is>
          <t>P1C</t>
        </is>
      </c>
      <c r="E121" s="20" t="n">
        <v>10</v>
      </c>
      <c r="F121" s="6" t="inlineStr">
        <is>
          <t>CB240-T</t>
        </is>
      </c>
      <c r="G121" s="7" t="inlineStr">
        <is>
          <t>Đai xoắn tròn</t>
        </is>
      </c>
      <c r="H121" s="21" t="n">
        <v>3.592</v>
      </c>
      <c r="I121" s="22" t="n">
        <v>2</v>
      </c>
      <c r="J121" s="23" t="n">
        <v>0.617</v>
      </c>
      <c r="K121" s="9">
        <f>ROUND(H121*I121*J121, 2)</f>
        <v/>
      </c>
      <c r="L121" s="24">
        <f>ROUND(K121/1000, 3)</f>
        <v/>
      </c>
      <c r="M121" s="8" t="n"/>
      <c r="N121" s="21">
        <f>ROUND(N120 + IF(AND(E121&lt;=10, F121&lt;&gt;"ASTM A416"), L121, 0), 3)</f>
        <v/>
      </c>
      <c r="O121" s="21">
        <f>ROUND(O120 + IF(AND(E121&gt;10, E121&lt;=18, F121&lt;&gt;"ASTM A416"), L121, 0), 3)</f>
        <v/>
      </c>
      <c r="P121" s="21">
        <f>ROUND(P120 + IF(AND(E121&gt;18, F121&lt;&gt;"ASTM A416"), L121, 0), 3)</f>
        <v/>
      </c>
      <c r="Q121" s="21">
        <f>ROUND(Q120 + IF(F121="ASTM A416", L121, 0), 3)</f>
        <v/>
      </c>
      <c r="R121" s="11">
        <f>IF(INT(N121/20)&gt;INT(N120/20), "Lần " &amp; INT(N121/20), "")</f>
        <v/>
      </c>
      <c r="S121" s="12">
        <f>IF(INT(O121/20)&gt;INT(O120/20), "Lần " &amp; INT(O121/20), "")</f>
        <v/>
      </c>
      <c r="T121" s="11">
        <f>IF(INT(P121/20)&gt;INT(P120/20), "Lần " &amp; INT(P121/20), "")</f>
        <v/>
      </c>
      <c r="U121" s="25">
        <f>IF(INT(Q121/20)&gt;INT(Q120/20), "Lần " &amp; INT(Q121/20), "")</f>
        <v/>
      </c>
      <c r="V121" s="6" t="inlineStr"/>
      <c r="W121" s="6" t="inlineStr">
        <is>
          <t>ĐẠT TCVN 1651:2018</t>
        </is>
      </c>
    </row>
    <row r="122" ht="19" customHeight="1">
      <c r="A122" s="6" t="n">
        <v>110</v>
      </c>
      <c r="B122" s="7" t="inlineStr">
        <is>
          <t>Cọc khoan nhồi C2 Trụ T1 (D1.2m, L=40.0m)</t>
        </is>
      </c>
      <c r="C122" s="7" t="inlineStr">
        <is>
          <t>Thép đai xoắn lồng cọc</t>
        </is>
      </c>
      <c r="D122" s="19" t="inlineStr">
        <is>
          <t>P1D</t>
        </is>
      </c>
      <c r="E122" s="20" t="n">
        <v>10</v>
      </c>
      <c r="F122" s="6" t="inlineStr">
        <is>
          <t>CB240-T</t>
        </is>
      </c>
      <c r="G122" s="7" t="inlineStr">
        <is>
          <t>Đai xoắn tròn</t>
        </is>
      </c>
      <c r="H122" s="21" t="n">
        <v>19.721</v>
      </c>
      <c r="I122" s="22" t="n">
        <v>1</v>
      </c>
      <c r="J122" s="23" t="n">
        <v>0.617</v>
      </c>
      <c r="K122" s="9">
        <f>ROUND(H122*I122*J122, 2)</f>
        <v/>
      </c>
      <c r="L122" s="24">
        <f>ROUND(K122/1000, 3)</f>
        <v/>
      </c>
      <c r="M122" s="8" t="n"/>
      <c r="N122" s="21">
        <f>ROUND(N121 + IF(AND(E122&lt;=10, F122&lt;&gt;"ASTM A416"), L122, 0), 3)</f>
        <v/>
      </c>
      <c r="O122" s="21">
        <f>ROUND(O121 + IF(AND(E122&gt;10, E122&lt;=18, F122&lt;&gt;"ASTM A416"), L122, 0), 3)</f>
        <v/>
      </c>
      <c r="P122" s="21">
        <f>ROUND(P121 + IF(AND(E122&gt;18, F122&lt;&gt;"ASTM A416"), L122, 0), 3)</f>
        <v/>
      </c>
      <c r="Q122" s="21">
        <f>ROUND(Q121 + IF(F122="ASTM A416", L122, 0), 3)</f>
        <v/>
      </c>
      <c r="R122" s="11">
        <f>IF(INT(N122/20)&gt;INT(N121/20), "Lần " &amp; INT(N122/20), "")</f>
        <v/>
      </c>
      <c r="S122" s="12">
        <f>IF(INT(O122/20)&gt;INT(O121/20), "Lần " &amp; INT(O122/20), "")</f>
        <v/>
      </c>
      <c r="T122" s="11">
        <f>IF(INT(P122/20)&gt;INT(P121/20), "Lần " &amp; INT(P122/20), "")</f>
        <v/>
      </c>
      <c r="U122" s="25">
        <f>IF(INT(Q122/20)&gt;INT(Q121/20), "Lần " &amp; INT(Q122/20), "")</f>
        <v/>
      </c>
      <c r="V122" s="6" t="inlineStr"/>
      <c r="W122" s="6" t="inlineStr">
        <is>
          <t>ĐẠT TCVN 1651:2018</t>
        </is>
      </c>
    </row>
    <row r="123" ht="19" customHeight="1">
      <c r="A123" s="6" t="n">
        <v>111</v>
      </c>
      <c r="B123" s="7" t="inlineStr">
        <is>
          <t>Cọc khoan nhồi C2 Trụ T1 (D1.2m, L=40.0m)</t>
        </is>
      </c>
      <c r="C123" s="7" t="inlineStr">
        <is>
          <t>Cốt thép chủ chịu lực cọc</t>
        </is>
      </c>
      <c r="D123" s="19" t="inlineStr">
        <is>
          <t>P2B</t>
        </is>
      </c>
      <c r="E123" s="20" t="n">
        <v>25</v>
      </c>
      <c r="F123" s="6" t="inlineStr">
        <is>
          <t>CB400-V</t>
        </is>
      </c>
      <c r="G123" s="7" t="inlineStr">
        <is>
          <t>Thanh thẳng nối ren/hàn</t>
        </is>
      </c>
      <c r="H123" s="21" t="n">
        <v>2.985</v>
      </c>
      <c r="I123" s="22" t="n">
        <v>16</v>
      </c>
      <c r="J123" s="23" t="n">
        <v>3.85</v>
      </c>
      <c r="K123" s="9">
        <f>ROUND(H123*I123*J123, 2)</f>
        <v/>
      </c>
      <c r="L123" s="24">
        <f>ROUND(K123/1000, 3)</f>
        <v/>
      </c>
      <c r="M123" s="8" t="n"/>
      <c r="N123" s="21">
        <f>ROUND(N122 + IF(AND(E123&lt;=10, F123&lt;&gt;"ASTM A416"), L123, 0), 3)</f>
        <v/>
      </c>
      <c r="O123" s="21">
        <f>ROUND(O122 + IF(AND(E123&gt;10, E123&lt;=18, F123&lt;&gt;"ASTM A416"), L123, 0), 3)</f>
        <v/>
      </c>
      <c r="P123" s="21">
        <f>ROUND(P122 + IF(AND(E123&gt;18, F123&lt;&gt;"ASTM A416"), L123, 0), 3)</f>
        <v/>
      </c>
      <c r="Q123" s="21">
        <f>ROUND(Q122 + IF(F123="ASTM A416", L123, 0), 3)</f>
        <v/>
      </c>
      <c r="R123" s="11">
        <f>IF(INT(N123/20)&gt;INT(N122/20), "Lần " &amp; INT(N123/20), "")</f>
        <v/>
      </c>
      <c r="S123" s="12">
        <f>IF(INT(O123/20)&gt;INT(O122/20), "Lần " &amp; INT(O123/20), "")</f>
        <v/>
      </c>
      <c r="T123" s="11">
        <f>IF(INT(P123/20)&gt;INT(P122/20), "Lần " &amp; INT(P123/20), "")</f>
        <v/>
      </c>
      <c r="U123" s="25">
        <f>IF(INT(Q123/20)&gt;INT(Q122/20), "Lần " &amp; INT(Q123/20), "")</f>
        <v/>
      </c>
      <c r="V123" s="6" t="inlineStr"/>
      <c r="W123" s="6" t="inlineStr">
        <is>
          <t>ĐẠT TCVN 1651:2018</t>
        </is>
      </c>
    </row>
    <row r="124" ht="19" customHeight="1">
      <c r="A124" s="6" t="n">
        <v>112</v>
      </c>
      <c r="B124" s="7" t="inlineStr">
        <is>
          <t>Cọc khoan nhồi C2 Trụ T1 (D1.2m, L=40.0m)</t>
        </is>
      </c>
      <c r="C124" s="7" t="inlineStr">
        <is>
          <t>Cốt thép chủ chịu lực cọc</t>
        </is>
      </c>
      <c r="D124" s="19" t="inlineStr">
        <is>
          <t>P3</t>
        </is>
      </c>
      <c r="E124" s="20" t="n">
        <v>25</v>
      </c>
      <c r="F124" s="6" t="inlineStr">
        <is>
          <t>CB400-V</t>
        </is>
      </c>
      <c r="G124" s="7" t="inlineStr">
        <is>
          <t>Thanh thẳng nối ren/hàn</t>
        </is>
      </c>
      <c r="H124" s="21" t="n">
        <v>10.7</v>
      </c>
      <c r="I124" s="22" t="n">
        <v>12</v>
      </c>
      <c r="J124" s="23" t="n">
        <v>3.85</v>
      </c>
      <c r="K124" s="9">
        <f>ROUND(H124*I124*J124, 2)</f>
        <v/>
      </c>
      <c r="L124" s="24">
        <f>ROUND(K124/1000, 3)</f>
        <v/>
      </c>
      <c r="M124" s="8" t="n"/>
      <c r="N124" s="21">
        <f>ROUND(N123 + IF(AND(E124&lt;=10, F124&lt;&gt;"ASTM A416"), L124, 0), 3)</f>
        <v/>
      </c>
      <c r="O124" s="21">
        <f>ROUND(O123 + IF(AND(E124&gt;10, E124&lt;=18, F124&lt;&gt;"ASTM A416"), L124, 0), 3)</f>
        <v/>
      </c>
      <c r="P124" s="21">
        <f>ROUND(P123 + IF(AND(E124&gt;18, F124&lt;&gt;"ASTM A416"), L124, 0), 3)</f>
        <v/>
      </c>
      <c r="Q124" s="21">
        <f>ROUND(Q123 + IF(F124="ASTM A416", L124, 0), 3)</f>
        <v/>
      </c>
      <c r="R124" s="11">
        <f>IF(INT(N124/20)&gt;INT(N123/20), "Lần " &amp; INT(N124/20), "")</f>
        <v/>
      </c>
      <c r="S124" s="12">
        <f>IF(INT(O124/20)&gt;INT(O123/20), "Lần " &amp; INT(O124/20), "")</f>
        <v/>
      </c>
      <c r="T124" s="11">
        <f>IF(INT(P124/20)&gt;INT(P123/20), "Lần " &amp; INT(P124/20), "")</f>
        <v/>
      </c>
      <c r="U124" s="25">
        <f>IF(INT(Q124/20)&gt;INT(Q123/20), "Lần " &amp; INT(Q124/20), "")</f>
        <v/>
      </c>
      <c r="V124" s="6" t="inlineStr"/>
      <c r="W124" s="6" t="inlineStr">
        <is>
          <t>ĐẠT TCVN 1651:2018</t>
        </is>
      </c>
    </row>
    <row r="125" ht="19" customHeight="1">
      <c r="A125" s="6" t="n">
        <v>113</v>
      </c>
      <c r="B125" s="7" t="inlineStr">
        <is>
          <t>Cọc khoan nhồi C2 Trụ T1 (D1.2m, L=40.0m)</t>
        </is>
      </c>
      <c r="C125" s="7" t="inlineStr">
        <is>
          <t>Cốt thép chủ chịu lực cọc</t>
        </is>
      </c>
      <c r="D125" s="19" t="inlineStr">
        <is>
          <t>P4</t>
        </is>
      </c>
      <c r="E125" s="20" t="n">
        <v>25</v>
      </c>
      <c r="F125" s="6" t="inlineStr">
        <is>
          <t>CB400-V</t>
        </is>
      </c>
      <c r="G125" s="7" t="inlineStr">
        <is>
          <t>Thanh thẳng nối ren/hàn</t>
        </is>
      </c>
      <c r="H125" s="21" t="n">
        <v>11.7</v>
      </c>
      <c r="I125" s="22" t="n">
        <v>60</v>
      </c>
      <c r="J125" s="23" t="n">
        <v>3.85</v>
      </c>
      <c r="K125" s="9">
        <f>ROUND(H125*I125*J125, 2)</f>
        <v/>
      </c>
      <c r="L125" s="24">
        <f>ROUND(K125/1000, 3)</f>
        <v/>
      </c>
      <c r="M125" s="8" t="n"/>
      <c r="N125" s="21">
        <f>ROUND(N124 + IF(AND(E125&lt;=10, F125&lt;&gt;"ASTM A416"), L125, 0), 3)</f>
        <v/>
      </c>
      <c r="O125" s="21">
        <f>ROUND(O124 + IF(AND(E125&gt;10, E125&lt;=18, F125&lt;&gt;"ASTM A416"), L125, 0), 3)</f>
        <v/>
      </c>
      <c r="P125" s="21">
        <f>ROUND(P124 + IF(AND(E125&gt;18, F125&lt;&gt;"ASTM A416"), L125, 0), 3)</f>
        <v/>
      </c>
      <c r="Q125" s="21">
        <f>ROUND(Q124 + IF(F125="ASTM A416", L125, 0), 3)</f>
        <v/>
      </c>
      <c r="R125" s="11">
        <f>IF(INT(N125/20)&gt;INT(N124/20), "Lần " &amp; INT(N125/20), "")</f>
        <v/>
      </c>
      <c r="S125" s="12">
        <f>IF(INT(O125/20)&gt;INT(O124/20), "Lần " &amp; INT(O125/20), "")</f>
        <v/>
      </c>
      <c r="T125" s="11">
        <f>IF(INT(P125/20)&gt;INT(P124/20), "Lần " &amp; INT(P125/20), "")</f>
        <v/>
      </c>
      <c r="U125" s="25">
        <f>IF(INT(Q125/20)&gt;INT(Q124/20), "Lần " &amp; INT(Q125/20), "")</f>
        <v/>
      </c>
      <c r="V125" s="6" t="inlineStr"/>
      <c r="W125" s="6" t="inlineStr">
        <is>
          <t>ĐẠT TCVN 1651:2018</t>
        </is>
      </c>
    </row>
    <row r="126" ht="19" customHeight="1">
      <c r="A126" s="6" t="n">
        <v>114</v>
      </c>
      <c r="B126" s="7" t="inlineStr">
        <is>
          <t>Cọc khoan nhồi C2 Trụ T1 (D1.2m, L=40.0m)</t>
        </is>
      </c>
      <c r="C126" s="7" t="inlineStr">
        <is>
          <t>Cốt thép chủ chịu lực cọc</t>
        </is>
      </c>
      <c r="D126" s="19" t="inlineStr">
        <is>
          <t>P6</t>
        </is>
      </c>
      <c r="E126" s="20" t="n">
        <v>25</v>
      </c>
      <c r="F126" s="6" t="inlineStr">
        <is>
          <t>CB400-V</t>
        </is>
      </c>
      <c r="G126" s="7" t="inlineStr">
        <is>
          <t>Thanh thẳng nối ren/hàn</t>
        </is>
      </c>
      <c r="H126" s="21" t="n">
        <v>9.032999999999999</v>
      </c>
      <c r="I126" s="22" t="n">
        <v>12</v>
      </c>
      <c r="J126" s="23" t="n">
        <v>3.85</v>
      </c>
      <c r="K126" s="9">
        <f>ROUND(H126*I126*J126, 2)</f>
        <v/>
      </c>
      <c r="L126" s="24">
        <f>ROUND(K126/1000, 3)</f>
        <v/>
      </c>
      <c r="M126" s="8" t="n"/>
      <c r="N126" s="21">
        <f>ROUND(N125 + IF(AND(E126&lt;=10, F126&lt;&gt;"ASTM A416"), L126, 0), 3)</f>
        <v/>
      </c>
      <c r="O126" s="21">
        <f>ROUND(O125 + IF(AND(E126&gt;10, E126&lt;=18, F126&lt;&gt;"ASTM A416"), L126, 0), 3)</f>
        <v/>
      </c>
      <c r="P126" s="21">
        <f>ROUND(P125 + IF(AND(E126&gt;18, F126&lt;&gt;"ASTM A416"), L126, 0), 3)</f>
        <v/>
      </c>
      <c r="Q126" s="21">
        <f>ROUND(Q125 + IF(F126="ASTM A416", L126, 0), 3)</f>
        <v/>
      </c>
      <c r="R126" s="11">
        <f>IF(INT(N126/20)&gt;INT(N125/20), "Lần " &amp; INT(N126/20), "")</f>
        <v/>
      </c>
      <c r="S126" s="12">
        <f>IF(INT(O126/20)&gt;INT(O125/20), "Lần " &amp; INT(O126/20), "")</f>
        <v/>
      </c>
      <c r="T126" s="11">
        <f>IF(INT(P126/20)&gt;INT(P125/20), "Lần " &amp; INT(P126/20), "")</f>
        <v/>
      </c>
      <c r="U126" s="25">
        <f>IF(INT(Q126/20)&gt;INT(Q125/20), "Lần " &amp; INT(Q126/20), "")</f>
        <v/>
      </c>
      <c r="V126" s="6" t="inlineStr"/>
      <c r="W126" s="6" t="inlineStr">
        <is>
          <t>ĐẠT TCVN 1651:2018</t>
        </is>
      </c>
    </row>
    <row r="127" ht="19" customHeight="1">
      <c r="A127" s="6" t="n">
        <v>115</v>
      </c>
      <c r="B127" s="7" t="inlineStr">
        <is>
          <t>Cọc khoan nhồi C2 Trụ T1 (D1.2m, L=40.0m)</t>
        </is>
      </c>
      <c r="C127" s="7" t="inlineStr">
        <is>
          <t>Cốt thép chủ chịu lực cọc</t>
        </is>
      </c>
      <c r="D127" s="19" t="inlineStr">
        <is>
          <t>P7</t>
        </is>
      </c>
      <c r="E127" s="20" t="n">
        <v>25</v>
      </c>
      <c r="F127" s="6" t="inlineStr">
        <is>
          <t>CB400-V</t>
        </is>
      </c>
      <c r="G127" s="7" t="inlineStr">
        <is>
          <t>Thanh thẳng nối ren/hàn</t>
        </is>
      </c>
      <c r="H127" s="21" t="n">
        <v>10.033</v>
      </c>
      <c r="I127" s="22" t="n">
        <v>12</v>
      </c>
      <c r="J127" s="23" t="n">
        <v>3.85</v>
      </c>
      <c r="K127" s="9">
        <f>ROUND(H127*I127*J127, 2)</f>
        <v/>
      </c>
      <c r="L127" s="24">
        <f>ROUND(K127/1000, 3)</f>
        <v/>
      </c>
      <c r="M127" s="8" t="n"/>
      <c r="N127" s="21">
        <f>ROUND(N126 + IF(AND(E127&lt;=10, F127&lt;&gt;"ASTM A416"), L127, 0), 3)</f>
        <v/>
      </c>
      <c r="O127" s="21">
        <f>ROUND(O126 + IF(AND(E127&gt;10, E127&lt;=18, F127&lt;&gt;"ASTM A416"), L127, 0), 3)</f>
        <v/>
      </c>
      <c r="P127" s="21">
        <f>ROUND(P126 + IF(AND(E127&gt;18, F127&lt;&gt;"ASTM A416"), L127, 0), 3)</f>
        <v/>
      </c>
      <c r="Q127" s="21">
        <f>ROUND(Q126 + IF(F127="ASTM A416", L127, 0), 3)</f>
        <v/>
      </c>
      <c r="R127" s="11">
        <f>IF(INT(N127/20)&gt;INT(N126/20), "Lần " &amp; INT(N127/20), "")</f>
        <v/>
      </c>
      <c r="S127" s="12">
        <f>IF(INT(O127/20)&gt;INT(O126/20), "Lần " &amp; INT(O127/20), "")</f>
        <v/>
      </c>
      <c r="T127" s="11">
        <f>IF(INT(P127/20)&gt;INT(P126/20), "Lần " &amp; INT(P127/20), "")</f>
        <v/>
      </c>
      <c r="U127" s="25">
        <f>IF(INT(Q127/20)&gt;INT(Q126/20), "Lần " &amp; INT(Q127/20), "")</f>
        <v/>
      </c>
      <c r="V127" s="6" t="inlineStr"/>
      <c r="W127" s="6" t="inlineStr">
        <is>
          <t>ĐẠT TCVN 1651:2018</t>
        </is>
      </c>
    </row>
    <row r="128" ht="19" customHeight="1">
      <c r="A128" s="6" t="n">
        <v>116</v>
      </c>
      <c r="B128" s="7" t="inlineStr">
        <is>
          <t>Cọc khoan nhồi C2 Trụ T1 (D1.2m, L=40.0m)</t>
        </is>
      </c>
      <c r="C128" s="7" t="inlineStr">
        <is>
          <t>Đai tăng cường / Con kê bảo vệ</t>
        </is>
      </c>
      <c r="D128" s="19" t="inlineStr">
        <is>
          <t>P8</t>
        </is>
      </c>
      <c r="E128" s="20" t="n">
        <v>12</v>
      </c>
      <c r="F128" s="6" t="inlineStr">
        <is>
          <t>CB400-V</t>
        </is>
      </c>
      <c r="G128" s="7" t="inlineStr">
        <is>
          <t>Móc neo / Vòng đai</t>
        </is>
      </c>
      <c r="H128" s="21" t="n">
        <v>0.647</v>
      </c>
      <c r="I128" s="22" t="n">
        <v>16</v>
      </c>
      <c r="J128" s="23" t="n">
        <v>0.888</v>
      </c>
      <c r="K128" s="9">
        <f>ROUND(H128*I128*J128, 2)</f>
        <v/>
      </c>
      <c r="L128" s="24">
        <f>ROUND(K128/1000, 3)</f>
        <v/>
      </c>
      <c r="M128" s="8" t="n"/>
      <c r="N128" s="21">
        <f>ROUND(N127 + IF(AND(E128&lt;=10, F128&lt;&gt;"ASTM A416"), L128, 0), 3)</f>
        <v/>
      </c>
      <c r="O128" s="21">
        <f>ROUND(O127 + IF(AND(E128&gt;10, E128&lt;=18, F128&lt;&gt;"ASTM A416"), L128, 0), 3)</f>
        <v/>
      </c>
      <c r="P128" s="21">
        <f>ROUND(P127 + IF(AND(E128&gt;18, F128&lt;&gt;"ASTM A416"), L128, 0), 3)</f>
        <v/>
      </c>
      <c r="Q128" s="21">
        <f>ROUND(Q127 + IF(F128="ASTM A416", L128, 0), 3)</f>
        <v/>
      </c>
      <c r="R128" s="11">
        <f>IF(INT(N128/20)&gt;INT(N127/20), "Lần " &amp; INT(N128/20), "")</f>
        <v/>
      </c>
      <c r="S128" s="12">
        <f>IF(INT(O128/20)&gt;INT(O127/20), "Lần " &amp; INT(O128/20), "")</f>
        <v/>
      </c>
      <c r="T128" s="11">
        <f>IF(INT(P128/20)&gt;INT(P127/20), "Lần " &amp; INT(P128/20), "")</f>
        <v/>
      </c>
      <c r="U128" s="25">
        <f>IF(INT(Q128/20)&gt;INT(Q127/20), "Lần " &amp; INT(Q128/20), "")</f>
        <v/>
      </c>
      <c r="V128" s="6" t="inlineStr"/>
      <c r="W128" s="6" t="inlineStr">
        <is>
          <t>ĐẠT TCVN 1651:2018</t>
        </is>
      </c>
    </row>
    <row r="129" ht="19" customHeight="1">
      <c r="A129" s="6" t="n">
        <v>117</v>
      </c>
      <c r="B129" s="7" t="inlineStr">
        <is>
          <t>Cọc khoan nhồi C2 Trụ T1 (D1.2m, L=40.0m)</t>
        </is>
      </c>
      <c r="C129" s="7" t="inlineStr">
        <is>
          <t>Đai tăng cường / Con kê bảo vệ</t>
        </is>
      </c>
      <c r="D129" s="19" t="inlineStr">
        <is>
          <t>P9</t>
        </is>
      </c>
      <c r="E129" s="20" t="n">
        <v>12</v>
      </c>
      <c r="F129" s="6" t="inlineStr">
        <is>
          <t>CB400-V</t>
        </is>
      </c>
      <c r="G129" s="7" t="inlineStr">
        <is>
          <t>Móc neo / Vòng đai</t>
        </is>
      </c>
      <c r="H129" s="21" t="n">
        <v>0.379</v>
      </c>
      <c r="I129" s="22" t="n">
        <v>48</v>
      </c>
      <c r="J129" s="23" t="n">
        <v>0.888</v>
      </c>
      <c r="K129" s="9">
        <f>ROUND(H129*I129*J129, 2)</f>
        <v/>
      </c>
      <c r="L129" s="24">
        <f>ROUND(K129/1000, 3)</f>
        <v/>
      </c>
      <c r="M129" s="8" t="n"/>
      <c r="N129" s="21">
        <f>ROUND(N128 + IF(AND(E129&lt;=10, F129&lt;&gt;"ASTM A416"), L129, 0), 3)</f>
        <v/>
      </c>
      <c r="O129" s="21">
        <f>ROUND(O128 + IF(AND(E129&gt;10, E129&lt;=18, F129&lt;&gt;"ASTM A416"), L129, 0), 3)</f>
        <v/>
      </c>
      <c r="P129" s="21">
        <f>ROUND(P128 + IF(AND(E129&gt;18, F129&lt;&gt;"ASTM A416"), L129, 0), 3)</f>
        <v/>
      </c>
      <c r="Q129" s="21">
        <f>ROUND(Q128 + IF(F129="ASTM A416", L129, 0), 3)</f>
        <v/>
      </c>
      <c r="R129" s="11">
        <f>IF(INT(N129/20)&gt;INT(N128/20), "Lần " &amp; INT(N129/20), "")</f>
        <v/>
      </c>
      <c r="S129" s="12">
        <f>IF(INT(O129/20)&gt;INT(O128/20), "Lần " &amp; INT(O129/20), "")</f>
        <v/>
      </c>
      <c r="T129" s="11">
        <f>IF(INT(P129/20)&gt;INT(P128/20), "Lần " &amp; INT(P129/20), "")</f>
        <v/>
      </c>
      <c r="U129" s="25">
        <f>IF(INT(Q129/20)&gt;INT(Q128/20), "Lần " &amp; INT(Q129/20), "")</f>
        <v/>
      </c>
      <c r="V129" s="6" t="inlineStr"/>
      <c r="W129" s="6" t="inlineStr">
        <is>
          <t>ĐẠT TCVN 1651:2018</t>
        </is>
      </c>
    </row>
    <row r="130" ht="19" customHeight="1">
      <c r="A130" s="6" t="n">
        <v>118</v>
      </c>
      <c r="B130" s="7" t="inlineStr">
        <is>
          <t>Cọc khoan nhồi C2 Trụ T1 (D1.2m, L=40.0m)</t>
        </is>
      </c>
      <c r="C130" s="7" t="inlineStr">
        <is>
          <t>Thép đai xoắn lồng cọc</t>
        </is>
      </c>
      <c r="D130" s="19" t="inlineStr">
        <is>
          <t>P10</t>
        </is>
      </c>
      <c r="E130" s="20" t="n">
        <v>20</v>
      </c>
      <c r="F130" s="6" t="inlineStr">
        <is>
          <t>CB400-V</t>
        </is>
      </c>
      <c r="G130" s="7" t="inlineStr">
        <is>
          <t>Đai xoắn tròn</t>
        </is>
      </c>
      <c r="H130" s="21" t="n">
        <v>2.057</v>
      </c>
      <c r="I130" s="22" t="n">
        <v>1</v>
      </c>
      <c r="J130" s="23" t="n">
        <v>2.47</v>
      </c>
      <c r="K130" s="9">
        <f>ROUND(H130*I130*J130, 2)</f>
        <v/>
      </c>
      <c r="L130" s="24">
        <f>ROUND(K130/1000, 3)</f>
        <v/>
      </c>
      <c r="M130" s="8" t="n"/>
      <c r="N130" s="21">
        <f>ROUND(N129 + IF(AND(E130&lt;=10, F130&lt;&gt;"ASTM A416"), L130, 0), 3)</f>
        <v/>
      </c>
      <c r="O130" s="21">
        <f>ROUND(O129 + IF(AND(E130&gt;10, E130&lt;=18, F130&lt;&gt;"ASTM A416"), L130, 0), 3)</f>
        <v/>
      </c>
      <c r="P130" s="21">
        <f>ROUND(P129 + IF(AND(E130&gt;18, F130&lt;&gt;"ASTM A416"), L130, 0), 3)</f>
        <v/>
      </c>
      <c r="Q130" s="21">
        <f>ROUND(Q129 + IF(F130="ASTM A416", L130, 0), 3)</f>
        <v/>
      </c>
      <c r="R130" s="11">
        <f>IF(INT(N130/20)&gt;INT(N129/20), "Lần " &amp; INT(N130/20), "")</f>
        <v/>
      </c>
      <c r="S130" s="12">
        <f>IF(INT(O130/20)&gt;INT(O129/20), "Lần " &amp; INT(O130/20), "")</f>
        <v/>
      </c>
      <c r="T130" s="11">
        <f>IF(INT(P130/20)&gt;INT(P129/20), "Lần " &amp; INT(P130/20), "")</f>
        <v/>
      </c>
      <c r="U130" s="25">
        <f>IF(INT(Q130/20)&gt;INT(Q129/20), "Lần " &amp; INT(Q130/20), "")</f>
        <v/>
      </c>
      <c r="V130" s="6" t="inlineStr"/>
      <c r="W130" s="6" t="inlineStr">
        <is>
          <t>ĐẠT TCVN 1651:2018</t>
        </is>
      </c>
    </row>
    <row r="131" ht="19" customHeight="1">
      <c r="A131" s="6" t="n">
        <v>119</v>
      </c>
      <c r="B131" s="7" t="inlineStr">
        <is>
          <t>Cọc khoan nhồi C2 Trụ T1 (D1.2m, L=40.0m)</t>
        </is>
      </c>
      <c r="C131" s="7" t="inlineStr">
        <is>
          <t>Thép đai xoắn lồng cọc</t>
        </is>
      </c>
      <c r="D131" s="19" t="inlineStr">
        <is>
          <t>P12</t>
        </is>
      </c>
      <c r="E131" s="20" t="n">
        <v>20</v>
      </c>
      <c r="F131" s="6" t="inlineStr">
        <is>
          <t>CB400-V</t>
        </is>
      </c>
      <c r="G131" s="7" t="inlineStr">
        <is>
          <t>Đai xoắn tròn</t>
        </is>
      </c>
      <c r="H131" s="21" t="n">
        <v>0.583</v>
      </c>
      <c r="I131" s="22" t="n">
        <v>64</v>
      </c>
      <c r="J131" s="23" t="n">
        <v>2.47</v>
      </c>
      <c r="K131" s="9">
        <f>ROUND(H131*I131*J131, 2)</f>
        <v/>
      </c>
      <c r="L131" s="24">
        <f>ROUND(K131/1000, 3)</f>
        <v/>
      </c>
      <c r="M131" s="8" t="n"/>
      <c r="N131" s="21">
        <f>ROUND(N130 + IF(AND(E131&lt;=10, F131&lt;&gt;"ASTM A416"), L131, 0), 3)</f>
        <v/>
      </c>
      <c r="O131" s="21">
        <f>ROUND(O130 + IF(AND(E131&gt;10, E131&lt;=18, F131&lt;&gt;"ASTM A416"), L131, 0), 3)</f>
        <v/>
      </c>
      <c r="P131" s="21">
        <f>ROUND(P130 + IF(AND(E131&gt;18, F131&lt;&gt;"ASTM A416"), L131, 0), 3)</f>
        <v/>
      </c>
      <c r="Q131" s="21">
        <f>ROUND(Q130 + IF(F131="ASTM A416", L131, 0), 3)</f>
        <v/>
      </c>
      <c r="R131" s="11">
        <f>IF(INT(N131/20)&gt;INT(N130/20), "Lần " &amp; INT(N131/20), "")</f>
        <v/>
      </c>
      <c r="S131" s="12">
        <f>IF(INT(O131/20)&gt;INT(O130/20), "Lần " &amp; INT(O131/20), "")</f>
        <v/>
      </c>
      <c r="T131" s="11">
        <f>IF(INT(P131/20)&gt;INT(P130/20), "Lần " &amp; INT(P131/20), "")</f>
        <v/>
      </c>
      <c r="U131" s="25">
        <f>IF(INT(Q131/20)&gt;INT(Q130/20), "Lần " &amp; INT(Q131/20), "")</f>
        <v/>
      </c>
      <c r="V131" s="6" t="inlineStr"/>
      <c r="W131" s="6" t="inlineStr">
        <is>
          <t>ĐẠT TCVN 1651:2018</t>
        </is>
      </c>
    </row>
    <row r="132" ht="20" customHeight="1">
      <c r="A132" s="18" t="inlineStr">
        <is>
          <t>--- CỌC KHOAN NHỒI C3 TRỤ T1 (D1.2M, L=40.0M) ---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</row>
    <row r="133" ht="19" customHeight="1">
      <c r="A133" s="6" t="n">
        <v>120</v>
      </c>
      <c r="B133" s="7" t="inlineStr">
        <is>
          <t>Cọc khoan nhồi C3 Trụ T1 (D1.2m, L=40.0m)</t>
        </is>
      </c>
      <c r="C133" s="7" t="inlineStr">
        <is>
          <t>Thép đai xoắn lồng cọc</t>
        </is>
      </c>
      <c r="D133" s="19" t="inlineStr">
        <is>
          <t>P1</t>
        </is>
      </c>
      <c r="E133" s="20" t="n">
        <v>10</v>
      </c>
      <c r="F133" s="6" t="inlineStr">
        <is>
          <t>CB240-T</t>
        </is>
      </c>
      <c r="G133" s="7" t="inlineStr">
        <is>
          <t>Đai xoắn tròn</t>
        </is>
      </c>
      <c r="H133" s="21" t="n">
        <v>96.604</v>
      </c>
      <c r="I133" s="22" t="n">
        <v>1</v>
      </c>
      <c r="J133" s="23" t="n">
        <v>0.617</v>
      </c>
      <c r="K133" s="9">
        <f>ROUND(H133*I133*J133, 2)</f>
        <v/>
      </c>
      <c r="L133" s="24">
        <f>ROUND(K133/1000, 3)</f>
        <v/>
      </c>
      <c r="M133" s="8" t="n"/>
      <c r="N133" s="21">
        <f>ROUND(N131 + IF(AND(E133&lt;=10, F133&lt;&gt;"ASTM A416"), L133, 0), 3)</f>
        <v/>
      </c>
      <c r="O133" s="21">
        <f>ROUND(O131 + IF(AND(E133&gt;10, E133&lt;=18, F133&lt;&gt;"ASTM A416"), L133, 0), 3)</f>
        <v/>
      </c>
      <c r="P133" s="21">
        <f>ROUND(P131 + IF(AND(E133&gt;18, F133&lt;&gt;"ASTM A416"), L133, 0), 3)</f>
        <v/>
      </c>
      <c r="Q133" s="21">
        <f>ROUND(Q131 + IF(F133="ASTM A416", L133, 0), 3)</f>
        <v/>
      </c>
      <c r="R133" s="11">
        <f>IF(INT(N133/20)&gt;INT(N131/20), "Lần " &amp; INT(N133/20), "")</f>
        <v/>
      </c>
      <c r="S133" s="12">
        <f>IF(INT(O133/20)&gt;INT(O131/20), "Lần " &amp; INT(O133/20), "")</f>
        <v/>
      </c>
      <c r="T133" s="11">
        <f>IF(INT(P133/20)&gt;INT(P131/20), "Lần " &amp; INT(P133/20), "")</f>
        <v/>
      </c>
      <c r="U133" s="25">
        <f>IF(INT(Q133/20)&gt;INT(Q131/20), "Lần " &amp; INT(Q133/20), "")</f>
        <v/>
      </c>
      <c r="V133" s="6" t="inlineStr"/>
      <c r="W133" s="6" t="inlineStr">
        <is>
          <t>ĐẠT TCVN 1651:2018</t>
        </is>
      </c>
    </row>
    <row r="134" ht="19" customHeight="1">
      <c r="A134" s="6" t="n">
        <v>121</v>
      </c>
      <c r="B134" s="7" t="inlineStr">
        <is>
          <t>Cọc khoan nhồi C3 Trụ T1 (D1.2m, L=40.0m)</t>
        </is>
      </c>
      <c r="C134" s="7" t="inlineStr">
        <is>
          <t>Thép đai xoắn lồng cọc</t>
        </is>
      </c>
      <c r="D134" s="19" t="inlineStr">
        <is>
          <t>P1A</t>
        </is>
      </c>
      <c r="E134" s="20" t="n">
        <v>10</v>
      </c>
      <c r="F134" s="6" t="inlineStr">
        <is>
          <t>CB240-T</t>
        </is>
      </c>
      <c r="G134" s="7" t="inlineStr">
        <is>
          <t>Đai xoắn tròn</t>
        </is>
      </c>
      <c r="H134" s="21" t="n">
        <v>389.636</v>
      </c>
      <c r="I134" s="22" t="n">
        <v>1</v>
      </c>
      <c r="J134" s="23" t="n">
        <v>0.617</v>
      </c>
      <c r="K134" s="9">
        <f>ROUND(H134*I134*J134, 2)</f>
        <v/>
      </c>
      <c r="L134" s="24">
        <f>ROUND(K134/1000, 3)</f>
        <v/>
      </c>
      <c r="M134" s="8" t="n"/>
      <c r="N134" s="21">
        <f>ROUND(N133 + IF(AND(E134&lt;=10, F134&lt;&gt;"ASTM A416"), L134, 0), 3)</f>
        <v/>
      </c>
      <c r="O134" s="21">
        <f>ROUND(O133 + IF(AND(E134&gt;10, E134&lt;=18, F134&lt;&gt;"ASTM A416"), L134, 0), 3)</f>
        <v/>
      </c>
      <c r="P134" s="21">
        <f>ROUND(P133 + IF(AND(E134&gt;18, F134&lt;&gt;"ASTM A416"), L134, 0), 3)</f>
        <v/>
      </c>
      <c r="Q134" s="21">
        <f>ROUND(Q133 + IF(F134="ASTM A416", L134, 0), 3)</f>
        <v/>
      </c>
      <c r="R134" s="11">
        <f>IF(INT(N134/20)&gt;INT(N133/20), "Lần " &amp; INT(N134/20), "")</f>
        <v/>
      </c>
      <c r="S134" s="12">
        <f>IF(INT(O134/20)&gt;INT(O133/20), "Lần " &amp; INT(O134/20), "")</f>
        <v/>
      </c>
      <c r="T134" s="11">
        <f>IF(INT(P134/20)&gt;INT(P133/20), "Lần " &amp; INT(P134/20), "")</f>
        <v/>
      </c>
      <c r="U134" s="25">
        <f>IF(INT(Q134/20)&gt;INT(Q133/20), "Lần " &amp; INT(Q134/20), "")</f>
        <v/>
      </c>
      <c r="V134" s="6" t="inlineStr"/>
      <c r="W134" s="6" t="inlineStr">
        <is>
          <t>ĐẠT TCVN 1651:2018</t>
        </is>
      </c>
    </row>
    <row r="135" ht="19" customHeight="1">
      <c r="A135" s="6" t="n">
        <v>122</v>
      </c>
      <c r="B135" s="7" t="inlineStr">
        <is>
          <t>Cọc khoan nhồi C3 Trụ T1 (D1.2m, L=40.0m)</t>
        </is>
      </c>
      <c r="C135" s="7" t="inlineStr">
        <is>
          <t>Thép đai xoắn lồng cọc</t>
        </is>
      </c>
      <c r="D135" s="19" t="inlineStr">
        <is>
          <t>P1B</t>
        </is>
      </c>
      <c r="E135" s="20" t="n">
        <v>10</v>
      </c>
      <c r="F135" s="6" t="inlineStr">
        <is>
          <t>CB240-T</t>
        </is>
      </c>
      <c r="G135" s="7" t="inlineStr">
        <is>
          <t>Đai xoắn tròn</t>
        </is>
      </c>
      <c r="H135" s="21" t="n">
        <v>206.981</v>
      </c>
      <c r="I135" s="22" t="n">
        <v>1</v>
      </c>
      <c r="J135" s="23" t="n">
        <v>0.617</v>
      </c>
      <c r="K135" s="9">
        <f>ROUND(H135*I135*J135, 2)</f>
        <v/>
      </c>
      <c r="L135" s="24">
        <f>ROUND(K135/1000, 3)</f>
        <v/>
      </c>
      <c r="M135" s="8" t="n"/>
      <c r="N135" s="21">
        <f>ROUND(N134 + IF(AND(E135&lt;=10, F135&lt;&gt;"ASTM A416"), L135, 0), 3)</f>
        <v/>
      </c>
      <c r="O135" s="21">
        <f>ROUND(O134 + IF(AND(E135&gt;10, E135&lt;=18, F135&lt;&gt;"ASTM A416"), L135, 0), 3)</f>
        <v/>
      </c>
      <c r="P135" s="21">
        <f>ROUND(P134 + IF(AND(E135&gt;18, F135&lt;&gt;"ASTM A416"), L135, 0), 3)</f>
        <v/>
      </c>
      <c r="Q135" s="21">
        <f>ROUND(Q134 + IF(F135="ASTM A416", L135, 0), 3)</f>
        <v/>
      </c>
      <c r="R135" s="11">
        <f>IF(INT(N135/20)&gt;INT(N134/20), "Lần " &amp; INT(N135/20), "")</f>
        <v/>
      </c>
      <c r="S135" s="12">
        <f>IF(INT(O135/20)&gt;INT(O134/20), "Lần " &amp; INT(O135/20), "")</f>
        <v/>
      </c>
      <c r="T135" s="11">
        <f>IF(INT(P135/20)&gt;INT(P134/20), "Lần " &amp; INT(P135/20), "")</f>
        <v/>
      </c>
      <c r="U135" s="25">
        <f>IF(INT(Q135/20)&gt;INT(Q134/20), "Lần " &amp; INT(Q135/20), "")</f>
        <v/>
      </c>
      <c r="V135" s="6" t="inlineStr"/>
      <c r="W135" s="6" t="inlineStr">
        <is>
          <t>ĐẠT TCVN 1651:2018</t>
        </is>
      </c>
    </row>
    <row r="136" ht="19" customHeight="1">
      <c r="A136" s="6" t="n">
        <v>123</v>
      </c>
      <c r="B136" s="7" t="inlineStr">
        <is>
          <t>Cọc khoan nhồi C3 Trụ T1 (D1.2m, L=40.0m)</t>
        </is>
      </c>
      <c r="C136" s="7" t="inlineStr">
        <is>
          <t>Thép đai xoắn lồng cọc</t>
        </is>
      </c>
      <c r="D136" s="19" t="inlineStr">
        <is>
          <t>P1C</t>
        </is>
      </c>
      <c r="E136" s="20" t="n">
        <v>10</v>
      </c>
      <c r="F136" s="6" t="inlineStr">
        <is>
          <t>CB240-T</t>
        </is>
      </c>
      <c r="G136" s="7" t="inlineStr">
        <is>
          <t>Đai xoắn tròn</t>
        </is>
      </c>
      <c r="H136" s="21" t="n">
        <v>3.592</v>
      </c>
      <c r="I136" s="22" t="n">
        <v>2</v>
      </c>
      <c r="J136" s="23" t="n">
        <v>0.617</v>
      </c>
      <c r="K136" s="9">
        <f>ROUND(H136*I136*J136, 2)</f>
        <v/>
      </c>
      <c r="L136" s="24">
        <f>ROUND(K136/1000, 3)</f>
        <v/>
      </c>
      <c r="M136" s="8" t="n"/>
      <c r="N136" s="21">
        <f>ROUND(N135 + IF(AND(E136&lt;=10, F136&lt;&gt;"ASTM A416"), L136, 0), 3)</f>
        <v/>
      </c>
      <c r="O136" s="21">
        <f>ROUND(O135 + IF(AND(E136&gt;10, E136&lt;=18, F136&lt;&gt;"ASTM A416"), L136, 0), 3)</f>
        <v/>
      </c>
      <c r="P136" s="21">
        <f>ROUND(P135 + IF(AND(E136&gt;18, F136&lt;&gt;"ASTM A416"), L136, 0), 3)</f>
        <v/>
      </c>
      <c r="Q136" s="21">
        <f>ROUND(Q135 + IF(F136="ASTM A416", L136, 0), 3)</f>
        <v/>
      </c>
      <c r="R136" s="11">
        <f>IF(INT(N136/20)&gt;INT(N135/20), "Lần " &amp; INT(N136/20), "")</f>
        <v/>
      </c>
      <c r="S136" s="12">
        <f>IF(INT(O136/20)&gt;INT(O135/20), "Lần " &amp; INT(O136/20), "")</f>
        <v/>
      </c>
      <c r="T136" s="11">
        <f>IF(INT(P136/20)&gt;INT(P135/20), "Lần " &amp; INT(P136/20), "")</f>
        <v/>
      </c>
      <c r="U136" s="25">
        <f>IF(INT(Q136/20)&gt;INT(Q135/20), "Lần " &amp; INT(Q136/20), "")</f>
        <v/>
      </c>
      <c r="V136" s="6" t="inlineStr"/>
      <c r="W136" s="6" t="inlineStr">
        <is>
          <t>ĐẠT TCVN 1651:2018</t>
        </is>
      </c>
    </row>
    <row r="137" ht="19" customHeight="1">
      <c r="A137" s="6" t="n">
        <v>124</v>
      </c>
      <c r="B137" s="7" t="inlineStr">
        <is>
          <t>Cọc khoan nhồi C3 Trụ T1 (D1.2m, L=40.0m)</t>
        </is>
      </c>
      <c r="C137" s="7" t="inlineStr">
        <is>
          <t>Thép đai xoắn lồng cọc</t>
        </is>
      </c>
      <c r="D137" s="19" t="inlineStr">
        <is>
          <t>P1D</t>
        </is>
      </c>
      <c r="E137" s="20" t="n">
        <v>10</v>
      </c>
      <c r="F137" s="6" t="inlineStr">
        <is>
          <t>CB240-T</t>
        </is>
      </c>
      <c r="G137" s="7" t="inlineStr">
        <is>
          <t>Đai xoắn tròn</t>
        </is>
      </c>
      <c r="H137" s="21" t="n">
        <v>19.721</v>
      </c>
      <c r="I137" s="22" t="n">
        <v>1</v>
      </c>
      <c r="J137" s="23" t="n">
        <v>0.617</v>
      </c>
      <c r="K137" s="9">
        <f>ROUND(H137*I137*J137, 2)</f>
        <v/>
      </c>
      <c r="L137" s="24">
        <f>ROUND(K137/1000, 3)</f>
        <v/>
      </c>
      <c r="M137" s="8" t="n"/>
      <c r="N137" s="21">
        <f>ROUND(N136 + IF(AND(E137&lt;=10, F137&lt;&gt;"ASTM A416"), L137, 0), 3)</f>
        <v/>
      </c>
      <c r="O137" s="21">
        <f>ROUND(O136 + IF(AND(E137&gt;10, E137&lt;=18, F137&lt;&gt;"ASTM A416"), L137, 0), 3)</f>
        <v/>
      </c>
      <c r="P137" s="21">
        <f>ROUND(P136 + IF(AND(E137&gt;18, F137&lt;&gt;"ASTM A416"), L137, 0), 3)</f>
        <v/>
      </c>
      <c r="Q137" s="21">
        <f>ROUND(Q136 + IF(F137="ASTM A416", L137, 0), 3)</f>
        <v/>
      </c>
      <c r="R137" s="11">
        <f>IF(INT(N137/20)&gt;INT(N136/20), "Lần " &amp; INT(N137/20), "")</f>
        <v/>
      </c>
      <c r="S137" s="12">
        <f>IF(INT(O137/20)&gt;INT(O136/20), "Lần " &amp; INT(O137/20), "")</f>
        <v/>
      </c>
      <c r="T137" s="11">
        <f>IF(INT(P137/20)&gt;INT(P136/20), "Lần " &amp; INT(P137/20), "")</f>
        <v/>
      </c>
      <c r="U137" s="25">
        <f>IF(INT(Q137/20)&gt;INT(Q136/20), "Lần " &amp; INT(Q137/20), "")</f>
        <v/>
      </c>
      <c r="V137" s="6" t="inlineStr"/>
      <c r="W137" s="6" t="inlineStr">
        <is>
          <t>ĐẠT TCVN 1651:2018</t>
        </is>
      </c>
    </row>
    <row r="138" ht="19" customHeight="1">
      <c r="A138" s="6" t="n">
        <v>125</v>
      </c>
      <c r="B138" s="7" t="inlineStr">
        <is>
          <t>Cọc khoan nhồi C3 Trụ T1 (D1.2m, L=40.0m)</t>
        </is>
      </c>
      <c r="C138" s="7" t="inlineStr">
        <is>
          <t>Cốt thép chủ chịu lực cọc</t>
        </is>
      </c>
      <c r="D138" s="19" t="inlineStr">
        <is>
          <t>P2B</t>
        </is>
      </c>
      <c r="E138" s="20" t="n">
        <v>25</v>
      </c>
      <c r="F138" s="6" t="inlineStr">
        <is>
          <t>CB400-V</t>
        </is>
      </c>
      <c r="G138" s="7" t="inlineStr">
        <is>
          <t>Thanh thẳng nối ren/hàn</t>
        </is>
      </c>
      <c r="H138" s="21" t="n">
        <v>2.985</v>
      </c>
      <c r="I138" s="22" t="n">
        <v>16</v>
      </c>
      <c r="J138" s="23" t="n">
        <v>3.85</v>
      </c>
      <c r="K138" s="9">
        <f>ROUND(H138*I138*J138, 2)</f>
        <v/>
      </c>
      <c r="L138" s="24">
        <f>ROUND(K138/1000, 3)</f>
        <v/>
      </c>
      <c r="M138" s="8" t="n"/>
      <c r="N138" s="21">
        <f>ROUND(N137 + IF(AND(E138&lt;=10, F138&lt;&gt;"ASTM A416"), L138, 0), 3)</f>
        <v/>
      </c>
      <c r="O138" s="21">
        <f>ROUND(O137 + IF(AND(E138&gt;10, E138&lt;=18, F138&lt;&gt;"ASTM A416"), L138, 0), 3)</f>
        <v/>
      </c>
      <c r="P138" s="21">
        <f>ROUND(P137 + IF(AND(E138&gt;18, F138&lt;&gt;"ASTM A416"), L138, 0), 3)</f>
        <v/>
      </c>
      <c r="Q138" s="21">
        <f>ROUND(Q137 + IF(F138="ASTM A416", L138, 0), 3)</f>
        <v/>
      </c>
      <c r="R138" s="11">
        <f>IF(INT(N138/20)&gt;INT(N137/20), "Lần " &amp; INT(N138/20), "")</f>
        <v/>
      </c>
      <c r="S138" s="12">
        <f>IF(INT(O138/20)&gt;INT(O137/20), "Lần " &amp; INT(O138/20), "")</f>
        <v/>
      </c>
      <c r="T138" s="11">
        <f>IF(INT(P138/20)&gt;INT(P137/20), "Lần " &amp; INT(P138/20), "")</f>
        <v/>
      </c>
      <c r="U138" s="25">
        <f>IF(INT(Q138/20)&gt;INT(Q137/20), "Lần " &amp; INT(Q138/20), "")</f>
        <v/>
      </c>
      <c r="V138" s="6" t="inlineStr"/>
      <c r="W138" s="6" t="inlineStr">
        <is>
          <t>ĐẠT TCVN 1651:2018</t>
        </is>
      </c>
    </row>
    <row r="139" ht="19" customHeight="1">
      <c r="A139" s="6" t="n">
        <v>126</v>
      </c>
      <c r="B139" s="7" t="inlineStr">
        <is>
          <t>Cọc khoan nhồi C3 Trụ T1 (D1.2m, L=40.0m)</t>
        </is>
      </c>
      <c r="C139" s="7" t="inlineStr">
        <is>
          <t>Cốt thép chủ chịu lực cọc</t>
        </is>
      </c>
      <c r="D139" s="19" t="inlineStr">
        <is>
          <t>P3</t>
        </is>
      </c>
      <c r="E139" s="20" t="n">
        <v>25</v>
      </c>
      <c r="F139" s="6" t="inlineStr">
        <is>
          <t>CB400-V</t>
        </is>
      </c>
      <c r="G139" s="7" t="inlineStr">
        <is>
          <t>Thanh thẳng nối ren/hàn</t>
        </is>
      </c>
      <c r="H139" s="21" t="n">
        <v>10.7</v>
      </c>
      <c r="I139" s="22" t="n">
        <v>12</v>
      </c>
      <c r="J139" s="23" t="n">
        <v>3.85</v>
      </c>
      <c r="K139" s="9">
        <f>ROUND(H139*I139*J139, 2)</f>
        <v/>
      </c>
      <c r="L139" s="24">
        <f>ROUND(K139/1000, 3)</f>
        <v/>
      </c>
      <c r="M139" s="8" t="n"/>
      <c r="N139" s="21">
        <f>ROUND(N138 + IF(AND(E139&lt;=10, F139&lt;&gt;"ASTM A416"), L139, 0), 3)</f>
        <v/>
      </c>
      <c r="O139" s="21">
        <f>ROUND(O138 + IF(AND(E139&gt;10, E139&lt;=18, F139&lt;&gt;"ASTM A416"), L139, 0), 3)</f>
        <v/>
      </c>
      <c r="P139" s="21">
        <f>ROUND(P138 + IF(AND(E139&gt;18, F139&lt;&gt;"ASTM A416"), L139, 0), 3)</f>
        <v/>
      </c>
      <c r="Q139" s="21">
        <f>ROUND(Q138 + IF(F139="ASTM A416", L139, 0), 3)</f>
        <v/>
      </c>
      <c r="R139" s="11">
        <f>IF(INT(N139/20)&gt;INT(N138/20), "Lần " &amp; INT(N139/20), "")</f>
        <v/>
      </c>
      <c r="S139" s="12">
        <f>IF(INT(O139/20)&gt;INT(O138/20), "Lần " &amp; INT(O139/20), "")</f>
        <v/>
      </c>
      <c r="T139" s="11">
        <f>IF(INT(P139/20)&gt;INT(P138/20), "Lần " &amp; INT(P139/20), "")</f>
        <v/>
      </c>
      <c r="U139" s="25">
        <f>IF(INT(Q139/20)&gt;INT(Q138/20), "Lần " &amp; INT(Q139/20), "")</f>
        <v/>
      </c>
      <c r="V139" s="6" t="inlineStr"/>
      <c r="W139" s="6" t="inlineStr">
        <is>
          <t>ĐẠT TCVN 1651:2018</t>
        </is>
      </c>
    </row>
    <row r="140" ht="19" customHeight="1">
      <c r="A140" s="6" t="n">
        <v>127</v>
      </c>
      <c r="B140" s="7" t="inlineStr">
        <is>
          <t>Cọc khoan nhồi C3 Trụ T1 (D1.2m, L=40.0m)</t>
        </is>
      </c>
      <c r="C140" s="7" t="inlineStr">
        <is>
          <t>Cốt thép chủ chịu lực cọc</t>
        </is>
      </c>
      <c r="D140" s="19" t="inlineStr">
        <is>
          <t>P4</t>
        </is>
      </c>
      <c r="E140" s="20" t="n">
        <v>25</v>
      </c>
      <c r="F140" s="6" t="inlineStr">
        <is>
          <t>CB400-V</t>
        </is>
      </c>
      <c r="G140" s="7" t="inlineStr">
        <is>
          <t>Thanh thẳng nối ren/hàn</t>
        </is>
      </c>
      <c r="H140" s="21" t="n">
        <v>11.7</v>
      </c>
      <c r="I140" s="22" t="n">
        <v>60</v>
      </c>
      <c r="J140" s="23" t="n">
        <v>3.85</v>
      </c>
      <c r="K140" s="9">
        <f>ROUND(H140*I140*J140, 2)</f>
        <v/>
      </c>
      <c r="L140" s="24">
        <f>ROUND(K140/1000, 3)</f>
        <v/>
      </c>
      <c r="M140" s="8" t="n"/>
      <c r="N140" s="21">
        <f>ROUND(N139 + IF(AND(E140&lt;=10, F140&lt;&gt;"ASTM A416"), L140, 0), 3)</f>
        <v/>
      </c>
      <c r="O140" s="21">
        <f>ROUND(O139 + IF(AND(E140&gt;10, E140&lt;=18, F140&lt;&gt;"ASTM A416"), L140, 0), 3)</f>
        <v/>
      </c>
      <c r="P140" s="21">
        <f>ROUND(P139 + IF(AND(E140&gt;18, F140&lt;&gt;"ASTM A416"), L140, 0), 3)</f>
        <v/>
      </c>
      <c r="Q140" s="21">
        <f>ROUND(Q139 + IF(F140="ASTM A416", L140, 0), 3)</f>
        <v/>
      </c>
      <c r="R140" s="11">
        <f>IF(INT(N140/20)&gt;INT(N139/20), "Lần " &amp; INT(N140/20), "")</f>
        <v/>
      </c>
      <c r="S140" s="12">
        <f>IF(INT(O140/20)&gt;INT(O139/20), "Lần " &amp; INT(O140/20), "")</f>
        <v/>
      </c>
      <c r="T140" s="11">
        <f>IF(INT(P140/20)&gt;INT(P139/20), "Lần " &amp; INT(P140/20), "")</f>
        <v/>
      </c>
      <c r="U140" s="25">
        <f>IF(INT(Q140/20)&gt;INT(Q139/20), "Lần " &amp; INT(Q140/20), "")</f>
        <v/>
      </c>
      <c r="V140" s="6" t="inlineStr"/>
      <c r="W140" s="6" t="inlineStr">
        <is>
          <t>ĐẠT TCVN 1651:2018</t>
        </is>
      </c>
    </row>
    <row r="141" ht="19" customHeight="1">
      <c r="A141" s="6" t="n">
        <v>128</v>
      </c>
      <c r="B141" s="7" t="inlineStr">
        <is>
          <t>Cọc khoan nhồi C3 Trụ T1 (D1.2m, L=40.0m)</t>
        </is>
      </c>
      <c r="C141" s="7" t="inlineStr">
        <is>
          <t>Cốt thép chủ chịu lực cọc</t>
        </is>
      </c>
      <c r="D141" s="19" t="inlineStr">
        <is>
          <t>P6</t>
        </is>
      </c>
      <c r="E141" s="20" t="n">
        <v>25</v>
      </c>
      <c r="F141" s="6" t="inlineStr">
        <is>
          <t>CB400-V</t>
        </is>
      </c>
      <c r="G141" s="7" t="inlineStr">
        <is>
          <t>Thanh thẳng nối ren/hàn</t>
        </is>
      </c>
      <c r="H141" s="21" t="n">
        <v>9.032999999999999</v>
      </c>
      <c r="I141" s="22" t="n">
        <v>12</v>
      </c>
      <c r="J141" s="23" t="n">
        <v>3.85</v>
      </c>
      <c r="K141" s="9">
        <f>ROUND(H141*I141*J141, 2)</f>
        <v/>
      </c>
      <c r="L141" s="24">
        <f>ROUND(K141/1000, 3)</f>
        <v/>
      </c>
      <c r="M141" s="8" t="n"/>
      <c r="N141" s="21">
        <f>ROUND(N140 + IF(AND(E141&lt;=10, F141&lt;&gt;"ASTM A416"), L141, 0), 3)</f>
        <v/>
      </c>
      <c r="O141" s="21">
        <f>ROUND(O140 + IF(AND(E141&gt;10, E141&lt;=18, F141&lt;&gt;"ASTM A416"), L141, 0), 3)</f>
        <v/>
      </c>
      <c r="P141" s="21">
        <f>ROUND(P140 + IF(AND(E141&gt;18, F141&lt;&gt;"ASTM A416"), L141, 0), 3)</f>
        <v/>
      </c>
      <c r="Q141" s="21">
        <f>ROUND(Q140 + IF(F141="ASTM A416", L141, 0), 3)</f>
        <v/>
      </c>
      <c r="R141" s="11">
        <f>IF(INT(N141/20)&gt;INT(N140/20), "Lần " &amp; INT(N141/20), "")</f>
        <v/>
      </c>
      <c r="S141" s="12">
        <f>IF(INT(O141/20)&gt;INT(O140/20), "Lần " &amp; INT(O141/20), "")</f>
        <v/>
      </c>
      <c r="T141" s="11">
        <f>IF(INT(P141/20)&gt;INT(P140/20), "Lần " &amp; INT(P141/20), "")</f>
        <v/>
      </c>
      <c r="U141" s="25">
        <f>IF(INT(Q141/20)&gt;INT(Q140/20), "Lần " &amp; INT(Q141/20), "")</f>
        <v/>
      </c>
      <c r="V141" s="6" t="inlineStr"/>
      <c r="W141" s="6" t="inlineStr">
        <is>
          <t>ĐẠT TCVN 1651:2018</t>
        </is>
      </c>
    </row>
    <row r="142" ht="19" customHeight="1">
      <c r="A142" s="6" t="n">
        <v>129</v>
      </c>
      <c r="B142" s="7" t="inlineStr">
        <is>
          <t>Cọc khoan nhồi C3 Trụ T1 (D1.2m, L=40.0m)</t>
        </is>
      </c>
      <c r="C142" s="7" t="inlineStr">
        <is>
          <t>Cốt thép chủ chịu lực cọc</t>
        </is>
      </c>
      <c r="D142" s="19" t="inlineStr">
        <is>
          <t>P7</t>
        </is>
      </c>
      <c r="E142" s="20" t="n">
        <v>25</v>
      </c>
      <c r="F142" s="6" t="inlineStr">
        <is>
          <t>CB400-V</t>
        </is>
      </c>
      <c r="G142" s="7" t="inlineStr">
        <is>
          <t>Thanh thẳng nối ren/hàn</t>
        </is>
      </c>
      <c r="H142" s="21" t="n">
        <v>10.033</v>
      </c>
      <c r="I142" s="22" t="n">
        <v>12</v>
      </c>
      <c r="J142" s="23" t="n">
        <v>3.85</v>
      </c>
      <c r="K142" s="9">
        <f>ROUND(H142*I142*J142, 2)</f>
        <v/>
      </c>
      <c r="L142" s="24">
        <f>ROUND(K142/1000, 3)</f>
        <v/>
      </c>
      <c r="M142" s="8" t="n"/>
      <c r="N142" s="21">
        <f>ROUND(N141 + IF(AND(E142&lt;=10, F142&lt;&gt;"ASTM A416"), L142, 0), 3)</f>
        <v/>
      </c>
      <c r="O142" s="21">
        <f>ROUND(O141 + IF(AND(E142&gt;10, E142&lt;=18, F142&lt;&gt;"ASTM A416"), L142, 0), 3)</f>
        <v/>
      </c>
      <c r="P142" s="21">
        <f>ROUND(P141 + IF(AND(E142&gt;18, F142&lt;&gt;"ASTM A416"), L142, 0), 3)</f>
        <v/>
      </c>
      <c r="Q142" s="21">
        <f>ROUND(Q141 + IF(F142="ASTM A416", L142, 0), 3)</f>
        <v/>
      </c>
      <c r="R142" s="11">
        <f>IF(INT(N142/20)&gt;INT(N141/20), "Lần " &amp; INT(N142/20), "")</f>
        <v/>
      </c>
      <c r="S142" s="12">
        <f>IF(INT(O142/20)&gt;INT(O141/20), "Lần " &amp; INT(O142/20), "")</f>
        <v/>
      </c>
      <c r="T142" s="11">
        <f>IF(INT(P142/20)&gt;INT(P141/20), "Lần " &amp; INT(P142/20), "")</f>
        <v/>
      </c>
      <c r="U142" s="25">
        <f>IF(INT(Q142/20)&gt;INT(Q141/20), "Lần " &amp; INT(Q142/20), "")</f>
        <v/>
      </c>
      <c r="V142" s="6" t="inlineStr"/>
      <c r="W142" s="6" t="inlineStr">
        <is>
          <t>ĐẠT TCVN 1651:2018</t>
        </is>
      </c>
    </row>
    <row r="143" ht="19" customHeight="1">
      <c r="A143" s="6" t="n">
        <v>130</v>
      </c>
      <c r="B143" s="7" t="inlineStr">
        <is>
          <t>Cọc khoan nhồi C3 Trụ T1 (D1.2m, L=40.0m)</t>
        </is>
      </c>
      <c r="C143" s="7" t="inlineStr">
        <is>
          <t>Đai tăng cường / Con kê bảo vệ</t>
        </is>
      </c>
      <c r="D143" s="19" t="inlineStr">
        <is>
          <t>P8</t>
        </is>
      </c>
      <c r="E143" s="20" t="n">
        <v>12</v>
      </c>
      <c r="F143" s="6" t="inlineStr">
        <is>
          <t>CB400-V</t>
        </is>
      </c>
      <c r="G143" s="7" t="inlineStr">
        <is>
          <t>Móc neo / Vòng đai</t>
        </is>
      </c>
      <c r="H143" s="21" t="n">
        <v>0.647</v>
      </c>
      <c r="I143" s="22" t="n">
        <v>16</v>
      </c>
      <c r="J143" s="23" t="n">
        <v>0.888</v>
      </c>
      <c r="K143" s="9">
        <f>ROUND(H143*I143*J143, 2)</f>
        <v/>
      </c>
      <c r="L143" s="24">
        <f>ROUND(K143/1000, 3)</f>
        <v/>
      </c>
      <c r="M143" s="8" t="n"/>
      <c r="N143" s="21">
        <f>ROUND(N142 + IF(AND(E143&lt;=10, F143&lt;&gt;"ASTM A416"), L143, 0), 3)</f>
        <v/>
      </c>
      <c r="O143" s="21">
        <f>ROUND(O142 + IF(AND(E143&gt;10, E143&lt;=18, F143&lt;&gt;"ASTM A416"), L143, 0), 3)</f>
        <v/>
      </c>
      <c r="P143" s="21">
        <f>ROUND(P142 + IF(AND(E143&gt;18, F143&lt;&gt;"ASTM A416"), L143, 0), 3)</f>
        <v/>
      </c>
      <c r="Q143" s="21">
        <f>ROUND(Q142 + IF(F143="ASTM A416", L143, 0), 3)</f>
        <v/>
      </c>
      <c r="R143" s="11">
        <f>IF(INT(N143/20)&gt;INT(N142/20), "Lần " &amp; INT(N143/20), "")</f>
        <v/>
      </c>
      <c r="S143" s="12">
        <f>IF(INT(O143/20)&gt;INT(O142/20), "Lần " &amp; INT(O143/20), "")</f>
        <v/>
      </c>
      <c r="T143" s="11">
        <f>IF(INT(P143/20)&gt;INT(P142/20), "Lần " &amp; INT(P143/20), "")</f>
        <v/>
      </c>
      <c r="U143" s="25">
        <f>IF(INT(Q143/20)&gt;INT(Q142/20), "Lần " &amp; INT(Q143/20), "")</f>
        <v/>
      </c>
      <c r="V143" s="6" t="inlineStr"/>
      <c r="W143" s="6" t="inlineStr">
        <is>
          <t>ĐẠT TCVN 1651:2018</t>
        </is>
      </c>
    </row>
    <row r="144" ht="19" customHeight="1">
      <c r="A144" s="6" t="n">
        <v>131</v>
      </c>
      <c r="B144" s="7" t="inlineStr">
        <is>
          <t>Cọc khoan nhồi C3 Trụ T1 (D1.2m, L=40.0m)</t>
        </is>
      </c>
      <c r="C144" s="7" t="inlineStr">
        <is>
          <t>Đai tăng cường / Con kê bảo vệ</t>
        </is>
      </c>
      <c r="D144" s="19" t="inlineStr">
        <is>
          <t>P9</t>
        </is>
      </c>
      <c r="E144" s="20" t="n">
        <v>12</v>
      </c>
      <c r="F144" s="6" t="inlineStr">
        <is>
          <t>CB400-V</t>
        </is>
      </c>
      <c r="G144" s="7" t="inlineStr">
        <is>
          <t>Móc neo / Vòng đai</t>
        </is>
      </c>
      <c r="H144" s="21" t="n">
        <v>0.379</v>
      </c>
      <c r="I144" s="22" t="n">
        <v>48</v>
      </c>
      <c r="J144" s="23" t="n">
        <v>0.888</v>
      </c>
      <c r="K144" s="9">
        <f>ROUND(H144*I144*J144, 2)</f>
        <v/>
      </c>
      <c r="L144" s="24">
        <f>ROUND(K144/1000, 3)</f>
        <v/>
      </c>
      <c r="M144" s="8" t="n"/>
      <c r="N144" s="21">
        <f>ROUND(N143 + IF(AND(E144&lt;=10, F144&lt;&gt;"ASTM A416"), L144, 0), 3)</f>
        <v/>
      </c>
      <c r="O144" s="21">
        <f>ROUND(O143 + IF(AND(E144&gt;10, E144&lt;=18, F144&lt;&gt;"ASTM A416"), L144, 0), 3)</f>
        <v/>
      </c>
      <c r="P144" s="21">
        <f>ROUND(P143 + IF(AND(E144&gt;18, F144&lt;&gt;"ASTM A416"), L144, 0), 3)</f>
        <v/>
      </c>
      <c r="Q144" s="21">
        <f>ROUND(Q143 + IF(F144="ASTM A416", L144, 0), 3)</f>
        <v/>
      </c>
      <c r="R144" s="11">
        <f>IF(INT(N144/20)&gt;INT(N143/20), "Lần " &amp; INT(N144/20), "")</f>
        <v/>
      </c>
      <c r="S144" s="12">
        <f>IF(INT(O144/20)&gt;INT(O143/20), "Lần " &amp; INT(O144/20), "")</f>
        <v/>
      </c>
      <c r="T144" s="11">
        <f>IF(INT(P144/20)&gt;INT(P143/20), "Lần " &amp; INT(P144/20), "")</f>
        <v/>
      </c>
      <c r="U144" s="25">
        <f>IF(INT(Q144/20)&gt;INT(Q143/20), "Lần " &amp; INT(Q144/20), "")</f>
        <v/>
      </c>
      <c r="V144" s="6" t="inlineStr"/>
      <c r="W144" s="6" t="inlineStr">
        <is>
          <t>ĐẠT TCVN 1651:2018</t>
        </is>
      </c>
    </row>
    <row r="145" ht="19" customHeight="1">
      <c r="A145" s="6" t="n">
        <v>132</v>
      </c>
      <c r="B145" s="7" t="inlineStr">
        <is>
          <t>Cọc khoan nhồi C3 Trụ T1 (D1.2m, L=40.0m)</t>
        </is>
      </c>
      <c r="C145" s="7" t="inlineStr">
        <is>
          <t>Thép đai xoắn lồng cọc</t>
        </is>
      </c>
      <c r="D145" s="19" t="inlineStr">
        <is>
          <t>P10</t>
        </is>
      </c>
      <c r="E145" s="20" t="n">
        <v>20</v>
      </c>
      <c r="F145" s="6" t="inlineStr">
        <is>
          <t>CB400-V</t>
        </is>
      </c>
      <c r="G145" s="7" t="inlineStr">
        <is>
          <t>Đai xoắn tròn</t>
        </is>
      </c>
      <c r="H145" s="21" t="n">
        <v>2.057</v>
      </c>
      <c r="I145" s="22" t="n">
        <v>1</v>
      </c>
      <c r="J145" s="23" t="n">
        <v>2.47</v>
      </c>
      <c r="K145" s="9">
        <f>ROUND(H145*I145*J145, 2)</f>
        <v/>
      </c>
      <c r="L145" s="24">
        <f>ROUND(K145/1000, 3)</f>
        <v/>
      </c>
      <c r="M145" s="8" t="n"/>
      <c r="N145" s="21">
        <f>ROUND(N144 + IF(AND(E145&lt;=10, F145&lt;&gt;"ASTM A416"), L145, 0), 3)</f>
        <v/>
      </c>
      <c r="O145" s="21">
        <f>ROUND(O144 + IF(AND(E145&gt;10, E145&lt;=18, F145&lt;&gt;"ASTM A416"), L145, 0), 3)</f>
        <v/>
      </c>
      <c r="P145" s="21">
        <f>ROUND(P144 + IF(AND(E145&gt;18, F145&lt;&gt;"ASTM A416"), L145, 0), 3)</f>
        <v/>
      </c>
      <c r="Q145" s="21">
        <f>ROUND(Q144 + IF(F145="ASTM A416", L145, 0), 3)</f>
        <v/>
      </c>
      <c r="R145" s="11">
        <f>IF(INT(N145/20)&gt;INT(N144/20), "Lần " &amp; INT(N145/20), "")</f>
        <v/>
      </c>
      <c r="S145" s="12">
        <f>IF(INT(O145/20)&gt;INT(O144/20), "Lần " &amp; INT(O145/20), "")</f>
        <v/>
      </c>
      <c r="T145" s="11">
        <f>IF(INT(P145/20)&gt;INT(P144/20), "Lần " &amp; INT(P145/20), "")</f>
        <v/>
      </c>
      <c r="U145" s="25">
        <f>IF(INT(Q145/20)&gt;INT(Q144/20), "Lần " &amp; INT(Q145/20), "")</f>
        <v/>
      </c>
      <c r="V145" s="6" t="inlineStr"/>
      <c r="W145" s="6" t="inlineStr">
        <is>
          <t>ĐẠT TCVN 1651:2018</t>
        </is>
      </c>
    </row>
    <row r="146" ht="19" customHeight="1">
      <c r="A146" s="6" t="n">
        <v>133</v>
      </c>
      <c r="B146" s="7" t="inlineStr">
        <is>
          <t>Cọc khoan nhồi C3 Trụ T1 (D1.2m, L=40.0m)</t>
        </is>
      </c>
      <c r="C146" s="7" t="inlineStr">
        <is>
          <t>Thép đai xoắn lồng cọc</t>
        </is>
      </c>
      <c r="D146" s="19" t="inlineStr">
        <is>
          <t>P12</t>
        </is>
      </c>
      <c r="E146" s="20" t="n">
        <v>20</v>
      </c>
      <c r="F146" s="6" t="inlineStr">
        <is>
          <t>CB400-V</t>
        </is>
      </c>
      <c r="G146" s="7" t="inlineStr">
        <is>
          <t>Đai xoắn tròn</t>
        </is>
      </c>
      <c r="H146" s="21" t="n">
        <v>0.583</v>
      </c>
      <c r="I146" s="22" t="n">
        <v>64</v>
      </c>
      <c r="J146" s="23" t="n">
        <v>2.47</v>
      </c>
      <c r="K146" s="9">
        <f>ROUND(H146*I146*J146, 2)</f>
        <v/>
      </c>
      <c r="L146" s="24">
        <f>ROUND(K146/1000, 3)</f>
        <v/>
      </c>
      <c r="M146" s="8" t="n"/>
      <c r="N146" s="21">
        <f>ROUND(N145 + IF(AND(E146&lt;=10, F146&lt;&gt;"ASTM A416"), L146, 0), 3)</f>
        <v/>
      </c>
      <c r="O146" s="21">
        <f>ROUND(O145 + IF(AND(E146&gt;10, E146&lt;=18, F146&lt;&gt;"ASTM A416"), L146, 0), 3)</f>
        <v/>
      </c>
      <c r="P146" s="21">
        <f>ROUND(P145 + IF(AND(E146&gt;18, F146&lt;&gt;"ASTM A416"), L146, 0), 3)</f>
        <v/>
      </c>
      <c r="Q146" s="21">
        <f>ROUND(Q145 + IF(F146="ASTM A416", L146, 0), 3)</f>
        <v/>
      </c>
      <c r="R146" s="11">
        <f>IF(INT(N146/20)&gt;INT(N145/20), "Lần " &amp; INT(N146/20), "")</f>
        <v/>
      </c>
      <c r="S146" s="12">
        <f>IF(INT(O146/20)&gt;INT(O145/20), "Lần " &amp; INT(O146/20), "")</f>
        <v/>
      </c>
      <c r="T146" s="11">
        <f>IF(INT(P146/20)&gt;INT(P145/20), "Lần " &amp; INT(P146/20), "")</f>
        <v/>
      </c>
      <c r="U146" s="25">
        <f>IF(INT(Q146/20)&gt;INT(Q145/20), "Lần " &amp; INT(Q146/20), "")</f>
        <v/>
      </c>
      <c r="V146" s="6" t="inlineStr"/>
      <c r="W146" s="6" t="inlineStr">
        <is>
          <t>ĐẠT TCVN 1651:2018</t>
        </is>
      </c>
    </row>
    <row r="147" ht="20" customHeight="1">
      <c r="A147" s="18" t="inlineStr">
        <is>
          <t>--- CỌC KHOAN NHỒI C4 TRỤ T1 (D1.2M, L=40.0M) ---</t>
        </is>
      </c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</row>
    <row r="148" ht="19" customHeight="1">
      <c r="A148" s="6" t="n">
        <v>134</v>
      </c>
      <c r="B148" s="7" t="inlineStr">
        <is>
          <t>Cọc khoan nhồi C4 Trụ T1 (D1.2m, L=40.0m)</t>
        </is>
      </c>
      <c r="C148" s="7" t="inlineStr">
        <is>
          <t>Thép đai xoắn lồng cọc</t>
        </is>
      </c>
      <c r="D148" s="19" t="inlineStr">
        <is>
          <t>P1</t>
        </is>
      </c>
      <c r="E148" s="20" t="n">
        <v>10</v>
      </c>
      <c r="F148" s="6" t="inlineStr">
        <is>
          <t>CB240-T</t>
        </is>
      </c>
      <c r="G148" s="7" t="inlineStr">
        <is>
          <t>Đai xoắn tròn</t>
        </is>
      </c>
      <c r="H148" s="21" t="n">
        <v>96.604</v>
      </c>
      <c r="I148" s="22" t="n">
        <v>1</v>
      </c>
      <c r="J148" s="23" t="n">
        <v>0.617</v>
      </c>
      <c r="K148" s="9">
        <f>ROUND(H148*I148*J148, 2)</f>
        <v/>
      </c>
      <c r="L148" s="24">
        <f>ROUND(K148/1000, 3)</f>
        <v/>
      </c>
      <c r="M148" s="8" t="n"/>
      <c r="N148" s="21">
        <f>ROUND(N146 + IF(AND(E148&lt;=10, F148&lt;&gt;"ASTM A416"), L148, 0), 3)</f>
        <v/>
      </c>
      <c r="O148" s="21">
        <f>ROUND(O146 + IF(AND(E148&gt;10, E148&lt;=18, F148&lt;&gt;"ASTM A416"), L148, 0), 3)</f>
        <v/>
      </c>
      <c r="P148" s="21">
        <f>ROUND(P146 + IF(AND(E148&gt;18, F148&lt;&gt;"ASTM A416"), L148, 0), 3)</f>
        <v/>
      </c>
      <c r="Q148" s="21">
        <f>ROUND(Q146 + IF(F148="ASTM A416", L148, 0), 3)</f>
        <v/>
      </c>
      <c r="R148" s="11">
        <f>IF(INT(N148/20)&gt;INT(N146/20), "Lần " &amp; INT(N148/20), "")</f>
        <v/>
      </c>
      <c r="S148" s="12">
        <f>IF(INT(O148/20)&gt;INT(O146/20), "Lần " &amp; INT(O148/20), "")</f>
        <v/>
      </c>
      <c r="T148" s="11">
        <f>IF(INT(P148/20)&gt;INT(P146/20), "Lần " &amp; INT(P148/20), "")</f>
        <v/>
      </c>
      <c r="U148" s="25">
        <f>IF(INT(Q148/20)&gt;INT(Q146/20), "Lần " &amp; INT(Q148/20), "")</f>
        <v/>
      </c>
      <c r="V148" s="6" t="inlineStr"/>
      <c r="W148" s="6" t="inlineStr">
        <is>
          <t>ĐẠT TCVN 1651:2018</t>
        </is>
      </c>
    </row>
    <row r="149" ht="19" customHeight="1">
      <c r="A149" s="6" t="n">
        <v>135</v>
      </c>
      <c r="B149" s="7" t="inlineStr">
        <is>
          <t>Cọc khoan nhồi C4 Trụ T1 (D1.2m, L=40.0m)</t>
        </is>
      </c>
      <c r="C149" s="7" t="inlineStr">
        <is>
          <t>Thép đai xoắn lồng cọc</t>
        </is>
      </c>
      <c r="D149" s="19" t="inlineStr">
        <is>
          <t>P1A</t>
        </is>
      </c>
      <c r="E149" s="20" t="n">
        <v>10</v>
      </c>
      <c r="F149" s="6" t="inlineStr">
        <is>
          <t>CB240-T</t>
        </is>
      </c>
      <c r="G149" s="7" t="inlineStr">
        <is>
          <t>Đai xoắn tròn</t>
        </is>
      </c>
      <c r="H149" s="21" t="n">
        <v>389.636</v>
      </c>
      <c r="I149" s="22" t="n">
        <v>1</v>
      </c>
      <c r="J149" s="23" t="n">
        <v>0.617</v>
      </c>
      <c r="K149" s="9">
        <f>ROUND(H149*I149*J149, 2)</f>
        <v/>
      </c>
      <c r="L149" s="24">
        <f>ROUND(K149/1000, 3)</f>
        <v/>
      </c>
      <c r="M149" s="8" t="n"/>
      <c r="N149" s="21">
        <f>ROUND(N148 + IF(AND(E149&lt;=10, F149&lt;&gt;"ASTM A416"), L149, 0), 3)</f>
        <v/>
      </c>
      <c r="O149" s="21">
        <f>ROUND(O148 + IF(AND(E149&gt;10, E149&lt;=18, F149&lt;&gt;"ASTM A416"), L149, 0), 3)</f>
        <v/>
      </c>
      <c r="P149" s="21">
        <f>ROUND(P148 + IF(AND(E149&gt;18, F149&lt;&gt;"ASTM A416"), L149, 0), 3)</f>
        <v/>
      </c>
      <c r="Q149" s="21">
        <f>ROUND(Q148 + IF(F149="ASTM A416", L149, 0), 3)</f>
        <v/>
      </c>
      <c r="R149" s="11">
        <f>IF(INT(N149/20)&gt;INT(N148/20), "Lần " &amp; INT(N149/20), "")</f>
        <v/>
      </c>
      <c r="S149" s="12">
        <f>IF(INT(O149/20)&gt;INT(O148/20), "Lần " &amp; INT(O149/20), "")</f>
        <v/>
      </c>
      <c r="T149" s="11">
        <f>IF(INT(P149/20)&gt;INT(P148/20), "Lần " &amp; INT(P149/20), "")</f>
        <v/>
      </c>
      <c r="U149" s="25">
        <f>IF(INT(Q149/20)&gt;INT(Q148/20), "Lần " &amp; INT(Q149/20), "")</f>
        <v/>
      </c>
      <c r="V149" s="6" t="inlineStr"/>
      <c r="W149" s="6" t="inlineStr">
        <is>
          <t>ĐẠT TCVN 1651:2018</t>
        </is>
      </c>
    </row>
    <row r="150" ht="19" customHeight="1">
      <c r="A150" s="6" t="n">
        <v>136</v>
      </c>
      <c r="B150" s="7" t="inlineStr">
        <is>
          <t>Cọc khoan nhồi C4 Trụ T1 (D1.2m, L=40.0m)</t>
        </is>
      </c>
      <c r="C150" s="7" t="inlineStr">
        <is>
          <t>Thép đai xoắn lồng cọc</t>
        </is>
      </c>
      <c r="D150" s="19" t="inlineStr">
        <is>
          <t>P1B</t>
        </is>
      </c>
      <c r="E150" s="20" t="n">
        <v>10</v>
      </c>
      <c r="F150" s="6" t="inlineStr">
        <is>
          <t>CB240-T</t>
        </is>
      </c>
      <c r="G150" s="7" t="inlineStr">
        <is>
          <t>Đai xoắn tròn</t>
        </is>
      </c>
      <c r="H150" s="21" t="n">
        <v>206.981</v>
      </c>
      <c r="I150" s="22" t="n">
        <v>1</v>
      </c>
      <c r="J150" s="23" t="n">
        <v>0.617</v>
      </c>
      <c r="K150" s="9">
        <f>ROUND(H150*I150*J150, 2)</f>
        <v/>
      </c>
      <c r="L150" s="24">
        <f>ROUND(K150/1000, 3)</f>
        <v/>
      </c>
      <c r="M150" s="8" t="n"/>
      <c r="N150" s="21">
        <f>ROUND(N149 + IF(AND(E150&lt;=10, F150&lt;&gt;"ASTM A416"), L150, 0), 3)</f>
        <v/>
      </c>
      <c r="O150" s="21">
        <f>ROUND(O149 + IF(AND(E150&gt;10, E150&lt;=18, F150&lt;&gt;"ASTM A416"), L150, 0), 3)</f>
        <v/>
      </c>
      <c r="P150" s="21">
        <f>ROUND(P149 + IF(AND(E150&gt;18, F150&lt;&gt;"ASTM A416"), L150, 0), 3)</f>
        <v/>
      </c>
      <c r="Q150" s="21">
        <f>ROUND(Q149 + IF(F150="ASTM A416", L150, 0), 3)</f>
        <v/>
      </c>
      <c r="R150" s="11">
        <f>IF(INT(N150/20)&gt;INT(N149/20), "Lần " &amp; INT(N150/20), "")</f>
        <v/>
      </c>
      <c r="S150" s="12">
        <f>IF(INT(O150/20)&gt;INT(O149/20), "Lần " &amp; INT(O150/20), "")</f>
        <v/>
      </c>
      <c r="T150" s="11">
        <f>IF(INT(P150/20)&gt;INT(P149/20), "Lần " &amp; INT(P150/20), "")</f>
        <v/>
      </c>
      <c r="U150" s="25">
        <f>IF(INT(Q150/20)&gt;INT(Q149/20), "Lần " &amp; INT(Q150/20), "")</f>
        <v/>
      </c>
      <c r="V150" s="6" t="inlineStr"/>
      <c r="W150" s="6" t="inlineStr">
        <is>
          <t>ĐẠT TCVN 1651:2018</t>
        </is>
      </c>
    </row>
    <row r="151" ht="19" customHeight="1">
      <c r="A151" s="6" t="n">
        <v>137</v>
      </c>
      <c r="B151" s="7" t="inlineStr">
        <is>
          <t>Cọc khoan nhồi C4 Trụ T1 (D1.2m, L=40.0m)</t>
        </is>
      </c>
      <c r="C151" s="7" t="inlineStr">
        <is>
          <t>Thép đai xoắn lồng cọc</t>
        </is>
      </c>
      <c r="D151" s="19" t="inlineStr">
        <is>
          <t>P1C</t>
        </is>
      </c>
      <c r="E151" s="20" t="n">
        <v>10</v>
      </c>
      <c r="F151" s="6" t="inlineStr">
        <is>
          <t>CB240-T</t>
        </is>
      </c>
      <c r="G151" s="7" t="inlineStr">
        <is>
          <t>Đai xoắn tròn</t>
        </is>
      </c>
      <c r="H151" s="21" t="n">
        <v>3.592</v>
      </c>
      <c r="I151" s="22" t="n">
        <v>2</v>
      </c>
      <c r="J151" s="23" t="n">
        <v>0.617</v>
      </c>
      <c r="K151" s="9">
        <f>ROUND(H151*I151*J151, 2)</f>
        <v/>
      </c>
      <c r="L151" s="24">
        <f>ROUND(K151/1000, 3)</f>
        <v/>
      </c>
      <c r="M151" s="8" t="n"/>
      <c r="N151" s="21">
        <f>ROUND(N150 + IF(AND(E151&lt;=10, F151&lt;&gt;"ASTM A416"), L151, 0), 3)</f>
        <v/>
      </c>
      <c r="O151" s="21">
        <f>ROUND(O150 + IF(AND(E151&gt;10, E151&lt;=18, F151&lt;&gt;"ASTM A416"), L151, 0), 3)</f>
        <v/>
      </c>
      <c r="P151" s="21">
        <f>ROUND(P150 + IF(AND(E151&gt;18, F151&lt;&gt;"ASTM A416"), L151, 0), 3)</f>
        <v/>
      </c>
      <c r="Q151" s="21">
        <f>ROUND(Q150 + IF(F151="ASTM A416", L151, 0), 3)</f>
        <v/>
      </c>
      <c r="R151" s="11">
        <f>IF(INT(N151/20)&gt;INT(N150/20), "Lần " &amp; INT(N151/20), "")</f>
        <v/>
      </c>
      <c r="S151" s="12">
        <f>IF(INT(O151/20)&gt;INT(O150/20), "Lần " &amp; INT(O151/20), "")</f>
        <v/>
      </c>
      <c r="T151" s="11">
        <f>IF(INT(P151/20)&gt;INT(P150/20), "Lần " &amp; INT(P151/20), "")</f>
        <v/>
      </c>
      <c r="U151" s="25">
        <f>IF(INT(Q151/20)&gt;INT(Q150/20), "Lần " &amp; INT(Q151/20), "")</f>
        <v/>
      </c>
      <c r="V151" s="6" t="inlineStr"/>
      <c r="W151" s="6" t="inlineStr">
        <is>
          <t>ĐẠT TCVN 1651:2018</t>
        </is>
      </c>
    </row>
    <row r="152" ht="19" customHeight="1">
      <c r="A152" s="6" t="n">
        <v>138</v>
      </c>
      <c r="B152" s="7" t="inlineStr">
        <is>
          <t>Cọc khoan nhồi C4 Trụ T1 (D1.2m, L=40.0m)</t>
        </is>
      </c>
      <c r="C152" s="7" t="inlineStr">
        <is>
          <t>Thép đai xoắn lồng cọc</t>
        </is>
      </c>
      <c r="D152" s="19" t="inlineStr">
        <is>
          <t>P1D</t>
        </is>
      </c>
      <c r="E152" s="20" t="n">
        <v>10</v>
      </c>
      <c r="F152" s="6" t="inlineStr">
        <is>
          <t>CB240-T</t>
        </is>
      </c>
      <c r="G152" s="7" t="inlineStr">
        <is>
          <t>Đai xoắn tròn</t>
        </is>
      </c>
      <c r="H152" s="21" t="n">
        <v>19.721</v>
      </c>
      <c r="I152" s="22" t="n">
        <v>1</v>
      </c>
      <c r="J152" s="23" t="n">
        <v>0.617</v>
      </c>
      <c r="K152" s="9">
        <f>ROUND(H152*I152*J152, 2)</f>
        <v/>
      </c>
      <c r="L152" s="24">
        <f>ROUND(K152/1000, 3)</f>
        <v/>
      </c>
      <c r="M152" s="8" t="n"/>
      <c r="N152" s="21">
        <f>ROUND(N151 + IF(AND(E152&lt;=10, F152&lt;&gt;"ASTM A416"), L152, 0), 3)</f>
        <v/>
      </c>
      <c r="O152" s="21">
        <f>ROUND(O151 + IF(AND(E152&gt;10, E152&lt;=18, F152&lt;&gt;"ASTM A416"), L152, 0), 3)</f>
        <v/>
      </c>
      <c r="P152" s="21">
        <f>ROUND(P151 + IF(AND(E152&gt;18, F152&lt;&gt;"ASTM A416"), L152, 0), 3)</f>
        <v/>
      </c>
      <c r="Q152" s="21">
        <f>ROUND(Q151 + IF(F152="ASTM A416", L152, 0), 3)</f>
        <v/>
      </c>
      <c r="R152" s="11">
        <f>IF(INT(N152/20)&gt;INT(N151/20), "Lần " &amp; INT(N152/20), "")</f>
        <v/>
      </c>
      <c r="S152" s="12">
        <f>IF(INT(O152/20)&gt;INT(O151/20), "Lần " &amp; INT(O152/20), "")</f>
        <v/>
      </c>
      <c r="T152" s="11">
        <f>IF(INT(P152/20)&gt;INT(P151/20), "Lần " &amp; INT(P152/20), "")</f>
        <v/>
      </c>
      <c r="U152" s="25">
        <f>IF(INT(Q152/20)&gt;INT(Q151/20), "Lần " &amp; INT(Q152/20), "")</f>
        <v/>
      </c>
      <c r="V152" s="6" t="inlineStr"/>
      <c r="W152" s="6" t="inlineStr">
        <is>
          <t>ĐẠT TCVN 1651:2018</t>
        </is>
      </c>
    </row>
    <row r="153" ht="19" customHeight="1">
      <c r="A153" s="6" t="n">
        <v>139</v>
      </c>
      <c r="B153" s="7" t="inlineStr">
        <is>
          <t>Cọc khoan nhồi C4 Trụ T1 (D1.2m, L=40.0m)</t>
        </is>
      </c>
      <c r="C153" s="7" t="inlineStr">
        <is>
          <t>Cốt thép chủ chịu lực cọc</t>
        </is>
      </c>
      <c r="D153" s="19" t="inlineStr">
        <is>
          <t>P2B</t>
        </is>
      </c>
      <c r="E153" s="20" t="n">
        <v>25</v>
      </c>
      <c r="F153" s="6" t="inlineStr">
        <is>
          <t>CB400-V</t>
        </is>
      </c>
      <c r="G153" s="7" t="inlineStr">
        <is>
          <t>Thanh thẳng nối ren/hàn</t>
        </is>
      </c>
      <c r="H153" s="21" t="n">
        <v>2.985</v>
      </c>
      <c r="I153" s="22" t="n">
        <v>16</v>
      </c>
      <c r="J153" s="23" t="n">
        <v>3.85</v>
      </c>
      <c r="K153" s="9">
        <f>ROUND(H153*I153*J153, 2)</f>
        <v/>
      </c>
      <c r="L153" s="24">
        <f>ROUND(K153/1000, 3)</f>
        <v/>
      </c>
      <c r="M153" s="8" t="n"/>
      <c r="N153" s="21">
        <f>ROUND(N152 + IF(AND(E153&lt;=10, F153&lt;&gt;"ASTM A416"), L153, 0), 3)</f>
        <v/>
      </c>
      <c r="O153" s="21">
        <f>ROUND(O152 + IF(AND(E153&gt;10, E153&lt;=18, F153&lt;&gt;"ASTM A416"), L153, 0), 3)</f>
        <v/>
      </c>
      <c r="P153" s="21">
        <f>ROUND(P152 + IF(AND(E153&gt;18, F153&lt;&gt;"ASTM A416"), L153, 0), 3)</f>
        <v/>
      </c>
      <c r="Q153" s="21">
        <f>ROUND(Q152 + IF(F153="ASTM A416", L153, 0), 3)</f>
        <v/>
      </c>
      <c r="R153" s="11">
        <f>IF(INT(N153/20)&gt;INT(N152/20), "Lần " &amp; INT(N153/20), "")</f>
        <v/>
      </c>
      <c r="S153" s="12">
        <f>IF(INT(O153/20)&gt;INT(O152/20), "Lần " &amp; INT(O153/20), "")</f>
        <v/>
      </c>
      <c r="T153" s="11">
        <f>IF(INT(P153/20)&gt;INT(P152/20), "Lần " &amp; INT(P153/20), "")</f>
        <v/>
      </c>
      <c r="U153" s="25">
        <f>IF(INT(Q153/20)&gt;INT(Q152/20), "Lần " &amp; INT(Q153/20), "")</f>
        <v/>
      </c>
      <c r="V153" s="6" t="inlineStr"/>
      <c r="W153" s="6" t="inlineStr">
        <is>
          <t>ĐẠT TCVN 1651:2018</t>
        </is>
      </c>
    </row>
    <row r="154" ht="19" customHeight="1">
      <c r="A154" s="6" t="n">
        <v>140</v>
      </c>
      <c r="B154" s="7" t="inlineStr">
        <is>
          <t>Cọc khoan nhồi C4 Trụ T1 (D1.2m, L=40.0m)</t>
        </is>
      </c>
      <c r="C154" s="7" t="inlineStr">
        <is>
          <t>Cốt thép chủ chịu lực cọc</t>
        </is>
      </c>
      <c r="D154" s="19" t="inlineStr">
        <is>
          <t>P3</t>
        </is>
      </c>
      <c r="E154" s="20" t="n">
        <v>25</v>
      </c>
      <c r="F154" s="6" t="inlineStr">
        <is>
          <t>CB400-V</t>
        </is>
      </c>
      <c r="G154" s="7" t="inlineStr">
        <is>
          <t>Thanh thẳng nối ren/hàn</t>
        </is>
      </c>
      <c r="H154" s="21" t="n">
        <v>10.7</v>
      </c>
      <c r="I154" s="22" t="n">
        <v>12</v>
      </c>
      <c r="J154" s="23" t="n">
        <v>3.85</v>
      </c>
      <c r="K154" s="9">
        <f>ROUND(H154*I154*J154, 2)</f>
        <v/>
      </c>
      <c r="L154" s="24">
        <f>ROUND(K154/1000, 3)</f>
        <v/>
      </c>
      <c r="M154" s="8" t="n"/>
      <c r="N154" s="21">
        <f>ROUND(N153 + IF(AND(E154&lt;=10, F154&lt;&gt;"ASTM A416"), L154, 0), 3)</f>
        <v/>
      </c>
      <c r="O154" s="21">
        <f>ROUND(O153 + IF(AND(E154&gt;10, E154&lt;=18, F154&lt;&gt;"ASTM A416"), L154, 0), 3)</f>
        <v/>
      </c>
      <c r="P154" s="21">
        <f>ROUND(P153 + IF(AND(E154&gt;18, F154&lt;&gt;"ASTM A416"), L154, 0), 3)</f>
        <v/>
      </c>
      <c r="Q154" s="21">
        <f>ROUND(Q153 + IF(F154="ASTM A416", L154, 0), 3)</f>
        <v/>
      </c>
      <c r="R154" s="11">
        <f>IF(INT(N154/20)&gt;INT(N153/20), "Lần " &amp; INT(N154/20), "")</f>
        <v/>
      </c>
      <c r="S154" s="12">
        <f>IF(INT(O154/20)&gt;INT(O153/20), "Lần " &amp; INT(O154/20), "")</f>
        <v/>
      </c>
      <c r="T154" s="11">
        <f>IF(INT(P154/20)&gt;INT(P153/20), "Lần " &amp; INT(P154/20), "")</f>
        <v/>
      </c>
      <c r="U154" s="25">
        <f>IF(INT(Q154/20)&gt;INT(Q153/20), "Lần " &amp; INT(Q154/20), "")</f>
        <v/>
      </c>
      <c r="V154" s="6" t="inlineStr"/>
      <c r="W154" s="6" t="inlineStr">
        <is>
          <t>ĐẠT TCVN 1651:2018</t>
        </is>
      </c>
    </row>
    <row r="155" ht="19" customHeight="1">
      <c r="A155" s="6" t="n">
        <v>141</v>
      </c>
      <c r="B155" s="7" t="inlineStr">
        <is>
          <t>Cọc khoan nhồi C4 Trụ T1 (D1.2m, L=40.0m)</t>
        </is>
      </c>
      <c r="C155" s="7" t="inlineStr">
        <is>
          <t>Cốt thép chủ chịu lực cọc</t>
        </is>
      </c>
      <c r="D155" s="19" t="inlineStr">
        <is>
          <t>P4</t>
        </is>
      </c>
      <c r="E155" s="20" t="n">
        <v>25</v>
      </c>
      <c r="F155" s="6" t="inlineStr">
        <is>
          <t>CB400-V</t>
        </is>
      </c>
      <c r="G155" s="7" t="inlineStr">
        <is>
          <t>Thanh thẳng nối ren/hàn</t>
        </is>
      </c>
      <c r="H155" s="21" t="n">
        <v>11.7</v>
      </c>
      <c r="I155" s="22" t="n">
        <v>60</v>
      </c>
      <c r="J155" s="23" t="n">
        <v>3.85</v>
      </c>
      <c r="K155" s="9">
        <f>ROUND(H155*I155*J155, 2)</f>
        <v/>
      </c>
      <c r="L155" s="24">
        <f>ROUND(K155/1000, 3)</f>
        <v/>
      </c>
      <c r="M155" s="8" t="n"/>
      <c r="N155" s="21">
        <f>ROUND(N154 + IF(AND(E155&lt;=10, F155&lt;&gt;"ASTM A416"), L155, 0), 3)</f>
        <v/>
      </c>
      <c r="O155" s="21">
        <f>ROUND(O154 + IF(AND(E155&gt;10, E155&lt;=18, F155&lt;&gt;"ASTM A416"), L155, 0), 3)</f>
        <v/>
      </c>
      <c r="P155" s="21">
        <f>ROUND(P154 + IF(AND(E155&gt;18, F155&lt;&gt;"ASTM A416"), L155, 0), 3)</f>
        <v/>
      </c>
      <c r="Q155" s="21">
        <f>ROUND(Q154 + IF(F155="ASTM A416", L155, 0), 3)</f>
        <v/>
      </c>
      <c r="R155" s="11">
        <f>IF(INT(N155/20)&gt;INT(N154/20), "Lần " &amp; INT(N155/20), "")</f>
        <v/>
      </c>
      <c r="S155" s="12">
        <f>IF(INT(O155/20)&gt;INT(O154/20), "Lần " &amp; INT(O155/20), "")</f>
        <v/>
      </c>
      <c r="T155" s="11">
        <f>IF(INT(P155/20)&gt;INT(P154/20), "Lần " &amp; INT(P155/20), "")</f>
        <v/>
      </c>
      <c r="U155" s="25">
        <f>IF(INT(Q155/20)&gt;INT(Q154/20), "Lần " &amp; INT(Q155/20), "")</f>
        <v/>
      </c>
      <c r="V155" s="6" t="inlineStr"/>
      <c r="W155" s="6" t="inlineStr">
        <is>
          <t>ĐẠT TCVN 1651:2018</t>
        </is>
      </c>
    </row>
    <row r="156" ht="19" customHeight="1">
      <c r="A156" s="6" t="n">
        <v>142</v>
      </c>
      <c r="B156" s="7" t="inlineStr">
        <is>
          <t>Cọc khoan nhồi C4 Trụ T1 (D1.2m, L=40.0m)</t>
        </is>
      </c>
      <c r="C156" s="7" t="inlineStr">
        <is>
          <t>Cốt thép chủ chịu lực cọc</t>
        </is>
      </c>
      <c r="D156" s="19" t="inlineStr">
        <is>
          <t>P6</t>
        </is>
      </c>
      <c r="E156" s="20" t="n">
        <v>25</v>
      </c>
      <c r="F156" s="6" t="inlineStr">
        <is>
          <t>CB400-V</t>
        </is>
      </c>
      <c r="G156" s="7" t="inlineStr">
        <is>
          <t>Thanh thẳng nối ren/hàn</t>
        </is>
      </c>
      <c r="H156" s="21" t="n">
        <v>9.032999999999999</v>
      </c>
      <c r="I156" s="22" t="n">
        <v>12</v>
      </c>
      <c r="J156" s="23" t="n">
        <v>3.85</v>
      </c>
      <c r="K156" s="9">
        <f>ROUND(H156*I156*J156, 2)</f>
        <v/>
      </c>
      <c r="L156" s="24">
        <f>ROUND(K156/1000, 3)</f>
        <v/>
      </c>
      <c r="M156" s="8" t="n"/>
      <c r="N156" s="21">
        <f>ROUND(N155 + IF(AND(E156&lt;=10, F156&lt;&gt;"ASTM A416"), L156, 0), 3)</f>
        <v/>
      </c>
      <c r="O156" s="21">
        <f>ROUND(O155 + IF(AND(E156&gt;10, E156&lt;=18, F156&lt;&gt;"ASTM A416"), L156, 0), 3)</f>
        <v/>
      </c>
      <c r="P156" s="21">
        <f>ROUND(P155 + IF(AND(E156&gt;18, F156&lt;&gt;"ASTM A416"), L156, 0), 3)</f>
        <v/>
      </c>
      <c r="Q156" s="21">
        <f>ROUND(Q155 + IF(F156="ASTM A416", L156, 0), 3)</f>
        <v/>
      </c>
      <c r="R156" s="11">
        <f>IF(INT(N156/20)&gt;INT(N155/20), "Lần " &amp; INT(N156/20), "")</f>
        <v/>
      </c>
      <c r="S156" s="12">
        <f>IF(INT(O156/20)&gt;INT(O155/20), "Lần " &amp; INT(O156/20), "")</f>
        <v/>
      </c>
      <c r="T156" s="11">
        <f>IF(INT(P156/20)&gt;INT(P155/20), "Lần " &amp; INT(P156/20), "")</f>
        <v/>
      </c>
      <c r="U156" s="25">
        <f>IF(INT(Q156/20)&gt;INT(Q155/20), "Lần " &amp; INT(Q156/20), "")</f>
        <v/>
      </c>
      <c r="V156" s="6" t="inlineStr"/>
      <c r="W156" s="6" t="inlineStr">
        <is>
          <t>ĐẠT TCVN 1651:2018</t>
        </is>
      </c>
    </row>
    <row r="157" ht="19" customHeight="1">
      <c r="A157" s="6" t="n">
        <v>143</v>
      </c>
      <c r="B157" s="7" t="inlineStr">
        <is>
          <t>Cọc khoan nhồi C4 Trụ T1 (D1.2m, L=40.0m)</t>
        </is>
      </c>
      <c r="C157" s="7" t="inlineStr">
        <is>
          <t>Cốt thép chủ chịu lực cọc</t>
        </is>
      </c>
      <c r="D157" s="19" t="inlineStr">
        <is>
          <t>P7</t>
        </is>
      </c>
      <c r="E157" s="20" t="n">
        <v>25</v>
      </c>
      <c r="F157" s="6" t="inlineStr">
        <is>
          <t>CB400-V</t>
        </is>
      </c>
      <c r="G157" s="7" t="inlineStr">
        <is>
          <t>Thanh thẳng nối ren/hàn</t>
        </is>
      </c>
      <c r="H157" s="21" t="n">
        <v>10.033</v>
      </c>
      <c r="I157" s="22" t="n">
        <v>12</v>
      </c>
      <c r="J157" s="23" t="n">
        <v>3.85</v>
      </c>
      <c r="K157" s="9">
        <f>ROUND(H157*I157*J157, 2)</f>
        <v/>
      </c>
      <c r="L157" s="24">
        <f>ROUND(K157/1000, 3)</f>
        <v/>
      </c>
      <c r="M157" s="8" t="n"/>
      <c r="N157" s="21">
        <f>ROUND(N156 + IF(AND(E157&lt;=10, F157&lt;&gt;"ASTM A416"), L157, 0), 3)</f>
        <v/>
      </c>
      <c r="O157" s="21">
        <f>ROUND(O156 + IF(AND(E157&gt;10, E157&lt;=18, F157&lt;&gt;"ASTM A416"), L157, 0), 3)</f>
        <v/>
      </c>
      <c r="P157" s="21">
        <f>ROUND(P156 + IF(AND(E157&gt;18, F157&lt;&gt;"ASTM A416"), L157, 0), 3)</f>
        <v/>
      </c>
      <c r="Q157" s="21">
        <f>ROUND(Q156 + IF(F157="ASTM A416", L157, 0), 3)</f>
        <v/>
      </c>
      <c r="R157" s="11">
        <f>IF(INT(N157/20)&gt;INT(N156/20), "Lần " &amp; INT(N157/20), "")</f>
        <v/>
      </c>
      <c r="S157" s="12">
        <f>IF(INT(O157/20)&gt;INT(O156/20), "Lần " &amp; INT(O157/20), "")</f>
        <v/>
      </c>
      <c r="T157" s="11">
        <f>IF(INT(P157/20)&gt;INT(P156/20), "Lần " &amp; INT(P157/20), "")</f>
        <v/>
      </c>
      <c r="U157" s="25">
        <f>IF(INT(Q157/20)&gt;INT(Q156/20), "Lần " &amp; INT(Q157/20), "")</f>
        <v/>
      </c>
      <c r="V157" s="6" t="inlineStr"/>
      <c r="W157" s="6" t="inlineStr">
        <is>
          <t>ĐẠT TCVN 1651:2018</t>
        </is>
      </c>
    </row>
    <row r="158" ht="19" customHeight="1">
      <c r="A158" s="6" t="n">
        <v>144</v>
      </c>
      <c r="B158" s="7" t="inlineStr">
        <is>
          <t>Cọc khoan nhồi C4 Trụ T1 (D1.2m, L=40.0m)</t>
        </is>
      </c>
      <c r="C158" s="7" t="inlineStr">
        <is>
          <t>Đai tăng cường / Con kê bảo vệ</t>
        </is>
      </c>
      <c r="D158" s="19" t="inlineStr">
        <is>
          <t>P8</t>
        </is>
      </c>
      <c r="E158" s="20" t="n">
        <v>12</v>
      </c>
      <c r="F158" s="6" t="inlineStr">
        <is>
          <t>CB400-V</t>
        </is>
      </c>
      <c r="G158" s="7" t="inlineStr">
        <is>
          <t>Móc neo / Vòng đai</t>
        </is>
      </c>
      <c r="H158" s="21" t="n">
        <v>0.647</v>
      </c>
      <c r="I158" s="22" t="n">
        <v>16</v>
      </c>
      <c r="J158" s="23" t="n">
        <v>0.888</v>
      </c>
      <c r="K158" s="9">
        <f>ROUND(H158*I158*J158, 2)</f>
        <v/>
      </c>
      <c r="L158" s="24">
        <f>ROUND(K158/1000, 3)</f>
        <v/>
      </c>
      <c r="M158" s="8" t="n"/>
      <c r="N158" s="21">
        <f>ROUND(N157 + IF(AND(E158&lt;=10, F158&lt;&gt;"ASTM A416"), L158, 0), 3)</f>
        <v/>
      </c>
      <c r="O158" s="21">
        <f>ROUND(O157 + IF(AND(E158&gt;10, E158&lt;=18, F158&lt;&gt;"ASTM A416"), L158, 0), 3)</f>
        <v/>
      </c>
      <c r="P158" s="21">
        <f>ROUND(P157 + IF(AND(E158&gt;18, F158&lt;&gt;"ASTM A416"), L158, 0), 3)</f>
        <v/>
      </c>
      <c r="Q158" s="21">
        <f>ROUND(Q157 + IF(F158="ASTM A416", L158, 0), 3)</f>
        <v/>
      </c>
      <c r="R158" s="11">
        <f>IF(INT(N158/20)&gt;INT(N157/20), "Lần " &amp; INT(N158/20), "")</f>
        <v/>
      </c>
      <c r="S158" s="12">
        <f>IF(INT(O158/20)&gt;INT(O157/20), "Lần " &amp; INT(O158/20), "")</f>
        <v/>
      </c>
      <c r="T158" s="11">
        <f>IF(INT(P158/20)&gt;INT(P157/20), "Lần " &amp; INT(P158/20), "")</f>
        <v/>
      </c>
      <c r="U158" s="25">
        <f>IF(INT(Q158/20)&gt;INT(Q157/20), "Lần " &amp; INT(Q158/20), "")</f>
        <v/>
      </c>
      <c r="V158" s="6" t="inlineStr"/>
      <c r="W158" s="6" t="inlineStr">
        <is>
          <t>ĐẠT TCVN 1651:2018</t>
        </is>
      </c>
    </row>
    <row r="159" ht="19" customHeight="1">
      <c r="A159" s="6" t="n">
        <v>145</v>
      </c>
      <c r="B159" s="7" t="inlineStr">
        <is>
          <t>Cọc khoan nhồi C4 Trụ T1 (D1.2m, L=40.0m)</t>
        </is>
      </c>
      <c r="C159" s="7" t="inlineStr">
        <is>
          <t>Đai tăng cường / Con kê bảo vệ</t>
        </is>
      </c>
      <c r="D159" s="19" t="inlineStr">
        <is>
          <t>P9</t>
        </is>
      </c>
      <c r="E159" s="20" t="n">
        <v>12</v>
      </c>
      <c r="F159" s="6" t="inlineStr">
        <is>
          <t>CB400-V</t>
        </is>
      </c>
      <c r="G159" s="7" t="inlineStr">
        <is>
          <t>Móc neo / Vòng đai</t>
        </is>
      </c>
      <c r="H159" s="21" t="n">
        <v>0.379</v>
      </c>
      <c r="I159" s="22" t="n">
        <v>48</v>
      </c>
      <c r="J159" s="23" t="n">
        <v>0.888</v>
      </c>
      <c r="K159" s="9">
        <f>ROUND(H159*I159*J159, 2)</f>
        <v/>
      </c>
      <c r="L159" s="24">
        <f>ROUND(K159/1000, 3)</f>
        <v/>
      </c>
      <c r="M159" s="8" t="n"/>
      <c r="N159" s="21">
        <f>ROUND(N158 + IF(AND(E159&lt;=10, F159&lt;&gt;"ASTM A416"), L159, 0), 3)</f>
        <v/>
      </c>
      <c r="O159" s="21">
        <f>ROUND(O158 + IF(AND(E159&gt;10, E159&lt;=18, F159&lt;&gt;"ASTM A416"), L159, 0), 3)</f>
        <v/>
      </c>
      <c r="P159" s="21">
        <f>ROUND(P158 + IF(AND(E159&gt;18, F159&lt;&gt;"ASTM A416"), L159, 0), 3)</f>
        <v/>
      </c>
      <c r="Q159" s="21">
        <f>ROUND(Q158 + IF(F159="ASTM A416", L159, 0), 3)</f>
        <v/>
      </c>
      <c r="R159" s="11">
        <f>IF(INT(N159/20)&gt;INT(N158/20), "Lần " &amp; INT(N159/20), "")</f>
        <v/>
      </c>
      <c r="S159" s="12">
        <f>IF(INT(O159/20)&gt;INT(O158/20), "Lần " &amp; INT(O159/20), "")</f>
        <v/>
      </c>
      <c r="T159" s="11">
        <f>IF(INT(P159/20)&gt;INT(P158/20), "Lần " &amp; INT(P159/20), "")</f>
        <v/>
      </c>
      <c r="U159" s="25">
        <f>IF(INT(Q159/20)&gt;INT(Q158/20), "Lần " &amp; INT(Q159/20), "")</f>
        <v/>
      </c>
      <c r="V159" s="6" t="inlineStr"/>
      <c r="W159" s="6" t="inlineStr">
        <is>
          <t>ĐẠT TCVN 1651:2018</t>
        </is>
      </c>
    </row>
    <row r="160" ht="19" customHeight="1">
      <c r="A160" s="6" t="n">
        <v>146</v>
      </c>
      <c r="B160" s="7" t="inlineStr">
        <is>
          <t>Cọc khoan nhồi C4 Trụ T1 (D1.2m, L=40.0m)</t>
        </is>
      </c>
      <c r="C160" s="7" t="inlineStr">
        <is>
          <t>Thép đai xoắn lồng cọc</t>
        </is>
      </c>
      <c r="D160" s="19" t="inlineStr">
        <is>
          <t>P10</t>
        </is>
      </c>
      <c r="E160" s="20" t="n">
        <v>20</v>
      </c>
      <c r="F160" s="6" t="inlineStr">
        <is>
          <t>CB400-V</t>
        </is>
      </c>
      <c r="G160" s="7" t="inlineStr">
        <is>
          <t>Đai xoắn tròn</t>
        </is>
      </c>
      <c r="H160" s="21" t="n">
        <v>2.057</v>
      </c>
      <c r="I160" s="22" t="n">
        <v>1</v>
      </c>
      <c r="J160" s="23" t="n">
        <v>2.47</v>
      </c>
      <c r="K160" s="9">
        <f>ROUND(H160*I160*J160, 2)</f>
        <v/>
      </c>
      <c r="L160" s="24">
        <f>ROUND(K160/1000, 3)</f>
        <v/>
      </c>
      <c r="M160" s="8" t="n"/>
      <c r="N160" s="21">
        <f>ROUND(N159 + IF(AND(E160&lt;=10, F160&lt;&gt;"ASTM A416"), L160, 0), 3)</f>
        <v/>
      </c>
      <c r="O160" s="21">
        <f>ROUND(O159 + IF(AND(E160&gt;10, E160&lt;=18, F160&lt;&gt;"ASTM A416"), L160, 0), 3)</f>
        <v/>
      </c>
      <c r="P160" s="21">
        <f>ROUND(P159 + IF(AND(E160&gt;18, F160&lt;&gt;"ASTM A416"), L160, 0), 3)</f>
        <v/>
      </c>
      <c r="Q160" s="21">
        <f>ROUND(Q159 + IF(F160="ASTM A416", L160, 0), 3)</f>
        <v/>
      </c>
      <c r="R160" s="11">
        <f>IF(INT(N160/20)&gt;INT(N159/20), "Lần " &amp; INT(N160/20), "")</f>
        <v/>
      </c>
      <c r="S160" s="12">
        <f>IF(INT(O160/20)&gt;INT(O159/20), "Lần " &amp; INT(O160/20), "")</f>
        <v/>
      </c>
      <c r="T160" s="11">
        <f>IF(INT(P160/20)&gt;INT(P159/20), "Lần " &amp; INT(P160/20), "")</f>
        <v/>
      </c>
      <c r="U160" s="25">
        <f>IF(INT(Q160/20)&gt;INT(Q159/20), "Lần " &amp; INT(Q160/20), "")</f>
        <v/>
      </c>
      <c r="V160" s="6" t="inlineStr"/>
      <c r="W160" s="6" t="inlineStr">
        <is>
          <t>ĐẠT TCVN 1651:2018</t>
        </is>
      </c>
    </row>
    <row r="161" ht="19" customHeight="1">
      <c r="A161" s="6" t="n">
        <v>147</v>
      </c>
      <c r="B161" s="7" t="inlineStr">
        <is>
          <t>Cọc khoan nhồi C4 Trụ T1 (D1.2m, L=40.0m)</t>
        </is>
      </c>
      <c r="C161" s="7" t="inlineStr">
        <is>
          <t>Thép đai xoắn lồng cọc</t>
        </is>
      </c>
      <c r="D161" s="19" t="inlineStr">
        <is>
          <t>P12</t>
        </is>
      </c>
      <c r="E161" s="20" t="n">
        <v>20</v>
      </c>
      <c r="F161" s="6" t="inlineStr">
        <is>
          <t>CB400-V</t>
        </is>
      </c>
      <c r="G161" s="7" t="inlineStr">
        <is>
          <t>Đai xoắn tròn</t>
        </is>
      </c>
      <c r="H161" s="21" t="n">
        <v>0.583</v>
      </c>
      <c r="I161" s="22" t="n">
        <v>64</v>
      </c>
      <c r="J161" s="23" t="n">
        <v>2.47</v>
      </c>
      <c r="K161" s="9">
        <f>ROUND(H161*I161*J161, 2)</f>
        <v/>
      </c>
      <c r="L161" s="24">
        <f>ROUND(K161/1000, 3)</f>
        <v/>
      </c>
      <c r="M161" s="8" t="n"/>
      <c r="N161" s="21">
        <f>ROUND(N160 + IF(AND(E161&lt;=10, F161&lt;&gt;"ASTM A416"), L161, 0), 3)</f>
        <v/>
      </c>
      <c r="O161" s="21">
        <f>ROUND(O160 + IF(AND(E161&gt;10, E161&lt;=18, F161&lt;&gt;"ASTM A416"), L161, 0), 3)</f>
        <v/>
      </c>
      <c r="P161" s="21">
        <f>ROUND(P160 + IF(AND(E161&gt;18, F161&lt;&gt;"ASTM A416"), L161, 0), 3)</f>
        <v/>
      </c>
      <c r="Q161" s="21">
        <f>ROUND(Q160 + IF(F161="ASTM A416", L161, 0), 3)</f>
        <v/>
      </c>
      <c r="R161" s="11">
        <f>IF(INT(N161/20)&gt;INT(N160/20), "Lần " &amp; INT(N161/20), "")</f>
        <v/>
      </c>
      <c r="S161" s="12">
        <f>IF(INT(O161/20)&gt;INT(O160/20), "Lần " &amp; INT(O161/20), "")</f>
        <v/>
      </c>
      <c r="T161" s="11">
        <f>IF(INT(P161/20)&gt;INT(P160/20), "Lần " &amp; INT(P161/20), "")</f>
        <v/>
      </c>
      <c r="U161" s="25">
        <f>IF(INT(Q161/20)&gt;INT(Q160/20), "Lần " &amp; INT(Q161/20), "")</f>
        <v/>
      </c>
      <c r="V161" s="6" t="inlineStr"/>
      <c r="W161" s="6" t="inlineStr">
        <is>
          <t>ĐẠT TCVN 1651:2018</t>
        </is>
      </c>
    </row>
    <row r="162" ht="20" customHeight="1">
      <c r="A162" s="18" t="inlineStr">
        <is>
          <t>--- CỌC KHOAN NHỒI C5 TRỤ T1 (D1.2M, L=40.0M) ---</t>
        </is>
      </c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</row>
    <row r="163" ht="19" customHeight="1">
      <c r="A163" s="6" t="n">
        <v>148</v>
      </c>
      <c r="B163" s="7" t="inlineStr">
        <is>
          <t>Cọc khoan nhồi C5 Trụ T1 (D1.2m, L=40.0m)</t>
        </is>
      </c>
      <c r="C163" s="7" t="inlineStr">
        <is>
          <t>Thép đai xoắn lồng cọc</t>
        </is>
      </c>
      <c r="D163" s="19" t="inlineStr">
        <is>
          <t>P1</t>
        </is>
      </c>
      <c r="E163" s="20" t="n">
        <v>10</v>
      </c>
      <c r="F163" s="6" t="inlineStr">
        <is>
          <t>CB240-T</t>
        </is>
      </c>
      <c r="G163" s="7" t="inlineStr">
        <is>
          <t>Đai xoắn tròn</t>
        </is>
      </c>
      <c r="H163" s="21" t="n">
        <v>96.604</v>
      </c>
      <c r="I163" s="22" t="n">
        <v>1</v>
      </c>
      <c r="J163" s="23" t="n">
        <v>0.617</v>
      </c>
      <c r="K163" s="9">
        <f>ROUND(H163*I163*J163, 2)</f>
        <v/>
      </c>
      <c r="L163" s="24">
        <f>ROUND(K163/1000, 3)</f>
        <v/>
      </c>
      <c r="M163" s="8" t="n"/>
      <c r="N163" s="21">
        <f>ROUND(N161 + IF(AND(E163&lt;=10, F163&lt;&gt;"ASTM A416"), L163, 0), 3)</f>
        <v/>
      </c>
      <c r="O163" s="21">
        <f>ROUND(O161 + IF(AND(E163&gt;10, E163&lt;=18, F163&lt;&gt;"ASTM A416"), L163, 0), 3)</f>
        <v/>
      </c>
      <c r="P163" s="21">
        <f>ROUND(P161 + IF(AND(E163&gt;18, F163&lt;&gt;"ASTM A416"), L163, 0), 3)</f>
        <v/>
      </c>
      <c r="Q163" s="21">
        <f>ROUND(Q161 + IF(F163="ASTM A416", L163, 0), 3)</f>
        <v/>
      </c>
      <c r="R163" s="11">
        <f>IF(INT(N163/20)&gt;INT(N161/20), "Lần " &amp; INT(N163/20), "")</f>
        <v/>
      </c>
      <c r="S163" s="12">
        <f>IF(INT(O163/20)&gt;INT(O161/20), "Lần " &amp; INT(O163/20), "")</f>
        <v/>
      </c>
      <c r="T163" s="11">
        <f>IF(INT(P163/20)&gt;INT(P161/20), "Lần " &amp; INT(P163/20), "")</f>
        <v/>
      </c>
      <c r="U163" s="25">
        <f>IF(INT(Q163/20)&gt;INT(Q161/20), "Lần " &amp; INT(Q163/20), "")</f>
        <v/>
      </c>
      <c r="V163" s="6" t="inlineStr"/>
      <c r="W163" s="6" t="inlineStr">
        <is>
          <t>ĐẠT TCVN 1651:2018</t>
        </is>
      </c>
    </row>
    <row r="164" ht="19" customHeight="1">
      <c r="A164" s="6" t="n">
        <v>149</v>
      </c>
      <c r="B164" s="7" t="inlineStr">
        <is>
          <t>Cọc khoan nhồi C5 Trụ T1 (D1.2m, L=40.0m)</t>
        </is>
      </c>
      <c r="C164" s="7" t="inlineStr">
        <is>
          <t>Thép đai xoắn lồng cọc</t>
        </is>
      </c>
      <c r="D164" s="19" t="inlineStr">
        <is>
          <t>P1A</t>
        </is>
      </c>
      <c r="E164" s="20" t="n">
        <v>10</v>
      </c>
      <c r="F164" s="6" t="inlineStr">
        <is>
          <t>CB240-T</t>
        </is>
      </c>
      <c r="G164" s="7" t="inlineStr">
        <is>
          <t>Đai xoắn tròn</t>
        </is>
      </c>
      <c r="H164" s="21" t="n">
        <v>389.636</v>
      </c>
      <c r="I164" s="22" t="n">
        <v>1</v>
      </c>
      <c r="J164" s="23" t="n">
        <v>0.617</v>
      </c>
      <c r="K164" s="9">
        <f>ROUND(H164*I164*J164, 2)</f>
        <v/>
      </c>
      <c r="L164" s="24">
        <f>ROUND(K164/1000, 3)</f>
        <v/>
      </c>
      <c r="M164" s="8" t="n"/>
      <c r="N164" s="21">
        <f>ROUND(N163 + IF(AND(E164&lt;=10, F164&lt;&gt;"ASTM A416"), L164, 0), 3)</f>
        <v/>
      </c>
      <c r="O164" s="21">
        <f>ROUND(O163 + IF(AND(E164&gt;10, E164&lt;=18, F164&lt;&gt;"ASTM A416"), L164, 0), 3)</f>
        <v/>
      </c>
      <c r="P164" s="21">
        <f>ROUND(P163 + IF(AND(E164&gt;18, F164&lt;&gt;"ASTM A416"), L164, 0), 3)</f>
        <v/>
      </c>
      <c r="Q164" s="21">
        <f>ROUND(Q163 + IF(F164="ASTM A416", L164, 0), 3)</f>
        <v/>
      </c>
      <c r="R164" s="11">
        <f>IF(INT(N164/20)&gt;INT(N163/20), "Lần " &amp; INT(N164/20), "")</f>
        <v/>
      </c>
      <c r="S164" s="12">
        <f>IF(INT(O164/20)&gt;INT(O163/20), "Lần " &amp; INT(O164/20), "")</f>
        <v/>
      </c>
      <c r="T164" s="11">
        <f>IF(INT(P164/20)&gt;INT(P163/20), "Lần " &amp; INT(P164/20), "")</f>
        <v/>
      </c>
      <c r="U164" s="25">
        <f>IF(INT(Q164/20)&gt;INT(Q163/20), "Lần " &amp; INT(Q164/20), "")</f>
        <v/>
      </c>
      <c r="V164" s="6" t="inlineStr"/>
      <c r="W164" s="6" t="inlineStr">
        <is>
          <t>ĐẠT TCVN 1651:2018</t>
        </is>
      </c>
    </row>
    <row r="165" ht="19" customHeight="1">
      <c r="A165" s="6" t="n">
        <v>150</v>
      </c>
      <c r="B165" s="7" t="inlineStr">
        <is>
          <t>Cọc khoan nhồi C5 Trụ T1 (D1.2m, L=40.0m)</t>
        </is>
      </c>
      <c r="C165" s="7" t="inlineStr">
        <is>
          <t>Thép đai xoắn lồng cọc</t>
        </is>
      </c>
      <c r="D165" s="19" t="inlineStr">
        <is>
          <t>P1B</t>
        </is>
      </c>
      <c r="E165" s="20" t="n">
        <v>10</v>
      </c>
      <c r="F165" s="6" t="inlineStr">
        <is>
          <t>CB240-T</t>
        </is>
      </c>
      <c r="G165" s="7" t="inlineStr">
        <is>
          <t>Đai xoắn tròn</t>
        </is>
      </c>
      <c r="H165" s="21" t="n">
        <v>206.981</v>
      </c>
      <c r="I165" s="22" t="n">
        <v>1</v>
      </c>
      <c r="J165" s="23" t="n">
        <v>0.617</v>
      </c>
      <c r="K165" s="9">
        <f>ROUND(H165*I165*J165, 2)</f>
        <v/>
      </c>
      <c r="L165" s="24">
        <f>ROUND(K165/1000, 3)</f>
        <v/>
      </c>
      <c r="M165" s="8" t="n"/>
      <c r="N165" s="21">
        <f>ROUND(N164 + IF(AND(E165&lt;=10, F165&lt;&gt;"ASTM A416"), L165, 0), 3)</f>
        <v/>
      </c>
      <c r="O165" s="21">
        <f>ROUND(O164 + IF(AND(E165&gt;10, E165&lt;=18, F165&lt;&gt;"ASTM A416"), L165, 0), 3)</f>
        <v/>
      </c>
      <c r="P165" s="21">
        <f>ROUND(P164 + IF(AND(E165&gt;18, F165&lt;&gt;"ASTM A416"), L165, 0), 3)</f>
        <v/>
      </c>
      <c r="Q165" s="21">
        <f>ROUND(Q164 + IF(F165="ASTM A416", L165, 0), 3)</f>
        <v/>
      </c>
      <c r="R165" s="11">
        <f>IF(INT(N165/20)&gt;INT(N164/20), "Lần " &amp; INT(N165/20), "")</f>
        <v/>
      </c>
      <c r="S165" s="12">
        <f>IF(INT(O165/20)&gt;INT(O164/20), "Lần " &amp; INT(O165/20), "")</f>
        <v/>
      </c>
      <c r="T165" s="11">
        <f>IF(INT(P165/20)&gt;INT(P164/20), "Lần " &amp; INT(P165/20), "")</f>
        <v/>
      </c>
      <c r="U165" s="25">
        <f>IF(INT(Q165/20)&gt;INT(Q164/20), "Lần " &amp; INT(Q165/20), "")</f>
        <v/>
      </c>
      <c r="V165" s="6" t="inlineStr"/>
      <c r="W165" s="6" t="inlineStr">
        <is>
          <t>ĐẠT TCVN 1651:2018</t>
        </is>
      </c>
    </row>
    <row r="166" ht="19" customHeight="1">
      <c r="A166" s="6" t="n">
        <v>151</v>
      </c>
      <c r="B166" s="7" t="inlineStr">
        <is>
          <t>Cọc khoan nhồi C5 Trụ T1 (D1.2m, L=40.0m)</t>
        </is>
      </c>
      <c r="C166" s="7" t="inlineStr">
        <is>
          <t>Thép đai xoắn lồng cọc</t>
        </is>
      </c>
      <c r="D166" s="19" t="inlineStr">
        <is>
          <t>P1C</t>
        </is>
      </c>
      <c r="E166" s="20" t="n">
        <v>10</v>
      </c>
      <c r="F166" s="6" t="inlineStr">
        <is>
          <t>CB240-T</t>
        </is>
      </c>
      <c r="G166" s="7" t="inlineStr">
        <is>
          <t>Đai xoắn tròn</t>
        </is>
      </c>
      <c r="H166" s="21" t="n">
        <v>3.592</v>
      </c>
      <c r="I166" s="22" t="n">
        <v>2</v>
      </c>
      <c r="J166" s="23" t="n">
        <v>0.617</v>
      </c>
      <c r="K166" s="9">
        <f>ROUND(H166*I166*J166, 2)</f>
        <v/>
      </c>
      <c r="L166" s="24">
        <f>ROUND(K166/1000, 3)</f>
        <v/>
      </c>
      <c r="M166" s="8" t="n"/>
      <c r="N166" s="21">
        <f>ROUND(N165 + IF(AND(E166&lt;=10, F166&lt;&gt;"ASTM A416"), L166, 0), 3)</f>
        <v/>
      </c>
      <c r="O166" s="21">
        <f>ROUND(O165 + IF(AND(E166&gt;10, E166&lt;=18, F166&lt;&gt;"ASTM A416"), L166, 0), 3)</f>
        <v/>
      </c>
      <c r="P166" s="21">
        <f>ROUND(P165 + IF(AND(E166&gt;18, F166&lt;&gt;"ASTM A416"), L166, 0), 3)</f>
        <v/>
      </c>
      <c r="Q166" s="21">
        <f>ROUND(Q165 + IF(F166="ASTM A416", L166, 0), 3)</f>
        <v/>
      </c>
      <c r="R166" s="11">
        <f>IF(INT(N166/20)&gt;INT(N165/20), "Lần " &amp; INT(N166/20), "")</f>
        <v/>
      </c>
      <c r="S166" s="12">
        <f>IF(INT(O166/20)&gt;INT(O165/20), "Lần " &amp; INT(O166/20), "")</f>
        <v/>
      </c>
      <c r="T166" s="11">
        <f>IF(INT(P166/20)&gt;INT(P165/20), "Lần " &amp; INT(P166/20), "")</f>
        <v/>
      </c>
      <c r="U166" s="25">
        <f>IF(INT(Q166/20)&gt;INT(Q165/20), "Lần " &amp; INT(Q166/20), "")</f>
        <v/>
      </c>
      <c r="V166" s="6" t="inlineStr"/>
      <c r="W166" s="6" t="inlineStr">
        <is>
          <t>ĐẠT TCVN 1651:2018</t>
        </is>
      </c>
    </row>
    <row r="167" ht="19" customHeight="1">
      <c r="A167" s="6" t="n">
        <v>152</v>
      </c>
      <c r="B167" s="7" t="inlineStr">
        <is>
          <t>Cọc khoan nhồi C5 Trụ T1 (D1.2m, L=40.0m)</t>
        </is>
      </c>
      <c r="C167" s="7" t="inlineStr">
        <is>
          <t>Thép đai xoắn lồng cọc</t>
        </is>
      </c>
      <c r="D167" s="19" t="inlineStr">
        <is>
          <t>P1D</t>
        </is>
      </c>
      <c r="E167" s="20" t="n">
        <v>10</v>
      </c>
      <c r="F167" s="6" t="inlineStr">
        <is>
          <t>CB240-T</t>
        </is>
      </c>
      <c r="G167" s="7" t="inlineStr">
        <is>
          <t>Đai xoắn tròn</t>
        </is>
      </c>
      <c r="H167" s="21" t="n">
        <v>19.721</v>
      </c>
      <c r="I167" s="22" t="n">
        <v>1</v>
      </c>
      <c r="J167" s="23" t="n">
        <v>0.617</v>
      </c>
      <c r="K167" s="9">
        <f>ROUND(H167*I167*J167, 2)</f>
        <v/>
      </c>
      <c r="L167" s="24">
        <f>ROUND(K167/1000, 3)</f>
        <v/>
      </c>
      <c r="M167" s="8" t="n"/>
      <c r="N167" s="21">
        <f>ROUND(N166 + IF(AND(E167&lt;=10, F167&lt;&gt;"ASTM A416"), L167, 0), 3)</f>
        <v/>
      </c>
      <c r="O167" s="21">
        <f>ROUND(O166 + IF(AND(E167&gt;10, E167&lt;=18, F167&lt;&gt;"ASTM A416"), L167, 0), 3)</f>
        <v/>
      </c>
      <c r="P167" s="21">
        <f>ROUND(P166 + IF(AND(E167&gt;18, F167&lt;&gt;"ASTM A416"), L167, 0), 3)</f>
        <v/>
      </c>
      <c r="Q167" s="21">
        <f>ROUND(Q166 + IF(F167="ASTM A416", L167, 0), 3)</f>
        <v/>
      </c>
      <c r="R167" s="11">
        <f>IF(INT(N167/20)&gt;INT(N166/20), "Lần " &amp; INT(N167/20), "")</f>
        <v/>
      </c>
      <c r="S167" s="12">
        <f>IF(INT(O167/20)&gt;INT(O166/20), "Lần " &amp; INT(O167/20), "")</f>
        <v/>
      </c>
      <c r="T167" s="11">
        <f>IF(INT(P167/20)&gt;INT(P166/20), "Lần " &amp; INT(P167/20), "")</f>
        <v/>
      </c>
      <c r="U167" s="25">
        <f>IF(INT(Q167/20)&gt;INT(Q166/20), "Lần " &amp; INT(Q167/20), "")</f>
        <v/>
      </c>
      <c r="V167" s="6" t="inlineStr"/>
      <c r="W167" s="6" t="inlineStr">
        <is>
          <t>ĐẠT TCVN 1651:2018</t>
        </is>
      </c>
    </row>
    <row r="168" ht="19" customHeight="1">
      <c r="A168" s="6" t="n">
        <v>153</v>
      </c>
      <c r="B168" s="7" t="inlineStr">
        <is>
          <t>Cọc khoan nhồi C5 Trụ T1 (D1.2m, L=40.0m)</t>
        </is>
      </c>
      <c r="C168" s="7" t="inlineStr">
        <is>
          <t>Cốt thép chủ chịu lực cọc</t>
        </is>
      </c>
      <c r="D168" s="19" t="inlineStr">
        <is>
          <t>P2B</t>
        </is>
      </c>
      <c r="E168" s="20" t="n">
        <v>25</v>
      </c>
      <c r="F168" s="6" t="inlineStr">
        <is>
          <t>CB400-V</t>
        </is>
      </c>
      <c r="G168" s="7" t="inlineStr">
        <is>
          <t>Thanh thẳng nối ren/hàn</t>
        </is>
      </c>
      <c r="H168" s="21" t="n">
        <v>2.985</v>
      </c>
      <c r="I168" s="22" t="n">
        <v>16</v>
      </c>
      <c r="J168" s="23" t="n">
        <v>3.85</v>
      </c>
      <c r="K168" s="9">
        <f>ROUND(H168*I168*J168, 2)</f>
        <v/>
      </c>
      <c r="L168" s="24">
        <f>ROUND(K168/1000, 3)</f>
        <v/>
      </c>
      <c r="M168" s="8" t="n"/>
      <c r="N168" s="21">
        <f>ROUND(N167 + IF(AND(E168&lt;=10, F168&lt;&gt;"ASTM A416"), L168, 0), 3)</f>
        <v/>
      </c>
      <c r="O168" s="21">
        <f>ROUND(O167 + IF(AND(E168&gt;10, E168&lt;=18, F168&lt;&gt;"ASTM A416"), L168, 0), 3)</f>
        <v/>
      </c>
      <c r="P168" s="21">
        <f>ROUND(P167 + IF(AND(E168&gt;18, F168&lt;&gt;"ASTM A416"), L168, 0), 3)</f>
        <v/>
      </c>
      <c r="Q168" s="21">
        <f>ROUND(Q167 + IF(F168="ASTM A416", L168, 0), 3)</f>
        <v/>
      </c>
      <c r="R168" s="11">
        <f>IF(INT(N168/20)&gt;INT(N167/20), "Lần " &amp; INT(N168/20), "")</f>
        <v/>
      </c>
      <c r="S168" s="12">
        <f>IF(INT(O168/20)&gt;INT(O167/20), "Lần " &amp; INT(O168/20), "")</f>
        <v/>
      </c>
      <c r="T168" s="11">
        <f>IF(INT(P168/20)&gt;INT(P167/20), "Lần " &amp; INT(P168/20), "")</f>
        <v/>
      </c>
      <c r="U168" s="25">
        <f>IF(INT(Q168/20)&gt;INT(Q167/20), "Lần " &amp; INT(Q168/20), "")</f>
        <v/>
      </c>
      <c r="V168" s="6" t="inlineStr"/>
      <c r="W168" s="6" t="inlineStr">
        <is>
          <t>ĐẠT TCVN 1651:2018</t>
        </is>
      </c>
    </row>
    <row r="169" ht="19" customHeight="1">
      <c r="A169" s="6" t="n">
        <v>154</v>
      </c>
      <c r="B169" s="7" t="inlineStr">
        <is>
          <t>Cọc khoan nhồi C5 Trụ T1 (D1.2m, L=40.0m)</t>
        </is>
      </c>
      <c r="C169" s="7" t="inlineStr">
        <is>
          <t>Cốt thép chủ chịu lực cọc</t>
        </is>
      </c>
      <c r="D169" s="19" t="inlineStr">
        <is>
          <t>P3</t>
        </is>
      </c>
      <c r="E169" s="20" t="n">
        <v>25</v>
      </c>
      <c r="F169" s="6" t="inlineStr">
        <is>
          <t>CB400-V</t>
        </is>
      </c>
      <c r="G169" s="7" t="inlineStr">
        <is>
          <t>Thanh thẳng nối ren/hàn</t>
        </is>
      </c>
      <c r="H169" s="21" t="n">
        <v>10.7</v>
      </c>
      <c r="I169" s="22" t="n">
        <v>12</v>
      </c>
      <c r="J169" s="23" t="n">
        <v>3.85</v>
      </c>
      <c r="K169" s="9">
        <f>ROUND(H169*I169*J169, 2)</f>
        <v/>
      </c>
      <c r="L169" s="24">
        <f>ROUND(K169/1000, 3)</f>
        <v/>
      </c>
      <c r="M169" s="8" t="n"/>
      <c r="N169" s="21">
        <f>ROUND(N168 + IF(AND(E169&lt;=10, F169&lt;&gt;"ASTM A416"), L169, 0), 3)</f>
        <v/>
      </c>
      <c r="O169" s="21">
        <f>ROUND(O168 + IF(AND(E169&gt;10, E169&lt;=18, F169&lt;&gt;"ASTM A416"), L169, 0), 3)</f>
        <v/>
      </c>
      <c r="P169" s="21">
        <f>ROUND(P168 + IF(AND(E169&gt;18, F169&lt;&gt;"ASTM A416"), L169, 0), 3)</f>
        <v/>
      </c>
      <c r="Q169" s="21">
        <f>ROUND(Q168 + IF(F169="ASTM A416", L169, 0), 3)</f>
        <v/>
      </c>
      <c r="R169" s="11">
        <f>IF(INT(N169/20)&gt;INT(N168/20), "Lần " &amp; INT(N169/20), "")</f>
        <v/>
      </c>
      <c r="S169" s="12">
        <f>IF(INT(O169/20)&gt;INT(O168/20), "Lần " &amp; INT(O169/20), "")</f>
        <v/>
      </c>
      <c r="T169" s="11">
        <f>IF(INT(P169/20)&gt;INT(P168/20), "Lần " &amp; INT(P169/20), "")</f>
        <v/>
      </c>
      <c r="U169" s="25">
        <f>IF(INT(Q169/20)&gt;INT(Q168/20), "Lần " &amp; INT(Q169/20), "")</f>
        <v/>
      </c>
      <c r="V169" s="6" t="inlineStr"/>
      <c r="W169" s="6" t="inlineStr">
        <is>
          <t>ĐẠT TCVN 1651:2018</t>
        </is>
      </c>
    </row>
    <row r="170" ht="19" customHeight="1">
      <c r="A170" s="6" t="n">
        <v>155</v>
      </c>
      <c r="B170" s="7" t="inlineStr">
        <is>
          <t>Cọc khoan nhồi C5 Trụ T1 (D1.2m, L=40.0m)</t>
        </is>
      </c>
      <c r="C170" s="7" t="inlineStr">
        <is>
          <t>Cốt thép chủ chịu lực cọc</t>
        </is>
      </c>
      <c r="D170" s="19" t="inlineStr">
        <is>
          <t>P4</t>
        </is>
      </c>
      <c r="E170" s="20" t="n">
        <v>25</v>
      </c>
      <c r="F170" s="6" t="inlineStr">
        <is>
          <t>CB400-V</t>
        </is>
      </c>
      <c r="G170" s="7" t="inlineStr">
        <is>
          <t>Thanh thẳng nối ren/hàn</t>
        </is>
      </c>
      <c r="H170" s="21" t="n">
        <v>11.7</v>
      </c>
      <c r="I170" s="22" t="n">
        <v>60</v>
      </c>
      <c r="J170" s="23" t="n">
        <v>3.85</v>
      </c>
      <c r="K170" s="9">
        <f>ROUND(H170*I170*J170, 2)</f>
        <v/>
      </c>
      <c r="L170" s="24">
        <f>ROUND(K170/1000, 3)</f>
        <v/>
      </c>
      <c r="M170" s="8" t="n"/>
      <c r="N170" s="21">
        <f>ROUND(N169 + IF(AND(E170&lt;=10, F170&lt;&gt;"ASTM A416"), L170, 0), 3)</f>
        <v/>
      </c>
      <c r="O170" s="21">
        <f>ROUND(O169 + IF(AND(E170&gt;10, E170&lt;=18, F170&lt;&gt;"ASTM A416"), L170, 0), 3)</f>
        <v/>
      </c>
      <c r="P170" s="21">
        <f>ROUND(P169 + IF(AND(E170&gt;18, F170&lt;&gt;"ASTM A416"), L170, 0), 3)</f>
        <v/>
      </c>
      <c r="Q170" s="21">
        <f>ROUND(Q169 + IF(F170="ASTM A416", L170, 0), 3)</f>
        <v/>
      </c>
      <c r="R170" s="11">
        <f>IF(INT(N170/20)&gt;INT(N169/20), "Lần " &amp; INT(N170/20), "")</f>
        <v/>
      </c>
      <c r="S170" s="12">
        <f>IF(INT(O170/20)&gt;INT(O169/20), "Lần " &amp; INT(O170/20), "")</f>
        <v/>
      </c>
      <c r="T170" s="11">
        <f>IF(INT(P170/20)&gt;INT(P169/20), "Lần " &amp; INT(P170/20), "")</f>
        <v/>
      </c>
      <c r="U170" s="25">
        <f>IF(INT(Q170/20)&gt;INT(Q169/20), "Lần " &amp; INT(Q170/20), "")</f>
        <v/>
      </c>
      <c r="V170" s="6" t="inlineStr"/>
      <c r="W170" s="6" t="inlineStr">
        <is>
          <t>ĐẠT TCVN 1651:2018</t>
        </is>
      </c>
    </row>
    <row r="171" ht="19" customHeight="1">
      <c r="A171" s="6" t="n">
        <v>156</v>
      </c>
      <c r="B171" s="7" t="inlineStr">
        <is>
          <t>Cọc khoan nhồi C5 Trụ T1 (D1.2m, L=40.0m)</t>
        </is>
      </c>
      <c r="C171" s="7" t="inlineStr">
        <is>
          <t>Cốt thép chủ chịu lực cọc</t>
        </is>
      </c>
      <c r="D171" s="19" t="inlineStr">
        <is>
          <t>P6</t>
        </is>
      </c>
      <c r="E171" s="20" t="n">
        <v>25</v>
      </c>
      <c r="F171" s="6" t="inlineStr">
        <is>
          <t>CB400-V</t>
        </is>
      </c>
      <c r="G171" s="7" t="inlineStr">
        <is>
          <t>Thanh thẳng nối ren/hàn</t>
        </is>
      </c>
      <c r="H171" s="21" t="n">
        <v>9.032999999999999</v>
      </c>
      <c r="I171" s="22" t="n">
        <v>12</v>
      </c>
      <c r="J171" s="23" t="n">
        <v>3.85</v>
      </c>
      <c r="K171" s="9">
        <f>ROUND(H171*I171*J171, 2)</f>
        <v/>
      </c>
      <c r="L171" s="24">
        <f>ROUND(K171/1000, 3)</f>
        <v/>
      </c>
      <c r="M171" s="8" t="n"/>
      <c r="N171" s="21">
        <f>ROUND(N170 + IF(AND(E171&lt;=10, F171&lt;&gt;"ASTM A416"), L171, 0), 3)</f>
        <v/>
      </c>
      <c r="O171" s="21">
        <f>ROUND(O170 + IF(AND(E171&gt;10, E171&lt;=18, F171&lt;&gt;"ASTM A416"), L171, 0), 3)</f>
        <v/>
      </c>
      <c r="P171" s="21">
        <f>ROUND(P170 + IF(AND(E171&gt;18, F171&lt;&gt;"ASTM A416"), L171, 0), 3)</f>
        <v/>
      </c>
      <c r="Q171" s="21">
        <f>ROUND(Q170 + IF(F171="ASTM A416", L171, 0), 3)</f>
        <v/>
      </c>
      <c r="R171" s="11">
        <f>IF(INT(N171/20)&gt;INT(N170/20), "Lần " &amp; INT(N171/20), "")</f>
        <v/>
      </c>
      <c r="S171" s="12">
        <f>IF(INT(O171/20)&gt;INT(O170/20), "Lần " &amp; INT(O171/20), "")</f>
        <v/>
      </c>
      <c r="T171" s="11">
        <f>IF(INT(P171/20)&gt;INT(P170/20), "Lần " &amp; INT(P171/20), "")</f>
        <v/>
      </c>
      <c r="U171" s="25">
        <f>IF(INT(Q171/20)&gt;INT(Q170/20), "Lần " &amp; INT(Q171/20), "")</f>
        <v/>
      </c>
      <c r="V171" s="6" t="inlineStr"/>
      <c r="W171" s="6" t="inlineStr">
        <is>
          <t>ĐẠT TCVN 1651:2018</t>
        </is>
      </c>
    </row>
    <row r="172" ht="19" customHeight="1">
      <c r="A172" s="6" t="n">
        <v>157</v>
      </c>
      <c r="B172" s="7" t="inlineStr">
        <is>
          <t>Cọc khoan nhồi C5 Trụ T1 (D1.2m, L=40.0m)</t>
        </is>
      </c>
      <c r="C172" s="7" t="inlineStr">
        <is>
          <t>Cốt thép chủ chịu lực cọc</t>
        </is>
      </c>
      <c r="D172" s="19" t="inlineStr">
        <is>
          <t>P7</t>
        </is>
      </c>
      <c r="E172" s="20" t="n">
        <v>25</v>
      </c>
      <c r="F172" s="6" t="inlineStr">
        <is>
          <t>CB400-V</t>
        </is>
      </c>
      <c r="G172" s="7" t="inlineStr">
        <is>
          <t>Thanh thẳng nối ren/hàn</t>
        </is>
      </c>
      <c r="H172" s="21" t="n">
        <v>10.033</v>
      </c>
      <c r="I172" s="22" t="n">
        <v>12</v>
      </c>
      <c r="J172" s="23" t="n">
        <v>3.85</v>
      </c>
      <c r="K172" s="9">
        <f>ROUND(H172*I172*J172, 2)</f>
        <v/>
      </c>
      <c r="L172" s="24">
        <f>ROUND(K172/1000, 3)</f>
        <v/>
      </c>
      <c r="M172" s="8" t="n"/>
      <c r="N172" s="21">
        <f>ROUND(N171 + IF(AND(E172&lt;=10, F172&lt;&gt;"ASTM A416"), L172, 0), 3)</f>
        <v/>
      </c>
      <c r="O172" s="21">
        <f>ROUND(O171 + IF(AND(E172&gt;10, E172&lt;=18, F172&lt;&gt;"ASTM A416"), L172, 0), 3)</f>
        <v/>
      </c>
      <c r="P172" s="21">
        <f>ROUND(P171 + IF(AND(E172&gt;18, F172&lt;&gt;"ASTM A416"), L172, 0), 3)</f>
        <v/>
      </c>
      <c r="Q172" s="21">
        <f>ROUND(Q171 + IF(F172="ASTM A416", L172, 0), 3)</f>
        <v/>
      </c>
      <c r="R172" s="11">
        <f>IF(INT(N172/20)&gt;INT(N171/20), "Lần " &amp; INT(N172/20), "")</f>
        <v/>
      </c>
      <c r="S172" s="12">
        <f>IF(INT(O172/20)&gt;INT(O171/20), "Lần " &amp; INT(O172/20), "")</f>
        <v/>
      </c>
      <c r="T172" s="11">
        <f>IF(INT(P172/20)&gt;INT(P171/20), "Lần " &amp; INT(P172/20), "")</f>
        <v/>
      </c>
      <c r="U172" s="25">
        <f>IF(INT(Q172/20)&gt;INT(Q171/20), "Lần " &amp; INT(Q172/20), "")</f>
        <v/>
      </c>
      <c r="V172" s="6" t="inlineStr"/>
      <c r="W172" s="6" t="inlineStr">
        <is>
          <t>ĐẠT TCVN 1651:2018</t>
        </is>
      </c>
    </row>
    <row r="173" ht="19" customHeight="1">
      <c r="A173" s="6" t="n">
        <v>158</v>
      </c>
      <c r="B173" s="7" t="inlineStr">
        <is>
          <t>Cọc khoan nhồi C5 Trụ T1 (D1.2m, L=40.0m)</t>
        </is>
      </c>
      <c r="C173" s="7" t="inlineStr">
        <is>
          <t>Đai tăng cường / Con kê bảo vệ</t>
        </is>
      </c>
      <c r="D173" s="19" t="inlineStr">
        <is>
          <t>P8</t>
        </is>
      </c>
      <c r="E173" s="20" t="n">
        <v>12</v>
      </c>
      <c r="F173" s="6" t="inlineStr">
        <is>
          <t>CB400-V</t>
        </is>
      </c>
      <c r="G173" s="7" t="inlineStr">
        <is>
          <t>Móc neo / Vòng đai</t>
        </is>
      </c>
      <c r="H173" s="21" t="n">
        <v>0.647</v>
      </c>
      <c r="I173" s="22" t="n">
        <v>16</v>
      </c>
      <c r="J173" s="23" t="n">
        <v>0.888</v>
      </c>
      <c r="K173" s="9">
        <f>ROUND(H173*I173*J173, 2)</f>
        <v/>
      </c>
      <c r="L173" s="24">
        <f>ROUND(K173/1000, 3)</f>
        <v/>
      </c>
      <c r="M173" s="8" t="n"/>
      <c r="N173" s="21">
        <f>ROUND(N172 + IF(AND(E173&lt;=10, F173&lt;&gt;"ASTM A416"), L173, 0), 3)</f>
        <v/>
      </c>
      <c r="O173" s="21">
        <f>ROUND(O172 + IF(AND(E173&gt;10, E173&lt;=18, F173&lt;&gt;"ASTM A416"), L173, 0), 3)</f>
        <v/>
      </c>
      <c r="P173" s="21">
        <f>ROUND(P172 + IF(AND(E173&gt;18, F173&lt;&gt;"ASTM A416"), L173, 0), 3)</f>
        <v/>
      </c>
      <c r="Q173" s="21">
        <f>ROUND(Q172 + IF(F173="ASTM A416", L173, 0), 3)</f>
        <v/>
      </c>
      <c r="R173" s="11">
        <f>IF(INT(N173/20)&gt;INT(N172/20), "Lần " &amp; INT(N173/20), "")</f>
        <v/>
      </c>
      <c r="S173" s="12">
        <f>IF(INT(O173/20)&gt;INT(O172/20), "Lần " &amp; INT(O173/20), "")</f>
        <v/>
      </c>
      <c r="T173" s="11">
        <f>IF(INT(P173/20)&gt;INT(P172/20), "Lần " &amp; INT(P173/20), "")</f>
        <v/>
      </c>
      <c r="U173" s="25">
        <f>IF(INT(Q173/20)&gt;INT(Q172/20), "Lần " &amp; INT(Q173/20), "")</f>
        <v/>
      </c>
      <c r="V173" s="6" t="inlineStr"/>
      <c r="W173" s="6" t="inlineStr">
        <is>
          <t>ĐẠT TCVN 1651:2018</t>
        </is>
      </c>
    </row>
    <row r="174" ht="19" customHeight="1">
      <c r="A174" s="6" t="n">
        <v>159</v>
      </c>
      <c r="B174" s="7" t="inlineStr">
        <is>
          <t>Cọc khoan nhồi C5 Trụ T1 (D1.2m, L=40.0m)</t>
        </is>
      </c>
      <c r="C174" s="7" t="inlineStr">
        <is>
          <t>Đai tăng cường / Con kê bảo vệ</t>
        </is>
      </c>
      <c r="D174" s="19" t="inlineStr">
        <is>
          <t>P9</t>
        </is>
      </c>
      <c r="E174" s="20" t="n">
        <v>12</v>
      </c>
      <c r="F174" s="6" t="inlineStr">
        <is>
          <t>CB400-V</t>
        </is>
      </c>
      <c r="G174" s="7" t="inlineStr">
        <is>
          <t>Móc neo / Vòng đai</t>
        </is>
      </c>
      <c r="H174" s="21" t="n">
        <v>0.379</v>
      </c>
      <c r="I174" s="22" t="n">
        <v>48</v>
      </c>
      <c r="J174" s="23" t="n">
        <v>0.888</v>
      </c>
      <c r="K174" s="9">
        <f>ROUND(H174*I174*J174, 2)</f>
        <v/>
      </c>
      <c r="L174" s="24">
        <f>ROUND(K174/1000, 3)</f>
        <v/>
      </c>
      <c r="M174" s="8" t="n"/>
      <c r="N174" s="21">
        <f>ROUND(N173 + IF(AND(E174&lt;=10, F174&lt;&gt;"ASTM A416"), L174, 0), 3)</f>
        <v/>
      </c>
      <c r="O174" s="21">
        <f>ROUND(O173 + IF(AND(E174&gt;10, E174&lt;=18, F174&lt;&gt;"ASTM A416"), L174, 0), 3)</f>
        <v/>
      </c>
      <c r="P174" s="21">
        <f>ROUND(P173 + IF(AND(E174&gt;18, F174&lt;&gt;"ASTM A416"), L174, 0), 3)</f>
        <v/>
      </c>
      <c r="Q174" s="21">
        <f>ROUND(Q173 + IF(F174="ASTM A416", L174, 0), 3)</f>
        <v/>
      </c>
      <c r="R174" s="11">
        <f>IF(INT(N174/20)&gt;INT(N173/20), "Lần " &amp; INT(N174/20), "")</f>
        <v/>
      </c>
      <c r="S174" s="12">
        <f>IF(INT(O174/20)&gt;INT(O173/20), "Lần " &amp; INT(O174/20), "")</f>
        <v/>
      </c>
      <c r="T174" s="11">
        <f>IF(INT(P174/20)&gt;INT(P173/20), "Lần " &amp; INT(P174/20), "")</f>
        <v/>
      </c>
      <c r="U174" s="25">
        <f>IF(INT(Q174/20)&gt;INT(Q173/20), "Lần " &amp; INT(Q174/20), "")</f>
        <v/>
      </c>
      <c r="V174" s="6" t="inlineStr"/>
      <c r="W174" s="6" t="inlineStr">
        <is>
          <t>ĐẠT TCVN 1651:2018</t>
        </is>
      </c>
    </row>
    <row r="175" ht="19" customHeight="1">
      <c r="A175" s="6" t="n">
        <v>160</v>
      </c>
      <c r="B175" s="7" t="inlineStr">
        <is>
          <t>Cọc khoan nhồi C5 Trụ T1 (D1.2m, L=40.0m)</t>
        </is>
      </c>
      <c r="C175" s="7" t="inlineStr">
        <is>
          <t>Thép đai xoắn lồng cọc</t>
        </is>
      </c>
      <c r="D175" s="19" t="inlineStr">
        <is>
          <t>P10</t>
        </is>
      </c>
      <c r="E175" s="20" t="n">
        <v>20</v>
      </c>
      <c r="F175" s="6" t="inlineStr">
        <is>
          <t>CB400-V</t>
        </is>
      </c>
      <c r="G175" s="7" t="inlineStr">
        <is>
          <t>Đai xoắn tròn</t>
        </is>
      </c>
      <c r="H175" s="21" t="n">
        <v>2.057</v>
      </c>
      <c r="I175" s="22" t="n">
        <v>1</v>
      </c>
      <c r="J175" s="23" t="n">
        <v>2.47</v>
      </c>
      <c r="K175" s="9">
        <f>ROUND(H175*I175*J175, 2)</f>
        <v/>
      </c>
      <c r="L175" s="24">
        <f>ROUND(K175/1000, 3)</f>
        <v/>
      </c>
      <c r="M175" s="8" t="n"/>
      <c r="N175" s="21">
        <f>ROUND(N174 + IF(AND(E175&lt;=10, F175&lt;&gt;"ASTM A416"), L175, 0), 3)</f>
        <v/>
      </c>
      <c r="O175" s="21">
        <f>ROUND(O174 + IF(AND(E175&gt;10, E175&lt;=18, F175&lt;&gt;"ASTM A416"), L175, 0), 3)</f>
        <v/>
      </c>
      <c r="P175" s="21">
        <f>ROUND(P174 + IF(AND(E175&gt;18, F175&lt;&gt;"ASTM A416"), L175, 0), 3)</f>
        <v/>
      </c>
      <c r="Q175" s="21">
        <f>ROUND(Q174 + IF(F175="ASTM A416", L175, 0), 3)</f>
        <v/>
      </c>
      <c r="R175" s="11">
        <f>IF(INT(N175/20)&gt;INT(N174/20), "Lần " &amp; INT(N175/20), "")</f>
        <v/>
      </c>
      <c r="S175" s="12">
        <f>IF(INT(O175/20)&gt;INT(O174/20), "Lần " &amp; INT(O175/20), "")</f>
        <v/>
      </c>
      <c r="T175" s="11">
        <f>IF(INT(P175/20)&gt;INT(P174/20), "Lần " &amp; INT(P175/20), "")</f>
        <v/>
      </c>
      <c r="U175" s="25">
        <f>IF(INT(Q175/20)&gt;INT(Q174/20), "Lần " &amp; INT(Q175/20), "")</f>
        <v/>
      </c>
      <c r="V175" s="6" t="inlineStr"/>
      <c r="W175" s="6" t="inlineStr">
        <is>
          <t>ĐẠT TCVN 1651:2018</t>
        </is>
      </c>
    </row>
    <row r="176" ht="19" customHeight="1">
      <c r="A176" s="6" t="n">
        <v>161</v>
      </c>
      <c r="B176" s="7" t="inlineStr">
        <is>
          <t>Cọc khoan nhồi C5 Trụ T1 (D1.2m, L=40.0m)</t>
        </is>
      </c>
      <c r="C176" s="7" t="inlineStr">
        <is>
          <t>Thép đai xoắn lồng cọc</t>
        </is>
      </c>
      <c r="D176" s="19" t="inlineStr">
        <is>
          <t>P12</t>
        </is>
      </c>
      <c r="E176" s="20" t="n">
        <v>20</v>
      </c>
      <c r="F176" s="6" t="inlineStr">
        <is>
          <t>CB400-V</t>
        </is>
      </c>
      <c r="G176" s="7" t="inlineStr">
        <is>
          <t>Đai xoắn tròn</t>
        </is>
      </c>
      <c r="H176" s="21" t="n">
        <v>0.583</v>
      </c>
      <c r="I176" s="22" t="n">
        <v>64</v>
      </c>
      <c r="J176" s="23" t="n">
        <v>2.47</v>
      </c>
      <c r="K176" s="9">
        <f>ROUND(H176*I176*J176, 2)</f>
        <v/>
      </c>
      <c r="L176" s="24">
        <f>ROUND(K176/1000, 3)</f>
        <v/>
      </c>
      <c r="M176" s="8" t="n"/>
      <c r="N176" s="21">
        <f>ROUND(N175 + IF(AND(E176&lt;=10, F176&lt;&gt;"ASTM A416"), L176, 0), 3)</f>
        <v/>
      </c>
      <c r="O176" s="21">
        <f>ROUND(O175 + IF(AND(E176&gt;10, E176&lt;=18, F176&lt;&gt;"ASTM A416"), L176, 0), 3)</f>
        <v/>
      </c>
      <c r="P176" s="21">
        <f>ROUND(P175 + IF(AND(E176&gt;18, F176&lt;&gt;"ASTM A416"), L176, 0), 3)</f>
        <v/>
      </c>
      <c r="Q176" s="21">
        <f>ROUND(Q175 + IF(F176="ASTM A416", L176, 0), 3)</f>
        <v/>
      </c>
      <c r="R176" s="11">
        <f>IF(INT(N176/20)&gt;INT(N175/20), "Lần " &amp; INT(N176/20), "")</f>
        <v/>
      </c>
      <c r="S176" s="12">
        <f>IF(INT(O176/20)&gt;INT(O175/20), "Lần " &amp; INT(O176/20), "")</f>
        <v/>
      </c>
      <c r="T176" s="11">
        <f>IF(INT(P176/20)&gt;INT(P175/20), "Lần " &amp; INT(P176/20), "")</f>
        <v/>
      </c>
      <c r="U176" s="25">
        <f>IF(INT(Q176/20)&gt;INT(Q175/20), "Lần " &amp; INT(Q176/20), "")</f>
        <v/>
      </c>
      <c r="V176" s="6" t="inlineStr"/>
      <c r="W176" s="6" t="inlineStr">
        <is>
          <t>ĐẠT TCVN 1651:2018</t>
        </is>
      </c>
    </row>
    <row r="177" ht="20" customHeight="1">
      <c r="A177" s="18" t="inlineStr">
        <is>
          <t>--- CỌC KHOAN NHỒI C6 TRỤ T1 (D1.2M, L=40.0M) ---</t>
        </is>
      </c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</row>
    <row r="178" ht="19" customHeight="1">
      <c r="A178" s="6" t="n">
        <v>162</v>
      </c>
      <c r="B178" s="7" t="inlineStr">
        <is>
          <t>Cọc khoan nhồi C6 Trụ T1 (D1.2m, L=40.0m)</t>
        </is>
      </c>
      <c r="C178" s="7" t="inlineStr">
        <is>
          <t>Thép đai xoắn lồng cọc</t>
        </is>
      </c>
      <c r="D178" s="19" t="inlineStr">
        <is>
          <t>P1</t>
        </is>
      </c>
      <c r="E178" s="20" t="n">
        <v>10</v>
      </c>
      <c r="F178" s="6" t="inlineStr">
        <is>
          <t>CB240-T</t>
        </is>
      </c>
      <c r="G178" s="7" t="inlineStr">
        <is>
          <t>Đai xoắn tròn</t>
        </is>
      </c>
      <c r="H178" s="21" t="n">
        <v>96.604</v>
      </c>
      <c r="I178" s="22" t="n">
        <v>1</v>
      </c>
      <c r="J178" s="23" t="n">
        <v>0.617</v>
      </c>
      <c r="K178" s="9">
        <f>ROUND(H178*I178*J178, 2)</f>
        <v/>
      </c>
      <c r="L178" s="24">
        <f>ROUND(K178/1000, 3)</f>
        <v/>
      </c>
      <c r="M178" s="8" t="n"/>
      <c r="N178" s="21">
        <f>ROUND(N176 + IF(AND(E178&lt;=10, F178&lt;&gt;"ASTM A416"), L178, 0), 3)</f>
        <v/>
      </c>
      <c r="O178" s="21">
        <f>ROUND(O176 + IF(AND(E178&gt;10, E178&lt;=18, F178&lt;&gt;"ASTM A416"), L178, 0), 3)</f>
        <v/>
      </c>
      <c r="P178" s="21">
        <f>ROUND(P176 + IF(AND(E178&gt;18, F178&lt;&gt;"ASTM A416"), L178, 0), 3)</f>
        <v/>
      </c>
      <c r="Q178" s="21">
        <f>ROUND(Q176 + IF(F178="ASTM A416", L178, 0), 3)</f>
        <v/>
      </c>
      <c r="R178" s="11">
        <f>IF(INT(N178/20)&gt;INT(N176/20), "Lần " &amp; INT(N178/20), "")</f>
        <v/>
      </c>
      <c r="S178" s="12">
        <f>IF(INT(O178/20)&gt;INT(O176/20), "Lần " &amp; INT(O178/20), "")</f>
        <v/>
      </c>
      <c r="T178" s="11">
        <f>IF(INT(P178/20)&gt;INT(P176/20), "Lần " &amp; INT(P178/20), "")</f>
        <v/>
      </c>
      <c r="U178" s="25">
        <f>IF(INT(Q178/20)&gt;INT(Q176/20), "Lần " &amp; INT(Q178/20), "")</f>
        <v/>
      </c>
      <c r="V178" s="6" t="inlineStr"/>
      <c r="W178" s="6" t="inlineStr">
        <is>
          <t>ĐẠT TCVN 1651:2018</t>
        </is>
      </c>
    </row>
    <row r="179" ht="19" customHeight="1">
      <c r="A179" s="6" t="n">
        <v>163</v>
      </c>
      <c r="B179" s="7" t="inlineStr">
        <is>
          <t>Cọc khoan nhồi C6 Trụ T1 (D1.2m, L=40.0m)</t>
        </is>
      </c>
      <c r="C179" s="7" t="inlineStr">
        <is>
          <t>Thép đai xoắn lồng cọc</t>
        </is>
      </c>
      <c r="D179" s="19" t="inlineStr">
        <is>
          <t>P1A</t>
        </is>
      </c>
      <c r="E179" s="20" t="n">
        <v>10</v>
      </c>
      <c r="F179" s="6" t="inlineStr">
        <is>
          <t>CB240-T</t>
        </is>
      </c>
      <c r="G179" s="7" t="inlineStr">
        <is>
          <t>Đai xoắn tròn</t>
        </is>
      </c>
      <c r="H179" s="21" t="n">
        <v>389.636</v>
      </c>
      <c r="I179" s="22" t="n">
        <v>1</v>
      </c>
      <c r="J179" s="23" t="n">
        <v>0.617</v>
      </c>
      <c r="K179" s="9">
        <f>ROUND(H179*I179*J179, 2)</f>
        <v/>
      </c>
      <c r="L179" s="24">
        <f>ROUND(K179/1000, 3)</f>
        <v/>
      </c>
      <c r="M179" s="8" t="n"/>
      <c r="N179" s="21">
        <f>ROUND(N178 + IF(AND(E179&lt;=10, F179&lt;&gt;"ASTM A416"), L179, 0), 3)</f>
        <v/>
      </c>
      <c r="O179" s="21">
        <f>ROUND(O178 + IF(AND(E179&gt;10, E179&lt;=18, F179&lt;&gt;"ASTM A416"), L179, 0), 3)</f>
        <v/>
      </c>
      <c r="P179" s="21">
        <f>ROUND(P178 + IF(AND(E179&gt;18, F179&lt;&gt;"ASTM A416"), L179, 0), 3)</f>
        <v/>
      </c>
      <c r="Q179" s="21">
        <f>ROUND(Q178 + IF(F179="ASTM A416", L179, 0), 3)</f>
        <v/>
      </c>
      <c r="R179" s="11">
        <f>IF(INT(N179/20)&gt;INT(N178/20), "Lần " &amp; INT(N179/20), "")</f>
        <v/>
      </c>
      <c r="S179" s="12">
        <f>IF(INT(O179/20)&gt;INT(O178/20), "Lần " &amp; INT(O179/20), "")</f>
        <v/>
      </c>
      <c r="T179" s="11">
        <f>IF(INT(P179/20)&gt;INT(P178/20), "Lần " &amp; INT(P179/20), "")</f>
        <v/>
      </c>
      <c r="U179" s="25">
        <f>IF(INT(Q179/20)&gt;INT(Q178/20), "Lần " &amp; INT(Q179/20), "")</f>
        <v/>
      </c>
      <c r="V179" s="6" t="inlineStr"/>
      <c r="W179" s="6" t="inlineStr">
        <is>
          <t>ĐẠT TCVN 1651:2018</t>
        </is>
      </c>
    </row>
    <row r="180" ht="19" customHeight="1">
      <c r="A180" s="6" t="n">
        <v>164</v>
      </c>
      <c r="B180" s="7" t="inlineStr">
        <is>
          <t>Cọc khoan nhồi C6 Trụ T1 (D1.2m, L=40.0m)</t>
        </is>
      </c>
      <c r="C180" s="7" t="inlineStr">
        <is>
          <t>Thép đai xoắn lồng cọc</t>
        </is>
      </c>
      <c r="D180" s="19" t="inlineStr">
        <is>
          <t>P1B</t>
        </is>
      </c>
      <c r="E180" s="20" t="n">
        <v>10</v>
      </c>
      <c r="F180" s="6" t="inlineStr">
        <is>
          <t>CB240-T</t>
        </is>
      </c>
      <c r="G180" s="7" t="inlineStr">
        <is>
          <t>Đai xoắn tròn</t>
        </is>
      </c>
      <c r="H180" s="21" t="n">
        <v>206.981</v>
      </c>
      <c r="I180" s="22" t="n">
        <v>1</v>
      </c>
      <c r="J180" s="23" t="n">
        <v>0.617</v>
      </c>
      <c r="K180" s="9">
        <f>ROUND(H180*I180*J180, 2)</f>
        <v/>
      </c>
      <c r="L180" s="24">
        <f>ROUND(K180/1000, 3)</f>
        <v/>
      </c>
      <c r="M180" s="8" t="n"/>
      <c r="N180" s="21">
        <f>ROUND(N179 + IF(AND(E180&lt;=10, F180&lt;&gt;"ASTM A416"), L180, 0), 3)</f>
        <v/>
      </c>
      <c r="O180" s="21">
        <f>ROUND(O179 + IF(AND(E180&gt;10, E180&lt;=18, F180&lt;&gt;"ASTM A416"), L180, 0), 3)</f>
        <v/>
      </c>
      <c r="P180" s="21">
        <f>ROUND(P179 + IF(AND(E180&gt;18, F180&lt;&gt;"ASTM A416"), L180, 0), 3)</f>
        <v/>
      </c>
      <c r="Q180" s="21">
        <f>ROUND(Q179 + IF(F180="ASTM A416", L180, 0), 3)</f>
        <v/>
      </c>
      <c r="R180" s="11">
        <f>IF(INT(N180/20)&gt;INT(N179/20), "Lần " &amp; INT(N180/20), "")</f>
        <v/>
      </c>
      <c r="S180" s="12">
        <f>IF(INT(O180/20)&gt;INT(O179/20), "Lần " &amp; INT(O180/20), "")</f>
        <v/>
      </c>
      <c r="T180" s="11">
        <f>IF(INT(P180/20)&gt;INT(P179/20), "Lần " &amp; INT(P180/20), "")</f>
        <v/>
      </c>
      <c r="U180" s="25">
        <f>IF(INT(Q180/20)&gt;INT(Q179/20), "Lần " &amp; INT(Q180/20), "")</f>
        <v/>
      </c>
      <c r="V180" s="6" t="inlineStr"/>
      <c r="W180" s="6" t="inlineStr">
        <is>
          <t>ĐẠT TCVN 1651:2018</t>
        </is>
      </c>
    </row>
    <row r="181" ht="19" customHeight="1">
      <c r="A181" s="6" t="n">
        <v>165</v>
      </c>
      <c r="B181" s="7" t="inlineStr">
        <is>
          <t>Cọc khoan nhồi C6 Trụ T1 (D1.2m, L=40.0m)</t>
        </is>
      </c>
      <c r="C181" s="7" t="inlineStr">
        <is>
          <t>Thép đai xoắn lồng cọc</t>
        </is>
      </c>
      <c r="D181" s="19" t="inlineStr">
        <is>
          <t>P1C</t>
        </is>
      </c>
      <c r="E181" s="20" t="n">
        <v>10</v>
      </c>
      <c r="F181" s="6" t="inlineStr">
        <is>
          <t>CB240-T</t>
        </is>
      </c>
      <c r="G181" s="7" t="inlineStr">
        <is>
          <t>Đai xoắn tròn</t>
        </is>
      </c>
      <c r="H181" s="21" t="n">
        <v>3.592</v>
      </c>
      <c r="I181" s="22" t="n">
        <v>2</v>
      </c>
      <c r="J181" s="23" t="n">
        <v>0.617</v>
      </c>
      <c r="K181" s="9">
        <f>ROUND(H181*I181*J181, 2)</f>
        <v/>
      </c>
      <c r="L181" s="24">
        <f>ROUND(K181/1000, 3)</f>
        <v/>
      </c>
      <c r="M181" s="8" t="n"/>
      <c r="N181" s="21">
        <f>ROUND(N180 + IF(AND(E181&lt;=10, F181&lt;&gt;"ASTM A416"), L181, 0), 3)</f>
        <v/>
      </c>
      <c r="O181" s="21">
        <f>ROUND(O180 + IF(AND(E181&gt;10, E181&lt;=18, F181&lt;&gt;"ASTM A416"), L181, 0), 3)</f>
        <v/>
      </c>
      <c r="P181" s="21">
        <f>ROUND(P180 + IF(AND(E181&gt;18, F181&lt;&gt;"ASTM A416"), L181, 0), 3)</f>
        <v/>
      </c>
      <c r="Q181" s="21">
        <f>ROUND(Q180 + IF(F181="ASTM A416", L181, 0), 3)</f>
        <v/>
      </c>
      <c r="R181" s="11">
        <f>IF(INT(N181/20)&gt;INT(N180/20), "Lần " &amp; INT(N181/20), "")</f>
        <v/>
      </c>
      <c r="S181" s="12">
        <f>IF(INT(O181/20)&gt;INT(O180/20), "Lần " &amp; INT(O181/20), "")</f>
        <v/>
      </c>
      <c r="T181" s="11">
        <f>IF(INT(P181/20)&gt;INT(P180/20), "Lần " &amp; INT(P181/20), "")</f>
        <v/>
      </c>
      <c r="U181" s="25">
        <f>IF(INT(Q181/20)&gt;INT(Q180/20), "Lần " &amp; INT(Q181/20), "")</f>
        <v/>
      </c>
      <c r="V181" s="6" t="inlineStr"/>
      <c r="W181" s="6" t="inlineStr">
        <is>
          <t>ĐẠT TCVN 1651:2018</t>
        </is>
      </c>
    </row>
    <row r="182" ht="19" customHeight="1">
      <c r="A182" s="6" t="n">
        <v>166</v>
      </c>
      <c r="B182" s="7" t="inlineStr">
        <is>
          <t>Cọc khoan nhồi C6 Trụ T1 (D1.2m, L=40.0m)</t>
        </is>
      </c>
      <c r="C182" s="7" t="inlineStr">
        <is>
          <t>Thép đai xoắn lồng cọc</t>
        </is>
      </c>
      <c r="D182" s="19" t="inlineStr">
        <is>
          <t>P1D</t>
        </is>
      </c>
      <c r="E182" s="20" t="n">
        <v>10</v>
      </c>
      <c r="F182" s="6" t="inlineStr">
        <is>
          <t>CB240-T</t>
        </is>
      </c>
      <c r="G182" s="7" t="inlineStr">
        <is>
          <t>Đai xoắn tròn</t>
        </is>
      </c>
      <c r="H182" s="21" t="n">
        <v>19.721</v>
      </c>
      <c r="I182" s="22" t="n">
        <v>1</v>
      </c>
      <c r="J182" s="23" t="n">
        <v>0.617</v>
      </c>
      <c r="K182" s="9">
        <f>ROUND(H182*I182*J182, 2)</f>
        <v/>
      </c>
      <c r="L182" s="24">
        <f>ROUND(K182/1000, 3)</f>
        <v/>
      </c>
      <c r="M182" s="8" t="n"/>
      <c r="N182" s="21">
        <f>ROUND(N181 + IF(AND(E182&lt;=10, F182&lt;&gt;"ASTM A416"), L182, 0), 3)</f>
        <v/>
      </c>
      <c r="O182" s="21">
        <f>ROUND(O181 + IF(AND(E182&gt;10, E182&lt;=18, F182&lt;&gt;"ASTM A416"), L182, 0), 3)</f>
        <v/>
      </c>
      <c r="P182" s="21">
        <f>ROUND(P181 + IF(AND(E182&gt;18, F182&lt;&gt;"ASTM A416"), L182, 0), 3)</f>
        <v/>
      </c>
      <c r="Q182" s="21">
        <f>ROUND(Q181 + IF(F182="ASTM A416", L182, 0), 3)</f>
        <v/>
      </c>
      <c r="R182" s="11">
        <f>IF(INT(N182/20)&gt;INT(N181/20), "Lần " &amp; INT(N182/20), "")</f>
        <v/>
      </c>
      <c r="S182" s="12">
        <f>IF(INT(O182/20)&gt;INT(O181/20), "Lần " &amp; INT(O182/20), "")</f>
        <v/>
      </c>
      <c r="T182" s="11">
        <f>IF(INT(P182/20)&gt;INT(P181/20), "Lần " &amp; INT(P182/20), "")</f>
        <v/>
      </c>
      <c r="U182" s="25">
        <f>IF(INT(Q182/20)&gt;INT(Q181/20), "Lần " &amp; INT(Q182/20), "")</f>
        <v/>
      </c>
      <c r="V182" s="6" t="inlineStr"/>
      <c r="W182" s="6" t="inlineStr">
        <is>
          <t>ĐẠT TCVN 1651:2018</t>
        </is>
      </c>
    </row>
    <row r="183" ht="19" customHeight="1">
      <c r="A183" s="6" t="n">
        <v>167</v>
      </c>
      <c r="B183" s="7" t="inlineStr">
        <is>
          <t>Cọc khoan nhồi C6 Trụ T1 (D1.2m, L=40.0m)</t>
        </is>
      </c>
      <c r="C183" s="7" t="inlineStr">
        <is>
          <t>Cốt thép chủ chịu lực cọc</t>
        </is>
      </c>
      <c r="D183" s="19" t="inlineStr">
        <is>
          <t>P2B</t>
        </is>
      </c>
      <c r="E183" s="20" t="n">
        <v>25</v>
      </c>
      <c r="F183" s="6" t="inlineStr">
        <is>
          <t>CB400-V</t>
        </is>
      </c>
      <c r="G183" s="7" t="inlineStr">
        <is>
          <t>Thanh thẳng nối ren/hàn</t>
        </is>
      </c>
      <c r="H183" s="21" t="n">
        <v>2.985</v>
      </c>
      <c r="I183" s="22" t="n">
        <v>16</v>
      </c>
      <c r="J183" s="23" t="n">
        <v>3.85</v>
      </c>
      <c r="K183" s="9">
        <f>ROUND(H183*I183*J183, 2)</f>
        <v/>
      </c>
      <c r="L183" s="24">
        <f>ROUND(K183/1000, 3)</f>
        <v/>
      </c>
      <c r="M183" s="8" t="n"/>
      <c r="N183" s="21">
        <f>ROUND(N182 + IF(AND(E183&lt;=10, F183&lt;&gt;"ASTM A416"), L183, 0), 3)</f>
        <v/>
      </c>
      <c r="O183" s="21">
        <f>ROUND(O182 + IF(AND(E183&gt;10, E183&lt;=18, F183&lt;&gt;"ASTM A416"), L183, 0), 3)</f>
        <v/>
      </c>
      <c r="P183" s="21">
        <f>ROUND(P182 + IF(AND(E183&gt;18, F183&lt;&gt;"ASTM A416"), L183, 0), 3)</f>
        <v/>
      </c>
      <c r="Q183" s="21">
        <f>ROUND(Q182 + IF(F183="ASTM A416", L183, 0), 3)</f>
        <v/>
      </c>
      <c r="R183" s="11">
        <f>IF(INT(N183/20)&gt;INT(N182/20), "Lần " &amp; INT(N183/20), "")</f>
        <v/>
      </c>
      <c r="S183" s="12">
        <f>IF(INT(O183/20)&gt;INT(O182/20), "Lần " &amp; INT(O183/20), "")</f>
        <v/>
      </c>
      <c r="T183" s="11">
        <f>IF(INT(P183/20)&gt;INT(P182/20), "Lần " &amp; INT(P183/20), "")</f>
        <v/>
      </c>
      <c r="U183" s="25">
        <f>IF(INT(Q183/20)&gt;INT(Q182/20), "Lần " &amp; INT(Q183/20), "")</f>
        <v/>
      </c>
      <c r="V183" s="6" t="inlineStr"/>
      <c r="W183" s="6" t="inlineStr">
        <is>
          <t>ĐẠT TCVN 1651:2018</t>
        </is>
      </c>
    </row>
    <row r="184" ht="19" customHeight="1">
      <c r="A184" s="6" t="n">
        <v>168</v>
      </c>
      <c r="B184" s="7" t="inlineStr">
        <is>
          <t>Cọc khoan nhồi C6 Trụ T1 (D1.2m, L=40.0m)</t>
        </is>
      </c>
      <c r="C184" s="7" t="inlineStr">
        <is>
          <t>Cốt thép chủ chịu lực cọc</t>
        </is>
      </c>
      <c r="D184" s="19" t="inlineStr">
        <is>
          <t>P3</t>
        </is>
      </c>
      <c r="E184" s="20" t="n">
        <v>25</v>
      </c>
      <c r="F184" s="6" t="inlineStr">
        <is>
          <t>CB400-V</t>
        </is>
      </c>
      <c r="G184" s="7" t="inlineStr">
        <is>
          <t>Thanh thẳng nối ren/hàn</t>
        </is>
      </c>
      <c r="H184" s="21" t="n">
        <v>10.7</v>
      </c>
      <c r="I184" s="22" t="n">
        <v>12</v>
      </c>
      <c r="J184" s="23" t="n">
        <v>3.85</v>
      </c>
      <c r="K184" s="9">
        <f>ROUND(H184*I184*J184, 2)</f>
        <v/>
      </c>
      <c r="L184" s="24">
        <f>ROUND(K184/1000, 3)</f>
        <v/>
      </c>
      <c r="M184" s="8" t="n"/>
      <c r="N184" s="21">
        <f>ROUND(N183 + IF(AND(E184&lt;=10, F184&lt;&gt;"ASTM A416"), L184, 0), 3)</f>
        <v/>
      </c>
      <c r="O184" s="21">
        <f>ROUND(O183 + IF(AND(E184&gt;10, E184&lt;=18, F184&lt;&gt;"ASTM A416"), L184, 0), 3)</f>
        <v/>
      </c>
      <c r="P184" s="21">
        <f>ROUND(P183 + IF(AND(E184&gt;18, F184&lt;&gt;"ASTM A416"), L184, 0), 3)</f>
        <v/>
      </c>
      <c r="Q184" s="21">
        <f>ROUND(Q183 + IF(F184="ASTM A416", L184, 0), 3)</f>
        <v/>
      </c>
      <c r="R184" s="11">
        <f>IF(INT(N184/20)&gt;INT(N183/20), "Lần " &amp; INT(N184/20), "")</f>
        <v/>
      </c>
      <c r="S184" s="12">
        <f>IF(INT(O184/20)&gt;INT(O183/20), "Lần " &amp; INT(O184/20), "")</f>
        <v/>
      </c>
      <c r="T184" s="11">
        <f>IF(INT(P184/20)&gt;INT(P183/20), "Lần " &amp; INT(P184/20), "")</f>
        <v/>
      </c>
      <c r="U184" s="25">
        <f>IF(INT(Q184/20)&gt;INT(Q183/20), "Lần " &amp; INT(Q184/20), "")</f>
        <v/>
      </c>
      <c r="V184" s="6" t="inlineStr"/>
      <c r="W184" s="6" t="inlineStr">
        <is>
          <t>ĐẠT TCVN 1651:2018</t>
        </is>
      </c>
    </row>
    <row r="185" ht="19" customHeight="1">
      <c r="A185" s="6" t="n">
        <v>169</v>
      </c>
      <c r="B185" s="7" t="inlineStr">
        <is>
          <t>Cọc khoan nhồi C6 Trụ T1 (D1.2m, L=40.0m)</t>
        </is>
      </c>
      <c r="C185" s="7" t="inlineStr">
        <is>
          <t>Cốt thép chủ chịu lực cọc</t>
        </is>
      </c>
      <c r="D185" s="19" t="inlineStr">
        <is>
          <t>P4</t>
        </is>
      </c>
      <c r="E185" s="20" t="n">
        <v>25</v>
      </c>
      <c r="F185" s="6" t="inlineStr">
        <is>
          <t>CB400-V</t>
        </is>
      </c>
      <c r="G185" s="7" t="inlineStr">
        <is>
          <t>Thanh thẳng nối ren/hàn</t>
        </is>
      </c>
      <c r="H185" s="21" t="n">
        <v>11.7</v>
      </c>
      <c r="I185" s="22" t="n">
        <v>60</v>
      </c>
      <c r="J185" s="23" t="n">
        <v>3.85</v>
      </c>
      <c r="K185" s="9">
        <f>ROUND(H185*I185*J185, 2)</f>
        <v/>
      </c>
      <c r="L185" s="24">
        <f>ROUND(K185/1000, 3)</f>
        <v/>
      </c>
      <c r="M185" s="8" t="n"/>
      <c r="N185" s="21">
        <f>ROUND(N184 + IF(AND(E185&lt;=10, F185&lt;&gt;"ASTM A416"), L185, 0), 3)</f>
        <v/>
      </c>
      <c r="O185" s="21">
        <f>ROUND(O184 + IF(AND(E185&gt;10, E185&lt;=18, F185&lt;&gt;"ASTM A416"), L185, 0), 3)</f>
        <v/>
      </c>
      <c r="P185" s="21">
        <f>ROUND(P184 + IF(AND(E185&gt;18, F185&lt;&gt;"ASTM A416"), L185, 0), 3)</f>
        <v/>
      </c>
      <c r="Q185" s="21">
        <f>ROUND(Q184 + IF(F185="ASTM A416", L185, 0), 3)</f>
        <v/>
      </c>
      <c r="R185" s="11">
        <f>IF(INT(N185/20)&gt;INT(N184/20), "Lần " &amp; INT(N185/20), "")</f>
        <v/>
      </c>
      <c r="S185" s="12">
        <f>IF(INT(O185/20)&gt;INT(O184/20), "Lần " &amp; INT(O185/20), "")</f>
        <v/>
      </c>
      <c r="T185" s="11">
        <f>IF(INT(P185/20)&gt;INT(P184/20), "Lần " &amp; INT(P185/20), "")</f>
        <v/>
      </c>
      <c r="U185" s="25">
        <f>IF(INT(Q185/20)&gt;INT(Q184/20), "Lần " &amp; INT(Q185/20), "")</f>
        <v/>
      </c>
      <c r="V185" s="6" t="inlineStr"/>
      <c r="W185" s="6" t="inlineStr">
        <is>
          <t>ĐẠT TCVN 1651:2018</t>
        </is>
      </c>
    </row>
    <row r="186" ht="19" customHeight="1">
      <c r="A186" s="6" t="n">
        <v>170</v>
      </c>
      <c r="B186" s="7" t="inlineStr">
        <is>
          <t>Cọc khoan nhồi C6 Trụ T1 (D1.2m, L=40.0m)</t>
        </is>
      </c>
      <c r="C186" s="7" t="inlineStr">
        <is>
          <t>Cốt thép chủ chịu lực cọc</t>
        </is>
      </c>
      <c r="D186" s="19" t="inlineStr">
        <is>
          <t>P6</t>
        </is>
      </c>
      <c r="E186" s="20" t="n">
        <v>25</v>
      </c>
      <c r="F186" s="6" t="inlineStr">
        <is>
          <t>CB400-V</t>
        </is>
      </c>
      <c r="G186" s="7" t="inlineStr">
        <is>
          <t>Thanh thẳng nối ren/hàn</t>
        </is>
      </c>
      <c r="H186" s="21" t="n">
        <v>9.032999999999999</v>
      </c>
      <c r="I186" s="22" t="n">
        <v>12</v>
      </c>
      <c r="J186" s="23" t="n">
        <v>3.85</v>
      </c>
      <c r="K186" s="9">
        <f>ROUND(H186*I186*J186, 2)</f>
        <v/>
      </c>
      <c r="L186" s="24">
        <f>ROUND(K186/1000, 3)</f>
        <v/>
      </c>
      <c r="M186" s="8" t="n"/>
      <c r="N186" s="21">
        <f>ROUND(N185 + IF(AND(E186&lt;=10, F186&lt;&gt;"ASTM A416"), L186, 0), 3)</f>
        <v/>
      </c>
      <c r="O186" s="21">
        <f>ROUND(O185 + IF(AND(E186&gt;10, E186&lt;=18, F186&lt;&gt;"ASTM A416"), L186, 0), 3)</f>
        <v/>
      </c>
      <c r="P186" s="21">
        <f>ROUND(P185 + IF(AND(E186&gt;18, F186&lt;&gt;"ASTM A416"), L186, 0), 3)</f>
        <v/>
      </c>
      <c r="Q186" s="21">
        <f>ROUND(Q185 + IF(F186="ASTM A416", L186, 0), 3)</f>
        <v/>
      </c>
      <c r="R186" s="11">
        <f>IF(INT(N186/20)&gt;INT(N185/20), "Lần " &amp; INT(N186/20), "")</f>
        <v/>
      </c>
      <c r="S186" s="12">
        <f>IF(INT(O186/20)&gt;INT(O185/20), "Lần " &amp; INT(O186/20), "")</f>
        <v/>
      </c>
      <c r="T186" s="11">
        <f>IF(INT(P186/20)&gt;INT(P185/20), "Lần " &amp; INT(P186/20), "")</f>
        <v/>
      </c>
      <c r="U186" s="25">
        <f>IF(INT(Q186/20)&gt;INT(Q185/20), "Lần " &amp; INT(Q186/20), "")</f>
        <v/>
      </c>
      <c r="V186" s="6" t="inlineStr"/>
      <c r="W186" s="6" t="inlineStr">
        <is>
          <t>ĐẠT TCVN 1651:2018</t>
        </is>
      </c>
    </row>
    <row r="187" ht="19" customHeight="1">
      <c r="A187" s="6" t="n">
        <v>171</v>
      </c>
      <c r="B187" s="7" t="inlineStr">
        <is>
          <t>Cọc khoan nhồi C6 Trụ T1 (D1.2m, L=40.0m)</t>
        </is>
      </c>
      <c r="C187" s="7" t="inlineStr">
        <is>
          <t>Cốt thép chủ chịu lực cọc</t>
        </is>
      </c>
      <c r="D187" s="19" t="inlineStr">
        <is>
          <t>P7</t>
        </is>
      </c>
      <c r="E187" s="20" t="n">
        <v>25</v>
      </c>
      <c r="F187" s="6" t="inlineStr">
        <is>
          <t>CB400-V</t>
        </is>
      </c>
      <c r="G187" s="7" t="inlineStr">
        <is>
          <t>Thanh thẳng nối ren/hàn</t>
        </is>
      </c>
      <c r="H187" s="21" t="n">
        <v>10.033</v>
      </c>
      <c r="I187" s="22" t="n">
        <v>12</v>
      </c>
      <c r="J187" s="23" t="n">
        <v>3.85</v>
      </c>
      <c r="K187" s="9">
        <f>ROUND(H187*I187*J187, 2)</f>
        <v/>
      </c>
      <c r="L187" s="24">
        <f>ROUND(K187/1000, 3)</f>
        <v/>
      </c>
      <c r="M187" s="8" t="n"/>
      <c r="N187" s="21">
        <f>ROUND(N186 + IF(AND(E187&lt;=10, F187&lt;&gt;"ASTM A416"), L187, 0), 3)</f>
        <v/>
      </c>
      <c r="O187" s="21">
        <f>ROUND(O186 + IF(AND(E187&gt;10, E187&lt;=18, F187&lt;&gt;"ASTM A416"), L187, 0), 3)</f>
        <v/>
      </c>
      <c r="P187" s="21">
        <f>ROUND(P186 + IF(AND(E187&gt;18, F187&lt;&gt;"ASTM A416"), L187, 0), 3)</f>
        <v/>
      </c>
      <c r="Q187" s="21">
        <f>ROUND(Q186 + IF(F187="ASTM A416", L187, 0), 3)</f>
        <v/>
      </c>
      <c r="R187" s="11">
        <f>IF(INT(N187/20)&gt;INT(N186/20), "Lần " &amp; INT(N187/20), "")</f>
        <v/>
      </c>
      <c r="S187" s="12">
        <f>IF(INT(O187/20)&gt;INT(O186/20), "Lần " &amp; INT(O187/20), "")</f>
        <v/>
      </c>
      <c r="T187" s="11">
        <f>IF(INT(P187/20)&gt;INT(P186/20), "Lần " &amp; INT(P187/20), "")</f>
        <v/>
      </c>
      <c r="U187" s="25">
        <f>IF(INT(Q187/20)&gt;INT(Q186/20), "Lần " &amp; INT(Q187/20), "")</f>
        <v/>
      </c>
      <c r="V187" s="6" t="inlineStr"/>
      <c r="W187" s="6" t="inlineStr">
        <is>
          <t>ĐẠT TCVN 1651:2018</t>
        </is>
      </c>
    </row>
    <row r="188" ht="19" customHeight="1">
      <c r="A188" s="6" t="n">
        <v>172</v>
      </c>
      <c r="B188" s="7" t="inlineStr">
        <is>
          <t>Cọc khoan nhồi C6 Trụ T1 (D1.2m, L=40.0m)</t>
        </is>
      </c>
      <c r="C188" s="7" t="inlineStr">
        <is>
          <t>Đai tăng cường / Con kê bảo vệ</t>
        </is>
      </c>
      <c r="D188" s="19" t="inlineStr">
        <is>
          <t>P8</t>
        </is>
      </c>
      <c r="E188" s="20" t="n">
        <v>12</v>
      </c>
      <c r="F188" s="6" t="inlineStr">
        <is>
          <t>CB400-V</t>
        </is>
      </c>
      <c r="G188" s="7" t="inlineStr">
        <is>
          <t>Móc neo / Vòng đai</t>
        </is>
      </c>
      <c r="H188" s="21" t="n">
        <v>0.647</v>
      </c>
      <c r="I188" s="22" t="n">
        <v>16</v>
      </c>
      <c r="J188" s="23" t="n">
        <v>0.888</v>
      </c>
      <c r="K188" s="9">
        <f>ROUND(H188*I188*J188, 2)</f>
        <v/>
      </c>
      <c r="L188" s="24">
        <f>ROUND(K188/1000, 3)</f>
        <v/>
      </c>
      <c r="M188" s="8" t="n"/>
      <c r="N188" s="21">
        <f>ROUND(N187 + IF(AND(E188&lt;=10, F188&lt;&gt;"ASTM A416"), L188, 0), 3)</f>
        <v/>
      </c>
      <c r="O188" s="21">
        <f>ROUND(O187 + IF(AND(E188&gt;10, E188&lt;=18, F188&lt;&gt;"ASTM A416"), L188, 0), 3)</f>
        <v/>
      </c>
      <c r="P188" s="21">
        <f>ROUND(P187 + IF(AND(E188&gt;18, F188&lt;&gt;"ASTM A416"), L188, 0), 3)</f>
        <v/>
      </c>
      <c r="Q188" s="21">
        <f>ROUND(Q187 + IF(F188="ASTM A416", L188, 0), 3)</f>
        <v/>
      </c>
      <c r="R188" s="11">
        <f>IF(INT(N188/20)&gt;INT(N187/20), "Lần " &amp; INT(N188/20), "")</f>
        <v/>
      </c>
      <c r="S188" s="12">
        <f>IF(INT(O188/20)&gt;INT(O187/20), "Lần " &amp; INT(O188/20), "")</f>
        <v/>
      </c>
      <c r="T188" s="11">
        <f>IF(INT(P188/20)&gt;INT(P187/20), "Lần " &amp; INT(P188/20), "")</f>
        <v/>
      </c>
      <c r="U188" s="25">
        <f>IF(INT(Q188/20)&gt;INT(Q187/20), "Lần " &amp; INT(Q188/20), "")</f>
        <v/>
      </c>
      <c r="V188" s="6" t="inlineStr"/>
      <c r="W188" s="6" t="inlineStr">
        <is>
          <t>ĐẠT TCVN 1651:2018</t>
        </is>
      </c>
    </row>
    <row r="189" ht="19" customHeight="1">
      <c r="A189" s="6" t="n">
        <v>173</v>
      </c>
      <c r="B189" s="7" t="inlineStr">
        <is>
          <t>Cọc khoan nhồi C6 Trụ T1 (D1.2m, L=40.0m)</t>
        </is>
      </c>
      <c r="C189" s="7" t="inlineStr">
        <is>
          <t>Đai tăng cường / Con kê bảo vệ</t>
        </is>
      </c>
      <c r="D189" s="19" t="inlineStr">
        <is>
          <t>P9</t>
        </is>
      </c>
      <c r="E189" s="20" t="n">
        <v>12</v>
      </c>
      <c r="F189" s="6" t="inlineStr">
        <is>
          <t>CB400-V</t>
        </is>
      </c>
      <c r="G189" s="7" t="inlineStr">
        <is>
          <t>Móc neo / Vòng đai</t>
        </is>
      </c>
      <c r="H189" s="21" t="n">
        <v>0.379</v>
      </c>
      <c r="I189" s="22" t="n">
        <v>48</v>
      </c>
      <c r="J189" s="23" t="n">
        <v>0.888</v>
      </c>
      <c r="K189" s="9">
        <f>ROUND(H189*I189*J189, 2)</f>
        <v/>
      </c>
      <c r="L189" s="24">
        <f>ROUND(K189/1000, 3)</f>
        <v/>
      </c>
      <c r="M189" s="8" t="n"/>
      <c r="N189" s="21">
        <f>ROUND(N188 + IF(AND(E189&lt;=10, F189&lt;&gt;"ASTM A416"), L189, 0), 3)</f>
        <v/>
      </c>
      <c r="O189" s="21">
        <f>ROUND(O188 + IF(AND(E189&gt;10, E189&lt;=18, F189&lt;&gt;"ASTM A416"), L189, 0), 3)</f>
        <v/>
      </c>
      <c r="P189" s="21">
        <f>ROUND(P188 + IF(AND(E189&gt;18, F189&lt;&gt;"ASTM A416"), L189, 0), 3)</f>
        <v/>
      </c>
      <c r="Q189" s="21">
        <f>ROUND(Q188 + IF(F189="ASTM A416", L189, 0), 3)</f>
        <v/>
      </c>
      <c r="R189" s="11">
        <f>IF(INT(N189/20)&gt;INT(N188/20), "Lần " &amp; INT(N189/20), "")</f>
        <v/>
      </c>
      <c r="S189" s="12">
        <f>IF(INT(O189/20)&gt;INT(O188/20), "Lần " &amp; INT(O189/20), "")</f>
        <v/>
      </c>
      <c r="T189" s="11">
        <f>IF(INT(P189/20)&gt;INT(P188/20), "Lần " &amp; INT(P189/20), "")</f>
        <v/>
      </c>
      <c r="U189" s="25">
        <f>IF(INT(Q189/20)&gt;INT(Q188/20), "Lần " &amp; INT(Q189/20), "")</f>
        <v/>
      </c>
      <c r="V189" s="6" t="inlineStr"/>
      <c r="W189" s="6" t="inlineStr">
        <is>
          <t>ĐẠT TCVN 1651:2018</t>
        </is>
      </c>
    </row>
    <row r="190" ht="19" customHeight="1">
      <c r="A190" s="6" t="n">
        <v>174</v>
      </c>
      <c r="B190" s="7" t="inlineStr">
        <is>
          <t>Cọc khoan nhồi C6 Trụ T1 (D1.2m, L=40.0m)</t>
        </is>
      </c>
      <c r="C190" s="7" t="inlineStr">
        <is>
          <t>Thép đai xoắn lồng cọc</t>
        </is>
      </c>
      <c r="D190" s="19" t="inlineStr">
        <is>
          <t>P10</t>
        </is>
      </c>
      <c r="E190" s="20" t="n">
        <v>20</v>
      </c>
      <c r="F190" s="6" t="inlineStr">
        <is>
          <t>CB400-V</t>
        </is>
      </c>
      <c r="G190" s="7" t="inlineStr">
        <is>
          <t>Đai xoắn tròn</t>
        </is>
      </c>
      <c r="H190" s="21" t="n">
        <v>2.057</v>
      </c>
      <c r="I190" s="22" t="n">
        <v>1</v>
      </c>
      <c r="J190" s="23" t="n">
        <v>2.47</v>
      </c>
      <c r="K190" s="9">
        <f>ROUND(H190*I190*J190, 2)</f>
        <v/>
      </c>
      <c r="L190" s="24">
        <f>ROUND(K190/1000, 3)</f>
        <v/>
      </c>
      <c r="M190" s="8" t="n"/>
      <c r="N190" s="21">
        <f>ROUND(N189 + IF(AND(E190&lt;=10, F190&lt;&gt;"ASTM A416"), L190, 0), 3)</f>
        <v/>
      </c>
      <c r="O190" s="21">
        <f>ROUND(O189 + IF(AND(E190&gt;10, E190&lt;=18, F190&lt;&gt;"ASTM A416"), L190, 0), 3)</f>
        <v/>
      </c>
      <c r="P190" s="21">
        <f>ROUND(P189 + IF(AND(E190&gt;18, F190&lt;&gt;"ASTM A416"), L190, 0), 3)</f>
        <v/>
      </c>
      <c r="Q190" s="21">
        <f>ROUND(Q189 + IF(F190="ASTM A416", L190, 0), 3)</f>
        <v/>
      </c>
      <c r="R190" s="11">
        <f>IF(INT(N190/20)&gt;INT(N189/20), "Lần " &amp; INT(N190/20), "")</f>
        <v/>
      </c>
      <c r="S190" s="12">
        <f>IF(INT(O190/20)&gt;INT(O189/20), "Lần " &amp; INT(O190/20), "")</f>
        <v/>
      </c>
      <c r="T190" s="11">
        <f>IF(INT(P190/20)&gt;INT(P189/20), "Lần " &amp; INT(P190/20), "")</f>
        <v/>
      </c>
      <c r="U190" s="25">
        <f>IF(INT(Q190/20)&gt;INT(Q189/20), "Lần " &amp; INT(Q190/20), "")</f>
        <v/>
      </c>
      <c r="V190" s="6" t="inlineStr"/>
      <c r="W190" s="6" t="inlineStr">
        <is>
          <t>ĐẠT TCVN 1651:2018</t>
        </is>
      </c>
    </row>
    <row r="191" ht="19" customHeight="1">
      <c r="A191" s="6" t="n">
        <v>175</v>
      </c>
      <c r="B191" s="7" t="inlineStr">
        <is>
          <t>Cọc khoan nhồi C6 Trụ T1 (D1.2m, L=40.0m)</t>
        </is>
      </c>
      <c r="C191" s="7" t="inlineStr">
        <is>
          <t>Thép đai xoắn lồng cọc</t>
        </is>
      </c>
      <c r="D191" s="19" t="inlineStr">
        <is>
          <t>P12</t>
        </is>
      </c>
      <c r="E191" s="20" t="n">
        <v>20</v>
      </c>
      <c r="F191" s="6" t="inlineStr">
        <is>
          <t>CB400-V</t>
        </is>
      </c>
      <c r="G191" s="7" t="inlineStr">
        <is>
          <t>Đai xoắn tròn</t>
        </is>
      </c>
      <c r="H191" s="21" t="n">
        <v>0.583</v>
      </c>
      <c r="I191" s="22" t="n">
        <v>64</v>
      </c>
      <c r="J191" s="23" t="n">
        <v>2.47</v>
      </c>
      <c r="K191" s="9">
        <f>ROUND(H191*I191*J191, 2)</f>
        <v/>
      </c>
      <c r="L191" s="24">
        <f>ROUND(K191/1000, 3)</f>
        <v/>
      </c>
      <c r="M191" s="8" t="n"/>
      <c r="N191" s="21">
        <f>ROUND(N190 + IF(AND(E191&lt;=10, F191&lt;&gt;"ASTM A416"), L191, 0), 3)</f>
        <v/>
      </c>
      <c r="O191" s="21">
        <f>ROUND(O190 + IF(AND(E191&gt;10, E191&lt;=18, F191&lt;&gt;"ASTM A416"), L191, 0), 3)</f>
        <v/>
      </c>
      <c r="P191" s="21">
        <f>ROUND(P190 + IF(AND(E191&gt;18, F191&lt;&gt;"ASTM A416"), L191, 0), 3)</f>
        <v/>
      </c>
      <c r="Q191" s="21">
        <f>ROUND(Q190 + IF(F191="ASTM A416", L191, 0), 3)</f>
        <v/>
      </c>
      <c r="R191" s="11">
        <f>IF(INT(N191/20)&gt;INT(N190/20), "Lần " &amp; INT(N191/20), "")</f>
        <v/>
      </c>
      <c r="S191" s="12">
        <f>IF(INT(O191/20)&gt;INT(O190/20), "Lần " &amp; INT(O191/20), "")</f>
        <v/>
      </c>
      <c r="T191" s="11">
        <f>IF(INT(P191/20)&gt;INT(P190/20), "Lần " &amp; INT(P191/20), "")</f>
        <v/>
      </c>
      <c r="U191" s="25">
        <f>IF(INT(Q191/20)&gt;INT(Q190/20), "Lần " &amp; INT(Q191/20), "")</f>
        <v/>
      </c>
      <c r="V191" s="6" t="inlineStr"/>
      <c r="W191" s="6" t="inlineStr">
        <is>
          <t>ĐẠT TCVN 1651:2018</t>
        </is>
      </c>
    </row>
    <row r="192" ht="20" customHeight="1">
      <c r="A192" s="18" t="inlineStr">
        <is>
          <t>--- CỌC KHOAN NHỒI C7 TRỤ T1 (D1.2M, L=40.0M) ---</t>
        </is>
      </c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</row>
    <row r="193" ht="19" customHeight="1">
      <c r="A193" s="6" t="n">
        <v>176</v>
      </c>
      <c r="B193" s="7" t="inlineStr">
        <is>
          <t>Cọc khoan nhồi C7 Trụ T1 (D1.2m, L=40.0m)</t>
        </is>
      </c>
      <c r="C193" s="7" t="inlineStr">
        <is>
          <t>Thép đai xoắn lồng cọc</t>
        </is>
      </c>
      <c r="D193" s="19" t="inlineStr">
        <is>
          <t>P1</t>
        </is>
      </c>
      <c r="E193" s="20" t="n">
        <v>10</v>
      </c>
      <c r="F193" s="6" t="inlineStr">
        <is>
          <t>CB240-T</t>
        </is>
      </c>
      <c r="G193" s="7" t="inlineStr">
        <is>
          <t>Đai xoắn tròn</t>
        </is>
      </c>
      <c r="H193" s="21" t="n">
        <v>96.604</v>
      </c>
      <c r="I193" s="22" t="n">
        <v>1</v>
      </c>
      <c r="J193" s="23" t="n">
        <v>0.617</v>
      </c>
      <c r="K193" s="9">
        <f>ROUND(H193*I193*J193, 2)</f>
        <v/>
      </c>
      <c r="L193" s="24">
        <f>ROUND(K193/1000, 3)</f>
        <v/>
      </c>
      <c r="M193" s="8" t="n"/>
      <c r="N193" s="21">
        <f>ROUND(N191 + IF(AND(E193&lt;=10, F193&lt;&gt;"ASTM A416"), L193, 0), 3)</f>
        <v/>
      </c>
      <c r="O193" s="21">
        <f>ROUND(O191 + IF(AND(E193&gt;10, E193&lt;=18, F193&lt;&gt;"ASTM A416"), L193, 0), 3)</f>
        <v/>
      </c>
      <c r="P193" s="21">
        <f>ROUND(P191 + IF(AND(E193&gt;18, F193&lt;&gt;"ASTM A416"), L193, 0), 3)</f>
        <v/>
      </c>
      <c r="Q193" s="21">
        <f>ROUND(Q191 + IF(F193="ASTM A416", L193, 0), 3)</f>
        <v/>
      </c>
      <c r="R193" s="11">
        <f>IF(INT(N193/20)&gt;INT(N191/20), "Lần " &amp; INT(N193/20), "")</f>
        <v/>
      </c>
      <c r="S193" s="12">
        <f>IF(INT(O193/20)&gt;INT(O191/20), "Lần " &amp; INT(O193/20), "")</f>
        <v/>
      </c>
      <c r="T193" s="11">
        <f>IF(INT(P193/20)&gt;INT(P191/20), "Lần " &amp; INT(P193/20), "")</f>
        <v/>
      </c>
      <c r="U193" s="25">
        <f>IF(INT(Q193/20)&gt;INT(Q191/20), "Lần " &amp; INT(Q193/20), "")</f>
        <v/>
      </c>
      <c r="V193" s="6" t="inlineStr"/>
      <c r="W193" s="6" t="inlineStr">
        <is>
          <t>ĐẠT TCVN 1651:2018</t>
        </is>
      </c>
    </row>
    <row r="194" ht="19" customHeight="1">
      <c r="A194" s="6" t="n">
        <v>177</v>
      </c>
      <c r="B194" s="7" t="inlineStr">
        <is>
          <t>Cọc khoan nhồi C7 Trụ T1 (D1.2m, L=40.0m)</t>
        </is>
      </c>
      <c r="C194" s="7" t="inlineStr">
        <is>
          <t>Thép đai xoắn lồng cọc</t>
        </is>
      </c>
      <c r="D194" s="19" t="inlineStr">
        <is>
          <t>P1A</t>
        </is>
      </c>
      <c r="E194" s="20" t="n">
        <v>10</v>
      </c>
      <c r="F194" s="6" t="inlineStr">
        <is>
          <t>CB240-T</t>
        </is>
      </c>
      <c r="G194" s="7" t="inlineStr">
        <is>
          <t>Đai xoắn tròn</t>
        </is>
      </c>
      <c r="H194" s="21" t="n">
        <v>389.636</v>
      </c>
      <c r="I194" s="22" t="n">
        <v>1</v>
      </c>
      <c r="J194" s="23" t="n">
        <v>0.617</v>
      </c>
      <c r="K194" s="9">
        <f>ROUND(H194*I194*J194, 2)</f>
        <v/>
      </c>
      <c r="L194" s="24">
        <f>ROUND(K194/1000, 3)</f>
        <v/>
      </c>
      <c r="M194" s="8" t="n"/>
      <c r="N194" s="21">
        <f>ROUND(N193 + IF(AND(E194&lt;=10, F194&lt;&gt;"ASTM A416"), L194, 0), 3)</f>
        <v/>
      </c>
      <c r="O194" s="21">
        <f>ROUND(O193 + IF(AND(E194&gt;10, E194&lt;=18, F194&lt;&gt;"ASTM A416"), L194, 0), 3)</f>
        <v/>
      </c>
      <c r="P194" s="21">
        <f>ROUND(P193 + IF(AND(E194&gt;18, F194&lt;&gt;"ASTM A416"), L194, 0), 3)</f>
        <v/>
      </c>
      <c r="Q194" s="21">
        <f>ROUND(Q193 + IF(F194="ASTM A416", L194, 0), 3)</f>
        <v/>
      </c>
      <c r="R194" s="11">
        <f>IF(INT(N194/20)&gt;INT(N193/20), "Lần " &amp; INT(N194/20), "")</f>
        <v/>
      </c>
      <c r="S194" s="12">
        <f>IF(INT(O194/20)&gt;INT(O193/20), "Lần " &amp; INT(O194/20), "")</f>
        <v/>
      </c>
      <c r="T194" s="11">
        <f>IF(INT(P194/20)&gt;INT(P193/20), "Lần " &amp; INT(P194/20), "")</f>
        <v/>
      </c>
      <c r="U194" s="25">
        <f>IF(INT(Q194/20)&gt;INT(Q193/20), "Lần " &amp; INT(Q194/20), "")</f>
        <v/>
      </c>
      <c r="V194" s="6" t="inlineStr"/>
      <c r="W194" s="6" t="inlineStr">
        <is>
          <t>ĐẠT TCVN 1651:2018</t>
        </is>
      </c>
    </row>
    <row r="195" ht="19" customHeight="1">
      <c r="A195" s="6" t="n">
        <v>178</v>
      </c>
      <c r="B195" s="7" t="inlineStr">
        <is>
          <t>Cọc khoan nhồi C7 Trụ T1 (D1.2m, L=40.0m)</t>
        </is>
      </c>
      <c r="C195" s="7" t="inlineStr">
        <is>
          <t>Thép đai xoắn lồng cọc</t>
        </is>
      </c>
      <c r="D195" s="19" t="inlineStr">
        <is>
          <t>P1B</t>
        </is>
      </c>
      <c r="E195" s="20" t="n">
        <v>10</v>
      </c>
      <c r="F195" s="6" t="inlineStr">
        <is>
          <t>CB240-T</t>
        </is>
      </c>
      <c r="G195" s="7" t="inlineStr">
        <is>
          <t>Đai xoắn tròn</t>
        </is>
      </c>
      <c r="H195" s="21" t="n">
        <v>206.981</v>
      </c>
      <c r="I195" s="22" t="n">
        <v>1</v>
      </c>
      <c r="J195" s="23" t="n">
        <v>0.617</v>
      </c>
      <c r="K195" s="9">
        <f>ROUND(H195*I195*J195, 2)</f>
        <v/>
      </c>
      <c r="L195" s="24">
        <f>ROUND(K195/1000, 3)</f>
        <v/>
      </c>
      <c r="M195" s="8" t="n"/>
      <c r="N195" s="21">
        <f>ROUND(N194 + IF(AND(E195&lt;=10, F195&lt;&gt;"ASTM A416"), L195, 0), 3)</f>
        <v/>
      </c>
      <c r="O195" s="21">
        <f>ROUND(O194 + IF(AND(E195&gt;10, E195&lt;=18, F195&lt;&gt;"ASTM A416"), L195, 0), 3)</f>
        <v/>
      </c>
      <c r="P195" s="21">
        <f>ROUND(P194 + IF(AND(E195&gt;18, F195&lt;&gt;"ASTM A416"), L195, 0), 3)</f>
        <v/>
      </c>
      <c r="Q195" s="21">
        <f>ROUND(Q194 + IF(F195="ASTM A416", L195, 0), 3)</f>
        <v/>
      </c>
      <c r="R195" s="11">
        <f>IF(INT(N195/20)&gt;INT(N194/20), "Lần " &amp; INT(N195/20), "")</f>
        <v/>
      </c>
      <c r="S195" s="12">
        <f>IF(INT(O195/20)&gt;INT(O194/20), "Lần " &amp; INT(O195/20), "")</f>
        <v/>
      </c>
      <c r="T195" s="11">
        <f>IF(INT(P195/20)&gt;INT(P194/20), "Lần " &amp; INT(P195/20), "")</f>
        <v/>
      </c>
      <c r="U195" s="25">
        <f>IF(INT(Q195/20)&gt;INT(Q194/20), "Lần " &amp; INT(Q195/20), "")</f>
        <v/>
      </c>
      <c r="V195" s="6" t="inlineStr"/>
      <c r="W195" s="6" t="inlineStr">
        <is>
          <t>ĐẠT TCVN 1651:2018</t>
        </is>
      </c>
    </row>
    <row r="196" ht="19" customHeight="1">
      <c r="A196" s="6" t="n">
        <v>179</v>
      </c>
      <c r="B196" s="7" t="inlineStr">
        <is>
          <t>Cọc khoan nhồi C7 Trụ T1 (D1.2m, L=40.0m)</t>
        </is>
      </c>
      <c r="C196" s="7" t="inlineStr">
        <is>
          <t>Thép đai xoắn lồng cọc</t>
        </is>
      </c>
      <c r="D196" s="19" t="inlineStr">
        <is>
          <t>P1C</t>
        </is>
      </c>
      <c r="E196" s="20" t="n">
        <v>10</v>
      </c>
      <c r="F196" s="6" t="inlineStr">
        <is>
          <t>CB240-T</t>
        </is>
      </c>
      <c r="G196" s="7" t="inlineStr">
        <is>
          <t>Đai xoắn tròn</t>
        </is>
      </c>
      <c r="H196" s="21" t="n">
        <v>3.592</v>
      </c>
      <c r="I196" s="22" t="n">
        <v>2</v>
      </c>
      <c r="J196" s="23" t="n">
        <v>0.617</v>
      </c>
      <c r="K196" s="9">
        <f>ROUND(H196*I196*J196, 2)</f>
        <v/>
      </c>
      <c r="L196" s="24">
        <f>ROUND(K196/1000, 3)</f>
        <v/>
      </c>
      <c r="M196" s="8" t="n"/>
      <c r="N196" s="21">
        <f>ROUND(N195 + IF(AND(E196&lt;=10, F196&lt;&gt;"ASTM A416"), L196, 0), 3)</f>
        <v/>
      </c>
      <c r="O196" s="21">
        <f>ROUND(O195 + IF(AND(E196&gt;10, E196&lt;=18, F196&lt;&gt;"ASTM A416"), L196, 0), 3)</f>
        <v/>
      </c>
      <c r="P196" s="21">
        <f>ROUND(P195 + IF(AND(E196&gt;18, F196&lt;&gt;"ASTM A416"), L196, 0), 3)</f>
        <v/>
      </c>
      <c r="Q196" s="21">
        <f>ROUND(Q195 + IF(F196="ASTM A416", L196, 0), 3)</f>
        <v/>
      </c>
      <c r="R196" s="11">
        <f>IF(INT(N196/20)&gt;INT(N195/20), "Lần " &amp; INT(N196/20), "")</f>
        <v/>
      </c>
      <c r="S196" s="12">
        <f>IF(INT(O196/20)&gt;INT(O195/20), "Lần " &amp; INT(O196/20), "")</f>
        <v/>
      </c>
      <c r="T196" s="11">
        <f>IF(INT(P196/20)&gt;INT(P195/20), "Lần " &amp; INT(P196/20), "")</f>
        <v/>
      </c>
      <c r="U196" s="25">
        <f>IF(INT(Q196/20)&gt;INT(Q195/20), "Lần " &amp; INT(Q196/20), "")</f>
        <v/>
      </c>
      <c r="V196" s="6" t="inlineStr"/>
      <c r="W196" s="6" t="inlineStr">
        <is>
          <t>ĐẠT TCVN 1651:2018</t>
        </is>
      </c>
    </row>
    <row r="197" ht="19" customHeight="1">
      <c r="A197" s="6" t="n">
        <v>180</v>
      </c>
      <c r="B197" s="7" t="inlineStr">
        <is>
          <t>Cọc khoan nhồi C7 Trụ T1 (D1.2m, L=40.0m)</t>
        </is>
      </c>
      <c r="C197" s="7" t="inlineStr">
        <is>
          <t>Thép đai xoắn lồng cọc</t>
        </is>
      </c>
      <c r="D197" s="19" t="inlineStr">
        <is>
          <t>P1D</t>
        </is>
      </c>
      <c r="E197" s="20" t="n">
        <v>10</v>
      </c>
      <c r="F197" s="6" t="inlineStr">
        <is>
          <t>CB240-T</t>
        </is>
      </c>
      <c r="G197" s="7" t="inlineStr">
        <is>
          <t>Đai xoắn tròn</t>
        </is>
      </c>
      <c r="H197" s="21" t="n">
        <v>19.721</v>
      </c>
      <c r="I197" s="22" t="n">
        <v>1</v>
      </c>
      <c r="J197" s="23" t="n">
        <v>0.617</v>
      </c>
      <c r="K197" s="9">
        <f>ROUND(H197*I197*J197, 2)</f>
        <v/>
      </c>
      <c r="L197" s="24">
        <f>ROUND(K197/1000, 3)</f>
        <v/>
      </c>
      <c r="M197" s="8" t="n"/>
      <c r="N197" s="21">
        <f>ROUND(N196 + IF(AND(E197&lt;=10, F197&lt;&gt;"ASTM A416"), L197, 0), 3)</f>
        <v/>
      </c>
      <c r="O197" s="21">
        <f>ROUND(O196 + IF(AND(E197&gt;10, E197&lt;=18, F197&lt;&gt;"ASTM A416"), L197, 0), 3)</f>
        <v/>
      </c>
      <c r="P197" s="21">
        <f>ROUND(P196 + IF(AND(E197&gt;18, F197&lt;&gt;"ASTM A416"), L197, 0), 3)</f>
        <v/>
      </c>
      <c r="Q197" s="21">
        <f>ROUND(Q196 + IF(F197="ASTM A416", L197, 0), 3)</f>
        <v/>
      </c>
      <c r="R197" s="11">
        <f>IF(INT(N197/20)&gt;INT(N196/20), "Lần " &amp; INT(N197/20), "")</f>
        <v/>
      </c>
      <c r="S197" s="12">
        <f>IF(INT(O197/20)&gt;INT(O196/20), "Lần " &amp; INT(O197/20), "")</f>
        <v/>
      </c>
      <c r="T197" s="11">
        <f>IF(INT(P197/20)&gt;INT(P196/20), "Lần " &amp; INT(P197/20), "")</f>
        <v/>
      </c>
      <c r="U197" s="25">
        <f>IF(INT(Q197/20)&gt;INT(Q196/20), "Lần " &amp; INT(Q197/20), "")</f>
        <v/>
      </c>
      <c r="V197" s="6" t="inlineStr"/>
      <c r="W197" s="6" t="inlineStr">
        <is>
          <t>ĐẠT TCVN 1651:2018</t>
        </is>
      </c>
    </row>
    <row r="198" ht="19" customHeight="1">
      <c r="A198" s="6" t="n">
        <v>181</v>
      </c>
      <c r="B198" s="7" t="inlineStr">
        <is>
          <t>Cọc khoan nhồi C7 Trụ T1 (D1.2m, L=40.0m)</t>
        </is>
      </c>
      <c r="C198" s="7" t="inlineStr">
        <is>
          <t>Cốt thép chủ chịu lực cọc</t>
        </is>
      </c>
      <c r="D198" s="19" t="inlineStr">
        <is>
          <t>P2B</t>
        </is>
      </c>
      <c r="E198" s="20" t="n">
        <v>25</v>
      </c>
      <c r="F198" s="6" t="inlineStr">
        <is>
          <t>CB400-V</t>
        </is>
      </c>
      <c r="G198" s="7" t="inlineStr">
        <is>
          <t>Thanh thẳng nối ren/hàn</t>
        </is>
      </c>
      <c r="H198" s="21" t="n">
        <v>2.985</v>
      </c>
      <c r="I198" s="22" t="n">
        <v>16</v>
      </c>
      <c r="J198" s="23" t="n">
        <v>3.85</v>
      </c>
      <c r="K198" s="9">
        <f>ROUND(H198*I198*J198, 2)</f>
        <v/>
      </c>
      <c r="L198" s="24">
        <f>ROUND(K198/1000, 3)</f>
        <v/>
      </c>
      <c r="M198" s="8" t="n"/>
      <c r="N198" s="21">
        <f>ROUND(N197 + IF(AND(E198&lt;=10, F198&lt;&gt;"ASTM A416"), L198, 0), 3)</f>
        <v/>
      </c>
      <c r="O198" s="21">
        <f>ROUND(O197 + IF(AND(E198&gt;10, E198&lt;=18, F198&lt;&gt;"ASTM A416"), L198, 0), 3)</f>
        <v/>
      </c>
      <c r="P198" s="21">
        <f>ROUND(P197 + IF(AND(E198&gt;18, F198&lt;&gt;"ASTM A416"), L198, 0), 3)</f>
        <v/>
      </c>
      <c r="Q198" s="21">
        <f>ROUND(Q197 + IF(F198="ASTM A416", L198, 0), 3)</f>
        <v/>
      </c>
      <c r="R198" s="11">
        <f>IF(INT(N198/20)&gt;INT(N197/20), "Lần " &amp; INT(N198/20), "")</f>
        <v/>
      </c>
      <c r="S198" s="12">
        <f>IF(INT(O198/20)&gt;INT(O197/20), "Lần " &amp; INT(O198/20), "")</f>
        <v/>
      </c>
      <c r="T198" s="11">
        <f>IF(INT(P198/20)&gt;INT(P197/20), "Lần " &amp; INT(P198/20), "")</f>
        <v/>
      </c>
      <c r="U198" s="25">
        <f>IF(INT(Q198/20)&gt;INT(Q197/20), "Lần " &amp; INT(Q198/20), "")</f>
        <v/>
      </c>
      <c r="V198" s="6" t="inlineStr"/>
      <c r="W198" s="6" t="inlineStr">
        <is>
          <t>ĐẠT TCVN 1651:2018</t>
        </is>
      </c>
    </row>
    <row r="199" ht="19" customHeight="1">
      <c r="A199" s="6" t="n">
        <v>182</v>
      </c>
      <c r="B199" s="7" t="inlineStr">
        <is>
          <t>Cọc khoan nhồi C7 Trụ T1 (D1.2m, L=40.0m)</t>
        </is>
      </c>
      <c r="C199" s="7" t="inlineStr">
        <is>
          <t>Cốt thép chủ chịu lực cọc</t>
        </is>
      </c>
      <c r="D199" s="19" t="inlineStr">
        <is>
          <t>P3</t>
        </is>
      </c>
      <c r="E199" s="20" t="n">
        <v>25</v>
      </c>
      <c r="F199" s="6" t="inlineStr">
        <is>
          <t>CB400-V</t>
        </is>
      </c>
      <c r="G199" s="7" t="inlineStr">
        <is>
          <t>Thanh thẳng nối ren/hàn</t>
        </is>
      </c>
      <c r="H199" s="21" t="n">
        <v>10.7</v>
      </c>
      <c r="I199" s="22" t="n">
        <v>12</v>
      </c>
      <c r="J199" s="23" t="n">
        <v>3.85</v>
      </c>
      <c r="K199" s="9">
        <f>ROUND(H199*I199*J199, 2)</f>
        <v/>
      </c>
      <c r="L199" s="24">
        <f>ROUND(K199/1000, 3)</f>
        <v/>
      </c>
      <c r="M199" s="8" t="n"/>
      <c r="N199" s="21">
        <f>ROUND(N198 + IF(AND(E199&lt;=10, F199&lt;&gt;"ASTM A416"), L199, 0), 3)</f>
        <v/>
      </c>
      <c r="O199" s="21">
        <f>ROUND(O198 + IF(AND(E199&gt;10, E199&lt;=18, F199&lt;&gt;"ASTM A416"), L199, 0), 3)</f>
        <v/>
      </c>
      <c r="P199" s="21">
        <f>ROUND(P198 + IF(AND(E199&gt;18, F199&lt;&gt;"ASTM A416"), L199, 0), 3)</f>
        <v/>
      </c>
      <c r="Q199" s="21">
        <f>ROUND(Q198 + IF(F199="ASTM A416", L199, 0), 3)</f>
        <v/>
      </c>
      <c r="R199" s="11">
        <f>IF(INT(N199/20)&gt;INT(N198/20), "Lần " &amp; INT(N199/20), "")</f>
        <v/>
      </c>
      <c r="S199" s="12">
        <f>IF(INT(O199/20)&gt;INT(O198/20), "Lần " &amp; INT(O199/20), "")</f>
        <v/>
      </c>
      <c r="T199" s="11">
        <f>IF(INT(P199/20)&gt;INT(P198/20), "Lần " &amp; INT(P199/20), "")</f>
        <v/>
      </c>
      <c r="U199" s="25">
        <f>IF(INT(Q199/20)&gt;INT(Q198/20), "Lần " &amp; INT(Q199/20), "")</f>
        <v/>
      </c>
      <c r="V199" s="6" t="inlineStr"/>
      <c r="W199" s="6" t="inlineStr">
        <is>
          <t>ĐẠT TCVN 1651:2018</t>
        </is>
      </c>
    </row>
    <row r="200" ht="19" customHeight="1">
      <c r="A200" s="6" t="n">
        <v>183</v>
      </c>
      <c r="B200" s="7" t="inlineStr">
        <is>
          <t>Cọc khoan nhồi C7 Trụ T1 (D1.2m, L=40.0m)</t>
        </is>
      </c>
      <c r="C200" s="7" t="inlineStr">
        <is>
          <t>Cốt thép chủ chịu lực cọc</t>
        </is>
      </c>
      <c r="D200" s="19" t="inlineStr">
        <is>
          <t>P4</t>
        </is>
      </c>
      <c r="E200" s="20" t="n">
        <v>25</v>
      </c>
      <c r="F200" s="6" t="inlineStr">
        <is>
          <t>CB400-V</t>
        </is>
      </c>
      <c r="G200" s="7" t="inlineStr">
        <is>
          <t>Thanh thẳng nối ren/hàn</t>
        </is>
      </c>
      <c r="H200" s="21" t="n">
        <v>11.7</v>
      </c>
      <c r="I200" s="22" t="n">
        <v>60</v>
      </c>
      <c r="J200" s="23" t="n">
        <v>3.85</v>
      </c>
      <c r="K200" s="9">
        <f>ROUND(H200*I200*J200, 2)</f>
        <v/>
      </c>
      <c r="L200" s="24">
        <f>ROUND(K200/1000, 3)</f>
        <v/>
      </c>
      <c r="M200" s="8" t="n"/>
      <c r="N200" s="21">
        <f>ROUND(N199 + IF(AND(E200&lt;=10, F200&lt;&gt;"ASTM A416"), L200, 0), 3)</f>
        <v/>
      </c>
      <c r="O200" s="21">
        <f>ROUND(O199 + IF(AND(E200&gt;10, E200&lt;=18, F200&lt;&gt;"ASTM A416"), L200, 0), 3)</f>
        <v/>
      </c>
      <c r="P200" s="21">
        <f>ROUND(P199 + IF(AND(E200&gt;18, F200&lt;&gt;"ASTM A416"), L200, 0), 3)</f>
        <v/>
      </c>
      <c r="Q200" s="21">
        <f>ROUND(Q199 + IF(F200="ASTM A416", L200, 0), 3)</f>
        <v/>
      </c>
      <c r="R200" s="11">
        <f>IF(INT(N200/20)&gt;INT(N199/20), "Lần " &amp; INT(N200/20), "")</f>
        <v/>
      </c>
      <c r="S200" s="12">
        <f>IF(INT(O200/20)&gt;INT(O199/20), "Lần " &amp; INT(O200/20), "")</f>
        <v/>
      </c>
      <c r="T200" s="11">
        <f>IF(INT(P200/20)&gt;INT(P199/20), "Lần " &amp; INT(P200/20), "")</f>
        <v/>
      </c>
      <c r="U200" s="25">
        <f>IF(INT(Q200/20)&gt;INT(Q199/20), "Lần " &amp; INT(Q200/20), "")</f>
        <v/>
      </c>
      <c r="V200" s="6" t="inlineStr"/>
      <c r="W200" s="6" t="inlineStr">
        <is>
          <t>ĐẠT TCVN 1651:2018</t>
        </is>
      </c>
    </row>
    <row r="201" ht="19" customHeight="1">
      <c r="A201" s="6" t="n">
        <v>184</v>
      </c>
      <c r="B201" s="7" t="inlineStr">
        <is>
          <t>Cọc khoan nhồi C7 Trụ T1 (D1.2m, L=40.0m)</t>
        </is>
      </c>
      <c r="C201" s="7" t="inlineStr">
        <is>
          <t>Cốt thép chủ chịu lực cọc</t>
        </is>
      </c>
      <c r="D201" s="19" t="inlineStr">
        <is>
          <t>P6</t>
        </is>
      </c>
      <c r="E201" s="20" t="n">
        <v>25</v>
      </c>
      <c r="F201" s="6" t="inlineStr">
        <is>
          <t>CB400-V</t>
        </is>
      </c>
      <c r="G201" s="7" t="inlineStr">
        <is>
          <t>Thanh thẳng nối ren/hàn</t>
        </is>
      </c>
      <c r="H201" s="21" t="n">
        <v>9.032999999999999</v>
      </c>
      <c r="I201" s="22" t="n">
        <v>12</v>
      </c>
      <c r="J201" s="23" t="n">
        <v>3.85</v>
      </c>
      <c r="K201" s="9">
        <f>ROUND(H201*I201*J201, 2)</f>
        <v/>
      </c>
      <c r="L201" s="24">
        <f>ROUND(K201/1000, 3)</f>
        <v/>
      </c>
      <c r="M201" s="8" t="n"/>
      <c r="N201" s="21">
        <f>ROUND(N200 + IF(AND(E201&lt;=10, F201&lt;&gt;"ASTM A416"), L201, 0), 3)</f>
        <v/>
      </c>
      <c r="O201" s="21">
        <f>ROUND(O200 + IF(AND(E201&gt;10, E201&lt;=18, F201&lt;&gt;"ASTM A416"), L201, 0), 3)</f>
        <v/>
      </c>
      <c r="P201" s="21">
        <f>ROUND(P200 + IF(AND(E201&gt;18, F201&lt;&gt;"ASTM A416"), L201, 0), 3)</f>
        <v/>
      </c>
      <c r="Q201" s="21">
        <f>ROUND(Q200 + IF(F201="ASTM A416", L201, 0), 3)</f>
        <v/>
      </c>
      <c r="R201" s="11">
        <f>IF(INT(N201/20)&gt;INT(N200/20), "Lần " &amp; INT(N201/20), "")</f>
        <v/>
      </c>
      <c r="S201" s="12">
        <f>IF(INT(O201/20)&gt;INT(O200/20), "Lần " &amp; INT(O201/20), "")</f>
        <v/>
      </c>
      <c r="T201" s="11">
        <f>IF(INT(P201/20)&gt;INT(P200/20), "Lần " &amp; INT(P201/20), "")</f>
        <v/>
      </c>
      <c r="U201" s="25">
        <f>IF(INT(Q201/20)&gt;INT(Q200/20), "Lần " &amp; INT(Q201/20), "")</f>
        <v/>
      </c>
      <c r="V201" s="6" t="inlineStr"/>
      <c r="W201" s="6" t="inlineStr">
        <is>
          <t>ĐẠT TCVN 1651:2018</t>
        </is>
      </c>
    </row>
    <row r="202" ht="19" customHeight="1">
      <c r="A202" s="6" t="n">
        <v>185</v>
      </c>
      <c r="B202" s="7" t="inlineStr">
        <is>
          <t>Cọc khoan nhồi C7 Trụ T1 (D1.2m, L=40.0m)</t>
        </is>
      </c>
      <c r="C202" s="7" t="inlineStr">
        <is>
          <t>Cốt thép chủ chịu lực cọc</t>
        </is>
      </c>
      <c r="D202" s="19" t="inlineStr">
        <is>
          <t>P7</t>
        </is>
      </c>
      <c r="E202" s="20" t="n">
        <v>25</v>
      </c>
      <c r="F202" s="6" t="inlineStr">
        <is>
          <t>CB400-V</t>
        </is>
      </c>
      <c r="G202" s="7" t="inlineStr">
        <is>
          <t>Thanh thẳng nối ren/hàn</t>
        </is>
      </c>
      <c r="H202" s="21" t="n">
        <v>10.033</v>
      </c>
      <c r="I202" s="22" t="n">
        <v>12</v>
      </c>
      <c r="J202" s="23" t="n">
        <v>3.85</v>
      </c>
      <c r="K202" s="9">
        <f>ROUND(H202*I202*J202, 2)</f>
        <v/>
      </c>
      <c r="L202" s="24">
        <f>ROUND(K202/1000, 3)</f>
        <v/>
      </c>
      <c r="M202" s="8" t="n"/>
      <c r="N202" s="21">
        <f>ROUND(N201 + IF(AND(E202&lt;=10, F202&lt;&gt;"ASTM A416"), L202, 0), 3)</f>
        <v/>
      </c>
      <c r="O202" s="21">
        <f>ROUND(O201 + IF(AND(E202&gt;10, E202&lt;=18, F202&lt;&gt;"ASTM A416"), L202, 0), 3)</f>
        <v/>
      </c>
      <c r="P202" s="21">
        <f>ROUND(P201 + IF(AND(E202&gt;18, F202&lt;&gt;"ASTM A416"), L202, 0), 3)</f>
        <v/>
      </c>
      <c r="Q202" s="21">
        <f>ROUND(Q201 + IF(F202="ASTM A416", L202, 0), 3)</f>
        <v/>
      </c>
      <c r="R202" s="11">
        <f>IF(INT(N202/20)&gt;INT(N201/20), "Lần " &amp; INT(N202/20), "")</f>
        <v/>
      </c>
      <c r="S202" s="12">
        <f>IF(INT(O202/20)&gt;INT(O201/20), "Lần " &amp; INT(O202/20), "")</f>
        <v/>
      </c>
      <c r="T202" s="11">
        <f>IF(INT(P202/20)&gt;INT(P201/20), "Lần " &amp; INT(P202/20), "")</f>
        <v/>
      </c>
      <c r="U202" s="25">
        <f>IF(INT(Q202/20)&gt;INT(Q201/20), "Lần " &amp; INT(Q202/20), "")</f>
        <v/>
      </c>
      <c r="V202" s="6" t="inlineStr"/>
      <c r="W202" s="6" t="inlineStr">
        <is>
          <t>ĐẠT TCVN 1651:2018</t>
        </is>
      </c>
    </row>
    <row r="203" ht="19" customHeight="1">
      <c r="A203" s="6" t="n">
        <v>186</v>
      </c>
      <c r="B203" s="7" t="inlineStr">
        <is>
          <t>Cọc khoan nhồi C7 Trụ T1 (D1.2m, L=40.0m)</t>
        </is>
      </c>
      <c r="C203" s="7" t="inlineStr">
        <is>
          <t>Đai tăng cường / Con kê bảo vệ</t>
        </is>
      </c>
      <c r="D203" s="19" t="inlineStr">
        <is>
          <t>P8</t>
        </is>
      </c>
      <c r="E203" s="20" t="n">
        <v>12</v>
      </c>
      <c r="F203" s="6" t="inlineStr">
        <is>
          <t>CB400-V</t>
        </is>
      </c>
      <c r="G203" s="7" t="inlineStr">
        <is>
          <t>Móc neo / Vòng đai</t>
        </is>
      </c>
      <c r="H203" s="21" t="n">
        <v>0.647</v>
      </c>
      <c r="I203" s="22" t="n">
        <v>16</v>
      </c>
      <c r="J203" s="23" t="n">
        <v>0.888</v>
      </c>
      <c r="K203" s="9">
        <f>ROUND(H203*I203*J203, 2)</f>
        <v/>
      </c>
      <c r="L203" s="24">
        <f>ROUND(K203/1000, 3)</f>
        <v/>
      </c>
      <c r="M203" s="8" t="n"/>
      <c r="N203" s="21">
        <f>ROUND(N202 + IF(AND(E203&lt;=10, F203&lt;&gt;"ASTM A416"), L203, 0), 3)</f>
        <v/>
      </c>
      <c r="O203" s="21">
        <f>ROUND(O202 + IF(AND(E203&gt;10, E203&lt;=18, F203&lt;&gt;"ASTM A416"), L203, 0), 3)</f>
        <v/>
      </c>
      <c r="P203" s="21">
        <f>ROUND(P202 + IF(AND(E203&gt;18, F203&lt;&gt;"ASTM A416"), L203, 0), 3)</f>
        <v/>
      </c>
      <c r="Q203" s="21">
        <f>ROUND(Q202 + IF(F203="ASTM A416", L203, 0), 3)</f>
        <v/>
      </c>
      <c r="R203" s="11">
        <f>IF(INT(N203/20)&gt;INT(N202/20), "Lần " &amp; INT(N203/20), "")</f>
        <v/>
      </c>
      <c r="S203" s="12">
        <f>IF(INT(O203/20)&gt;INT(O202/20), "Lần " &amp; INT(O203/20), "")</f>
        <v/>
      </c>
      <c r="T203" s="11">
        <f>IF(INT(P203/20)&gt;INT(P202/20), "Lần " &amp; INT(P203/20), "")</f>
        <v/>
      </c>
      <c r="U203" s="25">
        <f>IF(INT(Q203/20)&gt;INT(Q202/20), "Lần " &amp; INT(Q203/20), "")</f>
        <v/>
      </c>
      <c r="V203" s="6" t="inlineStr"/>
      <c r="W203" s="6" t="inlineStr">
        <is>
          <t>ĐẠT TCVN 1651:2018</t>
        </is>
      </c>
    </row>
    <row r="204" ht="19" customHeight="1">
      <c r="A204" s="6" t="n">
        <v>187</v>
      </c>
      <c r="B204" s="7" t="inlineStr">
        <is>
          <t>Cọc khoan nhồi C7 Trụ T1 (D1.2m, L=40.0m)</t>
        </is>
      </c>
      <c r="C204" s="7" t="inlineStr">
        <is>
          <t>Đai tăng cường / Con kê bảo vệ</t>
        </is>
      </c>
      <c r="D204" s="19" t="inlineStr">
        <is>
          <t>P9</t>
        </is>
      </c>
      <c r="E204" s="20" t="n">
        <v>12</v>
      </c>
      <c r="F204" s="6" t="inlineStr">
        <is>
          <t>CB400-V</t>
        </is>
      </c>
      <c r="G204" s="7" t="inlineStr">
        <is>
          <t>Móc neo / Vòng đai</t>
        </is>
      </c>
      <c r="H204" s="21" t="n">
        <v>0.379</v>
      </c>
      <c r="I204" s="22" t="n">
        <v>48</v>
      </c>
      <c r="J204" s="23" t="n">
        <v>0.888</v>
      </c>
      <c r="K204" s="9">
        <f>ROUND(H204*I204*J204, 2)</f>
        <v/>
      </c>
      <c r="L204" s="24">
        <f>ROUND(K204/1000, 3)</f>
        <v/>
      </c>
      <c r="M204" s="8" t="n"/>
      <c r="N204" s="21">
        <f>ROUND(N203 + IF(AND(E204&lt;=10, F204&lt;&gt;"ASTM A416"), L204, 0), 3)</f>
        <v/>
      </c>
      <c r="O204" s="21">
        <f>ROUND(O203 + IF(AND(E204&gt;10, E204&lt;=18, F204&lt;&gt;"ASTM A416"), L204, 0), 3)</f>
        <v/>
      </c>
      <c r="P204" s="21">
        <f>ROUND(P203 + IF(AND(E204&gt;18, F204&lt;&gt;"ASTM A416"), L204, 0), 3)</f>
        <v/>
      </c>
      <c r="Q204" s="21">
        <f>ROUND(Q203 + IF(F204="ASTM A416", L204, 0), 3)</f>
        <v/>
      </c>
      <c r="R204" s="11">
        <f>IF(INT(N204/20)&gt;INT(N203/20), "Lần " &amp; INT(N204/20), "")</f>
        <v/>
      </c>
      <c r="S204" s="12">
        <f>IF(INT(O204/20)&gt;INT(O203/20), "Lần " &amp; INT(O204/20), "")</f>
        <v/>
      </c>
      <c r="T204" s="11">
        <f>IF(INT(P204/20)&gt;INT(P203/20), "Lần " &amp; INT(P204/20), "")</f>
        <v/>
      </c>
      <c r="U204" s="25">
        <f>IF(INT(Q204/20)&gt;INT(Q203/20), "Lần " &amp; INT(Q204/20), "")</f>
        <v/>
      </c>
      <c r="V204" s="6" t="inlineStr"/>
      <c r="W204" s="6" t="inlineStr">
        <is>
          <t>ĐẠT TCVN 1651:2018</t>
        </is>
      </c>
    </row>
    <row r="205" ht="19" customHeight="1">
      <c r="A205" s="6" t="n">
        <v>188</v>
      </c>
      <c r="B205" s="7" t="inlineStr">
        <is>
          <t>Cọc khoan nhồi C7 Trụ T1 (D1.2m, L=40.0m)</t>
        </is>
      </c>
      <c r="C205" s="7" t="inlineStr">
        <is>
          <t>Thép đai xoắn lồng cọc</t>
        </is>
      </c>
      <c r="D205" s="19" t="inlineStr">
        <is>
          <t>P10</t>
        </is>
      </c>
      <c r="E205" s="20" t="n">
        <v>20</v>
      </c>
      <c r="F205" s="6" t="inlineStr">
        <is>
          <t>CB400-V</t>
        </is>
      </c>
      <c r="G205" s="7" t="inlineStr">
        <is>
          <t>Đai xoắn tròn</t>
        </is>
      </c>
      <c r="H205" s="21" t="n">
        <v>2.057</v>
      </c>
      <c r="I205" s="22" t="n">
        <v>1</v>
      </c>
      <c r="J205" s="23" t="n">
        <v>2.47</v>
      </c>
      <c r="K205" s="9">
        <f>ROUND(H205*I205*J205, 2)</f>
        <v/>
      </c>
      <c r="L205" s="24">
        <f>ROUND(K205/1000, 3)</f>
        <v/>
      </c>
      <c r="M205" s="8" t="n"/>
      <c r="N205" s="21">
        <f>ROUND(N204 + IF(AND(E205&lt;=10, F205&lt;&gt;"ASTM A416"), L205, 0), 3)</f>
        <v/>
      </c>
      <c r="O205" s="21">
        <f>ROUND(O204 + IF(AND(E205&gt;10, E205&lt;=18, F205&lt;&gt;"ASTM A416"), L205, 0), 3)</f>
        <v/>
      </c>
      <c r="P205" s="21">
        <f>ROUND(P204 + IF(AND(E205&gt;18, F205&lt;&gt;"ASTM A416"), L205, 0), 3)</f>
        <v/>
      </c>
      <c r="Q205" s="21">
        <f>ROUND(Q204 + IF(F205="ASTM A416", L205, 0), 3)</f>
        <v/>
      </c>
      <c r="R205" s="11">
        <f>IF(INT(N205/20)&gt;INT(N204/20), "Lần " &amp; INT(N205/20), "")</f>
        <v/>
      </c>
      <c r="S205" s="12">
        <f>IF(INT(O205/20)&gt;INT(O204/20), "Lần " &amp; INT(O205/20), "")</f>
        <v/>
      </c>
      <c r="T205" s="11">
        <f>IF(INT(P205/20)&gt;INT(P204/20), "Lần " &amp; INT(P205/20), "")</f>
        <v/>
      </c>
      <c r="U205" s="25">
        <f>IF(INT(Q205/20)&gt;INT(Q204/20), "Lần " &amp; INT(Q205/20), "")</f>
        <v/>
      </c>
      <c r="V205" s="6" t="inlineStr"/>
      <c r="W205" s="6" t="inlineStr">
        <is>
          <t>ĐẠT TCVN 1651:2018</t>
        </is>
      </c>
    </row>
    <row r="206" ht="19" customHeight="1">
      <c r="A206" s="6" t="n">
        <v>189</v>
      </c>
      <c r="B206" s="7" t="inlineStr">
        <is>
          <t>Cọc khoan nhồi C7 Trụ T1 (D1.2m, L=40.0m)</t>
        </is>
      </c>
      <c r="C206" s="7" t="inlineStr">
        <is>
          <t>Thép đai xoắn lồng cọc</t>
        </is>
      </c>
      <c r="D206" s="19" t="inlineStr">
        <is>
          <t>P12</t>
        </is>
      </c>
      <c r="E206" s="20" t="n">
        <v>20</v>
      </c>
      <c r="F206" s="6" t="inlineStr">
        <is>
          <t>CB400-V</t>
        </is>
      </c>
      <c r="G206" s="7" t="inlineStr">
        <is>
          <t>Đai xoắn tròn</t>
        </is>
      </c>
      <c r="H206" s="21" t="n">
        <v>0.583</v>
      </c>
      <c r="I206" s="22" t="n">
        <v>64</v>
      </c>
      <c r="J206" s="23" t="n">
        <v>2.47</v>
      </c>
      <c r="K206" s="9">
        <f>ROUND(H206*I206*J206, 2)</f>
        <v/>
      </c>
      <c r="L206" s="24">
        <f>ROUND(K206/1000, 3)</f>
        <v/>
      </c>
      <c r="M206" s="8" t="n"/>
      <c r="N206" s="21">
        <f>ROUND(N205 + IF(AND(E206&lt;=10, F206&lt;&gt;"ASTM A416"), L206, 0), 3)</f>
        <v/>
      </c>
      <c r="O206" s="21">
        <f>ROUND(O205 + IF(AND(E206&gt;10, E206&lt;=18, F206&lt;&gt;"ASTM A416"), L206, 0), 3)</f>
        <v/>
      </c>
      <c r="P206" s="21">
        <f>ROUND(P205 + IF(AND(E206&gt;18, F206&lt;&gt;"ASTM A416"), L206, 0), 3)</f>
        <v/>
      </c>
      <c r="Q206" s="21">
        <f>ROUND(Q205 + IF(F206="ASTM A416", L206, 0), 3)</f>
        <v/>
      </c>
      <c r="R206" s="11">
        <f>IF(INT(N206/20)&gt;INT(N205/20), "Lần " &amp; INT(N206/20), "")</f>
        <v/>
      </c>
      <c r="S206" s="12">
        <f>IF(INT(O206/20)&gt;INT(O205/20), "Lần " &amp; INT(O206/20), "")</f>
        <v/>
      </c>
      <c r="T206" s="11">
        <f>IF(INT(P206/20)&gt;INT(P205/20), "Lần " &amp; INT(P206/20), "")</f>
        <v/>
      </c>
      <c r="U206" s="25">
        <f>IF(INT(Q206/20)&gt;INT(Q205/20), "Lần " &amp; INT(Q206/20), "")</f>
        <v/>
      </c>
      <c r="V206" s="6" t="inlineStr"/>
      <c r="W206" s="6" t="inlineStr">
        <is>
          <t>ĐẠT TCVN 1651:2018</t>
        </is>
      </c>
    </row>
    <row r="207" ht="20" customHeight="1">
      <c r="A207" s="18" t="inlineStr">
        <is>
          <t>--- CỌC KHOAN NHỒI C8 TRỤ T1 (D1.2M, L=40.0M) ---</t>
        </is>
      </c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</row>
    <row r="208" ht="19" customHeight="1">
      <c r="A208" s="6" t="n">
        <v>190</v>
      </c>
      <c r="B208" s="7" t="inlineStr">
        <is>
          <t>Cọc khoan nhồi C8 Trụ T1 (D1.2m, L=40.0m)</t>
        </is>
      </c>
      <c r="C208" s="7" t="inlineStr">
        <is>
          <t>Thép đai xoắn lồng cọc</t>
        </is>
      </c>
      <c r="D208" s="19" t="inlineStr">
        <is>
          <t>P1</t>
        </is>
      </c>
      <c r="E208" s="20" t="n">
        <v>10</v>
      </c>
      <c r="F208" s="6" t="inlineStr">
        <is>
          <t>CB240-T</t>
        </is>
      </c>
      <c r="G208" s="7" t="inlineStr">
        <is>
          <t>Đai xoắn tròn</t>
        </is>
      </c>
      <c r="H208" s="21" t="n">
        <v>96.604</v>
      </c>
      <c r="I208" s="22" t="n">
        <v>1</v>
      </c>
      <c r="J208" s="23" t="n">
        <v>0.617</v>
      </c>
      <c r="K208" s="9">
        <f>ROUND(H208*I208*J208, 2)</f>
        <v/>
      </c>
      <c r="L208" s="24">
        <f>ROUND(K208/1000, 3)</f>
        <v/>
      </c>
      <c r="M208" s="8" t="n"/>
      <c r="N208" s="21">
        <f>ROUND(N206 + IF(AND(E208&lt;=10, F208&lt;&gt;"ASTM A416"), L208, 0), 3)</f>
        <v/>
      </c>
      <c r="O208" s="21">
        <f>ROUND(O206 + IF(AND(E208&gt;10, E208&lt;=18, F208&lt;&gt;"ASTM A416"), L208, 0), 3)</f>
        <v/>
      </c>
      <c r="P208" s="21">
        <f>ROUND(P206 + IF(AND(E208&gt;18, F208&lt;&gt;"ASTM A416"), L208, 0), 3)</f>
        <v/>
      </c>
      <c r="Q208" s="21">
        <f>ROUND(Q206 + IF(F208="ASTM A416", L208, 0), 3)</f>
        <v/>
      </c>
      <c r="R208" s="11">
        <f>IF(INT(N208/20)&gt;INT(N206/20), "Lần " &amp; INT(N208/20), "")</f>
        <v/>
      </c>
      <c r="S208" s="12">
        <f>IF(INT(O208/20)&gt;INT(O206/20), "Lần " &amp; INT(O208/20), "")</f>
        <v/>
      </c>
      <c r="T208" s="11">
        <f>IF(INT(P208/20)&gt;INT(P206/20), "Lần " &amp; INT(P208/20), "")</f>
        <v/>
      </c>
      <c r="U208" s="25">
        <f>IF(INT(Q208/20)&gt;INT(Q206/20), "Lần " &amp; INT(Q208/20), "")</f>
        <v/>
      </c>
      <c r="V208" s="6" t="inlineStr"/>
      <c r="W208" s="6" t="inlineStr">
        <is>
          <t>ĐẠT TCVN 1651:2018</t>
        </is>
      </c>
    </row>
    <row r="209" ht="19" customHeight="1">
      <c r="A209" s="6" t="n">
        <v>191</v>
      </c>
      <c r="B209" s="7" t="inlineStr">
        <is>
          <t>Cọc khoan nhồi C8 Trụ T1 (D1.2m, L=40.0m)</t>
        </is>
      </c>
      <c r="C209" s="7" t="inlineStr">
        <is>
          <t>Thép đai xoắn lồng cọc</t>
        </is>
      </c>
      <c r="D209" s="19" t="inlineStr">
        <is>
          <t>P1A</t>
        </is>
      </c>
      <c r="E209" s="20" t="n">
        <v>10</v>
      </c>
      <c r="F209" s="6" t="inlineStr">
        <is>
          <t>CB240-T</t>
        </is>
      </c>
      <c r="G209" s="7" t="inlineStr">
        <is>
          <t>Đai xoắn tròn</t>
        </is>
      </c>
      <c r="H209" s="21" t="n">
        <v>389.636</v>
      </c>
      <c r="I209" s="22" t="n">
        <v>1</v>
      </c>
      <c r="J209" s="23" t="n">
        <v>0.617</v>
      </c>
      <c r="K209" s="9">
        <f>ROUND(H209*I209*J209, 2)</f>
        <v/>
      </c>
      <c r="L209" s="24">
        <f>ROUND(K209/1000, 3)</f>
        <v/>
      </c>
      <c r="M209" s="8" t="n"/>
      <c r="N209" s="21">
        <f>ROUND(N208 + IF(AND(E209&lt;=10, F209&lt;&gt;"ASTM A416"), L209, 0), 3)</f>
        <v/>
      </c>
      <c r="O209" s="21">
        <f>ROUND(O208 + IF(AND(E209&gt;10, E209&lt;=18, F209&lt;&gt;"ASTM A416"), L209, 0), 3)</f>
        <v/>
      </c>
      <c r="P209" s="21">
        <f>ROUND(P208 + IF(AND(E209&gt;18, F209&lt;&gt;"ASTM A416"), L209, 0), 3)</f>
        <v/>
      </c>
      <c r="Q209" s="21">
        <f>ROUND(Q208 + IF(F209="ASTM A416", L209, 0), 3)</f>
        <v/>
      </c>
      <c r="R209" s="11">
        <f>IF(INT(N209/20)&gt;INT(N208/20), "Lần " &amp; INT(N209/20), "")</f>
        <v/>
      </c>
      <c r="S209" s="12">
        <f>IF(INT(O209/20)&gt;INT(O208/20), "Lần " &amp; INT(O209/20), "")</f>
        <v/>
      </c>
      <c r="T209" s="11">
        <f>IF(INT(P209/20)&gt;INT(P208/20), "Lần " &amp; INT(P209/20), "")</f>
        <v/>
      </c>
      <c r="U209" s="25">
        <f>IF(INT(Q209/20)&gt;INT(Q208/20), "Lần " &amp; INT(Q209/20), "")</f>
        <v/>
      </c>
      <c r="V209" s="6" t="inlineStr"/>
      <c r="W209" s="6" t="inlineStr">
        <is>
          <t>ĐẠT TCVN 1651:2018</t>
        </is>
      </c>
    </row>
    <row r="210" ht="19" customHeight="1">
      <c r="A210" s="6" t="n">
        <v>192</v>
      </c>
      <c r="B210" s="7" t="inlineStr">
        <is>
          <t>Cọc khoan nhồi C8 Trụ T1 (D1.2m, L=40.0m)</t>
        </is>
      </c>
      <c r="C210" s="7" t="inlineStr">
        <is>
          <t>Thép đai xoắn lồng cọc</t>
        </is>
      </c>
      <c r="D210" s="19" t="inlineStr">
        <is>
          <t>P1B</t>
        </is>
      </c>
      <c r="E210" s="20" t="n">
        <v>10</v>
      </c>
      <c r="F210" s="6" t="inlineStr">
        <is>
          <t>CB240-T</t>
        </is>
      </c>
      <c r="G210" s="7" t="inlineStr">
        <is>
          <t>Đai xoắn tròn</t>
        </is>
      </c>
      <c r="H210" s="21" t="n">
        <v>206.981</v>
      </c>
      <c r="I210" s="22" t="n">
        <v>1</v>
      </c>
      <c r="J210" s="23" t="n">
        <v>0.617</v>
      </c>
      <c r="K210" s="9">
        <f>ROUND(H210*I210*J210, 2)</f>
        <v/>
      </c>
      <c r="L210" s="24">
        <f>ROUND(K210/1000, 3)</f>
        <v/>
      </c>
      <c r="M210" s="8" t="n"/>
      <c r="N210" s="21">
        <f>ROUND(N209 + IF(AND(E210&lt;=10, F210&lt;&gt;"ASTM A416"), L210, 0), 3)</f>
        <v/>
      </c>
      <c r="O210" s="21">
        <f>ROUND(O209 + IF(AND(E210&gt;10, E210&lt;=18, F210&lt;&gt;"ASTM A416"), L210, 0), 3)</f>
        <v/>
      </c>
      <c r="P210" s="21">
        <f>ROUND(P209 + IF(AND(E210&gt;18, F210&lt;&gt;"ASTM A416"), L210, 0), 3)</f>
        <v/>
      </c>
      <c r="Q210" s="21">
        <f>ROUND(Q209 + IF(F210="ASTM A416", L210, 0), 3)</f>
        <v/>
      </c>
      <c r="R210" s="11">
        <f>IF(INT(N210/20)&gt;INT(N209/20), "Lần " &amp; INT(N210/20), "")</f>
        <v/>
      </c>
      <c r="S210" s="12">
        <f>IF(INT(O210/20)&gt;INT(O209/20), "Lần " &amp; INT(O210/20), "")</f>
        <v/>
      </c>
      <c r="T210" s="11">
        <f>IF(INT(P210/20)&gt;INT(P209/20), "Lần " &amp; INT(P210/20), "")</f>
        <v/>
      </c>
      <c r="U210" s="25">
        <f>IF(INT(Q210/20)&gt;INT(Q209/20), "Lần " &amp; INT(Q210/20), "")</f>
        <v/>
      </c>
      <c r="V210" s="6" t="inlineStr"/>
      <c r="W210" s="6" t="inlineStr">
        <is>
          <t>ĐẠT TCVN 1651:2018</t>
        </is>
      </c>
    </row>
    <row r="211" ht="19" customHeight="1">
      <c r="A211" s="6" t="n">
        <v>193</v>
      </c>
      <c r="B211" s="7" t="inlineStr">
        <is>
          <t>Cọc khoan nhồi C8 Trụ T1 (D1.2m, L=40.0m)</t>
        </is>
      </c>
      <c r="C211" s="7" t="inlineStr">
        <is>
          <t>Thép đai xoắn lồng cọc</t>
        </is>
      </c>
      <c r="D211" s="19" t="inlineStr">
        <is>
          <t>P1C</t>
        </is>
      </c>
      <c r="E211" s="20" t="n">
        <v>10</v>
      </c>
      <c r="F211" s="6" t="inlineStr">
        <is>
          <t>CB240-T</t>
        </is>
      </c>
      <c r="G211" s="7" t="inlineStr">
        <is>
          <t>Đai xoắn tròn</t>
        </is>
      </c>
      <c r="H211" s="21" t="n">
        <v>3.592</v>
      </c>
      <c r="I211" s="22" t="n">
        <v>2</v>
      </c>
      <c r="J211" s="23" t="n">
        <v>0.617</v>
      </c>
      <c r="K211" s="9">
        <f>ROUND(H211*I211*J211, 2)</f>
        <v/>
      </c>
      <c r="L211" s="24">
        <f>ROUND(K211/1000, 3)</f>
        <v/>
      </c>
      <c r="M211" s="8" t="n"/>
      <c r="N211" s="21">
        <f>ROUND(N210 + IF(AND(E211&lt;=10, F211&lt;&gt;"ASTM A416"), L211, 0), 3)</f>
        <v/>
      </c>
      <c r="O211" s="21">
        <f>ROUND(O210 + IF(AND(E211&gt;10, E211&lt;=18, F211&lt;&gt;"ASTM A416"), L211, 0), 3)</f>
        <v/>
      </c>
      <c r="P211" s="21">
        <f>ROUND(P210 + IF(AND(E211&gt;18, F211&lt;&gt;"ASTM A416"), L211, 0), 3)</f>
        <v/>
      </c>
      <c r="Q211" s="21">
        <f>ROUND(Q210 + IF(F211="ASTM A416", L211, 0), 3)</f>
        <v/>
      </c>
      <c r="R211" s="11">
        <f>IF(INT(N211/20)&gt;INT(N210/20), "Lần " &amp; INT(N211/20), "")</f>
        <v/>
      </c>
      <c r="S211" s="12">
        <f>IF(INT(O211/20)&gt;INT(O210/20), "Lần " &amp; INT(O211/20), "")</f>
        <v/>
      </c>
      <c r="T211" s="11">
        <f>IF(INT(P211/20)&gt;INT(P210/20), "Lần " &amp; INT(P211/20), "")</f>
        <v/>
      </c>
      <c r="U211" s="25">
        <f>IF(INT(Q211/20)&gt;INT(Q210/20), "Lần " &amp; INT(Q211/20), "")</f>
        <v/>
      </c>
      <c r="V211" s="6" t="inlineStr"/>
      <c r="W211" s="6" t="inlineStr">
        <is>
          <t>ĐẠT TCVN 1651:2018</t>
        </is>
      </c>
    </row>
    <row r="212" ht="19" customHeight="1">
      <c r="A212" s="6" t="n">
        <v>194</v>
      </c>
      <c r="B212" s="7" t="inlineStr">
        <is>
          <t>Cọc khoan nhồi C8 Trụ T1 (D1.2m, L=40.0m)</t>
        </is>
      </c>
      <c r="C212" s="7" t="inlineStr">
        <is>
          <t>Thép đai xoắn lồng cọc</t>
        </is>
      </c>
      <c r="D212" s="19" t="inlineStr">
        <is>
          <t>P1D</t>
        </is>
      </c>
      <c r="E212" s="20" t="n">
        <v>10</v>
      </c>
      <c r="F212" s="6" t="inlineStr">
        <is>
          <t>CB240-T</t>
        </is>
      </c>
      <c r="G212" s="7" t="inlineStr">
        <is>
          <t>Đai xoắn tròn</t>
        </is>
      </c>
      <c r="H212" s="21" t="n">
        <v>19.721</v>
      </c>
      <c r="I212" s="22" t="n">
        <v>1</v>
      </c>
      <c r="J212" s="23" t="n">
        <v>0.617</v>
      </c>
      <c r="K212" s="9">
        <f>ROUND(H212*I212*J212, 2)</f>
        <v/>
      </c>
      <c r="L212" s="24">
        <f>ROUND(K212/1000, 3)</f>
        <v/>
      </c>
      <c r="M212" s="8" t="n"/>
      <c r="N212" s="21">
        <f>ROUND(N211 + IF(AND(E212&lt;=10, F212&lt;&gt;"ASTM A416"), L212, 0), 3)</f>
        <v/>
      </c>
      <c r="O212" s="21">
        <f>ROUND(O211 + IF(AND(E212&gt;10, E212&lt;=18, F212&lt;&gt;"ASTM A416"), L212, 0), 3)</f>
        <v/>
      </c>
      <c r="P212" s="21">
        <f>ROUND(P211 + IF(AND(E212&gt;18, F212&lt;&gt;"ASTM A416"), L212, 0), 3)</f>
        <v/>
      </c>
      <c r="Q212" s="21">
        <f>ROUND(Q211 + IF(F212="ASTM A416", L212, 0), 3)</f>
        <v/>
      </c>
      <c r="R212" s="11">
        <f>IF(INT(N212/20)&gt;INT(N211/20), "Lần " &amp; INT(N212/20), "")</f>
        <v/>
      </c>
      <c r="S212" s="12">
        <f>IF(INT(O212/20)&gt;INT(O211/20), "Lần " &amp; INT(O212/20), "")</f>
        <v/>
      </c>
      <c r="T212" s="11">
        <f>IF(INT(P212/20)&gt;INT(P211/20), "Lần " &amp; INT(P212/20), "")</f>
        <v/>
      </c>
      <c r="U212" s="25">
        <f>IF(INT(Q212/20)&gt;INT(Q211/20), "Lần " &amp; INT(Q212/20), "")</f>
        <v/>
      </c>
      <c r="V212" s="6" t="inlineStr"/>
      <c r="W212" s="6" t="inlineStr">
        <is>
          <t>ĐẠT TCVN 1651:2018</t>
        </is>
      </c>
    </row>
    <row r="213" ht="19" customHeight="1">
      <c r="A213" s="6" t="n">
        <v>195</v>
      </c>
      <c r="B213" s="7" t="inlineStr">
        <is>
          <t>Cọc khoan nhồi C8 Trụ T1 (D1.2m, L=40.0m)</t>
        </is>
      </c>
      <c r="C213" s="7" t="inlineStr">
        <is>
          <t>Cốt thép chủ chịu lực cọc</t>
        </is>
      </c>
      <c r="D213" s="19" t="inlineStr">
        <is>
          <t>P2B</t>
        </is>
      </c>
      <c r="E213" s="20" t="n">
        <v>25</v>
      </c>
      <c r="F213" s="6" t="inlineStr">
        <is>
          <t>CB400-V</t>
        </is>
      </c>
      <c r="G213" s="7" t="inlineStr">
        <is>
          <t>Thanh thẳng nối ren/hàn</t>
        </is>
      </c>
      <c r="H213" s="21" t="n">
        <v>2.985</v>
      </c>
      <c r="I213" s="22" t="n">
        <v>16</v>
      </c>
      <c r="J213" s="23" t="n">
        <v>3.85</v>
      </c>
      <c r="K213" s="9">
        <f>ROUND(H213*I213*J213, 2)</f>
        <v/>
      </c>
      <c r="L213" s="24">
        <f>ROUND(K213/1000, 3)</f>
        <v/>
      </c>
      <c r="M213" s="8" t="n"/>
      <c r="N213" s="21">
        <f>ROUND(N212 + IF(AND(E213&lt;=10, F213&lt;&gt;"ASTM A416"), L213, 0), 3)</f>
        <v/>
      </c>
      <c r="O213" s="21">
        <f>ROUND(O212 + IF(AND(E213&gt;10, E213&lt;=18, F213&lt;&gt;"ASTM A416"), L213, 0), 3)</f>
        <v/>
      </c>
      <c r="P213" s="21">
        <f>ROUND(P212 + IF(AND(E213&gt;18, F213&lt;&gt;"ASTM A416"), L213, 0), 3)</f>
        <v/>
      </c>
      <c r="Q213" s="21">
        <f>ROUND(Q212 + IF(F213="ASTM A416", L213, 0), 3)</f>
        <v/>
      </c>
      <c r="R213" s="11">
        <f>IF(INT(N213/20)&gt;INT(N212/20), "Lần " &amp; INT(N213/20), "")</f>
        <v/>
      </c>
      <c r="S213" s="12">
        <f>IF(INT(O213/20)&gt;INT(O212/20), "Lần " &amp; INT(O213/20), "")</f>
        <v/>
      </c>
      <c r="T213" s="11">
        <f>IF(INT(P213/20)&gt;INT(P212/20), "Lần " &amp; INT(P213/20), "")</f>
        <v/>
      </c>
      <c r="U213" s="25">
        <f>IF(INT(Q213/20)&gt;INT(Q212/20), "Lần " &amp; INT(Q213/20), "")</f>
        <v/>
      </c>
      <c r="V213" s="6" t="inlineStr"/>
      <c r="W213" s="6" t="inlineStr">
        <is>
          <t>ĐẠT TCVN 1651:2018</t>
        </is>
      </c>
    </row>
    <row r="214" ht="19" customHeight="1">
      <c r="A214" s="6" t="n">
        <v>196</v>
      </c>
      <c r="B214" s="7" t="inlineStr">
        <is>
          <t>Cọc khoan nhồi C8 Trụ T1 (D1.2m, L=40.0m)</t>
        </is>
      </c>
      <c r="C214" s="7" t="inlineStr">
        <is>
          <t>Cốt thép chủ chịu lực cọc</t>
        </is>
      </c>
      <c r="D214" s="19" t="inlineStr">
        <is>
          <t>P3</t>
        </is>
      </c>
      <c r="E214" s="20" t="n">
        <v>25</v>
      </c>
      <c r="F214" s="6" t="inlineStr">
        <is>
          <t>CB400-V</t>
        </is>
      </c>
      <c r="G214" s="7" t="inlineStr">
        <is>
          <t>Thanh thẳng nối ren/hàn</t>
        </is>
      </c>
      <c r="H214" s="21" t="n">
        <v>10.7</v>
      </c>
      <c r="I214" s="22" t="n">
        <v>12</v>
      </c>
      <c r="J214" s="23" t="n">
        <v>3.85</v>
      </c>
      <c r="K214" s="9">
        <f>ROUND(H214*I214*J214, 2)</f>
        <v/>
      </c>
      <c r="L214" s="24">
        <f>ROUND(K214/1000, 3)</f>
        <v/>
      </c>
      <c r="M214" s="8" t="n"/>
      <c r="N214" s="21">
        <f>ROUND(N213 + IF(AND(E214&lt;=10, F214&lt;&gt;"ASTM A416"), L214, 0), 3)</f>
        <v/>
      </c>
      <c r="O214" s="21">
        <f>ROUND(O213 + IF(AND(E214&gt;10, E214&lt;=18, F214&lt;&gt;"ASTM A416"), L214, 0), 3)</f>
        <v/>
      </c>
      <c r="P214" s="21">
        <f>ROUND(P213 + IF(AND(E214&gt;18, F214&lt;&gt;"ASTM A416"), L214, 0), 3)</f>
        <v/>
      </c>
      <c r="Q214" s="21">
        <f>ROUND(Q213 + IF(F214="ASTM A416", L214, 0), 3)</f>
        <v/>
      </c>
      <c r="R214" s="11">
        <f>IF(INT(N214/20)&gt;INT(N213/20), "Lần " &amp; INT(N214/20), "")</f>
        <v/>
      </c>
      <c r="S214" s="12">
        <f>IF(INT(O214/20)&gt;INT(O213/20), "Lần " &amp; INT(O214/20), "")</f>
        <v/>
      </c>
      <c r="T214" s="11">
        <f>IF(INT(P214/20)&gt;INT(P213/20), "Lần " &amp; INT(P214/20), "")</f>
        <v/>
      </c>
      <c r="U214" s="25">
        <f>IF(INT(Q214/20)&gt;INT(Q213/20), "Lần " &amp; INT(Q214/20), "")</f>
        <v/>
      </c>
      <c r="V214" s="6" t="inlineStr"/>
      <c r="W214" s="6" t="inlineStr">
        <is>
          <t>ĐẠT TCVN 1651:2018</t>
        </is>
      </c>
    </row>
    <row r="215" ht="19" customHeight="1">
      <c r="A215" s="6" t="n">
        <v>197</v>
      </c>
      <c r="B215" s="7" t="inlineStr">
        <is>
          <t>Cọc khoan nhồi C8 Trụ T1 (D1.2m, L=40.0m)</t>
        </is>
      </c>
      <c r="C215" s="7" t="inlineStr">
        <is>
          <t>Cốt thép chủ chịu lực cọc</t>
        </is>
      </c>
      <c r="D215" s="19" t="inlineStr">
        <is>
          <t>P4</t>
        </is>
      </c>
      <c r="E215" s="20" t="n">
        <v>25</v>
      </c>
      <c r="F215" s="6" t="inlineStr">
        <is>
          <t>CB400-V</t>
        </is>
      </c>
      <c r="G215" s="7" t="inlineStr">
        <is>
          <t>Thanh thẳng nối ren/hàn</t>
        </is>
      </c>
      <c r="H215" s="21" t="n">
        <v>11.7</v>
      </c>
      <c r="I215" s="22" t="n">
        <v>60</v>
      </c>
      <c r="J215" s="23" t="n">
        <v>3.85</v>
      </c>
      <c r="K215" s="9">
        <f>ROUND(H215*I215*J215, 2)</f>
        <v/>
      </c>
      <c r="L215" s="24">
        <f>ROUND(K215/1000, 3)</f>
        <v/>
      </c>
      <c r="M215" s="8" t="n"/>
      <c r="N215" s="21">
        <f>ROUND(N214 + IF(AND(E215&lt;=10, F215&lt;&gt;"ASTM A416"), L215, 0), 3)</f>
        <v/>
      </c>
      <c r="O215" s="21">
        <f>ROUND(O214 + IF(AND(E215&gt;10, E215&lt;=18, F215&lt;&gt;"ASTM A416"), L215, 0), 3)</f>
        <v/>
      </c>
      <c r="P215" s="21">
        <f>ROUND(P214 + IF(AND(E215&gt;18, F215&lt;&gt;"ASTM A416"), L215, 0), 3)</f>
        <v/>
      </c>
      <c r="Q215" s="21">
        <f>ROUND(Q214 + IF(F215="ASTM A416", L215, 0), 3)</f>
        <v/>
      </c>
      <c r="R215" s="11">
        <f>IF(INT(N215/20)&gt;INT(N214/20), "Lần " &amp; INT(N215/20), "")</f>
        <v/>
      </c>
      <c r="S215" s="12">
        <f>IF(INT(O215/20)&gt;INT(O214/20), "Lần " &amp; INT(O215/20), "")</f>
        <v/>
      </c>
      <c r="T215" s="11">
        <f>IF(INT(P215/20)&gt;INT(P214/20), "Lần " &amp; INT(P215/20), "")</f>
        <v/>
      </c>
      <c r="U215" s="25">
        <f>IF(INT(Q215/20)&gt;INT(Q214/20), "Lần " &amp; INT(Q215/20), "")</f>
        <v/>
      </c>
      <c r="V215" s="6" t="inlineStr"/>
      <c r="W215" s="6" t="inlineStr">
        <is>
          <t>ĐẠT TCVN 1651:2018</t>
        </is>
      </c>
    </row>
    <row r="216" ht="19" customHeight="1">
      <c r="A216" s="6" t="n">
        <v>198</v>
      </c>
      <c r="B216" s="7" t="inlineStr">
        <is>
          <t>Cọc khoan nhồi C8 Trụ T1 (D1.2m, L=40.0m)</t>
        </is>
      </c>
      <c r="C216" s="7" t="inlineStr">
        <is>
          <t>Cốt thép chủ chịu lực cọc</t>
        </is>
      </c>
      <c r="D216" s="19" t="inlineStr">
        <is>
          <t>P6</t>
        </is>
      </c>
      <c r="E216" s="20" t="n">
        <v>25</v>
      </c>
      <c r="F216" s="6" t="inlineStr">
        <is>
          <t>CB400-V</t>
        </is>
      </c>
      <c r="G216" s="7" t="inlineStr">
        <is>
          <t>Thanh thẳng nối ren/hàn</t>
        </is>
      </c>
      <c r="H216" s="21" t="n">
        <v>9.032999999999999</v>
      </c>
      <c r="I216" s="22" t="n">
        <v>12</v>
      </c>
      <c r="J216" s="23" t="n">
        <v>3.85</v>
      </c>
      <c r="K216" s="9">
        <f>ROUND(H216*I216*J216, 2)</f>
        <v/>
      </c>
      <c r="L216" s="24">
        <f>ROUND(K216/1000, 3)</f>
        <v/>
      </c>
      <c r="M216" s="8" t="n"/>
      <c r="N216" s="21">
        <f>ROUND(N215 + IF(AND(E216&lt;=10, F216&lt;&gt;"ASTM A416"), L216, 0), 3)</f>
        <v/>
      </c>
      <c r="O216" s="21">
        <f>ROUND(O215 + IF(AND(E216&gt;10, E216&lt;=18, F216&lt;&gt;"ASTM A416"), L216, 0), 3)</f>
        <v/>
      </c>
      <c r="P216" s="21">
        <f>ROUND(P215 + IF(AND(E216&gt;18, F216&lt;&gt;"ASTM A416"), L216, 0), 3)</f>
        <v/>
      </c>
      <c r="Q216" s="21">
        <f>ROUND(Q215 + IF(F216="ASTM A416", L216, 0), 3)</f>
        <v/>
      </c>
      <c r="R216" s="11">
        <f>IF(INT(N216/20)&gt;INT(N215/20), "Lần " &amp; INT(N216/20), "")</f>
        <v/>
      </c>
      <c r="S216" s="12">
        <f>IF(INT(O216/20)&gt;INT(O215/20), "Lần " &amp; INT(O216/20), "")</f>
        <v/>
      </c>
      <c r="T216" s="11">
        <f>IF(INT(P216/20)&gt;INT(P215/20), "Lần " &amp; INT(P216/20), "")</f>
        <v/>
      </c>
      <c r="U216" s="25">
        <f>IF(INT(Q216/20)&gt;INT(Q215/20), "Lần " &amp; INT(Q216/20), "")</f>
        <v/>
      </c>
      <c r="V216" s="6" t="inlineStr"/>
      <c r="W216" s="6" t="inlineStr">
        <is>
          <t>ĐẠT TCVN 1651:2018</t>
        </is>
      </c>
    </row>
    <row r="217" ht="19" customHeight="1">
      <c r="A217" s="6" t="n">
        <v>199</v>
      </c>
      <c r="B217" s="7" t="inlineStr">
        <is>
          <t>Cọc khoan nhồi C8 Trụ T1 (D1.2m, L=40.0m)</t>
        </is>
      </c>
      <c r="C217" s="7" t="inlineStr">
        <is>
          <t>Cốt thép chủ chịu lực cọc</t>
        </is>
      </c>
      <c r="D217" s="19" t="inlineStr">
        <is>
          <t>P7</t>
        </is>
      </c>
      <c r="E217" s="20" t="n">
        <v>25</v>
      </c>
      <c r="F217" s="6" t="inlineStr">
        <is>
          <t>CB400-V</t>
        </is>
      </c>
      <c r="G217" s="7" t="inlineStr">
        <is>
          <t>Thanh thẳng nối ren/hàn</t>
        </is>
      </c>
      <c r="H217" s="21" t="n">
        <v>10.033</v>
      </c>
      <c r="I217" s="22" t="n">
        <v>12</v>
      </c>
      <c r="J217" s="23" t="n">
        <v>3.85</v>
      </c>
      <c r="K217" s="9">
        <f>ROUND(H217*I217*J217, 2)</f>
        <v/>
      </c>
      <c r="L217" s="24">
        <f>ROUND(K217/1000, 3)</f>
        <v/>
      </c>
      <c r="M217" s="8" t="n"/>
      <c r="N217" s="21">
        <f>ROUND(N216 + IF(AND(E217&lt;=10, F217&lt;&gt;"ASTM A416"), L217, 0), 3)</f>
        <v/>
      </c>
      <c r="O217" s="21">
        <f>ROUND(O216 + IF(AND(E217&gt;10, E217&lt;=18, F217&lt;&gt;"ASTM A416"), L217, 0), 3)</f>
        <v/>
      </c>
      <c r="P217" s="21">
        <f>ROUND(P216 + IF(AND(E217&gt;18, F217&lt;&gt;"ASTM A416"), L217, 0), 3)</f>
        <v/>
      </c>
      <c r="Q217" s="21">
        <f>ROUND(Q216 + IF(F217="ASTM A416", L217, 0), 3)</f>
        <v/>
      </c>
      <c r="R217" s="11">
        <f>IF(INT(N217/20)&gt;INT(N216/20), "Lần " &amp; INT(N217/20), "")</f>
        <v/>
      </c>
      <c r="S217" s="12">
        <f>IF(INT(O217/20)&gt;INT(O216/20), "Lần " &amp; INT(O217/20), "")</f>
        <v/>
      </c>
      <c r="T217" s="11">
        <f>IF(INT(P217/20)&gt;INT(P216/20), "Lần " &amp; INT(P217/20), "")</f>
        <v/>
      </c>
      <c r="U217" s="25">
        <f>IF(INT(Q217/20)&gt;INT(Q216/20), "Lần " &amp; INT(Q217/20), "")</f>
        <v/>
      </c>
      <c r="V217" s="6" t="inlineStr"/>
      <c r="W217" s="6" t="inlineStr">
        <is>
          <t>ĐẠT TCVN 1651:2018</t>
        </is>
      </c>
    </row>
    <row r="218" ht="19" customHeight="1">
      <c r="A218" s="6" t="n">
        <v>200</v>
      </c>
      <c r="B218" s="7" t="inlineStr">
        <is>
          <t>Cọc khoan nhồi C8 Trụ T1 (D1.2m, L=40.0m)</t>
        </is>
      </c>
      <c r="C218" s="7" t="inlineStr">
        <is>
          <t>Đai tăng cường / Con kê bảo vệ</t>
        </is>
      </c>
      <c r="D218" s="19" t="inlineStr">
        <is>
          <t>P8</t>
        </is>
      </c>
      <c r="E218" s="20" t="n">
        <v>12</v>
      </c>
      <c r="F218" s="6" t="inlineStr">
        <is>
          <t>CB400-V</t>
        </is>
      </c>
      <c r="G218" s="7" t="inlineStr">
        <is>
          <t>Móc neo / Vòng đai</t>
        </is>
      </c>
      <c r="H218" s="21" t="n">
        <v>0.647</v>
      </c>
      <c r="I218" s="22" t="n">
        <v>16</v>
      </c>
      <c r="J218" s="23" t="n">
        <v>0.888</v>
      </c>
      <c r="K218" s="9">
        <f>ROUND(H218*I218*J218, 2)</f>
        <v/>
      </c>
      <c r="L218" s="24">
        <f>ROUND(K218/1000, 3)</f>
        <v/>
      </c>
      <c r="M218" s="8" t="n"/>
      <c r="N218" s="21">
        <f>ROUND(N217 + IF(AND(E218&lt;=10, F218&lt;&gt;"ASTM A416"), L218, 0), 3)</f>
        <v/>
      </c>
      <c r="O218" s="21">
        <f>ROUND(O217 + IF(AND(E218&gt;10, E218&lt;=18, F218&lt;&gt;"ASTM A416"), L218, 0), 3)</f>
        <v/>
      </c>
      <c r="P218" s="21">
        <f>ROUND(P217 + IF(AND(E218&gt;18, F218&lt;&gt;"ASTM A416"), L218, 0), 3)</f>
        <v/>
      </c>
      <c r="Q218" s="21">
        <f>ROUND(Q217 + IF(F218="ASTM A416", L218, 0), 3)</f>
        <v/>
      </c>
      <c r="R218" s="11">
        <f>IF(INT(N218/20)&gt;INT(N217/20), "Lần " &amp; INT(N218/20), "")</f>
        <v/>
      </c>
      <c r="S218" s="12">
        <f>IF(INT(O218/20)&gt;INT(O217/20), "Lần " &amp; INT(O218/20), "")</f>
        <v/>
      </c>
      <c r="T218" s="11">
        <f>IF(INT(P218/20)&gt;INT(P217/20), "Lần " &amp; INT(P218/20), "")</f>
        <v/>
      </c>
      <c r="U218" s="25">
        <f>IF(INT(Q218/20)&gt;INT(Q217/20), "Lần " &amp; INT(Q218/20), "")</f>
        <v/>
      </c>
      <c r="V218" s="6" t="inlineStr"/>
      <c r="W218" s="6" t="inlineStr">
        <is>
          <t>ĐẠT TCVN 1651:2018</t>
        </is>
      </c>
    </row>
    <row r="219" ht="19" customHeight="1">
      <c r="A219" s="6" t="n">
        <v>201</v>
      </c>
      <c r="B219" s="7" t="inlineStr">
        <is>
          <t>Cọc khoan nhồi C8 Trụ T1 (D1.2m, L=40.0m)</t>
        </is>
      </c>
      <c r="C219" s="7" t="inlineStr">
        <is>
          <t>Đai tăng cường / Con kê bảo vệ</t>
        </is>
      </c>
      <c r="D219" s="19" t="inlineStr">
        <is>
          <t>P9</t>
        </is>
      </c>
      <c r="E219" s="20" t="n">
        <v>12</v>
      </c>
      <c r="F219" s="6" t="inlineStr">
        <is>
          <t>CB400-V</t>
        </is>
      </c>
      <c r="G219" s="7" t="inlineStr">
        <is>
          <t>Móc neo / Vòng đai</t>
        </is>
      </c>
      <c r="H219" s="21" t="n">
        <v>0.379</v>
      </c>
      <c r="I219" s="22" t="n">
        <v>48</v>
      </c>
      <c r="J219" s="23" t="n">
        <v>0.888</v>
      </c>
      <c r="K219" s="9">
        <f>ROUND(H219*I219*J219, 2)</f>
        <v/>
      </c>
      <c r="L219" s="24">
        <f>ROUND(K219/1000, 3)</f>
        <v/>
      </c>
      <c r="M219" s="8" t="n"/>
      <c r="N219" s="21">
        <f>ROUND(N218 + IF(AND(E219&lt;=10, F219&lt;&gt;"ASTM A416"), L219, 0), 3)</f>
        <v/>
      </c>
      <c r="O219" s="21">
        <f>ROUND(O218 + IF(AND(E219&gt;10, E219&lt;=18, F219&lt;&gt;"ASTM A416"), L219, 0), 3)</f>
        <v/>
      </c>
      <c r="P219" s="21">
        <f>ROUND(P218 + IF(AND(E219&gt;18, F219&lt;&gt;"ASTM A416"), L219, 0), 3)</f>
        <v/>
      </c>
      <c r="Q219" s="21">
        <f>ROUND(Q218 + IF(F219="ASTM A416", L219, 0), 3)</f>
        <v/>
      </c>
      <c r="R219" s="11">
        <f>IF(INT(N219/20)&gt;INT(N218/20), "Lần " &amp; INT(N219/20), "")</f>
        <v/>
      </c>
      <c r="S219" s="12">
        <f>IF(INT(O219/20)&gt;INT(O218/20), "Lần " &amp; INT(O219/20), "")</f>
        <v/>
      </c>
      <c r="T219" s="11">
        <f>IF(INT(P219/20)&gt;INT(P218/20), "Lần " &amp; INT(P219/20), "")</f>
        <v/>
      </c>
      <c r="U219" s="25">
        <f>IF(INT(Q219/20)&gt;INT(Q218/20), "Lần " &amp; INT(Q219/20), "")</f>
        <v/>
      </c>
      <c r="V219" s="6" t="inlineStr"/>
      <c r="W219" s="6" t="inlineStr">
        <is>
          <t>ĐẠT TCVN 1651:2018</t>
        </is>
      </c>
    </row>
    <row r="220" ht="19" customHeight="1">
      <c r="A220" s="6" t="n">
        <v>202</v>
      </c>
      <c r="B220" s="7" t="inlineStr">
        <is>
          <t>Cọc khoan nhồi C8 Trụ T1 (D1.2m, L=40.0m)</t>
        </is>
      </c>
      <c r="C220" s="7" t="inlineStr">
        <is>
          <t>Thép đai xoắn lồng cọc</t>
        </is>
      </c>
      <c r="D220" s="19" t="inlineStr">
        <is>
          <t>P10</t>
        </is>
      </c>
      <c r="E220" s="20" t="n">
        <v>20</v>
      </c>
      <c r="F220" s="6" t="inlineStr">
        <is>
          <t>CB400-V</t>
        </is>
      </c>
      <c r="G220" s="7" t="inlineStr">
        <is>
          <t>Đai xoắn tròn</t>
        </is>
      </c>
      <c r="H220" s="21" t="n">
        <v>2.057</v>
      </c>
      <c r="I220" s="22" t="n">
        <v>1</v>
      </c>
      <c r="J220" s="23" t="n">
        <v>2.47</v>
      </c>
      <c r="K220" s="9">
        <f>ROUND(H220*I220*J220, 2)</f>
        <v/>
      </c>
      <c r="L220" s="24">
        <f>ROUND(K220/1000, 3)</f>
        <v/>
      </c>
      <c r="M220" s="8" t="n"/>
      <c r="N220" s="21">
        <f>ROUND(N219 + IF(AND(E220&lt;=10, F220&lt;&gt;"ASTM A416"), L220, 0), 3)</f>
        <v/>
      </c>
      <c r="O220" s="21">
        <f>ROUND(O219 + IF(AND(E220&gt;10, E220&lt;=18, F220&lt;&gt;"ASTM A416"), L220, 0), 3)</f>
        <v/>
      </c>
      <c r="P220" s="21">
        <f>ROUND(P219 + IF(AND(E220&gt;18, F220&lt;&gt;"ASTM A416"), L220, 0), 3)</f>
        <v/>
      </c>
      <c r="Q220" s="21">
        <f>ROUND(Q219 + IF(F220="ASTM A416", L220, 0), 3)</f>
        <v/>
      </c>
      <c r="R220" s="11">
        <f>IF(INT(N220/20)&gt;INT(N219/20), "Lần " &amp; INT(N220/20), "")</f>
        <v/>
      </c>
      <c r="S220" s="12">
        <f>IF(INT(O220/20)&gt;INT(O219/20), "Lần " &amp; INT(O220/20), "")</f>
        <v/>
      </c>
      <c r="T220" s="11">
        <f>IF(INT(P220/20)&gt;INT(P219/20), "Lần " &amp; INT(P220/20), "")</f>
        <v/>
      </c>
      <c r="U220" s="25">
        <f>IF(INT(Q220/20)&gt;INT(Q219/20), "Lần " &amp; INT(Q220/20), "")</f>
        <v/>
      </c>
      <c r="V220" s="6" t="inlineStr"/>
      <c r="W220" s="6" t="inlineStr">
        <is>
          <t>ĐẠT TCVN 1651:2018</t>
        </is>
      </c>
    </row>
    <row r="221" ht="19" customHeight="1">
      <c r="A221" s="6" t="n">
        <v>203</v>
      </c>
      <c r="B221" s="7" t="inlineStr">
        <is>
          <t>Cọc khoan nhồi C8 Trụ T1 (D1.2m, L=40.0m)</t>
        </is>
      </c>
      <c r="C221" s="7" t="inlineStr">
        <is>
          <t>Thép đai xoắn lồng cọc</t>
        </is>
      </c>
      <c r="D221" s="19" t="inlineStr">
        <is>
          <t>P12</t>
        </is>
      </c>
      <c r="E221" s="20" t="n">
        <v>20</v>
      </c>
      <c r="F221" s="6" t="inlineStr">
        <is>
          <t>CB400-V</t>
        </is>
      </c>
      <c r="G221" s="7" t="inlineStr">
        <is>
          <t>Đai xoắn tròn</t>
        </is>
      </c>
      <c r="H221" s="21" t="n">
        <v>0.583</v>
      </c>
      <c r="I221" s="22" t="n">
        <v>64</v>
      </c>
      <c r="J221" s="23" t="n">
        <v>2.47</v>
      </c>
      <c r="K221" s="9">
        <f>ROUND(H221*I221*J221, 2)</f>
        <v/>
      </c>
      <c r="L221" s="24">
        <f>ROUND(K221/1000, 3)</f>
        <v/>
      </c>
      <c r="M221" s="8" t="n"/>
      <c r="N221" s="21">
        <f>ROUND(N220 + IF(AND(E221&lt;=10, F221&lt;&gt;"ASTM A416"), L221, 0), 3)</f>
        <v/>
      </c>
      <c r="O221" s="21">
        <f>ROUND(O220 + IF(AND(E221&gt;10, E221&lt;=18, F221&lt;&gt;"ASTM A416"), L221, 0), 3)</f>
        <v/>
      </c>
      <c r="P221" s="21">
        <f>ROUND(P220 + IF(AND(E221&gt;18, F221&lt;&gt;"ASTM A416"), L221, 0), 3)</f>
        <v/>
      </c>
      <c r="Q221" s="21">
        <f>ROUND(Q220 + IF(F221="ASTM A416", L221, 0), 3)</f>
        <v/>
      </c>
      <c r="R221" s="11">
        <f>IF(INT(N221/20)&gt;INT(N220/20), "Lần " &amp; INT(N221/20), "")</f>
        <v/>
      </c>
      <c r="S221" s="12">
        <f>IF(INT(O221/20)&gt;INT(O220/20), "Lần " &amp; INT(O221/20), "")</f>
        <v/>
      </c>
      <c r="T221" s="11">
        <f>IF(INT(P221/20)&gt;INT(P220/20), "Lần " &amp; INT(P221/20), "")</f>
        <v/>
      </c>
      <c r="U221" s="25">
        <f>IF(INT(Q221/20)&gt;INT(Q220/20), "Lần " &amp; INT(Q221/20), "")</f>
        <v/>
      </c>
      <c r="V221" s="6" t="inlineStr"/>
      <c r="W221" s="6" t="inlineStr">
        <is>
          <t>ĐẠT TCVN 1651:2018</t>
        </is>
      </c>
    </row>
    <row r="222" ht="20" customHeight="1">
      <c r="A222" s="18" t="inlineStr">
        <is>
          <t>--- CỌC KHOAN NHỒI C1 TRỤ T2 (D1.2M, L=30.0M) ---</t>
        </is>
      </c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</row>
    <row r="223" ht="19" customHeight="1">
      <c r="A223" s="6" t="n">
        <v>204</v>
      </c>
      <c r="B223" s="7" t="inlineStr">
        <is>
          <t>Cọc khoan nhồi C1 Trụ T2 (D1.2m, L=30.0m)</t>
        </is>
      </c>
      <c r="C223" s="7" t="inlineStr">
        <is>
          <t>Thép đai xoắn lồng cọc</t>
        </is>
      </c>
      <c r="D223" s="19" t="inlineStr">
        <is>
          <t>P1</t>
        </is>
      </c>
      <c r="E223" s="20" t="n">
        <v>10</v>
      </c>
      <c r="F223" s="6" t="inlineStr">
        <is>
          <t>CB240-T</t>
        </is>
      </c>
      <c r="G223" s="7" t="inlineStr">
        <is>
          <t>Đai xoắn tròn</t>
        </is>
      </c>
      <c r="H223" s="21" t="n">
        <v>96.604</v>
      </c>
      <c r="I223" s="22" t="n">
        <v>1</v>
      </c>
      <c r="J223" s="23" t="n">
        <v>0.617</v>
      </c>
      <c r="K223" s="9">
        <f>ROUND(H223*I223*J223, 2)</f>
        <v/>
      </c>
      <c r="L223" s="24">
        <f>ROUND(K223/1000, 3)</f>
        <v/>
      </c>
      <c r="M223" s="8" t="n"/>
      <c r="N223" s="21">
        <f>ROUND(N221 + IF(AND(E223&lt;=10, F223&lt;&gt;"ASTM A416"), L223, 0), 3)</f>
        <v/>
      </c>
      <c r="O223" s="21">
        <f>ROUND(O221 + IF(AND(E223&gt;10, E223&lt;=18, F223&lt;&gt;"ASTM A416"), L223, 0), 3)</f>
        <v/>
      </c>
      <c r="P223" s="21">
        <f>ROUND(P221 + IF(AND(E223&gt;18, F223&lt;&gt;"ASTM A416"), L223, 0), 3)</f>
        <v/>
      </c>
      <c r="Q223" s="21">
        <f>ROUND(Q221 + IF(F223="ASTM A416", L223, 0), 3)</f>
        <v/>
      </c>
      <c r="R223" s="11">
        <f>IF(INT(N223/20)&gt;INT(N221/20), "Lần " &amp; INT(N223/20), "")</f>
        <v/>
      </c>
      <c r="S223" s="12">
        <f>IF(INT(O223/20)&gt;INT(O221/20), "Lần " &amp; INT(O223/20), "")</f>
        <v/>
      </c>
      <c r="T223" s="11">
        <f>IF(INT(P223/20)&gt;INT(P221/20), "Lần " &amp; INT(P223/20), "")</f>
        <v/>
      </c>
      <c r="U223" s="25">
        <f>IF(INT(Q223/20)&gt;INT(Q221/20), "Lần " &amp; INT(Q223/20), "")</f>
        <v/>
      </c>
      <c r="V223" s="6" t="inlineStr"/>
      <c r="W223" s="6" t="inlineStr">
        <is>
          <t>ĐẠT TCVN 1651:2018</t>
        </is>
      </c>
    </row>
    <row r="224" ht="19" customHeight="1">
      <c r="A224" s="6" t="n">
        <v>205</v>
      </c>
      <c r="B224" s="7" t="inlineStr">
        <is>
          <t>Cọc khoan nhồi C1 Trụ T2 (D1.2m, L=30.0m)</t>
        </is>
      </c>
      <c r="C224" s="7" t="inlineStr">
        <is>
          <t>Thép đai xoắn lồng cọc</t>
        </is>
      </c>
      <c r="D224" s="19" t="inlineStr">
        <is>
          <t>P1A</t>
        </is>
      </c>
      <c r="E224" s="20" t="n">
        <v>10</v>
      </c>
      <c r="F224" s="6" t="inlineStr">
        <is>
          <t>CB240-T</t>
        </is>
      </c>
      <c r="G224" s="7" t="inlineStr">
        <is>
          <t>Đai xoắn tròn</t>
        </is>
      </c>
      <c r="H224" s="21" t="n">
        <v>389.636</v>
      </c>
      <c r="I224" s="22" t="n">
        <v>1</v>
      </c>
      <c r="J224" s="23" t="n">
        <v>0.617</v>
      </c>
      <c r="K224" s="9">
        <f>ROUND(H224*I224*J224, 2)</f>
        <v/>
      </c>
      <c r="L224" s="24">
        <f>ROUND(K224/1000, 3)</f>
        <v/>
      </c>
      <c r="M224" s="8" t="n"/>
      <c r="N224" s="21">
        <f>ROUND(N223 + IF(AND(E224&lt;=10, F224&lt;&gt;"ASTM A416"), L224, 0), 3)</f>
        <v/>
      </c>
      <c r="O224" s="21">
        <f>ROUND(O223 + IF(AND(E224&gt;10, E224&lt;=18, F224&lt;&gt;"ASTM A416"), L224, 0), 3)</f>
        <v/>
      </c>
      <c r="P224" s="21">
        <f>ROUND(P223 + IF(AND(E224&gt;18, F224&lt;&gt;"ASTM A416"), L224, 0), 3)</f>
        <v/>
      </c>
      <c r="Q224" s="21">
        <f>ROUND(Q223 + IF(F224="ASTM A416", L224, 0), 3)</f>
        <v/>
      </c>
      <c r="R224" s="11">
        <f>IF(INT(N224/20)&gt;INT(N223/20), "Lần " &amp; INT(N224/20), "")</f>
        <v/>
      </c>
      <c r="S224" s="12">
        <f>IF(INT(O224/20)&gt;INT(O223/20), "Lần " &amp; INT(O224/20), "")</f>
        <v/>
      </c>
      <c r="T224" s="11">
        <f>IF(INT(P224/20)&gt;INT(P223/20), "Lần " &amp; INT(P224/20), "")</f>
        <v/>
      </c>
      <c r="U224" s="25">
        <f>IF(INT(Q224/20)&gt;INT(Q223/20), "Lần " &amp; INT(Q224/20), "")</f>
        <v/>
      </c>
      <c r="V224" s="6" t="inlineStr"/>
      <c r="W224" s="6" t="inlineStr">
        <is>
          <t>ĐẠT TCVN 1651:2018</t>
        </is>
      </c>
    </row>
    <row r="225" ht="19" customHeight="1">
      <c r="A225" s="6" t="n">
        <v>206</v>
      </c>
      <c r="B225" s="7" t="inlineStr">
        <is>
          <t>Cọc khoan nhồi C1 Trụ T2 (D1.2m, L=30.0m)</t>
        </is>
      </c>
      <c r="C225" s="7" t="inlineStr">
        <is>
          <t>Thép đai xoắn lồng cọc</t>
        </is>
      </c>
      <c r="D225" s="19" t="inlineStr">
        <is>
          <t>P1B</t>
        </is>
      </c>
      <c r="E225" s="20" t="n">
        <v>10</v>
      </c>
      <c r="F225" s="6" t="inlineStr">
        <is>
          <t>CB240-T</t>
        </is>
      </c>
      <c r="G225" s="7" t="inlineStr">
        <is>
          <t>Đai xoắn tròn</t>
        </is>
      </c>
      <c r="H225" s="21" t="n">
        <v>100.256</v>
      </c>
      <c r="I225" s="22" t="n">
        <v>1</v>
      </c>
      <c r="J225" s="23" t="n">
        <v>0.617</v>
      </c>
      <c r="K225" s="9">
        <f>ROUND(H225*I225*J225, 2)</f>
        <v/>
      </c>
      <c r="L225" s="24">
        <f>ROUND(K225/1000, 3)</f>
        <v/>
      </c>
      <c r="M225" s="8" t="n"/>
      <c r="N225" s="21">
        <f>ROUND(N224 + IF(AND(E225&lt;=10, F225&lt;&gt;"ASTM A416"), L225, 0), 3)</f>
        <v/>
      </c>
      <c r="O225" s="21">
        <f>ROUND(O224 + IF(AND(E225&gt;10, E225&lt;=18, F225&lt;&gt;"ASTM A416"), L225, 0), 3)</f>
        <v/>
      </c>
      <c r="P225" s="21">
        <f>ROUND(P224 + IF(AND(E225&gt;18, F225&lt;&gt;"ASTM A416"), L225, 0), 3)</f>
        <v/>
      </c>
      <c r="Q225" s="21">
        <f>ROUND(Q224 + IF(F225="ASTM A416", L225, 0), 3)</f>
        <v/>
      </c>
      <c r="R225" s="11">
        <f>IF(INT(N225/20)&gt;INT(N224/20), "Lần " &amp; INT(N225/20), "")</f>
        <v/>
      </c>
      <c r="S225" s="12">
        <f>IF(INT(O225/20)&gt;INT(O224/20), "Lần " &amp; INT(O225/20), "")</f>
        <v/>
      </c>
      <c r="T225" s="11">
        <f>IF(INT(P225/20)&gt;INT(P224/20), "Lần " &amp; INT(P225/20), "")</f>
        <v/>
      </c>
      <c r="U225" s="25">
        <f>IF(INT(Q225/20)&gt;INT(Q224/20), "Lần " &amp; INT(Q225/20), "")</f>
        <v/>
      </c>
      <c r="V225" s="6" t="inlineStr"/>
      <c r="W225" s="6" t="inlineStr">
        <is>
          <t>ĐẠT TCVN 1651:2018</t>
        </is>
      </c>
    </row>
    <row r="226" ht="19" customHeight="1">
      <c r="A226" s="6" t="n">
        <v>207</v>
      </c>
      <c r="B226" s="7" t="inlineStr">
        <is>
          <t>Cọc khoan nhồi C1 Trụ T2 (D1.2m, L=30.0m)</t>
        </is>
      </c>
      <c r="C226" s="7" t="inlineStr">
        <is>
          <t>Thép đai xoắn lồng cọc</t>
        </is>
      </c>
      <c r="D226" s="19" t="inlineStr">
        <is>
          <t>P1C</t>
        </is>
      </c>
      <c r="E226" s="20" t="n">
        <v>10</v>
      </c>
      <c r="F226" s="6" t="inlineStr">
        <is>
          <t>CB240-T</t>
        </is>
      </c>
      <c r="G226" s="7" t="inlineStr">
        <is>
          <t>Đai xoắn tròn</t>
        </is>
      </c>
      <c r="H226" s="21" t="n">
        <v>3.592</v>
      </c>
      <c r="I226" s="22" t="n">
        <v>2</v>
      </c>
      <c r="J226" s="23" t="n">
        <v>0.617</v>
      </c>
      <c r="K226" s="9">
        <f>ROUND(H226*I226*J226, 2)</f>
        <v/>
      </c>
      <c r="L226" s="24">
        <f>ROUND(K226/1000, 3)</f>
        <v/>
      </c>
      <c r="M226" s="8" t="n"/>
      <c r="N226" s="21">
        <f>ROUND(N225 + IF(AND(E226&lt;=10, F226&lt;&gt;"ASTM A416"), L226, 0), 3)</f>
        <v/>
      </c>
      <c r="O226" s="21">
        <f>ROUND(O225 + IF(AND(E226&gt;10, E226&lt;=18, F226&lt;&gt;"ASTM A416"), L226, 0), 3)</f>
        <v/>
      </c>
      <c r="P226" s="21">
        <f>ROUND(P225 + IF(AND(E226&gt;18, F226&lt;&gt;"ASTM A416"), L226, 0), 3)</f>
        <v/>
      </c>
      <c r="Q226" s="21">
        <f>ROUND(Q225 + IF(F226="ASTM A416", L226, 0), 3)</f>
        <v/>
      </c>
      <c r="R226" s="11">
        <f>IF(INT(N226/20)&gt;INT(N225/20), "Lần " &amp; INT(N226/20), "")</f>
        <v/>
      </c>
      <c r="S226" s="12">
        <f>IF(INT(O226/20)&gt;INT(O225/20), "Lần " &amp; INT(O226/20), "")</f>
        <v/>
      </c>
      <c r="T226" s="11">
        <f>IF(INT(P226/20)&gt;INT(P225/20), "Lần " &amp; INT(P226/20), "")</f>
        <v/>
      </c>
      <c r="U226" s="25">
        <f>IF(INT(Q226/20)&gt;INT(Q225/20), "Lần " &amp; INT(Q226/20), "")</f>
        <v/>
      </c>
      <c r="V226" s="6" t="inlineStr"/>
      <c r="W226" s="6" t="inlineStr">
        <is>
          <t>ĐẠT TCVN 1651:2018</t>
        </is>
      </c>
    </row>
    <row r="227" ht="19" customHeight="1">
      <c r="A227" s="6" t="n">
        <v>208</v>
      </c>
      <c r="B227" s="7" t="inlineStr">
        <is>
          <t>Cọc khoan nhồi C1 Trụ T2 (D1.2m, L=30.0m)</t>
        </is>
      </c>
      <c r="C227" s="7" t="inlineStr">
        <is>
          <t>Thép đai xoắn lồng cọc</t>
        </is>
      </c>
      <c r="D227" s="19" t="inlineStr">
        <is>
          <t>P1D</t>
        </is>
      </c>
      <c r="E227" s="20" t="n">
        <v>10</v>
      </c>
      <c r="F227" s="6" t="inlineStr">
        <is>
          <t>CB240-T</t>
        </is>
      </c>
      <c r="G227" s="7" t="inlineStr">
        <is>
          <t>Đai xoắn tròn</t>
        </is>
      </c>
      <c r="H227" s="21" t="n">
        <v>19.721</v>
      </c>
      <c r="I227" s="22" t="n">
        <v>1</v>
      </c>
      <c r="J227" s="23" t="n">
        <v>0.617</v>
      </c>
      <c r="K227" s="9">
        <f>ROUND(H227*I227*J227, 2)</f>
        <v/>
      </c>
      <c r="L227" s="24">
        <f>ROUND(K227/1000, 3)</f>
        <v/>
      </c>
      <c r="M227" s="8" t="n"/>
      <c r="N227" s="21">
        <f>ROUND(N226 + IF(AND(E227&lt;=10, F227&lt;&gt;"ASTM A416"), L227, 0), 3)</f>
        <v/>
      </c>
      <c r="O227" s="21">
        <f>ROUND(O226 + IF(AND(E227&gt;10, E227&lt;=18, F227&lt;&gt;"ASTM A416"), L227, 0), 3)</f>
        <v/>
      </c>
      <c r="P227" s="21">
        <f>ROUND(P226 + IF(AND(E227&gt;18, F227&lt;&gt;"ASTM A416"), L227, 0), 3)</f>
        <v/>
      </c>
      <c r="Q227" s="21">
        <f>ROUND(Q226 + IF(F227="ASTM A416", L227, 0), 3)</f>
        <v/>
      </c>
      <c r="R227" s="11">
        <f>IF(INT(N227/20)&gt;INT(N226/20), "Lần " &amp; INT(N227/20), "")</f>
        <v/>
      </c>
      <c r="S227" s="12">
        <f>IF(INT(O227/20)&gt;INT(O226/20), "Lần " &amp; INT(O227/20), "")</f>
        <v/>
      </c>
      <c r="T227" s="11">
        <f>IF(INT(P227/20)&gt;INT(P226/20), "Lần " &amp; INT(P227/20), "")</f>
        <v/>
      </c>
      <c r="U227" s="25">
        <f>IF(INT(Q227/20)&gt;INT(Q226/20), "Lần " &amp; INT(Q227/20), "")</f>
        <v/>
      </c>
      <c r="V227" s="6" t="inlineStr"/>
      <c r="W227" s="6" t="inlineStr">
        <is>
          <t>ĐẠT TCVN 1651:2018</t>
        </is>
      </c>
    </row>
    <row r="228" ht="19" customHeight="1">
      <c r="A228" s="6" t="n">
        <v>209</v>
      </c>
      <c r="B228" s="7" t="inlineStr">
        <is>
          <t>Cọc khoan nhồi C1 Trụ T2 (D1.2m, L=30.0m)</t>
        </is>
      </c>
      <c r="C228" s="7" t="inlineStr">
        <is>
          <t>Cốt thép chủ chịu lực cọc</t>
        </is>
      </c>
      <c r="D228" s="19" t="inlineStr">
        <is>
          <t>P2B</t>
        </is>
      </c>
      <c r="E228" s="20" t="n">
        <v>25</v>
      </c>
      <c r="F228" s="6" t="inlineStr">
        <is>
          <t>CB400-V</t>
        </is>
      </c>
      <c r="G228" s="7" t="inlineStr">
        <is>
          <t>Thanh thẳng nối ren/hàn</t>
        </is>
      </c>
      <c r="H228" s="21" t="n">
        <v>2.985</v>
      </c>
      <c r="I228" s="22" t="n">
        <v>12</v>
      </c>
      <c r="J228" s="23" t="n">
        <v>3.85</v>
      </c>
      <c r="K228" s="9">
        <f>ROUND(H228*I228*J228, 2)</f>
        <v/>
      </c>
      <c r="L228" s="24">
        <f>ROUND(K228/1000, 3)</f>
        <v/>
      </c>
      <c r="M228" s="8" t="n"/>
      <c r="N228" s="21">
        <f>ROUND(N227 + IF(AND(E228&lt;=10, F228&lt;&gt;"ASTM A416"), L228, 0), 3)</f>
        <v/>
      </c>
      <c r="O228" s="21">
        <f>ROUND(O227 + IF(AND(E228&gt;10, E228&lt;=18, F228&lt;&gt;"ASTM A416"), L228, 0), 3)</f>
        <v/>
      </c>
      <c r="P228" s="21">
        <f>ROUND(P227 + IF(AND(E228&gt;18, F228&lt;&gt;"ASTM A416"), L228, 0), 3)</f>
        <v/>
      </c>
      <c r="Q228" s="21">
        <f>ROUND(Q227 + IF(F228="ASTM A416", L228, 0), 3)</f>
        <v/>
      </c>
      <c r="R228" s="11">
        <f>IF(INT(N228/20)&gt;INT(N227/20), "Lần " &amp; INT(N228/20), "")</f>
        <v/>
      </c>
      <c r="S228" s="12">
        <f>IF(INT(O228/20)&gt;INT(O227/20), "Lần " &amp; INT(O228/20), "")</f>
        <v/>
      </c>
      <c r="T228" s="11">
        <f>IF(INT(P228/20)&gt;INT(P227/20), "Lần " &amp; INT(P228/20), "")</f>
        <v/>
      </c>
      <c r="U228" s="25">
        <f>IF(INT(Q228/20)&gt;INT(Q227/20), "Lần " &amp; INT(Q228/20), "")</f>
        <v/>
      </c>
      <c r="V228" s="6" t="inlineStr"/>
      <c r="W228" s="6" t="inlineStr">
        <is>
          <t>ĐẠT TCVN 1651:2018</t>
        </is>
      </c>
    </row>
    <row r="229" ht="19" customHeight="1">
      <c r="A229" s="6" t="n">
        <v>210</v>
      </c>
      <c r="B229" s="7" t="inlineStr">
        <is>
          <t>Cọc khoan nhồi C1 Trụ T2 (D1.2m, L=30.0m)</t>
        </is>
      </c>
      <c r="C229" s="7" t="inlineStr">
        <is>
          <t>Cốt thép chủ chịu lực cọc</t>
        </is>
      </c>
      <c r="D229" s="19" t="inlineStr">
        <is>
          <t>P3</t>
        </is>
      </c>
      <c r="E229" s="20" t="n">
        <v>25</v>
      </c>
      <c r="F229" s="6" t="inlineStr">
        <is>
          <t>CB400-V</t>
        </is>
      </c>
      <c r="G229" s="7" t="inlineStr">
        <is>
          <t>Thanh thẳng nối ren/hàn</t>
        </is>
      </c>
      <c r="H229" s="21" t="n">
        <v>10.7</v>
      </c>
      <c r="I229" s="22" t="n">
        <v>12</v>
      </c>
      <c r="J229" s="23" t="n">
        <v>3.85</v>
      </c>
      <c r="K229" s="9">
        <f>ROUND(H229*I229*J229, 2)</f>
        <v/>
      </c>
      <c r="L229" s="24">
        <f>ROUND(K229/1000, 3)</f>
        <v/>
      </c>
      <c r="M229" s="8" t="n"/>
      <c r="N229" s="21">
        <f>ROUND(N228 + IF(AND(E229&lt;=10, F229&lt;&gt;"ASTM A416"), L229, 0), 3)</f>
        <v/>
      </c>
      <c r="O229" s="21">
        <f>ROUND(O228 + IF(AND(E229&gt;10, E229&lt;=18, F229&lt;&gt;"ASTM A416"), L229, 0), 3)</f>
        <v/>
      </c>
      <c r="P229" s="21">
        <f>ROUND(P228 + IF(AND(E229&gt;18, F229&lt;&gt;"ASTM A416"), L229, 0), 3)</f>
        <v/>
      </c>
      <c r="Q229" s="21">
        <f>ROUND(Q228 + IF(F229="ASTM A416", L229, 0), 3)</f>
        <v/>
      </c>
      <c r="R229" s="11">
        <f>IF(INT(N229/20)&gt;INT(N228/20), "Lần " &amp; INT(N229/20), "")</f>
        <v/>
      </c>
      <c r="S229" s="12">
        <f>IF(INT(O229/20)&gt;INT(O228/20), "Lần " &amp; INT(O229/20), "")</f>
        <v/>
      </c>
      <c r="T229" s="11">
        <f>IF(INT(P229/20)&gt;INT(P228/20), "Lần " &amp; INT(P229/20), "")</f>
        <v/>
      </c>
      <c r="U229" s="25">
        <f>IF(INT(Q229/20)&gt;INT(Q228/20), "Lần " &amp; INT(Q229/20), "")</f>
        <v/>
      </c>
      <c r="V229" s="6" t="inlineStr"/>
      <c r="W229" s="6" t="inlineStr">
        <is>
          <t>ĐẠT TCVN 1651:2018</t>
        </is>
      </c>
    </row>
    <row r="230" ht="19" customHeight="1">
      <c r="A230" s="6" t="n">
        <v>211</v>
      </c>
      <c r="B230" s="7" t="inlineStr">
        <is>
          <t>Cọc khoan nhồi C1 Trụ T2 (D1.2m, L=30.0m)</t>
        </is>
      </c>
      <c r="C230" s="7" t="inlineStr">
        <is>
          <t>Cốt thép chủ chịu lực cọc</t>
        </is>
      </c>
      <c r="D230" s="19" t="inlineStr">
        <is>
          <t>P4</t>
        </is>
      </c>
      <c r="E230" s="20" t="n">
        <v>25</v>
      </c>
      <c r="F230" s="6" t="inlineStr">
        <is>
          <t>CB400-V</t>
        </is>
      </c>
      <c r="G230" s="7" t="inlineStr">
        <is>
          <t>Thanh thẳng nối ren/hàn</t>
        </is>
      </c>
      <c r="H230" s="21" t="n">
        <v>11.7</v>
      </c>
      <c r="I230" s="22" t="n">
        <v>36</v>
      </c>
      <c r="J230" s="23" t="n">
        <v>3.85</v>
      </c>
      <c r="K230" s="9">
        <f>ROUND(H230*I230*J230, 2)</f>
        <v/>
      </c>
      <c r="L230" s="24">
        <f>ROUND(K230/1000, 3)</f>
        <v/>
      </c>
      <c r="M230" s="8" t="n"/>
      <c r="N230" s="21">
        <f>ROUND(N229 + IF(AND(E230&lt;=10, F230&lt;&gt;"ASTM A416"), L230, 0), 3)</f>
        <v/>
      </c>
      <c r="O230" s="21">
        <f>ROUND(O229 + IF(AND(E230&gt;10, E230&lt;=18, F230&lt;&gt;"ASTM A416"), L230, 0), 3)</f>
        <v/>
      </c>
      <c r="P230" s="21">
        <f>ROUND(P229 + IF(AND(E230&gt;18, F230&lt;&gt;"ASTM A416"), L230, 0), 3)</f>
        <v/>
      </c>
      <c r="Q230" s="21">
        <f>ROUND(Q229 + IF(F230="ASTM A416", L230, 0), 3)</f>
        <v/>
      </c>
      <c r="R230" s="11">
        <f>IF(INT(N230/20)&gt;INT(N229/20), "Lần " &amp; INT(N230/20), "")</f>
        <v/>
      </c>
      <c r="S230" s="12">
        <f>IF(INT(O230/20)&gt;INT(O229/20), "Lần " &amp; INT(O230/20), "")</f>
        <v/>
      </c>
      <c r="T230" s="11">
        <f>IF(INT(P230/20)&gt;INT(P229/20), "Lần " &amp; INT(P230/20), "")</f>
        <v/>
      </c>
      <c r="U230" s="25">
        <f>IF(INT(Q230/20)&gt;INT(Q229/20), "Lần " &amp; INT(Q230/20), "")</f>
        <v/>
      </c>
      <c r="V230" s="6" t="inlineStr"/>
      <c r="W230" s="6" t="inlineStr">
        <is>
          <t>ĐẠT TCVN 1651:2018</t>
        </is>
      </c>
    </row>
    <row r="231" ht="19" customHeight="1">
      <c r="A231" s="6" t="n">
        <v>212</v>
      </c>
      <c r="B231" s="7" t="inlineStr">
        <is>
          <t>Cọc khoan nhồi C1 Trụ T2 (D1.2m, L=30.0m)</t>
        </is>
      </c>
      <c r="C231" s="7" t="inlineStr">
        <is>
          <t>Cốt thép chủ chịu lực cọc</t>
        </is>
      </c>
      <c r="D231" s="19" t="inlineStr">
        <is>
          <t>P6</t>
        </is>
      </c>
      <c r="E231" s="20" t="n">
        <v>25</v>
      </c>
      <c r="F231" s="6" t="inlineStr">
        <is>
          <t>CB400-V</t>
        </is>
      </c>
      <c r="G231" s="7" t="inlineStr">
        <is>
          <t>Thanh thẳng nối ren/hàn</t>
        </is>
      </c>
      <c r="H231" s="21" t="n">
        <v>9.733000000000001</v>
      </c>
      <c r="I231" s="22" t="n">
        <v>12</v>
      </c>
      <c r="J231" s="23" t="n">
        <v>3.85</v>
      </c>
      <c r="K231" s="9">
        <f>ROUND(H231*I231*J231, 2)</f>
        <v/>
      </c>
      <c r="L231" s="24">
        <f>ROUND(K231/1000, 3)</f>
        <v/>
      </c>
      <c r="M231" s="8" t="n"/>
      <c r="N231" s="21">
        <f>ROUND(N230 + IF(AND(E231&lt;=10, F231&lt;&gt;"ASTM A416"), L231, 0), 3)</f>
        <v/>
      </c>
      <c r="O231" s="21">
        <f>ROUND(O230 + IF(AND(E231&gt;10, E231&lt;=18, F231&lt;&gt;"ASTM A416"), L231, 0), 3)</f>
        <v/>
      </c>
      <c r="P231" s="21">
        <f>ROUND(P230 + IF(AND(E231&gt;18, F231&lt;&gt;"ASTM A416"), L231, 0), 3)</f>
        <v/>
      </c>
      <c r="Q231" s="21">
        <f>ROUND(Q230 + IF(F231="ASTM A416", L231, 0), 3)</f>
        <v/>
      </c>
      <c r="R231" s="11">
        <f>IF(INT(N231/20)&gt;INT(N230/20), "Lần " &amp; INT(N231/20), "")</f>
        <v/>
      </c>
      <c r="S231" s="12">
        <f>IF(INT(O231/20)&gt;INT(O230/20), "Lần " &amp; INT(O231/20), "")</f>
        <v/>
      </c>
      <c r="T231" s="11">
        <f>IF(INT(P231/20)&gt;INT(P230/20), "Lần " &amp; INT(P231/20), "")</f>
        <v/>
      </c>
      <c r="U231" s="25">
        <f>IF(INT(Q231/20)&gt;INT(Q230/20), "Lần " &amp; INT(Q231/20), "")</f>
        <v/>
      </c>
      <c r="V231" s="6" t="inlineStr"/>
      <c r="W231" s="6" t="inlineStr">
        <is>
          <t>ĐẠT TCVN 1651:2018</t>
        </is>
      </c>
    </row>
    <row r="232" ht="19" customHeight="1">
      <c r="A232" s="6" t="n">
        <v>213</v>
      </c>
      <c r="B232" s="7" t="inlineStr">
        <is>
          <t>Cọc khoan nhồi C1 Trụ T2 (D1.2m, L=30.0m)</t>
        </is>
      </c>
      <c r="C232" s="7" t="inlineStr">
        <is>
          <t>Cốt thép chủ chịu lực cọc</t>
        </is>
      </c>
      <c r="D232" s="19" t="inlineStr">
        <is>
          <t>P7</t>
        </is>
      </c>
      <c r="E232" s="20" t="n">
        <v>25</v>
      </c>
      <c r="F232" s="6" t="inlineStr">
        <is>
          <t>CB400-V</t>
        </is>
      </c>
      <c r="G232" s="7" t="inlineStr">
        <is>
          <t>Thanh thẳng nối ren/hàn</t>
        </is>
      </c>
      <c r="H232" s="21" t="n">
        <v>10.733</v>
      </c>
      <c r="I232" s="22" t="n">
        <v>12</v>
      </c>
      <c r="J232" s="23" t="n">
        <v>3.85</v>
      </c>
      <c r="K232" s="9">
        <f>ROUND(H232*I232*J232, 2)</f>
        <v/>
      </c>
      <c r="L232" s="24">
        <f>ROUND(K232/1000, 3)</f>
        <v/>
      </c>
      <c r="M232" s="8" t="n"/>
      <c r="N232" s="21">
        <f>ROUND(N231 + IF(AND(E232&lt;=10, F232&lt;&gt;"ASTM A416"), L232, 0), 3)</f>
        <v/>
      </c>
      <c r="O232" s="21">
        <f>ROUND(O231 + IF(AND(E232&gt;10, E232&lt;=18, F232&lt;&gt;"ASTM A416"), L232, 0), 3)</f>
        <v/>
      </c>
      <c r="P232" s="21">
        <f>ROUND(P231 + IF(AND(E232&gt;18, F232&lt;&gt;"ASTM A416"), L232, 0), 3)</f>
        <v/>
      </c>
      <c r="Q232" s="21">
        <f>ROUND(Q231 + IF(F232="ASTM A416", L232, 0), 3)</f>
        <v/>
      </c>
      <c r="R232" s="11">
        <f>IF(INT(N232/20)&gt;INT(N231/20), "Lần " &amp; INT(N232/20), "")</f>
        <v/>
      </c>
      <c r="S232" s="12">
        <f>IF(INT(O232/20)&gt;INT(O231/20), "Lần " &amp; INT(O232/20), "")</f>
        <v/>
      </c>
      <c r="T232" s="11">
        <f>IF(INT(P232/20)&gt;INT(P231/20), "Lần " &amp; INT(P232/20), "")</f>
        <v/>
      </c>
      <c r="U232" s="25">
        <f>IF(INT(Q232/20)&gt;INT(Q231/20), "Lần " &amp; INT(Q232/20), "")</f>
        <v/>
      </c>
      <c r="V232" s="6" t="inlineStr"/>
      <c r="W232" s="6" t="inlineStr">
        <is>
          <t>ĐẠT TCVN 1651:2018</t>
        </is>
      </c>
    </row>
    <row r="233" ht="19" customHeight="1">
      <c r="A233" s="6" t="n">
        <v>214</v>
      </c>
      <c r="B233" s="7" t="inlineStr">
        <is>
          <t>Cọc khoan nhồi C1 Trụ T2 (D1.2m, L=30.0m)</t>
        </is>
      </c>
      <c r="C233" s="7" t="inlineStr">
        <is>
          <t>Đai tăng cường / Con kê bảo vệ</t>
        </is>
      </c>
      <c r="D233" s="19" t="inlineStr">
        <is>
          <t>P8</t>
        </is>
      </c>
      <c r="E233" s="20" t="n">
        <v>12</v>
      </c>
      <c r="F233" s="6" t="inlineStr">
        <is>
          <t>CB400-V</t>
        </is>
      </c>
      <c r="G233" s="7" t="inlineStr">
        <is>
          <t>Móc neo / Vòng đai</t>
        </is>
      </c>
      <c r="H233" s="21" t="n">
        <v>0.647</v>
      </c>
      <c r="I233" s="22" t="n">
        <v>12</v>
      </c>
      <c r="J233" s="23" t="n">
        <v>0.888</v>
      </c>
      <c r="K233" s="9">
        <f>ROUND(H233*I233*J233, 2)</f>
        <v/>
      </c>
      <c r="L233" s="24">
        <f>ROUND(K233/1000, 3)</f>
        <v/>
      </c>
      <c r="M233" s="8" t="n"/>
      <c r="N233" s="21">
        <f>ROUND(N232 + IF(AND(E233&lt;=10, F233&lt;&gt;"ASTM A416"), L233, 0), 3)</f>
        <v/>
      </c>
      <c r="O233" s="21">
        <f>ROUND(O232 + IF(AND(E233&gt;10, E233&lt;=18, F233&lt;&gt;"ASTM A416"), L233, 0), 3)</f>
        <v/>
      </c>
      <c r="P233" s="21">
        <f>ROUND(P232 + IF(AND(E233&gt;18, F233&lt;&gt;"ASTM A416"), L233, 0), 3)</f>
        <v/>
      </c>
      <c r="Q233" s="21">
        <f>ROUND(Q232 + IF(F233="ASTM A416", L233, 0), 3)</f>
        <v/>
      </c>
      <c r="R233" s="11">
        <f>IF(INT(N233/20)&gt;INT(N232/20), "Lần " &amp; INT(N233/20), "")</f>
        <v/>
      </c>
      <c r="S233" s="12">
        <f>IF(INT(O233/20)&gt;INT(O232/20), "Lần " &amp; INT(O233/20), "")</f>
        <v/>
      </c>
      <c r="T233" s="11">
        <f>IF(INT(P233/20)&gt;INT(P232/20), "Lần " &amp; INT(P233/20), "")</f>
        <v/>
      </c>
      <c r="U233" s="25">
        <f>IF(INT(Q233/20)&gt;INT(Q232/20), "Lần " &amp; INT(Q233/20), "")</f>
        <v/>
      </c>
      <c r="V233" s="6" t="inlineStr"/>
      <c r="W233" s="6" t="inlineStr">
        <is>
          <t>ĐẠT TCVN 1651:2018</t>
        </is>
      </c>
    </row>
    <row r="234" ht="19" customHeight="1">
      <c r="A234" s="6" t="n">
        <v>215</v>
      </c>
      <c r="B234" s="7" t="inlineStr">
        <is>
          <t>Cọc khoan nhồi C1 Trụ T2 (D1.2m, L=30.0m)</t>
        </is>
      </c>
      <c r="C234" s="7" t="inlineStr">
        <is>
          <t>Đai tăng cường / Con kê bảo vệ</t>
        </is>
      </c>
      <c r="D234" s="19" t="inlineStr">
        <is>
          <t>P9</t>
        </is>
      </c>
      <c r="E234" s="20" t="n">
        <v>12</v>
      </c>
      <c r="F234" s="6" t="inlineStr">
        <is>
          <t>CB400-V</t>
        </is>
      </c>
      <c r="G234" s="7" t="inlineStr">
        <is>
          <t>Móc neo / Vòng đai</t>
        </is>
      </c>
      <c r="H234" s="21" t="n">
        <v>0.379</v>
      </c>
      <c r="I234" s="22" t="n">
        <v>36</v>
      </c>
      <c r="J234" s="23" t="n">
        <v>0.888</v>
      </c>
      <c r="K234" s="9">
        <f>ROUND(H234*I234*J234, 2)</f>
        <v/>
      </c>
      <c r="L234" s="24">
        <f>ROUND(K234/1000, 3)</f>
        <v/>
      </c>
      <c r="M234" s="8" t="n"/>
      <c r="N234" s="21">
        <f>ROUND(N233 + IF(AND(E234&lt;=10, F234&lt;&gt;"ASTM A416"), L234, 0), 3)</f>
        <v/>
      </c>
      <c r="O234" s="21">
        <f>ROUND(O233 + IF(AND(E234&gt;10, E234&lt;=18, F234&lt;&gt;"ASTM A416"), L234, 0), 3)</f>
        <v/>
      </c>
      <c r="P234" s="21">
        <f>ROUND(P233 + IF(AND(E234&gt;18, F234&lt;&gt;"ASTM A416"), L234, 0), 3)</f>
        <v/>
      </c>
      <c r="Q234" s="21">
        <f>ROUND(Q233 + IF(F234="ASTM A416", L234, 0), 3)</f>
        <v/>
      </c>
      <c r="R234" s="11">
        <f>IF(INT(N234/20)&gt;INT(N233/20), "Lần " &amp; INT(N234/20), "")</f>
        <v/>
      </c>
      <c r="S234" s="12">
        <f>IF(INT(O234/20)&gt;INT(O233/20), "Lần " &amp; INT(O234/20), "")</f>
        <v/>
      </c>
      <c r="T234" s="11">
        <f>IF(INT(P234/20)&gt;INT(P233/20), "Lần " &amp; INT(P234/20), "")</f>
        <v/>
      </c>
      <c r="U234" s="25">
        <f>IF(INT(Q234/20)&gt;INT(Q233/20), "Lần " &amp; INT(Q234/20), "")</f>
        <v/>
      </c>
      <c r="V234" s="6" t="inlineStr"/>
      <c r="W234" s="6" t="inlineStr">
        <is>
          <t>ĐẠT TCVN 1651:2018</t>
        </is>
      </c>
    </row>
    <row r="235" ht="19" customHeight="1">
      <c r="A235" s="6" t="n">
        <v>216</v>
      </c>
      <c r="B235" s="7" t="inlineStr">
        <is>
          <t>Cọc khoan nhồi C1 Trụ T2 (D1.2m, L=30.0m)</t>
        </is>
      </c>
      <c r="C235" s="7" t="inlineStr">
        <is>
          <t>Thép đai xoắn lồng cọc</t>
        </is>
      </c>
      <c r="D235" s="19" t="inlineStr">
        <is>
          <t>P10</t>
        </is>
      </c>
      <c r="E235" s="20" t="n">
        <v>20</v>
      </c>
      <c r="F235" s="6" t="inlineStr">
        <is>
          <t>CB400-V</t>
        </is>
      </c>
      <c r="G235" s="7" t="inlineStr">
        <is>
          <t>Đai xoắn tròn</t>
        </is>
      </c>
      <c r="H235" s="21" t="n">
        <v>2.057</v>
      </c>
      <c r="I235" s="22" t="n">
        <v>1</v>
      </c>
      <c r="J235" s="23" t="n">
        <v>2.47</v>
      </c>
      <c r="K235" s="9">
        <f>ROUND(H235*I235*J235, 2)</f>
        <v/>
      </c>
      <c r="L235" s="24">
        <f>ROUND(K235/1000, 3)</f>
        <v/>
      </c>
      <c r="M235" s="8" t="n"/>
      <c r="N235" s="21">
        <f>ROUND(N234 + IF(AND(E235&lt;=10, F235&lt;&gt;"ASTM A416"), L235, 0), 3)</f>
        <v/>
      </c>
      <c r="O235" s="21">
        <f>ROUND(O234 + IF(AND(E235&gt;10, E235&lt;=18, F235&lt;&gt;"ASTM A416"), L235, 0), 3)</f>
        <v/>
      </c>
      <c r="P235" s="21">
        <f>ROUND(P234 + IF(AND(E235&gt;18, F235&lt;&gt;"ASTM A416"), L235, 0), 3)</f>
        <v/>
      </c>
      <c r="Q235" s="21">
        <f>ROUND(Q234 + IF(F235="ASTM A416", L235, 0), 3)</f>
        <v/>
      </c>
      <c r="R235" s="11">
        <f>IF(INT(N235/20)&gt;INT(N234/20), "Lần " &amp; INT(N235/20), "")</f>
        <v/>
      </c>
      <c r="S235" s="12">
        <f>IF(INT(O235/20)&gt;INT(O234/20), "Lần " &amp; INT(O235/20), "")</f>
        <v/>
      </c>
      <c r="T235" s="11">
        <f>IF(INT(P235/20)&gt;INT(P234/20), "Lần " &amp; INT(P235/20), "")</f>
        <v/>
      </c>
      <c r="U235" s="25">
        <f>IF(INT(Q235/20)&gt;INT(Q234/20), "Lần " &amp; INT(Q235/20), "")</f>
        <v/>
      </c>
      <c r="V235" s="6" t="inlineStr"/>
      <c r="W235" s="6" t="inlineStr">
        <is>
          <t>ĐẠT TCVN 1651:2018</t>
        </is>
      </c>
    </row>
    <row r="236" ht="19" customHeight="1">
      <c r="A236" s="6" t="n">
        <v>217</v>
      </c>
      <c r="B236" s="7" t="inlineStr">
        <is>
          <t>Cọc khoan nhồi C1 Trụ T2 (D1.2m, L=30.0m)</t>
        </is>
      </c>
      <c r="C236" s="7" t="inlineStr">
        <is>
          <t>Thép đai xoắn lồng cọc</t>
        </is>
      </c>
      <c r="D236" s="19" t="inlineStr">
        <is>
          <t>P12</t>
        </is>
      </c>
      <c r="E236" s="20" t="n">
        <v>20</v>
      </c>
      <c r="F236" s="6" t="inlineStr">
        <is>
          <t>CB400-V</t>
        </is>
      </c>
      <c r="G236" s="7" t="inlineStr">
        <is>
          <t>Đai xoắn tròn</t>
        </is>
      </c>
      <c r="H236" s="21" t="n">
        <v>0.583</v>
      </c>
      <c r="I236" s="22" t="n">
        <v>48</v>
      </c>
      <c r="J236" s="23" t="n">
        <v>2.47</v>
      </c>
      <c r="K236" s="9">
        <f>ROUND(H236*I236*J236, 2)</f>
        <v/>
      </c>
      <c r="L236" s="24">
        <f>ROUND(K236/1000, 3)</f>
        <v/>
      </c>
      <c r="M236" s="8" t="n"/>
      <c r="N236" s="21">
        <f>ROUND(N235 + IF(AND(E236&lt;=10, F236&lt;&gt;"ASTM A416"), L236, 0), 3)</f>
        <v/>
      </c>
      <c r="O236" s="21">
        <f>ROUND(O235 + IF(AND(E236&gt;10, E236&lt;=18, F236&lt;&gt;"ASTM A416"), L236, 0), 3)</f>
        <v/>
      </c>
      <c r="P236" s="21">
        <f>ROUND(P235 + IF(AND(E236&gt;18, F236&lt;&gt;"ASTM A416"), L236, 0), 3)</f>
        <v/>
      </c>
      <c r="Q236" s="21">
        <f>ROUND(Q235 + IF(F236="ASTM A416", L236, 0), 3)</f>
        <v/>
      </c>
      <c r="R236" s="11">
        <f>IF(INT(N236/20)&gt;INT(N235/20), "Lần " &amp; INT(N236/20), "")</f>
        <v/>
      </c>
      <c r="S236" s="12">
        <f>IF(INT(O236/20)&gt;INT(O235/20), "Lần " &amp; INT(O236/20), "")</f>
        <v/>
      </c>
      <c r="T236" s="11">
        <f>IF(INT(P236/20)&gt;INT(P235/20), "Lần " &amp; INT(P236/20), "")</f>
        <v/>
      </c>
      <c r="U236" s="25">
        <f>IF(INT(Q236/20)&gt;INT(Q235/20), "Lần " &amp; INT(Q236/20), "")</f>
        <v/>
      </c>
      <c r="V236" s="6" t="inlineStr"/>
      <c r="W236" s="6" t="inlineStr">
        <is>
          <t>ĐẠT TCVN 1651:2018</t>
        </is>
      </c>
    </row>
    <row r="237" ht="20" customHeight="1">
      <c r="A237" s="18" t="inlineStr">
        <is>
          <t>--- CỌC KHOAN NHỒI C2 TRỤ T2 (D1.2M, L=30.0M) ---</t>
        </is>
      </c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</row>
    <row r="238" ht="19" customHeight="1">
      <c r="A238" s="6" t="n">
        <v>218</v>
      </c>
      <c r="B238" s="7" t="inlineStr">
        <is>
          <t>Cọc khoan nhồi C2 Trụ T2 (D1.2m, L=30.0m)</t>
        </is>
      </c>
      <c r="C238" s="7" t="inlineStr">
        <is>
          <t>Thép đai xoắn lồng cọc</t>
        </is>
      </c>
      <c r="D238" s="19" t="inlineStr">
        <is>
          <t>P1</t>
        </is>
      </c>
      <c r="E238" s="20" t="n">
        <v>10</v>
      </c>
      <c r="F238" s="6" t="inlineStr">
        <is>
          <t>CB240-T</t>
        </is>
      </c>
      <c r="G238" s="7" t="inlineStr">
        <is>
          <t>Đai xoắn tròn</t>
        </is>
      </c>
      <c r="H238" s="21" t="n">
        <v>96.604</v>
      </c>
      <c r="I238" s="22" t="n">
        <v>1</v>
      </c>
      <c r="J238" s="23" t="n">
        <v>0.617</v>
      </c>
      <c r="K238" s="9">
        <f>ROUND(H238*I238*J238, 2)</f>
        <v/>
      </c>
      <c r="L238" s="24">
        <f>ROUND(K238/1000, 3)</f>
        <v/>
      </c>
      <c r="M238" s="8" t="n"/>
      <c r="N238" s="21">
        <f>ROUND(N236 + IF(AND(E238&lt;=10, F238&lt;&gt;"ASTM A416"), L238, 0), 3)</f>
        <v/>
      </c>
      <c r="O238" s="21">
        <f>ROUND(O236 + IF(AND(E238&gt;10, E238&lt;=18, F238&lt;&gt;"ASTM A416"), L238, 0), 3)</f>
        <v/>
      </c>
      <c r="P238" s="21">
        <f>ROUND(P236 + IF(AND(E238&gt;18, F238&lt;&gt;"ASTM A416"), L238, 0), 3)</f>
        <v/>
      </c>
      <c r="Q238" s="21">
        <f>ROUND(Q236 + IF(F238="ASTM A416", L238, 0), 3)</f>
        <v/>
      </c>
      <c r="R238" s="11">
        <f>IF(INT(N238/20)&gt;INT(N236/20), "Lần " &amp; INT(N238/20), "")</f>
        <v/>
      </c>
      <c r="S238" s="12">
        <f>IF(INT(O238/20)&gt;INT(O236/20), "Lần " &amp; INT(O238/20), "")</f>
        <v/>
      </c>
      <c r="T238" s="11">
        <f>IF(INT(P238/20)&gt;INT(P236/20), "Lần " &amp; INT(P238/20), "")</f>
        <v/>
      </c>
      <c r="U238" s="25">
        <f>IF(INT(Q238/20)&gt;INT(Q236/20), "Lần " &amp; INT(Q238/20), "")</f>
        <v/>
      </c>
      <c r="V238" s="6" t="inlineStr"/>
      <c r="W238" s="6" t="inlineStr">
        <is>
          <t>ĐẠT TCVN 1651:2018</t>
        </is>
      </c>
    </row>
    <row r="239" ht="19" customHeight="1">
      <c r="A239" s="6" t="n">
        <v>219</v>
      </c>
      <c r="B239" s="7" t="inlineStr">
        <is>
          <t>Cọc khoan nhồi C2 Trụ T2 (D1.2m, L=30.0m)</t>
        </is>
      </c>
      <c r="C239" s="7" t="inlineStr">
        <is>
          <t>Thép đai xoắn lồng cọc</t>
        </is>
      </c>
      <c r="D239" s="19" t="inlineStr">
        <is>
          <t>P1A</t>
        </is>
      </c>
      <c r="E239" s="20" t="n">
        <v>10</v>
      </c>
      <c r="F239" s="6" t="inlineStr">
        <is>
          <t>CB240-T</t>
        </is>
      </c>
      <c r="G239" s="7" t="inlineStr">
        <is>
          <t>Đai xoắn tròn</t>
        </is>
      </c>
      <c r="H239" s="21" t="n">
        <v>389.636</v>
      </c>
      <c r="I239" s="22" t="n">
        <v>1</v>
      </c>
      <c r="J239" s="23" t="n">
        <v>0.617</v>
      </c>
      <c r="K239" s="9">
        <f>ROUND(H239*I239*J239, 2)</f>
        <v/>
      </c>
      <c r="L239" s="24">
        <f>ROUND(K239/1000, 3)</f>
        <v/>
      </c>
      <c r="M239" s="8" t="n"/>
      <c r="N239" s="21">
        <f>ROUND(N238 + IF(AND(E239&lt;=10, F239&lt;&gt;"ASTM A416"), L239, 0), 3)</f>
        <v/>
      </c>
      <c r="O239" s="21">
        <f>ROUND(O238 + IF(AND(E239&gt;10, E239&lt;=18, F239&lt;&gt;"ASTM A416"), L239, 0), 3)</f>
        <v/>
      </c>
      <c r="P239" s="21">
        <f>ROUND(P238 + IF(AND(E239&gt;18, F239&lt;&gt;"ASTM A416"), L239, 0), 3)</f>
        <v/>
      </c>
      <c r="Q239" s="21">
        <f>ROUND(Q238 + IF(F239="ASTM A416", L239, 0), 3)</f>
        <v/>
      </c>
      <c r="R239" s="11">
        <f>IF(INT(N239/20)&gt;INT(N238/20), "Lần " &amp; INT(N239/20), "")</f>
        <v/>
      </c>
      <c r="S239" s="12">
        <f>IF(INT(O239/20)&gt;INT(O238/20), "Lần " &amp; INT(O239/20), "")</f>
        <v/>
      </c>
      <c r="T239" s="11">
        <f>IF(INT(P239/20)&gt;INT(P238/20), "Lần " &amp; INT(P239/20), "")</f>
        <v/>
      </c>
      <c r="U239" s="25">
        <f>IF(INT(Q239/20)&gt;INT(Q238/20), "Lần " &amp; INT(Q239/20), "")</f>
        <v/>
      </c>
      <c r="V239" s="6" t="inlineStr"/>
      <c r="W239" s="6" t="inlineStr">
        <is>
          <t>ĐẠT TCVN 1651:2018</t>
        </is>
      </c>
    </row>
    <row r="240" ht="19" customHeight="1">
      <c r="A240" s="6" t="n">
        <v>220</v>
      </c>
      <c r="B240" s="7" t="inlineStr">
        <is>
          <t>Cọc khoan nhồi C2 Trụ T2 (D1.2m, L=30.0m)</t>
        </is>
      </c>
      <c r="C240" s="7" t="inlineStr">
        <is>
          <t>Thép đai xoắn lồng cọc</t>
        </is>
      </c>
      <c r="D240" s="19" t="inlineStr">
        <is>
          <t>P1B</t>
        </is>
      </c>
      <c r="E240" s="20" t="n">
        <v>10</v>
      </c>
      <c r="F240" s="6" t="inlineStr">
        <is>
          <t>CB240-T</t>
        </is>
      </c>
      <c r="G240" s="7" t="inlineStr">
        <is>
          <t>Đai xoắn tròn</t>
        </is>
      </c>
      <c r="H240" s="21" t="n">
        <v>100.256</v>
      </c>
      <c r="I240" s="22" t="n">
        <v>1</v>
      </c>
      <c r="J240" s="23" t="n">
        <v>0.617</v>
      </c>
      <c r="K240" s="9">
        <f>ROUND(H240*I240*J240, 2)</f>
        <v/>
      </c>
      <c r="L240" s="24">
        <f>ROUND(K240/1000, 3)</f>
        <v/>
      </c>
      <c r="M240" s="8" t="n"/>
      <c r="N240" s="21">
        <f>ROUND(N239 + IF(AND(E240&lt;=10, F240&lt;&gt;"ASTM A416"), L240, 0), 3)</f>
        <v/>
      </c>
      <c r="O240" s="21">
        <f>ROUND(O239 + IF(AND(E240&gt;10, E240&lt;=18, F240&lt;&gt;"ASTM A416"), L240, 0), 3)</f>
        <v/>
      </c>
      <c r="P240" s="21">
        <f>ROUND(P239 + IF(AND(E240&gt;18, F240&lt;&gt;"ASTM A416"), L240, 0), 3)</f>
        <v/>
      </c>
      <c r="Q240" s="21">
        <f>ROUND(Q239 + IF(F240="ASTM A416", L240, 0), 3)</f>
        <v/>
      </c>
      <c r="R240" s="11">
        <f>IF(INT(N240/20)&gt;INT(N239/20), "Lần " &amp; INT(N240/20), "")</f>
        <v/>
      </c>
      <c r="S240" s="12">
        <f>IF(INT(O240/20)&gt;INT(O239/20), "Lần " &amp; INT(O240/20), "")</f>
        <v/>
      </c>
      <c r="T240" s="11">
        <f>IF(INT(P240/20)&gt;INT(P239/20), "Lần " &amp; INT(P240/20), "")</f>
        <v/>
      </c>
      <c r="U240" s="25">
        <f>IF(INT(Q240/20)&gt;INT(Q239/20), "Lần " &amp; INT(Q240/20), "")</f>
        <v/>
      </c>
      <c r="V240" s="6" t="inlineStr"/>
      <c r="W240" s="6" t="inlineStr">
        <is>
          <t>ĐẠT TCVN 1651:2018</t>
        </is>
      </c>
    </row>
    <row r="241" ht="19" customHeight="1">
      <c r="A241" s="6" t="n">
        <v>221</v>
      </c>
      <c r="B241" s="7" t="inlineStr">
        <is>
          <t>Cọc khoan nhồi C2 Trụ T2 (D1.2m, L=30.0m)</t>
        </is>
      </c>
      <c r="C241" s="7" t="inlineStr">
        <is>
          <t>Thép đai xoắn lồng cọc</t>
        </is>
      </c>
      <c r="D241" s="19" t="inlineStr">
        <is>
          <t>P1C</t>
        </is>
      </c>
      <c r="E241" s="20" t="n">
        <v>10</v>
      </c>
      <c r="F241" s="6" t="inlineStr">
        <is>
          <t>CB240-T</t>
        </is>
      </c>
      <c r="G241" s="7" t="inlineStr">
        <is>
          <t>Đai xoắn tròn</t>
        </is>
      </c>
      <c r="H241" s="21" t="n">
        <v>3.592</v>
      </c>
      <c r="I241" s="22" t="n">
        <v>2</v>
      </c>
      <c r="J241" s="23" t="n">
        <v>0.617</v>
      </c>
      <c r="K241" s="9">
        <f>ROUND(H241*I241*J241, 2)</f>
        <v/>
      </c>
      <c r="L241" s="24">
        <f>ROUND(K241/1000, 3)</f>
        <v/>
      </c>
      <c r="M241" s="8" t="n"/>
      <c r="N241" s="21">
        <f>ROUND(N240 + IF(AND(E241&lt;=10, F241&lt;&gt;"ASTM A416"), L241, 0), 3)</f>
        <v/>
      </c>
      <c r="O241" s="21">
        <f>ROUND(O240 + IF(AND(E241&gt;10, E241&lt;=18, F241&lt;&gt;"ASTM A416"), L241, 0), 3)</f>
        <v/>
      </c>
      <c r="P241" s="21">
        <f>ROUND(P240 + IF(AND(E241&gt;18, F241&lt;&gt;"ASTM A416"), L241, 0), 3)</f>
        <v/>
      </c>
      <c r="Q241" s="21">
        <f>ROUND(Q240 + IF(F241="ASTM A416", L241, 0), 3)</f>
        <v/>
      </c>
      <c r="R241" s="11">
        <f>IF(INT(N241/20)&gt;INT(N240/20), "Lần " &amp; INT(N241/20), "")</f>
        <v/>
      </c>
      <c r="S241" s="12">
        <f>IF(INT(O241/20)&gt;INT(O240/20), "Lần " &amp; INT(O241/20), "")</f>
        <v/>
      </c>
      <c r="T241" s="11">
        <f>IF(INT(P241/20)&gt;INT(P240/20), "Lần " &amp; INT(P241/20), "")</f>
        <v/>
      </c>
      <c r="U241" s="25">
        <f>IF(INT(Q241/20)&gt;INT(Q240/20), "Lần " &amp; INT(Q241/20), "")</f>
        <v/>
      </c>
      <c r="V241" s="6" t="inlineStr"/>
      <c r="W241" s="6" t="inlineStr">
        <is>
          <t>ĐẠT TCVN 1651:2018</t>
        </is>
      </c>
    </row>
    <row r="242" ht="19" customHeight="1">
      <c r="A242" s="6" t="n">
        <v>222</v>
      </c>
      <c r="B242" s="7" t="inlineStr">
        <is>
          <t>Cọc khoan nhồi C2 Trụ T2 (D1.2m, L=30.0m)</t>
        </is>
      </c>
      <c r="C242" s="7" t="inlineStr">
        <is>
          <t>Thép đai xoắn lồng cọc</t>
        </is>
      </c>
      <c r="D242" s="19" t="inlineStr">
        <is>
          <t>P1D</t>
        </is>
      </c>
      <c r="E242" s="20" t="n">
        <v>10</v>
      </c>
      <c r="F242" s="6" t="inlineStr">
        <is>
          <t>CB240-T</t>
        </is>
      </c>
      <c r="G242" s="7" t="inlineStr">
        <is>
          <t>Đai xoắn tròn</t>
        </is>
      </c>
      <c r="H242" s="21" t="n">
        <v>19.721</v>
      </c>
      <c r="I242" s="22" t="n">
        <v>1</v>
      </c>
      <c r="J242" s="23" t="n">
        <v>0.617</v>
      </c>
      <c r="K242" s="9">
        <f>ROUND(H242*I242*J242, 2)</f>
        <v/>
      </c>
      <c r="L242" s="24">
        <f>ROUND(K242/1000, 3)</f>
        <v/>
      </c>
      <c r="M242" s="8" t="n"/>
      <c r="N242" s="21">
        <f>ROUND(N241 + IF(AND(E242&lt;=10, F242&lt;&gt;"ASTM A416"), L242, 0), 3)</f>
        <v/>
      </c>
      <c r="O242" s="21">
        <f>ROUND(O241 + IF(AND(E242&gt;10, E242&lt;=18, F242&lt;&gt;"ASTM A416"), L242, 0), 3)</f>
        <v/>
      </c>
      <c r="P242" s="21">
        <f>ROUND(P241 + IF(AND(E242&gt;18, F242&lt;&gt;"ASTM A416"), L242, 0), 3)</f>
        <v/>
      </c>
      <c r="Q242" s="21">
        <f>ROUND(Q241 + IF(F242="ASTM A416", L242, 0), 3)</f>
        <v/>
      </c>
      <c r="R242" s="11">
        <f>IF(INT(N242/20)&gt;INT(N241/20), "Lần " &amp; INT(N242/20), "")</f>
        <v/>
      </c>
      <c r="S242" s="12">
        <f>IF(INT(O242/20)&gt;INT(O241/20), "Lần " &amp; INT(O242/20), "")</f>
        <v/>
      </c>
      <c r="T242" s="11">
        <f>IF(INT(P242/20)&gt;INT(P241/20), "Lần " &amp; INT(P242/20), "")</f>
        <v/>
      </c>
      <c r="U242" s="25">
        <f>IF(INT(Q242/20)&gt;INT(Q241/20), "Lần " &amp; INT(Q242/20), "")</f>
        <v/>
      </c>
      <c r="V242" s="6" t="inlineStr"/>
      <c r="W242" s="6" t="inlineStr">
        <is>
          <t>ĐẠT TCVN 1651:2018</t>
        </is>
      </c>
    </row>
    <row r="243" ht="19" customHeight="1">
      <c r="A243" s="6" t="n">
        <v>223</v>
      </c>
      <c r="B243" s="7" t="inlineStr">
        <is>
          <t>Cọc khoan nhồi C2 Trụ T2 (D1.2m, L=30.0m)</t>
        </is>
      </c>
      <c r="C243" s="7" t="inlineStr">
        <is>
          <t>Cốt thép chủ chịu lực cọc</t>
        </is>
      </c>
      <c r="D243" s="19" t="inlineStr">
        <is>
          <t>P2B</t>
        </is>
      </c>
      <c r="E243" s="20" t="n">
        <v>25</v>
      </c>
      <c r="F243" s="6" t="inlineStr">
        <is>
          <t>CB400-V</t>
        </is>
      </c>
      <c r="G243" s="7" t="inlineStr">
        <is>
          <t>Thanh thẳng nối ren/hàn</t>
        </is>
      </c>
      <c r="H243" s="21" t="n">
        <v>2.985</v>
      </c>
      <c r="I243" s="22" t="n">
        <v>12</v>
      </c>
      <c r="J243" s="23" t="n">
        <v>3.85</v>
      </c>
      <c r="K243" s="9">
        <f>ROUND(H243*I243*J243, 2)</f>
        <v/>
      </c>
      <c r="L243" s="24">
        <f>ROUND(K243/1000, 3)</f>
        <v/>
      </c>
      <c r="M243" s="8" t="n"/>
      <c r="N243" s="21">
        <f>ROUND(N242 + IF(AND(E243&lt;=10, F243&lt;&gt;"ASTM A416"), L243, 0), 3)</f>
        <v/>
      </c>
      <c r="O243" s="21">
        <f>ROUND(O242 + IF(AND(E243&gt;10, E243&lt;=18, F243&lt;&gt;"ASTM A416"), L243, 0), 3)</f>
        <v/>
      </c>
      <c r="P243" s="21">
        <f>ROUND(P242 + IF(AND(E243&gt;18, F243&lt;&gt;"ASTM A416"), L243, 0), 3)</f>
        <v/>
      </c>
      <c r="Q243" s="21">
        <f>ROUND(Q242 + IF(F243="ASTM A416", L243, 0), 3)</f>
        <v/>
      </c>
      <c r="R243" s="11">
        <f>IF(INT(N243/20)&gt;INT(N242/20), "Lần " &amp; INT(N243/20), "")</f>
        <v/>
      </c>
      <c r="S243" s="12">
        <f>IF(INT(O243/20)&gt;INT(O242/20), "Lần " &amp; INT(O243/20), "")</f>
        <v/>
      </c>
      <c r="T243" s="11">
        <f>IF(INT(P243/20)&gt;INT(P242/20), "Lần " &amp; INT(P243/20), "")</f>
        <v/>
      </c>
      <c r="U243" s="25">
        <f>IF(INT(Q243/20)&gt;INT(Q242/20), "Lần " &amp; INT(Q243/20), "")</f>
        <v/>
      </c>
      <c r="V243" s="6" t="inlineStr"/>
      <c r="W243" s="6" t="inlineStr">
        <is>
          <t>ĐẠT TCVN 1651:2018</t>
        </is>
      </c>
    </row>
    <row r="244" ht="19" customHeight="1">
      <c r="A244" s="6" t="n">
        <v>224</v>
      </c>
      <c r="B244" s="7" t="inlineStr">
        <is>
          <t>Cọc khoan nhồi C2 Trụ T2 (D1.2m, L=30.0m)</t>
        </is>
      </c>
      <c r="C244" s="7" t="inlineStr">
        <is>
          <t>Cốt thép chủ chịu lực cọc</t>
        </is>
      </c>
      <c r="D244" s="19" t="inlineStr">
        <is>
          <t>P3</t>
        </is>
      </c>
      <c r="E244" s="20" t="n">
        <v>25</v>
      </c>
      <c r="F244" s="6" t="inlineStr">
        <is>
          <t>CB400-V</t>
        </is>
      </c>
      <c r="G244" s="7" t="inlineStr">
        <is>
          <t>Thanh thẳng nối ren/hàn</t>
        </is>
      </c>
      <c r="H244" s="21" t="n">
        <v>10.7</v>
      </c>
      <c r="I244" s="22" t="n">
        <v>12</v>
      </c>
      <c r="J244" s="23" t="n">
        <v>3.85</v>
      </c>
      <c r="K244" s="9">
        <f>ROUND(H244*I244*J244, 2)</f>
        <v/>
      </c>
      <c r="L244" s="24">
        <f>ROUND(K244/1000, 3)</f>
        <v/>
      </c>
      <c r="M244" s="8" t="n"/>
      <c r="N244" s="21">
        <f>ROUND(N243 + IF(AND(E244&lt;=10, F244&lt;&gt;"ASTM A416"), L244, 0), 3)</f>
        <v/>
      </c>
      <c r="O244" s="21">
        <f>ROUND(O243 + IF(AND(E244&gt;10, E244&lt;=18, F244&lt;&gt;"ASTM A416"), L244, 0), 3)</f>
        <v/>
      </c>
      <c r="P244" s="21">
        <f>ROUND(P243 + IF(AND(E244&gt;18, F244&lt;&gt;"ASTM A416"), L244, 0), 3)</f>
        <v/>
      </c>
      <c r="Q244" s="21">
        <f>ROUND(Q243 + IF(F244="ASTM A416", L244, 0), 3)</f>
        <v/>
      </c>
      <c r="R244" s="11">
        <f>IF(INT(N244/20)&gt;INT(N243/20), "Lần " &amp; INT(N244/20), "")</f>
        <v/>
      </c>
      <c r="S244" s="12">
        <f>IF(INT(O244/20)&gt;INT(O243/20), "Lần " &amp; INT(O244/20), "")</f>
        <v/>
      </c>
      <c r="T244" s="11">
        <f>IF(INT(P244/20)&gt;INT(P243/20), "Lần " &amp; INT(P244/20), "")</f>
        <v/>
      </c>
      <c r="U244" s="25">
        <f>IF(INT(Q244/20)&gt;INT(Q243/20), "Lần " &amp; INT(Q244/20), "")</f>
        <v/>
      </c>
      <c r="V244" s="6" t="inlineStr"/>
      <c r="W244" s="6" t="inlineStr">
        <is>
          <t>ĐẠT TCVN 1651:2018</t>
        </is>
      </c>
    </row>
    <row r="245" ht="19" customHeight="1">
      <c r="A245" s="6" t="n">
        <v>225</v>
      </c>
      <c r="B245" s="7" t="inlineStr">
        <is>
          <t>Cọc khoan nhồi C2 Trụ T2 (D1.2m, L=30.0m)</t>
        </is>
      </c>
      <c r="C245" s="7" t="inlineStr">
        <is>
          <t>Cốt thép chủ chịu lực cọc</t>
        </is>
      </c>
      <c r="D245" s="19" t="inlineStr">
        <is>
          <t>P4</t>
        </is>
      </c>
      <c r="E245" s="20" t="n">
        <v>25</v>
      </c>
      <c r="F245" s="6" t="inlineStr">
        <is>
          <t>CB400-V</t>
        </is>
      </c>
      <c r="G245" s="7" t="inlineStr">
        <is>
          <t>Thanh thẳng nối ren/hàn</t>
        </is>
      </c>
      <c r="H245" s="21" t="n">
        <v>11.7</v>
      </c>
      <c r="I245" s="22" t="n">
        <v>36</v>
      </c>
      <c r="J245" s="23" t="n">
        <v>3.85</v>
      </c>
      <c r="K245" s="9">
        <f>ROUND(H245*I245*J245, 2)</f>
        <v/>
      </c>
      <c r="L245" s="24">
        <f>ROUND(K245/1000, 3)</f>
        <v/>
      </c>
      <c r="M245" s="8" t="n"/>
      <c r="N245" s="21">
        <f>ROUND(N244 + IF(AND(E245&lt;=10, F245&lt;&gt;"ASTM A416"), L245, 0), 3)</f>
        <v/>
      </c>
      <c r="O245" s="21">
        <f>ROUND(O244 + IF(AND(E245&gt;10, E245&lt;=18, F245&lt;&gt;"ASTM A416"), L245, 0), 3)</f>
        <v/>
      </c>
      <c r="P245" s="21">
        <f>ROUND(P244 + IF(AND(E245&gt;18, F245&lt;&gt;"ASTM A416"), L245, 0), 3)</f>
        <v/>
      </c>
      <c r="Q245" s="21">
        <f>ROUND(Q244 + IF(F245="ASTM A416", L245, 0), 3)</f>
        <v/>
      </c>
      <c r="R245" s="11">
        <f>IF(INT(N245/20)&gt;INT(N244/20), "Lần " &amp; INT(N245/20), "")</f>
        <v/>
      </c>
      <c r="S245" s="12">
        <f>IF(INT(O245/20)&gt;INT(O244/20), "Lần " &amp; INT(O245/20), "")</f>
        <v/>
      </c>
      <c r="T245" s="11">
        <f>IF(INT(P245/20)&gt;INT(P244/20), "Lần " &amp; INT(P245/20), "")</f>
        <v/>
      </c>
      <c r="U245" s="25">
        <f>IF(INT(Q245/20)&gt;INT(Q244/20), "Lần " &amp; INT(Q245/20), "")</f>
        <v/>
      </c>
      <c r="V245" s="6" t="inlineStr"/>
      <c r="W245" s="6" t="inlineStr">
        <is>
          <t>ĐẠT TCVN 1651:2018</t>
        </is>
      </c>
    </row>
    <row r="246" ht="19" customHeight="1">
      <c r="A246" s="6" t="n">
        <v>226</v>
      </c>
      <c r="B246" s="7" t="inlineStr">
        <is>
          <t>Cọc khoan nhồi C2 Trụ T2 (D1.2m, L=30.0m)</t>
        </is>
      </c>
      <c r="C246" s="7" t="inlineStr">
        <is>
          <t>Cốt thép chủ chịu lực cọc</t>
        </is>
      </c>
      <c r="D246" s="19" t="inlineStr">
        <is>
          <t>P6</t>
        </is>
      </c>
      <c r="E246" s="20" t="n">
        <v>25</v>
      </c>
      <c r="F246" s="6" t="inlineStr">
        <is>
          <t>CB400-V</t>
        </is>
      </c>
      <c r="G246" s="7" t="inlineStr">
        <is>
          <t>Thanh thẳng nối ren/hàn</t>
        </is>
      </c>
      <c r="H246" s="21" t="n">
        <v>9.733000000000001</v>
      </c>
      <c r="I246" s="22" t="n">
        <v>12</v>
      </c>
      <c r="J246" s="23" t="n">
        <v>3.85</v>
      </c>
      <c r="K246" s="9">
        <f>ROUND(H246*I246*J246, 2)</f>
        <v/>
      </c>
      <c r="L246" s="24">
        <f>ROUND(K246/1000, 3)</f>
        <v/>
      </c>
      <c r="M246" s="8" t="n"/>
      <c r="N246" s="21">
        <f>ROUND(N245 + IF(AND(E246&lt;=10, F246&lt;&gt;"ASTM A416"), L246, 0), 3)</f>
        <v/>
      </c>
      <c r="O246" s="21">
        <f>ROUND(O245 + IF(AND(E246&gt;10, E246&lt;=18, F246&lt;&gt;"ASTM A416"), L246, 0), 3)</f>
        <v/>
      </c>
      <c r="P246" s="21">
        <f>ROUND(P245 + IF(AND(E246&gt;18, F246&lt;&gt;"ASTM A416"), L246, 0), 3)</f>
        <v/>
      </c>
      <c r="Q246" s="21">
        <f>ROUND(Q245 + IF(F246="ASTM A416", L246, 0), 3)</f>
        <v/>
      </c>
      <c r="R246" s="11">
        <f>IF(INT(N246/20)&gt;INT(N245/20), "Lần " &amp; INT(N246/20), "")</f>
        <v/>
      </c>
      <c r="S246" s="12">
        <f>IF(INT(O246/20)&gt;INT(O245/20), "Lần " &amp; INT(O246/20), "")</f>
        <v/>
      </c>
      <c r="T246" s="11">
        <f>IF(INT(P246/20)&gt;INT(P245/20), "Lần " &amp; INT(P246/20), "")</f>
        <v/>
      </c>
      <c r="U246" s="25">
        <f>IF(INT(Q246/20)&gt;INT(Q245/20), "Lần " &amp; INT(Q246/20), "")</f>
        <v/>
      </c>
      <c r="V246" s="6" t="inlineStr"/>
      <c r="W246" s="6" t="inlineStr">
        <is>
          <t>ĐẠT TCVN 1651:2018</t>
        </is>
      </c>
    </row>
    <row r="247" ht="19" customHeight="1">
      <c r="A247" s="6" t="n">
        <v>227</v>
      </c>
      <c r="B247" s="7" t="inlineStr">
        <is>
          <t>Cọc khoan nhồi C2 Trụ T2 (D1.2m, L=30.0m)</t>
        </is>
      </c>
      <c r="C247" s="7" t="inlineStr">
        <is>
          <t>Cốt thép chủ chịu lực cọc</t>
        </is>
      </c>
      <c r="D247" s="19" t="inlineStr">
        <is>
          <t>P7</t>
        </is>
      </c>
      <c r="E247" s="20" t="n">
        <v>25</v>
      </c>
      <c r="F247" s="6" t="inlineStr">
        <is>
          <t>CB400-V</t>
        </is>
      </c>
      <c r="G247" s="7" t="inlineStr">
        <is>
          <t>Thanh thẳng nối ren/hàn</t>
        </is>
      </c>
      <c r="H247" s="21" t="n">
        <v>10.733</v>
      </c>
      <c r="I247" s="22" t="n">
        <v>12</v>
      </c>
      <c r="J247" s="23" t="n">
        <v>3.85</v>
      </c>
      <c r="K247" s="9">
        <f>ROUND(H247*I247*J247, 2)</f>
        <v/>
      </c>
      <c r="L247" s="24">
        <f>ROUND(K247/1000, 3)</f>
        <v/>
      </c>
      <c r="M247" s="8" t="n"/>
      <c r="N247" s="21">
        <f>ROUND(N246 + IF(AND(E247&lt;=10, F247&lt;&gt;"ASTM A416"), L247, 0), 3)</f>
        <v/>
      </c>
      <c r="O247" s="21">
        <f>ROUND(O246 + IF(AND(E247&gt;10, E247&lt;=18, F247&lt;&gt;"ASTM A416"), L247, 0), 3)</f>
        <v/>
      </c>
      <c r="P247" s="21">
        <f>ROUND(P246 + IF(AND(E247&gt;18, F247&lt;&gt;"ASTM A416"), L247, 0), 3)</f>
        <v/>
      </c>
      <c r="Q247" s="21">
        <f>ROUND(Q246 + IF(F247="ASTM A416", L247, 0), 3)</f>
        <v/>
      </c>
      <c r="R247" s="11">
        <f>IF(INT(N247/20)&gt;INT(N246/20), "Lần " &amp; INT(N247/20), "")</f>
        <v/>
      </c>
      <c r="S247" s="12">
        <f>IF(INT(O247/20)&gt;INT(O246/20), "Lần " &amp; INT(O247/20), "")</f>
        <v/>
      </c>
      <c r="T247" s="11">
        <f>IF(INT(P247/20)&gt;INT(P246/20), "Lần " &amp; INT(P247/20), "")</f>
        <v/>
      </c>
      <c r="U247" s="25">
        <f>IF(INT(Q247/20)&gt;INT(Q246/20), "Lần " &amp; INT(Q247/20), "")</f>
        <v/>
      </c>
      <c r="V247" s="6" t="inlineStr"/>
      <c r="W247" s="6" t="inlineStr">
        <is>
          <t>ĐẠT TCVN 1651:2018</t>
        </is>
      </c>
    </row>
    <row r="248" ht="19" customHeight="1">
      <c r="A248" s="6" t="n">
        <v>228</v>
      </c>
      <c r="B248" s="7" t="inlineStr">
        <is>
          <t>Cọc khoan nhồi C2 Trụ T2 (D1.2m, L=30.0m)</t>
        </is>
      </c>
      <c r="C248" s="7" t="inlineStr">
        <is>
          <t>Đai tăng cường / Con kê bảo vệ</t>
        </is>
      </c>
      <c r="D248" s="19" t="inlineStr">
        <is>
          <t>P8</t>
        </is>
      </c>
      <c r="E248" s="20" t="n">
        <v>12</v>
      </c>
      <c r="F248" s="6" t="inlineStr">
        <is>
          <t>CB400-V</t>
        </is>
      </c>
      <c r="G248" s="7" t="inlineStr">
        <is>
          <t>Móc neo / Vòng đai</t>
        </is>
      </c>
      <c r="H248" s="21" t="n">
        <v>0.647</v>
      </c>
      <c r="I248" s="22" t="n">
        <v>12</v>
      </c>
      <c r="J248" s="23" t="n">
        <v>0.888</v>
      </c>
      <c r="K248" s="9">
        <f>ROUND(H248*I248*J248, 2)</f>
        <v/>
      </c>
      <c r="L248" s="24">
        <f>ROUND(K248/1000, 3)</f>
        <v/>
      </c>
      <c r="M248" s="8" t="n"/>
      <c r="N248" s="21">
        <f>ROUND(N247 + IF(AND(E248&lt;=10, F248&lt;&gt;"ASTM A416"), L248, 0), 3)</f>
        <v/>
      </c>
      <c r="O248" s="21">
        <f>ROUND(O247 + IF(AND(E248&gt;10, E248&lt;=18, F248&lt;&gt;"ASTM A416"), L248, 0), 3)</f>
        <v/>
      </c>
      <c r="P248" s="21">
        <f>ROUND(P247 + IF(AND(E248&gt;18, F248&lt;&gt;"ASTM A416"), L248, 0), 3)</f>
        <v/>
      </c>
      <c r="Q248" s="21">
        <f>ROUND(Q247 + IF(F248="ASTM A416", L248, 0), 3)</f>
        <v/>
      </c>
      <c r="R248" s="11">
        <f>IF(INT(N248/20)&gt;INT(N247/20), "Lần " &amp; INT(N248/20), "")</f>
        <v/>
      </c>
      <c r="S248" s="12">
        <f>IF(INT(O248/20)&gt;INT(O247/20), "Lần " &amp; INT(O248/20), "")</f>
        <v/>
      </c>
      <c r="T248" s="11">
        <f>IF(INT(P248/20)&gt;INT(P247/20), "Lần " &amp; INT(P248/20), "")</f>
        <v/>
      </c>
      <c r="U248" s="25">
        <f>IF(INT(Q248/20)&gt;INT(Q247/20), "Lần " &amp; INT(Q248/20), "")</f>
        <v/>
      </c>
      <c r="V248" s="6" t="inlineStr"/>
      <c r="W248" s="6" t="inlineStr">
        <is>
          <t>ĐẠT TCVN 1651:2018</t>
        </is>
      </c>
    </row>
    <row r="249" ht="19" customHeight="1">
      <c r="A249" s="6" t="n">
        <v>229</v>
      </c>
      <c r="B249" s="7" t="inlineStr">
        <is>
          <t>Cọc khoan nhồi C2 Trụ T2 (D1.2m, L=30.0m)</t>
        </is>
      </c>
      <c r="C249" s="7" t="inlineStr">
        <is>
          <t>Đai tăng cường / Con kê bảo vệ</t>
        </is>
      </c>
      <c r="D249" s="19" t="inlineStr">
        <is>
          <t>P9</t>
        </is>
      </c>
      <c r="E249" s="20" t="n">
        <v>12</v>
      </c>
      <c r="F249" s="6" t="inlineStr">
        <is>
          <t>CB400-V</t>
        </is>
      </c>
      <c r="G249" s="7" t="inlineStr">
        <is>
          <t>Móc neo / Vòng đai</t>
        </is>
      </c>
      <c r="H249" s="21" t="n">
        <v>0.379</v>
      </c>
      <c r="I249" s="22" t="n">
        <v>36</v>
      </c>
      <c r="J249" s="23" t="n">
        <v>0.888</v>
      </c>
      <c r="K249" s="9">
        <f>ROUND(H249*I249*J249, 2)</f>
        <v/>
      </c>
      <c r="L249" s="24">
        <f>ROUND(K249/1000, 3)</f>
        <v/>
      </c>
      <c r="M249" s="8" t="n"/>
      <c r="N249" s="21">
        <f>ROUND(N248 + IF(AND(E249&lt;=10, F249&lt;&gt;"ASTM A416"), L249, 0), 3)</f>
        <v/>
      </c>
      <c r="O249" s="21">
        <f>ROUND(O248 + IF(AND(E249&gt;10, E249&lt;=18, F249&lt;&gt;"ASTM A416"), L249, 0), 3)</f>
        <v/>
      </c>
      <c r="P249" s="21">
        <f>ROUND(P248 + IF(AND(E249&gt;18, F249&lt;&gt;"ASTM A416"), L249, 0), 3)</f>
        <v/>
      </c>
      <c r="Q249" s="21">
        <f>ROUND(Q248 + IF(F249="ASTM A416", L249, 0), 3)</f>
        <v/>
      </c>
      <c r="R249" s="11">
        <f>IF(INT(N249/20)&gt;INT(N248/20), "Lần " &amp; INT(N249/20), "")</f>
        <v/>
      </c>
      <c r="S249" s="12">
        <f>IF(INT(O249/20)&gt;INT(O248/20), "Lần " &amp; INT(O249/20), "")</f>
        <v/>
      </c>
      <c r="T249" s="11">
        <f>IF(INT(P249/20)&gt;INT(P248/20), "Lần " &amp; INT(P249/20), "")</f>
        <v/>
      </c>
      <c r="U249" s="25">
        <f>IF(INT(Q249/20)&gt;INT(Q248/20), "Lần " &amp; INT(Q249/20), "")</f>
        <v/>
      </c>
      <c r="V249" s="6" t="inlineStr"/>
      <c r="W249" s="6" t="inlineStr">
        <is>
          <t>ĐẠT TCVN 1651:2018</t>
        </is>
      </c>
    </row>
    <row r="250" ht="19" customHeight="1">
      <c r="A250" s="6" t="n">
        <v>230</v>
      </c>
      <c r="B250" s="7" t="inlineStr">
        <is>
          <t>Cọc khoan nhồi C2 Trụ T2 (D1.2m, L=30.0m)</t>
        </is>
      </c>
      <c r="C250" s="7" t="inlineStr">
        <is>
          <t>Thép đai xoắn lồng cọc</t>
        </is>
      </c>
      <c r="D250" s="19" t="inlineStr">
        <is>
          <t>P10</t>
        </is>
      </c>
      <c r="E250" s="20" t="n">
        <v>20</v>
      </c>
      <c r="F250" s="6" t="inlineStr">
        <is>
          <t>CB400-V</t>
        </is>
      </c>
      <c r="G250" s="7" t="inlineStr">
        <is>
          <t>Đai xoắn tròn</t>
        </is>
      </c>
      <c r="H250" s="21" t="n">
        <v>2.057</v>
      </c>
      <c r="I250" s="22" t="n">
        <v>1</v>
      </c>
      <c r="J250" s="23" t="n">
        <v>2.47</v>
      </c>
      <c r="K250" s="9">
        <f>ROUND(H250*I250*J250, 2)</f>
        <v/>
      </c>
      <c r="L250" s="24">
        <f>ROUND(K250/1000, 3)</f>
        <v/>
      </c>
      <c r="M250" s="8" t="n"/>
      <c r="N250" s="21">
        <f>ROUND(N249 + IF(AND(E250&lt;=10, F250&lt;&gt;"ASTM A416"), L250, 0), 3)</f>
        <v/>
      </c>
      <c r="O250" s="21">
        <f>ROUND(O249 + IF(AND(E250&gt;10, E250&lt;=18, F250&lt;&gt;"ASTM A416"), L250, 0), 3)</f>
        <v/>
      </c>
      <c r="P250" s="21">
        <f>ROUND(P249 + IF(AND(E250&gt;18, F250&lt;&gt;"ASTM A416"), L250, 0), 3)</f>
        <v/>
      </c>
      <c r="Q250" s="21">
        <f>ROUND(Q249 + IF(F250="ASTM A416", L250, 0), 3)</f>
        <v/>
      </c>
      <c r="R250" s="11">
        <f>IF(INT(N250/20)&gt;INT(N249/20), "Lần " &amp; INT(N250/20), "")</f>
        <v/>
      </c>
      <c r="S250" s="12">
        <f>IF(INT(O250/20)&gt;INT(O249/20), "Lần " &amp; INT(O250/20), "")</f>
        <v/>
      </c>
      <c r="T250" s="11">
        <f>IF(INT(P250/20)&gt;INT(P249/20), "Lần " &amp; INT(P250/20), "")</f>
        <v/>
      </c>
      <c r="U250" s="25">
        <f>IF(INT(Q250/20)&gt;INT(Q249/20), "Lần " &amp; INT(Q250/20), "")</f>
        <v/>
      </c>
      <c r="V250" s="6" t="inlineStr"/>
      <c r="W250" s="6" t="inlineStr">
        <is>
          <t>ĐẠT TCVN 1651:2018</t>
        </is>
      </c>
    </row>
    <row r="251" ht="19" customHeight="1">
      <c r="A251" s="6" t="n">
        <v>231</v>
      </c>
      <c r="B251" s="7" t="inlineStr">
        <is>
          <t>Cọc khoan nhồi C2 Trụ T2 (D1.2m, L=30.0m)</t>
        </is>
      </c>
      <c r="C251" s="7" t="inlineStr">
        <is>
          <t>Thép đai xoắn lồng cọc</t>
        </is>
      </c>
      <c r="D251" s="19" t="inlineStr">
        <is>
          <t>P12</t>
        </is>
      </c>
      <c r="E251" s="20" t="n">
        <v>20</v>
      </c>
      <c r="F251" s="6" t="inlineStr">
        <is>
          <t>CB400-V</t>
        </is>
      </c>
      <c r="G251" s="7" t="inlineStr">
        <is>
          <t>Đai xoắn tròn</t>
        </is>
      </c>
      <c r="H251" s="21" t="n">
        <v>0.583</v>
      </c>
      <c r="I251" s="22" t="n">
        <v>48</v>
      </c>
      <c r="J251" s="23" t="n">
        <v>2.47</v>
      </c>
      <c r="K251" s="9">
        <f>ROUND(H251*I251*J251, 2)</f>
        <v/>
      </c>
      <c r="L251" s="24">
        <f>ROUND(K251/1000, 3)</f>
        <v/>
      </c>
      <c r="M251" s="8" t="n"/>
      <c r="N251" s="21">
        <f>ROUND(N250 + IF(AND(E251&lt;=10, F251&lt;&gt;"ASTM A416"), L251, 0), 3)</f>
        <v/>
      </c>
      <c r="O251" s="21">
        <f>ROUND(O250 + IF(AND(E251&gt;10, E251&lt;=18, F251&lt;&gt;"ASTM A416"), L251, 0), 3)</f>
        <v/>
      </c>
      <c r="P251" s="21">
        <f>ROUND(P250 + IF(AND(E251&gt;18, F251&lt;&gt;"ASTM A416"), L251, 0), 3)</f>
        <v/>
      </c>
      <c r="Q251" s="21">
        <f>ROUND(Q250 + IF(F251="ASTM A416", L251, 0), 3)</f>
        <v/>
      </c>
      <c r="R251" s="11">
        <f>IF(INT(N251/20)&gt;INT(N250/20), "Lần " &amp; INT(N251/20), "")</f>
        <v/>
      </c>
      <c r="S251" s="12">
        <f>IF(INT(O251/20)&gt;INT(O250/20), "Lần " &amp; INT(O251/20), "")</f>
        <v/>
      </c>
      <c r="T251" s="11">
        <f>IF(INT(P251/20)&gt;INT(P250/20), "Lần " &amp; INT(P251/20), "")</f>
        <v/>
      </c>
      <c r="U251" s="25">
        <f>IF(INT(Q251/20)&gt;INT(Q250/20), "Lần " &amp; INT(Q251/20), "")</f>
        <v/>
      </c>
      <c r="V251" s="6" t="inlineStr"/>
      <c r="W251" s="6" t="inlineStr">
        <is>
          <t>ĐẠT TCVN 1651:2018</t>
        </is>
      </c>
    </row>
    <row r="252" ht="20" customHeight="1">
      <c r="A252" s="18" t="inlineStr">
        <is>
          <t>--- CỌC KHOAN NHỒI C3 TRỤ T2 (D1.2M, L=30.0M) ---</t>
        </is>
      </c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</row>
    <row r="253" ht="19" customHeight="1">
      <c r="A253" s="6" t="n">
        <v>232</v>
      </c>
      <c r="B253" s="7" t="inlineStr">
        <is>
          <t>Cọc khoan nhồi C3 Trụ T2 (D1.2m, L=30.0m)</t>
        </is>
      </c>
      <c r="C253" s="7" t="inlineStr">
        <is>
          <t>Thép đai xoắn lồng cọc</t>
        </is>
      </c>
      <c r="D253" s="19" t="inlineStr">
        <is>
          <t>P1</t>
        </is>
      </c>
      <c r="E253" s="20" t="n">
        <v>10</v>
      </c>
      <c r="F253" s="6" t="inlineStr">
        <is>
          <t>CB240-T</t>
        </is>
      </c>
      <c r="G253" s="7" t="inlineStr">
        <is>
          <t>Đai xoắn tròn</t>
        </is>
      </c>
      <c r="H253" s="21" t="n">
        <v>96.604</v>
      </c>
      <c r="I253" s="22" t="n">
        <v>1</v>
      </c>
      <c r="J253" s="23" t="n">
        <v>0.617</v>
      </c>
      <c r="K253" s="9">
        <f>ROUND(H253*I253*J253, 2)</f>
        <v/>
      </c>
      <c r="L253" s="24">
        <f>ROUND(K253/1000, 3)</f>
        <v/>
      </c>
      <c r="M253" s="8" t="n"/>
      <c r="N253" s="21">
        <f>ROUND(N251 + IF(AND(E253&lt;=10, F253&lt;&gt;"ASTM A416"), L253, 0), 3)</f>
        <v/>
      </c>
      <c r="O253" s="21">
        <f>ROUND(O251 + IF(AND(E253&gt;10, E253&lt;=18, F253&lt;&gt;"ASTM A416"), L253, 0), 3)</f>
        <v/>
      </c>
      <c r="P253" s="21">
        <f>ROUND(P251 + IF(AND(E253&gt;18, F253&lt;&gt;"ASTM A416"), L253, 0), 3)</f>
        <v/>
      </c>
      <c r="Q253" s="21">
        <f>ROUND(Q251 + IF(F253="ASTM A416", L253, 0), 3)</f>
        <v/>
      </c>
      <c r="R253" s="11">
        <f>IF(INT(N253/20)&gt;INT(N251/20), "Lần " &amp; INT(N253/20), "")</f>
        <v/>
      </c>
      <c r="S253" s="12">
        <f>IF(INT(O253/20)&gt;INT(O251/20), "Lần " &amp; INT(O253/20), "")</f>
        <v/>
      </c>
      <c r="T253" s="11">
        <f>IF(INT(P253/20)&gt;INT(P251/20), "Lần " &amp; INT(P253/20), "")</f>
        <v/>
      </c>
      <c r="U253" s="25">
        <f>IF(INT(Q253/20)&gt;INT(Q251/20), "Lần " &amp; INT(Q253/20), "")</f>
        <v/>
      </c>
      <c r="V253" s="6" t="inlineStr"/>
      <c r="W253" s="6" t="inlineStr">
        <is>
          <t>ĐẠT TCVN 1651:2018</t>
        </is>
      </c>
    </row>
    <row r="254" ht="19" customHeight="1">
      <c r="A254" s="6" t="n">
        <v>233</v>
      </c>
      <c r="B254" s="7" t="inlineStr">
        <is>
          <t>Cọc khoan nhồi C3 Trụ T2 (D1.2m, L=30.0m)</t>
        </is>
      </c>
      <c r="C254" s="7" t="inlineStr">
        <is>
          <t>Thép đai xoắn lồng cọc</t>
        </is>
      </c>
      <c r="D254" s="19" t="inlineStr">
        <is>
          <t>P1A</t>
        </is>
      </c>
      <c r="E254" s="20" t="n">
        <v>10</v>
      </c>
      <c r="F254" s="6" t="inlineStr">
        <is>
          <t>CB240-T</t>
        </is>
      </c>
      <c r="G254" s="7" t="inlineStr">
        <is>
          <t>Đai xoắn tròn</t>
        </is>
      </c>
      <c r="H254" s="21" t="n">
        <v>389.636</v>
      </c>
      <c r="I254" s="22" t="n">
        <v>1</v>
      </c>
      <c r="J254" s="23" t="n">
        <v>0.617</v>
      </c>
      <c r="K254" s="9">
        <f>ROUND(H254*I254*J254, 2)</f>
        <v/>
      </c>
      <c r="L254" s="24">
        <f>ROUND(K254/1000, 3)</f>
        <v/>
      </c>
      <c r="M254" s="8" t="n"/>
      <c r="N254" s="21">
        <f>ROUND(N253 + IF(AND(E254&lt;=10, F254&lt;&gt;"ASTM A416"), L254, 0), 3)</f>
        <v/>
      </c>
      <c r="O254" s="21">
        <f>ROUND(O253 + IF(AND(E254&gt;10, E254&lt;=18, F254&lt;&gt;"ASTM A416"), L254, 0), 3)</f>
        <v/>
      </c>
      <c r="P254" s="21">
        <f>ROUND(P253 + IF(AND(E254&gt;18, F254&lt;&gt;"ASTM A416"), L254, 0), 3)</f>
        <v/>
      </c>
      <c r="Q254" s="21">
        <f>ROUND(Q253 + IF(F254="ASTM A416", L254, 0), 3)</f>
        <v/>
      </c>
      <c r="R254" s="11">
        <f>IF(INT(N254/20)&gt;INT(N253/20), "Lần " &amp; INT(N254/20), "")</f>
        <v/>
      </c>
      <c r="S254" s="12">
        <f>IF(INT(O254/20)&gt;INT(O253/20), "Lần " &amp; INT(O254/20), "")</f>
        <v/>
      </c>
      <c r="T254" s="11">
        <f>IF(INT(P254/20)&gt;INT(P253/20), "Lần " &amp; INT(P254/20), "")</f>
        <v/>
      </c>
      <c r="U254" s="25">
        <f>IF(INT(Q254/20)&gt;INT(Q253/20), "Lần " &amp; INT(Q254/20), "")</f>
        <v/>
      </c>
      <c r="V254" s="6" t="inlineStr"/>
      <c r="W254" s="6" t="inlineStr">
        <is>
          <t>ĐẠT TCVN 1651:2018</t>
        </is>
      </c>
    </row>
    <row r="255" ht="19" customHeight="1">
      <c r="A255" s="6" t="n">
        <v>234</v>
      </c>
      <c r="B255" s="7" t="inlineStr">
        <is>
          <t>Cọc khoan nhồi C3 Trụ T2 (D1.2m, L=30.0m)</t>
        </is>
      </c>
      <c r="C255" s="7" t="inlineStr">
        <is>
          <t>Thép đai xoắn lồng cọc</t>
        </is>
      </c>
      <c r="D255" s="19" t="inlineStr">
        <is>
          <t>P1B</t>
        </is>
      </c>
      <c r="E255" s="20" t="n">
        <v>10</v>
      </c>
      <c r="F255" s="6" t="inlineStr">
        <is>
          <t>CB240-T</t>
        </is>
      </c>
      <c r="G255" s="7" t="inlineStr">
        <is>
          <t>Đai xoắn tròn</t>
        </is>
      </c>
      <c r="H255" s="21" t="n">
        <v>100.256</v>
      </c>
      <c r="I255" s="22" t="n">
        <v>1</v>
      </c>
      <c r="J255" s="23" t="n">
        <v>0.617</v>
      </c>
      <c r="K255" s="9">
        <f>ROUND(H255*I255*J255, 2)</f>
        <v/>
      </c>
      <c r="L255" s="24">
        <f>ROUND(K255/1000, 3)</f>
        <v/>
      </c>
      <c r="M255" s="8" t="n"/>
      <c r="N255" s="21">
        <f>ROUND(N254 + IF(AND(E255&lt;=10, F255&lt;&gt;"ASTM A416"), L255, 0), 3)</f>
        <v/>
      </c>
      <c r="O255" s="21">
        <f>ROUND(O254 + IF(AND(E255&gt;10, E255&lt;=18, F255&lt;&gt;"ASTM A416"), L255, 0), 3)</f>
        <v/>
      </c>
      <c r="P255" s="21">
        <f>ROUND(P254 + IF(AND(E255&gt;18, F255&lt;&gt;"ASTM A416"), L255, 0), 3)</f>
        <v/>
      </c>
      <c r="Q255" s="21">
        <f>ROUND(Q254 + IF(F255="ASTM A416", L255, 0), 3)</f>
        <v/>
      </c>
      <c r="R255" s="11">
        <f>IF(INT(N255/20)&gt;INT(N254/20), "Lần " &amp; INT(N255/20), "")</f>
        <v/>
      </c>
      <c r="S255" s="12">
        <f>IF(INT(O255/20)&gt;INT(O254/20), "Lần " &amp; INT(O255/20), "")</f>
        <v/>
      </c>
      <c r="T255" s="11">
        <f>IF(INT(P255/20)&gt;INT(P254/20), "Lần " &amp; INT(P255/20), "")</f>
        <v/>
      </c>
      <c r="U255" s="25">
        <f>IF(INT(Q255/20)&gt;INT(Q254/20), "Lần " &amp; INT(Q255/20), "")</f>
        <v/>
      </c>
      <c r="V255" s="6" t="inlineStr"/>
      <c r="W255" s="6" t="inlineStr">
        <is>
          <t>ĐẠT TCVN 1651:2018</t>
        </is>
      </c>
    </row>
    <row r="256" ht="19" customHeight="1">
      <c r="A256" s="6" t="n">
        <v>235</v>
      </c>
      <c r="B256" s="7" t="inlineStr">
        <is>
          <t>Cọc khoan nhồi C3 Trụ T2 (D1.2m, L=30.0m)</t>
        </is>
      </c>
      <c r="C256" s="7" t="inlineStr">
        <is>
          <t>Thép đai xoắn lồng cọc</t>
        </is>
      </c>
      <c r="D256" s="19" t="inlineStr">
        <is>
          <t>P1C</t>
        </is>
      </c>
      <c r="E256" s="20" t="n">
        <v>10</v>
      </c>
      <c r="F256" s="6" t="inlineStr">
        <is>
          <t>CB240-T</t>
        </is>
      </c>
      <c r="G256" s="7" t="inlineStr">
        <is>
          <t>Đai xoắn tròn</t>
        </is>
      </c>
      <c r="H256" s="21" t="n">
        <v>3.592</v>
      </c>
      <c r="I256" s="22" t="n">
        <v>2</v>
      </c>
      <c r="J256" s="23" t="n">
        <v>0.617</v>
      </c>
      <c r="K256" s="9">
        <f>ROUND(H256*I256*J256, 2)</f>
        <v/>
      </c>
      <c r="L256" s="24">
        <f>ROUND(K256/1000, 3)</f>
        <v/>
      </c>
      <c r="M256" s="8" t="n"/>
      <c r="N256" s="21">
        <f>ROUND(N255 + IF(AND(E256&lt;=10, F256&lt;&gt;"ASTM A416"), L256, 0), 3)</f>
        <v/>
      </c>
      <c r="O256" s="21">
        <f>ROUND(O255 + IF(AND(E256&gt;10, E256&lt;=18, F256&lt;&gt;"ASTM A416"), L256, 0), 3)</f>
        <v/>
      </c>
      <c r="P256" s="21">
        <f>ROUND(P255 + IF(AND(E256&gt;18, F256&lt;&gt;"ASTM A416"), L256, 0), 3)</f>
        <v/>
      </c>
      <c r="Q256" s="21">
        <f>ROUND(Q255 + IF(F256="ASTM A416", L256, 0), 3)</f>
        <v/>
      </c>
      <c r="R256" s="11">
        <f>IF(INT(N256/20)&gt;INT(N255/20), "Lần " &amp; INT(N256/20), "")</f>
        <v/>
      </c>
      <c r="S256" s="12">
        <f>IF(INT(O256/20)&gt;INT(O255/20), "Lần " &amp; INT(O256/20), "")</f>
        <v/>
      </c>
      <c r="T256" s="11">
        <f>IF(INT(P256/20)&gt;INT(P255/20), "Lần " &amp; INT(P256/20), "")</f>
        <v/>
      </c>
      <c r="U256" s="25">
        <f>IF(INT(Q256/20)&gt;INT(Q255/20), "Lần " &amp; INT(Q256/20), "")</f>
        <v/>
      </c>
      <c r="V256" s="6" t="inlineStr"/>
      <c r="W256" s="6" t="inlineStr">
        <is>
          <t>ĐẠT TCVN 1651:2018</t>
        </is>
      </c>
    </row>
    <row r="257" ht="19" customHeight="1">
      <c r="A257" s="6" t="n">
        <v>236</v>
      </c>
      <c r="B257" s="7" t="inlineStr">
        <is>
          <t>Cọc khoan nhồi C3 Trụ T2 (D1.2m, L=30.0m)</t>
        </is>
      </c>
      <c r="C257" s="7" t="inlineStr">
        <is>
          <t>Thép đai xoắn lồng cọc</t>
        </is>
      </c>
      <c r="D257" s="19" t="inlineStr">
        <is>
          <t>P1D</t>
        </is>
      </c>
      <c r="E257" s="20" t="n">
        <v>10</v>
      </c>
      <c r="F257" s="6" t="inlineStr">
        <is>
          <t>CB240-T</t>
        </is>
      </c>
      <c r="G257" s="7" t="inlineStr">
        <is>
          <t>Đai xoắn tròn</t>
        </is>
      </c>
      <c r="H257" s="21" t="n">
        <v>19.721</v>
      </c>
      <c r="I257" s="22" t="n">
        <v>1</v>
      </c>
      <c r="J257" s="23" t="n">
        <v>0.617</v>
      </c>
      <c r="K257" s="9">
        <f>ROUND(H257*I257*J257, 2)</f>
        <v/>
      </c>
      <c r="L257" s="24">
        <f>ROUND(K257/1000, 3)</f>
        <v/>
      </c>
      <c r="M257" s="8" t="n"/>
      <c r="N257" s="21">
        <f>ROUND(N256 + IF(AND(E257&lt;=10, F257&lt;&gt;"ASTM A416"), L257, 0), 3)</f>
        <v/>
      </c>
      <c r="O257" s="21">
        <f>ROUND(O256 + IF(AND(E257&gt;10, E257&lt;=18, F257&lt;&gt;"ASTM A416"), L257, 0), 3)</f>
        <v/>
      </c>
      <c r="P257" s="21">
        <f>ROUND(P256 + IF(AND(E257&gt;18, F257&lt;&gt;"ASTM A416"), L257, 0), 3)</f>
        <v/>
      </c>
      <c r="Q257" s="21">
        <f>ROUND(Q256 + IF(F257="ASTM A416", L257, 0), 3)</f>
        <v/>
      </c>
      <c r="R257" s="11">
        <f>IF(INT(N257/20)&gt;INT(N256/20), "Lần " &amp; INT(N257/20), "")</f>
        <v/>
      </c>
      <c r="S257" s="12">
        <f>IF(INT(O257/20)&gt;INT(O256/20), "Lần " &amp; INT(O257/20), "")</f>
        <v/>
      </c>
      <c r="T257" s="11">
        <f>IF(INT(P257/20)&gt;INT(P256/20), "Lần " &amp; INT(P257/20), "")</f>
        <v/>
      </c>
      <c r="U257" s="25">
        <f>IF(INT(Q257/20)&gt;INT(Q256/20), "Lần " &amp; INT(Q257/20), "")</f>
        <v/>
      </c>
      <c r="V257" s="6" t="inlineStr"/>
      <c r="W257" s="6" t="inlineStr">
        <is>
          <t>ĐẠT TCVN 1651:2018</t>
        </is>
      </c>
    </row>
    <row r="258" ht="19" customHeight="1">
      <c r="A258" s="6" t="n">
        <v>237</v>
      </c>
      <c r="B258" s="7" t="inlineStr">
        <is>
          <t>Cọc khoan nhồi C3 Trụ T2 (D1.2m, L=30.0m)</t>
        </is>
      </c>
      <c r="C258" s="7" t="inlineStr">
        <is>
          <t>Cốt thép chủ chịu lực cọc</t>
        </is>
      </c>
      <c r="D258" s="19" t="inlineStr">
        <is>
          <t>P2B</t>
        </is>
      </c>
      <c r="E258" s="20" t="n">
        <v>25</v>
      </c>
      <c r="F258" s="6" t="inlineStr">
        <is>
          <t>CB400-V</t>
        </is>
      </c>
      <c r="G258" s="7" t="inlineStr">
        <is>
          <t>Thanh thẳng nối ren/hàn</t>
        </is>
      </c>
      <c r="H258" s="21" t="n">
        <v>2.985</v>
      </c>
      <c r="I258" s="22" t="n">
        <v>12</v>
      </c>
      <c r="J258" s="23" t="n">
        <v>3.85</v>
      </c>
      <c r="K258" s="9">
        <f>ROUND(H258*I258*J258, 2)</f>
        <v/>
      </c>
      <c r="L258" s="24">
        <f>ROUND(K258/1000, 3)</f>
        <v/>
      </c>
      <c r="M258" s="8" t="n"/>
      <c r="N258" s="21">
        <f>ROUND(N257 + IF(AND(E258&lt;=10, F258&lt;&gt;"ASTM A416"), L258, 0), 3)</f>
        <v/>
      </c>
      <c r="O258" s="21">
        <f>ROUND(O257 + IF(AND(E258&gt;10, E258&lt;=18, F258&lt;&gt;"ASTM A416"), L258, 0), 3)</f>
        <v/>
      </c>
      <c r="P258" s="21">
        <f>ROUND(P257 + IF(AND(E258&gt;18, F258&lt;&gt;"ASTM A416"), L258, 0), 3)</f>
        <v/>
      </c>
      <c r="Q258" s="21">
        <f>ROUND(Q257 + IF(F258="ASTM A416", L258, 0), 3)</f>
        <v/>
      </c>
      <c r="R258" s="11">
        <f>IF(INT(N258/20)&gt;INT(N257/20), "Lần " &amp; INT(N258/20), "")</f>
        <v/>
      </c>
      <c r="S258" s="12">
        <f>IF(INT(O258/20)&gt;INT(O257/20), "Lần " &amp; INT(O258/20), "")</f>
        <v/>
      </c>
      <c r="T258" s="11">
        <f>IF(INT(P258/20)&gt;INT(P257/20), "Lần " &amp; INT(P258/20), "")</f>
        <v/>
      </c>
      <c r="U258" s="25">
        <f>IF(INT(Q258/20)&gt;INT(Q257/20), "Lần " &amp; INT(Q258/20), "")</f>
        <v/>
      </c>
      <c r="V258" s="6" t="inlineStr"/>
      <c r="W258" s="6" t="inlineStr">
        <is>
          <t>ĐẠT TCVN 1651:2018</t>
        </is>
      </c>
    </row>
    <row r="259" ht="19" customHeight="1">
      <c r="A259" s="6" t="n">
        <v>238</v>
      </c>
      <c r="B259" s="7" t="inlineStr">
        <is>
          <t>Cọc khoan nhồi C3 Trụ T2 (D1.2m, L=30.0m)</t>
        </is>
      </c>
      <c r="C259" s="7" t="inlineStr">
        <is>
          <t>Cốt thép chủ chịu lực cọc</t>
        </is>
      </c>
      <c r="D259" s="19" t="inlineStr">
        <is>
          <t>P3</t>
        </is>
      </c>
      <c r="E259" s="20" t="n">
        <v>25</v>
      </c>
      <c r="F259" s="6" t="inlineStr">
        <is>
          <t>CB400-V</t>
        </is>
      </c>
      <c r="G259" s="7" t="inlineStr">
        <is>
          <t>Thanh thẳng nối ren/hàn</t>
        </is>
      </c>
      <c r="H259" s="21" t="n">
        <v>10.7</v>
      </c>
      <c r="I259" s="22" t="n">
        <v>12</v>
      </c>
      <c r="J259" s="23" t="n">
        <v>3.85</v>
      </c>
      <c r="K259" s="9">
        <f>ROUND(H259*I259*J259, 2)</f>
        <v/>
      </c>
      <c r="L259" s="24">
        <f>ROUND(K259/1000, 3)</f>
        <v/>
      </c>
      <c r="M259" s="8" t="n"/>
      <c r="N259" s="21">
        <f>ROUND(N258 + IF(AND(E259&lt;=10, F259&lt;&gt;"ASTM A416"), L259, 0), 3)</f>
        <v/>
      </c>
      <c r="O259" s="21">
        <f>ROUND(O258 + IF(AND(E259&gt;10, E259&lt;=18, F259&lt;&gt;"ASTM A416"), L259, 0), 3)</f>
        <v/>
      </c>
      <c r="P259" s="21">
        <f>ROUND(P258 + IF(AND(E259&gt;18, F259&lt;&gt;"ASTM A416"), L259, 0), 3)</f>
        <v/>
      </c>
      <c r="Q259" s="21">
        <f>ROUND(Q258 + IF(F259="ASTM A416", L259, 0), 3)</f>
        <v/>
      </c>
      <c r="R259" s="11">
        <f>IF(INT(N259/20)&gt;INT(N258/20), "Lần " &amp; INT(N259/20), "")</f>
        <v/>
      </c>
      <c r="S259" s="12">
        <f>IF(INT(O259/20)&gt;INT(O258/20), "Lần " &amp; INT(O259/20), "")</f>
        <v/>
      </c>
      <c r="T259" s="11">
        <f>IF(INT(P259/20)&gt;INT(P258/20), "Lần " &amp; INT(P259/20), "")</f>
        <v/>
      </c>
      <c r="U259" s="25">
        <f>IF(INT(Q259/20)&gt;INT(Q258/20), "Lần " &amp; INT(Q259/20), "")</f>
        <v/>
      </c>
      <c r="V259" s="6" t="inlineStr"/>
      <c r="W259" s="6" t="inlineStr">
        <is>
          <t>ĐẠT TCVN 1651:2018</t>
        </is>
      </c>
    </row>
    <row r="260" ht="19" customHeight="1">
      <c r="A260" s="6" t="n">
        <v>239</v>
      </c>
      <c r="B260" s="7" t="inlineStr">
        <is>
          <t>Cọc khoan nhồi C3 Trụ T2 (D1.2m, L=30.0m)</t>
        </is>
      </c>
      <c r="C260" s="7" t="inlineStr">
        <is>
          <t>Cốt thép chủ chịu lực cọc</t>
        </is>
      </c>
      <c r="D260" s="19" t="inlineStr">
        <is>
          <t>P4</t>
        </is>
      </c>
      <c r="E260" s="20" t="n">
        <v>25</v>
      </c>
      <c r="F260" s="6" t="inlineStr">
        <is>
          <t>CB400-V</t>
        </is>
      </c>
      <c r="G260" s="7" t="inlineStr">
        <is>
          <t>Thanh thẳng nối ren/hàn</t>
        </is>
      </c>
      <c r="H260" s="21" t="n">
        <v>11.7</v>
      </c>
      <c r="I260" s="22" t="n">
        <v>36</v>
      </c>
      <c r="J260" s="23" t="n">
        <v>3.85</v>
      </c>
      <c r="K260" s="9">
        <f>ROUND(H260*I260*J260, 2)</f>
        <v/>
      </c>
      <c r="L260" s="24">
        <f>ROUND(K260/1000, 3)</f>
        <v/>
      </c>
      <c r="M260" s="8" t="n"/>
      <c r="N260" s="21">
        <f>ROUND(N259 + IF(AND(E260&lt;=10, F260&lt;&gt;"ASTM A416"), L260, 0), 3)</f>
        <v/>
      </c>
      <c r="O260" s="21">
        <f>ROUND(O259 + IF(AND(E260&gt;10, E260&lt;=18, F260&lt;&gt;"ASTM A416"), L260, 0), 3)</f>
        <v/>
      </c>
      <c r="P260" s="21">
        <f>ROUND(P259 + IF(AND(E260&gt;18, F260&lt;&gt;"ASTM A416"), L260, 0), 3)</f>
        <v/>
      </c>
      <c r="Q260" s="21">
        <f>ROUND(Q259 + IF(F260="ASTM A416", L260, 0), 3)</f>
        <v/>
      </c>
      <c r="R260" s="11">
        <f>IF(INT(N260/20)&gt;INT(N259/20), "Lần " &amp; INT(N260/20), "")</f>
        <v/>
      </c>
      <c r="S260" s="12">
        <f>IF(INT(O260/20)&gt;INT(O259/20), "Lần " &amp; INT(O260/20), "")</f>
        <v/>
      </c>
      <c r="T260" s="11">
        <f>IF(INT(P260/20)&gt;INT(P259/20), "Lần " &amp; INT(P260/20), "")</f>
        <v/>
      </c>
      <c r="U260" s="25">
        <f>IF(INT(Q260/20)&gt;INT(Q259/20), "Lần " &amp; INT(Q260/20), "")</f>
        <v/>
      </c>
      <c r="V260" s="6" t="inlineStr"/>
      <c r="W260" s="6" t="inlineStr">
        <is>
          <t>ĐẠT TCVN 1651:2018</t>
        </is>
      </c>
    </row>
    <row r="261" ht="19" customHeight="1">
      <c r="A261" s="6" t="n">
        <v>240</v>
      </c>
      <c r="B261" s="7" t="inlineStr">
        <is>
          <t>Cọc khoan nhồi C3 Trụ T2 (D1.2m, L=30.0m)</t>
        </is>
      </c>
      <c r="C261" s="7" t="inlineStr">
        <is>
          <t>Cốt thép chủ chịu lực cọc</t>
        </is>
      </c>
      <c r="D261" s="19" t="inlineStr">
        <is>
          <t>P6</t>
        </is>
      </c>
      <c r="E261" s="20" t="n">
        <v>25</v>
      </c>
      <c r="F261" s="6" t="inlineStr">
        <is>
          <t>CB400-V</t>
        </is>
      </c>
      <c r="G261" s="7" t="inlineStr">
        <is>
          <t>Thanh thẳng nối ren/hàn</t>
        </is>
      </c>
      <c r="H261" s="21" t="n">
        <v>9.733000000000001</v>
      </c>
      <c r="I261" s="22" t="n">
        <v>12</v>
      </c>
      <c r="J261" s="23" t="n">
        <v>3.85</v>
      </c>
      <c r="K261" s="9">
        <f>ROUND(H261*I261*J261, 2)</f>
        <v/>
      </c>
      <c r="L261" s="24">
        <f>ROUND(K261/1000, 3)</f>
        <v/>
      </c>
      <c r="M261" s="8" t="n"/>
      <c r="N261" s="21">
        <f>ROUND(N260 + IF(AND(E261&lt;=10, F261&lt;&gt;"ASTM A416"), L261, 0), 3)</f>
        <v/>
      </c>
      <c r="O261" s="21">
        <f>ROUND(O260 + IF(AND(E261&gt;10, E261&lt;=18, F261&lt;&gt;"ASTM A416"), L261, 0), 3)</f>
        <v/>
      </c>
      <c r="P261" s="21">
        <f>ROUND(P260 + IF(AND(E261&gt;18, F261&lt;&gt;"ASTM A416"), L261, 0), 3)</f>
        <v/>
      </c>
      <c r="Q261" s="21">
        <f>ROUND(Q260 + IF(F261="ASTM A416", L261, 0), 3)</f>
        <v/>
      </c>
      <c r="R261" s="11">
        <f>IF(INT(N261/20)&gt;INT(N260/20), "Lần " &amp; INT(N261/20), "")</f>
        <v/>
      </c>
      <c r="S261" s="12">
        <f>IF(INT(O261/20)&gt;INT(O260/20), "Lần " &amp; INT(O261/20), "")</f>
        <v/>
      </c>
      <c r="T261" s="11">
        <f>IF(INT(P261/20)&gt;INT(P260/20), "Lần " &amp; INT(P261/20), "")</f>
        <v/>
      </c>
      <c r="U261" s="25">
        <f>IF(INT(Q261/20)&gt;INT(Q260/20), "Lần " &amp; INT(Q261/20), "")</f>
        <v/>
      </c>
      <c r="V261" s="6" t="inlineStr"/>
      <c r="W261" s="6" t="inlineStr">
        <is>
          <t>ĐẠT TCVN 1651:2018</t>
        </is>
      </c>
    </row>
    <row r="262" ht="19" customHeight="1">
      <c r="A262" s="6" t="n">
        <v>241</v>
      </c>
      <c r="B262" s="7" t="inlineStr">
        <is>
          <t>Cọc khoan nhồi C3 Trụ T2 (D1.2m, L=30.0m)</t>
        </is>
      </c>
      <c r="C262" s="7" t="inlineStr">
        <is>
          <t>Cốt thép chủ chịu lực cọc</t>
        </is>
      </c>
      <c r="D262" s="19" t="inlineStr">
        <is>
          <t>P7</t>
        </is>
      </c>
      <c r="E262" s="20" t="n">
        <v>25</v>
      </c>
      <c r="F262" s="6" t="inlineStr">
        <is>
          <t>CB400-V</t>
        </is>
      </c>
      <c r="G262" s="7" t="inlineStr">
        <is>
          <t>Thanh thẳng nối ren/hàn</t>
        </is>
      </c>
      <c r="H262" s="21" t="n">
        <v>10.733</v>
      </c>
      <c r="I262" s="22" t="n">
        <v>12</v>
      </c>
      <c r="J262" s="23" t="n">
        <v>3.85</v>
      </c>
      <c r="K262" s="9">
        <f>ROUND(H262*I262*J262, 2)</f>
        <v/>
      </c>
      <c r="L262" s="24">
        <f>ROUND(K262/1000, 3)</f>
        <v/>
      </c>
      <c r="M262" s="8" t="n"/>
      <c r="N262" s="21">
        <f>ROUND(N261 + IF(AND(E262&lt;=10, F262&lt;&gt;"ASTM A416"), L262, 0), 3)</f>
        <v/>
      </c>
      <c r="O262" s="21">
        <f>ROUND(O261 + IF(AND(E262&gt;10, E262&lt;=18, F262&lt;&gt;"ASTM A416"), L262, 0), 3)</f>
        <v/>
      </c>
      <c r="P262" s="21">
        <f>ROUND(P261 + IF(AND(E262&gt;18, F262&lt;&gt;"ASTM A416"), L262, 0), 3)</f>
        <v/>
      </c>
      <c r="Q262" s="21">
        <f>ROUND(Q261 + IF(F262="ASTM A416", L262, 0), 3)</f>
        <v/>
      </c>
      <c r="R262" s="11">
        <f>IF(INT(N262/20)&gt;INT(N261/20), "Lần " &amp; INT(N262/20), "")</f>
        <v/>
      </c>
      <c r="S262" s="12">
        <f>IF(INT(O262/20)&gt;INT(O261/20), "Lần " &amp; INT(O262/20), "")</f>
        <v/>
      </c>
      <c r="T262" s="11">
        <f>IF(INT(P262/20)&gt;INT(P261/20), "Lần " &amp; INT(P262/20), "")</f>
        <v/>
      </c>
      <c r="U262" s="25">
        <f>IF(INT(Q262/20)&gt;INT(Q261/20), "Lần " &amp; INT(Q262/20), "")</f>
        <v/>
      </c>
      <c r="V262" s="6" t="inlineStr"/>
      <c r="W262" s="6" t="inlineStr">
        <is>
          <t>ĐẠT TCVN 1651:2018</t>
        </is>
      </c>
    </row>
    <row r="263" ht="19" customHeight="1">
      <c r="A263" s="6" t="n">
        <v>242</v>
      </c>
      <c r="B263" s="7" t="inlineStr">
        <is>
          <t>Cọc khoan nhồi C3 Trụ T2 (D1.2m, L=30.0m)</t>
        </is>
      </c>
      <c r="C263" s="7" t="inlineStr">
        <is>
          <t>Đai tăng cường / Con kê bảo vệ</t>
        </is>
      </c>
      <c r="D263" s="19" t="inlineStr">
        <is>
          <t>P8</t>
        </is>
      </c>
      <c r="E263" s="20" t="n">
        <v>12</v>
      </c>
      <c r="F263" s="6" t="inlineStr">
        <is>
          <t>CB400-V</t>
        </is>
      </c>
      <c r="G263" s="7" t="inlineStr">
        <is>
          <t>Móc neo / Vòng đai</t>
        </is>
      </c>
      <c r="H263" s="21" t="n">
        <v>0.647</v>
      </c>
      <c r="I263" s="22" t="n">
        <v>12</v>
      </c>
      <c r="J263" s="23" t="n">
        <v>0.888</v>
      </c>
      <c r="K263" s="9">
        <f>ROUND(H263*I263*J263, 2)</f>
        <v/>
      </c>
      <c r="L263" s="24">
        <f>ROUND(K263/1000, 3)</f>
        <v/>
      </c>
      <c r="M263" s="8" t="n"/>
      <c r="N263" s="21">
        <f>ROUND(N262 + IF(AND(E263&lt;=10, F263&lt;&gt;"ASTM A416"), L263, 0), 3)</f>
        <v/>
      </c>
      <c r="O263" s="21">
        <f>ROUND(O262 + IF(AND(E263&gt;10, E263&lt;=18, F263&lt;&gt;"ASTM A416"), L263, 0), 3)</f>
        <v/>
      </c>
      <c r="P263" s="21">
        <f>ROUND(P262 + IF(AND(E263&gt;18, F263&lt;&gt;"ASTM A416"), L263, 0), 3)</f>
        <v/>
      </c>
      <c r="Q263" s="21">
        <f>ROUND(Q262 + IF(F263="ASTM A416", L263, 0), 3)</f>
        <v/>
      </c>
      <c r="R263" s="11">
        <f>IF(INT(N263/20)&gt;INT(N262/20), "Lần " &amp; INT(N263/20), "")</f>
        <v/>
      </c>
      <c r="S263" s="12">
        <f>IF(INT(O263/20)&gt;INT(O262/20), "Lần " &amp; INT(O263/20), "")</f>
        <v/>
      </c>
      <c r="T263" s="11">
        <f>IF(INT(P263/20)&gt;INT(P262/20), "Lần " &amp; INT(P263/20), "")</f>
        <v/>
      </c>
      <c r="U263" s="25">
        <f>IF(INT(Q263/20)&gt;INT(Q262/20), "Lần " &amp; INT(Q263/20), "")</f>
        <v/>
      </c>
      <c r="V263" s="6" t="inlineStr"/>
      <c r="W263" s="6" t="inlineStr">
        <is>
          <t>ĐẠT TCVN 1651:2018</t>
        </is>
      </c>
    </row>
    <row r="264" ht="19" customHeight="1">
      <c r="A264" s="6" t="n">
        <v>243</v>
      </c>
      <c r="B264" s="7" t="inlineStr">
        <is>
          <t>Cọc khoan nhồi C3 Trụ T2 (D1.2m, L=30.0m)</t>
        </is>
      </c>
      <c r="C264" s="7" t="inlineStr">
        <is>
          <t>Đai tăng cường / Con kê bảo vệ</t>
        </is>
      </c>
      <c r="D264" s="19" t="inlineStr">
        <is>
          <t>P9</t>
        </is>
      </c>
      <c r="E264" s="20" t="n">
        <v>12</v>
      </c>
      <c r="F264" s="6" t="inlineStr">
        <is>
          <t>CB400-V</t>
        </is>
      </c>
      <c r="G264" s="7" t="inlineStr">
        <is>
          <t>Móc neo / Vòng đai</t>
        </is>
      </c>
      <c r="H264" s="21" t="n">
        <v>0.379</v>
      </c>
      <c r="I264" s="22" t="n">
        <v>36</v>
      </c>
      <c r="J264" s="23" t="n">
        <v>0.888</v>
      </c>
      <c r="K264" s="9">
        <f>ROUND(H264*I264*J264, 2)</f>
        <v/>
      </c>
      <c r="L264" s="24">
        <f>ROUND(K264/1000, 3)</f>
        <v/>
      </c>
      <c r="M264" s="8" t="n"/>
      <c r="N264" s="21">
        <f>ROUND(N263 + IF(AND(E264&lt;=10, F264&lt;&gt;"ASTM A416"), L264, 0), 3)</f>
        <v/>
      </c>
      <c r="O264" s="21">
        <f>ROUND(O263 + IF(AND(E264&gt;10, E264&lt;=18, F264&lt;&gt;"ASTM A416"), L264, 0), 3)</f>
        <v/>
      </c>
      <c r="P264" s="21">
        <f>ROUND(P263 + IF(AND(E264&gt;18, F264&lt;&gt;"ASTM A416"), L264, 0), 3)</f>
        <v/>
      </c>
      <c r="Q264" s="21">
        <f>ROUND(Q263 + IF(F264="ASTM A416", L264, 0), 3)</f>
        <v/>
      </c>
      <c r="R264" s="11">
        <f>IF(INT(N264/20)&gt;INT(N263/20), "Lần " &amp; INT(N264/20), "")</f>
        <v/>
      </c>
      <c r="S264" s="12">
        <f>IF(INT(O264/20)&gt;INT(O263/20), "Lần " &amp; INT(O264/20), "")</f>
        <v/>
      </c>
      <c r="T264" s="11">
        <f>IF(INT(P264/20)&gt;INT(P263/20), "Lần " &amp; INT(P264/20), "")</f>
        <v/>
      </c>
      <c r="U264" s="25">
        <f>IF(INT(Q264/20)&gt;INT(Q263/20), "Lần " &amp; INT(Q264/20), "")</f>
        <v/>
      </c>
      <c r="V264" s="6" t="inlineStr"/>
      <c r="W264" s="6" t="inlineStr">
        <is>
          <t>ĐẠT TCVN 1651:2018</t>
        </is>
      </c>
    </row>
    <row r="265" ht="19" customHeight="1">
      <c r="A265" s="6" t="n">
        <v>244</v>
      </c>
      <c r="B265" s="7" t="inlineStr">
        <is>
          <t>Cọc khoan nhồi C3 Trụ T2 (D1.2m, L=30.0m)</t>
        </is>
      </c>
      <c r="C265" s="7" t="inlineStr">
        <is>
          <t>Thép đai xoắn lồng cọc</t>
        </is>
      </c>
      <c r="D265" s="19" t="inlineStr">
        <is>
          <t>P10</t>
        </is>
      </c>
      <c r="E265" s="20" t="n">
        <v>20</v>
      </c>
      <c r="F265" s="6" t="inlineStr">
        <is>
          <t>CB400-V</t>
        </is>
      </c>
      <c r="G265" s="7" t="inlineStr">
        <is>
          <t>Đai xoắn tròn</t>
        </is>
      </c>
      <c r="H265" s="21" t="n">
        <v>2.057</v>
      </c>
      <c r="I265" s="22" t="n">
        <v>1</v>
      </c>
      <c r="J265" s="23" t="n">
        <v>2.47</v>
      </c>
      <c r="K265" s="9">
        <f>ROUND(H265*I265*J265, 2)</f>
        <v/>
      </c>
      <c r="L265" s="24">
        <f>ROUND(K265/1000, 3)</f>
        <v/>
      </c>
      <c r="M265" s="8" t="n"/>
      <c r="N265" s="21">
        <f>ROUND(N264 + IF(AND(E265&lt;=10, F265&lt;&gt;"ASTM A416"), L265, 0), 3)</f>
        <v/>
      </c>
      <c r="O265" s="21">
        <f>ROUND(O264 + IF(AND(E265&gt;10, E265&lt;=18, F265&lt;&gt;"ASTM A416"), L265, 0), 3)</f>
        <v/>
      </c>
      <c r="P265" s="21">
        <f>ROUND(P264 + IF(AND(E265&gt;18, F265&lt;&gt;"ASTM A416"), L265, 0), 3)</f>
        <v/>
      </c>
      <c r="Q265" s="21">
        <f>ROUND(Q264 + IF(F265="ASTM A416", L265, 0), 3)</f>
        <v/>
      </c>
      <c r="R265" s="11">
        <f>IF(INT(N265/20)&gt;INT(N264/20), "Lần " &amp; INT(N265/20), "")</f>
        <v/>
      </c>
      <c r="S265" s="12">
        <f>IF(INT(O265/20)&gt;INT(O264/20), "Lần " &amp; INT(O265/20), "")</f>
        <v/>
      </c>
      <c r="T265" s="11">
        <f>IF(INT(P265/20)&gt;INT(P264/20), "Lần " &amp; INT(P265/20), "")</f>
        <v/>
      </c>
      <c r="U265" s="25">
        <f>IF(INT(Q265/20)&gt;INT(Q264/20), "Lần " &amp; INT(Q265/20), "")</f>
        <v/>
      </c>
      <c r="V265" s="6" t="inlineStr"/>
      <c r="W265" s="6" t="inlineStr">
        <is>
          <t>ĐẠT TCVN 1651:2018</t>
        </is>
      </c>
    </row>
    <row r="266" ht="19" customHeight="1">
      <c r="A266" s="6" t="n">
        <v>245</v>
      </c>
      <c r="B266" s="7" t="inlineStr">
        <is>
          <t>Cọc khoan nhồi C3 Trụ T2 (D1.2m, L=30.0m)</t>
        </is>
      </c>
      <c r="C266" s="7" t="inlineStr">
        <is>
          <t>Thép đai xoắn lồng cọc</t>
        </is>
      </c>
      <c r="D266" s="19" t="inlineStr">
        <is>
          <t>P12</t>
        </is>
      </c>
      <c r="E266" s="20" t="n">
        <v>20</v>
      </c>
      <c r="F266" s="6" t="inlineStr">
        <is>
          <t>CB400-V</t>
        </is>
      </c>
      <c r="G266" s="7" t="inlineStr">
        <is>
          <t>Đai xoắn tròn</t>
        </is>
      </c>
      <c r="H266" s="21" t="n">
        <v>0.583</v>
      </c>
      <c r="I266" s="22" t="n">
        <v>48</v>
      </c>
      <c r="J266" s="23" t="n">
        <v>2.47</v>
      </c>
      <c r="K266" s="9">
        <f>ROUND(H266*I266*J266, 2)</f>
        <v/>
      </c>
      <c r="L266" s="24">
        <f>ROUND(K266/1000, 3)</f>
        <v/>
      </c>
      <c r="M266" s="8" t="n"/>
      <c r="N266" s="21">
        <f>ROUND(N265 + IF(AND(E266&lt;=10, F266&lt;&gt;"ASTM A416"), L266, 0), 3)</f>
        <v/>
      </c>
      <c r="O266" s="21">
        <f>ROUND(O265 + IF(AND(E266&gt;10, E266&lt;=18, F266&lt;&gt;"ASTM A416"), L266, 0), 3)</f>
        <v/>
      </c>
      <c r="P266" s="21">
        <f>ROUND(P265 + IF(AND(E266&gt;18, F266&lt;&gt;"ASTM A416"), L266, 0), 3)</f>
        <v/>
      </c>
      <c r="Q266" s="21">
        <f>ROUND(Q265 + IF(F266="ASTM A416", L266, 0), 3)</f>
        <v/>
      </c>
      <c r="R266" s="11">
        <f>IF(INT(N266/20)&gt;INT(N265/20), "Lần " &amp; INT(N266/20), "")</f>
        <v/>
      </c>
      <c r="S266" s="12">
        <f>IF(INT(O266/20)&gt;INT(O265/20), "Lần " &amp; INT(O266/20), "")</f>
        <v/>
      </c>
      <c r="T266" s="11">
        <f>IF(INT(P266/20)&gt;INT(P265/20), "Lần " &amp; INT(P266/20), "")</f>
        <v/>
      </c>
      <c r="U266" s="25">
        <f>IF(INT(Q266/20)&gt;INT(Q265/20), "Lần " &amp; INT(Q266/20), "")</f>
        <v/>
      </c>
      <c r="V266" s="6" t="inlineStr"/>
      <c r="W266" s="6" t="inlineStr">
        <is>
          <t>ĐẠT TCVN 1651:2018</t>
        </is>
      </c>
    </row>
    <row r="267" ht="20" customHeight="1">
      <c r="A267" s="18" t="inlineStr">
        <is>
          <t>--- CỌC KHOAN NHỒI C4 TRỤ T2 (D1.2M, L=30.0M) ---</t>
        </is>
      </c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</row>
    <row r="268" ht="19" customHeight="1">
      <c r="A268" s="6" t="n">
        <v>246</v>
      </c>
      <c r="B268" s="7" t="inlineStr">
        <is>
          <t>Cọc khoan nhồi C4 Trụ T2 (D1.2m, L=30.0m)</t>
        </is>
      </c>
      <c r="C268" s="7" t="inlineStr">
        <is>
          <t>Thép đai xoắn lồng cọc</t>
        </is>
      </c>
      <c r="D268" s="19" t="inlineStr">
        <is>
          <t>P1</t>
        </is>
      </c>
      <c r="E268" s="20" t="n">
        <v>10</v>
      </c>
      <c r="F268" s="6" t="inlineStr">
        <is>
          <t>CB240-T</t>
        </is>
      </c>
      <c r="G268" s="7" t="inlineStr">
        <is>
          <t>Đai xoắn tròn</t>
        </is>
      </c>
      <c r="H268" s="21" t="n">
        <v>96.604</v>
      </c>
      <c r="I268" s="22" t="n">
        <v>1</v>
      </c>
      <c r="J268" s="23" t="n">
        <v>0.617</v>
      </c>
      <c r="K268" s="9">
        <f>ROUND(H268*I268*J268, 2)</f>
        <v/>
      </c>
      <c r="L268" s="24">
        <f>ROUND(K268/1000, 3)</f>
        <v/>
      </c>
      <c r="M268" s="8" t="n"/>
      <c r="N268" s="21">
        <f>ROUND(N266 + IF(AND(E268&lt;=10, F268&lt;&gt;"ASTM A416"), L268, 0), 3)</f>
        <v/>
      </c>
      <c r="O268" s="21">
        <f>ROUND(O266 + IF(AND(E268&gt;10, E268&lt;=18, F268&lt;&gt;"ASTM A416"), L268, 0), 3)</f>
        <v/>
      </c>
      <c r="P268" s="21">
        <f>ROUND(P266 + IF(AND(E268&gt;18, F268&lt;&gt;"ASTM A416"), L268, 0), 3)</f>
        <v/>
      </c>
      <c r="Q268" s="21">
        <f>ROUND(Q266 + IF(F268="ASTM A416", L268, 0), 3)</f>
        <v/>
      </c>
      <c r="R268" s="11">
        <f>IF(INT(N268/20)&gt;INT(N266/20), "Lần " &amp; INT(N268/20), "")</f>
        <v/>
      </c>
      <c r="S268" s="12">
        <f>IF(INT(O268/20)&gt;INT(O266/20), "Lần " &amp; INT(O268/20), "")</f>
        <v/>
      </c>
      <c r="T268" s="11">
        <f>IF(INT(P268/20)&gt;INT(P266/20), "Lần " &amp; INT(P268/20), "")</f>
        <v/>
      </c>
      <c r="U268" s="25">
        <f>IF(INT(Q268/20)&gt;INT(Q266/20), "Lần " &amp; INT(Q268/20), "")</f>
        <v/>
      </c>
      <c r="V268" s="6" t="inlineStr"/>
      <c r="W268" s="6" t="inlineStr">
        <is>
          <t>ĐẠT TCVN 1651:2018</t>
        </is>
      </c>
    </row>
    <row r="269" ht="19" customHeight="1">
      <c r="A269" s="6" t="n">
        <v>247</v>
      </c>
      <c r="B269" s="7" t="inlineStr">
        <is>
          <t>Cọc khoan nhồi C4 Trụ T2 (D1.2m, L=30.0m)</t>
        </is>
      </c>
      <c r="C269" s="7" t="inlineStr">
        <is>
          <t>Thép đai xoắn lồng cọc</t>
        </is>
      </c>
      <c r="D269" s="19" t="inlineStr">
        <is>
          <t>P1A</t>
        </is>
      </c>
      <c r="E269" s="20" t="n">
        <v>10</v>
      </c>
      <c r="F269" s="6" t="inlineStr">
        <is>
          <t>CB240-T</t>
        </is>
      </c>
      <c r="G269" s="7" t="inlineStr">
        <is>
          <t>Đai xoắn tròn</t>
        </is>
      </c>
      <c r="H269" s="21" t="n">
        <v>389.636</v>
      </c>
      <c r="I269" s="22" t="n">
        <v>1</v>
      </c>
      <c r="J269" s="23" t="n">
        <v>0.617</v>
      </c>
      <c r="K269" s="9">
        <f>ROUND(H269*I269*J269, 2)</f>
        <v/>
      </c>
      <c r="L269" s="24">
        <f>ROUND(K269/1000, 3)</f>
        <v/>
      </c>
      <c r="M269" s="8" t="n"/>
      <c r="N269" s="21">
        <f>ROUND(N268 + IF(AND(E269&lt;=10, F269&lt;&gt;"ASTM A416"), L269, 0), 3)</f>
        <v/>
      </c>
      <c r="O269" s="21">
        <f>ROUND(O268 + IF(AND(E269&gt;10, E269&lt;=18, F269&lt;&gt;"ASTM A416"), L269, 0), 3)</f>
        <v/>
      </c>
      <c r="P269" s="21">
        <f>ROUND(P268 + IF(AND(E269&gt;18, F269&lt;&gt;"ASTM A416"), L269, 0), 3)</f>
        <v/>
      </c>
      <c r="Q269" s="21">
        <f>ROUND(Q268 + IF(F269="ASTM A416", L269, 0), 3)</f>
        <v/>
      </c>
      <c r="R269" s="11">
        <f>IF(INT(N269/20)&gt;INT(N268/20), "Lần " &amp; INT(N269/20), "")</f>
        <v/>
      </c>
      <c r="S269" s="12">
        <f>IF(INT(O269/20)&gt;INT(O268/20), "Lần " &amp; INT(O269/20), "")</f>
        <v/>
      </c>
      <c r="T269" s="11">
        <f>IF(INT(P269/20)&gt;INT(P268/20), "Lần " &amp; INT(P269/20), "")</f>
        <v/>
      </c>
      <c r="U269" s="25">
        <f>IF(INT(Q269/20)&gt;INT(Q268/20), "Lần " &amp; INT(Q269/20), "")</f>
        <v/>
      </c>
      <c r="V269" s="6" t="inlineStr"/>
      <c r="W269" s="6" t="inlineStr">
        <is>
          <t>ĐẠT TCVN 1651:2018</t>
        </is>
      </c>
    </row>
    <row r="270" ht="19" customHeight="1">
      <c r="A270" s="6" t="n">
        <v>248</v>
      </c>
      <c r="B270" s="7" t="inlineStr">
        <is>
          <t>Cọc khoan nhồi C4 Trụ T2 (D1.2m, L=30.0m)</t>
        </is>
      </c>
      <c r="C270" s="7" t="inlineStr">
        <is>
          <t>Thép đai xoắn lồng cọc</t>
        </is>
      </c>
      <c r="D270" s="19" t="inlineStr">
        <is>
          <t>P1B</t>
        </is>
      </c>
      <c r="E270" s="20" t="n">
        <v>10</v>
      </c>
      <c r="F270" s="6" t="inlineStr">
        <is>
          <t>CB240-T</t>
        </is>
      </c>
      <c r="G270" s="7" t="inlineStr">
        <is>
          <t>Đai xoắn tròn</t>
        </is>
      </c>
      <c r="H270" s="21" t="n">
        <v>100.256</v>
      </c>
      <c r="I270" s="22" t="n">
        <v>1</v>
      </c>
      <c r="J270" s="23" t="n">
        <v>0.617</v>
      </c>
      <c r="K270" s="9">
        <f>ROUND(H270*I270*J270, 2)</f>
        <v/>
      </c>
      <c r="L270" s="24">
        <f>ROUND(K270/1000, 3)</f>
        <v/>
      </c>
      <c r="M270" s="8" t="n"/>
      <c r="N270" s="21">
        <f>ROUND(N269 + IF(AND(E270&lt;=10, F270&lt;&gt;"ASTM A416"), L270, 0), 3)</f>
        <v/>
      </c>
      <c r="O270" s="21">
        <f>ROUND(O269 + IF(AND(E270&gt;10, E270&lt;=18, F270&lt;&gt;"ASTM A416"), L270, 0), 3)</f>
        <v/>
      </c>
      <c r="P270" s="21">
        <f>ROUND(P269 + IF(AND(E270&gt;18, F270&lt;&gt;"ASTM A416"), L270, 0), 3)</f>
        <v/>
      </c>
      <c r="Q270" s="21">
        <f>ROUND(Q269 + IF(F270="ASTM A416", L270, 0), 3)</f>
        <v/>
      </c>
      <c r="R270" s="11">
        <f>IF(INT(N270/20)&gt;INT(N269/20), "Lần " &amp; INT(N270/20), "")</f>
        <v/>
      </c>
      <c r="S270" s="12">
        <f>IF(INT(O270/20)&gt;INT(O269/20), "Lần " &amp; INT(O270/20), "")</f>
        <v/>
      </c>
      <c r="T270" s="11">
        <f>IF(INT(P270/20)&gt;INT(P269/20), "Lần " &amp; INT(P270/20), "")</f>
        <v/>
      </c>
      <c r="U270" s="25">
        <f>IF(INT(Q270/20)&gt;INT(Q269/20), "Lần " &amp; INT(Q270/20), "")</f>
        <v/>
      </c>
      <c r="V270" s="6" t="inlineStr"/>
      <c r="W270" s="6" t="inlineStr">
        <is>
          <t>ĐẠT TCVN 1651:2018</t>
        </is>
      </c>
    </row>
    <row r="271" ht="19" customHeight="1">
      <c r="A271" s="6" t="n">
        <v>249</v>
      </c>
      <c r="B271" s="7" t="inlineStr">
        <is>
          <t>Cọc khoan nhồi C4 Trụ T2 (D1.2m, L=30.0m)</t>
        </is>
      </c>
      <c r="C271" s="7" t="inlineStr">
        <is>
          <t>Thép đai xoắn lồng cọc</t>
        </is>
      </c>
      <c r="D271" s="19" t="inlineStr">
        <is>
          <t>P1C</t>
        </is>
      </c>
      <c r="E271" s="20" t="n">
        <v>10</v>
      </c>
      <c r="F271" s="6" t="inlineStr">
        <is>
          <t>CB240-T</t>
        </is>
      </c>
      <c r="G271" s="7" t="inlineStr">
        <is>
          <t>Đai xoắn tròn</t>
        </is>
      </c>
      <c r="H271" s="21" t="n">
        <v>3.592</v>
      </c>
      <c r="I271" s="22" t="n">
        <v>2</v>
      </c>
      <c r="J271" s="23" t="n">
        <v>0.617</v>
      </c>
      <c r="K271" s="9">
        <f>ROUND(H271*I271*J271, 2)</f>
        <v/>
      </c>
      <c r="L271" s="24">
        <f>ROUND(K271/1000, 3)</f>
        <v/>
      </c>
      <c r="M271" s="8" t="n"/>
      <c r="N271" s="21">
        <f>ROUND(N270 + IF(AND(E271&lt;=10, F271&lt;&gt;"ASTM A416"), L271, 0), 3)</f>
        <v/>
      </c>
      <c r="O271" s="21">
        <f>ROUND(O270 + IF(AND(E271&gt;10, E271&lt;=18, F271&lt;&gt;"ASTM A416"), L271, 0), 3)</f>
        <v/>
      </c>
      <c r="P271" s="21">
        <f>ROUND(P270 + IF(AND(E271&gt;18, F271&lt;&gt;"ASTM A416"), L271, 0), 3)</f>
        <v/>
      </c>
      <c r="Q271" s="21">
        <f>ROUND(Q270 + IF(F271="ASTM A416", L271, 0), 3)</f>
        <v/>
      </c>
      <c r="R271" s="11">
        <f>IF(INT(N271/20)&gt;INT(N270/20), "Lần " &amp; INT(N271/20), "")</f>
        <v/>
      </c>
      <c r="S271" s="12">
        <f>IF(INT(O271/20)&gt;INT(O270/20), "Lần " &amp; INT(O271/20), "")</f>
        <v/>
      </c>
      <c r="T271" s="11">
        <f>IF(INT(P271/20)&gt;INT(P270/20), "Lần " &amp; INT(P271/20), "")</f>
        <v/>
      </c>
      <c r="U271" s="25">
        <f>IF(INT(Q271/20)&gt;INT(Q270/20), "Lần " &amp; INT(Q271/20), "")</f>
        <v/>
      </c>
      <c r="V271" s="6" t="inlineStr"/>
      <c r="W271" s="6" t="inlineStr">
        <is>
          <t>ĐẠT TCVN 1651:2018</t>
        </is>
      </c>
    </row>
    <row r="272" ht="19" customHeight="1">
      <c r="A272" s="6" t="n">
        <v>250</v>
      </c>
      <c r="B272" s="7" t="inlineStr">
        <is>
          <t>Cọc khoan nhồi C4 Trụ T2 (D1.2m, L=30.0m)</t>
        </is>
      </c>
      <c r="C272" s="7" t="inlineStr">
        <is>
          <t>Thép đai xoắn lồng cọc</t>
        </is>
      </c>
      <c r="D272" s="19" t="inlineStr">
        <is>
          <t>P1D</t>
        </is>
      </c>
      <c r="E272" s="20" t="n">
        <v>10</v>
      </c>
      <c r="F272" s="6" t="inlineStr">
        <is>
          <t>CB240-T</t>
        </is>
      </c>
      <c r="G272" s="7" t="inlineStr">
        <is>
          <t>Đai xoắn tròn</t>
        </is>
      </c>
      <c r="H272" s="21" t="n">
        <v>19.721</v>
      </c>
      <c r="I272" s="22" t="n">
        <v>1</v>
      </c>
      <c r="J272" s="23" t="n">
        <v>0.617</v>
      </c>
      <c r="K272" s="9">
        <f>ROUND(H272*I272*J272, 2)</f>
        <v/>
      </c>
      <c r="L272" s="24">
        <f>ROUND(K272/1000, 3)</f>
        <v/>
      </c>
      <c r="M272" s="8" t="n"/>
      <c r="N272" s="21">
        <f>ROUND(N271 + IF(AND(E272&lt;=10, F272&lt;&gt;"ASTM A416"), L272, 0), 3)</f>
        <v/>
      </c>
      <c r="O272" s="21">
        <f>ROUND(O271 + IF(AND(E272&gt;10, E272&lt;=18, F272&lt;&gt;"ASTM A416"), L272, 0), 3)</f>
        <v/>
      </c>
      <c r="P272" s="21">
        <f>ROUND(P271 + IF(AND(E272&gt;18, F272&lt;&gt;"ASTM A416"), L272, 0), 3)</f>
        <v/>
      </c>
      <c r="Q272" s="21">
        <f>ROUND(Q271 + IF(F272="ASTM A416", L272, 0), 3)</f>
        <v/>
      </c>
      <c r="R272" s="11">
        <f>IF(INT(N272/20)&gt;INT(N271/20), "Lần " &amp; INT(N272/20), "")</f>
        <v/>
      </c>
      <c r="S272" s="12">
        <f>IF(INT(O272/20)&gt;INT(O271/20), "Lần " &amp; INT(O272/20), "")</f>
        <v/>
      </c>
      <c r="T272" s="11">
        <f>IF(INT(P272/20)&gt;INT(P271/20), "Lần " &amp; INT(P272/20), "")</f>
        <v/>
      </c>
      <c r="U272" s="25">
        <f>IF(INT(Q272/20)&gt;INT(Q271/20), "Lần " &amp; INT(Q272/20), "")</f>
        <v/>
      </c>
      <c r="V272" s="6" t="inlineStr"/>
      <c r="W272" s="6" t="inlineStr">
        <is>
          <t>ĐẠT TCVN 1651:2018</t>
        </is>
      </c>
    </row>
    <row r="273" ht="19" customHeight="1">
      <c r="A273" s="6" t="n">
        <v>251</v>
      </c>
      <c r="B273" s="7" t="inlineStr">
        <is>
          <t>Cọc khoan nhồi C4 Trụ T2 (D1.2m, L=30.0m)</t>
        </is>
      </c>
      <c r="C273" s="7" t="inlineStr">
        <is>
          <t>Cốt thép chủ chịu lực cọc</t>
        </is>
      </c>
      <c r="D273" s="19" t="inlineStr">
        <is>
          <t>P2B</t>
        </is>
      </c>
      <c r="E273" s="20" t="n">
        <v>25</v>
      </c>
      <c r="F273" s="6" t="inlineStr">
        <is>
          <t>CB400-V</t>
        </is>
      </c>
      <c r="G273" s="7" t="inlineStr">
        <is>
          <t>Thanh thẳng nối ren/hàn</t>
        </is>
      </c>
      <c r="H273" s="21" t="n">
        <v>2.985</v>
      </c>
      <c r="I273" s="22" t="n">
        <v>12</v>
      </c>
      <c r="J273" s="23" t="n">
        <v>3.85</v>
      </c>
      <c r="K273" s="9">
        <f>ROUND(H273*I273*J273, 2)</f>
        <v/>
      </c>
      <c r="L273" s="24">
        <f>ROUND(K273/1000, 3)</f>
        <v/>
      </c>
      <c r="M273" s="8" t="n"/>
      <c r="N273" s="21">
        <f>ROUND(N272 + IF(AND(E273&lt;=10, F273&lt;&gt;"ASTM A416"), L273, 0), 3)</f>
        <v/>
      </c>
      <c r="O273" s="21">
        <f>ROUND(O272 + IF(AND(E273&gt;10, E273&lt;=18, F273&lt;&gt;"ASTM A416"), L273, 0), 3)</f>
        <v/>
      </c>
      <c r="P273" s="21">
        <f>ROUND(P272 + IF(AND(E273&gt;18, F273&lt;&gt;"ASTM A416"), L273, 0), 3)</f>
        <v/>
      </c>
      <c r="Q273" s="21">
        <f>ROUND(Q272 + IF(F273="ASTM A416", L273, 0), 3)</f>
        <v/>
      </c>
      <c r="R273" s="11">
        <f>IF(INT(N273/20)&gt;INT(N272/20), "Lần " &amp; INT(N273/20), "")</f>
        <v/>
      </c>
      <c r="S273" s="12">
        <f>IF(INT(O273/20)&gt;INT(O272/20), "Lần " &amp; INT(O273/20), "")</f>
        <v/>
      </c>
      <c r="T273" s="11">
        <f>IF(INT(P273/20)&gt;INT(P272/20), "Lần " &amp; INT(P273/20), "")</f>
        <v/>
      </c>
      <c r="U273" s="25">
        <f>IF(INT(Q273/20)&gt;INT(Q272/20), "Lần " &amp; INT(Q273/20), "")</f>
        <v/>
      </c>
      <c r="V273" s="6" t="inlineStr"/>
      <c r="W273" s="6" t="inlineStr">
        <is>
          <t>ĐẠT TCVN 1651:2018</t>
        </is>
      </c>
    </row>
    <row r="274" ht="19" customHeight="1">
      <c r="A274" s="6" t="n">
        <v>252</v>
      </c>
      <c r="B274" s="7" t="inlineStr">
        <is>
          <t>Cọc khoan nhồi C4 Trụ T2 (D1.2m, L=30.0m)</t>
        </is>
      </c>
      <c r="C274" s="7" t="inlineStr">
        <is>
          <t>Cốt thép chủ chịu lực cọc</t>
        </is>
      </c>
      <c r="D274" s="19" t="inlineStr">
        <is>
          <t>P3</t>
        </is>
      </c>
      <c r="E274" s="20" t="n">
        <v>25</v>
      </c>
      <c r="F274" s="6" t="inlineStr">
        <is>
          <t>CB400-V</t>
        </is>
      </c>
      <c r="G274" s="7" t="inlineStr">
        <is>
          <t>Thanh thẳng nối ren/hàn</t>
        </is>
      </c>
      <c r="H274" s="21" t="n">
        <v>10.7</v>
      </c>
      <c r="I274" s="22" t="n">
        <v>12</v>
      </c>
      <c r="J274" s="23" t="n">
        <v>3.85</v>
      </c>
      <c r="K274" s="9">
        <f>ROUND(H274*I274*J274, 2)</f>
        <v/>
      </c>
      <c r="L274" s="24">
        <f>ROUND(K274/1000, 3)</f>
        <v/>
      </c>
      <c r="M274" s="8" t="n"/>
      <c r="N274" s="21">
        <f>ROUND(N273 + IF(AND(E274&lt;=10, F274&lt;&gt;"ASTM A416"), L274, 0), 3)</f>
        <v/>
      </c>
      <c r="O274" s="21">
        <f>ROUND(O273 + IF(AND(E274&gt;10, E274&lt;=18, F274&lt;&gt;"ASTM A416"), L274, 0), 3)</f>
        <v/>
      </c>
      <c r="P274" s="21">
        <f>ROUND(P273 + IF(AND(E274&gt;18, F274&lt;&gt;"ASTM A416"), L274, 0), 3)</f>
        <v/>
      </c>
      <c r="Q274" s="21">
        <f>ROUND(Q273 + IF(F274="ASTM A416", L274, 0), 3)</f>
        <v/>
      </c>
      <c r="R274" s="11">
        <f>IF(INT(N274/20)&gt;INT(N273/20), "Lần " &amp; INT(N274/20), "")</f>
        <v/>
      </c>
      <c r="S274" s="12">
        <f>IF(INT(O274/20)&gt;INT(O273/20), "Lần " &amp; INT(O274/20), "")</f>
        <v/>
      </c>
      <c r="T274" s="11">
        <f>IF(INT(P274/20)&gt;INT(P273/20), "Lần " &amp; INT(P274/20), "")</f>
        <v/>
      </c>
      <c r="U274" s="25">
        <f>IF(INT(Q274/20)&gt;INT(Q273/20), "Lần " &amp; INT(Q274/20), "")</f>
        <v/>
      </c>
      <c r="V274" s="6" t="inlineStr"/>
      <c r="W274" s="6" t="inlineStr">
        <is>
          <t>ĐẠT TCVN 1651:2018</t>
        </is>
      </c>
    </row>
    <row r="275" ht="19" customHeight="1">
      <c r="A275" s="6" t="n">
        <v>253</v>
      </c>
      <c r="B275" s="7" t="inlineStr">
        <is>
          <t>Cọc khoan nhồi C4 Trụ T2 (D1.2m, L=30.0m)</t>
        </is>
      </c>
      <c r="C275" s="7" t="inlineStr">
        <is>
          <t>Cốt thép chủ chịu lực cọc</t>
        </is>
      </c>
      <c r="D275" s="19" t="inlineStr">
        <is>
          <t>P4</t>
        </is>
      </c>
      <c r="E275" s="20" t="n">
        <v>25</v>
      </c>
      <c r="F275" s="6" t="inlineStr">
        <is>
          <t>CB400-V</t>
        </is>
      </c>
      <c r="G275" s="7" t="inlineStr">
        <is>
          <t>Thanh thẳng nối ren/hàn</t>
        </is>
      </c>
      <c r="H275" s="21" t="n">
        <v>11.7</v>
      </c>
      <c r="I275" s="22" t="n">
        <v>36</v>
      </c>
      <c r="J275" s="23" t="n">
        <v>3.85</v>
      </c>
      <c r="K275" s="9">
        <f>ROUND(H275*I275*J275, 2)</f>
        <v/>
      </c>
      <c r="L275" s="24">
        <f>ROUND(K275/1000, 3)</f>
        <v/>
      </c>
      <c r="M275" s="8" t="n"/>
      <c r="N275" s="21">
        <f>ROUND(N274 + IF(AND(E275&lt;=10, F275&lt;&gt;"ASTM A416"), L275, 0), 3)</f>
        <v/>
      </c>
      <c r="O275" s="21">
        <f>ROUND(O274 + IF(AND(E275&gt;10, E275&lt;=18, F275&lt;&gt;"ASTM A416"), L275, 0), 3)</f>
        <v/>
      </c>
      <c r="P275" s="21">
        <f>ROUND(P274 + IF(AND(E275&gt;18, F275&lt;&gt;"ASTM A416"), L275, 0), 3)</f>
        <v/>
      </c>
      <c r="Q275" s="21">
        <f>ROUND(Q274 + IF(F275="ASTM A416", L275, 0), 3)</f>
        <v/>
      </c>
      <c r="R275" s="11">
        <f>IF(INT(N275/20)&gt;INT(N274/20), "Lần " &amp; INT(N275/20), "")</f>
        <v/>
      </c>
      <c r="S275" s="12">
        <f>IF(INT(O275/20)&gt;INT(O274/20), "Lần " &amp; INT(O275/20), "")</f>
        <v/>
      </c>
      <c r="T275" s="11">
        <f>IF(INT(P275/20)&gt;INT(P274/20), "Lần " &amp; INT(P275/20), "")</f>
        <v/>
      </c>
      <c r="U275" s="25">
        <f>IF(INT(Q275/20)&gt;INT(Q274/20), "Lần " &amp; INT(Q275/20), "")</f>
        <v/>
      </c>
      <c r="V275" s="6" t="inlineStr"/>
      <c r="W275" s="6" t="inlineStr">
        <is>
          <t>ĐẠT TCVN 1651:2018</t>
        </is>
      </c>
    </row>
    <row r="276" ht="19" customHeight="1">
      <c r="A276" s="6" t="n">
        <v>254</v>
      </c>
      <c r="B276" s="7" t="inlineStr">
        <is>
          <t>Cọc khoan nhồi C4 Trụ T2 (D1.2m, L=30.0m)</t>
        </is>
      </c>
      <c r="C276" s="7" t="inlineStr">
        <is>
          <t>Cốt thép chủ chịu lực cọc</t>
        </is>
      </c>
      <c r="D276" s="19" t="inlineStr">
        <is>
          <t>P6</t>
        </is>
      </c>
      <c r="E276" s="20" t="n">
        <v>25</v>
      </c>
      <c r="F276" s="6" t="inlineStr">
        <is>
          <t>CB400-V</t>
        </is>
      </c>
      <c r="G276" s="7" t="inlineStr">
        <is>
          <t>Thanh thẳng nối ren/hàn</t>
        </is>
      </c>
      <c r="H276" s="21" t="n">
        <v>9.733000000000001</v>
      </c>
      <c r="I276" s="22" t="n">
        <v>12</v>
      </c>
      <c r="J276" s="23" t="n">
        <v>3.85</v>
      </c>
      <c r="K276" s="9">
        <f>ROUND(H276*I276*J276, 2)</f>
        <v/>
      </c>
      <c r="L276" s="24">
        <f>ROUND(K276/1000, 3)</f>
        <v/>
      </c>
      <c r="M276" s="8" t="n"/>
      <c r="N276" s="21">
        <f>ROUND(N275 + IF(AND(E276&lt;=10, F276&lt;&gt;"ASTM A416"), L276, 0), 3)</f>
        <v/>
      </c>
      <c r="O276" s="21">
        <f>ROUND(O275 + IF(AND(E276&gt;10, E276&lt;=18, F276&lt;&gt;"ASTM A416"), L276, 0), 3)</f>
        <v/>
      </c>
      <c r="P276" s="21">
        <f>ROUND(P275 + IF(AND(E276&gt;18, F276&lt;&gt;"ASTM A416"), L276, 0), 3)</f>
        <v/>
      </c>
      <c r="Q276" s="21">
        <f>ROUND(Q275 + IF(F276="ASTM A416", L276, 0), 3)</f>
        <v/>
      </c>
      <c r="R276" s="11">
        <f>IF(INT(N276/20)&gt;INT(N275/20), "Lần " &amp; INT(N276/20), "")</f>
        <v/>
      </c>
      <c r="S276" s="12">
        <f>IF(INT(O276/20)&gt;INT(O275/20), "Lần " &amp; INT(O276/20), "")</f>
        <v/>
      </c>
      <c r="T276" s="11">
        <f>IF(INT(P276/20)&gt;INT(P275/20), "Lần " &amp; INT(P276/20), "")</f>
        <v/>
      </c>
      <c r="U276" s="25">
        <f>IF(INT(Q276/20)&gt;INT(Q275/20), "Lần " &amp; INT(Q276/20), "")</f>
        <v/>
      </c>
      <c r="V276" s="6" t="inlineStr"/>
      <c r="W276" s="6" t="inlineStr">
        <is>
          <t>ĐẠT TCVN 1651:2018</t>
        </is>
      </c>
    </row>
    <row r="277" ht="19" customHeight="1">
      <c r="A277" s="6" t="n">
        <v>255</v>
      </c>
      <c r="B277" s="7" t="inlineStr">
        <is>
          <t>Cọc khoan nhồi C4 Trụ T2 (D1.2m, L=30.0m)</t>
        </is>
      </c>
      <c r="C277" s="7" t="inlineStr">
        <is>
          <t>Cốt thép chủ chịu lực cọc</t>
        </is>
      </c>
      <c r="D277" s="19" t="inlineStr">
        <is>
          <t>P7</t>
        </is>
      </c>
      <c r="E277" s="20" t="n">
        <v>25</v>
      </c>
      <c r="F277" s="6" t="inlineStr">
        <is>
          <t>CB400-V</t>
        </is>
      </c>
      <c r="G277" s="7" t="inlineStr">
        <is>
          <t>Thanh thẳng nối ren/hàn</t>
        </is>
      </c>
      <c r="H277" s="21" t="n">
        <v>10.733</v>
      </c>
      <c r="I277" s="22" t="n">
        <v>12</v>
      </c>
      <c r="J277" s="23" t="n">
        <v>3.85</v>
      </c>
      <c r="K277" s="9">
        <f>ROUND(H277*I277*J277, 2)</f>
        <v/>
      </c>
      <c r="L277" s="24">
        <f>ROUND(K277/1000, 3)</f>
        <v/>
      </c>
      <c r="M277" s="8" t="n"/>
      <c r="N277" s="21">
        <f>ROUND(N276 + IF(AND(E277&lt;=10, F277&lt;&gt;"ASTM A416"), L277, 0), 3)</f>
        <v/>
      </c>
      <c r="O277" s="21">
        <f>ROUND(O276 + IF(AND(E277&gt;10, E277&lt;=18, F277&lt;&gt;"ASTM A416"), L277, 0), 3)</f>
        <v/>
      </c>
      <c r="P277" s="21">
        <f>ROUND(P276 + IF(AND(E277&gt;18, F277&lt;&gt;"ASTM A416"), L277, 0), 3)</f>
        <v/>
      </c>
      <c r="Q277" s="21">
        <f>ROUND(Q276 + IF(F277="ASTM A416", L277, 0), 3)</f>
        <v/>
      </c>
      <c r="R277" s="11">
        <f>IF(INT(N277/20)&gt;INT(N276/20), "Lần " &amp; INT(N277/20), "")</f>
        <v/>
      </c>
      <c r="S277" s="12">
        <f>IF(INT(O277/20)&gt;INT(O276/20), "Lần " &amp; INT(O277/20), "")</f>
        <v/>
      </c>
      <c r="T277" s="11">
        <f>IF(INT(P277/20)&gt;INT(P276/20), "Lần " &amp; INT(P277/20), "")</f>
        <v/>
      </c>
      <c r="U277" s="25">
        <f>IF(INT(Q277/20)&gt;INT(Q276/20), "Lần " &amp; INT(Q277/20), "")</f>
        <v/>
      </c>
      <c r="V277" s="6" t="inlineStr"/>
      <c r="W277" s="6" t="inlineStr">
        <is>
          <t>ĐẠT TCVN 1651:2018</t>
        </is>
      </c>
    </row>
    <row r="278" ht="19" customHeight="1">
      <c r="A278" s="6" t="n">
        <v>256</v>
      </c>
      <c r="B278" s="7" t="inlineStr">
        <is>
          <t>Cọc khoan nhồi C4 Trụ T2 (D1.2m, L=30.0m)</t>
        </is>
      </c>
      <c r="C278" s="7" t="inlineStr">
        <is>
          <t>Đai tăng cường / Con kê bảo vệ</t>
        </is>
      </c>
      <c r="D278" s="19" t="inlineStr">
        <is>
          <t>P8</t>
        </is>
      </c>
      <c r="E278" s="20" t="n">
        <v>12</v>
      </c>
      <c r="F278" s="6" t="inlineStr">
        <is>
          <t>CB400-V</t>
        </is>
      </c>
      <c r="G278" s="7" t="inlineStr">
        <is>
          <t>Móc neo / Vòng đai</t>
        </is>
      </c>
      <c r="H278" s="21" t="n">
        <v>0.647</v>
      </c>
      <c r="I278" s="22" t="n">
        <v>12</v>
      </c>
      <c r="J278" s="23" t="n">
        <v>0.888</v>
      </c>
      <c r="K278" s="9">
        <f>ROUND(H278*I278*J278, 2)</f>
        <v/>
      </c>
      <c r="L278" s="24">
        <f>ROUND(K278/1000, 3)</f>
        <v/>
      </c>
      <c r="M278" s="8" t="n"/>
      <c r="N278" s="21">
        <f>ROUND(N277 + IF(AND(E278&lt;=10, F278&lt;&gt;"ASTM A416"), L278, 0), 3)</f>
        <v/>
      </c>
      <c r="O278" s="21">
        <f>ROUND(O277 + IF(AND(E278&gt;10, E278&lt;=18, F278&lt;&gt;"ASTM A416"), L278, 0), 3)</f>
        <v/>
      </c>
      <c r="P278" s="21">
        <f>ROUND(P277 + IF(AND(E278&gt;18, F278&lt;&gt;"ASTM A416"), L278, 0), 3)</f>
        <v/>
      </c>
      <c r="Q278" s="21">
        <f>ROUND(Q277 + IF(F278="ASTM A416", L278, 0), 3)</f>
        <v/>
      </c>
      <c r="R278" s="11">
        <f>IF(INT(N278/20)&gt;INT(N277/20), "Lần " &amp; INT(N278/20), "")</f>
        <v/>
      </c>
      <c r="S278" s="12">
        <f>IF(INT(O278/20)&gt;INT(O277/20), "Lần " &amp; INT(O278/20), "")</f>
        <v/>
      </c>
      <c r="T278" s="11">
        <f>IF(INT(P278/20)&gt;INT(P277/20), "Lần " &amp; INT(P278/20), "")</f>
        <v/>
      </c>
      <c r="U278" s="25">
        <f>IF(INT(Q278/20)&gt;INT(Q277/20), "Lần " &amp; INT(Q278/20), "")</f>
        <v/>
      </c>
      <c r="V278" s="6" t="inlineStr"/>
      <c r="W278" s="6" t="inlineStr">
        <is>
          <t>ĐẠT TCVN 1651:2018</t>
        </is>
      </c>
    </row>
    <row r="279" ht="19" customHeight="1">
      <c r="A279" s="6" t="n">
        <v>257</v>
      </c>
      <c r="B279" s="7" t="inlineStr">
        <is>
          <t>Cọc khoan nhồi C4 Trụ T2 (D1.2m, L=30.0m)</t>
        </is>
      </c>
      <c r="C279" s="7" t="inlineStr">
        <is>
          <t>Đai tăng cường / Con kê bảo vệ</t>
        </is>
      </c>
      <c r="D279" s="19" t="inlineStr">
        <is>
          <t>P9</t>
        </is>
      </c>
      <c r="E279" s="20" t="n">
        <v>12</v>
      </c>
      <c r="F279" s="6" t="inlineStr">
        <is>
          <t>CB400-V</t>
        </is>
      </c>
      <c r="G279" s="7" t="inlineStr">
        <is>
          <t>Móc neo / Vòng đai</t>
        </is>
      </c>
      <c r="H279" s="21" t="n">
        <v>0.379</v>
      </c>
      <c r="I279" s="22" t="n">
        <v>36</v>
      </c>
      <c r="J279" s="23" t="n">
        <v>0.888</v>
      </c>
      <c r="K279" s="9">
        <f>ROUND(H279*I279*J279, 2)</f>
        <v/>
      </c>
      <c r="L279" s="24">
        <f>ROUND(K279/1000, 3)</f>
        <v/>
      </c>
      <c r="M279" s="8" t="n"/>
      <c r="N279" s="21">
        <f>ROUND(N278 + IF(AND(E279&lt;=10, F279&lt;&gt;"ASTM A416"), L279, 0), 3)</f>
        <v/>
      </c>
      <c r="O279" s="21">
        <f>ROUND(O278 + IF(AND(E279&gt;10, E279&lt;=18, F279&lt;&gt;"ASTM A416"), L279, 0), 3)</f>
        <v/>
      </c>
      <c r="P279" s="21">
        <f>ROUND(P278 + IF(AND(E279&gt;18, F279&lt;&gt;"ASTM A416"), L279, 0), 3)</f>
        <v/>
      </c>
      <c r="Q279" s="21">
        <f>ROUND(Q278 + IF(F279="ASTM A416", L279, 0), 3)</f>
        <v/>
      </c>
      <c r="R279" s="11">
        <f>IF(INT(N279/20)&gt;INT(N278/20), "Lần " &amp; INT(N279/20), "")</f>
        <v/>
      </c>
      <c r="S279" s="12">
        <f>IF(INT(O279/20)&gt;INT(O278/20), "Lần " &amp; INT(O279/20), "")</f>
        <v/>
      </c>
      <c r="T279" s="11">
        <f>IF(INT(P279/20)&gt;INT(P278/20), "Lần " &amp; INT(P279/20), "")</f>
        <v/>
      </c>
      <c r="U279" s="25">
        <f>IF(INT(Q279/20)&gt;INT(Q278/20), "Lần " &amp; INT(Q279/20), "")</f>
        <v/>
      </c>
      <c r="V279" s="6" t="inlineStr"/>
      <c r="W279" s="6" t="inlineStr">
        <is>
          <t>ĐẠT TCVN 1651:2018</t>
        </is>
      </c>
    </row>
    <row r="280" ht="19" customHeight="1">
      <c r="A280" s="6" t="n">
        <v>258</v>
      </c>
      <c r="B280" s="7" t="inlineStr">
        <is>
          <t>Cọc khoan nhồi C4 Trụ T2 (D1.2m, L=30.0m)</t>
        </is>
      </c>
      <c r="C280" s="7" t="inlineStr">
        <is>
          <t>Thép đai xoắn lồng cọc</t>
        </is>
      </c>
      <c r="D280" s="19" t="inlineStr">
        <is>
          <t>P10</t>
        </is>
      </c>
      <c r="E280" s="20" t="n">
        <v>20</v>
      </c>
      <c r="F280" s="6" t="inlineStr">
        <is>
          <t>CB400-V</t>
        </is>
      </c>
      <c r="G280" s="7" t="inlineStr">
        <is>
          <t>Đai xoắn tròn</t>
        </is>
      </c>
      <c r="H280" s="21" t="n">
        <v>2.057</v>
      </c>
      <c r="I280" s="22" t="n">
        <v>1</v>
      </c>
      <c r="J280" s="23" t="n">
        <v>2.47</v>
      </c>
      <c r="K280" s="9">
        <f>ROUND(H280*I280*J280, 2)</f>
        <v/>
      </c>
      <c r="L280" s="24">
        <f>ROUND(K280/1000, 3)</f>
        <v/>
      </c>
      <c r="M280" s="8" t="n"/>
      <c r="N280" s="21">
        <f>ROUND(N279 + IF(AND(E280&lt;=10, F280&lt;&gt;"ASTM A416"), L280, 0), 3)</f>
        <v/>
      </c>
      <c r="O280" s="21">
        <f>ROUND(O279 + IF(AND(E280&gt;10, E280&lt;=18, F280&lt;&gt;"ASTM A416"), L280, 0), 3)</f>
        <v/>
      </c>
      <c r="P280" s="21">
        <f>ROUND(P279 + IF(AND(E280&gt;18, F280&lt;&gt;"ASTM A416"), L280, 0), 3)</f>
        <v/>
      </c>
      <c r="Q280" s="21">
        <f>ROUND(Q279 + IF(F280="ASTM A416", L280, 0), 3)</f>
        <v/>
      </c>
      <c r="R280" s="11">
        <f>IF(INT(N280/20)&gt;INT(N279/20), "Lần " &amp; INT(N280/20), "")</f>
        <v/>
      </c>
      <c r="S280" s="12">
        <f>IF(INT(O280/20)&gt;INT(O279/20), "Lần " &amp; INT(O280/20), "")</f>
        <v/>
      </c>
      <c r="T280" s="11">
        <f>IF(INT(P280/20)&gt;INT(P279/20), "Lần " &amp; INT(P280/20), "")</f>
        <v/>
      </c>
      <c r="U280" s="25">
        <f>IF(INT(Q280/20)&gt;INT(Q279/20), "Lần " &amp; INT(Q280/20), "")</f>
        <v/>
      </c>
      <c r="V280" s="6" t="inlineStr"/>
      <c r="W280" s="6" t="inlineStr">
        <is>
          <t>ĐẠT TCVN 1651:2018</t>
        </is>
      </c>
    </row>
    <row r="281" ht="19" customHeight="1">
      <c r="A281" s="6" t="n">
        <v>259</v>
      </c>
      <c r="B281" s="7" t="inlineStr">
        <is>
          <t>Cọc khoan nhồi C4 Trụ T2 (D1.2m, L=30.0m)</t>
        </is>
      </c>
      <c r="C281" s="7" t="inlineStr">
        <is>
          <t>Thép đai xoắn lồng cọc</t>
        </is>
      </c>
      <c r="D281" s="19" t="inlineStr">
        <is>
          <t>P12</t>
        </is>
      </c>
      <c r="E281" s="20" t="n">
        <v>20</v>
      </c>
      <c r="F281" s="6" t="inlineStr">
        <is>
          <t>CB400-V</t>
        </is>
      </c>
      <c r="G281" s="7" t="inlineStr">
        <is>
          <t>Đai xoắn tròn</t>
        </is>
      </c>
      <c r="H281" s="21" t="n">
        <v>0.583</v>
      </c>
      <c r="I281" s="22" t="n">
        <v>48</v>
      </c>
      <c r="J281" s="23" t="n">
        <v>2.47</v>
      </c>
      <c r="K281" s="9">
        <f>ROUND(H281*I281*J281, 2)</f>
        <v/>
      </c>
      <c r="L281" s="24">
        <f>ROUND(K281/1000, 3)</f>
        <v/>
      </c>
      <c r="M281" s="8" t="n"/>
      <c r="N281" s="21">
        <f>ROUND(N280 + IF(AND(E281&lt;=10, F281&lt;&gt;"ASTM A416"), L281, 0), 3)</f>
        <v/>
      </c>
      <c r="O281" s="21">
        <f>ROUND(O280 + IF(AND(E281&gt;10, E281&lt;=18, F281&lt;&gt;"ASTM A416"), L281, 0), 3)</f>
        <v/>
      </c>
      <c r="P281" s="21">
        <f>ROUND(P280 + IF(AND(E281&gt;18, F281&lt;&gt;"ASTM A416"), L281, 0), 3)</f>
        <v/>
      </c>
      <c r="Q281" s="21">
        <f>ROUND(Q280 + IF(F281="ASTM A416", L281, 0), 3)</f>
        <v/>
      </c>
      <c r="R281" s="11">
        <f>IF(INT(N281/20)&gt;INT(N280/20), "Lần " &amp; INT(N281/20), "")</f>
        <v/>
      </c>
      <c r="S281" s="12">
        <f>IF(INT(O281/20)&gt;INT(O280/20), "Lần " &amp; INT(O281/20), "")</f>
        <v/>
      </c>
      <c r="T281" s="11">
        <f>IF(INT(P281/20)&gt;INT(P280/20), "Lần " &amp; INT(P281/20), "")</f>
        <v/>
      </c>
      <c r="U281" s="25">
        <f>IF(INT(Q281/20)&gt;INT(Q280/20), "Lần " &amp; INT(Q281/20), "")</f>
        <v/>
      </c>
      <c r="V281" s="6" t="inlineStr"/>
      <c r="W281" s="6" t="inlineStr">
        <is>
          <t>ĐẠT TCVN 1651:2018</t>
        </is>
      </c>
    </row>
    <row r="282" ht="20" customHeight="1">
      <c r="A282" s="18" t="inlineStr">
        <is>
          <t>--- CỌC KHOAN NHỒI C5 TRỤ T2 (D1.2M, L=30.0M) ---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</row>
    <row r="283" ht="19" customHeight="1">
      <c r="A283" s="6" t="n">
        <v>260</v>
      </c>
      <c r="B283" s="7" t="inlineStr">
        <is>
          <t>Cọc khoan nhồi C5 Trụ T2 (D1.2m, L=30.0m)</t>
        </is>
      </c>
      <c r="C283" s="7" t="inlineStr">
        <is>
          <t>Thép đai xoắn lồng cọc</t>
        </is>
      </c>
      <c r="D283" s="19" t="inlineStr">
        <is>
          <t>P1</t>
        </is>
      </c>
      <c r="E283" s="20" t="n">
        <v>10</v>
      </c>
      <c r="F283" s="6" t="inlineStr">
        <is>
          <t>CB240-T</t>
        </is>
      </c>
      <c r="G283" s="7" t="inlineStr">
        <is>
          <t>Đai xoắn tròn</t>
        </is>
      </c>
      <c r="H283" s="21" t="n">
        <v>96.604</v>
      </c>
      <c r="I283" s="22" t="n">
        <v>1</v>
      </c>
      <c r="J283" s="23" t="n">
        <v>0.617</v>
      </c>
      <c r="K283" s="9">
        <f>ROUND(H283*I283*J283, 2)</f>
        <v/>
      </c>
      <c r="L283" s="24">
        <f>ROUND(K283/1000, 3)</f>
        <v/>
      </c>
      <c r="M283" s="8" t="n"/>
      <c r="N283" s="21">
        <f>ROUND(N281 + IF(AND(E283&lt;=10, F283&lt;&gt;"ASTM A416"), L283, 0), 3)</f>
        <v/>
      </c>
      <c r="O283" s="21">
        <f>ROUND(O281 + IF(AND(E283&gt;10, E283&lt;=18, F283&lt;&gt;"ASTM A416"), L283, 0), 3)</f>
        <v/>
      </c>
      <c r="P283" s="21">
        <f>ROUND(P281 + IF(AND(E283&gt;18, F283&lt;&gt;"ASTM A416"), L283, 0), 3)</f>
        <v/>
      </c>
      <c r="Q283" s="21">
        <f>ROUND(Q281 + IF(F283="ASTM A416", L283, 0), 3)</f>
        <v/>
      </c>
      <c r="R283" s="11">
        <f>IF(INT(N283/20)&gt;INT(N281/20), "Lần " &amp; INT(N283/20), "")</f>
        <v/>
      </c>
      <c r="S283" s="12">
        <f>IF(INT(O283/20)&gt;INT(O281/20), "Lần " &amp; INT(O283/20), "")</f>
        <v/>
      </c>
      <c r="T283" s="11">
        <f>IF(INT(P283/20)&gt;INT(P281/20), "Lần " &amp; INT(P283/20), "")</f>
        <v/>
      </c>
      <c r="U283" s="25">
        <f>IF(INT(Q283/20)&gt;INT(Q281/20), "Lần " &amp; INT(Q283/20), "")</f>
        <v/>
      </c>
      <c r="V283" s="6" t="inlineStr"/>
      <c r="W283" s="6" t="inlineStr">
        <is>
          <t>ĐẠT TCVN 1651:2018</t>
        </is>
      </c>
    </row>
    <row r="284" ht="19" customHeight="1">
      <c r="A284" s="6" t="n">
        <v>261</v>
      </c>
      <c r="B284" s="7" t="inlineStr">
        <is>
          <t>Cọc khoan nhồi C5 Trụ T2 (D1.2m, L=30.0m)</t>
        </is>
      </c>
      <c r="C284" s="7" t="inlineStr">
        <is>
          <t>Thép đai xoắn lồng cọc</t>
        </is>
      </c>
      <c r="D284" s="19" t="inlineStr">
        <is>
          <t>P1A</t>
        </is>
      </c>
      <c r="E284" s="20" t="n">
        <v>10</v>
      </c>
      <c r="F284" s="6" t="inlineStr">
        <is>
          <t>CB240-T</t>
        </is>
      </c>
      <c r="G284" s="7" t="inlineStr">
        <is>
          <t>Đai xoắn tròn</t>
        </is>
      </c>
      <c r="H284" s="21" t="n">
        <v>389.636</v>
      </c>
      <c r="I284" s="22" t="n">
        <v>1</v>
      </c>
      <c r="J284" s="23" t="n">
        <v>0.617</v>
      </c>
      <c r="K284" s="9">
        <f>ROUND(H284*I284*J284, 2)</f>
        <v/>
      </c>
      <c r="L284" s="24">
        <f>ROUND(K284/1000, 3)</f>
        <v/>
      </c>
      <c r="M284" s="8" t="n"/>
      <c r="N284" s="21">
        <f>ROUND(N283 + IF(AND(E284&lt;=10, F284&lt;&gt;"ASTM A416"), L284, 0), 3)</f>
        <v/>
      </c>
      <c r="O284" s="21">
        <f>ROUND(O283 + IF(AND(E284&gt;10, E284&lt;=18, F284&lt;&gt;"ASTM A416"), L284, 0), 3)</f>
        <v/>
      </c>
      <c r="P284" s="21">
        <f>ROUND(P283 + IF(AND(E284&gt;18, F284&lt;&gt;"ASTM A416"), L284, 0), 3)</f>
        <v/>
      </c>
      <c r="Q284" s="21">
        <f>ROUND(Q283 + IF(F284="ASTM A416", L284, 0), 3)</f>
        <v/>
      </c>
      <c r="R284" s="11">
        <f>IF(INT(N284/20)&gt;INT(N283/20), "Lần " &amp; INT(N284/20), "")</f>
        <v/>
      </c>
      <c r="S284" s="12">
        <f>IF(INT(O284/20)&gt;INT(O283/20), "Lần " &amp; INT(O284/20), "")</f>
        <v/>
      </c>
      <c r="T284" s="11">
        <f>IF(INT(P284/20)&gt;INT(P283/20), "Lần " &amp; INT(P284/20), "")</f>
        <v/>
      </c>
      <c r="U284" s="25">
        <f>IF(INT(Q284/20)&gt;INT(Q283/20), "Lần " &amp; INT(Q284/20), "")</f>
        <v/>
      </c>
      <c r="V284" s="6" t="inlineStr"/>
      <c r="W284" s="6" t="inlineStr">
        <is>
          <t>ĐẠT TCVN 1651:2018</t>
        </is>
      </c>
    </row>
    <row r="285" ht="19" customHeight="1">
      <c r="A285" s="6" t="n">
        <v>262</v>
      </c>
      <c r="B285" s="7" t="inlineStr">
        <is>
          <t>Cọc khoan nhồi C5 Trụ T2 (D1.2m, L=30.0m)</t>
        </is>
      </c>
      <c r="C285" s="7" t="inlineStr">
        <is>
          <t>Thép đai xoắn lồng cọc</t>
        </is>
      </c>
      <c r="D285" s="19" t="inlineStr">
        <is>
          <t>P1B</t>
        </is>
      </c>
      <c r="E285" s="20" t="n">
        <v>10</v>
      </c>
      <c r="F285" s="6" t="inlineStr">
        <is>
          <t>CB240-T</t>
        </is>
      </c>
      <c r="G285" s="7" t="inlineStr">
        <is>
          <t>Đai xoắn tròn</t>
        </is>
      </c>
      <c r="H285" s="21" t="n">
        <v>100.256</v>
      </c>
      <c r="I285" s="22" t="n">
        <v>1</v>
      </c>
      <c r="J285" s="23" t="n">
        <v>0.617</v>
      </c>
      <c r="K285" s="9">
        <f>ROUND(H285*I285*J285, 2)</f>
        <v/>
      </c>
      <c r="L285" s="24">
        <f>ROUND(K285/1000, 3)</f>
        <v/>
      </c>
      <c r="M285" s="8" t="n"/>
      <c r="N285" s="21">
        <f>ROUND(N284 + IF(AND(E285&lt;=10, F285&lt;&gt;"ASTM A416"), L285, 0), 3)</f>
        <v/>
      </c>
      <c r="O285" s="21">
        <f>ROUND(O284 + IF(AND(E285&gt;10, E285&lt;=18, F285&lt;&gt;"ASTM A416"), L285, 0), 3)</f>
        <v/>
      </c>
      <c r="P285" s="21">
        <f>ROUND(P284 + IF(AND(E285&gt;18, F285&lt;&gt;"ASTM A416"), L285, 0), 3)</f>
        <v/>
      </c>
      <c r="Q285" s="21">
        <f>ROUND(Q284 + IF(F285="ASTM A416", L285, 0), 3)</f>
        <v/>
      </c>
      <c r="R285" s="11">
        <f>IF(INT(N285/20)&gt;INT(N284/20), "Lần " &amp; INT(N285/20), "")</f>
        <v/>
      </c>
      <c r="S285" s="12">
        <f>IF(INT(O285/20)&gt;INT(O284/20), "Lần " &amp; INT(O285/20), "")</f>
        <v/>
      </c>
      <c r="T285" s="11">
        <f>IF(INT(P285/20)&gt;INT(P284/20), "Lần " &amp; INT(P285/20), "")</f>
        <v/>
      </c>
      <c r="U285" s="25">
        <f>IF(INT(Q285/20)&gt;INT(Q284/20), "Lần " &amp; INT(Q285/20), "")</f>
        <v/>
      </c>
      <c r="V285" s="6" t="inlineStr"/>
      <c r="W285" s="6" t="inlineStr">
        <is>
          <t>ĐẠT TCVN 1651:2018</t>
        </is>
      </c>
    </row>
    <row r="286" ht="19" customHeight="1">
      <c r="A286" s="6" t="n">
        <v>263</v>
      </c>
      <c r="B286" s="7" t="inlineStr">
        <is>
          <t>Cọc khoan nhồi C5 Trụ T2 (D1.2m, L=30.0m)</t>
        </is>
      </c>
      <c r="C286" s="7" t="inlineStr">
        <is>
          <t>Thép đai xoắn lồng cọc</t>
        </is>
      </c>
      <c r="D286" s="19" t="inlineStr">
        <is>
          <t>P1C</t>
        </is>
      </c>
      <c r="E286" s="20" t="n">
        <v>10</v>
      </c>
      <c r="F286" s="6" t="inlineStr">
        <is>
          <t>CB240-T</t>
        </is>
      </c>
      <c r="G286" s="7" t="inlineStr">
        <is>
          <t>Đai xoắn tròn</t>
        </is>
      </c>
      <c r="H286" s="21" t="n">
        <v>3.592</v>
      </c>
      <c r="I286" s="22" t="n">
        <v>2</v>
      </c>
      <c r="J286" s="23" t="n">
        <v>0.617</v>
      </c>
      <c r="K286" s="9">
        <f>ROUND(H286*I286*J286, 2)</f>
        <v/>
      </c>
      <c r="L286" s="24">
        <f>ROUND(K286/1000, 3)</f>
        <v/>
      </c>
      <c r="M286" s="8" t="n"/>
      <c r="N286" s="21">
        <f>ROUND(N285 + IF(AND(E286&lt;=10, F286&lt;&gt;"ASTM A416"), L286, 0), 3)</f>
        <v/>
      </c>
      <c r="O286" s="21">
        <f>ROUND(O285 + IF(AND(E286&gt;10, E286&lt;=18, F286&lt;&gt;"ASTM A416"), L286, 0), 3)</f>
        <v/>
      </c>
      <c r="P286" s="21">
        <f>ROUND(P285 + IF(AND(E286&gt;18, F286&lt;&gt;"ASTM A416"), L286, 0), 3)</f>
        <v/>
      </c>
      <c r="Q286" s="21">
        <f>ROUND(Q285 + IF(F286="ASTM A416", L286, 0), 3)</f>
        <v/>
      </c>
      <c r="R286" s="11">
        <f>IF(INT(N286/20)&gt;INT(N285/20), "Lần " &amp; INT(N286/20), "")</f>
        <v/>
      </c>
      <c r="S286" s="12">
        <f>IF(INT(O286/20)&gt;INT(O285/20), "Lần " &amp; INT(O286/20), "")</f>
        <v/>
      </c>
      <c r="T286" s="11">
        <f>IF(INT(P286/20)&gt;INT(P285/20), "Lần " &amp; INT(P286/20), "")</f>
        <v/>
      </c>
      <c r="U286" s="25">
        <f>IF(INT(Q286/20)&gt;INT(Q285/20), "Lần " &amp; INT(Q286/20), "")</f>
        <v/>
      </c>
      <c r="V286" s="6" t="inlineStr"/>
      <c r="W286" s="6" t="inlineStr">
        <is>
          <t>ĐẠT TCVN 1651:2018</t>
        </is>
      </c>
    </row>
    <row r="287" ht="19" customHeight="1">
      <c r="A287" s="6" t="n">
        <v>264</v>
      </c>
      <c r="B287" s="7" t="inlineStr">
        <is>
          <t>Cọc khoan nhồi C5 Trụ T2 (D1.2m, L=30.0m)</t>
        </is>
      </c>
      <c r="C287" s="7" t="inlineStr">
        <is>
          <t>Thép đai xoắn lồng cọc</t>
        </is>
      </c>
      <c r="D287" s="19" t="inlineStr">
        <is>
          <t>P1D</t>
        </is>
      </c>
      <c r="E287" s="20" t="n">
        <v>10</v>
      </c>
      <c r="F287" s="6" t="inlineStr">
        <is>
          <t>CB240-T</t>
        </is>
      </c>
      <c r="G287" s="7" t="inlineStr">
        <is>
          <t>Đai xoắn tròn</t>
        </is>
      </c>
      <c r="H287" s="21" t="n">
        <v>19.721</v>
      </c>
      <c r="I287" s="22" t="n">
        <v>1</v>
      </c>
      <c r="J287" s="23" t="n">
        <v>0.617</v>
      </c>
      <c r="K287" s="9">
        <f>ROUND(H287*I287*J287, 2)</f>
        <v/>
      </c>
      <c r="L287" s="24">
        <f>ROUND(K287/1000, 3)</f>
        <v/>
      </c>
      <c r="M287" s="8" t="n"/>
      <c r="N287" s="21">
        <f>ROUND(N286 + IF(AND(E287&lt;=10, F287&lt;&gt;"ASTM A416"), L287, 0), 3)</f>
        <v/>
      </c>
      <c r="O287" s="21">
        <f>ROUND(O286 + IF(AND(E287&gt;10, E287&lt;=18, F287&lt;&gt;"ASTM A416"), L287, 0), 3)</f>
        <v/>
      </c>
      <c r="P287" s="21">
        <f>ROUND(P286 + IF(AND(E287&gt;18, F287&lt;&gt;"ASTM A416"), L287, 0), 3)</f>
        <v/>
      </c>
      <c r="Q287" s="21">
        <f>ROUND(Q286 + IF(F287="ASTM A416", L287, 0), 3)</f>
        <v/>
      </c>
      <c r="R287" s="11">
        <f>IF(INT(N287/20)&gt;INT(N286/20), "Lần " &amp; INT(N287/20), "")</f>
        <v/>
      </c>
      <c r="S287" s="12">
        <f>IF(INT(O287/20)&gt;INT(O286/20), "Lần " &amp; INT(O287/20), "")</f>
        <v/>
      </c>
      <c r="T287" s="11">
        <f>IF(INT(P287/20)&gt;INT(P286/20), "Lần " &amp; INT(P287/20), "")</f>
        <v/>
      </c>
      <c r="U287" s="25">
        <f>IF(INT(Q287/20)&gt;INT(Q286/20), "Lần " &amp; INT(Q287/20), "")</f>
        <v/>
      </c>
      <c r="V287" s="6" t="inlineStr"/>
      <c r="W287" s="6" t="inlineStr">
        <is>
          <t>ĐẠT TCVN 1651:2018</t>
        </is>
      </c>
    </row>
    <row r="288" ht="19" customHeight="1">
      <c r="A288" s="6" t="n">
        <v>265</v>
      </c>
      <c r="B288" s="7" t="inlineStr">
        <is>
          <t>Cọc khoan nhồi C5 Trụ T2 (D1.2m, L=30.0m)</t>
        </is>
      </c>
      <c r="C288" s="7" t="inlineStr">
        <is>
          <t>Cốt thép chủ chịu lực cọc</t>
        </is>
      </c>
      <c r="D288" s="19" t="inlineStr">
        <is>
          <t>P2B</t>
        </is>
      </c>
      <c r="E288" s="20" t="n">
        <v>25</v>
      </c>
      <c r="F288" s="6" t="inlineStr">
        <is>
          <t>CB400-V</t>
        </is>
      </c>
      <c r="G288" s="7" t="inlineStr">
        <is>
          <t>Thanh thẳng nối ren/hàn</t>
        </is>
      </c>
      <c r="H288" s="21" t="n">
        <v>2.985</v>
      </c>
      <c r="I288" s="22" t="n">
        <v>12</v>
      </c>
      <c r="J288" s="23" t="n">
        <v>3.85</v>
      </c>
      <c r="K288" s="9">
        <f>ROUND(H288*I288*J288, 2)</f>
        <v/>
      </c>
      <c r="L288" s="24">
        <f>ROUND(K288/1000, 3)</f>
        <v/>
      </c>
      <c r="M288" s="8" t="n"/>
      <c r="N288" s="21">
        <f>ROUND(N287 + IF(AND(E288&lt;=10, F288&lt;&gt;"ASTM A416"), L288, 0), 3)</f>
        <v/>
      </c>
      <c r="O288" s="21">
        <f>ROUND(O287 + IF(AND(E288&gt;10, E288&lt;=18, F288&lt;&gt;"ASTM A416"), L288, 0), 3)</f>
        <v/>
      </c>
      <c r="P288" s="21">
        <f>ROUND(P287 + IF(AND(E288&gt;18, F288&lt;&gt;"ASTM A416"), L288, 0), 3)</f>
        <v/>
      </c>
      <c r="Q288" s="21">
        <f>ROUND(Q287 + IF(F288="ASTM A416", L288, 0), 3)</f>
        <v/>
      </c>
      <c r="R288" s="11">
        <f>IF(INT(N288/20)&gt;INT(N287/20), "Lần " &amp; INT(N288/20), "")</f>
        <v/>
      </c>
      <c r="S288" s="12">
        <f>IF(INT(O288/20)&gt;INT(O287/20), "Lần " &amp; INT(O288/20), "")</f>
        <v/>
      </c>
      <c r="T288" s="11">
        <f>IF(INT(P288/20)&gt;INT(P287/20), "Lần " &amp; INT(P288/20), "")</f>
        <v/>
      </c>
      <c r="U288" s="25">
        <f>IF(INT(Q288/20)&gt;INT(Q287/20), "Lần " &amp; INT(Q288/20), "")</f>
        <v/>
      </c>
      <c r="V288" s="6" t="inlineStr"/>
      <c r="W288" s="6" t="inlineStr">
        <is>
          <t>ĐẠT TCVN 1651:2018</t>
        </is>
      </c>
    </row>
    <row r="289" ht="19" customHeight="1">
      <c r="A289" s="6" t="n">
        <v>266</v>
      </c>
      <c r="B289" s="7" t="inlineStr">
        <is>
          <t>Cọc khoan nhồi C5 Trụ T2 (D1.2m, L=30.0m)</t>
        </is>
      </c>
      <c r="C289" s="7" t="inlineStr">
        <is>
          <t>Cốt thép chủ chịu lực cọc</t>
        </is>
      </c>
      <c r="D289" s="19" t="inlineStr">
        <is>
          <t>P3</t>
        </is>
      </c>
      <c r="E289" s="20" t="n">
        <v>25</v>
      </c>
      <c r="F289" s="6" t="inlineStr">
        <is>
          <t>CB400-V</t>
        </is>
      </c>
      <c r="G289" s="7" t="inlineStr">
        <is>
          <t>Thanh thẳng nối ren/hàn</t>
        </is>
      </c>
      <c r="H289" s="21" t="n">
        <v>10.7</v>
      </c>
      <c r="I289" s="22" t="n">
        <v>12</v>
      </c>
      <c r="J289" s="23" t="n">
        <v>3.85</v>
      </c>
      <c r="K289" s="9">
        <f>ROUND(H289*I289*J289, 2)</f>
        <v/>
      </c>
      <c r="L289" s="24">
        <f>ROUND(K289/1000, 3)</f>
        <v/>
      </c>
      <c r="M289" s="8" t="n"/>
      <c r="N289" s="21">
        <f>ROUND(N288 + IF(AND(E289&lt;=10, F289&lt;&gt;"ASTM A416"), L289, 0), 3)</f>
        <v/>
      </c>
      <c r="O289" s="21">
        <f>ROUND(O288 + IF(AND(E289&gt;10, E289&lt;=18, F289&lt;&gt;"ASTM A416"), L289, 0), 3)</f>
        <v/>
      </c>
      <c r="P289" s="21">
        <f>ROUND(P288 + IF(AND(E289&gt;18, F289&lt;&gt;"ASTM A416"), L289, 0), 3)</f>
        <v/>
      </c>
      <c r="Q289" s="21">
        <f>ROUND(Q288 + IF(F289="ASTM A416", L289, 0), 3)</f>
        <v/>
      </c>
      <c r="R289" s="11">
        <f>IF(INT(N289/20)&gt;INT(N288/20), "Lần " &amp; INT(N289/20), "")</f>
        <v/>
      </c>
      <c r="S289" s="12">
        <f>IF(INT(O289/20)&gt;INT(O288/20), "Lần " &amp; INT(O289/20), "")</f>
        <v/>
      </c>
      <c r="T289" s="11">
        <f>IF(INT(P289/20)&gt;INT(P288/20), "Lần " &amp; INT(P289/20), "")</f>
        <v/>
      </c>
      <c r="U289" s="25">
        <f>IF(INT(Q289/20)&gt;INT(Q288/20), "Lần " &amp; INT(Q289/20), "")</f>
        <v/>
      </c>
      <c r="V289" s="6" t="inlineStr"/>
      <c r="W289" s="6" t="inlineStr">
        <is>
          <t>ĐẠT TCVN 1651:2018</t>
        </is>
      </c>
    </row>
    <row r="290" ht="19" customHeight="1">
      <c r="A290" s="6" t="n">
        <v>267</v>
      </c>
      <c r="B290" s="7" t="inlineStr">
        <is>
          <t>Cọc khoan nhồi C5 Trụ T2 (D1.2m, L=30.0m)</t>
        </is>
      </c>
      <c r="C290" s="7" t="inlineStr">
        <is>
          <t>Cốt thép chủ chịu lực cọc</t>
        </is>
      </c>
      <c r="D290" s="19" t="inlineStr">
        <is>
          <t>P4</t>
        </is>
      </c>
      <c r="E290" s="20" t="n">
        <v>25</v>
      </c>
      <c r="F290" s="6" t="inlineStr">
        <is>
          <t>CB400-V</t>
        </is>
      </c>
      <c r="G290" s="7" t="inlineStr">
        <is>
          <t>Thanh thẳng nối ren/hàn</t>
        </is>
      </c>
      <c r="H290" s="21" t="n">
        <v>11.7</v>
      </c>
      <c r="I290" s="22" t="n">
        <v>36</v>
      </c>
      <c r="J290" s="23" t="n">
        <v>3.85</v>
      </c>
      <c r="K290" s="9">
        <f>ROUND(H290*I290*J290, 2)</f>
        <v/>
      </c>
      <c r="L290" s="24">
        <f>ROUND(K290/1000, 3)</f>
        <v/>
      </c>
      <c r="M290" s="8" t="n"/>
      <c r="N290" s="21">
        <f>ROUND(N289 + IF(AND(E290&lt;=10, F290&lt;&gt;"ASTM A416"), L290, 0), 3)</f>
        <v/>
      </c>
      <c r="O290" s="21">
        <f>ROUND(O289 + IF(AND(E290&gt;10, E290&lt;=18, F290&lt;&gt;"ASTM A416"), L290, 0), 3)</f>
        <v/>
      </c>
      <c r="P290" s="21">
        <f>ROUND(P289 + IF(AND(E290&gt;18, F290&lt;&gt;"ASTM A416"), L290, 0), 3)</f>
        <v/>
      </c>
      <c r="Q290" s="21">
        <f>ROUND(Q289 + IF(F290="ASTM A416", L290, 0), 3)</f>
        <v/>
      </c>
      <c r="R290" s="11">
        <f>IF(INT(N290/20)&gt;INT(N289/20), "Lần " &amp; INT(N290/20), "")</f>
        <v/>
      </c>
      <c r="S290" s="12">
        <f>IF(INT(O290/20)&gt;INT(O289/20), "Lần " &amp; INT(O290/20), "")</f>
        <v/>
      </c>
      <c r="T290" s="11">
        <f>IF(INT(P290/20)&gt;INT(P289/20), "Lần " &amp; INT(P290/20), "")</f>
        <v/>
      </c>
      <c r="U290" s="25">
        <f>IF(INT(Q290/20)&gt;INT(Q289/20), "Lần " &amp; INT(Q290/20), "")</f>
        <v/>
      </c>
      <c r="V290" s="6" t="inlineStr"/>
      <c r="W290" s="6" t="inlineStr">
        <is>
          <t>ĐẠT TCVN 1651:2018</t>
        </is>
      </c>
    </row>
    <row r="291" ht="19" customHeight="1">
      <c r="A291" s="6" t="n">
        <v>268</v>
      </c>
      <c r="B291" s="7" t="inlineStr">
        <is>
          <t>Cọc khoan nhồi C5 Trụ T2 (D1.2m, L=30.0m)</t>
        </is>
      </c>
      <c r="C291" s="7" t="inlineStr">
        <is>
          <t>Cốt thép chủ chịu lực cọc</t>
        </is>
      </c>
      <c r="D291" s="19" t="inlineStr">
        <is>
          <t>P6</t>
        </is>
      </c>
      <c r="E291" s="20" t="n">
        <v>25</v>
      </c>
      <c r="F291" s="6" t="inlineStr">
        <is>
          <t>CB400-V</t>
        </is>
      </c>
      <c r="G291" s="7" t="inlineStr">
        <is>
          <t>Thanh thẳng nối ren/hàn</t>
        </is>
      </c>
      <c r="H291" s="21" t="n">
        <v>9.733000000000001</v>
      </c>
      <c r="I291" s="22" t="n">
        <v>12</v>
      </c>
      <c r="J291" s="23" t="n">
        <v>3.85</v>
      </c>
      <c r="K291" s="9">
        <f>ROUND(H291*I291*J291, 2)</f>
        <v/>
      </c>
      <c r="L291" s="24">
        <f>ROUND(K291/1000, 3)</f>
        <v/>
      </c>
      <c r="M291" s="8" t="n"/>
      <c r="N291" s="21">
        <f>ROUND(N290 + IF(AND(E291&lt;=10, F291&lt;&gt;"ASTM A416"), L291, 0), 3)</f>
        <v/>
      </c>
      <c r="O291" s="21">
        <f>ROUND(O290 + IF(AND(E291&gt;10, E291&lt;=18, F291&lt;&gt;"ASTM A416"), L291, 0), 3)</f>
        <v/>
      </c>
      <c r="P291" s="21">
        <f>ROUND(P290 + IF(AND(E291&gt;18, F291&lt;&gt;"ASTM A416"), L291, 0), 3)</f>
        <v/>
      </c>
      <c r="Q291" s="21">
        <f>ROUND(Q290 + IF(F291="ASTM A416", L291, 0), 3)</f>
        <v/>
      </c>
      <c r="R291" s="11">
        <f>IF(INT(N291/20)&gt;INT(N290/20), "Lần " &amp; INT(N291/20), "")</f>
        <v/>
      </c>
      <c r="S291" s="12">
        <f>IF(INT(O291/20)&gt;INT(O290/20), "Lần " &amp; INT(O291/20), "")</f>
        <v/>
      </c>
      <c r="T291" s="11">
        <f>IF(INT(P291/20)&gt;INT(P290/20), "Lần " &amp; INT(P291/20), "")</f>
        <v/>
      </c>
      <c r="U291" s="25">
        <f>IF(INT(Q291/20)&gt;INT(Q290/20), "Lần " &amp; INT(Q291/20), "")</f>
        <v/>
      </c>
      <c r="V291" s="6" t="inlineStr"/>
      <c r="W291" s="6" t="inlineStr">
        <is>
          <t>ĐẠT TCVN 1651:2018</t>
        </is>
      </c>
    </row>
    <row r="292" ht="19" customHeight="1">
      <c r="A292" s="6" t="n">
        <v>269</v>
      </c>
      <c r="B292" s="7" t="inlineStr">
        <is>
          <t>Cọc khoan nhồi C5 Trụ T2 (D1.2m, L=30.0m)</t>
        </is>
      </c>
      <c r="C292" s="7" t="inlineStr">
        <is>
          <t>Cốt thép chủ chịu lực cọc</t>
        </is>
      </c>
      <c r="D292" s="19" t="inlineStr">
        <is>
          <t>P7</t>
        </is>
      </c>
      <c r="E292" s="20" t="n">
        <v>25</v>
      </c>
      <c r="F292" s="6" t="inlineStr">
        <is>
          <t>CB400-V</t>
        </is>
      </c>
      <c r="G292" s="7" t="inlineStr">
        <is>
          <t>Thanh thẳng nối ren/hàn</t>
        </is>
      </c>
      <c r="H292" s="21" t="n">
        <v>10.733</v>
      </c>
      <c r="I292" s="22" t="n">
        <v>12</v>
      </c>
      <c r="J292" s="23" t="n">
        <v>3.85</v>
      </c>
      <c r="K292" s="9">
        <f>ROUND(H292*I292*J292, 2)</f>
        <v/>
      </c>
      <c r="L292" s="24">
        <f>ROUND(K292/1000, 3)</f>
        <v/>
      </c>
      <c r="M292" s="8" t="n"/>
      <c r="N292" s="21">
        <f>ROUND(N291 + IF(AND(E292&lt;=10, F292&lt;&gt;"ASTM A416"), L292, 0), 3)</f>
        <v/>
      </c>
      <c r="O292" s="21">
        <f>ROUND(O291 + IF(AND(E292&gt;10, E292&lt;=18, F292&lt;&gt;"ASTM A416"), L292, 0), 3)</f>
        <v/>
      </c>
      <c r="P292" s="21">
        <f>ROUND(P291 + IF(AND(E292&gt;18, F292&lt;&gt;"ASTM A416"), L292, 0), 3)</f>
        <v/>
      </c>
      <c r="Q292" s="21">
        <f>ROUND(Q291 + IF(F292="ASTM A416", L292, 0), 3)</f>
        <v/>
      </c>
      <c r="R292" s="11">
        <f>IF(INT(N292/20)&gt;INT(N291/20), "Lần " &amp; INT(N292/20), "")</f>
        <v/>
      </c>
      <c r="S292" s="12">
        <f>IF(INT(O292/20)&gt;INT(O291/20), "Lần " &amp; INT(O292/20), "")</f>
        <v/>
      </c>
      <c r="T292" s="11">
        <f>IF(INT(P292/20)&gt;INT(P291/20), "Lần " &amp; INT(P292/20), "")</f>
        <v/>
      </c>
      <c r="U292" s="25">
        <f>IF(INT(Q292/20)&gt;INT(Q291/20), "Lần " &amp; INT(Q292/20), "")</f>
        <v/>
      </c>
      <c r="V292" s="6" t="inlineStr"/>
      <c r="W292" s="6" t="inlineStr">
        <is>
          <t>ĐẠT TCVN 1651:2018</t>
        </is>
      </c>
    </row>
    <row r="293" ht="19" customHeight="1">
      <c r="A293" s="6" t="n">
        <v>270</v>
      </c>
      <c r="B293" s="7" t="inlineStr">
        <is>
          <t>Cọc khoan nhồi C5 Trụ T2 (D1.2m, L=30.0m)</t>
        </is>
      </c>
      <c r="C293" s="7" t="inlineStr">
        <is>
          <t>Đai tăng cường / Con kê bảo vệ</t>
        </is>
      </c>
      <c r="D293" s="19" t="inlineStr">
        <is>
          <t>P8</t>
        </is>
      </c>
      <c r="E293" s="20" t="n">
        <v>12</v>
      </c>
      <c r="F293" s="6" t="inlineStr">
        <is>
          <t>CB400-V</t>
        </is>
      </c>
      <c r="G293" s="7" t="inlineStr">
        <is>
          <t>Móc neo / Vòng đai</t>
        </is>
      </c>
      <c r="H293" s="21" t="n">
        <v>0.647</v>
      </c>
      <c r="I293" s="22" t="n">
        <v>12</v>
      </c>
      <c r="J293" s="23" t="n">
        <v>0.888</v>
      </c>
      <c r="K293" s="9">
        <f>ROUND(H293*I293*J293, 2)</f>
        <v/>
      </c>
      <c r="L293" s="24">
        <f>ROUND(K293/1000, 3)</f>
        <v/>
      </c>
      <c r="M293" s="8" t="n"/>
      <c r="N293" s="21">
        <f>ROUND(N292 + IF(AND(E293&lt;=10, F293&lt;&gt;"ASTM A416"), L293, 0), 3)</f>
        <v/>
      </c>
      <c r="O293" s="21">
        <f>ROUND(O292 + IF(AND(E293&gt;10, E293&lt;=18, F293&lt;&gt;"ASTM A416"), L293, 0), 3)</f>
        <v/>
      </c>
      <c r="P293" s="21">
        <f>ROUND(P292 + IF(AND(E293&gt;18, F293&lt;&gt;"ASTM A416"), L293, 0), 3)</f>
        <v/>
      </c>
      <c r="Q293" s="21">
        <f>ROUND(Q292 + IF(F293="ASTM A416", L293, 0), 3)</f>
        <v/>
      </c>
      <c r="R293" s="11">
        <f>IF(INT(N293/20)&gt;INT(N292/20), "Lần " &amp; INT(N293/20), "")</f>
        <v/>
      </c>
      <c r="S293" s="12">
        <f>IF(INT(O293/20)&gt;INT(O292/20), "Lần " &amp; INT(O293/20), "")</f>
        <v/>
      </c>
      <c r="T293" s="11">
        <f>IF(INT(P293/20)&gt;INT(P292/20), "Lần " &amp; INT(P293/20), "")</f>
        <v/>
      </c>
      <c r="U293" s="25">
        <f>IF(INT(Q293/20)&gt;INT(Q292/20), "Lần " &amp; INT(Q293/20), "")</f>
        <v/>
      </c>
      <c r="V293" s="6" t="inlineStr"/>
      <c r="W293" s="6" t="inlineStr">
        <is>
          <t>ĐẠT TCVN 1651:2018</t>
        </is>
      </c>
    </row>
    <row r="294" ht="19" customHeight="1">
      <c r="A294" s="6" t="n">
        <v>271</v>
      </c>
      <c r="B294" s="7" t="inlineStr">
        <is>
          <t>Cọc khoan nhồi C5 Trụ T2 (D1.2m, L=30.0m)</t>
        </is>
      </c>
      <c r="C294" s="7" t="inlineStr">
        <is>
          <t>Đai tăng cường / Con kê bảo vệ</t>
        </is>
      </c>
      <c r="D294" s="19" t="inlineStr">
        <is>
          <t>P9</t>
        </is>
      </c>
      <c r="E294" s="20" t="n">
        <v>12</v>
      </c>
      <c r="F294" s="6" t="inlineStr">
        <is>
          <t>CB400-V</t>
        </is>
      </c>
      <c r="G294" s="7" t="inlineStr">
        <is>
          <t>Móc neo / Vòng đai</t>
        </is>
      </c>
      <c r="H294" s="21" t="n">
        <v>0.379</v>
      </c>
      <c r="I294" s="22" t="n">
        <v>36</v>
      </c>
      <c r="J294" s="23" t="n">
        <v>0.888</v>
      </c>
      <c r="K294" s="9">
        <f>ROUND(H294*I294*J294, 2)</f>
        <v/>
      </c>
      <c r="L294" s="24">
        <f>ROUND(K294/1000, 3)</f>
        <v/>
      </c>
      <c r="M294" s="8" t="n"/>
      <c r="N294" s="21">
        <f>ROUND(N293 + IF(AND(E294&lt;=10, F294&lt;&gt;"ASTM A416"), L294, 0), 3)</f>
        <v/>
      </c>
      <c r="O294" s="21">
        <f>ROUND(O293 + IF(AND(E294&gt;10, E294&lt;=18, F294&lt;&gt;"ASTM A416"), L294, 0), 3)</f>
        <v/>
      </c>
      <c r="P294" s="21">
        <f>ROUND(P293 + IF(AND(E294&gt;18, F294&lt;&gt;"ASTM A416"), L294, 0), 3)</f>
        <v/>
      </c>
      <c r="Q294" s="21">
        <f>ROUND(Q293 + IF(F294="ASTM A416", L294, 0), 3)</f>
        <v/>
      </c>
      <c r="R294" s="11">
        <f>IF(INT(N294/20)&gt;INT(N293/20), "Lần " &amp; INT(N294/20), "")</f>
        <v/>
      </c>
      <c r="S294" s="12">
        <f>IF(INT(O294/20)&gt;INT(O293/20), "Lần " &amp; INT(O294/20), "")</f>
        <v/>
      </c>
      <c r="T294" s="11">
        <f>IF(INT(P294/20)&gt;INT(P293/20), "Lần " &amp; INT(P294/20), "")</f>
        <v/>
      </c>
      <c r="U294" s="25">
        <f>IF(INT(Q294/20)&gt;INT(Q293/20), "Lần " &amp; INT(Q294/20), "")</f>
        <v/>
      </c>
      <c r="V294" s="6" t="inlineStr"/>
      <c r="W294" s="6" t="inlineStr">
        <is>
          <t>ĐẠT TCVN 1651:2018</t>
        </is>
      </c>
    </row>
    <row r="295" ht="19" customHeight="1">
      <c r="A295" s="6" t="n">
        <v>272</v>
      </c>
      <c r="B295" s="7" t="inlineStr">
        <is>
          <t>Cọc khoan nhồi C5 Trụ T2 (D1.2m, L=30.0m)</t>
        </is>
      </c>
      <c r="C295" s="7" t="inlineStr">
        <is>
          <t>Thép đai xoắn lồng cọc</t>
        </is>
      </c>
      <c r="D295" s="19" t="inlineStr">
        <is>
          <t>P10</t>
        </is>
      </c>
      <c r="E295" s="20" t="n">
        <v>20</v>
      </c>
      <c r="F295" s="6" t="inlineStr">
        <is>
          <t>CB400-V</t>
        </is>
      </c>
      <c r="G295" s="7" t="inlineStr">
        <is>
          <t>Đai xoắn tròn</t>
        </is>
      </c>
      <c r="H295" s="21" t="n">
        <v>2.057</v>
      </c>
      <c r="I295" s="22" t="n">
        <v>1</v>
      </c>
      <c r="J295" s="23" t="n">
        <v>2.47</v>
      </c>
      <c r="K295" s="9">
        <f>ROUND(H295*I295*J295, 2)</f>
        <v/>
      </c>
      <c r="L295" s="24">
        <f>ROUND(K295/1000, 3)</f>
        <v/>
      </c>
      <c r="M295" s="8" t="n"/>
      <c r="N295" s="21">
        <f>ROUND(N294 + IF(AND(E295&lt;=10, F295&lt;&gt;"ASTM A416"), L295, 0), 3)</f>
        <v/>
      </c>
      <c r="O295" s="21">
        <f>ROUND(O294 + IF(AND(E295&gt;10, E295&lt;=18, F295&lt;&gt;"ASTM A416"), L295, 0), 3)</f>
        <v/>
      </c>
      <c r="P295" s="21">
        <f>ROUND(P294 + IF(AND(E295&gt;18, F295&lt;&gt;"ASTM A416"), L295, 0), 3)</f>
        <v/>
      </c>
      <c r="Q295" s="21">
        <f>ROUND(Q294 + IF(F295="ASTM A416", L295, 0), 3)</f>
        <v/>
      </c>
      <c r="R295" s="11">
        <f>IF(INT(N295/20)&gt;INT(N294/20), "Lần " &amp; INT(N295/20), "")</f>
        <v/>
      </c>
      <c r="S295" s="12">
        <f>IF(INT(O295/20)&gt;INT(O294/20), "Lần " &amp; INT(O295/20), "")</f>
        <v/>
      </c>
      <c r="T295" s="11">
        <f>IF(INT(P295/20)&gt;INT(P294/20), "Lần " &amp; INT(P295/20), "")</f>
        <v/>
      </c>
      <c r="U295" s="25">
        <f>IF(INT(Q295/20)&gt;INT(Q294/20), "Lần " &amp; INT(Q295/20), "")</f>
        <v/>
      </c>
      <c r="V295" s="6" t="inlineStr"/>
      <c r="W295" s="6" t="inlineStr">
        <is>
          <t>ĐẠT TCVN 1651:2018</t>
        </is>
      </c>
    </row>
    <row r="296" ht="19" customHeight="1">
      <c r="A296" s="6" t="n">
        <v>273</v>
      </c>
      <c r="B296" s="7" t="inlineStr">
        <is>
          <t>Cọc khoan nhồi C5 Trụ T2 (D1.2m, L=30.0m)</t>
        </is>
      </c>
      <c r="C296" s="7" t="inlineStr">
        <is>
          <t>Thép đai xoắn lồng cọc</t>
        </is>
      </c>
      <c r="D296" s="19" t="inlineStr">
        <is>
          <t>P12</t>
        </is>
      </c>
      <c r="E296" s="20" t="n">
        <v>20</v>
      </c>
      <c r="F296" s="6" t="inlineStr">
        <is>
          <t>CB400-V</t>
        </is>
      </c>
      <c r="G296" s="7" t="inlineStr">
        <is>
          <t>Đai xoắn tròn</t>
        </is>
      </c>
      <c r="H296" s="21" t="n">
        <v>0.583</v>
      </c>
      <c r="I296" s="22" t="n">
        <v>48</v>
      </c>
      <c r="J296" s="23" t="n">
        <v>2.47</v>
      </c>
      <c r="K296" s="9">
        <f>ROUND(H296*I296*J296, 2)</f>
        <v/>
      </c>
      <c r="L296" s="24">
        <f>ROUND(K296/1000, 3)</f>
        <v/>
      </c>
      <c r="M296" s="8" t="n"/>
      <c r="N296" s="21">
        <f>ROUND(N295 + IF(AND(E296&lt;=10, F296&lt;&gt;"ASTM A416"), L296, 0), 3)</f>
        <v/>
      </c>
      <c r="O296" s="21">
        <f>ROUND(O295 + IF(AND(E296&gt;10, E296&lt;=18, F296&lt;&gt;"ASTM A416"), L296, 0), 3)</f>
        <v/>
      </c>
      <c r="P296" s="21">
        <f>ROUND(P295 + IF(AND(E296&gt;18, F296&lt;&gt;"ASTM A416"), L296, 0), 3)</f>
        <v/>
      </c>
      <c r="Q296" s="21">
        <f>ROUND(Q295 + IF(F296="ASTM A416", L296, 0), 3)</f>
        <v/>
      </c>
      <c r="R296" s="11">
        <f>IF(INT(N296/20)&gt;INT(N295/20), "Lần " &amp; INT(N296/20), "")</f>
        <v/>
      </c>
      <c r="S296" s="12">
        <f>IF(INT(O296/20)&gt;INT(O295/20), "Lần " &amp; INT(O296/20), "")</f>
        <v/>
      </c>
      <c r="T296" s="11">
        <f>IF(INT(P296/20)&gt;INT(P295/20), "Lần " &amp; INT(P296/20), "")</f>
        <v/>
      </c>
      <c r="U296" s="25">
        <f>IF(INT(Q296/20)&gt;INT(Q295/20), "Lần " &amp; INT(Q296/20), "")</f>
        <v/>
      </c>
      <c r="V296" s="6" t="inlineStr"/>
      <c r="W296" s="6" t="inlineStr">
        <is>
          <t>ĐẠT TCVN 1651:2018</t>
        </is>
      </c>
    </row>
    <row r="297" ht="20" customHeight="1">
      <c r="A297" s="18" t="inlineStr">
        <is>
          <t>--- CỌC KHOAN NHỒI C6 TRỤ T2 (D1.2M, L=30.0M) ---</t>
        </is>
      </c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</row>
    <row r="298" ht="19" customHeight="1">
      <c r="A298" s="6" t="n">
        <v>274</v>
      </c>
      <c r="B298" s="7" t="inlineStr">
        <is>
          <t>Cọc khoan nhồi C6 Trụ T2 (D1.2m, L=30.0m)</t>
        </is>
      </c>
      <c r="C298" s="7" t="inlineStr">
        <is>
          <t>Thép đai xoắn lồng cọc</t>
        </is>
      </c>
      <c r="D298" s="19" t="inlineStr">
        <is>
          <t>P1</t>
        </is>
      </c>
      <c r="E298" s="20" t="n">
        <v>10</v>
      </c>
      <c r="F298" s="6" t="inlineStr">
        <is>
          <t>CB240-T</t>
        </is>
      </c>
      <c r="G298" s="7" t="inlineStr">
        <is>
          <t>Đai xoắn tròn</t>
        </is>
      </c>
      <c r="H298" s="21" t="n">
        <v>96.604</v>
      </c>
      <c r="I298" s="22" t="n">
        <v>1</v>
      </c>
      <c r="J298" s="23" t="n">
        <v>0.617</v>
      </c>
      <c r="K298" s="9">
        <f>ROUND(H298*I298*J298, 2)</f>
        <v/>
      </c>
      <c r="L298" s="24">
        <f>ROUND(K298/1000, 3)</f>
        <v/>
      </c>
      <c r="M298" s="8" t="n"/>
      <c r="N298" s="21">
        <f>ROUND(N296 + IF(AND(E298&lt;=10, F298&lt;&gt;"ASTM A416"), L298, 0), 3)</f>
        <v/>
      </c>
      <c r="O298" s="21">
        <f>ROUND(O296 + IF(AND(E298&gt;10, E298&lt;=18, F298&lt;&gt;"ASTM A416"), L298, 0), 3)</f>
        <v/>
      </c>
      <c r="P298" s="21">
        <f>ROUND(P296 + IF(AND(E298&gt;18, F298&lt;&gt;"ASTM A416"), L298, 0), 3)</f>
        <v/>
      </c>
      <c r="Q298" s="21">
        <f>ROUND(Q296 + IF(F298="ASTM A416", L298, 0), 3)</f>
        <v/>
      </c>
      <c r="R298" s="11">
        <f>IF(INT(N298/20)&gt;INT(N296/20), "Lần " &amp; INT(N298/20), "")</f>
        <v/>
      </c>
      <c r="S298" s="12">
        <f>IF(INT(O298/20)&gt;INT(O296/20), "Lần " &amp; INT(O298/20), "")</f>
        <v/>
      </c>
      <c r="T298" s="11">
        <f>IF(INT(P298/20)&gt;INT(P296/20), "Lần " &amp; INT(P298/20), "")</f>
        <v/>
      </c>
      <c r="U298" s="25">
        <f>IF(INT(Q298/20)&gt;INT(Q296/20), "Lần " &amp; INT(Q298/20), "")</f>
        <v/>
      </c>
      <c r="V298" s="6" t="inlineStr"/>
      <c r="W298" s="6" t="inlineStr">
        <is>
          <t>ĐẠT TCVN 1651:2018</t>
        </is>
      </c>
    </row>
    <row r="299" ht="19" customHeight="1">
      <c r="A299" s="6" t="n">
        <v>275</v>
      </c>
      <c r="B299" s="7" t="inlineStr">
        <is>
          <t>Cọc khoan nhồi C6 Trụ T2 (D1.2m, L=30.0m)</t>
        </is>
      </c>
      <c r="C299" s="7" t="inlineStr">
        <is>
          <t>Thép đai xoắn lồng cọc</t>
        </is>
      </c>
      <c r="D299" s="19" t="inlineStr">
        <is>
          <t>P1A</t>
        </is>
      </c>
      <c r="E299" s="20" t="n">
        <v>10</v>
      </c>
      <c r="F299" s="6" t="inlineStr">
        <is>
          <t>CB240-T</t>
        </is>
      </c>
      <c r="G299" s="7" t="inlineStr">
        <is>
          <t>Đai xoắn tròn</t>
        </is>
      </c>
      <c r="H299" s="21" t="n">
        <v>389.636</v>
      </c>
      <c r="I299" s="22" t="n">
        <v>1</v>
      </c>
      <c r="J299" s="23" t="n">
        <v>0.617</v>
      </c>
      <c r="K299" s="9">
        <f>ROUND(H299*I299*J299, 2)</f>
        <v/>
      </c>
      <c r="L299" s="24">
        <f>ROUND(K299/1000, 3)</f>
        <v/>
      </c>
      <c r="M299" s="8" t="n"/>
      <c r="N299" s="21">
        <f>ROUND(N298 + IF(AND(E299&lt;=10, F299&lt;&gt;"ASTM A416"), L299, 0), 3)</f>
        <v/>
      </c>
      <c r="O299" s="21">
        <f>ROUND(O298 + IF(AND(E299&gt;10, E299&lt;=18, F299&lt;&gt;"ASTM A416"), L299, 0), 3)</f>
        <v/>
      </c>
      <c r="P299" s="21">
        <f>ROUND(P298 + IF(AND(E299&gt;18, F299&lt;&gt;"ASTM A416"), L299, 0), 3)</f>
        <v/>
      </c>
      <c r="Q299" s="21">
        <f>ROUND(Q298 + IF(F299="ASTM A416", L299, 0), 3)</f>
        <v/>
      </c>
      <c r="R299" s="11">
        <f>IF(INT(N299/20)&gt;INT(N298/20), "Lần " &amp; INT(N299/20), "")</f>
        <v/>
      </c>
      <c r="S299" s="12">
        <f>IF(INT(O299/20)&gt;INT(O298/20), "Lần " &amp; INT(O299/20), "")</f>
        <v/>
      </c>
      <c r="T299" s="11">
        <f>IF(INT(P299/20)&gt;INT(P298/20), "Lần " &amp; INT(P299/20), "")</f>
        <v/>
      </c>
      <c r="U299" s="25">
        <f>IF(INT(Q299/20)&gt;INT(Q298/20), "Lần " &amp; INT(Q299/20), "")</f>
        <v/>
      </c>
      <c r="V299" s="6" t="inlineStr"/>
      <c r="W299" s="6" t="inlineStr">
        <is>
          <t>ĐẠT TCVN 1651:2018</t>
        </is>
      </c>
    </row>
    <row r="300" ht="19" customHeight="1">
      <c r="A300" s="6" t="n">
        <v>276</v>
      </c>
      <c r="B300" s="7" t="inlineStr">
        <is>
          <t>Cọc khoan nhồi C6 Trụ T2 (D1.2m, L=30.0m)</t>
        </is>
      </c>
      <c r="C300" s="7" t="inlineStr">
        <is>
          <t>Thép đai xoắn lồng cọc</t>
        </is>
      </c>
      <c r="D300" s="19" t="inlineStr">
        <is>
          <t>P1B</t>
        </is>
      </c>
      <c r="E300" s="20" t="n">
        <v>10</v>
      </c>
      <c r="F300" s="6" t="inlineStr">
        <is>
          <t>CB240-T</t>
        </is>
      </c>
      <c r="G300" s="7" t="inlineStr">
        <is>
          <t>Đai xoắn tròn</t>
        </is>
      </c>
      <c r="H300" s="21" t="n">
        <v>100.256</v>
      </c>
      <c r="I300" s="22" t="n">
        <v>1</v>
      </c>
      <c r="J300" s="23" t="n">
        <v>0.617</v>
      </c>
      <c r="K300" s="9">
        <f>ROUND(H300*I300*J300, 2)</f>
        <v/>
      </c>
      <c r="L300" s="24">
        <f>ROUND(K300/1000, 3)</f>
        <v/>
      </c>
      <c r="M300" s="8" t="n"/>
      <c r="N300" s="21">
        <f>ROUND(N299 + IF(AND(E300&lt;=10, F300&lt;&gt;"ASTM A416"), L300, 0), 3)</f>
        <v/>
      </c>
      <c r="O300" s="21">
        <f>ROUND(O299 + IF(AND(E300&gt;10, E300&lt;=18, F300&lt;&gt;"ASTM A416"), L300, 0), 3)</f>
        <v/>
      </c>
      <c r="P300" s="21">
        <f>ROUND(P299 + IF(AND(E300&gt;18, F300&lt;&gt;"ASTM A416"), L300, 0), 3)</f>
        <v/>
      </c>
      <c r="Q300" s="21">
        <f>ROUND(Q299 + IF(F300="ASTM A416", L300, 0), 3)</f>
        <v/>
      </c>
      <c r="R300" s="11">
        <f>IF(INT(N300/20)&gt;INT(N299/20), "Lần " &amp; INT(N300/20), "")</f>
        <v/>
      </c>
      <c r="S300" s="12">
        <f>IF(INT(O300/20)&gt;INT(O299/20), "Lần " &amp; INT(O300/20), "")</f>
        <v/>
      </c>
      <c r="T300" s="11">
        <f>IF(INT(P300/20)&gt;INT(P299/20), "Lần " &amp; INT(P300/20), "")</f>
        <v/>
      </c>
      <c r="U300" s="25">
        <f>IF(INT(Q300/20)&gt;INT(Q299/20), "Lần " &amp; INT(Q300/20), "")</f>
        <v/>
      </c>
      <c r="V300" s="6" t="inlineStr"/>
      <c r="W300" s="6" t="inlineStr">
        <is>
          <t>ĐẠT TCVN 1651:2018</t>
        </is>
      </c>
    </row>
    <row r="301" ht="19" customHeight="1">
      <c r="A301" s="6" t="n">
        <v>277</v>
      </c>
      <c r="B301" s="7" t="inlineStr">
        <is>
          <t>Cọc khoan nhồi C6 Trụ T2 (D1.2m, L=30.0m)</t>
        </is>
      </c>
      <c r="C301" s="7" t="inlineStr">
        <is>
          <t>Thép đai xoắn lồng cọc</t>
        </is>
      </c>
      <c r="D301" s="19" t="inlineStr">
        <is>
          <t>P1C</t>
        </is>
      </c>
      <c r="E301" s="20" t="n">
        <v>10</v>
      </c>
      <c r="F301" s="6" t="inlineStr">
        <is>
          <t>CB240-T</t>
        </is>
      </c>
      <c r="G301" s="7" t="inlineStr">
        <is>
          <t>Đai xoắn tròn</t>
        </is>
      </c>
      <c r="H301" s="21" t="n">
        <v>3.592</v>
      </c>
      <c r="I301" s="22" t="n">
        <v>2</v>
      </c>
      <c r="J301" s="23" t="n">
        <v>0.617</v>
      </c>
      <c r="K301" s="9">
        <f>ROUND(H301*I301*J301, 2)</f>
        <v/>
      </c>
      <c r="L301" s="24">
        <f>ROUND(K301/1000, 3)</f>
        <v/>
      </c>
      <c r="M301" s="8" t="n"/>
      <c r="N301" s="21">
        <f>ROUND(N300 + IF(AND(E301&lt;=10, F301&lt;&gt;"ASTM A416"), L301, 0), 3)</f>
        <v/>
      </c>
      <c r="O301" s="21">
        <f>ROUND(O300 + IF(AND(E301&gt;10, E301&lt;=18, F301&lt;&gt;"ASTM A416"), L301, 0), 3)</f>
        <v/>
      </c>
      <c r="P301" s="21">
        <f>ROUND(P300 + IF(AND(E301&gt;18, F301&lt;&gt;"ASTM A416"), L301, 0), 3)</f>
        <v/>
      </c>
      <c r="Q301" s="21">
        <f>ROUND(Q300 + IF(F301="ASTM A416", L301, 0), 3)</f>
        <v/>
      </c>
      <c r="R301" s="11">
        <f>IF(INT(N301/20)&gt;INT(N300/20), "Lần " &amp; INT(N301/20), "")</f>
        <v/>
      </c>
      <c r="S301" s="12">
        <f>IF(INT(O301/20)&gt;INT(O300/20), "Lần " &amp; INT(O301/20), "")</f>
        <v/>
      </c>
      <c r="T301" s="11">
        <f>IF(INT(P301/20)&gt;INT(P300/20), "Lần " &amp; INT(P301/20), "")</f>
        <v/>
      </c>
      <c r="U301" s="25">
        <f>IF(INT(Q301/20)&gt;INT(Q300/20), "Lần " &amp; INT(Q301/20), "")</f>
        <v/>
      </c>
      <c r="V301" s="6" t="inlineStr"/>
      <c r="W301" s="6" t="inlineStr">
        <is>
          <t>ĐẠT TCVN 1651:2018</t>
        </is>
      </c>
    </row>
    <row r="302" ht="19" customHeight="1">
      <c r="A302" s="6" t="n">
        <v>278</v>
      </c>
      <c r="B302" s="7" t="inlineStr">
        <is>
          <t>Cọc khoan nhồi C6 Trụ T2 (D1.2m, L=30.0m)</t>
        </is>
      </c>
      <c r="C302" s="7" t="inlineStr">
        <is>
          <t>Thép đai xoắn lồng cọc</t>
        </is>
      </c>
      <c r="D302" s="19" t="inlineStr">
        <is>
          <t>P1D</t>
        </is>
      </c>
      <c r="E302" s="20" t="n">
        <v>10</v>
      </c>
      <c r="F302" s="6" t="inlineStr">
        <is>
          <t>CB240-T</t>
        </is>
      </c>
      <c r="G302" s="7" t="inlineStr">
        <is>
          <t>Đai xoắn tròn</t>
        </is>
      </c>
      <c r="H302" s="21" t="n">
        <v>19.721</v>
      </c>
      <c r="I302" s="22" t="n">
        <v>1</v>
      </c>
      <c r="J302" s="23" t="n">
        <v>0.617</v>
      </c>
      <c r="K302" s="9">
        <f>ROUND(H302*I302*J302, 2)</f>
        <v/>
      </c>
      <c r="L302" s="24">
        <f>ROUND(K302/1000, 3)</f>
        <v/>
      </c>
      <c r="M302" s="8" t="n"/>
      <c r="N302" s="21">
        <f>ROUND(N301 + IF(AND(E302&lt;=10, F302&lt;&gt;"ASTM A416"), L302, 0), 3)</f>
        <v/>
      </c>
      <c r="O302" s="21">
        <f>ROUND(O301 + IF(AND(E302&gt;10, E302&lt;=18, F302&lt;&gt;"ASTM A416"), L302, 0), 3)</f>
        <v/>
      </c>
      <c r="P302" s="21">
        <f>ROUND(P301 + IF(AND(E302&gt;18, F302&lt;&gt;"ASTM A416"), L302, 0), 3)</f>
        <v/>
      </c>
      <c r="Q302" s="21">
        <f>ROUND(Q301 + IF(F302="ASTM A416", L302, 0), 3)</f>
        <v/>
      </c>
      <c r="R302" s="11">
        <f>IF(INT(N302/20)&gt;INT(N301/20), "Lần " &amp; INT(N302/20), "")</f>
        <v/>
      </c>
      <c r="S302" s="12">
        <f>IF(INT(O302/20)&gt;INT(O301/20), "Lần " &amp; INT(O302/20), "")</f>
        <v/>
      </c>
      <c r="T302" s="11">
        <f>IF(INT(P302/20)&gt;INT(P301/20), "Lần " &amp; INT(P302/20), "")</f>
        <v/>
      </c>
      <c r="U302" s="25">
        <f>IF(INT(Q302/20)&gt;INT(Q301/20), "Lần " &amp; INT(Q302/20), "")</f>
        <v/>
      </c>
      <c r="V302" s="6" t="inlineStr"/>
      <c r="W302" s="6" t="inlineStr">
        <is>
          <t>ĐẠT TCVN 1651:2018</t>
        </is>
      </c>
    </row>
    <row r="303" ht="19" customHeight="1">
      <c r="A303" s="6" t="n">
        <v>279</v>
      </c>
      <c r="B303" s="7" t="inlineStr">
        <is>
          <t>Cọc khoan nhồi C6 Trụ T2 (D1.2m, L=30.0m)</t>
        </is>
      </c>
      <c r="C303" s="7" t="inlineStr">
        <is>
          <t>Cốt thép chủ chịu lực cọc</t>
        </is>
      </c>
      <c r="D303" s="19" t="inlineStr">
        <is>
          <t>P2B</t>
        </is>
      </c>
      <c r="E303" s="20" t="n">
        <v>25</v>
      </c>
      <c r="F303" s="6" t="inlineStr">
        <is>
          <t>CB400-V</t>
        </is>
      </c>
      <c r="G303" s="7" t="inlineStr">
        <is>
          <t>Thanh thẳng nối ren/hàn</t>
        </is>
      </c>
      <c r="H303" s="21" t="n">
        <v>2.985</v>
      </c>
      <c r="I303" s="22" t="n">
        <v>12</v>
      </c>
      <c r="J303" s="23" t="n">
        <v>3.85</v>
      </c>
      <c r="K303" s="9">
        <f>ROUND(H303*I303*J303, 2)</f>
        <v/>
      </c>
      <c r="L303" s="24">
        <f>ROUND(K303/1000, 3)</f>
        <v/>
      </c>
      <c r="M303" s="8" t="n"/>
      <c r="N303" s="21">
        <f>ROUND(N302 + IF(AND(E303&lt;=10, F303&lt;&gt;"ASTM A416"), L303, 0), 3)</f>
        <v/>
      </c>
      <c r="O303" s="21">
        <f>ROUND(O302 + IF(AND(E303&gt;10, E303&lt;=18, F303&lt;&gt;"ASTM A416"), L303, 0), 3)</f>
        <v/>
      </c>
      <c r="P303" s="21">
        <f>ROUND(P302 + IF(AND(E303&gt;18, F303&lt;&gt;"ASTM A416"), L303, 0), 3)</f>
        <v/>
      </c>
      <c r="Q303" s="21">
        <f>ROUND(Q302 + IF(F303="ASTM A416", L303, 0), 3)</f>
        <v/>
      </c>
      <c r="R303" s="11">
        <f>IF(INT(N303/20)&gt;INT(N302/20), "Lần " &amp; INT(N303/20), "")</f>
        <v/>
      </c>
      <c r="S303" s="12">
        <f>IF(INT(O303/20)&gt;INT(O302/20), "Lần " &amp; INT(O303/20), "")</f>
        <v/>
      </c>
      <c r="T303" s="11">
        <f>IF(INT(P303/20)&gt;INT(P302/20), "Lần " &amp; INT(P303/20), "")</f>
        <v/>
      </c>
      <c r="U303" s="25">
        <f>IF(INT(Q303/20)&gt;INT(Q302/20), "Lần " &amp; INT(Q303/20), "")</f>
        <v/>
      </c>
      <c r="V303" s="6" t="inlineStr"/>
      <c r="W303" s="6" t="inlineStr">
        <is>
          <t>ĐẠT TCVN 1651:2018</t>
        </is>
      </c>
    </row>
    <row r="304" ht="19" customHeight="1">
      <c r="A304" s="6" t="n">
        <v>280</v>
      </c>
      <c r="B304" s="7" t="inlineStr">
        <is>
          <t>Cọc khoan nhồi C6 Trụ T2 (D1.2m, L=30.0m)</t>
        </is>
      </c>
      <c r="C304" s="7" t="inlineStr">
        <is>
          <t>Cốt thép chủ chịu lực cọc</t>
        </is>
      </c>
      <c r="D304" s="19" t="inlineStr">
        <is>
          <t>P3</t>
        </is>
      </c>
      <c r="E304" s="20" t="n">
        <v>25</v>
      </c>
      <c r="F304" s="6" t="inlineStr">
        <is>
          <t>CB400-V</t>
        </is>
      </c>
      <c r="G304" s="7" t="inlineStr">
        <is>
          <t>Thanh thẳng nối ren/hàn</t>
        </is>
      </c>
      <c r="H304" s="21" t="n">
        <v>10.7</v>
      </c>
      <c r="I304" s="22" t="n">
        <v>12</v>
      </c>
      <c r="J304" s="23" t="n">
        <v>3.85</v>
      </c>
      <c r="K304" s="9">
        <f>ROUND(H304*I304*J304, 2)</f>
        <v/>
      </c>
      <c r="L304" s="24">
        <f>ROUND(K304/1000, 3)</f>
        <v/>
      </c>
      <c r="M304" s="8" t="n"/>
      <c r="N304" s="21">
        <f>ROUND(N303 + IF(AND(E304&lt;=10, F304&lt;&gt;"ASTM A416"), L304, 0), 3)</f>
        <v/>
      </c>
      <c r="O304" s="21">
        <f>ROUND(O303 + IF(AND(E304&gt;10, E304&lt;=18, F304&lt;&gt;"ASTM A416"), L304, 0), 3)</f>
        <v/>
      </c>
      <c r="P304" s="21">
        <f>ROUND(P303 + IF(AND(E304&gt;18, F304&lt;&gt;"ASTM A416"), L304, 0), 3)</f>
        <v/>
      </c>
      <c r="Q304" s="21">
        <f>ROUND(Q303 + IF(F304="ASTM A416", L304, 0), 3)</f>
        <v/>
      </c>
      <c r="R304" s="11">
        <f>IF(INT(N304/20)&gt;INT(N303/20), "Lần " &amp; INT(N304/20), "")</f>
        <v/>
      </c>
      <c r="S304" s="12">
        <f>IF(INT(O304/20)&gt;INT(O303/20), "Lần " &amp; INT(O304/20), "")</f>
        <v/>
      </c>
      <c r="T304" s="11">
        <f>IF(INT(P304/20)&gt;INT(P303/20), "Lần " &amp; INT(P304/20), "")</f>
        <v/>
      </c>
      <c r="U304" s="25">
        <f>IF(INT(Q304/20)&gt;INT(Q303/20), "Lần " &amp; INT(Q304/20), "")</f>
        <v/>
      </c>
      <c r="V304" s="6" t="inlineStr"/>
      <c r="W304" s="6" t="inlineStr">
        <is>
          <t>ĐẠT TCVN 1651:2018</t>
        </is>
      </c>
    </row>
    <row r="305" ht="19" customHeight="1">
      <c r="A305" s="6" t="n">
        <v>281</v>
      </c>
      <c r="B305" s="7" t="inlineStr">
        <is>
          <t>Cọc khoan nhồi C6 Trụ T2 (D1.2m, L=30.0m)</t>
        </is>
      </c>
      <c r="C305" s="7" t="inlineStr">
        <is>
          <t>Cốt thép chủ chịu lực cọc</t>
        </is>
      </c>
      <c r="D305" s="19" t="inlineStr">
        <is>
          <t>P4</t>
        </is>
      </c>
      <c r="E305" s="20" t="n">
        <v>25</v>
      </c>
      <c r="F305" s="6" t="inlineStr">
        <is>
          <t>CB400-V</t>
        </is>
      </c>
      <c r="G305" s="7" t="inlineStr">
        <is>
          <t>Thanh thẳng nối ren/hàn</t>
        </is>
      </c>
      <c r="H305" s="21" t="n">
        <v>11.7</v>
      </c>
      <c r="I305" s="22" t="n">
        <v>36</v>
      </c>
      <c r="J305" s="23" t="n">
        <v>3.85</v>
      </c>
      <c r="K305" s="9">
        <f>ROUND(H305*I305*J305, 2)</f>
        <v/>
      </c>
      <c r="L305" s="24">
        <f>ROUND(K305/1000, 3)</f>
        <v/>
      </c>
      <c r="M305" s="8" t="n"/>
      <c r="N305" s="21">
        <f>ROUND(N304 + IF(AND(E305&lt;=10, F305&lt;&gt;"ASTM A416"), L305, 0), 3)</f>
        <v/>
      </c>
      <c r="O305" s="21">
        <f>ROUND(O304 + IF(AND(E305&gt;10, E305&lt;=18, F305&lt;&gt;"ASTM A416"), L305, 0), 3)</f>
        <v/>
      </c>
      <c r="P305" s="21">
        <f>ROUND(P304 + IF(AND(E305&gt;18, F305&lt;&gt;"ASTM A416"), L305, 0), 3)</f>
        <v/>
      </c>
      <c r="Q305" s="21">
        <f>ROUND(Q304 + IF(F305="ASTM A416", L305, 0), 3)</f>
        <v/>
      </c>
      <c r="R305" s="11">
        <f>IF(INT(N305/20)&gt;INT(N304/20), "Lần " &amp; INT(N305/20), "")</f>
        <v/>
      </c>
      <c r="S305" s="12">
        <f>IF(INT(O305/20)&gt;INT(O304/20), "Lần " &amp; INT(O305/20), "")</f>
        <v/>
      </c>
      <c r="T305" s="11">
        <f>IF(INT(P305/20)&gt;INT(P304/20), "Lần " &amp; INT(P305/20), "")</f>
        <v/>
      </c>
      <c r="U305" s="25">
        <f>IF(INT(Q305/20)&gt;INT(Q304/20), "Lần " &amp; INT(Q305/20), "")</f>
        <v/>
      </c>
      <c r="V305" s="6" t="inlineStr"/>
      <c r="W305" s="6" t="inlineStr">
        <is>
          <t>ĐẠT TCVN 1651:2018</t>
        </is>
      </c>
    </row>
    <row r="306" ht="19" customHeight="1">
      <c r="A306" s="6" t="n">
        <v>282</v>
      </c>
      <c r="B306" s="7" t="inlineStr">
        <is>
          <t>Cọc khoan nhồi C6 Trụ T2 (D1.2m, L=30.0m)</t>
        </is>
      </c>
      <c r="C306" s="7" t="inlineStr">
        <is>
          <t>Cốt thép chủ chịu lực cọc</t>
        </is>
      </c>
      <c r="D306" s="19" t="inlineStr">
        <is>
          <t>P6</t>
        </is>
      </c>
      <c r="E306" s="20" t="n">
        <v>25</v>
      </c>
      <c r="F306" s="6" t="inlineStr">
        <is>
          <t>CB400-V</t>
        </is>
      </c>
      <c r="G306" s="7" t="inlineStr">
        <is>
          <t>Thanh thẳng nối ren/hàn</t>
        </is>
      </c>
      <c r="H306" s="21" t="n">
        <v>9.733000000000001</v>
      </c>
      <c r="I306" s="22" t="n">
        <v>12</v>
      </c>
      <c r="J306" s="23" t="n">
        <v>3.85</v>
      </c>
      <c r="K306" s="9">
        <f>ROUND(H306*I306*J306, 2)</f>
        <v/>
      </c>
      <c r="L306" s="24">
        <f>ROUND(K306/1000, 3)</f>
        <v/>
      </c>
      <c r="M306" s="8" t="n"/>
      <c r="N306" s="21">
        <f>ROUND(N305 + IF(AND(E306&lt;=10, F306&lt;&gt;"ASTM A416"), L306, 0), 3)</f>
        <v/>
      </c>
      <c r="O306" s="21">
        <f>ROUND(O305 + IF(AND(E306&gt;10, E306&lt;=18, F306&lt;&gt;"ASTM A416"), L306, 0), 3)</f>
        <v/>
      </c>
      <c r="P306" s="21">
        <f>ROUND(P305 + IF(AND(E306&gt;18, F306&lt;&gt;"ASTM A416"), L306, 0), 3)</f>
        <v/>
      </c>
      <c r="Q306" s="21">
        <f>ROUND(Q305 + IF(F306="ASTM A416", L306, 0), 3)</f>
        <v/>
      </c>
      <c r="R306" s="11">
        <f>IF(INT(N306/20)&gt;INT(N305/20), "Lần " &amp; INT(N306/20), "")</f>
        <v/>
      </c>
      <c r="S306" s="12">
        <f>IF(INT(O306/20)&gt;INT(O305/20), "Lần " &amp; INT(O306/20), "")</f>
        <v/>
      </c>
      <c r="T306" s="11">
        <f>IF(INT(P306/20)&gt;INT(P305/20), "Lần " &amp; INT(P306/20), "")</f>
        <v/>
      </c>
      <c r="U306" s="25">
        <f>IF(INT(Q306/20)&gt;INT(Q305/20), "Lần " &amp; INT(Q306/20), "")</f>
        <v/>
      </c>
      <c r="V306" s="6" t="inlineStr"/>
      <c r="W306" s="6" t="inlineStr">
        <is>
          <t>ĐẠT TCVN 1651:2018</t>
        </is>
      </c>
    </row>
    <row r="307" ht="19" customHeight="1">
      <c r="A307" s="6" t="n">
        <v>283</v>
      </c>
      <c r="B307" s="7" t="inlineStr">
        <is>
          <t>Cọc khoan nhồi C6 Trụ T2 (D1.2m, L=30.0m)</t>
        </is>
      </c>
      <c r="C307" s="7" t="inlineStr">
        <is>
          <t>Cốt thép chủ chịu lực cọc</t>
        </is>
      </c>
      <c r="D307" s="19" t="inlineStr">
        <is>
          <t>P7</t>
        </is>
      </c>
      <c r="E307" s="20" t="n">
        <v>25</v>
      </c>
      <c r="F307" s="6" t="inlineStr">
        <is>
          <t>CB400-V</t>
        </is>
      </c>
      <c r="G307" s="7" t="inlineStr">
        <is>
          <t>Thanh thẳng nối ren/hàn</t>
        </is>
      </c>
      <c r="H307" s="21" t="n">
        <v>10.733</v>
      </c>
      <c r="I307" s="22" t="n">
        <v>12</v>
      </c>
      <c r="J307" s="23" t="n">
        <v>3.85</v>
      </c>
      <c r="K307" s="9">
        <f>ROUND(H307*I307*J307, 2)</f>
        <v/>
      </c>
      <c r="L307" s="24">
        <f>ROUND(K307/1000, 3)</f>
        <v/>
      </c>
      <c r="M307" s="8" t="n"/>
      <c r="N307" s="21">
        <f>ROUND(N306 + IF(AND(E307&lt;=10, F307&lt;&gt;"ASTM A416"), L307, 0), 3)</f>
        <v/>
      </c>
      <c r="O307" s="21">
        <f>ROUND(O306 + IF(AND(E307&gt;10, E307&lt;=18, F307&lt;&gt;"ASTM A416"), L307, 0), 3)</f>
        <v/>
      </c>
      <c r="P307" s="21">
        <f>ROUND(P306 + IF(AND(E307&gt;18, F307&lt;&gt;"ASTM A416"), L307, 0), 3)</f>
        <v/>
      </c>
      <c r="Q307" s="21">
        <f>ROUND(Q306 + IF(F307="ASTM A416", L307, 0), 3)</f>
        <v/>
      </c>
      <c r="R307" s="11">
        <f>IF(INT(N307/20)&gt;INT(N306/20), "Lần " &amp; INT(N307/20), "")</f>
        <v/>
      </c>
      <c r="S307" s="12">
        <f>IF(INT(O307/20)&gt;INT(O306/20), "Lần " &amp; INT(O307/20), "")</f>
        <v/>
      </c>
      <c r="T307" s="11">
        <f>IF(INT(P307/20)&gt;INT(P306/20), "Lần " &amp; INT(P307/20), "")</f>
        <v/>
      </c>
      <c r="U307" s="25">
        <f>IF(INT(Q307/20)&gt;INT(Q306/20), "Lần " &amp; INT(Q307/20), "")</f>
        <v/>
      </c>
      <c r="V307" s="6" t="inlineStr"/>
      <c r="W307" s="6" t="inlineStr">
        <is>
          <t>ĐẠT TCVN 1651:2018</t>
        </is>
      </c>
    </row>
    <row r="308" ht="19" customHeight="1">
      <c r="A308" s="6" t="n">
        <v>284</v>
      </c>
      <c r="B308" s="7" t="inlineStr">
        <is>
          <t>Cọc khoan nhồi C6 Trụ T2 (D1.2m, L=30.0m)</t>
        </is>
      </c>
      <c r="C308" s="7" t="inlineStr">
        <is>
          <t>Đai tăng cường / Con kê bảo vệ</t>
        </is>
      </c>
      <c r="D308" s="19" t="inlineStr">
        <is>
          <t>P8</t>
        </is>
      </c>
      <c r="E308" s="20" t="n">
        <v>12</v>
      </c>
      <c r="F308" s="6" t="inlineStr">
        <is>
          <t>CB400-V</t>
        </is>
      </c>
      <c r="G308" s="7" t="inlineStr">
        <is>
          <t>Móc neo / Vòng đai</t>
        </is>
      </c>
      <c r="H308" s="21" t="n">
        <v>0.647</v>
      </c>
      <c r="I308" s="22" t="n">
        <v>12</v>
      </c>
      <c r="J308" s="23" t="n">
        <v>0.888</v>
      </c>
      <c r="K308" s="9">
        <f>ROUND(H308*I308*J308, 2)</f>
        <v/>
      </c>
      <c r="L308" s="24">
        <f>ROUND(K308/1000, 3)</f>
        <v/>
      </c>
      <c r="M308" s="8" t="n"/>
      <c r="N308" s="21">
        <f>ROUND(N307 + IF(AND(E308&lt;=10, F308&lt;&gt;"ASTM A416"), L308, 0), 3)</f>
        <v/>
      </c>
      <c r="O308" s="21">
        <f>ROUND(O307 + IF(AND(E308&gt;10, E308&lt;=18, F308&lt;&gt;"ASTM A416"), L308, 0), 3)</f>
        <v/>
      </c>
      <c r="P308" s="21">
        <f>ROUND(P307 + IF(AND(E308&gt;18, F308&lt;&gt;"ASTM A416"), L308, 0), 3)</f>
        <v/>
      </c>
      <c r="Q308" s="21">
        <f>ROUND(Q307 + IF(F308="ASTM A416", L308, 0), 3)</f>
        <v/>
      </c>
      <c r="R308" s="11">
        <f>IF(INT(N308/20)&gt;INT(N307/20), "Lần " &amp; INT(N308/20), "")</f>
        <v/>
      </c>
      <c r="S308" s="12">
        <f>IF(INT(O308/20)&gt;INT(O307/20), "Lần " &amp; INT(O308/20), "")</f>
        <v/>
      </c>
      <c r="T308" s="11">
        <f>IF(INT(P308/20)&gt;INT(P307/20), "Lần " &amp; INT(P308/20), "")</f>
        <v/>
      </c>
      <c r="U308" s="25">
        <f>IF(INT(Q308/20)&gt;INT(Q307/20), "Lần " &amp; INT(Q308/20), "")</f>
        <v/>
      </c>
      <c r="V308" s="6" t="inlineStr"/>
      <c r="W308" s="6" t="inlineStr">
        <is>
          <t>ĐẠT TCVN 1651:2018</t>
        </is>
      </c>
    </row>
    <row r="309" ht="19" customHeight="1">
      <c r="A309" s="6" t="n">
        <v>285</v>
      </c>
      <c r="B309" s="7" t="inlineStr">
        <is>
          <t>Cọc khoan nhồi C6 Trụ T2 (D1.2m, L=30.0m)</t>
        </is>
      </c>
      <c r="C309" s="7" t="inlineStr">
        <is>
          <t>Đai tăng cường / Con kê bảo vệ</t>
        </is>
      </c>
      <c r="D309" s="19" t="inlineStr">
        <is>
          <t>P9</t>
        </is>
      </c>
      <c r="E309" s="20" t="n">
        <v>12</v>
      </c>
      <c r="F309" s="6" t="inlineStr">
        <is>
          <t>CB400-V</t>
        </is>
      </c>
      <c r="G309" s="7" t="inlineStr">
        <is>
          <t>Móc neo / Vòng đai</t>
        </is>
      </c>
      <c r="H309" s="21" t="n">
        <v>0.379</v>
      </c>
      <c r="I309" s="22" t="n">
        <v>36</v>
      </c>
      <c r="J309" s="23" t="n">
        <v>0.888</v>
      </c>
      <c r="K309" s="9">
        <f>ROUND(H309*I309*J309, 2)</f>
        <v/>
      </c>
      <c r="L309" s="24">
        <f>ROUND(K309/1000, 3)</f>
        <v/>
      </c>
      <c r="M309" s="8" t="n"/>
      <c r="N309" s="21">
        <f>ROUND(N308 + IF(AND(E309&lt;=10, F309&lt;&gt;"ASTM A416"), L309, 0), 3)</f>
        <v/>
      </c>
      <c r="O309" s="21">
        <f>ROUND(O308 + IF(AND(E309&gt;10, E309&lt;=18, F309&lt;&gt;"ASTM A416"), L309, 0), 3)</f>
        <v/>
      </c>
      <c r="P309" s="21">
        <f>ROUND(P308 + IF(AND(E309&gt;18, F309&lt;&gt;"ASTM A416"), L309, 0), 3)</f>
        <v/>
      </c>
      <c r="Q309" s="21">
        <f>ROUND(Q308 + IF(F309="ASTM A416", L309, 0), 3)</f>
        <v/>
      </c>
      <c r="R309" s="11">
        <f>IF(INT(N309/20)&gt;INT(N308/20), "Lần " &amp; INT(N309/20), "")</f>
        <v/>
      </c>
      <c r="S309" s="12">
        <f>IF(INT(O309/20)&gt;INT(O308/20), "Lần " &amp; INT(O309/20), "")</f>
        <v/>
      </c>
      <c r="T309" s="11">
        <f>IF(INT(P309/20)&gt;INT(P308/20), "Lần " &amp; INT(P309/20), "")</f>
        <v/>
      </c>
      <c r="U309" s="25">
        <f>IF(INT(Q309/20)&gt;INT(Q308/20), "Lần " &amp; INT(Q309/20), "")</f>
        <v/>
      </c>
      <c r="V309" s="6" t="inlineStr"/>
      <c r="W309" s="6" t="inlineStr">
        <is>
          <t>ĐẠT TCVN 1651:2018</t>
        </is>
      </c>
    </row>
    <row r="310" ht="19" customHeight="1">
      <c r="A310" s="6" t="n">
        <v>286</v>
      </c>
      <c r="B310" s="7" t="inlineStr">
        <is>
          <t>Cọc khoan nhồi C6 Trụ T2 (D1.2m, L=30.0m)</t>
        </is>
      </c>
      <c r="C310" s="7" t="inlineStr">
        <is>
          <t>Thép đai xoắn lồng cọc</t>
        </is>
      </c>
      <c r="D310" s="19" t="inlineStr">
        <is>
          <t>P10</t>
        </is>
      </c>
      <c r="E310" s="20" t="n">
        <v>20</v>
      </c>
      <c r="F310" s="6" t="inlineStr">
        <is>
          <t>CB400-V</t>
        </is>
      </c>
      <c r="G310" s="7" t="inlineStr">
        <is>
          <t>Đai xoắn tròn</t>
        </is>
      </c>
      <c r="H310" s="21" t="n">
        <v>2.057</v>
      </c>
      <c r="I310" s="22" t="n">
        <v>1</v>
      </c>
      <c r="J310" s="23" t="n">
        <v>2.47</v>
      </c>
      <c r="K310" s="9">
        <f>ROUND(H310*I310*J310, 2)</f>
        <v/>
      </c>
      <c r="L310" s="24">
        <f>ROUND(K310/1000, 3)</f>
        <v/>
      </c>
      <c r="M310" s="8" t="n"/>
      <c r="N310" s="21">
        <f>ROUND(N309 + IF(AND(E310&lt;=10, F310&lt;&gt;"ASTM A416"), L310, 0), 3)</f>
        <v/>
      </c>
      <c r="O310" s="21">
        <f>ROUND(O309 + IF(AND(E310&gt;10, E310&lt;=18, F310&lt;&gt;"ASTM A416"), L310, 0), 3)</f>
        <v/>
      </c>
      <c r="P310" s="21">
        <f>ROUND(P309 + IF(AND(E310&gt;18, F310&lt;&gt;"ASTM A416"), L310, 0), 3)</f>
        <v/>
      </c>
      <c r="Q310" s="21">
        <f>ROUND(Q309 + IF(F310="ASTM A416", L310, 0), 3)</f>
        <v/>
      </c>
      <c r="R310" s="11">
        <f>IF(INT(N310/20)&gt;INT(N309/20), "Lần " &amp; INT(N310/20), "")</f>
        <v/>
      </c>
      <c r="S310" s="12">
        <f>IF(INT(O310/20)&gt;INT(O309/20), "Lần " &amp; INT(O310/20), "")</f>
        <v/>
      </c>
      <c r="T310" s="11">
        <f>IF(INT(P310/20)&gt;INT(P309/20), "Lần " &amp; INT(P310/20), "")</f>
        <v/>
      </c>
      <c r="U310" s="25">
        <f>IF(INT(Q310/20)&gt;INT(Q309/20), "Lần " &amp; INT(Q310/20), "")</f>
        <v/>
      </c>
      <c r="V310" s="6" t="inlineStr"/>
      <c r="W310" s="6" t="inlineStr">
        <is>
          <t>ĐẠT TCVN 1651:2018</t>
        </is>
      </c>
    </row>
    <row r="311" ht="19" customHeight="1">
      <c r="A311" s="6" t="n">
        <v>287</v>
      </c>
      <c r="B311" s="7" t="inlineStr">
        <is>
          <t>Cọc khoan nhồi C6 Trụ T2 (D1.2m, L=30.0m)</t>
        </is>
      </c>
      <c r="C311" s="7" t="inlineStr">
        <is>
          <t>Thép đai xoắn lồng cọc</t>
        </is>
      </c>
      <c r="D311" s="19" t="inlineStr">
        <is>
          <t>P12</t>
        </is>
      </c>
      <c r="E311" s="20" t="n">
        <v>20</v>
      </c>
      <c r="F311" s="6" t="inlineStr">
        <is>
          <t>CB400-V</t>
        </is>
      </c>
      <c r="G311" s="7" t="inlineStr">
        <is>
          <t>Đai xoắn tròn</t>
        </is>
      </c>
      <c r="H311" s="21" t="n">
        <v>0.583</v>
      </c>
      <c r="I311" s="22" t="n">
        <v>48</v>
      </c>
      <c r="J311" s="23" t="n">
        <v>2.47</v>
      </c>
      <c r="K311" s="9">
        <f>ROUND(H311*I311*J311, 2)</f>
        <v/>
      </c>
      <c r="L311" s="24">
        <f>ROUND(K311/1000, 3)</f>
        <v/>
      </c>
      <c r="M311" s="8" t="n"/>
      <c r="N311" s="21">
        <f>ROUND(N310 + IF(AND(E311&lt;=10, F311&lt;&gt;"ASTM A416"), L311, 0), 3)</f>
        <v/>
      </c>
      <c r="O311" s="21">
        <f>ROUND(O310 + IF(AND(E311&gt;10, E311&lt;=18, F311&lt;&gt;"ASTM A416"), L311, 0), 3)</f>
        <v/>
      </c>
      <c r="P311" s="21">
        <f>ROUND(P310 + IF(AND(E311&gt;18, F311&lt;&gt;"ASTM A416"), L311, 0), 3)</f>
        <v/>
      </c>
      <c r="Q311" s="21">
        <f>ROUND(Q310 + IF(F311="ASTM A416", L311, 0), 3)</f>
        <v/>
      </c>
      <c r="R311" s="11">
        <f>IF(INT(N311/20)&gt;INT(N310/20), "Lần " &amp; INT(N311/20), "")</f>
        <v/>
      </c>
      <c r="S311" s="12">
        <f>IF(INT(O311/20)&gt;INT(O310/20), "Lần " &amp; INT(O311/20), "")</f>
        <v/>
      </c>
      <c r="T311" s="11">
        <f>IF(INT(P311/20)&gt;INT(P310/20), "Lần " &amp; INT(P311/20), "")</f>
        <v/>
      </c>
      <c r="U311" s="25">
        <f>IF(INT(Q311/20)&gt;INT(Q310/20), "Lần " &amp; INT(Q311/20), "")</f>
        <v/>
      </c>
      <c r="V311" s="6" t="inlineStr"/>
      <c r="W311" s="6" t="inlineStr">
        <is>
          <t>ĐẠT TCVN 1651:2018</t>
        </is>
      </c>
    </row>
    <row r="312" ht="20" customHeight="1">
      <c r="A312" s="18" t="inlineStr">
        <is>
          <t>--- CỌC KHOAN NHỒI C7 TRỤ T2 (D1.2M, L=30.0M) ---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</row>
    <row r="313" ht="19" customHeight="1">
      <c r="A313" s="6" t="n">
        <v>288</v>
      </c>
      <c r="B313" s="7" t="inlineStr">
        <is>
          <t>Cọc khoan nhồi C7 Trụ T2 (D1.2m, L=30.0m)</t>
        </is>
      </c>
      <c r="C313" s="7" t="inlineStr">
        <is>
          <t>Thép đai xoắn lồng cọc</t>
        </is>
      </c>
      <c r="D313" s="19" t="inlineStr">
        <is>
          <t>P1</t>
        </is>
      </c>
      <c r="E313" s="20" t="n">
        <v>10</v>
      </c>
      <c r="F313" s="6" t="inlineStr">
        <is>
          <t>CB240-T</t>
        </is>
      </c>
      <c r="G313" s="7" t="inlineStr">
        <is>
          <t>Đai xoắn tròn</t>
        </is>
      </c>
      <c r="H313" s="21" t="n">
        <v>96.604</v>
      </c>
      <c r="I313" s="22" t="n">
        <v>1</v>
      </c>
      <c r="J313" s="23" t="n">
        <v>0.617</v>
      </c>
      <c r="K313" s="9">
        <f>ROUND(H313*I313*J313, 2)</f>
        <v/>
      </c>
      <c r="L313" s="24">
        <f>ROUND(K313/1000, 3)</f>
        <v/>
      </c>
      <c r="M313" s="8" t="n"/>
      <c r="N313" s="21">
        <f>ROUND(N311 + IF(AND(E313&lt;=10, F313&lt;&gt;"ASTM A416"), L313, 0), 3)</f>
        <v/>
      </c>
      <c r="O313" s="21">
        <f>ROUND(O311 + IF(AND(E313&gt;10, E313&lt;=18, F313&lt;&gt;"ASTM A416"), L313, 0), 3)</f>
        <v/>
      </c>
      <c r="P313" s="21">
        <f>ROUND(P311 + IF(AND(E313&gt;18, F313&lt;&gt;"ASTM A416"), L313, 0), 3)</f>
        <v/>
      </c>
      <c r="Q313" s="21">
        <f>ROUND(Q311 + IF(F313="ASTM A416", L313, 0), 3)</f>
        <v/>
      </c>
      <c r="R313" s="11">
        <f>IF(INT(N313/20)&gt;INT(N311/20), "Lần " &amp; INT(N313/20), "")</f>
        <v/>
      </c>
      <c r="S313" s="12">
        <f>IF(INT(O313/20)&gt;INT(O311/20), "Lần " &amp; INT(O313/20), "")</f>
        <v/>
      </c>
      <c r="T313" s="11">
        <f>IF(INT(P313/20)&gt;INT(P311/20), "Lần " &amp; INT(P313/20), "")</f>
        <v/>
      </c>
      <c r="U313" s="25">
        <f>IF(INT(Q313/20)&gt;INT(Q311/20), "Lần " &amp; INT(Q313/20), "")</f>
        <v/>
      </c>
      <c r="V313" s="6" t="inlineStr"/>
      <c r="W313" s="6" t="inlineStr">
        <is>
          <t>ĐẠT TCVN 1651:2018</t>
        </is>
      </c>
    </row>
    <row r="314" ht="19" customHeight="1">
      <c r="A314" s="6" t="n">
        <v>289</v>
      </c>
      <c r="B314" s="7" t="inlineStr">
        <is>
          <t>Cọc khoan nhồi C7 Trụ T2 (D1.2m, L=30.0m)</t>
        </is>
      </c>
      <c r="C314" s="7" t="inlineStr">
        <is>
          <t>Thép đai xoắn lồng cọc</t>
        </is>
      </c>
      <c r="D314" s="19" t="inlineStr">
        <is>
          <t>P1A</t>
        </is>
      </c>
      <c r="E314" s="20" t="n">
        <v>10</v>
      </c>
      <c r="F314" s="6" t="inlineStr">
        <is>
          <t>CB240-T</t>
        </is>
      </c>
      <c r="G314" s="7" t="inlineStr">
        <is>
          <t>Đai xoắn tròn</t>
        </is>
      </c>
      <c r="H314" s="21" t="n">
        <v>389.636</v>
      </c>
      <c r="I314" s="22" t="n">
        <v>1</v>
      </c>
      <c r="J314" s="23" t="n">
        <v>0.617</v>
      </c>
      <c r="K314" s="9">
        <f>ROUND(H314*I314*J314, 2)</f>
        <v/>
      </c>
      <c r="L314" s="24">
        <f>ROUND(K314/1000, 3)</f>
        <v/>
      </c>
      <c r="M314" s="8" t="n"/>
      <c r="N314" s="21">
        <f>ROUND(N313 + IF(AND(E314&lt;=10, F314&lt;&gt;"ASTM A416"), L314, 0), 3)</f>
        <v/>
      </c>
      <c r="O314" s="21">
        <f>ROUND(O313 + IF(AND(E314&gt;10, E314&lt;=18, F314&lt;&gt;"ASTM A416"), L314, 0), 3)</f>
        <v/>
      </c>
      <c r="P314" s="21">
        <f>ROUND(P313 + IF(AND(E314&gt;18, F314&lt;&gt;"ASTM A416"), L314, 0), 3)</f>
        <v/>
      </c>
      <c r="Q314" s="21">
        <f>ROUND(Q313 + IF(F314="ASTM A416", L314, 0), 3)</f>
        <v/>
      </c>
      <c r="R314" s="11">
        <f>IF(INT(N314/20)&gt;INT(N313/20), "Lần " &amp; INT(N314/20), "")</f>
        <v/>
      </c>
      <c r="S314" s="12">
        <f>IF(INT(O314/20)&gt;INT(O313/20), "Lần " &amp; INT(O314/20), "")</f>
        <v/>
      </c>
      <c r="T314" s="11">
        <f>IF(INT(P314/20)&gt;INT(P313/20), "Lần " &amp; INT(P314/20), "")</f>
        <v/>
      </c>
      <c r="U314" s="25">
        <f>IF(INT(Q314/20)&gt;INT(Q313/20), "Lần " &amp; INT(Q314/20), "")</f>
        <v/>
      </c>
      <c r="V314" s="6" t="inlineStr"/>
      <c r="W314" s="6" t="inlineStr">
        <is>
          <t>ĐẠT TCVN 1651:2018</t>
        </is>
      </c>
    </row>
    <row r="315" ht="19" customHeight="1">
      <c r="A315" s="6" t="n">
        <v>290</v>
      </c>
      <c r="B315" s="7" t="inlineStr">
        <is>
          <t>Cọc khoan nhồi C7 Trụ T2 (D1.2m, L=30.0m)</t>
        </is>
      </c>
      <c r="C315" s="7" t="inlineStr">
        <is>
          <t>Thép đai xoắn lồng cọc</t>
        </is>
      </c>
      <c r="D315" s="19" t="inlineStr">
        <is>
          <t>P1B</t>
        </is>
      </c>
      <c r="E315" s="20" t="n">
        <v>10</v>
      </c>
      <c r="F315" s="6" t="inlineStr">
        <is>
          <t>CB240-T</t>
        </is>
      </c>
      <c r="G315" s="7" t="inlineStr">
        <is>
          <t>Đai xoắn tròn</t>
        </is>
      </c>
      <c r="H315" s="21" t="n">
        <v>100.256</v>
      </c>
      <c r="I315" s="22" t="n">
        <v>1</v>
      </c>
      <c r="J315" s="23" t="n">
        <v>0.617</v>
      </c>
      <c r="K315" s="9">
        <f>ROUND(H315*I315*J315, 2)</f>
        <v/>
      </c>
      <c r="L315" s="24">
        <f>ROUND(K315/1000, 3)</f>
        <v/>
      </c>
      <c r="M315" s="8" t="n"/>
      <c r="N315" s="21">
        <f>ROUND(N314 + IF(AND(E315&lt;=10, F315&lt;&gt;"ASTM A416"), L315, 0), 3)</f>
        <v/>
      </c>
      <c r="O315" s="21">
        <f>ROUND(O314 + IF(AND(E315&gt;10, E315&lt;=18, F315&lt;&gt;"ASTM A416"), L315, 0), 3)</f>
        <v/>
      </c>
      <c r="P315" s="21">
        <f>ROUND(P314 + IF(AND(E315&gt;18, F315&lt;&gt;"ASTM A416"), L315, 0), 3)</f>
        <v/>
      </c>
      <c r="Q315" s="21">
        <f>ROUND(Q314 + IF(F315="ASTM A416", L315, 0), 3)</f>
        <v/>
      </c>
      <c r="R315" s="11">
        <f>IF(INT(N315/20)&gt;INT(N314/20), "Lần " &amp; INT(N315/20), "")</f>
        <v/>
      </c>
      <c r="S315" s="12">
        <f>IF(INT(O315/20)&gt;INT(O314/20), "Lần " &amp; INT(O315/20), "")</f>
        <v/>
      </c>
      <c r="T315" s="11">
        <f>IF(INT(P315/20)&gt;INT(P314/20), "Lần " &amp; INT(P315/20), "")</f>
        <v/>
      </c>
      <c r="U315" s="25">
        <f>IF(INT(Q315/20)&gt;INT(Q314/20), "Lần " &amp; INT(Q315/20), "")</f>
        <v/>
      </c>
      <c r="V315" s="6" t="inlineStr"/>
      <c r="W315" s="6" t="inlineStr">
        <is>
          <t>ĐẠT TCVN 1651:2018</t>
        </is>
      </c>
    </row>
    <row r="316" ht="19" customHeight="1">
      <c r="A316" s="6" t="n">
        <v>291</v>
      </c>
      <c r="B316" s="7" t="inlineStr">
        <is>
          <t>Cọc khoan nhồi C7 Trụ T2 (D1.2m, L=30.0m)</t>
        </is>
      </c>
      <c r="C316" s="7" t="inlineStr">
        <is>
          <t>Thép đai xoắn lồng cọc</t>
        </is>
      </c>
      <c r="D316" s="19" t="inlineStr">
        <is>
          <t>P1C</t>
        </is>
      </c>
      <c r="E316" s="20" t="n">
        <v>10</v>
      </c>
      <c r="F316" s="6" t="inlineStr">
        <is>
          <t>CB240-T</t>
        </is>
      </c>
      <c r="G316" s="7" t="inlineStr">
        <is>
          <t>Đai xoắn tròn</t>
        </is>
      </c>
      <c r="H316" s="21" t="n">
        <v>3.592</v>
      </c>
      <c r="I316" s="22" t="n">
        <v>2</v>
      </c>
      <c r="J316" s="23" t="n">
        <v>0.617</v>
      </c>
      <c r="K316" s="9">
        <f>ROUND(H316*I316*J316, 2)</f>
        <v/>
      </c>
      <c r="L316" s="24">
        <f>ROUND(K316/1000, 3)</f>
        <v/>
      </c>
      <c r="M316" s="8" t="n"/>
      <c r="N316" s="21">
        <f>ROUND(N315 + IF(AND(E316&lt;=10, F316&lt;&gt;"ASTM A416"), L316, 0), 3)</f>
        <v/>
      </c>
      <c r="O316" s="21">
        <f>ROUND(O315 + IF(AND(E316&gt;10, E316&lt;=18, F316&lt;&gt;"ASTM A416"), L316, 0), 3)</f>
        <v/>
      </c>
      <c r="P316" s="21">
        <f>ROUND(P315 + IF(AND(E316&gt;18, F316&lt;&gt;"ASTM A416"), L316, 0), 3)</f>
        <v/>
      </c>
      <c r="Q316" s="21">
        <f>ROUND(Q315 + IF(F316="ASTM A416", L316, 0), 3)</f>
        <v/>
      </c>
      <c r="R316" s="11">
        <f>IF(INT(N316/20)&gt;INT(N315/20), "Lần " &amp; INT(N316/20), "")</f>
        <v/>
      </c>
      <c r="S316" s="12">
        <f>IF(INT(O316/20)&gt;INT(O315/20), "Lần " &amp; INT(O316/20), "")</f>
        <v/>
      </c>
      <c r="T316" s="11">
        <f>IF(INT(P316/20)&gt;INT(P315/20), "Lần " &amp; INT(P316/20), "")</f>
        <v/>
      </c>
      <c r="U316" s="25">
        <f>IF(INT(Q316/20)&gt;INT(Q315/20), "Lần " &amp; INT(Q316/20), "")</f>
        <v/>
      </c>
      <c r="V316" s="6" t="inlineStr"/>
      <c r="W316" s="6" t="inlineStr">
        <is>
          <t>ĐẠT TCVN 1651:2018</t>
        </is>
      </c>
    </row>
    <row r="317" ht="19" customHeight="1">
      <c r="A317" s="6" t="n">
        <v>292</v>
      </c>
      <c r="B317" s="7" t="inlineStr">
        <is>
          <t>Cọc khoan nhồi C7 Trụ T2 (D1.2m, L=30.0m)</t>
        </is>
      </c>
      <c r="C317" s="7" t="inlineStr">
        <is>
          <t>Thép đai xoắn lồng cọc</t>
        </is>
      </c>
      <c r="D317" s="19" t="inlineStr">
        <is>
          <t>P1D</t>
        </is>
      </c>
      <c r="E317" s="20" t="n">
        <v>10</v>
      </c>
      <c r="F317" s="6" t="inlineStr">
        <is>
          <t>CB240-T</t>
        </is>
      </c>
      <c r="G317" s="7" t="inlineStr">
        <is>
          <t>Đai xoắn tròn</t>
        </is>
      </c>
      <c r="H317" s="21" t="n">
        <v>19.721</v>
      </c>
      <c r="I317" s="22" t="n">
        <v>1</v>
      </c>
      <c r="J317" s="23" t="n">
        <v>0.617</v>
      </c>
      <c r="K317" s="9">
        <f>ROUND(H317*I317*J317, 2)</f>
        <v/>
      </c>
      <c r="L317" s="24">
        <f>ROUND(K317/1000, 3)</f>
        <v/>
      </c>
      <c r="M317" s="8" t="n"/>
      <c r="N317" s="21">
        <f>ROUND(N316 + IF(AND(E317&lt;=10, F317&lt;&gt;"ASTM A416"), L317, 0), 3)</f>
        <v/>
      </c>
      <c r="O317" s="21">
        <f>ROUND(O316 + IF(AND(E317&gt;10, E317&lt;=18, F317&lt;&gt;"ASTM A416"), L317, 0), 3)</f>
        <v/>
      </c>
      <c r="P317" s="21">
        <f>ROUND(P316 + IF(AND(E317&gt;18, F317&lt;&gt;"ASTM A416"), L317, 0), 3)</f>
        <v/>
      </c>
      <c r="Q317" s="21">
        <f>ROUND(Q316 + IF(F317="ASTM A416", L317, 0), 3)</f>
        <v/>
      </c>
      <c r="R317" s="11">
        <f>IF(INT(N317/20)&gt;INT(N316/20), "Lần " &amp; INT(N317/20), "")</f>
        <v/>
      </c>
      <c r="S317" s="12">
        <f>IF(INT(O317/20)&gt;INT(O316/20), "Lần " &amp; INT(O317/20), "")</f>
        <v/>
      </c>
      <c r="T317" s="11">
        <f>IF(INT(P317/20)&gt;INT(P316/20), "Lần " &amp; INT(P317/20), "")</f>
        <v/>
      </c>
      <c r="U317" s="25">
        <f>IF(INT(Q317/20)&gt;INT(Q316/20), "Lần " &amp; INT(Q317/20), "")</f>
        <v/>
      </c>
      <c r="V317" s="6" t="inlineStr"/>
      <c r="W317" s="6" t="inlineStr">
        <is>
          <t>ĐẠT TCVN 1651:2018</t>
        </is>
      </c>
    </row>
    <row r="318" ht="19" customHeight="1">
      <c r="A318" s="6" t="n">
        <v>293</v>
      </c>
      <c r="B318" s="7" t="inlineStr">
        <is>
          <t>Cọc khoan nhồi C7 Trụ T2 (D1.2m, L=30.0m)</t>
        </is>
      </c>
      <c r="C318" s="7" t="inlineStr">
        <is>
          <t>Cốt thép chủ chịu lực cọc</t>
        </is>
      </c>
      <c r="D318" s="19" t="inlineStr">
        <is>
          <t>P2B</t>
        </is>
      </c>
      <c r="E318" s="20" t="n">
        <v>25</v>
      </c>
      <c r="F318" s="6" t="inlineStr">
        <is>
          <t>CB400-V</t>
        </is>
      </c>
      <c r="G318" s="7" t="inlineStr">
        <is>
          <t>Thanh thẳng nối ren/hàn</t>
        </is>
      </c>
      <c r="H318" s="21" t="n">
        <v>2.985</v>
      </c>
      <c r="I318" s="22" t="n">
        <v>12</v>
      </c>
      <c r="J318" s="23" t="n">
        <v>3.85</v>
      </c>
      <c r="K318" s="9">
        <f>ROUND(H318*I318*J318, 2)</f>
        <v/>
      </c>
      <c r="L318" s="24">
        <f>ROUND(K318/1000, 3)</f>
        <v/>
      </c>
      <c r="M318" s="8" t="n"/>
      <c r="N318" s="21">
        <f>ROUND(N317 + IF(AND(E318&lt;=10, F318&lt;&gt;"ASTM A416"), L318, 0), 3)</f>
        <v/>
      </c>
      <c r="O318" s="21">
        <f>ROUND(O317 + IF(AND(E318&gt;10, E318&lt;=18, F318&lt;&gt;"ASTM A416"), L318, 0), 3)</f>
        <v/>
      </c>
      <c r="P318" s="21">
        <f>ROUND(P317 + IF(AND(E318&gt;18, F318&lt;&gt;"ASTM A416"), L318, 0), 3)</f>
        <v/>
      </c>
      <c r="Q318" s="21">
        <f>ROUND(Q317 + IF(F318="ASTM A416", L318, 0), 3)</f>
        <v/>
      </c>
      <c r="R318" s="11">
        <f>IF(INT(N318/20)&gt;INT(N317/20), "Lần " &amp; INT(N318/20), "")</f>
        <v/>
      </c>
      <c r="S318" s="12">
        <f>IF(INT(O318/20)&gt;INT(O317/20), "Lần " &amp; INT(O318/20), "")</f>
        <v/>
      </c>
      <c r="T318" s="11">
        <f>IF(INT(P318/20)&gt;INT(P317/20), "Lần " &amp; INT(P318/20), "")</f>
        <v/>
      </c>
      <c r="U318" s="25">
        <f>IF(INT(Q318/20)&gt;INT(Q317/20), "Lần " &amp; INT(Q318/20), "")</f>
        <v/>
      </c>
      <c r="V318" s="6" t="inlineStr"/>
      <c r="W318" s="6" t="inlineStr">
        <is>
          <t>ĐẠT TCVN 1651:2018</t>
        </is>
      </c>
    </row>
    <row r="319" ht="19" customHeight="1">
      <c r="A319" s="6" t="n">
        <v>294</v>
      </c>
      <c r="B319" s="7" t="inlineStr">
        <is>
          <t>Cọc khoan nhồi C7 Trụ T2 (D1.2m, L=30.0m)</t>
        </is>
      </c>
      <c r="C319" s="7" t="inlineStr">
        <is>
          <t>Cốt thép chủ chịu lực cọc</t>
        </is>
      </c>
      <c r="D319" s="19" t="inlineStr">
        <is>
          <t>P3</t>
        </is>
      </c>
      <c r="E319" s="20" t="n">
        <v>25</v>
      </c>
      <c r="F319" s="6" t="inlineStr">
        <is>
          <t>CB400-V</t>
        </is>
      </c>
      <c r="G319" s="7" t="inlineStr">
        <is>
          <t>Thanh thẳng nối ren/hàn</t>
        </is>
      </c>
      <c r="H319" s="21" t="n">
        <v>10.7</v>
      </c>
      <c r="I319" s="22" t="n">
        <v>12</v>
      </c>
      <c r="J319" s="23" t="n">
        <v>3.85</v>
      </c>
      <c r="K319" s="9">
        <f>ROUND(H319*I319*J319, 2)</f>
        <v/>
      </c>
      <c r="L319" s="24">
        <f>ROUND(K319/1000, 3)</f>
        <v/>
      </c>
      <c r="M319" s="8" t="n"/>
      <c r="N319" s="21">
        <f>ROUND(N318 + IF(AND(E319&lt;=10, F319&lt;&gt;"ASTM A416"), L319, 0), 3)</f>
        <v/>
      </c>
      <c r="O319" s="21">
        <f>ROUND(O318 + IF(AND(E319&gt;10, E319&lt;=18, F319&lt;&gt;"ASTM A416"), L319, 0), 3)</f>
        <v/>
      </c>
      <c r="P319" s="21">
        <f>ROUND(P318 + IF(AND(E319&gt;18, F319&lt;&gt;"ASTM A416"), L319, 0), 3)</f>
        <v/>
      </c>
      <c r="Q319" s="21">
        <f>ROUND(Q318 + IF(F319="ASTM A416", L319, 0), 3)</f>
        <v/>
      </c>
      <c r="R319" s="11">
        <f>IF(INT(N319/20)&gt;INT(N318/20), "Lần " &amp; INT(N319/20), "")</f>
        <v/>
      </c>
      <c r="S319" s="12">
        <f>IF(INT(O319/20)&gt;INT(O318/20), "Lần " &amp; INT(O319/20), "")</f>
        <v/>
      </c>
      <c r="T319" s="11">
        <f>IF(INT(P319/20)&gt;INT(P318/20), "Lần " &amp; INT(P319/20), "")</f>
        <v/>
      </c>
      <c r="U319" s="25">
        <f>IF(INT(Q319/20)&gt;INT(Q318/20), "Lần " &amp; INT(Q319/20), "")</f>
        <v/>
      </c>
      <c r="V319" s="6" t="inlineStr"/>
      <c r="W319" s="6" t="inlineStr">
        <is>
          <t>ĐẠT TCVN 1651:2018</t>
        </is>
      </c>
    </row>
    <row r="320" ht="19" customHeight="1">
      <c r="A320" s="6" t="n">
        <v>295</v>
      </c>
      <c r="B320" s="7" t="inlineStr">
        <is>
          <t>Cọc khoan nhồi C7 Trụ T2 (D1.2m, L=30.0m)</t>
        </is>
      </c>
      <c r="C320" s="7" t="inlineStr">
        <is>
          <t>Cốt thép chủ chịu lực cọc</t>
        </is>
      </c>
      <c r="D320" s="19" t="inlineStr">
        <is>
          <t>P4</t>
        </is>
      </c>
      <c r="E320" s="20" t="n">
        <v>25</v>
      </c>
      <c r="F320" s="6" t="inlineStr">
        <is>
          <t>CB400-V</t>
        </is>
      </c>
      <c r="G320" s="7" t="inlineStr">
        <is>
          <t>Thanh thẳng nối ren/hàn</t>
        </is>
      </c>
      <c r="H320" s="21" t="n">
        <v>11.7</v>
      </c>
      <c r="I320" s="22" t="n">
        <v>36</v>
      </c>
      <c r="J320" s="23" t="n">
        <v>3.85</v>
      </c>
      <c r="K320" s="9">
        <f>ROUND(H320*I320*J320, 2)</f>
        <v/>
      </c>
      <c r="L320" s="24">
        <f>ROUND(K320/1000, 3)</f>
        <v/>
      </c>
      <c r="M320" s="8" t="n"/>
      <c r="N320" s="21">
        <f>ROUND(N319 + IF(AND(E320&lt;=10, F320&lt;&gt;"ASTM A416"), L320, 0), 3)</f>
        <v/>
      </c>
      <c r="O320" s="21">
        <f>ROUND(O319 + IF(AND(E320&gt;10, E320&lt;=18, F320&lt;&gt;"ASTM A416"), L320, 0), 3)</f>
        <v/>
      </c>
      <c r="P320" s="21">
        <f>ROUND(P319 + IF(AND(E320&gt;18, F320&lt;&gt;"ASTM A416"), L320, 0), 3)</f>
        <v/>
      </c>
      <c r="Q320" s="21">
        <f>ROUND(Q319 + IF(F320="ASTM A416", L320, 0), 3)</f>
        <v/>
      </c>
      <c r="R320" s="11">
        <f>IF(INT(N320/20)&gt;INT(N319/20), "Lần " &amp; INT(N320/20), "")</f>
        <v/>
      </c>
      <c r="S320" s="12">
        <f>IF(INT(O320/20)&gt;INT(O319/20), "Lần " &amp; INT(O320/20), "")</f>
        <v/>
      </c>
      <c r="T320" s="11">
        <f>IF(INT(P320/20)&gt;INT(P319/20), "Lần " &amp; INT(P320/20), "")</f>
        <v/>
      </c>
      <c r="U320" s="25">
        <f>IF(INT(Q320/20)&gt;INT(Q319/20), "Lần " &amp; INT(Q320/20), "")</f>
        <v/>
      </c>
      <c r="V320" s="6" t="inlineStr"/>
      <c r="W320" s="6" t="inlineStr">
        <is>
          <t>ĐẠT TCVN 1651:2018</t>
        </is>
      </c>
    </row>
    <row r="321" ht="19" customHeight="1">
      <c r="A321" s="6" t="n">
        <v>296</v>
      </c>
      <c r="B321" s="7" t="inlineStr">
        <is>
          <t>Cọc khoan nhồi C7 Trụ T2 (D1.2m, L=30.0m)</t>
        </is>
      </c>
      <c r="C321" s="7" t="inlineStr">
        <is>
          <t>Cốt thép chủ chịu lực cọc</t>
        </is>
      </c>
      <c r="D321" s="19" t="inlineStr">
        <is>
          <t>P6</t>
        </is>
      </c>
      <c r="E321" s="20" t="n">
        <v>25</v>
      </c>
      <c r="F321" s="6" t="inlineStr">
        <is>
          <t>CB400-V</t>
        </is>
      </c>
      <c r="G321" s="7" t="inlineStr">
        <is>
          <t>Thanh thẳng nối ren/hàn</t>
        </is>
      </c>
      <c r="H321" s="21" t="n">
        <v>9.733000000000001</v>
      </c>
      <c r="I321" s="22" t="n">
        <v>12</v>
      </c>
      <c r="J321" s="23" t="n">
        <v>3.85</v>
      </c>
      <c r="K321" s="9">
        <f>ROUND(H321*I321*J321, 2)</f>
        <v/>
      </c>
      <c r="L321" s="24">
        <f>ROUND(K321/1000, 3)</f>
        <v/>
      </c>
      <c r="M321" s="8" t="n"/>
      <c r="N321" s="21">
        <f>ROUND(N320 + IF(AND(E321&lt;=10, F321&lt;&gt;"ASTM A416"), L321, 0), 3)</f>
        <v/>
      </c>
      <c r="O321" s="21">
        <f>ROUND(O320 + IF(AND(E321&gt;10, E321&lt;=18, F321&lt;&gt;"ASTM A416"), L321, 0), 3)</f>
        <v/>
      </c>
      <c r="P321" s="21">
        <f>ROUND(P320 + IF(AND(E321&gt;18, F321&lt;&gt;"ASTM A416"), L321, 0), 3)</f>
        <v/>
      </c>
      <c r="Q321" s="21">
        <f>ROUND(Q320 + IF(F321="ASTM A416", L321, 0), 3)</f>
        <v/>
      </c>
      <c r="R321" s="11">
        <f>IF(INT(N321/20)&gt;INT(N320/20), "Lần " &amp; INT(N321/20), "")</f>
        <v/>
      </c>
      <c r="S321" s="12">
        <f>IF(INT(O321/20)&gt;INT(O320/20), "Lần " &amp; INT(O321/20), "")</f>
        <v/>
      </c>
      <c r="T321" s="11">
        <f>IF(INT(P321/20)&gt;INT(P320/20), "Lần " &amp; INT(P321/20), "")</f>
        <v/>
      </c>
      <c r="U321" s="25">
        <f>IF(INT(Q321/20)&gt;INT(Q320/20), "Lần " &amp; INT(Q321/20), "")</f>
        <v/>
      </c>
      <c r="V321" s="6" t="inlineStr"/>
      <c r="W321" s="6" t="inlineStr">
        <is>
          <t>ĐẠT TCVN 1651:2018</t>
        </is>
      </c>
    </row>
    <row r="322" ht="19" customHeight="1">
      <c r="A322" s="6" t="n">
        <v>297</v>
      </c>
      <c r="B322" s="7" t="inlineStr">
        <is>
          <t>Cọc khoan nhồi C7 Trụ T2 (D1.2m, L=30.0m)</t>
        </is>
      </c>
      <c r="C322" s="7" t="inlineStr">
        <is>
          <t>Cốt thép chủ chịu lực cọc</t>
        </is>
      </c>
      <c r="D322" s="19" t="inlineStr">
        <is>
          <t>P7</t>
        </is>
      </c>
      <c r="E322" s="20" t="n">
        <v>25</v>
      </c>
      <c r="F322" s="6" t="inlineStr">
        <is>
          <t>CB400-V</t>
        </is>
      </c>
      <c r="G322" s="7" t="inlineStr">
        <is>
          <t>Thanh thẳng nối ren/hàn</t>
        </is>
      </c>
      <c r="H322" s="21" t="n">
        <v>10.733</v>
      </c>
      <c r="I322" s="22" t="n">
        <v>12</v>
      </c>
      <c r="J322" s="23" t="n">
        <v>3.85</v>
      </c>
      <c r="K322" s="9">
        <f>ROUND(H322*I322*J322, 2)</f>
        <v/>
      </c>
      <c r="L322" s="24">
        <f>ROUND(K322/1000, 3)</f>
        <v/>
      </c>
      <c r="M322" s="8" t="n"/>
      <c r="N322" s="21">
        <f>ROUND(N321 + IF(AND(E322&lt;=10, F322&lt;&gt;"ASTM A416"), L322, 0), 3)</f>
        <v/>
      </c>
      <c r="O322" s="21">
        <f>ROUND(O321 + IF(AND(E322&gt;10, E322&lt;=18, F322&lt;&gt;"ASTM A416"), L322, 0), 3)</f>
        <v/>
      </c>
      <c r="P322" s="21">
        <f>ROUND(P321 + IF(AND(E322&gt;18, F322&lt;&gt;"ASTM A416"), L322, 0), 3)</f>
        <v/>
      </c>
      <c r="Q322" s="21">
        <f>ROUND(Q321 + IF(F322="ASTM A416", L322, 0), 3)</f>
        <v/>
      </c>
      <c r="R322" s="11">
        <f>IF(INT(N322/20)&gt;INT(N321/20), "Lần " &amp; INT(N322/20), "")</f>
        <v/>
      </c>
      <c r="S322" s="12">
        <f>IF(INT(O322/20)&gt;INT(O321/20), "Lần " &amp; INT(O322/20), "")</f>
        <v/>
      </c>
      <c r="T322" s="11">
        <f>IF(INT(P322/20)&gt;INT(P321/20), "Lần " &amp; INT(P322/20), "")</f>
        <v/>
      </c>
      <c r="U322" s="25">
        <f>IF(INT(Q322/20)&gt;INT(Q321/20), "Lần " &amp; INT(Q322/20), "")</f>
        <v/>
      </c>
      <c r="V322" s="6" t="inlineStr"/>
      <c r="W322" s="6" t="inlineStr">
        <is>
          <t>ĐẠT TCVN 1651:2018</t>
        </is>
      </c>
    </row>
    <row r="323" ht="19" customHeight="1">
      <c r="A323" s="6" t="n">
        <v>298</v>
      </c>
      <c r="B323" s="7" t="inlineStr">
        <is>
          <t>Cọc khoan nhồi C7 Trụ T2 (D1.2m, L=30.0m)</t>
        </is>
      </c>
      <c r="C323" s="7" t="inlineStr">
        <is>
          <t>Đai tăng cường / Con kê bảo vệ</t>
        </is>
      </c>
      <c r="D323" s="19" t="inlineStr">
        <is>
          <t>P8</t>
        </is>
      </c>
      <c r="E323" s="20" t="n">
        <v>12</v>
      </c>
      <c r="F323" s="6" t="inlineStr">
        <is>
          <t>CB400-V</t>
        </is>
      </c>
      <c r="G323" s="7" t="inlineStr">
        <is>
          <t>Móc neo / Vòng đai</t>
        </is>
      </c>
      <c r="H323" s="21" t="n">
        <v>0.647</v>
      </c>
      <c r="I323" s="22" t="n">
        <v>12</v>
      </c>
      <c r="J323" s="23" t="n">
        <v>0.888</v>
      </c>
      <c r="K323" s="9">
        <f>ROUND(H323*I323*J323, 2)</f>
        <v/>
      </c>
      <c r="L323" s="24">
        <f>ROUND(K323/1000, 3)</f>
        <v/>
      </c>
      <c r="M323" s="8" t="n"/>
      <c r="N323" s="21">
        <f>ROUND(N322 + IF(AND(E323&lt;=10, F323&lt;&gt;"ASTM A416"), L323, 0), 3)</f>
        <v/>
      </c>
      <c r="O323" s="21">
        <f>ROUND(O322 + IF(AND(E323&gt;10, E323&lt;=18, F323&lt;&gt;"ASTM A416"), L323, 0), 3)</f>
        <v/>
      </c>
      <c r="P323" s="21">
        <f>ROUND(P322 + IF(AND(E323&gt;18, F323&lt;&gt;"ASTM A416"), L323, 0), 3)</f>
        <v/>
      </c>
      <c r="Q323" s="21">
        <f>ROUND(Q322 + IF(F323="ASTM A416", L323, 0), 3)</f>
        <v/>
      </c>
      <c r="R323" s="11">
        <f>IF(INT(N323/20)&gt;INT(N322/20), "Lần " &amp; INT(N323/20), "")</f>
        <v/>
      </c>
      <c r="S323" s="12">
        <f>IF(INT(O323/20)&gt;INT(O322/20), "Lần " &amp; INT(O323/20), "")</f>
        <v/>
      </c>
      <c r="T323" s="11">
        <f>IF(INT(P323/20)&gt;INT(P322/20), "Lần " &amp; INT(P323/20), "")</f>
        <v/>
      </c>
      <c r="U323" s="25">
        <f>IF(INT(Q323/20)&gt;INT(Q322/20), "Lần " &amp; INT(Q323/20), "")</f>
        <v/>
      </c>
      <c r="V323" s="6" t="inlineStr"/>
      <c r="W323" s="6" t="inlineStr">
        <is>
          <t>ĐẠT TCVN 1651:2018</t>
        </is>
      </c>
    </row>
    <row r="324" ht="19" customHeight="1">
      <c r="A324" s="6" t="n">
        <v>299</v>
      </c>
      <c r="B324" s="7" t="inlineStr">
        <is>
          <t>Cọc khoan nhồi C7 Trụ T2 (D1.2m, L=30.0m)</t>
        </is>
      </c>
      <c r="C324" s="7" t="inlineStr">
        <is>
          <t>Đai tăng cường / Con kê bảo vệ</t>
        </is>
      </c>
      <c r="D324" s="19" t="inlineStr">
        <is>
          <t>P9</t>
        </is>
      </c>
      <c r="E324" s="20" t="n">
        <v>12</v>
      </c>
      <c r="F324" s="6" t="inlineStr">
        <is>
          <t>CB400-V</t>
        </is>
      </c>
      <c r="G324" s="7" t="inlineStr">
        <is>
          <t>Móc neo / Vòng đai</t>
        </is>
      </c>
      <c r="H324" s="21" t="n">
        <v>0.379</v>
      </c>
      <c r="I324" s="22" t="n">
        <v>36</v>
      </c>
      <c r="J324" s="23" t="n">
        <v>0.888</v>
      </c>
      <c r="K324" s="9">
        <f>ROUND(H324*I324*J324, 2)</f>
        <v/>
      </c>
      <c r="L324" s="24">
        <f>ROUND(K324/1000, 3)</f>
        <v/>
      </c>
      <c r="M324" s="8" t="n"/>
      <c r="N324" s="21">
        <f>ROUND(N323 + IF(AND(E324&lt;=10, F324&lt;&gt;"ASTM A416"), L324, 0), 3)</f>
        <v/>
      </c>
      <c r="O324" s="21">
        <f>ROUND(O323 + IF(AND(E324&gt;10, E324&lt;=18, F324&lt;&gt;"ASTM A416"), L324, 0), 3)</f>
        <v/>
      </c>
      <c r="P324" s="21">
        <f>ROUND(P323 + IF(AND(E324&gt;18, F324&lt;&gt;"ASTM A416"), L324, 0), 3)</f>
        <v/>
      </c>
      <c r="Q324" s="21">
        <f>ROUND(Q323 + IF(F324="ASTM A416", L324, 0), 3)</f>
        <v/>
      </c>
      <c r="R324" s="11">
        <f>IF(INT(N324/20)&gt;INT(N323/20), "Lần " &amp; INT(N324/20), "")</f>
        <v/>
      </c>
      <c r="S324" s="12">
        <f>IF(INT(O324/20)&gt;INT(O323/20), "Lần " &amp; INT(O324/20), "")</f>
        <v/>
      </c>
      <c r="T324" s="11">
        <f>IF(INT(P324/20)&gt;INT(P323/20), "Lần " &amp; INT(P324/20), "")</f>
        <v/>
      </c>
      <c r="U324" s="25">
        <f>IF(INT(Q324/20)&gt;INT(Q323/20), "Lần " &amp; INT(Q324/20), "")</f>
        <v/>
      </c>
      <c r="V324" s="6" t="inlineStr"/>
      <c r="W324" s="6" t="inlineStr">
        <is>
          <t>ĐẠT TCVN 1651:2018</t>
        </is>
      </c>
    </row>
    <row r="325" ht="19" customHeight="1">
      <c r="A325" s="6" t="n">
        <v>300</v>
      </c>
      <c r="B325" s="7" t="inlineStr">
        <is>
          <t>Cọc khoan nhồi C7 Trụ T2 (D1.2m, L=30.0m)</t>
        </is>
      </c>
      <c r="C325" s="7" t="inlineStr">
        <is>
          <t>Thép đai xoắn lồng cọc</t>
        </is>
      </c>
      <c r="D325" s="19" t="inlineStr">
        <is>
          <t>P10</t>
        </is>
      </c>
      <c r="E325" s="20" t="n">
        <v>20</v>
      </c>
      <c r="F325" s="6" t="inlineStr">
        <is>
          <t>CB400-V</t>
        </is>
      </c>
      <c r="G325" s="7" t="inlineStr">
        <is>
          <t>Đai xoắn tròn</t>
        </is>
      </c>
      <c r="H325" s="21" t="n">
        <v>2.057</v>
      </c>
      <c r="I325" s="22" t="n">
        <v>1</v>
      </c>
      <c r="J325" s="23" t="n">
        <v>2.47</v>
      </c>
      <c r="K325" s="9">
        <f>ROUND(H325*I325*J325, 2)</f>
        <v/>
      </c>
      <c r="L325" s="24">
        <f>ROUND(K325/1000, 3)</f>
        <v/>
      </c>
      <c r="M325" s="8" t="n"/>
      <c r="N325" s="21">
        <f>ROUND(N324 + IF(AND(E325&lt;=10, F325&lt;&gt;"ASTM A416"), L325, 0), 3)</f>
        <v/>
      </c>
      <c r="O325" s="21">
        <f>ROUND(O324 + IF(AND(E325&gt;10, E325&lt;=18, F325&lt;&gt;"ASTM A416"), L325, 0), 3)</f>
        <v/>
      </c>
      <c r="P325" s="21">
        <f>ROUND(P324 + IF(AND(E325&gt;18, F325&lt;&gt;"ASTM A416"), L325, 0), 3)</f>
        <v/>
      </c>
      <c r="Q325" s="21">
        <f>ROUND(Q324 + IF(F325="ASTM A416", L325, 0), 3)</f>
        <v/>
      </c>
      <c r="R325" s="11">
        <f>IF(INT(N325/20)&gt;INT(N324/20), "Lần " &amp; INT(N325/20), "")</f>
        <v/>
      </c>
      <c r="S325" s="12">
        <f>IF(INT(O325/20)&gt;INT(O324/20), "Lần " &amp; INT(O325/20), "")</f>
        <v/>
      </c>
      <c r="T325" s="11">
        <f>IF(INT(P325/20)&gt;INT(P324/20), "Lần " &amp; INT(P325/20), "")</f>
        <v/>
      </c>
      <c r="U325" s="25">
        <f>IF(INT(Q325/20)&gt;INT(Q324/20), "Lần " &amp; INT(Q325/20), "")</f>
        <v/>
      </c>
      <c r="V325" s="6" t="inlineStr"/>
      <c r="W325" s="6" t="inlineStr">
        <is>
          <t>ĐẠT TCVN 1651:2018</t>
        </is>
      </c>
    </row>
    <row r="326" ht="19" customHeight="1">
      <c r="A326" s="6" t="n">
        <v>301</v>
      </c>
      <c r="B326" s="7" t="inlineStr">
        <is>
          <t>Cọc khoan nhồi C7 Trụ T2 (D1.2m, L=30.0m)</t>
        </is>
      </c>
      <c r="C326" s="7" t="inlineStr">
        <is>
          <t>Thép đai xoắn lồng cọc</t>
        </is>
      </c>
      <c r="D326" s="19" t="inlineStr">
        <is>
          <t>P12</t>
        </is>
      </c>
      <c r="E326" s="20" t="n">
        <v>20</v>
      </c>
      <c r="F326" s="6" t="inlineStr">
        <is>
          <t>CB400-V</t>
        </is>
      </c>
      <c r="G326" s="7" t="inlineStr">
        <is>
          <t>Đai xoắn tròn</t>
        </is>
      </c>
      <c r="H326" s="21" t="n">
        <v>0.583</v>
      </c>
      <c r="I326" s="22" t="n">
        <v>48</v>
      </c>
      <c r="J326" s="23" t="n">
        <v>2.47</v>
      </c>
      <c r="K326" s="9">
        <f>ROUND(H326*I326*J326, 2)</f>
        <v/>
      </c>
      <c r="L326" s="24">
        <f>ROUND(K326/1000, 3)</f>
        <v/>
      </c>
      <c r="M326" s="8" t="n"/>
      <c r="N326" s="21">
        <f>ROUND(N325 + IF(AND(E326&lt;=10, F326&lt;&gt;"ASTM A416"), L326, 0), 3)</f>
        <v/>
      </c>
      <c r="O326" s="21">
        <f>ROUND(O325 + IF(AND(E326&gt;10, E326&lt;=18, F326&lt;&gt;"ASTM A416"), L326, 0), 3)</f>
        <v/>
      </c>
      <c r="P326" s="21">
        <f>ROUND(P325 + IF(AND(E326&gt;18, F326&lt;&gt;"ASTM A416"), L326, 0), 3)</f>
        <v/>
      </c>
      <c r="Q326" s="21">
        <f>ROUND(Q325 + IF(F326="ASTM A416", L326, 0), 3)</f>
        <v/>
      </c>
      <c r="R326" s="11">
        <f>IF(INT(N326/20)&gt;INT(N325/20), "Lần " &amp; INT(N326/20), "")</f>
        <v/>
      </c>
      <c r="S326" s="12">
        <f>IF(INT(O326/20)&gt;INT(O325/20), "Lần " &amp; INT(O326/20), "")</f>
        <v/>
      </c>
      <c r="T326" s="11">
        <f>IF(INT(P326/20)&gt;INT(P325/20), "Lần " &amp; INT(P326/20), "")</f>
        <v/>
      </c>
      <c r="U326" s="25">
        <f>IF(INT(Q326/20)&gt;INT(Q325/20), "Lần " &amp; INT(Q326/20), "")</f>
        <v/>
      </c>
      <c r="V326" s="6" t="inlineStr"/>
      <c r="W326" s="6" t="inlineStr">
        <is>
          <t>ĐẠT TCVN 1651:2018</t>
        </is>
      </c>
    </row>
    <row r="327" ht="20" customHeight="1">
      <c r="A327" s="18" t="inlineStr">
        <is>
          <t>--- CỌC KHOAN NHỒI C8 TRỤ T2 (D1.2M, L=30.0M) ---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</row>
    <row r="328" ht="19" customHeight="1">
      <c r="A328" s="6" t="n">
        <v>302</v>
      </c>
      <c r="B328" s="7" t="inlineStr">
        <is>
          <t>Cọc khoan nhồi C8 Trụ T2 (D1.2m, L=30.0m)</t>
        </is>
      </c>
      <c r="C328" s="7" t="inlineStr">
        <is>
          <t>Thép đai xoắn lồng cọc</t>
        </is>
      </c>
      <c r="D328" s="19" t="inlineStr">
        <is>
          <t>P1</t>
        </is>
      </c>
      <c r="E328" s="20" t="n">
        <v>10</v>
      </c>
      <c r="F328" s="6" t="inlineStr">
        <is>
          <t>CB240-T</t>
        </is>
      </c>
      <c r="G328" s="7" t="inlineStr">
        <is>
          <t>Đai xoắn tròn</t>
        </is>
      </c>
      <c r="H328" s="21" t="n">
        <v>96.604</v>
      </c>
      <c r="I328" s="22" t="n">
        <v>1</v>
      </c>
      <c r="J328" s="23" t="n">
        <v>0.617</v>
      </c>
      <c r="K328" s="9">
        <f>ROUND(H328*I328*J328, 2)</f>
        <v/>
      </c>
      <c r="L328" s="24">
        <f>ROUND(K328/1000, 3)</f>
        <v/>
      </c>
      <c r="M328" s="8" t="n"/>
      <c r="N328" s="21">
        <f>ROUND(N326 + IF(AND(E328&lt;=10, F328&lt;&gt;"ASTM A416"), L328, 0), 3)</f>
        <v/>
      </c>
      <c r="O328" s="21">
        <f>ROUND(O326 + IF(AND(E328&gt;10, E328&lt;=18, F328&lt;&gt;"ASTM A416"), L328, 0), 3)</f>
        <v/>
      </c>
      <c r="P328" s="21">
        <f>ROUND(P326 + IF(AND(E328&gt;18, F328&lt;&gt;"ASTM A416"), L328, 0), 3)</f>
        <v/>
      </c>
      <c r="Q328" s="21">
        <f>ROUND(Q326 + IF(F328="ASTM A416", L328, 0), 3)</f>
        <v/>
      </c>
      <c r="R328" s="11">
        <f>IF(INT(N328/20)&gt;INT(N326/20), "Lần " &amp; INT(N328/20), "")</f>
        <v/>
      </c>
      <c r="S328" s="12">
        <f>IF(INT(O328/20)&gt;INT(O326/20), "Lần " &amp; INT(O328/20), "")</f>
        <v/>
      </c>
      <c r="T328" s="11">
        <f>IF(INT(P328/20)&gt;INT(P326/20), "Lần " &amp; INT(P328/20), "")</f>
        <v/>
      </c>
      <c r="U328" s="25">
        <f>IF(INT(Q328/20)&gt;INT(Q326/20), "Lần " &amp; INT(Q328/20), "")</f>
        <v/>
      </c>
      <c r="V328" s="6" t="inlineStr"/>
      <c r="W328" s="6" t="inlineStr">
        <is>
          <t>ĐẠT TCVN 1651:2018</t>
        </is>
      </c>
    </row>
    <row r="329" ht="19" customHeight="1">
      <c r="A329" s="6" t="n">
        <v>303</v>
      </c>
      <c r="B329" s="7" t="inlineStr">
        <is>
          <t>Cọc khoan nhồi C8 Trụ T2 (D1.2m, L=30.0m)</t>
        </is>
      </c>
      <c r="C329" s="7" t="inlineStr">
        <is>
          <t>Thép đai xoắn lồng cọc</t>
        </is>
      </c>
      <c r="D329" s="19" t="inlineStr">
        <is>
          <t>P1A</t>
        </is>
      </c>
      <c r="E329" s="20" t="n">
        <v>10</v>
      </c>
      <c r="F329" s="6" t="inlineStr">
        <is>
          <t>CB240-T</t>
        </is>
      </c>
      <c r="G329" s="7" t="inlineStr">
        <is>
          <t>Đai xoắn tròn</t>
        </is>
      </c>
      <c r="H329" s="21" t="n">
        <v>389.636</v>
      </c>
      <c r="I329" s="22" t="n">
        <v>1</v>
      </c>
      <c r="J329" s="23" t="n">
        <v>0.617</v>
      </c>
      <c r="K329" s="9">
        <f>ROUND(H329*I329*J329, 2)</f>
        <v/>
      </c>
      <c r="L329" s="24">
        <f>ROUND(K329/1000, 3)</f>
        <v/>
      </c>
      <c r="M329" s="8" t="n"/>
      <c r="N329" s="21">
        <f>ROUND(N328 + IF(AND(E329&lt;=10, F329&lt;&gt;"ASTM A416"), L329, 0), 3)</f>
        <v/>
      </c>
      <c r="O329" s="21">
        <f>ROUND(O328 + IF(AND(E329&gt;10, E329&lt;=18, F329&lt;&gt;"ASTM A416"), L329, 0), 3)</f>
        <v/>
      </c>
      <c r="P329" s="21">
        <f>ROUND(P328 + IF(AND(E329&gt;18, F329&lt;&gt;"ASTM A416"), L329, 0), 3)</f>
        <v/>
      </c>
      <c r="Q329" s="21">
        <f>ROUND(Q328 + IF(F329="ASTM A416", L329, 0), 3)</f>
        <v/>
      </c>
      <c r="R329" s="11">
        <f>IF(INT(N329/20)&gt;INT(N328/20), "Lần " &amp; INT(N329/20), "")</f>
        <v/>
      </c>
      <c r="S329" s="12">
        <f>IF(INT(O329/20)&gt;INT(O328/20), "Lần " &amp; INT(O329/20), "")</f>
        <v/>
      </c>
      <c r="T329" s="11">
        <f>IF(INT(P329/20)&gt;INT(P328/20), "Lần " &amp; INT(P329/20), "")</f>
        <v/>
      </c>
      <c r="U329" s="25">
        <f>IF(INT(Q329/20)&gt;INT(Q328/20), "Lần " &amp; INT(Q329/20), "")</f>
        <v/>
      </c>
      <c r="V329" s="6" t="inlineStr"/>
      <c r="W329" s="6" t="inlineStr">
        <is>
          <t>ĐẠT TCVN 1651:2018</t>
        </is>
      </c>
    </row>
    <row r="330" ht="19" customHeight="1">
      <c r="A330" s="6" t="n">
        <v>304</v>
      </c>
      <c r="B330" s="7" t="inlineStr">
        <is>
          <t>Cọc khoan nhồi C8 Trụ T2 (D1.2m, L=30.0m)</t>
        </is>
      </c>
      <c r="C330" s="7" t="inlineStr">
        <is>
          <t>Thép đai xoắn lồng cọc</t>
        </is>
      </c>
      <c r="D330" s="19" t="inlineStr">
        <is>
          <t>P1B</t>
        </is>
      </c>
      <c r="E330" s="20" t="n">
        <v>10</v>
      </c>
      <c r="F330" s="6" t="inlineStr">
        <is>
          <t>CB240-T</t>
        </is>
      </c>
      <c r="G330" s="7" t="inlineStr">
        <is>
          <t>Đai xoắn tròn</t>
        </is>
      </c>
      <c r="H330" s="21" t="n">
        <v>100.256</v>
      </c>
      <c r="I330" s="22" t="n">
        <v>1</v>
      </c>
      <c r="J330" s="23" t="n">
        <v>0.617</v>
      </c>
      <c r="K330" s="9">
        <f>ROUND(H330*I330*J330, 2)</f>
        <v/>
      </c>
      <c r="L330" s="24">
        <f>ROUND(K330/1000, 3)</f>
        <v/>
      </c>
      <c r="M330" s="8" t="n"/>
      <c r="N330" s="21">
        <f>ROUND(N329 + IF(AND(E330&lt;=10, F330&lt;&gt;"ASTM A416"), L330, 0), 3)</f>
        <v/>
      </c>
      <c r="O330" s="21">
        <f>ROUND(O329 + IF(AND(E330&gt;10, E330&lt;=18, F330&lt;&gt;"ASTM A416"), L330, 0), 3)</f>
        <v/>
      </c>
      <c r="P330" s="21">
        <f>ROUND(P329 + IF(AND(E330&gt;18, F330&lt;&gt;"ASTM A416"), L330, 0), 3)</f>
        <v/>
      </c>
      <c r="Q330" s="21">
        <f>ROUND(Q329 + IF(F330="ASTM A416", L330, 0), 3)</f>
        <v/>
      </c>
      <c r="R330" s="11">
        <f>IF(INT(N330/20)&gt;INT(N329/20), "Lần " &amp; INT(N330/20), "")</f>
        <v/>
      </c>
      <c r="S330" s="12">
        <f>IF(INT(O330/20)&gt;INT(O329/20), "Lần " &amp; INT(O330/20), "")</f>
        <v/>
      </c>
      <c r="T330" s="11">
        <f>IF(INT(P330/20)&gt;INT(P329/20), "Lần " &amp; INT(P330/20), "")</f>
        <v/>
      </c>
      <c r="U330" s="25">
        <f>IF(INT(Q330/20)&gt;INT(Q329/20), "Lần " &amp; INT(Q330/20), "")</f>
        <v/>
      </c>
      <c r="V330" s="6" t="inlineStr"/>
      <c r="W330" s="6" t="inlineStr">
        <is>
          <t>ĐẠT TCVN 1651:2018</t>
        </is>
      </c>
    </row>
    <row r="331" ht="19" customHeight="1">
      <c r="A331" s="6" t="n">
        <v>305</v>
      </c>
      <c r="B331" s="7" t="inlineStr">
        <is>
          <t>Cọc khoan nhồi C8 Trụ T2 (D1.2m, L=30.0m)</t>
        </is>
      </c>
      <c r="C331" s="7" t="inlineStr">
        <is>
          <t>Thép đai xoắn lồng cọc</t>
        </is>
      </c>
      <c r="D331" s="19" t="inlineStr">
        <is>
          <t>P1C</t>
        </is>
      </c>
      <c r="E331" s="20" t="n">
        <v>10</v>
      </c>
      <c r="F331" s="6" t="inlineStr">
        <is>
          <t>CB240-T</t>
        </is>
      </c>
      <c r="G331" s="7" t="inlineStr">
        <is>
          <t>Đai xoắn tròn</t>
        </is>
      </c>
      <c r="H331" s="21" t="n">
        <v>3.592</v>
      </c>
      <c r="I331" s="22" t="n">
        <v>2</v>
      </c>
      <c r="J331" s="23" t="n">
        <v>0.617</v>
      </c>
      <c r="K331" s="9">
        <f>ROUND(H331*I331*J331, 2)</f>
        <v/>
      </c>
      <c r="L331" s="24">
        <f>ROUND(K331/1000, 3)</f>
        <v/>
      </c>
      <c r="M331" s="8" t="n"/>
      <c r="N331" s="21">
        <f>ROUND(N330 + IF(AND(E331&lt;=10, F331&lt;&gt;"ASTM A416"), L331, 0), 3)</f>
        <v/>
      </c>
      <c r="O331" s="21">
        <f>ROUND(O330 + IF(AND(E331&gt;10, E331&lt;=18, F331&lt;&gt;"ASTM A416"), L331, 0), 3)</f>
        <v/>
      </c>
      <c r="P331" s="21">
        <f>ROUND(P330 + IF(AND(E331&gt;18, F331&lt;&gt;"ASTM A416"), L331, 0), 3)</f>
        <v/>
      </c>
      <c r="Q331" s="21">
        <f>ROUND(Q330 + IF(F331="ASTM A416", L331, 0), 3)</f>
        <v/>
      </c>
      <c r="R331" s="11">
        <f>IF(INT(N331/20)&gt;INT(N330/20), "Lần " &amp; INT(N331/20), "")</f>
        <v/>
      </c>
      <c r="S331" s="12">
        <f>IF(INT(O331/20)&gt;INT(O330/20), "Lần " &amp; INT(O331/20), "")</f>
        <v/>
      </c>
      <c r="T331" s="11">
        <f>IF(INT(P331/20)&gt;INT(P330/20), "Lần " &amp; INT(P331/20), "")</f>
        <v/>
      </c>
      <c r="U331" s="25">
        <f>IF(INT(Q331/20)&gt;INT(Q330/20), "Lần " &amp; INT(Q331/20), "")</f>
        <v/>
      </c>
      <c r="V331" s="6" t="inlineStr"/>
      <c r="W331" s="6" t="inlineStr">
        <is>
          <t>ĐẠT TCVN 1651:2018</t>
        </is>
      </c>
    </row>
    <row r="332" ht="19" customHeight="1">
      <c r="A332" s="6" t="n">
        <v>306</v>
      </c>
      <c r="B332" s="7" t="inlineStr">
        <is>
          <t>Cọc khoan nhồi C8 Trụ T2 (D1.2m, L=30.0m)</t>
        </is>
      </c>
      <c r="C332" s="7" t="inlineStr">
        <is>
          <t>Thép đai xoắn lồng cọc</t>
        </is>
      </c>
      <c r="D332" s="19" t="inlineStr">
        <is>
          <t>P1D</t>
        </is>
      </c>
      <c r="E332" s="20" t="n">
        <v>10</v>
      </c>
      <c r="F332" s="6" t="inlineStr">
        <is>
          <t>CB240-T</t>
        </is>
      </c>
      <c r="G332" s="7" t="inlineStr">
        <is>
          <t>Đai xoắn tròn</t>
        </is>
      </c>
      <c r="H332" s="21" t="n">
        <v>19.721</v>
      </c>
      <c r="I332" s="22" t="n">
        <v>1</v>
      </c>
      <c r="J332" s="23" t="n">
        <v>0.617</v>
      </c>
      <c r="K332" s="9">
        <f>ROUND(H332*I332*J332, 2)</f>
        <v/>
      </c>
      <c r="L332" s="24">
        <f>ROUND(K332/1000, 3)</f>
        <v/>
      </c>
      <c r="M332" s="8" t="n"/>
      <c r="N332" s="21">
        <f>ROUND(N331 + IF(AND(E332&lt;=10, F332&lt;&gt;"ASTM A416"), L332, 0), 3)</f>
        <v/>
      </c>
      <c r="O332" s="21">
        <f>ROUND(O331 + IF(AND(E332&gt;10, E332&lt;=18, F332&lt;&gt;"ASTM A416"), L332, 0), 3)</f>
        <v/>
      </c>
      <c r="P332" s="21">
        <f>ROUND(P331 + IF(AND(E332&gt;18, F332&lt;&gt;"ASTM A416"), L332, 0), 3)</f>
        <v/>
      </c>
      <c r="Q332" s="21">
        <f>ROUND(Q331 + IF(F332="ASTM A416", L332, 0), 3)</f>
        <v/>
      </c>
      <c r="R332" s="11">
        <f>IF(INT(N332/20)&gt;INT(N331/20), "Lần " &amp; INT(N332/20), "")</f>
        <v/>
      </c>
      <c r="S332" s="12">
        <f>IF(INT(O332/20)&gt;INT(O331/20), "Lần " &amp; INT(O332/20), "")</f>
        <v/>
      </c>
      <c r="T332" s="11">
        <f>IF(INT(P332/20)&gt;INT(P331/20), "Lần " &amp; INT(P332/20), "")</f>
        <v/>
      </c>
      <c r="U332" s="25">
        <f>IF(INT(Q332/20)&gt;INT(Q331/20), "Lần " &amp; INT(Q332/20), "")</f>
        <v/>
      </c>
      <c r="V332" s="6" t="inlineStr"/>
      <c r="W332" s="6" t="inlineStr">
        <is>
          <t>ĐẠT TCVN 1651:2018</t>
        </is>
      </c>
    </row>
    <row r="333" ht="19" customHeight="1">
      <c r="A333" s="6" t="n">
        <v>307</v>
      </c>
      <c r="B333" s="7" t="inlineStr">
        <is>
          <t>Cọc khoan nhồi C8 Trụ T2 (D1.2m, L=30.0m)</t>
        </is>
      </c>
      <c r="C333" s="7" t="inlineStr">
        <is>
          <t>Cốt thép chủ chịu lực cọc</t>
        </is>
      </c>
      <c r="D333" s="19" t="inlineStr">
        <is>
          <t>P2B</t>
        </is>
      </c>
      <c r="E333" s="20" t="n">
        <v>25</v>
      </c>
      <c r="F333" s="6" t="inlineStr">
        <is>
          <t>CB400-V</t>
        </is>
      </c>
      <c r="G333" s="7" t="inlineStr">
        <is>
          <t>Thanh thẳng nối ren/hàn</t>
        </is>
      </c>
      <c r="H333" s="21" t="n">
        <v>2.985</v>
      </c>
      <c r="I333" s="22" t="n">
        <v>12</v>
      </c>
      <c r="J333" s="23" t="n">
        <v>3.85</v>
      </c>
      <c r="K333" s="9">
        <f>ROUND(H333*I333*J333, 2)</f>
        <v/>
      </c>
      <c r="L333" s="24">
        <f>ROUND(K333/1000, 3)</f>
        <v/>
      </c>
      <c r="M333" s="8" t="n"/>
      <c r="N333" s="21">
        <f>ROUND(N332 + IF(AND(E333&lt;=10, F333&lt;&gt;"ASTM A416"), L333, 0), 3)</f>
        <v/>
      </c>
      <c r="O333" s="21">
        <f>ROUND(O332 + IF(AND(E333&gt;10, E333&lt;=18, F333&lt;&gt;"ASTM A416"), L333, 0), 3)</f>
        <v/>
      </c>
      <c r="P333" s="21">
        <f>ROUND(P332 + IF(AND(E333&gt;18, F333&lt;&gt;"ASTM A416"), L333, 0), 3)</f>
        <v/>
      </c>
      <c r="Q333" s="21">
        <f>ROUND(Q332 + IF(F333="ASTM A416", L333, 0), 3)</f>
        <v/>
      </c>
      <c r="R333" s="11">
        <f>IF(INT(N333/20)&gt;INT(N332/20), "Lần " &amp; INT(N333/20), "")</f>
        <v/>
      </c>
      <c r="S333" s="12">
        <f>IF(INT(O333/20)&gt;INT(O332/20), "Lần " &amp; INT(O333/20), "")</f>
        <v/>
      </c>
      <c r="T333" s="11">
        <f>IF(INT(P333/20)&gt;INT(P332/20), "Lần " &amp; INT(P333/20), "")</f>
        <v/>
      </c>
      <c r="U333" s="25">
        <f>IF(INT(Q333/20)&gt;INT(Q332/20), "Lần " &amp; INT(Q333/20), "")</f>
        <v/>
      </c>
      <c r="V333" s="6" t="inlineStr"/>
      <c r="W333" s="6" t="inlineStr">
        <is>
          <t>ĐẠT TCVN 1651:2018</t>
        </is>
      </c>
    </row>
    <row r="334" ht="19" customHeight="1">
      <c r="A334" s="6" t="n">
        <v>308</v>
      </c>
      <c r="B334" s="7" t="inlineStr">
        <is>
          <t>Cọc khoan nhồi C8 Trụ T2 (D1.2m, L=30.0m)</t>
        </is>
      </c>
      <c r="C334" s="7" t="inlineStr">
        <is>
          <t>Cốt thép chủ chịu lực cọc</t>
        </is>
      </c>
      <c r="D334" s="19" t="inlineStr">
        <is>
          <t>P3</t>
        </is>
      </c>
      <c r="E334" s="20" t="n">
        <v>25</v>
      </c>
      <c r="F334" s="6" t="inlineStr">
        <is>
          <t>CB400-V</t>
        </is>
      </c>
      <c r="G334" s="7" t="inlineStr">
        <is>
          <t>Thanh thẳng nối ren/hàn</t>
        </is>
      </c>
      <c r="H334" s="21" t="n">
        <v>10.7</v>
      </c>
      <c r="I334" s="22" t="n">
        <v>12</v>
      </c>
      <c r="J334" s="23" t="n">
        <v>3.85</v>
      </c>
      <c r="K334" s="9">
        <f>ROUND(H334*I334*J334, 2)</f>
        <v/>
      </c>
      <c r="L334" s="24">
        <f>ROUND(K334/1000, 3)</f>
        <v/>
      </c>
      <c r="M334" s="8" t="n"/>
      <c r="N334" s="21">
        <f>ROUND(N333 + IF(AND(E334&lt;=10, F334&lt;&gt;"ASTM A416"), L334, 0), 3)</f>
        <v/>
      </c>
      <c r="O334" s="21">
        <f>ROUND(O333 + IF(AND(E334&gt;10, E334&lt;=18, F334&lt;&gt;"ASTM A416"), L334, 0), 3)</f>
        <v/>
      </c>
      <c r="P334" s="21">
        <f>ROUND(P333 + IF(AND(E334&gt;18, F334&lt;&gt;"ASTM A416"), L334, 0), 3)</f>
        <v/>
      </c>
      <c r="Q334" s="21">
        <f>ROUND(Q333 + IF(F334="ASTM A416", L334, 0), 3)</f>
        <v/>
      </c>
      <c r="R334" s="11">
        <f>IF(INT(N334/20)&gt;INT(N333/20), "Lần " &amp; INT(N334/20), "")</f>
        <v/>
      </c>
      <c r="S334" s="12">
        <f>IF(INT(O334/20)&gt;INT(O333/20), "Lần " &amp; INT(O334/20), "")</f>
        <v/>
      </c>
      <c r="T334" s="11">
        <f>IF(INT(P334/20)&gt;INT(P333/20), "Lần " &amp; INT(P334/20), "")</f>
        <v/>
      </c>
      <c r="U334" s="25">
        <f>IF(INT(Q334/20)&gt;INT(Q333/20), "Lần " &amp; INT(Q334/20), "")</f>
        <v/>
      </c>
      <c r="V334" s="6" t="inlineStr"/>
      <c r="W334" s="6" t="inlineStr">
        <is>
          <t>ĐẠT TCVN 1651:2018</t>
        </is>
      </c>
    </row>
    <row r="335" ht="19" customHeight="1">
      <c r="A335" s="6" t="n">
        <v>309</v>
      </c>
      <c r="B335" s="7" t="inlineStr">
        <is>
          <t>Cọc khoan nhồi C8 Trụ T2 (D1.2m, L=30.0m)</t>
        </is>
      </c>
      <c r="C335" s="7" t="inlineStr">
        <is>
          <t>Cốt thép chủ chịu lực cọc</t>
        </is>
      </c>
      <c r="D335" s="19" t="inlineStr">
        <is>
          <t>P4</t>
        </is>
      </c>
      <c r="E335" s="20" t="n">
        <v>25</v>
      </c>
      <c r="F335" s="6" t="inlineStr">
        <is>
          <t>CB400-V</t>
        </is>
      </c>
      <c r="G335" s="7" t="inlineStr">
        <is>
          <t>Thanh thẳng nối ren/hàn</t>
        </is>
      </c>
      <c r="H335" s="21" t="n">
        <v>11.7</v>
      </c>
      <c r="I335" s="22" t="n">
        <v>36</v>
      </c>
      <c r="J335" s="23" t="n">
        <v>3.85</v>
      </c>
      <c r="K335" s="9">
        <f>ROUND(H335*I335*J335, 2)</f>
        <v/>
      </c>
      <c r="L335" s="24">
        <f>ROUND(K335/1000, 3)</f>
        <v/>
      </c>
      <c r="M335" s="8" t="n"/>
      <c r="N335" s="21">
        <f>ROUND(N334 + IF(AND(E335&lt;=10, F335&lt;&gt;"ASTM A416"), L335, 0), 3)</f>
        <v/>
      </c>
      <c r="O335" s="21">
        <f>ROUND(O334 + IF(AND(E335&gt;10, E335&lt;=18, F335&lt;&gt;"ASTM A416"), L335, 0), 3)</f>
        <v/>
      </c>
      <c r="P335" s="21">
        <f>ROUND(P334 + IF(AND(E335&gt;18, F335&lt;&gt;"ASTM A416"), L335, 0), 3)</f>
        <v/>
      </c>
      <c r="Q335" s="21">
        <f>ROUND(Q334 + IF(F335="ASTM A416", L335, 0), 3)</f>
        <v/>
      </c>
      <c r="R335" s="11">
        <f>IF(INT(N335/20)&gt;INT(N334/20), "Lần " &amp; INT(N335/20), "")</f>
        <v/>
      </c>
      <c r="S335" s="12">
        <f>IF(INT(O335/20)&gt;INT(O334/20), "Lần " &amp; INT(O335/20), "")</f>
        <v/>
      </c>
      <c r="T335" s="11">
        <f>IF(INT(P335/20)&gt;INT(P334/20), "Lần " &amp; INT(P335/20), "")</f>
        <v/>
      </c>
      <c r="U335" s="25">
        <f>IF(INT(Q335/20)&gt;INT(Q334/20), "Lần " &amp; INT(Q335/20), "")</f>
        <v/>
      </c>
      <c r="V335" s="6" t="inlineStr"/>
      <c r="W335" s="6" t="inlineStr">
        <is>
          <t>ĐẠT TCVN 1651:2018</t>
        </is>
      </c>
    </row>
    <row r="336" ht="19" customHeight="1">
      <c r="A336" s="6" t="n">
        <v>310</v>
      </c>
      <c r="B336" s="7" t="inlineStr">
        <is>
          <t>Cọc khoan nhồi C8 Trụ T2 (D1.2m, L=30.0m)</t>
        </is>
      </c>
      <c r="C336" s="7" t="inlineStr">
        <is>
          <t>Cốt thép chủ chịu lực cọc</t>
        </is>
      </c>
      <c r="D336" s="19" t="inlineStr">
        <is>
          <t>P6</t>
        </is>
      </c>
      <c r="E336" s="20" t="n">
        <v>25</v>
      </c>
      <c r="F336" s="6" t="inlineStr">
        <is>
          <t>CB400-V</t>
        </is>
      </c>
      <c r="G336" s="7" t="inlineStr">
        <is>
          <t>Thanh thẳng nối ren/hàn</t>
        </is>
      </c>
      <c r="H336" s="21" t="n">
        <v>9.733000000000001</v>
      </c>
      <c r="I336" s="22" t="n">
        <v>12</v>
      </c>
      <c r="J336" s="23" t="n">
        <v>3.85</v>
      </c>
      <c r="K336" s="9">
        <f>ROUND(H336*I336*J336, 2)</f>
        <v/>
      </c>
      <c r="L336" s="24">
        <f>ROUND(K336/1000, 3)</f>
        <v/>
      </c>
      <c r="M336" s="8" t="n"/>
      <c r="N336" s="21">
        <f>ROUND(N335 + IF(AND(E336&lt;=10, F336&lt;&gt;"ASTM A416"), L336, 0), 3)</f>
        <v/>
      </c>
      <c r="O336" s="21">
        <f>ROUND(O335 + IF(AND(E336&gt;10, E336&lt;=18, F336&lt;&gt;"ASTM A416"), L336, 0), 3)</f>
        <v/>
      </c>
      <c r="P336" s="21">
        <f>ROUND(P335 + IF(AND(E336&gt;18, F336&lt;&gt;"ASTM A416"), L336, 0), 3)</f>
        <v/>
      </c>
      <c r="Q336" s="21">
        <f>ROUND(Q335 + IF(F336="ASTM A416", L336, 0), 3)</f>
        <v/>
      </c>
      <c r="R336" s="11">
        <f>IF(INT(N336/20)&gt;INT(N335/20), "Lần " &amp; INT(N336/20), "")</f>
        <v/>
      </c>
      <c r="S336" s="12">
        <f>IF(INT(O336/20)&gt;INT(O335/20), "Lần " &amp; INT(O336/20), "")</f>
        <v/>
      </c>
      <c r="T336" s="11">
        <f>IF(INT(P336/20)&gt;INT(P335/20), "Lần " &amp; INT(P336/20), "")</f>
        <v/>
      </c>
      <c r="U336" s="25">
        <f>IF(INT(Q336/20)&gt;INT(Q335/20), "Lần " &amp; INT(Q336/20), "")</f>
        <v/>
      </c>
      <c r="V336" s="6" t="inlineStr"/>
      <c r="W336" s="6" t="inlineStr">
        <is>
          <t>ĐẠT TCVN 1651:2018</t>
        </is>
      </c>
    </row>
    <row r="337" ht="19" customHeight="1">
      <c r="A337" s="6" t="n">
        <v>311</v>
      </c>
      <c r="B337" s="7" t="inlineStr">
        <is>
          <t>Cọc khoan nhồi C8 Trụ T2 (D1.2m, L=30.0m)</t>
        </is>
      </c>
      <c r="C337" s="7" t="inlineStr">
        <is>
          <t>Cốt thép chủ chịu lực cọc</t>
        </is>
      </c>
      <c r="D337" s="19" t="inlineStr">
        <is>
          <t>P7</t>
        </is>
      </c>
      <c r="E337" s="20" t="n">
        <v>25</v>
      </c>
      <c r="F337" s="6" t="inlineStr">
        <is>
          <t>CB400-V</t>
        </is>
      </c>
      <c r="G337" s="7" t="inlineStr">
        <is>
          <t>Thanh thẳng nối ren/hàn</t>
        </is>
      </c>
      <c r="H337" s="21" t="n">
        <v>10.733</v>
      </c>
      <c r="I337" s="22" t="n">
        <v>12</v>
      </c>
      <c r="J337" s="23" t="n">
        <v>3.85</v>
      </c>
      <c r="K337" s="9">
        <f>ROUND(H337*I337*J337, 2)</f>
        <v/>
      </c>
      <c r="L337" s="24">
        <f>ROUND(K337/1000, 3)</f>
        <v/>
      </c>
      <c r="M337" s="8" t="n"/>
      <c r="N337" s="21">
        <f>ROUND(N336 + IF(AND(E337&lt;=10, F337&lt;&gt;"ASTM A416"), L337, 0), 3)</f>
        <v/>
      </c>
      <c r="O337" s="21">
        <f>ROUND(O336 + IF(AND(E337&gt;10, E337&lt;=18, F337&lt;&gt;"ASTM A416"), L337, 0), 3)</f>
        <v/>
      </c>
      <c r="P337" s="21">
        <f>ROUND(P336 + IF(AND(E337&gt;18, F337&lt;&gt;"ASTM A416"), L337, 0), 3)</f>
        <v/>
      </c>
      <c r="Q337" s="21">
        <f>ROUND(Q336 + IF(F337="ASTM A416", L337, 0), 3)</f>
        <v/>
      </c>
      <c r="R337" s="11">
        <f>IF(INT(N337/20)&gt;INT(N336/20), "Lần " &amp; INT(N337/20), "")</f>
        <v/>
      </c>
      <c r="S337" s="12">
        <f>IF(INT(O337/20)&gt;INT(O336/20), "Lần " &amp; INT(O337/20), "")</f>
        <v/>
      </c>
      <c r="T337" s="11">
        <f>IF(INT(P337/20)&gt;INT(P336/20), "Lần " &amp; INT(P337/20), "")</f>
        <v/>
      </c>
      <c r="U337" s="25">
        <f>IF(INT(Q337/20)&gt;INT(Q336/20), "Lần " &amp; INT(Q337/20), "")</f>
        <v/>
      </c>
      <c r="V337" s="6" t="inlineStr"/>
      <c r="W337" s="6" t="inlineStr">
        <is>
          <t>ĐẠT TCVN 1651:2018</t>
        </is>
      </c>
    </row>
    <row r="338" ht="19" customHeight="1">
      <c r="A338" s="6" t="n">
        <v>312</v>
      </c>
      <c r="B338" s="7" t="inlineStr">
        <is>
          <t>Cọc khoan nhồi C8 Trụ T2 (D1.2m, L=30.0m)</t>
        </is>
      </c>
      <c r="C338" s="7" t="inlineStr">
        <is>
          <t>Đai tăng cường / Con kê bảo vệ</t>
        </is>
      </c>
      <c r="D338" s="19" t="inlineStr">
        <is>
          <t>P8</t>
        </is>
      </c>
      <c r="E338" s="20" t="n">
        <v>12</v>
      </c>
      <c r="F338" s="6" t="inlineStr">
        <is>
          <t>CB400-V</t>
        </is>
      </c>
      <c r="G338" s="7" t="inlineStr">
        <is>
          <t>Móc neo / Vòng đai</t>
        </is>
      </c>
      <c r="H338" s="21" t="n">
        <v>0.647</v>
      </c>
      <c r="I338" s="22" t="n">
        <v>12</v>
      </c>
      <c r="J338" s="23" t="n">
        <v>0.888</v>
      </c>
      <c r="K338" s="9">
        <f>ROUND(H338*I338*J338, 2)</f>
        <v/>
      </c>
      <c r="L338" s="24">
        <f>ROUND(K338/1000, 3)</f>
        <v/>
      </c>
      <c r="M338" s="8" t="n"/>
      <c r="N338" s="21">
        <f>ROUND(N337 + IF(AND(E338&lt;=10, F338&lt;&gt;"ASTM A416"), L338, 0), 3)</f>
        <v/>
      </c>
      <c r="O338" s="21">
        <f>ROUND(O337 + IF(AND(E338&gt;10, E338&lt;=18, F338&lt;&gt;"ASTM A416"), L338, 0), 3)</f>
        <v/>
      </c>
      <c r="P338" s="21">
        <f>ROUND(P337 + IF(AND(E338&gt;18, F338&lt;&gt;"ASTM A416"), L338, 0), 3)</f>
        <v/>
      </c>
      <c r="Q338" s="21">
        <f>ROUND(Q337 + IF(F338="ASTM A416", L338, 0), 3)</f>
        <v/>
      </c>
      <c r="R338" s="11">
        <f>IF(INT(N338/20)&gt;INT(N337/20), "Lần " &amp; INT(N338/20), "")</f>
        <v/>
      </c>
      <c r="S338" s="12">
        <f>IF(INT(O338/20)&gt;INT(O337/20), "Lần " &amp; INT(O338/20), "")</f>
        <v/>
      </c>
      <c r="T338" s="11">
        <f>IF(INT(P338/20)&gt;INT(P337/20), "Lần " &amp; INT(P338/20), "")</f>
        <v/>
      </c>
      <c r="U338" s="25">
        <f>IF(INT(Q338/20)&gt;INT(Q337/20), "Lần " &amp; INT(Q338/20), "")</f>
        <v/>
      </c>
      <c r="V338" s="6" t="inlineStr"/>
      <c r="W338" s="6" t="inlineStr">
        <is>
          <t>ĐẠT TCVN 1651:2018</t>
        </is>
      </c>
    </row>
    <row r="339" ht="19" customHeight="1">
      <c r="A339" s="6" t="n">
        <v>313</v>
      </c>
      <c r="B339" s="7" t="inlineStr">
        <is>
          <t>Cọc khoan nhồi C8 Trụ T2 (D1.2m, L=30.0m)</t>
        </is>
      </c>
      <c r="C339" s="7" t="inlineStr">
        <is>
          <t>Đai tăng cường / Con kê bảo vệ</t>
        </is>
      </c>
      <c r="D339" s="19" t="inlineStr">
        <is>
          <t>P9</t>
        </is>
      </c>
      <c r="E339" s="20" t="n">
        <v>12</v>
      </c>
      <c r="F339" s="6" t="inlineStr">
        <is>
          <t>CB400-V</t>
        </is>
      </c>
      <c r="G339" s="7" t="inlineStr">
        <is>
          <t>Móc neo / Vòng đai</t>
        </is>
      </c>
      <c r="H339" s="21" t="n">
        <v>0.379</v>
      </c>
      <c r="I339" s="22" t="n">
        <v>36</v>
      </c>
      <c r="J339" s="23" t="n">
        <v>0.888</v>
      </c>
      <c r="K339" s="9">
        <f>ROUND(H339*I339*J339, 2)</f>
        <v/>
      </c>
      <c r="L339" s="24">
        <f>ROUND(K339/1000, 3)</f>
        <v/>
      </c>
      <c r="M339" s="8" t="n"/>
      <c r="N339" s="21">
        <f>ROUND(N338 + IF(AND(E339&lt;=10, F339&lt;&gt;"ASTM A416"), L339, 0), 3)</f>
        <v/>
      </c>
      <c r="O339" s="21">
        <f>ROUND(O338 + IF(AND(E339&gt;10, E339&lt;=18, F339&lt;&gt;"ASTM A416"), L339, 0), 3)</f>
        <v/>
      </c>
      <c r="P339" s="21">
        <f>ROUND(P338 + IF(AND(E339&gt;18, F339&lt;&gt;"ASTM A416"), L339, 0), 3)</f>
        <v/>
      </c>
      <c r="Q339" s="21">
        <f>ROUND(Q338 + IF(F339="ASTM A416", L339, 0), 3)</f>
        <v/>
      </c>
      <c r="R339" s="11">
        <f>IF(INT(N339/20)&gt;INT(N338/20), "Lần " &amp; INT(N339/20), "")</f>
        <v/>
      </c>
      <c r="S339" s="12">
        <f>IF(INT(O339/20)&gt;INT(O338/20), "Lần " &amp; INT(O339/20), "")</f>
        <v/>
      </c>
      <c r="T339" s="11">
        <f>IF(INT(P339/20)&gt;INT(P338/20), "Lần " &amp; INT(P339/20), "")</f>
        <v/>
      </c>
      <c r="U339" s="25">
        <f>IF(INT(Q339/20)&gt;INT(Q338/20), "Lần " &amp; INT(Q339/20), "")</f>
        <v/>
      </c>
      <c r="V339" s="6" t="inlineStr"/>
      <c r="W339" s="6" t="inlineStr">
        <is>
          <t>ĐẠT TCVN 1651:2018</t>
        </is>
      </c>
    </row>
    <row r="340" ht="19" customHeight="1">
      <c r="A340" s="6" t="n">
        <v>314</v>
      </c>
      <c r="B340" s="7" t="inlineStr">
        <is>
          <t>Cọc khoan nhồi C8 Trụ T2 (D1.2m, L=30.0m)</t>
        </is>
      </c>
      <c r="C340" s="7" t="inlineStr">
        <is>
          <t>Thép đai xoắn lồng cọc</t>
        </is>
      </c>
      <c r="D340" s="19" t="inlineStr">
        <is>
          <t>P10</t>
        </is>
      </c>
      <c r="E340" s="20" t="n">
        <v>20</v>
      </c>
      <c r="F340" s="6" t="inlineStr">
        <is>
          <t>CB400-V</t>
        </is>
      </c>
      <c r="G340" s="7" t="inlineStr">
        <is>
          <t>Đai xoắn tròn</t>
        </is>
      </c>
      <c r="H340" s="21" t="n">
        <v>2.057</v>
      </c>
      <c r="I340" s="22" t="n">
        <v>1</v>
      </c>
      <c r="J340" s="23" t="n">
        <v>2.47</v>
      </c>
      <c r="K340" s="9">
        <f>ROUND(H340*I340*J340, 2)</f>
        <v/>
      </c>
      <c r="L340" s="24">
        <f>ROUND(K340/1000, 3)</f>
        <v/>
      </c>
      <c r="M340" s="8" t="n"/>
      <c r="N340" s="21">
        <f>ROUND(N339 + IF(AND(E340&lt;=10, F340&lt;&gt;"ASTM A416"), L340, 0), 3)</f>
        <v/>
      </c>
      <c r="O340" s="21">
        <f>ROUND(O339 + IF(AND(E340&gt;10, E340&lt;=18, F340&lt;&gt;"ASTM A416"), L340, 0), 3)</f>
        <v/>
      </c>
      <c r="P340" s="21">
        <f>ROUND(P339 + IF(AND(E340&gt;18, F340&lt;&gt;"ASTM A416"), L340, 0), 3)</f>
        <v/>
      </c>
      <c r="Q340" s="21">
        <f>ROUND(Q339 + IF(F340="ASTM A416", L340, 0), 3)</f>
        <v/>
      </c>
      <c r="R340" s="11">
        <f>IF(INT(N340/20)&gt;INT(N339/20), "Lần " &amp; INT(N340/20), "")</f>
        <v/>
      </c>
      <c r="S340" s="12">
        <f>IF(INT(O340/20)&gt;INT(O339/20), "Lần " &amp; INT(O340/20), "")</f>
        <v/>
      </c>
      <c r="T340" s="11">
        <f>IF(INT(P340/20)&gt;INT(P339/20), "Lần " &amp; INT(P340/20), "")</f>
        <v/>
      </c>
      <c r="U340" s="25">
        <f>IF(INT(Q340/20)&gt;INT(Q339/20), "Lần " &amp; INT(Q340/20), "")</f>
        <v/>
      </c>
      <c r="V340" s="6" t="inlineStr"/>
      <c r="W340" s="6" t="inlineStr">
        <is>
          <t>ĐẠT TCVN 1651:2018</t>
        </is>
      </c>
    </row>
    <row r="341" ht="19" customHeight="1">
      <c r="A341" s="6" t="n">
        <v>315</v>
      </c>
      <c r="B341" s="7" t="inlineStr">
        <is>
          <t>Cọc khoan nhồi C8 Trụ T2 (D1.2m, L=30.0m)</t>
        </is>
      </c>
      <c r="C341" s="7" t="inlineStr">
        <is>
          <t>Thép đai xoắn lồng cọc</t>
        </is>
      </c>
      <c r="D341" s="19" t="inlineStr">
        <is>
          <t>P12</t>
        </is>
      </c>
      <c r="E341" s="20" t="n">
        <v>20</v>
      </c>
      <c r="F341" s="6" t="inlineStr">
        <is>
          <t>CB400-V</t>
        </is>
      </c>
      <c r="G341" s="7" t="inlineStr">
        <is>
          <t>Đai xoắn tròn</t>
        </is>
      </c>
      <c r="H341" s="21" t="n">
        <v>0.583</v>
      </c>
      <c r="I341" s="22" t="n">
        <v>48</v>
      </c>
      <c r="J341" s="23" t="n">
        <v>2.47</v>
      </c>
      <c r="K341" s="9">
        <f>ROUND(H341*I341*J341, 2)</f>
        <v/>
      </c>
      <c r="L341" s="24">
        <f>ROUND(K341/1000, 3)</f>
        <v/>
      </c>
      <c r="M341" s="8" t="n"/>
      <c r="N341" s="21">
        <f>ROUND(N340 + IF(AND(E341&lt;=10, F341&lt;&gt;"ASTM A416"), L341, 0), 3)</f>
        <v/>
      </c>
      <c r="O341" s="21">
        <f>ROUND(O340 + IF(AND(E341&gt;10, E341&lt;=18, F341&lt;&gt;"ASTM A416"), L341, 0), 3)</f>
        <v/>
      </c>
      <c r="P341" s="21">
        <f>ROUND(P340 + IF(AND(E341&gt;18, F341&lt;&gt;"ASTM A416"), L341, 0), 3)</f>
        <v/>
      </c>
      <c r="Q341" s="21">
        <f>ROUND(Q340 + IF(F341="ASTM A416", L341, 0), 3)</f>
        <v/>
      </c>
      <c r="R341" s="11">
        <f>IF(INT(N341/20)&gt;INT(N340/20), "Lần " &amp; INT(N341/20), "")</f>
        <v/>
      </c>
      <c r="S341" s="12">
        <f>IF(INT(O341/20)&gt;INT(O340/20), "Lần " &amp; INT(O341/20), "")</f>
        <v/>
      </c>
      <c r="T341" s="11">
        <f>IF(INT(P341/20)&gt;INT(P340/20), "Lần " &amp; INT(P341/20), "")</f>
        <v/>
      </c>
      <c r="U341" s="25">
        <f>IF(INT(Q341/20)&gt;INT(Q340/20), "Lần " &amp; INT(Q341/20), "")</f>
        <v/>
      </c>
      <c r="V341" s="6" t="inlineStr"/>
      <c r="W341" s="6" t="inlineStr">
        <is>
          <t>ĐẠT TCVN 1651:2018</t>
        </is>
      </c>
    </row>
    <row r="342" ht="20" customHeight="1">
      <c r="A342" s="18" t="inlineStr">
        <is>
          <t>--- CỌC KHOAN NHỒI C1 MỐ M2 (D1.2M, L=36.0M) ---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</row>
    <row r="343" ht="19" customHeight="1">
      <c r="A343" s="6" t="n">
        <v>316</v>
      </c>
      <c r="B343" s="7" t="inlineStr">
        <is>
          <t>Cọc khoan nhồi C1 Mố M2 (D1.2m, L=36.0m)</t>
        </is>
      </c>
      <c r="C343" s="7" t="inlineStr">
        <is>
          <t>Thép đai xoắn lồng cọc</t>
        </is>
      </c>
      <c r="D343" s="19" t="inlineStr">
        <is>
          <t>P1</t>
        </is>
      </c>
      <c r="E343" s="20" t="n">
        <v>10</v>
      </c>
      <c r="F343" s="6" t="inlineStr">
        <is>
          <t>CB240-T</t>
        </is>
      </c>
      <c r="G343" s="7" t="inlineStr">
        <is>
          <t>Đai xoắn tròn</t>
        </is>
      </c>
      <c r="H343" s="21" t="n">
        <v>96.887</v>
      </c>
      <c r="I343" s="22" t="n">
        <v>1</v>
      </c>
      <c r="J343" s="23" t="n">
        <v>0.617</v>
      </c>
      <c r="K343" s="9">
        <f>ROUND(H343*I343*J343, 2)</f>
        <v/>
      </c>
      <c r="L343" s="24">
        <f>ROUND(K343/1000, 3)</f>
        <v/>
      </c>
      <c r="M343" s="8" t="n"/>
      <c r="N343" s="21">
        <f>ROUND(N341 + IF(AND(E343&lt;=10, F343&lt;&gt;"ASTM A416"), L343, 0), 3)</f>
        <v/>
      </c>
      <c r="O343" s="21">
        <f>ROUND(O341 + IF(AND(E343&gt;10, E343&lt;=18, F343&lt;&gt;"ASTM A416"), L343, 0), 3)</f>
        <v/>
      </c>
      <c r="P343" s="21">
        <f>ROUND(P341 + IF(AND(E343&gt;18, F343&lt;&gt;"ASTM A416"), L343, 0), 3)</f>
        <v/>
      </c>
      <c r="Q343" s="21">
        <f>ROUND(Q341 + IF(F343="ASTM A416", L343, 0), 3)</f>
        <v/>
      </c>
      <c r="R343" s="11">
        <f>IF(INT(N343/20)&gt;INT(N341/20), "Lần " &amp; INT(N343/20), "")</f>
        <v/>
      </c>
      <c r="S343" s="12">
        <f>IF(INT(O343/20)&gt;INT(O341/20), "Lần " &amp; INT(O343/20), "")</f>
        <v/>
      </c>
      <c r="T343" s="11">
        <f>IF(INT(P343/20)&gt;INT(P341/20), "Lần " &amp; INT(P343/20), "")</f>
        <v/>
      </c>
      <c r="U343" s="25">
        <f>IF(INT(Q343/20)&gt;INT(Q341/20), "Lần " &amp; INT(Q343/20), "")</f>
        <v/>
      </c>
      <c r="V343" s="6" t="inlineStr"/>
      <c r="W343" s="6" t="inlineStr">
        <is>
          <t>ĐẠT TCVN 1651:2018</t>
        </is>
      </c>
    </row>
    <row r="344" ht="19" customHeight="1">
      <c r="A344" s="6" t="n">
        <v>317</v>
      </c>
      <c r="B344" s="7" t="inlineStr">
        <is>
          <t>Cọc khoan nhồi C1 Mố M2 (D1.2m, L=36.0m)</t>
        </is>
      </c>
      <c r="C344" s="7" t="inlineStr">
        <is>
          <t>Thép đai xoắn lồng cọc</t>
        </is>
      </c>
      <c r="D344" s="19" t="inlineStr">
        <is>
          <t>P1A</t>
        </is>
      </c>
      <c r="E344" s="20" t="n">
        <v>10</v>
      </c>
      <c r="F344" s="6" t="inlineStr">
        <is>
          <t>CB240-T</t>
        </is>
      </c>
      <c r="G344" s="7" t="inlineStr">
        <is>
          <t>Đai xoắn tròn</t>
        </is>
      </c>
      <c r="H344" s="21" t="n">
        <v>390.776</v>
      </c>
      <c r="I344" s="22" t="n">
        <v>1</v>
      </c>
      <c r="J344" s="23" t="n">
        <v>0.617</v>
      </c>
      <c r="K344" s="9">
        <f>ROUND(H344*I344*J344, 2)</f>
        <v/>
      </c>
      <c r="L344" s="24">
        <f>ROUND(K344/1000, 3)</f>
        <v/>
      </c>
      <c r="M344" s="8" t="n"/>
      <c r="N344" s="21">
        <f>ROUND(N343 + IF(AND(E344&lt;=10, F344&lt;&gt;"ASTM A416"), L344, 0), 3)</f>
        <v/>
      </c>
      <c r="O344" s="21">
        <f>ROUND(O343 + IF(AND(E344&gt;10, E344&lt;=18, F344&lt;&gt;"ASTM A416"), L344, 0), 3)</f>
        <v/>
      </c>
      <c r="P344" s="21">
        <f>ROUND(P343 + IF(AND(E344&gt;18, F344&lt;&gt;"ASTM A416"), L344, 0), 3)</f>
        <v/>
      </c>
      <c r="Q344" s="21">
        <f>ROUND(Q343 + IF(F344="ASTM A416", L344, 0), 3)</f>
        <v/>
      </c>
      <c r="R344" s="11">
        <f>IF(INT(N344/20)&gt;INT(N343/20), "Lần " &amp; INT(N344/20), "")</f>
        <v/>
      </c>
      <c r="S344" s="12">
        <f>IF(INT(O344/20)&gt;INT(O343/20), "Lần " &amp; INT(O344/20), "")</f>
        <v/>
      </c>
      <c r="T344" s="11">
        <f>IF(INT(P344/20)&gt;INT(P343/20), "Lần " &amp; INT(P344/20), "")</f>
        <v/>
      </c>
      <c r="U344" s="25">
        <f>IF(INT(Q344/20)&gt;INT(Q343/20), "Lần " &amp; INT(Q344/20), "")</f>
        <v/>
      </c>
      <c r="V344" s="6" t="inlineStr"/>
      <c r="W344" s="6" t="inlineStr">
        <is>
          <t>ĐẠT TCVN 1651:2018</t>
        </is>
      </c>
    </row>
    <row r="345" ht="19" customHeight="1">
      <c r="A345" s="6" t="n">
        <v>318</v>
      </c>
      <c r="B345" s="7" t="inlineStr">
        <is>
          <t>Cọc khoan nhồi C1 Mố M2 (D1.2m, L=36.0m)</t>
        </is>
      </c>
      <c r="C345" s="7" t="inlineStr">
        <is>
          <t>Thép đai xoắn lồng cọc</t>
        </is>
      </c>
      <c r="D345" s="19" t="inlineStr">
        <is>
          <t>P1B</t>
        </is>
      </c>
      <c r="E345" s="20" t="n">
        <v>10</v>
      </c>
      <c r="F345" s="6" t="inlineStr">
        <is>
          <t>CB240-T</t>
        </is>
      </c>
      <c r="G345" s="7" t="inlineStr">
        <is>
          <t>Đai xoắn tròn</t>
        </is>
      </c>
      <c r="H345" s="21" t="n">
        <v>164.938</v>
      </c>
      <c r="I345" s="22" t="n">
        <v>1</v>
      </c>
      <c r="J345" s="23" t="n">
        <v>0.617</v>
      </c>
      <c r="K345" s="9">
        <f>ROUND(H345*I345*J345, 2)</f>
        <v/>
      </c>
      <c r="L345" s="24">
        <f>ROUND(K345/1000, 3)</f>
        <v/>
      </c>
      <c r="M345" s="8" t="n"/>
      <c r="N345" s="21">
        <f>ROUND(N344 + IF(AND(E345&lt;=10, F345&lt;&gt;"ASTM A416"), L345, 0), 3)</f>
        <v/>
      </c>
      <c r="O345" s="21">
        <f>ROUND(O344 + IF(AND(E345&gt;10, E345&lt;=18, F345&lt;&gt;"ASTM A416"), L345, 0), 3)</f>
        <v/>
      </c>
      <c r="P345" s="21">
        <f>ROUND(P344 + IF(AND(E345&gt;18, F345&lt;&gt;"ASTM A416"), L345, 0), 3)</f>
        <v/>
      </c>
      <c r="Q345" s="21">
        <f>ROUND(Q344 + IF(F345="ASTM A416", L345, 0), 3)</f>
        <v/>
      </c>
      <c r="R345" s="11">
        <f>IF(INT(N345/20)&gt;INT(N344/20), "Lần " &amp; INT(N345/20), "")</f>
        <v/>
      </c>
      <c r="S345" s="12">
        <f>IF(INT(O345/20)&gt;INT(O344/20), "Lần " &amp; INT(O345/20), "")</f>
        <v/>
      </c>
      <c r="T345" s="11">
        <f>IF(INT(P345/20)&gt;INT(P344/20), "Lần " &amp; INT(P345/20), "")</f>
        <v/>
      </c>
      <c r="U345" s="25">
        <f>IF(INT(Q345/20)&gt;INT(Q344/20), "Lần " &amp; INT(Q345/20), "")</f>
        <v/>
      </c>
      <c r="V345" s="6" t="inlineStr"/>
      <c r="W345" s="6" t="inlineStr">
        <is>
          <t>ĐẠT TCVN 1651:2018</t>
        </is>
      </c>
    </row>
    <row r="346" ht="19" customHeight="1">
      <c r="A346" s="6" t="n">
        <v>319</v>
      </c>
      <c r="B346" s="7" t="inlineStr">
        <is>
          <t>Cọc khoan nhồi C1 Mố M2 (D1.2m, L=36.0m)</t>
        </is>
      </c>
      <c r="C346" s="7" t="inlineStr">
        <is>
          <t>Thép đai xoắn lồng cọc</t>
        </is>
      </c>
      <c r="D346" s="19" t="inlineStr">
        <is>
          <t>P1C</t>
        </is>
      </c>
      <c r="E346" s="20" t="n">
        <v>10</v>
      </c>
      <c r="F346" s="6" t="inlineStr">
        <is>
          <t>CB240-T</t>
        </is>
      </c>
      <c r="G346" s="7" t="inlineStr">
        <is>
          <t>Đai xoắn tròn</t>
        </is>
      </c>
      <c r="H346" s="21" t="n">
        <v>3.592</v>
      </c>
      <c r="I346" s="22" t="n">
        <v>2</v>
      </c>
      <c r="J346" s="23" t="n">
        <v>0.617</v>
      </c>
      <c r="K346" s="9">
        <f>ROUND(H346*I346*J346, 2)</f>
        <v/>
      </c>
      <c r="L346" s="24">
        <f>ROUND(K346/1000, 3)</f>
        <v/>
      </c>
      <c r="M346" s="8" t="n"/>
      <c r="N346" s="21">
        <f>ROUND(N345 + IF(AND(E346&lt;=10, F346&lt;&gt;"ASTM A416"), L346, 0), 3)</f>
        <v/>
      </c>
      <c r="O346" s="21">
        <f>ROUND(O345 + IF(AND(E346&gt;10, E346&lt;=18, F346&lt;&gt;"ASTM A416"), L346, 0), 3)</f>
        <v/>
      </c>
      <c r="P346" s="21">
        <f>ROUND(P345 + IF(AND(E346&gt;18, F346&lt;&gt;"ASTM A416"), L346, 0), 3)</f>
        <v/>
      </c>
      <c r="Q346" s="21">
        <f>ROUND(Q345 + IF(F346="ASTM A416", L346, 0), 3)</f>
        <v/>
      </c>
      <c r="R346" s="11">
        <f>IF(INT(N346/20)&gt;INT(N345/20), "Lần " &amp; INT(N346/20), "")</f>
        <v/>
      </c>
      <c r="S346" s="12">
        <f>IF(INT(O346/20)&gt;INT(O345/20), "Lần " &amp; INT(O346/20), "")</f>
        <v/>
      </c>
      <c r="T346" s="11">
        <f>IF(INT(P346/20)&gt;INT(P345/20), "Lần " &amp; INT(P346/20), "")</f>
        <v/>
      </c>
      <c r="U346" s="25">
        <f>IF(INT(Q346/20)&gt;INT(Q345/20), "Lần " &amp; INT(Q346/20), "")</f>
        <v/>
      </c>
      <c r="V346" s="6" t="inlineStr"/>
      <c r="W346" s="6" t="inlineStr">
        <is>
          <t>ĐẠT TCVN 1651:2018</t>
        </is>
      </c>
    </row>
    <row r="347" ht="19" customHeight="1">
      <c r="A347" s="6" t="n">
        <v>320</v>
      </c>
      <c r="B347" s="7" t="inlineStr">
        <is>
          <t>Cọc khoan nhồi C1 Mố M2 (D1.2m, L=36.0m)</t>
        </is>
      </c>
      <c r="C347" s="7" t="inlineStr">
        <is>
          <t>Thép đai xoắn lồng cọc</t>
        </is>
      </c>
      <c r="D347" s="19" t="inlineStr">
        <is>
          <t>P1D</t>
        </is>
      </c>
      <c r="E347" s="20" t="n">
        <v>10</v>
      </c>
      <c r="F347" s="6" t="inlineStr">
        <is>
          <t>CB240-T</t>
        </is>
      </c>
      <c r="G347" s="7" t="inlineStr">
        <is>
          <t>Đai xoắn tròn</t>
        </is>
      </c>
      <c r="H347" s="21" t="n">
        <v>23.007</v>
      </c>
      <c r="I347" s="22" t="n">
        <v>1</v>
      </c>
      <c r="J347" s="23" t="n">
        <v>0.617</v>
      </c>
      <c r="K347" s="9">
        <f>ROUND(H347*I347*J347, 2)</f>
        <v/>
      </c>
      <c r="L347" s="24">
        <f>ROUND(K347/1000, 3)</f>
        <v/>
      </c>
      <c r="M347" s="8" t="n"/>
      <c r="N347" s="21">
        <f>ROUND(N346 + IF(AND(E347&lt;=10, F347&lt;&gt;"ASTM A416"), L347, 0), 3)</f>
        <v/>
      </c>
      <c r="O347" s="21">
        <f>ROUND(O346 + IF(AND(E347&gt;10, E347&lt;=18, F347&lt;&gt;"ASTM A416"), L347, 0), 3)</f>
        <v/>
      </c>
      <c r="P347" s="21">
        <f>ROUND(P346 + IF(AND(E347&gt;18, F347&lt;&gt;"ASTM A416"), L347, 0), 3)</f>
        <v/>
      </c>
      <c r="Q347" s="21">
        <f>ROUND(Q346 + IF(F347="ASTM A416", L347, 0), 3)</f>
        <v/>
      </c>
      <c r="R347" s="11">
        <f>IF(INT(N347/20)&gt;INT(N346/20), "Lần " &amp; INT(N347/20), "")</f>
        <v/>
      </c>
      <c r="S347" s="12">
        <f>IF(INT(O347/20)&gt;INT(O346/20), "Lần " &amp; INT(O347/20), "")</f>
        <v/>
      </c>
      <c r="T347" s="11">
        <f>IF(INT(P347/20)&gt;INT(P346/20), "Lần " &amp; INT(P347/20), "")</f>
        <v/>
      </c>
      <c r="U347" s="25">
        <f>IF(INT(Q347/20)&gt;INT(Q346/20), "Lần " &amp; INT(Q347/20), "")</f>
        <v/>
      </c>
      <c r="V347" s="6" t="inlineStr"/>
      <c r="W347" s="6" t="inlineStr">
        <is>
          <t>ĐẠT TCVN 1651:2018</t>
        </is>
      </c>
    </row>
    <row r="348" ht="19" customHeight="1">
      <c r="A348" s="6" t="n">
        <v>321</v>
      </c>
      <c r="B348" s="7" t="inlineStr">
        <is>
          <t>Cọc khoan nhồi C1 Mố M2 (D1.2m, L=36.0m)</t>
        </is>
      </c>
      <c r="C348" s="7" t="inlineStr">
        <is>
          <t>Cốt thép chủ chịu lực cọc</t>
        </is>
      </c>
      <c r="D348" s="19" t="inlineStr">
        <is>
          <t>P2A</t>
        </is>
      </c>
      <c r="E348" s="20" t="n">
        <v>28</v>
      </c>
      <c r="F348" s="6" t="inlineStr">
        <is>
          <t>CB400-V</t>
        </is>
      </c>
      <c r="G348" s="7" t="inlineStr">
        <is>
          <t>Thanh thẳng nối ren/hàn</t>
        </is>
      </c>
      <c r="H348" s="21" t="n">
        <v>2.966</v>
      </c>
      <c r="I348" s="22" t="n">
        <v>5</v>
      </c>
      <c r="J348" s="23" t="n">
        <v>4.83</v>
      </c>
      <c r="K348" s="9">
        <f>ROUND(H348*I348*J348, 2)</f>
        <v/>
      </c>
      <c r="L348" s="24">
        <f>ROUND(K348/1000, 3)</f>
        <v/>
      </c>
      <c r="M348" s="8" t="n"/>
      <c r="N348" s="21">
        <f>ROUND(N347 + IF(AND(E348&lt;=10, F348&lt;&gt;"ASTM A416"), L348, 0), 3)</f>
        <v/>
      </c>
      <c r="O348" s="21">
        <f>ROUND(O347 + IF(AND(E348&gt;10, E348&lt;=18, F348&lt;&gt;"ASTM A416"), L348, 0), 3)</f>
        <v/>
      </c>
      <c r="P348" s="21">
        <f>ROUND(P347 + IF(AND(E348&gt;18, F348&lt;&gt;"ASTM A416"), L348, 0), 3)</f>
        <v/>
      </c>
      <c r="Q348" s="21">
        <f>ROUND(Q347 + IF(F348="ASTM A416", L348, 0), 3)</f>
        <v/>
      </c>
      <c r="R348" s="11">
        <f>IF(INT(N348/20)&gt;INT(N347/20), "Lần " &amp; INT(N348/20), "")</f>
        <v/>
      </c>
      <c r="S348" s="12">
        <f>IF(INT(O348/20)&gt;INT(O347/20), "Lần " &amp; INT(O348/20), "")</f>
        <v/>
      </c>
      <c r="T348" s="11">
        <f>IF(INT(P348/20)&gt;INT(P347/20), "Lần " &amp; INT(P348/20), "")</f>
        <v/>
      </c>
      <c r="U348" s="25">
        <f>IF(INT(Q348/20)&gt;INT(Q347/20), "Lần " &amp; INT(Q348/20), "")</f>
        <v/>
      </c>
      <c r="V348" s="6" t="inlineStr"/>
      <c r="W348" s="6" t="inlineStr">
        <is>
          <t>ĐẠT TCVN 1651:2018</t>
        </is>
      </c>
    </row>
    <row r="349" ht="19" customHeight="1">
      <c r="A349" s="6" t="n">
        <v>322</v>
      </c>
      <c r="B349" s="7" t="inlineStr">
        <is>
          <t>Cọc khoan nhồi C1 Mố M2 (D1.2m, L=36.0m)</t>
        </is>
      </c>
      <c r="C349" s="7" t="inlineStr">
        <is>
          <t>Cốt thép chủ chịu lực cọc</t>
        </is>
      </c>
      <c r="D349" s="19" t="inlineStr">
        <is>
          <t>P2B</t>
        </is>
      </c>
      <c r="E349" s="20" t="n">
        <v>25</v>
      </c>
      <c r="F349" s="6" t="inlineStr">
        <is>
          <t>CB400-V</t>
        </is>
      </c>
      <c r="G349" s="7" t="inlineStr">
        <is>
          <t>Thanh thẳng nối ren/hàn</t>
        </is>
      </c>
      <c r="H349" s="21" t="n">
        <v>2.985</v>
      </c>
      <c r="I349" s="22" t="n">
        <v>10</v>
      </c>
      <c r="J349" s="23" t="n">
        <v>3.85</v>
      </c>
      <c r="K349" s="9">
        <f>ROUND(H349*I349*J349, 2)</f>
        <v/>
      </c>
      <c r="L349" s="24">
        <f>ROUND(K349/1000, 3)</f>
        <v/>
      </c>
      <c r="M349" s="8" t="n"/>
      <c r="N349" s="21">
        <f>ROUND(N348 + IF(AND(E349&lt;=10, F349&lt;&gt;"ASTM A416"), L349, 0), 3)</f>
        <v/>
      </c>
      <c r="O349" s="21">
        <f>ROUND(O348 + IF(AND(E349&gt;10, E349&lt;=18, F349&lt;&gt;"ASTM A416"), L349, 0), 3)</f>
        <v/>
      </c>
      <c r="P349" s="21">
        <f>ROUND(P348 + IF(AND(E349&gt;18, F349&lt;&gt;"ASTM A416"), L349, 0), 3)</f>
        <v/>
      </c>
      <c r="Q349" s="21">
        <f>ROUND(Q348 + IF(F349="ASTM A416", L349, 0), 3)</f>
        <v/>
      </c>
      <c r="R349" s="11">
        <f>IF(INT(N349/20)&gt;INT(N348/20), "Lần " &amp; INT(N349/20), "")</f>
        <v/>
      </c>
      <c r="S349" s="12">
        <f>IF(INT(O349/20)&gt;INT(O348/20), "Lần " &amp; INT(O349/20), "")</f>
        <v/>
      </c>
      <c r="T349" s="11">
        <f>IF(INT(P349/20)&gt;INT(P348/20), "Lần " &amp; INT(P349/20), "")</f>
        <v/>
      </c>
      <c r="U349" s="25">
        <f>IF(INT(Q349/20)&gt;INT(Q348/20), "Lần " &amp; INT(Q349/20), "")</f>
        <v/>
      </c>
      <c r="V349" s="6" t="inlineStr"/>
      <c r="W349" s="6" t="inlineStr">
        <is>
          <t>ĐẠT TCVN 1651:2018</t>
        </is>
      </c>
    </row>
    <row r="350" ht="19" customHeight="1">
      <c r="A350" s="6" t="n">
        <v>323</v>
      </c>
      <c r="B350" s="7" t="inlineStr">
        <is>
          <t>Cọc khoan nhồi C1 Mố M2 (D1.2m, L=36.0m)</t>
        </is>
      </c>
      <c r="C350" s="7" t="inlineStr">
        <is>
          <t>Cốt thép chủ chịu lực cọc</t>
        </is>
      </c>
      <c r="D350" s="19" t="inlineStr">
        <is>
          <t>P3</t>
        </is>
      </c>
      <c r="E350" s="20" t="n">
        <v>28</v>
      </c>
      <c r="F350" s="6" t="inlineStr">
        <is>
          <t>CB400-V</t>
        </is>
      </c>
      <c r="G350" s="7" t="inlineStr">
        <is>
          <t>Thanh thẳng nối ren/hàn</t>
        </is>
      </c>
      <c r="H350" s="21" t="n">
        <v>10.7</v>
      </c>
      <c r="I350" s="22" t="n">
        <v>12</v>
      </c>
      <c r="J350" s="23" t="n">
        <v>4.83</v>
      </c>
      <c r="K350" s="9">
        <f>ROUND(H350*I350*J350, 2)</f>
        <v/>
      </c>
      <c r="L350" s="24">
        <f>ROUND(K350/1000, 3)</f>
        <v/>
      </c>
      <c r="M350" s="8" t="n"/>
      <c r="N350" s="21">
        <f>ROUND(N349 + IF(AND(E350&lt;=10, F350&lt;&gt;"ASTM A416"), L350, 0), 3)</f>
        <v/>
      </c>
      <c r="O350" s="21">
        <f>ROUND(O349 + IF(AND(E350&gt;10, E350&lt;=18, F350&lt;&gt;"ASTM A416"), L350, 0), 3)</f>
        <v/>
      </c>
      <c r="P350" s="21">
        <f>ROUND(P349 + IF(AND(E350&gt;18, F350&lt;&gt;"ASTM A416"), L350, 0), 3)</f>
        <v/>
      </c>
      <c r="Q350" s="21">
        <f>ROUND(Q349 + IF(F350="ASTM A416", L350, 0), 3)</f>
        <v/>
      </c>
      <c r="R350" s="11">
        <f>IF(INT(N350/20)&gt;INT(N349/20), "Lần " &amp; INT(N350/20), "")</f>
        <v/>
      </c>
      <c r="S350" s="12">
        <f>IF(INT(O350/20)&gt;INT(O349/20), "Lần " &amp; INT(O350/20), "")</f>
        <v/>
      </c>
      <c r="T350" s="11">
        <f>IF(INT(P350/20)&gt;INT(P349/20), "Lần " &amp; INT(P350/20), "")</f>
        <v/>
      </c>
      <c r="U350" s="25">
        <f>IF(INT(Q350/20)&gt;INT(Q349/20), "Lần " &amp; INT(Q350/20), "")</f>
        <v/>
      </c>
      <c r="V350" s="6" t="inlineStr"/>
      <c r="W350" s="6" t="inlineStr">
        <is>
          <t>ĐẠT TCVN 1651:2018</t>
        </is>
      </c>
    </row>
    <row r="351" ht="19" customHeight="1">
      <c r="A351" s="6" t="n">
        <v>324</v>
      </c>
      <c r="B351" s="7" t="inlineStr">
        <is>
          <t>Cọc khoan nhồi C1 Mố M2 (D1.2m, L=36.0m)</t>
        </is>
      </c>
      <c r="C351" s="7" t="inlineStr">
        <is>
          <t>Cốt thép chủ chịu lực cọc</t>
        </is>
      </c>
      <c r="D351" s="19" t="inlineStr">
        <is>
          <t>P4</t>
        </is>
      </c>
      <c r="E351" s="20" t="n">
        <v>28</v>
      </c>
      <c r="F351" s="6" t="inlineStr">
        <is>
          <t>CB400-V</t>
        </is>
      </c>
      <c r="G351" s="7" t="inlineStr">
        <is>
          <t>Thanh thẳng nối ren/hàn</t>
        </is>
      </c>
      <c r="H351" s="21" t="n">
        <v>11.7</v>
      </c>
      <c r="I351" s="22" t="n">
        <v>12</v>
      </c>
      <c r="J351" s="23" t="n">
        <v>4.83</v>
      </c>
      <c r="K351" s="9">
        <f>ROUND(H351*I351*J351, 2)</f>
        <v/>
      </c>
      <c r="L351" s="24">
        <f>ROUND(K351/1000, 3)</f>
        <v/>
      </c>
      <c r="M351" s="8" t="n"/>
      <c r="N351" s="21">
        <f>ROUND(N350 + IF(AND(E351&lt;=10, F351&lt;&gt;"ASTM A416"), L351, 0), 3)</f>
        <v/>
      </c>
      <c r="O351" s="21">
        <f>ROUND(O350 + IF(AND(E351&gt;10, E351&lt;=18, F351&lt;&gt;"ASTM A416"), L351, 0), 3)</f>
        <v/>
      </c>
      <c r="P351" s="21">
        <f>ROUND(P350 + IF(AND(E351&gt;18, F351&lt;&gt;"ASTM A416"), L351, 0), 3)</f>
        <v/>
      </c>
      <c r="Q351" s="21">
        <f>ROUND(Q350 + IF(F351="ASTM A416", L351, 0), 3)</f>
        <v/>
      </c>
      <c r="R351" s="11">
        <f>IF(INT(N351/20)&gt;INT(N350/20), "Lần " &amp; INT(N351/20), "")</f>
        <v/>
      </c>
      <c r="S351" s="12">
        <f>IF(INT(O351/20)&gt;INT(O350/20), "Lần " &amp; INT(O351/20), "")</f>
        <v/>
      </c>
      <c r="T351" s="11">
        <f>IF(INT(P351/20)&gt;INT(P350/20), "Lần " &amp; INT(P351/20), "")</f>
        <v/>
      </c>
      <c r="U351" s="25">
        <f>IF(INT(Q351/20)&gt;INT(Q350/20), "Lần " &amp; INT(Q351/20), "")</f>
        <v/>
      </c>
      <c r="V351" s="6" t="inlineStr"/>
      <c r="W351" s="6" t="inlineStr">
        <is>
          <t>ĐẠT TCVN 1651:2018</t>
        </is>
      </c>
    </row>
    <row r="352" ht="19" customHeight="1">
      <c r="A352" s="6" t="n">
        <v>325</v>
      </c>
      <c r="B352" s="7" t="inlineStr">
        <is>
          <t>Cọc khoan nhồi C1 Mố M2 (D1.2m, L=36.0m)</t>
        </is>
      </c>
      <c r="C352" s="7" t="inlineStr">
        <is>
          <t>Cốt thép chủ chịu lực cọc</t>
        </is>
      </c>
      <c r="D352" s="19" t="inlineStr">
        <is>
          <t>P5</t>
        </is>
      </c>
      <c r="E352" s="20" t="n">
        <v>25</v>
      </c>
      <c r="F352" s="6" t="inlineStr">
        <is>
          <t>CB400-V</t>
        </is>
      </c>
      <c r="G352" s="7" t="inlineStr">
        <is>
          <t>Thanh thẳng nối ren/hàn</t>
        </is>
      </c>
      <c r="H352" s="21" t="n">
        <v>11.7</v>
      </c>
      <c r="I352" s="22" t="n">
        <v>48</v>
      </c>
      <c r="J352" s="23" t="n">
        <v>3.85</v>
      </c>
      <c r="K352" s="9">
        <f>ROUND(H352*I352*J352, 2)</f>
        <v/>
      </c>
      <c r="L352" s="24">
        <f>ROUND(K352/1000, 3)</f>
        <v/>
      </c>
      <c r="M352" s="8" t="n"/>
      <c r="N352" s="21">
        <f>ROUND(N351 + IF(AND(E352&lt;=10, F352&lt;&gt;"ASTM A416"), L352, 0), 3)</f>
        <v/>
      </c>
      <c r="O352" s="21">
        <f>ROUND(O351 + IF(AND(E352&gt;10, E352&lt;=18, F352&lt;&gt;"ASTM A416"), L352, 0), 3)</f>
        <v/>
      </c>
      <c r="P352" s="21">
        <f>ROUND(P351 + IF(AND(E352&gt;18, F352&lt;&gt;"ASTM A416"), L352, 0), 3)</f>
        <v/>
      </c>
      <c r="Q352" s="21">
        <f>ROUND(Q351 + IF(F352="ASTM A416", L352, 0), 3)</f>
        <v/>
      </c>
      <c r="R352" s="11">
        <f>IF(INT(N352/20)&gt;INT(N351/20), "Lần " &amp; INT(N352/20), "")</f>
        <v/>
      </c>
      <c r="S352" s="12">
        <f>IF(INT(O352/20)&gt;INT(O351/20), "Lần " &amp; INT(O352/20), "")</f>
        <v/>
      </c>
      <c r="T352" s="11">
        <f>IF(INT(P352/20)&gt;INT(P351/20), "Lần " &amp; INT(P352/20), "")</f>
        <v/>
      </c>
      <c r="U352" s="25">
        <f>IF(INT(Q352/20)&gt;INT(Q351/20), "Lần " &amp; INT(Q352/20), "")</f>
        <v/>
      </c>
      <c r="V352" s="6" t="inlineStr"/>
      <c r="W352" s="6" t="inlineStr">
        <is>
          <t>ĐẠT TCVN 1651:2018</t>
        </is>
      </c>
    </row>
    <row r="353" ht="19" customHeight="1">
      <c r="A353" s="6" t="n">
        <v>326</v>
      </c>
      <c r="B353" s="7" t="inlineStr">
        <is>
          <t>Cọc khoan nhồi C1 Mố M2 (D1.2m, L=36.0m)</t>
        </is>
      </c>
      <c r="C353" s="7" t="inlineStr">
        <is>
          <t>Cốt thép chủ chịu lực cọc</t>
        </is>
      </c>
      <c r="D353" s="19" t="inlineStr">
        <is>
          <t>P6</t>
        </is>
      </c>
      <c r="E353" s="20" t="n">
        <v>25</v>
      </c>
      <c r="F353" s="6" t="inlineStr">
        <is>
          <t>CB400-V</t>
        </is>
      </c>
      <c r="G353" s="7" t="inlineStr">
        <is>
          <t>Thanh thẳng nối ren/hàn</t>
        </is>
      </c>
      <c r="H353" s="21" t="n">
        <v>5.153</v>
      </c>
      <c r="I353" s="22" t="n">
        <v>12</v>
      </c>
      <c r="J353" s="23" t="n">
        <v>3.85</v>
      </c>
      <c r="K353" s="9">
        <f>ROUND(H353*I353*J353, 2)</f>
        <v/>
      </c>
      <c r="L353" s="24">
        <f>ROUND(K353/1000, 3)</f>
        <v/>
      </c>
      <c r="M353" s="8" t="n"/>
      <c r="N353" s="21">
        <f>ROUND(N352 + IF(AND(E353&lt;=10, F353&lt;&gt;"ASTM A416"), L353, 0), 3)</f>
        <v/>
      </c>
      <c r="O353" s="21">
        <f>ROUND(O352 + IF(AND(E353&gt;10, E353&lt;=18, F353&lt;&gt;"ASTM A416"), L353, 0), 3)</f>
        <v/>
      </c>
      <c r="P353" s="21">
        <f>ROUND(P352 + IF(AND(E353&gt;18, F353&lt;&gt;"ASTM A416"), L353, 0), 3)</f>
        <v/>
      </c>
      <c r="Q353" s="21">
        <f>ROUND(Q352 + IF(F353="ASTM A416", L353, 0), 3)</f>
        <v/>
      </c>
      <c r="R353" s="11">
        <f>IF(INT(N353/20)&gt;INT(N352/20), "Lần " &amp; INT(N353/20), "")</f>
        <v/>
      </c>
      <c r="S353" s="12">
        <f>IF(INT(O353/20)&gt;INT(O352/20), "Lần " &amp; INT(O353/20), "")</f>
        <v/>
      </c>
      <c r="T353" s="11">
        <f>IF(INT(P353/20)&gt;INT(P352/20), "Lần " &amp; INT(P353/20), "")</f>
        <v/>
      </c>
      <c r="U353" s="25">
        <f>IF(INT(Q353/20)&gt;INT(Q352/20), "Lần " &amp; INT(Q353/20), "")</f>
        <v/>
      </c>
      <c r="V353" s="6" t="inlineStr"/>
      <c r="W353" s="6" t="inlineStr">
        <is>
          <t>ĐẠT TCVN 1651:2018</t>
        </is>
      </c>
    </row>
    <row r="354" ht="19" customHeight="1">
      <c r="A354" s="6" t="n">
        <v>327</v>
      </c>
      <c r="B354" s="7" t="inlineStr">
        <is>
          <t>Cọc khoan nhồi C1 Mố M2 (D1.2m, L=36.0m)</t>
        </is>
      </c>
      <c r="C354" s="7" t="inlineStr">
        <is>
          <t>Cốt thép chủ chịu lực cọc</t>
        </is>
      </c>
      <c r="D354" s="19" t="inlineStr">
        <is>
          <t>P7</t>
        </is>
      </c>
      <c r="E354" s="20" t="n">
        <v>25</v>
      </c>
      <c r="F354" s="6" t="inlineStr">
        <is>
          <t>CB400-V</t>
        </is>
      </c>
      <c r="G354" s="7" t="inlineStr">
        <is>
          <t>Thanh thẳng nối ren/hàn</t>
        </is>
      </c>
      <c r="H354" s="21" t="n">
        <v>6.153</v>
      </c>
      <c r="I354" s="22" t="n">
        <v>12</v>
      </c>
      <c r="J354" s="23" t="n">
        <v>3.85</v>
      </c>
      <c r="K354" s="9">
        <f>ROUND(H354*I354*J354, 2)</f>
        <v/>
      </c>
      <c r="L354" s="24">
        <f>ROUND(K354/1000, 3)</f>
        <v/>
      </c>
      <c r="M354" s="8" t="n"/>
      <c r="N354" s="21">
        <f>ROUND(N353 + IF(AND(E354&lt;=10, F354&lt;&gt;"ASTM A416"), L354, 0), 3)</f>
        <v/>
      </c>
      <c r="O354" s="21">
        <f>ROUND(O353 + IF(AND(E354&gt;10, E354&lt;=18, F354&lt;&gt;"ASTM A416"), L354, 0), 3)</f>
        <v/>
      </c>
      <c r="P354" s="21">
        <f>ROUND(P353 + IF(AND(E354&gt;18, F354&lt;&gt;"ASTM A416"), L354, 0), 3)</f>
        <v/>
      </c>
      <c r="Q354" s="21">
        <f>ROUND(Q353 + IF(F354="ASTM A416", L354, 0), 3)</f>
        <v/>
      </c>
      <c r="R354" s="11">
        <f>IF(INT(N354/20)&gt;INT(N353/20), "Lần " &amp; INT(N354/20), "")</f>
        <v/>
      </c>
      <c r="S354" s="12">
        <f>IF(INT(O354/20)&gt;INT(O353/20), "Lần " &amp; INT(O354/20), "")</f>
        <v/>
      </c>
      <c r="T354" s="11">
        <f>IF(INT(P354/20)&gt;INT(P353/20), "Lần " &amp; INT(P354/20), "")</f>
        <v/>
      </c>
      <c r="U354" s="25">
        <f>IF(INT(Q354/20)&gt;INT(Q353/20), "Lần " &amp; INT(Q354/20), "")</f>
        <v/>
      </c>
      <c r="V354" s="6" t="inlineStr"/>
      <c r="W354" s="6" t="inlineStr">
        <is>
          <t>ĐẠT TCVN 1651:2018</t>
        </is>
      </c>
    </row>
    <row r="355" ht="19" customHeight="1">
      <c r="A355" s="6" t="n">
        <v>328</v>
      </c>
      <c r="B355" s="7" t="inlineStr">
        <is>
          <t>Cọc khoan nhồi C1 Mố M2 (D1.2m, L=36.0m)</t>
        </is>
      </c>
      <c r="C355" s="7" t="inlineStr">
        <is>
          <t>Đai tăng cường / Con kê bảo vệ</t>
        </is>
      </c>
      <c r="D355" s="19" t="inlineStr">
        <is>
          <t>P8</t>
        </is>
      </c>
      <c r="E355" s="20" t="n">
        <v>12</v>
      </c>
      <c r="F355" s="6" t="inlineStr">
        <is>
          <t>CB400-V</t>
        </is>
      </c>
      <c r="G355" s="7" t="inlineStr">
        <is>
          <t>Móc neo / Vòng đai</t>
        </is>
      </c>
      <c r="H355" s="21" t="n">
        <v>0.647</v>
      </c>
      <c r="I355" s="22" t="n">
        <v>15</v>
      </c>
      <c r="J355" s="23" t="n">
        <v>0.888</v>
      </c>
      <c r="K355" s="9">
        <f>ROUND(H355*I355*J355, 2)</f>
        <v/>
      </c>
      <c r="L355" s="24">
        <f>ROUND(K355/1000, 3)</f>
        <v/>
      </c>
      <c r="M355" s="8" t="n"/>
      <c r="N355" s="21">
        <f>ROUND(N354 + IF(AND(E355&lt;=10, F355&lt;&gt;"ASTM A416"), L355, 0), 3)</f>
        <v/>
      </c>
      <c r="O355" s="21">
        <f>ROUND(O354 + IF(AND(E355&gt;10, E355&lt;=18, F355&lt;&gt;"ASTM A416"), L355, 0), 3)</f>
        <v/>
      </c>
      <c r="P355" s="21">
        <f>ROUND(P354 + IF(AND(E355&gt;18, F355&lt;&gt;"ASTM A416"), L355, 0), 3)</f>
        <v/>
      </c>
      <c r="Q355" s="21">
        <f>ROUND(Q354 + IF(F355="ASTM A416", L355, 0), 3)</f>
        <v/>
      </c>
      <c r="R355" s="11">
        <f>IF(INT(N355/20)&gt;INT(N354/20), "Lần " &amp; INT(N355/20), "")</f>
        <v/>
      </c>
      <c r="S355" s="12">
        <f>IF(INT(O355/20)&gt;INT(O354/20), "Lần " &amp; INT(O355/20), "")</f>
        <v/>
      </c>
      <c r="T355" s="11">
        <f>IF(INT(P355/20)&gt;INT(P354/20), "Lần " &amp; INT(P355/20), "")</f>
        <v/>
      </c>
      <c r="U355" s="25">
        <f>IF(INT(Q355/20)&gt;INT(Q354/20), "Lần " &amp; INT(Q355/20), "")</f>
        <v/>
      </c>
      <c r="V355" s="6" t="inlineStr"/>
      <c r="W355" s="6" t="inlineStr">
        <is>
          <t>ĐẠT TCVN 1651:2018</t>
        </is>
      </c>
    </row>
    <row r="356" ht="19" customHeight="1">
      <c r="A356" s="6" t="n">
        <v>329</v>
      </c>
      <c r="B356" s="7" t="inlineStr">
        <is>
          <t>Cọc khoan nhồi C1 Mố M2 (D1.2m, L=36.0m)</t>
        </is>
      </c>
      <c r="C356" s="7" t="inlineStr">
        <is>
          <t>Đai tăng cường / Con kê bảo vệ</t>
        </is>
      </c>
      <c r="D356" s="19" t="inlineStr">
        <is>
          <t>P9</t>
        </is>
      </c>
      <c r="E356" s="20" t="n">
        <v>12</v>
      </c>
      <c r="F356" s="6" t="inlineStr">
        <is>
          <t>CB400-V</t>
        </is>
      </c>
      <c r="G356" s="7" t="inlineStr">
        <is>
          <t>Móc neo / Vòng đai</t>
        </is>
      </c>
      <c r="H356" s="21" t="n">
        <v>0.379</v>
      </c>
      <c r="I356" s="22" t="n">
        <v>45</v>
      </c>
      <c r="J356" s="23" t="n">
        <v>0.888</v>
      </c>
      <c r="K356" s="9">
        <f>ROUND(H356*I356*J356, 2)</f>
        <v/>
      </c>
      <c r="L356" s="24">
        <f>ROUND(K356/1000, 3)</f>
        <v/>
      </c>
      <c r="M356" s="8" t="n"/>
      <c r="N356" s="21">
        <f>ROUND(N355 + IF(AND(E356&lt;=10, F356&lt;&gt;"ASTM A416"), L356, 0), 3)</f>
        <v/>
      </c>
      <c r="O356" s="21">
        <f>ROUND(O355 + IF(AND(E356&gt;10, E356&lt;=18, F356&lt;&gt;"ASTM A416"), L356, 0), 3)</f>
        <v/>
      </c>
      <c r="P356" s="21">
        <f>ROUND(P355 + IF(AND(E356&gt;18, F356&lt;&gt;"ASTM A416"), L356, 0), 3)</f>
        <v/>
      </c>
      <c r="Q356" s="21">
        <f>ROUND(Q355 + IF(F356="ASTM A416", L356, 0), 3)</f>
        <v/>
      </c>
      <c r="R356" s="11">
        <f>IF(INT(N356/20)&gt;INT(N355/20), "Lần " &amp; INT(N356/20), "")</f>
        <v/>
      </c>
      <c r="S356" s="12">
        <f>IF(INT(O356/20)&gt;INT(O355/20), "Lần " &amp; INT(O356/20), "")</f>
        <v/>
      </c>
      <c r="T356" s="11">
        <f>IF(INT(P356/20)&gt;INT(P355/20), "Lần " &amp; INT(P356/20), "")</f>
        <v/>
      </c>
      <c r="U356" s="25">
        <f>IF(INT(Q356/20)&gt;INT(Q355/20), "Lần " &amp; INT(Q356/20), "")</f>
        <v/>
      </c>
      <c r="V356" s="6" t="inlineStr"/>
      <c r="W356" s="6" t="inlineStr">
        <is>
          <t>ĐẠT TCVN 1651:2018</t>
        </is>
      </c>
    </row>
    <row r="357" ht="19" customHeight="1">
      <c r="A357" s="6" t="n">
        <v>330</v>
      </c>
      <c r="B357" s="7" t="inlineStr">
        <is>
          <t>Cọc khoan nhồi C1 Mố M2 (D1.2m, L=36.0m)</t>
        </is>
      </c>
      <c r="C357" s="7" t="inlineStr">
        <is>
          <t>Thép đai xoắn lồng cọc</t>
        </is>
      </c>
      <c r="D357" s="19" t="inlineStr">
        <is>
          <t>P10</t>
        </is>
      </c>
      <c r="E357" s="20" t="n">
        <v>20</v>
      </c>
      <c r="F357" s="6" t="inlineStr">
        <is>
          <t>CB400-V</t>
        </is>
      </c>
      <c r="G357" s="7" t="inlineStr">
        <is>
          <t>Đai xoắn tròn</t>
        </is>
      </c>
      <c r="H357" s="21" t="n">
        <v>2.057</v>
      </c>
      <c r="I357" s="22" t="n">
        <v>1</v>
      </c>
      <c r="J357" s="23" t="n">
        <v>2.47</v>
      </c>
      <c r="K357" s="9">
        <f>ROUND(H357*I357*J357, 2)</f>
        <v/>
      </c>
      <c r="L357" s="24">
        <f>ROUND(K357/1000, 3)</f>
        <v/>
      </c>
      <c r="M357" s="8" t="n"/>
      <c r="N357" s="21">
        <f>ROUND(N356 + IF(AND(E357&lt;=10, F357&lt;&gt;"ASTM A416"), L357, 0), 3)</f>
        <v/>
      </c>
      <c r="O357" s="21">
        <f>ROUND(O356 + IF(AND(E357&gt;10, E357&lt;=18, F357&lt;&gt;"ASTM A416"), L357, 0), 3)</f>
        <v/>
      </c>
      <c r="P357" s="21">
        <f>ROUND(P356 + IF(AND(E357&gt;18, F357&lt;&gt;"ASTM A416"), L357, 0), 3)</f>
        <v/>
      </c>
      <c r="Q357" s="21">
        <f>ROUND(Q356 + IF(F357="ASTM A416", L357, 0), 3)</f>
        <v/>
      </c>
      <c r="R357" s="11">
        <f>IF(INT(N357/20)&gt;INT(N356/20), "Lần " &amp; INT(N357/20), "")</f>
        <v/>
      </c>
      <c r="S357" s="12">
        <f>IF(INT(O357/20)&gt;INT(O356/20), "Lần " &amp; INT(O357/20), "")</f>
        <v/>
      </c>
      <c r="T357" s="11">
        <f>IF(INT(P357/20)&gt;INT(P356/20), "Lần " &amp; INT(P357/20), "")</f>
        <v/>
      </c>
      <c r="U357" s="25">
        <f>IF(INT(Q357/20)&gt;INT(Q356/20), "Lần " &amp; INT(Q357/20), "")</f>
        <v/>
      </c>
      <c r="V357" s="6" t="inlineStr"/>
      <c r="W357" s="6" t="inlineStr">
        <is>
          <t>ĐẠT TCVN 1651:2018</t>
        </is>
      </c>
    </row>
    <row r="358" ht="19" customHeight="1">
      <c r="A358" s="6" t="n">
        <v>331</v>
      </c>
      <c r="B358" s="7" t="inlineStr">
        <is>
          <t>Cọc khoan nhồi C1 Mố M2 (D1.2m, L=36.0m)</t>
        </is>
      </c>
      <c r="C358" s="7" t="inlineStr">
        <is>
          <t>Thép đai xoắn lồng cọc</t>
        </is>
      </c>
      <c r="D358" s="19" t="inlineStr">
        <is>
          <t>P12</t>
        </is>
      </c>
      <c r="E358" s="20" t="n">
        <v>20</v>
      </c>
      <c r="F358" s="6" t="inlineStr">
        <is>
          <t>CB400-V</t>
        </is>
      </c>
      <c r="G358" s="7" t="inlineStr">
        <is>
          <t>Đai xoắn tròn</t>
        </is>
      </c>
      <c r="H358" s="21" t="n">
        <v>0.583</v>
      </c>
      <c r="I358" s="22" t="n">
        <v>60</v>
      </c>
      <c r="J358" s="23" t="n">
        <v>2.47</v>
      </c>
      <c r="K358" s="9">
        <f>ROUND(H358*I358*J358, 2)</f>
        <v/>
      </c>
      <c r="L358" s="24">
        <f>ROUND(K358/1000, 3)</f>
        <v/>
      </c>
      <c r="M358" s="8" t="n"/>
      <c r="N358" s="21">
        <f>ROUND(N357 + IF(AND(E358&lt;=10, F358&lt;&gt;"ASTM A416"), L358, 0), 3)</f>
        <v/>
      </c>
      <c r="O358" s="21">
        <f>ROUND(O357 + IF(AND(E358&gt;10, E358&lt;=18, F358&lt;&gt;"ASTM A416"), L358, 0), 3)</f>
        <v/>
      </c>
      <c r="P358" s="21">
        <f>ROUND(P357 + IF(AND(E358&gt;18, F358&lt;&gt;"ASTM A416"), L358, 0), 3)</f>
        <v/>
      </c>
      <c r="Q358" s="21">
        <f>ROUND(Q357 + IF(F358="ASTM A416", L358, 0), 3)</f>
        <v/>
      </c>
      <c r="R358" s="11">
        <f>IF(INT(N358/20)&gt;INT(N357/20), "Lần " &amp; INT(N358/20), "")</f>
        <v/>
      </c>
      <c r="S358" s="12">
        <f>IF(INT(O358/20)&gt;INT(O357/20), "Lần " &amp; INT(O358/20), "")</f>
        <v/>
      </c>
      <c r="T358" s="11">
        <f>IF(INT(P358/20)&gt;INT(P357/20), "Lần " &amp; INT(P358/20), "")</f>
        <v/>
      </c>
      <c r="U358" s="25">
        <f>IF(INT(Q358/20)&gt;INT(Q357/20), "Lần " &amp; INT(Q358/20), "")</f>
        <v/>
      </c>
      <c r="V358" s="6" t="inlineStr"/>
      <c r="W358" s="6" t="inlineStr">
        <is>
          <t>ĐẠT TCVN 1651:2018</t>
        </is>
      </c>
    </row>
    <row r="359" ht="20" customHeight="1">
      <c r="A359" s="18" t="inlineStr">
        <is>
          <t>--- CỌC KHOAN NHỒI C2 MỐ M2 (D1.2M, L=36.0M) ---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</row>
    <row r="360" ht="19" customHeight="1">
      <c r="A360" s="6" t="n">
        <v>332</v>
      </c>
      <c r="B360" s="7" t="inlineStr">
        <is>
          <t>Cọc khoan nhồi C2 Mố M2 (D1.2m, L=36.0m)</t>
        </is>
      </c>
      <c r="C360" s="7" t="inlineStr">
        <is>
          <t>Thép đai xoắn lồng cọc</t>
        </is>
      </c>
      <c r="D360" s="19" t="inlineStr">
        <is>
          <t>P1</t>
        </is>
      </c>
      <c r="E360" s="20" t="n">
        <v>10</v>
      </c>
      <c r="F360" s="6" t="inlineStr">
        <is>
          <t>CB240-T</t>
        </is>
      </c>
      <c r="G360" s="7" t="inlineStr">
        <is>
          <t>Đai xoắn tròn</t>
        </is>
      </c>
      <c r="H360" s="21" t="n">
        <v>96.887</v>
      </c>
      <c r="I360" s="22" t="n">
        <v>1</v>
      </c>
      <c r="J360" s="23" t="n">
        <v>0.617</v>
      </c>
      <c r="K360" s="9">
        <f>ROUND(H360*I360*J360, 2)</f>
        <v/>
      </c>
      <c r="L360" s="24">
        <f>ROUND(K360/1000, 3)</f>
        <v/>
      </c>
      <c r="M360" s="8" t="n"/>
      <c r="N360" s="21">
        <f>ROUND(N358 + IF(AND(E360&lt;=10, F360&lt;&gt;"ASTM A416"), L360, 0), 3)</f>
        <v/>
      </c>
      <c r="O360" s="21">
        <f>ROUND(O358 + IF(AND(E360&gt;10, E360&lt;=18, F360&lt;&gt;"ASTM A416"), L360, 0), 3)</f>
        <v/>
      </c>
      <c r="P360" s="21">
        <f>ROUND(P358 + IF(AND(E360&gt;18, F360&lt;&gt;"ASTM A416"), L360, 0), 3)</f>
        <v/>
      </c>
      <c r="Q360" s="21">
        <f>ROUND(Q358 + IF(F360="ASTM A416", L360, 0), 3)</f>
        <v/>
      </c>
      <c r="R360" s="11">
        <f>IF(INT(N360/20)&gt;INT(N358/20), "Lần " &amp; INT(N360/20), "")</f>
        <v/>
      </c>
      <c r="S360" s="12">
        <f>IF(INT(O360/20)&gt;INT(O358/20), "Lần " &amp; INT(O360/20), "")</f>
        <v/>
      </c>
      <c r="T360" s="11">
        <f>IF(INT(P360/20)&gt;INT(P358/20), "Lần " &amp; INT(P360/20), "")</f>
        <v/>
      </c>
      <c r="U360" s="25">
        <f>IF(INT(Q360/20)&gt;INT(Q358/20), "Lần " &amp; INT(Q360/20), "")</f>
        <v/>
      </c>
      <c r="V360" s="6" t="inlineStr"/>
      <c r="W360" s="6" t="inlineStr">
        <is>
          <t>ĐẠT TCVN 1651:2018</t>
        </is>
      </c>
    </row>
    <row r="361" ht="19" customHeight="1">
      <c r="A361" s="6" t="n">
        <v>333</v>
      </c>
      <c r="B361" s="7" t="inlineStr">
        <is>
          <t>Cọc khoan nhồi C2 Mố M2 (D1.2m, L=36.0m)</t>
        </is>
      </c>
      <c r="C361" s="7" t="inlineStr">
        <is>
          <t>Thép đai xoắn lồng cọc</t>
        </is>
      </c>
      <c r="D361" s="19" t="inlineStr">
        <is>
          <t>P1A</t>
        </is>
      </c>
      <c r="E361" s="20" t="n">
        <v>10</v>
      </c>
      <c r="F361" s="6" t="inlineStr">
        <is>
          <t>CB240-T</t>
        </is>
      </c>
      <c r="G361" s="7" t="inlineStr">
        <is>
          <t>Đai xoắn tròn</t>
        </is>
      </c>
      <c r="H361" s="21" t="n">
        <v>390.776</v>
      </c>
      <c r="I361" s="22" t="n">
        <v>1</v>
      </c>
      <c r="J361" s="23" t="n">
        <v>0.617</v>
      </c>
      <c r="K361" s="9">
        <f>ROUND(H361*I361*J361, 2)</f>
        <v/>
      </c>
      <c r="L361" s="24">
        <f>ROUND(K361/1000, 3)</f>
        <v/>
      </c>
      <c r="M361" s="8" t="n"/>
      <c r="N361" s="21">
        <f>ROUND(N360 + IF(AND(E361&lt;=10, F361&lt;&gt;"ASTM A416"), L361, 0), 3)</f>
        <v/>
      </c>
      <c r="O361" s="21">
        <f>ROUND(O360 + IF(AND(E361&gt;10, E361&lt;=18, F361&lt;&gt;"ASTM A416"), L361, 0), 3)</f>
        <v/>
      </c>
      <c r="P361" s="21">
        <f>ROUND(P360 + IF(AND(E361&gt;18, F361&lt;&gt;"ASTM A416"), L361, 0), 3)</f>
        <v/>
      </c>
      <c r="Q361" s="21">
        <f>ROUND(Q360 + IF(F361="ASTM A416", L361, 0), 3)</f>
        <v/>
      </c>
      <c r="R361" s="11">
        <f>IF(INT(N361/20)&gt;INT(N360/20), "Lần " &amp; INT(N361/20), "")</f>
        <v/>
      </c>
      <c r="S361" s="12">
        <f>IF(INT(O361/20)&gt;INT(O360/20), "Lần " &amp; INT(O361/20), "")</f>
        <v/>
      </c>
      <c r="T361" s="11">
        <f>IF(INT(P361/20)&gt;INT(P360/20), "Lần " &amp; INT(P361/20), "")</f>
        <v/>
      </c>
      <c r="U361" s="25">
        <f>IF(INT(Q361/20)&gt;INT(Q360/20), "Lần " &amp; INT(Q361/20), "")</f>
        <v/>
      </c>
      <c r="V361" s="6" t="inlineStr"/>
      <c r="W361" s="6" t="inlineStr">
        <is>
          <t>ĐẠT TCVN 1651:2018</t>
        </is>
      </c>
    </row>
    <row r="362" ht="19" customHeight="1">
      <c r="A362" s="6" t="n">
        <v>334</v>
      </c>
      <c r="B362" s="7" t="inlineStr">
        <is>
          <t>Cọc khoan nhồi C2 Mố M2 (D1.2m, L=36.0m)</t>
        </is>
      </c>
      <c r="C362" s="7" t="inlineStr">
        <is>
          <t>Thép đai xoắn lồng cọc</t>
        </is>
      </c>
      <c r="D362" s="19" t="inlineStr">
        <is>
          <t>P1B</t>
        </is>
      </c>
      <c r="E362" s="20" t="n">
        <v>10</v>
      </c>
      <c r="F362" s="6" t="inlineStr">
        <is>
          <t>CB240-T</t>
        </is>
      </c>
      <c r="G362" s="7" t="inlineStr">
        <is>
          <t>Đai xoắn tròn</t>
        </is>
      </c>
      <c r="H362" s="21" t="n">
        <v>164.938</v>
      </c>
      <c r="I362" s="22" t="n">
        <v>1</v>
      </c>
      <c r="J362" s="23" t="n">
        <v>0.617</v>
      </c>
      <c r="K362" s="9">
        <f>ROUND(H362*I362*J362, 2)</f>
        <v/>
      </c>
      <c r="L362" s="24">
        <f>ROUND(K362/1000, 3)</f>
        <v/>
      </c>
      <c r="M362" s="8" t="n"/>
      <c r="N362" s="21">
        <f>ROUND(N361 + IF(AND(E362&lt;=10, F362&lt;&gt;"ASTM A416"), L362, 0), 3)</f>
        <v/>
      </c>
      <c r="O362" s="21">
        <f>ROUND(O361 + IF(AND(E362&gt;10, E362&lt;=18, F362&lt;&gt;"ASTM A416"), L362, 0), 3)</f>
        <v/>
      </c>
      <c r="P362" s="21">
        <f>ROUND(P361 + IF(AND(E362&gt;18, F362&lt;&gt;"ASTM A416"), L362, 0), 3)</f>
        <v/>
      </c>
      <c r="Q362" s="21">
        <f>ROUND(Q361 + IF(F362="ASTM A416", L362, 0), 3)</f>
        <v/>
      </c>
      <c r="R362" s="11">
        <f>IF(INT(N362/20)&gt;INT(N361/20), "Lần " &amp; INT(N362/20), "")</f>
        <v/>
      </c>
      <c r="S362" s="12">
        <f>IF(INT(O362/20)&gt;INT(O361/20), "Lần " &amp; INT(O362/20), "")</f>
        <v/>
      </c>
      <c r="T362" s="11">
        <f>IF(INT(P362/20)&gt;INT(P361/20), "Lần " &amp; INT(P362/20), "")</f>
        <v/>
      </c>
      <c r="U362" s="25">
        <f>IF(INT(Q362/20)&gt;INT(Q361/20), "Lần " &amp; INT(Q362/20), "")</f>
        <v/>
      </c>
      <c r="V362" s="6" t="inlineStr"/>
      <c r="W362" s="6" t="inlineStr">
        <is>
          <t>ĐẠT TCVN 1651:2018</t>
        </is>
      </c>
    </row>
    <row r="363" ht="19" customHeight="1">
      <c r="A363" s="6" t="n">
        <v>335</v>
      </c>
      <c r="B363" s="7" t="inlineStr">
        <is>
          <t>Cọc khoan nhồi C2 Mố M2 (D1.2m, L=36.0m)</t>
        </is>
      </c>
      <c r="C363" s="7" t="inlineStr">
        <is>
          <t>Thép đai xoắn lồng cọc</t>
        </is>
      </c>
      <c r="D363" s="19" t="inlineStr">
        <is>
          <t>P1C</t>
        </is>
      </c>
      <c r="E363" s="20" t="n">
        <v>10</v>
      </c>
      <c r="F363" s="6" t="inlineStr">
        <is>
          <t>CB240-T</t>
        </is>
      </c>
      <c r="G363" s="7" t="inlineStr">
        <is>
          <t>Đai xoắn tròn</t>
        </is>
      </c>
      <c r="H363" s="21" t="n">
        <v>3.592</v>
      </c>
      <c r="I363" s="22" t="n">
        <v>2</v>
      </c>
      <c r="J363" s="23" t="n">
        <v>0.617</v>
      </c>
      <c r="K363" s="9">
        <f>ROUND(H363*I363*J363, 2)</f>
        <v/>
      </c>
      <c r="L363" s="24">
        <f>ROUND(K363/1000, 3)</f>
        <v/>
      </c>
      <c r="M363" s="8" t="n"/>
      <c r="N363" s="21">
        <f>ROUND(N362 + IF(AND(E363&lt;=10, F363&lt;&gt;"ASTM A416"), L363, 0), 3)</f>
        <v/>
      </c>
      <c r="O363" s="21">
        <f>ROUND(O362 + IF(AND(E363&gt;10, E363&lt;=18, F363&lt;&gt;"ASTM A416"), L363, 0), 3)</f>
        <v/>
      </c>
      <c r="P363" s="21">
        <f>ROUND(P362 + IF(AND(E363&gt;18, F363&lt;&gt;"ASTM A416"), L363, 0), 3)</f>
        <v/>
      </c>
      <c r="Q363" s="21">
        <f>ROUND(Q362 + IF(F363="ASTM A416", L363, 0), 3)</f>
        <v/>
      </c>
      <c r="R363" s="11">
        <f>IF(INT(N363/20)&gt;INT(N362/20), "Lần " &amp; INT(N363/20), "")</f>
        <v/>
      </c>
      <c r="S363" s="12">
        <f>IF(INT(O363/20)&gt;INT(O362/20), "Lần " &amp; INT(O363/20), "")</f>
        <v/>
      </c>
      <c r="T363" s="11">
        <f>IF(INT(P363/20)&gt;INT(P362/20), "Lần " &amp; INT(P363/20), "")</f>
        <v/>
      </c>
      <c r="U363" s="25">
        <f>IF(INT(Q363/20)&gt;INT(Q362/20), "Lần " &amp; INT(Q363/20), "")</f>
        <v/>
      </c>
      <c r="V363" s="6" t="inlineStr"/>
      <c r="W363" s="6" t="inlineStr">
        <is>
          <t>ĐẠT TCVN 1651:2018</t>
        </is>
      </c>
    </row>
    <row r="364" ht="19" customHeight="1">
      <c r="A364" s="6" t="n">
        <v>336</v>
      </c>
      <c r="B364" s="7" t="inlineStr">
        <is>
          <t>Cọc khoan nhồi C2 Mố M2 (D1.2m, L=36.0m)</t>
        </is>
      </c>
      <c r="C364" s="7" t="inlineStr">
        <is>
          <t>Thép đai xoắn lồng cọc</t>
        </is>
      </c>
      <c r="D364" s="19" t="inlineStr">
        <is>
          <t>P1D</t>
        </is>
      </c>
      <c r="E364" s="20" t="n">
        <v>10</v>
      </c>
      <c r="F364" s="6" t="inlineStr">
        <is>
          <t>CB240-T</t>
        </is>
      </c>
      <c r="G364" s="7" t="inlineStr">
        <is>
          <t>Đai xoắn tròn</t>
        </is>
      </c>
      <c r="H364" s="21" t="n">
        <v>23.007</v>
      </c>
      <c r="I364" s="22" t="n">
        <v>1</v>
      </c>
      <c r="J364" s="23" t="n">
        <v>0.617</v>
      </c>
      <c r="K364" s="9">
        <f>ROUND(H364*I364*J364, 2)</f>
        <v/>
      </c>
      <c r="L364" s="24">
        <f>ROUND(K364/1000, 3)</f>
        <v/>
      </c>
      <c r="M364" s="8" t="n"/>
      <c r="N364" s="21">
        <f>ROUND(N363 + IF(AND(E364&lt;=10, F364&lt;&gt;"ASTM A416"), L364, 0), 3)</f>
        <v/>
      </c>
      <c r="O364" s="21">
        <f>ROUND(O363 + IF(AND(E364&gt;10, E364&lt;=18, F364&lt;&gt;"ASTM A416"), L364, 0), 3)</f>
        <v/>
      </c>
      <c r="P364" s="21">
        <f>ROUND(P363 + IF(AND(E364&gt;18, F364&lt;&gt;"ASTM A416"), L364, 0), 3)</f>
        <v/>
      </c>
      <c r="Q364" s="21">
        <f>ROUND(Q363 + IF(F364="ASTM A416", L364, 0), 3)</f>
        <v/>
      </c>
      <c r="R364" s="11">
        <f>IF(INT(N364/20)&gt;INT(N363/20), "Lần " &amp; INT(N364/20), "")</f>
        <v/>
      </c>
      <c r="S364" s="12">
        <f>IF(INT(O364/20)&gt;INT(O363/20), "Lần " &amp; INT(O364/20), "")</f>
        <v/>
      </c>
      <c r="T364" s="11">
        <f>IF(INT(P364/20)&gt;INT(P363/20), "Lần " &amp; INT(P364/20), "")</f>
        <v/>
      </c>
      <c r="U364" s="25">
        <f>IF(INT(Q364/20)&gt;INT(Q363/20), "Lần " &amp; INT(Q364/20), "")</f>
        <v/>
      </c>
      <c r="V364" s="6" t="inlineStr"/>
      <c r="W364" s="6" t="inlineStr">
        <is>
          <t>ĐẠT TCVN 1651:2018</t>
        </is>
      </c>
    </row>
    <row r="365" ht="19" customHeight="1">
      <c r="A365" s="6" t="n">
        <v>337</v>
      </c>
      <c r="B365" s="7" t="inlineStr">
        <is>
          <t>Cọc khoan nhồi C2 Mố M2 (D1.2m, L=36.0m)</t>
        </is>
      </c>
      <c r="C365" s="7" t="inlineStr">
        <is>
          <t>Cốt thép chủ chịu lực cọc</t>
        </is>
      </c>
      <c r="D365" s="19" t="inlineStr">
        <is>
          <t>P2A</t>
        </is>
      </c>
      <c r="E365" s="20" t="n">
        <v>28</v>
      </c>
      <c r="F365" s="6" t="inlineStr">
        <is>
          <t>CB400-V</t>
        </is>
      </c>
      <c r="G365" s="7" t="inlineStr">
        <is>
          <t>Thanh thẳng nối ren/hàn</t>
        </is>
      </c>
      <c r="H365" s="21" t="n">
        <v>2.966</v>
      </c>
      <c r="I365" s="22" t="n">
        <v>5</v>
      </c>
      <c r="J365" s="23" t="n">
        <v>4.83</v>
      </c>
      <c r="K365" s="9">
        <f>ROUND(H365*I365*J365, 2)</f>
        <v/>
      </c>
      <c r="L365" s="24">
        <f>ROUND(K365/1000, 3)</f>
        <v/>
      </c>
      <c r="M365" s="8" t="n"/>
      <c r="N365" s="21">
        <f>ROUND(N364 + IF(AND(E365&lt;=10, F365&lt;&gt;"ASTM A416"), L365, 0), 3)</f>
        <v/>
      </c>
      <c r="O365" s="21">
        <f>ROUND(O364 + IF(AND(E365&gt;10, E365&lt;=18, F365&lt;&gt;"ASTM A416"), L365, 0), 3)</f>
        <v/>
      </c>
      <c r="P365" s="21">
        <f>ROUND(P364 + IF(AND(E365&gt;18, F365&lt;&gt;"ASTM A416"), L365, 0), 3)</f>
        <v/>
      </c>
      <c r="Q365" s="21">
        <f>ROUND(Q364 + IF(F365="ASTM A416", L365, 0), 3)</f>
        <v/>
      </c>
      <c r="R365" s="11">
        <f>IF(INT(N365/20)&gt;INT(N364/20), "Lần " &amp; INT(N365/20), "")</f>
        <v/>
      </c>
      <c r="S365" s="12">
        <f>IF(INT(O365/20)&gt;INT(O364/20), "Lần " &amp; INT(O365/20), "")</f>
        <v/>
      </c>
      <c r="T365" s="11">
        <f>IF(INT(P365/20)&gt;INT(P364/20), "Lần " &amp; INT(P365/20), "")</f>
        <v/>
      </c>
      <c r="U365" s="25">
        <f>IF(INT(Q365/20)&gt;INT(Q364/20), "Lần " &amp; INT(Q365/20), "")</f>
        <v/>
      </c>
      <c r="V365" s="6" t="inlineStr"/>
      <c r="W365" s="6" t="inlineStr">
        <is>
          <t>ĐẠT TCVN 1651:2018</t>
        </is>
      </c>
    </row>
    <row r="366" ht="19" customHeight="1">
      <c r="A366" s="6" t="n">
        <v>338</v>
      </c>
      <c r="B366" s="7" t="inlineStr">
        <is>
          <t>Cọc khoan nhồi C2 Mố M2 (D1.2m, L=36.0m)</t>
        </is>
      </c>
      <c r="C366" s="7" t="inlineStr">
        <is>
          <t>Cốt thép chủ chịu lực cọc</t>
        </is>
      </c>
      <c r="D366" s="19" t="inlineStr">
        <is>
          <t>P2B</t>
        </is>
      </c>
      <c r="E366" s="20" t="n">
        <v>25</v>
      </c>
      <c r="F366" s="6" t="inlineStr">
        <is>
          <t>CB400-V</t>
        </is>
      </c>
      <c r="G366" s="7" t="inlineStr">
        <is>
          <t>Thanh thẳng nối ren/hàn</t>
        </is>
      </c>
      <c r="H366" s="21" t="n">
        <v>2.985</v>
      </c>
      <c r="I366" s="22" t="n">
        <v>10</v>
      </c>
      <c r="J366" s="23" t="n">
        <v>3.85</v>
      </c>
      <c r="K366" s="9">
        <f>ROUND(H366*I366*J366, 2)</f>
        <v/>
      </c>
      <c r="L366" s="24">
        <f>ROUND(K366/1000, 3)</f>
        <v/>
      </c>
      <c r="M366" s="8" t="n"/>
      <c r="N366" s="21">
        <f>ROUND(N365 + IF(AND(E366&lt;=10, F366&lt;&gt;"ASTM A416"), L366, 0), 3)</f>
        <v/>
      </c>
      <c r="O366" s="21">
        <f>ROUND(O365 + IF(AND(E366&gt;10, E366&lt;=18, F366&lt;&gt;"ASTM A416"), L366, 0), 3)</f>
        <v/>
      </c>
      <c r="P366" s="21">
        <f>ROUND(P365 + IF(AND(E366&gt;18, F366&lt;&gt;"ASTM A416"), L366, 0), 3)</f>
        <v/>
      </c>
      <c r="Q366" s="21">
        <f>ROUND(Q365 + IF(F366="ASTM A416", L366, 0), 3)</f>
        <v/>
      </c>
      <c r="R366" s="11">
        <f>IF(INT(N366/20)&gt;INT(N365/20), "Lần " &amp; INT(N366/20), "")</f>
        <v/>
      </c>
      <c r="S366" s="12">
        <f>IF(INT(O366/20)&gt;INT(O365/20), "Lần " &amp; INT(O366/20), "")</f>
        <v/>
      </c>
      <c r="T366" s="11">
        <f>IF(INT(P366/20)&gt;INT(P365/20), "Lần " &amp; INT(P366/20), "")</f>
        <v/>
      </c>
      <c r="U366" s="25">
        <f>IF(INT(Q366/20)&gt;INT(Q365/20), "Lần " &amp; INT(Q366/20), "")</f>
        <v/>
      </c>
      <c r="V366" s="6" t="inlineStr"/>
      <c r="W366" s="6" t="inlineStr">
        <is>
          <t>ĐẠT TCVN 1651:2018</t>
        </is>
      </c>
    </row>
    <row r="367" ht="19" customHeight="1">
      <c r="A367" s="6" t="n">
        <v>339</v>
      </c>
      <c r="B367" s="7" t="inlineStr">
        <is>
          <t>Cọc khoan nhồi C2 Mố M2 (D1.2m, L=36.0m)</t>
        </is>
      </c>
      <c r="C367" s="7" t="inlineStr">
        <is>
          <t>Cốt thép chủ chịu lực cọc</t>
        </is>
      </c>
      <c r="D367" s="19" t="inlineStr">
        <is>
          <t>P3</t>
        </is>
      </c>
      <c r="E367" s="20" t="n">
        <v>28</v>
      </c>
      <c r="F367" s="6" t="inlineStr">
        <is>
          <t>CB400-V</t>
        </is>
      </c>
      <c r="G367" s="7" t="inlineStr">
        <is>
          <t>Thanh thẳng nối ren/hàn</t>
        </is>
      </c>
      <c r="H367" s="21" t="n">
        <v>10.7</v>
      </c>
      <c r="I367" s="22" t="n">
        <v>12</v>
      </c>
      <c r="J367" s="23" t="n">
        <v>4.83</v>
      </c>
      <c r="K367" s="9">
        <f>ROUND(H367*I367*J367, 2)</f>
        <v/>
      </c>
      <c r="L367" s="24">
        <f>ROUND(K367/1000, 3)</f>
        <v/>
      </c>
      <c r="M367" s="8" t="n"/>
      <c r="N367" s="21">
        <f>ROUND(N366 + IF(AND(E367&lt;=10, F367&lt;&gt;"ASTM A416"), L367, 0), 3)</f>
        <v/>
      </c>
      <c r="O367" s="21">
        <f>ROUND(O366 + IF(AND(E367&gt;10, E367&lt;=18, F367&lt;&gt;"ASTM A416"), L367, 0), 3)</f>
        <v/>
      </c>
      <c r="P367" s="21">
        <f>ROUND(P366 + IF(AND(E367&gt;18, F367&lt;&gt;"ASTM A416"), L367, 0), 3)</f>
        <v/>
      </c>
      <c r="Q367" s="21">
        <f>ROUND(Q366 + IF(F367="ASTM A416", L367, 0), 3)</f>
        <v/>
      </c>
      <c r="R367" s="11">
        <f>IF(INT(N367/20)&gt;INT(N366/20), "Lần " &amp; INT(N367/20), "")</f>
        <v/>
      </c>
      <c r="S367" s="12">
        <f>IF(INT(O367/20)&gt;INT(O366/20), "Lần " &amp; INT(O367/20), "")</f>
        <v/>
      </c>
      <c r="T367" s="11">
        <f>IF(INT(P367/20)&gt;INT(P366/20), "Lần " &amp; INT(P367/20), "")</f>
        <v/>
      </c>
      <c r="U367" s="25">
        <f>IF(INT(Q367/20)&gt;INT(Q366/20), "Lần " &amp; INT(Q367/20), "")</f>
        <v/>
      </c>
      <c r="V367" s="6" t="inlineStr"/>
      <c r="W367" s="6" t="inlineStr">
        <is>
          <t>ĐẠT TCVN 1651:2018</t>
        </is>
      </c>
    </row>
    <row r="368" ht="19" customHeight="1">
      <c r="A368" s="6" t="n">
        <v>340</v>
      </c>
      <c r="B368" s="7" t="inlineStr">
        <is>
          <t>Cọc khoan nhồi C2 Mố M2 (D1.2m, L=36.0m)</t>
        </is>
      </c>
      <c r="C368" s="7" t="inlineStr">
        <is>
          <t>Cốt thép chủ chịu lực cọc</t>
        </is>
      </c>
      <c r="D368" s="19" t="inlineStr">
        <is>
          <t>P4</t>
        </is>
      </c>
      <c r="E368" s="20" t="n">
        <v>28</v>
      </c>
      <c r="F368" s="6" t="inlineStr">
        <is>
          <t>CB400-V</t>
        </is>
      </c>
      <c r="G368" s="7" t="inlineStr">
        <is>
          <t>Thanh thẳng nối ren/hàn</t>
        </is>
      </c>
      <c r="H368" s="21" t="n">
        <v>11.7</v>
      </c>
      <c r="I368" s="22" t="n">
        <v>12</v>
      </c>
      <c r="J368" s="23" t="n">
        <v>4.83</v>
      </c>
      <c r="K368" s="9">
        <f>ROUND(H368*I368*J368, 2)</f>
        <v/>
      </c>
      <c r="L368" s="24">
        <f>ROUND(K368/1000, 3)</f>
        <v/>
      </c>
      <c r="M368" s="8" t="n"/>
      <c r="N368" s="21">
        <f>ROUND(N367 + IF(AND(E368&lt;=10, F368&lt;&gt;"ASTM A416"), L368, 0), 3)</f>
        <v/>
      </c>
      <c r="O368" s="21">
        <f>ROUND(O367 + IF(AND(E368&gt;10, E368&lt;=18, F368&lt;&gt;"ASTM A416"), L368, 0), 3)</f>
        <v/>
      </c>
      <c r="P368" s="21">
        <f>ROUND(P367 + IF(AND(E368&gt;18, F368&lt;&gt;"ASTM A416"), L368, 0), 3)</f>
        <v/>
      </c>
      <c r="Q368" s="21">
        <f>ROUND(Q367 + IF(F368="ASTM A416", L368, 0), 3)</f>
        <v/>
      </c>
      <c r="R368" s="11">
        <f>IF(INT(N368/20)&gt;INT(N367/20), "Lần " &amp; INT(N368/20), "")</f>
        <v/>
      </c>
      <c r="S368" s="12">
        <f>IF(INT(O368/20)&gt;INT(O367/20), "Lần " &amp; INT(O368/20), "")</f>
        <v/>
      </c>
      <c r="T368" s="11">
        <f>IF(INT(P368/20)&gt;INT(P367/20), "Lần " &amp; INT(P368/20), "")</f>
        <v/>
      </c>
      <c r="U368" s="25">
        <f>IF(INT(Q368/20)&gt;INT(Q367/20), "Lần " &amp; INT(Q368/20), "")</f>
        <v/>
      </c>
      <c r="V368" s="6" t="inlineStr"/>
      <c r="W368" s="6" t="inlineStr">
        <is>
          <t>ĐẠT TCVN 1651:2018</t>
        </is>
      </c>
    </row>
    <row r="369" ht="19" customHeight="1">
      <c r="A369" s="6" t="n">
        <v>341</v>
      </c>
      <c r="B369" s="7" t="inlineStr">
        <is>
          <t>Cọc khoan nhồi C2 Mố M2 (D1.2m, L=36.0m)</t>
        </is>
      </c>
      <c r="C369" s="7" t="inlineStr">
        <is>
          <t>Cốt thép chủ chịu lực cọc</t>
        </is>
      </c>
      <c r="D369" s="19" t="inlineStr">
        <is>
          <t>P5</t>
        </is>
      </c>
      <c r="E369" s="20" t="n">
        <v>25</v>
      </c>
      <c r="F369" s="6" t="inlineStr">
        <is>
          <t>CB400-V</t>
        </is>
      </c>
      <c r="G369" s="7" t="inlineStr">
        <is>
          <t>Thanh thẳng nối ren/hàn</t>
        </is>
      </c>
      <c r="H369" s="21" t="n">
        <v>11.7</v>
      </c>
      <c r="I369" s="22" t="n">
        <v>48</v>
      </c>
      <c r="J369" s="23" t="n">
        <v>3.85</v>
      </c>
      <c r="K369" s="9">
        <f>ROUND(H369*I369*J369, 2)</f>
        <v/>
      </c>
      <c r="L369" s="24">
        <f>ROUND(K369/1000, 3)</f>
        <v/>
      </c>
      <c r="M369" s="8" t="n"/>
      <c r="N369" s="21">
        <f>ROUND(N368 + IF(AND(E369&lt;=10, F369&lt;&gt;"ASTM A416"), L369, 0), 3)</f>
        <v/>
      </c>
      <c r="O369" s="21">
        <f>ROUND(O368 + IF(AND(E369&gt;10, E369&lt;=18, F369&lt;&gt;"ASTM A416"), L369, 0), 3)</f>
        <v/>
      </c>
      <c r="P369" s="21">
        <f>ROUND(P368 + IF(AND(E369&gt;18, F369&lt;&gt;"ASTM A416"), L369, 0), 3)</f>
        <v/>
      </c>
      <c r="Q369" s="21">
        <f>ROUND(Q368 + IF(F369="ASTM A416", L369, 0), 3)</f>
        <v/>
      </c>
      <c r="R369" s="11">
        <f>IF(INT(N369/20)&gt;INT(N368/20), "Lần " &amp; INT(N369/20), "")</f>
        <v/>
      </c>
      <c r="S369" s="12">
        <f>IF(INT(O369/20)&gt;INT(O368/20), "Lần " &amp; INT(O369/20), "")</f>
        <v/>
      </c>
      <c r="T369" s="11">
        <f>IF(INT(P369/20)&gt;INT(P368/20), "Lần " &amp; INT(P369/20), "")</f>
        <v/>
      </c>
      <c r="U369" s="25">
        <f>IF(INT(Q369/20)&gt;INT(Q368/20), "Lần " &amp; INT(Q369/20), "")</f>
        <v/>
      </c>
      <c r="V369" s="6" t="inlineStr"/>
      <c r="W369" s="6" t="inlineStr">
        <is>
          <t>ĐẠT TCVN 1651:2018</t>
        </is>
      </c>
    </row>
    <row r="370" ht="19" customHeight="1">
      <c r="A370" s="6" t="n">
        <v>342</v>
      </c>
      <c r="B370" s="7" t="inlineStr">
        <is>
          <t>Cọc khoan nhồi C2 Mố M2 (D1.2m, L=36.0m)</t>
        </is>
      </c>
      <c r="C370" s="7" t="inlineStr">
        <is>
          <t>Cốt thép chủ chịu lực cọc</t>
        </is>
      </c>
      <c r="D370" s="19" t="inlineStr">
        <is>
          <t>P6</t>
        </is>
      </c>
      <c r="E370" s="20" t="n">
        <v>25</v>
      </c>
      <c r="F370" s="6" t="inlineStr">
        <is>
          <t>CB400-V</t>
        </is>
      </c>
      <c r="G370" s="7" t="inlineStr">
        <is>
          <t>Thanh thẳng nối ren/hàn</t>
        </is>
      </c>
      <c r="H370" s="21" t="n">
        <v>5.153</v>
      </c>
      <c r="I370" s="22" t="n">
        <v>12</v>
      </c>
      <c r="J370" s="23" t="n">
        <v>3.85</v>
      </c>
      <c r="K370" s="9">
        <f>ROUND(H370*I370*J370, 2)</f>
        <v/>
      </c>
      <c r="L370" s="24">
        <f>ROUND(K370/1000, 3)</f>
        <v/>
      </c>
      <c r="M370" s="8" t="n"/>
      <c r="N370" s="21">
        <f>ROUND(N369 + IF(AND(E370&lt;=10, F370&lt;&gt;"ASTM A416"), L370, 0), 3)</f>
        <v/>
      </c>
      <c r="O370" s="21">
        <f>ROUND(O369 + IF(AND(E370&gt;10, E370&lt;=18, F370&lt;&gt;"ASTM A416"), L370, 0), 3)</f>
        <v/>
      </c>
      <c r="P370" s="21">
        <f>ROUND(P369 + IF(AND(E370&gt;18, F370&lt;&gt;"ASTM A416"), L370, 0), 3)</f>
        <v/>
      </c>
      <c r="Q370" s="21">
        <f>ROUND(Q369 + IF(F370="ASTM A416", L370, 0), 3)</f>
        <v/>
      </c>
      <c r="R370" s="11">
        <f>IF(INT(N370/20)&gt;INT(N369/20), "Lần " &amp; INT(N370/20), "")</f>
        <v/>
      </c>
      <c r="S370" s="12">
        <f>IF(INT(O370/20)&gt;INT(O369/20), "Lần " &amp; INT(O370/20), "")</f>
        <v/>
      </c>
      <c r="T370" s="11">
        <f>IF(INT(P370/20)&gt;INT(P369/20), "Lần " &amp; INT(P370/20), "")</f>
        <v/>
      </c>
      <c r="U370" s="25">
        <f>IF(INT(Q370/20)&gt;INT(Q369/20), "Lần " &amp; INT(Q370/20), "")</f>
        <v/>
      </c>
      <c r="V370" s="6" t="inlineStr"/>
      <c r="W370" s="6" t="inlineStr">
        <is>
          <t>ĐẠT TCVN 1651:2018</t>
        </is>
      </c>
    </row>
    <row r="371" ht="19" customHeight="1">
      <c r="A371" s="6" t="n">
        <v>343</v>
      </c>
      <c r="B371" s="7" t="inlineStr">
        <is>
          <t>Cọc khoan nhồi C2 Mố M2 (D1.2m, L=36.0m)</t>
        </is>
      </c>
      <c r="C371" s="7" t="inlineStr">
        <is>
          <t>Cốt thép chủ chịu lực cọc</t>
        </is>
      </c>
      <c r="D371" s="19" t="inlineStr">
        <is>
          <t>P7</t>
        </is>
      </c>
      <c r="E371" s="20" t="n">
        <v>25</v>
      </c>
      <c r="F371" s="6" t="inlineStr">
        <is>
          <t>CB400-V</t>
        </is>
      </c>
      <c r="G371" s="7" t="inlineStr">
        <is>
          <t>Thanh thẳng nối ren/hàn</t>
        </is>
      </c>
      <c r="H371" s="21" t="n">
        <v>6.153</v>
      </c>
      <c r="I371" s="22" t="n">
        <v>12</v>
      </c>
      <c r="J371" s="23" t="n">
        <v>3.85</v>
      </c>
      <c r="K371" s="9">
        <f>ROUND(H371*I371*J371, 2)</f>
        <v/>
      </c>
      <c r="L371" s="24">
        <f>ROUND(K371/1000, 3)</f>
        <v/>
      </c>
      <c r="M371" s="8" t="n"/>
      <c r="N371" s="21">
        <f>ROUND(N370 + IF(AND(E371&lt;=10, F371&lt;&gt;"ASTM A416"), L371, 0), 3)</f>
        <v/>
      </c>
      <c r="O371" s="21">
        <f>ROUND(O370 + IF(AND(E371&gt;10, E371&lt;=18, F371&lt;&gt;"ASTM A416"), L371, 0), 3)</f>
        <v/>
      </c>
      <c r="P371" s="21">
        <f>ROUND(P370 + IF(AND(E371&gt;18, F371&lt;&gt;"ASTM A416"), L371, 0), 3)</f>
        <v/>
      </c>
      <c r="Q371" s="21">
        <f>ROUND(Q370 + IF(F371="ASTM A416", L371, 0), 3)</f>
        <v/>
      </c>
      <c r="R371" s="11">
        <f>IF(INT(N371/20)&gt;INT(N370/20), "Lần " &amp; INT(N371/20), "")</f>
        <v/>
      </c>
      <c r="S371" s="12">
        <f>IF(INT(O371/20)&gt;INT(O370/20), "Lần " &amp; INT(O371/20), "")</f>
        <v/>
      </c>
      <c r="T371" s="11">
        <f>IF(INT(P371/20)&gt;INT(P370/20), "Lần " &amp; INT(P371/20), "")</f>
        <v/>
      </c>
      <c r="U371" s="25">
        <f>IF(INT(Q371/20)&gt;INT(Q370/20), "Lần " &amp; INT(Q371/20), "")</f>
        <v/>
      </c>
      <c r="V371" s="6" t="inlineStr"/>
      <c r="W371" s="6" t="inlineStr">
        <is>
          <t>ĐẠT TCVN 1651:2018</t>
        </is>
      </c>
    </row>
    <row r="372" ht="19" customHeight="1">
      <c r="A372" s="6" t="n">
        <v>344</v>
      </c>
      <c r="B372" s="7" t="inlineStr">
        <is>
          <t>Cọc khoan nhồi C2 Mố M2 (D1.2m, L=36.0m)</t>
        </is>
      </c>
      <c r="C372" s="7" t="inlineStr">
        <is>
          <t>Đai tăng cường / Con kê bảo vệ</t>
        </is>
      </c>
      <c r="D372" s="19" t="inlineStr">
        <is>
          <t>P8</t>
        </is>
      </c>
      <c r="E372" s="20" t="n">
        <v>12</v>
      </c>
      <c r="F372" s="6" t="inlineStr">
        <is>
          <t>CB400-V</t>
        </is>
      </c>
      <c r="G372" s="7" t="inlineStr">
        <is>
          <t>Móc neo / Vòng đai</t>
        </is>
      </c>
      <c r="H372" s="21" t="n">
        <v>0.647</v>
      </c>
      <c r="I372" s="22" t="n">
        <v>15</v>
      </c>
      <c r="J372" s="23" t="n">
        <v>0.888</v>
      </c>
      <c r="K372" s="9">
        <f>ROUND(H372*I372*J372, 2)</f>
        <v/>
      </c>
      <c r="L372" s="24">
        <f>ROUND(K372/1000, 3)</f>
        <v/>
      </c>
      <c r="M372" s="8" t="n"/>
      <c r="N372" s="21">
        <f>ROUND(N371 + IF(AND(E372&lt;=10, F372&lt;&gt;"ASTM A416"), L372, 0), 3)</f>
        <v/>
      </c>
      <c r="O372" s="21">
        <f>ROUND(O371 + IF(AND(E372&gt;10, E372&lt;=18, F372&lt;&gt;"ASTM A416"), L372, 0), 3)</f>
        <v/>
      </c>
      <c r="P372" s="21">
        <f>ROUND(P371 + IF(AND(E372&gt;18, F372&lt;&gt;"ASTM A416"), L372, 0), 3)</f>
        <v/>
      </c>
      <c r="Q372" s="21">
        <f>ROUND(Q371 + IF(F372="ASTM A416", L372, 0), 3)</f>
        <v/>
      </c>
      <c r="R372" s="11">
        <f>IF(INT(N372/20)&gt;INT(N371/20), "Lần " &amp; INT(N372/20), "")</f>
        <v/>
      </c>
      <c r="S372" s="12">
        <f>IF(INT(O372/20)&gt;INT(O371/20), "Lần " &amp; INT(O372/20), "")</f>
        <v/>
      </c>
      <c r="T372" s="11">
        <f>IF(INT(P372/20)&gt;INT(P371/20), "Lần " &amp; INT(P372/20), "")</f>
        <v/>
      </c>
      <c r="U372" s="25">
        <f>IF(INT(Q372/20)&gt;INT(Q371/20), "Lần " &amp; INT(Q372/20), "")</f>
        <v/>
      </c>
      <c r="V372" s="6" t="inlineStr"/>
      <c r="W372" s="6" t="inlineStr">
        <is>
          <t>ĐẠT TCVN 1651:2018</t>
        </is>
      </c>
    </row>
    <row r="373" ht="19" customHeight="1">
      <c r="A373" s="6" t="n">
        <v>345</v>
      </c>
      <c r="B373" s="7" t="inlineStr">
        <is>
          <t>Cọc khoan nhồi C2 Mố M2 (D1.2m, L=36.0m)</t>
        </is>
      </c>
      <c r="C373" s="7" t="inlineStr">
        <is>
          <t>Đai tăng cường / Con kê bảo vệ</t>
        </is>
      </c>
      <c r="D373" s="19" t="inlineStr">
        <is>
          <t>P9</t>
        </is>
      </c>
      <c r="E373" s="20" t="n">
        <v>12</v>
      </c>
      <c r="F373" s="6" t="inlineStr">
        <is>
          <t>CB400-V</t>
        </is>
      </c>
      <c r="G373" s="7" t="inlineStr">
        <is>
          <t>Móc neo / Vòng đai</t>
        </is>
      </c>
      <c r="H373" s="21" t="n">
        <v>0.379</v>
      </c>
      <c r="I373" s="22" t="n">
        <v>45</v>
      </c>
      <c r="J373" s="23" t="n">
        <v>0.888</v>
      </c>
      <c r="K373" s="9">
        <f>ROUND(H373*I373*J373, 2)</f>
        <v/>
      </c>
      <c r="L373" s="24">
        <f>ROUND(K373/1000, 3)</f>
        <v/>
      </c>
      <c r="M373" s="8" t="n"/>
      <c r="N373" s="21">
        <f>ROUND(N372 + IF(AND(E373&lt;=10, F373&lt;&gt;"ASTM A416"), L373, 0), 3)</f>
        <v/>
      </c>
      <c r="O373" s="21">
        <f>ROUND(O372 + IF(AND(E373&gt;10, E373&lt;=18, F373&lt;&gt;"ASTM A416"), L373, 0), 3)</f>
        <v/>
      </c>
      <c r="P373" s="21">
        <f>ROUND(P372 + IF(AND(E373&gt;18, F373&lt;&gt;"ASTM A416"), L373, 0), 3)</f>
        <v/>
      </c>
      <c r="Q373" s="21">
        <f>ROUND(Q372 + IF(F373="ASTM A416", L373, 0), 3)</f>
        <v/>
      </c>
      <c r="R373" s="11">
        <f>IF(INT(N373/20)&gt;INT(N372/20), "Lần " &amp; INT(N373/20), "")</f>
        <v/>
      </c>
      <c r="S373" s="12">
        <f>IF(INT(O373/20)&gt;INT(O372/20), "Lần " &amp; INT(O373/20), "")</f>
        <v/>
      </c>
      <c r="T373" s="11">
        <f>IF(INT(P373/20)&gt;INT(P372/20), "Lần " &amp; INT(P373/20), "")</f>
        <v/>
      </c>
      <c r="U373" s="25">
        <f>IF(INT(Q373/20)&gt;INT(Q372/20), "Lần " &amp; INT(Q373/20), "")</f>
        <v/>
      </c>
      <c r="V373" s="6" t="inlineStr"/>
      <c r="W373" s="6" t="inlineStr">
        <is>
          <t>ĐẠT TCVN 1651:2018</t>
        </is>
      </c>
    </row>
    <row r="374" ht="19" customHeight="1">
      <c r="A374" s="6" t="n">
        <v>346</v>
      </c>
      <c r="B374" s="7" t="inlineStr">
        <is>
          <t>Cọc khoan nhồi C2 Mố M2 (D1.2m, L=36.0m)</t>
        </is>
      </c>
      <c r="C374" s="7" t="inlineStr">
        <is>
          <t>Thép đai xoắn lồng cọc</t>
        </is>
      </c>
      <c r="D374" s="19" t="inlineStr">
        <is>
          <t>P10</t>
        </is>
      </c>
      <c r="E374" s="20" t="n">
        <v>20</v>
      </c>
      <c r="F374" s="6" t="inlineStr">
        <is>
          <t>CB400-V</t>
        </is>
      </c>
      <c r="G374" s="7" t="inlineStr">
        <is>
          <t>Đai xoắn tròn</t>
        </is>
      </c>
      <c r="H374" s="21" t="n">
        <v>2.057</v>
      </c>
      <c r="I374" s="22" t="n">
        <v>1</v>
      </c>
      <c r="J374" s="23" t="n">
        <v>2.47</v>
      </c>
      <c r="K374" s="9">
        <f>ROUND(H374*I374*J374, 2)</f>
        <v/>
      </c>
      <c r="L374" s="24">
        <f>ROUND(K374/1000, 3)</f>
        <v/>
      </c>
      <c r="M374" s="8" t="n"/>
      <c r="N374" s="21">
        <f>ROUND(N373 + IF(AND(E374&lt;=10, F374&lt;&gt;"ASTM A416"), L374, 0), 3)</f>
        <v/>
      </c>
      <c r="O374" s="21">
        <f>ROUND(O373 + IF(AND(E374&gt;10, E374&lt;=18, F374&lt;&gt;"ASTM A416"), L374, 0), 3)</f>
        <v/>
      </c>
      <c r="P374" s="21">
        <f>ROUND(P373 + IF(AND(E374&gt;18, F374&lt;&gt;"ASTM A416"), L374, 0), 3)</f>
        <v/>
      </c>
      <c r="Q374" s="21">
        <f>ROUND(Q373 + IF(F374="ASTM A416", L374, 0), 3)</f>
        <v/>
      </c>
      <c r="R374" s="11">
        <f>IF(INT(N374/20)&gt;INT(N373/20), "Lần " &amp; INT(N374/20), "")</f>
        <v/>
      </c>
      <c r="S374" s="12">
        <f>IF(INT(O374/20)&gt;INT(O373/20), "Lần " &amp; INT(O374/20), "")</f>
        <v/>
      </c>
      <c r="T374" s="11">
        <f>IF(INT(P374/20)&gt;INT(P373/20), "Lần " &amp; INT(P374/20), "")</f>
        <v/>
      </c>
      <c r="U374" s="25">
        <f>IF(INT(Q374/20)&gt;INT(Q373/20), "Lần " &amp; INT(Q374/20), "")</f>
        <v/>
      </c>
      <c r="V374" s="6" t="inlineStr"/>
      <c r="W374" s="6" t="inlineStr">
        <is>
          <t>ĐẠT TCVN 1651:2018</t>
        </is>
      </c>
    </row>
    <row r="375" ht="19" customHeight="1">
      <c r="A375" s="6" t="n">
        <v>347</v>
      </c>
      <c r="B375" s="7" t="inlineStr">
        <is>
          <t>Cọc khoan nhồi C2 Mố M2 (D1.2m, L=36.0m)</t>
        </is>
      </c>
      <c r="C375" s="7" t="inlineStr">
        <is>
          <t>Thép đai xoắn lồng cọc</t>
        </is>
      </c>
      <c r="D375" s="19" t="inlineStr">
        <is>
          <t>P12</t>
        </is>
      </c>
      <c r="E375" s="20" t="n">
        <v>20</v>
      </c>
      <c r="F375" s="6" t="inlineStr">
        <is>
          <t>CB400-V</t>
        </is>
      </c>
      <c r="G375" s="7" t="inlineStr">
        <is>
          <t>Đai xoắn tròn</t>
        </is>
      </c>
      <c r="H375" s="21" t="n">
        <v>0.583</v>
      </c>
      <c r="I375" s="22" t="n">
        <v>60</v>
      </c>
      <c r="J375" s="23" t="n">
        <v>2.47</v>
      </c>
      <c r="K375" s="9">
        <f>ROUND(H375*I375*J375, 2)</f>
        <v/>
      </c>
      <c r="L375" s="24">
        <f>ROUND(K375/1000, 3)</f>
        <v/>
      </c>
      <c r="M375" s="8" t="n"/>
      <c r="N375" s="21">
        <f>ROUND(N374 + IF(AND(E375&lt;=10, F375&lt;&gt;"ASTM A416"), L375, 0), 3)</f>
        <v/>
      </c>
      <c r="O375" s="21">
        <f>ROUND(O374 + IF(AND(E375&gt;10, E375&lt;=18, F375&lt;&gt;"ASTM A416"), L375, 0), 3)</f>
        <v/>
      </c>
      <c r="P375" s="21">
        <f>ROUND(P374 + IF(AND(E375&gt;18, F375&lt;&gt;"ASTM A416"), L375, 0), 3)</f>
        <v/>
      </c>
      <c r="Q375" s="21">
        <f>ROUND(Q374 + IF(F375="ASTM A416", L375, 0), 3)</f>
        <v/>
      </c>
      <c r="R375" s="11">
        <f>IF(INT(N375/20)&gt;INT(N374/20), "Lần " &amp; INT(N375/20), "")</f>
        <v/>
      </c>
      <c r="S375" s="12">
        <f>IF(INT(O375/20)&gt;INT(O374/20), "Lần " &amp; INT(O375/20), "")</f>
        <v/>
      </c>
      <c r="T375" s="11">
        <f>IF(INT(P375/20)&gt;INT(P374/20), "Lần " &amp; INT(P375/20), "")</f>
        <v/>
      </c>
      <c r="U375" s="25">
        <f>IF(INT(Q375/20)&gt;INT(Q374/20), "Lần " &amp; INT(Q375/20), "")</f>
        <v/>
      </c>
      <c r="V375" s="6" t="inlineStr"/>
      <c r="W375" s="6" t="inlineStr">
        <is>
          <t>ĐẠT TCVN 1651:2018</t>
        </is>
      </c>
    </row>
    <row r="376" ht="20" customHeight="1">
      <c r="A376" s="18" t="inlineStr">
        <is>
          <t>--- CỌC KHOAN NHỒI C3 MỐ M2 (D1.2M, L=36.0M) ---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</row>
    <row r="377" ht="19" customHeight="1">
      <c r="A377" s="6" t="n">
        <v>348</v>
      </c>
      <c r="B377" s="7" t="inlineStr">
        <is>
          <t>Cọc khoan nhồi C3 Mố M2 (D1.2m, L=36.0m)</t>
        </is>
      </c>
      <c r="C377" s="7" t="inlineStr">
        <is>
          <t>Thép đai xoắn lồng cọc</t>
        </is>
      </c>
      <c r="D377" s="19" t="inlineStr">
        <is>
          <t>P1</t>
        </is>
      </c>
      <c r="E377" s="20" t="n">
        <v>10</v>
      </c>
      <c r="F377" s="6" t="inlineStr">
        <is>
          <t>CB240-T</t>
        </is>
      </c>
      <c r="G377" s="7" t="inlineStr">
        <is>
          <t>Đai xoắn tròn</t>
        </is>
      </c>
      <c r="H377" s="21" t="n">
        <v>96.887</v>
      </c>
      <c r="I377" s="22" t="n">
        <v>1</v>
      </c>
      <c r="J377" s="23" t="n">
        <v>0.617</v>
      </c>
      <c r="K377" s="9">
        <f>ROUND(H377*I377*J377, 2)</f>
        <v/>
      </c>
      <c r="L377" s="24">
        <f>ROUND(K377/1000, 3)</f>
        <v/>
      </c>
      <c r="M377" s="8" t="n"/>
      <c r="N377" s="21">
        <f>ROUND(N375 + IF(AND(E377&lt;=10, F377&lt;&gt;"ASTM A416"), L377, 0), 3)</f>
        <v/>
      </c>
      <c r="O377" s="21">
        <f>ROUND(O375 + IF(AND(E377&gt;10, E377&lt;=18, F377&lt;&gt;"ASTM A416"), L377, 0), 3)</f>
        <v/>
      </c>
      <c r="P377" s="21">
        <f>ROUND(P375 + IF(AND(E377&gt;18, F377&lt;&gt;"ASTM A416"), L377, 0), 3)</f>
        <v/>
      </c>
      <c r="Q377" s="21">
        <f>ROUND(Q375 + IF(F377="ASTM A416", L377, 0), 3)</f>
        <v/>
      </c>
      <c r="R377" s="11">
        <f>IF(INT(N377/20)&gt;INT(N375/20), "Lần " &amp; INT(N377/20), "")</f>
        <v/>
      </c>
      <c r="S377" s="12">
        <f>IF(INT(O377/20)&gt;INT(O375/20), "Lần " &amp; INT(O377/20), "")</f>
        <v/>
      </c>
      <c r="T377" s="11">
        <f>IF(INT(P377/20)&gt;INT(P375/20), "Lần " &amp; INT(P377/20), "")</f>
        <v/>
      </c>
      <c r="U377" s="25">
        <f>IF(INT(Q377/20)&gt;INT(Q375/20), "Lần " &amp; INT(Q377/20), "")</f>
        <v/>
      </c>
      <c r="V377" s="6" t="inlineStr"/>
      <c r="W377" s="6" t="inlineStr">
        <is>
          <t>ĐẠT TCVN 1651:2018</t>
        </is>
      </c>
    </row>
    <row r="378" ht="19" customHeight="1">
      <c r="A378" s="6" t="n">
        <v>349</v>
      </c>
      <c r="B378" s="7" t="inlineStr">
        <is>
          <t>Cọc khoan nhồi C3 Mố M2 (D1.2m, L=36.0m)</t>
        </is>
      </c>
      <c r="C378" s="7" t="inlineStr">
        <is>
          <t>Thép đai xoắn lồng cọc</t>
        </is>
      </c>
      <c r="D378" s="19" t="inlineStr">
        <is>
          <t>P1A</t>
        </is>
      </c>
      <c r="E378" s="20" t="n">
        <v>10</v>
      </c>
      <c r="F378" s="6" t="inlineStr">
        <is>
          <t>CB240-T</t>
        </is>
      </c>
      <c r="G378" s="7" t="inlineStr">
        <is>
          <t>Đai xoắn tròn</t>
        </is>
      </c>
      <c r="H378" s="21" t="n">
        <v>390.776</v>
      </c>
      <c r="I378" s="22" t="n">
        <v>1</v>
      </c>
      <c r="J378" s="23" t="n">
        <v>0.617</v>
      </c>
      <c r="K378" s="9">
        <f>ROUND(H378*I378*J378, 2)</f>
        <v/>
      </c>
      <c r="L378" s="24">
        <f>ROUND(K378/1000, 3)</f>
        <v/>
      </c>
      <c r="M378" s="8" t="n"/>
      <c r="N378" s="21">
        <f>ROUND(N377 + IF(AND(E378&lt;=10, F378&lt;&gt;"ASTM A416"), L378, 0), 3)</f>
        <v/>
      </c>
      <c r="O378" s="21">
        <f>ROUND(O377 + IF(AND(E378&gt;10, E378&lt;=18, F378&lt;&gt;"ASTM A416"), L378, 0), 3)</f>
        <v/>
      </c>
      <c r="P378" s="21">
        <f>ROUND(P377 + IF(AND(E378&gt;18, F378&lt;&gt;"ASTM A416"), L378, 0), 3)</f>
        <v/>
      </c>
      <c r="Q378" s="21">
        <f>ROUND(Q377 + IF(F378="ASTM A416", L378, 0), 3)</f>
        <v/>
      </c>
      <c r="R378" s="11">
        <f>IF(INT(N378/20)&gt;INT(N377/20), "Lần " &amp; INT(N378/20), "")</f>
        <v/>
      </c>
      <c r="S378" s="12">
        <f>IF(INT(O378/20)&gt;INT(O377/20), "Lần " &amp; INT(O378/20), "")</f>
        <v/>
      </c>
      <c r="T378" s="11">
        <f>IF(INT(P378/20)&gt;INT(P377/20), "Lần " &amp; INT(P378/20), "")</f>
        <v/>
      </c>
      <c r="U378" s="25">
        <f>IF(INT(Q378/20)&gt;INT(Q377/20), "Lần " &amp; INT(Q378/20), "")</f>
        <v/>
      </c>
      <c r="V378" s="6" t="inlineStr"/>
      <c r="W378" s="6" t="inlineStr">
        <is>
          <t>ĐẠT TCVN 1651:2018</t>
        </is>
      </c>
    </row>
    <row r="379" ht="19" customHeight="1">
      <c r="A379" s="6" t="n">
        <v>350</v>
      </c>
      <c r="B379" s="7" t="inlineStr">
        <is>
          <t>Cọc khoan nhồi C3 Mố M2 (D1.2m, L=36.0m)</t>
        </is>
      </c>
      <c r="C379" s="7" t="inlineStr">
        <is>
          <t>Thép đai xoắn lồng cọc</t>
        </is>
      </c>
      <c r="D379" s="19" t="inlineStr">
        <is>
          <t>P1B</t>
        </is>
      </c>
      <c r="E379" s="20" t="n">
        <v>10</v>
      </c>
      <c r="F379" s="6" t="inlineStr">
        <is>
          <t>CB240-T</t>
        </is>
      </c>
      <c r="G379" s="7" t="inlineStr">
        <is>
          <t>Đai xoắn tròn</t>
        </is>
      </c>
      <c r="H379" s="21" t="n">
        <v>164.938</v>
      </c>
      <c r="I379" s="22" t="n">
        <v>1</v>
      </c>
      <c r="J379" s="23" t="n">
        <v>0.617</v>
      </c>
      <c r="K379" s="9">
        <f>ROUND(H379*I379*J379, 2)</f>
        <v/>
      </c>
      <c r="L379" s="24">
        <f>ROUND(K379/1000, 3)</f>
        <v/>
      </c>
      <c r="M379" s="8" t="n"/>
      <c r="N379" s="21">
        <f>ROUND(N378 + IF(AND(E379&lt;=10, F379&lt;&gt;"ASTM A416"), L379, 0), 3)</f>
        <v/>
      </c>
      <c r="O379" s="21">
        <f>ROUND(O378 + IF(AND(E379&gt;10, E379&lt;=18, F379&lt;&gt;"ASTM A416"), L379, 0), 3)</f>
        <v/>
      </c>
      <c r="P379" s="21">
        <f>ROUND(P378 + IF(AND(E379&gt;18, F379&lt;&gt;"ASTM A416"), L379, 0), 3)</f>
        <v/>
      </c>
      <c r="Q379" s="21">
        <f>ROUND(Q378 + IF(F379="ASTM A416", L379, 0), 3)</f>
        <v/>
      </c>
      <c r="R379" s="11">
        <f>IF(INT(N379/20)&gt;INT(N378/20), "Lần " &amp; INT(N379/20), "")</f>
        <v/>
      </c>
      <c r="S379" s="12">
        <f>IF(INT(O379/20)&gt;INT(O378/20), "Lần " &amp; INT(O379/20), "")</f>
        <v/>
      </c>
      <c r="T379" s="11">
        <f>IF(INT(P379/20)&gt;INT(P378/20), "Lần " &amp; INT(P379/20), "")</f>
        <v/>
      </c>
      <c r="U379" s="25">
        <f>IF(INT(Q379/20)&gt;INT(Q378/20), "Lần " &amp; INT(Q379/20), "")</f>
        <v/>
      </c>
      <c r="V379" s="6" t="inlineStr"/>
      <c r="W379" s="6" t="inlineStr">
        <is>
          <t>ĐẠT TCVN 1651:2018</t>
        </is>
      </c>
    </row>
    <row r="380" ht="19" customHeight="1">
      <c r="A380" s="6" t="n">
        <v>351</v>
      </c>
      <c r="B380" s="7" t="inlineStr">
        <is>
          <t>Cọc khoan nhồi C3 Mố M2 (D1.2m, L=36.0m)</t>
        </is>
      </c>
      <c r="C380" s="7" t="inlineStr">
        <is>
          <t>Thép đai xoắn lồng cọc</t>
        </is>
      </c>
      <c r="D380" s="19" t="inlineStr">
        <is>
          <t>P1C</t>
        </is>
      </c>
      <c r="E380" s="20" t="n">
        <v>10</v>
      </c>
      <c r="F380" s="6" t="inlineStr">
        <is>
          <t>CB240-T</t>
        </is>
      </c>
      <c r="G380" s="7" t="inlineStr">
        <is>
          <t>Đai xoắn tròn</t>
        </is>
      </c>
      <c r="H380" s="21" t="n">
        <v>3.592</v>
      </c>
      <c r="I380" s="22" t="n">
        <v>2</v>
      </c>
      <c r="J380" s="23" t="n">
        <v>0.617</v>
      </c>
      <c r="K380" s="9">
        <f>ROUND(H380*I380*J380, 2)</f>
        <v/>
      </c>
      <c r="L380" s="24">
        <f>ROUND(K380/1000, 3)</f>
        <v/>
      </c>
      <c r="M380" s="8" t="n"/>
      <c r="N380" s="21">
        <f>ROUND(N379 + IF(AND(E380&lt;=10, F380&lt;&gt;"ASTM A416"), L380, 0), 3)</f>
        <v/>
      </c>
      <c r="O380" s="21">
        <f>ROUND(O379 + IF(AND(E380&gt;10, E380&lt;=18, F380&lt;&gt;"ASTM A416"), L380, 0), 3)</f>
        <v/>
      </c>
      <c r="P380" s="21">
        <f>ROUND(P379 + IF(AND(E380&gt;18, F380&lt;&gt;"ASTM A416"), L380, 0), 3)</f>
        <v/>
      </c>
      <c r="Q380" s="21">
        <f>ROUND(Q379 + IF(F380="ASTM A416", L380, 0), 3)</f>
        <v/>
      </c>
      <c r="R380" s="11">
        <f>IF(INT(N380/20)&gt;INT(N379/20), "Lần " &amp; INT(N380/20), "")</f>
        <v/>
      </c>
      <c r="S380" s="12">
        <f>IF(INT(O380/20)&gt;INT(O379/20), "Lần " &amp; INT(O380/20), "")</f>
        <v/>
      </c>
      <c r="T380" s="11">
        <f>IF(INT(P380/20)&gt;INT(P379/20), "Lần " &amp; INT(P380/20), "")</f>
        <v/>
      </c>
      <c r="U380" s="25">
        <f>IF(INT(Q380/20)&gt;INT(Q379/20), "Lần " &amp; INT(Q380/20), "")</f>
        <v/>
      </c>
      <c r="V380" s="6" t="inlineStr"/>
      <c r="W380" s="6" t="inlineStr">
        <is>
          <t>ĐẠT TCVN 1651:2018</t>
        </is>
      </c>
    </row>
    <row r="381" ht="19" customHeight="1">
      <c r="A381" s="6" t="n">
        <v>352</v>
      </c>
      <c r="B381" s="7" t="inlineStr">
        <is>
          <t>Cọc khoan nhồi C3 Mố M2 (D1.2m, L=36.0m)</t>
        </is>
      </c>
      <c r="C381" s="7" t="inlineStr">
        <is>
          <t>Thép đai xoắn lồng cọc</t>
        </is>
      </c>
      <c r="D381" s="19" t="inlineStr">
        <is>
          <t>P1D</t>
        </is>
      </c>
      <c r="E381" s="20" t="n">
        <v>10</v>
      </c>
      <c r="F381" s="6" t="inlineStr">
        <is>
          <t>CB240-T</t>
        </is>
      </c>
      <c r="G381" s="7" t="inlineStr">
        <is>
          <t>Đai xoắn tròn</t>
        </is>
      </c>
      <c r="H381" s="21" t="n">
        <v>23.007</v>
      </c>
      <c r="I381" s="22" t="n">
        <v>1</v>
      </c>
      <c r="J381" s="23" t="n">
        <v>0.617</v>
      </c>
      <c r="K381" s="9">
        <f>ROUND(H381*I381*J381, 2)</f>
        <v/>
      </c>
      <c r="L381" s="24">
        <f>ROUND(K381/1000, 3)</f>
        <v/>
      </c>
      <c r="M381" s="8" t="n"/>
      <c r="N381" s="21">
        <f>ROUND(N380 + IF(AND(E381&lt;=10, F381&lt;&gt;"ASTM A416"), L381, 0), 3)</f>
        <v/>
      </c>
      <c r="O381" s="21">
        <f>ROUND(O380 + IF(AND(E381&gt;10, E381&lt;=18, F381&lt;&gt;"ASTM A416"), L381, 0), 3)</f>
        <v/>
      </c>
      <c r="P381" s="21">
        <f>ROUND(P380 + IF(AND(E381&gt;18, F381&lt;&gt;"ASTM A416"), L381, 0), 3)</f>
        <v/>
      </c>
      <c r="Q381" s="21">
        <f>ROUND(Q380 + IF(F381="ASTM A416", L381, 0), 3)</f>
        <v/>
      </c>
      <c r="R381" s="11">
        <f>IF(INT(N381/20)&gt;INT(N380/20), "Lần " &amp; INT(N381/20), "")</f>
        <v/>
      </c>
      <c r="S381" s="12">
        <f>IF(INT(O381/20)&gt;INT(O380/20), "Lần " &amp; INT(O381/20), "")</f>
        <v/>
      </c>
      <c r="T381" s="11">
        <f>IF(INT(P381/20)&gt;INT(P380/20), "Lần " &amp; INT(P381/20), "")</f>
        <v/>
      </c>
      <c r="U381" s="25">
        <f>IF(INT(Q381/20)&gt;INT(Q380/20), "Lần " &amp; INT(Q381/20), "")</f>
        <v/>
      </c>
      <c r="V381" s="6" t="inlineStr"/>
      <c r="W381" s="6" t="inlineStr">
        <is>
          <t>ĐẠT TCVN 1651:2018</t>
        </is>
      </c>
    </row>
    <row r="382" ht="19" customHeight="1">
      <c r="A382" s="6" t="n">
        <v>353</v>
      </c>
      <c r="B382" s="7" t="inlineStr">
        <is>
          <t>Cọc khoan nhồi C3 Mố M2 (D1.2m, L=36.0m)</t>
        </is>
      </c>
      <c r="C382" s="7" t="inlineStr">
        <is>
          <t>Cốt thép chủ chịu lực cọc</t>
        </is>
      </c>
      <c r="D382" s="19" t="inlineStr">
        <is>
          <t>P2A</t>
        </is>
      </c>
      <c r="E382" s="20" t="n">
        <v>28</v>
      </c>
      <c r="F382" s="6" t="inlineStr">
        <is>
          <t>CB400-V</t>
        </is>
      </c>
      <c r="G382" s="7" t="inlineStr">
        <is>
          <t>Thanh thẳng nối ren/hàn</t>
        </is>
      </c>
      <c r="H382" s="21" t="n">
        <v>2.966</v>
      </c>
      <c r="I382" s="22" t="n">
        <v>5</v>
      </c>
      <c r="J382" s="23" t="n">
        <v>4.83</v>
      </c>
      <c r="K382" s="9">
        <f>ROUND(H382*I382*J382, 2)</f>
        <v/>
      </c>
      <c r="L382" s="24">
        <f>ROUND(K382/1000, 3)</f>
        <v/>
      </c>
      <c r="M382" s="8" t="n"/>
      <c r="N382" s="21">
        <f>ROUND(N381 + IF(AND(E382&lt;=10, F382&lt;&gt;"ASTM A416"), L382, 0), 3)</f>
        <v/>
      </c>
      <c r="O382" s="21">
        <f>ROUND(O381 + IF(AND(E382&gt;10, E382&lt;=18, F382&lt;&gt;"ASTM A416"), L382, 0), 3)</f>
        <v/>
      </c>
      <c r="P382" s="21">
        <f>ROUND(P381 + IF(AND(E382&gt;18, F382&lt;&gt;"ASTM A416"), L382, 0), 3)</f>
        <v/>
      </c>
      <c r="Q382" s="21">
        <f>ROUND(Q381 + IF(F382="ASTM A416", L382, 0), 3)</f>
        <v/>
      </c>
      <c r="R382" s="11">
        <f>IF(INT(N382/20)&gt;INT(N381/20), "Lần " &amp; INT(N382/20), "")</f>
        <v/>
      </c>
      <c r="S382" s="12">
        <f>IF(INT(O382/20)&gt;INT(O381/20), "Lần " &amp; INT(O382/20), "")</f>
        <v/>
      </c>
      <c r="T382" s="11">
        <f>IF(INT(P382/20)&gt;INT(P381/20), "Lần " &amp; INT(P382/20), "")</f>
        <v/>
      </c>
      <c r="U382" s="25">
        <f>IF(INT(Q382/20)&gt;INT(Q381/20), "Lần " &amp; INT(Q382/20), "")</f>
        <v/>
      </c>
      <c r="V382" s="6" t="inlineStr"/>
      <c r="W382" s="6" t="inlineStr">
        <is>
          <t>ĐẠT TCVN 1651:2018</t>
        </is>
      </c>
    </row>
    <row r="383" ht="19" customHeight="1">
      <c r="A383" s="6" t="n">
        <v>354</v>
      </c>
      <c r="B383" s="7" t="inlineStr">
        <is>
          <t>Cọc khoan nhồi C3 Mố M2 (D1.2m, L=36.0m)</t>
        </is>
      </c>
      <c r="C383" s="7" t="inlineStr">
        <is>
          <t>Cốt thép chủ chịu lực cọc</t>
        </is>
      </c>
      <c r="D383" s="19" t="inlineStr">
        <is>
          <t>P2B</t>
        </is>
      </c>
      <c r="E383" s="20" t="n">
        <v>25</v>
      </c>
      <c r="F383" s="6" t="inlineStr">
        <is>
          <t>CB400-V</t>
        </is>
      </c>
      <c r="G383" s="7" t="inlineStr">
        <is>
          <t>Thanh thẳng nối ren/hàn</t>
        </is>
      </c>
      <c r="H383" s="21" t="n">
        <v>2.985</v>
      </c>
      <c r="I383" s="22" t="n">
        <v>10</v>
      </c>
      <c r="J383" s="23" t="n">
        <v>3.85</v>
      </c>
      <c r="K383" s="9">
        <f>ROUND(H383*I383*J383, 2)</f>
        <v/>
      </c>
      <c r="L383" s="24">
        <f>ROUND(K383/1000, 3)</f>
        <v/>
      </c>
      <c r="M383" s="8" t="n"/>
      <c r="N383" s="21">
        <f>ROUND(N382 + IF(AND(E383&lt;=10, F383&lt;&gt;"ASTM A416"), L383, 0), 3)</f>
        <v/>
      </c>
      <c r="O383" s="21">
        <f>ROUND(O382 + IF(AND(E383&gt;10, E383&lt;=18, F383&lt;&gt;"ASTM A416"), L383, 0), 3)</f>
        <v/>
      </c>
      <c r="P383" s="21">
        <f>ROUND(P382 + IF(AND(E383&gt;18, F383&lt;&gt;"ASTM A416"), L383, 0), 3)</f>
        <v/>
      </c>
      <c r="Q383" s="21">
        <f>ROUND(Q382 + IF(F383="ASTM A416", L383, 0), 3)</f>
        <v/>
      </c>
      <c r="R383" s="11">
        <f>IF(INT(N383/20)&gt;INT(N382/20), "Lần " &amp; INT(N383/20), "")</f>
        <v/>
      </c>
      <c r="S383" s="12">
        <f>IF(INT(O383/20)&gt;INT(O382/20), "Lần " &amp; INT(O383/20), "")</f>
        <v/>
      </c>
      <c r="T383" s="11">
        <f>IF(INT(P383/20)&gt;INT(P382/20), "Lần " &amp; INT(P383/20), "")</f>
        <v/>
      </c>
      <c r="U383" s="25">
        <f>IF(INT(Q383/20)&gt;INT(Q382/20), "Lần " &amp; INT(Q383/20), "")</f>
        <v/>
      </c>
      <c r="V383" s="6" t="inlineStr"/>
      <c r="W383" s="6" t="inlineStr">
        <is>
          <t>ĐẠT TCVN 1651:2018</t>
        </is>
      </c>
    </row>
    <row r="384" ht="19" customHeight="1">
      <c r="A384" s="6" t="n">
        <v>355</v>
      </c>
      <c r="B384" s="7" t="inlineStr">
        <is>
          <t>Cọc khoan nhồi C3 Mố M2 (D1.2m, L=36.0m)</t>
        </is>
      </c>
      <c r="C384" s="7" t="inlineStr">
        <is>
          <t>Cốt thép chủ chịu lực cọc</t>
        </is>
      </c>
      <c r="D384" s="19" t="inlineStr">
        <is>
          <t>P3</t>
        </is>
      </c>
      <c r="E384" s="20" t="n">
        <v>28</v>
      </c>
      <c r="F384" s="6" t="inlineStr">
        <is>
          <t>CB400-V</t>
        </is>
      </c>
      <c r="G384" s="7" t="inlineStr">
        <is>
          <t>Thanh thẳng nối ren/hàn</t>
        </is>
      </c>
      <c r="H384" s="21" t="n">
        <v>10.7</v>
      </c>
      <c r="I384" s="22" t="n">
        <v>12</v>
      </c>
      <c r="J384" s="23" t="n">
        <v>4.83</v>
      </c>
      <c r="K384" s="9">
        <f>ROUND(H384*I384*J384, 2)</f>
        <v/>
      </c>
      <c r="L384" s="24">
        <f>ROUND(K384/1000, 3)</f>
        <v/>
      </c>
      <c r="M384" s="8" t="n"/>
      <c r="N384" s="21">
        <f>ROUND(N383 + IF(AND(E384&lt;=10, F384&lt;&gt;"ASTM A416"), L384, 0), 3)</f>
        <v/>
      </c>
      <c r="O384" s="21">
        <f>ROUND(O383 + IF(AND(E384&gt;10, E384&lt;=18, F384&lt;&gt;"ASTM A416"), L384, 0), 3)</f>
        <v/>
      </c>
      <c r="P384" s="21">
        <f>ROUND(P383 + IF(AND(E384&gt;18, F384&lt;&gt;"ASTM A416"), L384, 0), 3)</f>
        <v/>
      </c>
      <c r="Q384" s="21">
        <f>ROUND(Q383 + IF(F384="ASTM A416", L384, 0), 3)</f>
        <v/>
      </c>
      <c r="R384" s="11">
        <f>IF(INT(N384/20)&gt;INT(N383/20), "Lần " &amp; INT(N384/20), "")</f>
        <v/>
      </c>
      <c r="S384" s="12">
        <f>IF(INT(O384/20)&gt;INT(O383/20), "Lần " &amp; INT(O384/20), "")</f>
        <v/>
      </c>
      <c r="T384" s="11">
        <f>IF(INT(P384/20)&gt;INT(P383/20), "Lần " &amp; INT(P384/20), "")</f>
        <v/>
      </c>
      <c r="U384" s="25">
        <f>IF(INT(Q384/20)&gt;INT(Q383/20), "Lần " &amp; INT(Q384/20), "")</f>
        <v/>
      </c>
      <c r="V384" s="6" t="inlineStr"/>
      <c r="W384" s="6" t="inlineStr">
        <is>
          <t>ĐẠT TCVN 1651:2018</t>
        </is>
      </c>
    </row>
    <row r="385" ht="19" customHeight="1">
      <c r="A385" s="6" t="n">
        <v>356</v>
      </c>
      <c r="B385" s="7" t="inlineStr">
        <is>
          <t>Cọc khoan nhồi C3 Mố M2 (D1.2m, L=36.0m)</t>
        </is>
      </c>
      <c r="C385" s="7" t="inlineStr">
        <is>
          <t>Cốt thép chủ chịu lực cọc</t>
        </is>
      </c>
      <c r="D385" s="19" t="inlineStr">
        <is>
          <t>P4</t>
        </is>
      </c>
      <c r="E385" s="20" t="n">
        <v>28</v>
      </c>
      <c r="F385" s="6" t="inlineStr">
        <is>
          <t>CB400-V</t>
        </is>
      </c>
      <c r="G385" s="7" t="inlineStr">
        <is>
          <t>Thanh thẳng nối ren/hàn</t>
        </is>
      </c>
      <c r="H385" s="21" t="n">
        <v>11.7</v>
      </c>
      <c r="I385" s="22" t="n">
        <v>12</v>
      </c>
      <c r="J385" s="23" t="n">
        <v>4.83</v>
      </c>
      <c r="K385" s="9">
        <f>ROUND(H385*I385*J385, 2)</f>
        <v/>
      </c>
      <c r="L385" s="24">
        <f>ROUND(K385/1000, 3)</f>
        <v/>
      </c>
      <c r="M385" s="8" t="n"/>
      <c r="N385" s="21">
        <f>ROUND(N384 + IF(AND(E385&lt;=10, F385&lt;&gt;"ASTM A416"), L385, 0), 3)</f>
        <v/>
      </c>
      <c r="O385" s="21">
        <f>ROUND(O384 + IF(AND(E385&gt;10, E385&lt;=18, F385&lt;&gt;"ASTM A416"), L385, 0), 3)</f>
        <v/>
      </c>
      <c r="P385" s="21">
        <f>ROUND(P384 + IF(AND(E385&gt;18, F385&lt;&gt;"ASTM A416"), L385, 0), 3)</f>
        <v/>
      </c>
      <c r="Q385" s="21">
        <f>ROUND(Q384 + IF(F385="ASTM A416", L385, 0), 3)</f>
        <v/>
      </c>
      <c r="R385" s="11">
        <f>IF(INT(N385/20)&gt;INT(N384/20), "Lần " &amp; INT(N385/20), "")</f>
        <v/>
      </c>
      <c r="S385" s="12">
        <f>IF(INT(O385/20)&gt;INT(O384/20), "Lần " &amp; INT(O385/20), "")</f>
        <v/>
      </c>
      <c r="T385" s="11">
        <f>IF(INT(P385/20)&gt;INT(P384/20), "Lần " &amp; INT(P385/20), "")</f>
        <v/>
      </c>
      <c r="U385" s="25">
        <f>IF(INT(Q385/20)&gt;INT(Q384/20), "Lần " &amp; INT(Q385/20), "")</f>
        <v/>
      </c>
      <c r="V385" s="6" t="inlineStr"/>
      <c r="W385" s="6" t="inlineStr">
        <is>
          <t>ĐẠT TCVN 1651:2018</t>
        </is>
      </c>
    </row>
    <row r="386" ht="19" customHeight="1">
      <c r="A386" s="6" t="n">
        <v>357</v>
      </c>
      <c r="B386" s="7" t="inlineStr">
        <is>
          <t>Cọc khoan nhồi C3 Mố M2 (D1.2m, L=36.0m)</t>
        </is>
      </c>
      <c r="C386" s="7" t="inlineStr">
        <is>
          <t>Cốt thép chủ chịu lực cọc</t>
        </is>
      </c>
      <c r="D386" s="19" t="inlineStr">
        <is>
          <t>P5</t>
        </is>
      </c>
      <c r="E386" s="20" t="n">
        <v>25</v>
      </c>
      <c r="F386" s="6" t="inlineStr">
        <is>
          <t>CB400-V</t>
        </is>
      </c>
      <c r="G386" s="7" t="inlineStr">
        <is>
          <t>Thanh thẳng nối ren/hàn</t>
        </is>
      </c>
      <c r="H386" s="21" t="n">
        <v>11.7</v>
      </c>
      <c r="I386" s="22" t="n">
        <v>48</v>
      </c>
      <c r="J386" s="23" t="n">
        <v>3.85</v>
      </c>
      <c r="K386" s="9">
        <f>ROUND(H386*I386*J386, 2)</f>
        <v/>
      </c>
      <c r="L386" s="24">
        <f>ROUND(K386/1000, 3)</f>
        <v/>
      </c>
      <c r="M386" s="8" t="n"/>
      <c r="N386" s="21">
        <f>ROUND(N385 + IF(AND(E386&lt;=10, F386&lt;&gt;"ASTM A416"), L386, 0), 3)</f>
        <v/>
      </c>
      <c r="O386" s="21">
        <f>ROUND(O385 + IF(AND(E386&gt;10, E386&lt;=18, F386&lt;&gt;"ASTM A416"), L386, 0), 3)</f>
        <v/>
      </c>
      <c r="P386" s="21">
        <f>ROUND(P385 + IF(AND(E386&gt;18, F386&lt;&gt;"ASTM A416"), L386, 0), 3)</f>
        <v/>
      </c>
      <c r="Q386" s="21">
        <f>ROUND(Q385 + IF(F386="ASTM A416", L386, 0), 3)</f>
        <v/>
      </c>
      <c r="R386" s="11">
        <f>IF(INT(N386/20)&gt;INT(N385/20), "Lần " &amp; INT(N386/20), "")</f>
        <v/>
      </c>
      <c r="S386" s="12">
        <f>IF(INT(O386/20)&gt;INT(O385/20), "Lần " &amp; INT(O386/20), "")</f>
        <v/>
      </c>
      <c r="T386" s="11">
        <f>IF(INT(P386/20)&gt;INT(P385/20), "Lần " &amp; INT(P386/20), "")</f>
        <v/>
      </c>
      <c r="U386" s="25">
        <f>IF(INT(Q386/20)&gt;INT(Q385/20), "Lần " &amp; INT(Q386/20), "")</f>
        <v/>
      </c>
      <c r="V386" s="6" t="inlineStr"/>
      <c r="W386" s="6" t="inlineStr">
        <is>
          <t>ĐẠT TCVN 1651:2018</t>
        </is>
      </c>
    </row>
    <row r="387" ht="19" customHeight="1">
      <c r="A387" s="6" t="n">
        <v>358</v>
      </c>
      <c r="B387" s="7" t="inlineStr">
        <is>
          <t>Cọc khoan nhồi C3 Mố M2 (D1.2m, L=36.0m)</t>
        </is>
      </c>
      <c r="C387" s="7" t="inlineStr">
        <is>
          <t>Cốt thép chủ chịu lực cọc</t>
        </is>
      </c>
      <c r="D387" s="19" t="inlineStr">
        <is>
          <t>P6</t>
        </is>
      </c>
      <c r="E387" s="20" t="n">
        <v>25</v>
      </c>
      <c r="F387" s="6" t="inlineStr">
        <is>
          <t>CB400-V</t>
        </is>
      </c>
      <c r="G387" s="7" t="inlineStr">
        <is>
          <t>Thanh thẳng nối ren/hàn</t>
        </is>
      </c>
      <c r="H387" s="21" t="n">
        <v>5.153</v>
      </c>
      <c r="I387" s="22" t="n">
        <v>12</v>
      </c>
      <c r="J387" s="23" t="n">
        <v>3.85</v>
      </c>
      <c r="K387" s="9">
        <f>ROUND(H387*I387*J387, 2)</f>
        <v/>
      </c>
      <c r="L387" s="24">
        <f>ROUND(K387/1000, 3)</f>
        <v/>
      </c>
      <c r="M387" s="8" t="n"/>
      <c r="N387" s="21">
        <f>ROUND(N386 + IF(AND(E387&lt;=10, F387&lt;&gt;"ASTM A416"), L387, 0), 3)</f>
        <v/>
      </c>
      <c r="O387" s="21">
        <f>ROUND(O386 + IF(AND(E387&gt;10, E387&lt;=18, F387&lt;&gt;"ASTM A416"), L387, 0), 3)</f>
        <v/>
      </c>
      <c r="P387" s="21">
        <f>ROUND(P386 + IF(AND(E387&gt;18, F387&lt;&gt;"ASTM A416"), L387, 0), 3)</f>
        <v/>
      </c>
      <c r="Q387" s="21">
        <f>ROUND(Q386 + IF(F387="ASTM A416", L387, 0), 3)</f>
        <v/>
      </c>
      <c r="R387" s="11">
        <f>IF(INT(N387/20)&gt;INT(N386/20), "Lần " &amp; INT(N387/20), "")</f>
        <v/>
      </c>
      <c r="S387" s="12">
        <f>IF(INT(O387/20)&gt;INT(O386/20), "Lần " &amp; INT(O387/20), "")</f>
        <v/>
      </c>
      <c r="T387" s="11">
        <f>IF(INT(P387/20)&gt;INT(P386/20), "Lần " &amp; INT(P387/20), "")</f>
        <v/>
      </c>
      <c r="U387" s="25">
        <f>IF(INT(Q387/20)&gt;INT(Q386/20), "Lần " &amp; INT(Q387/20), "")</f>
        <v/>
      </c>
      <c r="V387" s="6" t="inlineStr"/>
      <c r="W387" s="6" t="inlineStr">
        <is>
          <t>ĐẠT TCVN 1651:2018</t>
        </is>
      </c>
    </row>
    <row r="388" ht="19" customHeight="1">
      <c r="A388" s="6" t="n">
        <v>359</v>
      </c>
      <c r="B388" s="7" t="inlineStr">
        <is>
          <t>Cọc khoan nhồi C3 Mố M2 (D1.2m, L=36.0m)</t>
        </is>
      </c>
      <c r="C388" s="7" t="inlineStr">
        <is>
          <t>Cốt thép chủ chịu lực cọc</t>
        </is>
      </c>
      <c r="D388" s="19" t="inlineStr">
        <is>
          <t>P7</t>
        </is>
      </c>
      <c r="E388" s="20" t="n">
        <v>25</v>
      </c>
      <c r="F388" s="6" t="inlineStr">
        <is>
          <t>CB400-V</t>
        </is>
      </c>
      <c r="G388" s="7" t="inlineStr">
        <is>
          <t>Thanh thẳng nối ren/hàn</t>
        </is>
      </c>
      <c r="H388" s="21" t="n">
        <v>6.153</v>
      </c>
      <c r="I388" s="22" t="n">
        <v>12</v>
      </c>
      <c r="J388" s="23" t="n">
        <v>3.85</v>
      </c>
      <c r="K388" s="9">
        <f>ROUND(H388*I388*J388, 2)</f>
        <v/>
      </c>
      <c r="L388" s="24">
        <f>ROUND(K388/1000, 3)</f>
        <v/>
      </c>
      <c r="M388" s="8" t="n"/>
      <c r="N388" s="21">
        <f>ROUND(N387 + IF(AND(E388&lt;=10, F388&lt;&gt;"ASTM A416"), L388, 0), 3)</f>
        <v/>
      </c>
      <c r="O388" s="21">
        <f>ROUND(O387 + IF(AND(E388&gt;10, E388&lt;=18, F388&lt;&gt;"ASTM A416"), L388, 0), 3)</f>
        <v/>
      </c>
      <c r="P388" s="21">
        <f>ROUND(P387 + IF(AND(E388&gt;18, F388&lt;&gt;"ASTM A416"), L388, 0), 3)</f>
        <v/>
      </c>
      <c r="Q388" s="21">
        <f>ROUND(Q387 + IF(F388="ASTM A416", L388, 0), 3)</f>
        <v/>
      </c>
      <c r="R388" s="11">
        <f>IF(INT(N388/20)&gt;INT(N387/20), "Lần " &amp; INT(N388/20), "")</f>
        <v/>
      </c>
      <c r="S388" s="12">
        <f>IF(INT(O388/20)&gt;INT(O387/20), "Lần " &amp; INT(O388/20), "")</f>
        <v/>
      </c>
      <c r="T388" s="11">
        <f>IF(INT(P388/20)&gt;INT(P387/20), "Lần " &amp; INT(P388/20), "")</f>
        <v/>
      </c>
      <c r="U388" s="25">
        <f>IF(INT(Q388/20)&gt;INT(Q387/20), "Lần " &amp; INT(Q388/20), "")</f>
        <v/>
      </c>
      <c r="V388" s="6" t="inlineStr"/>
      <c r="W388" s="6" t="inlineStr">
        <is>
          <t>ĐẠT TCVN 1651:2018</t>
        </is>
      </c>
    </row>
    <row r="389" ht="19" customHeight="1">
      <c r="A389" s="6" t="n">
        <v>360</v>
      </c>
      <c r="B389" s="7" t="inlineStr">
        <is>
          <t>Cọc khoan nhồi C3 Mố M2 (D1.2m, L=36.0m)</t>
        </is>
      </c>
      <c r="C389" s="7" t="inlineStr">
        <is>
          <t>Đai tăng cường / Con kê bảo vệ</t>
        </is>
      </c>
      <c r="D389" s="19" t="inlineStr">
        <is>
          <t>P8</t>
        </is>
      </c>
      <c r="E389" s="20" t="n">
        <v>12</v>
      </c>
      <c r="F389" s="6" t="inlineStr">
        <is>
          <t>CB400-V</t>
        </is>
      </c>
      <c r="G389" s="7" t="inlineStr">
        <is>
          <t>Móc neo / Vòng đai</t>
        </is>
      </c>
      <c r="H389" s="21" t="n">
        <v>0.647</v>
      </c>
      <c r="I389" s="22" t="n">
        <v>15</v>
      </c>
      <c r="J389" s="23" t="n">
        <v>0.888</v>
      </c>
      <c r="K389" s="9">
        <f>ROUND(H389*I389*J389, 2)</f>
        <v/>
      </c>
      <c r="L389" s="24">
        <f>ROUND(K389/1000, 3)</f>
        <v/>
      </c>
      <c r="M389" s="8" t="n"/>
      <c r="N389" s="21">
        <f>ROUND(N388 + IF(AND(E389&lt;=10, F389&lt;&gt;"ASTM A416"), L389, 0), 3)</f>
        <v/>
      </c>
      <c r="O389" s="21">
        <f>ROUND(O388 + IF(AND(E389&gt;10, E389&lt;=18, F389&lt;&gt;"ASTM A416"), L389, 0), 3)</f>
        <v/>
      </c>
      <c r="P389" s="21">
        <f>ROUND(P388 + IF(AND(E389&gt;18, F389&lt;&gt;"ASTM A416"), L389, 0), 3)</f>
        <v/>
      </c>
      <c r="Q389" s="21">
        <f>ROUND(Q388 + IF(F389="ASTM A416", L389, 0), 3)</f>
        <v/>
      </c>
      <c r="R389" s="11">
        <f>IF(INT(N389/20)&gt;INT(N388/20), "Lần " &amp; INT(N389/20), "")</f>
        <v/>
      </c>
      <c r="S389" s="12">
        <f>IF(INT(O389/20)&gt;INT(O388/20), "Lần " &amp; INT(O389/20), "")</f>
        <v/>
      </c>
      <c r="T389" s="11">
        <f>IF(INT(P389/20)&gt;INT(P388/20), "Lần " &amp; INT(P389/20), "")</f>
        <v/>
      </c>
      <c r="U389" s="25">
        <f>IF(INT(Q389/20)&gt;INT(Q388/20), "Lần " &amp; INT(Q389/20), "")</f>
        <v/>
      </c>
      <c r="V389" s="6" t="inlineStr"/>
      <c r="W389" s="6" t="inlineStr">
        <is>
          <t>ĐẠT TCVN 1651:2018</t>
        </is>
      </c>
    </row>
    <row r="390" ht="19" customHeight="1">
      <c r="A390" s="6" t="n">
        <v>361</v>
      </c>
      <c r="B390" s="7" t="inlineStr">
        <is>
          <t>Cọc khoan nhồi C3 Mố M2 (D1.2m, L=36.0m)</t>
        </is>
      </c>
      <c r="C390" s="7" t="inlineStr">
        <is>
          <t>Đai tăng cường / Con kê bảo vệ</t>
        </is>
      </c>
      <c r="D390" s="19" t="inlineStr">
        <is>
          <t>P9</t>
        </is>
      </c>
      <c r="E390" s="20" t="n">
        <v>12</v>
      </c>
      <c r="F390" s="6" t="inlineStr">
        <is>
          <t>CB400-V</t>
        </is>
      </c>
      <c r="G390" s="7" t="inlineStr">
        <is>
          <t>Móc neo / Vòng đai</t>
        </is>
      </c>
      <c r="H390" s="21" t="n">
        <v>0.379</v>
      </c>
      <c r="I390" s="22" t="n">
        <v>45</v>
      </c>
      <c r="J390" s="23" t="n">
        <v>0.888</v>
      </c>
      <c r="K390" s="9">
        <f>ROUND(H390*I390*J390, 2)</f>
        <v/>
      </c>
      <c r="L390" s="24">
        <f>ROUND(K390/1000, 3)</f>
        <v/>
      </c>
      <c r="M390" s="8" t="n"/>
      <c r="N390" s="21">
        <f>ROUND(N389 + IF(AND(E390&lt;=10, F390&lt;&gt;"ASTM A416"), L390, 0), 3)</f>
        <v/>
      </c>
      <c r="O390" s="21">
        <f>ROUND(O389 + IF(AND(E390&gt;10, E390&lt;=18, F390&lt;&gt;"ASTM A416"), L390, 0), 3)</f>
        <v/>
      </c>
      <c r="P390" s="21">
        <f>ROUND(P389 + IF(AND(E390&gt;18, F390&lt;&gt;"ASTM A416"), L390, 0), 3)</f>
        <v/>
      </c>
      <c r="Q390" s="21">
        <f>ROUND(Q389 + IF(F390="ASTM A416", L390, 0), 3)</f>
        <v/>
      </c>
      <c r="R390" s="11">
        <f>IF(INT(N390/20)&gt;INT(N389/20), "Lần " &amp; INT(N390/20), "")</f>
        <v/>
      </c>
      <c r="S390" s="12">
        <f>IF(INT(O390/20)&gt;INT(O389/20), "Lần " &amp; INT(O390/20), "")</f>
        <v/>
      </c>
      <c r="T390" s="11">
        <f>IF(INT(P390/20)&gt;INT(P389/20), "Lần " &amp; INT(P390/20), "")</f>
        <v/>
      </c>
      <c r="U390" s="25">
        <f>IF(INT(Q390/20)&gt;INT(Q389/20), "Lần " &amp; INT(Q390/20), "")</f>
        <v/>
      </c>
      <c r="V390" s="6" t="inlineStr"/>
      <c r="W390" s="6" t="inlineStr">
        <is>
          <t>ĐẠT TCVN 1651:2018</t>
        </is>
      </c>
    </row>
    <row r="391" ht="19" customHeight="1">
      <c r="A391" s="6" t="n">
        <v>362</v>
      </c>
      <c r="B391" s="7" t="inlineStr">
        <is>
          <t>Cọc khoan nhồi C3 Mố M2 (D1.2m, L=36.0m)</t>
        </is>
      </c>
      <c r="C391" s="7" t="inlineStr">
        <is>
          <t>Thép đai xoắn lồng cọc</t>
        </is>
      </c>
      <c r="D391" s="19" t="inlineStr">
        <is>
          <t>P10</t>
        </is>
      </c>
      <c r="E391" s="20" t="n">
        <v>20</v>
      </c>
      <c r="F391" s="6" t="inlineStr">
        <is>
          <t>CB400-V</t>
        </is>
      </c>
      <c r="G391" s="7" t="inlineStr">
        <is>
          <t>Đai xoắn tròn</t>
        </is>
      </c>
      <c r="H391" s="21" t="n">
        <v>2.057</v>
      </c>
      <c r="I391" s="22" t="n">
        <v>1</v>
      </c>
      <c r="J391" s="23" t="n">
        <v>2.47</v>
      </c>
      <c r="K391" s="9">
        <f>ROUND(H391*I391*J391, 2)</f>
        <v/>
      </c>
      <c r="L391" s="24">
        <f>ROUND(K391/1000, 3)</f>
        <v/>
      </c>
      <c r="M391" s="8" t="n"/>
      <c r="N391" s="21">
        <f>ROUND(N390 + IF(AND(E391&lt;=10, F391&lt;&gt;"ASTM A416"), L391, 0), 3)</f>
        <v/>
      </c>
      <c r="O391" s="21">
        <f>ROUND(O390 + IF(AND(E391&gt;10, E391&lt;=18, F391&lt;&gt;"ASTM A416"), L391, 0), 3)</f>
        <v/>
      </c>
      <c r="P391" s="21">
        <f>ROUND(P390 + IF(AND(E391&gt;18, F391&lt;&gt;"ASTM A416"), L391, 0), 3)</f>
        <v/>
      </c>
      <c r="Q391" s="21">
        <f>ROUND(Q390 + IF(F391="ASTM A416", L391, 0), 3)</f>
        <v/>
      </c>
      <c r="R391" s="11">
        <f>IF(INT(N391/20)&gt;INT(N390/20), "Lần " &amp; INT(N391/20), "")</f>
        <v/>
      </c>
      <c r="S391" s="12">
        <f>IF(INT(O391/20)&gt;INT(O390/20), "Lần " &amp; INT(O391/20), "")</f>
        <v/>
      </c>
      <c r="T391" s="11">
        <f>IF(INT(P391/20)&gt;INT(P390/20), "Lần " &amp; INT(P391/20), "")</f>
        <v/>
      </c>
      <c r="U391" s="25">
        <f>IF(INT(Q391/20)&gt;INT(Q390/20), "Lần " &amp; INT(Q391/20), "")</f>
        <v/>
      </c>
      <c r="V391" s="6" t="inlineStr"/>
      <c r="W391" s="6" t="inlineStr">
        <is>
          <t>ĐẠT TCVN 1651:2018</t>
        </is>
      </c>
    </row>
    <row r="392" ht="19" customHeight="1">
      <c r="A392" s="6" t="n">
        <v>363</v>
      </c>
      <c r="B392" s="7" t="inlineStr">
        <is>
          <t>Cọc khoan nhồi C3 Mố M2 (D1.2m, L=36.0m)</t>
        </is>
      </c>
      <c r="C392" s="7" t="inlineStr">
        <is>
          <t>Thép đai xoắn lồng cọc</t>
        </is>
      </c>
      <c r="D392" s="19" t="inlineStr">
        <is>
          <t>P12</t>
        </is>
      </c>
      <c r="E392" s="20" t="n">
        <v>20</v>
      </c>
      <c r="F392" s="6" t="inlineStr">
        <is>
          <t>CB400-V</t>
        </is>
      </c>
      <c r="G392" s="7" t="inlineStr">
        <is>
          <t>Đai xoắn tròn</t>
        </is>
      </c>
      <c r="H392" s="21" t="n">
        <v>0.583</v>
      </c>
      <c r="I392" s="22" t="n">
        <v>60</v>
      </c>
      <c r="J392" s="23" t="n">
        <v>2.47</v>
      </c>
      <c r="K392" s="9">
        <f>ROUND(H392*I392*J392, 2)</f>
        <v/>
      </c>
      <c r="L392" s="24">
        <f>ROUND(K392/1000, 3)</f>
        <v/>
      </c>
      <c r="M392" s="8" t="n"/>
      <c r="N392" s="21">
        <f>ROUND(N391 + IF(AND(E392&lt;=10, F392&lt;&gt;"ASTM A416"), L392, 0), 3)</f>
        <v/>
      </c>
      <c r="O392" s="21">
        <f>ROUND(O391 + IF(AND(E392&gt;10, E392&lt;=18, F392&lt;&gt;"ASTM A416"), L392, 0), 3)</f>
        <v/>
      </c>
      <c r="P392" s="21">
        <f>ROUND(P391 + IF(AND(E392&gt;18, F392&lt;&gt;"ASTM A416"), L392, 0), 3)</f>
        <v/>
      </c>
      <c r="Q392" s="21">
        <f>ROUND(Q391 + IF(F392="ASTM A416", L392, 0), 3)</f>
        <v/>
      </c>
      <c r="R392" s="11">
        <f>IF(INT(N392/20)&gt;INT(N391/20), "Lần " &amp; INT(N392/20), "")</f>
        <v/>
      </c>
      <c r="S392" s="12">
        <f>IF(INT(O392/20)&gt;INT(O391/20), "Lần " &amp; INT(O392/20), "")</f>
        <v/>
      </c>
      <c r="T392" s="11">
        <f>IF(INT(P392/20)&gt;INT(P391/20), "Lần " &amp; INT(P392/20), "")</f>
        <v/>
      </c>
      <c r="U392" s="25">
        <f>IF(INT(Q392/20)&gt;INT(Q391/20), "Lần " &amp; INT(Q392/20), "")</f>
        <v/>
      </c>
      <c r="V392" s="6" t="inlineStr"/>
      <c r="W392" s="6" t="inlineStr">
        <is>
          <t>ĐẠT TCVN 1651:2018</t>
        </is>
      </c>
    </row>
    <row r="393" ht="20" customHeight="1">
      <c r="A393" s="18" t="inlineStr">
        <is>
          <t>--- CỌC KHOAN NHỒI C4 MỐ M2 (D1.2M, L=36.0M) ---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</row>
    <row r="394" ht="19" customHeight="1">
      <c r="A394" s="6" t="n">
        <v>364</v>
      </c>
      <c r="B394" s="7" t="inlineStr">
        <is>
          <t>Cọc khoan nhồi C4 Mố M2 (D1.2m, L=36.0m)</t>
        </is>
      </c>
      <c r="C394" s="7" t="inlineStr">
        <is>
          <t>Thép đai xoắn lồng cọc</t>
        </is>
      </c>
      <c r="D394" s="19" t="inlineStr">
        <is>
          <t>P1</t>
        </is>
      </c>
      <c r="E394" s="20" t="n">
        <v>10</v>
      </c>
      <c r="F394" s="6" t="inlineStr">
        <is>
          <t>CB240-T</t>
        </is>
      </c>
      <c r="G394" s="7" t="inlineStr">
        <is>
          <t>Đai xoắn tròn</t>
        </is>
      </c>
      <c r="H394" s="21" t="n">
        <v>96.887</v>
      </c>
      <c r="I394" s="22" t="n">
        <v>1</v>
      </c>
      <c r="J394" s="23" t="n">
        <v>0.617</v>
      </c>
      <c r="K394" s="9">
        <f>ROUND(H394*I394*J394, 2)</f>
        <v/>
      </c>
      <c r="L394" s="24">
        <f>ROUND(K394/1000, 3)</f>
        <v/>
      </c>
      <c r="M394" s="8" t="n"/>
      <c r="N394" s="21">
        <f>ROUND(N392 + IF(AND(E394&lt;=10, F394&lt;&gt;"ASTM A416"), L394, 0), 3)</f>
        <v/>
      </c>
      <c r="O394" s="21">
        <f>ROUND(O392 + IF(AND(E394&gt;10, E394&lt;=18, F394&lt;&gt;"ASTM A416"), L394, 0), 3)</f>
        <v/>
      </c>
      <c r="P394" s="21">
        <f>ROUND(P392 + IF(AND(E394&gt;18, F394&lt;&gt;"ASTM A416"), L394, 0), 3)</f>
        <v/>
      </c>
      <c r="Q394" s="21">
        <f>ROUND(Q392 + IF(F394="ASTM A416", L394, 0), 3)</f>
        <v/>
      </c>
      <c r="R394" s="11">
        <f>IF(INT(N394/20)&gt;INT(N392/20), "Lần " &amp; INT(N394/20), "")</f>
        <v/>
      </c>
      <c r="S394" s="12">
        <f>IF(INT(O394/20)&gt;INT(O392/20), "Lần " &amp; INT(O394/20), "")</f>
        <v/>
      </c>
      <c r="T394" s="11">
        <f>IF(INT(P394/20)&gt;INT(P392/20), "Lần " &amp; INT(P394/20), "")</f>
        <v/>
      </c>
      <c r="U394" s="25">
        <f>IF(INT(Q394/20)&gt;INT(Q392/20), "Lần " &amp; INT(Q394/20), "")</f>
        <v/>
      </c>
      <c r="V394" s="6" t="inlineStr"/>
      <c r="W394" s="6" t="inlineStr">
        <is>
          <t>ĐẠT TCVN 1651:2018</t>
        </is>
      </c>
    </row>
    <row r="395" ht="19" customHeight="1">
      <c r="A395" s="6" t="n">
        <v>365</v>
      </c>
      <c r="B395" s="7" t="inlineStr">
        <is>
          <t>Cọc khoan nhồi C4 Mố M2 (D1.2m, L=36.0m)</t>
        </is>
      </c>
      <c r="C395" s="7" t="inlineStr">
        <is>
          <t>Thép đai xoắn lồng cọc</t>
        </is>
      </c>
      <c r="D395" s="19" t="inlineStr">
        <is>
          <t>P1A</t>
        </is>
      </c>
      <c r="E395" s="20" t="n">
        <v>10</v>
      </c>
      <c r="F395" s="6" t="inlineStr">
        <is>
          <t>CB240-T</t>
        </is>
      </c>
      <c r="G395" s="7" t="inlineStr">
        <is>
          <t>Đai xoắn tròn</t>
        </is>
      </c>
      <c r="H395" s="21" t="n">
        <v>390.776</v>
      </c>
      <c r="I395" s="22" t="n">
        <v>1</v>
      </c>
      <c r="J395" s="23" t="n">
        <v>0.617</v>
      </c>
      <c r="K395" s="9">
        <f>ROUND(H395*I395*J395, 2)</f>
        <v/>
      </c>
      <c r="L395" s="24">
        <f>ROUND(K395/1000, 3)</f>
        <v/>
      </c>
      <c r="M395" s="8" t="n"/>
      <c r="N395" s="21">
        <f>ROUND(N394 + IF(AND(E395&lt;=10, F395&lt;&gt;"ASTM A416"), L395, 0), 3)</f>
        <v/>
      </c>
      <c r="O395" s="21">
        <f>ROUND(O394 + IF(AND(E395&gt;10, E395&lt;=18, F395&lt;&gt;"ASTM A416"), L395, 0), 3)</f>
        <v/>
      </c>
      <c r="P395" s="21">
        <f>ROUND(P394 + IF(AND(E395&gt;18, F395&lt;&gt;"ASTM A416"), L395, 0), 3)</f>
        <v/>
      </c>
      <c r="Q395" s="21">
        <f>ROUND(Q394 + IF(F395="ASTM A416", L395, 0), 3)</f>
        <v/>
      </c>
      <c r="R395" s="11">
        <f>IF(INT(N395/20)&gt;INT(N394/20), "Lần " &amp; INT(N395/20), "")</f>
        <v/>
      </c>
      <c r="S395" s="12">
        <f>IF(INT(O395/20)&gt;INT(O394/20), "Lần " &amp; INT(O395/20), "")</f>
        <v/>
      </c>
      <c r="T395" s="11">
        <f>IF(INT(P395/20)&gt;INT(P394/20), "Lần " &amp; INT(P395/20), "")</f>
        <v/>
      </c>
      <c r="U395" s="25">
        <f>IF(INT(Q395/20)&gt;INT(Q394/20), "Lần " &amp; INT(Q395/20), "")</f>
        <v/>
      </c>
      <c r="V395" s="6" t="inlineStr"/>
      <c r="W395" s="6" t="inlineStr">
        <is>
          <t>ĐẠT TCVN 1651:2018</t>
        </is>
      </c>
    </row>
    <row r="396" ht="19" customHeight="1">
      <c r="A396" s="6" t="n">
        <v>366</v>
      </c>
      <c r="B396" s="7" t="inlineStr">
        <is>
          <t>Cọc khoan nhồi C4 Mố M2 (D1.2m, L=36.0m)</t>
        </is>
      </c>
      <c r="C396" s="7" t="inlineStr">
        <is>
          <t>Thép đai xoắn lồng cọc</t>
        </is>
      </c>
      <c r="D396" s="19" t="inlineStr">
        <is>
          <t>P1B</t>
        </is>
      </c>
      <c r="E396" s="20" t="n">
        <v>10</v>
      </c>
      <c r="F396" s="6" t="inlineStr">
        <is>
          <t>CB240-T</t>
        </is>
      </c>
      <c r="G396" s="7" t="inlineStr">
        <is>
          <t>Đai xoắn tròn</t>
        </is>
      </c>
      <c r="H396" s="21" t="n">
        <v>164.938</v>
      </c>
      <c r="I396" s="22" t="n">
        <v>1</v>
      </c>
      <c r="J396" s="23" t="n">
        <v>0.617</v>
      </c>
      <c r="K396" s="9">
        <f>ROUND(H396*I396*J396, 2)</f>
        <v/>
      </c>
      <c r="L396" s="24">
        <f>ROUND(K396/1000, 3)</f>
        <v/>
      </c>
      <c r="M396" s="8" t="n"/>
      <c r="N396" s="21">
        <f>ROUND(N395 + IF(AND(E396&lt;=10, F396&lt;&gt;"ASTM A416"), L396, 0), 3)</f>
        <v/>
      </c>
      <c r="O396" s="21">
        <f>ROUND(O395 + IF(AND(E396&gt;10, E396&lt;=18, F396&lt;&gt;"ASTM A416"), L396, 0), 3)</f>
        <v/>
      </c>
      <c r="P396" s="21">
        <f>ROUND(P395 + IF(AND(E396&gt;18, F396&lt;&gt;"ASTM A416"), L396, 0), 3)</f>
        <v/>
      </c>
      <c r="Q396" s="21">
        <f>ROUND(Q395 + IF(F396="ASTM A416", L396, 0), 3)</f>
        <v/>
      </c>
      <c r="R396" s="11">
        <f>IF(INT(N396/20)&gt;INT(N395/20), "Lần " &amp; INT(N396/20), "")</f>
        <v/>
      </c>
      <c r="S396" s="12">
        <f>IF(INT(O396/20)&gt;INT(O395/20), "Lần " &amp; INT(O396/20), "")</f>
        <v/>
      </c>
      <c r="T396" s="11">
        <f>IF(INT(P396/20)&gt;INT(P395/20), "Lần " &amp; INT(P396/20), "")</f>
        <v/>
      </c>
      <c r="U396" s="25">
        <f>IF(INT(Q396/20)&gt;INT(Q395/20), "Lần " &amp; INT(Q396/20), "")</f>
        <v/>
      </c>
      <c r="V396" s="6" t="inlineStr"/>
      <c r="W396" s="6" t="inlineStr">
        <is>
          <t>ĐẠT TCVN 1651:2018</t>
        </is>
      </c>
    </row>
    <row r="397" ht="19" customHeight="1">
      <c r="A397" s="6" t="n">
        <v>367</v>
      </c>
      <c r="B397" s="7" t="inlineStr">
        <is>
          <t>Cọc khoan nhồi C4 Mố M2 (D1.2m, L=36.0m)</t>
        </is>
      </c>
      <c r="C397" s="7" t="inlineStr">
        <is>
          <t>Thép đai xoắn lồng cọc</t>
        </is>
      </c>
      <c r="D397" s="19" t="inlineStr">
        <is>
          <t>P1C</t>
        </is>
      </c>
      <c r="E397" s="20" t="n">
        <v>10</v>
      </c>
      <c r="F397" s="6" t="inlineStr">
        <is>
          <t>CB240-T</t>
        </is>
      </c>
      <c r="G397" s="7" t="inlineStr">
        <is>
          <t>Đai xoắn tròn</t>
        </is>
      </c>
      <c r="H397" s="21" t="n">
        <v>3.592</v>
      </c>
      <c r="I397" s="22" t="n">
        <v>2</v>
      </c>
      <c r="J397" s="23" t="n">
        <v>0.617</v>
      </c>
      <c r="K397" s="9">
        <f>ROUND(H397*I397*J397, 2)</f>
        <v/>
      </c>
      <c r="L397" s="24">
        <f>ROUND(K397/1000, 3)</f>
        <v/>
      </c>
      <c r="M397" s="8" t="n"/>
      <c r="N397" s="21">
        <f>ROUND(N396 + IF(AND(E397&lt;=10, F397&lt;&gt;"ASTM A416"), L397, 0), 3)</f>
        <v/>
      </c>
      <c r="O397" s="21">
        <f>ROUND(O396 + IF(AND(E397&gt;10, E397&lt;=18, F397&lt;&gt;"ASTM A416"), L397, 0), 3)</f>
        <v/>
      </c>
      <c r="P397" s="21">
        <f>ROUND(P396 + IF(AND(E397&gt;18, F397&lt;&gt;"ASTM A416"), L397, 0), 3)</f>
        <v/>
      </c>
      <c r="Q397" s="21">
        <f>ROUND(Q396 + IF(F397="ASTM A416", L397, 0), 3)</f>
        <v/>
      </c>
      <c r="R397" s="11">
        <f>IF(INT(N397/20)&gt;INT(N396/20), "Lần " &amp; INT(N397/20), "")</f>
        <v/>
      </c>
      <c r="S397" s="12">
        <f>IF(INT(O397/20)&gt;INT(O396/20), "Lần " &amp; INT(O397/20), "")</f>
        <v/>
      </c>
      <c r="T397" s="11">
        <f>IF(INT(P397/20)&gt;INT(P396/20), "Lần " &amp; INT(P397/20), "")</f>
        <v/>
      </c>
      <c r="U397" s="25">
        <f>IF(INT(Q397/20)&gt;INT(Q396/20), "Lần " &amp; INT(Q397/20), "")</f>
        <v/>
      </c>
      <c r="V397" s="6" t="inlineStr"/>
      <c r="W397" s="6" t="inlineStr">
        <is>
          <t>ĐẠT TCVN 1651:2018</t>
        </is>
      </c>
    </row>
    <row r="398" ht="19" customHeight="1">
      <c r="A398" s="6" t="n">
        <v>368</v>
      </c>
      <c r="B398" s="7" t="inlineStr">
        <is>
          <t>Cọc khoan nhồi C4 Mố M2 (D1.2m, L=36.0m)</t>
        </is>
      </c>
      <c r="C398" s="7" t="inlineStr">
        <is>
          <t>Thép đai xoắn lồng cọc</t>
        </is>
      </c>
      <c r="D398" s="19" t="inlineStr">
        <is>
          <t>P1D</t>
        </is>
      </c>
      <c r="E398" s="20" t="n">
        <v>10</v>
      </c>
      <c r="F398" s="6" t="inlineStr">
        <is>
          <t>CB240-T</t>
        </is>
      </c>
      <c r="G398" s="7" t="inlineStr">
        <is>
          <t>Đai xoắn tròn</t>
        </is>
      </c>
      <c r="H398" s="21" t="n">
        <v>23.007</v>
      </c>
      <c r="I398" s="22" t="n">
        <v>1</v>
      </c>
      <c r="J398" s="23" t="n">
        <v>0.617</v>
      </c>
      <c r="K398" s="9">
        <f>ROUND(H398*I398*J398, 2)</f>
        <v/>
      </c>
      <c r="L398" s="24">
        <f>ROUND(K398/1000, 3)</f>
        <v/>
      </c>
      <c r="M398" s="8" t="n"/>
      <c r="N398" s="21">
        <f>ROUND(N397 + IF(AND(E398&lt;=10, F398&lt;&gt;"ASTM A416"), L398, 0), 3)</f>
        <v/>
      </c>
      <c r="O398" s="21">
        <f>ROUND(O397 + IF(AND(E398&gt;10, E398&lt;=18, F398&lt;&gt;"ASTM A416"), L398, 0), 3)</f>
        <v/>
      </c>
      <c r="P398" s="21">
        <f>ROUND(P397 + IF(AND(E398&gt;18, F398&lt;&gt;"ASTM A416"), L398, 0), 3)</f>
        <v/>
      </c>
      <c r="Q398" s="21">
        <f>ROUND(Q397 + IF(F398="ASTM A416", L398, 0), 3)</f>
        <v/>
      </c>
      <c r="R398" s="11">
        <f>IF(INT(N398/20)&gt;INT(N397/20), "Lần " &amp; INT(N398/20), "")</f>
        <v/>
      </c>
      <c r="S398" s="12">
        <f>IF(INT(O398/20)&gt;INT(O397/20), "Lần " &amp; INT(O398/20), "")</f>
        <v/>
      </c>
      <c r="T398" s="11">
        <f>IF(INT(P398/20)&gt;INT(P397/20), "Lần " &amp; INT(P398/20), "")</f>
        <v/>
      </c>
      <c r="U398" s="25">
        <f>IF(INT(Q398/20)&gt;INT(Q397/20), "Lần " &amp; INT(Q398/20), "")</f>
        <v/>
      </c>
      <c r="V398" s="6" t="inlineStr"/>
      <c r="W398" s="6" t="inlineStr">
        <is>
          <t>ĐẠT TCVN 1651:2018</t>
        </is>
      </c>
    </row>
    <row r="399" ht="19" customHeight="1">
      <c r="A399" s="6" t="n">
        <v>369</v>
      </c>
      <c r="B399" s="7" t="inlineStr">
        <is>
          <t>Cọc khoan nhồi C4 Mố M2 (D1.2m, L=36.0m)</t>
        </is>
      </c>
      <c r="C399" s="7" t="inlineStr">
        <is>
          <t>Cốt thép chủ chịu lực cọc</t>
        </is>
      </c>
      <c r="D399" s="19" t="inlineStr">
        <is>
          <t>P2A</t>
        </is>
      </c>
      <c r="E399" s="20" t="n">
        <v>28</v>
      </c>
      <c r="F399" s="6" t="inlineStr">
        <is>
          <t>CB400-V</t>
        </is>
      </c>
      <c r="G399" s="7" t="inlineStr">
        <is>
          <t>Thanh thẳng nối ren/hàn</t>
        </is>
      </c>
      <c r="H399" s="21" t="n">
        <v>2.966</v>
      </c>
      <c r="I399" s="22" t="n">
        <v>5</v>
      </c>
      <c r="J399" s="23" t="n">
        <v>4.83</v>
      </c>
      <c r="K399" s="9">
        <f>ROUND(H399*I399*J399, 2)</f>
        <v/>
      </c>
      <c r="L399" s="24">
        <f>ROUND(K399/1000, 3)</f>
        <v/>
      </c>
      <c r="M399" s="8" t="n"/>
      <c r="N399" s="21">
        <f>ROUND(N398 + IF(AND(E399&lt;=10, F399&lt;&gt;"ASTM A416"), L399, 0), 3)</f>
        <v/>
      </c>
      <c r="O399" s="21">
        <f>ROUND(O398 + IF(AND(E399&gt;10, E399&lt;=18, F399&lt;&gt;"ASTM A416"), L399, 0), 3)</f>
        <v/>
      </c>
      <c r="P399" s="21">
        <f>ROUND(P398 + IF(AND(E399&gt;18, F399&lt;&gt;"ASTM A416"), L399, 0), 3)</f>
        <v/>
      </c>
      <c r="Q399" s="21">
        <f>ROUND(Q398 + IF(F399="ASTM A416", L399, 0), 3)</f>
        <v/>
      </c>
      <c r="R399" s="11">
        <f>IF(INT(N399/20)&gt;INT(N398/20), "Lần " &amp; INT(N399/20), "")</f>
        <v/>
      </c>
      <c r="S399" s="12">
        <f>IF(INT(O399/20)&gt;INT(O398/20), "Lần " &amp; INT(O399/20), "")</f>
        <v/>
      </c>
      <c r="T399" s="11">
        <f>IF(INT(P399/20)&gt;INT(P398/20), "Lần " &amp; INT(P399/20), "")</f>
        <v/>
      </c>
      <c r="U399" s="25">
        <f>IF(INT(Q399/20)&gt;INT(Q398/20), "Lần " &amp; INT(Q399/20), "")</f>
        <v/>
      </c>
      <c r="V399" s="6" t="inlineStr"/>
      <c r="W399" s="6" t="inlineStr">
        <is>
          <t>ĐẠT TCVN 1651:2018</t>
        </is>
      </c>
    </row>
    <row r="400" ht="19" customHeight="1">
      <c r="A400" s="6" t="n">
        <v>370</v>
      </c>
      <c r="B400" s="7" t="inlineStr">
        <is>
          <t>Cọc khoan nhồi C4 Mố M2 (D1.2m, L=36.0m)</t>
        </is>
      </c>
      <c r="C400" s="7" t="inlineStr">
        <is>
          <t>Cốt thép chủ chịu lực cọc</t>
        </is>
      </c>
      <c r="D400" s="19" t="inlineStr">
        <is>
          <t>P2B</t>
        </is>
      </c>
      <c r="E400" s="20" t="n">
        <v>25</v>
      </c>
      <c r="F400" s="6" t="inlineStr">
        <is>
          <t>CB400-V</t>
        </is>
      </c>
      <c r="G400" s="7" t="inlineStr">
        <is>
          <t>Thanh thẳng nối ren/hàn</t>
        </is>
      </c>
      <c r="H400" s="21" t="n">
        <v>2.985</v>
      </c>
      <c r="I400" s="22" t="n">
        <v>10</v>
      </c>
      <c r="J400" s="23" t="n">
        <v>3.85</v>
      </c>
      <c r="K400" s="9">
        <f>ROUND(H400*I400*J400, 2)</f>
        <v/>
      </c>
      <c r="L400" s="24">
        <f>ROUND(K400/1000, 3)</f>
        <v/>
      </c>
      <c r="M400" s="8" t="n"/>
      <c r="N400" s="21">
        <f>ROUND(N399 + IF(AND(E400&lt;=10, F400&lt;&gt;"ASTM A416"), L400, 0), 3)</f>
        <v/>
      </c>
      <c r="O400" s="21">
        <f>ROUND(O399 + IF(AND(E400&gt;10, E400&lt;=18, F400&lt;&gt;"ASTM A416"), L400, 0), 3)</f>
        <v/>
      </c>
      <c r="P400" s="21">
        <f>ROUND(P399 + IF(AND(E400&gt;18, F400&lt;&gt;"ASTM A416"), L400, 0), 3)</f>
        <v/>
      </c>
      <c r="Q400" s="21">
        <f>ROUND(Q399 + IF(F400="ASTM A416", L400, 0), 3)</f>
        <v/>
      </c>
      <c r="R400" s="11">
        <f>IF(INT(N400/20)&gt;INT(N399/20), "Lần " &amp; INT(N400/20), "")</f>
        <v/>
      </c>
      <c r="S400" s="12">
        <f>IF(INT(O400/20)&gt;INT(O399/20), "Lần " &amp; INT(O400/20), "")</f>
        <v/>
      </c>
      <c r="T400" s="11">
        <f>IF(INT(P400/20)&gt;INT(P399/20), "Lần " &amp; INT(P400/20), "")</f>
        <v/>
      </c>
      <c r="U400" s="25">
        <f>IF(INT(Q400/20)&gt;INT(Q399/20), "Lần " &amp; INT(Q400/20), "")</f>
        <v/>
      </c>
      <c r="V400" s="6" t="inlineStr"/>
      <c r="W400" s="6" t="inlineStr">
        <is>
          <t>ĐẠT TCVN 1651:2018</t>
        </is>
      </c>
    </row>
    <row r="401" ht="19" customHeight="1">
      <c r="A401" s="6" t="n">
        <v>371</v>
      </c>
      <c r="B401" s="7" t="inlineStr">
        <is>
          <t>Cọc khoan nhồi C4 Mố M2 (D1.2m, L=36.0m)</t>
        </is>
      </c>
      <c r="C401" s="7" t="inlineStr">
        <is>
          <t>Cốt thép chủ chịu lực cọc</t>
        </is>
      </c>
      <c r="D401" s="19" t="inlineStr">
        <is>
          <t>P3</t>
        </is>
      </c>
      <c r="E401" s="20" t="n">
        <v>28</v>
      </c>
      <c r="F401" s="6" t="inlineStr">
        <is>
          <t>CB400-V</t>
        </is>
      </c>
      <c r="G401" s="7" t="inlineStr">
        <is>
          <t>Thanh thẳng nối ren/hàn</t>
        </is>
      </c>
      <c r="H401" s="21" t="n">
        <v>10.7</v>
      </c>
      <c r="I401" s="22" t="n">
        <v>12</v>
      </c>
      <c r="J401" s="23" t="n">
        <v>4.83</v>
      </c>
      <c r="K401" s="9">
        <f>ROUND(H401*I401*J401, 2)</f>
        <v/>
      </c>
      <c r="L401" s="24">
        <f>ROUND(K401/1000, 3)</f>
        <v/>
      </c>
      <c r="M401" s="8" t="n"/>
      <c r="N401" s="21">
        <f>ROUND(N400 + IF(AND(E401&lt;=10, F401&lt;&gt;"ASTM A416"), L401, 0), 3)</f>
        <v/>
      </c>
      <c r="O401" s="21">
        <f>ROUND(O400 + IF(AND(E401&gt;10, E401&lt;=18, F401&lt;&gt;"ASTM A416"), L401, 0), 3)</f>
        <v/>
      </c>
      <c r="P401" s="21">
        <f>ROUND(P400 + IF(AND(E401&gt;18, F401&lt;&gt;"ASTM A416"), L401, 0), 3)</f>
        <v/>
      </c>
      <c r="Q401" s="21">
        <f>ROUND(Q400 + IF(F401="ASTM A416", L401, 0), 3)</f>
        <v/>
      </c>
      <c r="R401" s="11">
        <f>IF(INT(N401/20)&gt;INT(N400/20), "Lần " &amp; INT(N401/20), "")</f>
        <v/>
      </c>
      <c r="S401" s="12">
        <f>IF(INT(O401/20)&gt;INT(O400/20), "Lần " &amp; INT(O401/20), "")</f>
        <v/>
      </c>
      <c r="T401" s="11">
        <f>IF(INT(P401/20)&gt;INT(P400/20), "Lần " &amp; INT(P401/20), "")</f>
        <v/>
      </c>
      <c r="U401" s="25">
        <f>IF(INT(Q401/20)&gt;INT(Q400/20), "Lần " &amp; INT(Q401/20), "")</f>
        <v/>
      </c>
      <c r="V401" s="6" t="inlineStr"/>
      <c r="W401" s="6" t="inlineStr">
        <is>
          <t>ĐẠT TCVN 1651:2018</t>
        </is>
      </c>
    </row>
    <row r="402" ht="19" customHeight="1">
      <c r="A402" s="6" t="n">
        <v>372</v>
      </c>
      <c r="B402" s="7" t="inlineStr">
        <is>
          <t>Cọc khoan nhồi C4 Mố M2 (D1.2m, L=36.0m)</t>
        </is>
      </c>
      <c r="C402" s="7" t="inlineStr">
        <is>
          <t>Cốt thép chủ chịu lực cọc</t>
        </is>
      </c>
      <c r="D402" s="19" t="inlineStr">
        <is>
          <t>P4</t>
        </is>
      </c>
      <c r="E402" s="20" t="n">
        <v>28</v>
      </c>
      <c r="F402" s="6" t="inlineStr">
        <is>
          <t>CB400-V</t>
        </is>
      </c>
      <c r="G402" s="7" t="inlineStr">
        <is>
          <t>Thanh thẳng nối ren/hàn</t>
        </is>
      </c>
      <c r="H402" s="21" t="n">
        <v>11.7</v>
      </c>
      <c r="I402" s="22" t="n">
        <v>12</v>
      </c>
      <c r="J402" s="23" t="n">
        <v>4.83</v>
      </c>
      <c r="K402" s="9">
        <f>ROUND(H402*I402*J402, 2)</f>
        <v/>
      </c>
      <c r="L402" s="24">
        <f>ROUND(K402/1000, 3)</f>
        <v/>
      </c>
      <c r="M402" s="8" t="n"/>
      <c r="N402" s="21">
        <f>ROUND(N401 + IF(AND(E402&lt;=10, F402&lt;&gt;"ASTM A416"), L402, 0), 3)</f>
        <v/>
      </c>
      <c r="O402" s="21">
        <f>ROUND(O401 + IF(AND(E402&gt;10, E402&lt;=18, F402&lt;&gt;"ASTM A416"), L402, 0), 3)</f>
        <v/>
      </c>
      <c r="P402" s="21">
        <f>ROUND(P401 + IF(AND(E402&gt;18, F402&lt;&gt;"ASTM A416"), L402, 0), 3)</f>
        <v/>
      </c>
      <c r="Q402" s="21">
        <f>ROUND(Q401 + IF(F402="ASTM A416", L402, 0), 3)</f>
        <v/>
      </c>
      <c r="R402" s="11">
        <f>IF(INT(N402/20)&gt;INT(N401/20), "Lần " &amp; INT(N402/20), "")</f>
        <v/>
      </c>
      <c r="S402" s="12">
        <f>IF(INT(O402/20)&gt;INT(O401/20), "Lần " &amp; INT(O402/20), "")</f>
        <v/>
      </c>
      <c r="T402" s="11">
        <f>IF(INT(P402/20)&gt;INT(P401/20), "Lần " &amp; INT(P402/20), "")</f>
        <v/>
      </c>
      <c r="U402" s="25">
        <f>IF(INT(Q402/20)&gt;INT(Q401/20), "Lần " &amp; INT(Q402/20), "")</f>
        <v/>
      </c>
      <c r="V402" s="6" t="inlineStr"/>
      <c r="W402" s="6" t="inlineStr">
        <is>
          <t>ĐẠT TCVN 1651:2018</t>
        </is>
      </c>
    </row>
    <row r="403" ht="19" customHeight="1">
      <c r="A403" s="6" t="n">
        <v>373</v>
      </c>
      <c r="B403" s="7" t="inlineStr">
        <is>
          <t>Cọc khoan nhồi C4 Mố M2 (D1.2m, L=36.0m)</t>
        </is>
      </c>
      <c r="C403" s="7" t="inlineStr">
        <is>
          <t>Cốt thép chủ chịu lực cọc</t>
        </is>
      </c>
      <c r="D403" s="19" t="inlineStr">
        <is>
          <t>P5</t>
        </is>
      </c>
      <c r="E403" s="20" t="n">
        <v>25</v>
      </c>
      <c r="F403" s="6" t="inlineStr">
        <is>
          <t>CB400-V</t>
        </is>
      </c>
      <c r="G403" s="7" t="inlineStr">
        <is>
          <t>Thanh thẳng nối ren/hàn</t>
        </is>
      </c>
      <c r="H403" s="21" t="n">
        <v>11.7</v>
      </c>
      <c r="I403" s="22" t="n">
        <v>48</v>
      </c>
      <c r="J403" s="23" t="n">
        <v>3.85</v>
      </c>
      <c r="K403" s="9">
        <f>ROUND(H403*I403*J403, 2)</f>
        <v/>
      </c>
      <c r="L403" s="24">
        <f>ROUND(K403/1000, 3)</f>
        <v/>
      </c>
      <c r="M403" s="8" t="n"/>
      <c r="N403" s="21">
        <f>ROUND(N402 + IF(AND(E403&lt;=10, F403&lt;&gt;"ASTM A416"), L403, 0), 3)</f>
        <v/>
      </c>
      <c r="O403" s="21">
        <f>ROUND(O402 + IF(AND(E403&gt;10, E403&lt;=18, F403&lt;&gt;"ASTM A416"), L403, 0), 3)</f>
        <v/>
      </c>
      <c r="P403" s="21">
        <f>ROUND(P402 + IF(AND(E403&gt;18, F403&lt;&gt;"ASTM A416"), L403, 0), 3)</f>
        <v/>
      </c>
      <c r="Q403" s="21">
        <f>ROUND(Q402 + IF(F403="ASTM A416", L403, 0), 3)</f>
        <v/>
      </c>
      <c r="R403" s="11">
        <f>IF(INT(N403/20)&gt;INT(N402/20), "Lần " &amp; INT(N403/20), "")</f>
        <v/>
      </c>
      <c r="S403" s="12">
        <f>IF(INT(O403/20)&gt;INT(O402/20), "Lần " &amp; INT(O403/20), "")</f>
        <v/>
      </c>
      <c r="T403" s="11">
        <f>IF(INT(P403/20)&gt;INT(P402/20), "Lần " &amp; INT(P403/20), "")</f>
        <v/>
      </c>
      <c r="U403" s="25">
        <f>IF(INT(Q403/20)&gt;INT(Q402/20), "Lần " &amp; INT(Q403/20), "")</f>
        <v/>
      </c>
      <c r="V403" s="6" t="inlineStr"/>
      <c r="W403" s="6" t="inlineStr">
        <is>
          <t>ĐẠT TCVN 1651:2018</t>
        </is>
      </c>
    </row>
    <row r="404" ht="19" customHeight="1">
      <c r="A404" s="6" t="n">
        <v>374</v>
      </c>
      <c r="B404" s="7" t="inlineStr">
        <is>
          <t>Cọc khoan nhồi C4 Mố M2 (D1.2m, L=36.0m)</t>
        </is>
      </c>
      <c r="C404" s="7" t="inlineStr">
        <is>
          <t>Cốt thép chủ chịu lực cọc</t>
        </is>
      </c>
      <c r="D404" s="19" t="inlineStr">
        <is>
          <t>P6</t>
        </is>
      </c>
      <c r="E404" s="20" t="n">
        <v>25</v>
      </c>
      <c r="F404" s="6" t="inlineStr">
        <is>
          <t>CB400-V</t>
        </is>
      </c>
      <c r="G404" s="7" t="inlineStr">
        <is>
          <t>Thanh thẳng nối ren/hàn</t>
        </is>
      </c>
      <c r="H404" s="21" t="n">
        <v>5.153</v>
      </c>
      <c r="I404" s="22" t="n">
        <v>12</v>
      </c>
      <c r="J404" s="23" t="n">
        <v>3.85</v>
      </c>
      <c r="K404" s="9">
        <f>ROUND(H404*I404*J404, 2)</f>
        <v/>
      </c>
      <c r="L404" s="24">
        <f>ROUND(K404/1000, 3)</f>
        <v/>
      </c>
      <c r="M404" s="8" t="n"/>
      <c r="N404" s="21">
        <f>ROUND(N403 + IF(AND(E404&lt;=10, F404&lt;&gt;"ASTM A416"), L404, 0), 3)</f>
        <v/>
      </c>
      <c r="O404" s="21">
        <f>ROUND(O403 + IF(AND(E404&gt;10, E404&lt;=18, F404&lt;&gt;"ASTM A416"), L404, 0), 3)</f>
        <v/>
      </c>
      <c r="P404" s="21">
        <f>ROUND(P403 + IF(AND(E404&gt;18, F404&lt;&gt;"ASTM A416"), L404, 0), 3)</f>
        <v/>
      </c>
      <c r="Q404" s="21">
        <f>ROUND(Q403 + IF(F404="ASTM A416", L404, 0), 3)</f>
        <v/>
      </c>
      <c r="R404" s="11">
        <f>IF(INT(N404/20)&gt;INT(N403/20), "Lần " &amp; INT(N404/20), "")</f>
        <v/>
      </c>
      <c r="S404" s="12">
        <f>IF(INT(O404/20)&gt;INT(O403/20), "Lần " &amp; INT(O404/20), "")</f>
        <v/>
      </c>
      <c r="T404" s="11">
        <f>IF(INT(P404/20)&gt;INT(P403/20), "Lần " &amp; INT(P404/20), "")</f>
        <v/>
      </c>
      <c r="U404" s="25">
        <f>IF(INT(Q404/20)&gt;INT(Q403/20), "Lần " &amp; INT(Q404/20), "")</f>
        <v/>
      </c>
      <c r="V404" s="6" t="inlineStr"/>
      <c r="W404" s="6" t="inlineStr">
        <is>
          <t>ĐẠT TCVN 1651:2018</t>
        </is>
      </c>
    </row>
    <row r="405" ht="19" customHeight="1">
      <c r="A405" s="6" t="n">
        <v>375</v>
      </c>
      <c r="B405" s="7" t="inlineStr">
        <is>
          <t>Cọc khoan nhồi C4 Mố M2 (D1.2m, L=36.0m)</t>
        </is>
      </c>
      <c r="C405" s="7" t="inlineStr">
        <is>
          <t>Cốt thép chủ chịu lực cọc</t>
        </is>
      </c>
      <c r="D405" s="19" t="inlineStr">
        <is>
          <t>P7</t>
        </is>
      </c>
      <c r="E405" s="20" t="n">
        <v>25</v>
      </c>
      <c r="F405" s="6" t="inlineStr">
        <is>
          <t>CB400-V</t>
        </is>
      </c>
      <c r="G405" s="7" t="inlineStr">
        <is>
          <t>Thanh thẳng nối ren/hàn</t>
        </is>
      </c>
      <c r="H405" s="21" t="n">
        <v>6.153</v>
      </c>
      <c r="I405" s="22" t="n">
        <v>12</v>
      </c>
      <c r="J405" s="23" t="n">
        <v>3.85</v>
      </c>
      <c r="K405" s="9">
        <f>ROUND(H405*I405*J405, 2)</f>
        <v/>
      </c>
      <c r="L405" s="24">
        <f>ROUND(K405/1000, 3)</f>
        <v/>
      </c>
      <c r="M405" s="8" t="n"/>
      <c r="N405" s="21">
        <f>ROUND(N404 + IF(AND(E405&lt;=10, F405&lt;&gt;"ASTM A416"), L405, 0), 3)</f>
        <v/>
      </c>
      <c r="O405" s="21">
        <f>ROUND(O404 + IF(AND(E405&gt;10, E405&lt;=18, F405&lt;&gt;"ASTM A416"), L405, 0), 3)</f>
        <v/>
      </c>
      <c r="P405" s="21">
        <f>ROUND(P404 + IF(AND(E405&gt;18, F405&lt;&gt;"ASTM A416"), L405, 0), 3)</f>
        <v/>
      </c>
      <c r="Q405" s="21">
        <f>ROUND(Q404 + IF(F405="ASTM A416", L405, 0), 3)</f>
        <v/>
      </c>
      <c r="R405" s="11">
        <f>IF(INT(N405/20)&gt;INT(N404/20), "Lần " &amp; INT(N405/20), "")</f>
        <v/>
      </c>
      <c r="S405" s="12">
        <f>IF(INT(O405/20)&gt;INT(O404/20), "Lần " &amp; INT(O405/20), "")</f>
        <v/>
      </c>
      <c r="T405" s="11">
        <f>IF(INT(P405/20)&gt;INT(P404/20), "Lần " &amp; INT(P405/20), "")</f>
        <v/>
      </c>
      <c r="U405" s="25">
        <f>IF(INT(Q405/20)&gt;INT(Q404/20), "Lần " &amp; INT(Q405/20), "")</f>
        <v/>
      </c>
      <c r="V405" s="6" t="inlineStr"/>
      <c r="W405" s="6" t="inlineStr">
        <is>
          <t>ĐẠT TCVN 1651:2018</t>
        </is>
      </c>
    </row>
    <row r="406" ht="19" customHeight="1">
      <c r="A406" s="6" t="n">
        <v>376</v>
      </c>
      <c r="B406" s="7" t="inlineStr">
        <is>
          <t>Cọc khoan nhồi C4 Mố M2 (D1.2m, L=36.0m)</t>
        </is>
      </c>
      <c r="C406" s="7" t="inlineStr">
        <is>
          <t>Đai tăng cường / Con kê bảo vệ</t>
        </is>
      </c>
      <c r="D406" s="19" t="inlineStr">
        <is>
          <t>P8</t>
        </is>
      </c>
      <c r="E406" s="20" t="n">
        <v>12</v>
      </c>
      <c r="F406" s="6" t="inlineStr">
        <is>
          <t>CB400-V</t>
        </is>
      </c>
      <c r="G406" s="7" t="inlineStr">
        <is>
          <t>Móc neo / Vòng đai</t>
        </is>
      </c>
      <c r="H406" s="21" t="n">
        <v>0.647</v>
      </c>
      <c r="I406" s="22" t="n">
        <v>15</v>
      </c>
      <c r="J406" s="23" t="n">
        <v>0.888</v>
      </c>
      <c r="K406" s="9">
        <f>ROUND(H406*I406*J406, 2)</f>
        <v/>
      </c>
      <c r="L406" s="24">
        <f>ROUND(K406/1000, 3)</f>
        <v/>
      </c>
      <c r="M406" s="8" t="n"/>
      <c r="N406" s="21">
        <f>ROUND(N405 + IF(AND(E406&lt;=10, F406&lt;&gt;"ASTM A416"), L406, 0), 3)</f>
        <v/>
      </c>
      <c r="O406" s="21">
        <f>ROUND(O405 + IF(AND(E406&gt;10, E406&lt;=18, F406&lt;&gt;"ASTM A416"), L406, 0), 3)</f>
        <v/>
      </c>
      <c r="P406" s="21">
        <f>ROUND(P405 + IF(AND(E406&gt;18, F406&lt;&gt;"ASTM A416"), L406, 0), 3)</f>
        <v/>
      </c>
      <c r="Q406" s="21">
        <f>ROUND(Q405 + IF(F406="ASTM A416", L406, 0), 3)</f>
        <v/>
      </c>
      <c r="R406" s="11">
        <f>IF(INT(N406/20)&gt;INT(N405/20), "Lần " &amp; INT(N406/20), "")</f>
        <v/>
      </c>
      <c r="S406" s="12">
        <f>IF(INT(O406/20)&gt;INT(O405/20), "Lần " &amp; INT(O406/20), "")</f>
        <v/>
      </c>
      <c r="T406" s="11">
        <f>IF(INT(P406/20)&gt;INT(P405/20), "Lần " &amp; INT(P406/20), "")</f>
        <v/>
      </c>
      <c r="U406" s="25">
        <f>IF(INT(Q406/20)&gt;INT(Q405/20), "Lần " &amp; INT(Q406/20), "")</f>
        <v/>
      </c>
      <c r="V406" s="6" t="inlineStr"/>
      <c r="W406" s="6" t="inlineStr">
        <is>
          <t>ĐẠT TCVN 1651:2018</t>
        </is>
      </c>
    </row>
    <row r="407" ht="19" customHeight="1">
      <c r="A407" s="6" t="n">
        <v>377</v>
      </c>
      <c r="B407" s="7" t="inlineStr">
        <is>
          <t>Cọc khoan nhồi C4 Mố M2 (D1.2m, L=36.0m)</t>
        </is>
      </c>
      <c r="C407" s="7" t="inlineStr">
        <is>
          <t>Đai tăng cường / Con kê bảo vệ</t>
        </is>
      </c>
      <c r="D407" s="19" t="inlineStr">
        <is>
          <t>P9</t>
        </is>
      </c>
      <c r="E407" s="20" t="n">
        <v>12</v>
      </c>
      <c r="F407" s="6" t="inlineStr">
        <is>
          <t>CB400-V</t>
        </is>
      </c>
      <c r="G407" s="7" t="inlineStr">
        <is>
          <t>Móc neo / Vòng đai</t>
        </is>
      </c>
      <c r="H407" s="21" t="n">
        <v>0.379</v>
      </c>
      <c r="I407" s="22" t="n">
        <v>45</v>
      </c>
      <c r="J407" s="23" t="n">
        <v>0.888</v>
      </c>
      <c r="K407" s="9">
        <f>ROUND(H407*I407*J407, 2)</f>
        <v/>
      </c>
      <c r="L407" s="24">
        <f>ROUND(K407/1000, 3)</f>
        <v/>
      </c>
      <c r="M407" s="8" t="n"/>
      <c r="N407" s="21">
        <f>ROUND(N406 + IF(AND(E407&lt;=10, F407&lt;&gt;"ASTM A416"), L407, 0), 3)</f>
        <v/>
      </c>
      <c r="O407" s="21">
        <f>ROUND(O406 + IF(AND(E407&gt;10, E407&lt;=18, F407&lt;&gt;"ASTM A416"), L407, 0), 3)</f>
        <v/>
      </c>
      <c r="P407" s="21">
        <f>ROUND(P406 + IF(AND(E407&gt;18, F407&lt;&gt;"ASTM A416"), L407, 0), 3)</f>
        <v/>
      </c>
      <c r="Q407" s="21">
        <f>ROUND(Q406 + IF(F407="ASTM A416", L407, 0), 3)</f>
        <v/>
      </c>
      <c r="R407" s="11">
        <f>IF(INT(N407/20)&gt;INT(N406/20), "Lần " &amp; INT(N407/20), "")</f>
        <v/>
      </c>
      <c r="S407" s="12">
        <f>IF(INT(O407/20)&gt;INT(O406/20), "Lần " &amp; INT(O407/20), "")</f>
        <v/>
      </c>
      <c r="T407" s="11">
        <f>IF(INT(P407/20)&gt;INT(P406/20), "Lần " &amp; INT(P407/20), "")</f>
        <v/>
      </c>
      <c r="U407" s="25">
        <f>IF(INT(Q407/20)&gt;INT(Q406/20), "Lần " &amp; INT(Q407/20), "")</f>
        <v/>
      </c>
      <c r="V407" s="6" t="inlineStr"/>
      <c r="W407" s="6" t="inlineStr">
        <is>
          <t>ĐẠT TCVN 1651:2018</t>
        </is>
      </c>
    </row>
    <row r="408" ht="19" customHeight="1">
      <c r="A408" s="6" t="n">
        <v>378</v>
      </c>
      <c r="B408" s="7" t="inlineStr">
        <is>
          <t>Cọc khoan nhồi C4 Mố M2 (D1.2m, L=36.0m)</t>
        </is>
      </c>
      <c r="C408" s="7" t="inlineStr">
        <is>
          <t>Thép đai xoắn lồng cọc</t>
        </is>
      </c>
      <c r="D408" s="19" t="inlineStr">
        <is>
          <t>P10</t>
        </is>
      </c>
      <c r="E408" s="20" t="n">
        <v>20</v>
      </c>
      <c r="F408" s="6" t="inlineStr">
        <is>
          <t>CB400-V</t>
        </is>
      </c>
      <c r="G408" s="7" t="inlineStr">
        <is>
          <t>Đai xoắn tròn</t>
        </is>
      </c>
      <c r="H408" s="21" t="n">
        <v>2.057</v>
      </c>
      <c r="I408" s="22" t="n">
        <v>1</v>
      </c>
      <c r="J408" s="23" t="n">
        <v>2.47</v>
      </c>
      <c r="K408" s="9">
        <f>ROUND(H408*I408*J408, 2)</f>
        <v/>
      </c>
      <c r="L408" s="24">
        <f>ROUND(K408/1000, 3)</f>
        <v/>
      </c>
      <c r="M408" s="8" t="n"/>
      <c r="N408" s="21">
        <f>ROUND(N407 + IF(AND(E408&lt;=10, F408&lt;&gt;"ASTM A416"), L408, 0), 3)</f>
        <v/>
      </c>
      <c r="O408" s="21">
        <f>ROUND(O407 + IF(AND(E408&gt;10, E408&lt;=18, F408&lt;&gt;"ASTM A416"), L408, 0), 3)</f>
        <v/>
      </c>
      <c r="P408" s="21">
        <f>ROUND(P407 + IF(AND(E408&gt;18, F408&lt;&gt;"ASTM A416"), L408, 0), 3)</f>
        <v/>
      </c>
      <c r="Q408" s="21">
        <f>ROUND(Q407 + IF(F408="ASTM A416", L408, 0), 3)</f>
        <v/>
      </c>
      <c r="R408" s="11">
        <f>IF(INT(N408/20)&gt;INT(N407/20), "Lần " &amp; INT(N408/20), "")</f>
        <v/>
      </c>
      <c r="S408" s="12">
        <f>IF(INT(O408/20)&gt;INT(O407/20), "Lần " &amp; INT(O408/20), "")</f>
        <v/>
      </c>
      <c r="T408" s="11">
        <f>IF(INT(P408/20)&gt;INT(P407/20), "Lần " &amp; INT(P408/20), "")</f>
        <v/>
      </c>
      <c r="U408" s="25">
        <f>IF(INT(Q408/20)&gt;INT(Q407/20), "Lần " &amp; INT(Q408/20), "")</f>
        <v/>
      </c>
      <c r="V408" s="6" t="inlineStr"/>
      <c r="W408" s="6" t="inlineStr">
        <is>
          <t>ĐẠT TCVN 1651:2018</t>
        </is>
      </c>
    </row>
    <row r="409" ht="19" customHeight="1">
      <c r="A409" s="6" t="n">
        <v>379</v>
      </c>
      <c r="B409" s="7" t="inlineStr">
        <is>
          <t>Cọc khoan nhồi C4 Mố M2 (D1.2m, L=36.0m)</t>
        </is>
      </c>
      <c r="C409" s="7" t="inlineStr">
        <is>
          <t>Thép đai xoắn lồng cọc</t>
        </is>
      </c>
      <c r="D409" s="19" t="inlineStr">
        <is>
          <t>P12</t>
        </is>
      </c>
      <c r="E409" s="20" t="n">
        <v>20</v>
      </c>
      <c r="F409" s="6" t="inlineStr">
        <is>
          <t>CB400-V</t>
        </is>
      </c>
      <c r="G409" s="7" t="inlineStr">
        <is>
          <t>Đai xoắn tròn</t>
        </is>
      </c>
      <c r="H409" s="21" t="n">
        <v>0.583</v>
      </c>
      <c r="I409" s="22" t="n">
        <v>60</v>
      </c>
      <c r="J409" s="23" t="n">
        <v>2.47</v>
      </c>
      <c r="K409" s="9">
        <f>ROUND(H409*I409*J409, 2)</f>
        <v/>
      </c>
      <c r="L409" s="24">
        <f>ROUND(K409/1000, 3)</f>
        <v/>
      </c>
      <c r="M409" s="8" t="n"/>
      <c r="N409" s="21">
        <f>ROUND(N408 + IF(AND(E409&lt;=10, F409&lt;&gt;"ASTM A416"), L409, 0), 3)</f>
        <v/>
      </c>
      <c r="O409" s="21">
        <f>ROUND(O408 + IF(AND(E409&gt;10, E409&lt;=18, F409&lt;&gt;"ASTM A416"), L409, 0), 3)</f>
        <v/>
      </c>
      <c r="P409" s="21">
        <f>ROUND(P408 + IF(AND(E409&gt;18, F409&lt;&gt;"ASTM A416"), L409, 0), 3)</f>
        <v/>
      </c>
      <c r="Q409" s="21">
        <f>ROUND(Q408 + IF(F409="ASTM A416", L409, 0), 3)</f>
        <v/>
      </c>
      <c r="R409" s="11">
        <f>IF(INT(N409/20)&gt;INT(N408/20), "Lần " &amp; INT(N409/20), "")</f>
        <v/>
      </c>
      <c r="S409" s="12">
        <f>IF(INT(O409/20)&gt;INT(O408/20), "Lần " &amp; INT(O409/20), "")</f>
        <v/>
      </c>
      <c r="T409" s="11">
        <f>IF(INT(P409/20)&gt;INT(P408/20), "Lần " &amp; INT(P409/20), "")</f>
        <v/>
      </c>
      <c r="U409" s="25">
        <f>IF(INT(Q409/20)&gt;INT(Q408/20), "Lần " &amp; INT(Q409/20), "")</f>
        <v/>
      </c>
      <c r="V409" s="6" t="inlineStr"/>
      <c r="W409" s="6" t="inlineStr">
        <is>
          <t>ĐẠT TCVN 1651:2018</t>
        </is>
      </c>
    </row>
    <row r="410" ht="20" customHeight="1">
      <c r="A410" s="18" t="inlineStr">
        <is>
          <t>--- CỌC KHOAN NHỒI C5 MỐ M2 (D1.2M, L=36.0M) ---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</row>
    <row r="411" ht="19" customHeight="1">
      <c r="A411" s="6" t="n">
        <v>380</v>
      </c>
      <c r="B411" s="7" t="inlineStr">
        <is>
          <t>Cọc khoan nhồi C5 Mố M2 (D1.2m, L=36.0m)</t>
        </is>
      </c>
      <c r="C411" s="7" t="inlineStr">
        <is>
          <t>Thép đai xoắn lồng cọc</t>
        </is>
      </c>
      <c r="D411" s="19" t="inlineStr">
        <is>
          <t>P1</t>
        </is>
      </c>
      <c r="E411" s="20" t="n">
        <v>10</v>
      </c>
      <c r="F411" s="6" t="inlineStr">
        <is>
          <t>CB240-T</t>
        </is>
      </c>
      <c r="G411" s="7" t="inlineStr">
        <is>
          <t>Đai xoắn tròn</t>
        </is>
      </c>
      <c r="H411" s="21" t="n">
        <v>96.887</v>
      </c>
      <c r="I411" s="22" t="n">
        <v>1</v>
      </c>
      <c r="J411" s="23" t="n">
        <v>0.617</v>
      </c>
      <c r="K411" s="9">
        <f>ROUND(H411*I411*J411, 2)</f>
        <v/>
      </c>
      <c r="L411" s="24">
        <f>ROUND(K411/1000, 3)</f>
        <v/>
      </c>
      <c r="M411" s="8" t="n"/>
      <c r="N411" s="21">
        <f>ROUND(N409 + IF(AND(E411&lt;=10, F411&lt;&gt;"ASTM A416"), L411, 0), 3)</f>
        <v/>
      </c>
      <c r="O411" s="21">
        <f>ROUND(O409 + IF(AND(E411&gt;10, E411&lt;=18, F411&lt;&gt;"ASTM A416"), L411, 0), 3)</f>
        <v/>
      </c>
      <c r="P411" s="21">
        <f>ROUND(P409 + IF(AND(E411&gt;18, F411&lt;&gt;"ASTM A416"), L411, 0), 3)</f>
        <v/>
      </c>
      <c r="Q411" s="21">
        <f>ROUND(Q409 + IF(F411="ASTM A416", L411, 0), 3)</f>
        <v/>
      </c>
      <c r="R411" s="11">
        <f>IF(INT(N411/20)&gt;INT(N409/20), "Lần " &amp; INT(N411/20), "")</f>
        <v/>
      </c>
      <c r="S411" s="12">
        <f>IF(INT(O411/20)&gt;INT(O409/20), "Lần " &amp; INT(O411/20), "")</f>
        <v/>
      </c>
      <c r="T411" s="11">
        <f>IF(INT(P411/20)&gt;INT(P409/20), "Lần " &amp; INT(P411/20), "")</f>
        <v/>
      </c>
      <c r="U411" s="25">
        <f>IF(INT(Q411/20)&gt;INT(Q409/20), "Lần " &amp; INT(Q411/20), "")</f>
        <v/>
      </c>
      <c r="V411" s="6" t="inlineStr"/>
      <c r="W411" s="6" t="inlineStr">
        <is>
          <t>ĐẠT TCVN 1651:2018</t>
        </is>
      </c>
    </row>
    <row r="412" ht="19" customHeight="1">
      <c r="A412" s="6" t="n">
        <v>381</v>
      </c>
      <c r="B412" s="7" t="inlineStr">
        <is>
          <t>Cọc khoan nhồi C5 Mố M2 (D1.2m, L=36.0m)</t>
        </is>
      </c>
      <c r="C412" s="7" t="inlineStr">
        <is>
          <t>Thép đai xoắn lồng cọc</t>
        </is>
      </c>
      <c r="D412" s="19" t="inlineStr">
        <is>
          <t>P1A</t>
        </is>
      </c>
      <c r="E412" s="20" t="n">
        <v>10</v>
      </c>
      <c r="F412" s="6" t="inlineStr">
        <is>
          <t>CB240-T</t>
        </is>
      </c>
      <c r="G412" s="7" t="inlineStr">
        <is>
          <t>Đai xoắn tròn</t>
        </is>
      </c>
      <c r="H412" s="21" t="n">
        <v>390.776</v>
      </c>
      <c r="I412" s="22" t="n">
        <v>1</v>
      </c>
      <c r="J412" s="23" t="n">
        <v>0.617</v>
      </c>
      <c r="K412" s="9">
        <f>ROUND(H412*I412*J412, 2)</f>
        <v/>
      </c>
      <c r="L412" s="24">
        <f>ROUND(K412/1000, 3)</f>
        <v/>
      </c>
      <c r="M412" s="8" t="n"/>
      <c r="N412" s="21">
        <f>ROUND(N411 + IF(AND(E412&lt;=10, F412&lt;&gt;"ASTM A416"), L412, 0), 3)</f>
        <v/>
      </c>
      <c r="O412" s="21">
        <f>ROUND(O411 + IF(AND(E412&gt;10, E412&lt;=18, F412&lt;&gt;"ASTM A416"), L412, 0), 3)</f>
        <v/>
      </c>
      <c r="P412" s="21">
        <f>ROUND(P411 + IF(AND(E412&gt;18, F412&lt;&gt;"ASTM A416"), L412, 0), 3)</f>
        <v/>
      </c>
      <c r="Q412" s="21">
        <f>ROUND(Q411 + IF(F412="ASTM A416", L412, 0), 3)</f>
        <v/>
      </c>
      <c r="R412" s="11">
        <f>IF(INT(N412/20)&gt;INT(N411/20), "Lần " &amp; INT(N412/20), "")</f>
        <v/>
      </c>
      <c r="S412" s="12">
        <f>IF(INT(O412/20)&gt;INT(O411/20), "Lần " &amp; INT(O412/20), "")</f>
        <v/>
      </c>
      <c r="T412" s="11">
        <f>IF(INT(P412/20)&gt;INT(P411/20), "Lần " &amp; INT(P412/20), "")</f>
        <v/>
      </c>
      <c r="U412" s="25">
        <f>IF(INT(Q412/20)&gt;INT(Q411/20), "Lần " &amp; INT(Q412/20), "")</f>
        <v/>
      </c>
      <c r="V412" s="6" t="inlineStr"/>
      <c r="W412" s="6" t="inlineStr">
        <is>
          <t>ĐẠT TCVN 1651:2018</t>
        </is>
      </c>
    </row>
    <row r="413" ht="19" customHeight="1">
      <c r="A413" s="6" t="n">
        <v>382</v>
      </c>
      <c r="B413" s="7" t="inlineStr">
        <is>
          <t>Cọc khoan nhồi C5 Mố M2 (D1.2m, L=36.0m)</t>
        </is>
      </c>
      <c r="C413" s="7" t="inlineStr">
        <is>
          <t>Thép đai xoắn lồng cọc</t>
        </is>
      </c>
      <c r="D413" s="19" t="inlineStr">
        <is>
          <t>P1B</t>
        </is>
      </c>
      <c r="E413" s="20" t="n">
        <v>10</v>
      </c>
      <c r="F413" s="6" t="inlineStr">
        <is>
          <t>CB240-T</t>
        </is>
      </c>
      <c r="G413" s="7" t="inlineStr">
        <is>
          <t>Đai xoắn tròn</t>
        </is>
      </c>
      <c r="H413" s="21" t="n">
        <v>164.938</v>
      </c>
      <c r="I413" s="22" t="n">
        <v>1</v>
      </c>
      <c r="J413" s="23" t="n">
        <v>0.617</v>
      </c>
      <c r="K413" s="9">
        <f>ROUND(H413*I413*J413, 2)</f>
        <v/>
      </c>
      <c r="L413" s="24">
        <f>ROUND(K413/1000, 3)</f>
        <v/>
      </c>
      <c r="M413" s="8" t="n"/>
      <c r="N413" s="21">
        <f>ROUND(N412 + IF(AND(E413&lt;=10, F413&lt;&gt;"ASTM A416"), L413, 0), 3)</f>
        <v/>
      </c>
      <c r="O413" s="21">
        <f>ROUND(O412 + IF(AND(E413&gt;10, E413&lt;=18, F413&lt;&gt;"ASTM A416"), L413, 0), 3)</f>
        <v/>
      </c>
      <c r="P413" s="21">
        <f>ROUND(P412 + IF(AND(E413&gt;18, F413&lt;&gt;"ASTM A416"), L413, 0), 3)</f>
        <v/>
      </c>
      <c r="Q413" s="21">
        <f>ROUND(Q412 + IF(F413="ASTM A416", L413, 0), 3)</f>
        <v/>
      </c>
      <c r="R413" s="11">
        <f>IF(INT(N413/20)&gt;INT(N412/20), "Lần " &amp; INT(N413/20), "")</f>
        <v/>
      </c>
      <c r="S413" s="12">
        <f>IF(INT(O413/20)&gt;INT(O412/20), "Lần " &amp; INT(O413/20), "")</f>
        <v/>
      </c>
      <c r="T413" s="11">
        <f>IF(INT(P413/20)&gt;INT(P412/20), "Lần " &amp; INT(P413/20), "")</f>
        <v/>
      </c>
      <c r="U413" s="25">
        <f>IF(INT(Q413/20)&gt;INT(Q412/20), "Lần " &amp; INT(Q413/20), "")</f>
        <v/>
      </c>
      <c r="V413" s="6" t="inlineStr"/>
      <c r="W413" s="6" t="inlineStr">
        <is>
          <t>ĐẠT TCVN 1651:2018</t>
        </is>
      </c>
    </row>
    <row r="414" ht="19" customHeight="1">
      <c r="A414" s="6" t="n">
        <v>383</v>
      </c>
      <c r="B414" s="7" t="inlineStr">
        <is>
          <t>Cọc khoan nhồi C5 Mố M2 (D1.2m, L=36.0m)</t>
        </is>
      </c>
      <c r="C414" s="7" t="inlineStr">
        <is>
          <t>Thép đai xoắn lồng cọc</t>
        </is>
      </c>
      <c r="D414" s="19" t="inlineStr">
        <is>
          <t>P1C</t>
        </is>
      </c>
      <c r="E414" s="20" t="n">
        <v>10</v>
      </c>
      <c r="F414" s="6" t="inlineStr">
        <is>
          <t>CB240-T</t>
        </is>
      </c>
      <c r="G414" s="7" t="inlineStr">
        <is>
          <t>Đai xoắn tròn</t>
        </is>
      </c>
      <c r="H414" s="21" t="n">
        <v>3.592</v>
      </c>
      <c r="I414" s="22" t="n">
        <v>2</v>
      </c>
      <c r="J414" s="23" t="n">
        <v>0.617</v>
      </c>
      <c r="K414" s="9">
        <f>ROUND(H414*I414*J414, 2)</f>
        <v/>
      </c>
      <c r="L414" s="24">
        <f>ROUND(K414/1000, 3)</f>
        <v/>
      </c>
      <c r="M414" s="8" t="n"/>
      <c r="N414" s="21">
        <f>ROUND(N413 + IF(AND(E414&lt;=10, F414&lt;&gt;"ASTM A416"), L414, 0), 3)</f>
        <v/>
      </c>
      <c r="O414" s="21">
        <f>ROUND(O413 + IF(AND(E414&gt;10, E414&lt;=18, F414&lt;&gt;"ASTM A416"), L414, 0), 3)</f>
        <v/>
      </c>
      <c r="P414" s="21">
        <f>ROUND(P413 + IF(AND(E414&gt;18, F414&lt;&gt;"ASTM A416"), L414, 0), 3)</f>
        <v/>
      </c>
      <c r="Q414" s="21">
        <f>ROUND(Q413 + IF(F414="ASTM A416", L414, 0), 3)</f>
        <v/>
      </c>
      <c r="R414" s="11">
        <f>IF(INT(N414/20)&gt;INT(N413/20), "Lần " &amp; INT(N414/20), "")</f>
        <v/>
      </c>
      <c r="S414" s="12">
        <f>IF(INT(O414/20)&gt;INT(O413/20), "Lần " &amp; INT(O414/20), "")</f>
        <v/>
      </c>
      <c r="T414" s="11">
        <f>IF(INT(P414/20)&gt;INT(P413/20), "Lần " &amp; INT(P414/20), "")</f>
        <v/>
      </c>
      <c r="U414" s="25">
        <f>IF(INT(Q414/20)&gt;INT(Q413/20), "Lần " &amp; INT(Q414/20), "")</f>
        <v/>
      </c>
      <c r="V414" s="6" t="inlineStr"/>
      <c r="W414" s="6" t="inlineStr">
        <is>
          <t>ĐẠT TCVN 1651:2018</t>
        </is>
      </c>
    </row>
    <row r="415" ht="19" customHeight="1">
      <c r="A415" s="6" t="n">
        <v>384</v>
      </c>
      <c r="B415" s="7" t="inlineStr">
        <is>
          <t>Cọc khoan nhồi C5 Mố M2 (D1.2m, L=36.0m)</t>
        </is>
      </c>
      <c r="C415" s="7" t="inlineStr">
        <is>
          <t>Thép đai xoắn lồng cọc</t>
        </is>
      </c>
      <c r="D415" s="19" t="inlineStr">
        <is>
          <t>P1D</t>
        </is>
      </c>
      <c r="E415" s="20" t="n">
        <v>10</v>
      </c>
      <c r="F415" s="6" t="inlineStr">
        <is>
          <t>CB240-T</t>
        </is>
      </c>
      <c r="G415" s="7" t="inlineStr">
        <is>
          <t>Đai xoắn tròn</t>
        </is>
      </c>
      <c r="H415" s="21" t="n">
        <v>23.007</v>
      </c>
      <c r="I415" s="22" t="n">
        <v>1</v>
      </c>
      <c r="J415" s="23" t="n">
        <v>0.617</v>
      </c>
      <c r="K415" s="9">
        <f>ROUND(H415*I415*J415, 2)</f>
        <v/>
      </c>
      <c r="L415" s="24">
        <f>ROUND(K415/1000, 3)</f>
        <v/>
      </c>
      <c r="M415" s="8" t="n"/>
      <c r="N415" s="21">
        <f>ROUND(N414 + IF(AND(E415&lt;=10, F415&lt;&gt;"ASTM A416"), L415, 0), 3)</f>
        <v/>
      </c>
      <c r="O415" s="21">
        <f>ROUND(O414 + IF(AND(E415&gt;10, E415&lt;=18, F415&lt;&gt;"ASTM A416"), L415, 0), 3)</f>
        <v/>
      </c>
      <c r="P415" s="21">
        <f>ROUND(P414 + IF(AND(E415&gt;18, F415&lt;&gt;"ASTM A416"), L415, 0), 3)</f>
        <v/>
      </c>
      <c r="Q415" s="21">
        <f>ROUND(Q414 + IF(F415="ASTM A416", L415, 0), 3)</f>
        <v/>
      </c>
      <c r="R415" s="11">
        <f>IF(INT(N415/20)&gt;INT(N414/20), "Lần " &amp; INT(N415/20), "")</f>
        <v/>
      </c>
      <c r="S415" s="12">
        <f>IF(INT(O415/20)&gt;INT(O414/20), "Lần " &amp; INT(O415/20), "")</f>
        <v/>
      </c>
      <c r="T415" s="11">
        <f>IF(INT(P415/20)&gt;INT(P414/20), "Lần " &amp; INT(P415/20), "")</f>
        <v/>
      </c>
      <c r="U415" s="25">
        <f>IF(INT(Q415/20)&gt;INT(Q414/20), "Lần " &amp; INT(Q415/20), "")</f>
        <v/>
      </c>
      <c r="V415" s="6" t="inlineStr"/>
      <c r="W415" s="6" t="inlineStr">
        <is>
          <t>ĐẠT TCVN 1651:2018</t>
        </is>
      </c>
    </row>
    <row r="416" ht="19" customHeight="1">
      <c r="A416" s="6" t="n">
        <v>385</v>
      </c>
      <c r="B416" s="7" t="inlineStr">
        <is>
          <t>Cọc khoan nhồi C5 Mố M2 (D1.2m, L=36.0m)</t>
        </is>
      </c>
      <c r="C416" s="7" t="inlineStr">
        <is>
          <t>Cốt thép chủ chịu lực cọc</t>
        </is>
      </c>
      <c r="D416" s="19" t="inlineStr">
        <is>
          <t>P2A</t>
        </is>
      </c>
      <c r="E416" s="20" t="n">
        <v>28</v>
      </c>
      <c r="F416" s="6" t="inlineStr">
        <is>
          <t>CB400-V</t>
        </is>
      </c>
      <c r="G416" s="7" t="inlineStr">
        <is>
          <t>Thanh thẳng nối ren/hàn</t>
        </is>
      </c>
      <c r="H416" s="21" t="n">
        <v>2.966</v>
      </c>
      <c r="I416" s="22" t="n">
        <v>5</v>
      </c>
      <c r="J416" s="23" t="n">
        <v>4.83</v>
      </c>
      <c r="K416" s="9">
        <f>ROUND(H416*I416*J416, 2)</f>
        <v/>
      </c>
      <c r="L416" s="24">
        <f>ROUND(K416/1000, 3)</f>
        <v/>
      </c>
      <c r="M416" s="8" t="n"/>
      <c r="N416" s="21">
        <f>ROUND(N415 + IF(AND(E416&lt;=10, F416&lt;&gt;"ASTM A416"), L416, 0), 3)</f>
        <v/>
      </c>
      <c r="O416" s="21">
        <f>ROUND(O415 + IF(AND(E416&gt;10, E416&lt;=18, F416&lt;&gt;"ASTM A416"), L416, 0), 3)</f>
        <v/>
      </c>
      <c r="P416" s="21">
        <f>ROUND(P415 + IF(AND(E416&gt;18, F416&lt;&gt;"ASTM A416"), L416, 0), 3)</f>
        <v/>
      </c>
      <c r="Q416" s="21">
        <f>ROUND(Q415 + IF(F416="ASTM A416", L416, 0), 3)</f>
        <v/>
      </c>
      <c r="R416" s="11">
        <f>IF(INT(N416/20)&gt;INT(N415/20), "Lần " &amp; INT(N416/20), "")</f>
        <v/>
      </c>
      <c r="S416" s="12">
        <f>IF(INT(O416/20)&gt;INT(O415/20), "Lần " &amp; INT(O416/20), "")</f>
        <v/>
      </c>
      <c r="T416" s="11">
        <f>IF(INT(P416/20)&gt;INT(P415/20), "Lần " &amp; INT(P416/20), "")</f>
        <v/>
      </c>
      <c r="U416" s="25">
        <f>IF(INT(Q416/20)&gt;INT(Q415/20), "Lần " &amp; INT(Q416/20), "")</f>
        <v/>
      </c>
      <c r="V416" s="6" t="inlineStr"/>
      <c r="W416" s="6" t="inlineStr">
        <is>
          <t>ĐẠT TCVN 1651:2018</t>
        </is>
      </c>
    </row>
    <row r="417" ht="19" customHeight="1">
      <c r="A417" s="6" t="n">
        <v>386</v>
      </c>
      <c r="B417" s="7" t="inlineStr">
        <is>
          <t>Cọc khoan nhồi C5 Mố M2 (D1.2m, L=36.0m)</t>
        </is>
      </c>
      <c r="C417" s="7" t="inlineStr">
        <is>
          <t>Cốt thép chủ chịu lực cọc</t>
        </is>
      </c>
      <c r="D417" s="19" t="inlineStr">
        <is>
          <t>P2B</t>
        </is>
      </c>
      <c r="E417" s="20" t="n">
        <v>25</v>
      </c>
      <c r="F417" s="6" t="inlineStr">
        <is>
          <t>CB400-V</t>
        </is>
      </c>
      <c r="G417" s="7" t="inlineStr">
        <is>
          <t>Thanh thẳng nối ren/hàn</t>
        </is>
      </c>
      <c r="H417" s="21" t="n">
        <v>2.985</v>
      </c>
      <c r="I417" s="22" t="n">
        <v>10</v>
      </c>
      <c r="J417" s="23" t="n">
        <v>3.85</v>
      </c>
      <c r="K417" s="9">
        <f>ROUND(H417*I417*J417, 2)</f>
        <v/>
      </c>
      <c r="L417" s="24">
        <f>ROUND(K417/1000, 3)</f>
        <v/>
      </c>
      <c r="M417" s="8" t="n"/>
      <c r="N417" s="21">
        <f>ROUND(N416 + IF(AND(E417&lt;=10, F417&lt;&gt;"ASTM A416"), L417, 0), 3)</f>
        <v/>
      </c>
      <c r="O417" s="21">
        <f>ROUND(O416 + IF(AND(E417&gt;10, E417&lt;=18, F417&lt;&gt;"ASTM A416"), L417, 0), 3)</f>
        <v/>
      </c>
      <c r="P417" s="21">
        <f>ROUND(P416 + IF(AND(E417&gt;18, F417&lt;&gt;"ASTM A416"), L417, 0), 3)</f>
        <v/>
      </c>
      <c r="Q417" s="21">
        <f>ROUND(Q416 + IF(F417="ASTM A416", L417, 0), 3)</f>
        <v/>
      </c>
      <c r="R417" s="11">
        <f>IF(INT(N417/20)&gt;INT(N416/20), "Lần " &amp; INT(N417/20), "")</f>
        <v/>
      </c>
      <c r="S417" s="12">
        <f>IF(INT(O417/20)&gt;INT(O416/20), "Lần " &amp; INT(O417/20), "")</f>
        <v/>
      </c>
      <c r="T417" s="11">
        <f>IF(INT(P417/20)&gt;INT(P416/20), "Lần " &amp; INT(P417/20), "")</f>
        <v/>
      </c>
      <c r="U417" s="25">
        <f>IF(INT(Q417/20)&gt;INT(Q416/20), "Lần " &amp; INT(Q417/20), "")</f>
        <v/>
      </c>
      <c r="V417" s="6" t="inlineStr"/>
      <c r="W417" s="6" t="inlineStr">
        <is>
          <t>ĐẠT TCVN 1651:2018</t>
        </is>
      </c>
    </row>
    <row r="418" ht="19" customHeight="1">
      <c r="A418" s="6" t="n">
        <v>387</v>
      </c>
      <c r="B418" s="7" t="inlineStr">
        <is>
          <t>Cọc khoan nhồi C5 Mố M2 (D1.2m, L=36.0m)</t>
        </is>
      </c>
      <c r="C418" s="7" t="inlineStr">
        <is>
          <t>Cốt thép chủ chịu lực cọc</t>
        </is>
      </c>
      <c r="D418" s="19" t="inlineStr">
        <is>
          <t>P3</t>
        </is>
      </c>
      <c r="E418" s="20" t="n">
        <v>28</v>
      </c>
      <c r="F418" s="6" t="inlineStr">
        <is>
          <t>CB400-V</t>
        </is>
      </c>
      <c r="G418" s="7" t="inlineStr">
        <is>
          <t>Thanh thẳng nối ren/hàn</t>
        </is>
      </c>
      <c r="H418" s="21" t="n">
        <v>10.7</v>
      </c>
      <c r="I418" s="22" t="n">
        <v>12</v>
      </c>
      <c r="J418" s="23" t="n">
        <v>4.83</v>
      </c>
      <c r="K418" s="9">
        <f>ROUND(H418*I418*J418, 2)</f>
        <v/>
      </c>
      <c r="L418" s="24">
        <f>ROUND(K418/1000, 3)</f>
        <v/>
      </c>
      <c r="M418" s="8" t="n"/>
      <c r="N418" s="21">
        <f>ROUND(N417 + IF(AND(E418&lt;=10, F418&lt;&gt;"ASTM A416"), L418, 0), 3)</f>
        <v/>
      </c>
      <c r="O418" s="21">
        <f>ROUND(O417 + IF(AND(E418&gt;10, E418&lt;=18, F418&lt;&gt;"ASTM A416"), L418, 0), 3)</f>
        <v/>
      </c>
      <c r="P418" s="21">
        <f>ROUND(P417 + IF(AND(E418&gt;18, F418&lt;&gt;"ASTM A416"), L418, 0), 3)</f>
        <v/>
      </c>
      <c r="Q418" s="21">
        <f>ROUND(Q417 + IF(F418="ASTM A416", L418, 0), 3)</f>
        <v/>
      </c>
      <c r="R418" s="11">
        <f>IF(INT(N418/20)&gt;INT(N417/20), "Lần " &amp; INT(N418/20), "")</f>
        <v/>
      </c>
      <c r="S418" s="12">
        <f>IF(INT(O418/20)&gt;INT(O417/20), "Lần " &amp; INT(O418/20), "")</f>
        <v/>
      </c>
      <c r="T418" s="11">
        <f>IF(INT(P418/20)&gt;INT(P417/20), "Lần " &amp; INT(P418/20), "")</f>
        <v/>
      </c>
      <c r="U418" s="25">
        <f>IF(INT(Q418/20)&gt;INT(Q417/20), "Lần " &amp; INT(Q418/20), "")</f>
        <v/>
      </c>
      <c r="V418" s="6" t="inlineStr"/>
      <c r="W418" s="6" t="inlineStr">
        <is>
          <t>ĐẠT TCVN 1651:2018</t>
        </is>
      </c>
    </row>
    <row r="419" ht="19" customHeight="1">
      <c r="A419" s="6" t="n">
        <v>388</v>
      </c>
      <c r="B419" s="7" t="inlineStr">
        <is>
          <t>Cọc khoan nhồi C5 Mố M2 (D1.2m, L=36.0m)</t>
        </is>
      </c>
      <c r="C419" s="7" t="inlineStr">
        <is>
          <t>Cốt thép chủ chịu lực cọc</t>
        </is>
      </c>
      <c r="D419" s="19" t="inlineStr">
        <is>
          <t>P4</t>
        </is>
      </c>
      <c r="E419" s="20" t="n">
        <v>28</v>
      </c>
      <c r="F419" s="6" t="inlineStr">
        <is>
          <t>CB400-V</t>
        </is>
      </c>
      <c r="G419" s="7" t="inlineStr">
        <is>
          <t>Thanh thẳng nối ren/hàn</t>
        </is>
      </c>
      <c r="H419" s="21" t="n">
        <v>11.7</v>
      </c>
      <c r="I419" s="22" t="n">
        <v>12</v>
      </c>
      <c r="J419" s="23" t="n">
        <v>4.83</v>
      </c>
      <c r="K419" s="9">
        <f>ROUND(H419*I419*J419, 2)</f>
        <v/>
      </c>
      <c r="L419" s="24">
        <f>ROUND(K419/1000, 3)</f>
        <v/>
      </c>
      <c r="M419" s="8" t="n"/>
      <c r="N419" s="21">
        <f>ROUND(N418 + IF(AND(E419&lt;=10, F419&lt;&gt;"ASTM A416"), L419, 0), 3)</f>
        <v/>
      </c>
      <c r="O419" s="21">
        <f>ROUND(O418 + IF(AND(E419&gt;10, E419&lt;=18, F419&lt;&gt;"ASTM A416"), L419, 0), 3)</f>
        <v/>
      </c>
      <c r="P419" s="21">
        <f>ROUND(P418 + IF(AND(E419&gt;18, F419&lt;&gt;"ASTM A416"), L419, 0), 3)</f>
        <v/>
      </c>
      <c r="Q419" s="21">
        <f>ROUND(Q418 + IF(F419="ASTM A416", L419, 0), 3)</f>
        <v/>
      </c>
      <c r="R419" s="11">
        <f>IF(INT(N419/20)&gt;INT(N418/20), "Lần " &amp; INT(N419/20), "")</f>
        <v/>
      </c>
      <c r="S419" s="12">
        <f>IF(INT(O419/20)&gt;INT(O418/20), "Lần " &amp; INT(O419/20), "")</f>
        <v/>
      </c>
      <c r="T419" s="11">
        <f>IF(INT(P419/20)&gt;INT(P418/20), "Lần " &amp; INT(P419/20), "")</f>
        <v/>
      </c>
      <c r="U419" s="25">
        <f>IF(INT(Q419/20)&gt;INT(Q418/20), "Lần " &amp; INT(Q419/20), "")</f>
        <v/>
      </c>
      <c r="V419" s="6" t="inlineStr"/>
      <c r="W419" s="6" t="inlineStr">
        <is>
          <t>ĐẠT TCVN 1651:2018</t>
        </is>
      </c>
    </row>
    <row r="420" ht="19" customHeight="1">
      <c r="A420" s="6" t="n">
        <v>389</v>
      </c>
      <c r="B420" s="7" t="inlineStr">
        <is>
          <t>Cọc khoan nhồi C5 Mố M2 (D1.2m, L=36.0m)</t>
        </is>
      </c>
      <c r="C420" s="7" t="inlineStr">
        <is>
          <t>Cốt thép chủ chịu lực cọc</t>
        </is>
      </c>
      <c r="D420" s="19" t="inlineStr">
        <is>
          <t>P5</t>
        </is>
      </c>
      <c r="E420" s="20" t="n">
        <v>25</v>
      </c>
      <c r="F420" s="6" t="inlineStr">
        <is>
          <t>CB400-V</t>
        </is>
      </c>
      <c r="G420" s="7" t="inlineStr">
        <is>
          <t>Thanh thẳng nối ren/hàn</t>
        </is>
      </c>
      <c r="H420" s="21" t="n">
        <v>11.7</v>
      </c>
      <c r="I420" s="22" t="n">
        <v>48</v>
      </c>
      <c r="J420" s="23" t="n">
        <v>3.85</v>
      </c>
      <c r="K420" s="9">
        <f>ROUND(H420*I420*J420, 2)</f>
        <v/>
      </c>
      <c r="L420" s="24">
        <f>ROUND(K420/1000, 3)</f>
        <v/>
      </c>
      <c r="M420" s="8" t="n"/>
      <c r="N420" s="21">
        <f>ROUND(N419 + IF(AND(E420&lt;=10, F420&lt;&gt;"ASTM A416"), L420, 0), 3)</f>
        <v/>
      </c>
      <c r="O420" s="21">
        <f>ROUND(O419 + IF(AND(E420&gt;10, E420&lt;=18, F420&lt;&gt;"ASTM A416"), L420, 0), 3)</f>
        <v/>
      </c>
      <c r="P420" s="21">
        <f>ROUND(P419 + IF(AND(E420&gt;18, F420&lt;&gt;"ASTM A416"), L420, 0), 3)</f>
        <v/>
      </c>
      <c r="Q420" s="21">
        <f>ROUND(Q419 + IF(F420="ASTM A416", L420, 0), 3)</f>
        <v/>
      </c>
      <c r="R420" s="11">
        <f>IF(INT(N420/20)&gt;INT(N419/20), "Lần " &amp; INT(N420/20), "")</f>
        <v/>
      </c>
      <c r="S420" s="12">
        <f>IF(INT(O420/20)&gt;INT(O419/20), "Lần " &amp; INT(O420/20), "")</f>
        <v/>
      </c>
      <c r="T420" s="11">
        <f>IF(INT(P420/20)&gt;INT(P419/20), "Lần " &amp; INT(P420/20), "")</f>
        <v/>
      </c>
      <c r="U420" s="25">
        <f>IF(INT(Q420/20)&gt;INT(Q419/20), "Lần " &amp; INT(Q420/20), "")</f>
        <v/>
      </c>
      <c r="V420" s="6" t="inlineStr"/>
      <c r="W420" s="6" t="inlineStr">
        <is>
          <t>ĐẠT TCVN 1651:2018</t>
        </is>
      </c>
    </row>
    <row r="421" ht="19" customHeight="1">
      <c r="A421" s="6" t="n">
        <v>390</v>
      </c>
      <c r="B421" s="7" t="inlineStr">
        <is>
          <t>Cọc khoan nhồi C5 Mố M2 (D1.2m, L=36.0m)</t>
        </is>
      </c>
      <c r="C421" s="7" t="inlineStr">
        <is>
          <t>Cốt thép chủ chịu lực cọc</t>
        </is>
      </c>
      <c r="D421" s="19" t="inlineStr">
        <is>
          <t>P6</t>
        </is>
      </c>
      <c r="E421" s="20" t="n">
        <v>25</v>
      </c>
      <c r="F421" s="6" t="inlineStr">
        <is>
          <t>CB400-V</t>
        </is>
      </c>
      <c r="G421" s="7" t="inlineStr">
        <is>
          <t>Thanh thẳng nối ren/hàn</t>
        </is>
      </c>
      <c r="H421" s="21" t="n">
        <v>5.153</v>
      </c>
      <c r="I421" s="22" t="n">
        <v>12</v>
      </c>
      <c r="J421" s="23" t="n">
        <v>3.85</v>
      </c>
      <c r="K421" s="9">
        <f>ROUND(H421*I421*J421, 2)</f>
        <v/>
      </c>
      <c r="L421" s="24">
        <f>ROUND(K421/1000, 3)</f>
        <v/>
      </c>
      <c r="M421" s="8" t="n"/>
      <c r="N421" s="21">
        <f>ROUND(N420 + IF(AND(E421&lt;=10, F421&lt;&gt;"ASTM A416"), L421, 0), 3)</f>
        <v/>
      </c>
      <c r="O421" s="21">
        <f>ROUND(O420 + IF(AND(E421&gt;10, E421&lt;=18, F421&lt;&gt;"ASTM A416"), L421, 0), 3)</f>
        <v/>
      </c>
      <c r="P421" s="21">
        <f>ROUND(P420 + IF(AND(E421&gt;18, F421&lt;&gt;"ASTM A416"), L421, 0), 3)</f>
        <v/>
      </c>
      <c r="Q421" s="21">
        <f>ROUND(Q420 + IF(F421="ASTM A416", L421, 0), 3)</f>
        <v/>
      </c>
      <c r="R421" s="11">
        <f>IF(INT(N421/20)&gt;INT(N420/20), "Lần " &amp; INT(N421/20), "")</f>
        <v/>
      </c>
      <c r="S421" s="12">
        <f>IF(INT(O421/20)&gt;INT(O420/20), "Lần " &amp; INT(O421/20), "")</f>
        <v/>
      </c>
      <c r="T421" s="11">
        <f>IF(INT(P421/20)&gt;INT(P420/20), "Lần " &amp; INT(P421/20), "")</f>
        <v/>
      </c>
      <c r="U421" s="25">
        <f>IF(INT(Q421/20)&gt;INT(Q420/20), "Lần " &amp; INT(Q421/20), "")</f>
        <v/>
      </c>
      <c r="V421" s="6" t="inlineStr"/>
      <c r="W421" s="6" t="inlineStr">
        <is>
          <t>ĐẠT TCVN 1651:2018</t>
        </is>
      </c>
    </row>
    <row r="422" ht="19" customHeight="1">
      <c r="A422" s="6" t="n">
        <v>391</v>
      </c>
      <c r="B422" s="7" t="inlineStr">
        <is>
          <t>Cọc khoan nhồi C5 Mố M2 (D1.2m, L=36.0m)</t>
        </is>
      </c>
      <c r="C422" s="7" t="inlineStr">
        <is>
          <t>Cốt thép chủ chịu lực cọc</t>
        </is>
      </c>
      <c r="D422" s="19" t="inlineStr">
        <is>
          <t>P7</t>
        </is>
      </c>
      <c r="E422" s="20" t="n">
        <v>25</v>
      </c>
      <c r="F422" s="6" t="inlineStr">
        <is>
          <t>CB400-V</t>
        </is>
      </c>
      <c r="G422" s="7" t="inlineStr">
        <is>
          <t>Thanh thẳng nối ren/hàn</t>
        </is>
      </c>
      <c r="H422" s="21" t="n">
        <v>6.153</v>
      </c>
      <c r="I422" s="22" t="n">
        <v>12</v>
      </c>
      <c r="J422" s="23" t="n">
        <v>3.85</v>
      </c>
      <c r="K422" s="9">
        <f>ROUND(H422*I422*J422, 2)</f>
        <v/>
      </c>
      <c r="L422" s="24">
        <f>ROUND(K422/1000, 3)</f>
        <v/>
      </c>
      <c r="M422" s="8" t="n"/>
      <c r="N422" s="21">
        <f>ROUND(N421 + IF(AND(E422&lt;=10, F422&lt;&gt;"ASTM A416"), L422, 0), 3)</f>
        <v/>
      </c>
      <c r="O422" s="21">
        <f>ROUND(O421 + IF(AND(E422&gt;10, E422&lt;=18, F422&lt;&gt;"ASTM A416"), L422, 0), 3)</f>
        <v/>
      </c>
      <c r="P422" s="21">
        <f>ROUND(P421 + IF(AND(E422&gt;18, F422&lt;&gt;"ASTM A416"), L422, 0), 3)</f>
        <v/>
      </c>
      <c r="Q422" s="21">
        <f>ROUND(Q421 + IF(F422="ASTM A416", L422, 0), 3)</f>
        <v/>
      </c>
      <c r="R422" s="11">
        <f>IF(INT(N422/20)&gt;INT(N421/20), "Lần " &amp; INT(N422/20), "")</f>
        <v/>
      </c>
      <c r="S422" s="12">
        <f>IF(INT(O422/20)&gt;INT(O421/20), "Lần " &amp; INT(O422/20), "")</f>
        <v/>
      </c>
      <c r="T422" s="11">
        <f>IF(INT(P422/20)&gt;INT(P421/20), "Lần " &amp; INT(P422/20), "")</f>
        <v/>
      </c>
      <c r="U422" s="25">
        <f>IF(INT(Q422/20)&gt;INT(Q421/20), "Lần " &amp; INT(Q422/20), "")</f>
        <v/>
      </c>
      <c r="V422" s="6" t="inlineStr"/>
      <c r="W422" s="6" t="inlineStr">
        <is>
          <t>ĐẠT TCVN 1651:2018</t>
        </is>
      </c>
    </row>
    <row r="423" ht="19" customHeight="1">
      <c r="A423" s="6" t="n">
        <v>392</v>
      </c>
      <c r="B423" s="7" t="inlineStr">
        <is>
          <t>Cọc khoan nhồi C5 Mố M2 (D1.2m, L=36.0m)</t>
        </is>
      </c>
      <c r="C423" s="7" t="inlineStr">
        <is>
          <t>Đai tăng cường / Con kê bảo vệ</t>
        </is>
      </c>
      <c r="D423" s="19" t="inlineStr">
        <is>
          <t>P8</t>
        </is>
      </c>
      <c r="E423" s="20" t="n">
        <v>12</v>
      </c>
      <c r="F423" s="6" t="inlineStr">
        <is>
          <t>CB400-V</t>
        </is>
      </c>
      <c r="G423" s="7" t="inlineStr">
        <is>
          <t>Móc neo / Vòng đai</t>
        </is>
      </c>
      <c r="H423" s="21" t="n">
        <v>0.647</v>
      </c>
      <c r="I423" s="22" t="n">
        <v>15</v>
      </c>
      <c r="J423" s="23" t="n">
        <v>0.888</v>
      </c>
      <c r="K423" s="9">
        <f>ROUND(H423*I423*J423, 2)</f>
        <v/>
      </c>
      <c r="L423" s="24">
        <f>ROUND(K423/1000, 3)</f>
        <v/>
      </c>
      <c r="M423" s="8" t="n"/>
      <c r="N423" s="21">
        <f>ROUND(N422 + IF(AND(E423&lt;=10, F423&lt;&gt;"ASTM A416"), L423, 0), 3)</f>
        <v/>
      </c>
      <c r="O423" s="21">
        <f>ROUND(O422 + IF(AND(E423&gt;10, E423&lt;=18, F423&lt;&gt;"ASTM A416"), L423, 0), 3)</f>
        <v/>
      </c>
      <c r="P423" s="21">
        <f>ROUND(P422 + IF(AND(E423&gt;18, F423&lt;&gt;"ASTM A416"), L423, 0), 3)</f>
        <v/>
      </c>
      <c r="Q423" s="21">
        <f>ROUND(Q422 + IF(F423="ASTM A416", L423, 0), 3)</f>
        <v/>
      </c>
      <c r="R423" s="11">
        <f>IF(INT(N423/20)&gt;INT(N422/20), "Lần " &amp; INT(N423/20), "")</f>
        <v/>
      </c>
      <c r="S423" s="12">
        <f>IF(INT(O423/20)&gt;INT(O422/20), "Lần " &amp; INT(O423/20), "")</f>
        <v/>
      </c>
      <c r="T423" s="11">
        <f>IF(INT(P423/20)&gt;INT(P422/20), "Lần " &amp; INT(P423/20), "")</f>
        <v/>
      </c>
      <c r="U423" s="25">
        <f>IF(INT(Q423/20)&gt;INT(Q422/20), "Lần " &amp; INT(Q423/20), "")</f>
        <v/>
      </c>
      <c r="V423" s="6" t="inlineStr"/>
      <c r="W423" s="6" t="inlineStr">
        <is>
          <t>ĐẠT TCVN 1651:2018</t>
        </is>
      </c>
    </row>
    <row r="424" ht="19" customHeight="1">
      <c r="A424" s="6" t="n">
        <v>393</v>
      </c>
      <c r="B424" s="7" t="inlineStr">
        <is>
          <t>Cọc khoan nhồi C5 Mố M2 (D1.2m, L=36.0m)</t>
        </is>
      </c>
      <c r="C424" s="7" t="inlineStr">
        <is>
          <t>Đai tăng cường / Con kê bảo vệ</t>
        </is>
      </c>
      <c r="D424" s="19" t="inlineStr">
        <is>
          <t>P9</t>
        </is>
      </c>
      <c r="E424" s="20" t="n">
        <v>12</v>
      </c>
      <c r="F424" s="6" t="inlineStr">
        <is>
          <t>CB400-V</t>
        </is>
      </c>
      <c r="G424" s="7" t="inlineStr">
        <is>
          <t>Móc neo / Vòng đai</t>
        </is>
      </c>
      <c r="H424" s="21" t="n">
        <v>0.379</v>
      </c>
      <c r="I424" s="22" t="n">
        <v>45</v>
      </c>
      <c r="J424" s="23" t="n">
        <v>0.888</v>
      </c>
      <c r="K424" s="9">
        <f>ROUND(H424*I424*J424, 2)</f>
        <v/>
      </c>
      <c r="L424" s="24">
        <f>ROUND(K424/1000, 3)</f>
        <v/>
      </c>
      <c r="M424" s="8" t="n"/>
      <c r="N424" s="21">
        <f>ROUND(N423 + IF(AND(E424&lt;=10, F424&lt;&gt;"ASTM A416"), L424, 0), 3)</f>
        <v/>
      </c>
      <c r="O424" s="21">
        <f>ROUND(O423 + IF(AND(E424&gt;10, E424&lt;=18, F424&lt;&gt;"ASTM A416"), L424, 0), 3)</f>
        <v/>
      </c>
      <c r="P424" s="21">
        <f>ROUND(P423 + IF(AND(E424&gt;18, F424&lt;&gt;"ASTM A416"), L424, 0), 3)</f>
        <v/>
      </c>
      <c r="Q424" s="21">
        <f>ROUND(Q423 + IF(F424="ASTM A416", L424, 0), 3)</f>
        <v/>
      </c>
      <c r="R424" s="11">
        <f>IF(INT(N424/20)&gt;INT(N423/20), "Lần " &amp; INT(N424/20), "")</f>
        <v/>
      </c>
      <c r="S424" s="12">
        <f>IF(INT(O424/20)&gt;INT(O423/20), "Lần " &amp; INT(O424/20), "")</f>
        <v/>
      </c>
      <c r="T424" s="11">
        <f>IF(INT(P424/20)&gt;INT(P423/20), "Lần " &amp; INT(P424/20), "")</f>
        <v/>
      </c>
      <c r="U424" s="25">
        <f>IF(INT(Q424/20)&gt;INT(Q423/20), "Lần " &amp; INT(Q424/20), "")</f>
        <v/>
      </c>
      <c r="V424" s="6" t="inlineStr"/>
      <c r="W424" s="6" t="inlineStr">
        <is>
          <t>ĐẠT TCVN 1651:2018</t>
        </is>
      </c>
    </row>
    <row r="425" ht="19" customHeight="1">
      <c r="A425" s="6" t="n">
        <v>394</v>
      </c>
      <c r="B425" s="7" t="inlineStr">
        <is>
          <t>Cọc khoan nhồi C5 Mố M2 (D1.2m, L=36.0m)</t>
        </is>
      </c>
      <c r="C425" s="7" t="inlineStr">
        <is>
          <t>Thép đai xoắn lồng cọc</t>
        </is>
      </c>
      <c r="D425" s="19" t="inlineStr">
        <is>
          <t>P10</t>
        </is>
      </c>
      <c r="E425" s="20" t="n">
        <v>20</v>
      </c>
      <c r="F425" s="6" t="inlineStr">
        <is>
          <t>CB400-V</t>
        </is>
      </c>
      <c r="G425" s="7" t="inlineStr">
        <is>
          <t>Đai xoắn tròn</t>
        </is>
      </c>
      <c r="H425" s="21" t="n">
        <v>2.057</v>
      </c>
      <c r="I425" s="22" t="n">
        <v>1</v>
      </c>
      <c r="J425" s="23" t="n">
        <v>2.47</v>
      </c>
      <c r="K425" s="9">
        <f>ROUND(H425*I425*J425, 2)</f>
        <v/>
      </c>
      <c r="L425" s="24">
        <f>ROUND(K425/1000, 3)</f>
        <v/>
      </c>
      <c r="M425" s="8" t="n"/>
      <c r="N425" s="21">
        <f>ROUND(N424 + IF(AND(E425&lt;=10, F425&lt;&gt;"ASTM A416"), L425, 0), 3)</f>
        <v/>
      </c>
      <c r="O425" s="21">
        <f>ROUND(O424 + IF(AND(E425&gt;10, E425&lt;=18, F425&lt;&gt;"ASTM A416"), L425, 0), 3)</f>
        <v/>
      </c>
      <c r="P425" s="21">
        <f>ROUND(P424 + IF(AND(E425&gt;18, F425&lt;&gt;"ASTM A416"), L425, 0), 3)</f>
        <v/>
      </c>
      <c r="Q425" s="21">
        <f>ROUND(Q424 + IF(F425="ASTM A416", L425, 0), 3)</f>
        <v/>
      </c>
      <c r="R425" s="11">
        <f>IF(INT(N425/20)&gt;INT(N424/20), "Lần " &amp; INT(N425/20), "")</f>
        <v/>
      </c>
      <c r="S425" s="12">
        <f>IF(INT(O425/20)&gt;INT(O424/20), "Lần " &amp; INT(O425/20), "")</f>
        <v/>
      </c>
      <c r="T425" s="11">
        <f>IF(INT(P425/20)&gt;INT(P424/20), "Lần " &amp; INT(P425/20), "")</f>
        <v/>
      </c>
      <c r="U425" s="25">
        <f>IF(INT(Q425/20)&gt;INT(Q424/20), "Lần " &amp; INT(Q425/20), "")</f>
        <v/>
      </c>
      <c r="V425" s="6" t="inlineStr"/>
      <c r="W425" s="6" t="inlineStr">
        <is>
          <t>ĐẠT TCVN 1651:2018</t>
        </is>
      </c>
    </row>
    <row r="426" ht="19" customHeight="1">
      <c r="A426" s="6" t="n">
        <v>395</v>
      </c>
      <c r="B426" s="7" t="inlineStr">
        <is>
          <t>Cọc khoan nhồi C5 Mố M2 (D1.2m, L=36.0m)</t>
        </is>
      </c>
      <c r="C426" s="7" t="inlineStr">
        <is>
          <t>Thép đai xoắn lồng cọc</t>
        </is>
      </c>
      <c r="D426" s="19" t="inlineStr">
        <is>
          <t>P12</t>
        </is>
      </c>
      <c r="E426" s="20" t="n">
        <v>20</v>
      </c>
      <c r="F426" s="6" t="inlineStr">
        <is>
          <t>CB400-V</t>
        </is>
      </c>
      <c r="G426" s="7" t="inlineStr">
        <is>
          <t>Đai xoắn tròn</t>
        </is>
      </c>
      <c r="H426" s="21" t="n">
        <v>0.583</v>
      </c>
      <c r="I426" s="22" t="n">
        <v>60</v>
      </c>
      <c r="J426" s="23" t="n">
        <v>2.47</v>
      </c>
      <c r="K426" s="9">
        <f>ROUND(H426*I426*J426, 2)</f>
        <v/>
      </c>
      <c r="L426" s="24">
        <f>ROUND(K426/1000, 3)</f>
        <v/>
      </c>
      <c r="M426" s="8" t="n"/>
      <c r="N426" s="21">
        <f>ROUND(N425 + IF(AND(E426&lt;=10, F426&lt;&gt;"ASTM A416"), L426, 0), 3)</f>
        <v/>
      </c>
      <c r="O426" s="21">
        <f>ROUND(O425 + IF(AND(E426&gt;10, E426&lt;=18, F426&lt;&gt;"ASTM A416"), L426, 0), 3)</f>
        <v/>
      </c>
      <c r="P426" s="21">
        <f>ROUND(P425 + IF(AND(E426&gt;18, F426&lt;&gt;"ASTM A416"), L426, 0), 3)</f>
        <v/>
      </c>
      <c r="Q426" s="21">
        <f>ROUND(Q425 + IF(F426="ASTM A416", L426, 0), 3)</f>
        <v/>
      </c>
      <c r="R426" s="11">
        <f>IF(INT(N426/20)&gt;INT(N425/20), "Lần " &amp; INT(N426/20), "")</f>
        <v/>
      </c>
      <c r="S426" s="12">
        <f>IF(INT(O426/20)&gt;INT(O425/20), "Lần " &amp; INT(O426/20), "")</f>
        <v/>
      </c>
      <c r="T426" s="11">
        <f>IF(INT(P426/20)&gt;INT(P425/20), "Lần " &amp; INT(P426/20), "")</f>
        <v/>
      </c>
      <c r="U426" s="25">
        <f>IF(INT(Q426/20)&gt;INT(Q425/20), "Lần " &amp; INT(Q426/20), "")</f>
        <v/>
      </c>
      <c r="V426" s="6" t="inlineStr"/>
      <c r="W426" s="6" t="inlineStr">
        <is>
          <t>ĐẠT TCVN 1651:2018</t>
        </is>
      </c>
    </row>
    <row r="427" ht="20" customHeight="1">
      <c r="A427" s="18" t="inlineStr">
        <is>
          <t>--- CỌC KHOAN NHỒI C6 MỐ M2 (D1.2M, L=36.0M) ---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</row>
    <row r="428" ht="19" customHeight="1">
      <c r="A428" s="6" t="n">
        <v>396</v>
      </c>
      <c r="B428" s="7" t="inlineStr">
        <is>
          <t>Cọc khoan nhồi C6 Mố M2 (D1.2m, L=36.0m)</t>
        </is>
      </c>
      <c r="C428" s="7" t="inlineStr">
        <is>
          <t>Thép đai xoắn lồng cọc</t>
        </is>
      </c>
      <c r="D428" s="19" t="inlineStr">
        <is>
          <t>P1</t>
        </is>
      </c>
      <c r="E428" s="20" t="n">
        <v>10</v>
      </c>
      <c r="F428" s="6" t="inlineStr">
        <is>
          <t>CB240-T</t>
        </is>
      </c>
      <c r="G428" s="7" t="inlineStr">
        <is>
          <t>Đai xoắn tròn</t>
        </is>
      </c>
      <c r="H428" s="21" t="n">
        <v>96.887</v>
      </c>
      <c r="I428" s="22" t="n">
        <v>1</v>
      </c>
      <c r="J428" s="23" t="n">
        <v>0.617</v>
      </c>
      <c r="K428" s="9">
        <f>ROUND(H428*I428*J428, 2)</f>
        <v/>
      </c>
      <c r="L428" s="24">
        <f>ROUND(K428/1000, 3)</f>
        <v/>
      </c>
      <c r="M428" s="8" t="n"/>
      <c r="N428" s="21">
        <f>ROUND(N426 + IF(AND(E428&lt;=10, F428&lt;&gt;"ASTM A416"), L428, 0), 3)</f>
        <v/>
      </c>
      <c r="O428" s="21">
        <f>ROUND(O426 + IF(AND(E428&gt;10, E428&lt;=18, F428&lt;&gt;"ASTM A416"), L428, 0), 3)</f>
        <v/>
      </c>
      <c r="P428" s="21">
        <f>ROUND(P426 + IF(AND(E428&gt;18, F428&lt;&gt;"ASTM A416"), L428, 0), 3)</f>
        <v/>
      </c>
      <c r="Q428" s="21">
        <f>ROUND(Q426 + IF(F428="ASTM A416", L428, 0), 3)</f>
        <v/>
      </c>
      <c r="R428" s="11">
        <f>IF(INT(N428/20)&gt;INT(N426/20), "Lần " &amp; INT(N428/20), "")</f>
        <v/>
      </c>
      <c r="S428" s="12">
        <f>IF(INT(O428/20)&gt;INT(O426/20), "Lần " &amp; INT(O428/20), "")</f>
        <v/>
      </c>
      <c r="T428" s="11">
        <f>IF(INT(P428/20)&gt;INT(P426/20), "Lần " &amp; INT(P428/20), "")</f>
        <v/>
      </c>
      <c r="U428" s="25">
        <f>IF(INT(Q428/20)&gt;INT(Q426/20), "Lần " &amp; INT(Q428/20), "")</f>
        <v/>
      </c>
      <c r="V428" s="6" t="inlineStr"/>
      <c r="W428" s="6" t="inlineStr">
        <is>
          <t>ĐẠT TCVN 1651:2018</t>
        </is>
      </c>
    </row>
    <row r="429" ht="19" customHeight="1">
      <c r="A429" s="6" t="n">
        <v>397</v>
      </c>
      <c r="B429" s="7" t="inlineStr">
        <is>
          <t>Cọc khoan nhồi C6 Mố M2 (D1.2m, L=36.0m)</t>
        </is>
      </c>
      <c r="C429" s="7" t="inlineStr">
        <is>
          <t>Thép đai xoắn lồng cọc</t>
        </is>
      </c>
      <c r="D429" s="19" t="inlineStr">
        <is>
          <t>P1A</t>
        </is>
      </c>
      <c r="E429" s="20" t="n">
        <v>10</v>
      </c>
      <c r="F429" s="6" t="inlineStr">
        <is>
          <t>CB240-T</t>
        </is>
      </c>
      <c r="G429" s="7" t="inlineStr">
        <is>
          <t>Đai xoắn tròn</t>
        </is>
      </c>
      <c r="H429" s="21" t="n">
        <v>390.776</v>
      </c>
      <c r="I429" s="22" t="n">
        <v>1</v>
      </c>
      <c r="J429" s="23" t="n">
        <v>0.617</v>
      </c>
      <c r="K429" s="9">
        <f>ROUND(H429*I429*J429, 2)</f>
        <v/>
      </c>
      <c r="L429" s="24">
        <f>ROUND(K429/1000, 3)</f>
        <v/>
      </c>
      <c r="M429" s="8" t="n"/>
      <c r="N429" s="21">
        <f>ROUND(N428 + IF(AND(E429&lt;=10, F429&lt;&gt;"ASTM A416"), L429, 0), 3)</f>
        <v/>
      </c>
      <c r="O429" s="21">
        <f>ROUND(O428 + IF(AND(E429&gt;10, E429&lt;=18, F429&lt;&gt;"ASTM A416"), L429, 0), 3)</f>
        <v/>
      </c>
      <c r="P429" s="21">
        <f>ROUND(P428 + IF(AND(E429&gt;18, F429&lt;&gt;"ASTM A416"), L429, 0), 3)</f>
        <v/>
      </c>
      <c r="Q429" s="21">
        <f>ROUND(Q428 + IF(F429="ASTM A416", L429, 0), 3)</f>
        <v/>
      </c>
      <c r="R429" s="11">
        <f>IF(INT(N429/20)&gt;INT(N428/20), "Lần " &amp; INT(N429/20), "")</f>
        <v/>
      </c>
      <c r="S429" s="12">
        <f>IF(INT(O429/20)&gt;INT(O428/20), "Lần " &amp; INT(O429/20), "")</f>
        <v/>
      </c>
      <c r="T429" s="11">
        <f>IF(INT(P429/20)&gt;INT(P428/20), "Lần " &amp; INT(P429/20), "")</f>
        <v/>
      </c>
      <c r="U429" s="25">
        <f>IF(INT(Q429/20)&gt;INT(Q428/20), "Lần " &amp; INT(Q429/20), "")</f>
        <v/>
      </c>
      <c r="V429" s="6" t="inlineStr"/>
      <c r="W429" s="6" t="inlineStr">
        <is>
          <t>ĐẠT TCVN 1651:2018</t>
        </is>
      </c>
    </row>
    <row r="430" ht="19" customHeight="1">
      <c r="A430" s="6" t="n">
        <v>398</v>
      </c>
      <c r="B430" s="7" t="inlineStr">
        <is>
          <t>Cọc khoan nhồi C6 Mố M2 (D1.2m, L=36.0m)</t>
        </is>
      </c>
      <c r="C430" s="7" t="inlineStr">
        <is>
          <t>Thép đai xoắn lồng cọc</t>
        </is>
      </c>
      <c r="D430" s="19" t="inlineStr">
        <is>
          <t>P1B</t>
        </is>
      </c>
      <c r="E430" s="20" t="n">
        <v>10</v>
      </c>
      <c r="F430" s="6" t="inlineStr">
        <is>
          <t>CB240-T</t>
        </is>
      </c>
      <c r="G430" s="7" t="inlineStr">
        <is>
          <t>Đai xoắn tròn</t>
        </is>
      </c>
      <c r="H430" s="21" t="n">
        <v>164.938</v>
      </c>
      <c r="I430" s="22" t="n">
        <v>1</v>
      </c>
      <c r="J430" s="23" t="n">
        <v>0.617</v>
      </c>
      <c r="K430" s="9">
        <f>ROUND(H430*I430*J430, 2)</f>
        <v/>
      </c>
      <c r="L430" s="24">
        <f>ROUND(K430/1000, 3)</f>
        <v/>
      </c>
      <c r="M430" s="8" t="n"/>
      <c r="N430" s="21">
        <f>ROUND(N429 + IF(AND(E430&lt;=10, F430&lt;&gt;"ASTM A416"), L430, 0), 3)</f>
        <v/>
      </c>
      <c r="O430" s="21">
        <f>ROUND(O429 + IF(AND(E430&gt;10, E430&lt;=18, F430&lt;&gt;"ASTM A416"), L430, 0), 3)</f>
        <v/>
      </c>
      <c r="P430" s="21">
        <f>ROUND(P429 + IF(AND(E430&gt;18, F430&lt;&gt;"ASTM A416"), L430, 0), 3)</f>
        <v/>
      </c>
      <c r="Q430" s="21">
        <f>ROUND(Q429 + IF(F430="ASTM A416", L430, 0), 3)</f>
        <v/>
      </c>
      <c r="R430" s="11">
        <f>IF(INT(N430/20)&gt;INT(N429/20), "Lần " &amp; INT(N430/20), "")</f>
        <v/>
      </c>
      <c r="S430" s="12">
        <f>IF(INT(O430/20)&gt;INT(O429/20), "Lần " &amp; INT(O430/20), "")</f>
        <v/>
      </c>
      <c r="T430" s="11">
        <f>IF(INT(P430/20)&gt;INT(P429/20), "Lần " &amp; INT(P430/20), "")</f>
        <v/>
      </c>
      <c r="U430" s="25">
        <f>IF(INT(Q430/20)&gt;INT(Q429/20), "Lần " &amp; INT(Q430/20), "")</f>
        <v/>
      </c>
      <c r="V430" s="6" t="inlineStr"/>
      <c r="W430" s="6" t="inlineStr">
        <is>
          <t>ĐẠT TCVN 1651:2018</t>
        </is>
      </c>
    </row>
    <row r="431" ht="19" customHeight="1">
      <c r="A431" s="6" t="n">
        <v>399</v>
      </c>
      <c r="B431" s="7" t="inlineStr">
        <is>
          <t>Cọc khoan nhồi C6 Mố M2 (D1.2m, L=36.0m)</t>
        </is>
      </c>
      <c r="C431" s="7" t="inlineStr">
        <is>
          <t>Thép đai xoắn lồng cọc</t>
        </is>
      </c>
      <c r="D431" s="19" t="inlineStr">
        <is>
          <t>P1C</t>
        </is>
      </c>
      <c r="E431" s="20" t="n">
        <v>10</v>
      </c>
      <c r="F431" s="6" t="inlineStr">
        <is>
          <t>CB240-T</t>
        </is>
      </c>
      <c r="G431" s="7" t="inlineStr">
        <is>
          <t>Đai xoắn tròn</t>
        </is>
      </c>
      <c r="H431" s="21" t="n">
        <v>3.592</v>
      </c>
      <c r="I431" s="22" t="n">
        <v>2</v>
      </c>
      <c r="J431" s="23" t="n">
        <v>0.617</v>
      </c>
      <c r="K431" s="9">
        <f>ROUND(H431*I431*J431, 2)</f>
        <v/>
      </c>
      <c r="L431" s="24">
        <f>ROUND(K431/1000, 3)</f>
        <v/>
      </c>
      <c r="M431" s="8" t="n"/>
      <c r="N431" s="21">
        <f>ROUND(N430 + IF(AND(E431&lt;=10, F431&lt;&gt;"ASTM A416"), L431, 0), 3)</f>
        <v/>
      </c>
      <c r="O431" s="21">
        <f>ROUND(O430 + IF(AND(E431&gt;10, E431&lt;=18, F431&lt;&gt;"ASTM A416"), L431, 0), 3)</f>
        <v/>
      </c>
      <c r="P431" s="21">
        <f>ROUND(P430 + IF(AND(E431&gt;18, F431&lt;&gt;"ASTM A416"), L431, 0), 3)</f>
        <v/>
      </c>
      <c r="Q431" s="21">
        <f>ROUND(Q430 + IF(F431="ASTM A416", L431, 0), 3)</f>
        <v/>
      </c>
      <c r="R431" s="11">
        <f>IF(INT(N431/20)&gt;INT(N430/20), "Lần " &amp; INT(N431/20), "")</f>
        <v/>
      </c>
      <c r="S431" s="12">
        <f>IF(INT(O431/20)&gt;INT(O430/20), "Lần " &amp; INT(O431/20), "")</f>
        <v/>
      </c>
      <c r="T431" s="11">
        <f>IF(INT(P431/20)&gt;INT(P430/20), "Lần " &amp; INT(P431/20), "")</f>
        <v/>
      </c>
      <c r="U431" s="25">
        <f>IF(INT(Q431/20)&gt;INT(Q430/20), "Lần " &amp; INT(Q431/20), "")</f>
        <v/>
      </c>
      <c r="V431" s="6" t="inlineStr"/>
      <c r="W431" s="6" t="inlineStr">
        <is>
          <t>ĐẠT TCVN 1651:2018</t>
        </is>
      </c>
    </row>
    <row r="432" ht="19" customHeight="1">
      <c r="A432" s="6" t="n">
        <v>400</v>
      </c>
      <c r="B432" s="7" t="inlineStr">
        <is>
          <t>Cọc khoan nhồi C6 Mố M2 (D1.2m, L=36.0m)</t>
        </is>
      </c>
      <c r="C432" s="7" t="inlineStr">
        <is>
          <t>Thép đai xoắn lồng cọc</t>
        </is>
      </c>
      <c r="D432" s="19" t="inlineStr">
        <is>
          <t>P1D</t>
        </is>
      </c>
      <c r="E432" s="20" t="n">
        <v>10</v>
      </c>
      <c r="F432" s="6" t="inlineStr">
        <is>
          <t>CB240-T</t>
        </is>
      </c>
      <c r="G432" s="7" t="inlineStr">
        <is>
          <t>Đai xoắn tròn</t>
        </is>
      </c>
      <c r="H432" s="21" t="n">
        <v>23.007</v>
      </c>
      <c r="I432" s="22" t="n">
        <v>1</v>
      </c>
      <c r="J432" s="23" t="n">
        <v>0.617</v>
      </c>
      <c r="K432" s="9">
        <f>ROUND(H432*I432*J432, 2)</f>
        <v/>
      </c>
      <c r="L432" s="24">
        <f>ROUND(K432/1000, 3)</f>
        <v/>
      </c>
      <c r="M432" s="8" t="n"/>
      <c r="N432" s="21">
        <f>ROUND(N431 + IF(AND(E432&lt;=10, F432&lt;&gt;"ASTM A416"), L432, 0), 3)</f>
        <v/>
      </c>
      <c r="O432" s="21">
        <f>ROUND(O431 + IF(AND(E432&gt;10, E432&lt;=18, F432&lt;&gt;"ASTM A416"), L432, 0), 3)</f>
        <v/>
      </c>
      <c r="P432" s="21">
        <f>ROUND(P431 + IF(AND(E432&gt;18, F432&lt;&gt;"ASTM A416"), L432, 0), 3)</f>
        <v/>
      </c>
      <c r="Q432" s="21">
        <f>ROUND(Q431 + IF(F432="ASTM A416", L432, 0), 3)</f>
        <v/>
      </c>
      <c r="R432" s="11">
        <f>IF(INT(N432/20)&gt;INT(N431/20), "Lần " &amp; INT(N432/20), "")</f>
        <v/>
      </c>
      <c r="S432" s="12">
        <f>IF(INT(O432/20)&gt;INT(O431/20), "Lần " &amp; INT(O432/20), "")</f>
        <v/>
      </c>
      <c r="T432" s="11">
        <f>IF(INT(P432/20)&gt;INT(P431/20), "Lần " &amp; INT(P432/20), "")</f>
        <v/>
      </c>
      <c r="U432" s="25">
        <f>IF(INT(Q432/20)&gt;INT(Q431/20), "Lần " &amp; INT(Q432/20), "")</f>
        <v/>
      </c>
      <c r="V432" s="6" t="inlineStr"/>
      <c r="W432" s="6" t="inlineStr">
        <is>
          <t>ĐẠT TCVN 1651:2018</t>
        </is>
      </c>
    </row>
    <row r="433" ht="19" customHeight="1">
      <c r="A433" s="6" t="n">
        <v>401</v>
      </c>
      <c r="B433" s="7" t="inlineStr">
        <is>
          <t>Cọc khoan nhồi C6 Mố M2 (D1.2m, L=36.0m)</t>
        </is>
      </c>
      <c r="C433" s="7" t="inlineStr">
        <is>
          <t>Cốt thép chủ chịu lực cọc</t>
        </is>
      </c>
      <c r="D433" s="19" t="inlineStr">
        <is>
          <t>P2A</t>
        </is>
      </c>
      <c r="E433" s="20" t="n">
        <v>28</v>
      </c>
      <c r="F433" s="6" t="inlineStr">
        <is>
          <t>CB400-V</t>
        </is>
      </c>
      <c r="G433" s="7" t="inlineStr">
        <is>
          <t>Thanh thẳng nối ren/hàn</t>
        </is>
      </c>
      <c r="H433" s="21" t="n">
        <v>2.966</v>
      </c>
      <c r="I433" s="22" t="n">
        <v>5</v>
      </c>
      <c r="J433" s="23" t="n">
        <v>4.83</v>
      </c>
      <c r="K433" s="9">
        <f>ROUND(H433*I433*J433, 2)</f>
        <v/>
      </c>
      <c r="L433" s="24">
        <f>ROUND(K433/1000, 3)</f>
        <v/>
      </c>
      <c r="M433" s="8" t="n"/>
      <c r="N433" s="21">
        <f>ROUND(N432 + IF(AND(E433&lt;=10, F433&lt;&gt;"ASTM A416"), L433, 0), 3)</f>
        <v/>
      </c>
      <c r="O433" s="21">
        <f>ROUND(O432 + IF(AND(E433&gt;10, E433&lt;=18, F433&lt;&gt;"ASTM A416"), L433, 0), 3)</f>
        <v/>
      </c>
      <c r="P433" s="21">
        <f>ROUND(P432 + IF(AND(E433&gt;18, F433&lt;&gt;"ASTM A416"), L433, 0), 3)</f>
        <v/>
      </c>
      <c r="Q433" s="21">
        <f>ROUND(Q432 + IF(F433="ASTM A416", L433, 0), 3)</f>
        <v/>
      </c>
      <c r="R433" s="11">
        <f>IF(INT(N433/20)&gt;INT(N432/20), "Lần " &amp; INT(N433/20), "")</f>
        <v/>
      </c>
      <c r="S433" s="12">
        <f>IF(INT(O433/20)&gt;INT(O432/20), "Lần " &amp; INT(O433/20), "")</f>
        <v/>
      </c>
      <c r="T433" s="11">
        <f>IF(INT(P433/20)&gt;INT(P432/20), "Lần " &amp; INT(P433/20), "")</f>
        <v/>
      </c>
      <c r="U433" s="25">
        <f>IF(INT(Q433/20)&gt;INT(Q432/20), "Lần " &amp; INT(Q433/20), "")</f>
        <v/>
      </c>
      <c r="V433" s="6" t="inlineStr"/>
      <c r="W433" s="6" t="inlineStr">
        <is>
          <t>ĐẠT TCVN 1651:2018</t>
        </is>
      </c>
    </row>
    <row r="434" ht="19" customHeight="1">
      <c r="A434" s="6" t="n">
        <v>402</v>
      </c>
      <c r="B434" s="7" t="inlineStr">
        <is>
          <t>Cọc khoan nhồi C6 Mố M2 (D1.2m, L=36.0m)</t>
        </is>
      </c>
      <c r="C434" s="7" t="inlineStr">
        <is>
          <t>Cốt thép chủ chịu lực cọc</t>
        </is>
      </c>
      <c r="D434" s="19" t="inlineStr">
        <is>
          <t>P2B</t>
        </is>
      </c>
      <c r="E434" s="20" t="n">
        <v>25</v>
      </c>
      <c r="F434" s="6" t="inlineStr">
        <is>
          <t>CB400-V</t>
        </is>
      </c>
      <c r="G434" s="7" t="inlineStr">
        <is>
          <t>Thanh thẳng nối ren/hàn</t>
        </is>
      </c>
      <c r="H434" s="21" t="n">
        <v>2.985</v>
      </c>
      <c r="I434" s="22" t="n">
        <v>10</v>
      </c>
      <c r="J434" s="23" t="n">
        <v>3.85</v>
      </c>
      <c r="K434" s="9">
        <f>ROUND(H434*I434*J434, 2)</f>
        <v/>
      </c>
      <c r="L434" s="24">
        <f>ROUND(K434/1000, 3)</f>
        <v/>
      </c>
      <c r="M434" s="8" t="n"/>
      <c r="N434" s="21">
        <f>ROUND(N433 + IF(AND(E434&lt;=10, F434&lt;&gt;"ASTM A416"), L434, 0), 3)</f>
        <v/>
      </c>
      <c r="O434" s="21">
        <f>ROUND(O433 + IF(AND(E434&gt;10, E434&lt;=18, F434&lt;&gt;"ASTM A416"), L434, 0), 3)</f>
        <v/>
      </c>
      <c r="P434" s="21">
        <f>ROUND(P433 + IF(AND(E434&gt;18, F434&lt;&gt;"ASTM A416"), L434, 0), 3)</f>
        <v/>
      </c>
      <c r="Q434" s="21">
        <f>ROUND(Q433 + IF(F434="ASTM A416", L434, 0), 3)</f>
        <v/>
      </c>
      <c r="R434" s="11">
        <f>IF(INT(N434/20)&gt;INT(N433/20), "Lần " &amp; INT(N434/20), "")</f>
        <v/>
      </c>
      <c r="S434" s="12">
        <f>IF(INT(O434/20)&gt;INT(O433/20), "Lần " &amp; INT(O434/20), "")</f>
        <v/>
      </c>
      <c r="T434" s="11">
        <f>IF(INT(P434/20)&gt;INT(P433/20), "Lần " &amp; INT(P434/20), "")</f>
        <v/>
      </c>
      <c r="U434" s="25">
        <f>IF(INT(Q434/20)&gt;INT(Q433/20), "Lần " &amp; INT(Q434/20), "")</f>
        <v/>
      </c>
      <c r="V434" s="6" t="inlineStr"/>
      <c r="W434" s="6" t="inlineStr">
        <is>
          <t>ĐẠT TCVN 1651:2018</t>
        </is>
      </c>
    </row>
    <row r="435" ht="19" customHeight="1">
      <c r="A435" s="6" t="n">
        <v>403</v>
      </c>
      <c r="B435" s="7" t="inlineStr">
        <is>
          <t>Cọc khoan nhồi C6 Mố M2 (D1.2m, L=36.0m)</t>
        </is>
      </c>
      <c r="C435" s="7" t="inlineStr">
        <is>
          <t>Cốt thép chủ chịu lực cọc</t>
        </is>
      </c>
      <c r="D435" s="19" t="inlineStr">
        <is>
          <t>P3</t>
        </is>
      </c>
      <c r="E435" s="20" t="n">
        <v>28</v>
      </c>
      <c r="F435" s="6" t="inlineStr">
        <is>
          <t>CB400-V</t>
        </is>
      </c>
      <c r="G435" s="7" t="inlineStr">
        <is>
          <t>Thanh thẳng nối ren/hàn</t>
        </is>
      </c>
      <c r="H435" s="21" t="n">
        <v>10.7</v>
      </c>
      <c r="I435" s="22" t="n">
        <v>12</v>
      </c>
      <c r="J435" s="23" t="n">
        <v>4.83</v>
      </c>
      <c r="K435" s="9">
        <f>ROUND(H435*I435*J435, 2)</f>
        <v/>
      </c>
      <c r="L435" s="24">
        <f>ROUND(K435/1000, 3)</f>
        <v/>
      </c>
      <c r="M435" s="8" t="n"/>
      <c r="N435" s="21">
        <f>ROUND(N434 + IF(AND(E435&lt;=10, F435&lt;&gt;"ASTM A416"), L435, 0), 3)</f>
        <v/>
      </c>
      <c r="O435" s="21">
        <f>ROUND(O434 + IF(AND(E435&gt;10, E435&lt;=18, F435&lt;&gt;"ASTM A416"), L435, 0), 3)</f>
        <v/>
      </c>
      <c r="P435" s="21">
        <f>ROUND(P434 + IF(AND(E435&gt;18, F435&lt;&gt;"ASTM A416"), L435, 0), 3)</f>
        <v/>
      </c>
      <c r="Q435" s="21">
        <f>ROUND(Q434 + IF(F435="ASTM A416", L435, 0), 3)</f>
        <v/>
      </c>
      <c r="R435" s="11">
        <f>IF(INT(N435/20)&gt;INT(N434/20), "Lần " &amp; INT(N435/20), "")</f>
        <v/>
      </c>
      <c r="S435" s="12">
        <f>IF(INT(O435/20)&gt;INT(O434/20), "Lần " &amp; INT(O435/20), "")</f>
        <v/>
      </c>
      <c r="T435" s="11">
        <f>IF(INT(P435/20)&gt;INT(P434/20), "Lần " &amp; INT(P435/20), "")</f>
        <v/>
      </c>
      <c r="U435" s="25">
        <f>IF(INT(Q435/20)&gt;INT(Q434/20), "Lần " &amp; INT(Q435/20), "")</f>
        <v/>
      </c>
      <c r="V435" s="6" t="inlineStr"/>
      <c r="W435" s="6" t="inlineStr">
        <is>
          <t>ĐẠT TCVN 1651:2018</t>
        </is>
      </c>
    </row>
    <row r="436" ht="19" customHeight="1">
      <c r="A436" s="6" t="n">
        <v>404</v>
      </c>
      <c r="B436" s="7" t="inlineStr">
        <is>
          <t>Cọc khoan nhồi C6 Mố M2 (D1.2m, L=36.0m)</t>
        </is>
      </c>
      <c r="C436" s="7" t="inlineStr">
        <is>
          <t>Cốt thép chủ chịu lực cọc</t>
        </is>
      </c>
      <c r="D436" s="19" t="inlineStr">
        <is>
          <t>P4</t>
        </is>
      </c>
      <c r="E436" s="20" t="n">
        <v>28</v>
      </c>
      <c r="F436" s="6" t="inlineStr">
        <is>
          <t>CB400-V</t>
        </is>
      </c>
      <c r="G436" s="7" t="inlineStr">
        <is>
          <t>Thanh thẳng nối ren/hàn</t>
        </is>
      </c>
      <c r="H436" s="21" t="n">
        <v>11.7</v>
      </c>
      <c r="I436" s="22" t="n">
        <v>12</v>
      </c>
      <c r="J436" s="23" t="n">
        <v>4.83</v>
      </c>
      <c r="K436" s="9">
        <f>ROUND(H436*I436*J436, 2)</f>
        <v/>
      </c>
      <c r="L436" s="24">
        <f>ROUND(K436/1000, 3)</f>
        <v/>
      </c>
      <c r="M436" s="8" t="n"/>
      <c r="N436" s="21">
        <f>ROUND(N435 + IF(AND(E436&lt;=10, F436&lt;&gt;"ASTM A416"), L436, 0), 3)</f>
        <v/>
      </c>
      <c r="O436" s="21">
        <f>ROUND(O435 + IF(AND(E436&gt;10, E436&lt;=18, F436&lt;&gt;"ASTM A416"), L436, 0), 3)</f>
        <v/>
      </c>
      <c r="P436" s="21">
        <f>ROUND(P435 + IF(AND(E436&gt;18, F436&lt;&gt;"ASTM A416"), L436, 0), 3)</f>
        <v/>
      </c>
      <c r="Q436" s="21">
        <f>ROUND(Q435 + IF(F436="ASTM A416", L436, 0), 3)</f>
        <v/>
      </c>
      <c r="R436" s="11">
        <f>IF(INT(N436/20)&gt;INT(N435/20), "Lần " &amp; INT(N436/20), "")</f>
        <v/>
      </c>
      <c r="S436" s="12">
        <f>IF(INT(O436/20)&gt;INT(O435/20), "Lần " &amp; INT(O436/20), "")</f>
        <v/>
      </c>
      <c r="T436" s="11">
        <f>IF(INT(P436/20)&gt;INT(P435/20), "Lần " &amp; INT(P436/20), "")</f>
        <v/>
      </c>
      <c r="U436" s="25">
        <f>IF(INT(Q436/20)&gt;INT(Q435/20), "Lần " &amp; INT(Q436/20), "")</f>
        <v/>
      </c>
      <c r="V436" s="6" t="inlineStr"/>
      <c r="W436" s="6" t="inlineStr">
        <is>
          <t>ĐẠT TCVN 1651:2018</t>
        </is>
      </c>
    </row>
    <row r="437" ht="19" customHeight="1">
      <c r="A437" s="6" t="n">
        <v>405</v>
      </c>
      <c r="B437" s="7" t="inlineStr">
        <is>
          <t>Cọc khoan nhồi C6 Mố M2 (D1.2m, L=36.0m)</t>
        </is>
      </c>
      <c r="C437" s="7" t="inlineStr">
        <is>
          <t>Cốt thép chủ chịu lực cọc</t>
        </is>
      </c>
      <c r="D437" s="19" t="inlineStr">
        <is>
          <t>P5</t>
        </is>
      </c>
      <c r="E437" s="20" t="n">
        <v>25</v>
      </c>
      <c r="F437" s="6" t="inlineStr">
        <is>
          <t>CB400-V</t>
        </is>
      </c>
      <c r="G437" s="7" t="inlineStr">
        <is>
          <t>Thanh thẳng nối ren/hàn</t>
        </is>
      </c>
      <c r="H437" s="21" t="n">
        <v>11.7</v>
      </c>
      <c r="I437" s="22" t="n">
        <v>48</v>
      </c>
      <c r="J437" s="23" t="n">
        <v>3.85</v>
      </c>
      <c r="K437" s="9">
        <f>ROUND(H437*I437*J437, 2)</f>
        <v/>
      </c>
      <c r="L437" s="24">
        <f>ROUND(K437/1000, 3)</f>
        <v/>
      </c>
      <c r="M437" s="8" t="n"/>
      <c r="N437" s="21">
        <f>ROUND(N436 + IF(AND(E437&lt;=10, F437&lt;&gt;"ASTM A416"), L437, 0), 3)</f>
        <v/>
      </c>
      <c r="O437" s="21">
        <f>ROUND(O436 + IF(AND(E437&gt;10, E437&lt;=18, F437&lt;&gt;"ASTM A416"), L437, 0), 3)</f>
        <v/>
      </c>
      <c r="P437" s="21">
        <f>ROUND(P436 + IF(AND(E437&gt;18, F437&lt;&gt;"ASTM A416"), L437, 0), 3)</f>
        <v/>
      </c>
      <c r="Q437" s="21">
        <f>ROUND(Q436 + IF(F437="ASTM A416", L437, 0), 3)</f>
        <v/>
      </c>
      <c r="R437" s="11">
        <f>IF(INT(N437/20)&gt;INT(N436/20), "Lần " &amp; INT(N437/20), "")</f>
        <v/>
      </c>
      <c r="S437" s="12">
        <f>IF(INT(O437/20)&gt;INT(O436/20), "Lần " &amp; INT(O437/20), "")</f>
        <v/>
      </c>
      <c r="T437" s="11">
        <f>IF(INT(P437/20)&gt;INT(P436/20), "Lần " &amp; INT(P437/20), "")</f>
        <v/>
      </c>
      <c r="U437" s="25">
        <f>IF(INT(Q437/20)&gt;INT(Q436/20), "Lần " &amp; INT(Q437/20), "")</f>
        <v/>
      </c>
      <c r="V437" s="6" t="inlineStr"/>
      <c r="W437" s="6" t="inlineStr">
        <is>
          <t>ĐẠT TCVN 1651:2018</t>
        </is>
      </c>
    </row>
    <row r="438" ht="19" customHeight="1">
      <c r="A438" s="6" t="n">
        <v>406</v>
      </c>
      <c r="B438" s="7" t="inlineStr">
        <is>
          <t>Cọc khoan nhồi C6 Mố M2 (D1.2m, L=36.0m)</t>
        </is>
      </c>
      <c r="C438" s="7" t="inlineStr">
        <is>
          <t>Cốt thép chủ chịu lực cọc</t>
        </is>
      </c>
      <c r="D438" s="19" t="inlineStr">
        <is>
          <t>P6</t>
        </is>
      </c>
      <c r="E438" s="20" t="n">
        <v>25</v>
      </c>
      <c r="F438" s="6" t="inlineStr">
        <is>
          <t>CB400-V</t>
        </is>
      </c>
      <c r="G438" s="7" t="inlineStr">
        <is>
          <t>Thanh thẳng nối ren/hàn</t>
        </is>
      </c>
      <c r="H438" s="21" t="n">
        <v>5.153</v>
      </c>
      <c r="I438" s="22" t="n">
        <v>12</v>
      </c>
      <c r="J438" s="23" t="n">
        <v>3.85</v>
      </c>
      <c r="K438" s="9">
        <f>ROUND(H438*I438*J438, 2)</f>
        <v/>
      </c>
      <c r="L438" s="24">
        <f>ROUND(K438/1000, 3)</f>
        <v/>
      </c>
      <c r="M438" s="8" t="n"/>
      <c r="N438" s="21">
        <f>ROUND(N437 + IF(AND(E438&lt;=10, F438&lt;&gt;"ASTM A416"), L438, 0), 3)</f>
        <v/>
      </c>
      <c r="O438" s="21">
        <f>ROUND(O437 + IF(AND(E438&gt;10, E438&lt;=18, F438&lt;&gt;"ASTM A416"), L438, 0), 3)</f>
        <v/>
      </c>
      <c r="P438" s="21">
        <f>ROUND(P437 + IF(AND(E438&gt;18, F438&lt;&gt;"ASTM A416"), L438, 0), 3)</f>
        <v/>
      </c>
      <c r="Q438" s="21">
        <f>ROUND(Q437 + IF(F438="ASTM A416", L438, 0), 3)</f>
        <v/>
      </c>
      <c r="R438" s="11">
        <f>IF(INT(N438/20)&gt;INT(N437/20), "Lần " &amp; INT(N438/20), "")</f>
        <v/>
      </c>
      <c r="S438" s="12">
        <f>IF(INT(O438/20)&gt;INT(O437/20), "Lần " &amp; INT(O438/20), "")</f>
        <v/>
      </c>
      <c r="T438" s="11">
        <f>IF(INT(P438/20)&gt;INT(P437/20), "Lần " &amp; INT(P438/20), "")</f>
        <v/>
      </c>
      <c r="U438" s="25">
        <f>IF(INT(Q438/20)&gt;INT(Q437/20), "Lần " &amp; INT(Q438/20), "")</f>
        <v/>
      </c>
      <c r="V438" s="6" t="inlineStr"/>
      <c r="W438" s="6" t="inlineStr">
        <is>
          <t>ĐẠT TCVN 1651:2018</t>
        </is>
      </c>
    </row>
    <row r="439" ht="19" customHeight="1">
      <c r="A439" s="6" t="n">
        <v>407</v>
      </c>
      <c r="B439" s="7" t="inlineStr">
        <is>
          <t>Cọc khoan nhồi C6 Mố M2 (D1.2m, L=36.0m)</t>
        </is>
      </c>
      <c r="C439" s="7" t="inlineStr">
        <is>
          <t>Cốt thép chủ chịu lực cọc</t>
        </is>
      </c>
      <c r="D439" s="19" t="inlineStr">
        <is>
          <t>P7</t>
        </is>
      </c>
      <c r="E439" s="20" t="n">
        <v>25</v>
      </c>
      <c r="F439" s="6" t="inlineStr">
        <is>
          <t>CB400-V</t>
        </is>
      </c>
      <c r="G439" s="7" t="inlineStr">
        <is>
          <t>Thanh thẳng nối ren/hàn</t>
        </is>
      </c>
      <c r="H439" s="21" t="n">
        <v>6.153</v>
      </c>
      <c r="I439" s="22" t="n">
        <v>12</v>
      </c>
      <c r="J439" s="23" t="n">
        <v>3.85</v>
      </c>
      <c r="K439" s="9">
        <f>ROUND(H439*I439*J439, 2)</f>
        <v/>
      </c>
      <c r="L439" s="24">
        <f>ROUND(K439/1000, 3)</f>
        <v/>
      </c>
      <c r="M439" s="8" t="n"/>
      <c r="N439" s="21">
        <f>ROUND(N438 + IF(AND(E439&lt;=10, F439&lt;&gt;"ASTM A416"), L439, 0), 3)</f>
        <v/>
      </c>
      <c r="O439" s="21">
        <f>ROUND(O438 + IF(AND(E439&gt;10, E439&lt;=18, F439&lt;&gt;"ASTM A416"), L439, 0), 3)</f>
        <v/>
      </c>
      <c r="P439" s="21">
        <f>ROUND(P438 + IF(AND(E439&gt;18, F439&lt;&gt;"ASTM A416"), L439, 0), 3)</f>
        <v/>
      </c>
      <c r="Q439" s="21">
        <f>ROUND(Q438 + IF(F439="ASTM A416", L439, 0), 3)</f>
        <v/>
      </c>
      <c r="R439" s="11">
        <f>IF(INT(N439/20)&gt;INT(N438/20), "Lần " &amp; INT(N439/20), "")</f>
        <v/>
      </c>
      <c r="S439" s="12">
        <f>IF(INT(O439/20)&gt;INT(O438/20), "Lần " &amp; INT(O439/20), "")</f>
        <v/>
      </c>
      <c r="T439" s="11">
        <f>IF(INT(P439/20)&gt;INT(P438/20), "Lần " &amp; INT(P439/20), "")</f>
        <v/>
      </c>
      <c r="U439" s="25">
        <f>IF(INT(Q439/20)&gt;INT(Q438/20), "Lần " &amp; INT(Q439/20), "")</f>
        <v/>
      </c>
      <c r="V439" s="6" t="inlineStr"/>
      <c r="W439" s="6" t="inlineStr">
        <is>
          <t>ĐẠT TCVN 1651:2018</t>
        </is>
      </c>
    </row>
    <row r="440" ht="19" customHeight="1">
      <c r="A440" s="6" t="n">
        <v>408</v>
      </c>
      <c r="B440" s="7" t="inlineStr">
        <is>
          <t>Cọc khoan nhồi C6 Mố M2 (D1.2m, L=36.0m)</t>
        </is>
      </c>
      <c r="C440" s="7" t="inlineStr">
        <is>
          <t>Đai tăng cường / Con kê bảo vệ</t>
        </is>
      </c>
      <c r="D440" s="19" t="inlineStr">
        <is>
          <t>P8</t>
        </is>
      </c>
      <c r="E440" s="20" t="n">
        <v>12</v>
      </c>
      <c r="F440" s="6" t="inlineStr">
        <is>
          <t>CB400-V</t>
        </is>
      </c>
      <c r="G440" s="7" t="inlineStr">
        <is>
          <t>Móc neo / Vòng đai</t>
        </is>
      </c>
      <c r="H440" s="21" t="n">
        <v>0.647</v>
      </c>
      <c r="I440" s="22" t="n">
        <v>15</v>
      </c>
      <c r="J440" s="23" t="n">
        <v>0.888</v>
      </c>
      <c r="K440" s="9">
        <f>ROUND(H440*I440*J440, 2)</f>
        <v/>
      </c>
      <c r="L440" s="24">
        <f>ROUND(K440/1000, 3)</f>
        <v/>
      </c>
      <c r="M440" s="8" t="n"/>
      <c r="N440" s="21">
        <f>ROUND(N439 + IF(AND(E440&lt;=10, F440&lt;&gt;"ASTM A416"), L440, 0), 3)</f>
        <v/>
      </c>
      <c r="O440" s="21">
        <f>ROUND(O439 + IF(AND(E440&gt;10, E440&lt;=18, F440&lt;&gt;"ASTM A416"), L440, 0), 3)</f>
        <v/>
      </c>
      <c r="P440" s="21">
        <f>ROUND(P439 + IF(AND(E440&gt;18, F440&lt;&gt;"ASTM A416"), L440, 0), 3)</f>
        <v/>
      </c>
      <c r="Q440" s="21">
        <f>ROUND(Q439 + IF(F440="ASTM A416", L440, 0), 3)</f>
        <v/>
      </c>
      <c r="R440" s="11">
        <f>IF(INT(N440/20)&gt;INT(N439/20), "Lần " &amp; INT(N440/20), "")</f>
        <v/>
      </c>
      <c r="S440" s="12">
        <f>IF(INT(O440/20)&gt;INT(O439/20), "Lần " &amp; INT(O440/20), "")</f>
        <v/>
      </c>
      <c r="T440" s="11">
        <f>IF(INT(P440/20)&gt;INT(P439/20), "Lần " &amp; INT(P440/20), "")</f>
        <v/>
      </c>
      <c r="U440" s="25">
        <f>IF(INT(Q440/20)&gt;INT(Q439/20), "Lần " &amp; INT(Q440/20), "")</f>
        <v/>
      </c>
      <c r="V440" s="6" t="inlineStr"/>
      <c r="W440" s="6" t="inlineStr">
        <is>
          <t>ĐẠT TCVN 1651:2018</t>
        </is>
      </c>
    </row>
    <row r="441" ht="19" customHeight="1">
      <c r="A441" s="6" t="n">
        <v>409</v>
      </c>
      <c r="B441" s="7" t="inlineStr">
        <is>
          <t>Cọc khoan nhồi C6 Mố M2 (D1.2m, L=36.0m)</t>
        </is>
      </c>
      <c r="C441" s="7" t="inlineStr">
        <is>
          <t>Đai tăng cường / Con kê bảo vệ</t>
        </is>
      </c>
      <c r="D441" s="19" t="inlineStr">
        <is>
          <t>P9</t>
        </is>
      </c>
      <c r="E441" s="20" t="n">
        <v>12</v>
      </c>
      <c r="F441" s="6" t="inlineStr">
        <is>
          <t>CB400-V</t>
        </is>
      </c>
      <c r="G441" s="7" t="inlineStr">
        <is>
          <t>Móc neo / Vòng đai</t>
        </is>
      </c>
      <c r="H441" s="21" t="n">
        <v>0.379</v>
      </c>
      <c r="I441" s="22" t="n">
        <v>45</v>
      </c>
      <c r="J441" s="23" t="n">
        <v>0.888</v>
      </c>
      <c r="K441" s="9">
        <f>ROUND(H441*I441*J441, 2)</f>
        <v/>
      </c>
      <c r="L441" s="24">
        <f>ROUND(K441/1000, 3)</f>
        <v/>
      </c>
      <c r="M441" s="8" t="n"/>
      <c r="N441" s="21">
        <f>ROUND(N440 + IF(AND(E441&lt;=10, F441&lt;&gt;"ASTM A416"), L441, 0), 3)</f>
        <v/>
      </c>
      <c r="O441" s="21">
        <f>ROUND(O440 + IF(AND(E441&gt;10, E441&lt;=18, F441&lt;&gt;"ASTM A416"), L441, 0), 3)</f>
        <v/>
      </c>
      <c r="P441" s="21">
        <f>ROUND(P440 + IF(AND(E441&gt;18, F441&lt;&gt;"ASTM A416"), L441, 0), 3)</f>
        <v/>
      </c>
      <c r="Q441" s="21">
        <f>ROUND(Q440 + IF(F441="ASTM A416", L441, 0), 3)</f>
        <v/>
      </c>
      <c r="R441" s="11">
        <f>IF(INT(N441/20)&gt;INT(N440/20), "Lần " &amp; INT(N441/20), "")</f>
        <v/>
      </c>
      <c r="S441" s="12">
        <f>IF(INT(O441/20)&gt;INT(O440/20), "Lần " &amp; INT(O441/20), "")</f>
        <v/>
      </c>
      <c r="T441" s="11">
        <f>IF(INT(P441/20)&gt;INT(P440/20), "Lần " &amp; INT(P441/20), "")</f>
        <v/>
      </c>
      <c r="U441" s="25">
        <f>IF(INT(Q441/20)&gt;INT(Q440/20), "Lần " &amp; INT(Q441/20), "")</f>
        <v/>
      </c>
      <c r="V441" s="6" t="inlineStr"/>
      <c r="W441" s="6" t="inlineStr">
        <is>
          <t>ĐẠT TCVN 1651:2018</t>
        </is>
      </c>
    </row>
    <row r="442" ht="19" customHeight="1">
      <c r="A442" s="6" t="n">
        <v>410</v>
      </c>
      <c r="B442" s="7" t="inlineStr">
        <is>
          <t>Cọc khoan nhồi C6 Mố M2 (D1.2m, L=36.0m)</t>
        </is>
      </c>
      <c r="C442" s="7" t="inlineStr">
        <is>
          <t>Thép đai xoắn lồng cọc</t>
        </is>
      </c>
      <c r="D442" s="19" t="inlineStr">
        <is>
          <t>P10</t>
        </is>
      </c>
      <c r="E442" s="20" t="n">
        <v>20</v>
      </c>
      <c r="F442" s="6" t="inlineStr">
        <is>
          <t>CB400-V</t>
        </is>
      </c>
      <c r="G442" s="7" t="inlineStr">
        <is>
          <t>Đai xoắn tròn</t>
        </is>
      </c>
      <c r="H442" s="21" t="n">
        <v>2.057</v>
      </c>
      <c r="I442" s="22" t="n">
        <v>1</v>
      </c>
      <c r="J442" s="23" t="n">
        <v>2.47</v>
      </c>
      <c r="K442" s="9">
        <f>ROUND(H442*I442*J442, 2)</f>
        <v/>
      </c>
      <c r="L442" s="24">
        <f>ROUND(K442/1000, 3)</f>
        <v/>
      </c>
      <c r="M442" s="8" t="n"/>
      <c r="N442" s="21">
        <f>ROUND(N441 + IF(AND(E442&lt;=10, F442&lt;&gt;"ASTM A416"), L442, 0), 3)</f>
        <v/>
      </c>
      <c r="O442" s="21">
        <f>ROUND(O441 + IF(AND(E442&gt;10, E442&lt;=18, F442&lt;&gt;"ASTM A416"), L442, 0), 3)</f>
        <v/>
      </c>
      <c r="P442" s="21">
        <f>ROUND(P441 + IF(AND(E442&gt;18, F442&lt;&gt;"ASTM A416"), L442, 0), 3)</f>
        <v/>
      </c>
      <c r="Q442" s="21">
        <f>ROUND(Q441 + IF(F442="ASTM A416", L442, 0), 3)</f>
        <v/>
      </c>
      <c r="R442" s="11">
        <f>IF(INT(N442/20)&gt;INT(N441/20), "Lần " &amp; INT(N442/20), "")</f>
        <v/>
      </c>
      <c r="S442" s="12">
        <f>IF(INT(O442/20)&gt;INT(O441/20), "Lần " &amp; INT(O442/20), "")</f>
        <v/>
      </c>
      <c r="T442" s="11">
        <f>IF(INT(P442/20)&gt;INT(P441/20), "Lần " &amp; INT(P442/20), "")</f>
        <v/>
      </c>
      <c r="U442" s="25">
        <f>IF(INT(Q442/20)&gt;INT(Q441/20), "Lần " &amp; INT(Q442/20), "")</f>
        <v/>
      </c>
      <c r="V442" s="6" t="inlineStr"/>
      <c r="W442" s="6" t="inlineStr">
        <is>
          <t>ĐẠT TCVN 1651:2018</t>
        </is>
      </c>
    </row>
    <row r="443" ht="19" customHeight="1">
      <c r="A443" s="6" t="n">
        <v>411</v>
      </c>
      <c r="B443" s="7" t="inlineStr">
        <is>
          <t>Cọc khoan nhồi C6 Mố M2 (D1.2m, L=36.0m)</t>
        </is>
      </c>
      <c r="C443" s="7" t="inlineStr">
        <is>
          <t>Thép đai xoắn lồng cọc</t>
        </is>
      </c>
      <c r="D443" s="19" t="inlineStr">
        <is>
          <t>P12</t>
        </is>
      </c>
      <c r="E443" s="20" t="n">
        <v>20</v>
      </c>
      <c r="F443" s="6" t="inlineStr">
        <is>
          <t>CB400-V</t>
        </is>
      </c>
      <c r="G443" s="7" t="inlineStr">
        <is>
          <t>Đai xoắn tròn</t>
        </is>
      </c>
      <c r="H443" s="21" t="n">
        <v>0.583</v>
      </c>
      <c r="I443" s="22" t="n">
        <v>60</v>
      </c>
      <c r="J443" s="23" t="n">
        <v>2.47</v>
      </c>
      <c r="K443" s="9">
        <f>ROUND(H443*I443*J443, 2)</f>
        <v/>
      </c>
      <c r="L443" s="24">
        <f>ROUND(K443/1000, 3)</f>
        <v/>
      </c>
      <c r="M443" s="8" t="n"/>
      <c r="N443" s="21">
        <f>ROUND(N442 + IF(AND(E443&lt;=10, F443&lt;&gt;"ASTM A416"), L443, 0), 3)</f>
        <v/>
      </c>
      <c r="O443" s="21">
        <f>ROUND(O442 + IF(AND(E443&gt;10, E443&lt;=18, F443&lt;&gt;"ASTM A416"), L443, 0), 3)</f>
        <v/>
      </c>
      <c r="P443" s="21">
        <f>ROUND(P442 + IF(AND(E443&gt;18, F443&lt;&gt;"ASTM A416"), L443, 0), 3)</f>
        <v/>
      </c>
      <c r="Q443" s="21">
        <f>ROUND(Q442 + IF(F443="ASTM A416", L443, 0), 3)</f>
        <v/>
      </c>
      <c r="R443" s="11">
        <f>IF(INT(N443/20)&gt;INT(N442/20), "Lần " &amp; INT(N443/20), "")</f>
        <v/>
      </c>
      <c r="S443" s="12">
        <f>IF(INT(O443/20)&gt;INT(O442/20), "Lần " &amp; INT(O443/20), "")</f>
        <v/>
      </c>
      <c r="T443" s="11">
        <f>IF(INT(P443/20)&gt;INT(P442/20), "Lần " &amp; INT(P443/20), "")</f>
        <v/>
      </c>
      <c r="U443" s="25">
        <f>IF(INT(Q443/20)&gt;INT(Q442/20), "Lần " &amp; INT(Q443/20), "")</f>
        <v/>
      </c>
      <c r="V443" s="6" t="inlineStr"/>
      <c r="W443" s="6" t="inlineStr">
        <is>
          <t>ĐẠT TCVN 1651:2018</t>
        </is>
      </c>
    </row>
    <row r="444" ht="20" customHeight="1">
      <c r="A444" s="18" t="inlineStr">
        <is>
          <t>--- CỌC KHOAN NHỒI C7 MỐ M2 (D1.2M, L=36.0M) ---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</row>
    <row r="445" ht="19" customHeight="1">
      <c r="A445" s="6" t="n">
        <v>412</v>
      </c>
      <c r="B445" s="7" t="inlineStr">
        <is>
          <t>Cọc khoan nhồi C7 Mố M2 (D1.2m, L=36.0m)</t>
        </is>
      </c>
      <c r="C445" s="7" t="inlineStr">
        <is>
          <t>Thép đai xoắn lồng cọc</t>
        </is>
      </c>
      <c r="D445" s="19" t="inlineStr">
        <is>
          <t>P1</t>
        </is>
      </c>
      <c r="E445" s="20" t="n">
        <v>10</v>
      </c>
      <c r="F445" s="6" t="inlineStr">
        <is>
          <t>CB240-T</t>
        </is>
      </c>
      <c r="G445" s="7" t="inlineStr">
        <is>
          <t>Đai xoắn tròn</t>
        </is>
      </c>
      <c r="H445" s="21" t="n">
        <v>96.887</v>
      </c>
      <c r="I445" s="22" t="n">
        <v>1</v>
      </c>
      <c r="J445" s="23" t="n">
        <v>0.617</v>
      </c>
      <c r="K445" s="9">
        <f>ROUND(H445*I445*J445, 2)</f>
        <v/>
      </c>
      <c r="L445" s="24">
        <f>ROUND(K445/1000, 3)</f>
        <v/>
      </c>
      <c r="M445" s="8" t="n"/>
      <c r="N445" s="21">
        <f>ROUND(N443 + IF(AND(E445&lt;=10, F445&lt;&gt;"ASTM A416"), L445, 0), 3)</f>
        <v/>
      </c>
      <c r="O445" s="21">
        <f>ROUND(O443 + IF(AND(E445&gt;10, E445&lt;=18, F445&lt;&gt;"ASTM A416"), L445, 0), 3)</f>
        <v/>
      </c>
      <c r="P445" s="21">
        <f>ROUND(P443 + IF(AND(E445&gt;18, F445&lt;&gt;"ASTM A416"), L445, 0), 3)</f>
        <v/>
      </c>
      <c r="Q445" s="21">
        <f>ROUND(Q443 + IF(F445="ASTM A416", L445, 0), 3)</f>
        <v/>
      </c>
      <c r="R445" s="11">
        <f>IF(INT(N445/20)&gt;INT(N443/20), "Lần " &amp; INT(N445/20), "")</f>
        <v/>
      </c>
      <c r="S445" s="12">
        <f>IF(INT(O445/20)&gt;INT(O443/20), "Lần " &amp; INT(O445/20), "")</f>
        <v/>
      </c>
      <c r="T445" s="11">
        <f>IF(INT(P445/20)&gt;INT(P443/20), "Lần " &amp; INT(P445/20), "")</f>
        <v/>
      </c>
      <c r="U445" s="25">
        <f>IF(INT(Q445/20)&gt;INT(Q443/20), "Lần " &amp; INT(Q445/20), "")</f>
        <v/>
      </c>
      <c r="V445" s="6" t="inlineStr"/>
      <c r="W445" s="6" t="inlineStr">
        <is>
          <t>ĐẠT TCVN 1651:2018</t>
        </is>
      </c>
    </row>
    <row r="446" ht="19" customHeight="1">
      <c r="A446" s="6" t="n">
        <v>413</v>
      </c>
      <c r="B446" s="7" t="inlineStr">
        <is>
          <t>Cọc khoan nhồi C7 Mố M2 (D1.2m, L=36.0m)</t>
        </is>
      </c>
      <c r="C446" s="7" t="inlineStr">
        <is>
          <t>Thép đai xoắn lồng cọc</t>
        </is>
      </c>
      <c r="D446" s="19" t="inlineStr">
        <is>
          <t>P1A</t>
        </is>
      </c>
      <c r="E446" s="20" t="n">
        <v>10</v>
      </c>
      <c r="F446" s="6" t="inlineStr">
        <is>
          <t>CB240-T</t>
        </is>
      </c>
      <c r="G446" s="7" t="inlineStr">
        <is>
          <t>Đai xoắn tròn</t>
        </is>
      </c>
      <c r="H446" s="21" t="n">
        <v>390.776</v>
      </c>
      <c r="I446" s="22" t="n">
        <v>1</v>
      </c>
      <c r="J446" s="23" t="n">
        <v>0.617</v>
      </c>
      <c r="K446" s="9">
        <f>ROUND(H446*I446*J446, 2)</f>
        <v/>
      </c>
      <c r="L446" s="24">
        <f>ROUND(K446/1000, 3)</f>
        <v/>
      </c>
      <c r="M446" s="8" t="n"/>
      <c r="N446" s="21">
        <f>ROUND(N445 + IF(AND(E446&lt;=10, F446&lt;&gt;"ASTM A416"), L446, 0), 3)</f>
        <v/>
      </c>
      <c r="O446" s="21">
        <f>ROUND(O445 + IF(AND(E446&gt;10, E446&lt;=18, F446&lt;&gt;"ASTM A416"), L446, 0), 3)</f>
        <v/>
      </c>
      <c r="P446" s="21">
        <f>ROUND(P445 + IF(AND(E446&gt;18, F446&lt;&gt;"ASTM A416"), L446, 0), 3)</f>
        <v/>
      </c>
      <c r="Q446" s="21">
        <f>ROUND(Q445 + IF(F446="ASTM A416", L446, 0), 3)</f>
        <v/>
      </c>
      <c r="R446" s="11">
        <f>IF(INT(N446/20)&gt;INT(N445/20), "Lần " &amp; INT(N446/20), "")</f>
        <v/>
      </c>
      <c r="S446" s="12">
        <f>IF(INT(O446/20)&gt;INT(O445/20), "Lần " &amp; INT(O446/20), "")</f>
        <v/>
      </c>
      <c r="T446" s="11">
        <f>IF(INT(P446/20)&gt;INT(P445/20), "Lần " &amp; INT(P446/20), "")</f>
        <v/>
      </c>
      <c r="U446" s="25">
        <f>IF(INT(Q446/20)&gt;INT(Q445/20), "Lần " &amp; INT(Q446/20), "")</f>
        <v/>
      </c>
      <c r="V446" s="6" t="inlineStr"/>
      <c r="W446" s="6" t="inlineStr">
        <is>
          <t>ĐẠT TCVN 1651:2018</t>
        </is>
      </c>
    </row>
    <row r="447" ht="19" customHeight="1">
      <c r="A447" s="6" t="n">
        <v>414</v>
      </c>
      <c r="B447" s="7" t="inlineStr">
        <is>
          <t>Cọc khoan nhồi C7 Mố M2 (D1.2m, L=36.0m)</t>
        </is>
      </c>
      <c r="C447" s="7" t="inlineStr">
        <is>
          <t>Thép đai xoắn lồng cọc</t>
        </is>
      </c>
      <c r="D447" s="19" t="inlineStr">
        <is>
          <t>P1B</t>
        </is>
      </c>
      <c r="E447" s="20" t="n">
        <v>10</v>
      </c>
      <c r="F447" s="6" t="inlineStr">
        <is>
          <t>CB240-T</t>
        </is>
      </c>
      <c r="G447" s="7" t="inlineStr">
        <is>
          <t>Đai xoắn tròn</t>
        </is>
      </c>
      <c r="H447" s="21" t="n">
        <v>164.938</v>
      </c>
      <c r="I447" s="22" t="n">
        <v>1</v>
      </c>
      <c r="J447" s="23" t="n">
        <v>0.617</v>
      </c>
      <c r="K447" s="9">
        <f>ROUND(H447*I447*J447, 2)</f>
        <v/>
      </c>
      <c r="L447" s="24">
        <f>ROUND(K447/1000, 3)</f>
        <v/>
      </c>
      <c r="M447" s="8" t="n"/>
      <c r="N447" s="21">
        <f>ROUND(N446 + IF(AND(E447&lt;=10, F447&lt;&gt;"ASTM A416"), L447, 0), 3)</f>
        <v/>
      </c>
      <c r="O447" s="21">
        <f>ROUND(O446 + IF(AND(E447&gt;10, E447&lt;=18, F447&lt;&gt;"ASTM A416"), L447, 0), 3)</f>
        <v/>
      </c>
      <c r="P447" s="21">
        <f>ROUND(P446 + IF(AND(E447&gt;18, F447&lt;&gt;"ASTM A416"), L447, 0), 3)</f>
        <v/>
      </c>
      <c r="Q447" s="21">
        <f>ROUND(Q446 + IF(F447="ASTM A416", L447, 0), 3)</f>
        <v/>
      </c>
      <c r="R447" s="11">
        <f>IF(INT(N447/20)&gt;INT(N446/20), "Lần " &amp; INT(N447/20), "")</f>
        <v/>
      </c>
      <c r="S447" s="12">
        <f>IF(INT(O447/20)&gt;INT(O446/20), "Lần " &amp; INT(O447/20), "")</f>
        <v/>
      </c>
      <c r="T447" s="11">
        <f>IF(INT(P447/20)&gt;INT(P446/20), "Lần " &amp; INT(P447/20), "")</f>
        <v/>
      </c>
      <c r="U447" s="25">
        <f>IF(INT(Q447/20)&gt;INT(Q446/20), "Lần " &amp; INT(Q447/20), "")</f>
        <v/>
      </c>
      <c r="V447" s="6" t="inlineStr"/>
      <c r="W447" s="6" t="inlineStr">
        <is>
          <t>ĐẠT TCVN 1651:2018</t>
        </is>
      </c>
    </row>
    <row r="448" ht="19" customHeight="1">
      <c r="A448" s="6" t="n">
        <v>415</v>
      </c>
      <c r="B448" s="7" t="inlineStr">
        <is>
          <t>Cọc khoan nhồi C7 Mố M2 (D1.2m, L=36.0m)</t>
        </is>
      </c>
      <c r="C448" s="7" t="inlineStr">
        <is>
          <t>Thép đai xoắn lồng cọc</t>
        </is>
      </c>
      <c r="D448" s="19" t="inlineStr">
        <is>
          <t>P1C</t>
        </is>
      </c>
      <c r="E448" s="20" t="n">
        <v>10</v>
      </c>
      <c r="F448" s="6" t="inlineStr">
        <is>
          <t>CB240-T</t>
        </is>
      </c>
      <c r="G448" s="7" t="inlineStr">
        <is>
          <t>Đai xoắn tròn</t>
        </is>
      </c>
      <c r="H448" s="21" t="n">
        <v>3.592</v>
      </c>
      <c r="I448" s="22" t="n">
        <v>2</v>
      </c>
      <c r="J448" s="23" t="n">
        <v>0.617</v>
      </c>
      <c r="K448" s="9">
        <f>ROUND(H448*I448*J448, 2)</f>
        <v/>
      </c>
      <c r="L448" s="24">
        <f>ROUND(K448/1000, 3)</f>
        <v/>
      </c>
      <c r="M448" s="8" t="n"/>
      <c r="N448" s="21">
        <f>ROUND(N447 + IF(AND(E448&lt;=10, F448&lt;&gt;"ASTM A416"), L448, 0), 3)</f>
        <v/>
      </c>
      <c r="O448" s="21">
        <f>ROUND(O447 + IF(AND(E448&gt;10, E448&lt;=18, F448&lt;&gt;"ASTM A416"), L448, 0), 3)</f>
        <v/>
      </c>
      <c r="P448" s="21">
        <f>ROUND(P447 + IF(AND(E448&gt;18, F448&lt;&gt;"ASTM A416"), L448, 0), 3)</f>
        <v/>
      </c>
      <c r="Q448" s="21">
        <f>ROUND(Q447 + IF(F448="ASTM A416", L448, 0), 3)</f>
        <v/>
      </c>
      <c r="R448" s="11">
        <f>IF(INT(N448/20)&gt;INT(N447/20), "Lần " &amp; INT(N448/20), "")</f>
        <v/>
      </c>
      <c r="S448" s="12">
        <f>IF(INT(O448/20)&gt;INT(O447/20), "Lần " &amp; INT(O448/20), "")</f>
        <v/>
      </c>
      <c r="T448" s="11">
        <f>IF(INT(P448/20)&gt;INT(P447/20), "Lần " &amp; INT(P448/20), "")</f>
        <v/>
      </c>
      <c r="U448" s="25">
        <f>IF(INT(Q448/20)&gt;INT(Q447/20), "Lần " &amp; INT(Q448/20), "")</f>
        <v/>
      </c>
      <c r="V448" s="6" t="inlineStr"/>
      <c r="W448" s="6" t="inlineStr">
        <is>
          <t>ĐẠT TCVN 1651:2018</t>
        </is>
      </c>
    </row>
    <row r="449" ht="19" customHeight="1">
      <c r="A449" s="6" t="n">
        <v>416</v>
      </c>
      <c r="B449" s="7" t="inlineStr">
        <is>
          <t>Cọc khoan nhồi C7 Mố M2 (D1.2m, L=36.0m)</t>
        </is>
      </c>
      <c r="C449" s="7" t="inlineStr">
        <is>
          <t>Thép đai xoắn lồng cọc</t>
        </is>
      </c>
      <c r="D449" s="19" t="inlineStr">
        <is>
          <t>P1D</t>
        </is>
      </c>
      <c r="E449" s="20" t="n">
        <v>10</v>
      </c>
      <c r="F449" s="6" t="inlineStr">
        <is>
          <t>CB240-T</t>
        </is>
      </c>
      <c r="G449" s="7" t="inlineStr">
        <is>
          <t>Đai xoắn tròn</t>
        </is>
      </c>
      <c r="H449" s="21" t="n">
        <v>23.007</v>
      </c>
      <c r="I449" s="22" t="n">
        <v>1</v>
      </c>
      <c r="J449" s="23" t="n">
        <v>0.617</v>
      </c>
      <c r="K449" s="9">
        <f>ROUND(H449*I449*J449, 2)</f>
        <v/>
      </c>
      <c r="L449" s="24">
        <f>ROUND(K449/1000, 3)</f>
        <v/>
      </c>
      <c r="M449" s="8" t="n"/>
      <c r="N449" s="21">
        <f>ROUND(N448 + IF(AND(E449&lt;=10, F449&lt;&gt;"ASTM A416"), L449, 0), 3)</f>
        <v/>
      </c>
      <c r="O449" s="21">
        <f>ROUND(O448 + IF(AND(E449&gt;10, E449&lt;=18, F449&lt;&gt;"ASTM A416"), L449, 0), 3)</f>
        <v/>
      </c>
      <c r="P449" s="21">
        <f>ROUND(P448 + IF(AND(E449&gt;18, F449&lt;&gt;"ASTM A416"), L449, 0), 3)</f>
        <v/>
      </c>
      <c r="Q449" s="21">
        <f>ROUND(Q448 + IF(F449="ASTM A416", L449, 0), 3)</f>
        <v/>
      </c>
      <c r="R449" s="11">
        <f>IF(INT(N449/20)&gt;INT(N448/20), "Lần " &amp; INT(N449/20), "")</f>
        <v/>
      </c>
      <c r="S449" s="12">
        <f>IF(INT(O449/20)&gt;INT(O448/20), "Lần " &amp; INT(O449/20), "")</f>
        <v/>
      </c>
      <c r="T449" s="11">
        <f>IF(INT(P449/20)&gt;INT(P448/20), "Lần " &amp; INT(P449/20), "")</f>
        <v/>
      </c>
      <c r="U449" s="25">
        <f>IF(INT(Q449/20)&gt;INT(Q448/20), "Lần " &amp; INT(Q449/20), "")</f>
        <v/>
      </c>
      <c r="V449" s="6" t="inlineStr"/>
      <c r="W449" s="6" t="inlineStr">
        <is>
          <t>ĐẠT TCVN 1651:2018</t>
        </is>
      </c>
    </row>
    <row r="450" ht="19" customHeight="1">
      <c r="A450" s="6" t="n">
        <v>417</v>
      </c>
      <c r="B450" s="7" t="inlineStr">
        <is>
          <t>Cọc khoan nhồi C7 Mố M2 (D1.2m, L=36.0m)</t>
        </is>
      </c>
      <c r="C450" s="7" t="inlineStr">
        <is>
          <t>Cốt thép chủ chịu lực cọc</t>
        </is>
      </c>
      <c r="D450" s="19" t="inlineStr">
        <is>
          <t>P2A</t>
        </is>
      </c>
      <c r="E450" s="20" t="n">
        <v>28</v>
      </c>
      <c r="F450" s="6" t="inlineStr">
        <is>
          <t>CB400-V</t>
        </is>
      </c>
      <c r="G450" s="7" t="inlineStr">
        <is>
          <t>Thanh thẳng nối ren/hàn</t>
        </is>
      </c>
      <c r="H450" s="21" t="n">
        <v>2.966</v>
      </c>
      <c r="I450" s="22" t="n">
        <v>5</v>
      </c>
      <c r="J450" s="23" t="n">
        <v>4.83</v>
      </c>
      <c r="K450" s="9">
        <f>ROUND(H450*I450*J450, 2)</f>
        <v/>
      </c>
      <c r="L450" s="24">
        <f>ROUND(K450/1000, 3)</f>
        <v/>
      </c>
      <c r="M450" s="8" t="n"/>
      <c r="N450" s="21">
        <f>ROUND(N449 + IF(AND(E450&lt;=10, F450&lt;&gt;"ASTM A416"), L450, 0), 3)</f>
        <v/>
      </c>
      <c r="O450" s="21">
        <f>ROUND(O449 + IF(AND(E450&gt;10, E450&lt;=18, F450&lt;&gt;"ASTM A416"), L450, 0), 3)</f>
        <v/>
      </c>
      <c r="P450" s="21">
        <f>ROUND(P449 + IF(AND(E450&gt;18, F450&lt;&gt;"ASTM A416"), L450, 0), 3)</f>
        <v/>
      </c>
      <c r="Q450" s="21">
        <f>ROUND(Q449 + IF(F450="ASTM A416", L450, 0), 3)</f>
        <v/>
      </c>
      <c r="R450" s="11">
        <f>IF(INT(N450/20)&gt;INT(N449/20), "Lần " &amp; INT(N450/20), "")</f>
        <v/>
      </c>
      <c r="S450" s="12">
        <f>IF(INT(O450/20)&gt;INT(O449/20), "Lần " &amp; INT(O450/20), "")</f>
        <v/>
      </c>
      <c r="T450" s="11">
        <f>IF(INT(P450/20)&gt;INT(P449/20), "Lần " &amp; INT(P450/20), "")</f>
        <v/>
      </c>
      <c r="U450" s="25">
        <f>IF(INT(Q450/20)&gt;INT(Q449/20), "Lần " &amp; INT(Q450/20), "")</f>
        <v/>
      </c>
      <c r="V450" s="6" t="inlineStr"/>
      <c r="W450" s="6" t="inlineStr">
        <is>
          <t>ĐẠT TCVN 1651:2018</t>
        </is>
      </c>
    </row>
    <row r="451" ht="19" customHeight="1">
      <c r="A451" s="6" t="n">
        <v>418</v>
      </c>
      <c r="B451" s="7" t="inlineStr">
        <is>
          <t>Cọc khoan nhồi C7 Mố M2 (D1.2m, L=36.0m)</t>
        </is>
      </c>
      <c r="C451" s="7" t="inlineStr">
        <is>
          <t>Cốt thép chủ chịu lực cọc</t>
        </is>
      </c>
      <c r="D451" s="19" t="inlineStr">
        <is>
          <t>P2B</t>
        </is>
      </c>
      <c r="E451" s="20" t="n">
        <v>25</v>
      </c>
      <c r="F451" s="6" t="inlineStr">
        <is>
          <t>CB400-V</t>
        </is>
      </c>
      <c r="G451" s="7" t="inlineStr">
        <is>
          <t>Thanh thẳng nối ren/hàn</t>
        </is>
      </c>
      <c r="H451" s="21" t="n">
        <v>2.985</v>
      </c>
      <c r="I451" s="22" t="n">
        <v>10</v>
      </c>
      <c r="J451" s="23" t="n">
        <v>3.85</v>
      </c>
      <c r="K451" s="9">
        <f>ROUND(H451*I451*J451, 2)</f>
        <v/>
      </c>
      <c r="L451" s="24">
        <f>ROUND(K451/1000, 3)</f>
        <v/>
      </c>
      <c r="M451" s="8" t="n"/>
      <c r="N451" s="21">
        <f>ROUND(N450 + IF(AND(E451&lt;=10, F451&lt;&gt;"ASTM A416"), L451, 0), 3)</f>
        <v/>
      </c>
      <c r="O451" s="21">
        <f>ROUND(O450 + IF(AND(E451&gt;10, E451&lt;=18, F451&lt;&gt;"ASTM A416"), L451, 0), 3)</f>
        <v/>
      </c>
      <c r="P451" s="21">
        <f>ROUND(P450 + IF(AND(E451&gt;18, F451&lt;&gt;"ASTM A416"), L451, 0), 3)</f>
        <v/>
      </c>
      <c r="Q451" s="21">
        <f>ROUND(Q450 + IF(F451="ASTM A416", L451, 0), 3)</f>
        <v/>
      </c>
      <c r="R451" s="11">
        <f>IF(INT(N451/20)&gt;INT(N450/20), "Lần " &amp; INT(N451/20), "")</f>
        <v/>
      </c>
      <c r="S451" s="12">
        <f>IF(INT(O451/20)&gt;INT(O450/20), "Lần " &amp; INT(O451/20), "")</f>
        <v/>
      </c>
      <c r="T451" s="11">
        <f>IF(INT(P451/20)&gt;INT(P450/20), "Lần " &amp; INT(P451/20), "")</f>
        <v/>
      </c>
      <c r="U451" s="25">
        <f>IF(INT(Q451/20)&gt;INT(Q450/20), "Lần " &amp; INT(Q451/20), "")</f>
        <v/>
      </c>
      <c r="V451" s="6" t="inlineStr"/>
      <c r="W451" s="6" t="inlineStr">
        <is>
          <t>ĐẠT TCVN 1651:2018</t>
        </is>
      </c>
    </row>
    <row r="452" ht="19" customHeight="1">
      <c r="A452" s="6" t="n">
        <v>419</v>
      </c>
      <c r="B452" s="7" t="inlineStr">
        <is>
          <t>Cọc khoan nhồi C7 Mố M2 (D1.2m, L=36.0m)</t>
        </is>
      </c>
      <c r="C452" s="7" t="inlineStr">
        <is>
          <t>Cốt thép chủ chịu lực cọc</t>
        </is>
      </c>
      <c r="D452" s="19" t="inlineStr">
        <is>
          <t>P3</t>
        </is>
      </c>
      <c r="E452" s="20" t="n">
        <v>28</v>
      </c>
      <c r="F452" s="6" t="inlineStr">
        <is>
          <t>CB400-V</t>
        </is>
      </c>
      <c r="G452" s="7" t="inlineStr">
        <is>
          <t>Thanh thẳng nối ren/hàn</t>
        </is>
      </c>
      <c r="H452" s="21" t="n">
        <v>10.7</v>
      </c>
      <c r="I452" s="22" t="n">
        <v>12</v>
      </c>
      <c r="J452" s="23" t="n">
        <v>4.83</v>
      </c>
      <c r="K452" s="9">
        <f>ROUND(H452*I452*J452, 2)</f>
        <v/>
      </c>
      <c r="L452" s="24">
        <f>ROUND(K452/1000, 3)</f>
        <v/>
      </c>
      <c r="M452" s="8" t="n"/>
      <c r="N452" s="21">
        <f>ROUND(N451 + IF(AND(E452&lt;=10, F452&lt;&gt;"ASTM A416"), L452, 0), 3)</f>
        <v/>
      </c>
      <c r="O452" s="21">
        <f>ROUND(O451 + IF(AND(E452&gt;10, E452&lt;=18, F452&lt;&gt;"ASTM A416"), L452, 0), 3)</f>
        <v/>
      </c>
      <c r="P452" s="21">
        <f>ROUND(P451 + IF(AND(E452&gt;18, F452&lt;&gt;"ASTM A416"), L452, 0), 3)</f>
        <v/>
      </c>
      <c r="Q452" s="21">
        <f>ROUND(Q451 + IF(F452="ASTM A416", L452, 0), 3)</f>
        <v/>
      </c>
      <c r="R452" s="11">
        <f>IF(INT(N452/20)&gt;INT(N451/20), "Lần " &amp; INT(N452/20), "")</f>
        <v/>
      </c>
      <c r="S452" s="12">
        <f>IF(INT(O452/20)&gt;INT(O451/20), "Lần " &amp; INT(O452/20), "")</f>
        <v/>
      </c>
      <c r="T452" s="11">
        <f>IF(INT(P452/20)&gt;INT(P451/20), "Lần " &amp; INT(P452/20), "")</f>
        <v/>
      </c>
      <c r="U452" s="25">
        <f>IF(INT(Q452/20)&gt;INT(Q451/20), "Lần " &amp; INT(Q452/20), "")</f>
        <v/>
      </c>
      <c r="V452" s="6" t="inlineStr"/>
      <c r="W452" s="6" t="inlineStr">
        <is>
          <t>ĐẠT TCVN 1651:2018</t>
        </is>
      </c>
    </row>
    <row r="453" ht="19" customHeight="1">
      <c r="A453" s="6" t="n">
        <v>420</v>
      </c>
      <c r="B453" s="7" t="inlineStr">
        <is>
          <t>Cọc khoan nhồi C7 Mố M2 (D1.2m, L=36.0m)</t>
        </is>
      </c>
      <c r="C453" s="7" t="inlineStr">
        <is>
          <t>Cốt thép chủ chịu lực cọc</t>
        </is>
      </c>
      <c r="D453" s="19" t="inlineStr">
        <is>
          <t>P4</t>
        </is>
      </c>
      <c r="E453" s="20" t="n">
        <v>28</v>
      </c>
      <c r="F453" s="6" t="inlineStr">
        <is>
          <t>CB400-V</t>
        </is>
      </c>
      <c r="G453" s="7" t="inlineStr">
        <is>
          <t>Thanh thẳng nối ren/hàn</t>
        </is>
      </c>
      <c r="H453" s="21" t="n">
        <v>11.7</v>
      </c>
      <c r="I453" s="22" t="n">
        <v>12</v>
      </c>
      <c r="J453" s="23" t="n">
        <v>4.83</v>
      </c>
      <c r="K453" s="9">
        <f>ROUND(H453*I453*J453, 2)</f>
        <v/>
      </c>
      <c r="L453" s="24">
        <f>ROUND(K453/1000, 3)</f>
        <v/>
      </c>
      <c r="M453" s="8" t="n"/>
      <c r="N453" s="21">
        <f>ROUND(N452 + IF(AND(E453&lt;=10, F453&lt;&gt;"ASTM A416"), L453, 0), 3)</f>
        <v/>
      </c>
      <c r="O453" s="21">
        <f>ROUND(O452 + IF(AND(E453&gt;10, E453&lt;=18, F453&lt;&gt;"ASTM A416"), L453, 0), 3)</f>
        <v/>
      </c>
      <c r="P453" s="21">
        <f>ROUND(P452 + IF(AND(E453&gt;18, F453&lt;&gt;"ASTM A416"), L453, 0), 3)</f>
        <v/>
      </c>
      <c r="Q453" s="21">
        <f>ROUND(Q452 + IF(F453="ASTM A416", L453, 0), 3)</f>
        <v/>
      </c>
      <c r="R453" s="11">
        <f>IF(INT(N453/20)&gt;INT(N452/20), "Lần " &amp; INT(N453/20), "")</f>
        <v/>
      </c>
      <c r="S453" s="12">
        <f>IF(INT(O453/20)&gt;INT(O452/20), "Lần " &amp; INT(O453/20), "")</f>
        <v/>
      </c>
      <c r="T453" s="11">
        <f>IF(INT(P453/20)&gt;INT(P452/20), "Lần " &amp; INT(P453/20), "")</f>
        <v/>
      </c>
      <c r="U453" s="25">
        <f>IF(INT(Q453/20)&gt;INT(Q452/20), "Lần " &amp; INT(Q453/20), "")</f>
        <v/>
      </c>
      <c r="V453" s="6" t="inlineStr"/>
      <c r="W453" s="6" t="inlineStr">
        <is>
          <t>ĐẠT TCVN 1651:2018</t>
        </is>
      </c>
    </row>
    <row r="454" ht="19" customHeight="1">
      <c r="A454" s="6" t="n">
        <v>421</v>
      </c>
      <c r="B454" s="7" t="inlineStr">
        <is>
          <t>Cọc khoan nhồi C7 Mố M2 (D1.2m, L=36.0m)</t>
        </is>
      </c>
      <c r="C454" s="7" t="inlineStr">
        <is>
          <t>Cốt thép chủ chịu lực cọc</t>
        </is>
      </c>
      <c r="D454" s="19" t="inlineStr">
        <is>
          <t>P5</t>
        </is>
      </c>
      <c r="E454" s="20" t="n">
        <v>25</v>
      </c>
      <c r="F454" s="6" t="inlineStr">
        <is>
          <t>CB400-V</t>
        </is>
      </c>
      <c r="G454" s="7" t="inlineStr">
        <is>
          <t>Thanh thẳng nối ren/hàn</t>
        </is>
      </c>
      <c r="H454" s="21" t="n">
        <v>11.7</v>
      </c>
      <c r="I454" s="22" t="n">
        <v>48</v>
      </c>
      <c r="J454" s="23" t="n">
        <v>3.85</v>
      </c>
      <c r="K454" s="9">
        <f>ROUND(H454*I454*J454, 2)</f>
        <v/>
      </c>
      <c r="L454" s="24">
        <f>ROUND(K454/1000, 3)</f>
        <v/>
      </c>
      <c r="M454" s="8" t="n"/>
      <c r="N454" s="21">
        <f>ROUND(N453 + IF(AND(E454&lt;=10, F454&lt;&gt;"ASTM A416"), L454, 0), 3)</f>
        <v/>
      </c>
      <c r="O454" s="21">
        <f>ROUND(O453 + IF(AND(E454&gt;10, E454&lt;=18, F454&lt;&gt;"ASTM A416"), L454, 0), 3)</f>
        <v/>
      </c>
      <c r="P454" s="21">
        <f>ROUND(P453 + IF(AND(E454&gt;18, F454&lt;&gt;"ASTM A416"), L454, 0), 3)</f>
        <v/>
      </c>
      <c r="Q454" s="21">
        <f>ROUND(Q453 + IF(F454="ASTM A416", L454, 0), 3)</f>
        <v/>
      </c>
      <c r="R454" s="11">
        <f>IF(INT(N454/20)&gt;INT(N453/20), "Lần " &amp; INT(N454/20), "")</f>
        <v/>
      </c>
      <c r="S454" s="12">
        <f>IF(INT(O454/20)&gt;INT(O453/20), "Lần " &amp; INT(O454/20), "")</f>
        <v/>
      </c>
      <c r="T454" s="11">
        <f>IF(INT(P454/20)&gt;INT(P453/20), "Lần " &amp; INT(P454/20), "")</f>
        <v/>
      </c>
      <c r="U454" s="25">
        <f>IF(INT(Q454/20)&gt;INT(Q453/20), "Lần " &amp; INT(Q454/20), "")</f>
        <v/>
      </c>
      <c r="V454" s="6" t="inlineStr"/>
      <c r="W454" s="6" t="inlineStr">
        <is>
          <t>ĐẠT TCVN 1651:2018</t>
        </is>
      </c>
    </row>
    <row r="455" ht="19" customHeight="1">
      <c r="A455" s="6" t="n">
        <v>422</v>
      </c>
      <c r="B455" s="7" t="inlineStr">
        <is>
          <t>Cọc khoan nhồi C7 Mố M2 (D1.2m, L=36.0m)</t>
        </is>
      </c>
      <c r="C455" s="7" t="inlineStr">
        <is>
          <t>Cốt thép chủ chịu lực cọc</t>
        </is>
      </c>
      <c r="D455" s="19" t="inlineStr">
        <is>
          <t>P6</t>
        </is>
      </c>
      <c r="E455" s="20" t="n">
        <v>25</v>
      </c>
      <c r="F455" s="6" t="inlineStr">
        <is>
          <t>CB400-V</t>
        </is>
      </c>
      <c r="G455" s="7" t="inlineStr">
        <is>
          <t>Thanh thẳng nối ren/hàn</t>
        </is>
      </c>
      <c r="H455" s="21" t="n">
        <v>5.153</v>
      </c>
      <c r="I455" s="22" t="n">
        <v>12</v>
      </c>
      <c r="J455" s="23" t="n">
        <v>3.85</v>
      </c>
      <c r="K455" s="9">
        <f>ROUND(H455*I455*J455, 2)</f>
        <v/>
      </c>
      <c r="L455" s="24">
        <f>ROUND(K455/1000, 3)</f>
        <v/>
      </c>
      <c r="M455" s="8" t="n"/>
      <c r="N455" s="21">
        <f>ROUND(N454 + IF(AND(E455&lt;=10, F455&lt;&gt;"ASTM A416"), L455, 0), 3)</f>
        <v/>
      </c>
      <c r="O455" s="21">
        <f>ROUND(O454 + IF(AND(E455&gt;10, E455&lt;=18, F455&lt;&gt;"ASTM A416"), L455, 0), 3)</f>
        <v/>
      </c>
      <c r="P455" s="21">
        <f>ROUND(P454 + IF(AND(E455&gt;18, F455&lt;&gt;"ASTM A416"), L455, 0), 3)</f>
        <v/>
      </c>
      <c r="Q455" s="21">
        <f>ROUND(Q454 + IF(F455="ASTM A416", L455, 0), 3)</f>
        <v/>
      </c>
      <c r="R455" s="11">
        <f>IF(INT(N455/20)&gt;INT(N454/20), "Lần " &amp; INT(N455/20), "")</f>
        <v/>
      </c>
      <c r="S455" s="12">
        <f>IF(INT(O455/20)&gt;INT(O454/20), "Lần " &amp; INT(O455/20), "")</f>
        <v/>
      </c>
      <c r="T455" s="11">
        <f>IF(INT(P455/20)&gt;INT(P454/20), "Lần " &amp; INT(P455/20), "")</f>
        <v/>
      </c>
      <c r="U455" s="25">
        <f>IF(INT(Q455/20)&gt;INT(Q454/20), "Lần " &amp; INT(Q455/20), "")</f>
        <v/>
      </c>
      <c r="V455" s="6" t="inlineStr"/>
      <c r="W455" s="6" t="inlineStr">
        <is>
          <t>ĐẠT TCVN 1651:2018</t>
        </is>
      </c>
    </row>
    <row r="456" ht="19" customHeight="1">
      <c r="A456" s="6" t="n">
        <v>423</v>
      </c>
      <c r="B456" s="7" t="inlineStr">
        <is>
          <t>Cọc khoan nhồi C7 Mố M2 (D1.2m, L=36.0m)</t>
        </is>
      </c>
      <c r="C456" s="7" t="inlineStr">
        <is>
          <t>Cốt thép chủ chịu lực cọc</t>
        </is>
      </c>
      <c r="D456" s="19" t="inlineStr">
        <is>
          <t>P7</t>
        </is>
      </c>
      <c r="E456" s="20" t="n">
        <v>25</v>
      </c>
      <c r="F456" s="6" t="inlineStr">
        <is>
          <t>CB400-V</t>
        </is>
      </c>
      <c r="G456" s="7" t="inlineStr">
        <is>
          <t>Thanh thẳng nối ren/hàn</t>
        </is>
      </c>
      <c r="H456" s="21" t="n">
        <v>6.153</v>
      </c>
      <c r="I456" s="22" t="n">
        <v>12</v>
      </c>
      <c r="J456" s="23" t="n">
        <v>3.85</v>
      </c>
      <c r="K456" s="9">
        <f>ROUND(H456*I456*J456, 2)</f>
        <v/>
      </c>
      <c r="L456" s="24">
        <f>ROUND(K456/1000, 3)</f>
        <v/>
      </c>
      <c r="M456" s="8" t="n"/>
      <c r="N456" s="21">
        <f>ROUND(N455 + IF(AND(E456&lt;=10, F456&lt;&gt;"ASTM A416"), L456, 0), 3)</f>
        <v/>
      </c>
      <c r="O456" s="21">
        <f>ROUND(O455 + IF(AND(E456&gt;10, E456&lt;=18, F456&lt;&gt;"ASTM A416"), L456, 0), 3)</f>
        <v/>
      </c>
      <c r="P456" s="21">
        <f>ROUND(P455 + IF(AND(E456&gt;18, F456&lt;&gt;"ASTM A416"), L456, 0), 3)</f>
        <v/>
      </c>
      <c r="Q456" s="21">
        <f>ROUND(Q455 + IF(F456="ASTM A416", L456, 0), 3)</f>
        <v/>
      </c>
      <c r="R456" s="11">
        <f>IF(INT(N456/20)&gt;INT(N455/20), "Lần " &amp; INT(N456/20), "")</f>
        <v/>
      </c>
      <c r="S456" s="12">
        <f>IF(INT(O456/20)&gt;INT(O455/20), "Lần " &amp; INT(O456/20), "")</f>
        <v/>
      </c>
      <c r="T456" s="11">
        <f>IF(INT(P456/20)&gt;INT(P455/20), "Lần " &amp; INT(P456/20), "")</f>
        <v/>
      </c>
      <c r="U456" s="25">
        <f>IF(INT(Q456/20)&gt;INT(Q455/20), "Lần " &amp; INT(Q456/20), "")</f>
        <v/>
      </c>
      <c r="V456" s="6" t="inlineStr"/>
      <c r="W456" s="6" t="inlineStr">
        <is>
          <t>ĐẠT TCVN 1651:2018</t>
        </is>
      </c>
    </row>
    <row r="457" ht="19" customHeight="1">
      <c r="A457" s="6" t="n">
        <v>424</v>
      </c>
      <c r="B457" s="7" t="inlineStr">
        <is>
          <t>Cọc khoan nhồi C7 Mố M2 (D1.2m, L=36.0m)</t>
        </is>
      </c>
      <c r="C457" s="7" t="inlineStr">
        <is>
          <t>Đai tăng cường / Con kê bảo vệ</t>
        </is>
      </c>
      <c r="D457" s="19" t="inlineStr">
        <is>
          <t>P8</t>
        </is>
      </c>
      <c r="E457" s="20" t="n">
        <v>12</v>
      </c>
      <c r="F457" s="6" t="inlineStr">
        <is>
          <t>CB400-V</t>
        </is>
      </c>
      <c r="G457" s="7" t="inlineStr">
        <is>
          <t>Móc neo / Vòng đai</t>
        </is>
      </c>
      <c r="H457" s="21" t="n">
        <v>0.647</v>
      </c>
      <c r="I457" s="22" t="n">
        <v>15</v>
      </c>
      <c r="J457" s="23" t="n">
        <v>0.888</v>
      </c>
      <c r="K457" s="9">
        <f>ROUND(H457*I457*J457, 2)</f>
        <v/>
      </c>
      <c r="L457" s="24">
        <f>ROUND(K457/1000, 3)</f>
        <v/>
      </c>
      <c r="M457" s="8" t="n"/>
      <c r="N457" s="21">
        <f>ROUND(N456 + IF(AND(E457&lt;=10, F457&lt;&gt;"ASTM A416"), L457, 0), 3)</f>
        <v/>
      </c>
      <c r="O457" s="21">
        <f>ROUND(O456 + IF(AND(E457&gt;10, E457&lt;=18, F457&lt;&gt;"ASTM A416"), L457, 0), 3)</f>
        <v/>
      </c>
      <c r="P457" s="21">
        <f>ROUND(P456 + IF(AND(E457&gt;18, F457&lt;&gt;"ASTM A416"), L457, 0), 3)</f>
        <v/>
      </c>
      <c r="Q457" s="21">
        <f>ROUND(Q456 + IF(F457="ASTM A416", L457, 0), 3)</f>
        <v/>
      </c>
      <c r="R457" s="11">
        <f>IF(INT(N457/20)&gt;INT(N456/20), "Lần " &amp; INT(N457/20), "")</f>
        <v/>
      </c>
      <c r="S457" s="12">
        <f>IF(INT(O457/20)&gt;INT(O456/20), "Lần " &amp; INT(O457/20), "")</f>
        <v/>
      </c>
      <c r="T457" s="11">
        <f>IF(INT(P457/20)&gt;INT(P456/20), "Lần " &amp; INT(P457/20), "")</f>
        <v/>
      </c>
      <c r="U457" s="25">
        <f>IF(INT(Q457/20)&gt;INT(Q456/20), "Lần " &amp; INT(Q457/20), "")</f>
        <v/>
      </c>
      <c r="V457" s="6" t="inlineStr"/>
      <c r="W457" s="6" t="inlineStr">
        <is>
          <t>ĐẠT TCVN 1651:2018</t>
        </is>
      </c>
    </row>
    <row r="458" ht="19" customHeight="1">
      <c r="A458" s="6" t="n">
        <v>425</v>
      </c>
      <c r="B458" s="7" t="inlineStr">
        <is>
          <t>Cọc khoan nhồi C7 Mố M2 (D1.2m, L=36.0m)</t>
        </is>
      </c>
      <c r="C458" s="7" t="inlineStr">
        <is>
          <t>Đai tăng cường / Con kê bảo vệ</t>
        </is>
      </c>
      <c r="D458" s="19" t="inlineStr">
        <is>
          <t>P9</t>
        </is>
      </c>
      <c r="E458" s="20" t="n">
        <v>12</v>
      </c>
      <c r="F458" s="6" t="inlineStr">
        <is>
          <t>CB400-V</t>
        </is>
      </c>
      <c r="G458" s="7" t="inlineStr">
        <is>
          <t>Móc neo / Vòng đai</t>
        </is>
      </c>
      <c r="H458" s="21" t="n">
        <v>0.379</v>
      </c>
      <c r="I458" s="22" t="n">
        <v>45</v>
      </c>
      <c r="J458" s="23" t="n">
        <v>0.888</v>
      </c>
      <c r="K458" s="9">
        <f>ROUND(H458*I458*J458, 2)</f>
        <v/>
      </c>
      <c r="L458" s="24">
        <f>ROUND(K458/1000, 3)</f>
        <v/>
      </c>
      <c r="M458" s="8" t="n"/>
      <c r="N458" s="21">
        <f>ROUND(N457 + IF(AND(E458&lt;=10, F458&lt;&gt;"ASTM A416"), L458, 0), 3)</f>
        <v/>
      </c>
      <c r="O458" s="21">
        <f>ROUND(O457 + IF(AND(E458&gt;10, E458&lt;=18, F458&lt;&gt;"ASTM A416"), L458, 0), 3)</f>
        <v/>
      </c>
      <c r="P458" s="21">
        <f>ROUND(P457 + IF(AND(E458&gt;18, F458&lt;&gt;"ASTM A416"), L458, 0), 3)</f>
        <v/>
      </c>
      <c r="Q458" s="21">
        <f>ROUND(Q457 + IF(F458="ASTM A416", L458, 0), 3)</f>
        <v/>
      </c>
      <c r="R458" s="11">
        <f>IF(INT(N458/20)&gt;INT(N457/20), "Lần " &amp; INT(N458/20), "")</f>
        <v/>
      </c>
      <c r="S458" s="12">
        <f>IF(INT(O458/20)&gt;INT(O457/20), "Lần " &amp; INT(O458/20), "")</f>
        <v/>
      </c>
      <c r="T458" s="11">
        <f>IF(INT(P458/20)&gt;INT(P457/20), "Lần " &amp; INT(P458/20), "")</f>
        <v/>
      </c>
      <c r="U458" s="25">
        <f>IF(INT(Q458/20)&gt;INT(Q457/20), "Lần " &amp; INT(Q458/20), "")</f>
        <v/>
      </c>
      <c r="V458" s="6" t="inlineStr"/>
      <c r="W458" s="6" t="inlineStr">
        <is>
          <t>ĐẠT TCVN 1651:2018</t>
        </is>
      </c>
    </row>
    <row r="459" ht="19" customHeight="1">
      <c r="A459" s="6" t="n">
        <v>426</v>
      </c>
      <c r="B459" s="7" t="inlineStr">
        <is>
          <t>Cọc khoan nhồi C7 Mố M2 (D1.2m, L=36.0m)</t>
        </is>
      </c>
      <c r="C459" s="7" t="inlineStr">
        <is>
          <t>Thép đai xoắn lồng cọc</t>
        </is>
      </c>
      <c r="D459" s="19" t="inlineStr">
        <is>
          <t>P10</t>
        </is>
      </c>
      <c r="E459" s="20" t="n">
        <v>20</v>
      </c>
      <c r="F459" s="6" t="inlineStr">
        <is>
          <t>CB400-V</t>
        </is>
      </c>
      <c r="G459" s="7" t="inlineStr">
        <is>
          <t>Đai xoắn tròn</t>
        </is>
      </c>
      <c r="H459" s="21" t="n">
        <v>2.057</v>
      </c>
      <c r="I459" s="22" t="n">
        <v>1</v>
      </c>
      <c r="J459" s="23" t="n">
        <v>2.47</v>
      </c>
      <c r="K459" s="9">
        <f>ROUND(H459*I459*J459, 2)</f>
        <v/>
      </c>
      <c r="L459" s="24">
        <f>ROUND(K459/1000, 3)</f>
        <v/>
      </c>
      <c r="M459" s="8" t="n"/>
      <c r="N459" s="21">
        <f>ROUND(N458 + IF(AND(E459&lt;=10, F459&lt;&gt;"ASTM A416"), L459, 0), 3)</f>
        <v/>
      </c>
      <c r="O459" s="21">
        <f>ROUND(O458 + IF(AND(E459&gt;10, E459&lt;=18, F459&lt;&gt;"ASTM A416"), L459, 0), 3)</f>
        <v/>
      </c>
      <c r="P459" s="21">
        <f>ROUND(P458 + IF(AND(E459&gt;18, F459&lt;&gt;"ASTM A416"), L459, 0), 3)</f>
        <v/>
      </c>
      <c r="Q459" s="21">
        <f>ROUND(Q458 + IF(F459="ASTM A416", L459, 0), 3)</f>
        <v/>
      </c>
      <c r="R459" s="11">
        <f>IF(INT(N459/20)&gt;INT(N458/20), "Lần " &amp; INT(N459/20), "")</f>
        <v/>
      </c>
      <c r="S459" s="12">
        <f>IF(INT(O459/20)&gt;INT(O458/20), "Lần " &amp; INT(O459/20), "")</f>
        <v/>
      </c>
      <c r="T459" s="11">
        <f>IF(INT(P459/20)&gt;INT(P458/20), "Lần " &amp; INT(P459/20), "")</f>
        <v/>
      </c>
      <c r="U459" s="25">
        <f>IF(INT(Q459/20)&gt;INT(Q458/20), "Lần " &amp; INT(Q459/20), "")</f>
        <v/>
      </c>
      <c r="V459" s="6" t="inlineStr"/>
      <c r="W459" s="6" t="inlineStr">
        <is>
          <t>ĐẠT TCVN 1651:2018</t>
        </is>
      </c>
    </row>
    <row r="460" ht="19" customHeight="1">
      <c r="A460" s="6" t="n">
        <v>427</v>
      </c>
      <c r="B460" s="7" t="inlineStr">
        <is>
          <t>Cọc khoan nhồi C7 Mố M2 (D1.2m, L=36.0m)</t>
        </is>
      </c>
      <c r="C460" s="7" t="inlineStr">
        <is>
          <t>Thép đai xoắn lồng cọc</t>
        </is>
      </c>
      <c r="D460" s="19" t="inlineStr">
        <is>
          <t>P12</t>
        </is>
      </c>
      <c r="E460" s="20" t="n">
        <v>20</v>
      </c>
      <c r="F460" s="6" t="inlineStr">
        <is>
          <t>CB400-V</t>
        </is>
      </c>
      <c r="G460" s="7" t="inlineStr">
        <is>
          <t>Đai xoắn tròn</t>
        </is>
      </c>
      <c r="H460" s="21" t="n">
        <v>0.583</v>
      </c>
      <c r="I460" s="22" t="n">
        <v>60</v>
      </c>
      <c r="J460" s="23" t="n">
        <v>2.47</v>
      </c>
      <c r="K460" s="9">
        <f>ROUND(H460*I460*J460, 2)</f>
        <v/>
      </c>
      <c r="L460" s="24">
        <f>ROUND(K460/1000, 3)</f>
        <v/>
      </c>
      <c r="M460" s="8" t="n"/>
      <c r="N460" s="21">
        <f>ROUND(N459 + IF(AND(E460&lt;=10, F460&lt;&gt;"ASTM A416"), L460, 0), 3)</f>
        <v/>
      </c>
      <c r="O460" s="21">
        <f>ROUND(O459 + IF(AND(E460&gt;10, E460&lt;=18, F460&lt;&gt;"ASTM A416"), L460, 0), 3)</f>
        <v/>
      </c>
      <c r="P460" s="21">
        <f>ROUND(P459 + IF(AND(E460&gt;18, F460&lt;&gt;"ASTM A416"), L460, 0), 3)</f>
        <v/>
      </c>
      <c r="Q460" s="21">
        <f>ROUND(Q459 + IF(F460="ASTM A416", L460, 0), 3)</f>
        <v/>
      </c>
      <c r="R460" s="11">
        <f>IF(INT(N460/20)&gt;INT(N459/20), "Lần " &amp; INT(N460/20), "")</f>
        <v/>
      </c>
      <c r="S460" s="12">
        <f>IF(INT(O460/20)&gt;INT(O459/20), "Lần " &amp; INT(O460/20), "")</f>
        <v/>
      </c>
      <c r="T460" s="11">
        <f>IF(INT(P460/20)&gt;INT(P459/20), "Lần " &amp; INT(P460/20), "")</f>
        <v/>
      </c>
      <c r="U460" s="25">
        <f>IF(INT(Q460/20)&gt;INT(Q459/20), "Lần " &amp; INT(Q460/20), "")</f>
        <v/>
      </c>
      <c r="V460" s="6" t="inlineStr"/>
      <c r="W460" s="6" t="inlineStr">
        <is>
          <t>ĐẠT TCVN 1651:2018</t>
        </is>
      </c>
    </row>
    <row r="461" ht="20" customHeight="1">
      <c r="A461" s="18" t="inlineStr">
        <is>
          <t>--- ĐOẠN CỌC NỐI THÍ NGHIỆM PDA SỨC CHỊU TẢI CỌC ---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</row>
    <row r="462" ht="19" customHeight="1">
      <c r="A462" s="6" t="n">
        <v>428</v>
      </c>
      <c r="B462" s="7" t="inlineStr">
        <is>
          <t>Cọc nối PDA</t>
        </is>
      </c>
      <c r="C462" s="7" t="inlineStr">
        <is>
          <t>Gia cường thí nghiệm nén động PDA</t>
        </is>
      </c>
      <c r="D462" s="19" t="inlineStr">
        <is>
          <t>P1</t>
        </is>
      </c>
      <c r="E462" s="20" t="n">
        <v>16</v>
      </c>
      <c r="F462" s="6" t="inlineStr">
        <is>
          <t>CB400-V</t>
        </is>
      </c>
      <c r="G462" s="7" t="inlineStr">
        <is>
          <t>Đai tròn định hình</t>
        </is>
      </c>
      <c r="H462" s="21" t="n">
        <v>77.76000000000001</v>
      </c>
      <c r="I462" s="22" t="n">
        <v>123</v>
      </c>
      <c r="J462" s="23" t="n">
        <v>1.576</v>
      </c>
      <c r="K462" s="9">
        <f>ROUND(H462*I462*J462, 2)</f>
        <v/>
      </c>
      <c r="L462" s="24">
        <f>ROUND(K462/1000, 3)</f>
        <v/>
      </c>
      <c r="M462" s="8" t="n"/>
      <c r="N462" s="21">
        <f>ROUND(N460 + IF(AND(E462&lt;=10, F462&lt;&gt;"ASTM A416"), L462, 0), 3)</f>
        <v/>
      </c>
      <c r="O462" s="21">
        <f>ROUND(O460 + IF(AND(E462&gt;10, E462&lt;=18, F462&lt;&gt;"ASTM A416"), L462, 0), 3)</f>
        <v/>
      </c>
      <c r="P462" s="21">
        <f>ROUND(P460 + IF(AND(E462&gt;18, F462&lt;&gt;"ASTM A416"), L462, 0), 3)</f>
        <v/>
      </c>
      <c r="Q462" s="21">
        <f>ROUND(Q460 + IF(F462="ASTM A416", L462, 0), 3)</f>
        <v/>
      </c>
      <c r="R462" s="11">
        <f>IF(INT(N462/20)&gt;INT(N460/20), "Lần " &amp; INT(N462/20), "")</f>
        <v/>
      </c>
      <c r="S462" s="12">
        <f>IF(INT(O462/20)&gt;INT(O460/20), "Lần " &amp; INT(O462/20), "")</f>
        <v/>
      </c>
      <c r="T462" s="11">
        <f>IF(INT(P462/20)&gt;INT(P460/20), "Lần " &amp; INT(P462/20), "")</f>
        <v/>
      </c>
      <c r="U462" s="25">
        <f>IF(INT(Q462/20)&gt;INT(Q460/20), "Lần " &amp; INT(Q462/20), "")</f>
        <v/>
      </c>
      <c r="V462" s="6" t="inlineStr"/>
      <c r="W462" s="6" t="inlineStr">
        <is>
          <t>ĐẠT TCVN 1651:2018</t>
        </is>
      </c>
    </row>
    <row r="463" ht="19" customHeight="1">
      <c r="A463" s="6" t="n">
        <v>429</v>
      </c>
      <c r="B463" s="7" t="inlineStr">
        <is>
          <t>Cọc nối PDA</t>
        </is>
      </c>
      <c r="C463" s="7" t="inlineStr">
        <is>
          <t>Gia cường thí nghiệm nén động PDA</t>
        </is>
      </c>
      <c r="D463" s="19" t="inlineStr">
        <is>
          <t>P4</t>
        </is>
      </c>
      <c r="E463" s="20" t="n">
        <v>10</v>
      </c>
      <c r="F463" s="6" t="inlineStr">
        <is>
          <t>CB240-T</t>
        </is>
      </c>
      <c r="G463" s="7" t="inlineStr">
        <is>
          <t>Đai tròn định hình</t>
        </is>
      </c>
      <c r="H463" s="21" t="n">
        <v>56.32</v>
      </c>
      <c r="I463" s="22" t="n">
        <v>35</v>
      </c>
      <c r="J463" s="23" t="n">
        <v>0.613</v>
      </c>
      <c r="K463" s="9">
        <f>ROUND(H463*I463*J463, 2)</f>
        <v/>
      </c>
      <c r="L463" s="24">
        <f>ROUND(K463/1000, 3)</f>
        <v/>
      </c>
      <c r="M463" s="8" t="n"/>
      <c r="N463" s="21">
        <f>ROUND(N462 + IF(AND(E463&lt;=10, F463&lt;&gt;"ASTM A416"), L463, 0), 3)</f>
        <v/>
      </c>
      <c r="O463" s="21">
        <f>ROUND(O462 + IF(AND(E463&gt;10, E463&lt;=18, F463&lt;&gt;"ASTM A416"), L463, 0), 3)</f>
        <v/>
      </c>
      <c r="P463" s="21">
        <f>ROUND(P462 + IF(AND(E463&gt;18, F463&lt;&gt;"ASTM A416"), L463, 0), 3)</f>
        <v/>
      </c>
      <c r="Q463" s="21">
        <f>ROUND(Q462 + IF(F463="ASTM A416", L463, 0), 3)</f>
        <v/>
      </c>
      <c r="R463" s="11">
        <f>IF(INT(N463/20)&gt;INT(N462/20), "Lần " &amp; INT(N463/20), "")</f>
        <v/>
      </c>
      <c r="S463" s="12">
        <f>IF(INT(O463/20)&gt;INT(O462/20), "Lần " &amp; INT(O463/20), "")</f>
        <v/>
      </c>
      <c r="T463" s="11">
        <f>IF(INT(P463/20)&gt;INT(P462/20), "Lần " &amp; INT(P463/20), "")</f>
        <v/>
      </c>
      <c r="U463" s="25">
        <f>IF(INT(Q463/20)&gt;INT(Q462/20), "Lần " &amp; INT(Q463/20), "")</f>
        <v/>
      </c>
      <c r="V463" s="6" t="inlineStr"/>
      <c r="W463" s="6" t="inlineStr">
        <is>
          <t>ĐẠT TCVN 1651:2018</t>
        </is>
      </c>
    </row>
    <row r="464" ht="19" customHeight="1">
      <c r="A464" s="6" t="n">
        <v>430</v>
      </c>
      <c r="B464" s="7" t="inlineStr">
        <is>
          <t>Cọc nối PDA</t>
        </is>
      </c>
      <c r="C464" s="7" t="inlineStr">
        <is>
          <t>Gia cường thí nghiệm nén động PDA</t>
        </is>
      </c>
      <c r="D464" s="19" t="inlineStr">
        <is>
          <t>P5</t>
        </is>
      </c>
      <c r="E464" s="20" t="n">
        <v>22</v>
      </c>
      <c r="F464" s="6" t="inlineStr">
        <is>
          <t>CB400-V</t>
        </is>
      </c>
      <c r="G464" s="7" t="inlineStr">
        <is>
          <t>Thanh thẳng</t>
        </is>
      </c>
      <c r="H464" s="21" t="n">
        <v>3.02</v>
      </c>
      <c r="I464" s="22" t="n">
        <v>9</v>
      </c>
      <c r="J464" s="23" t="n">
        <v>2.987</v>
      </c>
      <c r="K464" s="9">
        <f>ROUND(H464*I464*J464, 2)</f>
        <v/>
      </c>
      <c r="L464" s="24">
        <f>ROUND(K464/1000, 3)</f>
        <v/>
      </c>
      <c r="M464" s="8" t="n"/>
      <c r="N464" s="21">
        <f>ROUND(N463 + IF(AND(E464&lt;=10, F464&lt;&gt;"ASTM A416"), L464, 0), 3)</f>
        <v/>
      </c>
      <c r="O464" s="21">
        <f>ROUND(O463 + IF(AND(E464&gt;10, E464&lt;=18, F464&lt;&gt;"ASTM A416"), L464, 0), 3)</f>
        <v/>
      </c>
      <c r="P464" s="21">
        <f>ROUND(P463 + IF(AND(E464&gt;18, F464&lt;&gt;"ASTM A416"), L464, 0), 3)</f>
        <v/>
      </c>
      <c r="Q464" s="21">
        <f>ROUND(Q463 + IF(F464="ASTM A416", L464, 0), 3)</f>
        <v/>
      </c>
      <c r="R464" s="11">
        <f>IF(INT(N464/20)&gt;INT(N463/20), "Lần " &amp; INT(N464/20), "")</f>
        <v/>
      </c>
      <c r="S464" s="12">
        <f>IF(INT(O464/20)&gt;INT(O463/20), "Lần " &amp; INT(O464/20), "")</f>
        <v/>
      </c>
      <c r="T464" s="11">
        <f>IF(INT(P464/20)&gt;INT(P463/20), "Lần " &amp; INT(P464/20), "")</f>
        <v/>
      </c>
      <c r="U464" s="25">
        <f>IF(INT(Q464/20)&gt;INT(Q463/20), "Lần " &amp; INT(Q464/20), "")</f>
        <v/>
      </c>
      <c r="V464" s="6" t="inlineStr"/>
      <c r="W464" s="6" t="inlineStr">
        <is>
          <t>ĐẠT TCVN 1651:2018</t>
        </is>
      </c>
    </row>
    <row r="465" ht="19" customHeight="1">
      <c r="A465" s="6" t="n">
        <v>431</v>
      </c>
      <c r="B465" s="7" t="inlineStr">
        <is>
          <t>Cọc nối PDA</t>
        </is>
      </c>
      <c r="C465" s="7" t="inlineStr">
        <is>
          <t>Gia cường thí nghiệm nén động PDA</t>
        </is>
      </c>
      <c r="D465" s="19" t="inlineStr">
        <is>
          <t>P7</t>
        </is>
      </c>
      <c r="E465" s="20" t="n">
        <v>16</v>
      </c>
      <c r="F465" s="6" t="inlineStr">
        <is>
          <t>CB400-V</t>
        </is>
      </c>
      <c r="G465" s="7" t="inlineStr">
        <is>
          <t>Đai tròn định hình</t>
        </is>
      </c>
      <c r="H465" s="21" t="n">
        <v>2.2</v>
      </c>
      <c r="I465" s="22" t="n">
        <v>3</v>
      </c>
      <c r="J465" s="23" t="n">
        <v>1.83</v>
      </c>
      <c r="K465" s="9">
        <f>ROUND(H465*I465*J465, 2)</f>
        <v/>
      </c>
      <c r="L465" s="24">
        <f>ROUND(K465/1000, 3)</f>
        <v/>
      </c>
      <c r="M465" s="8" t="n"/>
      <c r="N465" s="21">
        <f>ROUND(N464 + IF(AND(E465&lt;=10, F465&lt;&gt;"ASTM A416"), L465, 0), 3)</f>
        <v/>
      </c>
      <c r="O465" s="21">
        <f>ROUND(O464 + IF(AND(E465&gt;10, E465&lt;=18, F465&lt;&gt;"ASTM A416"), L465, 0), 3)</f>
        <v/>
      </c>
      <c r="P465" s="21">
        <f>ROUND(P464 + IF(AND(E465&gt;18, F465&lt;&gt;"ASTM A416"), L465, 0), 3)</f>
        <v/>
      </c>
      <c r="Q465" s="21">
        <f>ROUND(Q464 + IF(F465="ASTM A416", L465, 0), 3)</f>
        <v/>
      </c>
      <c r="R465" s="11">
        <f>IF(INT(N465/20)&gt;INT(N464/20), "Lần " &amp; INT(N465/20), "")</f>
        <v/>
      </c>
      <c r="S465" s="12">
        <f>IF(INT(O465/20)&gt;INT(O464/20), "Lần " &amp; INT(O465/20), "")</f>
        <v/>
      </c>
      <c r="T465" s="11">
        <f>IF(INT(P465/20)&gt;INT(P464/20), "Lần " &amp; INT(P465/20), "")</f>
        <v/>
      </c>
      <c r="U465" s="25">
        <f>IF(INT(Q465/20)&gt;INT(Q464/20), "Lần " &amp; INT(Q465/20), "")</f>
        <v/>
      </c>
      <c r="V465" s="6" t="inlineStr"/>
      <c r="W465" s="6" t="inlineStr">
        <is>
          <t>ĐẠT TCVN 1651:2018</t>
        </is>
      </c>
    </row>
    <row r="466" ht="19" customHeight="1">
      <c r="A466" s="6" t="n">
        <v>432</v>
      </c>
      <c r="B466" s="7" t="inlineStr">
        <is>
          <t>Cọc nối PDA</t>
        </is>
      </c>
      <c r="C466" s="7" t="inlineStr">
        <is>
          <t>Gia cường thí nghiệm nén động PDA</t>
        </is>
      </c>
      <c r="D466" s="19" t="inlineStr">
        <is>
          <t>P10</t>
        </is>
      </c>
      <c r="E466" s="20" t="n">
        <v>25</v>
      </c>
      <c r="F466" s="6" t="inlineStr">
        <is>
          <t>CB400-V</t>
        </is>
      </c>
      <c r="G466" s="7" t="inlineStr">
        <is>
          <t>Thanh thẳng</t>
        </is>
      </c>
      <c r="H466" s="21" t="n">
        <v>4.85</v>
      </c>
      <c r="I466" s="22" t="n">
        <v>19</v>
      </c>
      <c r="J466" s="23" t="n">
        <v>3.784</v>
      </c>
      <c r="K466" s="9">
        <f>ROUND(H466*I466*J466, 2)</f>
        <v/>
      </c>
      <c r="L466" s="24">
        <f>ROUND(K466/1000, 3)</f>
        <v/>
      </c>
      <c r="M466" s="8" t="n"/>
      <c r="N466" s="21">
        <f>ROUND(N465 + IF(AND(E466&lt;=10, F466&lt;&gt;"ASTM A416"), L466, 0), 3)</f>
        <v/>
      </c>
      <c r="O466" s="21">
        <f>ROUND(O465 + IF(AND(E466&gt;10, E466&lt;=18, F466&lt;&gt;"ASTM A416"), L466, 0), 3)</f>
        <v/>
      </c>
      <c r="P466" s="21">
        <f>ROUND(P465 + IF(AND(E466&gt;18, F466&lt;&gt;"ASTM A416"), L466, 0), 3)</f>
        <v/>
      </c>
      <c r="Q466" s="21">
        <f>ROUND(Q465 + IF(F466="ASTM A416", L466, 0), 3)</f>
        <v/>
      </c>
      <c r="R466" s="11">
        <f>IF(INT(N466/20)&gt;INT(N465/20), "Lần " &amp; INT(N466/20), "")</f>
        <v/>
      </c>
      <c r="S466" s="12">
        <f>IF(INT(O466/20)&gt;INT(O465/20), "Lần " &amp; INT(O466/20), "")</f>
        <v/>
      </c>
      <c r="T466" s="11">
        <f>IF(INT(P466/20)&gt;INT(P465/20), "Lần " &amp; INT(P466/20), "")</f>
        <v/>
      </c>
      <c r="U466" s="25">
        <f>IF(INT(Q466/20)&gt;INT(Q465/20), "Lần " &amp; INT(Q466/20), "")</f>
        <v/>
      </c>
      <c r="V466" s="6" t="inlineStr"/>
      <c r="W466" s="6" t="inlineStr">
        <is>
          <t>ĐẠT TCVN 1651:2018</t>
        </is>
      </c>
    </row>
    <row r="467" ht="19" customHeight="1">
      <c r="A467" s="6" t="n">
        <v>433</v>
      </c>
      <c r="B467" s="7" t="inlineStr">
        <is>
          <t>Cọc nối PDA</t>
        </is>
      </c>
      <c r="C467" s="7" t="inlineStr">
        <is>
          <t>Gia cường thí nghiệm nén động PDA</t>
        </is>
      </c>
      <c r="D467" s="19" t="inlineStr"/>
      <c r="E467" s="20" t="n">
        <v>25</v>
      </c>
      <c r="F467" s="6" t="inlineStr">
        <is>
          <t>CB400-V</t>
        </is>
      </c>
      <c r="G467" s="7" t="inlineStr">
        <is>
          <t>Thanh thẳng</t>
        </is>
      </c>
      <c r="H467" s="21" t="n">
        <v>1.2</v>
      </c>
      <c r="I467" s="22" t="n">
        <v>358</v>
      </c>
      <c r="J467" s="23" t="n">
        <v>3.854</v>
      </c>
      <c r="K467" s="9">
        <f>ROUND(H467*I467*J467, 2)</f>
        <v/>
      </c>
      <c r="L467" s="24">
        <f>ROUND(K467/1000, 3)</f>
        <v/>
      </c>
      <c r="M467" s="8" t="n"/>
      <c r="N467" s="21">
        <f>ROUND(N466 + IF(AND(E467&lt;=10, F467&lt;&gt;"ASTM A416"), L467, 0), 3)</f>
        <v/>
      </c>
      <c r="O467" s="21">
        <f>ROUND(O466 + IF(AND(E467&gt;10, E467&lt;=18, F467&lt;&gt;"ASTM A416"), L467, 0), 3)</f>
        <v/>
      </c>
      <c r="P467" s="21">
        <f>ROUND(P466 + IF(AND(E467&gt;18, F467&lt;&gt;"ASTM A416"), L467, 0), 3)</f>
        <v/>
      </c>
      <c r="Q467" s="21">
        <f>ROUND(Q466 + IF(F467="ASTM A416", L467, 0), 3)</f>
        <v/>
      </c>
      <c r="R467" s="11">
        <f>IF(INT(N467/20)&gt;INT(N466/20), "Lần " &amp; INT(N467/20), "")</f>
        <v/>
      </c>
      <c r="S467" s="12">
        <f>IF(INT(O467/20)&gt;INT(O466/20), "Lần " &amp; INT(O467/20), "")</f>
        <v/>
      </c>
      <c r="T467" s="11">
        <f>IF(INT(P467/20)&gt;INT(P466/20), "Lần " &amp; INT(P467/20), "")</f>
        <v/>
      </c>
      <c r="U467" s="25">
        <f>IF(INT(Q467/20)&gt;INT(Q466/20), "Lần " &amp; INT(Q467/20), "")</f>
        <v/>
      </c>
      <c r="V467" s="6" t="inlineStr"/>
      <c r="W467" s="6" t="inlineStr">
        <is>
          <t>ĐẠT TCVN 1651:2018</t>
        </is>
      </c>
    </row>
    <row r="468" ht="23" customHeight="1">
      <c r="A468" s="17" t="inlineStr">
        <is>
          <t>02. KẾT CẤU PHẦN DƯỚI (SUBSTRUCTURE)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</row>
    <row r="469" ht="19" customHeight="1">
      <c r="A469" s="6" t="n">
        <v>434</v>
      </c>
      <c r="B469" s="7" t="inlineStr">
        <is>
          <t>Mố M1</t>
        </is>
      </c>
      <c r="C469" s="7" t="inlineStr">
        <is>
          <t>BỆ MỐ</t>
        </is>
      </c>
      <c r="D469" s="19" t="inlineStr">
        <is>
          <t>F1</t>
        </is>
      </c>
      <c r="E469" s="20" t="n">
        <v>28</v>
      </c>
      <c r="F469" s="6" t="inlineStr">
        <is>
          <t>CB400-V</t>
        </is>
      </c>
      <c r="G469" s="7" t="inlineStr">
        <is>
          <t>S06</t>
        </is>
      </c>
      <c r="H469" s="21" t="n">
        <v>6.578</v>
      </c>
      <c r="I469" s="22" t="n">
        <v>83</v>
      </c>
      <c r="J469" s="23" t="n">
        <v>4.83</v>
      </c>
      <c r="K469" s="9">
        <f>ROUND(H469*I469*J469, 2)</f>
        <v/>
      </c>
      <c r="L469" s="24">
        <f>ROUND(K469/1000, 3)</f>
        <v/>
      </c>
      <c r="M469" s="8" t="n"/>
      <c r="N469" s="21">
        <f>ROUND(N467 + IF(AND(E469&lt;=10, F469&lt;&gt;"ASTM A416"), L469, 0), 3)</f>
        <v/>
      </c>
      <c r="O469" s="21">
        <f>ROUND(O467 + IF(AND(E469&gt;10, E469&lt;=18, F469&lt;&gt;"ASTM A416"), L469, 0), 3)</f>
        <v/>
      </c>
      <c r="P469" s="21">
        <f>ROUND(P467 + IF(AND(E469&gt;18, F469&lt;&gt;"ASTM A416"), L469, 0), 3)</f>
        <v/>
      </c>
      <c r="Q469" s="21">
        <f>ROUND(Q467 + IF(F469="ASTM A416", L469, 0), 3)</f>
        <v/>
      </c>
      <c r="R469" s="11">
        <f>IF(INT(N469/20)&gt;INT(N467/20), "Lần " &amp; INT(N469/20), "")</f>
        <v/>
      </c>
      <c r="S469" s="12">
        <f>IF(INT(O469/20)&gt;INT(O467/20), "Lần " &amp; INT(O469/20), "")</f>
        <v/>
      </c>
      <c r="T469" s="11">
        <f>IF(INT(P469/20)&gt;INT(P467/20), "Lần " &amp; INT(P469/20), "")</f>
        <v/>
      </c>
      <c r="U469" s="25">
        <f>IF(INT(Q469/20)&gt;INT(Q467/20), "Lần " &amp; INT(Q469/20), "")</f>
        <v/>
      </c>
      <c r="V469" s="6" t="inlineStr"/>
      <c r="W469" s="6" t="inlineStr">
        <is>
          <t>ĐẠT TCVN 1651:2018</t>
        </is>
      </c>
    </row>
    <row r="470" ht="19" customHeight="1">
      <c r="A470" s="6" t="n">
        <v>435</v>
      </c>
      <c r="B470" s="7" t="inlineStr">
        <is>
          <t>Mố M1</t>
        </is>
      </c>
      <c r="C470" s="7" t="inlineStr">
        <is>
          <t>Thân mố / Bệ mố</t>
        </is>
      </c>
      <c r="D470" s="19" t="inlineStr">
        <is>
          <t>F2</t>
        </is>
      </c>
      <c r="E470" s="20" t="n">
        <v>18</v>
      </c>
      <c r="F470" s="6" t="inlineStr">
        <is>
          <t>CB400-V</t>
        </is>
      </c>
      <c r="G470" s="7" t="inlineStr">
        <is>
          <t>S06</t>
        </is>
      </c>
      <c r="H470" s="21" t="n">
        <v>13.571</v>
      </c>
      <c r="I470" s="22" t="n">
        <v>40</v>
      </c>
      <c r="J470" s="23" t="n">
        <v>2</v>
      </c>
      <c r="K470" s="9">
        <f>ROUND(H470*I470*J470, 2)</f>
        <v/>
      </c>
      <c r="L470" s="24">
        <f>ROUND(K470/1000, 3)</f>
        <v/>
      </c>
      <c r="M470" s="8" t="n"/>
      <c r="N470" s="21">
        <f>ROUND(N469 + IF(AND(E470&lt;=10, F470&lt;&gt;"ASTM A416"), L470, 0), 3)</f>
        <v/>
      </c>
      <c r="O470" s="21">
        <f>ROUND(O469 + IF(AND(E470&gt;10, E470&lt;=18, F470&lt;&gt;"ASTM A416"), L470, 0), 3)</f>
        <v/>
      </c>
      <c r="P470" s="21">
        <f>ROUND(P469 + IF(AND(E470&gt;18, F470&lt;&gt;"ASTM A416"), L470, 0), 3)</f>
        <v/>
      </c>
      <c r="Q470" s="21">
        <f>ROUND(Q469 + IF(F470="ASTM A416", L470, 0), 3)</f>
        <v/>
      </c>
      <c r="R470" s="11">
        <f>IF(INT(N470/20)&gt;INT(N469/20), "Lần " &amp; INT(N470/20), "")</f>
        <v/>
      </c>
      <c r="S470" s="12">
        <f>IF(INT(O470/20)&gt;INT(O469/20), "Lần " &amp; INT(O470/20), "")</f>
        <v/>
      </c>
      <c r="T470" s="11">
        <f>IF(INT(P470/20)&gt;INT(P469/20), "Lần " &amp; INT(P470/20), "")</f>
        <v/>
      </c>
      <c r="U470" s="25">
        <f>IF(INT(Q470/20)&gt;INT(Q469/20), "Lần " &amp; INT(Q470/20), "")</f>
        <v/>
      </c>
      <c r="V470" s="6" t="inlineStr"/>
      <c r="W470" s="6" t="inlineStr">
        <is>
          <t>ĐẠT TCVN 1651:2018</t>
        </is>
      </c>
    </row>
    <row r="471" ht="19" customHeight="1">
      <c r="A471" s="6" t="n">
        <v>436</v>
      </c>
      <c r="B471" s="7" t="inlineStr">
        <is>
          <t>Mố M1</t>
        </is>
      </c>
      <c r="C471" s="7" t="inlineStr">
        <is>
          <t>Thân mố / Bệ mố</t>
        </is>
      </c>
      <c r="D471" s="19" t="inlineStr">
        <is>
          <t>F3</t>
        </is>
      </c>
      <c r="E471" s="20" t="n">
        <v>18</v>
      </c>
      <c r="F471" s="6" t="inlineStr">
        <is>
          <t>CB400-V</t>
        </is>
      </c>
      <c r="G471" s="7" t="inlineStr">
        <is>
          <t>S06</t>
        </is>
      </c>
      <c r="H471" s="21" t="n">
        <v>6.336</v>
      </c>
      <c r="I471" s="22" t="n">
        <v>83</v>
      </c>
      <c r="J471" s="23" t="n">
        <v>2</v>
      </c>
      <c r="K471" s="9">
        <f>ROUND(H471*I471*J471, 2)</f>
        <v/>
      </c>
      <c r="L471" s="24">
        <f>ROUND(K471/1000, 3)</f>
        <v/>
      </c>
      <c r="M471" s="8" t="n"/>
      <c r="N471" s="21">
        <f>ROUND(N470 + IF(AND(E471&lt;=10, F471&lt;&gt;"ASTM A416"), L471, 0), 3)</f>
        <v/>
      </c>
      <c r="O471" s="21">
        <f>ROUND(O470 + IF(AND(E471&gt;10, E471&lt;=18, F471&lt;&gt;"ASTM A416"), L471, 0), 3)</f>
        <v/>
      </c>
      <c r="P471" s="21">
        <f>ROUND(P470 + IF(AND(E471&gt;18, F471&lt;&gt;"ASTM A416"), L471, 0), 3)</f>
        <v/>
      </c>
      <c r="Q471" s="21">
        <f>ROUND(Q470 + IF(F471="ASTM A416", L471, 0), 3)</f>
        <v/>
      </c>
      <c r="R471" s="11">
        <f>IF(INT(N471/20)&gt;INT(N470/20), "Lần " &amp; INT(N471/20), "")</f>
        <v/>
      </c>
      <c r="S471" s="12">
        <f>IF(INT(O471/20)&gt;INT(O470/20), "Lần " &amp; INT(O471/20), "")</f>
        <v/>
      </c>
      <c r="T471" s="11">
        <f>IF(INT(P471/20)&gt;INT(P470/20), "Lần " &amp; INT(P471/20), "")</f>
        <v/>
      </c>
      <c r="U471" s="25">
        <f>IF(INT(Q471/20)&gt;INT(Q470/20), "Lần " &amp; INT(Q471/20), "")</f>
        <v/>
      </c>
      <c r="V471" s="6" t="inlineStr"/>
      <c r="W471" s="6" t="inlineStr">
        <is>
          <t>ĐẠT TCVN 1651:2018</t>
        </is>
      </c>
    </row>
    <row r="472" ht="19" customHeight="1">
      <c r="A472" s="6" t="n">
        <v>437</v>
      </c>
      <c r="B472" s="7" t="inlineStr">
        <is>
          <t>Mố M1</t>
        </is>
      </c>
      <c r="C472" s="7" t="inlineStr">
        <is>
          <t>Thân mố / Bệ mố</t>
        </is>
      </c>
      <c r="D472" s="19" t="inlineStr">
        <is>
          <t>F4</t>
        </is>
      </c>
      <c r="E472" s="20" t="n">
        <v>18</v>
      </c>
      <c r="F472" s="6" t="inlineStr">
        <is>
          <t>CB400-V</t>
        </is>
      </c>
      <c r="G472" s="7" t="inlineStr">
        <is>
          <t>S06</t>
        </is>
      </c>
      <c r="H472" s="21" t="n">
        <v>13.571</v>
      </c>
      <c r="I472" s="22" t="n">
        <v>30</v>
      </c>
      <c r="J472" s="23" t="n">
        <v>2</v>
      </c>
      <c r="K472" s="9">
        <f>ROUND(H472*I472*J472, 2)</f>
        <v/>
      </c>
      <c r="L472" s="24">
        <f>ROUND(K472/1000, 3)</f>
        <v/>
      </c>
      <c r="M472" s="8" t="n"/>
      <c r="N472" s="21">
        <f>ROUND(N471 + IF(AND(E472&lt;=10, F472&lt;&gt;"ASTM A416"), L472, 0), 3)</f>
        <v/>
      </c>
      <c r="O472" s="21">
        <f>ROUND(O471 + IF(AND(E472&gt;10, E472&lt;=18, F472&lt;&gt;"ASTM A416"), L472, 0), 3)</f>
        <v/>
      </c>
      <c r="P472" s="21">
        <f>ROUND(P471 + IF(AND(E472&gt;18, F472&lt;&gt;"ASTM A416"), L472, 0), 3)</f>
        <v/>
      </c>
      <c r="Q472" s="21">
        <f>ROUND(Q471 + IF(F472="ASTM A416", L472, 0), 3)</f>
        <v/>
      </c>
      <c r="R472" s="11">
        <f>IF(INT(N472/20)&gt;INT(N471/20), "Lần " &amp; INT(N472/20), "")</f>
        <v/>
      </c>
      <c r="S472" s="12">
        <f>IF(INT(O472/20)&gt;INT(O471/20), "Lần " &amp; INT(O472/20), "")</f>
        <v/>
      </c>
      <c r="T472" s="11">
        <f>IF(INT(P472/20)&gt;INT(P471/20), "Lần " &amp; INT(P472/20), "")</f>
        <v/>
      </c>
      <c r="U472" s="25">
        <f>IF(INT(Q472/20)&gt;INT(Q471/20), "Lần " &amp; INT(Q472/20), "")</f>
        <v/>
      </c>
      <c r="V472" s="6" t="inlineStr"/>
      <c r="W472" s="6" t="inlineStr">
        <is>
          <t>ĐẠT TCVN 1651:2018</t>
        </is>
      </c>
    </row>
    <row r="473" ht="19" customHeight="1">
      <c r="A473" s="6" t="n">
        <v>438</v>
      </c>
      <c r="B473" s="7" t="inlineStr">
        <is>
          <t>Mố M1</t>
        </is>
      </c>
      <c r="C473" s="7" t="inlineStr">
        <is>
          <t>Thân mố / Bệ mố</t>
        </is>
      </c>
      <c r="D473" s="19" t="inlineStr">
        <is>
          <t>F5</t>
        </is>
      </c>
      <c r="E473" s="20" t="n">
        <v>16</v>
      </c>
      <c r="F473" s="6" t="inlineStr">
        <is>
          <t>CB400-V</t>
        </is>
      </c>
      <c r="G473" s="7" t="inlineStr">
        <is>
          <t>S01</t>
        </is>
      </c>
      <c r="H473" s="21" t="n">
        <v>5.85</v>
      </c>
      <c r="I473" s="22" t="n">
        <v>16</v>
      </c>
      <c r="J473" s="23" t="n">
        <v>1.58</v>
      </c>
      <c r="K473" s="9">
        <f>ROUND(H473*I473*J473, 2)</f>
        <v/>
      </c>
      <c r="L473" s="24">
        <f>ROUND(K473/1000, 3)</f>
        <v/>
      </c>
      <c r="M473" s="8" t="n"/>
      <c r="N473" s="21">
        <f>ROUND(N472 + IF(AND(E473&lt;=10, F473&lt;&gt;"ASTM A416"), L473, 0), 3)</f>
        <v/>
      </c>
      <c r="O473" s="21">
        <f>ROUND(O472 + IF(AND(E473&gt;10, E473&lt;=18, F473&lt;&gt;"ASTM A416"), L473, 0), 3)</f>
        <v/>
      </c>
      <c r="P473" s="21">
        <f>ROUND(P472 + IF(AND(E473&gt;18, F473&lt;&gt;"ASTM A416"), L473, 0), 3)</f>
        <v/>
      </c>
      <c r="Q473" s="21">
        <f>ROUND(Q472 + IF(F473="ASTM A416", L473, 0), 3)</f>
        <v/>
      </c>
      <c r="R473" s="11">
        <f>IF(INT(N473/20)&gt;INT(N472/20), "Lần " &amp; INT(N473/20), "")</f>
        <v/>
      </c>
      <c r="S473" s="12">
        <f>IF(INT(O473/20)&gt;INT(O472/20), "Lần " &amp; INT(O473/20), "")</f>
        <v/>
      </c>
      <c r="T473" s="11">
        <f>IF(INT(P473/20)&gt;INT(P472/20), "Lần " &amp; INT(P473/20), "")</f>
        <v/>
      </c>
      <c r="U473" s="25">
        <f>IF(INT(Q473/20)&gt;INT(Q472/20), "Lần " &amp; INT(Q473/20), "")</f>
        <v/>
      </c>
      <c r="V473" s="6" t="inlineStr"/>
      <c r="W473" s="6" t="inlineStr">
        <is>
          <t>ĐẠT TCVN 1651:2018</t>
        </is>
      </c>
    </row>
    <row r="474" ht="19" customHeight="1">
      <c r="A474" s="6" t="n">
        <v>439</v>
      </c>
      <c r="B474" s="7" t="inlineStr">
        <is>
          <t>Mố M1</t>
        </is>
      </c>
      <c r="C474" s="7" t="inlineStr">
        <is>
          <t>Thân mố / Bệ mố</t>
        </is>
      </c>
      <c r="D474" s="19" t="inlineStr">
        <is>
          <t>F6</t>
        </is>
      </c>
      <c r="E474" s="20" t="n">
        <v>16</v>
      </c>
      <c r="F474" s="6" t="inlineStr">
        <is>
          <t>CB400-V</t>
        </is>
      </c>
      <c r="G474" s="7" t="inlineStr">
        <is>
          <t>S06</t>
        </is>
      </c>
      <c r="H474" s="21" t="n">
        <v>1.99</v>
      </c>
      <c r="I474" s="22" t="n">
        <v>182</v>
      </c>
      <c r="J474" s="23" t="n">
        <v>1.58</v>
      </c>
      <c r="K474" s="9">
        <f>ROUND(H474*I474*J474, 2)</f>
        <v/>
      </c>
      <c r="L474" s="24">
        <f>ROUND(K474/1000, 3)</f>
        <v/>
      </c>
      <c r="M474" s="8" t="n"/>
      <c r="N474" s="21">
        <f>ROUND(N473 + IF(AND(E474&lt;=10, F474&lt;&gt;"ASTM A416"), L474, 0), 3)</f>
        <v/>
      </c>
      <c r="O474" s="21">
        <f>ROUND(O473 + IF(AND(E474&gt;10, E474&lt;=18, F474&lt;&gt;"ASTM A416"), L474, 0), 3)</f>
        <v/>
      </c>
      <c r="P474" s="21">
        <f>ROUND(P473 + IF(AND(E474&gt;18, F474&lt;&gt;"ASTM A416"), L474, 0), 3)</f>
        <v/>
      </c>
      <c r="Q474" s="21">
        <f>ROUND(Q473 + IF(F474="ASTM A416", L474, 0), 3)</f>
        <v/>
      </c>
      <c r="R474" s="11">
        <f>IF(INT(N474/20)&gt;INT(N473/20), "Lần " &amp; INT(N474/20), "")</f>
        <v/>
      </c>
      <c r="S474" s="12">
        <f>IF(INT(O474/20)&gt;INT(O473/20), "Lần " &amp; INT(O474/20), "")</f>
        <v/>
      </c>
      <c r="T474" s="11">
        <f>IF(INT(P474/20)&gt;INT(P473/20), "Lần " &amp; INT(P474/20), "")</f>
        <v/>
      </c>
      <c r="U474" s="25">
        <f>IF(INT(Q474/20)&gt;INT(Q473/20), "Lần " &amp; INT(Q474/20), "")</f>
        <v/>
      </c>
      <c r="V474" s="6" t="inlineStr"/>
      <c r="W474" s="6" t="inlineStr">
        <is>
          <t>ĐẠT TCVN 1651:2018</t>
        </is>
      </c>
    </row>
    <row r="475" ht="19" customHeight="1">
      <c r="A475" s="6" t="n">
        <v>440</v>
      </c>
      <c r="B475" s="7" t="inlineStr">
        <is>
          <t>Mố M1</t>
        </is>
      </c>
      <c r="C475" s="7" t="inlineStr">
        <is>
          <t>Thân mố / Bệ mố</t>
        </is>
      </c>
      <c r="D475" s="19" t="inlineStr">
        <is>
          <t>F7</t>
        </is>
      </c>
      <c r="E475" s="20" t="n">
        <v>16</v>
      </c>
      <c r="F475" s="6" t="inlineStr">
        <is>
          <t>CB400-V</t>
        </is>
      </c>
      <c r="G475" s="7" t="inlineStr">
        <is>
          <t>S01</t>
        </is>
      </c>
      <c r="H475" s="21" t="n">
        <v>13.005</v>
      </c>
      <c r="I475" s="22" t="n">
        <v>16</v>
      </c>
      <c r="J475" s="23" t="n">
        <v>1.58</v>
      </c>
      <c r="K475" s="9">
        <f>ROUND(H475*I475*J475, 2)</f>
        <v/>
      </c>
      <c r="L475" s="24">
        <f>ROUND(K475/1000, 3)</f>
        <v/>
      </c>
      <c r="M475" s="8" t="n"/>
      <c r="N475" s="21">
        <f>ROUND(N474 + IF(AND(E475&lt;=10, F475&lt;&gt;"ASTM A416"), L475, 0), 3)</f>
        <v/>
      </c>
      <c r="O475" s="21">
        <f>ROUND(O474 + IF(AND(E475&gt;10, E475&lt;=18, F475&lt;&gt;"ASTM A416"), L475, 0), 3)</f>
        <v/>
      </c>
      <c r="P475" s="21">
        <f>ROUND(P474 + IF(AND(E475&gt;18, F475&lt;&gt;"ASTM A416"), L475, 0), 3)</f>
        <v/>
      </c>
      <c r="Q475" s="21">
        <f>ROUND(Q474 + IF(F475="ASTM A416", L475, 0), 3)</f>
        <v/>
      </c>
      <c r="R475" s="11">
        <f>IF(INT(N475/20)&gt;INT(N474/20), "Lần " &amp; INT(N475/20), "")</f>
        <v/>
      </c>
      <c r="S475" s="12">
        <f>IF(INT(O475/20)&gt;INT(O474/20), "Lần " &amp; INT(O475/20), "")</f>
        <v/>
      </c>
      <c r="T475" s="11">
        <f>IF(INT(P475/20)&gt;INT(P474/20), "Lần " &amp; INT(P475/20), "")</f>
        <v/>
      </c>
      <c r="U475" s="25">
        <f>IF(INT(Q475/20)&gt;INT(Q474/20), "Lần " &amp; INT(Q475/20), "")</f>
        <v/>
      </c>
      <c r="V475" s="6" t="inlineStr"/>
      <c r="W475" s="6" t="inlineStr">
        <is>
          <t>ĐẠT TCVN 1651:2018</t>
        </is>
      </c>
    </row>
    <row r="476" ht="19" customHeight="1">
      <c r="A476" s="6" t="n">
        <v>441</v>
      </c>
      <c r="B476" s="7" t="inlineStr">
        <is>
          <t>Mố M1</t>
        </is>
      </c>
      <c r="C476" s="7" t="inlineStr">
        <is>
          <t>Thân mố / Bệ mố</t>
        </is>
      </c>
      <c r="D476" s="19" t="inlineStr">
        <is>
          <t>F8</t>
        </is>
      </c>
      <c r="E476" s="20" t="n">
        <v>16</v>
      </c>
      <c r="F476" s="6" t="inlineStr">
        <is>
          <t>CB400-V</t>
        </is>
      </c>
      <c r="G476" s="7" t="inlineStr">
        <is>
          <t>S06</t>
        </is>
      </c>
      <c r="H476" s="21" t="n">
        <v>1.99</v>
      </c>
      <c r="I476" s="22" t="n">
        <v>140</v>
      </c>
      <c r="J476" s="23" t="n">
        <v>1.58</v>
      </c>
      <c r="K476" s="9">
        <f>ROUND(H476*I476*J476, 2)</f>
        <v/>
      </c>
      <c r="L476" s="24">
        <f>ROUND(K476/1000, 3)</f>
        <v/>
      </c>
      <c r="M476" s="8" t="n"/>
      <c r="N476" s="21">
        <f>ROUND(N475 + IF(AND(E476&lt;=10, F476&lt;&gt;"ASTM A416"), L476, 0), 3)</f>
        <v/>
      </c>
      <c r="O476" s="21">
        <f>ROUND(O475 + IF(AND(E476&gt;10, E476&lt;=18, F476&lt;&gt;"ASTM A416"), L476, 0), 3)</f>
        <v/>
      </c>
      <c r="P476" s="21">
        <f>ROUND(P475 + IF(AND(E476&gt;18, F476&lt;&gt;"ASTM A416"), L476, 0), 3)</f>
        <v/>
      </c>
      <c r="Q476" s="21">
        <f>ROUND(Q475 + IF(F476="ASTM A416", L476, 0), 3)</f>
        <v/>
      </c>
      <c r="R476" s="11">
        <f>IF(INT(N476/20)&gt;INT(N475/20), "Lần " &amp; INT(N476/20), "")</f>
        <v/>
      </c>
      <c r="S476" s="12">
        <f>IF(INT(O476/20)&gt;INT(O475/20), "Lần " &amp; INT(O476/20), "")</f>
        <v/>
      </c>
      <c r="T476" s="11">
        <f>IF(INT(P476/20)&gt;INT(P475/20), "Lần " &amp; INT(P476/20), "")</f>
        <v/>
      </c>
      <c r="U476" s="25">
        <f>IF(INT(Q476/20)&gt;INT(Q475/20), "Lần " &amp; INT(Q476/20), "")</f>
        <v/>
      </c>
      <c r="V476" s="6" t="inlineStr"/>
      <c r="W476" s="6" t="inlineStr">
        <is>
          <t>ĐẠT TCVN 1651:2018</t>
        </is>
      </c>
    </row>
    <row r="477" ht="19" customHeight="1">
      <c r="A477" s="6" t="n">
        <v>442</v>
      </c>
      <c r="B477" s="7" t="inlineStr">
        <is>
          <t>Mố M1</t>
        </is>
      </c>
      <c r="C477" s="7" t="inlineStr">
        <is>
          <t>TƯỜNG THÂN</t>
        </is>
      </c>
      <c r="D477" s="19" t="inlineStr">
        <is>
          <t>A1</t>
        </is>
      </c>
      <c r="E477" s="20" t="n">
        <v>22</v>
      </c>
      <c r="F477" s="6" t="inlineStr">
        <is>
          <t>CB400-V</t>
        </is>
      </c>
      <c r="G477" s="7" t="inlineStr">
        <is>
          <t>S02</t>
        </is>
      </c>
      <c r="H477" s="21" t="n">
        <v>7.438</v>
      </c>
      <c r="I477" s="22" t="n">
        <v>73</v>
      </c>
      <c r="J477" s="23" t="n">
        <v>2.98</v>
      </c>
      <c r="K477" s="9">
        <f>ROUND(H477*I477*J477, 2)</f>
        <v/>
      </c>
      <c r="L477" s="24">
        <f>ROUND(K477/1000, 3)</f>
        <v/>
      </c>
      <c r="M477" s="8" t="n"/>
      <c r="N477" s="21">
        <f>ROUND(N476 + IF(AND(E477&lt;=10, F477&lt;&gt;"ASTM A416"), L477, 0), 3)</f>
        <v/>
      </c>
      <c r="O477" s="21">
        <f>ROUND(O476 + IF(AND(E477&gt;10, E477&lt;=18, F477&lt;&gt;"ASTM A416"), L477, 0), 3)</f>
        <v/>
      </c>
      <c r="P477" s="21">
        <f>ROUND(P476 + IF(AND(E477&gt;18, F477&lt;&gt;"ASTM A416"), L477, 0), 3)</f>
        <v/>
      </c>
      <c r="Q477" s="21">
        <f>ROUND(Q476 + IF(F477="ASTM A416", L477, 0), 3)</f>
        <v/>
      </c>
      <c r="R477" s="11">
        <f>IF(INT(N477/20)&gt;INT(N476/20), "Lần " &amp; INT(N477/20), "")</f>
        <v/>
      </c>
      <c r="S477" s="12">
        <f>IF(INT(O477/20)&gt;INT(O476/20), "Lần " &amp; INT(O477/20), "")</f>
        <v/>
      </c>
      <c r="T477" s="11">
        <f>IF(INT(P477/20)&gt;INT(P476/20), "Lần " &amp; INT(P477/20), "")</f>
        <v/>
      </c>
      <c r="U477" s="25">
        <f>IF(INT(Q477/20)&gt;INT(Q476/20), "Lần " &amp; INT(Q477/20), "")</f>
        <v/>
      </c>
      <c r="V477" s="6" t="inlineStr"/>
      <c r="W477" s="6" t="inlineStr">
        <is>
          <t>ĐẠT TCVN 1651:2018</t>
        </is>
      </c>
    </row>
    <row r="478" ht="19" customHeight="1">
      <c r="A478" s="6" t="n">
        <v>443</v>
      </c>
      <c r="B478" s="7" t="inlineStr">
        <is>
          <t>Mố M1</t>
        </is>
      </c>
      <c r="C478" s="7" t="inlineStr">
        <is>
          <t>Thân mố / Bệ mố</t>
        </is>
      </c>
      <c r="D478" s="19" t="inlineStr">
        <is>
          <t>A2</t>
        </is>
      </c>
      <c r="E478" s="20" t="n">
        <v>16</v>
      </c>
      <c r="F478" s="6" t="inlineStr">
        <is>
          <t>CB400-V</t>
        </is>
      </c>
      <c r="G478" s="7" t="inlineStr">
        <is>
          <t>S06</t>
        </is>
      </c>
      <c r="H478" s="21" t="n">
        <v>13.487</v>
      </c>
      <c r="I478" s="22" t="n">
        <v>35</v>
      </c>
      <c r="J478" s="23" t="n">
        <v>1.58</v>
      </c>
      <c r="K478" s="9">
        <f>ROUND(H478*I478*J478, 2)</f>
        <v/>
      </c>
      <c r="L478" s="24">
        <f>ROUND(K478/1000, 3)</f>
        <v/>
      </c>
      <c r="M478" s="8" t="n"/>
      <c r="N478" s="21">
        <f>ROUND(N477 + IF(AND(E478&lt;=10, F478&lt;&gt;"ASTM A416"), L478, 0), 3)</f>
        <v/>
      </c>
      <c r="O478" s="21">
        <f>ROUND(O477 + IF(AND(E478&gt;10, E478&lt;=18, F478&lt;&gt;"ASTM A416"), L478, 0), 3)</f>
        <v/>
      </c>
      <c r="P478" s="21">
        <f>ROUND(P477 + IF(AND(E478&gt;18, F478&lt;&gt;"ASTM A416"), L478, 0), 3)</f>
        <v/>
      </c>
      <c r="Q478" s="21">
        <f>ROUND(Q477 + IF(F478="ASTM A416", L478, 0), 3)</f>
        <v/>
      </c>
      <c r="R478" s="11">
        <f>IF(INT(N478/20)&gt;INT(N477/20), "Lần " &amp; INT(N478/20), "")</f>
        <v/>
      </c>
      <c r="S478" s="12">
        <f>IF(INT(O478/20)&gt;INT(O477/20), "Lần " &amp; INT(O478/20), "")</f>
        <v/>
      </c>
      <c r="T478" s="11">
        <f>IF(INT(P478/20)&gt;INT(P477/20), "Lần " &amp; INT(P478/20), "")</f>
        <v/>
      </c>
      <c r="U478" s="25">
        <f>IF(INT(Q478/20)&gt;INT(Q477/20), "Lần " &amp; INT(Q478/20), "")</f>
        <v/>
      </c>
      <c r="V478" s="6" t="inlineStr"/>
      <c r="W478" s="6" t="inlineStr">
        <is>
          <t>ĐẠT TCVN 1651:2018</t>
        </is>
      </c>
    </row>
    <row r="479" ht="19" customHeight="1">
      <c r="A479" s="6" t="n">
        <v>444</v>
      </c>
      <c r="B479" s="7" t="inlineStr">
        <is>
          <t>Mố M1</t>
        </is>
      </c>
      <c r="C479" s="7" t="inlineStr">
        <is>
          <t>Thân mố / Bệ mố</t>
        </is>
      </c>
      <c r="D479" s="19" t="inlineStr">
        <is>
          <t>A3</t>
        </is>
      </c>
      <c r="E479" s="20" t="n">
        <v>16</v>
      </c>
      <c r="F479" s="6" t="inlineStr">
        <is>
          <t>CB400-V</t>
        </is>
      </c>
      <c r="G479" s="7" t="inlineStr">
        <is>
          <t>S02</t>
        </is>
      </c>
      <c r="H479" s="21" t="n">
        <v>7.357</v>
      </c>
      <c r="I479" s="22" t="n">
        <v>83</v>
      </c>
      <c r="J479" s="23" t="n">
        <v>1.58</v>
      </c>
      <c r="K479" s="9">
        <f>ROUND(H479*I479*J479, 2)</f>
        <v/>
      </c>
      <c r="L479" s="24">
        <f>ROUND(K479/1000, 3)</f>
        <v/>
      </c>
      <c r="M479" s="8" t="n"/>
      <c r="N479" s="21">
        <f>ROUND(N478 + IF(AND(E479&lt;=10, F479&lt;&gt;"ASTM A416"), L479, 0), 3)</f>
        <v/>
      </c>
      <c r="O479" s="21">
        <f>ROUND(O478 + IF(AND(E479&gt;10, E479&lt;=18, F479&lt;&gt;"ASTM A416"), L479, 0), 3)</f>
        <v/>
      </c>
      <c r="P479" s="21">
        <f>ROUND(P478 + IF(AND(E479&gt;18, F479&lt;&gt;"ASTM A416"), L479, 0), 3)</f>
        <v/>
      </c>
      <c r="Q479" s="21">
        <f>ROUND(Q478 + IF(F479="ASTM A416", L479, 0), 3)</f>
        <v/>
      </c>
      <c r="R479" s="11">
        <f>IF(INT(N479/20)&gt;INT(N478/20), "Lần " &amp; INT(N479/20), "")</f>
        <v/>
      </c>
      <c r="S479" s="12">
        <f>IF(INT(O479/20)&gt;INT(O478/20), "Lần " &amp; INT(O479/20), "")</f>
        <v/>
      </c>
      <c r="T479" s="11">
        <f>IF(INT(P479/20)&gt;INT(P478/20), "Lần " &amp; INT(P479/20), "")</f>
        <v/>
      </c>
      <c r="U479" s="25">
        <f>IF(INT(Q479/20)&gt;INT(Q478/20), "Lần " &amp; INT(Q479/20), "")</f>
        <v/>
      </c>
      <c r="V479" s="6" t="inlineStr"/>
      <c r="W479" s="6" t="inlineStr">
        <is>
          <t>ĐẠT TCVN 1651:2018</t>
        </is>
      </c>
    </row>
    <row r="480" ht="19" customHeight="1">
      <c r="A480" s="6" t="n">
        <v>445</v>
      </c>
      <c r="B480" s="7" t="inlineStr">
        <is>
          <t>Mố M1</t>
        </is>
      </c>
      <c r="C480" s="7" t="inlineStr">
        <is>
          <t>Thân mố / Bệ mố</t>
        </is>
      </c>
      <c r="D480" s="19" t="inlineStr">
        <is>
          <t>A4</t>
        </is>
      </c>
      <c r="E480" s="20" t="n">
        <v>16</v>
      </c>
      <c r="F480" s="6" t="inlineStr">
        <is>
          <t>CB400-V</t>
        </is>
      </c>
      <c r="G480" s="7" t="inlineStr">
        <is>
          <t>S06</t>
        </is>
      </c>
      <c r="H480" s="21" t="n">
        <v>13.487</v>
      </c>
      <c r="I480" s="22" t="n">
        <v>34</v>
      </c>
      <c r="J480" s="23" t="n">
        <v>1.58</v>
      </c>
      <c r="K480" s="9">
        <f>ROUND(H480*I480*J480, 2)</f>
        <v/>
      </c>
      <c r="L480" s="24">
        <f>ROUND(K480/1000, 3)</f>
        <v/>
      </c>
      <c r="M480" s="8" t="n"/>
      <c r="N480" s="21">
        <f>ROUND(N479 + IF(AND(E480&lt;=10, F480&lt;&gt;"ASTM A416"), L480, 0), 3)</f>
        <v/>
      </c>
      <c r="O480" s="21">
        <f>ROUND(O479 + IF(AND(E480&gt;10, E480&lt;=18, F480&lt;&gt;"ASTM A416"), L480, 0), 3)</f>
        <v/>
      </c>
      <c r="P480" s="21">
        <f>ROUND(P479 + IF(AND(E480&gt;18, F480&lt;&gt;"ASTM A416"), L480, 0), 3)</f>
        <v/>
      </c>
      <c r="Q480" s="21">
        <f>ROUND(Q479 + IF(F480="ASTM A416", L480, 0), 3)</f>
        <v/>
      </c>
      <c r="R480" s="11">
        <f>IF(INT(N480/20)&gt;INT(N479/20), "Lần " &amp; INT(N480/20), "")</f>
        <v/>
      </c>
      <c r="S480" s="12">
        <f>IF(INT(O480/20)&gt;INT(O479/20), "Lần " &amp; INT(O480/20), "")</f>
        <v/>
      </c>
      <c r="T480" s="11">
        <f>IF(INT(P480/20)&gt;INT(P479/20), "Lần " &amp; INT(P480/20), "")</f>
        <v/>
      </c>
      <c r="U480" s="25">
        <f>IF(INT(Q480/20)&gt;INT(Q479/20), "Lần " &amp; INT(Q480/20), "")</f>
        <v/>
      </c>
      <c r="V480" s="6" t="inlineStr"/>
      <c r="W480" s="6" t="inlineStr">
        <is>
          <t>ĐẠT TCVN 1651:2018</t>
        </is>
      </c>
    </row>
    <row r="481" ht="19" customHeight="1">
      <c r="A481" s="6" t="n">
        <v>446</v>
      </c>
      <c r="B481" s="7" t="inlineStr">
        <is>
          <t>Mố M1</t>
        </is>
      </c>
      <c r="C481" s="7" t="inlineStr">
        <is>
          <t>Thân mố / Bệ mố</t>
        </is>
      </c>
      <c r="D481" s="19" t="inlineStr">
        <is>
          <t>A4A</t>
        </is>
      </c>
      <c r="E481" s="20" t="n">
        <v>16</v>
      </c>
      <c r="F481" s="6" t="inlineStr">
        <is>
          <t>CB400-V</t>
        </is>
      </c>
      <c r="G481" s="7" t="inlineStr">
        <is>
          <t>S06</t>
        </is>
      </c>
      <c r="H481" s="21" t="n">
        <v>11.159</v>
      </c>
      <c r="I481" s="22" t="n">
        <v>1</v>
      </c>
      <c r="J481" s="23" t="n">
        <v>1.58</v>
      </c>
      <c r="K481" s="9">
        <f>ROUND(H481*I481*J481, 2)</f>
        <v/>
      </c>
      <c r="L481" s="24">
        <f>ROUND(K481/1000, 3)</f>
        <v/>
      </c>
      <c r="M481" s="8" t="n"/>
      <c r="N481" s="21">
        <f>ROUND(N480 + IF(AND(E481&lt;=10, F481&lt;&gt;"ASTM A416"), L481, 0), 3)</f>
        <v/>
      </c>
      <c r="O481" s="21">
        <f>ROUND(O480 + IF(AND(E481&gt;10, E481&lt;=18, F481&lt;&gt;"ASTM A416"), L481, 0), 3)</f>
        <v/>
      </c>
      <c r="P481" s="21">
        <f>ROUND(P480 + IF(AND(E481&gt;18, F481&lt;&gt;"ASTM A416"), L481, 0), 3)</f>
        <v/>
      </c>
      <c r="Q481" s="21">
        <f>ROUND(Q480 + IF(F481="ASTM A416", L481, 0), 3)</f>
        <v/>
      </c>
      <c r="R481" s="11">
        <f>IF(INT(N481/20)&gt;INT(N480/20), "Lần " &amp; INT(N481/20), "")</f>
        <v/>
      </c>
      <c r="S481" s="12">
        <f>IF(INT(O481/20)&gt;INT(O480/20), "Lần " &amp; INT(O481/20), "")</f>
        <v/>
      </c>
      <c r="T481" s="11">
        <f>IF(INT(P481/20)&gt;INT(P480/20), "Lần " &amp; INT(P481/20), "")</f>
        <v/>
      </c>
      <c r="U481" s="25">
        <f>IF(INT(Q481/20)&gt;INT(Q480/20), "Lần " &amp; INT(Q481/20), "")</f>
        <v/>
      </c>
      <c r="V481" s="6" t="inlineStr"/>
      <c r="W481" s="6" t="inlineStr">
        <is>
          <t>ĐẠT TCVN 1651:2018</t>
        </is>
      </c>
    </row>
    <row r="482" ht="19" customHeight="1">
      <c r="A482" s="6" t="n">
        <v>447</v>
      </c>
      <c r="B482" s="7" t="inlineStr">
        <is>
          <t>Mố M1</t>
        </is>
      </c>
      <c r="C482" s="7" t="inlineStr">
        <is>
          <t>Thân mố / Bệ mố</t>
        </is>
      </c>
      <c r="D482" s="19" t="inlineStr">
        <is>
          <t>A5</t>
        </is>
      </c>
      <c r="E482" s="20" t="n">
        <v>16</v>
      </c>
      <c r="F482" s="6" t="inlineStr">
        <is>
          <t>CB400-V</t>
        </is>
      </c>
      <c r="G482" s="7" t="inlineStr">
        <is>
          <t>S06</t>
        </is>
      </c>
      <c r="H482" s="21" t="n">
        <v>13.489</v>
      </c>
      <c r="I482" s="22" t="n">
        <v>7</v>
      </c>
      <c r="J482" s="23" t="n">
        <v>1.58</v>
      </c>
      <c r="K482" s="9">
        <f>ROUND(H482*I482*J482, 2)</f>
        <v/>
      </c>
      <c r="L482" s="24">
        <f>ROUND(K482/1000, 3)</f>
        <v/>
      </c>
      <c r="M482" s="8" t="n"/>
      <c r="N482" s="21">
        <f>ROUND(N481 + IF(AND(E482&lt;=10, F482&lt;&gt;"ASTM A416"), L482, 0), 3)</f>
        <v/>
      </c>
      <c r="O482" s="21">
        <f>ROUND(O481 + IF(AND(E482&gt;10, E482&lt;=18, F482&lt;&gt;"ASTM A416"), L482, 0), 3)</f>
        <v/>
      </c>
      <c r="P482" s="21">
        <f>ROUND(P481 + IF(AND(E482&gt;18, F482&lt;&gt;"ASTM A416"), L482, 0), 3)</f>
        <v/>
      </c>
      <c r="Q482" s="21">
        <f>ROUND(Q481 + IF(F482="ASTM A416", L482, 0), 3)</f>
        <v/>
      </c>
      <c r="R482" s="11">
        <f>IF(INT(N482/20)&gt;INT(N481/20), "Lần " &amp; INT(N482/20), "")</f>
        <v/>
      </c>
      <c r="S482" s="12">
        <f>IF(INT(O482/20)&gt;INT(O481/20), "Lần " &amp; INT(O482/20), "")</f>
        <v/>
      </c>
      <c r="T482" s="11">
        <f>IF(INT(P482/20)&gt;INT(P481/20), "Lần " &amp; INT(P482/20), "")</f>
        <v/>
      </c>
      <c r="U482" s="25">
        <f>IF(INT(Q482/20)&gt;INT(Q481/20), "Lần " &amp; INT(Q482/20), "")</f>
        <v/>
      </c>
      <c r="V482" s="6" t="inlineStr"/>
      <c r="W482" s="6" t="inlineStr">
        <is>
          <t>ĐẠT TCVN 1651:2018</t>
        </is>
      </c>
    </row>
    <row r="483" ht="19" customHeight="1">
      <c r="A483" s="6" t="n">
        <v>448</v>
      </c>
      <c r="B483" s="7" t="inlineStr">
        <is>
          <t>Mố M1</t>
        </is>
      </c>
      <c r="C483" s="7" t="inlineStr">
        <is>
          <t>Thân mố / Bệ mố</t>
        </is>
      </c>
      <c r="D483" s="19" t="inlineStr">
        <is>
          <t>A6</t>
        </is>
      </c>
      <c r="E483" s="20" t="n">
        <v>16</v>
      </c>
      <c r="F483" s="6" t="inlineStr">
        <is>
          <t>CB400-V</t>
        </is>
      </c>
      <c r="G483" s="7" t="inlineStr">
        <is>
          <t>S06</t>
        </is>
      </c>
      <c r="H483" s="21" t="n">
        <v>1.807</v>
      </c>
      <c r="I483" s="22" t="n">
        <v>73</v>
      </c>
      <c r="J483" s="23" t="n">
        <v>1.58</v>
      </c>
      <c r="K483" s="9">
        <f>ROUND(H483*I483*J483, 2)</f>
        <v/>
      </c>
      <c r="L483" s="24">
        <f>ROUND(K483/1000, 3)</f>
        <v/>
      </c>
      <c r="M483" s="8" t="n"/>
      <c r="N483" s="21">
        <f>ROUND(N482 + IF(AND(E483&lt;=10, F483&lt;&gt;"ASTM A416"), L483, 0), 3)</f>
        <v/>
      </c>
      <c r="O483" s="21">
        <f>ROUND(O482 + IF(AND(E483&gt;10, E483&lt;=18, F483&lt;&gt;"ASTM A416"), L483, 0), 3)</f>
        <v/>
      </c>
      <c r="P483" s="21">
        <f>ROUND(P482 + IF(AND(E483&gt;18, F483&lt;&gt;"ASTM A416"), L483, 0), 3)</f>
        <v/>
      </c>
      <c r="Q483" s="21">
        <f>ROUND(Q482 + IF(F483="ASTM A416", L483, 0), 3)</f>
        <v/>
      </c>
      <c r="R483" s="11">
        <f>IF(INT(N483/20)&gt;INT(N482/20), "Lần " &amp; INT(N483/20), "")</f>
        <v/>
      </c>
      <c r="S483" s="12">
        <f>IF(INT(O483/20)&gt;INT(O482/20), "Lần " &amp; INT(O483/20), "")</f>
        <v/>
      </c>
      <c r="T483" s="11">
        <f>IF(INT(P483/20)&gt;INT(P482/20), "Lần " &amp; INT(P483/20), "")</f>
        <v/>
      </c>
      <c r="U483" s="25">
        <f>IF(INT(Q483/20)&gt;INT(Q482/20), "Lần " &amp; INT(Q483/20), "")</f>
        <v/>
      </c>
      <c r="V483" s="6" t="inlineStr"/>
      <c r="W483" s="6" t="inlineStr">
        <is>
          <t>ĐẠT TCVN 1651:2018</t>
        </is>
      </c>
    </row>
    <row r="484" ht="19" customHeight="1">
      <c r="A484" s="6" t="n">
        <v>449</v>
      </c>
      <c r="B484" s="7" t="inlineStr">
        <is>
          <t>Mố M1</t>
        </is>
      </c>
      <c r="C484" s="7" t="inlineStr">
        <is>
          <t>Thân mố / Bệ mố</t>
        </is>
      </c>
      <c r="D484" s="19" t="inlineStr">
        <is>
          <t>A7</t>
        </is>
      </c>
      <c r="E484" s="20" t="n">
        <v>14</v>
      </c>
      <c r="F484" s="6" t="inlineStr">
        <is>
          <t>CB400-V</t>
        </is>
      </c>
      <c r="G484" s="7" t="inlineStr">
        <is>
          <t>S06</t>
        </is>
      </c>
      <c r="H484" s="21" t="n">
        <v>1.585</v>
      </c>
      <c r="I484" s="22" t="n">
        <v>144</v>
      </c>
      <c r="J484" s="23" t="n">
        <v>1.21</v>
      </c>
      <c r="K484" s="9">
        <f>ROUND(H484*I484*J484, 2)</f>
        <v/>
      </c>
      <c r="L484" s="24">
        <f>ROUND(K484/1000, 3)</f>
        <v/>
      </c>
      <c r="M484" s="8" t="n"/>
      <c r="N484" s="21">
        <f>ROUND(N483 + IF(AND(E484&lt;=10, F484&lt;&gt;"ASTM A416"), L484, 0), 3)</f>
        <v/>
      </c>
      <c r="O484" s="21">
        <f>ROUND(O483 + IF(AND(E484&gt;10, E484&lt;=18, F484&lt;&gt;"ASTM A416"), L484, 0), 3)</f>
        <v/>
      </c>
      <c r="P484" s="21">
        <f>ROUND(P483 + IF(AND(E484&gt;18, F484&lt;&gt;"ASTM A416"), L484, 0), 3)</f>
        <v/>
      </c>
      <c r="Q484" s="21">
        <f>ROUND(Q483 + IF(F484="ASTM A416", L484, 0), 3)</f>
        <v/>
      </c>
      <c r="R484" s="11">
        <f>IF(INT(N484/20)&gt;INT(N483/20), "Lần " &amp; INT(N484/20), "")</f>
        <v/>
      </c>
      <c r="S484" s="12">
        <f>IF(INT(O484/20)&gt;INT(O483/20), "Lần " &amp; INT(O484/20), "")</f>
        <v/>
      </c>
      <c r="T484" s="11">
        <f>IF(INT(P484/20)&gt;INT(P483/20), "Lần " &amp; INT(P484/20), "")</f>
        <v/>
      </c>
      <c r="U484" s="25">
        <f>IF(INT(Q484/20)&gt;INT(Q483/20), "Lần " &amp; INT(Q484/20), "")</f>
        <v/>
      </c>
      <c r="V484" s="6" t="inlineStr"/>
      <c r="W484" s="6" t="inlineStr">
        <is>
          <t>ĐẠT TCVN 1651:2018</t>
        </is>
      </c>
    </row>
    <row r="485" ht="19" customHeight="1">
      <c r="A485" s="6" t="n">
        <v>450</v>
      </c>
      <c r="B485" s="7" t="inlineStr">
        <is>
          <t>Mố M1</t>
        </is>
      </c>
      <c r="C485" s="7" t="inlineStr">
        <is>
          <t>Thân mố / Bệ mố</t>
        </is>
      </c>
      <c r="D485" s="19" t="inlineStr">
        <is>
          <t>A8(P)</t>
        </is>
      </c>
      <c r="E485" s="20" t="n">
        <v>16</v>
      </c>
      <c r="F485" s="6" t="inlineStr">
        <is>
          <t>CB400-V</t>
        </is>
      </c>
      <c r="G485" s="7" t="inlineStr">
        <is>
          <t>S02</t>
        </is>
      </c>
      <c r="H485" s="21" t="n">
        <v>5.052</v>
      </c>
      <c r="I485" s="22" t="n">
        <v>7</v>
      </c>
      <c r="J485" s="23" t="n">
        <v>1.58</v>
      </c>
      <c r="K485" s="9">
        <f>ROUND(H485*I485*J485, 2)</f>
        <v/>
      </c>
      <c r="L485" s="24">
        <f>ROUND(K485/1000, 3)</f>
        <v/>
      </c>
      <c r="M485" s="8" t="n"/>
      <c r="N485" s="21">
        <f>ROUND(N484 + IF(AND(E485&lt;=10, F485&lt;&gt;"ASTM A416"), L485, 0), 3)</f>
        <v/>
      </c>
      <c r="O485" s="21">
        <f>ROUND(O484 + IF(AND(E485&gt;10, E485&lt;=18, F485&lt;&gt;"ASTM A416"), L485, 0), 3)</f>
        <v/>
      </c>
      <c r="P485" s="21">
        <f>ROUND(P484 + IF(AND(E485&gt;18, F485&lt;&gt;"ASTM A416"), L485, 0), 3)</f>
        <v/>
      </c>
      <c r="Q485" s="21">
        <f>ROUND(Q484 + IF(F485="ASTM A416", L485, 0), 3)</f>
        <v/>
      </c>
      <c r="R485" s="11">
        <f>IF(INT(N485/20)&gt;INT(N484/20), "Lần " &amp; INT(N485/20), "")</f>
        <v/>
      </c>
      <c r="S485" s="12">
        <f>IF(INT(O485/20)&gt;INT(O484/20), "Lần " &amp; INT(O485/20), "")</f>
        <v/>
      </c>
      <c r="T485" s="11">
        <f>IF(INT(P485/20)&gt;INT(P484/20), "Lần " &amp; INT(P485/20), "")</f>
        <v/>
      </c>
      <c r="U485" s="25">
        <f>IF(INT(Q485/20)&gt;INT(Q484/20), "Lần " &amp; INT(Q485/20), "")</f>
        <v/>
      </c>
      <c r="V485" s="6" t="inlineStr"/>
      <c r="W485" s="6" t="inlineStr">
        <is>
          <t>ĐẠT TCVN 1651:2018</t>
        </is>
      </c>
    </row>
    <row r="486" ht="19" customHeight="1">
      <c r="A486" s="6" t="n">
        <v>451</v>
      </c>
      <c r="B486" s="7" t="inlineStr">
        <is>
          <t>Mố M1</t>
        </is>
      </c>
      <c r="C486" s="7" t="inlineStr">
        <is>
          <t>Thân mố / Bệ mố</t>
        </is>
      </c>
      <c r="D486" s="19" t="inlineStr">
        <is>
          <t>A8(T)</t>
        </is>
      </c>
      <c r="E486" s="20" t="n">
        <v>16</v>
      </c>
      <c r="F486" s="6" t="inlineStr">
        <is>
          <t>CB400-V</t>
        </is>
      </c>
      <c r="G486" s="7" t="inlineStr">
        <is>
          <t>S02</t>
        </is>
      </c>
      <c r="H486" s="21" t="n">
        <v>5.352</v>
      </c>
      <c r="I486" s="22" t="n">
        <v>7</v>
      </c>
      <c r="J486" s="23" t="n">
        <v>1.58</v>
      </c>
      <c r="K486" s="9">
        <f>ROUND(H486*I486*J486, 2)</f>
        <v/>
      </c>
      <c r="L486" s="24">
        <f>ROUND(K486/1000, 3)</f>
        <v/>
      </c>
      <c r="M486" s="8" t="n"/>
      <c r="N486" s="21">
        <f>ROUND(N485 + IF(AND(E486&lt;=10, F486&lt;&gt;"ASTM A416"), L486, 0), 3)</f>
        <v/>
      </c>
      <c r="O486" s="21">
        <f>ROUND(O485 + IF(AND(E486&gt;10, E486&lt;=18, F486&lt;&gt;"ASTM A416"), L486, 0), 3)</f>
        <v/>
      </c>
      <c r="P486" s="21">
        <f>ROUND(P485 + IF(AND(E486&gt;18, F486&lt;&gt;"ASTM A416"), L486, 0), 3)</f>
        <v/>
      </c>
      <c r="Q486" s="21">
        <f>ROUND(Q485 + IF(F486="ASTM A416", L486, 0), 3)</f>
        <v/>
      </c>
      <c r="R486" s="11">
        <f>IF(INT(N486/20)&gt;INT(N485/20), "Lần " &amp; INT(N486/20), "")</f>
        <v/>
      </c>
      <c r="S486" s="12">
        <f>IF(INT(O486/20)&gt;INT(O485/20), "Lần " &amp; INT(O486/20), "")</f>
        <v/>
      </c>
      <c r="T486" s="11">
        <f>IF(INT(P486/20)&gt;INT(P485/20), "Lần " &amp; INT(P486/20), "")</f>
        <v/>
      </c>
      <c r="U486" s="25">
        <f>IF(INT(Q486/20)&gt;INT(Q485/20), "Lần " &amp; INT(Q486/20), "")</f>
        <v/>
      </c>
      <c r="V486" s="6" t="inlineStr"/>
      <c r="W486" s="6" t="inlineStr">
        <is>
          <t>ĐẠT TCVN 1651:2018</t>
        </is>
      </c>
    </row>
    <row r="487" ht="19" customHeight="1">
      <c r="A487" s="6" t="n">
        <v>452</v>
      </c>
      <c r="B487" s="7" t="inlineStr">
        <is>
          <t>Mố M1</t>
        </is>
      </c>
      <c r="C487" s="7" t="inlineStr">
        <is>
          <t>Thân mố / Bệ mố</t>
        </is>
      </c>
      <c r="D487" s="19" t="inlineStr">
        <is>
          <t>P1</t>
        </is>
      </c>
      <c r="E487" s="20" t="n">
        <v>16</v>
      </c>
      <c r="F487" s="6" t="inlineStr">
        <is>
          <t>CB400-V</t>
        </is>
      </c>
      <c r="G487" s="7" t="inlineStr">
        <is>
          <t>S06</t>
        </is>
      </c>
      <c r="H487" s="21" t="n">
        <v>13.487</v>
      </c>
      <c r="I487" s="22" t="n">
        <v>30</v>
      </c>
      <c r="J487" s="23" t="n">
        <v>1.58</v>
      </c>
      <c r="K487" s="9">
        <f>ROUND(H487*I487*J487, 2)</f>
        <v/>
      </c>
      <c r="L487" s="24">
        <f>ROUND(K487/1000, 3)</f>
        <v/>
      </c>
      <c r="M487" s="8" t="n"/>
      <c r="N487" s="21">
        <f>ROUND(N486 + IF(AND(E487&lt;=10, F487&lt;&gt;"ASTM A416"), L487, 0), 3)</f>
        <v/>
      </c>
      <c r="O487" s="21">
        <f>ROUND(O486 + IF(AND(E487&gt;10, E487&lt;=18, F487&lt;&gt;"ASTM A416"), L487, 0), 3)</f>
        <v/>
      </c>
      <c r="P487" s="21">
        <f>ROUND(P486 + IF(AND(E487&gt;18, F487&lt;&gt;"ASTM A416"), L487, 0), 3)</f>
        <v/>
      </c>
      <c r="Q487" s="21">
        <f>ROUND(Q486 + IF(F487="ASTM A416", L487, 0), 3)</f>
        <v/>
      </c>
      <c r="R487" s="11">
        <f>IF(INT(N487/20)&gt;INT(N486/20), "Lần " &amp; INT(N487/20), "")</f>
        <v/>
      </c>
      <c r="S487" s="12">
        <f>IF(INT(O487/20)&gt;INT(O486/20), "Lần " &amp; INT(O487/20), "")</f>
        <v/>
      </c>
      <c r="T487" s="11">
        <f>IF(INT(P487/20)&gt;INT(P486/20), "Lần " &amp; INT(P487/20), "")</f>
        <v/>
      </c>
      <c r="U487" s="25">
        <f>IF(INT(Q487/20)&gt;INT(Q486/20), "Lần " &amp; INT(Q487/20), "")</f>
        <v/>
      </c>
      <c r="V487" s="6" t="inlineStr"/>
      <c r="W487" s="6" t="inlineStr">
        <is>
          <t>ĐẠT TCVN 1651:2018</t>
        </is>
      </c>
    </row>
    <row r="488" ht="19" customHeight="1">
      <c r="A488" s="6" t="n">
        <v>453</v>
      </c>
      <c r="B488" s="7" t="inlineStr">
        <is>
          <t>Mố M1</t>
        </is>
      </c>
      <c r="C488" s="7" t="inlineStr">
        <is>
          <t>Thân mố / Bệ mố</t>
        </is>
      </c>
      <c r="D488" s="19" t="inlineStr">
        <is>
          <t>P1A</t>
        </is>
      </c>
      <c r="E488" s="20" t="n">
        <v>16</v>
      </c>
      <c r="F488" s="6" t="inlineStr">
        <is>
          <t>CB400-V</t>
        </is>
      </c>
      <c r="G488" s="7" t="inlineStr">
        <is>
          <t>S06</t>
        </is>
      </c>
      <c r="H488" s="21" t="n">
        <v>13.489</v>
      </c>
      <c r="I488" s="22" t="n">
        <v>2</v>
      </c>
      <c r="J488" s="23" t="n">
        <v>1.58</v>
      </c>
      <c r="K488" s="9">
        <f>ROUND(H488*I488*J488, 2)</f>
        <v/>
      </c>
      <c r="L488" s="24">
        <f>ROUND(K488/1000, 3)</f>
        <v/>
      </c>
      <c r="M488" s="8" t="n"/>
      <c r="N488" s="21">
        <f>ROUND(N487 + IF(AND(E488&lt;=10, F488&lt;&gt;"ASTM A416"), L488, 0), 3)</f>
        <v/>
      </c>
      <c r="O488" s="21">
        <f>ROUND(O487 + IF(AND(E488&gt;10, E488&lt;=18, F488&lt;&gt;"ASTM A416"), L488, 0), 3)</f>
        <v/>
      </c>
      <c r="P488" s="21">
        <f>ROUND(P487 + IF(AND(E488&gt;18, F488&lt;&gt;"ASTM A416"), L488, 0), 3)</f>
        <v/>
      </c>
      <c r="Q488" s="21">
        <f>ROUND(Q487 + IF(F488="ASTM A416", L488, 0), 3)</f>
        <v/>
      </c>
      <c r="R488" s="11">
        <f>IF(INT(N488/20)&gt;INT(N487/20), "Lần " &amp; INT(N488/20), "")</f>
        <v/>
      </c>
      <c r="S488" s="12">
        <f>IF(INT(O488/20)&gt;INT(O487/20), "Lần " &amp; INT(O488/20), "")</f>
        <v/>
      </c>
      <c r="T488" s="11">
        <f>IF(INT(P488/20)&gt;INT(P487/20), "Lần " &amp; INT(P488/20), "")</f>
        <v/>
      </c>
      <c r="U488" s="25">
        <f>IF(INT(Q488/20)&gt;INT(Q487/20), "Lần " &amp; INT(Q488/20), "")</f>
        <v/>
      </c>
      <c r="V488" s="6" t="inlineStr"/>
      <c r="W488" s="6" t="inlineStr">
        <is>
          <t>ĐẠT TCVN 1651:2018</t>
        </is>
      </c>
    </row>
    <row r="489" ht="19" customHeight="1">
      <c r="A489" s="6" t="n">
        <v>454</v>
      </c>
      <c r="B489" s="7" t="inlineStr">
        <is>
          <t>Mố M1</t>
        </is>
      </c>
      <c r="C489" s="7" t="inlineStr">
        <is>
          <t>Thân mố / Bệ mố</t>
        </is>
      </c>
      <c r="D489" s="19" t="inlineStr">
        <is>
          <t>P1B</t>
        </is>
      </c>
      <c r="E489" s="20" t="n">
        <v>16</v>
      </c>
      <c r="F489" s="6" t="inlineStr">
        <is>
          <t>CB400-V</t>
        </is>
      </c>
      <c r="G489" s="7" t="inlineStr">
        <is>
          <t>S06</t>
        </is>
      </c>
      <c r="H489" s="21" t="n">
        <v>7.743</v>
      </c>
      <c r="I489" s="22" t="n">
        <v>2</v>
      </c>
      <c r="J489" s="23" t="n">
        <v>1.58</v>
      </c>
      <c r="K489" s="9">
        <f>ROUND(H489*I489*J489, 2)</f>
        <v/>
      </c>
      <c r="L489" s="24">
        <f>ROUND(K489/1000, 3)</f>
        <v/>
      </c>
      <c r="M489" s="8" t="n"/>
      <c r="N489" s="21">
        <f>ROUND(N488 + IF(AND(E489&lt;=10, F489&lt;&gt;"ASTM A416"), L489, 0), 3)</f>
        <v/>
      </c>
      <c r="O489" s="21">
        <f>ROUND(O488 + IF(AND(E489&gt;10, E489&lt;=18, F489&lt;&gt;"ASTM A416"), L489, 0), 3)</f>
        <v/>
      </c>
      <c r="P489" s="21">
        <f>ROUND(P488 + IF(AND(E489&gt;18, F489&lt;&gt;"ASTM A416"), L489, 0), 3)</f>
        <v/>
      </c>
      <c r="Q489" s="21">
        <f>ROUND(Q488 + IF(F489="ASTM A416", L489, 0), 3)</f>
        <v/>
      </c>
      <c r="R489" s="11">
        <f>IF(INT(N489/20)&gt;INT(N488/20), "Lần " &amp; INT(N489/20), "")</f>
        <v/>
      </c>
      <c r="S489" s="12">
        <f>IF(INT(O489/20)&gt;INT(O488/20), "Lần " &amp; INT(O489/20), "")</f>
        <v/>
      </c>
      <c r="T489" s="11">
        <f>IF(INT(P489/20)&gt;INT(P488/20), "Lần " &amp; INT(P489/20), "")</f>
        <v/>
      </c>
      <c r="U489" s="25">
        <f>IF(INT(Q489/20)&gt;INT(Q488/20), "Lần " &amp; INT(Q489/20), "")</f>
        <v/>
      </c>
      <c r="V489" s="6" t="inlineStr"/>
      <c r="W489" s="6" t="inlineStr">
        <is>
          <t>ĐẠT TCVN 1651:2018</t>
        </is>
      </c>
    </row>
    <row r="490" ht="19" customHeight="1">
      <c r="A490" s="6" t="n">
        <v>455</v>
      </c>
      <c r="B490" s="7" t="inlineStr">
        <is>
          <t>Mố M1</t>
        </is>
      </c>
      <c r="C490" s="7" t="inlineStr">
        <is>
          <t>Thân mố / Bệ mố</t>
        </is>
      </c>
      <c r="D490" s="19" t="inlineStr">
        <is>
          <t>P2</t>
        </is>
      </c>
      <c r="E490" s="20" t="n">
        <v>16</v>
      </c>
      <c r="F490" s="6" t="inlineStr">
        <is>
          <t>CB400-V</t>
        </is>
      </c>
      <c r="G490" s="7" t="inlineStr">
        <is>
          <t>S06</t>
        </is>
      </c>
      <c r="H490" s="21" t="n">
        <v>5.82</v>
      </c>
      <c r="I490" s="22" t="n">
        <v>83</v>
      </c>
      <c r="J490" s="23" t="n">
        <v>1.58</v>
      </c>
      <c r="K490" s="9">
        <f>ROUND(H490*I490*J490, 2)</f>
        <v/>
      </c>
      <c r="L490" s="24">
        <f>ROUND(K490/1000, 3)</f>
        <v/>
      </c>
      <c r="M490" s="8" t="n"/>
      <c r="N490" s="21">
        <f>ROUND(N489 + IF(AND(E490&lt;=10, F490&lt;&gt;"ASTM A416"), L490, 0), 3)</f>
        <v/>
      </c>
      <c r="O490" s="21">
        <f>ROUND(O489 + IF(AND(E490&gt;10, E490&lt;=18, F490&lt;&gt;"ASTM A416"), L490, 0), 3)</f>
        <v/>
      </c>
      <c r="P490" s="21">
        <f>ROUND(P489 + IF(AND(E490&gt;18, F490&lt;&gt;"ASTM A416"), L490, 0), 3)</f>
        <v/>
      </c>
      <c r="Q490" s="21">
        <f>ROUND(Q489 + IF(F490="ASTM A416", L490, 0), 3)</f>
        <v/>
      </c>
      <c r="R490" s="11">
        <f>IF(INT(N490/20)&gt;INT(N489/20), "Lần " &amp; INT(N490/20), "")</f>
        <v/>
      </c>
      <c r="S490" s="12">
        <f>IF(INT(O490/20)&gt;INT(O489/20), "Lần " &amp; INT(O490/20), "")</f>
        <v/>
      </c>
      <c r="T490" s="11">
        <f>IF(INT(P490/20)&gt;INT(P489/20), "Lần " &amp; INT(P490/20), "")</f>
        <v/>
      </c>
      <c r="U490" s="25">
        <f>IF(INT(Q490/20)&gt;INT(Q489/20), "Lần " &amp; INT(Q490/20), "")</f>
        <v/>
      </c>
      <c r="V490" s="6" t="inlineStr"/>
      <c r="W490" s="6" t="inlineStr">
        <is>
          <t>ĐẠT TCVN 1651:2018</t>
        </is>
      </c>
    </row>
    <row r="491" ht="19" customHeight="1">
      <c r="A491" s="6" t="n">
        <v>456</v>
      </c>
      <c r="B491" s="7" t="inlineStr">
        <is>
          <t>Mố M1</t>
        </is>
      </c>
      <c r="C491" s="7" t="inlineStr">
        <is>
          <t>Thân mố / Bệ mố</t>
        </is>
      </c>
      <c r="D491" s="19" t="inlineStr">
        <is>
          <t>P3</t>
        </is>
      </c>
      <c r="E491" s="20" t="n">
        <v>16</v>
      </c>
      <c r="F491" s="6" t="inlineStr">
        <is>
          <t>CB400-V</t>
        </is>
      </c>
      <c r="G491" s="7" t="inlineStr">
        <is>
          <t>S57</t>
        </is>
      </c>
      <c r="H491" s="21" t="n">
        <v>2.071</v>
      </c>
      <c r="I491" s="22" t="n">
        <v>83</v>
      </c>
      <c r="J491" s="23" t="n">
        <v>1.58</v>
      </c>
      <c r="K491" s="9">
        <f>ROUND(H491*I491*J491, 2)</f>
        <v/>
      </c>
      <c r="L491" s="24">
        <f>ROUND(K491/1000, 3)</f>
        <v/>
      </c>
      <c r="M491" s="8" t="n"/>
      <c r="N491" s="21">
        <f>ROUND(N490 + IF(AND(E491&lt;=10, F491&lt;&gt;"ASTM A416"), L491, 0), 3)</f>
        <v/>
      </c>
      <c r="O491" s="21">
        <f>ROUND(O490 + IF(AND(E491&gt;10, E491&lt;=18, F491&lt;&gt;"ASTM A416"), L491, 0), 3)</f>
        <v/>
      </c>
      <c r="P491" s="21">
        <f>ROUND(P490 + IF(AND(E491&gt;18, F491&lt;&gt;"ASTM A416"), L491, 0), 3)</f>
        <v/>
      </c>
      <c r="Q491" s="21">
        <f>ROUND(Q490 + IF(F491="ASTM A416", L491, 0), 3)</f>
        <v/>
      </c>
      <c r="R491" s="11">
        <f>IF(INT(N491/20)&gt;INT(N490/20), "Lần " &amp; INT(N491/20), "")</f>
        <v/>
      </c>
      <c r="S491" s="12">
        <f>IF(INT(O491/20)&gt;INT(O490/20), "Lần " &amp; INT(O491/20), "")</f>
        <v/>
      </c>
      <c r="T491" s="11">
        <f>IF(INT(P491/20)&gt;INT(P490/20), "Lần " &amp; INT(P491/20), "")</f>
        <v/>
      </c>
      <c r="U491" s="25">
        <f>IF(INT(Q491/20)&gt;INT(Q490/20), "Lần " &amp; INT(Q491/20), "")</f>
        <v/>
      </c>
      <c r="V491" s="6" t="inlineStr"/>
      <c r="W491" s="6" t="inlineStr">
        <is>
          <t>ĐẠT TCVN 1651:2018</t>
        </is>
      </c>
    </row>
    <row r="492" ht="19" customHeight="1">
      <c r="A492" s="6" t="n">
        <v>457</v>
      </c>
      <c r="B492" s="7" t="inlineStr">
        <is>
          <t>Mố M1</t>
        </is>
      </c>
      <c r="C492" s="7" t="inlineStr">
        <is>
          <t>Thân mố / Bệ mố</t>
        </is>
      </c>
      <c r="D492" s="19" t="inlineStr">
        <is>
          <t>P4</t>
        </is>
      </c>
      <c r="E492" s="20" t="n">
        <v>14</v>
      </c>
      <c r="F492" s="6" t="inlineStr">
        <is>
          <t>CB400-V</t>
        </is>
      </c>
      <c r="G492" s="7" t="inlineStr">
        <is>
          <t>S06</t>
        </is>
      </c>
      <c r="H492" s="21" t="n">
        <v>0.585</v>
      </c>
      <c r="I492" s="22" t="n">
        <v>54</v>
      </c>
      <c r="J492" s="23" t="n">
        <v>1.21</v>
      </c>
      <c r="K492" s="9">
        <f>ROUND(H492*I492*J492, 2)</f>
        <v/>
      </c>
      <c r="L492" s="24">
        <f>ROUND(K492/1000, 3)</f>
        <v/>
      </c>
      <c r="M492" s="8" t="n"/>
      <c r="N492" s="21">
        <f>ROUND(N491 + IF(AND(E492&lt;=10, F492&lt;&gt;"ASTM A416"), L492, 0), 3)</f>
        <v/>
      </c>
      <c r="O492" s="21">
        <f>ROUND(O491 + IF(AND(E492&gt;10, E492&lt;=18, F492&lt;&gt;"ASTM A416"), L492, 0), 3)</f>
        <v/>
      </c>
      <c r="P492" s="21">
        <f>ROUND(P491 + IF(AND(E492&gt;18, F492&lt;&gt;"ASTM A416"), L492, 0), 3)</f>
        <v/>
      </c>
      <c r="Q492" s="21">
        <f>ROUND(Q491 + IF(F492="ASTM A416", L492, 0), 3)</f>
        <v/>
      </c>
      <c r="R492" s="11">
        <f>IF(INT(N492/20)&gt;INT(N491/20), "Lần " &amp; INT(N492/20), "")</f>
        <v/>
      </c>
      <c r="S492" s="12">
        <f>IF(INT(O492/20)&gt;INT(O491/20), "Lần " &amp; INT(O492/20), "")</f>
        <v/>
      </c>
      <c r="T492" s="11">
        <f>IF(INT(P492/20)&gt;INT(P491/20), "Lần " &amp; INT(P492/20), "")</f>
        <v/>
      </c>
      <c r="U492" s="25">
        <f>IF(INT(Q492/20)&gt;INT(Q491/20), "Lần " &amp; INT(Q492/20), "")</f>
        <v/>
      </c>
      <c r="V492" s="6" t="inlineStr"/>
      <c r="W492" s="6" t="inlineStr">
        <is>
          <t>ĐẠT TCVN 1651:2018</t>
        </is>
      </c>
    </row>
    <row r="493" ht="19" customHeight="1">
      <c r="A493" s="6" t="n">
        <v>458</v>
      </c>
      <c r="B493" s="7" t="inlineStr">
        <is>
          <t>Mố M1</t>
        </is>
      </c>
      <c r="C493" s="7" t="inlineStr">
        <is>
          <t>Thân mố / Bệ mố</t>
        </is>
      </c>
      <c r="D493" s="19" t="inlineStr">
        <is>
          <t>H1</t>
        </is>
      </c>
      <c r="E493" s="20" t="n">
        <v>25</v>
      </c>
      <c r="F493" s="6" t="inlineStr">
        <is>
          <t>CB400-V</t>
        </is>
      </c>
      <c r="G493" s="7" t="inlineStr">
        <is>
          <t>S05</t>
        </is>
      </c>
      <c r="H493" s="21" t="n">
        <v>1.07</v>
      </c>
      <c r="I493" s="22" t="n">
        <v>23</v>
      </c>
      <c r="J493" s="23" t="n">
        <v>3.85</v>
      </c>
      <c r="K493" s="9">
        <f>ROUND(H493*I493*J493, 2)</f>
        <v/>
      </c>
      <c r="L493" s="24">
        <f>ROUND(K493/1000, 3)</f>
        <v/>
      </c>
      <c r="M493" s="8" t="n"/>
      <c r="N493" s="21">
        <f>ROUND(N492 + IF(AND(E493&lt;=10, F493&lt;&gt;"ASTM A416"), L493, 0), 3)</f>
        <v/>
      </c>
      <c r="O493" s="21">
        <f>ROUND(O492 + IF(AND(E493&gt;10, E493&lt;=18, F493&lt;&gt;"ASTM A416"), L493, 0), 3)</f>
        <v/>
      </c>
      <c r="P493" s="21">
        <f>ROUND(P492 + IF(AND(E493&gt;18, F493&lt;&gt;"ASTM A416"), L493, 0), 3)</f>
        <v/>
      </c>
      <c r="Q493" s="21">
        <f>ROUND(Q492 + IF(F493="ASTM A416", L493, 0), 3)</f>
        <v/>
      </c>
      <c r="R493" s="11">
        <f>IF(INT(N493/20)&gt;INT(N492/20), "Lần " &amp; INT(N493/20), "")</f>
        <v/>
      </c>
      <c r="S493" s="12">
        <f>IF(INT(O493/20)&gt;INT(O492/20), "Lần " &amp; INT(O493/20), "")</f>
        <v/>
      </c>
      <c r="T493" s="11">
        <f>IF(INT(P493/20)&gt;INT(P492/20), "Lần " &amp; INT(P493/20), "")</f>
        <v/>
      </c>
      <c r="U493" s="25">
        <f>IF(INT(Q493/20)&gt;INT(Q492/20), "Lần " &amp; INT(Q493/20), "")</f>
        <v/>
      </c>
      <c r="V493" s="6" t="inlineStr"/>
      <c r="W493" s="6" t="inlineStr">
        <is>
          <t>ĐẠT TCVN 1651:2018</t>
        </is>
      </c>
    </row>
    <row r="494" ht="19" customHeight="1">
      <c r="A494" s="6" t="n">
        <v>459</v>
      </c>
      <c r="B494" s="7" t="inlineStr">
        <is>
          <t>Mố M1</t>
        </is>
      </c>
      <c r="C494" s="7" t="inlineStr">
        <is>
          <t>Thân mố / Bệ mố</t>
        </is>
      </c>
      <c r="D494" s="19" t="inlineStr">
        <is>
          <t>H2</t>
        </is>
      </c>
      <c r="E494" s="20" t="n">
        <v>8</v>
      </c>
      <c r="F494" s="6" t="inlineStr">
        <is>
          <t>CB240-T</t>
        </is>
      </c>
      <c r="G494" s="7" t="inlineStr">
        <is>
          <t>S32</t>
        </is>
      </c>
      <c r="H494" s="21" t="n">
        <v>2.132</v>
      </c>
      <c r="I494" s="22" t="n">
        <v>23</v>
      </c>
      <c r="J494" s="23" t="n">
        <v>0.395</v>
      </c>
      <c r="K494" s="9">
        <f>ROUND(H494*I494*J494, 2)</f>
        <v/>
      </c>
      <c r="L494" s="24">
        <f>ROUND(K494/1000, 3)</f>
        <v/>
      </c>
      <c r="M494" s="8" t="n"/>
      <c r="N494" s="21">
        <f>ROUND(N493 + IF(AND(E494&lt;=10, F494&lt;&gt;"ASTM A416"), L494, 0), 3)</f>
        <v/>
      </c>
      <c r="O494" s="21">
        <f>ROUND(O493 + IF(AND(E494&gt;10, E494&lt;=18, F494&lt;&gt;"ASTM A416"), L494, 0), 3)</f>
        <v/>
      </c>
      <c r="P494" s="21">
        <f>ROUND(P493 + IF(AND(E494&gt;18, F494&lt;&gt;"ASTM A416"), L494, 0), 3)</f>
        <v/>
      </c>
      <c r="Q494" s="21">
        <f>ROUND(Q493 + IF(F494="ASTM A416", L494, 0), 3)</f>
        <v/>
      </c>
      <c r="R494" s="11">
        <f>IF(INT(N494/20)&gt;INT(N493/20), "Lần " &amp; INT(N494/20), "")</f>
        <v/>
      </c>
      <c r="S494" s="12">
        <f>IF(INT(O494/20)&gt;INT(O493/20), "Lần " &amp; INT(O494/20), "")</f>
        <v/>
      </c>
      <c r="T494" s="11">
        <f>IF(INT(P494/20)&gt;INT(P493/20), "Lần " &amp; INT(P494/20), "")</f>
        <v/>
      </c>
      <c r="U494" s="25">
        <f>IF(INT(Q494/20)&gt;INT(Q493/20), "Lần " &amp; INT(Q494/20), "")</f>
        <v/>
      </c>
      <c r="V494" s="6" t="inlineStr"/>
      <c r="W494" s="6" t="inlineStr">
        <is>
          <t>ĐẠT TCVN 1651:2018</t>
        </is>
      </c>
    </row>
    <row r="495" ht="19" customHeight="1">
      <c r="A495" s="6" t="n">
        <v>460</v>
      </c>
      <c r="B495" s="7" t="inlineStr">
        <is>
          <t>Mố M1</t>
        </is>
      </c>
      <c r="C495" s="7" t="inlineStr">
        <is>
          <t>TƯỜNG CÁNH PHẢI</t>
        </is>
      </c>
      <c r="D495" s="19" t="inlineStr">
        <is>
          <t>W1A(P)</t>
        </is>
      </c>
      <c r="E495" s="20" t="n">
        <v>16</v>
      </c>
      <c r="F495" s="6" t="inlineStr">
        <is>
          <t>CB400-V</t>
        </is>
      </c>
      <c r="G495" s="7" t="inlineStr">
        <is>
          <t>S06</t>
        </is>
      </c>
      <c r="H495" s="21" t="n">
        <v>7.322</v>
      </c>
      <c r="I495" s="22" t="n">
        <v>23</v>
      </c>
      <c r="J495" s="23" t="n">
        <v>1.58</v>
      </c>
      <c r="K495" s="9">
        <f>ROUND(H495*I495*J495, 2)</f>
        <v/>
      </c>
      <c r="L495" s="24">
        <f>ROUND(K495/1000, 3)</f>
        <v/>
      </c>
      <c r="M495" s="8" t="n"/>
      <c r="N495" s="21">
        <f>ROUND(N494 + IF(AND(E495&lt;=10, F495&lt;&gt;"ASTM A416"), L495, 0), 3)</f>
        <v/>
      </c>
      <c r="O495" s="21">
        <f>ROUND(O494 + IF(AND(E495&gt;10, E495&lt;=18, F495&lt;&gt;"ASTM A416"), L495, 0), 3)</f>
        <v/>
      </c>
      <c r="P495" s="21">
        <f>ROUND(P494 + IF(AND(E495&gt;18, F495&lt;&gt;"ASTM A416"), L495, 0), 3)</f>
        <v/>
      </c>
      <c r="Q495" s="21">
        <f>ROUND(Q494 + IF(F495="ASTM A416", L495, 0), 3)</f>
        <v/>
      </c>
      <c r="R495" s="11">
        <f>IF(INT(N495/20)&gt;INT(N494/20), "Lần " &amp; INT(N495/20), "")</f>
        <v/>
      </c>
      <c r="S495" s="12">
        <f>IF(INT(O495/20)&gt;INT(O494/20), "Lần " &amp; INT(O495/20), "")</f>
        <v/>
      </c>
      <c r="T495" s="11">
        <f>IF(INT(P495/20)&gt;INT(P494/20), "Lần " &amp; INT(P495/20), "")</f>
        <v/>
      </c>
      <c r="U495" s="25">
        <f>IF(INT(Q495/20)&gt;INT(Q494/20), "Lần " &amp; INT(Q495/20), "")</f>
        <v/>
      </c>
      <c r="V495" s="6" t="inlineStr"/>
      <c r="W495" s="6" t="inlineStr">
        <is>
          <t>ĐẠT TCVN 1651:2018</t>
        </is>
      </c>
    </row>
    <row r="496" ht="19" customHeight="1">
      <c r="A496" s="6" t="n">
        <v>461</v>
      </c>
      <c r="B496" s="7" t="inlineStr">
        <is>
          <t>Mố M1</t>
        </is>
      </c>
      <c r="C496" s="7" t="inlineStr">
        <is>
          <t>Thân mố / Bệ mố</t>
        </is>
      </c>
      <c r="D496" s="19" t="inlineStr">
        <is>
          <t>W1B(P)</t>
        </is>
      </c>
      <c r="E496" s="20" t="n">
        <v>16</v>
      </c>
      <c r="F496" s="6" t="inlineStr">
        <is>
          <t>CB400-V</t>
        </is>
      </c>
      <c r="G496" s="7" t="inlineStr">
        <is>
          <t>S06</t>
        </is>
      </c>
      <c r="H496" s="21" t="n">
        <v>2.793</v>
      </c>
      <c r="I496" s="22" t="n">
        <v>17</v>
      </c>
      <c r="J496" s="23" t="n">
        <v>1.58</v>
      </c>
      <c r="K496" s="9">
        <f>ROUND(H496*I496*J496, 2)</f>
        <v/>
      </c>
      <c r="L496" s="24">
        <f>ROUND(K496/1000, 3)</f>
        <v/>
      </c>
      <c r="M496" s="8" t="n"/>
      <c r="N496" s="21">
        <f>ROUND(N495 + IF(AND(E496&lt;=10, F496&lt;&gt;"ASTM A416"), L496, 0), 3)</f>
        <v/>
      </c>
      <c r="O496" s="21">
        <f>ROUND(O495 + IF(AND(E496&gt;10, E496&lt;=18, F496&lt;&gt;"ASTM A416"), L496, 0), 3)</f>
        <v/>
      </c>
      <c r="P496" s="21">
        <f>ROUND(P495 + IF(AND(E496&gt;18, F496&lt;&gt;"ASTM A416"), L496, 0), 3)</f>
        <v/>
      </c>
      <c r="Q496" s="21">
        <f>ROUND(Q495 + IF(F496="ASTM A416", L496, 0), 3)</f>
        <v/>
      </c>
      <c r="R496" s="11">
        <f>IF(INT(N496/20)&gt;INT(N495/20), "Lần " &amp; INT(N496/20), "")</f>
        <v/>
      </c>
      <c r="S496" s="12">
        <f>IF(INT(O496/20)&gt;INT(O495/20), "Lần " &amp; INT(O496/20), "")</f>
        <v/>
      </c>
      <c r="T496" s="11">
        <f>IF(INT(P496/20)&gt;INT(P495/20), "Lần " &amp; INT(P496/20), "")</f>
        <v/>
      </c>
      <c r="U496" s="25">
        <f>IF(INT(Q496/20)&gt;INT(Q495/20), "Lần " &amp; INT(Q496/20), "")</f>
        <v/>
      </c>
      <c r="V496" s="6" t="inlineStr"/>
      <c r="W496" s="6" t="inlineStr">
        <is>
          <t>ĐẠT TCVN 1651:2018</t>
        </is>
      </c>
    </row>
    <row r="497" ht="19" customHeight="1">
      <c r="A497" s="6" t="n">
        <v>462</v>
      </c>
      <c r="B497" s="7" t="inlineStr">
        <is>
          <t>Mố M1</t>
        </is>
      </c>
      <c r="C497" s="7" t="inlineStr">
        <is>
          <t>Thân mố / Bệ mố</t>
        </is>
      </c>
      <c r="D497" s="19" t="inlineStr">
        <is>
          <t>W2A(P)</t>
        </is>
      </c>
      <c r="E497" s="20" t="n">
        <v>22</v>
      </c>
      <c r="F497" s="6" t="inlineStr">
        <is>
          <t>CB400-V</t>
        </is>
      </c>
      <c r="G497" s="7" t="inlineStr">
        <is>
          <t>S06</t>
        </is>
      </c>
      <c r="H497" s="21" t="n">
        <v>7.479</v>
      </c>
      <c r="I497" s="22" t="n">
        <v>18</v>
      </c>
      <c r="J497" s="23" t="n">
        <v>2.98</v>
      </c>
      <c r="K497" s="9">
        <f>ROUND(H497*I497*J497, 2)</f>
        <v/>
      </c>
      <c r="L497" s="24">
        <f>ROUND(K497/1000, 3)</f>
        <v/>
      </c>
      <c r="M497" s="8" t="n"/>
      <c r="N497" s="21">
        <f>ROUND(N496 + IF(AND(E497&lt;=10, F497&lt;&gt;"ASTM A416"), L497, 0), 3)</f>
        <v/>
      </c>
      <c r="O497" s="21">
        <f>ROUND(O496 + IF(AND(E497&gt;10, E497&lt;=18, F497&lt;&gt;"ASTM A416"), L497, 0), 3)</f>
        <v/>
      </c>
      <c r="P497" s="21">
        <f>ROUND(P496 + IF(AND(E497&gt;18, F497&lt;&gt;"ASTM A416"), L497, 0), 3)</f>
        <v/>
      </c>
      <c r="Q497" s="21">
        <f>ROUND(Q496 + IF(F497="ASTM A416", L497, 0), 3)</f>
        <v/>
      </c>
      <c r="R497" s="11">
        <f>IF(INT(N497/20)&gt;INT(N496/20), "Lần " &amp; INT(N497/20), "")</f>
        <v/>
      </c>
      <c r="S497" s="12">
        <f>IF(INT(O497/20)&gt;INT(O496/20), "Lần " &amp; INT(O497/20), "")</f>
        <v/>
      </c>
      <c r="T497" s="11">
        <f>IF(INT(P497/20)&gt;INT(P496/20), "Lần " &amp; INT(P497/20), "")</f>
        <v/>
      </c>
      <c r="U497" s="25">
        <f>IF(INT(Q497/20)&gt;INT(Q496/20), "Lần " &amp; INT(Q497/20), "")</f>
        <v/>
      </c>
      <c r="V497" s="6" t="inlineStr"/>
      <c r="W497" s="6" t="inlineStr">
        <is>
          <t>ĐẠT TCVN 1651:2018</t>
        </is>
      </c>
    </row>
    <row r="498" ht="19" customHeight="1">
      <c r="A498" s="6" t="n">
        <v>463</v>
      </c>
      <c r="B498" s="7" t="inlineStr">
        <is>
          <t>Mố M1</t>
        </is>
      </c>
      <c r="C498" s="7" t="inlineStr">
        <is>
          <t>Thân mố / Bệ mố</t>
        </is>
      </c>
      <c r="D498" s="19" t="inlineStr">
        <is>
          <t>W2B(P)</t>
        </is>
      </c>
      <c r="E498" s="20" t="n">
        <v>22</v>
      </c>
      <c r="F498" s="6" t="inlineStr">
        <is>
          <t>CB400-V</t>
        </is>
      </c>
      <c r="G498" s="7" t="inlineStr">
        <is>
          <t>S06</t>
        </is>
      </c>
      <c r="H498" s="21" t="n">
        <v>2.955</v>
      </c>
      <c r="I498" s="22" t="n">
        <v>17</v>
      </c>
      <c r="J498" s="23" t="n">
        <v>2.98</v>
      </c>
      <c r="K498" s="9">
        <f>ROUND(H498*I498*J498, 2)</f>
        <v/>
      </c>
      <c r="L498" s="24">
        <f>ROUND(K498/1000, 3)</f>
        <v/>
      </c>
      <c r="M498" s="8" t="n"/>
      <c r="N498" s="21">
        <f>ROUND(N497 + IF(AND(E498&lt;=10, F498&lt;&gt;"ASTM A416"), L498, 0), 3)</f>
        <v/>
      </c>
      <c r="O498" s="21">
        <f>ROUND(O497 + IF(AND(E498&gt;10, E498&lt;=18, F498&lt;&gt;"ASTM A416"), L498, 0), 3)</f>
        <v/>
      </c>
      <c r="P498" s="21">
        <f>ROUND(P497 + IF(AND(E498&gt;18, F498&lt;&gt;"ASTM A416"), L498, 0), 3)</f>
        <v/>
      </c>
      <c r="Q498" s="21">
        <f>ROUND(Q497 + IF(F498="ASTM A416", L498, 0), 3)</f>
        <v/>
      </c>
      <c r="R498" s="11">
        <f>IF(INT(N498/20)&gt;INT(N497/20), "Lần " &amp; INT(N498/20), "")</f>
        <v/>
      </c>
      <c r="S498" s="12">
        <f>IF(INT(O498/20)&gt;INT(O497/20), "Lần " &amp; INT(O498/20), "")</f>
        <v/>
      </c>
      <c r="T498" s="11">
        <f>IF(INT(P498/20)&gt;INT(P497/20), "Lần " &amp; INT(P498/20), "")</f>
        <v/>
      </c>
      <c r="U498" s="25">
        <f>IF(INT(Q498/20)&gt;INT(Q497/20), "Lần " &amp; INT(Q498/20), "")</f>
        <v/>
      </c>
      <c r="V498" s="6" t="inlineStr"/>
      <c r="W498" s="6" t="inlineStr">
        <is>
          <t>ĐẠT TCVN 1651:2018</t>
        </is>
      </c>
    </row>
    <row r="499" ht="19" customHeight="1">
      <c r="A499" s="6" t="n">
        <v>464</v>
      </c>
      <c r="B499" s="7" t="inlineStr">
        <is>
          <t>Mố M1</t>
        </is>
      </c>
      <c r="C499" s="7" t="inlineStr">
        <is>
          <t>Thân mố / Bệ mố</t>
        </is>
      </c>
      <c r="D499" s="19" t="inlineStr">
        <is>
          <t>W3A(P)</t>
        </is>
      </c>
      <c r="E499" s="20" t="n">
        <v>16</v>
      </c>
      <c r="F499" s="6" t="inlineStr">
        <is>
          <t>CB400-V</t>
        </is>
      </c>
      <c r="G499" s="7" t="inlineStr">
        <is>
          <t>S06</t>
        </is>
      </c>
      <c r="H499" s="21" t="n">
        <v>4.832</v>
      </c>
      <c r="I499" s="22" t="n">
        <v>23</v>
      </c>
      <c r="J499" s="23" t="n">
        <v>1.58</v>
      </c>
      <c r="K499" s="9">
        <f>ROUND(H499*I499*J499, 2)</f>
        <v/>
      </c>
      <c r="L499" s="24">
        <f>ROUND(K499/1000, 3)</f>
        <v/>
      </c>
      <c r="M499" s="8" t="n"/>
      <c r="N499" s="21">
        <f>ROUND(N498 + IF(AND(E499&lt;=10, F499&lt;&gt;"ASTM A416"), L499, 0), 3)</f>
        <v/>
      </c>
      <c r="O499" s="21">
        <f>ROUND(O498 + IF(AND(E499&gt;10, E499&lt;=18, F499&lt;&gt;"ASTM A416"), L499, 0), 3)</f>
        <v/>
      </c>
      <c r="P499" s="21">
        <f>ROUND(P498 + IF(AND(E499&gt;18, F499&lt;&gt;"ASTM A416"), L499, 0), 3)</f>
        <v/>
      </c>
      <c r="Q499" s="21">
        <f>ROUND(Q498 + IF(F499="ASTM A416", L499, 0), 3)</f>
        <v/>
      </c>
      <c r="R499" s="11">
        <f>IF(INT(N499/20)&gt;INT(N498/20), "Lần " &amp; INT(N499/20), "")</f>
        <v/>
      </c>
      <c r="S499" s="12">
        <f>IF(INT(O499/20)&gt;INT(O498/20), "Lần " &amp; INT(O499/20), "")</f>
        <v/>
      </c>
      <c r="T499" s="11">
        <f>IF(INT(P499/20)&gt;INT(P498/20), "Lần " &amp; INT(P499/20), "")</f>
        <v/>
      </c>
      <c r="U499" s="25">
        <f>IF(INT(Q499/20)&gt;INT(Q498/20), "Lần " &amp; INT(Q499/20), "")</f>
        <v/>
      </c>
      <c r="V499" s="6" t="inlineStr"/>
      <c r="W499" s="6" t="inlineStr">
        <is>
          <t>ĐẠT TCVN 1651:2018</t>
        </is>
      </c>
    </row>
    <row r="500" ht="19" customHeight="1">
      <c r="A500" s="6" t="n">
        <v>465</v>
      </c>
      <c r="B500" s="7" t="inlineStr">
        <is>
          <t>Mố M1</t>
        </is>
      </c>
      <c r="C500" s="7" t="inlineStr">
        <is>
          <t>Thân mố / Bệ mố</t>
        </is>
      </c>
      <c r="D500" s="19" t="inlineStr">
        <is>
          <t>W3B(P)</t>
        </is>
      </c>
      <c r="E500" s="20" t="n">
        <v>16</v>
      </c>
      <c r="F500" s="6" t="inlineStr">
        <is>
          <t>CB400-V</t>
        </is>
      </c>
      <c r="G500" s="7" t="inlineStr">
        <is>
          <t>S06</t>
        </is>
      </c>
      <c r="H500" s="21" t="n">
        <v>5.67</v>
      </c>
      <c r="I500" s="22" t="n">
        <v>11</v>
      </c>
      <c r="J500" s="23" t="n">
        <v>1.58</v>
      </c>
      <c r="K500" s="9">
        <f>ROUND(H500*I500*J500, 2)</f>
        <v/>
      </c>
      <c r="L500" s="24">
        <f>ROUND(K500/1000, 3)</f>
        <v/>
      </c>
      <c r="M500" s="8" t="n"/>
      <c r="N500" s="21">
        <f>ROUND(N499 + IF(AND(E500&lt;=10, F500&lt;&gt;"ASTM A416"), L500, 0), 3)</f>
        <v/>
      </c>
      <c r="O500" s="21">
        <f>ROUND(O499 + IF(AND(E500&gt;10, E500&lt;=18, F500&lt;&gt;"ASTM A416"), L500, 0), 3)</f>
        <v/>
      </c>
      <c r="P500" s="21">
        <f>ROUND(P499 + IF(AND(E500&gt;18, F500&lt;&gt;"ASTM A416"), L500, 0), 3)</f>
        <v/>
      </c>
      <c r="Q500" s="21">
        <f>ROUND(Q499 + IF(F500="ASTM A416", L500, 0), 3)</f>
        <v/>
      </c>
      <c r="R500" s="11">
        <f>IF(INT(N500/20)&gt;INT(N499/20), "Lần " &amp; INT(N500/20), "")</f>
        <v/>
      </c>
      <c r="S500" s="12">
        <f>IF(INT(O500/20)&gt;INT(O499/20), "Lần " &amp; INT(O500/20), "")</f>
        <v/>
      </c>
      <c r="T500" s="11">
        <f>IF(INT(P500/20)&gt;INT(P499/20), "Lần " &amp; INT(P500/20), "")</f>
        <v/>
      </c>
      <c r="U500" s="25">
        <f>IF(INT(Q500/20)&gt;INT(Q499/20), "Lần " &amp; INT(Q500/20), "")</f>
        <v/>
      </c>
      <c r="V500" s="6" t="inlineStr"/>
      <c r="W500" s="6" t="inlineStr">
        <is>
          <t>ĐẠT TCVN 1651:2018</t>
        </is>
      </c>
    </row>
    <row r="501" ht="19" customHeight="1">
      <c r="A501" s="6" t="n">
        <v>466</v>
      </c>
      <c r="B501" s="7" t="inlineStr">
        <is>
          <t>Mố M1</t>
        </is>
      </c>
      <c r="C501" s="7" t="inlineStr">
        <is>
          <t>Thân mố / Bệ mố</t>
        </is>
      </c>
      <c r="D501" s="19" t="inlineStr">
        <is>
          <t>W3C(P)</t>
        </is>
      </c>
      <c r="E501" s="20" t="n">
        <v>16</v>
      </c>
      <c r="F501" s="6" t="inlineStr">
        <is>
          <t>CB400-V</t>
        </is>
      </c>
      <c r="G501" s="7" t="inlineStr">
        <is>
          <t>S06</t>
        </is>
      </c>
      <c r="H501" s="21" t="n">
        <v>5.945</v>
      </c>
      <c r="I501" s="22" t="n">
        <v>6</v>
      </c>
      <c r="J501" s="23" t="n">
        <v>1.58</v>
      </c>
      <c r="K501" s="9">
        <f>ROUND(H501*I501*J501, 2)</f>
        <v/>
      </c>
      <c r="L501" s="24">
        <f>ROUND(K501/1000, 3)</f>
        <v/>
      </c>
      <c r="M501" s="8" t="n"/>
      <c r="N501" s="21">
        <f>ROUND(N500 + IF(AND(E501&lt;=10, F501&lt;&gt;"ASTM A416"), L501, 0), 3)</f>
        <v/>
      </c>
      <c r="O501" s="21">
        <f>ROUND(O500 + IF(AND(E501&gt;10, E501&lt;=18, F501&lt;&gt;"ASTM A416"), L501, 0), 3)</f>
        <v/>
      </c>
      <c r="P501" s="21">
        <f>ROUND(P500 + IF(AND(E501&gt;18, F501&lt;&gt;"ASTM A416"), L501, 0), 3)</f>
        <v/>
      </c>
      <c r="Q501" s="21">
        <f>ROUND(Q500 + IF(F501="ASTM A416", L501, 0), 3)</f>
        <v/>
      </c>
      <c r="R501" s="11">
        <f>IF(INT(N501/20)&gt;INT(N500/20), "Lần " &amp; INT(N501/20), "")</f>
        <v/>
      </c>
      <c r="S501" s="12">
        <f>IF(INT(O501/20)&gt;INT(O500/20), "Lần " &amp; INT(O501/20), "")</f>
        <v/>
      </c>
      <c r="T501" s="11">
        <f>IF(INT(P501/20)&gt;INT(P500/20), "Lần " &amp; INT(P501/20), "")</f>
        <v/>
      </c>
      <c r="U501" s="25">
        <f>IF(INT(Q501/20)&gt;INT(Q500/20), "Lần " &amp; INT(Q501/20), "")</f>
        <v/>
      </c>
      <c r="V501" s="6" t="inlineStr"/>
      <c r="W501" s="6" t="inlineStr">
        <is>
          <t>ĐẠT TCVN 1651:2018</t>
        </is>
      </c>
    </row>
    <row r="502" ht="19" customHeight="1">
      <c r="A502" s="6" t="n">
        <v>467</v>
      </c>
      <c r="B502" s="7" t="inlineStr">
        <is>
          <t>Mố M1</t>
        </is>
      </c>
      <c r="C502" s="7" t="inlineStr">
        <is>
          <t>Thân mố / Bệ mố</t>
        </is>
      </c>
      <c r="D502" s="19" t="inlineStr">
        <is>
          <t>W3D(P)</t>
        </is>
      </c>
      <c r="E502" s="20" t="n">
        <v>16</v>
      </c>
      <c r="F502" s="6" t="inlineStr">
        <is>
          <t>CB400-V</t>
        </is>
      </c>
      <c r="G502" s="7" t="inlineStr">
        <is>
          <t>S06</t>
        </is>
      </c>
      <c r="H502" s="21" t="n">
        <v>6.332</v>
      </c>
      <c r="I502" s="22" t="n">
        <v>8</v>
      </c>
      <c r="J502" s="23" t="n">
        <v>1.58</v>
      </c>
      <c r="K502" s="9">
        <f>ROUND(H502*I502*J502, 2)</f>
        <v/>
      </c>
      <c r="L502" s="24">
        <f>ROUND(K502/1000, 3)</f>
        <v/>
      </c>
      <c r="M502" s="8" t="n"/>
      <c r="N502" s="21">
        <f>ROUND(N501 + IF(AND(E502&lt;=10, F502&lt;&gt;"ASTM A416"), L502, 0), 3)</f>
        <v/>
      </c>
      <c r="O502" s="21">
        <f>ROUND(O501 + IF(AND(E502&gt;10, E502&lt;=18, F502&lt;&gt;"ASTM A416"), L502, 0), 3)</f>
        <v/>
      </c>
      <c r="P502" s="21">
        <f>ROUND(P501 + IF(AND(E502&gt;18, F502&lt;&gt;"ASTM A416"), L502, 0), 3)</f>
        <v/>
      </c>
      <c r="Q502" s="21">
        <f>ROUND(Q501 + IF(F502="ASTM A416", L502, 0), 3)</f>
        <v/>
      </c>
      <c r="R502" s="11">
        <f>IF(INT(N502/20)&gt;INT(N501/20), "Lần " &amp; INT(N502/20), "")</f>
        <v/>
      </c>
      <c r="S502" s="12">
        <f>IF(INT(O502/20)&gt;INT(O501/20), "Lần " &amp; INT(O502/20), "")</f>
        <v/>
      </c>
      <c r="T502" s="11">
        <f>IF(INT(P502/20)&gt;INT(P501/20), "Lần " &amp; INT(P502/20), "")</f>
        <v/>
      </c>
      <c r="U502" s="25">
        <f>IF(INT(Q502/20)&gt;INT(Q501/20), "Lần " &amp; INT(Q502/20), "")</f>
        <v/>
      </c>
      <c r="V502" s="6" t="inlineStr"/>
      <c r="W502" s="6" t="inlineStr">
        <is>
          <t>ĐẠT TCVN 1651:2018</t>
        </is>
      </c>
    </row>
    <row r="503" ht="19" customHeight="1">
      <c r="A503" s="6" t="n">
        <v>468</v>
      </c>
      <c r="B503" s="7" t="inlineStr">
        <is>
          <t>Mố M1</t>
        </is>
      </c>
      <c r="C503" s="7" t="inlineStr">
        <is>
          <t>Thân mố / Bệ mố</t>
        </is>
      </c>
      <c r="D503" s="19" t="inlineStr">
        <is>
          <t>W3E(P)</t>
        </is>
      </c>
      <c r="E503" s="20" t="n">
        <v>16</v>
      </c>
      <c r="F503" s="6" t="inlineStr">
        <is>
          <t>CB400-V</t>
        </is>
      </c>
      <c r="G503" s="7" t="inlineStr">
        <is>
          <t>S06</t>
        </is>
      </c>
      <c r="H503" s="21" t="n">
        <v>4.168</v>
      </c>
      <c r="I503" s="22" t="n">
        <v>1</v>
      </c>
      <c r="J503" s="23" t="n">
        <v>1.58</v>
      </c>
      <c r="K503" s="9">
        <f>ROUND(H503*I503*J503, 2)</f>
        <v/>
      </c>
      <c r="L503" s="24">
        <f>ROUND(K503/1000, 3)</f>
        <v/>
      </c>
      <c r="M503" s="8" t="n"/>
      <c r="N503" s="21">
        <f>ROUND(N502 + IF(AND(E503&lt;=10, F503&lt;&gt;"ASTM A416"), L503, 0), 3)</f>
        <v/>
      </c>
      <c r="O503" s="21">
        <f>ROUND(O502 + IF(AND(E503&gt;10, E503&lt;=18, F503&lt;&gt;"ASTM A416"), L503, 0), 3)</f>
        <v/>
      </c>
      <c r="P503" s="21">
        <f>ROUND(P502 + IF(AND(E503&gt;18, F503&lt;&gt;"ASTM A416"), L503, 0), 3)</f>
        <v/>
      </c>
      <c r="Q503" s="21">
        <f>ROUND(Q502 + IF(F503="ASTM A416", L503, 0), 3)</f>
        <v/>
      </c>
      <c r="R503" s="11">
        <f>IF(INT(N503/20)&gt;INT(N502/20), "Lần " &amp; INT(N503/20), "")</f>
        <v/>
      </c>
      <c r="S503" s="12">
        <f>IF(INT(O503/20)&gt;INT(O502/20), "Lần " &amp; INT(O503/20), "")</f>
        <v/>
      </c>
      <c r="T503" s="11">
        <f>IF(INT(P503/20)&gt;INT(P502/20), "Lần " &amp; INT(P503/20), "")</f>
        <v/>
      </c>
      <c r="U503" s="25">
        <f>IF(INT(Q503/20)&gt;INT(Q502/20), "Lần " &amp; INT(Q503/20), "")</f>
        <v/>
      </c>
      <c r="V503" s="6" t="inlineStr"/>
      <c r="W503" s="6" t="inlineStr">
        <is>
          <t>ĐẠT TCVN 1651:2018</t>
        </is>
      </c>
    </row>
    <row r="504" ht="19" customHeight="1">
      <c r="A504" s="6" t="n">
        <v>469</v>
      </c>
      <c r="B504" s="7" t="inlineStr">
        <is>
          <t>Mố M1</t>
        </is>
      </c>
      <c r="C504" s="7" t="inlineStr">
        <is>
          <t>Thân mố / Bệ mố</t>
        </is>
      </c>
      <c r="D504" s="19" t="inlineStr">
        <is>
          <t>W3F(P)</t>
        </is>
      </c>
      <c r="E504" s="20" t="n">
        <v>16</v>
      </c>
      <c r="F504" s="6" t="inlineStr">
        <is>
          <t>CB400-V</t>
        </is>
      </c>
      <c r="G504" s="7" t="inlineStr">
        <is>
          <t>S06</t>
        </is>
      </c>
      <c r="H504" s="21" t="n">
        <v>6.334</v>
      </c>
      <c r="I504" s="22" t="n">
        <v>1</v>
      </c>
      <c r="J504" s="23" t="n">
        <v>1.58</v>
      </c>
      <c r="K504" s="9">
        <f>ROUND(H504*I504*J504, 2)</f>
        <v/>
      </c>
      <c r="L504" s="24">
        <f>ROUND(K504/1000, 3)</f>
        <v/>
      </c>
      <c r="M504" s="8" t="n"/>
      <c r="N504" s="21">
        <f>ROUND(N503 + IF(AND(E504&lt;=10, F504&lt;&gt;"ASTM A416"), L504, 0), 3)</f>
        <v/>
      </c>
      <c r="O504" s="21">
        <f>ROUND(O503 + IF(AND(E504&gt;10, E504&lt;=18, F504&lt;&gt;"ASTM A416"), L504, 0), 3)</f>
        <v/>
      </c>
      <c r="P504" s="21">
        <f>ROUND(P503 + IF(AND(E504&gt;18, F504&lt;&gt;"ASTM A416"), L504, 0), 3)</f>
        <v/>
      </c>
      <c r="Q504" s="21">
        <f>ROUND(Q503 + IF(F504="ASTM A416", L504, 0), 3)</f>
        <v/>
      </c>
      <c r="R504" s="11">
        <f>IF(INT(N504/20)&gt;INT(N503/20), "Lần " &amp; INT(N504/20), "")</f>
        <v/>
      </c>
      <c r="S504" s="12">
        <f>IF(INT(O504/20)&gt;INT(O503/20), "Lần " &amp; INT(O504/20), "")</f>
        <v/>
      </c>
      <c r="T504" s="11">
        <f>IF(INT(P504/20)&gt;INT(P503/20), "Lần " &amp; INT(P504/20), "")</f>
        <v/>
      </c>
      <c r="U504" s="25">
        <f>IF(INT(Q504/20)&gt;INT(Q503/20), "Lần " &amp; INT(Q504/20), "")</f>
        <v/>
      </c>
      <c r="V504" s="6" t="inlineStr"/>
      <c r="W504" s="6" t="inlineStr">
        <is>
          <t>ĐẠT TCVN 1651:2018</t>
        </is>
      </c>
    </row>
    <row r="505" ht="19" customHeight="1">
      <c r="A505" s="6" t="n">
        <v>470</v>
      </c>
      <c r="B505" s="7" t="inlineStr">
        <is>
          <t>Mố M1</t>
        </is>
      </c>
      <c r="C505" s="7" t="inlineStr">
        <is>
          <t>Thân mố / Bệ mố</t>
        </is>
      </c>
      <c r="D505" s="19" t="inlineStr">
        <is>
          <t>W4A(P)</t>
        </is>
      </c>
      <c r="E505" s="20" t="n">
        <v>22</v>
      </c>
      <c r="F505" s="6" t="inlineStr">
        <is>
          <t>CB400-V</t>
        </is>
      </c>
      <c r="G505" s="7" t="inlineStr">
        <is>
          <t>S06</t>
        </is>
      </c>
      <c r="H505" s="21" t="n">
        <v>4.994</v>
      </c>
      <c r="I505" s="22" t="n">
        <v>23</v>
      </c>
      <c r="J505" s="23" t="n">
        <v>2.98</v>
      </c>
      <c r="K505" s="9">
        <f>ROUND(H505*I505*J505, 2)</f>
        <v/>
      </c>
      <c r="L505" s="24">
        <f>ROUND(K505/1000, 3)</f>
        <v/>
      </c>
      <c r="M505" s="8" t="n"/>
      <c r="N505" s="21">
        <f>ROUND(N504 + IF(AND(E505&lt;=10, F505&lt;&gt;"ASTM A416"), L505, 0), 3)</f>
        <v/>
      </c>
      <c r="O505" s="21">
        <f>ROUND(O504 + IF(AND(E505&gt;10, E505&lt;=18, F505&lt;&gt;"ASTM A416"), L505, 0), 3)</f>
        <v/>
      </c>
      <c r="P505" s="21">
        <f>ROUND(P504 + IF(AND(E505&gt;18, F505&lt;&gt;"ASTM A416"), L505, 0), 3)</f>
        <v/>
      </c>
      <c r="Q505" s="21">
        <f>ROUND(Q504 + IF(F505="ASTM A416", L505, 0), 3)</f>
        <v/>
      </c>
      <c r="R505" s="11">
        <f>IF(INT(N505/20)&gt;INT(N504/20), "Lần " &amp; INT(N505/20), "")</f>
        <v/>
      </c>
      <c r="S505" s="12">
        <f>IF(INT(O505/20)&gt;INT(O504/20), "Lần " &amp; INT(O505/20), "")</f>
        <v/>
      </c>
      <c r="T505" s="11">
        <f>IF(INT(P505/20)&gt;INT(P504/20), "Lần " &amp; INT(P505/20), "")</f>
        <v/>
      </c>
      <c r="U505" s="25">
        <f>IF(INT(Q505/20)&gt;INT(Q504/20), "Lần " &amp; INT(Q505/20), "")</f>
        <v/>
      </c>
      <c r="V505" s="6" t="inlineStr"/>
      <c r="W505" s="6" t="inlineStr">
        <is>
          <t>ĐẠT TCVN 1651:2018</t>
        </is>
      </c>
    </row>
    <row r="506" ht="19" customHeight="1">
      <c r="A506" s="6" t="n">
        <v>471</v>
      </c>
      <c r="B506" s="7" t="inlineStr">
        <is>
          <t>Mố M1</t>
        </is>
      </c>
      <c r="C506" s="7" t="inlineStr">
        <is>
          <t>Thân mố / Bệ mố</t>
        </is>
      </c>
      <c r="D506" s="19" t="inlineStr">
        <is>
          <t>W4B(P)</t>
        </is>
      </c>
      <c r="E506" s="20" t="n">
        <v>22</v>
      </c>
      <c r="F506" s="6" t="inlineStr">
        <is>
          <t>CB400-V</t>
        </is>
      </c>
      <c r="G506" s="7" t="inlineStr">
        <is>
          <t>S06</t>
        </is>
      </c>
      <c r="H506" s="21" t="n">
        <v>5.832</v>
      </c>
      <c r="I506" s="22" t="n">
        <v>11</v>
      </c>
      <c r="J506" s="23" t="n">
        <v>2.98</v>
      </c>
      <c r="K506" s="9">
        <f>ROUND(H506*I506*J506, 2)</f>
        <v/>
      </c>
      <c r="L506" s="24">
        <f>ROUND(K506/1000, 3)</f>
        <v/>
      </c>
      <c r="M506" s="8" t="n"/>
      <c r="N506" s="21">
        <f>ROUND(N505 + IF(AND(E506&lt;=10, F506&lt;&gt;"ASTM A416"), L506, 0), 3)</f>
        <v/>
      </c>
      <c r="O506" s="21">
        <f>ROUND(O505 + IF(AND(E506&gt;10, E506&lt;=18, F506&lt;&gt;"ASTM A416"), L506, 0), 3)</f>
        <v/>
      </c>
      <c r="P506" s="21">
        <f>ROUND(P505 + IF(AND(E506&gt;18, F506&lt;&gt;"ASTM A416"), L506, 0), 3)</f>
        <v/>
      </c>
      <c r="Q506" s="21">
        <f>ROUND(Q505 + IF(F506="ASTM A416", L506, 0), 3)</f>
        <v/>
      </c>
      <c r="R506" s="11">
        <f>IF(INT(N506/20)&gt;INT(N505/20), "Lần " &amp; INT(N506/20), "")</f>
        <v/>
      </c>
      <c r="S506" s="12">
        <f>IF(INT(O506/20)&gt;INT(O505/20), "Lần " &amp; INT(O506/20), "")</f>
        <v/>
      </c>
      <c r="T506" s="11">
        <f>IF(INT(P506/20)&gt;INT(P505/20), "Lần " &amp; INT(P506/20), "")</f>
        <v/>
      </c>
      <c r="U506" s="25">
        <f>IF(INT(Q506/20)&gt;INT(Q505/20), "Lần " &amp; INT(Q506/20), "")</f>
        <v/>
      </c>
      <c r="V506" s="6" t="inlineStr"/>
      <c r="W506" s="6" t="inlineStr">
        <is>
          <t>ĐẠT TCVN 1651:2018</t>
        </is>
      </c>
    </row>
    <row r="507" ht="19" customHeight="1">
      <c r="A507" s="6" t="n">
        <v>472</v>
      </c>
      <c r="B507" s="7" t="inlineStr">
        <is>
          <t>Mố M1</t>
        </is>
      </c>
      <c r="C507" s="7" t="inlineStr">
        <is>
          <t>Thân mố / Bệ mố</t>
        </is>
      </c>
      <c r="D507" s="19" t="inlineStr">
        <is>
          <t>W4C(P)</t>
        </is>
      </c>
      <c r="E507" s="20" t="n">
        <v>22</v>
      </c>
      <c r="F507" s="6" t="inlineStr">
        <is>
          <t>CB400-V</t>
        </is>
      </c>
      <c r="G507" s="7" t="inlineStr">
        <is>
          <t>S06</t>
        </is>
      </c>
      <c r="H507" s="21" t="n">
        <v>6.107</v>
      </c>
      <c r="I507" s="22" t="n">
        <v>6</v>
      </c>
      <c r="J507" s="23" t="n">
        <v>2.98</v>
      </c>
      <c r="K507" s="9">
        <f>ROUND(H507*I507*J507, 2)</f>
        <v/>
      </c>
      <c r="L507" s="24">
        <f>ROUND(K507/1000, 3)</f>
        <v/>
      </c>
      <c r="M507" s="8" t="n"/>
      <c r="N507" s="21">
        <f>ROUND(N506 + IF(AND(E507&lt;=10, F507&lt;&gt;"ASTM A416"), L507, 0), 3)</f>
        <v/>
      </c>
      <c r="O507" s="21">
        <f>ROUND(O506 + IF(AND(E507&gt;10, E507&lt;=18, F507&lt;&gt;"ASTM A416"), L507, 0), 3)</f>
        <v/>
      </c>
      <c r="P507" s="21">
        <f>ROUND(P506 + IF(AND(E507&gt;18, F507&lt;&gt;"ASTM A416"), L507, 0), 3)</f>
        <v/>
      </c>
      <c r="Q507" s="21">
        <f>ROUND(Q506 + IF(F507="ASTM A416", L507, 0), 3)</f>
        <v/>
      </c>
      <c r="R507" s="11">
        <f>IF(INT(N507/20)&gt;INT(N506/20), "Lần " &amp; INT(N507/20), "")</f>
        <v/>
      </c>
      <c r="S507" s="12">
        <f>IF(INT(O507/20)&gt;INT(O506/20), "Lần " &amp; INT(O507/20), "")</f>
        <v/>
      </c>
      <c r="T507" s="11">
        <f>IF(INT(P507/20)&gt;INT(P506/20), "Lần " &amp; INT(P507/20), "")</f>
        <v/>
      </c>
      <c r="U507" s="25">
        <f>IF(INT(Q507/20)&gt;INT(Q506/20), "Lần " &amp; INT(Q507/20), "")</f>
        <v/>
      </c>
      <c r="V507" s="6" t="inlineStr"/>
      <c r="W507" s="6" t="inlineStr">
        <is>
          <t>ĐẠT TCVN 1651:2018</t>
        </is>
      </c>
    </row>
    <row r="508" ht="19" customHeight="1">
      <c r="A508" s="6" t="n">
        <v>473</v>
      </c>
      <c r="B508" s="7" t="inlineStr">
        <is>
          <t>Mố M1</t>
        </is>
      </c>
      <c r="C508" s="7" t="inlineStr">
        <is>
          <t>Thân mố / Bệ mố</t>
        </is>
      </c>
      <c r="D508" s="19" t="inlineStr">
        <is>
          <t>W4D(P)</t>
        </is>
      </c>
      <c r="E508" s="20" t="n">
        <v>22</v>
      </c>
      <c r="F508" s="6" t="inlineStr">
        <is>
          <t>CB400-V</t>
        </is>
      </c>
      <c r="G508" s="7" t="inlineStr">
        <is>
          <t>S06</t>
        </is>
      </c>
      <c r="H508" s="21" t="n">
        <v>6.494</v>
      </c>
      <c r="I508" s="22" t="n">
        <v>8</v>
      </c>
      <c r="J508" s="23" t="n">
        <v>2.98</v>
      </c>
      <c r="K508" s="9">
        <f>ROUND(H508*I508*J508, 2)</f>
        <v/>
      </c>
      <c r="L508" s="24">
        <f>ROUND(K508/1000, 3)</f>
        <v/>
      </c>
      <c r="M508" s="8" t="n"/>
      <c r="N508" s="21">
        <f>ROUND(N507 + IF(AND(E508&lt;=10, F508&lt;&gt;"ASTM A416"), L508, 0), 3)</f>
        <v/>
      </c>
      <c r="O508" s="21">
        <f>ROUND(O507 + IF(AND(E508&gt;10, E508&lt;=18, F508&lt;&gt;"ASTM A416"), L508, 0), 3)</f>
        <v/>
      </c>
      <c r="P508" s="21">
        <f>ROUND(P507 + IF(AND(E508&gt;18, F508&lt;&gt;"ASTM A416"), L508, 0), 3)</f>
        <v/>
      </c>
      <c r="Q508" s="21">
        <f>ROUND(Q507 + IF(F508="ASTM A416", L508, 0), 3)</f>
        <v/>
      </c>
      <c r="R508" s="11">
        <f>IF(INT(N508/20)&gt;INT(N507/20), "Lần " &amp; INT(N508/20), "")</f>
        <v/>
      </c>
      <c r="S508" s="12">
        <f>IF(INT(O508/20)&gt;INT(O507/20), "Lần " &amp; INT(O508/20), "")</f>
        <v/>
      </c>
      <c r="T508" s="11">
        <f>IF(INT(P508/20)&gt;INT(P507/20), "Lần " &amp; INT(P508/20), "")</f>
        <v/>
      </c>
      <c r="U508" s="25">
        <f>IF(INT(Q508/20)&gt;INT(Q507/20), "Lần " &amp; INT(Q508/20), "")</f>
        <v/>
      </c>
      <c r="V508" s="6" t="inlineStr"/>
      <c r="W508" s="6" t="inlineStr">
        <is>
          <t>ĐẠT TCVN 1651:2018</t>
        </is>
      </c>
    </row>
    <row r="509" ht="19" customHeight="1">
      <c r="A509" s="6" t="n">
        <v>474</v>
      </c>
      <c r="B509" s="7" t="inlineStr">
        <is>
          <t>Mố M1</t>
        </is>
      </c>
      <c r="C509" s="7" t="inlineStr">
        <is>
          <t>Thân mố / Bệ mố</t>
        </is>
      </c>
      <c r="D509" s="19" t="inlineStr">
        <is>
          <t>W4E(P)</t>
        </is>
      </c>
      <c r="E509" s="20" t="n">
        <v>22</v>
      </c>
      <c r="F509" s="6" t="inlineStr">
        <is>
          <t>CB400-V</t>
        </is>
      </c>
      <c r="G509" s="7" t="inlineStr">
        <is>
          <t>S06</t>
        </is>
      </c>
      <c r="H509" s="21" t="n">
        <v>4.33</v>
      </c>
      <c r="I509" s="22" t="n">
        <v>1</v>
      </c>
      <c r="J509" s="23" t="n">
        <v>2.98</v>
      </c>
      <c r="K509" s="9">
        <f>ROUND(H509*I509*J509, 2)</f>
        <v/>
      </c>
      <c r="L509" s="24">
        <f>ROUND(K509/1000, 3)</f>
        <v/>
      </c>
      <c r="M509" s="8" t="n"/>
      <c r="N509" s="21">
        <f>ROUND(N508 + IF(AND(E509&lt;=10, F509&lt;&gt;"ASTM A416"), L509, 0), 3)</f>
        <v/>
      </c>
      <c r="O509" s="21">
        <f>ROUND(O508 + IF(AND(E509&gt;10, E509&lt;=18, F509&lt;&gt;"ASTM A416"), L509, 0), 3)</f>
        <v/>
      </c>
      <c r="P509" s="21">
        <f>ROUND(P508 + IF(AND(E509&gt;18, F509&lt;&gt;"ASTM A416"), L509, 0), 3)</f>
        <v/>
      </c>
      <c r="Q509" s="21">
        <f>ROUND(Q508 + IF(F509="ASTM A416", L509, 0), 3)</f>
        <v/>
      </c>
      <c r="R509" s="11">
        <f>IF(INT(N509/20)&gt;INT(N508/20), "Lần " &amp; INT(N509/20), "")</f>
        <v/>
      </c>
      <c r="S509" s="12">
        <f>IF(INT(O509/20)&gt;INT(O508/20), "Lần " &amp; INT(O509/20), "")</f>
        <v/>
      </c>
      <c r="T509" s="11">
        <f>IF(INT(P509/20)&gt;INT(P508/20), "Lần " &amp; INT(P509/20), "")</f>
        <v/>
      </c>
      <c r="U509" s="25">
        <f>IF(INT(Q509/20)&gt;INT(Q508/20), "Lần " &amp; INT(Q509/20), "")</f>
        <v/>
      </c>
      <c r="V509" s="6" t="inlineStr"/>
      <c r="W509" s="6" t="inlineStr">
        <is>
          <t>ĐẠT TCVN 1651:2018</t>
        </is>
      </c>
    </row>
    <row r="510" ht="19" customHeight="1">
      <c r="A510" s="6" t="n">
        <v>475</v>
      </c>
      <c r="B510" s="7" t="inlineStr">
        <is>
          <t>Mố M1</t>
        </is>
      </c>
      <c r="C510" s="7" t="inlineStr">
        <is>
          <t>Thân mố / Bệ mố</t>
        </is>
      </c>
      <c r="D510" s="19" t="inlineStr">
        <is>
          <t>W4F(P)</t>
        </is>
      </c>
      <c r="E510" s="20" t="n">
        <v>22</v>
      </c>
      <c r="F510" s="6" t="inlineStr">
        <is>
          <t>CB400-V</t>
        </is>
      </c>
      <c r="G510" s="7" t="inlineStr">
        <is>
          <t>S06</t>
        </is>
      </c>
      <c r="H510" s="21" t="n">
        <v>6.496</v>
      </c>
      <c r="I510" s="22" t="n">
        <v>1</v>
      </c>
      <c r="J510" s="23" t="n">
        <v>2.98</v>
      </c>
      <c r="K510" s="9">
        <f>ROUND(H510*I510*J510, 2)</f>
        <v/>
      </c>
      <c r="L510" s="24">
        <f>ROUND(K510/1000, 3)</f>
        <v/>
      </c>
      <c r="M510" s="8" t="n"/>
      <c r="N510" s="21">
        <f>ROUND(N509 + IF(AND(E510&lt;=10, F510&lt;&gt;"ASTM A416"), L510, 0), 3)</f>
        <v/>
      </c>
      <c r="O510" s="21">
        <f>ROUND(O509 + IF(AND(E510&gt;10, E510&lt;=18, F510&lt;&gt;"ASTM A416"), L510, 0), 3)</f>
        <v/>
      </c>
      <c r="P510" s="21">
        <f>ROUND(P509 + IF(AND(E510&gt;18, F510&lt;&gt;"ASTM A416"), L510, 0), 3)</f>
        <v/>
      </c>
      <c r="Q510" s="21">
        <f>ROUND(Q509 + IF(F510="ASTM A416", L510, 0), 3)</f>
        <v/>
      </c>
      <c r="R510" s="11">
        <f>IF(INT(N510/20)&gt;INT(N509/20), "Lần " &amp; INT(N510/20), "")</f>
        <v/>
      </c>
      <c r="S510" s="12">
        <f>IF(INT(O510/20)&gt;INT(O509/20), "Lần " &amp; INT(O510/20), "")</f>
        <v/>
      </c>
      <c r="T510" s="11">
        <f>IF(INT(P510/20)&gt;INT(P509/20), "Lần " &amp; INT(P510/20), "")</f>
        <v/>
      </c>
      <c r="U510" s="25">
        <f>IF(INT(Q510/20)&gt;INT(Q509/20), "Lần " &amp; INT(Q510/20), "")</f>
        <v/>
      </c>
      <c r="V510" s="6" t="inlineStr"/>
      <c r="W510" s="6" t="inlineStr">
        <is>
          <t>ĐẠT TCVN 1651:2018</t>
        </is>
      </c>
    </row>
    <row r="511" ht="19" customHeight="1">
      <c r="A511" s="6" t="n">
        <v>476</v>
      </c>
      <c r="B511" s="7" t="inlineStr">
        <is>
          <t>Mố M1</t>
        </is>
      </c>
      <c r="C511" s="7" t="inlineStr">
        <is>
          <t>Thân mố / Bệ mố</t>
        </is>
      </c>
      <c r="D511" s="19" t="inlineStr">
        <is>
          <t>W5A(P)</t>
        </is>
      </c>
      <c r="E511" s="20" t="n">
        <v>16</v>
      </c>
      <c r="F511" s="6" t="inlineStr">
        <is>
          <t>CB400-V</t>
        </is>
      </c>
      <c r="G511" s="7" t="inlineStr">
        <is>
          <t>S05</t>
        </is>
      </c>
      <c r="H511" s="21" t="n">
        <v>5.211</v>
      </c>
      <c r="I511" s="22" t="n">
        <v>1</v>
      </c>
      <c r="J511" s="23" t="n">
        <v>1.58</v>
      </c>
      <c r="K511" s="9">
        <f>ROUND(H511*I511*J511, 2)</f>
        <v/>
      </c>
      <c r="L511" s="24">
        <f>ROUND(K511/1000, 3)</f>
        <v/>
      </c>
      <c r="M511" s="8" t="n"/>
      <c r="N511" s="21">
        <f>ROUND(N510 + IF(AND(E511&lt;=10, F511&lt;&gt;"ASTM A416"), L511, 0), 3)</f>
        <v/>
      </c>
      <c r="O511" s="21">
        <f>ROUND(O510 + IF(AND(E511&gt;10, E511&lt;=18, F511&lt;&gt;"ASTM A416"), L511, 0), 3)</f>
        <v/>
      </c>
      <c r="P511" s="21">
        <f>ROUND(P510 + IF(AND(E511&gt;18, F511&lt;&gt;"ASTM A416"), L511, 0), 3)</f>
        <v/>
      </c>
      <c r="Q511" s="21">
        <f>ROUND(Q510 + IF(F511="ASTM A416", L511, 0), 3)</f>
        <v/>
      </c>
      <c r="R511" s="11">
        <f>IF(INT(N511/20)&gt;INT(N510/20), "Lần " &amp; INT(N511/20), "")</f>
        <v/>
      </c>
      <c r="S511" s="12">
        <f>IF(INT(O511/20)&gt;INT(O510/20), "Lần " &amp; INT(O511/20), "")</f>
        <v/>
      </c>
      <c r="T511" s="11">
        <f>IF(INT(P511/20)&gt;INT(P510/20), "Lần " &amp; INT(P511/20), "")</f>
        <v/>
      </c>
      <c r="U511" s="25">
        <f>IF(INT(Q511/20)&gt;INT(Q510/20), "Lần " &amp; INT(Q511/20), "")</f>
        <v/>
      </c>
      <c r="V511" s="6" t="inlineStr"/>
      <c r="W511" s="6" t="inlineStr">
        <is>
          <t>ĐẠT TCVN 1651:2018</t>
        </is>
      </c>
    </row>
    <row r="512" ht="19" customHeight="1">
      <c r="A512" s="6" t="n">
        <v>477</v>
      </c>
      <c r="B512" s="7" t="inlineStr">
        <is>
          <t>Mố M1</t>
        </is>
      </c>
      <c r="C512" s="7" t="inlineStr">
        <is>
          <t>Thân mố / Bệ mố</t>
        </is>
      </c>
      <c r="D512" s="19" t="inlineStr">
        <is>
          <t>W5B(P)</t>
        </is>
      </c>
      <c r="E512" s="20" t="n">
        <v>16</v>
      </c>
      <c r="F512" s="6" t="inlineStr">
        <is>
          <t>CB400-V</t>
        </is>
      </c>
      <c r="G512" s="7" t="inlineStr">
        <is>
          <t>S02</t>
        </is>
      </c>
      <c r="H512" s="21" t="n">
        <v>7.121</v>
      </c>
      <c r="I512" s="22" t="n">
        <v>1</v>
      </c>
      <c r="J512" s="23" t="n">
        <v>1.58</v>
      </c>
      <c r="K512" s="9">
        <f>ROUND(H512*I512*J512, 2)</f>
        <v/>
      </c>
      <c r="L512" s="24">
        <f>ROUND(K512/1000, 3)</f>
        <v/>
      </c>
      <c r="M512" s="8" t="n"/>
      <c r="N512" s="21">
        <f>ROUND(N511 + IF(AND(E512&lt;=10, F512&lt;&gt;"ASTM A416"), L512, 0), 3)</f>
        <v/>
      </c>
      <c r="O512" s="21">
        <f>ROUND(O511 + IF(AND(E512&gt;10, E512&lt;=18, F512&lt;&gt;"ASTM A416"), L512, 0), 3)</f>
        <v/>
      </c>
      <c r="P512" s="21">
        <f>ROUND(P511 + IF(AND(E512&gt;18, F512&lt;&gt;"ASTM A416"), L512, 0), 3)</f>
        <v/>
      </c>
      <c r="Q512" s="21">
        <f>ROUND(Q511 + IF(F512="ASTM A416", L512, 0), 3)</f>
        <v/>
      </c>
      <c r="R512" s="11">
        <f>IF(INT(N512/20)&gt;INT(N511/20), "Lần " &amp; INT(N512/20), "")</f>
        <v/>
      </c>
      <c r="S512" s="12">
        <f>IF(INT(O512/20)&gt;INT(O511/20), "Lần " &amp; INT(O512/20), "")</f>
        <v/>
      </c>
      <c r="T512" s="11">
        <f>IF(INT(P512/20)&gt;INT(P511/20), "Lần " &amp; INT(P512/20), "")</f>
        <v/>
      </c>
      <c r="U512" s="25">
        <f>IF(INT(Q512/20)&gt;INT(Q511/20), "Lần " &amp; INT(Q512/20), "")</f>
        <v/>
      </c>
      <c r="V512" s="6" t="inlineStr"/>
      <c r="W512" s="6" t="inlineStr">
        <is>
          <t>ĐẠT TCVN 1651:2018</t>
        </is>
      </c>
    </row>
    <row r="513" ht="19" customHeight="1">
      <c r="A513" s="6" t="n">
        <v>478</v>
      </c>
      <c r="B513" s="7" t="inlineStr">
        <is>
          <t>Mố M1</t>
        </is>
      </c>
      <c r="C513" s="7" t="inlineStr">
        <is>
          <t>Thân mố / Bệ mố</t>
        </is>
      </c>
      <c r="D513" s="19" t="inlineStr">
        <is>
          <t>W6</t>
        </is>
      </c>
      <c r="E513" s="20" t="n">
        <v>16</v>
      </c>
      <c r="F513" s="6" t="inlineStr">
        <is>
          <t>CB400-V</t>
        </is>
      </c>
      <c r="G513" s="7" t="inlineStr">
        <is>
          <t>S06</t>
        </is>
      </c>
      <c r="H513" s="21" t="n">
        <v>0.615</v>
      </c>
      <c r="I513" s="22" t="n">
        <v>49</v>
      </c>
      <c r="J513" s="23" t="n">
        <v>1.58</v>
      </c>
      <c r="K513" s="9">
        <f>ROUND(H513*I513*J513, 2)</f>
        <v/>
      </c>
      <c r="L513" s="24">
        <f>ROUND(K513/1000, 3)</f>
        <v/>
      </c>
      <c r="M513" s="8" t="n"/>
      <c r="N513" s="21">
        <f>ROUND(N512 + IF(AND(E513&lt;=10, F513&lt;&gt;"ASTM A416"), L513, 0), 3)</f>
        <v/>
      </c>
      <c r="O513" s="21">
        <f>ROUND(O512 + IF(AND(E513&gt;10, E513&lt;=18, F513&lt;&gt;"ASTM A416"), L513, 0), 3)</f>
        <v/>
      </c>
      <c r="P513" s="21">
        <f>ROUND(P512 + IF(AND(E513&gt;18, F513&lt;&gt;"ASTM A416"), L513, 0), 3)</f>
        <v/>
      </c>
      <c r="Q513" s="21">
        <f>ROUND(Q512 + IF(F513="ASTM A416", L513, 0), 3)</f>
        <v/>
      </c>
      <c r="R513" s="11">
        <f>IF(INT(N513/20)&gt;INT(N512/20), "Lần " &amp; INT(N513/20), "")</f>
        <v/>
      </c>
      <c r="S513" s="12">
        <f>IF(INT(O513/20)&gt;INT(O512/20), "Lần " &amp; INT(O513/20), "")</f>
        <v/>
      </c>
      <c r="T513" s="11">
        <f>IF(INT(P513/20)&gt;INT(P512/20), "Lần " &amp; INT(P513/20), "")</f>
        <v/>
      </c>
      <c r="U513" s="25">
        <f>IF(INT(Q513/20)&gt;INT(Q512/20), "Lần " &amp; INT(Q513/20), "")</f>
        <v/>
      </c>
      <c r="V513" s="6" t="inlineStr"/>
      <c r="W513" s="6" t="inlineStr">
        <is>
          <t>ĐẠT TCVN 1651:2018</t>
        </is>
      </c>
    </row>
    <row r="514" ht="19" customHeight="1">
      <c r="A514" s="6" t="n">
        <v>479</v>
      </c>
      <c r="B514" s="7" t="inlineStr">
        <is>
          <t>Mố M1</t>
        </is>
      </c>
      <c r="C514" s="7" t="inlineStr">
        <is>
          <t>Thân mố / Bệ mố</t>
        </is>
      </c>
      <c r="D514" s="19" t="inlineStr">
        <is>
          <t>W7</t>
        </is>
      </c>
      <c r="E514" s="20" t="n">
        <v>16</v>
      </c>
      <c r="F514" s="6" t="inlineStr">
        <is>
          <t>CB400-V</t>
        </is>
      </c>
      <c r="G514" s="7" t="inlineStr">
        <is>
          <t>S06</t>
        </is>
      </c>
      <c r="H514" s="21" t="n">
        <v>0.615</v>
      </c>
      <c r="I514" s="22" t="n">
        <v>46</v>
      </c>
      <c r="J514" s="23" t="n">
        <v>1.58</v>
      </c>
      <c r="K514" s="9">
        <f>ROUND(H514*I514*J514, 2)</f>
        <v/>
      </c>
      <c r="L514" s="24">
        <f>ROUND(K514/1000, 3)</f>
        <v/>
      </c>
      <c r="M514" s="8" t="n"/>
      <c r="N514" s="21">
        <f>ROUND(N513 + IF(AND(E514&lt;=10, F514&lt;&gt;"ASTM A416"), L514, 0), 3)</f>
        <v/>
      </c>
      <c r="O514" s="21">
        <f>ROUND(O513 + IF(AND(E514&gt;10, E514&lt;=18, F514&lt;&gt;"ASTM A416"), L514, 0), 3)</f>
        <v/>
      </c>
      <c r="P514" s="21">
        <f>ROUND(P513 + IF(AND(E514&gt;18, F514&lt;&gt;"ASTM A416"), L514, 0), 3)</f>
        <v/>
      </c>
      <c r="Q514" s="21">
        <f>ROUND(Q513 + IF(F514="ASTM A416", L514, 0), 3)</f>
        <v/>
      </c>
      <c r="R514" s="11">
        <f>IF(INT(N514/20)&gt;INT(N513/20), "Lần " &amp; INT(N514/20), "")</f>
        <v/>
      </c>
      <c r="S514" s="12">
        <f>IF(INT(O514/20)&gt;INT(O513/20), "Lần " &amp; INT(O514/20), "")</f>
        <v/>
      </c>
      <c r="T514" s="11">
        <f>IF(INT(P514/20)&gt;INT(P513/20), "Lần " &amp; INT(P514/20), "")</f>
        <v/>
      </c>
      <c r="U514" s="25">
        <f>IF(INT(Q514/20)&gt;INT(Q513/20), "Lần " &amp; INT(Q514/20), "")</f>
        <v/>
      </c>
      <c r="V514" s="6" t="inlineStr"/>
      <c r="W514" s="6" t="inlineStr">
        <is>
          <t>ĐẠT TCVN 1651:2018</t>
        </is>
      </c>
    </row>
    <row r="515" ht="19" customHeight="1">
      <c r="A515" s="6" t="n">
        <v>480</v>
      </c>
      <c r="B515" s="7" t="inlineStr">
        <is>
          <t>Mố M1</t>
        </is>
      </c>
      <c r="C515" s="7" t="inlineStr">
        <is>
          <t>Thân mố / Bệ mố</t>
        </is>
      </c>
      <c r="D515" s="19" t="inlineStr">
        <is>
          <t>W8(P)</t>
        </is>
      </c>
      <c r="E515" s="20" t="n">
        <v>16</v>
      </c>
      <c r="F515" s="6" t="inlineStr">
        <is>
          <t>CB400-V</t>
        </is>
      </c>
      <c r="G515" s="7" t="inlineStr">
        <is>
          <t>S02</t>
        </is>
      </c>
      <c r="H515" s="21" t="n">
        <v>8.749000000000001</v>
      </c>
      <c r="I515" s="22" t="n">
        <v>2</v>
      </c>
      <c r="J515" s="23" t="n">
        <v>1.58</v>
      </c>
      <c r="K515" s="9">
        <f>ROUND(H515*I515*J515, 2)</f>
        <v/>
      </c>
      <c r="L515" s="24">
        <f>ROUND(K515/1000, 3)</f>
        <v/>
      </c>
      <c r="M515" s="8" t="n"/>
      <c r="N515" s="21">
        <f>ROUND(N514 + IF(AND(E515&lt;=10, F515&lt;&gt;"ASTM A416"), L515, 0), 3)</f>
        <v/>
      </c>
      <c r="O515" s="21">
        <f>ROUND(O514 + IF(AND(E515&gt;10, E515&lt;=18, F515&lt;&gt;"ASTM A416"), L515, 0), 3)</f>
        <v/>
      </c>
      <c r="P515" s="21">
        <f>ROUND(P514 + IF(AND(E515&gt;18, F515&lt;&gt;"ASTM A416"), L515, 0), 3)</f>
        <v/>
      </c>
      <c r="Q515" s="21">
        <f>ROUND(Q514 + IF(F515="ASTM A416", L515, 0), 3)</f>
        <v/>
      </c>
      <c r="R515" s="11">
        <f>IF(INT(N515/20)&gt;INT(N514/20), "Lần " &amp; INT(N515/20), "")</f>
        <v/>
      </c>
      <c r="S515" s="12">
        <f>IF(INT(O515/20)&gt;INT(O514/20), "Lần " &amp; INT(O515/20), "")</f>
        <v/>
      </c>
      <c r="T515" s="11">
        <f>IF(INT(P515/20)&gt;INT(P514/20), "Lần " &amp; INT(P515/20), "")</f>
        <v/>
      </c>
      <c r="U515" s="25">
        <f>IF(INT(Q515/20)&gt;INT(Q514/20), "Lần " &amp; INT(Q515/20), "")</f>
        <v/>
      </c>
      <c r="V515" s="6" t="inlineStr"/>
      <c r="W515" s="6" t="inlineStr">
        <is>
          <t>ĐẠT TCVN 1651:2018</t>
        </is>
      </c>
    </row>
    <row r="516" ht="19" customHeight="1">
      <c r="A516" s="6" t="n">
        <v>481</v>
      </c>
      <c r="B516" s="7" t="inlineStr">
        <is>
          <t>Mố M1</t>
        </is>
      </c>
      <c r="C516" s="7" t="inlineStr">
        <is>
          <t>Thân mố / Bệ mố</t>
        </is>
      </c>
      <c r="D516" s="19" t="inlineStr">
        <is>
          <t>W9</t>
        </is>
      </c>
      <c r="E516" s="20" t="n">
        <v>16</v>
      </c>
      <c r="F516" s="6" t="inlineStr">
        <is>
          <t>CB400-V</t>
        </is>
      </c>
      <c r="G516" s="7" t="inlineStr">
        <is>
          <t>S05</t>
        </is>
      </c>
      <c r="H516" s="21" t="n">
        <v>1.881</v>
      </c>
      <c r="I516" s="22" t="n">
        <v>40</v>
      </c>
      <c r="J516" s="23" t="n">
        <v>1.58</v>
      </c>
      <c r="K516" s="9">
        <f>ROUND(H516*I516*J516, 2)</f>
        <v/>
      </c>
      <c r="L516" s="24">
        <f>ROUND(K516/1000, 3)</f>
        <v/>
      </c>
      <c r="M516" s="8" t="n"/>
      <c r="N516" s="21">
        <f>ROUND(N515 + IF(AND(E516&lt;=10, F516&lt;&gt;"ASTM A416"), L516, 0), 3)</f>
        <v/>
      </c>
      <c r="O516" s="21">
        <f>ROUND(O515 + IF(AND(E516&gt;10, E516&lt;=18, F516&lt;&gt;"ASTM A416"), L516, 0), 3)</f>
        <v/>
      </c>
      <c r="P516" s="21">
        <f>ROUND(P515 + IF(AND(E516&gt;18, F516&lt;&gt;"ASTM A416"), L516, 0), 3)</f>
        <v/>
      </c>
      <c r="Q516" s="21">
        <f>ROUND(Q515 + IF(F516="ASTM A416", L516, 0), 3)</f>
        <v/>
      </c>
      <c r="R516" s="11">
        <f>IF(INT(N516/20)&gt;INT(N515/20), "Lần " &amp; INT(N516/20), "")</f>
        <v/>
      </c>
      <c r="S516" s="12">
        <f>IF(INT(O516/20)&gt;INT(O515/20), "Lần " &amp; INT(O516/20), "")</f>
        <v/>
      </c>
      <c r="T516" s="11">
        <f>IF(INT(P516/20)&gt;INT(P515/20), "Lần " &amp; INT(P516/20), "")</f>
        <v/>
      </c>
      <c r="U516" s="25">
        <f>IF(INT(Q516/20)&gt;INT(Q515/20), "Lần " &amp; INT(Q516/20), "")</f>
        <v/>
      </c>
      <c r="V516" s="6" t="inlineStr"/>
      <c r="W516" s="6" t="inlineStr">
        <is>
          <t>ĐẠT TCVN 1651:2018</t>
        </is>
      </c>
    </row>
    <row r="517" ht="19" customHeight="1">
      <c r="A517" s="6" t="n">
        <v>482</v>
      </c>
      <c r="B517" s="7" t="inlineStr">
        <is>
          <t>Mố M1</t>
        </is>
      </c>
      <c r="C517" s="7" t="inlineStr">
        <is>
          <t>TƯỜNG CÁNH PHẢI</t>
        </is>
      </c>
      <c r="D517" s="19" t="inlineStr">
        <is>
          <t>W1A(T)</t>
        </is>
      </c>
      <c r="E517" s="20" t="n">
        <v>16</v>
      </c>
      <c r="F517" s="6" t="inlineStr">
        <is>
          <t>CB400-V</t>
        </is>
      </c>
      <c r="G517" s="7" t="inlineStr">
        <is>
          <t>S06</t>
        </is>
      </c>
      <c r="H517" s="21" t="n">
        <v>7.558</v>
      </c>
      <c r="I517" s="22" t="n">
        <v>23</v>
      </c>
      <c r="J517" s="23" t="n">
        <v>1.58</v>
      </c>
      <c r="K517" s="9">
        <f>ROUND(H517*I517*J517, 2)</f>
        <v/>
      </c>
      <c r="L517" s="24">
        <f>ROUND(K517/1000, 3)</f>
        <v/>
      </c>
      <c r="M517" s="8" t="n"/>
      <c r="N517" s="21">
        <f>ROUND(N516 + IF(AND(E517&lt;=10, F517&lt;&gt;"ASTM A416"), L517, 0), 3)</f>
        <v/>
      </c>
      <c r="O517" s="21">
        <f>ROUND(O516 + IF(AND(E517&gt;10, E517&lt;=18, F517&lt;&gt;"ASTM A416"), L517, 0), 3)</f>
        <v/>
      </c>
      <c r="P517" s="21">
        <f>ROUND(P516 + IF(AND(E517&gt;18, F517&lt;&gt;"ASTM A416"), L517, 0), 3)</f>
        <v/>
      </c>
      <c r="Q517" s="21">
        <f>ROUND(Q516 + IF(F517="ASTM A416", L517, 0), 3)</f>
        <v/>
      </c>
      <c r="R517" s="11">
        <f>IF(INT(N517/20)&gt;INT(N516/20), "Lần " &amp; INT(N517/20), "")</f>
        <v/>
      </c>
      <c r="S517" s="12">
        <f>IF(INT(O517/20)&gt;INT(O516/20), "Lần " &amp; INT(O517/20), "")</f>
        <v/>
      </c>
      <c r="T517" s="11">
        <f>IF(INT(P517/20)&gt;INT(P516/20), "Lần " &amp; INT(P517/20), "")</f>
        <v/>
      </c>
      <c r="U517" s="25">
        <f>IF(INT(Q517/20)&gt;INT(Q516/20), "Lần " &amp; INT(Q517/20), "")</f>
        <v/>
      </c>
      <c r="V517" s="6" t="inlineStr"/>
      <c r="W517" s="6" t="inlineStr">
        <is>
          <t>ĐẠT TCVN 1651:2018</t>
        </is>
      </c>
    </row>
    <row r="518" ht="19" customHeight="1">
      <c r="A518" s="6" t="n">
        <v>483</v>
      </c>
      <c r="B518" s="7" t="inlineStr">
        <is>
          <t>Mố M1</t>
        </is>
      </c>
      <c r="C518" s="7" t="inlineStr">
        <is>
          <t>Thân mố / Bệ mố</t>
        </is>
      </c>
      <c r="D518" s="19" t="inlineStr">
        <is>
          <t>W1B(T)</t>
        </is>
      </c>
      <c r="E518" s="20" t="n">
        <v>16</v>
      </c>
      <c r="F518" s="6" t="inlineStr">
        <is>
          <t>CB400-V</t>
        </is>
      </c>
      <c r="G518" s="7" t="inlineStr">
        <is>
          <t>S06</t>
        </is>
      </c>
      <c r="H518" s="21" t="n">
        <v>2.791</v>
      </c>
      <c r="I518" s="22" t="n">
        <v>17</v>
      </c>
      <c r="J518" s="23" t="n">
        <v>1.58</v>
      </c>
      <c r="K518" s="9">
        <f>ROUND(H518*I518*J518, 2)</f>
        <v/>
      </c>
      <c r="L518" s="24">
        <f>ROUND(K518/1000, 3)</f>
        <v/>
      </c>
      <c r="M518" s="8" t="n"/>
      <c r="N518" s="21">
        <f>ROUND(N517 + IF(AND(E518&lt;=10, F518&lt;&gt;"ASTM A416"), L518, 0), 3)</f>
        <v/>
      </c>
      <c r="O518" s="21">
        <f>ROUND(O517 + IF(AND(E518&gt;10, E518&lt;=18, F518&lt;&gt;"ASTM A416"), L518, 0), 3)</f>
        <v/>
      </c>
      <c r="P518" s="21">
        <f>ROUND(P517 + IF(AND(E518&gt;18, F518&lt;&gt;"ASTM A416"), L518, 0), 3)</f>
        <v/>
      </c>
      <c r="Q518" s="21">
        <f>ROUND(Q517 + IF(F518="ASTM A416", L518, 0), 3)</f>
        <v/>
      </c>
      <c r="R518" s="11">
        <f>IF(INT(N518/20)&gt;INT(N517/20), "Lần " &amp; INT(N518/20), "")</f>
        <v/>
      </c>
      <c r="S518" s="12">
        <f>IF(INT(O518/20)&gt;INT(O517/20), "Lần " &amp; INT(O518/20), "")</f>
        <v/>
      </c>
      <c r="T518" s="11">
        <f>IF(INT(P518/20)&gt;INT(P517/20), "Lần " &amp; INT(P518/20), "")</f>
        <v/>
      </c>
      <c r="U518" s="25">
        <f>IF(INT(Q518/20)&gt;INT(Q517/20), "Lần " &amp; INT(Q518/20), "")</f>
        <v/>
      </c>
      <c r="V518" s="6" t="inlineStr"/>
      <c r="W518" s="6" t="inlineStr">
        <is>
          <t>ĐẠT TCVN 1651:2018</t>
        </is>
      </c>
    </row>
    <row r="519" ht="19" customHeight="1">
      <c r="A519" s="6" t="n">
        <v>484</v>
      </c>
      <c r="B519" s="7" t="inlineStr">
        <is>
          <t>Mố M1</t>
        </is>
      </c>
      <c r="C519" s="7" t="inlineStr">
        <is>
          <t>Thân mố / Bệ mố</t>
        </is>
      </c>
      <c r="D519" s="19" t="inlineStr">
        <is>
          <t>W2A(T)</t>
        </is>
      </c>
      <c r="E519" s="20" t="n">
        <v>22</v>
      </c>
      <c r="F519" s="6" t="inlineStr">
        <is>
          <t>CB400-V</t>
        </is>
      </c>
      <c r="G519" s="7" t="inlineStr">
        <is>
          <t>S06</t>
        </is>
      </c>
      <c r="H519" s="21" t="n">
        <v>7.714</v>
      </c>
      <c r="I519" s="22" t="n">
        <v>18</v>
      </c>
      <c r="J519" s="23" t="n">
        <v>2.98</v>
      </c>
      <c r="K519" s="9">
        <f>ROUND(H519*I519*J519, 2)</f>
        <v/>
      </c>
      <c r="L519" s="24">
        <f>ROUND(K519/1000, 3)</f>
        <v/>
      </c>
      <c r="M519" s="8" t="n"/>
      <c r="N519" s="21">
        <f>ROUND(N518 + IF(AND(E519&lt;=10, F519&lt;&gt;"ASTM A416"), L519, 0), 3)</f>
        <v/>
      </c>
      <c r="O519" s="21">
        <f>ROUND(O518 + IF(AND(E519&gt;10, E519&lt;=18, F519&lt;&gt;"ASTM A416"), L519, 0), 3)</f>
        <v/>
      </c>
      <c r="P519" s="21">
        <f>ROUND(P518 + IF(AND(E519&gt;18, F519&lt;&gt;"ASTM A416"), L519, 0), 3)</f>
        <v/>
      </c>
      <c r="Q519" s="21">
        <f>ROUND(Q518 + IF(F519="ASTM A416", L519, 0), 3)</f>
        <v/>
      </c>
      <c r="R519" s="11">
        <f>IF(INT(N519/20)&gt;INT(N518/20), "Lần " &amp; INT(N519/20), "")</f>
        <v/>
      </c>
      <c r="S519" s="12">
        <f>IF(INT(O519/20)&gt;INT(O518/20), "Lần " &amp; INT(O519/20), "")</f>
        <v/>
      </c>
      <c r="T519" s="11">
        <f>IF(INT(P519/20)&gt;INT(P518/20), "Lần " &amp; INT(P519/20), "")</f>
        <v/>
      </c>
      <c r="U519" s="25">
        <f>IF(INT(Q519/20)&gt;INT(Q518/20), "Lần " &amp; INT(Q519/20), "")</f>
        <v/>
      </c>
      <c r="V519" s="6" t="inlineStr"/>
      <c r="W519" s="6" t="inlineStr">
        <is>
          <t>ĐẠT TCVN 1651:2018</t>
        </is>
      </c>
    </row>
    <row r="520" ht="19" customHeight="1">
      <c r="A520" s="6" t="n">
        <v>485</v>
      </c>
      <c r="B520" s="7" t="inlineStr">
        <is>
          <t>Mố M1</t>
        </is>
      </c>
      <c r="C520" s="7" t="inlineStr">
        <is>
          <t>Thân mố / Bệ mố</t>
        </is>
      </c>
      <c r="D520" s="19" t="inlineStr">
        <is>
          <t>W2B(T)</t>
        </is>
      </c>
      <c r="E520" s="20" t="n">
        <v>22</v>
      </c>
      <c r="F520" s="6" t="inlineStr">
        <is>
          <t>CB400-V</t>
        </is>
      </c>
      <c r="G520" s="7" t="inlineStr">
        <is>
          <t>S06</t>
        </is>
      </c>
      <c r="H520" s="21" t="n">
        <v>2.953</v>
      </c>
      <c r="I520" s="22" t="n">
        <v>17</v>
      </c>
      <c r="J520" s="23" t="n">
        <v>2.98</v>
      </c>
      <c r="K520" s="9">
        <f>ROUND(H520*I520*J520, 2)</f>
        <v/>
      </c>
      <c r="L520" s="24">
        <f>ROUND(K520/1000, 3)</f>
        <v/>
      </c>
      <c r="M520" s="8" t="n"/>
      <c r="N520" s="21">
        <f>ROUND(N519 + IF(AND(E520&lt;=10, F520&lt;&gt;"ASTM A416"), L520, 0), 3)</f>
        <v/>
      </c>
      <c r="O520" s="21">
        <f>ROUND(O519 + IF(AND(E520&gt;10, E520&lt;=18, F520&lt;&gt;"ASTM A416"), L520, 0), 3)</f>
        <v/>
      </c>
      <c r="P520" s="21">
        <f>ROUND(P519 + IF(AND(E520&gt;18, F520&lt;&gt;"ASTM A416"), L520, 0), 3)</f>
        <v/>
      </c>
      <c r="Q520" s="21">
        <f>ROUND(Q519 + IF(F520="ASTM A416", L520, 0), 3)</f>
        <v/>
      </c>
      <c r="R520" s="11">
        <f>IF(INT(N520/20)&gt;INT(N519/20), "Lần " &amp; INT(N520/20), "")</f>
        <v/>
      </c>
      <c r="S520" s="12">
        <f>IF(INT(O520/20)&gt;INT(O519/20), "Lần " &amp; INT(O520/20), "")</f>
        <v/>
      </c>
      <c r="T520" s="11">
        <f>IF(INT(P520/20)&gt;INT(P519/20), "Lần " &amp; INT(P520/20), "")</f>
        <v/>
      </c>
      <c r="U520" s="25">
        <f>IF(INT(Q520/20)&gt;INT(Q519/20), "Lần " &amp; INT(Q520/20), "")</f>
        <v/>
      </c>
      <c r="V520" s="6" t="inlineStr"/>
      <c r="W520" s="6" t="inlineStr">
        <is>
          <t>ĐẠT TCVN 1651:2018</t>
        </is>
      </c>
    </row>
    <row r="521" ht="19" customHeight="1">
      <c r="A521" s="6" t="n">
        <v>486</v>
      </c>
      <c r="B521" s="7" t="inlineStr">
        <is>
          <t>Mố M1</t>
        </is>
      </c>
      <c r="C521" s="7" t="inlineStr">
        <is>
          <t>Thân mố / Bệ mố</t>
        </is>
      </c>
      <c r="D521" s="19" t="inlineStr">
        <is>
          <t>W3A(T)</t>
        </is>
      </c>
      <c r="E521" s="20" t="n">
        <v>16</v>
      </c>
      <c r="F521" s="6" t="inlineStr">
        <is>
          <t>CB400-V</t>
        </is>
      </c>
      <c r="G521" s="7" t="inlineStr">
        <is>
          <t>S06</t>
        </is>
      </c>
      <c r="H521" s="21" t="n">
        <v>4.832</v>
      </c>
      <c r="I521" s="22" t="n">
        <v>25</v>
      </c>
      <c r="J521" s="23" t="n">
        <v>1.58</v>
      </c>
      <c r="K521" s="9">
        <f>ROUND(H521*I521*J521, 2)</f>
        <v/>
      </c>
      <c r="L521" s="24">
        <f>ROUND(K521/1000, 3)</f>
        <v/>
      </c>
      <c r="M521" s="8" t="n"/>
      <c r="N521" s="21">
        <f>ROUND(N520 + IF(AND(E521&lt;=10, F521&lt;&gt;"ASTM A416"), L521, 0), 3)</f>
        <v/>
      </c>
      <c r="O521" s="21">
        <f>ROUND(O520 + IF(AND(E521&gt;10, E521&lt;=18, F521&lt;&gt;"ASTM A416"), L521, 0), 3)</f>
        <v/>
      </c>
      <c r="P521" s="21">
        <f>ROUND(P520 + IF(AND(E521&gt;18, F521&lt;&gt;"ASTM A416"), L521, 0), 3)</f>
        <v/>
      </c>
      <c r="Q521" s="21">
        <f>ROUND(Q520 + IF(F521="ASTM A416", L521, 0), 3)</f>
        <v/>
      </c>
      <c r="R521" s="11">
        <f>IF(INT(N521/20)&gt;INT(N520/20), "Lần " &amp; INT(N521/20), "")</f>
        <v/>
      </c>
      <c r="S521" s="12">
        <f>IF(INT(O521/20)&gt;INT(O520/20), "Lần " &amp; INT(O521/20), "")</f>
        <v/>
      </c>
      <c r="T521" s="11">
        <f>IF(INT(P521/20)&gt;INT(P520/20), "Lần " &amp; INT(P521/20), "")</f>
        <v/>
      </c>
      <c r="U521" s="25">
        <f>IF(INT(Q521/20)&gt;INT(Q520/20), "Lần " &amp; INT(Q521/20), "")</f>
        <v/>
      </c>
      <c r="V521" s="6" t="inlineStr"/>
      <c r="W521" s="6" t="inlineStr">
        <is>
          <t>ĐẠT TCVN 1651:2018</t>
        </is>
      </c>
    </row>
    <row r="522" ht="19" customHeight="1">
      <c r="A522" s="6" t="n">
        <v>487</v>
      </c>
      <c r="B522" s="7" t="inlineStr">
        <is>
          <t>Mố M1</t>
        </is>
      </c>
      <c r="C522" s="7" t="inlineStr">
        <is>
          <t>Thân mố / Bệ mố</t>
        </is>
      </c>
      <c r="D522" s="19" t="inlineStr">
        <is>
          <t>W3B(T)</t>
        </is>
      </c>
      <c r="E522" s="20" t="n">
        <v>16</v>
      </c>
      <c r="F522" s="6" t="inlineStr">
        <is>
          <t>CB400-V</t>
        </is>
      </c>
      <c r="G522" s="7" t="inlineStr">
        <is>
          <t>S06</t>
        </is>
      </c>
      <c r="H522" s="21" t="n">
        <v>5.731</v>
      </c>
      <c r="I522" s="22" t="n">
        <v>11</v>
      </c>
      <c r="J522" s="23" t="n">
        <v>1.58</v>
      </c>
      <c r="K522" s="9">
        <f>ROUND(H522*I522*J522, 2)</f>
        <v/>
      </c>
      <c r="L522" s="24">
        <f>ROUND(K522/1000, 3)</f>
        <v/>
      </c>
      <c r="M522" s="8" t="n"/>
      <c r="N522" s="21">
        <f>ROUND(N521 + IF(AND(E522&lt;=10, F522&lt;&gt;"ASTM A416"), L522, 0), 3)</f>
        <v/>
      </c>
      <c r="O522" s="21">
        <f>ROUND(O521 + IF(AND(E522&gt;10, E522&lt;=18, F522&lt;&gt;"ASTM A416"), L522, 0), 3)</f>
        <v/>
      </c>
      <c r="P522" s="21">
        <f>ROUND(P521 + IF(AND(E522&gt;18, F522&lt;&gt;"ASTM A416"), L522, 0), 3)</f>
        <v/>
      </c>
      <c r="Q522" s="21">
        <f>ROUND(Q521 + IF(F522="ASTM A416", L522, 0), 3)</f>
        <v/>
      </c>
      <c r="R522" s="11">
        <f>IF(INT(N522/20)&gt;INT(N521/20), "Lần " &amp; INT(N522/20), "")</f>
        <v/>
      </c>
      <c r="S522" s="12">
        <f>IF(INT(O522/20)&gt;INT(O521/20), "Lần " &amp; INT(O522/20), "")</f>
        <v/>
      </c>
      <c r="T522" s="11">
        <f>IF(INT(P522/20)&gt;INT(P521/20), "Lần " &amp; INT(P522/20), "")</f>
        <v/>
      </c>
      <c r="U522" s="25">
        <f>IF(INT(Q522/20)&gt;INT(Q521/20), "Lần " &amp; INT(Q522/20), "")</f>
        <v/>
      </c>
      <c r="V522" s="6" t="inlineStr"/>
      <c r="W522" s="6" t="inlineStr">
        <is>
          <t>ĐẠT TCVN 1651:2018</t>
        </is>
      </c>
    </row>
    <row r="523" ht="19" customHeight="1">
      <c r="A523" s="6" t="n">
        <v>488</v>
      </c>
      <c r="B523" s="7" t="inlineStr">
        <is>
          <t>Mố M1</t>
        </is>
      </c>
      <c r="C523" s="7" t="inlineStr">
        <is>
          <t>Thân mố / Bệ mố</t>
        </is>
      </c>
      <c r="D523" s="19" t="inlineStr">
        <is>
          <t>W3C(T)</t>
        </is>
      </c>
      <c r="E523" s="20" t="n">
        <v>16</v>
      </c>
      <c r="F523" s="6" t="inlineStr">
        <is>
          <t>CB400-V</t>
        </is>
      </c>
      <c r="G523" s="7" t="inlineStr">
        <is>
          <t>S06</t>
        </is>
      </c>
      <c r="H523" s="21" t="n">
        <v>5.934</v>
      </c>
      <c r="I523" s="22" t="n">
        <v>5</v>
      </c>
      <c r="J523" s="23" t="n">
        <v>1.58</v>
      </c>
      <c r="K523" s="9">
        <f>ROUND(H523*I523*J523, 2)</f>
        <v/>
      </c>
      <c r="L523" s="24">
        <f>ROUND(K523/1000, 3)</f>
        <v/>
      </c>
      <c r="M523" s="8" t="n"/>
      <c r="N523" s="21">
        <f>ROUND(N522 + IF(AND(E523&lt;=10, F523&lt;&gt;"ASTM A416"), L523, 0), 3)</f>
        <v/>
      </c>
      <c r="O523" s="21">
        <f>ROUND(O522 + IF(AND(E523&gt;10, E523&lt;=18, F523&lt;&gt;"ASTM A416"), L523, 0), 3)</f>
        <v/>
      </c>
      <c r="P523" s="21">
        <f>ROUND(P522 + IF(AND(E523&gt;18, F523&lt;&gt;"ASTM A416"), L523, 0), 3)</f>
        <v/>
      </c>
      <c r="Q523" s="21">
        <f>ROUND(Q522 + IF(F523="ASTM A416", L523, 0), 3)</f>
        <v/>
      </c>
      <c r="R523" s="11">
        <f>IF(INT(N523/20)&gt;INT(N522/20), "Lần " &amp; INT(N523/20), "")</f>
        <v/>
      </c>
      <c r="S523" s="12">
        <f>IF(INT(O523/20)&gt;INT(O522/20), "Lần " &amp; INT(O523/20), "")</f>
        <v/>
      </c>
      <c r="T523" s="11">
        <f>IF(INT(P523/20)&gt;INT(P522/20), "Lần " &amp; INT(P523/20), "")</f>
        <v/>
      </c>
      <c r="U523" s="25">
        <f>IF(INT(Q523/20)&gt;INT(Q522/20), "Lần " &amp; INT(Q523/20), "")</f>
        <v/>
      </c>
      <c r="V523" s="6" t="inlineStr"/>
      <c r="W523" s="6" t="inlineStr">
        <is>
          <t>ĐẠT TCVN 1651:2018</t>
        </is>
      </c>
    </row>
    <row r="524" ht="19" customHeight="1">
      <c r="A524" s="6" t="n">
        <v>489</v>
      </c>
      <c r="B524" s="7" t="inlineStr">
        <is>
          <t>Mố M1</t>
        </is>
      </c>
      <c r="C524" s="7" t="inlineStr">
        <is>
          <t>Thân mố / Bệ mố</t>
        </is>
      </c>
      <c r="D524" s="19" t="inlineStr">
        <is>
          <t>W3D(T)</t>
        </is>
      </c>
      <c r="E524" s="20" t="n">
        <v>16</v>
      </c>
      <c r="F524" s="6" t="inlineStr">
        <is>
          <t>CB400-V</t>
        </is>
      </c>
      <c r="G524" s="7" t="inlineStr">
        <is>
          <t>S06</t>
        </is>
      </c>
      <c r="H524" s="21" t="n">
        <v>6.332</v>
      </c>
      <c r="I524" s="22" t="n">
        <v>8</v>
      </c>
      <c r="J524" s="23" t="n">
        <v>1.58</v>
      </c>
      <c r="K524" s="9">
        <f>ROUND(H524*I524*J524, 2)</f>
        <v/>
      </c>
      <c r="L524" s="24">
        <f>ROUND(K524/1000, 3)</f>
        <v/>
      </c>
      <c r="M524" s="8" t="n"/>
      <c r="N524" s="21">
        <f>ROUND(N523 + IF(AND(E524&lt;=10, F524&lt;&gt;"ASTM A416"), L524, 0), 3)</f>
        <v/>
      </c>
      <c r="O524" s="21">
        <f>ROUND(O523 + IF(AND(E524&gt;10, E524&lt;=18, F524&lt;&gt;"ASTM A416"), L524, 0), 3)</f>
        <v/>
      </c>
      <c r="P524" s="21">
        <f>ROUND(P523 + IF(AND(E524&gt;18, F524&lt;&gt;"ASTM A416"), L524, 0), 3)</f>
        <v/>
      </c>
      <c r="Q524" s="21">
        <f>ROUND(Q523 + IF(F524="ASTM A416", L524, 0), 3)</f>
        <v/>
      </c>
      <c r="R524" s="11">
        <f>IF(INT(N524/20)&gt;INT(N523/20), "Lần " &amp; INT(N524/20), "")</f>
        <v/>
      </c>
      <c r="S524" s="12">
        <f>IF(INT(O524/20)&gt;INT(O523/20), "Lần " &amp; INT(O524/20), "")</f>
        <v/>
      </c>
      <c r="T524" s="11">
        <f>IF(INT(P524/20)&gt;INT(P523/20), "Lần " &amp; INT(P524/20), "")</f>
        <v/>
      </c>
      <c r="U524" s="25">
        <f>IF(INT(Q524/20)&gt;INT(Q523/20), "Lần " &amp; INT(Q524/20), "")</f>
        <v/>
      </c>
      <c r="V524" s="6" t="inlineStr"/>
      <c r="W524" s="6" t="inlineStr">
        <is>
          <t>ĐẠT TCVN 1651:2018</t>
        </is>
      </c>
    </row>
    <row r="525" ht="19" customHeight="1">
      <c r="A525" s="6" t="n">
        <v>490</v>
      </c>
      <c r="B525" s="7" t="inlineStr">
        <is>
          <t>Mố M1</t>
        </is>
      </c>
      <c r="C525" s="7" t="inlineStr">
        <is>
          <t>Thân mố / Bệ mố</t>
        </is>
      </c>
      <c r="D525" s="19" t="inlineStr">
        <is>
          <t>W3F(T)</t>
        </is>
      </c>
      <c r="E525" s="20" t="n">
        <v>16</v>
      </c>
      <c r="F525" s="6" t="inlineStr">
        <is>
          <t>CB400-V</t>
        </is>
      </c>
      <c r="G525" s="7" t="inlineStr">
        <is>
          <t>S06</t>
        </is>
      </c>
      <c r="H525" s="21" t="n">
        <v>6.334</v>
      </c>
      <c r="I525" s="22" t="n">
        <v>1</v>
      </c>
      <c r="J525" s="23" t="n">
        <v>1.58</v>
      </c>
      <c r="K525" s="9">
        <f>ROUND(H525*I525*J525, 2)</f>
        <v/>
      </c>
      <c r="L525" s="24">
        <f>ROUND(K525/1000, 3)</f>
        <v/>
      </c>
      <c r="M525" s="8" t="n"/>
      <c r="N525" s="21">
        <f>ROUND(N524 + IF(AND(E525&lt;=10, F525&lt;&gt;"ASTM A416"), L525, 0), 3)</f>
        <v/>
      </c>
      <c r="O525" s="21">
        <f>ROUND(O524 + IF(AND(E525&gt;10, E525&lt;=18, F525&lt;&gt;"ASTM A416"), L525, 0), 3)</f>
        <v/>
      </c>
      <c r="P525" s="21">
        <f>ROUND(P524 + IF(AND(E525&gt;18, F525&lt;&gt;"ASTM A416"), L525, 0), 3)</f>
        <v/>
      </c>
      <c r="Q525" s="21">
        <f>ROUND(Q524 + IF(F525="ASTM A416", L525, 0), 3)</f>
        <v/>
      </c>
      <c r="R525" s="11">
        <f>IF(INT(N525/20)&gt;INT(N524/20), "Lần " &amp; INT(N525/20), "")</f>
        <v/>
      </c>
      <c r="S525" s="12">
        <f>IF(INT(O525/20)&gt;INT(O524/20), "Lần " &amp; INT(O525/20), "")</f>
        <v/>
      </c>
      <c r="T525" s="11">
        <f>IF(INT(P525/20)&gt;INT(P524/20), "Lần " &amp; INT(P525/20), "")</f>
        <v/>
      </c>
      <c r="U525" s="25">
        <f>IF(INT(Q525/20)&gt;INT(Q524/20), "Lần " &amp; INT(Q525/20), "")</f>
        <v/>
      </c>
      <c r="V525" s="6" t="inlineStr"/>
      <c r="W525" s="6" t="inlineStr">
        <is>
          <t>ĐẠT TCVN 1651:2018</t>
        </is>
      </c>
    </row>
    <row r="526" ht="19" customHeight="1">
      <c r="A526" s="6" t="n">
        <v>491</v>
      </c>
      <c r="B526" s="7" t="inlineStr">
        <is>
          <t>Mố M1</t>
        </is>
      </c>
      <c r="C526" s="7" t="inlineStr">
        <is>
          <t>Thân mố / Bệ mố</t>
        </is>
      </c>
      <c r="D526" s="19" t="inlineStr">
        <is>
          <t>W4A(T)</t>
        </is>
      </c>
      <c r="E526" s="20" t="n">
        <v>22</v>
      </c>
      <c r="F526" s="6" t="inlineStr">
        <is>
          <t>CB400-V</t>
        </is>
      </c>
      <c r="G526" s="7" t="inlineStr">
        <is>
          <t>S06</t>
        </is>
      </c>
      <c r="H526" s="21" t="n">
        <v>4.994</v>
      </c>
      <c r="I526" s="22" t="n">
        <v>25</v>
      </c>
      <c r="J526" s="23" t="n">
        <v>2.98</v>
      </c>
      <c r="K526" s="9">
        <f>ROUND(H526*I526*J526, 2)</f>
        <v/>
      </c>
      <c r="L526" s="24">
        <f>ROUND(K526/1000, 3)</f>
        <v/>
      </c>
      <c r="M526" s="8" t="n"/>
      <c r="N526" s="21">
        <f>ROUND(N525 + IF(AND(E526&lt;=10, F526&lt;&gt;"ASTM A416"), L526, 0), 3)</f>
        <v/>
      </c>
      <c r="O526" s="21">
        <f>ROUND(O525 + IF(AND(E526&gt;10, E526&lt;=18, F526&lt;&gt;"ASTM A416"), L526, 0), 3)</f>
        <v/>
      </c>
      <c r="P526" s="21">
        <f>ROUND(P525 + IF(AND(E526&gt;18, F526&lt;&gt;"ASTM A416"), L526, 0), 3)</f>
        <v/>
      </c>
      <c r="Q526" s="21">
        <f>ROUND(Q525 + IF(F526="ASTM A416", L526, 0), 3)</f>
        <v/>
      </c>
      <c r="R526" s="11">
        <f>IF(INT(N526/20)&gt;INT(N525/20), "Lần " &amp; INT(N526/20), "")</f>
        <v/>
      </c>
      <c r="S526" s="12">
        <f>IF(INT(O526/20)&gt;INT(O525/20), "Lần " &amp; INT(O526/20), "")</f>
        <v/>
      </c>
      <c r="T526" s="11">
        <f>IF(INT(P526/20)&gt;INT(P525/20), "Lần " &amp; INT(P526/20), "")</f>
        <v/>
      </c>
      <c r="U526" s="25">
        <f>IF(INT(Q526/20)&gt;INT(Q525/20), "Lần " &amp; INT(Q526/20), "")</f>
        <v/>
      </c>
      <c r="V526" s="6" t="inlineStr"/>
      <c r="W526" s="6" t="inlineStr">
        <is>
          <t>ĐẠT TCVN 1651:2018</t>
        </is>
      </c>
    </row>
    <row r="527" ht="19" customHeight="1">
      <c r="A527" s="6" t="n">
        <v>492</v>
      </c>
      <c r="B527" s="7" t="inlineStr">
        <is>
          <t>Mố M1</t>
        </is>
      </c>
      <c r="C527" s="7" t="inlineStr">
        <is>
          <t>Thân mố / Bệ mố</t>
        </is>
      </c>
      <c r="D527" s="19" t="inlineStr">
        <is>
          <t>W4B(T)</t>
        </is>
      </c>
      <c r="E527" s="20" t="n">
        <v>22</v>
      </c>
      <c r="F527" s="6" t="inlineStr">
        <is>
          <t>CB400-V</t>
        </is>
      </c>
      <c r="G527" s="7" t="inlineStr">
        <is>
          <t>S06</t>
        </is>
      </c>
      <c r="H527" s="21" t="n">
        <v>5.893</v>
      </c>
      <c r="I527" s="22" t="n">
        <v>11</v>
      </c>
      <c r="J527" s="23" t="n">
        <v>2.98</v>
      </c>
      <c r="K527" s="9">
        <f>ROUND(H527*I527*J527, 2)</f>
        <v/>
      </c>
      <c r="L527" s="24">
        <f>ROUND(K527/1000, 3)</f>
        <v/>
      </c>
      <c r="M527" s="8" t="n"/>
      <c r="N527" s="21">
        <f>ROUND(N526 + IF(AND(E527&lt;=10, F527&lt;&gt;"ASTM A416"), L527, 0), 3)</f>
        <v/>
      </c>
      <c r="O527" s="21">
        <f>ROUND(O526 + IF(AND(E527&gt;10, E527&lt;=18, F527&lt;&gt;"ASTM A416"), L527, 0), 3)</f>
        <v/>
      </c>
      <c r="P527" s="21">
        <f>ROUND(P526 + IF(AND(E527&gt;18, F527&lt;&gt;"ASTM A416"), L527, 0), 3)</f>
        <v/>
      </c>
      <c r="Q527" s="21">
        <f>ROUND(Q526 + IF(F527="ASTM A416", L527, 0), 3)</f>
        <v/>
      </c>
      <c r="R527" s="11">
        <f>IF(INT(N527/20)&gt;INT(N526/20), "Lần " &amp; INT(N527/20), "")</f>
        <v/>
      </c>
      <c r="S527" s="12">
        <f>IF(INT(O527/20)&gt;INT(O526/20), "Lần " &amp; INT(O527/20), "")</f>
        <v/>
      </c>
      <c r="T527" s="11">
        <f>IF(INT(P527/20)&gt;INT(P526/20), "Lần " &amp; INT(P527/20), "")</f>
        <v/>
      </c>
      <c r="U527" s="25">
        <f>IF(INT(Q527/20)&gt;INT(Q526/20), "Lần " &amp; INT(Q527/20), "")</f>
        <v/>
      </c>
      <c r="V527" s="6" t="inlineStr"/>
      <c r="W527" s="6" t="inlineStr">
        <is>
          <t>ĐẠT TCVN 1651:2018</t>
        </is>
      </c>
    </row>
    <row r="528" ht="19" customHeight="1">
      <c r="A528" s="6" t="n">
        <v>493</v>
      </c>
      <c r="B528" s="7" t="inlineStr">
        <is>
          <t>Mố M1</t>
        </is>
      </c>
      <c r="C528" s="7" t="inlineStr">
        <is>
          <t>Thân mố / Bệ mố</t>
        </is>
      </c>
      <c r="D528" s="19" t="inlineStr">
        <is>
          <t>W4C(T)</t>
        </is>
      </c>
      <c r="E528" s="20" t="n">
        <v>22</v>
      </c>
      <c r="F528" s="6" t="inlineStr">
        <is>
          <t>CB400-V</t>
        </is>
      </c>
      <c r="G528" s="7" t="inlineStr">
        <is>
          <t>S06</t>
        </is>
      </c>
      <c r="H528" s="21" t="n">
        <v>6.096</v>
      </c>
      <c r="I528" s="22" t="n">
        <v>5</v>
      </c>
      <c r="J528" s="23" t="n">
        <v>2.98</v>
      </c>
      <c r="K528" s="9">
        <f>ROUND(H528*I528*J528, 2)</f>
        <v/>
      </c>
      <c r="L528" s="24">
        <f>ROUND(K528/1000, 3)</f>
        <v/>
      </c>
      <c r="M528" s="8" t="n"/>
      <c r="N528" s="21">
        <f>ROUND(N527 + IF(AND(E528&lt;=10, F528&lt;&gt;"ASTM A416"), L528, 0), 3)</f>
        <v/>
      </c>
      <c r="O528" s="21">
        <f>ROUND(O527 + IF(AND(E528&gt;10, E528&lt;=18, F528&lt;&gt;"ASTM A416"), L528, 0), 3)</f>
        <v/>
      </c>
      <c r="P528" s="21">
        <f>ROUND(P527 + IF(AND(E528&gt;18, F528&lt;&gt;"ASTM A416"), L528, 0), 3)</f>
        <v/>
      </c>
      <c r="Q528" s="21">
        <f>ROUND(Q527 + IF(F528="ASTM A416", L528, 0), 3)</f>
        <v/>
      </c>
      <c r="R528" s="11">
        <f>IF(INT(N528/20)&gt;INT(N527/20), "Lần " &amp; INT(N528/20), "")</f>
        <v/>
      </c>
      <c r="S528" s="12">
        <f>IF(INT(O528/20)&gt;INT(O527/20), "Lần " &amp; INT(O528/20), "")</f>
        <v/>
      </c>
      <c r="T528" s="11">
        <f>IF(INT(P528/20)&gt;INT(P527/20), "Lần " &amp; INT(P528/20), "")</f>
        <v/>
      </c>
      <c r="U528" s="25">
        <f>IF(INT(Q528/20)&gt;INT(Q527/20), "Lần " &amp; INT(Q528/20), "")</f>
        <v/>
      </c>
      <c r="V528" s="6" t="inlineStr"/>
      <c r="W528" s="6" t="inlineStr">
        <is>
          <t>ĐẠT TCVN 1651:2018</t>
        </is>
      </c>
    </row>
    <row r="529" ht="19" customHeight="1">
      <c r="A529" s="6" t="n">
        <v>494</v>
      </c>
      <c r="B529" s="7" t="inlineStr">
        <is>
          <t>Mố M1</t>
        </is>
      </c>
      <c r="C529" s="7" t="inlineStr">
        <is>
          <t>Thân mố / Bệ mố</t>
        </is>
      </c>
      <c r="D529" s="19" t="inlineStr">
        <is>
          <t>W4D(T)</t>
        </is>
      </c>
      <c r="E529" s="20" t="n">
        <v>22</v>
      </c>
      <c r="F529" s="6" t="inlineStr">
        <is>
          <t>CB400-V</t>
        </is>
      </c>
      <c r="G529" s="7" t="inlineStr">
        <is>
          <t>S06</t>
        </is>
      </c>
      <c r="H529" s="21" t="n">
        <v>6.494</v>
      </c>
      <c r="I529" s="22" t="n">
        <v>8</v>
      </c>
      <c r="J529" s="23" t="n">
        <v>2.98</v>
      </c>
      <c r="K529" s="9">
        <f>ROUND(H529*I529*J529, 2)</f>
        <v/>
      </c>
      <c r="L529" s="24">
        <f>ROUND(K529/1000, 3)</f>
        <v/>
      </c>
      <c r="M529" s="8" t="n"/>
      <c r="N529" s="21">
        <f>ROUND(N528 + IF(AND(E529&lt;=10, F529&lt;&gt;"ASTM A416"), L529, 0), 3)</f>
        <v/>
      </c>
      <c r="O529" s="21">
        <f>ROUND(O528 + IF(AND(E529&gt;10, E529&lt;=18, F529&lt;&gt;"ASTM A416"), L529, 0), 3)</f>
        <v/>
      </c>
      <c r="P529" s="21">
        <f>ROUND(P528 + IF(AND(E529&gt;18, F529&lt;&gt;"ASTM A416"), L529, 0), 3)</f>
        <v/>
      </c>
      <c r="Q529" s="21">
        <f>ROUND(Q528 + IF(F529="ASTM A416", L529, 0), 3)</f>
        <v/>
      </c>
      <c r="R529" s="11">
        <f>IF(INT(N529/20)&gt;INT(N528/20), "Lần " &amp; INT(N529/20), "")</f>
        <v/>
      </c>
      <c r="S529" s="12">
        <f>IF(INT(O529/20)&gt;INT(O528/20), "Lần " &amp; INT(O529/20), "")</f>
        <v/>
      </c>
      <c r="T529" s="11">
        <f>IF(INT(P529/20)&gt;INT(P528/20), "Lần " &amp; INT(P529/20), "")</f>
        <v/>
      </c>
      <c r="U529" s="25">
        <f>IF(INT(Q529/20)&gt;INT(Q528/20), "Lần " &amp; INT(Q529/20), "")</f>
        <v/>
      </c>
      <c r="V529" s="6" t="inlineStr"/>
      <c r="W529" s="6" t="inlineStr">
        <is>
          <t>ĐẠT TCVN 1651:2018</t>
        </is>
      </c>
    </row>
    <row r="530" ht="19" customHeight="1">
      <c r="A530" s="6" t="n">
        <v>495</v>
      </c>
      <c r="B530" s="7" t="inlineStr">
        <is>
          <t>Mố M1</t>
        </is>
      </c>
      <c r="C530" s="7" t="inlineStr">
        <is>
          <t>Thân mố / Bệ mố</t>
        </is>
      </c>
      <c r="D530" s="19" t="inlineStr">
        <is>
          <t>W4F(T)</t>
        </is>
      </c>
      <c r="E530" s="20" t="n">
        <v>22</v>
      </c>
      <c r="F530" s="6" t="inlineStr">
        <is>
          <t>CB400-V</t>
        </is>
      </c>
      <c r="G530" s="7" t="inlineStr">
        <is>
          <t>S06</t>
        </is>
      </c>
      <c r="H530" s="21" t="n">
        <v>6.496</v>
      </c>
      <c r="I530" s="22" t="n">
        <v>1</v>
      </c>
      <c r="J530" s="23" t="n">
        <v>2.98</v>
      </c>
      <c r="K530" s="9">
        <f>ROUND(H530*I530*J530, 2)</f>
        <v/>
      </c>
      <c r="L530" s="24">
        <f>ROUND(K530/1000, 3)</f>
        <v/>
      </c>
      <c r="M530" s="8" t="n"/>
      <c r="N530" s="21">
        <f>ROUND(N529 + IF(AND(E530&lt;=10, F530&lt;&gt;"ASTM A416"), L530, 0), 3)</f>
        <v/>
      </c>
      <c r="O530" s="21">
        <f>ROUND(O529 + IF(AND(E530&gt;10, E530&lt;=18, F530&lt;&gt;"ASTM A416"), L530, 0), 3)</f>
        <v/>
      </c>
      <c r="P530" s="21">
        <f>ROUND(P529 + IF(AND(E530&gt;18, F530&lt;&gt;"ASTM A416"), L530, 0), 3)</f>
        <v/>
      </c>
      <c r="Q530" s="21">
        <f>ROUND(Q529 + IF(F530="ASTM A416", L530, 0), 3)</f>
        <v/>
      </c>
      <c r="R530" s="11">
        <f>IF(INT(N530/20)&gt;INT(N529/20), "Lần " &amp; INT(N530/20), "")</f>
        <v/>
      </c>
      <c r="S530" s="12">
        <f>IF(INT(O530/20)&gt;INT(O529/20), "Lần " &amp; INT(O530/20), "")</f>
        <v/>
      </c>
      <c r="T530" s="11">
        <f>IF(INT(P530/20)&gt;INT(P529/20), "Lần " &amp; INT(P530/20), "")</f>
        <v/>
      </c>
      <c r="U530" s="25">
        <f>IF(INT(Q530/20)&gt;INT(Q529/20), "Lần " &amp; INT(Q530/20), "")</f>
        <v/>
      </c>
      <c r="V530" s="6" t="inlineStr"/>
      <c r="W530" s="6" t="inlineStr">
        <is>
          <t>ĐẠT TCVN 1651:2018</t>
        </is>
      </c>
    </row>
    <row r="531" ht="19" customHeight="1">
      <c r="A531" s="6" t="n">
        <v>496</v>
      </c>
      <c r="B531" s="7" t="inlineStr">
        <is>
          <t>Mố M1</t>
        </is>
      </c>
      <c r="C531" s="7" t="inlineStr">
        <is>
          <t>Thân mố / Bệ mố</t>
        </is>
      </c>
      <c r="D531" s="19" t="inlineStr">
        <is>
          <t>W5A(T)</t>
        </is>
      </c>
      <c r="E531" s="20" t="n">
        <v>16</v>
      </c>
      <c r="F531" s="6" t="inlineStr">
        <is>
          <t>CB400-V</t>
        </is>
      </c>
      <c r="G531" s="7" t="inlineStr">
        <is>
          <t>S05</t>
        </is>
      </c>
      <c r="H531" s="21" t="n">
        <v>4.711</v>
      </c>
      <c r="I531" s="22" t="n">
        <v>1</v>
      </c>
      <c r="J531" s="23" t="n">
        <v>1.58</v>
      </c>
      <c r="K531" s="9">
        <f>ROUND(H531*I531*J531, 2)</f>
        <v/>
      </c>
      <c r="L531" s="24">
        <f>ROUND(K531/1000, 3)</f>
        <v/>
      </c>
      <c r="M531" s="8" t="n"/>
      <c r="N531" s="21">
        <f>ROUND(N530 + IF(AND(E531&lt;=10, F531&lt;&gt;"ASTM A416"), L531, 0), 3)</f>
        <v/>
      </c>
      <c r="O531" s="21">
        <f>ROUND(O530 + IF(AND(E531&gt;10, E531&lt;=18, F531&lt;&gt;"ASTM A416"), L531, 0), 3)</f>
        <v/>
      </c>
      <c r="P531" s="21">
        <f>ROUND(P530 + IF(AND(E531&gt;18, F531&lt;&gt;"ASTM A416"), L531, 0), 3)</f>
        <v/>
      </c>
      <c r="Q531" s="21">
        <f>ROUND(Q530 + IF(F531="ASTM A416", L531, 0), 3)</f>
        <v/>
      </c>
      <c r="R531" s="11">
        <f>IF(INT(N531/20)&gt;INT(N530/20), "Lần " &amp; INT(N531/20), "")</f>
        <v/>
      </c>
      <c r="S531" s="12">
        <f>IF(INT(O531/20)&gt;INT(O530/20), "Lần " &amp; INT(O531/20), "")</f>
        <v/>
      </c>
      <c r="T531" s="11">
        <f>IF(INT(P531/20)&gt;INT(P530/20), "Lần " &amp; INT(P531/20), "")</f>
        <v/>
      </c>
      <c r="U531" s="25">
        <f>IF(INT(Q531/20)&gt;INT(Q530/20), "Lần " &amp; INT(Q531/20), "")</f>
        <v/>
      </c>
      <c r="V531" s="6" t="inlineStr"/>
      <c r="W531" s="6" t="inlineStr">
        <is>
          <t>ĐẠT TCVN 1651:2018</t>
        </is>
      </c>
    </row>
    <row r="532" ht="19" customHeight="1">
      <c r="A532" s="6" t="n">
        <v>497</v>
      </c>
      <c r="B532" s="7" t="inlineStr">
        <is>
          <t>Mố M1</t>
        </is>
      </c>
      <c r="C532" s="7" t="inlineStr">
        <is>
          <t>Thân mố / Bệ mố</t>
        </is>
      </c>
      <c r="D532" s="19" t="inlineStr">
        <is>
          <t>W5B(T)</t>
        </is>
      </c>
      <c r="E532" s="20" t="n">
        <v>16</v>
      </c>
      <c r="F532" s="6" t="inlineStr">
        <is>
          <t>CB400-V</t>
        </is>
      </c>
      <c r="G532" s="7" t="inlineStr">
        <is>
          <t>S02</t>
        </is>
      </c>
      <c r="H532" s="21" t="n">
        <v>7.357</v>
      </c>
      <c r="I532" s="22" t="n">
        <v>1</v>
      </c>
      <c r="J532" s="23" t="n">
        <v>1.58</v>
      </c>
      <c r="K532" s="9">
        <f>ROUND(H532*I532*J532, 2)</f>
        <v/>
      </c>
      <c r="L532" s="24">
        <f>ROUND(K532/1000, 3)</f>
        <v/>
      </c>
      <c r="M532" s="8" t="n"/>
      <c r="N532" s="21">
        <f>ROUND(N531 + IF(AND(E532&lt;=10, F532&lt;&gt;"ASTM A416"), L532, 0), 3)</f>
        <v/>
      </c>
      <c r="O532" s="21">
        <f>ROUND(O531 + IF(AND(E532&gt;10, E532&lt;=18, F532&lt;&gt;"ASTM A416"), L532, 0), 3)</f>
        <v/>
      </c>
      <c r="P532" s="21">
        <f>ROUND(P531 + IF(AND(E532&gt;18, F532&lt;&gt;"ASTM A416"), L532, 0), 3)</f>
        <v/>
      </c>
      <c r="Q532" s="21">
        <f>ROUND(Q531 + IF(F532="ASTM A416", L532, 0), 3)</f>
        <v/>
      </c>
      <c r="R532" s="11">
        <f>IF(INT(N532/20)&gt;INT(N531/20), "Lần " &amp; INT(N532/20), "")</f>
        <v/>
      </c>
      <c r="S532" s="12">
        <f>IF(INT(O532/20)&gt;INT(O531/20), "Lần " &amp; INT(O532/20), "")</f>
        <v/>
      </c>
      <c r="T532" s="11">
        <f>IF(INT(P532/20)&gt;INT(P531/20), "Lần " &amp; INT(P532/20), "")</f>
        <v/>
      </c>
      <c r="U532" s="25">
        <f>IF(INT(Q532/20)&gt;INT(Q531/20), "Lần " &amp; INT(Q532/20), "")</f>
        <v/>
      </c>
      <c r="V532" s="6" t="inlineStr"/>
      <c r="W532" s="6" t="inlineStr">
        <is>
          <t>ĐẠT TCVN 1651:2018</t>
        </is>
      </c>
    </row>
    <row r="533" ht="19" customHeight="1">
      <c r="A533" s="6" t="n">
        <v>498</v>
      </c>
      <c r="B533" s="7" t="inlineStr">
        <is>
          <t>Mố M1</t>
        </is>
      </c>
      <c r="C533" s="7" t="inlineStr">
        <is>
          <t>Thân mố / Bệ mố</t>
        </is>
      </c>
      <c r="D533" s="19" t="inlineStr">
        <is>
          <t>W6</t>
        </is>
      </c>
      <c r="E533" s="20" t="n">
        <v>16</v>
      </c>
      <c r="F533" s="6" t="inlineStr">
        <is>
          <t>CB400-V</t>
        </is>
      </c>
      <c r="G533" s="7" t="inlineStr">
        <is>
          <t>S06</t>
        </is>
      </c>
      <c r="H533" s="21" t="n">
        <v>0.615</v>
      </c>
      <c r="I533" s="22" t="n">
        <v>49</v>
      </c>
      <c r="J533" s="23" t="n">
        <v>1.58</v>
      </c>
      <c r="K533" s="9">
        <f>ROUND(H533*I533*J533, 2)</f>
        <v/>
      </c>
      <c r="L533" s="24">
        <f>ROUND(K533/1000, 3)</f>
        <v/>
      </c>
      <c r="M533" s="8" t="n"/>
      <c r="N533" s="21">
        <f>ROUND(N532 + IF(AND(E533&lt;=10, F533&lt;&gt;"ASTM A416"), L533, 0), 3)</f>
        <v/>
      </c>
      <c r="O533" s="21">
        <f>ROUND(O532 + IF(AND(E533&gt;10, E533&lt;=18, F533&lt;&gt;"ASTM A416"), L533, 0), 3)</f>
        <v/>
      </c>
      <c r="P533" s="21">
        <f>ROUND(P532 + IF(AND(E533&gt;18, F533&lt;&gt;"ASTM A416"), L533, 0), 3)</f>
        <v/>
      </c>
      <c r="Q533" s="21">
        <f>ROUND(Q532 + IF(F533="ASTM A416", L533, 0), 3)</f>
        <v/>
      </c>
      <c r="R533" s="11">
        <f>IF(INT(N533/20)&gt;INT(N532/20), "Lần " &amp; INT(N533/20), "")</f>
        <v/>
      </c>
      <c r="S533" s="12">
        <f>IF(INT(O533/20)&gt;INT(O532/20), "Lần " &amp; INT(O533/20), "")</f>
        <v/>
      </c>
      <c r="T533" s="11">
        <f>IF(INT(P533/20)&gt;INT(P532/20), "Lần " &amp; INT(P533/20), "")</f>
        <v/>
      </c>
      <c r="U533" s="25">
        <f>IF(INT(Q533/20)&gt;INT(Q532/20), "Lần " &amp; INT(Q533/20), "")</f>
        <v/>
      </c>
      <c r="V533" s="6" t="inlineStr"/>
      <c r="W533" s="6" t="inlineStr">
        <is>
          <t>ĐẠT TCVN 1651:2018</t>
        </is>
      </c>
    </row>
    <row r="534" ht="19" customHeight="1">
      <c r="A534" s="6" t="n">
        <v>499</v>
      </c>
      <c r="B534" s="7" t="inlineStr">
        <is>
          <t>Mố M1</t>
        </is>
      </c>
      <c r="C534" s="7" t="inlineStr">
        <is>
          <t>Thân mố / Bệ mố</t>
        </is>
      </c>
      <c r="D534" s="19" t="inlineStr">
        <is>
          <t>W7</t>
        </is>
      </c>
      <c r="E534" s="20" t="n">
        <v>16</v>
      </c>
      <c r="F534" s="6" t="inlineStr">
        <is>
          <t>CB400-V</t>
        </is>
      </c>
      <c r="G534" s="7" t="inlineStr">
        <is>
          <t>S06</t>
        </is>
      </c>
      <c r="H534" s="21" t="n">
        <v>0.615</v>
      </c>
      <c r="I534" s="22" t="n">
        <v>54</v>
      </c>
      <c r="J534" s="23" t="n">
        <v>1.58</v>
      </c>
      <c r="K534" s="9">
        <f>ROUND(H534*I534*J534, 2)</f>
        <v/>
      </c>
      <c r="L534" s="24">
        <f>ROUND(K534/1000, 3)</f>
        <v/>
      </c>
      <c r="M534" s="8" t="n"/>
      <c r="N534" s="21">
        <f>ROUND(N533 + IF(AND(E534&lt;=10, F534&lt;&gt;"ASTM A416"), L534, 0), 3)</f>
        <v/>
      </c>
      <c r="O534" s="21">
        <f>ROUND(O533 + IF(AND(E534&gt;10, E534&lt;=18, F534&lt;&gt;"ASTM A416"), L534, 0), 3)</f>
        <v/>
      </c>
      <c r="P534" s="21">
        <f>ROUND(P533 + IF(AND(E534&gt;18, F534&lt;&gt;"ASTM A416"), L534, 0), 3)</f>
        <v/>
      </c>
      <c r="Q534" s="21">
        <f>ROUND(Q533 + IF(F534="ASTM A416", L534, 0), 3)</f>
        <v/>
      </c>
      <c r="R534" s="11">
        <f>IF(INT(N534/20)&gt;INT(N533/20), "Lần " &amp; INT(N534/20), "")</f>
        <v/>
      </c>
      <c r="S534" s="12">
        <f>IF(INT(O534/20)&gt;INT(O533/20), "Lần " &amp; INT(O534/20), "")</f>
        <v/>
      </c>
      <c r="T534" s="11">
        <f>IF(INT(P534/20)&gt;INT(P533/20), "Lần " &amp; INT(P534/20), "")</f>
        <v/>
      </c>
      <c r="U534" s="25">
        <f>IF(INT(Q534/20)&gt;INT(Q533/20), "Lần " &amp; INT(Q534/20), "")</f>
        <v/>
      </c>
      <c r="V534" s="6" t="inlineStr"/>
      <c r="W534" s="6" t="inlineStr">
        <is>
          <t>ĐẠT TCVN 1651:2018</t>
        </is>
      </c>
    </row>
    <row r="535" ht="19" customHeight="1">
      <c r="A535" s="6" t="n">
        <v>500</v>
      </c>
      <c r="B535" s="7" t="inlineStr">
        <is>
          <t>Mố M1</t>
        </is>
      </c>
      <c r="C535" s="7" t="inlineStr">
        <is>
          <t>Thân mố / Bệ mố</t>
        </is>
      </c>
      <c r="D535" s="19" t="inlineStr">
        <is>
          <t>W8(T)</t>
        </is>
      </c>
      <c r="E535" s="20" t="n">
        <v>16</v>
      </c>
      <c r="F535" s="6" t="inlineStr">
        <is>
          <t>CB400-V</t>
        </is>
      </c>
      <c r="G535" s="7" t="inlineStr">
        <is>
          <t>S02</t>
        </is>
      </c>
      <c r="H535" s="21" t="n">
        <v>8.978999999999999</v>
      </c>
      <c r="I535" s="22" t="n">
        <v>2</v>
      </c>
      <c r="J535" s="23" t="n">
        <v>1.58</v>
      </c>
      <c r="K535" s="9">
        <f>ROUND(H535*I535*J535, 2)</f>
        <v/>
      </c>
      <c r="L535" s="24">
        <f>ROUND(K535/1000, 3)</f>
        <v/>
      </c>
      <c r="M535" s="8" t="n"/>
      <c r="N535" s="21">
        <f>ROUND(N534 + IF(AND(E535&lt;=10, F535&lt;&gt;"ASTM A416"), L535, 0), 3)</f>
        <v/>
      </c>
      <c r="O535" s="21">
        <f>ROUND(O534 + IF(AND(E535&gt;10, E535&lt;=18, F535&lt;&gt;"ASTM A416"), L535, 0), 3)</f>
        <v/>
      </c>
      <c r="P535" s="21">
        <f>ROUND(P534 + IF(AND(E535&gt;18, F535&lt;&gt;"ASTM A416"), L535, 0), 3)</f>
        <v/>
      </c>
      <c r="Q535" s="21">
        <f>ROUND(Q534 + IF(F535="ASTM A416", L535, 0), 3)</f>
        <v/>
      </c>
      <c r="R535" s="11">
        <f>IF(INT(N535/20)&gt;INT(N534/20), "Lần " &amp; INT(N535/20), "")</f>
        <v/>
      </c>
      <c r="S535" s="12">
        <f>IF(INT(O535/20)&gt;INT(O534/20), "Lần " &amp; INT(O535/20), "")</f>
        <v/>
      </c>
      <c r="T535" s="11">
        <f>IF(INT(P535/20)&gt;INT(P534/20), "Lần " &amp; INT(P535/20), "")</f>
        <v/>
      </c>
      <c r="U535" s="25">
        <f>IF(INT(Q535/20)&gt;INT(Q534/20), "Lần " &amp; INT(Q535/20), "")</f>
        <v/>
      </c>
      <c r="V535" s="6" t="inlineStr"/>
      <c r="W535" s="6" t="inlineStr">
        <is>
          <t>ĐẠT TCVN 1651:2018</t>
        </is>
      </c>
    </row>
    <row r="536" ht="19" customHeight="1">
      <c r="A536" s="6" t="n">
        <v>501</v>
      </c>
      <c r="B536" s="7" t="inlineStr">
        <is>
          <t>Mố M1</t>
        </is>
      </c>
      <c r="C536" s="7" t="inlineStr">
        <is>
          <t>Thân mố / Bệ mố</t>
        </is>
      </c>
      <c r="D536" s="19" t="inlineStr">
        <is>
          <t>W9</t>
        </is>
      </c>
      <c r="E536" s="20" t="n">
        <v>16</v>
      </c>
      <c r="F536" s="6" t="inlineStr">
        <is>
          <t>CB400-V</t>
        </is>
      </c>
      <c r="G536" s="7" t="inlineStr">
        <is>
          <t>S05</t>
        </is>
      </c>
      <c r="H536" s="21" t="n">
        <v>1.881</v>
      </c>
      <c r="I536" s="22" t="n">
        <v>42</v>
      </c>
      <c r="J536" s="23" t="n">
        <v>1.58</v>
      </c>
      <c r="K536" s="9">
        <f>ROUND(H536*I536*J536, 2)</f>
        <v/>
      </c>
      <c r="L536" s="24">
        <f>ROUND(K536/1000, 3)</f>
        <v/>
      </c>
      <c r="M536" s="8" t="n"/>
      <c r="N536" s="21">
        <f>ROUND(N535 + IF(AND(E536&lt;=10, F536&lt;&gt;"ASTM A416"), L536, 0), 3)</f>
        <v/>
      </c>
      <c r="O536" s="21">
        <f>ROUND(O535 + IF(AND(E536&gt;10, E536&lt;=18, F536&lt;&gt;"ASTM A416"), L536, 0), 3)</f>
        <v/>
      </c>
      <c r="P536" s="21">
        <f>ROUND(P535 + IF(AND(E536&gt;18, F536&lt;&gt;"ASTM A416"), L536, 0), 3)</f>
        <v/>
      </c>
      <c r="Q536" s="21">
        <f>ROUND(Q535 + IF(F536="ASTM A416", L536, 0), 3)</f>
        <v/>
      </c>
      <c r="R536" s="11">
        <f>IF(INT(N536/20)&gt;INT(N535/20), "Lần " &amp; INT(N536/20), "")</f>
        <v/>
      </c>
      <c r="S536" s="12">
        <f>IF(INT(O536/20)&gt;INT(O535/20), "Lần " &amp; INT(O536/20), "")</f>
        <v/>
      </c>
      <c r="T536" s="11">
        <f>IF(INT(P536/20)&gt;INT(P535/20), "Lần " &amp; INT(P536/20), "")</f>
        <v/>
      </c>
      <c r="U536" s="25">
        <f>IF(INT(Q536/20)&gt;INT(Q535/20), "Lần " &amp; INT(Q536/20), "")</f>
        <v/>
      </c>
      <c r="V536" s="6" t="inlineStr"/>
      <c r="W536" s="6" t="inlineStr">
        <is>
          <t>ĐẠT TCVN 1651:2018</t>
        </is>
      </c>
    </row>
    <row r="537" ht="19" customHeight="1">
      <c r="A537" s="6" t="n">
        <v>502</v>
      </c>
      <c r="B537" s="7" t="inlineStr">
        <is>
          <t>Mố M1</t>
        </is>
      </c>
      <c r="C537" s="7" t="inlineStr">
        <is>
          <t>Ụ CHỐNG CHUYỂN VỊ</t>
        </is>
      </c>
      <c r="D537" s="19" t="inlineStr">
        <is>
          <t>U1</t>
        </is>
      </c>
      <c r="E537" s="20" t="n">
        <v>16</v>
      </c>
      <c r="F537" s="6" t="inlineStr">
        <is>
          <t>CB400-V</t>
        </is>
      </c>
      <c r="G537" s="7" t="inlineStr">
        <is>
          <t>S06</t>
        </is>
      </c>
      <c r="H537" s="21" t="n">
        <v>4.192</v>
      </c>
      <c r="I537" s="22" t="n">
        <v>8</v>
      </c>
      <c r="J537" s="23" t="n">
        <v>1.58</v>
      </c>
      <c r="K537" s="9">
        <f>ROUND(H537*I537*J537, 2)</f>
        <v/>
      </c>
      <c r="L537" s="24">
        <f>ROUND(K537/1000, 3)</f>
        <v/>
      </c>
      <c r="M537" s="8" t="n"/>
      <c r="N537" s="21">
        <f>ROUND(N536 + IF(AND(E537&lt;=10, F537&lt;&gt;"ASTM A416"), L537, 0), 3)</f>
        <v/>
      </c>
      <c r="O537" s="21">
        <f>ROUND(O536 + IF(AND(E537&gt;10, E537&lt;=18, F537&lt;&gt;"ASTM A416"), L537, 0), 3)</f>
        <v/>
      </c>
      <c r="P537" s="21">
        <f>ROUND(P536 + IF(AND(E537&gt;18, F537&lt;&gt;"ASTM A416"), L537, 0), 3)</f>
        <v/>
      </c>
      <c r="Q537" s="21">
        <f>ROUND(Q536 + IF(F537="ASTM A416", L537, 0), 3)</f>
        <v/>
      </c>
      <c r="R537" s="11">
        <f>IF(INT(N537/20)&gt;INT(N536/20), "Lần " &amp; INT(N537/20), "")</f>
        <v/>
      </c>
      <c r="S537" s="12">
        <f>IF(INT(O537/20)&gt;INT(O536/20), "Lần " &amp; INT(O537/20), "")</f>
        <v/>
      </c>
      <c r="T537" s="11">
        <f>IF(INT(P537/20)&gt;INT(P536/20), "Lần " &amp; INT(P537/20), "")</f>
        <v/>
      </c>
      <c r="U537" s="25">
        <f>IF(INT(Q537/20)&gt;INT(Q536/20), "Lần " &amp; INT(Q537/20), "")</f>
        <v/>
      </c>
      <c r="V537" s="6" t="inlineStr"/>
      <c r="W537" s="6" t="inlineStr">
        <is>
          <t>ĐẠT TCVN 1651:2018</t>
        </is>
      </c>
    </row>
    <row r="538" ht="19" customHeight="1">
      <c r="A538" s="6" t="n">
        <v>503</v>
      </c>
      <c r="B538" s="7" t="inlineStr">
        <is>
          <t>Mố M1</t>
        </is>
      </c>
      <c r="C538" s="7" t="inlineStr">
        <is>
          <t>Thân mố / Bệ mố</t>
        </is>
      </c>
      <c r="D538" s="19" t="inlineStr">
        <is>
          <t>U2</t>
        </is>
      </c>
      <c r="E538" s="20" t="n">
        <v>16</v>
      </c>
      <c r="F538" s="6" t="inlineStr">
        <is>
          <t>CB400-V</t>
        </is>
      </c>
      <c r="G538" s="7" t="inlineStr">
        <is>
          <t>S06</t>
        </is>
      </c>
      <c r="H538" s="21" t="n">
        <v>3.892</v>
      </c>
      <c r="I538" s="22" t="n">
        <v>12</v>
      </c>
      <c r="J538" s="23" t="n">
        <v>1.58</v>
      </c>
      <c r="K538" s="9">
        <f>ROUND(H538*I538*J538, 2)</f>
        <v/>
      </c>
      <c r="L538" s="24">
        <f>ROUND(K538/1000, 3)</f>
        <v/>
      </c>
      <c r="M538" s="8" t="n"/>
      <c r="N538" s="21">
        <f>ROUND(N537 + IF(AND(E538&lt;=10, F538&lt;&gt;"ASTM A416"), L538, 0), 3)</f>
        <v/>
      </c>
      <c r="O538" s="21">
        <f>ROUND(O537 + IF(AND(E538&gt;10, E538&lt;=18, F538&lt;&gt;"ASTM A416"), L538, 0), 3)</f>
        <v/>
      </c>
      <c r="P538" s="21">
        <f>ROUND(P537 + IF(AND(E538&gt;18, F538&lt;&gt;"ASTM A416"), L538, 0), 3)</f>
        <v/>
      </c>
      <c r="Q538" s="21">
        <f>ROUND(Q537 + IF(F538="ASTM A416", L538, 0), 3)</f>
        <v/>
      </c>
      <c r="R538" s="11">
        <f>IF(INT(N538/20)&gt;INT(N537/20), "Lần " &amp; INT(N538/20), "")</f>
        <v/>
      </c>
      <c r="S538" s="12">
        <f>IF(INT(O538/20)&gt;INT(O537/20), "Lần " &amp; INT(O538/20), "")</f>
        <v/>
      </c>
      <c r="T538" s="11">
        <f>IF(INT(P538/20)&gt;INT(P537/20), "Lần " &amp; INT(P538/20), "")</f>
        <v/>
      </c>
      <c r="U538" s="25">
        <f>IF(INT(Q538/20)&gt;INT(Q537/20), "Lần " &amp; INT(Q538/20), "")</f>
        <v/>
      </c>
      <c r="V538" s="6" t="inlineStr"/>
      <c r="W538" s="6" t="inlineStr">
        <is>
          <t>ĐẠT TCVN 1651:2018</t>
        </is>
      </c>
    </row>
    <row r="539" ht="19" customHeight="1">
      <c r="A539" s="6" t="n">
        <v>504</v>
      </c>
      <c r="B539" s="7" t="inlineStr">
        <is>
          <t>Mố M1</t>
        </is>
      </c>
      <c r="C539" s="7" t="inlineStr">
        <is>
          <t>Thân mố / Bệ mố</t>
        </is>
      </c>
      <c r="D539" s="19" t="inlineStr">
        <is>
          <t>U3</t>
        </is>
      </c>
      <c r="E539" s="20" t="n">
        <v>16</v>
      </c>
      <c r="F539" s="6" t="inlineStr">
        <is>
          <t>CB400-V</t>
        </is>
      </c>
      <c r="G539" s="7" t="inlineStr">
        <is>
          <t>S51</t>
        </is>
      </c>
      <c r="H539" s="21" t="n">
        <v>3.256</v>
      </c>
      <c r="I539" s="22" t="n">
        <v>24</v>
      </c>
      <c r="J539" s="23" t="n">
        <v>1.58</v>
      </c>
      <c r="K539" s="9">
        <f>ROUND(H539*I539*J539, 2)</f>
        <v/>
      </c>
      <c r="L539" s="24">
        <f>ROUND(K539/1000, 3)</f>
        <v/>
      </c>
      <c r="M539" s="8" t="n"/>
      <c r="N539" s="21">
        <f>ROUND(N538 + IF(AND(E539&lt;=10, F539&lt;&gt;"ASTM A416"), L539, 0), 3)</f>
        <v/>
      </c>
      <c r="O539" s="21">
        <f>ROUND(O538 + IF(AND(E539&gt;10, E539&lt;=18, F539&lt;&gt;"ASTM A416"), L539, 0), 3)</f>
        <v/>
      </c>
      <c r="P539" s="21">
        <f>ROUND(P538 + IF(AND(E539&gt;18, F539&lt;&gt;"ASTM A416"), L539, 0), 3)</f>
        <v/>
      </c>
      <c r="Q539" s="21">
        <f>ROUND(Q538 + IF(F539="ASTM A416", L539, 0), 3)</f>
        <v/>
      </c>
      <c r="R539" s="11">
        <f>IF(INT(N539/20)&gt;INT(N538/20), "Lần " &amp; INT(N539/20), "")</f>
        <v/>
      </c>
      <c r="S539" s="12">
        <f>IF(INT(O539/20)&gt;INT(O538/20), "Lần " &amp; INT(O539/20), "")</f>
        <v/>
      </c>
      <c r="T539" s="11">
        <f>IF(INT(P539/20)&gt;INT(P538/20), "Lần " &amp; INT(P539/20), "")</f>
        <v/>
      </c>
      <c r="U539" s="25">
        <f>IF(INT(Q539/20)&gt;INT(Q538/20), "Lần " &amp; INT(Q539/20), "")</f>
        <v/>
      </c>
      <c r="V539" s="6" t="inlineStr"/>
      <c r="W539" s="6" t="inlineStr">
        <is>
          <t>ĐẠT TCVN 1651:2018</t>
        </is>
      </c>
    </row>
    <row r="540" ht="19" customHeight="1">
      <c r="A540" s="6" t="n">
        <v>505</v>
      </c>
      <c r="B540" s="7" t="inlineStr">
        <is>
          <t>Mố M1</t>
        </is>
      </c>
      <c r="C540" s="7" t="inlineStr">
        <is>
          <t>Thân mố / Bệ mố</t>
        </is>
      </c>
      <c r="D540" s="19" t="inlineStr">
        <is>
          <t>U4</t>
        </is>
      </c>
      <c r="E540" s="20" t="n">
        <v>16</v>
      </c>
      <c r="F540" s="6" t="inlineStr">
        <is>
          <t>CB400-V</t>
        </is>
      </c>
      <c r="G540" s="7" t="inlineStr">
        <is>
          <t>S32</t>
        </is>
      </c>
      <c r="H540" s="21" t="n">
        <v>1.64</v>
      </c>
      <c r="I540" s="22" t="n">
        <v>4</v>
      </c>
      <c r="J540" s="23" t="n">
        <v>1.58</v>
      </c>
      <c r="K540" s="9">
        <f>ROUND(H540*I540*J540, 2)</f>
        <v/>
      </c>
      <c r="L540" s="24">
        <f>ROUND(K540/1000, 3)</f>
        <v/>
      </c>
      <c r="M540" s="8" t="n"/>
      <c r="N540" s="21">
        <f>ROUND(N539 + IF(AND(E540&lt;=10, F540&lt;&gt;"ASTM A416"), L540, 0), 3)</f>
        <v/>
      </c>
      <c r="O540" s="21">
        <f>ROUND(O539 + IF(AND(E540&gt;10, E540&lt;=18, F540&lt;&gt;"ASTM A416"), L540, 0), 3)</f>
        <v/>
      </c>
      <c r="P540" s="21">
        <f>ROUND(P539 + IF(AND(E540&gt;18, F540&lt;&gt;"ASTM A416"), L540, 0), 3)</f>
        <v/>
      </c>
      <c r="Q540" s="21">
        <f>ROUND(Q539 + IF(F540="ASTM A416", L540, 0), 3)</f>
        <v/>
      </c>
      <c r="R540" s="11">
        <f>IF(INT(N540/20)&gt;INT(N539/20), "Lần " &amp; INT(N540/20), "")</f>
        <v/>
      </c>
      <c r="S540" s="12">
        <f>IF(INT(O540/20)&gt;INT(O539/20), "Lần " &amp; INT(O540/20), "")</f>
        <v/>
      </c>
      <c r="T540" s="11">
        <f>IF(INT(P540/20)&gt;INT(P539/20), "Lần " &amp; INT(P540/20), "")</f>
        <v/>
      </c>
      <c r="U540" s="25">
        <f>IF(INT(Q540/20)&gt;INT(Q539/20), "Lần " &amp; INT(Q540/20), "")</f>
        <v/>
      </c>
      <c r="V540" s="6" t="inlineStr"/>
      <c r="W540" s="6" t="inlineStr">
        <is>
          <t>ĐẠT TCVN 1651:2018</t>
        </is>
      </c>
    </row>
    <row r="541" ht="19" customHeight="1">
      <c r="A541" s="6" t="n">
        <v>506</v>
      </c>
      <c r="B541" s="7" t="inlineStr">
        <is>
          <t>Mố M1</t>
        </is>
      </c>
      <c r="C541" s="7" t="inlineStr">
        <is>
          <t>VỮA ĐỆM</t>
        </is>
      </c>
      <c r="D541" s="19" t="inlineStr">
        <is>
          <t>B1</t>
        </is>
      </c>
      <c r="E541" s="20" t="n">
        <v>8</v>
      </c>
      <c r="F541" s="6" t="inlineStr">
        <is>
          <t>CB240-T</t>
        </is>
      </c>
      <c r="G541" s="7" t="inlineStr">
        <is>
          <t>S01</t>
        </is>
      </c>
      <c r="H541" s="21" t="n">
        <v>0.64</v>
      </c>
      <c r="I541" s="22" t="n">
        <v>50</v>
      </c>
      <c r="J541" s="23" t="n">
        <v>0.395</v>
      </c>
      <c r="K541" s="9">
        <f>ROUND(H541*I541*J541, 2)</f>
        <v/>
      </c>
      <c r="L541" s="24">
        <f>ROUND(K541/1000, 3)</f>
        <v/>
      </c>
      <c r="M541" s="8" t="n"/>
      <c r="N541" s="21">
        <f>ROUND(N540 + IF(AND(E541&lt;=10, F541&lt;&gt;"ASTM A416"), L541, 0), 3)</f>
        <v/>
      </c>
      <c r="O541" s="21">
        <f>ROUND(O540 + IF(AND(E541&gt;10, E541&lt;=18, F541&lt;&gt;"ASTM A416"), L541, 0), 3)</f>
        <v/>
      </c>
      <c r="P541" s="21">
        <f>ROUND(P540 + IF(AND(E541&gt;18, F541&lt;&gt;"ASTM A416"), L541, 0), 3)</f>
        <v/>
      </c>
      <c r="Q541" s="21">
        <f>ROUND(Q540 + IF(F541="ASTM A416", L541, 0), 3)</f>
        <v/>
      </c>
      <c r="R541" s="11">
        <f>IF(INT(N541/20)&gt;INT(N540/20), "Lần " &amp; INT(N541/20), "")</f>
        <v/>
      </c>
      <c r="S541" s="12">
        <f>IF(INT(O541/20)&gt;INT(O540/20), "Lần " &amp; INT(O541/20), "")</f>
        <v/>
      </c>
      <c r="T541" s="11">
        <f>IF(INT(P541/20)&gt;INT(P540/20), "Lần " &amp; INT(P541/20), "")</f>
        <v/>
      </c>
      <c r="U541" s="25">
        <f>IF(INT(Q541/20)&gt;INT(Q540/20), "Lần " &amp; INT(Q541/20), "")</f>
        <v/>
      </c>
      <c r="V541" s="6" t="inlineStr"/>
      <c r="W541" s="6" t="inlineStr">
        <is>
          <t>ĐẠT TCVN 1651:2018</t>
        </is>
      </c>
    </row>
    <row r="542" ht="19" customHeight="1">
      <c r="A542" s="6" t="n">
        <v>507</v>
      </c>
      <c r="B542" s="7" t="inlineStr">
        <is>
          <t>Mố M1</t>
        </is>
      </c>
      <c r="C542" s="7" t="inlineStr">
        <is>
          <t>Thân mố / Bệ mố</t>
        </is>
      </c>
      <c r="D542" s="19" t="inlineStr">
        <is>
          <t>B2</t>
        </is>
      </c>
      <c r="E542" s="20" t="n">
        <v>8</v>
      </c>
      <c r="F542" s="6" t="inlineStr">
        <is>
          <t>CB240-T</t>
        </is>
      </c>
      <c r="G542" s="7" t="inlineStr">
        <is>
          <t>S01</t>
        </is>
      </c>
      <c r="H542" s="21" t="n">
        <v>0.48</v>
      </c>
      <c r="I542" s="22" t="n">
        <v>65</v>
      </c>
      <c r="J542" s="23" t="n">
        <v>0.395</v>
      </c>
      <c r="K542" s="9">
        <f>ROUND(H542*I542*J542, 2)</f>
        <v/>
      </c>
      <c r="L542" s="24">
        <f>ROUND(K542/1000, 3)</f>
        <v/>
      </c>
      <c r="M542" s="8" t="n"/>
      <c r="N542" s="21">
        <f>ROUND(N541 + IF(AND(E542&lt;=10, F542&lt;&gt;"ASTM A416"), L542, 0), 3)</f>
        <v/>
      </c>
      <c r="O542" s="21">
        <f>ROUND(O541 + IF(AND(E542&gt;10, E542&lt;=18, F542&lt;&gt;"ASTM A416"), L542, 0), 3)</f>
        <v/>
      </c>
      <c r="P542" s="21">
        <f>ROUND(P541 + IF(AND(E542&gt;18, F542&lt;&gt;"ASTM A416"), L542, 0), 3)</f>
        <v/>
      </c>
      <c r="Q542" s="21">
        <f>ROUND(Q541 + IF(F542="ASTM A416", L542, 0), 3)</f>
        <v/>
      </c>
      <c r="R542" s="11">
        <f>IF(INT(N542/20)&gt;INT(N541/20), "Lần " &amp; INT(N542/20), "")</f>
        <v/>
      </c>
      <c r="S542" s="12">
        <f>IF(INT(O542/20)&gt;INT(O541/20), "Lần " &amp; INT(O542/20), "")</f>
        <v/>
      </c>
      <c r="T542" s="11">
        <f>IF(INT(P542/20)&gt;INT(P541/20), "Lần " &amp; INT(P542/20), "")</f>
        <v/>
      </c>
      <c r="U542" s="25">
        <f>IF(INT(Q542/20)&gt;INT(Q541/20), "Lần " &amp; INT(Q542/20), "")</f>
        <v/>
      </c>
      <c r="V542" s="6" t="inlineStr"/>
      <c r="W542" s="6" t="inlineStr">
        <is>
          <t>ĐẠT TCVN 1651:2018</t>
        </is>
      </c>
    </row>
    <row r="543" ht="19" customHeight="1">
      <c r="A543" s="6" t="n">
        <v>508</v>
      </c>
      <c r="B543" s="7" t="inlineStr">
        <is>
          <t>Mố M1</t>
        </is>
      </c>
      <c r="C543" s="7" t="inlineStr">
        <is>
          <t>TƯỜNG TAI</t>
        </is>
      </c>
      <c r="D543" s="19" t="inlineStr">
        <is>
          <t>T1</t>
        </is>
      </c>
      <c r="E543" s="20" t="n">
        <v>16</v>
      </c>
      <c r="F543" s="6" t="inlineStr">
        <is>
          <t>CB400-V</t>
        </is>
      </c>
      <c r="G543" s="7" t="inlineStr">
        <is>
          <t>S01</t>
        </is>
      </c>
      <c r="H543" s="21" t="n">
        <v>1.89</v>
      </c>
      <c r="I543" s="22" t="n">
        <v>14</v>
      </c>
      <c r="J543" s="23" t="n">
        <v>1.58</v>
      </c>
      <c r="K543" s="9">
        <f>ROUND(H543*I543*J543, 2)</f>
        <v/>
      </c>
      <c r="L543" s="24">
        <f>ROUND(K543/1000, 3)</f>
        <v/>
      </c>
      <c r="M543" s="8" t="n"/>
      <c r="N543" s="21">
        <f>ROUND(N542 + IF(AND(E543&lt;=10, F543&lt;&gt;"ASTM A416"), L543, 0), 3)</f>
        <v/>
      </c>
      <c r="O543" s="21">
        <f>ROUND(O542 + IF(AND(E543&gt;10, E543&lt;=18, F543&lt;&gt;"ASTM A416"), L543, 0), 3)</f>
        <v/>
      </c>
      <c r="P543" s="21">
        <f>ROUND(P542 + IF(AND(E543&gt;18, F543&lt;&gt;"ASTM A416"), L543, 0), 3)</f>
        <v/>
      </c>
      <c r="Q543" s="21">
        <f>ROUND(Q542 + IF(F543="ASTM A416", L543, 0), 3)</f>
        <v/>
      </c>
      <c r="R543" s="11">
        <f>IF(INT(N543/20)&gt;INT(N542/20), "Lần " &amp; INT(N543/20), "")</f>
        <v/>
      </c>
      <c r="S543" s="12">
        <f>IF(INT(O543/20)&gt;INT(O542/20), "Lần " &amp; INT(O543/20), "")</f>
        <v/>
      </c>
      <c r="T543" s="11">
        <f>IF(INT(P543/20)&gt;INT(P542/20), "Lần " &amp; INT(P543/20), "")</f>
        <v/>
      </c>
      <c r="U543" s="25">
        <f>IF(INT(Q543/20)&gt;INT(Q542/20), "Lần " &amp; INT(Q543/20), "")</f>
        <v/>
      </c>
      <c r="V543" s="6" t="inlineStr"/>
      <c r="W543" s="6" t="inlineStr">
        <is>
          <t>ĐẠT TCVN 1651:2018</t>
        </is>
      </c>
    </row>
    <row r="544" ht="19" customHeight="1">
      <c r="A544" s="6" t="n">
        <v>509</v>
      </c>
      <c r="B544" s="7" t="inlineStr">
        <is>
          <t>Mố M1</t>
        </is>
      </c>
      <c r="C544" s="7" t="inlineStr">
        <is>
          <t>Thân mố / Bệ mố</t>
        </is>
      </c>
      <c r="D544" s="19" t="inlineStr">
        <is>
          <t>T2</t>
        </is>
      </c>
      <c r="E544" s="20" t="n">
        <v>16</v>
      </c>
      <c r="F544" s="6" t="inlineStr">
        <is>
          <t>CB400-V</t>
        </is>
      </c>
      <c r="G544" s="7" t="inlineStr">
        <is>
          <t>S01</t>
        </is>
      </c>
      <c r="H544" s="21" t="n">
        <v>1.59</v>
      </c>
      <c r="I544" s="22" t="n">
        <v>18</v>
      </c>
      <c r="J544" s="23" t="n">
        <v>1.58</v>
      </c>
      <c r="K544" s="9">
        <f>ROUND(H544*I544*J544, 2)</f>
        <v/>
      </c>
      <c r="L544" s="24">
        <f>ROUND(K544/1000, 3)</f>
        <v/>
      </c>
      <c r="M544" s="8" t="n"/>
      <c r="N544" s="21">
        <f>ROUND(N543 + IF(AND(E544&lt;=10, F544&lt;&gt;"ASTM A416"), L544, 0), 3)</f>
        <v/>
      </c>
      <c r="O544" s="21">
        <f>ROUND(O543 + IF(AND(E544&gt;10, E544&lt;=18, F544&lt;&gt;"ASTM A416"), L544, 0), 3)</f>
        <v/>
      </c>
      <c r="P544" s="21">
        <f>ROUND(P543 + IF(AND(E544&gt;18, F544&lt;&gt;"ASTM A416"), L544, 0), 3)</f>
        <v/>
      </c>
      <c r="Q544" s="21">
        <f>ROUND(Q543 + IF(F544="ASTM A416", L544, 0), 3)</f>
        <v/>
      </c>
      <c r="R544" s="11">
        <f>IF(INT(N544/20)&gt;INT(N543/20), "Lần " &amp; INT(N544/20), "")</f>
        <v/>
      </c>
      <c r="S544" s="12">
        <f>IF(INT(O544/20)&gt;INT(O543/20), "Lần " &amp; INT(O544/20), "")</f>
        <v/>
      </c>
      <c r="T544" s="11">
        <f>IF(INT(P544/20)&gt;INT(P543/20), "Lần " &amp; INT(P544/20), "")</f>
        <v/>
      </c>
      <c r="U544" s="25">
        <f>IF(INT(Q544/20)&gt;INT(Q543/20), "Lần " &amp; INT(Q544/20), "")</f>
        <v/>
      </c>
      <c r="V544" s="6" t="inlineStr"/>
      <c r="W544" s="6" t="inlineStr">
        <is>
          <t>ĐẠT TCVN 1651:2018</t>
        </is>
      </c>
    </row>
    <row r="545" ht="19" customHeight="1">
      <c r="A545" s="6" t="n">
        <v>510</v>
      </c>
      <c r="B545" s="7" t="inlineStr">
        <is>
          <t>Mố M1</t>
        </is>
      </c>
      <c r="C545" s="7" t="inlineStr">
        <is>
          <t>GỜ LAN CAN</t>
        </is>
      </c>
      <c r="D545" s="19" t="inlineStr">
        <is>
          <t>G1</t>
        </is>
      </c>
      <c r="E545" s="20" t="n">
        <v>14</v>
      </c>
      <c r="F545" s="6" t="inlineStr">
        <is>
          <t>CB400-V</t>
        </is>
      </c>
      <c r="G545" s="7" t="inlineStr">
        <is>
          <t>S01</t>
        </is>
      </c>
      <c r="H545" s="21" t="n">
        <v>5.9</v>
      </c>
      <c r="I545" s="22" t="n">
        <v>19</v>
      </c>
      <c r="J545" s="23" t="n">
        <v>1.21</v>
      </c>
      <c r="K545" s="9">
        <f>ROUND(H545*I545*J545, 2)</f>
        <v/>
      </c>
      <c r="L545" s="24">
        <f>ROUND(K545/1000, 3)</f>
        <v/>
      </c>
      <c r="M545" s="8" t="n"/>
      <c r="N545" s="21">
        <f>ROUND(N544 + IF(AND(E545&lt;=10, F545&lt;&gt;"ASTM A416"), L545, 0), 3)</f>
        <v/>
      </c>
      <c r="O545" s="21">
        <f>ROUND(O544 + IF(AND(E545&gt;10, E545&lt;=18, F545&lt;&gt;"ASTM A416"), L545, 0), 3)</f>
        <v/>
      </c>
      <c r="P545" s="21">
        <f>ROUND(P544 + IF(AND(E545&gt;18, F545&lt;&gt;"ASTM A416"), L545, 0), 3)</f>
        <v/>
      </c>
      <c r="Q545" s="21">
        <f>ROUND(Q544 + IF(F545="ASTM A416", L545, 0), 3)</f>
        <v/>
      </c>
      <c r="R545" s="11">
        <f>IF(INT(N545/20)&gt;INT(N544/20), "Lần " &amp; INT(N545/20), "")</f>
        <v/>
      </c>
      <c r="S545" s="12">
        <f>IF(INT(O545/20)&gt;INT(O544/20), "Lần " &amp; INT(O545/20), "")</f>
        <v/>
      </c>
      <c r="T545" s="11">
        <f>IF(INT(P545/20)&gt;INT(P544/20), "Lần " &amp; INT(P545/20), "")</f>
        <v/>
      </c>
      <c r="U545" s="25">
        <f>IF(INT(Q545/20)&gt;INT(Q544/20), "Lần " &amp; INT(Q545/20), "")</f>
        <v/>
      </c>
      <c r="V545" s="6" t="inlineStr"/>
      <c r="W545" s="6" t="inlineStr">
        <is>
          <t>ĐẠT TCVN 1651:2018</t>
        </is>
      </c>
    </row>
    <row r="546" ht="19" customHeight="1">
      <c r="A546" s="6" t="n">
        <v>511</v>
      </c>
      <c r="B546" s="7" t="inlineStr">
        <is>
          <t>Mố M1</t>
        </is>
      </c>
      <c r="C546" s="7" t="inlineStr">
        <is>
          <t>Thân mố / Bệ mố</t>
        </is>
      </c>
      <c r="D546" s="19" t="inlineStr">
        <is>
          <t>G2</t>
        </is>
      </c>
      <c r="E546" s="20" t="n">
        <v>18</v>
      </c>
      <c r="F546" s="6" t="inlineStr">
        <is>
          <t>CB400-V</t>
        </is>
      </c>
      <c r="G546" s="7" t="inlineStr">
        <is>
          <t>S57</t>
        </is>
      </c>
      <c r="H546" s="21" t="n">
        <v>3.265</v>
      </c>
      <c r="I546" s="22" t="n">
        <v>40</v>
      </c>
      <c r="J546" s="23" t="n">
        <v>2</v>
      </c>
      <c r="K546" s="9">
        <f>ROUND(H546*I546*J546, 2)</f>
        <v/>
      </c>
      <c r="L546" s="24">
        <f>ROUND(K546/1000, 3)</f>
        <v/>
      </c>
      <c r="M546" s="8" t="n"/>
      <c r="N546" s="21">
        <f>ROUND(N545 + IF(AND(E546&lt;=10, F546&lt;&gt;"ASTM A416"), L546, 0), 3)</f>
        <v/>
      </c>
      <c r="O546" s="21">
        <f>ROUND(O545 + IF(AND(E546&gt;10, E546&lt;=18, F546&lt;&gt;"ASTM A416"), L546, 0), 3)</f>
        <v/>
      </c>
      <c r="P546" s="21">
        <f>ROUND(P545 + IF(AND(E546&gt;18, F546&lt;&gt;"ASTM A416"), L546, 0), 3)</f>
        <v/>
      </c>
      <c r="Q546" s="21">
        <f>ROUND(Q545 + IF(F546="ASTM A416", L546, 0), 3)</f>
        <v/>
      </c>
      <c r="R546" s="11">
        <f>IF(INT(N546/20)&gt;INT(N545/20), "Lần " &amp; INT(N546/20), "")</f>
        <v/>
      </c>
      <c r="S546" s="12">
        <f>IF(INT(O546/20)&gt;INT(O545/20), "Lần " &amp; INT(O546/20), "")</f>
        <v/>
      </c>
      <c r="T546" s="11">
        <f>IF(INT(P546/20)&gt;INT(P545/20), "Lần " &amp; INT(P546/20), "")</f>
        <v/>
      </c>
      <c r="U546" s="25">
        <f>IF(INT(Q546/20)&gt;INT(Q545/20), "Lần " &amp; INT(Q546/20), "")</f>
        <v/>
      </c>
      <c r="V546" s="6" t="inlineStr"/>
      <c r="W546" s="6" t="inlineStr">
        <is>
          <t>ĐẠT TCVN 1651:2018</t>
        </is>
      </c>
    </row>
    <row r="547" ht="19" customHeight="1">
      <c r="A547" s="6" t="n">
        <v>512</v>
      </c>
      <c r="B547" s="7" t="inlineStr">
        <is>
          <t>Mố M1</t>
        </is>
      </c>
      <c r="C547" s="7" t="inlineStr">
        <is>
          <t>Thân mố / Bệ mố</t>
        </is>
      </c>
      <c r="D547" s="19" t="inlineStr">
        <is>
          <t>G3</t>
        </is>
      </c>
      <c r="E547" s="20" t="n">
        <v>14</v>
      </c>
      <c r="F547" s="6" t="inlineStr">
        <is>
          <t>CB400-V</t>
        </is>
      </c>
      <c r="G547" s="7" t="inlineStr">
        <is>
          <t>S29</t>
        </is>
      </c>
      <c r="H547" s="21" t="n">
        <v>2.344</v>
      </c>
      <c r="I547" s="22" t="n">
        <v>40</v>
      </c>
      <c r="J547" s="23" t="n">
        <v>1.21</v>
      </c>
      <c r="K547" s="9">
        <f>ROUND(H547*I547*J547, 2)</f>
        <v/>
      </c>
      <c r="L547" s="24">
        <f>ROUND(K547/1000, 3)</f>
        <v/>
      </c>
      <c r="M547" s="8" t="n"/>
      <c r="N547" s="21">
        <f>ROUND(N546 + IF(AND(E547&lt;=10, F547&lt;&gt;"ASTM A416"), L547, 0), 3)</f>
        <v/>
      </c>
      <c r="O547" s="21">
        <f>ROUND(O546 + IF(AND(E547&gt;10, E547&lt;=18, F547&lt;&gt;"ASTM A416"), L547, 0), 3)</f>
        <v/>
      </c>
      <c r="P547" s="21">
        <f>ROUND(P546 + IF(AND(E547&gt;18, F547&lt;&gt;"ASTM A416"), L547, 0), 3)</f>
        <v/>
      </c>
      <c r="Q547" s="21">
        <f>ROUND(Q546 + IF(F547="ASTM A416", L547, 0), 3)</f>
        <v/>
      </c>
      <c r="R547" s="11">
        <f>IF(INT(N547/20)&gt;INT(N546/20), "Lần " &amp; INT(N547/20), "")</f>
        <v/>
      </c>
      <c r="S547" s="12">
        <f>IF(INT(O547/20)&gt;INT(O546/20), "Lần " &amp; INT(O547/20), "")</f>
        <v/>
      </c>
      <c r="T547" s="11">
        <f>IF(INT(P547/20)&gt;INT(P546/20), "Lần " &amp; INT(P547/20), "")</f>
        <v/>
      </c>
      <c r="U547" s="25">
        <f>IF(INT(Q547/20)&gt;INT(Q546/20), "Lần " &amp; INT(Q547/20), "")</f>
        <v/>
      </c>
      <c r="V547" s="6" t="inlineStr"/>
      <c r="W547" s="6" t="inlineStr">
        <is>
          <t>ĐẠT TCVN 1651:2018</t>
        </is>
      </c>
    </row>
    <row r="548" ht="19" customHeight="1">
      <c r="A548" s="6" t="n">
        <v>513</v>
      </c>
      <c r="B548" s="7" t="inlineStr">
        <is>
          <t>Mố M1</t>
        </is>
      </c>
      <c r="C548" s="7" t="inlineStr">
        <is>
          <t>Thân mố / Bệ mố</t>
        </is>
      </c>
      <c r="D548" s="19" t="inlineStr">
        <is>
          <t>G4A</t>
        </is>
      </c>
      <c r="E548" s="20" t="n">
        <v>12</v>
      </c>
      <c r="F548" s="6" t="inlineStr">
        <is>
          <t>CB400-V</t>
        </is>
      </c>
      <c r="G548" s="7" t="inlineStr">
        <is>
          <t>S06</t>
        </is>
      </c>
      <c r="H548" s="21" t="n">
        <v>0.342</v>
      </c>
      <c r="I548" s="22" t="n">
        <v>11</v>
      </c>
      <c r="J548" s="23" t="n">
        <v>0.888</v>
      </c>
      <c r="K548" s="9">
        <f>ROUND(H548*I548*J548, 2)</f>
        <v/>
      </c>
      <c r="L548" s="24">
        <f>ROUND(K548/1000, 3)</f>
        <v/>
      </c>
      <c r="M548" s="8" t="n"/>
      <c r="N548" s="21">
        <f>ROUND(N547 + IF(AND(E548&lt;=10, F548&lt;&gt;"ASTM A416"), L548, 0), 3)</f>
        <v/>
      </c>
      <c r="O548" s="21">
        <f>ROUND(O547 + IF(AND(E548&gt;10, E548&lt;=18, F548&lt;&gt;"ASTM A416"), L548, 0), 3)</f>
        <v/>
      </c>
      <c r="P548" s="21">
        <f>ROUND(P547 + IF(AND(E548&gt;18, F548&lt;&gt;"ASTM A416"), L548, 0), 3)</f>
        <v/>
      </c>
      <c r="Q548" s="21">
        <f>ROUND(Q547 + IF(F548="ASTM A416", L548, 0), 3)</f>
        <v/>
      </c>
      <c r="R548" s="11">
        <f>IF(INT(N548/20)&gt;INT(N547/20), "Lần " &amp; INT(N548/20), "")</f>
        <v/>
      </c>
      <c r="S548" s="12">
        <f>IF(INT(O548/20)&gt;INT(O547/20), "Lần " &amp; INT(O548/20), "")</f>
        <v/>
      </c>
      <c r="T548" s="11">
        <f>IF(INT(P548/20)&gt;INT(P547/20), "Lần " &amp; INT(P548/20), "")</f>
        <v/>
      </c>
      <c r="U548" s="25">
        <f>IF(INT(Q548/20)&gt;INT(Q547/20), "Lần " &amp; INT(Q548/20), "")</f>
        <v/>
      </c>
      <c r="V548" s="6" t="inlineStr"/>
      <c r="W548" s="6" t="inlineStr">
        <is>
          <t>ĐẠT TCVN 1651:2018</t>
        </is>
      </c>
    </row>
    <row r="549" ht="19" customHeight="1">
      <c r="A549" s="6" t="n">
        <v>514</v>
      </c>
      <c r="B549" s="7" t="inlineStr">
        <is>
          <t>Mố M1</t>
        </is>
      </c>
      <c r="C549" s="7" t="inlineStr">
        <is>
          <t>Thân mố / Bệ mố</t>
        </is>
      </c>
      <c r="D549" s="19" t="inlineStr">
        <is>
          <t>G4B</t>
        </is>
      </c>
      <c r="E549" s="20" t="n">
        <v>12</v>
      </c>
      <c r="F549" s="6" t="inlineStr">
        <is>
          <t>CB400-V</t>
        </is>
      </c>
      <c r="G549" s="7" t="inlineStr">
        <is>
          <t>S06</t>
        </is>
      </c>
      <c r="H549" s="21" t="n">
        <v>0.388</v>
      </c>
      <c r="I549" s="22" t="n">
        <v>11</v>
      </c>
      <c r="J549" s="23" t="n">
        <v>0.888</v>
      </c>
      <c r="K549" s="9">
        <f>ROUND(H549*I549*J549, 2)</f>
        <v/>
      </c>
      <c r="L549" s="24">
        <f>ROUND(K549/1000, 3)</f>
        <v/>
      </c>
      <c r="M549" s="8" t="n"/>
      <c r="N549" s="21">
        <f>ROUND(N548 + IF(AND(E549&lt;=10, F549&lt;&gt;"ASTM A416"), L549, 0), 3)</f>
        <v/>
      </c>
      <c r="O549" s="21">
        <f>ROUND(O548 + IF(AND(E549&gt;10, E549&lt;=18, F549&lt;&gt;"ASTM A416"), L549, 0), 3)</f>
        <v/>
      </c>
      <c r="P549" s="21">
        <f>ROUND(P548 + IF(AND(E549&gt;18, F549&lt;&gt;"ASTM A416"), L549, 0), 3)</f>
        <v/>
      </c>
      <c r="Q549" s="21">
        <f>ROUND(Q548 + IF(F549="ASTM A416", L549, 0), 3)</f>
        <v/>
      </c>
      <c r="R549" s="11">
        <f>IF(INT(N549/20)&gt;INT(N548/20), "Lần " &amp; INT(N549/20), "")</f>
        <v/>
      </c>
      <c r="S549" s="12">
        <f>IF(INT(O549/20)&gt;INT(O548/20), "Lần " &amp; INT(O549/20), "")</f>
        <v/>
      </c>
      <c r="T549" s="11">
        <f>IF(INT(P549/20)&gt;INT(P548/20), "Lần " &amp; INT(P549/20), "")</f>
        <v/>
      </c>
      <c r="U549" s="25">
        <f>IF(INT(Q549/20)&gt;INT(Q548/20), "Lần " &amp; INT(Q549/20), "")</f>
        <v/>
      </c>
      <c r="V549" s="6" t="inlineStr"/>
      <c r="W549" s="6" t="inlineStr">
        <is>
          <t>ĐẠT TCVN 1651:2018</t>
        </is>
      </c>
    </row>
    <row r="550" ht="19" customHeight="1">
      <c r="A550" s="6" t="n">
        <v>515</v>
      </c>
      <c r="B550" s="7" t="inlineStr">
        <is>
          <t>Mố M1</t>
        </is>
      </c>
      <c r="C550" s="7" t="inlineStr">
        <is>
          <t>Thân mố / Bệ mố</t>
        </is>
      </c>
      <c r="D550" s="19" t="inlineStr">
        <is>
          <t>G4C</t>
        </is>
      </c>
      <c r="E550" s="20" t="n">
        <v>12</v>
      </c>
      <c r="F550" s="6" t="inlineStr">
        <is>
          <t>CB400-V</t>
        </is>
      </c>
      <c r="G550" s="7" t="inlineStr">
        <is>
          <t>S06</t>
        </is>
      </c>
      <c r="H550" s="21" t="n">
        <v>0.634</v>
      </c>
      <c r="I550" s="22" t="n">
        <v>11</v>
      </c>
      <c r="J550" s="23" t="n">
        <v>0.888</v>
      </c>
      <c r="K550" s="9">
        <f>ROUND(H550*I550*J550, 2)</f>
        <v/>
      </c>
      <c r="L550" s="24">
        <f>ROUND(K550/1000, 3)</f>
        <v/>
      </c>
      <c r="M550" s="8" t="n"/>
      <c r="N550" s="21">
        <f>ROUND(N549 + IF(AND(E550&lt;=10, F550&lt;&gt;"ASTM A416"), L550, 0), 3)</f>
        <v/>
      </c>
      <c r="O550" s="21">
        <f>ROUND(O549 + IF(AND(E550&gt;10, E550&lt;=18, F550&lt;&gt;"ASTM A416"), L550, 0), 3)</f>
        <v/>
      </c>
      <c r="P550" s="21">
        <f>ROUND(P549 + IF(AND(E550&gt;18, F550&lt;&gt;"ASTM A416"), L550, 0), 3)</f>
        <v/>
      </c>
      <c r="Q550" s="21">
        <f>ROUND(Q549 + IF(F550="ASTM A416", L550, 0), 3)</f>
        <v/>
      </c>
      <c r="R550" s="11">
        <f>IF(INT(N550/20)&gt;INT(N549/20), "Lần " &amp; INT(N550/20), "")</f>
        <v/>
      </c>
      <c r="S550" s="12">
        <f>IF(INT(O550/20)&gt;INT(O549/20), "Lần " &amp; INT(O550/20), "")</f>
        <v/>
      </c>
      <c r="T550" s="11">
        <f>IF(INT(P550/20)&gt;INT(P549/20), "Lần " &amp; INT(P550/20), "")</f>
        <v/>
      </c>
      <c r="U550" s="25">
        <f>IF(INT(Q550/20)&gt;INT(Q549/20), "Lần " &amp; INT(Q550/20), "")</f>
        <v/>
      </c>
      <c r="V550" s="6" t="inlineStr"/>
      <c r="W550" s="6" t="inlineStr">
        <is>
          <t>ĐẠT TCVN 1651:2018</t>
        </is>
      </c>
    </row>
    <row r="551" ht="19" customHeight="1">
      <c r="A551" s="6" t="n">
        <v>516</v>
      </c>
      <c r="B551" s="7" t="inlineStr">
        <is>
          <t>Mố M1</t>
        </is>
      </c>
      <c r="C551" s="7" t="inlineStr">
        <is>
          <t>Thân mố / Bệ mố</t>
        </is>
      </c>
      <c r="D551" s="19" t="inlineStr">
        <is>
          <t>G5</t>
        </is>
      </c>
      <c r="E551" s="20" t="n">
        <v>14</v>
      </c>
      <c r="F551" s="6" t="inlineStr">
        <is>
          <t>CB400-V</t>
        </is>
      </c>
      <c r="G551" s="7" t="inlineStr">
        <is>
          <t>S01</t>
        </is>
      </c>
      <c r="H551" s="21" t="n">
        <v>5.9</v>
      </c>
      <c r="I551" s="22" t="n">
        <v>18</v>
      </c>
      <c r="J551" s="23" t="n">
        <v>1.21</v>
      </c>
      <c r="K551" s="9">
        <f>ROUND(H551*I551*J551, 2)</f>
        <v/>
      </c>
      <c r="L551" s="24">
        <f>ROUND(K551/1000, 3)</f>
        <v/>
      </c>
      <c r="M551" s="8" t="n"/>
      <c r="N551" s="21">
        <f>ROUND(N550 + IF(AND(E551&lt;=10, F551&lt;&gt;"ASTM A416"), L551, 0), 3)</f>
        <v/>
      </c>
      <c r="O551" s="21">
        <f>ROUND(O550 + IF(AND(E551&gt;10, E551&lt;=18, F551&lt;&gt;"ASTM A416"), L551, 0), 3)</f>
        <v/>
      </c>
      <c r="P551" s="21">
        <f>ROUND(P550 + IF(AND(E551&gt;18, F551&lt;&gt;"ASTM A416"), L551, 0), 3)</f>
        <v/>
      </c>
      <c r="Q551" s="21">
        <f>ROUND(Q550 + IF(F551="ASTM A416", L551, 0), 3)</f>
        <v/>
      </c>
      <c r="R551" s="11">
        <f>IF(INT(N551/20)&gt;INT(N550/20), "Lần " &amp; INT(N551/20), "")</f>
        <v/>
      </c>
      <c r="S551" s="12">
        <f>IF(INT(O551/20)&gt;INT(O550/20), "Lần " &amp; INT(O551/20), "")</f>
        <v/>
      </c>
      <c r="T551" s="11">
        <f>IF(INT(P551/20)&gt;INT(P550/20), "Lần " &amp; INT(P551/20), "")</f>
        <v/>
      </c>
      <c r="U551" s="25">
        <f>IF(INT(Q551/20)&gt;INT(Q550/20), "Lần " &amp; INT(Q551/20), "")</f>
        <v/>
      </c>
      <c r="V551" s="6" t="inlineStr"/>
      <c r="W551" s="6" t="inlineStr">
        <is>
          <t>ĐẠT TCVN 1651:2018</t>
        </is>
      </c>
    </row>
    <row r="552" ht="19" customHeight="1">
      <c r="A552" s="6" t="n">
        <v>517</v>
      </c>
      <c r="B552" s="7" t="inlineStr">
        <is>
          <t>Mố M1</t>
        </is>
      </c>
      <c r="C552" s="7" t="inlineStr">
        <is>
          <t>Thân mố / Bệ mố</t>
        </is>
      </c>
      <c r="D552" s="19" t="inlineStr">
        <is>
          <t>G6</t>
        </is>
      </c>
      <c r="E552" s="20" t="n">
        <v>20</v>
      </c>
      <c r="F552" s="6" t="inlineStr">
        <is>
          <t>CB400-V</t>
        </is>
      </c>
      <c r="G552" s="7" t="inlineStr">
        <is>
          <t>S57</t>
        </is>
      </c>
      <c r="H552" s="21" t="n">
        <v>3.045</v>
      </c>
      <c r="I552" s="22" t="n">
        <v>40</v>
      </c>
      <c r="J552" s="23" t="n">
        <v>2.47</v>
      </c>
      <c r="K552" s="9">
        <f>ROUND(H552*I552*J552, 2)</f>
        <v/>
      </c>
      <c r="L552" s="24">
        <f>ROUND(K552/1000, 3)</f>
        <v/>
      </c>
      <c r="M552" s="8" t="n"/>
      <c r="N552" s="21">
        <f>ROUND(N551 + IF(AND(E552&lt;=10, F552&lt;&gt;"ASTM A416"), L552, 0), 3)</f>
        <v/>
      </c>
      <c r="O552" s="21">
        <f>ROUND(O551 + IF(AND(E552&gt;10, E552&lt;=18, F552&lt;&gt;"ASTM A416"), L552, 0), 3)</f>
        <v/>
      </c>
      <c r="P552" s="21">
        <f>ROUND(P551 + IF(AND(E552&gt;18, F552&lt;&gt;"ASTM A416"), L552, 0), 3)</f>
        <v/>
      </c>
      <c r="Q552" s="21">
        <f>ROUND(Q551 + IF(F552="ASTM A416", L552, 0), 3)</f>
        <v/>
      </c>
      <c r="R552" s="11">
        <f>IF(INT(N552/20)&gt;INT(N551/20), "Lần " &amp; INT(N552/20), "")</f>
        <v/>
      </c>
      <c r="S552" s="12">
        <f>IF(INT(O552/20)&gt;INT(O551/20), "Lần " &amp; INT(O552/20), "")</f>
        <v/>
      </c>
      <c r="T552" s="11">
        <f>IF(INT(P552/20)&gt;INT(P551/20), "Lần " &amp; INT(P552/20), "")</f>
        <v/>
      </c>
      <c r="U552" s="25">
        <f>IF(INT(Q552/20)&gt;INT(Q551/20), "Lần " &amp; INT(Q552/20), "")</f>
        <v/>
      </c>
      <c r="V552" s="6" t="inlineStr"/>
      <c r="W552" s="6" t="inlineStr">
        <is>
          <t>ĐẠT TCVN 1651:2018</t>
        </is>
      </c>
    </row>
    <row r="553" ht="19" customHeight="1">
      <c r="A553" s="6" t="n">
        <v>518</v>
      </c>
      <c r="B553" s="7" t="inlineStr">
        <is>
          <t>Mố M1</t>
        </is>
      </c>
      <c r="C553" s="7" t="inlineStr">
        <is>
          <t>Thân mố / Bệ mố</t>
        </is>
      </c>
      <c r="D553" s="19" t="inlineStr">
        <is>
          <t>G7</t>
        </is>
      </c>
      <c r="E553" s="20" t="n">
        <v>14</v>
      </c>
      <c r="F553" s="6" t="inlineStr">
        <is>
          <t>CB400-V</t>
        </is>
      </c>
      <c r="G553" s="7" t="inlineStr">
        <is>
          <t>S29</t>
        </is>
      </c>
      <c r="H553" s="21" t="n">
        <v>1.536</v>
      </c>
      <c r="I553" s="22" t="n">
        <v>40</v>
      </c>
      <c r="J553" s="23" t="n">
        <v>1.21</v>
      </c>
      <c r="K553" s="9">
        <f>ROUND(H553*I553*J553, 2)</f>
        <v/>
      </c>
      <c r="L553" s="24">
        <f>ROUND(K553/1000, 3)</f>
        <v/>
      </c>
      <c r="M553" s="8" t="n"/>
      <c r="N553" s="21">
        <f>ROUND(N552 + IF(AND(E553&lt;=10, F553&lt;&gt;"ASTM A416"), L553, 0), 3)</f>
        <v/>
      </c>
      <c r="O553" s="21">
        <f>ROUND(O552 + IF(AND(E553&gt;10, E553&lt;=18, F553&lt;&gt;"ASTM A416"), L553, 0), 3)</f>
        <v/>
      </c>
      <c r="P553" s="21">
        <f>ROUND(P552 + IF(AND(E553&gt;18, F553&lt;&gt;"ASTM A416"), L553, 0), 3)</f>
        <v/>
      </c>
      <c r="Q553" s="21">
        <f>ROUND(Q552 + IF(F553="ASTM A416", L553, 0), 3)</f>
        <v/>
      </c>
      <c r="R553" s="11">
        <f>IF(INT(N553/20)&gt;INT(N552/20), "Lần " &amp; INT(N553/20), "")</f>
        <v/>
      </c>
      <c r="S553" s="12">
        <f>IF(INT(O553/20)&gt;INT(O552/20), "Lần " &amp; INT(O553/20), "")</f>
        <v/>
      </c>
      <c r="T553" s="11">
        <f>IF(INT(P553/20)&gt;INT(P552/20), "Lần " &amp; INT(P553/20), "")</f>
        <v/>
      </c>
      <c r="U553" s="25">
        <f>IF(INT(Q553/20)&gt;INT(Q552/20), "Lần " &amp; INT(Q553/20), "")</f>
        <v/>
      </c>
      <c r="V553" s="6" t="inlineStr"/>
      <c r="W553" s="6" t="inlineStr">
        <is>
          <t>ĐẠT TCVN 1651:2018</t>
        </is>
      </c>
    </row>
    <row r="554" ht="19" customHeight="1">
      <c r="A554" s="6" t="n">
        <v>519</v>
      </c>
      <c r="B554" s="7" t="inlineStr">
        <is>
          <t>Mố M1</t>
        </is>
      </c>
      <c r="C554" s="7" t="inlineStr">
        <is>
          <t>Thân mố / Bệ mố</t>
        </is>
      </c>
      <c r="D554" s="19" t="inlineStr">
        <is>
          <t>G7A</t>
        </is>
      </c>
      <c r="E554" s="20" t="n">
        <v>20</v>
      </c>
      <c r="F554" s="6" t="inlineStr">
        <is>
          <t>CB400-V</t>
        </is>
      </c>
      <c r="G554" s="7" t="inlineStr">
        <is>
          <t>S05</t>
        </is>
      </c>
      <c r="H554" s="21" t="n">
        <v>1.182</v>
      </c>
      <c r="I554" s="22" t="n">
        <v>40</v>
      </c>
      <c r="J554" s="23" t="n">
        <v>2.47</v>
      </c>
      <c r="K554" s="9">
        <f>ROUND(H554*I554*J554, 2)</f>
        <v/>
      </c>
      <c r="L554" s="24">
        <f>ROUND(K554/1000, 3)</f>
        <v/>
      </c>
      <c r="M554" s="8" t="n"/>
      <c r="N554" s="21">
        <f>ROUND(N553 + IF(AND(E554&lt;=10, F554&lt;&gt;"ASTM A416"), L554, 0), 3)</f>
        <v/>
      </c>
      <c r="O554" s="21">
        <f>ROUND(O553 + IF(AND(E554&gt;10, E554&lt;=18, F554&lt;&gt;"ASTM A416"), L554, 0), 3)</f>
        <v/>
      </c>
      <c r="P554" s="21">
        <f>ROUND(P553 + IF(AND(E554&gt;18, F554&lt;&gt;"ASTM A416"), L554, 0), 3)</f>
        <v/>
      </c>
      <c r="Q554" s="21">
        <f>ROUND(Q553 + IF(F554="ASTM A416", L554, 0), 3)</f>
        <v/>
      </c>
      <c r="R554" s="11">
        <f>IF(INT(N554/20)&gt;INT(N553/20), "Lần " &amp; INT(N554/20), "")</f>
        <v/>
      </c>
      <c r="S554" s="12">
        <f>IF(INT(O554/20)&gt;INT(O553/20), "Lần " &amp; INT(O554/20), "")</f>
        <v/>
      </c>
      <c r="T554" s="11">
        <f>IF(INT(P554/20)&gt;INT(P553/20), "Lần " &amp; INT(P554/20), "")</f>
        <v/>
      </c>
      <c r="U554" s="25">
        <f>IF(INT(Q554/20)&gt;INT(Q553/20), "Lần " &amp; INT(Q554/20), "")</f>
        <v/>
      </c>
      <c r="V554" s="6" t="inlineStr"/>
      <c r="W554" s="6" t="inlineStr">
        <is>
          <t>ĐẠT TCVN 1651:2018</t>
        </is>
      </c>
    </row>
    <row r="555" ht="19" customHeight="1">
      <c r="A555" s="6" t="n">
        <v>520</v>
      </c>
      <c r="B555" s="7" t="inlineStr">
        <is>
          <t>Mố M1</t>
        </is>
      </c>
      <c r="C555" s="7" t="inlineStr">
        <is>
          <t>Thân mố / Bệ mố</t>
        </is>
      </c>
      <c r="D555" s="19" t="inlineStr">
        <is>
          <t>G8A</t>
        </is>
      </c>
      <c r="E555" s="20" t="n">
        <v>12</v>
      </c>
      <c r="F555" s="6" t="inlineStr">
        <is>
          <t>CB400-V</t>
        </is>
      </c>
      <c r="G555" s="7" t="inlineStr">
        <is>
          <t>S06</t>
        </is>
      </c>
      <c r="H555" s="21" t="n">
        <v>0.26</v>
      </c>
      <c r="I555" s="22" t="n">
        <v>11</v>
      </c>
      <c r="J555" s="23" t="n">
        <v>0.888</v>
      </c>
      <c r="K555" s="9">
        <f>ROUND(H555*I555*J555, 2)</f>
        <v/>
      </c>
      <c r="L555" s="24">
        <f>ROUND(K555/1000, 3)</f>
        <v/>
      </c>
      <c r="M555" s="8" t="n"/>
      <c r="N555" s="21">
        <f>ROUND(N554 + IF(AND(E555&lt;=10, F555&lt;&gt;"ASTM A416"), L555, 0), 3)</f>
        <v/>
      </c>
      <c r="O555" s="21">
        <f>ROUND(O554 + IF(AND(E555&gt;10, E555&lt;=18, F555&lt;&gt;"ASTM A416"), L555, 0), 3)</f>
        <v/>
      </c>
      <c r="P555" s="21">
        <f>ROUND(P554 + IF(AND(E555&gt;18, F555&lt;&gt;"ASTM A416"), L555, 0), 3)</f>
        <v/>
      </c>
      <c r="Q555" s="21">
        <f>ROUND(Q554 + IF(F555="ASTM A416", L555, 0), 3)</f>
        <v/>
      </c>
      <c r="R555" s="11">
        <f>IF(INT(N555/20)&gt;INT(N554/20), "Lần " &amp; INT(N555/20), "")</f>
        <v/>
      </c>
      <c r="S555" s="12">
        <f>IF(INT(O555/20)&gt;INT(O554/20), "Lần " &amp; INT(O555/20), "")</f>
        <v/>
      </c>
      <c r="T555" s="11">
        <f>IF(INT(P555/20)&gt;INT(P554/20), "Lần " &amp; INT(P555/20), "")</f>
        <v/>
      </c>
      <c r="U555" s="25">
        <f>IF(INT(Q555/20)&gt;INT(Q554/20), "Lần " &amp; INT(Q555/20), "")</f>
        <v/>
      </c>
      <c r="V555" s="6" t="inlineStr"/>
      <c r="W555" s="6" t="inlineStr">
        <is>
          <t>ĐẠT TCVN 1651:2018</t>
        </is>
      </c>
    </row>
    <row r="556" ht="19" customHeight="1">
      <c r="A556" s="6" t="n">
        <v>521</v>
      </c>
      <c r="B556" s="7" t="inlineStr">
        <is>
          <t>Mố M1</t>
        </is>
      </c>
      <c r="C556" s="7" t="inlineStr">
        <is>
          <t>Thân mố / Bệ mố</t>
        </is>
      </c>
      <c r="D556" s="19" t="inlineStr">
        <is>
          <t>G8B</t>
        </is>
      </c>
      <c r="E556" s="20" t="n">
        <v>12</v>
      </c>
      <c r="F556" s="6" t="inlineStr">
        <is>
          <t>CB400-V</t>
        </is>
      </c>
      <c r="G556" s="7" t="inlineStr">
        <is>
          <t>S06</t>
        </is>
      </c>
      <c r="H556" s="21" t="n">
        <v>0.306</v>
      </c>
      <c r="I556" s="22" t="n">
        <v>11</v>
      </c>
      <c r="J556" s="23" t="n">
        <v>0.888</v>
      </c>
      <c r="K556" s="9">
        <f>ROUND(H556*I556*J556, 2)</f>
        <v/>
      </c>
      <c r="L556" s="24">
        <f>ROUND(K556/1000, 3)</f>
        <v/>
      </c>
      <c r="M556" s="8" t="n"/>
      <c r="N556" s="21">
        <f>ROUND(N555 + IF(AND(E556&lt;=10, F556&lt;&gt;"ASTM A416"), L556, 0), 3)</f>
        <v/>
      </c>
      <c r="O556" s="21">
        <f>ROUND(O555 + IF(AND(E556&gt;10, E556&lt;=18, F556&lt;&gt;"ASTM A416"), L556, 0), 3)</f>
        <v/>
      </c>
      <c r="P556" s="21">
        <f>ROUND(P555 + IF(AND(E556&gt;18, F556&lt;&gt;"ASTM A416"), L556, 0), 3)</f>
        <v/>
      </c>
      <c r="Q556" s="21">
        <f>ROUND(Q555 + IF(F556="ASTM A416", L556, 0), 3)</f>
        <v/>
      </c>
      <c r="R556" s="11">
        <f>IF(INT(N556/20)&gt;INT(N555/20), "Lần " &amp; INT(N556/20), "")</f>
        <v/>
      </c>
      <c r="S556" s="12">
        <f>IF(INT(O556/20)&gt;INT(O555/20), "Lần " &amp; INT(O556/20), "")</f>
        <v/>
      </c>
      <c r="T556" s="11">
        <f>IF(INT(P556/20)&gt;INT(P555/20), "Lần " &amp; INT(P556/20), "")</f>
        <v/>
      </c>
      <c r="U556" s="25">
        <f>IF(INT(Q556/20)&gt;INT(Q555/20), "Lần " &amp; INT(Q556/20), "")</f>
        <v/>
      </c>
      <c r="V556" s="6" t="inlineStr"/>
      <c r="W556" s="6" t="inlineStr">
        <is>
          <t>ĐẠT TCVN 1651:2018</t>
        </is>
      </c>
    </row>
    <row r="557" ht="19" customHeight="1">
      <c r="A557" s="6" t="n">
        <v>522</v>
      </c>
      <c r="B557" s="7" t="inlineStr">
        <is>
          <t>Mố M1</t>
        </is>
      </c>
      <c r="C557" s="7" t="inlineStr">
        <is>
          <t>Thân mố / Bệ mố</t>
        </is>
      </c>
      <c r="D557" s="19" t="inlineStr">
        <is>
          <t>G8C</t>
        </is>
      </c>
      <c r="E557" s="20" t="n">
        <v>12</v>
      </c>
      <c r="F557" s="6" t="inlineStr">
        <is>
          <t>CB400-V</t>
        </is>
      </c>
      <c r="G557" s="7" t="inlineStr">
        <is>
          <t>S06</t>
        </is>
      </c>
      <c r="H557" s="21" t="n">
        <v>0.417</v>
      </c>
      <c r="I557" s="22" t="n">
        <v>11</v>
      </c>
      <c r="J557" s="23" t="n">
        <v>0.888</v>
      </c>
      <c r="K557" s="9">
        <f>ROUND(H557*I557*J557, 2)</f>
        <v/>
      </c>
      <c r="L557" s="24">
        <f>ROUND(K557/1000, 3)</f>
        <v/>
      </c>
      <c r="M557" s="8" t="n"/>
      <c r="N557" s="21">
        <f>ROUND(N556 + IF(AND(E557&lt;=10, F557&lt;&gt;"ASTM A416"), L557, 0), 3)</f>
        <v/>
      </c>
      <c r="O557" s="21">
        <f>ROUND(O556 + IF(AND(E557&gt;10, E557&lt;=18, F557&lt;&gt;"ASTM A416"), L557, 0), 3)</f>
        <v/>
      </c>
      <c r="P557" s="21">
        <f>ROUND(P556 + IF(AND(E557&gt;18, F557&lt;&gt;"ASTM A416"), L557, 0), 3)</f>
        <v/>
      </c>
      <c r="Q557" s="21">
        <f>ROUND(Q556 + IF(F557="ASTM A416", L557, 0), 3)</f>
        <v/>
      </c>
      <c r="R557" s="11">
        <f>IF(INT(N557/20)&gt;INT(N556/20), "Lần " &amp; INT(N557/20), "")</f>
        <v/>
      </c>
      <c r="S557" s="12">
        <f>IF(INT(O557/20)&gt;INT(O556/20), "Lần " &amp; INT(O557/20), "")</f>
        <v/>
      </c>
      <c r="T557" s="11">
        <f>IF(INT(P557/20)&gt;INT(P556/20), "Lần " &amp; INT(P557/20), "")</f>
        <v/>
      </c>
      <c r="U557" s="25">
        <f>IF(INT(Q557/20)&gt;INT(Q556/20), "Lần " &amp; INT(Q557/20), "")</f>
        <v/>
      </c>
      <c r="V557" s="6" t="inlineStr"/>
      <c r="W557" s="6" t="inlineStr">
        <is>
          <t>ĐẠT TCVN 1651:2018</t>
        </is>
      </c>
    </row>
    <row r="558" ht="19" customHeight="1">
      <c r="A558" s="6" t="n">
        <v>523</v>
      </c>
      <c r="B558" s="7" t="inlineStr">
        <is>
          <t>Mố M2</t>
        </is>
      </c>
      <c r="C558" s="7" t="inlineStr">
        <is>
          <t>BỆ MỐ</t>
        </is>
      </c>
      <c r="D558" s="19" t="inlineStr">
        <is>
          <t>F1</t>
        </is>
      </c>
      <c r="E558" s="20" t="n">
        <v>28</v>
      </c>
      <c r="F558" s="6" t="inlineStr">
        <is>
          <t>CB400-V</t>
        </is>
      </c>
      <c r="G558" s="7" t="inlineStr">
        <is>
          <t>S06</t>
        </is>
      </c>
      <c r="H558" s="21" t="n">
        <v>6.578</v>
      </c>
      <c r="I558" s="22" t="n">
        <v>83</v>
      </c>
      <c r="J558" s="23" t="n">
        <v>4.83</v>
      </c>
      <c r="K558" s="9">
        <f>ROUND(H558*I558*J558, 2)</f>
        <v/>
      </c>
      <c r="L558" s="24">
        <f>ROUND(K558/1000, 3)</f>
        <v/>
      </c>
      <c r="M558" s="8" t="n"/>
      <c r="N558" s="21">
        <f>ROUND(N557 + IF(AND(E558&lt;=10, F558&lt;&gt;"ASTM A416"), L558, 0), 3)</f>
        <v/>
      </c>
      <c r="O558" s="21">
        <f>ROUND(O557 + IF(AND(E558&gt;10, E558&lt;=18, F558&lt;&gt;"ASTM A416"), L558, 0), 3)</f>
        <v/>
      </c>
      <c r="P558" s="21">
        <f>ROUND(P557 + IF(AND(E558&gt;18, F558&lt;&gt;"ASTM A416"), L558, 0), 3)</f>
        <v/>
      </c>
      <c r="Q558" s="21">
        <f>ROUND(Q557 + IF(F558="ASTM A416", L558, 0), 3)</f>
        <v/>
      </c>
      <c r="R558" s="11">
        <f>IF(INT(N558/20)&gt;INT(N557/20), "Lần " &amp; INT(N558/20), "")</f>
        <v/>
      </c>
      <c r="S558" s="12">
        <f>IF(INT(O558/20)&gt;INT(O557/20), "Lần " &amp; INT(O558/20), "")</f>
        <v/>
      </c>
      <c r="T558" s="11">
        <f>IF(INT(P558/20)&gt;INT(P557/20), "Lần " &amp; INT(P558/20), "")</f>
        <v/>
      </c>
      <c r="U558" s="25">
        <f>IF(INT(Q558/20)&gt;INT(Q557/20), "Lần " &amp; INT(Q558/20), "")</f>
        <v/>
      </c>
      <c r="V558" s="6" t="inlineStr"/>
      <c r="W558" s="6" t="inlineStr">
        <is>
          <t>ĐẠT TCVN 1651:2018</t>
        </is>
      </c>
    </row>
    <row r="559" ht="19" customHeight="1">
      <c r="A559" s="6" t="n">
        <v>524</v>
      </c>
      <c r="B559" s="7" t="inlineStr">
        <is>
          <t>Mố M2</t>
        </is>
      </c>
      <c r="C559" s="7" t="inlineStr">
        <is>
          <t>Thân mố / Bệ mố</t>
        </is>
      </c>
      <c r="D559" s="19" t="inlineStr">
        <is>
          <t>F2</t>
        </is>
      </c>
      <c r="E559" s="20" t="n">
        <v>18</v>
      </c>
      <c r="F559" s="6" t="inlineStr">
        <is>
          <t>CB400-V</t>
        </is>
      </c>
      <c r="G559" s="7" t="inlineStr">
        <is>
          <t>S06</t>
        </is>
      </c>
      <c r="H559" s="21" t="n">
        <v>13.571</v>
      </c>
      <c r="I559" s="22" t="n">
        <v>40</v>
      </c>
      <c r="J559" s="23" t="n">
        <v>2</v>
      </c>
      <c r="K559" s="9">
        <f>ROUND(H559*I559*J559, 2)</f>
        <v/>
      </c>
      <c r="L559" s="24">
        <f>ROUND(K559/1000, 3)</f>
        <v/>
      </c>
      <c r="M559" s="8" t="n"/>
      <c r="N559" s="21">
        <f>ROUND(N558 + IF(AND(E559&lt;=10, F559&lt;&gt;"ASTM A416"), L559, 0), 3)</f>
        <v/>
      </c>
      <c r="O559" s="21">
        <f>ROUND(O558 + IF(AND(E559&gt;10, E559&lt;=18, F559&lt;&gt;"ASTM A416"), L559, 0), 3)</f>
        <v/>
      </c>
      <c r="P559" s="21">
        <f>ROUND(P558 + IF(AND(E559&gt;18, F559&lt;&gt;"ASTM A416"), L559, 0), 3)</f>
        <v/>
      </c>
      <c r="Q559" s="21">
        <f>ROUND(Q558 + IF(F559="ASTM A416", L559, 0), 3)</f>
        <v/>
      </c>
      <c r="R559" s="11">
        <f>IF(INT(N559/20)&gt;INT(N558/20), "Lần " &amp; INT(N559/20), "")</f>
        <v/>
      </c>
      <c r="S559" s="12">
        <f>IF(INT(O559/20)&gt;INT(O558/20), "Lần " &amp; INT(O559/20), "")</f>
        <v/>
      </c>
      <c r="T559" s="11">
        <f>IF(INT(P559/20)&gt;INT(P558/20), "Lần " &amp; INT(P559/20), "")</f>
        <v/>
      </c>
      <c r="U559" s="25">
        <f>IF(INT(Q559/20)&gt;INT(Q558/20), "Lần " &amp; INT(Q559/20), "")</f>
        <v/>
      </c>
      <c r="V559" s="6" t="inlineStr"/>
      <c r="W559" s="6" t="inlineStr">
        <is>
          <t>ĐẠT TCVN 1651:2018</t>
        </is>
      </c>
    </row>
    <row r="560" ht="19" customHeight="1">
      <c r="A560" s="6" t="n">
        <v>525</v>
      </c>
      <c r="B560" s="7" t="inlineStr">
        <is>
          <t>Mố M2</t>
        </is>
      </c>
      <c r="C560" s="7" t="inlineStr">
        <is>
          <t>Thân mố / Bệ mố</t>
        </is>
      </c>
      <c r="D560" s="19" t="inlineStr">
        <is>
          <t>F3</t>
        </is>
      </c>
      <c r="E560" s="20" t="n">
        <v>18</v>
      </c>
      <c r="F560" s="6" t="inlineStr">
        <is>
          <t>CB400-V</t>
        </is>
      </c>
      <c r="G560" s="7" t="inlineStr">
        <is>
          <t>S06</t>
        </is>
      </c>
      <c r="H560" s="21" t="n">
        <v>6.336</v>
      </c>
      <c r="I560" s="22" t="n">
        <v>83</v>
      </c>
      <c r="J560" s="23" t="n">
        <v>2</v>
      </c>
      <c r="K560" s="9">
        <f>ROUND(H560*I560*J560, 2)</f>
        <v/>
      </c>
      <c r="L560" s="24">
        <f>ROUND(K560/1000, 3)</f>
        <v/>
      </c>
      <c r="M560" s="8" t="n"/>
      <c r="N560" s="21">
        <f>ROUND(N559 + IF(AND(E560&lt;=10, F560&lt;&gt;"ASTM A416"), L560, 0), 3)</f>
        <v/>
      </c>
      <c r="O560" s="21">
        <f>ROUND(O559 + IF(AND(E560&gt;10, E560&lt;=18, F560&lt;&gt;"ASTM A416"), L560, 0), 3)</f>
        <v/>
      </c>
      <c r="P560" s="21">
        <f>ROUND(P559 + IF(AND(E560&gt;18, F560&lt;&gt;"ASTM A416"), L560, 0), 3)</f>
        <v/>
      </c>
      <c r="Q560" s="21">
        <f>ROUND(Q559 + IF(F560="ASTM A416", L560, 0), 3)</f>
        <v/>
      </c>
      <c r="R560" s="11">
        <f>IF(INT(N560/20)&gt;INT(N559/20), "Lần " &amp; INT(N560/20), "")</f>
        <v/>
      </c>
      <c r="S560" s="12">
        <f>IF(INT(O560/20)&gt;INT(O559/20), "Lần " &amp; INT(O560/20), "")</f>
        <v/>
      </c>
      <c r="T560" s="11">
        <f>IF(INT(P560/20)&gt;INT(P559/20), "Lần " &amp; INT(P560/20), "")</f>
        <v/>
      </c>
      <c r="U560" s="25">
        <f>IF(INT(Q560/20)&gt;INT(Q559/20), "Lần " &amp; INT(Q560/20), "")</f>
        <v/>
      </c>
      <c r="V560" s="6" t="inlineStr"/>
      <c r="W560" s="6" t="inlineStr">
        <is>
          <t>ĐẠT TCVN 1651:2018</t>
        </is>
      </c>
    </row>
    <row r="561" ht="19" customHeight="1">
      <c r="A561" s="6" t="n">
        <v>526</v>
      </c>
      <c r="B561" s="7" t="inlineStr">
        <is>
          <t>Mố M2</t>
        </is>
      </c>
      <c r="C561" s="7" t="inlineStr">
        <is>
          <t>Thân mố / Bệ mố</t>
        </is>
      </c>
      <c r="D561" s="19" t="inlineStr">
        <is>
          <t>F4</t>
        </is>
      </c>
      <c r="E561" s="20" t="n">
        <v>18</v>
      </c>
      <c r="F561" s="6" t="inlineStr">
        <is>
          <t>CB400-V</t>
        </is>
      </c>
      <c r="G561" s="7" t="inlineStr">
        <is>
          <t>S06</t>
        </is>
      </c>
      <c r="H561" s="21" t="n">
        <v>13.571</v>
      </c>
      <c r="I561" s="22" t="n">
        <v>30</v>
      </c>
      <c r="J561" s="23" t="n">
        <v>2</v>
      </c>
      <c r="K561" s="9">
        <f>ROUND(H561*I561*J561, 2)</f>
        <v/>
      </c>
      <c r="L561" s="24">
        <f>ROUND(K561/1000, 3)</f>
        <v/>
      </c>
      <c r="M561" s="8" t="n"/>
      <c r="N561" s="21">
        <f>ROUND(N560 + IF(AND(E561&lt;=10, F561&lt;&gt;"ASTM A416"), L561, 0), 3)</f>
        <v/>
      </c>
      <c r="O561" s="21">
        <f>ROUND(O560 + IF(AND(E561&gt;10, E561&lt;=18, F561&lt;&gt;"ASTM A416"), L561, 0), 3)</f>
        <v/>
      </c>
      <c r="P561" s="21">
        <f>ROUND(P560 + IF(AND(E561&gt;18, F561&lt;&gt;"ASTM A416"), L561, 0), 3)</f>
        <v/>
      </c>
      <c r="Q561" s="21">
        <f>ROUND(Q560 + IF(F561="ASTM A416", L561, 0), 3)</f>
        <v/>
      </c>
      <c r="R561" s="11">
        <f>IF(INT(N561/20)&gt;INT(N560/20), "Lần " &amp; INT(N561/20), "")</f>
        <v/>
      </c>
      <c r="S561" s="12">
        <f>IF(INT(O561/20)&gt;INT(O560/20), "Lần " &amp; INT(O561/20), "")</f>
        <v/>
      </c>
      <c r="T561" s="11">
        <f>IF(INT(P561/20)&gt;INT(P560/20), "Lần " &amp; INT(P561/20), "")</f>
        <v/>
      </c>
      <c r="U561" s="25">
        <f>IF(INT(Q561/20)&gt;INT(Q560/20), "Lần " &amp; INT(Q561/20), "")</f>
        <v/>
      </c>
      <c r="V561" s="6" t="inlineStr"/>
      <c r="W561" s="6" t="inlineStr">
        <is>
          <t>ĐẠT TCVN 1651:2018</t>
        </is>
      </c>
    </row>
    <row r="562" ht="19" customHeight="1">
      <c r="A562" s="6" t="n">
        <v>527</v>
      </c>
      <c r="B562" s="7" t="inlineStr">
        <is>
          <t>Mố M2</t>
        </is>
      </c>
      <c r="C562" s="7" t="inlineStr">
        <is>
          <t>Thân mố / Bệ mố</t>
        </is>
      </c>
      <c r="D562" s="19" t="inlineStr">
        <is>
          <t>F5</t>
        </is>
      </c>
      <c r="E562" s="20" t="n">
        <v>16</v>
      </c>
      <c r="F562" s="6" t="inlineStr">
        <is>
          <t>CB400-V</t>
        </is>
      </c>
      <c r="G562" s="7" t="inlineStr">
        <is>
          <t>S01</t>
        </is>
      </c>
      <c r="H562" s="21" t="n">
        <v>5.85</v>
      </c>
      <c r="I562" s="22" t="n">
        <v>16</v>
      </c>
      <c r="J562" s="23" t="n">
        <v>1.58</v>
      </c>
      <c r="K562" s="9">
        <f>ROUND(H562*I562*J562, 2)</f>
        <v/>
      </c>
      <c r="L562" s="24">
        <f>ROUND(K562/1000, 3)</f>
        <v/>
      </c>
      <c r="M562" s="8" t="n"/>
      <c r="N562" s="21">
        <f>ROUND(N561 + IF(AND(E562&lt;=10, F562&lt;&gt;"ASTM A416"), L562, 0), 3)</f>
        <v/>
      </c>
      <c r="O562" s="21">
        <f>ROUND(O561 + IF(AND(E562&gt;10, E562&lt;=18, F562&lt;&gt;"ASTM A416"), L562, 0), 3)</f>
        <v/>
      </c>
      <c r="P562" s="21">
        <f>ROUND(P561 + IF(AND(E562&gt;18, F562&lt;&gt;"ASTM A416"), L562, 0), 3)</f>
        <v/>
      </c>
      <c r="Q562" s="21">
        <f>ROUND(Q561 + IF(F562="ASTM A416", L562, 0), 3)</f>
        <v/>
      </c>
      <c r="R562" s="11">
        <f>IF(INT(N562/20)&gt;INT(N561/20), "Lần " &amp; INT(N562/20), "")</f>
        <v/>
      </c>
      <c r="S562" s="12">
        <f>IF(INT(O562/20)&gt;INT(O561/20), "Lần " &amp; INT(O562/20), "")</f>
        <v/>
      </c>
      <c r="T562" s="11">
        <f>IF(INT(P562/20)&gt;INT(P561/20), "Lần " &amp; INT(P562/20), "")</f>
        <v/>
      </c>
      <c r="U562" s="25">
        <f>IF(INT(Q562/20)&gt;INT(Q561/20), "Lần " &amp; INT(Q562/20), "")</f>
        <v/>
      </c>
      <c r="V562" s="6" t="inlineStr"/>
      <c r="W562" s="6" t="inlineStr">
        <is>
          <t>ĐẠT TCVN 1651:2018</t>
        </is>
      </c>
    </row>
    <row r="563" ht="19" customHeight="1">
      <c r="A563" s="6" t="n">
        <v>528</v>
      </c>
      <c r="B563" s="7" t="inlineStr">
        <is>
          <t>Mố M2</t>
        </is>
      </c>
      <c r="C563" s="7" t="inlineStr">
        <is>
          <t>Thân mố / Bệ mố</t>
        </is>
      </c>
      <c r="D563" s="19" t="inlineStr">
        <is>
          <t>F6</t>
        </is>
      </c>
      <c r="E563" s="20" t="n">
        <v>16</v>
      </c>
      <c r="F563" s="6" t="inlineStr">
        <is>
          <t>CB400-V</t>
        </is>
      </c>
      <c r="G563" s="7" t="inlineStr">
        <is>
          <t>S06</t>
        </is>
      </c>
      <c r="H563" s="21" t="n">
        <v>1.99</v>
      </c>
      <c r="I563" s="22" t="n">
        <v>188</v>
      </c>
      <c r="J563" s="23" t="n">
        <v>1.58</v>
      </c>
      <c r="K563" s="9">
        <f>ROUND(H563*I563*J563, 2)</f>
        <v/>
      </c>
      <c r="L563" s="24">
        <f>ROUND(K563/1000, 3)</f>
        <v/>
      </c>
      <c r="M563" s="8" t="n"/>
      <c r="N563" s="21">
        <f>ROUND(N562 + IF(AND(E563&lt;=10, F563&lt;&gt;"ASTM A416"), L563, 0), 3)</f>
        <v/>
      </c>
      <c r="O563" s="21">
        <f>ROUND(O562 + IF(AND(E563&gt;10, E563&lt;=18, F563&lt;&gt;"ASTM A416"), L563, 0), 3)</f>
        <v/>
      </c>
      <c r="P563" s="21">
        <f>ROUND(P562 + IF(AND(E563&gt;18, F563&lt;&gt;"ASTM A416"), L563, 0), 3)</f>
        <v/>
      </c>
      <c r="Q563" s="21">
        <f>ROUND(Q562 + IF(F563="ASTM A416", L563, 0), 3)</f>
        <v/>
      </c>
      <c r="R563" s="11">
        <f>IF(INT(N563/20)&gt;INT(N562/20), "Lần " &amp; INT(N563/20), "")</f>
        <v/>
      </c>
      <c r="S563" s="12">
        <f>IF(INT(O563/20)&gt;INT(O562/20), "Lần " &amp; INT(O563/20), "")</f>
        <v/>
      </c>
      <c r="T563" s="11">
        <f>IF(INT(P563/20)&gt;INT(P562/20), "Lần " &amp; INT(P563/20), "")</f>
        <v/>
      </c>
      <c r="U563" s="25">
        <f>IF(INT(Q563/20)&gt;INT(Q562/20), "Lần " &amp; INT(Q563/20), "")</f>
        <v/>
      </c>
      <c r="V563" s="6" t="inlineStr"/>
      <c r="W563" s="6" t="inlineStr">
        <is>
          <t>ĐẠT TCVN 1651:2018</t>
        </is>
      </c>
    </row>
    <row r="564" ht="19" customHeight="1">
      <c r="A564" s="6" t="n">
        <v>529</v>
      </c>
      <c r="B564" s="7" t="inlineStr">
        <is>
          <t>Mố M2</t>
        </is>
      </c>
      <c r="C564" s="7" t="inlineStr">
        <is>
          <t>Thân mố / Bệ mố</t>
        </is>
      </c>
      <c r="D564" s="19" t="inlineStr">
        <is>
          <t>F7</t>
        </is>
      </c>
      <c r="E564" s="20" t="n">
        <v>16</v>
      </c>
      <c r="F564" s="6" t="inlineStr">
        <is>
          <t>CB400-V</t>
        </is>
      </c>
      <c r="G564" s="7" t="inlineStr">
        <is>
          <t>S01</t>
        </is>
      </c>
      <c r="H564" s="21" t="n">
        <v>13.005</v>
      </c>
      <c r="I564" s="22" t="n">
        <v>16</v>
      </c>
      <c r="J564" s="23" t="n">
        <v>1.58</v>
      </c>
      <c r="K564" s="9">
        <f>ROUND(H564*I564*J564, 2)</f>
        <v/>
      </c>
      <c r="L564" s="24">
        <f>ROUND(K564/1000, 3)</f>
        <v/>
      </c>
      <c r="M564" s="8" t="n"/>
      <c r="N564" s="21">
        <f>ROUND(N563 + IF(AND(E564&lt;=10, F564&lt;&gt;"ASTM A416"), L564, 0), 3)</f>
        <v/>
      </c>
      <c r="O564" s="21">
        <f>ROUND(O563 + IF(AND(E564&gt;10, E564&lt;=18, F564&lt;&gt;"ASTM A416"), L564, 0), 3)</f>
        <v/>
      </c>
      <c r="P564" s="21">
        <f>ROUND(P563 + IF(AND(E564&gt;18, F564&lt;&gt;"ASTM A416"), L564, 0), 3)</f>
        <v/>
      </c>
      <c r="Q564" s="21">
        <f>ROUND(Q563 + IF(F564="ASTM A416", L564, 0), 3)</f>
        <v/>
      </c>
      <c r="R564" s="11">
        <f>IF(INT(N564/20)&gt;INT(N563/20), "Lần " &amp; INT(N564/20), "")</f>
        <v/>
      </c>
      <c r="S564" s="12">
        <f>IF(INT(O564/20)&gt;INT(O563/20), "Lần " &amp; INT(O564/20), "")</f>
        <v/>
      </c>
      <c r="T564" s="11">
        <f>IF(INT(P564/20)&gt;INT(P563/20), "Lần " &amp; INT(P564/20), "")</f>
        <v/>
      </c>
      <c r="U564" s="25">
        <f>IF(INT(Q564/20)&gt;INT(Q563/20), "Lần " &amp; INT(Q564/20), "")</f>
        <v/>
      </c>
      <c r="V564" s="6" t="inlineStr"/>
      <c r="W564" s="6" t="inlineStr">
        <is>
          <t>ĐẠT TCVN 1651:2018</t>
        </is>
      </c>
    </row>
    <row r="565" ht="19" customHeight="1">
      <c r="A565" s="6" t="n">
        <v>530</v>
      </c>
      <c r="B565" s="7" t="inlineStr">
        <is>
          <t>Mố M2</t>
        </is>
      </c>
      <c r="C565" s="7" t="inlineStr">
        <is>
          <t>Thân mố / Bệ mố</t>
        </is>
      </c>
      <c r="D565" s="19" t="inlineStr">
        <is>
          <t>F8</t>
        </is>
      </c>
      <c r="E565" s="20" t="n">
        <v>16</v>
      </c>
      <c r="F565" s="6" t="inlineStr">
        <is>
          <t>CB400-V</t>
        </is>
      </c>
      <c r="G565" s="7" t="inlineStr">
        <is>
          <t>S06</t>
        </is>
      </c>
      <c r="H565" s="21" t="n">
        <v>1.99</v>
      </c>
      <c r="I565" s="22" t="n">
        <v>140</v>
      </c>
      <c r="J565" s="23" t="n">
        <v>1.58</v>
      </c>
      <c r="K565" s="9">
        <f>ROUND(H565*I565*J565, 2)</f>
        <v/>
      </c>
      <c r="L565" s="24">
        <f>ROUND(K565/1000, 3)</f>
        <v/>
      </c>
      <c r="M565" s="8" t="n"/>
      <c r="N565" s="21">
        <f>ROUND(N564 + IF(AND(E565&lt;=10, F565&lt;&gt;"ASTM A416"), L565, 0), 3)</f>
        <v/>
      </c>
      <c r="O565" s="21">
        <f>ROUND(O564 + IF(AND(E565&gt;10, E565&lt;=18, F565&lt;&gt;"ASTM A416"), L565, 0), 3)</f>
        <v/>
      </c>
      <c r="P565" s="21">
        <f>ROUND(P564 + IF(AND(E565&gt;18, F565&lt;&gt;"ASTM A416"), L565, 0), 3)</f>
        <v/>
      </c>
      <c r="Q565" s="21">
        <f>ROUND(Q564 + IF(F565="ASTM A416", L565, 0), 3)</f>
        <v/>
      </c>
      <c r="R565" s="11">
        <f>IF(INT(N565/20)&gt;INT(N564/20), "Lần " &amp; INT(N565/20), "")</f>
        <v/>
      </c>
      <c r="S565" s="12">
        <f>IF(INT(O565/20)&gt;INT(O564/20), "Lần " &amp; INT(O565/20), "")</f>
        <v/>
      </c>
      <c r="T565" s="11">
        <f>IF(INT(P565/20)&gt;INT(P564/20), "Lần " &amp; INT(P565/20), "")</f>
        <v/>
      </c>
      <c r="U565" s="25">
        <f>IF(INT(Q565/20)&gt;INT(Q564/20), "Lần " &amp; INT(Q565/20), "")</f>
        <v/>
      </c>
      <c r="V565" s="6" t="inlineStr"/>
      <c r="W565" s="6" t="inlineStr">
        <is>
          <t>ĐẠT TCVN 1651:2018</t>
        </is>
      </c>
    </row>
    <row r="566" ht="19" customHeight="1">
      <c r="A566" s="6" t="n">
        <v>531</v>
      </c>
      <c r="B566" s="7" t="inlineStr">
        <is>
          <t>Mố M2</t>
        </is>
      </c>
      <c r="C566" s="7" t="inlineStr">
        <is>
          <t>TƯỜNG THÂN</t>
        </is>
      </c>
      <c r="D566" s="19" t="inlineStr">
        <is>
          <t>A1</t>
        </is>
      </c>
      <c r="E566" s="20" t="n">
        <v>28</v>
      </c>
      <c r="F566" s="6" t="inlineStr">
        <is>
          <t>CB400-V</t>
        </is>
      </c>
      <c r="G566" s="7" t="inlineStr">
        <is>
          <t>S02</t>
        </is>
      </c>
      <c r="H566" s="21" t="n">
        <v>8.319000000000001</v>
      </c>
      <c r="I566" s="22" t="n">
        <v>78</v>
      </c>
      <c r="J566" s="23" t="n">
        <v>4.83</v>
      </c>
      <c r="K566" s="9">
        <f>ROUND(H566*I566*J566, 2)</f>
        <v/>
      </c>
      <c r="L566" s="24">
        <f>ROUND(K566/1000, 3)</f>
        <v/>
      </c>
      <c r="M566" s="8" t="n"/>
      <c r="N566" s="21">
        <f>ROUND(N565 + IF(AND(E566&lt;=10, F566&lt;&gt;"ASTM A416"), L566, 0), 3)</f>
        <v/>
      </c>
      <c r="O566" s="21">
        <f>ROUND(O565 + IF(AND(E566&gt;10, E566&lt;=18, F566&lt;&gt;"ASTM A416"), L566, 0), 3)</f>
        <v/>
      </c>
      <c r="P566" s="21">
        <f>ROUND(P565 + IF(AND(E566&gt;18, F566&lt;&gt;"ASTM A416"), L566, 0), 3)</f>
        <v/>
      </c>
      <c r="Q566" s="21">
        <f>ROUND(Q565 + IF(F566="ASTM A416", L566, 0), 3)</f>
        <v/>
      </c>
      <c r="R566" s="11">
        <f>IF(INT(N566/20)&gt;INT(N565/20), "Lần " &amp; INT(N566/20), "")</f>
        <v/>
      </c>
      <c r="S566" s="12">
        <f>IF(INT(O566/20)&gt;INT(O565/20), "Lần " &amp; INT(O566/20), "")</f>
        <v/>
      </c>
      <c r="T566" s="11">
        <f>IF(INT(P566/20)&gt;INT(P565/20), "Lần " &amp; INT(P566/20), "")</f>
        <v/>
      </c>
      <c r="U566" s="25">
        <f>IF(INT(Q566/20)&gt;INT(Q565/20), "Lần " &amp; INT(Q566/20), "")</f>
        <v/>
      </c>
      <c r="V566" s="6" t="inlineStr"/>
      <c r="W566" s="6" t="inlineStr">
        <is>
          <t>ĐẠT TCVN 1651:2018</t>
        </is>
      </c>
    </row>
    <row r="567" ht="19" customHeight="1">
      <c r="A567" s="6" t="n">
        <v>532</v>
      </c>
      <c r="B567" s="7" t="inlineStr">
        <is>
          <t>Mố M2</t>
        </is>
      </c>
      <c r="C567" s="7" t="inlineStr">
        <is>
          <t>Thân mố / Bệ mố</t>
        </is>
      </c>
      <c r="D567" s="19" t="inlineStr">
        <is>
          <t>A2</t>
        </is>
      </c>
      <c r="E567" s="20" t="n">
        <v>16</v>
      </c>
      <c r="F567" s="6" t="inlineStr">
        <is>
          <t>CB400-V</t>
        </is>
      </c>
      <c r="G567" s="7" t="inlineStr">
        <is>
          <t>S06</t>
        </is>
      </c>
      <c r="H567" s="21" t="n">
        <v>13.487</v>
      </c>
      <c r="I567" s="22" t="n">
        <v>41</v>
      </c>
      <c r="J567" s="23" t="n">
        <v>1.58</v>
      </c>
      <c r="K567" s="9">
        <f>ROUND(H567*I567*J567, 2)</f>
        <v/>
      </c>
      <c r="L567" s="24">
        <f>ROUND(K567/1000, 3)</f>
        <v/>
      </c>
      <c r="M567" s="8" t="n"/>
      <c r="N567" s="21">
        <f>ROUND(N566 + IF(AND(E567&lt;=10, F567&lt;&gt;"ASTM A416"), L567, 0), 3)</f>
        <v/>
      </c>
      <c r="O567" s="21">
        <f>ROUND(O566 + IF(AND(E567&gt;10, E567&lt;=18, F567&lt;&gt;"ASTM A416"), L567, 0), 3)</f>
        <v/>
      </c>
      <c r="P567" s="21">
        <f>ROUND(P566 + IF(AND(E567&gt;18, F567&lt;&gt;"ASTM A416"), L567, 0), 3)</f>
        <v/>
      </c>
      <c r="Q567" s="21">
        <f>ROUND(Q566 + IF(F567="ASTM A416", L567, 0), 3)</f>
        <v/>
      </c>
      <c r="R567" s="11">
        <f>IF(INT(N567/20)&gt;INT(N566/20), "Lần " &amp; INT(N567/20), "")</f>
        <v/>
      </c>
      <c r="S567" s="12">
        <f>IF(INT(O567/20)&gt;INT(O566/20), "Lần " &amp; INT(O567/20), "")</f>
        <v/>
      </c>
      <c r="T567" s="11">
        <f>IF(INT(P567/20)&gt;INT(P566/20), "Lần " &amp; INT(P567/20), "")</f>
        <v/>
      </c>
      <c r="U567" s="25">
        <f>IF(INT(Q567/20)&gt;INT(Q566/20), "Lần " &amp; INT(Q567/20), "")</f>
        <v/>
      </c>
      <c r="V567" s="6" t="inlineStr"/>
      <c r="W567" s="6" t="inlineStr">
        <is>
          <t>ĐẠT TCVN 1651:2018</t>
        </is>
      </c>
    </row>
    <row r="568" ht="19" customHeight="1">
      <c r="A568" s="6" t="n">
        <v>533</v>
      </c>
      <c r="B568" s="7" t="inlineStr">
        <is>
          <t>Mố M2</t>
        </is>
      </c>
      <c r="C568" s="7" t="inlineStr">
        <is>
          <t>Thân mố / Bệ mố</t>
        </is>
      </c>
      <c r="D568" s="19" t="inlineStr">
        <is>
          <t>A3</t>
        </is>
      </c>
      <c r="E568" s="20" t="n">
        <v>16</v>
      </c>
      <c r="F568" s="6" t="inlineStr">
        <is>
          <t>CB400-V</t>
        </is>
      </c>
      <c r="G568" s="7" t="inlineStr">
        <is>
          <t>S02</t>
        </is>
      </c>
      <c r="H568" s="21" t="n">
        <v>8.164</v>
      </c>
      <c r="I568" s="22" t="n">
        <v>83</v>
      </c>
      <c r="J568" s="23" t="n">
        <v>1.58</v>
      </c>
      <c r="K568" s="9">
        <f>ROUND(H568*I568*J568, 2)</f>
        <v/>
      </c>
      <c r="L568" s="24">
        <f>ROUND(K568/1000, 3)</f>
        <v/>
      </c>
      <c r="M568" s="8" t="n"/>
      <c r="N568" s="21">
        <f>ROUND(N567 + IF(AND(E568&lt;=10, F568&lt;&gt;"ASTM A416"), L568, 0), 3)</f>
        <v/>
      </c>
      <c r="O568" s="21">
        <f>ROUND(O567 + IF(AND(E568&gt;10, E568&lt;=18, F568&lt;&gt;"ASTM A416"), L568, 0), 3)</f>
        <v/>
      </c>
      <c r="P568" s="21">
        <f>ROUND(P567 + IF(AND(E568&gt;18, F568&lt;&gt;"ASTM A416"), L568, 0), 3)</f>
        <v/>
      </c>
      <c r="Q568" s="21">
        <f>ROUND(Q567 + IF(F568="ASTM A416", L568, 0), 3)</f>
        <v/>
      </c>
      <c r="R568" s="11">
        <f>IF(INT(N568/20)&gt;INT(N567/20), "Lần " &amp; INT(N568/20), "")</f>
        <v/>
      </c>
      <c r="S568" s="12">
        <f>IF(INT(O568/20)&gt;INT(O567/20), "Lần " &amp; INT(O568/20), "")</f>
        <v/>
      </c>
      <c r="T568" s="11">
        <f>IF(INT(P568/20)&gt;INT(P567/20), "Lần " &amp; INT(P568/20), "")</f>
        <v/>
      </c>
      <c r="U568" s="25">
        <f>IF(INT(Q568/20)&gt;INT(Q567/20), "Lần " &amp; INT(Q568/20), "")</f>
        <v/>
      </c>
      <c r="V568" s="6" t="inlineStr"/>
      <c r="W568" s="6" t="inlineStr">
        <is>
          <t>ĐẠT TCVN 1651:2018</t>
        </is>
      </c>
    </row>
    <row r="569" ht="19" customHeight="1">
      <c r="A569" s="6" t="n">
        <v>534</v>
      </c>
      <c r="B569" s="7" t="inlineStr">
        <is>
          <t>Mố M2</t>
        </is>
      </c>
      <c r="C569" s="7" t="inlineStr">
        <is>
          <t>Thân mố / Bệ mố</t>
        </is>
      </c>
      <c r="D569" s="19" t="inlineStr">
        <is>
          <t>A4</t>
        </is>
      </c>
      <c r="E569" s="20" t="n">
        <v>16</v>
      </c>
      <c r="F569" s="6" t="inlineStr">
        <is>
          <t>CB400-V</t>
        </is>
      </c>
      <c r="G569" s="7" t="inlineStr">
        <is>
          <t>S06</t>
        </is>
      </c>
      <c r="H569" s="21" t="n">
        <v>13.487</v>
      </c>
      <c r="I569" s="22" t="n">
        <v>40</v>
      </c>
      <c r="J569" s="23" t="n">
        <v>1.58</v>
      </c>
      <c r="K569" s="9">
        <f>ROUND(H569*I569*J569, 2)</f>
        <v/>
      </c>
      <c r="L569" s="24">
        <f>ROUND(K569/1000, 3)</f>
        <v/>
      </c>
      <c r="M569" s="8" t="n"/>
      <c r="N569" s="21">
        <f>ROUND(N568 + IF(AND(E569&lt;=10, F569&lt;&gt;"ASTM A416"), L569, 0), 3)</f>
        <v/>
      </c>
      <c r="O569" s="21">
        <f>ROUND(O568 + IF(AND(E569&gt;10, E569&lt;=18, F569&lt;&gt;"ASTM A416"), L569, 0), 3)</f>
        <v/>
      </c>
      <c r="P569" s="21">
        <f>ROUND(P568 + IF(AND(E569&gt;18, F569&lt;&gt;"ASTM A416"), L569, 0), 3)</f>
        <v/>
      </c>
      <c r="Q569" s="21">
        <f>ROUND(Q568 + IF(F569="ASTM A416", L569, 0), 3)</f>
        <v/>
      </c>
      <c r="R569" s="11">
        <f>IF(INT(N569/20)&gt;INT(N568/20), "Lần " &amp; INT(N569/20), "")</f>
        <v/>
      </c>
      <c r="S569" s="12">
        <f>IF(INT(O569/20)&gt;INT(O568/20), "Lần " &amp; INT(O569/20), "")</f>
        <v/>
      </c>
      <c r="T569" s="11">
        <f>IF(INT(P569/20)&gt;INT(P568/20), "Lần " &amp; INT(P569/20), "")</f>
        <v/>
      </c>
      <c r="U569" s="25">
        <f>IF(INT(Q569/20)&gt;INT(Q568/20), "Lần " &amp; INT(Q569/20), "")</f>
        <v/>
      </c>
      <c r="V569" s="6" t="inlineStr"/>
      <c r="W569" s="6" t="inlineStr">
        <is>
          <t>ĐẠT TCVN 1651:2018</t>
        </is>
      </c>
    </row>
    <row r="570" ht="19" customHeight="1">
      <c r="A570" s="6" t="n">
        <v>535</v>
      </c>
      <c r="B570" s="7" t="inlineStr">
        <is>
          <t>Mố M2</t>
        </is>
      </c>
      <c r="C570" s="7" t="inlineStr">
        <is>
          <t>Thân mố / Bệ mố</t>
        </is>
      </c>
      <c r="D570" s="19" t="inlineStr">
        <is>
          <t>A4A</t>
        </is>
      </c>
      <c r="E570" s="20" t="n">
        <v>16</v>
      </c>
      <c r="F570" s="6" t="inlineStr">
        <is>
          <t>CB400-V</t>
        </is>
      </c>
      <c r="G570" s="7" t="inlineStr">
        <is>
          <t>S06</t>
        </is>
      </c>
      <c r="H570" s="21" t="n">
        <v>6.485</v>
      </c>
      <c r="I570" s="22" t="n">
        <v>1</v>
      </c>
      <c r="J570" s="23" t="n">
        <v>1.58</v>
      </c>
      <c r="K570" s="9">
        <f>ROUND(H570*I570*J570, 2)</f>
        <v/>
      </c>
      <c r="L570" s="24">
        <f>ROUND(K570/1000, 3)</f>
        <v/>
      </c>
      <c r="M570" s="8" t="n"/>
      <c r="N570" s="21">
        <f>ROUND(N569 + IF(AND(E570&lt;=10, F570&lt;&gt;"ASTM A416"), L570, 0), 3)</f>
        <v/>
      </c>
      <c r="O570" s="21">
        <f>ROUND(O569 + IF(AND(E570&gt;10, E570&lt;=18, F570&lt;&gt;"ASTM A416"), L570, 0), 3)</f>
        <v/>
      </c>
      <c r="P570" s="21">
        <f>ROUND(P569 + IF(AND(E570&gt;18, F570&lt;&gt;"ASTM A416"), L570, 0), 3)</f>
        <v/>
      </c>
      <c r="Q570" s="21">
        <f>ROUND(Q569 + IF(F570="ASTM A416", L570, 0), 3)</f>
        <v/>
      </c>
      <c r="R570" s="11">
        <f>IF(INT(N570/20)&gt;INT(N569/20), "Lần " &amp; INT(N570/20), "")</f>
        <v/>
      </c>
      <c r="S570" s="12">
        <f>IF(INT(O570/20)&gt;INT(O569/20), "Lần " &amp; INT(O570/20), "")</f>
        <v/>
      </c>
      <c r="T570" s="11">
        <f>IF(INT(P570/20)&gt;INT(P569/20), "Lần " &amp; INT(P570/20), "")</f>
        <v/>
      </c>
      <c r="U570" s="25">
        <f>IF(INT(Q570/20)&gt;INT(Q569/20), "Lần " &amp; INT(Q570/20), "")</f>
        <v/>
      </c>
      <c r="V570" s="6" t="inlineStr"/>
      <c r="W570" s="6" t="inlineStr">
        <is>
          <t>ĐẠT TCVN 1651:2018</t>
        </is>
      </c>
    </row>
    <row r="571" ht="19" customHeight="1">
      <c r="A571" s="6" t="n">
        <v>536</v>
      </c>
      <c r="B571" s="7" t="inlineStr">
        <is>
          <t>Mố M2</t>
        </is>
      </c>
      <c r="C571" s="7" t="inlineStr">
        <is>
          <t>Thân mố / Bệ mố</t>
        </is>
      </c>
      <c r="D571" s="19" t="inlineStr">
        <is>
          <t>A5</t>
        </is>
      </c>
      <c r="E571" s="20" t="n">
        <v>16</v>
      </c>
      <c r="F571" s="6" t="inlineStr">
        <is>
          <t>CB400-V</t>
        </is>
      </c>
      <c r="G571" s="7" t="inlineStr">
        <is>
          <t>S06</t>
        </is>
      </c>
      <c r="H571" s="21" t="n">
        <v>13.489</v>
      </c>
      <c r="I571" s="22" t="n">
        <v>7</v>
      </c>
      <c r="J571" s="23" t="n">
        <v>1.58</v>
      </c>
      <c r="K571" s="9">
        <f>ROUND(H571*I571*J571, 2)</f>
        <v/>
      </c>
      <c r="L571" s="24">
        <f>ROUND(K571/1000, 3)</f>
        <v/>
      </c>
      <c r="M571" s="8" t="n"/>
      <c r="N571" s="21">
        <f>ROUND(N570 + IF(AND(E571&lt;=10, F571&lt;&gt;"ASTM A416"), L571, 0), 3)</f>
        <v/>
      </c>
      <c r="O571" s="21">
        <f>ROUND(O570 + IF(AND(E571&gt;10, E571&lt;=18, F571&lt;&gt;"ASTM A416"), L571, 0), 3)</f>
        <v/>
      </c>
      <c r="P571" s="21">
        <f>ROUND(P570 + IF(AND(E571&gt;18, F571&lt;&gt;"ASTM A416"), L571, 0), 3)</f>
        <v/>
      </c>
      <c r="Q571" s="21">
        <f>ROUND(Q570 + IF(F571="ASTM A416", L571, 0), 3)</f>
        <v/>
      </c>
      <c r="R571" s="11">
        <f>IF(INT(N571/20)&gt;INT(N570/20), "Lần " &amp; INT(N571/20), "")</f>
        <v/>
      </c>
      <c r="S571" s="12">
        <f>IF(INT(O571/20)&gt;INT(O570/20), "Lần " &amp; INT(O571/20), "")</f>
        <v/>
      </c>
      <c r="T571" s="11">
        <f>IF(INT(P571/20)&gt;INT(P570/20), "Lần " &amp; INT(P571/20), "")</f>
        <v/>
      </c>
      <c r="U571" s="25">
        <f>IF(INT(Q571/20)&gt;INT(Q570/20), "Lần " &amp; INT(Q571/20), "")</f>
        <v/>
      </c>
      <c r="V571" s="6" t="inlineStr"/>
      <c r="W571" s="6" t="inlineStr">
        <is>
          <t>ĐẠT TCVN 1651:2018</t>
        </is>
      </c>
    </row>
    <row r="572" ht="19" customHeight="1">
      <c r="A572" s="6" t="n">
        <v>537</v>
      </c>
      <c r="B572" s="7" t="inlineStr">
        <is>
          <t>Mố M2</t>
        </is>
      </c>
      <c r="C572" s="7" t="inlineStr">
        <is>
          <t>Thân mố / Bệ mố</t>
        </is>
      </c>
      <c r="D572" s="19" t="inlineStr">
        <is>
          <t>A6</t>
        </is>
      </c>
      <c r="E572" s="20" t="n">
        <v>16</v>
      </c>
      <c r="F572" s="6" t="inlineStr">
        <is>
          <t>CB400-V</t>
        </is>
      </c>
      <c r="G572" s="7" t="inlineStr">
        <is>
          <t>S06</t>
        </is>
      </c>
      <c r="H572" s="21" t="n">
        <v>1.807</v>
      </c>
      <c r="I572" s="22" t="n">
        <v>78</v>
      </c>
      <c r="J572" s="23" t="n">
        <v>1.58</v>
      </c>
      <c r="K572" s="9">
        <f>ROUND(H572*I572*J572, 2)</f>
        <v/>
      </c>
      <c r="L572" s="24">
        <f>ROUND(K572/1000, 3)</f>
        <v/>
      </c>
      <c r="M572" s="8" t="n"/>
      <c r="N572" s="21">
        <f>ROUND(N571 + IF(AND(E572&lt;=10, F572&lt;&gt;"ASTM A416"), L572, 0), 3)</f>
        <v/>
      </c>
      <c r="O572" s="21">
        <f>ROUND(O571 + IF(AND(E572&gt;10, E572&lt;=18, F572&lt;&gt;"ASTM A416"), L572, 0), 3)</f>
        <v/>
      </c>
      <c r="P572" s="21">
        <f>ROUND(P571 + IF(AND(E572&gt;18, F572&lt;&gt;"ASTM A416"), L572, 0), 3)</f>
        <v/>
      </c>
      <c r="Q572" s="21">
        <f>ROUND(Q571 + IF(F572="ASTM A416", L572, 0), 3)</f>
        <v/>
      </c>
      <c r="R572" s="11">
        <f>IF(INT(N572/20)&gt;INT(N571/20), "Lần " &amp; INT(N572/20), "")</f>
        <v/>
      </c>
      <c r="S572" s="12">
        <f>IF(INT(O572/20)&gt;INT(O571/20), "Lần " &amp; INT(O572/20), "")</f>
        <v/>
      </c>
      <c r="T572" s="11">
        <f>IF(INT(P572/20)&gt;INT(P571/20), "Lần " &amp; INT(P572/20), "")</f>
        <v/>
      </c>
      <c r="U572" s="25">
        <f>IF(INT(Q572/20)&gt;INT(Q571/20), "Lần " &amp; INT(Q572/20), "")</f>
        <v/>
      </c>
      <c r="V572" s="6" t="inlineStr"/>
      <c r="W572" s="6" t="inlineStr">
        <is>
          <t>ĐẠT TCVN 1651:2018</t>
        </is>
      </c>
    </row>
    <row r="573" ht="19" customHeight="1">
      <c r="A573" s="6" t="n">
        <v>538</v>
      </c>
      <c r="B573" s="7" t="inlineStr">
        <is>
          <t>Mố M2</t>
        </is>
      </c>
      <c r="C573" s="7" t="inlineStr">
        <is>
          <t>Thân mố / Bệ mố</t>
        </is>
      </c>
      <c r="D573" s="19" t="inlineStr">
        <is>
          <t>A7</t>
        </is>
      </c>
      <c r="E573" s="20" t="n">
        <v>14</v>
      </c>
      <c r="F573" s="6" t="inlineStr">
        <is>
          <t>CB400-V</t>
        </is>
      </c>
      <c r="G573" s="7" t="inlineStr">
        <is>
          <t>S06</t>
        </is>
      </c>
      <c r="H573" s="21" t="n">
        <v>1.585</v>
      </c>
      <c r="I573" s="22" t="n">
        <v>200</v>
      </c>
      <c r="J573" s="23" t="n">
        <v>1.21</v>
      </c>
      <c r="K573" s="9">
        <f>ROUND(H573*I573*J573, 2)</f>
        <v/>
      </c>
      <c r="L573" s="24">
        <f>ROUND(K573/1000, 3)</f>
        <v/>
      </c>
      <c r="M573" s="8" t="n"/>
      <c r="N573" s="21">
        <f>ROUND(N572 + IF(AND(E573&lt;=10, F573&lt;&gt;"ASTM A416"), L573, 0), 3)</f>
        <v/>
      </c>
      <c r="O573" s="21">
        <f>ROUND(O572 + IF(AND(E573&gt;10, E573&lt;=18, F573&lt;&gt;"ASTM A416"), L573, 0), 3)</f>
        <v/>
      </c>
      <c r="P573" s="21">
        <f>ROUND(P572 + IF(AND(E573&gt;18, F573&lt;&gt;"ASTM A416"), L573, 0), 3)</f>
        <v/>
      </c>
      <c r="Q573" s="21">
        <f>ROUND(Q572 + IF(F573="ASTM A416", L573, 0), 3)</f>
        <v/>
      </c>
      <c r="R573" s="11">
        <f>IF(INT(N573/20)&gt;INT(N572/20), "Lần " &amp; INT(N573/20), "")</f>
        <v/>
      </c>
      <c r="S573" s="12">
        <f>IF(INT(O573/20)&gt;INT(O572/20), "Lần " &amp; INT(O573/20), "")</f>
        <v/>
      </c>
      <c r="T573" s="11">
        <f>IF(INT(P573/20)&gt;INT(P572/20), "Lần " &amp; INT(P573/20), "")</f>
        <v/>
      </c>
      <c r="U573" s="25">
        <f>IF(INT(Q573/20)&gt;INT(Q572/20), "Lần " &amp; INT(Q573/20), "")</f>
        <v/>
      </c>
      <c r="V573" s="6" t="inlineStr"/>
      <c r="W573" s="6" t="inlineStr">
        <is>
          <t>ĐẠT TCVN 1651:2018</t>
        </is>
      </c>
    </row>
    <row r="574" ht="19" customHeight="1">
      <c r="A574" s="6" t="n">
        <v>539</v>
      </c>
      <c r="B574" s="7" t="inlineStr">
        <is>
          <t>Mố M2</t>
        </is>
      </c>
      <c r="C574" s="7" t="inlineStr">
        <is>
          <t>Thân mố / Bệ mố</t>
        </is>
      </c>
      <c r="D574" s="19" t="inlineStr">
        <is>
          <t>A8(T)</t>
        </is>
      </c>
      <c r="E574" s="20" t="n">
        <v>16</v>
      </c>
      <c r="F574" s="6" t="inlineStr">
        <is>
          <t>CB400-V</t>
        </is>
      </c>
      <c r="G574" s="7" t="inlineStr">
        <is>
          <t>S02</t>
        </is>
      </c>
      <c r="H574" s="21" t="n">
        <v>8.002000000000001</v>
      </c>
      <c r="I574" s="22" t="n">
        <v>7</v>
      </c>
      <c r="J574" s="23" t="n">
        <v>1.58</v>
      </c>
      <c r="K574" s="9">
        <f>ROUND(H574*I574*J574, 2)</f>
        <v/>
      </c>
      <c r="L574" s="24">
        <f>ROUND(K574/1000, 3)</f>
        <v/>
      </c>
      <c r="M574" s="8" t="n"/>
      <c r="N574" s="21">
        <f>ROUND(N573 + IF(AND(E574&lt;=10, F574&lt;&gt;"ASTM A416"), L574, 0), 3)</f>
        <v/>
      </c>
      <c r="O574" s="21">
        <f>ROUND(O573 + IF(AND(E574&gt;10, E574&lt;=18, F574&lt;&gt;"ASTM A416"), L574, 0), 3)</f>
        <v/>
      </c>
      <c r="P574" s="21">
        <f>ROUND(P573 + IF(AND(E574&gt;18, F574&lt;&gt;"ASTM A416"), L574, 0), 3)</f>
        <v/>
      </c>
      <c r="Q574" s="21">
        <f>ROUND(Q573 + IF(F574="ASTM A416", L574, 0), 3)</f>
        <v/>
      </c>
      <c r="R574" s="11">
        <f>IF(INT(N574/20)&gt;INT(N573/20), "Lần " &amp; INT(N574/20), "")</f>
        <v/>
      </c>
      <c r="S574" s="12">
        <f>IF(INT(O574/20)&gt;INT(O573/20), "Lần " &amp; INT(O574/20), "")</f>
        <v/>
      </c>
      <c r="T574" s="11">
        <f>IF(INT(P574/20)&gt;INT(P573/20), "Lần " &amp; INT(P574/20), "")</f>
        <v/>
      </c>
      <c r="U574" s="25">
        <f>IF(INT(Q574/20)&gt;INT(Q573/20), "Lần " &amp; INT(Q574/20), "")</f>
        <v/>
      </c>
      <c r="V574" s="6" t="inlineStr"/>
      <c r="W574" s="6" t="inlineStr">
        <is>
          <t>ĐẠT TCVN 1651:2018</t>
        </is>
      </c>
    </row>
    <row r="575" ht="19" customHeight="1">
      <c r="A575" s="6" t="n">
        <v>540</v>
      </c>
      <c r="B575" s="7" t="inlineStr">
        <is>
          <t>Mố M2</t>
        </is>
      </c>
      <c r="C575" s="7" t="inlineStr">
        <is>
          <t>Thân mố / Bệ mố</t>
        </is>
      </c>
      <c r="D575" s="19" t="inlineStr">
        <is>
          <t>P1</t>
        </is>
      </c>
      <c r="E575" s="20" t="n">
        <v>16</v>
      </c>
      <c r="F575" s="6" t="inlineStr">
        <is>
          <t>CB400-V</t>
        </is>
      </c>
      <c r="G575" s="7" t="inlineStr">
        <is>
          <t>S06</t>
        </is>
      </c>
      <c r="H575" s="21" t="n">
        <v>13.487</v>
      </c>
      <c r="I575" s="22" t="n">
        <v>32</v>
      </c>
      <c r="J575" s="23" t="n">
        <v>1.58</v>
      </c>
      <c r="K575" s="9">
        <f>ROUND(H575*I575*J575, 2)</f>
        <v/>
      </c>
      <c r="L575" s="24">
        <f>ROUND(K575/1000, 3)</f>
        <v/>
      </c>
      <c r="M575" s="8" t="n"/>
      <c r="N575" s="21">
        <f>ROUND(N574 + IF(AND(E575&lt;=10, F575&lt;&gt;"ASTM A416"), L575, 0), 3)</f>
        <v/>
      </c>
      <c r="O575" s="21">
        <f>ROUND(O574 + IF(AND(E575&gt;10, E575&lt;=18, F575&lt;&gt;"ASTM A416"), L575, 0), 3)</f>
        <v/>
      </c>
      <c r="P575" s="21">
        <f>ROUND(P574 + IF(AND(E575&gt;18, F575&lt;&gt;"ASTM A416"), L575, 0), 3)</f>
        <v/>
      </c>
      <c r="Q575" s="21">
        <f>ROUND(Q574 + IF(F575="ASTM A416", L575, 0), 3)</f>
        <v/>
      </c>
      <c r="R575" s="11">
        <f>IF(INT(N575/20)&gt;INT(N574/20), "Lần " &amp; INT(N575/20), "")</f>
        <v/>
      </c>
      <c r="S575" s="12">
        <f>IF(INT(O575/20)&gt;INT(O574/20), "Lần " &amp; INT(O575/20), "")</f>
        <v/>
      </c>
      <c r="T575" s="11">
        <f>IF(INT(P575/20)&gt;INT(P574/20), "Lần " &amp; INT(P575/20), "")</f>
        <v/>
      </c>
      <c r="U575" s="25">
        <f>IF(INT(Q575/20)&gt;INT(Q574/20), "Lần " &amp; INT(Q575/20), "")</f>
        <v/>
      </c>
      <c r="V575" s="6" t="inlineStr"/>
      <c r="W575" s="6" t="inlineStr">
        <is>
          <t>ĐẠT TCVN 1651:2018</t>
        </is>
      </c>
    </row>
    <row r="576" ht="19" customHeight="1">
      <c r="A576" s="6" t="n">
        <v>541</v>
      </c>
      <c r="B576" s="7" t="inlineStr">
        <is>
          <t>Mố M2</t>
        </is>
      </c>
      <c r="C576" s="7" t="inlineStr">
        <is>
          <t>Thân mố / Bệ mố</t>
        </is>
      </c>
      <c r="D576" s="19" t="inlineStr">
        <is>
          <t>P1A</t>
        </is>
      </c>
      <c r="E576" s="20" t="n">
        <v>16</v>
      </c>
      <c r="F576" s="6" t="inlineStr">
        <is>
          <t>CB400-V</t>
        </is>
      </c>
      <c r="G576" s="7" t="inlineStr">
        <is>
          <t>S06</t>
        </is>
      </c>
      <c r="H576" s="21" t="n">
        <v>13.489</v>
      </c>
      <c r="I576" s="22" t="n">
        <v>2</v>
      </c>
      <c r="J576" s="23" t="n">
        <v>1.58</v>
      </c>
      <c r="K576" s="9">
        <f>ROUND(H576*I576*J576, 2)</f>
        <v/>
      </c>
      <c r="L576" s="24">
        <f>ROUND(K576/1000, 3)</f>
        <v/>
      </c>
      <c r="M576" s="8" t="n"/>
      <c r="N576" s="21">
        <f>ROUND(N575 + IF(AND(E576&lt;=10, F576&lt;&gt;"ASTM A416"), L576, 0), 3)</f>
        <v/>
      </c>
      <c r="O576" s="21">
        <f>ROUND(O575 + IF(AND(E576&gt;10, E576&lt;=18, F576&lt;&gt;"ASTM A416"), L576, 0), 3)</f>
        <v/>
      </c>
      <c r="P576" s="21">
        <f>ROUND(P575 + IF(AND(E576&gt;18, F576&lt;&gt;"ASTM A416"), L576, 0), 3)</f>
        <v/>
      </c>
      <c r="Q576" s="21">
        <f>ROUND(Q575 + IF(F576="ASTM A416", L576, 0), 3)</f>
        <v/>
      </c>
      <c r="R576" s="11">
        <f>IF(INT(N576/20)&gt;INT(N575/20), "Lần " &amp; INT(N576/20), "")</f>
        <v/>
      </c>
      <c r="S576" s="12">
        <f>IF(INT(O576/20)&gt;INT(O575/20), "Lần " &amp; INT(O576/20), "")</f>
        <v/>
      </c>
      <c r="T576" s="11">
        <f>IF(INT(P576/20)&gt;INT(P575/20), "Lần " &amp; INT(P576/20), "")</f>
        <v/>
      </c>
      <c r="U576" s="25">
        <f>IF(INT(Q576/20)&gt;INT(Q575/20), "Lần " &amp; INT(Q576/20), "")</f>
        <v/>
      </c>
      <c r="V576" s="6" t="inlineStr"/>
      <c r="W576" s="6" t="inlineStr">
        <is>
          <t>ĐẠT TCVN 1651:2018</t>
        </is>
      </c>
    </row>
    <row r="577" ht="19" customHeight="1">
      <c r="A577" s="6" t="n">
        <v>542</v>
      </c>
      <c r="B577" s="7" t="inlineStr">
        <is>
          <t>Mố M2</t>
        </is>
      </c>
      <c r="C577" s="7" t="inlineStr">
        <is>
          <t>Thân mố / Bệ mố</t>
        </is>
      </c>
      <c r="D577" s="19" t="inlineStr">
        <is>
          <t>P1B</t>
        </is>
      </c>
      <c r="E577" s="20" t="n">
        <v>16</v>
      </c>
      <c r="F577" s="6" t="inlineStr">
        <is>
          <t>CB400-V</t>
        </is>
      </c>
      <c r="G577" s="7" t="inlineStr">
        <is>
          <t>S06</t>
        </is>
      </c>
      <c r="H577" s="21" t="n">
        <v>11.372</v>
      </c>
      <c r="I577" s="22" t="n">
        <v>2</v>
      </c>
      <c r="J577" s="23" t="n">
        <v>1.58</v>
      </c>
      <c r="K577" s="9">
        <f>ROUND(H577*I577*J577, 2)</f>
        <v/>
      </c>
      <c r="L577" s="24">
        <f>ROUND(K577/1000, 3)</f>
        <v/>
      </c>
      <c r="M577" s="8" t="n"/>
      <c r="N577" s="21">
        <f>ROUND(N576 + IF(AND(E577&lt;=10, F577&lt;&gt;"ASTM A416"), L577, 0), 3)</f>
        <v/>
      </c>
      <c r="O577" s="21">
        <f>ROUND(O576 + IF(AND(E577&gt;10, E577&lt;=18, F577&lt;&gt;"ASTM A416"), L577, 0), 3)</f>
        <v/>
      </c>
      <c r="P577" s="21">
        <f>ROUND(P576 + IF(AND(E577&gt;18, F577&lt;&gt;"ASTM A416"), L577, 0), 3)</f>
        <v/>
      </c>
      <c r="Q577" s="21">
        <f>ROUND(Q576 + IF(F577="ASTM A416", L577, 0), 3)</f>
        <v/>
      </c>
      <c r="R577" s="11">
        <f>IF(INT(N577/20)&gt;INT(N576/20), "Lần " &amp; INT(N577/20), "")</f>
        <v/>
      </c>
      <c r="S577" s="12">
        <f>IF(INT(O577/20)&gt;INT(O576/20), "Lần " &amp; INT(O577/20), "")</f>
        <v/>
      </c>
      <c r="T577" s="11">
        <f>IF(INT(P577/20)&gt;INT(P576/20), "Lần " &amp; INT(P577/20), "")</f>
        <v/>
      </c>
      <c r="U577" s="25">
        <f>IF(INT(Q577/20)&gt;INT(Q576/20), "Lần " &amp; INT(Q577/20), "")</f>
        <v/>
      </c>
      <c r="V577" s="6" t="inlineStr"/>
      <c r="W577" s="6" t="inlineStr">
        <is>
          <t>ĐẠT TCVN 1651:2018</t>
        </is>
      </c>
    </row>
    <row r="578" ht="19" customHeight="1">
      <c r="A578" s="6" t="n">
        <v>543</v>
      </c>
      <c r="B578" s="7" t="inlineStr">
        <is>
          <t>Mố M2</t>
        </is>
      </c>
      <c r="C578" s="7" t="inlineStr">
        <is>
          <t>Thân mố / Bệ mố</t>
        </is>
      </c>
      <c r="D578" s="19" t="inlineStr">
        <is>
          <t>P2</t>
        </is>
      </c>
      <c r="E578" s="20" t="n">
        <v>16</v>
      </c>
      <c r="F578" s="6" t="inlineStr">
        <is>
          <t>CB400-V</t>
        </is>
      </c>
      <c r="G578" s="7" t="inlineStr">
        <is>
          <t>S06</t>
        </is>
      </c>
      <c r="H578" s="21" t="n">
        <v>5.85</v>
      </c>
      <c r="I578" s="22" t="n">
        <v>83</v>
      </c>
      <c r="J578" s="23" t="n">
        <v>1.58</v>
      </c>
      <c r="K578" s="9">
        <f>ROUND(H578*I578*J578, 2)</f>
        <v/>
      </c>
      <c r="L578" s="24">
        <f>ROUND(K578/1000, 3)</f>
        <v/>
      </c>
      <c r="M578" s="8" t="n"/>
      <c r="N578" s="21">
        <f>ROUND(N577 + IF(AND(E578&lt;=10, F578&lt;&gt;"ASTM A416"), L578, 0), 3)</f>
        <v/>
      </c>
      <c r="O578" s="21">
        <f>ROUND(O577 + IF(AND(E578&gt;10, E578&lt;=18, F578&lt;&gt;"ASTM A416"), L578, 0), 3)</f>
        <v/>
      </c>
      <c r="P578" s="21">
        <f>ROUND(P577 + IF(AND(E578&gt;18, F578&lt;&gt;"ASTM A416"), L578, 0), 3)</f>
        <v/>
      </c>
      <c r="Q578" s="21">
        <f>ROUND(Q577 + IF(F578="ASTM A416", L578, 0), 3)</f>
        <v/>
      </c>
      <c r="R578" s="11">
        <f>IF(INT(N578/20)&gt;INT(N577/20), "Lần " &amp; INT(N578/20), "")</f>
        <v/>
      </c>
      <c r="S578" s="12">
        <f>IF(INT(O578/20)&gt;INT(O577/20), "Lần " &amp; INT(O578/20), "")</f>
        <v/>
      </c>
      <c r="T578" s="11">
        <f>IF(INT(P578/20)&gt;INT(P577/20), "Lần " &amp; INT(P578/20), "")</f>
        <v/>
      </c>
      <c r="U578" s="25">
        <f>IF(INT(Q578/20)&gt;INT(Q577/20), "Lần " &amp; INT(Q578/20), "")</f>
        <v/>
      </c>
      <c r="V578" s="6" t="inlineStr"/>
      <c r="W578" s="6" t="inlineStr">
        <is>
          <t>ĐẠT TCVN 1651:2018</t>
        </is>
      </c>
    </row>
    <row r="579" ht="19" customHeight="1">
      <c r="A579" s="6" t="n">
        <v>544</v>
      </c>
      <c r="B579" s="7" t="inlineStr">
        <is>
          <t>Mố M2</t>
        </is>
      </c>
      <c r="C579" s="7" t="inlineStr">
        <is>
          <t>Thân mố / Bệ mố</t>
        </is>
      </c>
      <c r="D579" s="19" t="inlineStr">
        <is>
          <t>P3</t>
        </is>
      </c>
      <c r="E579" s="20" t="n">
        <v>16</v>
      </c>
      <c r="F579" s="6" t="inlineStr">
        <is>
          <t>CB400-V</t>
        </is>
      </c>
      <c r="G579" s="7" t="inlineStr">
        <is>
          <t>S57</t>
        </is>
      </c>
      <c r="H579" s="21" t="n">
        <v>2.071</v>
      </c>
      <c r="I579" s="22" t="n">
        <v>83</v>
      </c>
      <c r="J579" s="23" t="n">
        <v>1.58</v>
      </c>
      <c r="K579" s="9">
        <f>ROUND(H579*I579*J579, 2)</f>
        <v/>
      </c>
      <c r="L579" s="24">
        <f>ROUND(K579/1000, 3)</f>
        <v/>
      </c>
      <c r="M579" s="8" t="n"/>
      <c r="N579" s="21">
        <f>ROUND(N578 + IF(AND(E579&lt;=10, F579&lt;&gt;"ASTM A416"), L579, 0), 3)</f>
        <v/>
      </c>
      <c r="O579" s="21">
        <f>ROUND(O578 + IF(AND(E579&gt;10, E579&lt;=18, F579&lt;&gt;"ASTM A416"), L579, 0), 3)</f>
        <v/>
      </c>
      <c r="P579" s="21">
        <f>ROUND(P578 + IF(AND(E579&gt;18, F579&lt;&gt;"ASTM A416"), L579, 0), 3)</f>
        <v/>
      </c>
      <c r="Q579" s="21">
        <f>ROUND(Q578 + IF(F579="ASTM A416", L579, 0), 3)</f>
        <v/>
      </c>
      <c r="R579" s="11">
        <f>IF(INT(N579/20)&gt;INT(N578/20), "Lần " &amp; INT(N579/20), "")</f>
        <v/>
      </c>
      <c r="S579" s="12">
        <f>IF(INT(O579/20)&gt;INT(O578/20), "Lần " &amp; INT(O579/20), "")</f>
        <v/>
      </c>
      <c r="T579" s="11">
        <f>IF(INT(P579/20)&gt;INT(P578/20), "Lần " &amp; INT(P579/20), "")</f>
        <v/>
      </c>
      <c r="U579" s="25">
        <f>IF(INT(Q579/20)&gt;INT(Q578/20), "Lần " &amp; INT(Q579/20), "")</f>
        <v/>
      </c>
      <c r="V579" s="6" t="inlineStr"/>
      <c r="W579" s="6" t="inlineStr">
        <is>
          <t>ĐẠT TCVN 1651:2018</t>
        </is>
      </c>
    </row>
    <row r="580" ht="19" customHeight="1">
      <c r="A580" s="6" t="n">
        <v>545</v>
      </c>
      <c r="B580" s="7" t="inlineStr">
        <is>
          <t>Mố M2</t>
        </is>
      </c>
      <c r="C580" s="7" t="inlineStr">
        <is>
          <t>Thân mố / Bệ mố</t>
        </is>
      </c>
      <c r="D580" s="19" t="inlineStr">
        <is>
          <t>P4</t>
        </is>
      </c>
      <c r="E580" s="20" t="n">
        <v>14</v>
      </c>
      <c r="F580" s="6" t="inlineStr">
        <is>
          <t>CB400-V</t>
        </is>
      </c>
      <c r="G580" s="7" t="inlineStr">
        <is>
          <t>S06</t>
        </is>
      </c>
      <c r="H580" s="21" t="n">
        <v>0.585</v>
      </c>
      <c r="I580" s="22" t="n">
        <v>60</v>
      </c>
      <c r="J580" s="23" t="n">
        <v>1.21</v>
      </c>
      <c r="K580" s="9">
        <f>ROUND(H580*I580*J580, 2)</f>
        <v/>
      </c>
      <c r="L580" s="24">
        <f>ROUND(K580/1000, 3)</f>
        <v/>
      </c>
      <c r="M580" s="8" t="n"/>
      <c r="N580" s="21">
        <f>ROUND(N579 + IF(AND(E580&lt;=10, F580&lt;&gt;"ASTM A416"), L580, 0), 3)</f>
        <v/>
      </c>
      <c r="O580" s="21">
        <f>ROUND(O579 + IF(AND(E580&gt;10, E580&lt;=18, F580&lt;&gt;"ASTM A416"), L580, 0), 3)</f>
        <v/>
      </c>
      <c r="P580" s="21">
        <f>ROUND(P579 + IF(AND(E580&gt;18, F580&lt;&gt;"ASTM A416"), L580, 0), 3)</f>
        <v/>
      </c>
      <c r="Q580" s="21">
        <f>ROUND(Q579 + IF(F580="ASTM A416", L580, 0), 3)</f>
        <v/>
      </c>
      <c r="R580" s="11">
        <f>IF(INT(N580/20)&gt;INT(N579/20), "Lần " &amp; INT(N580/20), "")</f>
        <v/>
      </c>
      <c r="S580" s="12">
        <f>IF(INT(O580/20)&gt;INT(O579/20), "Lần " &amp; INT(O580/20), "")</f>
        <v/>
      </c>
      <c r="T580" s="11">
        <f>IF(INT(P580/20)&gt;INT(P579/20), "Lần " &amp; INT(P580/20), "")</f>
        <v/>
      </c>
      <c r="U580" s="25">
        <f>IF(INT(Q580/20)&gt;INT(Q579/20), "Lần " &amp; INT(Q580/20), "")</f>
        <v/>
      </c>
      <c r="V580" s="6" t="inlineStr"/>
      <c r="W580" s="6" t="inlineStr">
        <is>
          <t>ĐẠT TCVN 1651:2018</t>
        </is>
      </c>
    </row>
    <row r="581" ht="19" customHeight="1">
      <c r="A581" s="6" t="n">
        <v>546</v>
      </c>
      <c r="B581" s="7" t="inlineStr">
        <is>
          <t>Mố M2</t>
        </is>
      </c>
      <c r="C581" s="7" t="inlineStr">
        <is>
          <t>Thân mố / Bệ mố</t>
        </is>
      </c>
      <c r="D581" s="19" t="inlineStr">
        <is>
          <t>H1</t>
        </is>
      </c>
      <c r="E581" s="20" t="n">
        <v>25</v>
      </c>
      <c r="F581" s="6" t="inlineStr">
        <is>
          <t>CB400-V</t>
        </is>
      </c>
      <c r="G581" s="7" t="inlineStr">
        <is>
          <t>S05</t>
        </is>
      </c>
      <c r="H581" s="21" t="n">
        <v>1.07</v>
      </c>
      <c r="I581" s="22" t="n">
        <v>23</v>
      </c>
      <c r="J581" s="23" t="n">
        <v>3.85</v>
      </c>
      <c r="K581" s="9">
        <f>ROUND(H581*I581*J581, 2)</f>
        <v/>
      </c>
      <c r="L581" s="24">
        <f>ROUND(K581/1000, 3)</f>
        <v/>
      </c>
      <c r="M581" s="8" t="n"/>
      <c r="N581" s="21">
        <f>ROUND(N580 + IF(AND(E581&lt;=10, F581&lt;&gt;"ASTM A416"), L581, 0), 3)</f>
        <v/>
      </c>
      <c r="O581" s="21">
        <f>ROUND(O580 + IF(AND(E581&gt;10, E581&lt;=18, F581&lt;&gt;"ASTM A416"), L581, 0), 3)</f>
        <v/>
      </c>
      <c r="P581" s="21">
        <f>ROUND(P580 + IF(AND(E581&gt;18, F581&lt;&gt;"ASTM A416"), L581, 0), 3)</f>
        <v/>
      </c>
      <c r="Q581" s="21">
        <f>ROUND(Q580 + IF(F581="ASTM A416", L581, 0), 3)</f>
        <v/>
      </c>
      <c r="R581" s="11">
        <f>IF(INT(N581/20)&gt;INT(N580/20), "Lần " &amp; INT(N581/20), "")</f>
        <v/>
      </c>
      <c r="S581" s="12">
        <f>IF(INT(O581/20)&gt;INT(O580/20), "Lần " &amp; INT(O581/20), "")</f>
        <v/>
      </c>
      <c r="T581" s="11">
        <f>IF(INT(P581/20)&gt;INT(P580/20), "Lần " &amp; INT(P581/20), "")</f>
        <v/>
      </c>
      <c r="U581" s="25">
        <f>IF(INT(Q581/20)&gt;INT(Q580/20), "Lần " &amp; INT(Q581/20), "")</f>
        <v/>
      </c>
      <c r="V581" s="6" t="inlineStr"/>
      <c r="W581" s="6" t="inlineStr">
        <is>
          <t>ĐẠT TCVN 1651:2018</t>
        </is>
      </c>
    </row>
    <row r="582" ht="19" customHeight="1">
      <c r="A582" s="6" t="n">
        <v>547</v>
      </c>
      <c r="B582" s="7" t="inlineStr">
        <is>
          <t>Mố M2</t>
        </is>
      </c>
      <c r="C582" s="7" t="inlineStr">
        <is>
          <t>Thân mố / Bệ mố</t>
        </is>
      </c>
      <c r="D582" s="19" t="inlineStr">
        <is>
          <t>H2</t>
        </is>
      </c>
      <c r="E582" s="20" t="n">
        <v>8</v>
      </c>
      <c r="F582" s="6" t="inlineStr">
        <is>
          <t>CB240-T</t>
        </is>
      </c>
      <c r="G582" s="7" t="inlineStr">
        <is>
          <t>S32</t>
        </is>
      </c>
      <c r="H582" s="21" t="n">
        <v>2.132</v>
      </c>
      <c r="I582" s="22" t="n">
        <v>23</v>
      </c>
      <c r="J582" s="23" t="n">
        <v>0.395</v>
      </c>
      <c r="K582" s="9">
        <f>ROUND(H582*I582*J582, 2)</f>
        <v/>
      </c>
      <c r="L582" s="24">
        <f>ROUND(K582/1000, 3)</f>
        <v/>
      </c>
      <c r="M582" s="8" t="n"/>
      <c r="N582" s="21">
        <f>ROUND(N581 + IF(AND(E582&lt;=10, F582&lt;&gt;"ASTM A416"), L582, 0), 3)</f>
        <v/>
      </c>
      <c r="O582" s="21">
        <f>ROUND(O581 + IF(AND(E582&gt;10, E582&lt;=18, F582&lt;&gt;"ASTM A416"), L582, 0), 3)</f>
        <v/>
      </c>
      <c r="P582" s="21">
        <f>ROUND(P581 + IF(AND(E582&gt;18, F582&lt;&gt;"ASTM A416"), L582, 0), 3)</f>
        <v/>
      </c>
      <c r="Q582" s="21">
        <f>ROUND(Q581 + IF(F582="ASTM A416", L582, 0), 3)</f>
        <v/>
      </c>
      <c r="R582" s="11">
        <f>IF(INT(N582/20)&gt;INT(N581/20), "Lần " &amp; INT(N582/20), "")</f>
        <v/>
      </c>
      <c r="S582" s="12">
        <f>IF(INT(O582/20)&gt;INT(O581/20), "Lần " &amp; INT(O582/20), "")</f>
        <v/>
      </c>
      <c r="T582" s="11">
        <f>IF(INT(P582/20)&gt;INT(P581/20), "Lần " &amp; INT(P582/20), "")</f>
        <v/>
      </c>
      <c r="U582" s="25">
        <f>IF(INT(Q582/20)&gt;INT(Q581/20), "Lần " &amp; INT(Q582/20), "")</f>
        <v/>
      </c>
      <c r="V582" s="6" t="inlineStr"/>
      <c r="W582" s="6" t="inlineStr">
        <is>
          <t>ĐẠT TCVN 1651:2018</t>
        </is>
      </c>
    </row>
    <row r="583" ht="19" customHeight="1">
      <c r="A583" s="6" t="n">
        <v>548</v>
      </c>
      <c r="B583" s="7" t="inlineStr">
        <is>
          <t>Mố M2</t>
        </is>
      </c>
      <c r="C583" s="7" t="inlineStr">
        <is>
          <t>TƯỜNG CÁNH PHẢI</t>
        </is>
      </c>
      <c r="D583" s="19" t="inlineStr">
        <is>
          <t>W1A(P)</t>
        </is>
      </c>
      <c r="E583" s="20" t="n">
        <v>16</v>
      </c>
      <c r="F583" s="6" t="inlineStr">
        <is>
          <t>CB400-V</t>
        </is>
      </c>
      <c r="G583" s="7" t="inlineStr">
        <is>
          <t>S06</t>
        </is>
      </c>
      <c r="H583" s="21" t="n">
        <v>10.522</v>
      </c>
      <c r="I583" s="22" t="n">
        <v>20</v>
      </c>
      <c r="J583" s="23" t="n">
        <v>1.58</v>
      </c>
      <c r="K583" s="9">
        <f>ROUND(H583*I583*J583, 2)</f>
        <v/>
      </c>
      <c r="L583" s="24">
        <f>ROUND(K583/1000, 3)</f>
        <v/>
      </c>
      <c r="M583" s="8" t="n"/>
      <c r="N583" s="21">
        <f>ROUND(N582 + IF(AND(E583&lt;=10, F583&lt;&gt;"ASTM A416"), L583, 0), 3)</f>
        <v/>
      </c>
      <c r="O583" s="21">
        <f>ROUND(O582 + IF(AND(E583&gt;10, E583&lt;=18, F583&lt;&gt;"ASTM A416"), L583, 0), 3)</f>
        <v/>
      </c>
      <c r="P583" s="21">
        <f>ROUND(P582 + IF(AND(E583&gt;18, F583&lt;&gt;"ASTM A416"), L583, 0), 3)</f>
        <v/>
      </c>
      <c r="Q583" s="21">
        <f>ROUND(Q582 + IF(F583="ASTM A416", L583, 0), 3)</f>
        <v/>
      </c>
      <c r="R583" s="11">
        <f>IF(INT(N583/20)&gt;INT(N582/20), "Lần " &amp; INT(N583/20), "")</f>
        <v/>
      </c>
      <c r="S583" s="12">
        <f>IF(INT(O583/20)&gt;INT(O582/20), "Lần " &amp; INT(O583/20), "")</f>
        <v/>
      </c>
      <c r="T583" s="11">
        <f>IF(INT(P583/20)&gt;INT(P582/20), "Lần " &amp; INT(P583/20), "")</f>
        <v/>
      </c>
      <c r="U583" s="25">
        <f>IF(INT(Q583/20)&gt;INT(Q582/20), "Lần " &amp; INT(Q583/20), "")</f>
        <v/>
      </c>
      <c r="V583" s="6" t="inlineStr"/>
      <c r="W583" s="6" t="inlineStr">
        <is>
          <t>ĐẠT TCVN 1651:2018</t>
        </is>
      </c>
    </row>
    <row r="584" ht="19" customHeight="1">
      <c r="A584" s="6" t="n">
        <v>549</v>
      </c>
      <c r="B584" s="7" t="inlineStr">
        <is>
          <t>Mố M2</t>
        </is>
      </c>
      <c r="C584" s="7" t="inlineStr">
        <is>
          <t>TƯỜNG CÁNH TRÁI</t>
        </is>
      </c>
      <c r="D584" s="19" t="inlineStr">
        <is>
          <t>W1A(T)</t>
        </is>
      </c>
      <c r="E584" s="20" t="n">
        <v>16</v>
      </c>
      <c r="F584" s="6" t="inlineStr">
        <is>
          <t>CB400-V</t>
        </is>
      </c>
      <c r="G584" s="7" t="inlineStr">
        <is>
          <t>S06</t>
        </is>
      </c>
      <c r="H584" s="21" t="n">
        <v>10.287</v>
      </c>
      <c r="I584" s="22" t="n">
        <v>20</v>
      </c>
      <c r="J584" s="23" t="n">
        <v>1.58</v>
      </c>
      <c r="K584" s="9">
        <f>ROUND(H584*I584*J584, 2)</f>
        <v/>
      </c>
      <c r="L584" s="24">
        <f>ROUND(K584/1000, 3)</f>
        <v/>
      </c>
      <c r="M584" s="8" t="n"/>
      <c r="N584" s="21">
        <f>ROUND(N583 + IF(AND(E584&lt;=10, F584&lt;&gt;"ASTM A416"), L584, 0), 3)</f>
        <v/>
      </c>
      <c r="O584" s="21">
        <f>ROUND(O583 + IF(AND(E584&gt;10, E584&lt;=18, F584&lt;&gt;"ASTM A416"), L584, 0), 3)</f>
        <v/>
      </c>
      <c r="P584" s="21">
        <f>ROUND(P583 + IF(AND(E584&gt;18, F584&lt;&gt;"ASTM A416"), L584, 0), 3)</f>
        <v/>
      </c>
      <c r="Q584" s="21">
        <f>ROUND(Q583 + IF(F584="ASTM A416", L584, 0), 3)</f>
        <v/>
      </c>
      <c r="R584" s="11">
        <f>IF(INT(N584/20)&gt;INT(N583/20), "Lần " &amp; INT(N584/20), "")</f>
        <v/>
      </c>
      <c r="S584" s="12">
        <f>IF(INT(O584/20)&gt;INT(O583/20), "Lần " &amp; INT(O584/20), "")</f>
        <v/>
      </c>
      <c r="T584" s="11">
        <f>IF(INT(P584/20)&gt;INT(P583/20), "Lần " &amp; INT(P584/20), "")</f>
        <v/>
      </c>
      <c r="U584" s="25">
        <f>IF(INT(Q584/20)&gt;INT(Q583/20), "Lần " &amp; INT(Q584/20), "")</f>
        <v/>
      </c>
      <c r="V584" s="6" t="inlineStr"/>
      <c r="W584" s="6" t="inlineStr">
        <is>
          <t>ĐẠT TCVN 1651:2018</t>
        </is>
      </c>
    </row>
    <row r="585" ht="19" customHeight="1">
      <c r="A585" s="6" t="n">
        <v>550</v>
      </c>
      <c r="B585" s="7" t="inlineStr">
        <is>
          <t>Mố M2</t>
        </is>
      </c>
      <c r="C585" s="7" t="inlineStr">
        <is>
          <t>Thân mố / Bệ mố</t>
        </is>
      </c>
      <c r="D585" s="19" t="inlineStr">
        <is>
          <t>W1B(T)</t>
        </is>
      </c>
      <c r="E585" s="20" t="n">
        <v>16</v>
      </c>
      <c r="F585" s="6" t="inlineStr">
        <is>
          <t>CB400-V</t>
        </is>
      </c>
      <c r="G585" s="7" t="inlineStr">
        <is>
          <t>S06</t>
        </is>
      </c>
      <c r="H585" s="21" t="n">
        <v>4.739</v>
      </c>
      <c r="I585" s="22" t="n">
        <v>20</v>
      </c>
      <c r="J585" s="23" t="n">
        <v>1.58</v>
      </c>
      <c r="K585" s="9">
        <f>ROUND(H585*I585*J585, 2)</f>
        <v/>
      </c>
      <c r="L585" s="24">
        <f>ROUND(K585/1000, 3)</f>
        <v/>
      </c>
      <c r="M585" s="8" t="n"/>
      <c r="N585" s="21">
        <f>ROUND(N584 + IF(AND(E585&lt;=10, F585&lt;&gt;"ASTM A416"), L585, 0), 3)</f>
        <v/>
      </c>
      <c r="O585" s="21">
        <f>ROUND(O584 + IF(AND(E585&gt;10, E585&lt;=18, F585&lt;&gt;"ASTM A416"), L585, 0), 3)</f>
        <v/>
      </c>
      <c r="P585" s="21">
        <f>ROUND(P584 + IF(AND(E585&gt;18, F585&lt;&gt;"ASTM A416"), L585, 0), 3)</f>
        <v/>
      </c>
      <c r="Q585" s="21">
        <f>ROUND(Q584 + IF(F585="ASTM A416", L585, 0), 3)</f>
        <v/>
      </c>
      <c r="R585" s="11">
        <f>IF(INT(N585/20)&gt;INT(N584/20), "Lần " &amp; INT(N585/20), "")</f>
        <v/>
      </c>
      <c r="S585" s="12">
        <f>IF(INT(O585/20)&gt;INT(O584/20), "Lần " &amp; INT(O585/20), "")</f>
        <v/>
      </c>
      <c r="T585" s="11">
        <f>IF(INT(P585/20)&gt;INT(P584/20), "Lần " &amp; INT(P585/20), "")</f>
        <v/>
      </c>
      <c r="U585" s="25">
        <f>IF(INT(Q585/20)&gt;INT(Q584/20), "Lần " &amp; INT(Q585/20), "")</f>
        <v/>
      </c>
      <c r="V585" s="6" t="inlineStr"/>
      <c r="W585" s="6" t="inlineStr">
        <is>
          <t>ĐẠT TCVN 1651:2018</t>
        </is>
      </c>
    </row>
    <row r="586" ht="19" customHeight="1">
      <c r="A586" s="6" t="n">
        <v>551</v>
      </c>
      <c r="B586" s="7" t="inlineStr">
        <is>
          <t>Mố M2</t>
        </is>
      </c>
      <c r="C586" s="7" t="inlineStr">
        <is>
          <t>Thân mố / Bệ mố</t>
        </is>
      </c>
      <c r="D586" s="19" t="inlineStr">
        <is>
          <t>W2A(T)</t>
        </is>
      </c>
      <c r="E586" s="20" t="n">
        <v>22</v>
      </c>
      <c r="F586" s="6" t="inlineStr">
        <is>
          <t>CB400-V</t>
        </is>
      </c>
      <c r="G586" s="7" t="inlineStr">
        <is>
          <t>S06</t>
        </is>
      </c>
      <c r="H586" s="21" t="n">
        <v>10.455</v>
      </c>
      <c r="I586" s="22" t="n">
        <v>15</v>
      </c>
      <c r="J586" s="23" t="n">
        <v>2.98</v>
      </c>
      <c r="K586" s="9">
        <f>ROUND(H586*I586*J586, 2)</f>
        <v/>
      </c>
      <c r="L586" s="24">
        <f>ROUND(K586/1000, 3)</f>
        <v/>
      </c>
      <c r="M586" s="8" t="n"/>
      <c r="N586" s="21">
        <f>ROUND(N585 + IF(AND(E586&lt;=10, F586&lt;&gt;"ASTM A416"), L586, 0), 3)</f>
        <v/>
      </c>
      <c r="O586" s="21">
        <f>ROUND(O585 + IF(AND(E586&gt;10, E586&lt;=18, F586&lt;&gt;"ASTM A416"), L586, 0), 3)</f>
        <v/>
      </c>
      <c r="P586" s="21">
        <f>ROUND(P585 + IF(AND(E586&gt;18, F586&lt;&gt;"ASTM A416"), L586, 0), 3)</f>
        <v/>
      </c>
      <c r="Q586" s="21">
        <f>ROUND(Q585 + IF(F586="ASTM A416", L586, 0), 3)</f>
        <v/>
      </c>
      <c r="R586" s="11">
        <f>IF(INT(N586/20)&gt;INT(N585/20), "Lần " &amp; INT(N586/20), "")</f>
        <v/>
      </c>
      <c r="S586" s="12">
        <f>IF(INT(O586/20)&gt;INT(O585/20), "Lần " &amp; INT(O586/20), "")</f>
        <v/>
      </c>
      <c r="T586" s="11">
        <f>IF(INT(P586/20)&gt;INT(P585/20), "Lần " &amp; INT(P586/20), "")</f>
        <v/>
      </c>
      <c r="U586" s="25">
        <f>IF(INT(Q586/20)&gt;INT(Q585/20), "Lần " &amp; INT(Q586/20), "")</f>
        <v/>
      </c>
      <c r="V586" s="6" t="inlineStr"/>
      <c r="W586" s="6" t="inlineStr">
        <is>
          <t>ĐẠT TCVN 1651:2018</t>
        </is>
      </c>
    </row>
    <row r="587" ht="19" customHeight="1">
      <c r="A587" s="6" t="n">
        <v>552</v>
      </c>
      <c r="B587" s="7" t="inlineStr">
        <is>
          <t>Mố M2</t>
        </is>
      </c>
      <c r="C587" s="7" t="inlineStr">
        <is>
          <t>Thân mố / Bệ mố</t>
        </is>
      </c>
      <c r="D587" s="19" t="inlineStr">
        <is>
          <t>W2B(T)</t>
        </is>
      </c>
      <c r="E587" s="20" t="n">
        <v>16</v>
      </c>
      <c r="F587" s="6" t="inlineStr">
        <is>
          <t>CB400-V</t>
        </is>
      </c>
      <c r="G587" s="7" t="inlineStr">
        <is>
          <t>S06</t>
        </is>
      </c>
      <c r="H587" s="21" t="n">
        <v>4.739</v>
      </c>
      <c r="I587" s="22" t="n">
        <v>20</v>
      </c>
      <c r="J587" s="23" t="n">
        <v>1.58</v>
      </c>
      <c r="K587" s="9">
        <f>ROUND(H587*I587*J587, 2)</f>
        <v/>
      </c>
      <c r="L587" s="24">
        <f>ROUND(K587/1000, 3)</f>
        <v/>
      </c>
      <c r="M587" s="8" t="n"/>
      <c r="N587" s="21">
        <f>ROUND(N586 + IF(AND(E587&lt;=10, F587&lt;&gt;"ASTM A416"), L587, 0), 3)</f>
        <v/>
      </c>
      <c r="O587" s="21">
        <f>ROUND(O586 + IF(AND(E587&gt;10, E587&lt;=18, F587&lt;&gt;"ASTM A416"), L587, 0), 3)</f>
        <v/>
      </c>
      <c r="P587" s="21">
        <f>ROUND(P586 + IF(AND(E587&gt;18, F587&lt;&gt;"ASTM A416"), L587, 0), 3)</f>
        <v/>
      </c>
      <c r="Q587" s="21">
        <f>ROUND(Q586 + IF(F587="ASTM A416", L587, 0), 3)</f>
        <v/>
      </c>
      <c r="R587" s="11">
        <f>IF(INT(N587/20)&gt;INT(N586/20), "Lần " &amp; INT(N587/20), "")</f>
        <v/>
      </c>
      <c r="S587" s="12">
        <f>IF(INT(O587/20)&gt;INT(O586/20), "Lần " &amp; INT(O587/20), "")</f>
        <v/>
      </c>
      <c r="T587" s="11">
        <f>IF(INT(P587/20)&gt;INT(P586/20), "Lần " &amp; INT(P587/20), "")</f>
        <v/>
      </c>
      <c r="U587" s="25">
        <f>IF(INT(Q587/20)&gt;INT(Q586/20), "Lần " &amp; INT(Q587/20), "")</f>
        <v/>
      </c>
      <c r="V587" s="6" t="inlineStr"/>
      <c r="W587" s="6" t="inlineStr">
        <is>
          <t>ĐẠT TCVN 1651:2018</t>
        </is>
      </c>
    </row>
    <row r="588" ht="19" customHeight="1">
      <c r="A588" s="6" t="n">
        <v>553</v>
      </c>
      <c r="B588" s="7" t="inlineStr">
        <is>
          <t>Mố M2</t>
        </is>
      </c>
      <c r="C588" s="7" t="inlineStr">
        <is>
          <t>Thân mố / Bệ mố</t>
        </is>
      </c>
      <c r="D588" s="19" t="inlineStr">
        <is>
          <t>W3A(T)</t>
        </is>
      </c>
      <c r="E588" s="20" t="n">
        <v>16</v>
      </c>
      <c r="F588" s="6" t="inlineStr">
        <is>
          <t>CB400-V</t>
        </is>
      </c>
      <c r="G588" s="7" t="inlineStr">
        <is>
          <t>S06</t>
        </is>
      </c>
      <c r="H588" s="21" t="n">
        <v>4.332</v>
      </c>
      <c r="I588" s="22" t="n">
        <v>15</v>
      </c>
      <c r="J588" s="23" t="n">
        <v>1.58</v>
      </c>
      <c r="K588" s="9">
        <f>ROUND(H588*I588*J588, 2)</f>
        <v/>
      </c>
      <c r="L588" s="24">
        <f>ROUND(K588/1000, 3)</f>
        <v/>
      </c>
      <c r="M588" s="8" t="n"/>
      <c r="N588" s="21">
        <f>ROUND(N587 + IF(AND(E588&lt;=10, F588&lt;&gt;"ASTM A416"), L588, 0), 3)</f>
        <v/>
      </c>
      <c r="O588" s="21">
        <f>ROUND(O587 + IF(AND(E588&gt;10, E588&lt;=18, F588&lt;&gt;"ASTM A416"), L588, 0), 3)</f>
        <v/>
      </c>
      <c r="P588" s="21">
        <f>ROUND(P587 + IF(AND(E588&gt;18, F588&lt;&gt;"ASTM A416"), L588, 0), 3)</f>
        <v/>
      </c>
      <c r="Q588" s="21">
        <f>ROUND(Q587 + IF(F588="ASTM A416", L588, 0), 3)</f>
        <v/>
      </c>
      <c r="R588" s="11">
        <f>IF(INT(N588/20)&gt;INT(N587/20), "Lần " &amp; INT(N588/20), "")</f>
        <v/>
      </c>
      <c r="S588" s="12">
        <f>IF(INT(O588/20)&gt;INT(O587/20), "Lần " &amp; INT(O588/20), "")</f>
        <v/>
      </c>
      <c r="T588" s="11">
        <f>IF(INT(P588/20)&gt;INT(P587/20), "Lần " &amp; INT(P588/20), "")</f>
        <v/>
      </c>
      <c r="U588" s="25">
        <f>IF(INT(Q588/20)&gt;INT(Q587/20), "Lần " &amp; INT(Q588/20), "")</f>
        <v/>
      </c>
      <c r="V588" s="6" t="inlineStr"/>
      <c r="W588" s="6" t="inlineStr">
        <is>
          <t>ĐẠT TCVN 1651:2018</t>
        </is>
      </c>
    </row>
    <row r="589" ht="19" customHeight="1">
      <c r="A589" s="6" t="n">
        <v>554</v>
      </c>
      <c r="B589" s="7" t="inlineStr">
        <is>
          <t>Mố M2</t>
        </is>
      </c>
      <c r="C589" s="7" t="inlineStr">
        <is>
          <t>Thân mố / Bệ mố</t>
        </is>
      </c>
      <c r="D589" s="19" t="inlineStr">
        <is>
          <t>W3B(T)</t>
        </is>
      </c>
      <c r="E589" s="20" t="n">
        <v>16</v>
      </c>
      <c r="F589" s="6" t="inlineStr">
        <is>
          <t>CB400-V</t>
        </is>
      </c>
      <c r="G589" s="7" t="inlineStr">
        <is>
          <t>S06</t>
        </is>
      </c>
      <c r="H589" s="21" t="n">
        <v>5.894</v>
      </c>
      <c r="I589" s="22" t="n">
        <v>20</v>
      </c>
      <c r="J589" s="23" t="n">
        <v>1.58</v>
      </c>
      <c r="K589" s="9">
        <f>ROUND(H589*I589*J589, 2)</f>
        <v/>
      </c>
      <c r="L589" s="24">
        <f>ROUND(K589/1000, 3)</f>
        <v/>
      </c>
      <c r="M589" s="8" t="n"/>
      <c r="N589" s="21">
        <f>ROUND(N588 + IF(AND(E589&lt;=10, F589&lt;&gt;"ASTM A416"), L589, 0), 3)</f>
        <v/>
      </c>
      <c r="O589" s="21">
        <f>ROUND(O588 + IF(AND(E589&gt;10, E589&lt;=18, F589&lt;&gt;"ASTM A416"), L589, 0), 3)</f>
        <v/>
      </c>
      <c r="P589" s="21">
        <f>ROUND(P588 + IF(AND(E589&gt;18, F589&lt;&gt;"ASTM A416"), L589, 0), 3)</f>
        <v/>
      </c>
      <c r="Q589" s="21">
        <f>ROUND(Q588 + IF(F589="ASTM A416", L589, 0), 3)</f>
        <v/>
      </c>
      <c r="R589" s="11">
        <f>IF(INT(N589/20)&gt;INT(N588/20), "Lần " &amp; INT(N589/20), "")</f>
        <v/>
      </c>
      <c r="S589" s="12">
        <f>IF(INT(O589/20)&gt;INT(O588/20), "Lần " &amp; INT(O589/20), "")</f>
        <v/>
      </c>
      <c r="T589" s="11">
        <f>IF(INT(P589/20)&gt;INT(P588/20), "Lần " &amp; INT(P589/20), "")</f>
        <v/>
      </c>
      <c r="U589" s="25">
        <f>IF(INT(Q589/20)&gt;INT(Q588/20), "Lần " &amp; INT(Q589/20), "")</f>
        <v/>
      </c>
      <c r="V589" s="6" t="inlineStr"/>
      <c r="W589" s="6" t="inlineStr">
        <is>
          <t>ĐẠT TCVN 1651:2018</t>
        </is>
      </c>
    </row>
    <row r="590" ht="19" customHeight="1">
      <c r="A590" s="6" t="n">
        <v>555</v>
      </c>
      <c r="B590" s="7" t="inlineStr">
        <is>
          <t>Mố M2</t>
        </is>
      </c>
      <c r="C590" s="7" t="inlineStr">
        <is>
          <t>Thân mố / Bệ mố</t>
        </is>
      </c>
      <c r="D590" s="19" t="inlineStr">
        <is>
          <t>W3C(T)</t>
        </is>
      </c>
      <c r="E590" s="20" t="n">
        <v>16</v>
      </c>
      <c r="F590" s="6" t="inlineStr">
        <is>
          <t>CB400-V</t>
        </is>
      </c>
      <c r="G590" s="7" t="inlineStr">
        <is>
          <t>S06</t>
        </is>
      </c>
      <c r="H590" s="21" t="n">
        <v>7.307</v>
      </c>
      <c r="I590" s="22" t="n">
        <v>4</v>
      </c>
      <c r="J590" s="23" t="n">
        <v>1.58</v>
      </c>
      <c r="K590" s="9">
        <f>ROUND(H590*I590*J590, 2)</f>
        <v/>
      </c>
      <c r="L590" s="24">
        <f>ROUND(K590/1000, 3)</f>
        <v/>
      </c>
      <c r="M590" s="8" t="n"/>
      <c r="N590" s="21">
        <f>ROUND(N589 + IF(AND(E590&lt;=10, F590&lt;&gt;"ASTM A416"), L590, 0), 3)</f>
        <v/>
      </c>
      <c r="O590" s="21">
        <f>ROUND(O589 + IF(AND(E590&gt;10, E590&lt;=18, F590&lt;&gt;"ASTM A416"), L590, 0), 3)</f>
        <v/>
      </c>
      <c r="P590" s="21">
        <f>ROUND(P589 + IF(AND(E590&gt;18, F590&lt;&gt;"ASTM A416"), L590, 0), 3)</f>
        <v/>
      </c>
      <c r="Q590" s="21">
        <f>ROUND(Q589 + IF(F590="ASTM A416", L590, 0), 3)</f>
        <v/>
      </c>
      <c r="R590" s="11">
        <f>IF(INT(N590/20)&gt;INT(N589/20), "Lần " &amp; INT(N590/20), "")</f>
        <v/>
      </c>
      <c r="S590" s="12">
        <f>IF(INT(O590/20)&gt;INT(O589/20), "Lần " &amp; INT(O590/20), "")</f>
        <v/>
      </c>
      <c r="T590" s="11">
        <f>IF(INT(P590/20)&gt;INT(P589/20), "Lần " &amp; INT(P590/20), "")</f>
        <v/>
      </c>
      <c r="U590" s="25">
        <f>IF(INT(Q590/20)&gt;INT(Q589/20), "Lần " &amp; INT(Q590/20), "")</f>
        <v/>
      </c>
      <c r="V590" s="6" t="inlineStr"/>
      <c r="W590" s="6" t="inlineStr">
        <is>
          <t>ĐẠT TCVN 1651:2018</t>
        </is>
      </c>
    </row>
    <row r="591" ht="19" customHeight="1">
      <c r="A591" s="6" t="n">
        <v>556</v>
      </c>
      <c r="B591" s="7" t="inlineStr">
        <is>
          <t>Mố M2</t>
        </is>
      </c>
      <c r="C591" s="7" t="inlineStr">
        <is>
          <t>Thân mố / Bệ mố</t>
        </is>
      </c>
      <c r="D591" s="19" t="inlineStr">
        <is>
          <t>W3D(T)</t>
        </is>
      </c>
      <c r="E591" s="20" t="n">
        <v>16</v>
      </c>
      <c r="F591" s="6" t="inlineStr">
        <is>
          <t>CB400-V</t>
        </is>
      </c>
      <c r="G591" s="7" t="inlineStr">
        <is>
          <t>S06</t>
        </is>
      </c>
      <c r="H591" s="21" t="n">
        <v>6.332</v>
      </c>
      <c r="I591" s="22" t="n">
        <v>14</v>
      </c>
      <c r="J591" s="23" t="n">
        <v>1.58</v>
      </c>
      <c r="K591" s="9">
        <f>ROUND(H591*I591*J591, 2)</f>
        <v/>
      </c>
      <c r="L591" s="24">
        <f>ROUND(K591/1000, 3)</f>
        <v/>
      </c>
      <c r="M591" s="8" t="n"/>
      <c r="N591" s="21">
        <f>ROUND(N590 + IF(AND(E591&lt;=10, F591&lt;&gt;"ASTM A416"), L591, 0), 3)</f>
        <v/>
      </c>
      <c r="O591" s="21">
        <f>ROUND(O590 + IF(AND(E591&gt;10, E591&lt;=18, F591&lt;&gt;"ASTM A416"), L591, 0), 3)</f>
        <v/>
      </c>
      <c r="P591" s="21">
        <f>ROUND(P590 + IF(AND(E591&gt;18, F591&lt;&gt;"ASTM A416"), L591, 0), 3)</f>
        <v/>
      </c>
      <c r="Q591" s="21">
        <f>ROUND(Q590 + IF(F591="ASTM A416", L591, 0), 3)</f>
        <v/>
      </c>
      <c r="R591" s="11">
        <f>IF(INT(N591/20)&gt;INT(N590/20), "Lần " &amp; INT(N591/20), "")</f>
        <v/>
      </c>
      <c r="S591" s="12">
        <f>IF(INT(O591/20)&gt;INT(O590/20), "Lần " &amp; INT(O591/20), "")</f>
        <v/>
      </c>
      <c r="T591" s="11">
        <f>IF(INT(P591/20)&gt;INT(P590/20), "Lần " &amp; INT(P591/20), "")</f>
        <v/>
      </c>
      <c r="U591" s="25">
        <f>IF(INT(Q591/20)&gt;INT(Q590/20), "Lần " &amp; INT(Q591/20), "")</f>
        <v/>
      </c>
      <c r="V591" s="6" t="inlineStr"/>
      <c r="W591" s="6" t="inlineStr">
        <is>
          <t>ĐẠT TCVN 1651:2018</t>
        </is>
      </c>
    </row>
    <row r="592" ht="19" customHeight="1">
      <c r="A592" s="6" t="n">
        <v>557</v>
      </c>
      <c r="B592" s="7" t="inlineStr">
        <is>
          <t>Mố M2</t>
        </is>
      </c>
      <c r="C592" s="7" t="inlineStr">
        <is>
          <t>Thân mố / Bệ mố</t>
        </is>
      </c>
      <c r="D592" s="19" t="inlineStr">
        <is>
          <t>W3F(T)</t>
        </is>
      </c>
      <c r="E592" s="20" t="n">
        <v>16</v>
      </c>
      <c r="F592" s="6" t="inlineStr">
        <is>
          <t>CB400-V</t>
        </is>
      </c>
      <c r="G592" s="7" t="inlineStr">
        <is>
          <t>S06</t>
        </is>
      </c>
      <c r="H592" s="21" t="n">
        <v>6.334</v>
      </c>
      <c r="I592" s="22" t="n">
        <v>1</v>
      </c>
      <c r="J592" s="23" t="n">
        <v>1.58</v>
      </c>
      <c r="K592" s="9">
        <f>ROUND(H592*I592*J592, 2)</f>
        <v/>
      </c>
      <c r="L592" s="24">
        <f>ROUND(K592/1000, 3)</f>
        <v/>
      </c>
      <c r="M592" s="8" t="n"/>
      <c r="N592" s="21">
        <f>ROUND(N591 + IF(AND(E592&lt;=10, F592&lt;&gt;"ASTM A416"), L592, 0), 3)</f>
        <v/>
      </c>
      <c r="O592" s="21">
        <f>ROUND(O591 + IF(AND(E592&gt;10, E592&lt;=18, F592&lt;&gt;"ASTM A416"), L592, 0), 3)</f>
        <v/>
      </c>
      <c r="P592" s="21">
        <f>ROUND(P591 + IF(AND(E592&gt;18, F592&lt;&gt;"ASTM A416"), L592, 0), 3)</f>
        <v/>
      </c>
      <c r="Q592" s="21">
        <f>ROUND(Q591 + IF(F592="ASTM A416", L592, 0), 3)</f>
        <v/>
      </c>
      <c r="R592" s="11">
        <f>IF(INT(N592/20)&gt;INT(N591/20), "Lần " &amp; INT(N592/20), "")</f>
        <v/>
      </c>
      <c r="S592" s="12">
        <f>IF(INT(O592/20)&gt;INT(O591/20), "Lần " &amp; INT(O592/20), "")</f>
        <v/>
      </c>
      <c r="T592" s="11">
        <f>IF(INT(P592/20)&gt;INT(P591/20), "Lần " &amp; INT(P592/20), "")</f>
        <v/>
      </c>
      <c r="U592" s="25">
        <f>IF(INT(Q592/20)&gt;INT(Q591/20), "Lần " &amp; INT(Q592/20), "")</f>
        <v/>
      </c>
      <c r="V592" s="6" t="inlineStr"/>
      <c r="W592" s="6" t="inlineStr">
        <is>
          <t>ĐẠT TCVN 1651:2018</t>
        </is>
      </c>
    </row>
    <row r="593" ht="19" customHeight="1">
      <c r="A593" s="6" t="n">
        <v>558</v>
      </c>
      <c r="B593" s="7" t="inlineStr">
        <is>
          <t>Mố M2</t>
        </is>
      </c>
      <c r="C593" s="7" t="inlineStr">
        <is>
          <t>Thân mố / Bệ mố</t>
        </is>
      </c>
      <c r="D593" s="19" t="inlineStr">
        <is>
          <t>W4A(T)</t>
        </is>
      </c>
      <c r="E593" s="20" t="n">
        <v>22</v>
      </c>
      <c r="F593" s="6" t="inlineStr">
        <is>
          <t>CB400-V</t>
        </is>
      </c>
      <c r="G593" s="7" t="inlineStr">
        <is>
          <t>S06</t>
        </is>
      </c>
      <c r="H593" s="21" t="n">
        <v>4.494</v>
      </c>
      <c r="I593" s="22" t="n">
        <v>15</v>
      </c>
      <c r="J593" s="23" t="n">
        <v>2.98</v>
      </c>
      <c r="K593" s="9">
        <f>ROUND(H593*I593*J593, 2)</f>
        <v/>
      </c>
      <c r="L593" s="24">
        <f>ROUND(K593/1000, 3)</f>
        <v/>
      </c>
      <c r="M593" s="8" t="n"/>
      <c r="N593" s="21">
        <f>ROUND(N592 + IF(AND(E593&lt;=10, F593&lt;&gt;"ASTM A416"), L593, 0), 3)</f>
        <v/>
      </c>
      <c r="O593" s="21">
        <f>ROUND(O592 + IF(AND(E593&gt;10, E593&lt;=18, F593&lt;&gt;"ASTM A416"), L593, 0), 3)</f>
        <v/>
      </c>
      <c r="P593" s="21">
        <f>ROUND(P592 + IF(AND(E593&gt;18, F593&lt;&gt;"ASTM A416"), L593, 0), 3)</f>
        <v/>
      </c>
      <c r="Q593" s="21">
        <f>ROUND(Q592 + IF(F593="ASTM A416", L593, 0), 3)</f>
        <v/>
      </c>
      <c r="R593" s="11">
        <f>IF(INT(N593/20)&gt;INT(N592/20), "Lần " &amp; INT(N593/20), "")</f>
        <v/>
      </c>
      <c r="S593" s="12">
        <f>IF(INT(O593/20)&gt;INT(O592/20), "Lần " &amp; INT(O593/20), "")</f>
        <v/>
      </c>
      <c r="T593" s="11">
        <f>IF(INT(P593/20)&gt;INT(P592/20), "Lần " &amp; INT(P593/20), "")</f>
        <v/>
      </c>
      <c r="U593" s="25">
        <f>IF(INT(Q593/20)&gt;INT(Q592/20), "Lần " &amp; INT(Q593/20), "")</f>
        <v/>
      </c>
      <c r="V593" s="6" t="inlineStr"/>
      <c r="W593" s="6" t="inlineStr">
        <is>
          <t>ĐẠT TCVN 1651:2018</t>
        </is>
      </c>
    </row>
    <row r="594" ht="19" customHeight="1">
      <c r="A594" s="6" t="n">
        <v>559</v>
      </c>
      <c r="B594" s="7" t="inlineStr">
        <is>
          <t>Mố M2</t>
        </is>
      </c>
      <c r="C594" s="7" t="inlineStr">
        <is>
          <t>Thân mố / Bệ mố</t>
        </is>
      </c>
      <c r="D594" s="19" t="inlineStr">
        <is>
          <t>W4B(T)</t>
        </is>
      </c>
      <c r="E594" s="20" t="n">
        <v>22</v>
      </c>
      <c r="F594" s="6" t="inlineStr">
        <is>
          <t>CB400-V</t>
        </is>
      </c>
      <c r="G594" s="7" t="inlineStr">
        <is>
          <t>S06</t>
        </is>
      </c>
      <c r="H594" s="21" t="n">
        <v>6.056</v>
      </c>
      <c r="I594" s="22" t="n">
        <v>20</v>
      </c>
      <c r="J594" s="23" t="n">
        <v>2.98</v>
      </c>
      <c r="K594" s="9">
        <f>ROUND(H594*I594*J594, 2)</f>
        <v/>
      </c>
      <c r="L594" s="24">
        <f>ROUND(K594/1000, 3)</f>
        <v/>
      </c>
      <c r="M594" s="8" t="n"/>
      <c r="N594" s="21">
        <f>ROUND(N593 + IF(AND(E594&lt;=10, F594&lt;&gt;"ASTM A416"), L594, 0), 3)</f>
        <v/>
      </c>
      <c r="O594" s="21">
        <f>ROUND(O593 + IF(AND(E594&gt;10, E594&lt;=18, F594&lt;&gt;"ASTM A416"), L594, 0), 3)</f>
        <v/>
      </c>
      <c r="P594" s="21">
        <f>ROUND(P593 + IF(AND(E594&gt;18, F594&lt;&gt;"ASTM A416"), L594, 0), 3)</f>
        <v/>
      </c>
      <c r="Q594" s="21">
        <f>ROUND(Q593 + IF(F594="ASTM A416", L594, 0), 3)</f>
        <v/>
      </c>
      <c r="R594" s="11">
        <f>IF(INT(N594/20)&gt;INT(N593/20), "Lần " &amp; INT(N594/20), "")</f>
        <v/>
      </c>
      <c r="S594" s="12">
        <f>IF(INT(O594/20)&gt;INT(O593/20), "Lần " &amp; INT(O594/20), "")</f>
        <v/>
      </c>
      <c r="T594" s="11">
        <f>IF(INT(P594/20)&gt;INT(P593/20), "Lần " &amp; INT(P594/20), "")</f>
        <v/>
      </c>
      <c r="U594" s="25">
        <f>IF(INT(Q594/20)&gt;INT(Q593/20), "Lần " &amp; INT(Q594/20), "")</f>
        <v/>
      </c>
      <c r="V594" s="6" t="inlineStr"/>
      <c r="W594" s="6" t="inlineStr">
        <is>
          <t>ĐẠT TCVN 1651:2018</t>
        </is>
      </c>
    </row>
    <row r="595" ht="19" customHeight="1">
      <c r="A595" s="6" t="n">
        <v>560</v>
      </c>
      <c r="B595" s="7" t="inlineStr">
        <is>
          <t>Mố M2</t>
        </is>
      </c>
      <c r="C595" s="7" t="inlineStr">
        <is>
          <t>Thân mố / Bệ mố</t>
        </is>
      </c>
      <c r="D595" s="19" t="inlineStr">
        <is>
          <t>W4C(T)</t>
        </is>
      </c>
      <c r="E595" s="20" t="n">
        <v>22</v>
      </c>
      <c r="F595" s="6" t="inlineStr">
        <is>
          <t>CB400-V</t>
        </is>
      </c>
      <c r="G595" s="7" t="inlineStr">
        <is>
          <t>S06</t>
        </is>
      </c>
      <c r="H595" s="21" t="n">
        <v>7.469</v>
      </c>
      <c r="I595" s="22" t="n">
        <v>4</v>
      </c>
      <c r="J595" s="23" t="n">
        <v>2.98</v>
      </c>
      <c r="K595" s="9">
        <f>ROUND(H595*I595*J595, 2)</f>
        <v/>
      </c>
      <c r="L595" s="24">
        <f>ROUND(K595/1000, 3)</f>
        <v/>
      </c>
      <c r="M595" s="8" t="n"/>
      <c r="N595" s="21">
        <f>ROUND(N594 + IF(AND(E595&lt;=10, F595&lt;&gt;"ASTM A416"), L595, 0), 3)</f>
        <v/>
      </c>
      <c r="O595" s="21">
        <f>ROUND(O594 + IF(AND(E595&gt;10, E595&lt;=18, F595&lt;&gt;"ASTM A416"), L595, 0), 3)</f>
        <v/>
      </c>
      <c r="P595" s="21">
        <f>ROUND(P594 + IF(AND(E595&gt;18, F595&lt;&gt;"ASTM A416"), L595, 0), 3)</f>
        <v/>
      </c>
      <c r="Q595" s="21">
        <f>ROUND(Q594 + IF(F595="ASTM A416", L595, 0), 3)</f>
        <v/>
      </c>
      <c r="R595" s="11">
        <f>IF(INT(N595/20)&gt;INT(N594/20), "Lần " &amp; INT(N595/20), "")</f>
        <v/>
      </c>
      <c r="S595" s="12">
        <f>IF(INT(O595/20)&gt;INT(O594/20), "Lần " &amp; INT(O595/20), "")</f>
        <v/>
      </c>
      <c r="T595" s="11">
        <f>IF(INT(P595/20)&gt;INT(P594/20), "Lần " &amp; INT(P595/20), "")</f>
        <v/>
      </c>
      <c r="U595" s="25">
        <f>IF(INT(Q595/20)&gt;INT(Q594/20), "Lần " &amp; INT(Q595/20), "")</f>
        <v/>
      </c>
      <c r="V595" s="6" t="inlineStr"/>
      <c r="W595" s="6" t="inlineStr">
        <is>
          <t>ĐẠT TCVN 1651:2018</t>
        </is>
      </c>
    </row>
    <row r="596" ht="19" customHeight="1">
      <c r="A596" s="6" t="n">
        <v>561</v>
      </c>
      <c r="B596" s="7" t="inlineStr">
        <is>
          <t>Mố M2</t>
        </is>
      </c>
      <c r="C596" s="7" t="inlineStr">
        <is>
          <t>Thân mố / Bệ mố</t>
        </is>
      </c>
      <c r="D596" s="19" t="inlineStr">
        <is>
          <t>W4D(T)</t>
        </is>
      </c>
      <c r="E596" s="20" t="n">
        <v>22</v>
      </c>
      <c r="F596" s="6" t="inlineStr">
        <is>
          <t>CB400-V</t>
        </is>
      </c>
      <c r="G596" s="7" t="inlineStr">
        <is>
          <t>S06</t>
        </is>
      </c>
      <c r="H596" s="21" t="n">
        <v>6.494</v>
      </c>
      <c r="I596" s="22" t="n">
        <v>14</v>
      </c>
      <c r="J596" s="23" t="n">
        <v>2.98</v>
      </c>
      <c r="K596" s="9">
        <f>ROUND(H596*I596*J596, 2)</f>
        <v/>
      </c>
      <c r="L596" s="24">
        <f>ROUND(K596/1000, 3)</f>
        <v/>
      </c>
      <c r="M596" s="8" t="n"/>
      <c r="N596" s="21">
        <f>ROUND(N595 + IF(AND(E596&lt;=10, F596&lt;&gt;"ASTM A416"), L596, 0), 3)</f>
        <v/>
      </c>
      <c r="O596" s="21">
        <f>ROUND(O595 + IF(AND(E596&gt;10, E596&lt;=18, F596&lt;&gt;"ASTM A416"), L596, 0), 3)</f>
        <v/>
      </c>
      <c r="P596" s="21">
        <f>ROUND(P595 + IF(AND(E596&gt;18, F596&lt;&gt;"ASTM A416"), L596, 0), 3)</f>
        <v/>
      </c>
      <c r="Q596" s="21">
        <f>ROUND(Q595 + IF(F596="ASTM A416", L596, 0), 3)</f>
        <v/>
      </c>
      <c r="R596" s="11">
        <f>IF(INT(N596/20)&gt;INT(N595/20), "Lần " &amp; INT(N596/20), "")</f>
        <v/>
      </c>
      <c r="S596" s="12">
        <f>IF(INT(O596/20)&gt;INT(O595/20), "Lần " &amp; INT(O596/20), "")</f>
        <v/>
      </c>
      <c r="T596" s="11">
        <f>IF(INT(P596/20)&gt;INT(P595/20), "Lần " &amp; INT(P596/20), "")</f>
        <v/>
      </c>
      <c r="U596" s="25">
        <f>IF(INT(Q596/20)&gt;INT(Q595/20), "Lần " &amp; INT(Q596/20), "")</f>
        <v/>
      </c>
      <c r="V596" s="6" t="inlineStr"/>
      <c r="W596" s="6" t="inlineStr">
        <is>
          <t>ĐẠT TCVN 1651:2018</t>
        </is>
      </c>
    </row>
    <row r="597" ht="19" customHeight="1">
      <c r="A597" s="6" t="n">
        <v>562</v>
      </c>
      <c r="B597" s="7" t="inlineStr">
        <is>
          <t>Mố M2</t>
        </is>
      </c>
      <c r="C597" s="7" t="inlineStr">
        <is>
          <t>Thân mố / Bệ mố</t>
        </is>
      </c>
      <c r="D597" s="19" t="inlineStr">
        <is>
          <t>W4F(T)</t>
        </is>
      </c>
      <c r="E597" s="20" t="n">
        <v>22</v>
      </c>
      <c r="F597" s="6" t="inlineStr">
        <is>
          <t>CB400-V</t>
        </is>
      </c>
      <c r="G597" s="7" t="inlineStr">
        <is>
          <t>S06</t>
        </is>
      </c>
      <c r="H597" s="21" t="n">
        <v>6.496</v>
      </c>
      <c r="I597" s="22" t="n">
        <v>1</v>
      </c>
      <c r="J597" s="23" t="n">
        <v>2.98</v>
      </c>
      <c r="K597" s="9">
        <f>ROUND(H597*I597*J597, 2)</f>
        <v/>
      </c>
      <c r="L597" s="24">
        <f>ROUND(K597/1000, 3)</f>
        <v/>
      </c>
      <c r="M597" s="8" t="n"/>
      <c r="N597" s="21">
        <f>ROUND(N596 + IF(AND(E597&lt;=10, F597&lt;&gt;"ASTM A416"), L597, 0), 3)</f>
        <v/>
      </c>
      <c r="O597" s="21">
        <f>ROUND(O596 + IF(AND(E597&gt;10, E597&lt;=18, F597&lt;&gt;"ASTM A416"), L597, 0), 3)</f>
        <v/>
      </c>
      <c r="P597" s="21">
        <f>ROUND(P596 + IF(AND(E597&gt;18, F597&lt;&gt;"ASTM A416"), L597, 0), 3)</f>
        <v/>
      </c>
      <c r="Q597" s="21">
        <f>ROUND(Q596 + IF(F597="ASTM A416", L597, 0), 3)</f>
        <v/>
      </c>
      <c r="R597" s="11">
        <f>IF(INT(N597/20)&gt;INT(N596/20), "Lần " &amp; INT(N597/20), "")</f>
        <v/>
      </c>
      <c r="S597" s="12">
        <f>IF(INT(O597/20)&gt;INT(O596/20), "Lần " &amp; INT(O597/20), "")</f>
        <v/>
      </c>
      <c r="T597" s="11">
        <f>IF(INT(P597/20)&gt;INT(P596/20), "Lần " &amp; INT(P597/20), "")</f>
        <v/>
      </c>
      <c r="U597" s="25">
        <f>IF(INT(Q597/20)&gt;INT(Q596/20), "Lần " &amp; INT(Q597/20), "")</f>
        <v/>
      </c>
      <c r="V597" s="6" t="inlineStr"/>
      <c r="W597" s="6" t="inlineStr">
        <is>
          <t>ĐẠT TCVN 1651:2018</t>
        </is>
      </c>
    </row>
    <row r="598" ht="19" customHeight="1">
      <c r="A598" s="6" t="n">
        <v>563</v>
      </c>
      <c r="B598" s="7" t="inlineStr">
        <is>
          <t>Mố M2</t>
        </is>
      </c>
      <c r="C598" s="7" t="inlineStr">
        <is>
          <t>Thân mố / Bệ mố</t>
        </is>
      </c>
      <c r="D598" s="19" t="inlineStr">
        <is>
          <t>W5A(T)</t>
        </is>
      </c>
      <c r="E598" s="20" t="n">
        <v>16</v>
      </c>
      <c r="F598" s="6" t="inlineStr">
        <is>
          <t>CB400-V</t>
        </is>
      </c>
      <c r="G598" s="7" t="inlineStr">
        <is>
          <t>S05</t>
        </is>
      </c>
      <c r="H598" s="21" t="n">
        <v>7.668</v>
      </c>
      <c r="I598" s="22" t="n">
        <v>1</v>
      </c>
      <c r="J598" s="23" t="n">
        <v>1.58</v>
      </c>
      <c r="K598" s="9">
        <f>ROUND(H598*I598*J598, 2)</f>
        <v/>
      </c>
      <c r="L598" s="24">
        <f>ROUND(K598/1000, 3)</f>
        <v/>
      </c>
      <c r="M598" s="8" t="n"/>
      <c r="N598" s="21">
        <f>ROUND(N597 + IF(AND(E598&lt;=10, F598&lt;&gt;"ASTM A416"), L598, 0), 3)</f>
        <v/>
      </c>
      <c r="O598" s="21">
        <f>ROUND(O597 + IF(AND(E598&gt;10, E598&lt;=18, F598&lt;&gt;"ASTM A416"), L598, 0), 3)</f>
        <v/>
      </c>
      <c r="P598" s="21">
        <f>ROUND(P597 + IF(AND(E598&gt;18, F598&lt;&gt;"ASTM A416"), L598, 0), 3)</f>
        <v/>
      </c>
      <c r="Q598" s="21">
        <f>ROUND(Q597 + IF(F598="ASTM A416", L598, 0), 3)</f>
        <v/>
      </c>
      <c r="R598" s="11">
        <f>IF(INT(N598/20)&gt;INT(N597/20), "Lần " &amp; INT(N598/20), "")</f>
        <v/>
      </c>
      <c r="S598" s="12">
        <f>IF(INT(O598/20)&gt;INT(O597/20), "Lần " &amp; INT(O598/20), "")</f>
        <v/>
      </c>
      <c r="T598" s="11">
        <f>IF(INT(P598/20)&gt;INT(P597/20), "Lần " &amp; INT(P598/20), "")</f>
        <v/>
      </c>
      <c r="U598" s="25">
        <f>IF(INT(Q598/20)&gt;INT(Q597/20), "Lần " &amp; INT(Q598/20), "")</f>
        <v/>
      </c>
      <c r="V598" s="6" t="inlineStr"/>
      <c r="W598" s="6" t="inlineStr">
        <is>
          <t>ĐẠT TCVN 1651:2018</t>
        </is>
      </c>
    </row>
    <row r="599" ht="19" customHeight="1">
      <c r="A599" s="6" t="n">
        <v>564</v>
      </c>
      <c r="B599" s="7" t="inlineStr">
        <is>
          <t>Mố M2</t>
        </is>
      </c>
      <c r="C599" s="7" t="inlineStr">
        <is>
          <t>Thân mố / Bệ mố</t>
        </is>
      </c>
      <c r="D599" s="19" t="inlineStr">
        <is>
          <t>W5B(T)</t>
        </is>
      </c>
      <c r="E599" s="20" t="n">
        <v>16</v>
      </c>
      <c r="F599" s="6" t="inlineStr">
        <is>
          <t>CB400-V</t>
        </is>
      </c>
      <c r="G599" s="7" t="inlineStr">
        <is>
          <t>S02</t>
        </is>
      </c>
      <c r="H599" s="21" t="n">
        <v>10.092</v>
      </c>
      <c r="I599" s="22" t="n">
        <v>1</v>
      </c>
      <c r="J599" s="23" t="n">
        <v>1.58</v>
      </c>
      <c r="K599" s="9">
        <f>ROUND(H599*I599*J599, 2)</f>
        <v/>
      </c>
      <c r="L599" s="24">
        <f>ROUND(K599/1000, 3)</f>
        <v/>
      </c>
      <c r="M599" s="8" t="n"/>
      <c r="N599" s="21">
        <f>ROUND(N598 + IF(AND(E599&lt;=10, F599&lt;&gt;"ASTM A416"), L599, 0), 3)</f>
        <v/>
      </c>
      <c r="O599" s="21">
        <f>ROUND(O598 + IF(AND(E599&gt;10, E599&lt;=18, F599&lt;&gt;"ASTM A416"), L599, 0), 3)</f>
        <v/>
      </c>
      <c r="P599" s="21">
        <f>ROUND(P598 + IF(AND(E599&gt;18, F599&lt;&gt;"ASTM A416"), L599, 0), 3)</f>
        <v/>
      </c>
      <c r="Q599" s="21">
        <f>ROUND(Q598 + IF(F599="ASTM A416", L599, 0), 3)</f>
        <v/>
      </c>
      <c r="R599" s="11">
        <f>IF(INT(N599/20)&gt;INT(N598/20), "Lần " &amp; INT(N599/20), "")</f>
        <v/>
      </c>
      <c r="S599" s="12">
        <f>IF(INT(O599/20)&gt;INT(O598/20), "Lần " &amp; INT(O599/20), "")</f>
        <v/>
      </c>
      <c r="T599" s="11">
        <f>IF(INT(P599/20)&gt;INT(P598/20), "Lần " &amp; INT(P599/20), "")</f>
        <v/>
      </c>
      <c r="U599" s="25">
        <f>IF(INT(Q599/20)&gt;INT(Q598/20), "Lần " &amp; INT(Q599/20), "")</f>
        <v/>
      </c>
      <c r="V599" s="6" t="inlineStr"/>
      <c r="W599" s="6" t="inlineStr">
        <is>
          <t>ĐẠT TCVN 1651:2018</t>
        </is>
      </c>
    </row>
    <row r="600" ht="19" customHeight="1">
      <c r="A600" s="6" t="n">
        <v>565</v>
      </c>
      <c r="B600" s="7" t="inlineStr">
        <is>
          <t>Mố M2</t>
        </is>
      </c>
      <c r="C600" s="7" t="inlineStr">
        <is>
          <t>Thân mố / Bệ mố</t>
        </is>
      </c>
      <c r="D600" s="19" t="inlineStr">
        <is>
          <t>W8(T)</t>
        </is>
      </c>
      <c r="E600" s="20" t="n">
        <v>16</v>
      </c>
      <c r="F600" s="6" t="inlineStr">
        <is>
          <t>CB400-V</t>
        </is>
      </c>
      <c r="G600" s="7" t="inlineStr">
        <is>
          <t>S02</t>
        </is>
      </c>
      <c r="H600" s="21" t="n">
        <v>9.571</v>
      </c>
      <c r="I600" s="22" t="n">
        <v>2</v>
      </c>
      <c r="J600" s="23" t="n">
        <v>1.58</v>
      </c>
      <c r="K600" s="9">
        <f>ROUND(H600*I600*J600, 2)</f>
        <v/>
      </c>
      <c r="L600" s="24">
        <f>ROUND(K600/1000, 3)</f>
        <v/>
      </c>
      <c r="M600" s="8" t="n"/>
      <c r="N600" s="21">
        <f>ROUND(N599 + IF(AND(E600&lt;=10, F600&lt;&gt;"ASTM A416"), L600, 0), 3)</f>
        <v/>
      </c>
      <c r="O600" s="21">
        <f>ROUND(O599 + IF(AND(E600&gt;10, E600&lt;=18, F600&lt;&gt;"ASTM A416"), L600, 0), 3)</f>
        <v/>
      </c>
      <c r="P600" s="21">
        <f>ROUND(P599 + IF(AND(E600&gt;18, F600&lt;&gt;"ASTM A416"), L600, 0), 3)</f>
        <v/>
      </c>
      <c r="Q600" s="21">
        <f>ROUND(Q599 + IF(F600="ASTM A416", L600, 0), 3)</f>
        <v/>
      </c>
      <c r="R600" s="11">
        <f>IF(INT(N600/20)&gt;INT(N599/20), "Lần " &amp; INT(N600/20), "")</f>
        <v/>
      </c>
      <c r="S600" s="12">
        <f>IF(INT(O600/20)&gt;INT(O599/20), "Lần " &amp; INT(O600/20), "")</f>
        <v/>
      </c>
      <c r="T600" s="11">
        <f>IF(INT(P600/20)&gt;INT(P599/20), "Lần " &amp; INT(P600/20), "")</f>
        <v/>
      </c>
      <c r="U600" s="25">
        <f>IF(INT(Q600/20)&gt;INT(Q599/20), "Lần " &amp; INT(Q600/20), "")</f>
        <v/>
      </c>
      <c r="V600" s="6" t="inlineStr"/>
      <c r="W600" s="6" t="inlineStr">
        <is>
          <t>ĐẠT TCVN 1651:2018</t>
        </is>
      </c>
    </row>
    <row r="601" ht="19" customHeight="1">
      <c r="A601" s="6" t="n">
        <v>566</v>
      </c>
      <c r="B601" s="7" t="inlineStr">
        <is>
          <t>Mố M2</t>
        </is>
      </c>
      <c r="C601" s="7" t="inlineStr">
        <is>
          <t>Ụ CHỐNG CHUYỂN VỊ</t>
        </is>
      </c>
      <c r="D601" s="19" t="inlineStr">
        <is>
          <t>U1</t>
        </is>
      </c>
      <c r="E601" s="20" t="n">
        <v>16</v>
      </c>
      <c r="F601" s="6" t="inlineStr">
        <is>
          <t>CB400-V</t>
        </is>
      </c>
      <c r="G601" s="7" t="inlineStr">
        <is>
          <t>S06</t>
        </is>
      </c>
      <c r="H601" s="21" t="n">
        <v>4.192</v>
      </c>
      <c r="I601" s="22" t="n">
        <v>8</v>
      </c>
      <c r="J601" s="23" t="n">
        <v>1.58</v>
      </c>
      <c r="K601" s="9">
        <f>ROUND(H601*I601*J601, 2)</f>
        <v/>
      </c>
      <c r="L601" s="24">
        <f>ROUND(K601/1000, 3)</f>
        <v/>
      </c>
      <c r="M601" s="8" t="n"/>
      <c r="N601" s="21">
        <f>ROUND(N600 + IF(AND(E601&lt;=10, F601&lt;&gt;"ASTM A416"), L601, 0), 3)</f>
        <v/>
      </c>
      <c r="O601" s="21">
        <f>ROUND(O600 + IF(AND(E601&gt;10, E601&lt;=18, F601&lt;&gt;"ASTM A416"), L601, 0), 3)</f>
        <v/>
      </c>
      <c r="P601" s="21">
        <f>ROUND(P600 + IF(AND(E601&gt;18, F601&lt;&gt;"ASTM A416"), L601, 0), 3)</f>
        <v/>
      </c>
      <c r="Q601" s="21">
        <f>ROUND(Q600 + IF(F601="ASTM A416", L601, 0), 3)</f>
        <v/>
      </c>
      <c r="R601" s="11">
        <f>IF(INT(N601/20)&gt;INT(N600/20), "Lần " &amp; INT(N601/20), "")</f>
        <v/>
      </c>
      <c r="S601" s="12">
        <f>IF(INT(O601/20)&gt;INT(O600/20), "Lần " &amp; INT(O601/20), "")</f>
        <v/>
      </c>
      <c r="T601" s="11">
        <f>IF(INT(P601/20)&gt;INT(P600/20), "Lần " &amp; INT(P601/20), "")</f>
        <v/>
      </c>
      <c r="U601" s="25">
        <f>IF(INT(Q601/20)&gt;INT(Q600/20), "Lần " &amp; INT(Q601/20), "")</f>
        <v/>
      </c>
      <c r="V601" s="6" t="inlineStr"/>
      <c r="W601" s="6" t="inlineStr">
        <is>
          <t>ĐẠT TCVN 1651:2018</t>
        </is>
      </c>
    </row>
    <row r="602" ht="19" customHeight="1">
      <c r="A602" s="6" t="n">
        <v>567</v>
      </c>
      <c r="B602" s="7" t="inlineStr">
        <is>
          <t>Mố M2</t>
        </is>
      </c>
      <c r="C602" s="7" t="inlineStr">
        <is>
          <t>Thân mố / Bệ mố</t>
        </is>
      </c>
      <c r="D602" s="19" t="inlineStr">
        <is>
          <t>U2</t>
        </is>
      </c>
      <c r="E602" s="20" t="n">
        <v>16</v>
      </c>
      <c r="F602" s="6" t="inlineStr">
        <is>
          <t>CB400-V</t>
        </is>
      </c>
      <c r="G602" s="7" t="inlineStr">
        <is>
          <t>S06</t>
        </is>
      </c>
      <c r="H602" s="21" t="n">
        <v>3.892</v>
      </c>
      <c r="I602" s="22" t="n">
        <v>14</v>
      </c>
      <c r="J602" s="23" t="n">
        <v>1.58</v>
      </c>
      <c r="K602" s="9">
        <f>ROUND(H602*I602*J602, 2)</f>
        <v/>
      </c>
      <c r="L602" s="24">
        <f>ROUND(K602/1000, 3)</f>
        <v/>
      </c>
      <c r="M602" s="8" t="n"/>
      <c r="N602" s="21">
        <f>ROUND(N601 + IF(AND(E602&lt;=10, F602&lt;&gt;"ASTM A416"), L602, 0), 3)</f>
        <v/>
      </c>
      <c r="O602" s="21">
        <f>ROUND(O601 + IF(AND(E602&gt;10, E602&lt;=18, F602&lt;&gt;"ASTM A416"), L602, 0), 3)</f>
        <v/>
      </c>
      <c r="P602" s="21">
        <f>ROUND(P601 + IF(AND(E602&gt;18, F602&lt;&gt;"ASTM A416"), L602, 0), 3)</f>
        <v/>
      </c>
      <c r="Q602" s="21">
        <f>ROUND(Q601 + IF(F602="ASTM A416", L602, 0), 3)</f>
        <v/>
      </c>
      <c r="R602" s="11">
        <f>IF(INT(N602/20)&gt;INT(N601/20), "Lần " &amp; INT(N602/20), "")</f>
        <v/>
      </c>
      <c r="S602" s="12">
        <f>IF(INT(O602/20)&gt;INT(O601/20), "Lần " &amp; INT(O602/20), "")</f>
        <v/>
      </c>
      <c r="T602" s="11">
        <f>IF(INT(P602/20)&gt;INT(P601/20), "Lần " &amp; INT(P602/20), "")</f>
        <v/>
      </c>
      <c r="U602" s="25">
        <f>IF(INT(Q602/20)&gt;INT(Q601/20), "Lần " &amp; INT(Q602/20), "")</f>
        <v/>
      </c>
      <c r="V602" s="6" t="inlineStr"/>
      <c r="W602" s="6" t="inlineStr">
        <is>
          <t>ĐẠT TCVN 1651:2018</t>
        </is>
      </c>
    </row>
    <row r="603" ht="19" customHeight="1">
      <c r="A603" s="6" t="n">
        <v>568</v>
      </c>
      <c r="B603" s="7" t="inlineStr">
        <is>
          <t>Mố M2</t>
        </is>
      </c>
      <c r="C603" s="7" t="inlineStr">
        <is>
          <t>Thân mố / Bệ mố</t>
        </is>
      </c>
      <c r="D603" s="19" t="inlineStr">
        <is>
          <t>U3</t>
        </is>
      </c>
      <c r="E603" s="20" t="n">
        <v>16</v>
      </c>
      <c r="F603" s="6" t="inlineStr">
        <is>
          <t>CB400-V</t>
        </is>
      </c>
      <c r="G603" s="7" t="inlineStr">
        <is>
          <t>S51</t>
        </is>
      </c>
      <c r="H603" s="21" t="n">
        <v>3.256</v>
      </c>
      <c r="I603" s="22" t="n">
        <v>24</v>
      </c>
      <c r="J603" s="23" t="n">
        <v>1.58</v>
      </c>
      <c r="K603" s="9">
        <f>ROUND(H603*I603*J603, 2)</f>
        <v/>
      </c>
      <c r="L603" s="24">
        <f>ROUND(K603/1000, 3)</f>
        <v/>
      </c>
      <c r="M603" s="8" t="n"/>
      <c r="N603" s="21">
        <f>ROUND(N602 + IF(AND(E603&lt;=10, F603&lt;&gt;"ASTM A416"), L603, 0), 3)</f>
        <v/>
      </c>
      <c r="O603" s="21">
        <f>ROUND(O602 + IF(AND(E603&gt;10, E603&lt;=18, F603&lt;&gt;"ASTM A416"), L603, 0), 3)</f>
        <v/>
      </c>
      <c r="P603" s="21">
        <f>ROUND(P602 + IF(AND(E603&gt;18, F603&lt;&gt;"ASTM A416"), L603, 0), 3)</f>
        <v/>
      </c>
      <c r="Q603" s="21">
        <f>ROUND(Q602 + IF(F603="ASTM A416", L603, 0), 3)</f>
        <v/>
      </c>
      <c r="R603" s="11">
        <f>IF(INT(N603/20)&gt;INT(N602/20), "Lần " &amp; INT(N603/20), "")</f>
        <v/>
      </c>
      <c r="S603" s="12">
        <f>IF(INT(O603/20)&gt;INT(O602/20), "Lần " &amp; INT(O603/20), "")</f>
        <v/>
      </c>
      <c r="T603" s="11">
        <f>IF(INT(P603/20)&gt;INT(P602/20), "Lần " &amp; INT(P603/20), "")</f>
        <v/>
      </c>
      <c r="U603" s="25">
        <f>IF(INT(Q603/20)&gt;INT(Q602/20), "Lần " &amp; INT(Q603/20), "")</f>
        <v/>
      </c>
      <c r="V603" s="6" t="inlineStr"/>
      <c r="W603" s="6" t="inlineStr">
        <is>
          <t>ĐẠT TCVN 1651:2018</t>
        </is>
      </c>
    </row>
    <row r="604" ht="19" customHeight="1">
      <c r="A604" s="6" t="n">
        <v>569</v>
      </c>
      <c r="B604" s="7" t="inlineStr">
        <is>
          <t>Mố M2</t>
        </is>
      </c>
      <c r="C604" s="7" t="inlineStr">
        <is>
          <t>Thân mố / Bệ mố</t>
        </is>
      </c>
      <c r="D604" s="19" t="inlineStr">
        <is>
          <t>U4</t>
        </is>
      </c>
      <c r="E604" s="20" t="n">
        <v>16</v>
      </c>
      <c r="F604" s="6" t="inlineStr">
        <is>
          <t>CB400-V</t>
        </is>
      </c>
      <c r="G604" s="7" t="inlineStr">
        <is>
          <t>S32</t>
        </is>
      </c>
      <c r="H604" s="21" t="n">
        <v>1.64</v>
      </c>
      <c r="I604" s="22" t="n">
        <v>4</v>
      </c>
      <c r="J604" s="23" t="n">
        <v>1.58</v>
      </c>
      <c r="K604" s="9">
        <f>ROUND(H604*I604*J604, 2)</f>
        <v/>
      </c>
      <c r="L604" s="24">
        <f>ROUND(K604/1000, 3)</f>
        <v/>
      </c>
      <c r="M604" s="8" t="n"/>
      <c r="N604" s="21">
        <f>ROUND(N603 + IF(AND(E604&lt;=10, F604&lt;&gt;"ASTM A416"), L604, 0), 3)</f>
        <v/>
      </c>
      <c r="O604" s="21">
        <f>ROUND(O603 + IF(AND(E604&gt;10, E604&lt;=18, F604&lt;&gt;"ASTM A416"), L604, 0), 3)</f>
        <v/>
      </c>
      <c r="P604" s="21">
        <f>ROUND(P603 + IF(AND(E604&gt;18, F604&lt;&gt;"ASTM A416"), L604, 0), 3)</f>
        <v/>
      </c>
      <c r="Q604" s="21">
        <f>ROUND(Q603 + IF(F604="ASTM A416", L604, 0), 3)</f>
        <v/>
      </c>
      <c r="R604" s="11">
        <f>IF(INT(N604/20)&gt;INT(N603/20), "Lần " &amp; INT(N604/20), "")</f>
        <v/>
      </c>
      <c r="S604" s="12">
        <f>IF(INT(O604/20)&gt;INT(O603/20), "Lần " &amp; INT(O604/20), "")</f>
        <v/>
      </c>
      <c r="T604" s="11">
        <f>IF(INT(P604/20)&gt;INT(P603/20), "Lần " &amp; INT(P604/20), "")</f>
        <v/>
      </c>
      <c r="U604" s="25">
        <f>IF(INT(Q604/20)&gt;INT(Q603/20), "Lần " &amp; INT(Q604/20), "")</f>
        <v/>
      </c>
      <c r="V604" s="6" t="inlineStr"/>
      <c r="W604" s="6" t="inlineStr">
        <is>
          <t>ĐẠT TCVN 1651:2018</t>
        </is>
      </c>
    </row>
    <row r="605" ht="19" customHeight="1">
      <c r="A605" s="6" t="n">
        <v>570</v>
      </c>
      <c r="B605" s="7" t="inlineStr">
        <is>
          <t>Mố M2</t>
        </is>
      </c>
      <c r="C605" s="7" t="inlineStr">
        <is>
          <t>VỮA ĐỆM</t>
        </is>
      </c>
      <c r="D605" s="19" t="inlineStr">
        <is>
          <t>B1</t>
        </is>
      </c>
      <c r="E605" s="20" t="n">
        <v>8</v>
      </c>
      <c r="F605" s="6" t="inlineStr">
        <is>
          <t>CB240-T</t>
        </is>
      </c>
      <c r="G605" s="7" t="inlineStr">
        <is>
          <t>S01</t>
        </is>
      </c>
      <c r="H605" s="21" t="n">
        <v>0.64</v>
      </c>
      <c r="I605" s="22" t="n">
        <v>50</v>
      </c>
      <c r="J605" s="23" t="n">
        <v>0.395</v>
      </c>
      <c r="K605" s="9">
        <f>ROUND(H605*I605*J605, 2)</f>
        <v/>
      </c>
      <c r="L605" s="24">
        <f>ROUND(K605/1000, 3)</f>
        <v/>
      </c>
      <c r="M605" s="8" t="n"/>
      <c r="N605" s="21">
        <f>ROUND(N604 + IF(AND(E605&lt;=10, F605&lt;&gt;"ASTM A416"), L605, 0), 3)</f>
        <v/>
      </c>
      <c r="O605" s="21">
        <f>ROUND(O604 + IF(AND(E605&gt;10, E605&lt;=18, F605&lt;&gt;"ASTM A416"), L605, 0), 3)</f>
        <v/>
      </c>
      <c r="P605" s="21">
        <f>ROUND(P604 + IF(AND(E605&gt;18, F605&lt;&gt;"ASTM A416"), L605, 0), 3)</f>
        <v/>
      </c>
      <c r="Q605" s="21">
        <f>ROUND(Q604 + IF(F605="ASTM A416", L605, 0), 3)</f>
        <v/>
      </c>
      <c r="R605" s="11">
        <f>IF(INT(N605/20)&gt;INT(N604/20), "Lần " &amp; INT(N605/20), "")</f>
        <v/>
      </c>
      <c r="S605" s="12">
        <f>IF(INT(O605/20)&gt;INT(O604/20), "Lần " &amp; INT(O605/20), "")</f>
        <v/>
      </c>
      <c r="T605" s="11">
        <f>IF(INT(P605/20)&gt;INT(P604/20), "Lần " &amp; INT(P605/20), "")</f>
        <v/>
      </c>
      <c r="U605" s="25">
        <f>IF(INT(Q605/20)&gt;INT(Q604/20), "Lần " &amp; INT(Q605/20), "")</f>
        <v/>
      </c>
      <c r="V605" s="6" t="inlineStr"/>
      <c r="W605" s="6" t="inlineStr">
        <is>
          <t>ĐẠT TCVN 1651:2018</t>
        </is>
      </c>
    </row>
    <row r="606" ht="19" customHeight="1">
      <c r="A606" s="6" t="n">
        <v>571</v>
      </c>
      <c r="B606" s="7" t="inlineStr">
        <is>
          <t>Mố M2</t>
        </is>
      </c>
      <c r="C606" s="7" t="inlineStr">
        <is>
          <t>Thân mố / Bệ mố</t>
        </is>
      </c>
      <c r="D606" s="19" t="inlineStr">
        <is>
          <t>B2</t>
        </is>
      </c>
      <c r="E606" s="20" t="n">
        <v>8</v>
      </c>
      <c r="F606" s="6" t="inlineStr">
        <is>
          <t>CB240-T</t>
        </is>
      </c>
      <c r="G606" s="7" t="inlineStr">
        <is>
          <t>S01</t>
        </is>
      </c>
      <c r="H606" s="21" t="n">
        <v>0.48</v>
      </c>
      <c r="I606" s="22" t="n">
        <v>65</v>
      </c>
      <c r="J606" s="23" t="n">
        <v>0.395</v>
      </c>
      <c r="K606" s="9">
        <f>ROUND(H606*I606*J606, 2)</f>
        <v/>
      </c>
      <c r="L606" s="24">
        <f>ROUND(K606/1000, 3)</f>
        <v/>
      </c>
      <c r="M606" s="8" t="n"/>
      <c r="N606" s="21">
        <f>ROUND(N605 + IF(AND(E606&lt;=10, F606&lt;&gt;"ASTM A416"), L606, 0), 3)</f>
        <v/>
      </c>
      <c r="O606" s="21">
        <f>ROUND(O605 + IF(AND(E606&gt;10, E606&lt;=18, F606&lt;&gt;"ASTM A416"), L606, 0), 3)</f>
        <v/>
      </c>
      <c r="P606" s="21">
        <f>ROUND(P605 + IF(AND(E606&gt;18, F606&lt;&gt;"ASTM A416"), L606, 0), 3)</f>
        <v/>
      </c>
      <c r="Q606" s="21">
        <f>ROUND(Q605 + IF(F606="ASTM A416", L606, 0), 3)</f>
        <v/>
      </c>
      <c r="R606" s="11">
        <f>IF(INT(N606/20)&gt;INT(N605/20), "Lần " &amp; INT(N606/20), "")</f>
        <v/>
      </c>
      <c r="S606" s="12">
        <f>IF(INT(O606/20)&gt;INT(O605/20), "Lần " &amp; INT(O606/20), "")</f>
        <v/>
      </c>
      <c r="T606" s="11">
        <f>IF(INT(P606/20)&gt;INT(P605/20), "Lần " &amp; INT(P606/20), "")</f>
        <v/>
      </c>
      <c r="U606" s="25">
        <f>IF(INT(Q606/20)&gt;INT(Q605/20), "Lần " &amp; INT(Q606/20), "")</f>
        <v/>
      </c>
      <c r="V606" s="6" t="inlineStr"/>
      <c r="W606" s="6" t="inlineStr">
        <is>
          <t>ĐẠT TCVN 1651:2018</t>
        </is>
      </c>
    </row>
    <row r="607" ht="19" customHeight="1">
      <c r="A607" s="6" t="n">
        <v>572</v>
      </c>
      <c r="B607" s="7" t="inlineStr">
        <is>
          <t>Mố M2</t>
        </is>
      </c>
      <c r="C607" s="7" t="inlineStr">
        <is>
          <t>TƯỜNG TAI</t>
        </is>
      </c>
      <c r="D607" s="19" t="inlineStr">
        <is>
          <t>T1</t>
        </is>
      </c>
      <c r="E607" s="20" t="n">
        <v>16</v>
      </c>
      <c r="F607" s="6" t="inlineStr">
        <is>
          <t>CB400-V</t>
        </is>
      </c>
      <c r="G607" s="7" t="inlineStr">
        <is>
          <t>S01</t>
        </is>
      </c>
      <c r="H607" s="21" t="n">
        <v>1.89</v>
      </c>
      <c r="I607" s="22" t="n">
        <v>7</v>
      </c>
      <c r="J607" s="23" t="n">
        <v>1.58</v>
      </c>
      <c r="K607" s="9">
        <f>ROUND(H607*I607*J607, 2)</f>
        <v/>
      </c>
      <c r="L607" s="24">
        <f>ROUND(K607/1000, 3)</f>
        <v/>
      </c>
      <c r="M607" s="8" t="n"/>
      <c r="N607" s="21">
        <f>ROUND(N606 + IF(AND(E607&lt;=10, F607&lt;&gt;"ASTM A416"), L607, 0), 3)</f>
        <v/>
      </c>
      <c r="O607" s="21">
        <f>ROUND(O606 + IF(AND(E607&gt;10, E607&lt;=18, F607&lt;&gt;"ASTM A416"), L607, 0), 3)</f>
        <v/>
      </c>
      <c r="P607" s="21">
        <f>ROUND(P606 + IF(AND(E607&gt;18, F607&lt;&gt;"ASTM A416"), L607, 0), 3)</f>
        <v/>
      </c>
      <c r="Q607" s="21">
        <f>ROUND(Q606 + IF(F607="ASTM A416", L607, 0), 3)</f>
        <v/>
      </c>
      <c r="R607" s="11">
        <f>IF(INT(N607/20)&gt;INT(N606/20), "Lần " &amp; INT(N607/20), "")</f>
        <v/>
      </c>
      <c r="S607" s="12">
        <f>IF(INT(O607/20)&gt;INT(O606/20), "Lần " &amp; INT(O607/20), "")</f>
        <v/>
      </c>
      <c r="T607" s="11">
        <f>IF(INT(P607/20)&gt;INT(P606/20), "Lần " &amp; INT(P607/20), "")</f>
        <v/>
      </c>
      <c r="U607" s="25">
        <f>IF(INT(Q607/20)&gt;INT(Q606/20), "Lần " &amp; INT(Q607/20), "")</f>
        <v/>
      </c>
      <c r="V607" s="6" t="inlineStr"/>
      <c r="W607" s="6" t="inlineStr">
        <is>
          <t>ĐẠT TCVN 1651:2018</t>
        </is>
      </c>
    </row>
    <row r="608" ht="19" customHeight="1">
      <c r="A608" s="6" t="n">
        <v>573</v>
      </c>
      <c r="B608" s="7" t="inlineStr">
        <is>
          <t>Mố M2</t>
        </is>
      </c>
      <c r="C608" s="7" t="inlineStr">
        <is>
          <t>Thân mố / Bệ mố</t>
        </is>
      </c>
      <c r="D608" s="19" t="inlineStr">
        <is>
          <t>T2</t>
        </is>
      </c>
      <c r="E608" s="20" t="n">
        <v>16</v>
      </c>
      <c r="F608" s="6" t="inlineStr">
        <is>
          <t>CB400-V</t>
        </is>
      </c>
      <c r="G608" s="7" t="inlineStr">
        <is>
          <t>S01</t>
        </is>
      </c>
      <c r="H608" s="21" t="n">
        <v>1.59</v>
      </c>
      <c r="I608" s="22" t="n">
        <v>9</v>
      </c>
      <c r="J608" s="23" t="n">
        <v>1.58</v>
      </c>
      <c r="K608" s="9">
        <f>ROUND(H608*I608*J608, 2)</f>
        <v/>
      </c>
      <c r="L608" s="24">
        <f>ROUND(K608/1000, 3)</f>
        <v/>
      </c>
      <c r="M608" s="8" t="n"/>
      <c r="N608" s="21">
        <f>ROUND(N607 + IF(AND(E608&lt;=10, F608&lt;&gt;"ASTM A416"), L608, 0), 3)</f>
        <v/>
      </c>
      <c r="O608" s="21">
        <f>ROUND(O607 + IF(AND(E608&gt;10, E608&lt;=18, F608&lt;&gt;"ASTM A416"), L608, 0), 3)</f>
        <v/>
      </c>
      <c r="P608" s="21">
        <f>ROUND(P607 + IF(AND(E608&gt;18, F608&lt;&gt;"ASTM A416"), L608, 0), 3)</f>
        <v/>
      </c>
      <c r="Q608" s="21">
        <f>ROUND(Q607 + IF(F608="ASTM A416", L608, 0), 3)</f>
        <v/>
      </c>
      <c r="R608" s="11">
        <f>IF(INT(N608/20)&gt;INT(N607/20), "Lần " &amp; INT(N608/20), "")</f>
        <v/>
      </c>
      <c r="S608" s="12">
        <f>IF(INT(O608/20)&gt;INT(O607/20), "Lần " &amp; INT(O608/20), "")</f>
        <v/>
      </c>
      <c r="T608" s="11">
        <f>IF(INT(P608/20)&gt;INT(P607/20), "Lần " &amp; INT(P608/20), "")</f>
        <v/>
      </c>
      <c r="U608" s="25">
        <f>IF(INT(Q608/20)&gt;INT(Q607/20), "Lần " &amp; INT(Q608/20), "")</f>
        <v/>
      </c>
      <c r="V608" s="6" t="inlineStr"/>
      <c r="W608" s="6" t="inlineStr">
        <is>
          <t>ĐẠT TCVN 1651:2018</t>
        </is>
      </c>
    </row>
    <row r="609" ht="19" customHeight="1">
      <c r="A609" s="6" t="n">
        <v>574</v>
      </c>
      <c r="B609" s="7" t="inlineStr">
        <is>
          <t>Mố M2</t>
        </is>
      </c>
      <c r="C609" s="7" t="inlineStr">
        <is>
          <t>GỜ LAN CAN</t>
        </is>
      </c>
      <c r="D609" s="19" t="inlineStr">
        <is>
          <t>G1</t>
        </is>
      </c>
      <c r="E609" s="20" t="n">
        <v>14</v>
      </c>
      <c r="F609" s="6" t="inlineStr">
        <is>
          <t>CB400-V</t>
        </is>
      </c>
      <c r="G609" s="7" t="inlineStr">
        <is>
          <t>S01</t>
        </is>
      </c>
      <c r="H609" s="21" t="n">
        <v>5.9</v>
      </c>
      <c r="I609" s="22" t="n">
        <v>19</v>
      </c>
      <c r="J609" s="23" t="n">
        <v>1.21</v>
      </c>
      <c r="K609" s="9">
        <f>ROUND(H609*I609*J609, 2)</f>
        <v/>
      </c>
      <c r="L609" s="24">
        <f>ROUND(K609/1000, 3)</f>
        <v/>
      </c>
      <c r="M609" s="8" t="n"/>
      <c r="N609" s="21">
        <f>ROUND(N608 + IF(AND(E609&lt;=10, F609&lt;&gt;"ASTM A416"), L609, 0), 3)</f>
        <v/>
      </c>
      <c r="O609" s="21">
        <f>ROUND(O608 + IF(AND(E609&gt;10, E609&lt;=18, F609&lt;&gt;"ASTM A416"), L609, 0), 3)</f>
        <v/>
      </c>
      <c r="P609" s="21">
        <f>ROUND(P608 + IF(AND(E609&gt;18, F609&lt;&gt;"ASTM A416"), L609, 0), 3)</f>
        <v/>
      </c>
      <c r="Q609" s="21">
        <f>ROUND(Q608 + IF(F609="ASTM A416", L609, 0), 3)</f>
        <v/>
      </c>
      <c r="R609" s="11">
        <f>IF(INT(N609/20)&gt;INT(N608/20), "Lần " &amp; INT(N609/20), "")</f>
        <v/>
      </c>
      <c r="S609" s="12">
        <f>IF(INT(O609/20)&gt;INT(O608/20), "Lần " &amp; INT(O609/20), "")</f>
        <v/>
      </c>
      <c r="T609" s="11">
        <f>IF(INT(P609/20)&gt;INT(P608/20), "Lần " &amp; INT(P609/20), "")</f>
        <v/>
      </c>
      <c r="U609" s="25">
        <f>IF(INT(Q609/20)&gt;INT(Q608/20), "Lần " &amp; INT(Q609/20), "")</f>
        <v/>
      </c>
      <c r="V609" s="6" t="inlineStr"/>
      <c r="W609" s="6" t="inlineStr">
        <is>
          <t>ĐẠT TCVN 1651:2018</t>
        </is>
      </c>
    </row>
    <row r="610" ht="19" customHeight="1">
      <c r="A610" s="6" t="n">
        <v>575</v>
      </c>
      <c r="B610" s="7" t="inlineStr">
        <is>
          <t>Mố M2</t>
        </is>
      </c>
      <c r="C610" s="7" t="inlineStr">
        <is>
          <t>Thân mố / Bệ mố</t>
        </is>
      </c>
      <c r="D610" s="19" t="inlineStr">
        <is>
          <t>G2</t>
        </is>
      </c>
      <c r="E610" s="20" t="n">
        <v>18</v>
      </c>
      <c r="F610" s="6" t="inlineStr">
        <is>
          <t>CB400-V</t>
        </is>
      </c>
      <c r="G610" s="7" t="inlineStr">
        <is>
          <t>S57</t>
        </is>
      </c>
      <c r="H610" s="21" t="n">
        <v>3.265</v>
      </c>
      <c r="I610" s="22" t="n">
        <v>4</v>
      </c>
      <c r="J610" s="23" t="n">
        <v>2</v>
      </c>
      <c r="K610" s="9">
        <f>ROUND(H610*I610*J610, 2)</f>
        <v/>
      </c>
      <c r="L610" s="24">
        <f>ROUND(K610/1000, 3)</f>
        <v/>
      </c>
      <c r="M610" s="8" t="n"/>
      <c r="N610" s="21">
        <f>ROUND(N609 + IF(AND(E610&lt;=10, F610&lt;&gt;"ASTM A416"), L610, 0), 3)</f>
        <v/>
      </c>
      <c r="O610" s="21">
        <f>ROUND(O609 + IF(AND(E610&gt;10, E610&lt;=18, F610&lt;&gt;"ASTM A416"), L610, 0), 3)</f>
        <v/>
      </c>
      <c r="P610" s="21">
        <f>ROUND(P609 + IF(AND(E610&gt;18, F610&lt;&gt;"ASTM A416"), L610, 0), 3)</f>
        <v/>
      </c>
      <c r="Q610" s="21">
        <f>ROUND(Q609 + IF(F610="ASTM A416", L610, 0), 3)</f>
        <v/>
      </c>
      <c r="R610" s="11">
        <f>IF(INT(N610/20)&gt;INT(N609/20), "Lần " &amp; INT(N610/20), "")</f>
        <v/>
      </c>
      <c r="S610" s="12">
        <f>IF(INT(O610/20)&gt;INT(O609/20), "Lần " &amp; INT(O610/20), "")</f>
        <v/>
      </c>
      <c r="T610" s="11">
        <f>IF(INT(P610/20)&gt;INT(P609/20), "Lần " &amp; INT(P610/20), "")</f>
        <v/>
      </c>
      <c r="U610" s="25">
        <f>IF(INT(Q610/20)&gt;INT(Q609/20), "Lần " &amp; INT(Q610/20), "")</f>
        <v/>
      </c>
      <c r="V610" s="6" t="inlineStr"/>
      <c r="W610" s="6" t="inlineStr">
        <is>
          <t>ĐẠT TCVN 1651:2018</t>
        </is>
      </c>
    </row>
    <row r="611" ht="19" customHeight="1">
      <c r="A611" s="6" t="n">
        <v>576</v>
      </c>
      <c r="B611" s="7" t="inlineStr">
        <is>
          <t>Mố M2</t>
        </is>
      </c>
      <c r="C611" s="7" t="inlineStr">
        <is>
          <t>Thân mố / Bệ mố</t>
        </is>
      </c>
      <c r="D611" s="19" t="inlineStr">
        <is>
          <t>G3</t>
        </is>
      </c>
      <c r="E611" s="20" t="n">
        <v>14</v>
      </c>
      <c r="F611" s="6" t="inlineStr">
        <is>
          <t>CB400-V</t>
        </is>
      </c>
      <c r="G611" s="7" t="inlineStr">
        <is>
          <t>S29</t>
        </is>
      </c>
      <c r="H611" s="21" t="n">
        <v>2.344</v>
      </c>
      <c r="I611" s="22" t="n">
        <v>4</v>
      </c>
      <c r="J611" s="23" t="n">
        <v>1.21</v>
      </c>
      <c r="K611" s="9">
        <f>ROUND(H611*I611*J611, 2)</f>
        <v/>
      </c>
      <c r="L611" s="24">
        <f>ROUND(K611/1000, 3)</f>
        <v/>
      </c>
      <c r="M611" s="8" t="n"/>
      <c r="N611" s="21">
        <f>ROUND(N610 + IF(AND(E611&lt;=10, F611&lt;&gt;"ASTM A416"), L611, 0), 3)</f>
        <v/>
      </c>
      <c r="O611" s="21">
        <f>ROUND(O610 + IF(AND(E611&gt;10, E611&lt;=18, F611&lt;&gt;"ASTM A416"), L611, 0), 3)</f>
        <v/>
      </c>
      <c r="P611" s="21">
        <f>ROUND(P610 + IF(AND(E611&gt;18, F611&lt;&gt;"ASTM A416"), L611, 0), 3)</f>
        <v/>
      </c>
      <c r="Q611" s="21">
        <f>ROUND(Q610 + IF(F611="ASTM A416", L611, 0), 3)</f>
        <v/>
      </c>
      <c r="R611" s="11">
        <f>IF(INT(N611/20)&gt;INT(N610/20), "Lần " &amp; INT(N611/20), "")</f>
        <v/>
      </c>
      <c r="S611" s="12">
        <f>IF(INT(O611/20)&gt;INT(O610/20), "Lần " &amp; INT(O611/20), "")</f>
        <v/>
      </c>
      <c r="T611" s="11">
        <f>IF(INT(P611/20)&gt;INT(P610/20), "Lần " &amp; INT(P611/20), "")</f>
        <v/>
      </c>
      <c r="U611" s="25">
        <f>IF(INT(Q611/20)&gt;INT(Q610/20), "Lần " &amp; INT(Q611/20), "")</f>
        <v/>
      </c>
      <c r="V611" s="6" t="inlineStr"/>
      <c r="W611" s="6" t="inlineStr">
        <is>
          <t>ĐẠT TCVN 1651:2018</t>
        </is>
      </c>
    </row>
    <row r="612" ht="19" customHeight="1">
      <c r="A612" s="6" t="n">
        <v>577</v>
      </c>
      <c r="B612" s="7" t="inlineStr">
        <is>
          <t>Mố M2</t>
        </is>
      </c>
      <c r="C612" s="7" t="inlineStr">
        <is>
          <t>Thân mố / Bệ mố</t>
        </is>
      </c>
      <c r="D612" s="19" t="inlineStr">
        <is>
          <t>G4A</t>
        </is>
      </c>
      <c r="E612" s="20" t="n">
        <v>12</v>
      </c>
      <c r="F612" s="6" t="inlineStr">
        <is>
          <t>CB400-V</t>
        </is>
      </c>
      <c r="G612" s="7" t="inlineStr">
        <is>
          <t>S06</t>
        </is>
      </c>
      <c r="H612" s="21" t="n">
        <v>0.342</v>
      </c>
      <c r="I612" s="22" t="n">
        <v>2</v>
      </c>
      <c r="J612" s="23" t="n">
        <v>0.888</v>
      </c>
      <c r="K612" s="9">
        <f>ROUND(H612*I612*J612, 2)</f>
        <v/>
      </c>
      <c r="L612" s="24">
        <f>ROUND(K612/1000, 3)</f>
        <v/>
      </c>
      <c r="M612" s="8" t="n"/>
      <c r="N612" s="21">
        <f>ROUND(N611 + IF(AND(E612&lt;=10, F612&lt;&gt;"ASTM A416"), L612, 0), 3)</f>
        <v/>
      </c>
      <c r="O612" s="21">
        <f>ROUND(O611 + IF(AND(E612&gt;10, E612&lt;=18, F612&lt;&gt;"ASTM A416"), L612, 0), 3)</f>
        <v/>
      </c>
      <c r="P612" s="21">
        <f>ROUND(P611 + IF(AND(E612&gt;18, F612&lt;&gt;"ASTM A416"), L612, 0), 3)</f>
        <v/>
      </c>
      <c r="Q612" s="21">
        <f>ROUND(Q611 + IF(F612="ASTM A416", L612, 0), 3)</f>
        <v/>
      </c>
      <c r="R612" s="11">
        <f>IF(INT(N612/20)&gt;INT(N611/20), "Lần " &amp; INT(N612/20), "")</f>
        <v/>
      </c>
      <c r="S612" s="12">
        <f>IF(INT(O612/20)&gt;INT(O611/20), "Lần " &amp; INT(O612/20), "")</f>
        <v/>
      </c>
      <c r="T612" s="11">
        <f>IF(INT(P612/20)&gt;INT(P611/20), "Lần " &amp; INT(P612/20), "")</f>
        <v/>
      </c>
      <c r="U612" s="25">
        <f>IF(INT(Q612/20)&gt;INT(Q611/20), "Lần " &amp; INT(Q612/20), "")</f>
        <v/>
      </c>
      <c r="V612" s="6" t="inlineStr"/>
      <c r="W612" s="6" t="inlineStr">
        <is>
          <t>ĐẠT TCVN 1651:2018</t>
        </is>
      </c>
    </row>
    <row r="613" ht="19" customHeight="1">
      <c r="A613" s="6" t="n">
        <v>578</v>
      </c>
      <c r="B613" s="7" t="inlineStr">
        <is>
          <t>Mố M2</t>
        </is>
      </c>
      <c r="C613" s="7" t="inlineStr">
        <is>
          <t>Thân mố / Bệ mố</t>
        </is>
      </c>
      <c r="D613" s="19" t="inlineStr">
        <is>
          <t>G4B</t>
        </is>
      </c>
      <c r="E613" s="20" t="n">
        <v>12</v>
      </c>
      <c r="F613" s="6" t="inlineStr">
        <is>
          <t>CB400-V</t>
        </is>
      </c>
      <c r="G613" s="7" t="inlineStr">
        <is>
          <t>S06</t>
        </is>
      </c>
      <c r="H613" s="21" t="n">
        <v>0.388</v>
      </c>
      <c r="I613" s="22" t="n">
        <v>2</v>
      </c>
      <c r="J613" s="23" t="n">
        <v>0.888</v>
      </c>
      <c r="K613" s="9">
        <f>ROUND(H613*I613*J613, 2)</f>
        <v/>
      </c>
      <c r="L613" s="24">
        <f>ROUND(K613/1000, 3)</f>
        <v/>
      </c>
      <c r="M613" s="8" t="n"/>
      <c r="N613" s="21">
        <f>ROUND(N612 + IF(AND(E613&lt;=10, F613&lt;&gt;"ASTM A416"), L613, 0), 3)</f>
        <v/>
      </c>
      <c r="O613" s="21">
        <f>ROUND(O612 + IF(AND(E613&gt;10, E613&lt;=18, F613&lt;&gt;"ASTM A416"), L613, 0), 3)</f>
        <v/>
      </c>
      <c r="P613" s="21">
        <f>ROUND(P612 + IF(AND(E613&gt;18, F613&lt;&gt;"ASTM A416"), L613, 0), 3)</f>
        <v/>
      </c>
      <c r="Q613" s="21">
        <f>ROUND(Q612 + IF(F613="ASTM A416", L613, 0), 3)</f>
        <v/>
      </c>
      <c r="R613" s="11">
        <f>IF(INT(N613/20)&gt;INT(N612/20), "Lần " &amp; INT(N613/20), "")</f>
        <v/>
      </c>
      <c r="S613" s="12">
        <f>IF(INT(O613/20)&gt;INT(O612/20), "Lần " &amp; INT(O613/20), "")</f>
        <v/>
      </c>
      <c r="T613" s="11">
        <f>IF(INT(P613/20)&gt;INT(P612/20), "Lần " &amp; INT(P613/20), "")</f>
        <v/>
      </c>
      <c r="U613" s="25">
        <f>IF(INT(Q613/20)&gt;INT(Q612/20), "Lần " &amp; INT(Q613/20), "")</f>
        <v/>
      </c>
      <c r="V613" s="6" t="inlineStr"/>
      <c r="W613" s="6" t="inlineStr">
        <is>
          <t>ĐẠT TCVN 1651:2018</t>
        </is>
      </c>
    </row>
    <row r="614" ht="19" customHeight="1">
      <c r="A614" s="6" t="n">
        <v>579</v>
      </c>
      <c r="B614" s="7" t="inlineStr">
        <is>
          <t>Mố M2</t>
        </is>
      </c>
      <c r="C614" s="7" t="inlineStr">
        <is>
          <t>Thân mố / Bệ mố</t>
        </is>
      </c>
      <c r="D614" s="19" t="inlineStr">
        <is>
          <t>G4C</t>
        </is>
      </c>
      <c r="E614" s="20" t="n">
        <v>12</v>
      </c>
      <c r="F614" s="6" t="inlineStr">
        <is>
          <t>CB400-V</t>
        </is>
      </c>
      <c r="G614" s="7" t="inlineStr">
        <is>
          <t>S06</t>
        </is>
      </c>
      <c r="H614" s="21" t="n">
        <v>0.634</v>
      </c>
      <c r="I614" s="22" t="n">
        <v>2</v>
      </c>
      <c r="J614" s="23" t="n">
        <v>0.888</v>
      </c>
      <c r="K614" s="9">
        <f>ROUND(H614*I614*J614, 2)</f>
        <v/>
      </c>
      <c r="L614" s="24">
        <f>ROUND(K614/1000, 3)</f>
        <v/>
      </c>
      <c r="M614" s="8" t="n"/>
      <c r="N614" s="21">
        <f>ROUND(N613 + IF(AND(E614&lt;=10, F614&lt;&gt;"ASTM A416"), L614, 0), 3)</f>
        <v/>
      </c>
      <c r="O614" s="21">
        <f>ROUND(O613 + IF(AND(E614&gt;10, E614&lt;=18, F614&lt;&gt;"ASTM A416"), L614, 0), 3)</f>
        <v/>
      </c>
      <c r="P614" s="21">
        <f>ROUND(P613 + IF(AND(E614&gt;18, F614&lt;&gt;"ASTM A416"), L614, 0), 3)</f>
        <v/>
      </c>
      <c r="Q614" s="21">
        <f>ROUND(Q613 + IF(F614="ASTM A416", L614, 0), 3)</f>
        <v/>
      </c>
      <c r="R614" s="11">
        <f>IF(INT(N614/20)&gt;INT(N613/20), "Lần " &amp; INT(N614/20), "")</f>
        <v/>
      </c>
      <c r="S614" s="12">
        <f>IF(INT(O614/20)&gt;INT(O613/20), "Lần " &amp; INT(O614/20), "")</f>
        <v/>
      </c>
      <c r="T614" s="11">
        <f>IF(INT(P614/20)&gt;INT(P613/20), "Lần " &amp; INT(P614/20), "")</f>
        <v/>
      </c>
      <c r="U614" s="25">
        <f>IF(INT(Q614/20)&gt;INT(Q613/20), "Lần " &amp; INT(Q614/20), "")</f>
        <v/>
      </c>
      <c r="V614" s="6" t="inlineStr"/>
      <c r="W614" s="6" t="inlineStr">
        <is>
          <t>ĐẠT TCVN 1651:2018</t>
        </is>
      </c>
    </row>
    <row r="615" ht="19" customHeight="1">
      <c r="A615" s="6" t="n">
        <v>580</v>
      </c>
      <c r="B615" s="7" t="inlineStr">
        <is>
          <t>Mố M2</t>
        </is>
      </c>
      <c r="C615" s="7" t="inlineStr">
        <is>
          <t>Thân mố / Bệ mố</t>
        </is>
      </c>
      <c r="D615" s="19" t="inlineStr">
        <is>
          <t>G5</t>
        </is>
      </c>
      <c r="E615" s="20" t="n">
        <v>14</v>
      </c>
      <c r="F615" s="6" t="inlineStr">
        <is>
          <t>CB400-V</t>
        </is>
      </c>
      <c r="G615" s="7" t="inlineStr">
        <is>
          <t>S01</t>
        </is>
      </c>
      <c r="H615" s="21" t="n">
        <v>0.4</v>
      </c>
      <c r="I615" s="22" t="n">
        <v>18</v>
      </c>
      <c r="J615" s="23" t="n">
        <v>1.21</v>
      </c>
      <c r="K615" s="9">
        <f>ROUND(H615*I615*J615, 2)</f>
        <v/>
      </c>
      <c r="L615" s="24">
        <f>ROUND(K615/1000, 3)</f>
        <v/>
      </c>
      <c r="M615" s="8" t="n"/>
      <c r="N615" s="21">
        <f>ROUND(N614 + IF(AND(E615&lt;=10, F615&lt;&gt;"ASTM A416"), L615, 0), 3)</f>
        <v/>
      </c>
      <c r="O615" s="21">
        <f>ROUND(O614 + IF(AND(E615&gt;10, E615&lt;=18, F615&lt;&gt;"ASTM A416"), L615, 0), 3)</f>
        <v/>
      </c>
      <c r="P615" s="21">
        <f>ROUND(P614 + IF(AND(E615&gt;18, F615&lt;&gt;"ASTM A416"), L615, 0), 3)</f>
        <v/>
      </c>
      <c r="Q615" s="21">
        <f>ROUND(Q614 + IF(F615="ASTM A416", L615, 0), 3)</f>
        <v/>
      </c>
      <c r="R615" s="11">
        <f>IF(INT(N615/20)&gt;INT(N614/20), "Lần " &amp; INT(N615/20), "")</f>
        <v/>
      </c>
      <c r="S615" s="12">
        <f>IF(INT(O615/20)&gt;INT(O614/20), "Lần " &amp; INT(O615/20), "")</f>
        <v/>
      </c>
      <c r="T615" s="11">
        <f>IF(INT(P615/20)&gt;INT(P614/20), "Lần " &amp; INT(P615/20), "")</f>
        <v/>
      </c>
      <c r="U615" s="25">
        <f>IF(INT(Q615/20)&gt;INT(Q614/20), "Lần " &amp; INT(Q615/20), "")</f>
        <v/>
      </c>
      <c r="V615" s="6" t="inlineStr"/>
      <c r="W615" s="6" t="inlineStr">
        <is>
          <t>ĐẠT TCVN 1651:2018</t>
        </is>
      </c>
    </row>
    <row r="616" ht="19" customHeight="1">
      <c r="A616" s="6" t="n">
        <v>581</v>
      </c>
      <c r="B616" s="7" t="inlineStr">
        <is>
          <t>Mố M2</t>
        </is>
      </c>
      <c r="C616" s="7" t="inlineStr">
        <is>
          <t>Thân mố / Bệ mố</t>
        </is>
      </c>
      <c r="D616" s="19" t="inlineStr">
        <is>
          <t>G5A</t>
        </is>
      </c>
      <c r="E616" s="20" t="n">
        <v>14</v>
      </c>
      <c r="F616" s="6" t="inlineStr">
        <is>
          <t>CB400-V</t>
        </is>
      </c>
      <c r="G616" s="7" t="inlineStr">
        <is>
          <t>S01</t>
        </is>
      </c>
      <c r="H616" s="21" t="n">
        <v>5.38</v>
      </c>
      <c r="I616" s="22" t="n">
        <v>22</v>
      </c>
      <c r="J616" s="23" t="n">
        <v>1.21</v>
      </c>
      <c r="K616" s="9">
        <f>ROUND(H616*I616*J616, 2)</f>
        <v/>
      </c>
      <c r="L616" s="24">
        <f>ROUND(K616/1000, 3)</f>
        <v/>
      </c>
      <c r="M616" s="8" t="n"/>
      <c r="N616" s="21">
        <f>ROUND(N615 + IF(AND(E616&lt;=10, F616&lt;&gt;"ASTM A416"), L616, 0), 3)</f>
        <v/>
      </c>
      <c r="O616" s="21">
        <f>ROUND(O615 + IF(AND(E616&gt;10, E616&lt;=18, F616&lt;&gt;"ASTM A416"), L616, 0), 3)</f>
        <v/>
      </c>
      <c r="P616" s="21">
        <f>ROUND(P615 + IF(AND(E616&gt;18, F616&lt;&gt;"ASTM A416"), L616, 0), 3)</f>
        <v/>
      </c>
      <c r="Q616" s="21">
        <f>ROUND(Q615 + IF(F616="ASTM A416", L616, 0), 3)</f>
        <v/>
      </c>
      <c r="R616" s="11">
        <f>IF(INT(N616/20)&gt;INT(N615/20), "Lần " &amp; INT(N616/20), "")</f>
        <v/>
      </c>
      <c r="S616" s="12">
        <f>IF(INT(O616/20)&gt;INT(O615/20), "Lần " &amp; INT(O616/20), "")</f>
        <v/>
      </c>
      <c r="T616" s="11">
        <f>IF(INT(P616/20)&gt;INT(P615/20), "Lần " &amp; INT(P616/20), "")</f>
        <v/>
      </c>
      <c r="U616" s="25">
        <f>IF(INT(Q616/20)&gt;INT(Q615/20), "Lần " &amp; INT(Q616/20), "")</f>
        <v/>
      </c>
      <c r="V616" s="6" t="inlineStr"/>
      <c r="W616" s="6" t="inlineStr">
        <is>
          <t>ĐẠT TCVN 1651:2018</t>
        </is>
      </c>
    </row>
    <row r="617" ht="19" customHeight="1">
      <c r="A617" s="6" t="n">
        <v>582</v>
      </c>
      <c r="B617" s="7" t="inlineStr">
        <is>
          <t>Mố M2</t>
        </is>
      </c>
      <c r="C617" s="7" t="inlineStr">
        <is>
          <t>Thân mố / Bệ mố</t>
        </is>
      </c>
      <c r="D617" s="19" t="inlineStr">
        <is>
          <t>G6</t>
        </is>
      </c>
      <c r="E617" s="20" t="n">
        <v>20</v>
      </c>
      <c r="F617" s="6" t="inlineStr">
        <is>
          <t>CB400-V</t>
        </is>
      </c>
      <c r="G617" s="7" t="inlineStr">
        <is>
          <t>S57</t>
        </is>
      </c>
      <c r="H617" s="21" t="n">
        <v>3.095</v>
      </c>
      <c r="I617" s="22" t="n">
        <v>39</v>
      </c>
      <c r="J617" s="23" t="n">
        <v>2.47</v>
      </c>
      <c r="K617" s="9">
        <f>ROUND(H617*I617*J617, 2)</f>
        <v/>
      </c>
      <c r="L617" s="24">
        <f>ROUND(K617/1000, 3)</f>
        <v/>
      </c>
      <c r="M617" s="8" t="n"/>
      <c r="N617" s="21">
        <f>ROUND(N616 + IF(AND(E617&lt;=10, F617&lt;&gt;"ASTM A416"), L617, 0), 3)</f>
        <v/>
      </c>
      <c r="O617" s="21">
        <f>ROUND(O616 + IF(AND(E617&gt;10, E617&lt;=18, F617&lt;&gt;"ASTM A416"), L617, 0), 3)</f>
        <v/>
      </c>
      <c r="P617" s="21">
        <f>ROUND(P616 + IF(AND(E617&gt;18, F617&lt;&gt;"ASTM A416"), L617, 0), 3)</f>
        <v/>
      </c>
      <c r="Q617" s="21">
        <f>ROUND(Q616 + IF(F617="ASTM A416", L617, 0), 3)</f>
        <v/>
      </c>
      <c r="R617" s="11">
        <f>IF(INT(N617/20)&gt;INT(N616/20), "Lần " &amp; INT(N617/20), "")</f>
        <v/>
      </c>
      <c r="S617" s="12">
        <f>IF(INT(O617/20)&gt;INT(O616/20), "Lần " &amp; INT(O617/20), "")</f>
        <v/>
      </c>
      <c r="T617" s="11">
        <f>IF(INT(P617/20)&gt;INT(P616/20), "Lần " &amp; INT(P617/20), "")</f>
        <v/>
      </c>
      <c r="U617" s="25">
        <f>IF(INT(Q617/20)&gt;INT(Q616/20), "Lần " &amp; INT(Q617/20), "")</f>
        <v/>
      </c>
      <c r="V617" s="6" t="inlineStr"/>
      <c r="W617" s="6" t="inlineStr">
        <is>
          <t>ĐẠT TCVN 1651:2018</t>
        </is>
      </c>
    </row>
    <row r="618" ht="19" customHeight="1">
      <c r="A618" s="6" t="n">
        <v>583</v>
      </c>
      <c r="B618" s="7" t="inlineStr">
        <is>
          <t>Mố M2</t>
        </is>
      </c>
      <c r="C618" s="7" t="inlineStr">
        <is>
          <t>Thân mố / Bệ mố</t>
        </is>
      </c>
      <c r="D618" s="19" t="inlineStr">
        <is>
          <t>G7</t>
        </is>
      </c>
      <c r="E618" s="20" t="n">
        <v>14</v>
      </c>
      <c r="F618" s="6" t="inlineStr">
        <is>
          <t>CB400-V</t>
        </is>
      </c>
      <c r="G618" s="7" t="inlineStr">
        <is>
          <t>S29</t>
        </is>
      </c>
      <c r="H618" s="21" t="n">
        <v>1.536</v>
      </c>
      <c r="I618" s="22" t="n">
        <v>39</v>
      </c>
      <c r="J618" s="23" t="n">
        <v>1.21</v>
      </c>
      <c r="K618" s="9">
        <f>ROUND(H618*I618*J618, 2)</f>
        <v/>
      </c>
      <c r="L618" s="24">
        <f>ROUND(K618/1000, 3)</f>
        <v/>
      </c>
      <c r="M618" s="8" t="n"/>
      <c r="N618" s="21">
        <f>ROUND(N617 + IF(AND(E618&lt;=10, F618&lt;&gt;"ASTM A416"), L618, 0), 3)</f>
        <v/>
      </c>
      <c r="O618" s="21">
        <f>ROUND(O617 + IF(AND(E618&gt;10, E618&lt;=18, F618&lt;&gt;"ASTM A416"), L618, 0), 3)</f>
        <v/>
      </c>
      <c r="P618" s="21">
        <f>ROUND(P617 + IF(AND(E618&gt;18, F618&lt;&gt;"ASTM A416"), L618, 0), 3)</f>
        <v/>
      </c>
      <c r="Q618" s="21">
        <f>ROUND(Q617 + IF(F618="ASTM A416", L618, 0), 3)</f>
        <v/>
      </c>
      <c r="R618" s="11">
        <f>IF(INT(N618/20)&gt;INT(N617/20), "Lần " &amp; INT(N618/20), "")</f>
        <v/>
      </c>
      <c r="S618" s="12">
        <f>IF(INT(O618/20)&gt;INT(O617/20), "Lần " &amp; INT(O618/20), "")</f>
        <v/>
      </c>
      <c r="T618" s="11">
        <f>IF(INT(P618/20)&gt;INT(P617/20), "Lần " &amp; INT(P618/20), "")</f>
        <v/>
      </c>
      <c r="U618" s="25">
        <f>IF(INT(Q618/20)&gt;INT(Q617/20), "Lần " &amp; INT(Q618/20), "")</f>
        <v/>
      </c>
      <c r="V618" s="6" t="inlineStr"/>
      <c r="W618" s="6" t="inlineStr">
        <is>
          <t>ĐẠT TCVN 1651:2018</t>
        </is>
      </c>
    </row>
    <row r="619" ht="19" customHeight="1">
      <c r="A619" s="6" t="n">
        <v>584</v>
      </c>
      <c r="B619" s="7" t="inlineStr">
        <is>
          <t>Mố M2</t>
        </is>
      </c>
      <c r="C619" s="7" t="inlineStr">
        <is>
          <t>Thân mố / Bệ mố</t>
        </is>
      </c>
      <c r="D619" s="19" t="inlineStr">
        <is>
          <t>G7A</t>
        </is>
      </c>
      <c r="E619" s="20" t="n">
        <v>20</v>
      </c>
      <c r="F619" s="6" t="inlineStr">
        <is>
          <t>CB400-V</t>
        </is>
      </c>
      <c r="G619" s="7" t="inlineStr">
        <is>
          <t>S05</t>
        </is>
      </c>
      <c r="H619" s="21" t="n">
        <v>1.182</v>
      </c>
      <c r="I619" s="22" t="n">
        <v>39</v>
      </c>
      <c r="J619" s="23" t="n">
        <v>2.47</v>
      </c>
      <c r="K619" s="9">
        <f>ROUND(H619*I619*J619, 2)</f>
        <v/>
      </c>
      <c r="L619" s="24">
        <f>ROUND(K619/1000, 3)</f>
        <v/>
      </c>
      <c r="M619" s="8" t="n"/>
      <c r="N619" s="21">
        <f>ROUND(N618 + IF(AND(E619&lt;=10, F619&lt;&gt;"ASTM A416"), L619, 0), 3)</f>
        <v/>
      </c>
      <c r="O619" s="21">
        <f>ROUND(O618 + IF(AND(E619&gt;10, E619&lt;=18, F619&lt;&gt;"ASTM A416"), L619, 0), 3)</f>
        <v/>
      </c>
      <c r="P619" s="21">
        <f>ROUND(P618 + IF(AND(E619&gt;18, F619&lt;&gt;"ASTM A416"), L619, 0), 3)</f>
        <v/>
      </c>
      <c r="Q619" s="21">
        <f>ROUND(Q618 + IF(F619="ASTM A416", L619, 0), 3)</f>
        <v/>
      </c>
      <c r="R619" s="11">
        <f>IF(INT(N619/20)&gt;INT(N618/20), "Lần " &amp; INT(N619/20), "")</f>
        <v/>
      </c>
      <c r="S619" s="12">
        <f>IF(INT(O619/20)&gt;INT(O618/20), "Lần " &amp; INT(O619/20), "")</f>
        <v/>
      </c>
      <c r="T619" s="11">
        <f>IF(INT(P619/20)&gt;INT(P618/20), "Lần " &amp; INT(P619/20), "")</f>
        <v/>
      </c>
      <c r="U619" s="25">
        <f>IF(INT(Q619/20)&gt;INT(Q618/20), "Lần " &amp; INT(Q619/20), "")</f>
        <v/>
      </c>
      <c r="V619" s="6" t="inlineStr"/>
      <c r="W619" s="6" t="inlineStr">
        <is>
          <t>ĐẠT TCVN 1651:2018</t>
        </is>
      </c>
    </row>
    <row r="620" ht="19" customHeight="1">
      <c r="A620" s="6" t="n">
        <v>585</v>
      </c>
      <c r="B620" s="7" t="inlineStr">
        <is>
          <t>Mố M2</t>
        </is>
      </c>
      <c r="C620" s="7" t="inlineStr">
        <is>
          <t>Thân mố / Bệ mố</t>
        </is>
      </c>
      <c r="D620" s="19" t="inlineStr">
        <is>
          <t>G8A</t>
        </is>
      </c>
      <c r="E620" s="20" t="n">
        <v>12</v>
      </c>
      <c r="F620" s="6" t="inlineStr">
        <is>
          <t>CB400-V</t>
        </is>
      </c>
      <c r="G620" s="7" t="inlineStr">
        <is>
          <t>S06</t>
        </is>
      </c>
      <c r="H620" s="21" t="n">
        <v>0.26</v>
      </c>
      <c r="I620" s="22" t="n">
        <v>14</v>
      </c>
      <c r="J620" s="23" t="n">
        <v>0.888</v>
      </c>
      <c r="K620" s="9">
        <f>ROUND(H620*I620*J620, 2)</f>
        <v/>
      </c>
      <c r="L620" s="24">
        <f>ROUND(K620/1000, 3)</f>
        <v/>
      </c>
      <c r="M620" s="8" t="n"/>
      <c r="N620" s="21">
        <f>ROUND(N619 + IF(AND(E620&lt;=10, F620&lt;&gt;"ASTM A416"), L620, 0), 3)</f>
        <v/>
      </c>
      <c r="O620" s="21">
        <f>ROUND(O619 + IF(AND(E620&gt;10, E620&lt;=18, F620&lt;&gt;"ASTM A416"), L620, 0), 3)</f>
        <v/>
      </c>
      <c r="P620" s="21">
        <f>ROUND(P619 + IF(AND(E620&gt;18, F620&lt;&gt;"ASTM A416"), L620, 0), 3)</f>
        <v/>
      </c>
      <c r="Q620" s="21">
        <f>ROUND(Q619 + IF(F620="ASTM A416", L620, 0), 3)</f>
        <v/>
      </c>
      <c r="R620" s="11">
        <f>IF(INT(N620/20)&gt;INT(N619/20), "Lần " &amp; INT(N620/20), "")</f>
        <v/>
      </c>
      <c r="S620" s="12">
        <f>IF(INT(O620/20)&gt;INT(O619/20), "Lần " &amp; INT(O620/20), "")</f>
        <v/>
      </c>
      <c r="T620" s="11">
        <f>IF(INT(P620/20)&gt;INT(P619/20), "Lần " &amp; INT(P620/20), "")</f>
        <v/>
      </c>
      <c r="U620" s="25">
        <f>IF(INT(Q620/20)&gt;INT(Q619/20), "Lần " &amp; INT(Q620/20), "")</f>
        <v/>
      </c>
      <c r="V620" s="6" t="inlineStr"/>
      <c r="W620" s="6" t="inlineStr">
        <is>
          <t>ĐẠT TCVN 1651:2018</t>
        </is>
      </c>
    </row>
    <row r="621" ht="19" customHeight="1">
      <c r="A621" s="6" t="n">
        <v>586</v>
      </c>
      <c r="B621" s="7" t="inlineStr">
        <is>
          <t>Mố M2</t>
        </is>
      </c>
      <c r="C621" s="7" t="inlineStr">
        <is>
          <t>Thân mố / Bệ mố</t>
        </is>
      </c>
      <c r="D621" s="19" t="inlineStr">
        <is>
          <t>G8B</t>
        </is>
      </c>
      <c r="E621" s="20" t="n">
        <v>12</v>
      </c>
      <c r="F621" s="6" t="inlineStr">
        <is>
          <t>CB400-V</t>
        </is>
      </c>
      <c r="G621" s="7" t="inlineStr">
        <is>
          <t>S06</t>
        </is>
      </c>
      <c r="H621" s="21" t="n">
        <v>0.306</v>
      </c>
      <c r="I621" s="22" t="n">
        <v>14</v>
      </c>
      <c r="J621" s="23" t="n">
        <v>0.888</v>
      </c>
      <c r="K621" s="9">
        <f>ROUND(H621*I621*J621, 2)</f>
        <v/>
      </c>
      <c r="L621" s="24">
        <f>ROUND(K621/1000, 3)</f>
        <v/>
      </c>
      <c r="M621" s="8" t="n"/>
      <c r="N621" s="21">
        <f>ROUND(N620 + IF(AND(E621&lt;=10, F621&lt;&gt;"ASTM A416"), L621, 0), 3)</f>
        <v/>
      </c>
      <c r="O621" s="21">
        <f>ROUND(O620 + IF(AND(E621&gt;10, E621&lt;=18, F621&lt;&gt;"ASTM A416"), L621, 0), 3)</f>
        <v/>
      </c>
      <c r="P621" s="21">
        <f>ROUND(P620 + IF(AND(E621&gt;18, F621&lt;&gt;"ASTM A416"), L621, 0), 3)</f>
        <v/>
      </c>
      <c r="Q621" s="21">
        <f>ROUND(Q620 + IF(F621="ASTM A416", L621, 0), 3)</f>
        <v/>
      </c>
      <c r="R621" s="11">
        <f>IF(INT(N621/20)&gt;INT(N620/20), "Lần " &amp; INT(N621/20), "")</f>
        <v/>
      </c>
      <c r="S621" s="12">
        <f>IF(INT(O621/20)&gt;INT(O620/20), "Lần " &amp; INT(O621/20), "")</f>
        <v/>
      </c>
      <c r="T621" s="11">
        <f>IF(INT(P621/20)&gt;INT(P620/20), "Lần " &amp; INT(P621/20), "")</f>
        <v/>
      </c>
      <c r="U621" s="25">
        <f>IF(INT(Q621/20)&gt;INT(Q620/20), "Lần " &amp; INT(Q621/20), "")</f>
        <v/>
      </c>
      <c r="V621" s="6" t="inlineStr"/>
      <c r="W621" s="6" t="inlineStr">
        <is>
          <t>ĐẠT TCVN 1651:2018</t>
        </is>
      </c>
    </row>
    <row r="622" ht="19" customHeight="1">
      <c r="A622" s="6" t="n">
        <v>587</v>
      </c>
      <c r="B622" s="7" t="inlineStr">
        <is>
          <t>Mố M2</t>
        </is>
      </c>
      <c r="C622" s="7" t="inlineStr">
        <is>
          <t>Thân mố / Bệ mố</t>
        </is>
      </c>
      <c r="D622" s="19" t="inlineStr">
        <is>
          <t>G8C</t>
        </is>
      </c>
      <c r="E622" s="20" t="n">
        <v>12</v>
      </c>
      <c r="F622" s="6" t="inlineStr">
        <is>
          <t>CB400-V</t>
        </is>
      </c>
      <c r="G622" s="7" t="inlineStr">
        <is>
          <t>S06</t>
        </is>
      </c>
      <c r="H622" s="21" t="n">
        <v>0.417</v>
      </c>
      <c r="I622" s="22" t="n">
        <v>14</v>
      </c>
      <c r="J622" s="23" t="n">
        <v>0.888</v>
      </c>
      <c r="K622" s="9">
        <f>ROUND(H622*I622*J622, 2)</f>
        <v/>
      </c>
      <c r="L622" s="24">
        <f>ROUND(K622/1000, 3)</f>
        <v/>
      </c>
      <c r="M622" s="8" t="n"/>
      <c r="N622" s="21">
        <f>ROUND(N621 + IF(AND(E622&lt;=10, F622&lt;&gt;"ASTM A416"), L622, 0), 3)</f>
        <v/>
      </c>
      <c r="O622" s="21">
        <f>ROUND(O621 + IF(AND(E622&gt;10, E622&lt;=18, F622&lt;&gt;"ASTM A416"), L622, 0), 3)</f>
        <v/>
      </c>
      <c r="P622" s="21">
        <f>ROUND(P621 + IF(AND(E622&gt;18, F622&lt;&gt;"ASTM A416"), L622, 0), 3)</f>
        <v/>
      </c>
      <c r="Q622" s="21">
        <f>ROUND(Q621 + IF(F622="ASTM A416", L622, 0), 3)</f>
        <v/>
      </c>
      <c r="R622" s="11">
        <f>IF(INT(N622/20)&gt;INT(N621/20), "Lần " &amp; INT(N622/20), "")</f>
        <v/>
      </c>
      <c r="S622" s="12">
        <f>IF(INT(O622/20)&gt;INT(O621/20), "Lần " &amp; INT(O622/20), "")</f>
        <v/>
      </c>
      <c r="T622" s="11">
        <f>IF(INT(P622/20)&gt;INT(P621/20), "Lần " &amp; INT(P622/20), "")</f>
        <v/>
      </c>
      <c r="U622" s="25">
        <f>IF(INT(Q622/20)&gt;INT(Q621/20), "Lần " &amp; INT(Q622/20), "")</f>
        <v/>
      </c>
      <c r="V622" s="6" t="inlineStr"/>
      <c r="W622" s="6" t="inlineStr">
        <is>
          <t>ĐẠT TCVN 1651:2018</t>
        </is>
      </c>
    </row>
    <row r="623" ht="19" customHeight="1">
      <c r="A623" s="6" t="n">
        <v>588</v>
      </c>
      <c r="B623" s="7" t="inlineStr">
        <is>
          <t>Mố M2</t>
        </is>
      </c>
      <c r="C623" s="7" t="inlineStr">
        <is>
          <t>Thân mố / Bệ mố</t>
        </is>
      </c>
      <c r="D623" s="19" t="inlineStr">
        <is>
          <t>G9</t>
        </is>
      </c>
      <c r="E623" s="20" t="n">
        <v>16</v>
      </c>
      <c r="F623" s="6" t="inlineStr">
        <is>
          <t>CB400-V</t>
        </is>
      </c>
      <c r="G623" s="7" t="inlineStr">
        <is>
          <t>S02</t>
        </is>
      </c>
      <c r="H623" s="21" t="n">
        <v>0.625</v>
      </c>
      <c r="I623" s="22" t="n">
        <v>70</v>
      </c>
      <c r="J623" s="23" t="n">
        <v>1.58</v>
      </c>
      <c r="K623" s="9">
        <f>ROUND(H623*I623*J623, 2)</f>
        <v/>
      </c>
      <c r="L623" s="24">
        <f>ROUND(K623/1000, 3)</f>
        <v/>
      </c>
      <c r="M623" s="8" t="n"/>
      <c r="N623" s="21">
        <f>ROUND(N622 + IF(AND(E623&lt;=10, F623&lt;&gt;"ASTM A416"), L623, 0), 3)</f>
        <v/>
      </c>
      <c r="O623" s="21">
        <f>ROUND(O622 + IF(AND(E623&gt;10, E623&lt;=18, F623&lt;&gt;"ASTM A416"), L623, 0), 3)</f>
        <v/>
      </c>
      <c r="P623" s="21">
        <f>ROUND(P622 + IF(AND(E623&gt;18, F623&lt;&gt;"ASTM A416"), L623, 0), 3)</f>
        <v/>
      </c>
      <c r="Q623" s="21">
        <f>ROUND(Q622 + IF(F623="ASTM A416", L623, 0), 3)</f>
        <v/>
      </c>
      <c r="R623" s="11">
        <f>IF(INT(N623/20)&gt;INT(N622/20), "Lần " &amp; INT(N623/20), "")</f>
        <v/>
      </c>
      <c r="S623" s="12">
        <f>IF(INT(O623/20)&gt;INT(O622/20), "Lần " &amp; INT(O623/20), "")</f>
        <v/>
      </c>
      <c r="T623" s="11">
        <f>IF(INT(P623/20)&gt;INT(P622/20), "Lần " &amp; INT(P623/20), "")</f>
        <v/>
      </c>
      <c r="U623" s="25">
        <f>IF(INT(Q623/20)&gt;INT(Q622/20), "Lần " &amp; INT(Q623/20), "")</f>
        <v/>
      </c>
      <c r="V623" s="6" t="inlineStr"/>
      <c r="W623" s="6" t="inlineStr">
        <is>
          <t>ĐẠT TCVN 1651:2018</t>
        </is>
      </c>
    </row>
    <row r="624" ht="19" customHeight="1">
      <c r="A624" s="6" t="n">
        <v>589</v>
      </c>
      <c r="B624" s="7" t="inlineStr">
        <is>
          <t>Trụ T1, T2 (Bệ móng)</t>
        </is>
      </c>
      <c r="C624" s="7" t="inlineStr">
        <is>
          <t>Bệ trụ 2 thân</t>
        </is>
      </c>
      <c r="D624" s="19" t="inlineStr">
        <is>
          <t>B1</t>
        </is>
      </c>
      <c r="E624" s="20" t="n">
        <v>28</v>
      </c>
      <c r="F624" s="6" t="inlineStr">
        <is>
          <t>CB400-V</t>
        </is>
      </c>
      <c r="G624" s="7" t="inlineStr">
        <is>
          <t>S06</t>
        </is>
      </c>
      <c r="H624" s="21" t="n">
        <v>11.528</v>
      </c>
      <c r="I624" s="22" t="n">
        <v>132</v>
      </c>
      <c r="J624" s="23" t="n">
        <v>4.83</v>
      </c>
      <c r="K624" s="9">
        <f>ROUND(H624*I624*J624, 2)</f>
        <v/>
      </c>
      <c r="L624" s="24">
        <f>ROUND(K624/1000, 3)</f>
        <v/>
      </c>
      <c r="M624" s="8" t="n"/>
      <c r="N624" s="21">
        <f>ROUND(N623 + IF(AND(E624&lt;=10, F624&lt;&gt;"ASTM A416"), L624, 0), 3)</f>
        <v/>
      </c>
      <c r="O624" s="21">
        <f>ROUND(O623 + IF(AND(E624&gt;10, E624&lt;=18, F624&lt;&gt;"ASTM A416"), L624, 0), 3)</f>
        <v/>
      </c>
      <c r="P624" s="21">
        <f>ROUND(P623 + IF(AND(E624&gt;18, F624&lt;&gt;"ASTM A416"), L624, 0), 3)</f>
        <v/>
      </c>
      <c r="Q624" s="21">
        <f>ROUND(Q623 + IF(F624="ASTM A416", L624, 0), 3)</f>
        <v/>
      </c>
      <c r="R624" s="11">
        <f>IF(INT(N624/20)&gt;INT(N623/20), "Lần " &amp; INT(N624/20), "")</f>
        <v/>
      </c>
      <c r="S624" s="12">
        <f>IF(INT(O624/20)&gt;INT(O623/20), "Lần " &amp; INT(O624/20), "")</f>
        <v/>
      </c>
      <c r="T624" s="11">
        <f>IF(INT(P624/20)&gt;INT(P623/20), "Lần " &amp; INT(P624/20), "")</f>
        <v/>
      </c>
      <c r="U624" s="25">
        <f>IF(INT(Q624/20)&gt;INT(Q623/20), "Lần " &amp; INT(Q624/20), "")</f>
        <v/>
      </c>
      <c r="V624" s="6" t="inlineStr"/>
      <c r="W624" s="6" t="inlineStr">
        <is>
          <t>ĐẠT TCVN 1651:2018</t>
        </is>
      </c>
    </row>
    <row r="625" ht="19" customHeight="1">
      <c r="A625" s="6" t="n">
        <v>590</v>
      </c>
      <c r="B625" s="7" t="inlineStr">
        <is>
          <t>Trụ T1, T2 (Bệ móng)</t>
        </is>
      </c>
      <c r="C625" s="7" t="inlineStr">
        <is>
          <t>Bệ trụ 2 thân</t>
        </is>
      </c>
      <c r="D625" s="19" t="inlineStr">
        <is>
          <t>B2</t>
        </is>
      </c>
      <c r="E625" s="20" t="n">
        <v>18</v>
      </c>
      <c r="F625" s="6" t="inlineStr">
        <is>
          <t>CB400-V</t>
        </is>
      </c>
      <c r="G625" s="7" t="inlineStr">
        <is>
          <t>S06</t>
        </is>
      </c>
      <c r="H625" s="21" t="n">
        <v>11.286</v>
      </c>
      <c r="I625" s="22" t="n">
        <v>66</v>
      </c>
      <c r="J625" s="23" t="n">
        <v>2</v>
      </c>
      <c r="K625" s="9">
        <f>ROUND(H625*I625*J625, 2)</f>
        <v/>
      </c>
      <c r="L625" s="24">
        <f>ROUND(K625/1000, 3)</f>
        <v/>
      </c>
      <c r="M625" s="8" t="n"/>
      <c r="N625" s="21">
        <f>ROUND(N624 + IF(AND(E625&lt;=10, F625&lt;&gt;"ASTM A416"), L625, 0), 3)</f>
        <v/>
      </c>
      <c r="O625" s="21">
        <f>ROUND(O624 + IF(AND(E625&gt;10, E625&lt;=18, F625&lt;&gt;"ASTM A416"), L625, 0), 3)</f>
        <v/>
      </c>
      <c r="P625" s="21">
        <f>ROUND(P624 + IF(AND(E625&gt;18, F625&lt;&gt;"ASTM A416"), L625, 0), 3)</f>
        <v/>
      </c>
      <c r="Q625" s="21">
        <f>ROUND(Q624 + IF(F625="ASTM A416", L625, 0), 3)</f>
        <v/>
      </c>
      <c r="R625" s="11">
        <f>IF(INT(N625/20)&gt;INT(N624/20), "Lần " &amp; INT(N625/20), "")</f>
        <v/>
      </c>
      <c r="S625" s="12">
        <f>IF(INT(O625/20)&gt;INT(O624/20), "Lần " &amp; INT(O625/20), "")</f>
        <v/>
      </c>
      <c r="T625" s="11">
        <f>IF(INT(P625/20)&gt;INT(P624/20), "Lần " &amp; INT(P625/20), "")</f>
        <v/>
      </c>
      <c r="U625" s="25">
        <f>IF(INT(Q625/20)&gt;INT(Q624/20), "Lần " &amp; INT(Q625/20), "")</f>
        <v/>
      </c>
      <c r="V625" s="6" t="inlineStr"/>
      <c r="W625" s="6" t="inlineStr">
        <is>
          <t>ĐẠT TCVN 1651:2018</t>
        </is>
      </c>
    </row>
    <row r="626" ht="19" customHeight="1">
      <c r="A626" s="6" t="n">
        <v>591</v>
      </c>
      <c r="B626" s="7" t="inlineStr">
        <is>
          <t>Trụ T1, T2 (Bệ móng)</t>
        </is>
      </c>
      <c r="C626" s="7" t="inlineStr">
        <is>
          <t>Bệ trụ 2 thân</t>
        </is>
      </c>
      <c r="D626" s="19" t="inlineStr">
        <is>
          <t>B3</t>
        </is>
      </c>
      <c r="E626" s="20" t="n">
        <v>28</v>
      </c>
      <c r="F626" s="6" t="inlineStr">
        <is>
          <t>CB400-V</t>
        </is>
      </c>
      <c r="G626" s="7" t="inlineStr">
        <is>
          <t>S06</t>
        </is>
      </c>
      <c r="H626" s="21" t="n">
        <v>5.528</v>
      </c>
      <c r="I626" s="22" t="n">
        <v>146</v>
      </c>
      <c r="J626" s="23" t="n">
        <v>4.83</v>
      </c>
      <c r="K626" s="9">
        <f>ROUND(H626*I626*J626, 2)</f>
        <v/>
      </c>
      <c r="L626" s="24">
        <f>ROUND(K626/1000, 3)</f>
        <v/>
      </c>
      <c r="M626" s="8" t="n"/>
      <c r="N626" s="21">
        <f>ROUND(N625 + IF(AND(E626&lt;=10, F626&lt;&gt;"ASTM A416"), L626, 0), 3)</f>
        <v/>
      </c>
      <c r="O626" s="21">
        <f>ROUND(O625 + IF(AND(E626&gt;10, E626&lt;=18, F626&lt;&gt;"ASTM A416"), L626, 0), 3)</f>
        <v/>
      </c>
      <c r="P626" s="21">
        <f>ROUND(P625 + IF(AND(E626&gt;18, F626&lt;&gt;"ASTM A416"), L626, 0), 3)</f>
        <v/>
      </c>
      <c r="Q626" s="21">
        <f>ROUND(Q625 + IF(F626="ASTM A416", L626, 0), 3)</f>
        <v/>
      </c>
      <c r="R626" s="11">
        <f>IF(INT(N626/20)&gt;INT(N625/20), "Lần " &amp; INT(N626/20), "")</f>
        <v/>
      </c>
      <c r="S626" s="12">
        <f>IF(INT(O626/20)&gt;INT(O625/20), "Lần " &amp; INT(O626/20), "")</f>
        <v/>
      </c>
      <c r="T626" s="11">
        <f>IF(INT(P626/20)&gt;INT(P625/20), "Lần " &amp; INT(P626/20), "")</f>
        <v/>
      </c>
      <c r="U626" s="25">
        <f>IF(INT(Q626/20)&gt;INT(Q625/20), "Lần " &amp; INT(Q626/20), "")</f>
        <v/>
      </c>
      <c r="V626" s="6" t="inlineStr"/>
      <c r="W626" s="6" t="inlineStr">
        <is>
          <t>ĐẠT TCVN 1651:2018</t>
        </is>
      </c>
    </row>
    <row r="627" ht="19" customHeight="1">
      <c r="A627" s="6" t="n">
        <v>592</v>
      </c>
      <c r="B627" s="7" t="inlineStr">
        <is>
          <t>Trụ T1, T2 (Bệ móng)</t>
        </is>
      </c>
      <c r="C627" s="7" t="inlineStr">
        <is>
          <t>Bệ trụ 2 thân</t>
        </is>
      </c>
      <c r="D627" s="19" t="inlineStr">
        <is>
          <t>B4</t>
        </is>
      </c>
      <c r="E627" s="20" t="n">
        <v>18</v>
      </c>
      <c r="F627" s="6" t="inlineStr">
        <is>
          <t>CB400-V</t>
        </is>
      </c>
      <c r="G627" s="7" t="inlineStr">
        <is>
          <t>S06</t>
        </is>
      </c>
      <c r="H627" s="21" t="n">
        <v>5.286</v>
      </c>
      <c r="I627" s="22" t="n">
        <v>146</v>
      </c>
      <c r="J627" s="23" t="n">
        <v>2</v>
      </c>
      <c r="K627" s="9">
        <f>ROUND(H627*I627*J627, 2)</f>
        <v/>
      </c>
      <c r="L627" s="24">
        <f>ROUND(K627/1000, 3)</f>
        <v/>
      </c>
      <c r="M627" s="8" t="n"/>
      <c r="N627" s="21">
        <f>ROUND(N626 + IF(AND(E627&lt;=10, F627&lt;&gt;"ASTM A416"), L627, 0), 3)</f>
        <v/>
      </c>
      <c r="O627" s="21">
        <f>ROUND(O626 + IF(AND(E627&gt;10, E627&lt;=18, F627&lt;&gt;"ASTM A416"), L627, 0), 3)</f>
        <v/>
      </c>
      <c r="P627" s="21">
        <f>ROUND(P626 + IF(AND(E627&gt;18, F627&lt;&gt;"ASTM A416"), L627, 0), 3)</f>
        <v/>
      </c>
      <c r="Q627" s="21">
        <f>ROUND(Q626 + IF(F627="ASTM A416", L627, 0), 3)</f>
        <v/>
      </c>
      <c r="R627" s="11">
        <f>IF(INT(N627/20)&gt;INT(N626/20), "Lần " &amp; INT(N627/20), "")</f>
        <v/>
      </c>
      <c r="S627" s="12">
        <f>IF(INT(O627/20)&gt;INT(O626/20), "Lần " &amp; INT(O627/20), "")</f>
        <v/>
      </c>
      <c r="T627" s="11">
        <f>IF(INT(P627/20)&gt;INT(P626/20), "Lần " &amp; INT(P627/20), "")</f>
        <v/>
      </c>
      <c r="U627" s="25">
        <f>IF(INT(Q627/20)&gt;INT(Q626/20), "Lần " &amp; INT(Q627/20), "")</f>
        <v/>
      </c>
      <c r="V627" s="6" t="inlineStr"/>
      <c r="W627" s="6" t="inlineStr">
        <is>
          <t>ĐẠT TCVN 1651:2018</t>
        </is>
      </c>
    </row>
    <row r="628" ht="19" customHeight="1">
      <c r="A628" s="6" t="n">
        <v>593</v>
      </c>
      <c r="B628" s="7" t="inlineStr">
        <is>
          <t>Trụ T1, T2 (Bệ móng)</t>
        </is>
      </c>
      <c r="C628" s="7" t="inlineStr">
        <is>
          <t>Bệ trụ 2 thân</t>
        </is>
      </c>
      <c r="D628" s="19" t="inlineStr">
        <is>
          <t>B5</t>
        </is>
      </c>
      <c r="E628" s="20" t="n">
        <v>16</v>
      </c>
      <c r="F628" s="6" t="inlineStr">
        <is>
          <t>CB400-V</t>
        </is>
      </c>
      <c r="G628" s="7" t="inlineStr">
        <is>
          <t>S06</t>
        </is>
      </c>
      <c r="H628" s="21" t="n">
        <v>1.99</v>
      </c>
      <c r="I628" s="22" t="n">
        <v>556</v>
      </c>
      <c r="J628" s="23" t="n">
        <v>1.58</v>
      </c>
      <c r="K628" s="9">
        <f>ROUND(H628*I628*J628, 2)</f>
        <v/>
      </c>
      <c r="L628" s="24">
        <f>ROUND(K628/1000, 3)</f>
        <v/>
      </c>
      <c r="M628" s="8" t="n"/>
      <c r="N628" s="21">
        <f>ROUND(N627 + IF(AND(E628&lt;=10, F628&lt;&gt;"ASTM A416"), L628, 0), 3)</f>
        <v/>
      </c>
      <c r="O628" s="21">
        <f>ROUND(O627 + IF(AND(E628&gt;10, E628&lt;=18, F628&lt;&gt;"ASTM A416"), L628, 0), 3)</f>
        <v/>
      </c>
      <c r="P628" s="21">
        <f>ROUND(P627 + IF(AND(E628&gt;18, F628&lt;&gt;"ASTM A416"), L628, 0), 3)</f>
        <v/>
      </c>
      <c r="Q628" s="21">
        <f>ROUND(Q627 + IF(F628="ASTM A416", L628, 0), 3)</f>
        <v/>
      </c>
      <c r="R628" s="11">
        <f>IF(INT(N628/20)&gt;INT(N627/20), "Lần " &amp; INT(N628/20), "")</f>
        <v/>
      </c>
      <c r="S628" s="12">
        <f>IF(INT(O628/20)&gt;INT(O627/20), "Lần " &amp; INT(O628/20), "")</f>
        <v/>
      </c>
      <c r="T628" s="11">
        <f>IF(INT(P628/20)&gt;INT(P627/20), "Lần " &amp; INT(P628/20), "")</f>
        <v/>
      </c>
      <c r="U628" s="25">
        <f>IF(INT(Q628/20)&gt;INT(Q627/20), "Lần " &amp; INT(Q628/20), "")</f>
        <v/>
      </c>
      <c r="V628" s="6" t="inlineStr"/>
      <c r="W628" s="6" t="inlineStr">
        <is>
          <t>ĐẠT TCVN 1651:2018</t>
        </is>
      </c>
    </row>
    <row r="629" ht="19" customHeight="1">
      <c r="A629" s="6" t="n">
        <v>594</v>
      </c>
      <c r="B629" s="7" t="inlineStr">
        <is>
          <t>Trụ T1, T2 (Bệ móng)</t>
        </is>
      </c>
      <c r="C629" s="7" t="inlineStr">
        <is>
          <t>Bệ trụ 2 thân</t>
        </is>
      </c>
      <c r="D629" s="19" t="inlineStr">
        <is>
          <t>B6</t>
        </is>
      </c>
      <c r="E629" s="20" t="n">
        <v>16</v>
      </c>
      <c r="F629" s="6" t="inlineStr">
        <is>
          <t>CB400-V</t>
        </is>
      </c>
      <c r="G629" s="7" t="inlineStr">
        <is>
          <t>S01</t>
        </is>
      </c>
      <c r="H629" s="21" t="n">
        <v>4.8</v>
      </c>
      <c r="I629" s="22" t="n">
        <v>40</v>
      </c>
      <c r="J629" s="23" t="n">
        <v>1.58</v>
      </c>
      <c r="K629" s="9">
        <f>ROUND(H629*I629*J629, 2)</f>
        <v/>
      </c>
      <c r="L629" s="24">
        <f>ROUND(K629/1000, 3)</f>
        <v/>
      </c>
      <c r="M629" s="8" t="n"/>
      <c r="N629" s="21">
        <f>ROUND(N628 + IF(AND(E629&lt;=10, F629&lt;&gt;"ASTM A416"), L629, 0), 3)</f>
        <v/>
      </c>
      <c r="O629" s="21">
        <f>ROUND(O628 + IF(AND(E629&gt;10, E629&lt;=18, F629&lt;&gt;"ASTM A416"), L629, 0), 3)</f>
        <v/>
      </c>
      <c r="P629" s="21">
        <f>ROUND(P628 + IF(AND(E629&gt;18, F629&lt;&gt;"ASTM A416"), L629, 0), 3)</f>
        <v/>
      </c>
      <c r="Q629" s="21">
        <f>ROUND(Q628 + IF(F629="ASTM A416", L629, 0), 3)</f>
        <v/>
      </c>
      <c r="R629" s="11">
        <f>IF(INT(N629/20)&gt;INT(N628/20), "Lần " &amp; INT(N629/20), "")</f>
        <v/>
      </c>
      <c r="S629" s="12">
        <f>IF(INT(O629/20)&gt;INT(O628/20), "Lần " &amp; INT(O629/20), "")</f>
        <v/>
      </c>
      <c r="T629" s="11">
        <f>IF(INT(P629/20)&gt;INT(P628/20), "Lần " &amp; INT(P629/20), "")</f>
        <v/>
      </c>
      <c r="U629" s="25">
        <f>IF(INT(Q629/20)&gt;INT(Q628/20), "Lần " &amp; INT(Q629/20), "")</f>
        <v/>
      </c>
      <c r="V629" s="6" t="inlineStr"/>
      <c r="W629" s="6" t="inlineStr">
        <is>
          <t>ĐẠT TCVN 1651:2018</t>
        </is>
      </c>
    </row>
    <row r="630" ht="19" customHeight="1">
      <c r="A630" s="6" t="n">
        <v>595</v>
      </c>
      <c r="B630" s="7" t="inlineStr">
        <is>
          <t>Trụ T1, T2 (Bệ móng)</t>
        </is>
      </c>
      <c r="C630" s="7" t="inlineStr">
        <is>
          <t>Bệ trụ 2 thân</t>
        </is>
      </c>
      <c r="D630" s="19" t="inlineStr">
        <is>
          <t>B7</t>
        </is>
      </c>
      <c r="E630" s="20" t="n">
        <v>16</v>
      </c>
      <c r="F630" s="6" t="inlineStr">
        <is>
          <t>CB400-V</t>
        </is>
      </c>
      <c r="G630" s="7" t="inlineStr">
        <is>
          <t>S01</t>
        </is>
      </c>
      <c r="H630" s="21" t="n">
        <v>10.8</v>
      </c>
      <c r="I630" s="22" t="n">
        <v>40</v>
      </c>
      <c r="J630" s="23" t="n">
        <v>1.58</v>
      </c>
      <c r="K630" s="9">
        <f>ROUND(H630*I630*J630, 2)</f>
        <v/>
      </c>
      <c r="L630" s="24">
        <f>ROUND(K630/1000, 3)</f>
        <v/>
      </c>
      <c r="M630" s="8" t="n"/>
      <c r="N630" s="21">
        <f>ROUND(N629 + IF(AND(E630&lt;=10, F630&lt;&gt;"ASTM A416"), L630, 0), 3)</f>
        <v/>
      </c>
      <c r="O630" s="21">
        <f>ROUND(O629 + IF(AND(E630&gt;10, E630&lt;=18, F630&lt;&gt;"ASTM A416"), L630, 0), 3)</f>
        <v/>
      </c>
      <c r="P630" s="21">
        <f>ROUND(P629 + IF(AND(E630&gt;18, F630&lt;&gt;"ASTM A416"), L630, 0), 3)</f>
        <v/>
      </c>
      <c r="Q630" s="21">
        <f>ROUND(Q629 + IF(F630="ASTM A416", L630, 0), 3)</f>
        <v/>
      </c>
      <c r="R630" s="11">
        <f>IF(INT(N630/20)&gt;INT(N629/20), "Lần " &amp; INT(N630/20), "")</f>
        <v/>
      </c>
      <c r="S630" s="12">
        <f>IF(INT(O630/20)&gt;INT(O629/20), "Lần " &amp; INT(O630/20), "")</f>
        <v/>
      </c>
      <c r="T630" s="11">
        <f>IF(INT(P630/20)&gt;INT(P629/20), "Lần " &amp; INT(P630/20), "")</f>
        <v/>
      </c>
      <c r="U630" s="25">
        <f>IF(INT(Q630/20)&gt;INT(Q629/20), "Lần " &amp; INT(Q630/20), "")</f>
        <v/>
      </c>
      <c r="V630" s="6" t="inlineStr"/>
      <c r="W630" s="6" t="inlineStr">
        <is>
          <t>ĐẠT TCVN 1651:2018</t>
        </is>
      </c>
    </row>
    <row r="631" ht="19" customHeight="1">
      <c r="A631" s="6" t="n">
        <v>596</v>
      </c>
      <c r="B631" s="7" t="inlineStr">
        <is>
          <t>Trụ T1, T2 (Bệ móng)</t>
        </is>
      </c>
      <c r="C631" s="7" t="inlineStr">
        <is>
          <t>Bệ trụ 2 thân</t>
        </is>
      </c>
      <c r="D631" s="19" t="inlineStr">
        <is>
          <t>B8</t>
        </is>
      </c>
      <c r="E631" s="20" t="n">
        <v>16</v>
      </c>
      <c r="F631" s="6" t="inlineStr">
        <is>
          <t>CB400-V</t>
        </is>
      </c>
      <c r="G631" s="7" t="inlineStr">
        <is>
          <t>S06</t>
        </is>
      </c>
      <c r="H631" s="21" t="n">
        <v>1.926</v>
      </c>
      <c r="I631" s="22" t="n">
        <v>612</v>
      </c>
      <c r="J631" s="23" t="n">
        <v>1.58</v>
      </c>
      <c r="K631" s="9">
        <f>ROUND(H631*I631*J631, 2)</f>
        <v/>
      </c>
      <c r="L631" s="24">
        <f>ROUND(K631/1000, 3)</f>
        <v/>
      </c>
      <c r="M631" s="8" t="n"/>
      <c r="N631" s="21">
        <f>ROUND(N630 + IF(AND(E631&lt;=10, F631&lt;&gt;"ASTM A416"), L631, 0), 3)</f>
        <v/>
      </c>
      <c r="O631" s="21">
        <f>ROUND(O630 + IF(AND(E631&gt;10, E631&lt;=18, F631&lt;&gt;"ASTM A416"), L631, 0), 3)</f>
        <v/>
      </c>
      <c r="P631" s="21">
        <f>ROUND(P630 + IF(AND(E631&gt;18, F631&lt;&gt;"ASTM A416"), L631, 0), 3)</f>
        <v/>
      </c>
      <c r="Q631" s="21">
        <f>ROUND(Q630 + IF(F631="ASTM A416", L631, 0), 3)</f>
        <v/>
      </c>
      <c r="R631" s="11">
        <f>IF(INT(N631/20)&gt;INT(N630/20), "Lần " &amp; INT(N631/20), "")</f>
        <v/>
      </c>
      <c r="S631" s="12">
        <f>IF(INT(O631/20)&gt;INT(O630/20), "Lần " &amp; INT(O631/20), "")</f>
        <v/>
      </c>
      <c r="T631" s="11">
        <f>IF(INT(P631/20)&gt;INT(P630/20), "Lần " &amp; INT(P631/20), "")</f>
        <v/>
      </c>
      <c r="U631" s="25">
        <f>IF(INT(Q631/20)&gt;INT(Q630/20), "Lần " &amp; INT(Q631/20), "")</f>
        <v/>
      </c>
      <c r="V631" s="6" t="inlineStr"/>
      <c r="W631" s="6" t="inlineStr">
        <is>
          <t>ĐẠT TCVN 1651:2018</t>
        </is>
      </c>
    </row>
    <row r="632" ht="19" customHeight="1">
      <c r="A632" s="6" t="n">
        <v>597</v>
      </c>
      <c r="B632" s="7" t="inlineStr">
        <is>
          <t>Trụ T1 (Thân trụ)</t>
        </is>
      </c>
      <c r="C632" s="7" t="inlineStr">
        <is>
          <t>th©n trô ®o¹n 1</t>
        </is>
      </c>
      <c r="D632" s="19" t="inlineStr">
        <is>
          <t>T1a</t>
        </is>
      </c>
      <c r="E632" s="20" t="n">
        <v>32</v>
      </c>
      <c r="F632" s="6" t="inlineStr">
        <is>
          <t>CB400-V</t>
        </is>
      </c>
      <c r="G632" s="7" t="inlineStr">
        <is>
          <t>S02</t>
        </is>
      </c>
      <c r="H632" s="21" t="n">
        <v>14.256</v>
      </c>
      <c r="I632" s="22" t="n">
        <v>90</v>
      </c>
      <c r="J632" s="23" t="n">
        <v>6.31</v>
      </c>
      <c r="K632" s="9">
        <f>ROUND(H632*I632*J632, 2)</f>
        <v/>
      </c>
      <c r="L632" s="24">
        <f>ROUND(K632/1000, 3)</f>
        <v/>
      </c>
      <c r="M632" s="8" t="n"/>
      <c r="N632" s="21">
        <f>ROUND(N631 + IF(AND(E632&lt;=10, F632&lt;&gt;"ASTM A416"), L632, 0), 3)</f>
        <v/>
      </c>
      <c r="O632" s="21">
        <f>ROUND(O631 + IF(AND(E632&gt;10, E632&lt;=18, F632&lt;&gt;"ASTM A416"), L632, 0), 3)</f>
        <v/>
      </c>
      <c r="P632" s="21">
        <f>ROUND(P631 + IF(AND(E632&gt;18, F632&lt;&gt;"ASTM A416"), L632, 0), 3)</f>
        <v/>
      </c>
      <c r="Q632" s="21">
        <f>ROUND(Q631 + IF(F632="ASTM A416", L632, 0), 3)</f>
        <v/>
      </c>
      <c r="R632" s="11">
        <f>IF(INT(N632/20)&gt;INT(N631/20), "Lần " &amp; INT(N632/20), "")</f>
        <v/>
      </c>
      <c r="S632" s="12">
        <f>IF(INT(O632/20)&gt;INT(O631/20), "Lần " &amp; INT(O632/20), "")</f>
        <v/>
      </c>
      <c r="T632" s="11">
        <f>IF(INT(P632/20)&gt;INT(P631/20), "Lần " &amp; INT(P632/20), "")</f>
        <v/>
      </c>
      <c r="U632" s="25">
        <f>IF(INT(Q632/20)&gt;INT(Q631/20), "Lần " &amp; INT(Q632/20), "")</f>
        <v/>
      </c>
      <c r="V632" s="6" t="inlineStr"/>
      <c r="W632" s="6" t="inlineStr">
        <is>
          <t>ĐẠT TCVN 1651:2018</t>
        </is>
      </c>
    </row>
    <row r="633" ht="19" customHeight="1">
      <c r="A633" s="6" t="n">
        <v>598</v>
      </c>
      <c r="B633" s="7" t="inlineStr">
        <is>
          <t>Trụ T1 (Thân trụ)</t>
        </is>
      </c>
      <c r="C633" s="7" t="inlineStr">
        <is>
          <t>Thân trụ đặc</t>
        </is>
      </c>
      <c r="D633" s="19" t="inlineStr">
        <is>
          <t>T2a</t>
        </is>
      </c>
      <c r="E633" s="20" t="n">
        <v>16</v>
      </c>
      <c r="F633" s="6" t="inlineStr">
        <is>
          <t>CB400-V</t>
        </is>
      </c>
      <c r="G633" s="7" t="inlineStr">
        <is>
          <t>S07</t>
        </is>
      </c>
      <c r="H633" s="21" t="n">
        <v>5.352</v>
      </c>
      <c r="I633" s="22" t="n">
        <v>176</v>
      </c>
      <c r="J633" s="23" t="n">
        <v>1.58</v>
      </c>
      <c r="K633" s="9">
        <f>ROUND(H633*I633*J633, 2)</f>
        <v/>
      </c>
      <c r="L633" s="24">
        <f>ROUND(K633/1000, 3)</f>
        <v/>
      </c>
      <c r="M633" s="8" t="n"/>
      <c r="N633" s="21">
        <f>ROUND(N632 + IF(AND(E633&lt;=10, F633&lt;&gt;"ASTM A416"), L633, 0), 3)</f>
        <v/>
      </c>
      <c r="O633" s="21">
        <f>ROUND(O632 + IF(AND(E633&gt;10, E633&lt;=18, F633&lt;&gt;"ASTM A416"), L633, 0), 3)</f>
        <v/>
      </c>
      <c r="P633" s="21">
        <f>ROUND(P632 + IF(AND(E633&gt;18, F633&lt;&gt;"ASTM A416"), L633, 0), 3)</f>
        <v/>
      </c>
      <c r="Q633" s="21">
        <f>ROUND(Q632 + IF(F633="ASTM A416", L633, 0), 3)</f>
        <v/>
      </c>
      <c r="R633" s="11">
        <f>IF(INT(N633/20)&gt;INT(N632/20), "Lần " &amp; INT(N633/20), "")</f>
        <v/>
      </c>
      <c r="S633" s="12">
        <f>IF(INT(O633/20)&gt;INT(O632/20), "Lần " &amp; INT(O633/20), "")</f>
        <v/>
      </c>
      <c r="T633" s="11">
        <f>IF(INT(P633/20)&gt;INT(P632/20), "Lần " &amp; INT(P633/20), "")</f>
        <v/>
      </c>
      <c r="U633" s="25">
        <f>IF(INT(Q633/20)&gt;INT(Q632/20), "Lần " &amp; INT(Q633/20), "")</f>
        <v/>
      </c>
      <c r="V633" s="6" t="inlineStr"/>
      <c r="W633" s="6" t="inlineStr">
        <is>
          <t>ĐẠT TCVN 1651:2018</t>
        </is>
      </c>
    </row>
    <row r="634" ht="19" customHeight="1">
      <c r="A634" s="6" t="n">
        <v>599</v>
      </c>
      <c r="B634" s="7" t="inlineStr">
        <is>
          <t>Trụ T1 (Thân trụ)</t>
        </is>
      </c>
      <c r="C634" s="7" t="inlineStr">
        <is>
          <t>Thân trụ đặc</t>
        </is>
      </c>
      <c r="D634" s="19" t="inlineStr">
        <is>
          <t>T3a</t>
        </is>
      </c>
      <c r="E634" s="20" t="n">
        <v>16</v>
      </c>
      <c r="F634" s="6" t="inlineStr">
        <is>
          <t>CB400-V</t>
        </is>
      </c>
      <c r="G634" s="7" t="inlineStr">
        <is>
          <t>S51</t>
        </is>
      </c>
      <c r="H634" s="21" t="n">
        <v>6.806</v>
      </c>
      <c r="I634" s="22" t="n">
        <v>176</v>
      </c>
      <c r="J634" s="23" t="n">
        <v>1.58</v>
      </c>
      <c r="K634" s="9">
        <f>ROUND(H634*I634*J634, 2)</f>
        <v/>
      </c>
      <c r="L634" s="24">
        <f>ROUND(K634/1000, 3)</f>
        <v/>
      </c>
      <c r="M634" s="8" t="n"/>
      <c r="N634" s="21">
        <f>ROUND(N633 + IF(AND(E634&lt;=10, F634&lt;&gt;"ASTM A416"), L634, 0), 3)</f>
        <v/>
      </c>
      <c r="O634" s="21">
        <f>ROUND(O633 + IF(AND(E634&gt;10, E634&lt;=18, F634&lt;&gt;"ASTM A416"), L634, 0), 3)</f>
        <v/>
      </c>
      <c r="P634" s="21">
        <f>ROUND(P633 + IF(AND(E634&gt;18, F634&lt;&gt;"ASTM A416"), L634, 0), 3)</f>
        <v/>
      </c>
      <c r="Q634" s="21">
        <f>ROUND(Q633 + IF(F634="ASTM A416", L634, 0), 3)</f>
        <v/>
      </c>
      <c r="R634" s="11">
        <f>IF(INT(N634/20)&gt;INT(N633/20), "Lần " &amp; INT(N634/20), "")</f>
        <v/>
      </c>
      <c r="S634" s="12">
        <f>IF(INT(O634/20)&gt;INT(O633/20), "Lần " &amp; INT(O634/20), "")</f>
        <v/>
      </c>
      <c r="T634" s="11">
        <f>IF(INT(P634/20)&gt;INT(P633/20), "Lần " &amp; INT(P634/20), "")</f>
        <v/>
      </c>
      <c r="U634" s="25">
        <f>IF(INT(Q634/20)&gt;INT(Q633/20), "Lần " &amp; INT(Q634/20), "")</f>
        <v/>
      </c>
      <c r="V634" s="6" t="inlineStr"/>
      <c r="W634" s="6" t="inlineStr">
        <is>
          <t>ĐẠT TCVN 1651:2018</t>
        </is>
      </c>
    </row>
    <row r="635" ht="19" customHeight="1">
      <c r="A635" s="6" t="n">
        <v>600</v>
      </c>
      <c r="B635" s="7" t="inlineStr">
        <is>
          <t>Trụ T1 (Thân trụ)</t>
        </is>
      </c>
      <c r="C635" s="7" t="inlineStr">
        <is>
          <t>Thân trụ đặc</t>
        </is>
      </c>
      <c r="D635" s="19" t="inlineStr">
        <is>
          <t>T4a</t>
        </is>
      </c>
      <c r="E635" s="20" t="n">
        <v>16</v>
      </c>
      <c r="F635" s="6" t="inlineStr">
        <is>
          <t>CB400-V</t>
        </is>
      </c>
      <c r="G635" s="7" t="inlineStr">
        <is>
          <t>S06</t>
        </is>
      </c>
      <c r="H635" s="21" t="n">
        <v>5.332</v>
      </c>
      <c r="I635" s="22" t="n">
        <v>20</v>
      </c>
      <c r="J635" s="23" t="n">
        <v>1.58</v>
      </c>
      <c r="K635" s="9">
        <f>ROUND(H635*I635*J635, 2)</f>
        <v/>
      </c>
      <c r="L635" s="24">
        <f>ROUND(K635/1000, 3)</f>
        <v/>
      </c>
      <c r="M635" s="8" t="n"/>
      <c r="N635" s="21">
        <f>ROUND(N634 + IF(AND(E635&lt;=10, F635&lt;&gt;"ASTM A416"), L635, 0), 3)</f>
        <v/>
      </c>
      <c r="O635" s="21">
        <f>ROUND(O634 + IF(AND(E635&gt;10, E635&lt;=18, F635&lt;&gt;"ASTM A416"), L635, 0), 3)</f>
        <v/>
      </c>
      <c r="P635" s="21">
        <f>ROUND(P634 + IF(AND(E635&gt;18, F635&lt;&gt;"ASTM A416"), L635, 0), 3)</f>
        <v/>
      </c>
      <c r="Q635" s="21">
        <f>ROUND(Q634 + IF(F635="ASTM A416", L635, 0), 3)</f>
        <v/>
      </c>
      <c r="R635" s="11">
        <f>IF(INT(N635/20)&gt;INT(N634/20), "Lần " &amp; INT(N635/20), "")</f>
        <v/>
      </c>
      <c r="S635" s="12">
        <f>IF(INT(O635/20)&gt;INT(O634/20), "Lần " &amp; INT(O635/20), "")</f>
        <v/>
      </c>
      <c r="T635" s="11">
        <f>IF(INT(P635/20)&gt;INT(P634/20), "Lần " &amp; INT(P635/20), "")</f>
        <v/>
      </c>
      <c r="U635" s="25">
        <f>IF(INT(Q635/20)&gt;INT(Q634/20), "Lần " &amp; INT(Q635/20), "")</f>
        <v/>
      </c>
      <c r="V635" s="6" t="inlineStr"/>
      <c r="W635" s="6" t="inlineStr">
        <is>
          <t>ĐẠT TCVN 1651:2018</t>
        </is>
      </c>
    </row>
    <row r="636" ht="19" customHeight="1">
      <c r="A636" s="6" t="n">
        <v>601</v>
      </c>
      <c r="B636" s="7" t="inlineStr">
        <is>
          <t>Trụ T1 (Thân trụ)</t>
        </is>
      </c>
      <c r="C636" s="7" t="inlineStr">
        <is>
          <t>Thân trụ đặc</t>
        </is>
      </c>
      <c r="D636" s="19" t="inlineStr">
        <is>
          <t>T4a1</t>
        </is>
      </c>
      <c r="E636" s="20" t="n">
        <v>16</v>
      </c>
      <c r="F636" s="6" t="inlineStr">
        <is>
          <t>CB400-V</t>
        </is>
      </c>
      <c r="G636" s="7" t="inlineStr">
        <is>
          <t>S06</t>
        </is>
      </c>
      <c r="H636" s="21" t="n">
        <v>5.102</v>
      </c>
      <c r="I636" s="22" t="n">
        <v>40</v>
      </c>
      <c r="J636" s="23" t="n">
        <v>1.58</v>
      </c>
      <c r="K636" s="9">
        <f>ROUND(H636*I636*J636, 2)</f>
        <v/>
      </c>
      <c r="L636" s="24">
        <f>ROUND(K636/1000, 3)</f>
        <v/>
      </c>
      <c r="M636" s="8" t="n"/>
      <c r="N636" s="21">
        <f>ROUND(N635 + IF(AND(E636&lt;=10, F636&lt;&gt;"ASTM A416"), L636, 0), 3)</f>
        <v/>
      </c>
      <c r="O636" s="21">
        <f>ROUND(O635 + IF(AND(E636&gt;10, E636&lt;=18, F636&lt;&gt;"ASTM A416"), L636, 0), 3)</f>
        <v/>
      </c>
      <c r="P636" s="21">
        <f>ROUND(P635 + IF(AND(E636&gt;18, F636&lt;&gt;"ASTM A416"), L636, 0), 3)</f>
        <v/>
      </c>
      <c r="Q636" s="21">
        <f>ROUND(Q635 + IF(F636="ASTM A416", L636, 0), 3)</f>
        <v/>
      </c>
      <c r="R636" s="11">
        <f>IF(INT(N636/20)&gt;INT(N635/20), "Lần " &amp; INT(N636/20), "")</f>
        <v/>
      </c>
      <c r="S636" s="12">
        <f>IF(INT(O636/20)&gt;INT(O635/20), "Lần " &amp; INT(O636/20), "")</f>
        <v/>
      </c>
      <c r="T636" s="11">
        <f>IF(INT(P636/20)&gt;INT(P635/20), "Lần " &amp; INT(P636/20), "")</f>
        <v/>
      </c>
      <c r="U636" s="25">
        <f>IF(INT(Q636/20)&gt;INT(Q635/20), "Lần " &amp; INT(Q636/20), "")</f>
        <v/>
      </c>
      <c r="V636" s="6" t="inlineStr"/>
      <c r="W636" s="6" t="inlineStr">
        <is>
          <t>ĐẠT TCVN 1651:2018</t>
        </is>
      </c>
    </row>
    <row r="637" ht="19" customHeight="1">
      <c r="A637" s="6" t="n">
        <v>602</v>
      </c>
      <c r="B637" s="7" t="inlineStr">
        <is>
          <t>Trụ T1 (Thân trụ)</t>
        </is>
      </c>
      <c r="C637" s="7" t="inlineStr">
        <is>
          <t>th©n trô ®o¹n 2</t>
        </is>
      </c>
      <c r="D637" s="19" t="inlineStr">
        <is>
          <t>T1b</t>
        </is>
      </c>
      <c r="E637" s="20" t="n">
        <v>32</v>
      </c>
      <c r="F637" s="6" t="inlineStr">
        <is>
          <t>CB400-V</t>
        </is>
      </c>
      <c r="G637" s="7" t="inlineStr">
        <is>
          <t>S28</t>
        </is>
      </c>
      <c r="H637" s="21" t="n">
        <v>13.616</v>
      </c>
      <c r="I637" s="22" t="n">
        <v>106</v>
      </c>
      <c r="J637" s="23" t="n">
        <v>6.31</v>
      </c>
      <c r="K637" s="9">
        <f>ROUND(H637*I637*J637, 2)</f>
        <v/>
      </c>
      <c r="L637" s="24">
        <f>ROUND(K637/1000, 3)</f>
        <v/>
      </c>
      <c r="M637" s="8" t="n"/>
      <c r="N637" s="21">
        <f>ROUND(N636 + IF(AND(E637&lt;=10, F637&lt;&gt;"ASTM A416"), L637, 0), 3)</f>
        <v/>
      </c>
      <c r="O637" s="21">
        <f>ROUND(O636 + IF(AND(E637&gt;10, E637&lt;=18, F637&lt;&gt;"ASTM A416"), L637, 0), 3)</f>
        <v/>
      </c>
      <c r="P637" s="21">
        <f>ROUND(P636 + IF(AND(E637&gt;18, F637&lt;&gt;"ASTM A416"), L637, 0), 3)</f>
        <v/>
      </c>
      <c r="Q637" s="21">
        <f>ROUND(Q636 + IF(F637="ASTM A416", L637, 0), 3)</f>
        <v/>
      </c>
      <c r="R637" s="11">
        <f>IF(INT(N637/20)&gt;INT(N636/20), "Lần " &amp; INT(N637/20), "")</f>
        <v/>
      </c>
      <c r="S637" s="12">
        <f>IF(INT(O637/20)&gt;INT(O636/20), "Lần " &amp; INT(O637/20), "")</f>
        <v/>
      </c>
      <c r="T637" s="11">
        <f>IF(INT(P637/20)&gt;INT(P636/20), "Lần " &amp; INT(P637/20), "")</f>
        <v/>
      </c>
      <c r="U637" s="25">
        <f>IF(INT(Q637/20)&gt;INT(Q636/20), "Lần " &amp; INT(Q637/20), "")</f>
        <v/>
      </c>
      <c r="V637" s="6" t="inlineStr"/>
      <c r="W637" s="6" t="inlineStr">
        <is>
          <t>ĐẠT TCVN 1651:2018</t>
        </is>
      </c>
    </row>
    <row r="638" ht="19" customHeight="1">
      <c r="A638" s="6" t="n">
        <v>603</v>
      </c>
      <c r="B638" s="7" t="inlineStr">
        <is>
          <t>Trụ T1 (Thân trụ)</t>
        </is>
      </c>
      <c r="C638" s="7" t="inlineStr">
        <is>
          <t>Thân trụ đặc</t>
        </is>
      </c>
      <c r="D638" s="19" t="inlineStr">
        <is>
          <t>T2b</t>
        </is>
      </c>
      <c r="E638" s="20" t="n">
        <v>16</v>
      </c>
      <c r="F638" s="6" t="inlineStr">
        <is>
          <t>CB400-V</t>
        </is>
      </c>
      <c r="G638" s="7" t="inlineStr">
        <is>
          <t>S07</t>
        </is>
      </c>
      <c r="H638" s="21" t="n">
        <v>6.894</v>
      </c>
      <c r="I638" s="22" t="n">
        <v>150</v>
      </c>
      <c r="J638" s="23" t="n">
        <v>1.58</v>
      </c>
      <c r="K638" s="9">
        <f>ROUND(H638*I638*J638, 2)</f>
        <v/>
      </c>
      <c r="L638" s="24">
        <f>ROUND(K638/1000, 3)</f>
        <v/>
      </c>
      <c r="M638" s="8" t="n"/>
      <c r="N638" s="21">
        <f>ROUND(N637 + IF(AND(E638&lt;=10, F638&lt;&gt;"ASTM A416"), L638, 0), 3)</f>
        <v/>
      </c>
      <c r="O638" s="21">
        <f>ROUND(O637 + IF(AND(E638&gt;10, E638&lt;=18, F638&lt;&gt;"ASTM A416"), L638, 0), 3)</f>
        <v/>
      </c>
      <c r="P638" s="21">
        <f>ROUND(P637 + IF(AND(E638&gt;18, F638&lt;&gt;"ASTM A416"), L638, 0), 3)</f>
        <v/>
      </c>
      <c r="Q638" s="21">
        <f>ROUND(Q637 + IF(F638="ASTM A416", L638, 0), 3)</f>
        <v/>
      </c>
      <c r="R638" s="11">
        <f>IF(INT(N638/20)&gt;INT(N637/20), "Lần " &amp; INT(N638/20), "")</f>
        <v/>
      </c>
      <c r="S638" s="12">
        <f>IF(INT(O638/20)&gt;INT(O637/20), "Lần " &amp; INT(O638/20), "")</f>
        <v/>
      </c>
      <c r="T638" s="11">
        <f>IF(INT(P638/20)&gt;INT(P637/20), "Lần " &amp; INT(P638/20), "")</f>
        <v/>
      </c>
      <c r="U638" s="25">
        <f>IF(INT(Q638/20)&gt;INT(Q637/20), "Lần " &amp; INT(Q638/20), "")</f>
        <v/>
      </c>
      <c r="V638" s="6" t="inlineStr"/>
      <c r="W638" s="6" t="inlineStr">
        <is>
          <t>ĐẠT TCVN 1651:2018</t>
        </is>
      </c>
    </row>
    <row r="639" ht="19" customHeight="1">
      <c r="A639" s="6" t="n">
        <v>604</v>
      </c>
      <c r="B639" s="7" t="inlineStr">
        <is>
          <t>Trụ T1 (Thân trụ)</t>
        </is>
      </c>
      <c r="C639" s="7" t="inlineStr">
        <is>
          <t>Thân trụ đặc</t>
        </is>
      </c>
      <c r="D639" s="19" t="inlineStr">
        <is>
          <t>T3b</t>
        </is>
      </c>
      <c r="E639" s="20" t="n">
        <v>16</v>
      </c>
      <c r="F639" s="6" t="inlineStr">
        <is>
          <t>CB400-V</t>
        </is>
      </c>
      <c r="G639" s="7" t="inlineStr">
        <is>
          <t>S51</t>
        </is>
      </c>
      <c r="H639" s="21" t="n">
        <v>8.006</v>
      </c>
      <c r="I639" s="22" t="n">
        <v>150</v>
      </c>
      <c r="J639" s="23" t="n">
        <v>1.58</v>
      </c>
      <c r="K639" s="9">
        <f>ROUND(H639*I639*J639, 2)</f>
        <v/>
      </c>
      <c r="L639" s="24">
        <f>ROUND(K639/1000, 3)</f>
        <v/>
      </c>
      <c r="M639" s="8" t="n"/>
      <c r="N639" s="21">
        <f>ROUND(N638 + IF(AND(E639&lt;=10, F639&lt;&gt;"ASTM A416"), L639, 0), 3)</f>
        <v/>
      </c>
      <c r="O639" s="21">
        <f>ROUND(O638 + IF(AND(E639&gt;10, E639&lt;=18, F639&lt;&gt;"ASTM A416"), L639, 0), 3)</f>
        <v/>
      </c>
      <c r="P639" s="21">
        <f>ROUND(P638 + IF(AND(E639&gt;18, F639&lt;&gt;"ASTM A416"), L639, 0), 3)</f>
        <v/>
      </c>
      <c r="Q639" s="21">
        <f>ROUND(Q638 + IF(F639="ASTM A416", L639, 0), 3)</f>
        <v/>
      </c>
      <c r="R639" s="11">
        <f>IF(INT(N639/20)&gt;INT(N638/20), "Lần " &amp; INT(N639/20), "")</f>
        <v/>
      </c>
      <c r="S639" s="12">
        <f>IF(INT(O639/20)&gt;INT(O638/20), "Lần " &amp; INT(O639/20), "")</f>
        <v/>
      </c>
      <c r="T639" s="11">
        <f>IF(INT(P639/20)&gt;INT(P638/20), "Lần " &amp; INT(P639/20), "")</f>
        <v/>
      </c>
      <c r="U639" s="25">
        <f>IF(INT(Q639/20)&gt;INT(Q638/20), "Lần " &amp; INT(Q639/20), "")</f>
        <v/>
      </c>
      <c r="V639" s="6" t="inlineStr"/>
      <c r="W639" s="6" t="inlineStr">
        <is>
          <t>ĐẠT TCVN 1651:2018</t>
        </is>
      </c>
    </row>
    <row r="640" ht="19" customHeight="1">
      <c r="A640" s="6" t="n">
        <v>605</v>
      </c>
      <c r="B640" s="7" t="inlineStr">
        <is>
          <t>Trụ T1 (Thân trụ)</t>
        </is>
      </c>
      <c r="C640" s="7" t="inlineStr">
        <is>
          <t>Thân trụ đặc</t>
        </is>
      </c>
      <c r="D640" s="19" t="inlineStr">
        <is>
          <t>T4b</t>
        </is>
      </c>
      <c r="E640" s="20" t="n">
        <v>16</v>
      </c>
      <c r="F640" s="6" t="inlineStr">
        <is>
          <t>CB400-V</t>
        </is>
      </c>
      <c r="G640" s="7" t="inlineStr">
        <is>
          <t>S06</t>
        </is>
      </c>
      <c r="H640" s="21" t="n">
        <v>5.932</v>
      </c>
      <c r="I640" s="22" t="n">
        <v>19</v>
      </c>
      <c r="J640" s="23" t="n">
        <v>1.58</v>
      </c>
      <c r="K640" s="9">
        <f>ROUND(H640*I640*J640, 2)</f>
        <v/>
      </c>
      <c r="L640" s="24">
        <f>ROUND(K640/1000, 3)</f>
        <v/>
      </c>
      <c r="M640" s="8" t="n"/>
      <c r="N640" s="21">
        <f>ROUND(N639 + IF(AND(E640&lt;=10, F640&lt;&gt;"ASTM A416"), L640, 0), 3)</f>
        <v/>
      </c>
      <c r="O640" s="21">
        <f>ROUND(O639 + IF(AND(E640&gt;10, E640&lt;=18, F640&lt;&gt;"ASTM A416"), L640, 0), 3)</f>
        <v/>
      </c>
      <c r="P640" s="21">
        <f>ROUND(P639 + IF(AND(E640&gt;18, F640&lt;&gt;"ASTM A416"), L640, 0), 3)</f>
        <v/>
      </c>
      <c r="Q640" s="21">
        <f>ROUND(Q639 + IF(F640="ASTM A416", L640, 0), 3)</f>
        <v/>
      </c>
      <c r="R640" s="11">
        <f>IF(INT(N640/20)&gt;INT(N639/20), "Lần " &amp; INT(N640/20), "")</f>
        <v/>
      </c>
      <c r="S640" s="12">
        <f>IF(INT(O640/20)&gt;INT(O639/20), "Lần " &amp; INT(O640/20), "")</f>
        <v/>
      </c>
      <c r="T640" s="11">
        <f>IF(INT(P640/20)&gt;INT(P639/20), "Lần " &amp; INT(P640/20), "")</f>
        <v/>
      </c>
      <c r="U640" s="25">
        <f>IF(INT(Q640/20)&gt;INT(Q639/20), "Lần " &amp; INT(Q640/20), "")</f>
        <v/>
      </c>
      <c r="V640" s="6" t="inlineStr"/>
      <c r="W640" s="6" t="inlineStr">
        <is>
          <t>ĐẠT TCVN 1651:2018</t>
        </is>
      </c>
    </row>
    <row r="641" ht="19" customHeight="1">
      <c r="A641" s="6" t="n">
        <v>606</v>
      </c>
      <c r="B641" s="7" t="inlineStr">
        <is>
          <t>Trụ T1 (Thân trụ)</t>
        </is>
      </c>
      <c r="C641" s="7" t="inlineStr">
        <is>
          <t>Thân trụ đặc</t>
        </is>
      </c>
      <c r="D641" s="19" t="inlineStr">
        <is>
          <t>T4b1</t>
        </is>
      </c>
      <c r="E641" s="20" t="n">
        <v>16</v>
      </c>
      <c r="F641" s="6" t="inlineStr">
        <is>
          <t>CB400-V</t>
        </is>
      </c>
      <c r="G641" s="7" t="inlineStr">
        <is>
          <t>S06</t>
        </is>
      </c>
      <c r="H641" s="21" t="n">
        <v>5.652</v>
      </c>
      <c r="I641" s="22" t="n">
        <v>38</v>
      </c>
      <c r="J641" s="23" t="n">
        <v>1.58</v>
      </c>
      <c r="K641" s="9">
        <f>ROUND(H641*I641*J641, 2)</f>
        <v/>
      </c>
      <c r="L641" s="24">
        <f>ROUND(K641/1000, 3)</f>
        <v/>
      </c>
      <c r="M641" s="8" t="n"/>
      <c r="N641" s="21">
        <f>ROUND(N640 + IF(AND(E641&lt;=10, F641&lt;&gt;"ASTM A416"), L641, 0), 3)</f>
        <v/>
      </c>
      <c r="O641" s="21">
        <f>ROUND(O640 + IF(AND(E641&gt;10, E641&lt;=18, F641&lt;&gt;"ASTM A416"), L641, 0), 3)</f>
        <v/>
      </c>
      <c r="P641" s="21">
        <f>ROUND(P640 + IF(AND(E641&gt;18, F641&lt;&gt;"ASTM A416"), L641, 0), 3)</f>
        <v/>
      </c>
      <c r="Q641" s="21">
        <f>ROUND(Q640 + IF(F641="ASTM A416", L641, 0), 3)</f>
        <v/>
      </c>
      <c r="R641" s="11">
        <f>IF(INT(N641/20)&gt;INT(N640/20), "Lần " &amp; INT(N641/20), "")</f>
        <v/>
      </c>
      <c r="S641" s="12">
        <f>IF(INT(O641/20)&gt;INT(O640/20), "Lần " &amp; INT(O641/20), "")</f>
        <v/>
      </c>
      <c r="T641" s="11">
        <f>IF(INT(P641/20)&gt;INT(P640/20), "Lần " &amp; INT(P641/20), "")</f>
        <v/>
      </c>
      <c r="U641" s="25">
        <f>IF(INT(Q641/20)&gt;INT(Q640/20), "Lần " &amp; INT(Q641/20), "")</f>
        <v/>
      </c>
      <c r="V641" s="6" t="inlineStr"/>
      <c r="W641" s="6" t="inlineStr">
        <is>
          <t>ĐẠT TCVN 1651:2018</t>
        </is>
      </c>
    </row>
    <row r="642" ht="19" customHeight="1">
      <c r="A642" s="6" t="n">
        <v>607</v>
      </c>
      <c r="B642" s="7" t="inlineStr">
        <is>
          <t>Trụ T1 (Thân trụ)</t>
        </is>
      </c>
      <c r="C642" s="7" t="inlineStr">
        <is>
          <t>th©n trô ®o¹n 3</t>
        </is>
      </c>
      <c r="D642" s="19" t="inlineStr">
        <is>
          <t>T1c</t>
        </is>
      </c>
      <c r="E642" s="20" t="n">
        <v>32</v>
      </c>
      <c r="F642" s="6" t="inlineStr">
        <is>
          <t>CB400-V</t>
        </is>
      </c>
      <c r="G642" s="7" t="inlineStr">
        <is>
          <t>S28</t>
        </is>
      </c>
      <c r="H642" s="21" t="n">
        <v>6.556</v>
      </c>
      <c r="I642" s="22" t="n">
        <v>122</v>
      </c>
      <c r="J642" s="23" t="n">
        <v>6.31</v>
      </c>
      <c r="K642" s="9">
        <f>ROUND(H642*I642*J642, 2)</f>
        <v/>
      </c>
      <c r="L642" s="24">
        <f>ROUND(K642/1000, 3)</f>
        <v/>
      </c>
      <c r="M642" s="8" t="n"/>
      <c r="N642" s="21">
        <f>ROUND(N641 + IF(AND(E642&lt;=10, F642&lt;&gt;"ASTM A416"), L642, 0), 3)</f>
        <v/>
      </c>
      <c r="O642" s="21">
        <f>ROUND(O641 + IF(AND(E642&gt;10, E642&lt;=18, F642&lt;&gt;"ASTM A416"), L642, 0), 3)</f>
        <v/>
      </c>
      <c r="P642" s="21">
        <f>ROUND(P641 + IF(AND(E642&gt;18, F642&lt;&gt;"ASTM A416"), L642, 0), 3)</f>
        <v/>
      </c>
      <c r="Q642" s="21">
        <f>ROUND(Q641 + IF(F642="ASTM A416", L642, 0), 3)</f>
        <v/>
      </c>
      <c r="R642" s="11">
        <f>IF(INT(N642/20)&gt;INT(N641/20), "Lần " &amp; INT(N642/20), "")</f>
        <v/>
      </c>
      <c r="S642" s="12">
        <f>IF(INT(O642/20)&gt;INT(O641/20), "Lần " &amp; INT(O642/20), "")</f>
        <v/>
      </c>
      <c r="T642" s="11">
        <f>IF(INT(P642/20)&gt;INT(P641/20), "Lần " &amp; INT(P642/20), "")</f>
        <v/>
      </c>
      <c r="U642" s="25">
        <f>IF(INT(Q642/20)&gt;INT(Q641/20), "Lần " &amp; INT(Q642/20), "")</f>
        <v/>
      </c>
      <c r="V642" s="6" t="inlineStr"/>
      <c r="W642" s="6" t="inlineStr">
        <is>
          <t>ĐẠT TCVN 1651:2018</t>
        </is>
      </c>
    </row>
    <row r="643" ht="19" customHeight="1">
      <c r="A643" s="6" t="n">
        <v>608</v>
      </c>
      <c r="B643" s="7" t="inlineStr">
        <is>
          <t>Trụ T1 (Thân trụ)</t>
        </is>
      </c>
      <c r="C643" s="7" t="inlineStr">
        <is>
          <t>Thân trụ đặc</t>
        </is>
      </c>
      <c r="D643" s="19" t="inlineStr">
        <is>
          <t>T2c</t>
        </is>
      </c>
      <c r="E643" s="20" t="n">
        <v>16</v>
      </c>
      <c r="F643" s="6" t="inlineStr">
        <is>
          <t>CB400-V</t>
        </is>
      </c>
      <c r="G643" s="7" t="inlineStr">
        <is>
          <t>S07</t>
        </is>
      </c>
      <c r="H643" s="21" t="n">
        <v>8.436999999999999</v>
      </c>
      <c r="I643" s="22" t="n">
        <v>76</v>
      </c>
      <c r="J643" s="23" t="n">
        <v>1.58</v>
      </c>
      <c r="K643" s="9">
        <f>ROUND(H643*I643*J643, 2)</f>
        <v/>
      </c>
      <c r="L643" s="24">
        <f>ROUND(K643/1000, 3)</f>
        <v/>
      </c>
      <c r="M643" s="8" t="n"/>
      <c r="N643" s="21">
        <f>ROUND(N642 + IF(AND(E643&lt;=10, F643&lt;&gt;"ASTM A416"), L643, 0), 3)</f>
        <v/>
      </c>
      <c r="O643" s="21">
        <f>ROUND(O642 + IF(AND(E643&gt;10, E643&lt;=18, F643&lt;&gt;"ASTM A416"), L643, 0), 3)</f>
        <v/>
      </c>
      <c r="P643" s="21">
        <f>ROUND(P642 + IF(AND(E643&gt;18, F643&lt;&gt;"ASTM A416"), L643, 0), 3)</f>
        <v/>
      </c>
      <c r="Q643" s="21">
        <f>ROUND(Q642 + IF(F643="ASTM A416", L643, 0), 3)</f>
        <v/>
      </c>
      <c r="R643" s="11">
        <f>IF(INT(N643/20)&gt;INT(N642/20), "Lần " &amp; INT(N643/20), "")</f>
        <v/>
      </c>
      <c r="S643" s="12">
        <f>IF(INT(O643/20)&gt;INT(O642/20), "Lần " &amp; INT(O643/20), "")</f>
        <v/>
      </c>
      <c r="T643" s="11">
        <f>IF(INT(P643/20)&gt;INT(P642/20), "Lần " &amp; INT(P643/20), "")</f>
        <v/>
      </c>
      <c r="U643" s="25">
        <f>IF(INT(Q643/20)&gt;INT(Q642/20), "Lần " &amp; INT(Q643/20), "")</f>
        <v/>
      </c>
      <c r="V643" s="6" t="inlineStr"/>
      <c r="W643" s="6" t="inlineStr">
        <is>
          <t>ĐẠT TCVN 1651:2018</t>
        </is>
      </c>
    </row>
    <row r="644" ht="19" customHeight="1">
      <c r="A644" s="6" t="n">
        <v>609</v>
      </c>
      <c r="B644" s="7" t="inlineStr">
        <is>
          <t>Trụ T1 (Thân trụ)</t>
        </is>
      </c>
      <c r="C644" s="7" t="inlineStr">
        <is>
          <t>Thân trụ đặc</t>
        </is>
      </c>
      <c r="D644" s="19" t="inlineStr">
        <is>
          <t>T3c</t>
        </is>
      </c>
      <c r="E644" s="20" t="n">
        <v>16</v>
      </c>
      <c r="F644" s="6" t="inlineStr">
        <is>
          <t>CB400-V</t>
        </is>
      </c>
      <c r="G644" s="7" t="inlineStr">
        <is>
          <t>S51</t>
        </is>
      </c>
      <c r="H644" s="21" t="n">
        <v>9.206</v>
      </c>
      <c r="I644" s="22" t="n">
        <v>76</v>
      </c>
      <c r="J644" s="23" t="n">
        <v>1.58</v>
      </c>
      <c r="K644" s="9">
        <f>ROUND(H644*I644*J644, 2)</f>
        <v/>
      </c>
      <c r="L644" s="24">
        <f>ROUND(K644/1000, 3)</f>
        <v/>
      </c>
      <c r="M644" s="8" t="n"/>
      <c r="N644" s="21">
        <f>ROUND(N643 + IF(AND(E644&lt;=10, F644&lt;&gt;"ASTM A416"), L644, 0), 3)</f>
        <v/>
      </c>
      <c r="O644" s="21">
        <f>ROUND(O643 + IF(AND(E644&gt;10, E644&lt;=18, F644&lt;&gt;"ASTM A416"), L644, 0), 3)</f>
        <v/>
      </c>
      <c r="P644" s="21">
        <f>ROUND(P643 + IF(AND(E644&gt;18, F644&lt;&gt;"ASTM A416"), L644, 0), 3)</f>
        <v/>
      </c>
      <c r="Q644" s="21">
        <f>ROUND(Q643 + IF(F644="ASTM A416", L644, 0), 3)</f>
        <v/>
      </c>
      <c r="R644" s="11">
        <f>IF(INT(N644/20)&gt;INT(N643/20), "Lần " &amp; INT(N644/20), "")</f>
        <v/>
      </c>
      <c r="S644" s="12">
        <f>IF(INT(O644/20)&gt;INT(O643/20), "Lần " &amp; INT(O644/20), "")</f>
        <v/>
      </c>
      <c r="T644" s="11">
        <f>IF(INT(P644/20)&gt;INT(P643/20), "Lần " &amp; INT(P644/20), "")</f>
        <v/>
      </c>
      <c r="U644" s="25">
        <f>IF(INT(Q644/20)&gt;INT(Q643/20), "Lần " &amp; INT(Q644/20), "")</f>
        <v/>
      </c>
      <c r="V644" s="6" t="inlineStr"/>
      <c r="W644" s="6" t="inlineStr">
        <is>
          <t>ĐẠT TCVN 1651:2018</t>
        </is>
      </c>
    </row>
    <row r="645" ht="19" customHeight="1">
      <c r="A645" s="6" t="n">
        <v>610</v>
      </c>
      <c r="B645" s="7" t="inlineStr">
        <is>
          <t>Trụ T1 (Thân trụ)</t>
        </is>
      </c>
      <c r="C645" s="7" t="inlineStr">
        <is>
          <t>Thân trụ đặc</t>
        </is>
      </c>
      <c r="D645" s="19" t="inlineStr">
        <is>
          <t>T4c</t>
        </is>
      </c>
      <c r="E645" s="20" t="n">
        <v>16</v>
      </c>
      <c r="F645" s="6" t="inlineStr">
        <is>
          <t>CB400-V</t>
        </is>
      </c>
      <c r="G645" s="7" t="inlineStr">
        <is>
          <t>S06</t>
        </is>
      </c>
      <c r="H645" s="21" t="n">
        <v>6.532</v>
      </c>
      <c r="I645" s="22" t="n">
        <v>9</v>
      </c>
      <c r="J645" s="23" t="n">
        <v>1.58</v>
      </c>
      <c r="K645" s="9">
        <f>ROUND(H645*I645*J645, 2)</f>
        <v/>
      </c>
      <c r="L645" s="24">
        <f>ROUND(K645/1000, 3)</f>
        <v/>
      </c>
      <c r="M645" s="8" t="n"/>
      <c r="N645" s="21">
        <f>ROUND(N644 + IF(AND(E645&lt;=10, F645&lt;&gt;"ASTM A416"), L645, 0), 3)</f>
        <v/>
      </c>
      <c r="O645" s="21">
        <f>ROUND(O644 + IF(AND(E645&gt;10, E645&lt;=18, F645&lt;&gt;"ASTM A416"), L645, 0), 3)</f>
        <v/>
      </c>
      <c r="P645" s="21">
        <f>ROUND(P644 + IF(AND(E645&gt;18, F645&lt;&gt;"ASTM A416"), L645, 0), 3)</f>
        <v/>
      </c>
      <c r="Q645" s="21">
        <f>ROUND(Q644 + IF(F645="ASTM A416", L645, 0), 3)</f>
        <v/>
      </c>
      <c r="R645" s="11">
        <f>IF(INT(N645/20)&gt;INT(N644/20), "Lần " &amp; INT(N645/20), "")</f>
        <v/>
      </c>
      <c r="S645" s="12">
        <f>IF(INT(O645/20)&gt;INT(O644/20), "Lần " &amp; INT(O645/20), "")</f>
        <v/>
      </c>
      <c r="T645" s="11">
        <f>IF(INT(P645/20)&gt;INT(P644/20), "Lần " &amp; INT(P645/20), "")</f>
        <v/>
      </c>
      <c r="U645" s="25">
        <f>IF(INT(Q645/20)&gt;INT(Q644/20), "Lần " &amp; INT(Q645/20), "")</f>
        <v/>
      </c>
      <c r="V645" s="6" t="inlineStr"/>
      <c r="W645" s="6" t="inlineStr">
        <is>
          <t>ĐẠT TCVN 1651:2018</t>
        </is>
      </c>
    </row>
    <row r="646" ht="19" customHeight="1">
      <c r="A646" s="6" t="n">
        <v>611</v>
      </c>
      <c r="B646" s="7" t="inlineStr">
        <is>
          <t>Trụ T1 (Thân trụ)</t>
        </is>
      </c>
      <c r="C646" s="7" t="inlineStr">
        <is>
          <t>Thân trụ đặc</t>
        </is>
      </c>
      <c r="D646" s="19" t="inlineStr">
        <is>
          <t>T4c1</t>
        </is>
      </c>
      <c r="E646" s="20" t="n">
        <v>16</v>
      </c>
      <c r="F646" s="6" t="inlineStr">
        <is>
          <t>CB400-V</t>
        </is>
      </c>
      <c r="G646" s="7" t="inlineStr">
        <is>
          <t>S06</t>
        </is>
      </c>
      <c r="H646" s="21" t="n">
        <v>6.202</v>
      </c>
      <c r="I646" s="22" t="n">
        <v>18</v>
      </c>
      <c r="J646" s="23" t="n">
        <v>1.58</v>
      </c>
      <c r="K646" s="9">
        <f>ROUND(H646*I646*J646, 2)</f>
        <v/>
      </c>
      <c r="L646" s="24">
        <f>ROUND(K646/1000, 3)</f>
        <v/>
      </c>
      <c r="M646" s="8" t="n"/>
      <c r="N646" s="21">
        <f>ROUND(N645 + IF(AND(E646&lt;=10, F646&lt;&gt;"ASTM A416"), L646, 0), 3)</f>
        <v/>
      </c>
      <c r="O646" s="21">
        <f>ROUND(O645 + IF(AND(E646&gt;10, E646&lt;=18, F646&lt;&gt;"ASTM A416"), L646, 0), 3)</f>
        <v/>
      </c>
      <c r="P646" s="21">
        <f>ROUND(P645 + IF(AND(E646&gt;18, F646&lt;&gt;"ASTM A416"), L646, 0), 3)</f>
        <v/>
      </c>
      <c r="Q646" s="21">
        <f>ROUND(Q645 + IF(F646="ASTM A416", L646, 0), 3)</f>
        <v/>
      </c>
      <c r="R646" s="11">
        <f>IF(INT(N646/20)&gt;INT(N645/20), "Lần " &amp; INT(N646/20), "")</f>
        <v/>
      </c>
      <c r="S646" s="12">
        <f>IF(INT(O646/20)&gt;INT(O645/20), "Lần " &amp; INT(O646/20), "")</f>
        <v/>
      </c>
      <c r="T646" s="11">
        <f>IF(INT(P646/20)&gt;INT(P645/20), "Lần " &amp; INT(P646/20), "")</f>
        <v/>
      </c>
      <c r="U646" s="25">
        <f>IF(INT(Q646/20)&gt;INT(Q645/20), "Lần " &amp; INT(Q646/20), "")</f>
        <v/>
      </c>
      <c r="V646" s="6" t="inlineStr"/>
      <c r="W646" s="6" t="inlineStr">
        <is>
          <t>ĐẠT TCVN 1651:2018</t>
        </is>
      </c>
    </row>
    <row r="647" ht="19" customHeight="1">
      <c r="A647" s="6" t="n">
        <v>612</v>
      </c>
      <c r="B647" s="7" t="inlineStr">
        <is>
          <t>Trụ T2 (Thân trụ)</t>
        </is>
      </c>
      <c r="C647" s="7" t="inlineStr">
        <is>
          <t>th©n trô ®o¹n 1</t>
        </is>
      </c>
      <c r="D647" s="19" t="inlineStr">
        <is>
          <t>T1a</t>
        </is>
      </c>
      <c r="E647" s="20" t="n">
        <v>32</v>
      </c>
      <c r="F647" s="6" t="inlineStr">
        <is>
          <t>CB400-V</t>
        </is>
      </c>
      <c r="G647" s="7" t="inlineStr">
        <is>
          <t>S02</t>
        </is>
      </c>
      <c r="H647" s="21" t="n">
        <v>14.256</v>
      </c>
      <c r="I647" s="22" t="n">
        <v>90</v>
      </c>
      <c r="J647" s="23" t="n">
        <v>6.31</v>
      </c>
      <c r="K647" s="9">
        <f>ROUND(H647*I647*J647, 2)</f>
        <v/>
      </c>
      <c r="L647" s="24">
        <f>ROUND(K647/1000, 3)</f>
        <v/>
      </c>
      <c r="M647" s="8" t="n"/>
      <c r="N647" s="21">
        <f>ROUND(N646 + IF(AND(E647&lt;=10, F647&lt;&gt;"ASTM A416"), L647, 0), 3)</f>
        <v/>
      </c>
      <c r="O647" s="21">
        <f>ROUND(O646 + IF(AND(E647&gt;10, E647&lt;=18, F647&lt;&gt;"ASTM A416"), L647, 0), 3)</f>
        <v/>
      </c>
      <c r="P647" s="21">
        <f>ROUND(P646 + IF(AND(E647&gt;18, F647&lt;&gt;"ASTM A416"), L647, 0), 3)</f>
        <v/>
      </c>
      <c r="Q647" s="21">
        <f>ROUND(Q646 + IF(F647="ASTM A416", L647, 0), 3)</f>
        <v/>
      </c>
      <c r="R647" s="11">
        <f>IF(INT(N647/20)&gt;INT(N646/20), "Lần " &amp; INT(N647/20), "")</f>
        <v/>
      </c>
      <c r="S647" s="12">
        <f>IF(INT(O647/20)&gt;INT(O646/20), "Lần " &amp; INT(O647/20), "")</f>
        <v/>
      </c>
      <c r="T647" s="11">
        <f>IF(INT(P647/20)&gt;INT(P646/20), "Lần " &amp; INT(P647/20), "")</f>
        <v/>
      </c>
      <c r="U647" s="25">
        <f>IF(INT(Q647/20)&gt;INT(Q646/20), "Lần " &amp; INT(Q647/20), "")</f>
        <v/>
      </c>
      <c r="V647" s="6" t="inlineStr"/>
      <c r="W647" s="6" t="inlineStr">
        <is>
          <t>ĐẠT TCVN 1651:2018</t>
        </is>
      </c>
    </row>
    <row r="648" ht="19" customHeight="1">
      <c r="A648" s="6" t="n">
        <v>613</v>
      </c>
      <c r="B648" s="7" t="inlineStr">
        <is>
          <t>Trụ T2 (Thân trụ)</t>
        </is>
      </c>
      <c r="C648" s="7" t="inlineStr">
        <is>
          <t>Thân trụ đặc</t>
        </is>
      </c>
      <c r="D648" s="19" t="inlineStr">
        <is>
          <t>T2a</t>
        </is>
      </c>
      <c r="E648" s="20" t="n">
        <v>16</v>
      </c>
      <c r="F648" s="6" t="inlineStr">
        <is>
          <t>CB400-V</t>
        </is>
      </c>
      <c r="G648" s="7" t="inlineStr">
        <is>
          <t>S07</t>
        </is>
      </c>
      <c r="H648" s="21" t="n">
        <v>5.352</v>
      </c>
      <c r="I648" s="22" t="n">
        <v>176</v>
      </c>
      <c r="J648" s="23" t="n">
        <v>1.58</v>
      </c>
      <c r="K648" s="9">
        <f>ROUND(H648*I648*J648, 2)</f>
        <v/>
      </c>
      <c r="L648" s="24">
        <f>ROUND(K648/1000, 3)</f>
        <v/>
      </c>
      <c r="M648" s="8" t="n"/>
      <c r="N648" s="21">
        <f>ROUND(N647 + IF(AND(E648&lt;=10, F648&lt;&gt;"ASTM A416"), L648, 0), 3)</f>
        <v/>
      </c>
      <c r="O648" s="21">
        <f>ROUND(O647 + IF(AND(E648&gt;10, E648&lt;=18, F648&lt;&gt;"ASTM A416"), L648, 0), 3)</f>
        <v/>
      </c>
      <c r="P648" s="21">
        <f>ROUND(P647 + IF(AND(E648&gt;18, F648&lt;&gt;"ASTM A416"), L648, 0), 3)</f>
        <v/>
      </c>
      <c r="Q648" s="21">
        <f>ROUND(Q647 + IF(F648="ASTM A416", L648, 0), 3)</f>
        <v/>
      </c>
      <c r="R648" s="11">
        <f>IF(INT(N648/20)&gt;INT(N647/20), "Lần " &amp; INT(N648/20), "")</f>
        <v/>
      </c>
      <c r="S648" s="12">
        <f>IF(INT(O648/20)&gt;INT(O647/20), "Lần " &amp; INT(O648/20), "")</f>
        <v/>
      </c>
      <c r="T648" s="11">
        <f>IF(INT(P648/20)&gt;INT(P647/20), "Lần " &amp; INT(P648/20), "")</f>
        <v/>
      </c>
      <c r="U648" s="25">
        <f>IF(INT(Q648/20)&gt;INT(Q647/20), "Lần " &amp; INT(Q648/20), "")</f>
        <v/>
      </c>
      <c r="V648" s="6" t="inlineStr"/>
      <c r="W648" s="6" t="inlineStr">
        <is>
          <t>ĐẠT TCVN 1651:2018</t>
        </is>
      </c>
    </row>
    <row r="649" ht="19" customHeight="1">
      <c r="A649" s="6" t="n">
        <v>614</v>
      </c>
      <c r="B649" s="7" t="inlineStr">
        <is>
          <t>Trụ T2 (Thân trụ)</t>
        </is>
      </c>
      <c r="C649" s="7" t="inlineStr">
        <is>
          <t>Thân trụ đặc</t>
        </is>
      </c>
      <c r="D649" s="19" t="inlineStr">
        <is>
          <t>T3a</t>
        </is>
      </c>
      <c r="E649" s="20" t="n">
        <v>16</v>
      </c>
      <c r="F649" s="6" t="inlineStr">
        <is>
          <t>CB400-V</t>
        </is>
      </c>
      <c r="G649" s="7" t="inlineStr">
        <is>
          <t>S51</t>
        </is>
      </c>
      <c r="H649" s="21" t="n">
        <v>6.806</v>
      </c>
      <c r="I649" s="22" t="n">
        <v>176</v>
      </c>
      <c r="J649" s="23" t="n">
        <v>1.58</v>
      </c>
      <c r="K649" s="9">
        <f>ROUND(H649*I649*J649, 2)</f>
        <v/>
      </c>
      <c r="L649" s="24">
        <f>ROUND(K649/1000, 3)</f>
        <v/>
      </c>
      <c r="M649" s="8" t="n"/>
      <c r="N649" s="21">
        <f>ROUND(N648 + IF(AND(E649&lt;=10, F649&lt;&gt;"ASTM A416"), L649, 0), 3)</f>
        <v/>
      </c>
      <c r="O649" s="21">
        <f>ROUND(O648 + IF(AND(E649&gt;10, E649&lt;=18, F649&lt;&gt;"ASTM A416"), L649, 0), 3)</f>
        <v/>
      </c>
      <c r="P649" s="21">
        <f>ROUND(P648 + IF(AND(E649&gt;18, F649&lt;&gt;"ASTM A416"), L649, 0), 3)</f>
        <v/>
      </c>
      <c r="Q649" s="21">
        <f>ROUND(Q648 + IF(F649="ASTM A416", L649, 0), 3)</f>
        <v/>
      </c>
      <c r="R649" s="11">
        <f>IF(INT(N649/20)&gt;INT(N648/20), "Lần " &amp; INT(N649/20), "")</f>
        <v/>
      </c>
      <c r="S649" s="12">
        <f>IF(INT(O649/20)&gt;INT(O648/20), "Lần " &amp; INT(O649/20), "")</f>
        <v/>
      </c>
      <c r="T649" s="11">
        <f>IF(INT(P649/20)&gt;INT(P648/20), "Lần " &amp; INT(P649/20), "")</f>
        <v/>
      </c>
      <c r="U649" s="25">
        <f>IF(INT(Q649/20)&gt;INT(Q648/20), "Lần " &amp; INT(Q649/20), "")</f>
        <v/>
      </c>
      <c r="V649" s="6" t="inlineStr"/>
      <c r="W649" s="6" t="inlineStr">
        <is>
          <t>ĐẠT TCVN 1651:2018</t>
        </is>
      </c>
    </row>
    <row r="650" ht="19" customHeight="1">
      <c r="A650" s="6" t="n">
        <v>615</v>
      </c>
      <c r="B650" s="7" t="inlineStr">
        <is>
          <t>Trụ T2 (Thân trụ)</t>
        </is>
      </c>
      <c r="C650" s="7" t="inlineStr">
        <is>
          <t>Thân trụ đặc</t>
        </is>
      </c>
      <c r="D650" s="19" t="inlineStr">
        <is>
          <t>T4a</t>
        </is>
      </c>
      <c r="E650" s="20" t="n">
        <v>16</v>
      </c>
      <c r="F650" s="6" t="inlineStr">
        <is>
          <t>CB400-V</t>
        </is>
      </c>
      <c r="G650" s="7" t="inlineStr">
        <is>
          <t>S06</t>
        </is>
      </c>
      <c r="H650" s="21" t="n">
        <v>5.332</v>
      </c>
      <c r="I650" s="22" t="n">
        <v>20</v>
      </c>
      <c r="J650" s="23" t="n">
        <v>1.58</v>
      </c>
      <c r="K650" s="9">
        <f>ROUND(H650*I650*J650, 2)</f>
        <v/>
      </c>
      <c r="L650" s="24">
        <f>ROUND(K650/1000, 3)</f>
        <v/>
      </c>
      <c r="M650" s="8" t="n"/>
      <c r="N650" s="21">
        <f>ROUND(N649 + IF(AND(E650&lt;=10, F650&lt;&gt;"ASTM A416"), L650, 0), 3)</f>
        <v/>
      </c>
      <c r="O650" s="21">
        <f>ROUND(O649 + IF(AND(E650&gt;10, E650&lt;=18, F650&lt;&gt;"ASTM A416"), L650, 0), 3)</f>
        <v/>
      </c>
      <c r="P650" s="21">
        <f>ROUND(P649 + IF(AND(E650&gt;18, F650&lt;&gt;"ASTM A416"), L650, 0), 3)</f>
        <v/>
      </c>
      <c r="Q650" s="21">
        <f>ROUND(Q649 + IF(F650="ASTM A416", L650, 0), 3)</f>
        <v/>
      </c>
      <c r="R650" s="11">
        <f>IF(INT(N650/20)&gt;INT(N649/20), "Lần " &amp; INT(N650/20), "")</f>
        <v/>
      </c>
      <c r="S650" s="12">
        <f>IF(INT(O650/20)&gt;INT(O649/20), "Lần " &amp; INT(O650/20), "")</f>
        <v/>
      </c>
      <c r="T650" s="11">
        <f>IF(INT(P650/20)&gt;INT(P649/20), "Lần " &amp; INT(P650/20), "")</f>
        <v/>
      </c>
      <c r="U650" s="25">
        <f>IF(INT(Q650/20)&gt;INT(Q649/20), "Lần " &amp; INT(Q650/20), "")</f>
        <v/>
      </c>
      <c r="V650" s="6" t="inlineStr"/>
      <c r="W650" s="6" t="inlineStr">
        <is>
          <t>ĐẠT TCVN 1651:2018</t>
        </is>
      </c>
    </row>
    <row r="651" ht="19" customHeight="1">
      <c r="A651" s="6" t="n">
        <v>616</v>
      </c>
      <c r="B651" s="7" t="inlineStr">
        <is>
          <t>Trụ T2 (Thân trụ)</t>
        </is>
      </c>
      <c r="C651" s="7" t="inlineStr">
        <is>
          <t>Thân trụ đặc</t>
        </is>
      </c>
      <c r="D651" s="19" t="inlineStr">
        <is>
          <t>T4a1</t>
        </is>
      </c>
      <c r="E651" s="20" t="n">
        <v>16</v>
      </c>
      <c r="F651" s="6" t="inlineStr">
        <is>
          <t>CB400-V</t>
        </is>
      </c>
      <c r="G651" s="7" t="inlineStr">
        <is>
          <t>S06</t>
        </is>
      </c>
      <c r="H651" s="21" t="n">
        <v>5.102</v>
      </c>
      <c r="I651" s="22" t="n">
        <v>40</v>
      </c>
      <c r="J651" s="23" t="n">
        <v>1.58</v>
      </c>
      <c r="K651" s="9">
        <f>ROUND(H651*I651*J651, 2)</f>
        <v/>
      </c>
      <c r="L651" s="24">
        <f>ROUND(K651/1000, 3)</f>
        <v/>
      </c>
      <c r="M651" s="8" t="n"/>
      <c r="N651" s="21">
        <f>ROUND(N650 + IF(AND(E651&lt;=10, F651&lt;&gt;"ASTM A416"), L651, 0), 3)</f>
        <v/>
      </c>
      <c r="O651" s="21">
        <f>ROUND(O650 + IF(AND(E651&gt;10, E651&lt;=18, F651&lt;&gt;"ASTM A416"), L651, 0), 3)</f>
        <v/>
      </c>
      <c r="P651" s="21">
        <f>ROUND(P650 + IF(AND(E651&gt;18, F651&lt;&gt;"ASTM A416"), L651, 0), 3)</f>
        <v/>
      </c>
      <c r="Q651" s="21">
        <f>ROUND(Q650 + IF(F651="ASTM A416", L651, 0), 3)</f>
        <v/>
      </c>
      <c r="R651" s="11">
        <f>IF(INT(N651/20)&gt;INT(N650/20), "Lần " &amp; INT(N651/20), "")</f>
        <v/>
      </c>
      <c r="S651" s="12">
        <f>IF(INT(O651/20)&gt;INT(O650/20), "Lần " &amp; INT(O651/20), "")</f>
        <v/>
      </c>
      <c r="T651" s="11">
        <f>IF(INT(P651/20)&gt;INT(P650/20), "Lần " &amp; INT(P651/20), "")</f>
        <v/>
      </c>
      <c r="U651" s="25">
        <f>IF(INT(Q651/20)&gt;INT(Q650/20), "Lần " &amp; INT(Q651/20), "")</f>
        <v/>
      </c>
      <c r="V651" s="6" t="inlineStr"/>
      <c r="W651" s="6" t="inlineStr">
        <is>
          <t>ĐẠT TCVN 1651:2018</t>
        </is>
      </c>
    </row>
    <row r="652" ht="19" customHeight="1">
      <c r="A652" s="6" t="n">
        <v>617</v>
      </c>
      <c r="B652" s="7" t="inlineStr">
        <is>
          <t>Trụ T2 (Thân trụ)</t>
        </is>
      </c>
      <c r="C652" s="7" t="inlineStr">
        <is>
          <t>th©n trô ®o¹n 2</t>
        </is>
      </c>
      <c r="D652" s="19" t="inlineStr">
        <is>
          <t>T1b</t>
        </is>
      </c>
      <c r="E652" s="20" t="n">
        <v>32</v>
      </c>
      <c r="F652" s="6" t="inlineStr">
        <is>
          <t>CB400-V</t>
        </is>
      </c>
      <c r="G652" s="7" t="inlineStr">
        <is>
          <t>S28</t>
        </is>
      </c>
      <c r="H652" s="21" t="n">
        <v>13.616</v>
      </c>
      <c r="I652" s="22" t="n">
        <v>106</v>
      </c>
      <c r="J652" s="23" t="n">
        <v>6.31</v>
      </c>
      <c r="K652" s="9">
        <f>ROUND(H652*I652*J652, 2)</f>
        <v/>
      </c>
      <c r="L652" s="24">
        <f>ROUND(K652/1000, 3)</f>
        <v/>
      </c>
      <c r="M652" s="8" t="n"/>
      <c r="N652" s="21">
        <f>ROUND(N651 + IF(AND(E652&lt;=10, F652&lt;&gt;"ASTM A416"), L652, 0), 3)</f>
        <v/>
      </c>
      <c r="O652" s="21">
        <f>ROUND(O651 + IF(AND(E652&gt;10, E652&lt;=18, F652&lt;&gt;"ASTM A416"), L652, 0), 3)</f>
        <v/>
      </c>
      <c r="P652" s="21">
        <f>ROUND(P651 + IF(AND(E652&gt;18, F652&lt;&gt;"ASTM A416"), L652, 0), 3)</f>
        <v/>
      </c>
      <c r="Q652" s="21">
        <f>ROUND(Q651 + IF(F652="ASTM A416", L652, 0), 3)</f>
        <v/>
      </c>
      <c r="R652" s="11">
        <f>IF(INT(N652/20)&gt;INT(N651/20), "Lần " &amp; INT(N652/20), "")</f>
        <v/>
      </c>
      <c r="S652" s="12">
        <f>IF(INT(O652/20)&gt;INT(O651/20), "Lần " &amp; INT(O652/20), "")</f>
        <v/>
      </c>
      <c r="T652" s="11">
        <f>IF(INT(P652/20)&gt;INT(P651/20), "Lần " &amp; INT(P652/20), "")</f>
        <v/>
      </c>
      <c r="U652" s="25">
        <f>IF(INT(Q652/20)&gt;INT(Q651/20), "Lần " &amp; INT(Q652/20), "")</f>
        <v/>
      </c>
      <c r="V652" s="6" t="inlineStr"/>
      <c r="W652" s="6" t="inlineStr">
        <is>
          <t>ĐẠT TCVN 1651:2018</t>
        </is>
      </c>
    </row>
    <row r="653" ht="19" customHeight="1">
      <c r="A653" s="6" t="n">
        <v>618</v>
      </c>
      <c r="B653" s="7" t="inlineStr">
        <is>
          <t>Trụ T2 (Thân trụ)</t>
        </is>
      </c>
      <c r="C653" s="7" t="inlineStr">
        <is>
          <t>Thân trụ đặc</t>
        </is>
      </c>
      <c r="D653" s="19" t="inlineStr">
        <is>
          <t>T2b</t>
        </is>
      </c>
      <c r="E653" s="20" t="n">
        <v>16</v>
      </c>
      <c r="F653" s="6" t="inlineStr">
        <is>
          <t>CB400-V</t>
        </is>
      </c>
      <c r="G653" s="7" t="inlineStr">
        <is>
          <t>S07</t>
        </is>
      </c>
      <c r="H653" s="21" t="n">
        <v>6.894</v>
      </c>
      <c r="I653" s="22" t="n">
        <v>150</v>
      </c>
      <c r="J653" s="23" t="n">
        <v>1.58</v>
      </c>
      <c r="K653" s="9">
        <f>ROUND(H653*I653*J653, 2)</f>
        <v/>
      </c>
      <c r="L653" s="24">
        <f>ROUND(K653/1000, 3)</f>
        <v/>
      </c>
      <c r="M653" s="8" t="n"/>
      <c r="N653" s="21">
        <f>ROUND(N652 + IF(AND(E653&lt;=10, F653&lt;&gt;"ASTM A416"), L653, 0), 3)</f>
        <v/>
      </c>
      <c r="O653" s="21">
        <f>ROUND(O652 + IF(AND(E653&gt;10, E653&lt;=18, F653&lt;&gt;"ASTM A416"), L653, 0), 3)</f>
        <v/>
      </c>
      <c r="P653" s="21">
        <f>ROUND(P652 + IF(AND(E653&gt;18, F653&lt;&gt;"ASTM A416"), L653, 0), 3)</f>
        <v/>
      </c>
      <c r="Q653" s="21">
        <f>ROUND(Q652 + IF(F653="ASTM A416", L653, 0), 3)</f>
        <v/>
      </c>
      <c r="R653" s="11">
        <f>IF(INT(N653/20)&gt;INT(N652/20), "Lần " &amp; INT(N653/20), "")</f>
        <v/>
      </c>
      <c r="S653" s="12">
        <f>IF(INT(O653/20)&gt;INT(O652/20), "Lần " &amp; INT(O653/20), "")</f>
        <v/>
      </c>
      <c r="T653" s="11">
        <f>IF(INT(P653/20)&gt;INT(P652/20), "Lần " &amp; INT(P653/20), "")</f>
        <v/>
      </c>
      <c r="U653" s="25">
        <f>IF(INT(Q653/20)&gt;INT(Q652/20), "Lần " &amp; INT(Q653/20), "")</f>
        <v/>
      </c>
      <c r="V653" s="6" t="inlineStr"/>
      <c r="W653" s="6" t="inlineStr">
        <is>
          <t>ĐẠT TCVN 1651:2018</t>
        </is>
      </c>
    </row>
    <row r="654" ht="19" customHeight="1">
      <c r="A654" s="6" t="n">
        <v>619</v>
      </c>
      <c r="B654" s="7" t="inlineStr">
        <is>
          <t>Trụ T2 (Thân trụ)</t>
        </is>
      </c>
      <c r="C654" s="7" t="inlineStr">
        <is>
          <t>Thân trụ đặc</t>
        </is>
      </c>
      <c r="D654" s="19" t="inlineStr">
        <is>
          <t>T3b</t>
        </is>
      </c>
      <c r="E654" s="20" t="n">
        <v>16</v>
      </c>
      <c r="F654" s="6" t="inlineStr">
        <is>
          <t>CB400-V</t>
        </is>
      </c>
      <c r="G654" s="7" t="inlineStr">
        <is>
          <t>S51</t>
        </is>
      </c>
      <c r="H654" s="21" t="n">
        <v>8.006</v>
      </c>
      <c r="I654" s="22" t="n">
        <v>150</v>
      </c>
      <c r="J654" s="23" t="n">
        <v>1.58</v>
      </c>
      <c r="K654" s="9">
        <f>ROUND(H654*I654*J654, 2)</f>
        <v/>
      </c>
      <c r="L654" s="24">
        <f>ROUND(K654/1000, 3)</f>
        <v/>
      </c>
      <c r="M654" s="8" t="n"/>
      <c r="N654" s="21">
        <f>ROUND(N653 + IF(AND(E654&lt;=10, F654&lt;&gt;"ASTM A416"), L654, 0), 3)</f>
        <v/>
      </c>
      <c r="O654" s="21">
        <f>ROUND(O653 + IF(AND(E654&gt;10, E654&lt;=18, F654&lt;&gt;"ASTM A416"), L654, 0), 3)</f>
        <v/>
      </c>
      <c r="P654" s="21">
        <f>ROUND(P653 + IF(AND(E654&gt;18, F654&lt;&gt;"ASTM A416"), L654, 0), 3)</f>
        <v/>
      </c>
      <c r="Q654" s="21">
        <f>ROUND(Q653 + IF(F654="ASTM A416", L654, 0), 3)</f>
        <v/>
      </c>
      <c r="R654" s="11">
        <f>IF(INT(N654/20)&gt;INT(N653/20), "Lần " &amp; INT(N654/20), "")</f>
        <v/>
      </c>
      <c r="S654" s="12">
        <f>IF(INT(O654/20)&gt;INT(O653/20), "Lần " &amp; INT(O654/20), "")</f>
        <v/>
      </c>
      <c r="T654" s="11">
        <f>IF(INT(P654/20)&gt;INT(P653/20), "Lần " &amp; INT(P654/20), "")</f>
        <v/>
      </c>
      <c r="U654" s="25">
        <f>IF(INT(Q654/20)&gt;INT(Q653/20), "Lần " &amp; INT(Q654/20), "")</f>
        <v/>
      </c>
      <c r="V654" s="6" t="inlineStr"/>
      <c r="W654" s="6" t="inlineStr">
        <is>
          <t>ĐẠT TCVN 1651:2018</t>
        </is>
      </c>
    </row>
    <row r="655" ht="19" customHeight="1">
      <c r="A655" s="6" t="n">
        <v>620</v>
      </c>
      <c r="B655" s="7" t="inlineStr">
        <is>
          <t>Trụ T2 (Thân trụ)</t>
        </is>
      </c>
      <c r="C655" s="7" t="inlineStr">
        <is>
          <t>Thân trụ đặc</t>
        </is>
      </c>
      <c r="D655" s="19" t="inlineStr">
        <is>
          <t>T4b</t>
        </is>
      </c>
      <c r="E655" s="20" t="n">
        <v>16</v>
      </c>
      <c r="F655" s="6" t="inlineStr">
        <is>
          <t>CB400-V</t>
        </is>
      </c>
      <c r="G655" s="7" t="inlineStr">
        <is>
          <t>S06</t>
        </is>
      </c>
      <c r="H655" s="21" t="n">
        <v>5.932</v>
      </c>
      <c r="I655" s="22" t="n">
        <v>19</v>
      </c>
      <c r="J655" s="23" t="n">
        <v>1.58</v>
      </c>
      <c r="K655" s="9">
        <f>ROUND(H655*I655*J655, 2)</f>
        <v/>
      </c>
      <c r="L655" s="24">
        <f>ROUND(K655/1000, 3)</f>
        <v/>
      </c>
      <c r="M655" s="8" t="n"/>
      <c r="N655" s="21">
        <f>ROUND(N654 + IF(AND(E655&lt;=10, F655&lt;&gt;"ASTM A416"), L655, 0), 3)</f>
        <v/>
      </c>
      <c r="O655" s="21">
        <f>ROUND(O654 + IF(AND(E655&gt;10, E655&lt;=18, F655&lt;&gt;"ASTM A416"), L655, 0), 3)</f>
        <v/>
      </c>
      <c r="P655" s="21">
        <f>ROUND(P654 + IF(AND(E655&gt;18, F655&lt;&gt;"ASTM A416"), L655, 0), 3)</f>
        <v/>
      </c>
      <c r="Q655" s="21">
        <f>ROUND(Q654 + IF(F655="ASTM A416", L655, 0), 3)</f>
        <v/>
      </c>
      <c r="R655" s="11">
        <f>IF(INT(N655/20)&gt;INT(N654/20), "Lần " &amp; INT(N655/20), "")</f>
        <v/>
      </c>
      <c r="S655" s="12">
        <f>IF(INT(O655/20)&gt;INT(O654/20), "Lần " &amp; INT(O655/20), "")</f>
        <v/>
      </c>
      <c r="T655" s="11">
        <f>IF(INT(P655/20)&gt;INT(P654/20), "Lần " &amp; INT(P655/20), "")</f>
        <v/>
      </c>
      <c r="U655" s="25">
        <f>IF(INT(Q655/20)&gt;INT(Q654/20), "Lần " &amp; INT(Q655/20), "")</f>
        <v/>
      </c>
      <c r="V655" s="6" t="inlineStr"/>
      <c r="W655" s="6" t="inlineStr">
        <is>
          <t>ĐẠT TCVN 1651:2018</t>
        </is>
      </c>
    </row>
    <row r="656" ht="19" customHeight="1">
      <c r="A656" s="6" t="n">
        <v>621</v>
      </c>
      <c r="B656" s="7" t="inlineStr">
        <is>
          <t>Trụ T2 (Thân trụ)</t>
        </is>
      </c>
      <c r="C656" s="7" t="inlineStr">
        <is>
          <t>Thân trụ đặc</t>
        </is>
      </c>
      <c r="D656" s="19" t="inlineStr">
        <is>
          <t>T4b1</t>
        </is>
      </c>
      <c r="E656" s="20" t="n">
        <v>16</v>
      </c>
      <c r="F656" s="6" t="inlineStr">
        <is>
          <t>CB400-V</t>
        </is>
      </c>
      <c r="G656" s="7" t="inlineStr">
        <is>
          <t>S06</t>
        </is>
      </c>
      <c r="H656" s="21" t="n">
        <v>5.652</v>
      </c>
      <c r="I656" s="22" t="n">
        <v>38</v>
      </c>
      <c r="J656" s="23" t="n">
        <v>1.58</v>
      </c>
      <c r="K656" s="9">
        <f>ROUND(H656*I656*J656, 2)</f>
        <v/>
      </c>
      <c r="L656" s="24">
        <f>ROUND(K656/1000, 3)</f>
        <v/>
      </c>
      <c r="M656" s="8" t="n"/>
      <c r="N656" s="21">
        <f>ROUND(N655 + IF(AND(E656&lt;=10, F656&lt;&gt;"ASTM A416"), L656, 0), 3)</f>
        <v/>
      </c>
      <c r="O656" s="21">
        <f>ROUND(O655 + IF(AND(E656&gt;10, E656&lt;=18, F656&lt;&gt;"ASTM A416"), L656, 0), 3)</f>
        <v/>
      </c>
      <c r="P656" s="21">
        <f>ROUND(P655 + IF(AND(E656&gt;18, F656&lt;&gt;"ASTM A416"), L656, 0), 3)</f>
        <v/>
      </c>
      <c r="Q656" s="21">
        <f>ROUND(Q655 + IF(F656="ASTM A416", L656, 0), 3)</f>
        <v/>
      </c>
      <c r="R656" s="11">
        <f>IF(INT(N656/20)&gt;INT(N655/20), "Lần " &amp; INT(N656/20), "")</f>
        <v/>
      </c>
      <c r="S656" s="12">
        <f>IF(INT(O656/20)&gt;INT(O655/20), "Lần " &amp; INT(O656/20), "")</f>
        <v/>
      </c>
      <c r="T656" s="11">
        <f>IF(INT(P656/20)&gt;INT(P655/20), "Lần " &amp; INT(P656/20), "")</f>
        <v/>
      </c>
      <c r="U656" s="25">
        <f>IF(INT(Q656/20)&gt;INT(Q655/20), "Lần " &amp; INT(Q656/20), "")</f>
        <v/>
      </c>
      <c r="V656" s="6" t="inlineStr"/>
      <c r="W656" s="6" t="inlineStr">
        <is>
          <t>ĐẠT TCVN 1651:2018</t>
        </is>
      </c>
    </row>
    <row r="657" ht="19" customHeight="1">
      <c r="A657" s="6" t="n">
        <v>622</v>
      </c>
      <c r="B657" s="7" t="inlineStr">
        <is>
          <t>Trụ T2 (Thân trụ)</t>
        </is>
      </c>
      <c r="C657" s="7" t="inlineStr">
        <is>
          <t>th©n trô ®o¹n 3</t>
        </is>
      </c>
      <c r="D657" s="19" t="inlineStr">
        <is>
          <t>T1c</t>
        </is>
      </c>
      <c r="E657" s="20" t="n">
        <v>32</v>
      </c>
      <c r="F657" s="6" t="inlineStr">
        <is>
          <t>CB400-V</t>
        </is>
      </c>
      <c r="G657" s="7" t="inlineStr">
        <is>
          <t>S28</t>
        </is>
      </c>
      <c r="H657" s="21" t="n">
        <v>8.656000000000001</v>
      </c>
      <c r="I657" s="22" t="n">
        <v>122</v>
      </c>
      <c r="J657" s="23" t="n">
        <v>6.31</v>
      </c>
      <c r="K657" s="9">
        <f>ROUND(H657*I657*J657, 2)</f>
        <v/>
      </c>
      <c r="L657" s="24">
        <f>ROUND(K657/1000, 3)</f>
        <v/>
      </c>
      <c r="M657" s="8" t="n"/>
      <c r="N657" s="21">
        <f>ROUND(N656 + IF(AND(E657&lt;=10, F657&lt;&gt;"ASTM A416"), L657, 0), 3)</f>
        <v/>
      </c>
      <c r="O657" s="21">
        <f>ROUND(O656 + IF(AND(E657&gt;10, E657&lt;=18, F657&lt;&gt;"ASTM A416"), L657, 0), 3)</f>
        <v/>
      </c>
      <c r="P657" s="21">
        <f>ROUND(P656 + IF(AND(E657&gt;18, F657&lt;&gt;"ASTM A416"), L657, 0), 3)</f>
        <v/>
      </c>
      <c r="Q657" s="21">
        <f>ROUND(Q656 + IF(F657="ASTM A416", L657, 0), 3)</f>
        <v/>
      </c>
      <c r="R657" s="11">
        <f>IF(INT(N657/20)&gt;INT(N656/20), "Lần " &amp; INT(N657/20), "")</f>
        <v/>
      </c>
      <c r="S657" s="12">
        <f>IF(INT(O657/20)&gt;INT(O656/20), "Lần " &amp; INT(O657/20), "")</f>
        <v/>
      </c>
      <c r="T657" s="11">
        <f>IF(INT(P657/20)&gt;INT(P656/20), "Lần " &amp; INT(P657/20), "")</f>
        <v/>
      </c>
      <c r="U657" s="25">
        <f>IF(INT(Q657/20)&gt;INT(Q656/20), "Lần " &amp; INT(Q657/20), "")</f>
        <v/>
      </c>
      <c r="V657" s="6" t="inlineStr"/>
      <c r="W657" s="6" t="inlineStr">
        <is>
          <t>ĐẠT TCVN 1651:2018</t>
        </is>
      </c>
    </row>
    <row r="658" ht="19" customHeight="1">
      <c r="A658" s="6" t="n">
        <v>623</v>
      </c>
      <c r="B658" s="7" t="inlineStr">
        <is>
          <t>Trụ T2 (Thân trụ)</t>
        </is>
      </c>
      <c r="C658" s="7" t="inlineStr">
        <is>
          <t>Thân trụ đặc</t>
        </is>
      </c>
      <c r="D658" s="19" t="inlineStr">
        <is>
          <t>T2c</t>
        </is>
      </c>
      <c r="E658" s="20" t="n">
        <v>16</v>
      </c>
      <c r="F658" s="6" t="inlineStr">
        <is>
          <t>CB400-V</t>
        </is>
      </c>
      <c r="G658" s="7" t="inlineStr">
        <is>
          <t>S07</t>
        </is>
      </c>
      <c r="H658" s="21" t="n">
        <v>8.436999999999999</v>
      </c>
      <c r="I658" s="22" t="n">
        <v>108</v>
      </c>
      <c r="J658" s="23" t="n">
        <v>1.58</v>
      </c>
      <c r="K658" s="9">
        <f>ROUND(H658*I658*J658, 2)</f>
        <v/>
      </c>
      <c r="L658" s="24">
        <f>ROUND(K658/1000, 3)</f>
        <v/>
      </c>
      <c r="M658" s="8" t="n"/>
      <c r="N658" s="21">
        <f>ROUND(N657 + IF(AND(E658&lt;=10, F658&lt;&gt;"ASTM A416"), L658, 0), 3)</f>
        <v/>
      </c>
      <c r="O658" s="21">
        <f>ROUND(O657 + IF(AND(E658&gt;10, E658&lt;=18, F658&lt;&gt;"ASTM A416"), L658, 0), 3)</f>
        <v/>
      </c>
      <c r="P658" s="21">
        <f>ROUND(P657 + IF(AND(E658&gt;18, F658&lt;&gt;"ASTM A416"), L658, 0), 3)</f>
        <v/>
      </c>
      <c r="Q658" s="21">
        <f>ROUND(Q657 + IF(F658="ASTM A416", L658, 0), 3)</f>
        <v/>
      </c>
      <c r="R658" s="11">
        <f>IF(INT(N658/20)&gt;INT(N657/20), "Lần " &amp; INT(N658/20), "")</f>
        <v/>
      </c>
      <c r="S658" s="12">
        <f>IF(INT(O658/20)&gt;INT(O657/20), "Lần " &amp; INT(O658/20), "")</f>
        <v/>
      </c>
      <c r="T658" s="11">
        <f>IF(INT(P658/20)&gt;INT(P657/20), "Lần " &amp; INT(P658/20), "")</f>
        <v/>
      </c>
      <c r="U658" s="25">
        <f>IF(INT(Q658/20)&gt;INT(Q657/20), "Lần " &amp; INT(Q658/20), "")</f>
        <v/>
      </c>
      <c r="V658" s="6" t="inlineStr"/>
      <c r="W658" s="6" t="inlineStr">
        <is>
          <t>ĐẠT TCVN 1651:2018</t>
        </is>
      </c>
    </row>
    <row r="659" ht="19" customHeight="1">
      <c r="A659" s="6" t="n">
        <v>624</v>
      </c>
      <c r="B659" s="7" t="inlineStr">
        <is>
          <t>Trụ T2 (Thân trụ)</t>
        </is>
      </c>
      <c r="C659" s="7" t="inlineStr">
        <is>
          <t>Thân trụ đặc</t>
        </is>
      </c>
      <c r="D659" s="19" t="inlineStr">
        <is>
          <t>T3c</t>
        </is>
      </c>
      <c r="E659" s="20" t="n">
        <v>16</v>
      </c>
      <c r="F659" s="6" t="inlineStr">
        <is>
          <t>CB400-V</t>
        </is>
      </c>
      <c r="G659" s="7" t="inlineStr">
        <is>
          <t>S51</t>
        </is>
      </c>
      <c r="H659" s="21" t="n">
        <v>9.206</v>
      </c>
      <c r="I659" s="22" t="n">
        <v>108</v>
      </c>
      <c r="J659" s="23" t="n">
        <v>1.58</v>
      </c>
      <c r="K659" s="9">
        <f>ROUND(H659*I659*J659, 2)</f>
        <v/>
      </c>
      <c r="L659" s="24">
        <f>ROUND(K659/1000, 3)</f>
        <v/>
      </c>
      <c r="M659" s="8" t="n"/>
      <c r="N659" s="21">
        <f>ROUND(N658 + IF(AND(E659&lt;=10, F659&lt;&gt;"ASTM A416"), L659, 0), 3)</f>
        <v/>
      </c>
      <c r="O659" s="21">
        <f>ROUND(O658 + IF(AND(E659&gt;10, E659&lt;=18, F659&lt;&gt;"ASTM A416"), L659, 0), 3)</f>
        <v/>
      </c>
      <c r="P659" s="21">
        <f>ROUND(P658 + IF(AND(E659&gt;18, F659&lt;&gt;"ASTM A416"), L659, 0), 3)</f>
        <v/>
      </c>
      <c r="Q659" s="21">
        <f>ROUND(Q658 + IF(F659="ASTM A416", L659, 0), 3)</f>
        <v/>
      </c>
      <c r="R659" s="11">
        <f>IF(INT(N659/20)&gt;INT(N658/20), "Lần " &amp; INT(N659/20), "")</f>
        <v/>
      </c>
      <c r="S659" s="12">
        <f>IF(INT(O659/20)&gt;INT(O658/20), "Lần " &amp; INT(O659/20), "")</f>
        <v/>
      </c>
      <c r="T659" s="11">
        <f>IF(INT(P659/20)&gt;INT(P658/20), "Lần " &amp; INT(P659/20), "")</f>
        <v/>
      </c>
      <c r="U659" s="25">
        <f>IF(INT(Q659/20)&gt;INT(Q658/20), "Lần " &amp; INT(Q659/20), "")</f>
        <v/>
      </c>
      <c r="V659" s="6" t="inlineStr"/>
      <c r="W659" s="6" t="inlineStr">
        <is>
          <t>ĐẠT TCVN 1651:2018</t>
        </is>
      </c>
    </row>
    <row r="660" ht="19" customHeight="1">
      <c r="A660" s="6" t="n">
        <v>625</v>
      </c>
      <c r="B660" s="7" t="inlineStr">
        <is>
          <t>Trụ T2 (Thân trụ)</t>
        </is>
      </c>
      <c r="C660" s="7" t="inlineStr">
        <is>
          <t>Thân trụ đặc</t>
        </is>
      </c>
      <c r="D660" s="19" t="inlineStr">
        <is>
          <t>T4c</t>
        </is>
      </c>
      <c r="E660" s="20" t="n">
        <v>16</v>
      </c>
      <c r="F660" s="6" t="inlineStr">
        <is>
          <t>CB400-V</t>
        </is>
      </c>
      <c r="G660" s="7" t="inlineStr">
        <is>
          <t>S06</t>
        </is>
      </c>
      <c r="H660" s="21" t="n">
        <v>6.532</v>
      </c>
      <c r="I660" s="22" t="n">
        <v>13</v>
      </c>
      <c r="J660" s="23" t="n">
        <v>1.58</v>
      </c>
      <c r="K660" s="9">
        <f>ROUND(H660*I660*J660, 2)</f>
        <v/>
      </c>
      <c r="L660" s="24">
        <f>ROUND(K660/1000, 3)</f>
        <v/>
      </c>
      <c r="M660" s="8" t="n"/>
      <c r="N660" s="21">
        <f>ROUND(N659 + IF(AND(E660&lt;=10, F660&lt;&gt;"ASTM A416"), L660, 0), 3)</f>
        <v/>
      </c>
      <c r="O660" s="21">
        <f>ROUND(O659 + IF(AND(E660&gt;10, E660&lt;=18, F660&lt;&gt;"ASTM A416"), L660, 0), 3)</f>
        <v/>
      </c>
      <c r="P660" s="21">
        <f>ROUND(P659 + IF(AND(E660&gt;18, F660&lt;&gt;"ASTM A416"), L660, 0), 3)</f>
        <v/>
      </c>
      <c r="Q660" s="21">
        <f>ROUND(Q659 + IF(F660="ASTM A416", L660, 0), 3)</f>
        <v/>
      </c>
      <c r="R660" s="11">
        <f>IF(INT(N660/20)&gt;INT(N659/20), "Lần " &amp; INT(N660/20), "")</f>
        <v/>
      </c>
      <c r="S660" s="12">
        <f>IF(INT(O660/20)&gt;INT(O659/20), "Lần " &amp; INT(O660/20), "")</f>
        <v/>
      </c>
      <c r="T660" s="11">
        <f>IF(INT(P660/20)&gt;INT(P659/20), "Lần " &amp; INT(P660/20), "")</f>
        <v/>
      </c>
      <c r="U660" s="25">
        <f>IF(INT(Q660/20)&gt;INT(Q659/20), "Lần " &amp; INT(Q660/20), "")</f>
        <v/>
      </c>
      <c r="V660" s="6" t="inlineStr"/>
      <c r="W660" s="6" t="inlineStr">
        <is>
          <t>ĐẠT TCVN 1651:2018</t>
        </is>
      </c>
    </row>
    <row r="661" ht="19" customHeight="1">
      <c r="A661" s="6" t="n">
        <v>626</v>
      </c>
      <c r="B661" s="7" t="inlineStr">
        <is>
          <t>Trụ T2 (Thân trụ)</t>
        </is>
      </c>
      <c r="C661" s="7" t="inlineStr">
        <is>
          <t>Thân trụ đặc</t>
        </is>
      </c>
      <c r="D661" s="19" t="inlineStr">
        <is>
          <t>T4c1</t>
        </is>
      </c>
      <c r="E661" s="20" t="n">
        <v>16</v>
      </c>
      <c r="F661" s="6" t="inlineStr">
        <is>
          <t>CB400-V</t>
        </is>
      </c>
      <c r="G661" s="7" t="inlineStr">
        <is>
          <t>S06</t>
        </is>
      </c>
      <c r="H661" s="21" t="n">
        <v>6.202</v>
      </c>
      <c r="I661" s="22" t="n">
        <v>26</v>
      </c>
      <c r="J661" s="23" t="n">
        <v>1.58</v>
      </c>
      <c r="K661" s="9">
        <f>ROUND(H661*I661*J661, 2)</f>
        <v/>
      </c>
      <c r="L661" s="24">
        <f>ROUND(K661/1000, 3)</f>
        <v/>
      </c>
      <c r="M661" s="8" t="n"/>
      <c r="N661" s="21">
        <f>ROUND(N660 + IF(AND(E661&lt;=10, F661&lt;&gt;"ASTM A416"), L661, 0), 3)</f>
        <v/>
      </c>
      <c r="O661" s="21">
        <f>ROUND(O660 + IF(AND(E661&gt;10, E661&lt;=18, F661&lt;&gt;"ASTM A416"), L661, 0), 3)</f>
        <v/>
      </c>
      <c r="P661" s="21">
        <f>ROUND(P660 + IF(AND(E661&gt;18, F661&lt;&gt;"ASTM A416"), L661, 0), 3)</f>
        <v/>
      </c>
      <c r="Q661" s="21">
        <f>ROUND(Q660 + IF(F661="ASTM A416", L661, 0), 3)</f>
        <v/>
      </c>
      <c r="R661" s="11">
        <f>IF(INT(N661/20)&gt;INT(N660/20), "Lần " &amp; INT(N661/20), "")</f>
        <v/>
      </c>
      <c r="S661" s="12">
        <f>IF(INT(O661/20)&gt;INT(O660/20), "Lần " &amp; INT(O661/20), "")</f>
        <v/>
      </c>
      <c r="T661" s="11">
        <f>IF(INT(P661/20)&gt;INT(P660/20), "Lần " &amp; INT(P661/20), "")</f>
        <v/>
      </c>
      <c r="U661" s="25">
        <f>IF(INT(Q661/20)&gt;INT(Q660/20), "Lần " &amp; INT(Q661/20), "")</f>
        <v/>
      </c>
      <c r="V661" s="6" t="inlineStr"/>
      <c r="W661" s="6" t="inlineStr">
        <is>
          <t>ĐẠT TCVN 1651:2018</t>
        </is>
      </c>
    </row>
    <row r="662" ht="19" customHeight="1">
      <c r="A662" s="6" t="n">
        <v>627</v>
      </c>
      <c r="B662" s="7" t="inlineStr">
        <is>
          <t>Trụ T1, T2 (Xà mũ trụ)</t>
        </is>
      </c>
      <c r="C662" s="7" t="inlineStr">
        <is>
          <t>xµ mò</t>
        </is>
      </c>
      <c r="D662" s="19" t="inlineStr">
        <is>
          <t>X1</t>
        </is>
      </c>
      <c r="E662" s="20" t="n">
        <v>32</v>
      </c>
      <c r="F662" s="6" t="inlineStr">
        <is>
          <t>CB400-V</t>
        </is>
      </c>
      <c r="G662" s="7" t="inlineStr">
        <is>
          <t>S06</t>
        </is>
      </c>
      <c r="H662" s="21" t="n">
        <v>13.962</v>
      </c>
      <c r="I662" s="22" t="n">
        <v>110</v>
      </c>
      <c r="J662" s="23" t="n">
        <v>6.31</v>
      </c>
      <c r="K662" s="9">
        <f>ROUND(H662*I662*J662, 2)</f>
        <v/>
      </c>
      <c r="L662" s="24">
        <f>ROUND(K662/1000, 3)</f>
        <v/>
      </c>
      <c r="M662" s="8" t="n"/>
      <c r="N662" s="21">
        <f>ROUND(N661 + IF(AND(E662&lt;=10, F662&lt;&gt;"ASTM A416"), L662, 0), 3)</f>
        <v/>
      </c>
      <c r="O662" s="21">
        <f>ROUND(O661 + IF(AND(E662&gt;10, E662&lt;=18, F662&lt;&gt;"ASTM A416"), L662, 0), 3)</f>
        <v/>
      </c>
      <c r="P662" s="21">
        <f>ROUND(P661 + IF(AND(E662&gt;18, F662&lt;&gt;"ASTM A416"), L662, 0), 3)</f>
        <v/>
      </c>
      <c r="Q662" s="21">
        <f>ROUND(Q661 + IF(F662="ASTM A416", L662, 0), 3)</f>
        <v/>
      </c>
      <c r="R662" s="11">
        <f>IF(INT(N662/20)&gt;INT(N661/20), "Lần " &amp; INT(N662/20), "")</f>
        <v/>
      </c>
      <c r="S662" s="12">
        <f>IF(INT(O662/20)&gt;INT(O661/20), "Lần " &amp; INT(O662/20), "")</f>
        <v/>
      </c>
      <c r="T662" s="11">
        <f>IF(INT(P662/20)&gt;INT(P661/20), "Lần " &amp; INT(P662/20), "")</f>
        <v/>
      </c>
      <c r="U662" s="25">
        <f>IF(INT(Q662/20)&gt;INT(Q661/20), "Lần " &amp; INT(Q662/20), "")</f>
        <v/>
      </c>
      <c r="V662" s="6" t="inlineStr"/>
      <c r="W662" s="6" t="inlineStr">
        <is>
          <t>ĐẠT TCVN 1651:2018</t>
        </is>
      </c>
    </row>
    <row r="663" ht="19" customHeight="1">
      <c r="A663" s="6" t="n">
        <v>628</v>
      </c>
      <c r="B663" s="7" t="inlineStr">
        <is>
          <t>Trụ T1, T2 (Xà mũ trụ)</t>
        </is>
      </c>
      <c r="C663" s="7" t="inlineStr">
        <is>
          <t>Xà mũ trụ</t>
        </is>
      </c>
      <c r="D663" s="19" t="inlineStr">
        <is>
          <t>X1B</t>
        </is>
      </c>
      <c r="E663" s="20" t="n">
        <v>28</v>
      </c>
      <c r="F663" s="6" t="inlineStr">
        <is>
          <t>CB400-V</t>
        </is>
      </c>
      <c r="G663" s="7" t="inlineStr">
        <is>
          <t>S06</t>
        </is>
      </c>
      <c r="H663" s="21" t="n">
        <v>13.698</v>
      </c>
      <c r="I663" s="22" t="n">
        <v>110</v>
      </c>
      <c r="J663" s="23" t="n">
        <v>4.83</v>
      </c>
      <c r="K663" s="9">
        <f>ROUND(H663*I663*J663, 2)</f>
        <v/>
      </c>
      <c r="L663" s="24">
        <f>ROUND(K663/1000, 3)</f>
        <v/>
      </c>
      <c r="M663" s="8" t="n"/>
      <c r="N663" s="21">
        <f>ROUND(N662 + IF(AND(E663&lt;=10, F663&lt;&gt;"ASTM A416"), L663, 0), 3)</f>
        <v/>
      </c>
      <c r="O663" s="21">
        <f>ROUND(O662 + IF(AND(E663&gt;10, E663&lt;=18, F663&lt;&gt;"ASTM A416"), L663, 0), 3)</f>
        <v/>
      </c>
      <c r="P663" s="21">
        <f>ROUND(P662 + IF(AND(E663&gt;18, F663&lt;&gt;"ASTM A416"), L663, 0), 3)</f>
        <v/>
      </c>
      <c r="Q663" s="21">
        <f>ROUND(Q662 + IF(F663="ASTM A416", L663, 0), 3)</f>
        <v/>
      </c>
      <c r="R663" s="11">
        <f>IF(INT(N663/20)&gt;INT(N662/20), "Lần " &amp; INT(N663/20), "")</f>
        <v/>
      </c>
      <c r="S663" s="12">
        <f>IF(INT(O663/20)&gt;INT(O662/20), "Lần " &amp; INT(O663/20), "")</f>
        <v/>
      </c>
      <c r="T663" s="11">
        <f>IF(INT(P663/20)&gt;INT(P662/20), "Lần " &amp; INT(P663/20), "")</f>
        <v/>
      </c>
      <c r="U663" s="25">
        <f>IF(INT(Q663/20)&gt;INT(Q662/20), "Lần " &amp; INT(Q663/20), "")</f>
        <v/>
      </c>
      <c r="V663" s="6" t="inlineStr"/>
      <c r="W663" s="6" t="inlineStr">
        <is>
          <t>ĐẠT TCVN 1651:2018</t>
        </is>
      </c>
    </row>
    <row r="664" ht="19" customHeight="1">
      <c r="A664" s="6" t="n">
        <v>629</v>
      </c>
      <c r="B664" s="7" t="inlineStr">
        <is>
          <t>Trụ T1, T2 (Xà mũ trụ)</t>
        </is>
      </c>
      <c r="C664" s="7" t="inlineStr">
        <is>
          <t>Xà mũ trụ</t>
        </is>
      </c>
      <c r="D664" s="19" t="inlineStr">
        <is>
          <t>X2</t>
        </is>
      </c>
      <c r="E664" s="20" t="n">
        <v>16</v>
      </c>
      <c r="F664" s="6" t="inlineStr">
        <is>
          <t>CB400-V</t>
        </is>
      </c>
      <c r="G664" s="7" t="inlineStr">
        <is>
          <t>S06</t>
        </is>
      </c>
      <c r="H664" s="21" t="n">
        <v>17.296</v>
      </c>
      <c r="I664" s="22" t="n">
        <v>106</v>
      </c>
      <c r="J664" s="23" t="n">
        <v>1.58</v>
      </c>
      <c r="K664" s="9">
        <f>ROUND(H664*I664*J664, 2)</f>
        <v/>
      </c>
      <c r="L664" s="24">
        <f>ROUND(K664/1000, 3)</f>
        <v/>
      </c>
      <c r="M664" s="8" t="n"/>
      <c r="N664" s="21">
        <f>ROUND(N663 + IF(AND(E664&lt;=10, F664&lt;&gt;"ASTM A416"), L664, 0), 3)</f>
        <v/>
      </c>
      <c r="O664" s="21">
        <f>ROUND(O663 + IF(AND(E664&gt;10, E664&lt;=18, F664&lt;&gt;"ASTM A416"), L664, 0), 3)</f>
        <v/>
      </c>
      <c r="P664" s="21">
        <f>ROUND(P663 + IF(AND(E664&gt;18, F664&lt;&gt;"ASTM A416"), L664, 0), 3)</f>
        <v/>
      </c>
      <c r="Q664" s="21">
        <f>ROUND(Q663 + IF(F664="ASTM A416", L664, 0), 3)</f>
        <v/>
      </c>
      <c r="R664" s="11">
        <f>IF(INT(N664/20)&gt;INT(N663/20), "Lần " &amp; INT(N664/20), "")</f>
        <v/>
      </c>
      <c r="S664" s="12">
        <f>IF(INT(O664/20)&gt;INT(O663/20), "Lần " &amp; INT(O664/20), "")</f>
        <v/>
      </c>
      <c r="T664" s="11">
        <f>IF(INT(P664/20)&gt;INT(P663/20), "Lần " &amp; INT(P664/20), "")</f>
        <v/>
      </c>
      <c r="U664" s="25">
        <f>IF(INT(Q664/20)&gt;INT(Q663/20), "Lần " &amp; INT(Q664/20), "")</f>
        <v/>
      </c>
      <c r="V664" s="6" t="inlineStr"/>
      <c r="W664" s="6" t="inlineStr">
        <is>
          <t>ĐẠT TCVN 1651:2018</t>
        </is>
      </c>
    </row>
    <row r="665" ht="19" customHeight="1">
      <c r="A665" s="6" t="n">
        <v>630</v>
      </c>
      <c r="B665" s="7" t="inlineStr">
        <is>
          <t>Trụ T1, T2 (Xà mũ trụ)</t>
        </is>
      </c>
      <c r="C665" s="7" t="inlineStr">
        <is>
          <t>Xà mũ trụ</t>
        </is>
      </c>
      <c r="D665" s="19" t="inlineStr">
        <is>
          <t>x2a</t>
        </is>
      </c>
      <c r="E665" s="20" t="n">
        <v>16</v>
      </c>
      <c r="F665" s="6" t="inlineStr">
        <is>
          <t>CB400-V</t>
        </is>
      </c>
      <c r="G665" s="7" t="inlineStr">
        <is>
          <t>S06</t>
        </is>
      </c>
      <c r="H665" s="21" t="n">
        <v>16.916</v>
      </c>
      <c r="I665" s="22" t="n">
        <v>32</v>
      </c>
      <c r="J665" s="23" t="n">
        <v>1.58</v>
      </c>
      <c r="K665" s="9">
        <f>ROUND(H665*I665*J665, 2)</f>
        <v/>
      </c>
      <c r="L665" s="24">
        <f>ROUND(K665/1000, 3)</f>
        <v/>
      </c>
      <c r="M665" s="8" t="n"/>
      <c r="N665" s="21">
        <f>ROUND(N664 + IF(AND(E665&lt;=10, F665&lt;&gt;"ASTM A416"), L665, 0), 3)</f>
        <v/>
      </c>
      <c r="O665" s="21">
        <f>ROUND(O664 + IF(AND(E665&gt;10, E665&lt;=18, F665&lt;&gt;"ASTM A416"), L665, 0), 3)</f>
        <v/>
      </c>
      <c r="P665" s="21">
        <f>ROUND(P664 + IF(AND(E665&gt;18, F665&lt;&gt;"ASTM A416"), L665, 0), 3)</f>
        <v/>
      </c>
      <c r="Q665" s="21">
        <f>ROUND(Q664 + IF(F665="ASTM A416", L665, 0), 3)</f>
        <v/>
      </c>
      <c r="R665" s="11">
        <f>IF(INT(N665/20)&gt;INT(N664/20), "Lần " &amp; INT(N665/20), "")</f>
        <v/>
      </c>
      <c r="S665" s="12">
        <f>IF(INT(O665/20)&gt;INT(O664/20), "Lần " &amp; INT(O665/20), "")</f>
        <v/>
      </c>
      <c r="T665" s="11">
        <f>IF(INT(P665/20)&gt;INT(P664/20), "Lần " &amp; INT(P665/20), "")</f>
        <v/>
      </c>
      <c r="U665" s="25">
        <f>IF(INT(Q665/20)&gt;INT(Q664/20), "Lần " &amp; INT(Q665/20), "")</f>
        <v/>
      </c>
      <c r="V665" s="6" t="inlineStr"/>
      <c r="W665" s="6" t="inlineStr">
        <is>
          <t>ĐẠT TCVN 1651:2018</t>
        </is>
      </c>
    </row>
    <row r="666" ht="19" customHeight="1">
      <c r="A666" s="6" t="n">
        <v>631</v>
      </c>
      <c r="B666" s="7" t="inlineStr">
        <is>
          <t>Trụ T1, T2 (Xà mũ trụ)</t>
        </is>
      </c>
      <c r="C666" s="7" t="inlineStr">
        <is>
          <t>Xà mũ trụ</t>
        </is>
      </c>
      <c r="D666" s="19" t="inlineStr">
        <is>
          <t>X3</t>
        </is>
      </c>
      <c r="E666" s="20" t="n">
        <v>16</v>
      </c>
      <c r="F666" s="6" t="inlineStr">
        <is>
          <t>CB400-V</t>
        </is>
      </c>
      <c r="G666" s="7" t="inlineStr">
        <is>
          <t>S01</t>
        </is>
      </c>
      <c r="H666" s="21" t="n">
        <v>12.54</v>
      </c>
      <c r="I666" s="22" t="n">
        <v>64</v>
      </c>
      <c r="J666" s="23" t="n">
        <v>1.58</v>
      </c>
      <c r="K666" s="9">
        <f>ROUND(H666*I666*J666, 2)</f>
        <v/>
      </c>
      <c r="L666" s="24">
        <f>ROUND(K666/1000, 3)</f>
        <v/>
      </c>
      <c r="M666" s="8" t="n"/>
      <c r="N666" s="21">
        <f>ROUND(N665 + IF(AND(E666&lt;=10, F666&lt;&gt;"ASTM A416"), L666, 0), 3)</f>
        <v/>
      </c>
      <c r="O666" s="21">
        <f>ROUND(O665 + IF(AND(E666&gt;10, E666&lt;=18, F666&lt;&gt;"ASTM A416"), L666, 0), 3)</f>
        <v/>
      </c>
      <c r="P666" s="21">
        <f>ROUND(P665 + IF(AND(E666&gt;18, F666&lt;&gt;"ASTM A416"), L666, 0), 3)</f>
        <v/>
      </c>
      <c r="Q666" s="21">
        <f>ROUND(Q665 + IF(F666="ASTM A416", L666, 0), 3)</f>
        <v/>
      </c>
      <c r="R666" s="11">
        <f>IF(INT(N666/20)&gt;INT(N665/20), "Lần " &amp; INT(N666/20), "")</f>
        <v/>
      </c>
      <c r="S666" s="12">
        <f>IF(INT(O666/20)&gt;INT(O665/20), "Lần " &amp; INT(O666/20), "")</f>
        <v/>
      </c>
      <c r="T666" s="11">
        <f>IF(INT(P666/20)&gt;INT(P665/20), "Lần " &amp; INT(P666/20), "")</f>
        <v/>
      </c>
      <c r="U666" s="25">
        <f>IF(INT(Q666/20)&gt;INT(Q665/20), "Lần " &amp; INT(Q666/20), "")</f>
        <v/>
      </c>
      <c r="V666" s="6" t="inlineStr"/>
      <c r="W666" s="6" t="inlineStr">
        <is>
          <t>ĐẠT TCVN 1651:2018</t>
        </is>
      </c>
    </row>
    <row r="667" ht="19" customHeight="1">
      <c r="A667" s="6" t="n">
        <v>632</v>
      </c>
      <c r="B667" s="7" t="inlineStr">
        <is>
          <t>Trụ T1, T2 (Xà mũ trụ)</t>
        </is>
      </c>
      <c r="C667" s="7" t="inlineStr">
        <is>
          <t>Xà mũ trụ</t>
        </is>
      </c>
      <c r="D667" s="19" t="inlineStr">
        <is>
          <t>x3a</t>
        </is>
      </c>
      <c r="E667" s="20" t="n">
        <v>16</v>
      </c>
      <c r="F667" s="6" t="inlineStr">
        <is>
          <t>CB400-V</t>
        </is>
      </c>
      <c r="G667" s="7" t="inlineStr">
        <is>
          <t>S01</t>
        </is>
      </c>
      <c r="H667" s="21" t="n">
        <v>12.433</v>
      </c>
      <c r="I667" s="22" t="n">
        <v>12</v>
      </c>
      <c r="J667" s="23" t="n">
        <v>1.58</v>
      </c>
      <c r="K667" s="9">
        <f>ROUND(H667*I667*J667, 2)</f>
        <v/>
      </c>
      <c r="L667" s="24">
        <f>ROUND(K667/1000, 3)</f>
        <v/>
      </c>
      <c r="M667" s="8" t="n"/>
      <c r="N667" s="21">
        <f>ROUND(N666 + IF(AND(E667&lt;=10, F667&lt;&gt;"ASTM A416"), L667, 0), 3)</f>
        <v/>
      </c>
      <c r="O667" s="21">
        <f>ROUND(O666 + IF(AND(E667&gt;10, E667&lt;=18, F667&lt;&gt;"ASTM A416"), L667, 0), 3)</f>
        <v/>
      </c>
      <c r="P667" s="21">
        <f>ROUND(P666 + IF(AND(E667&gt;18, F667&lt;&gt;"ASTM A416"), L667, 0), 3)</f>
        <v/>
      </c>
      <c r="Q667" s="21">
        <f>ROUND(Q666 + IF(F667="ASTM A416", L667, 0), 3)</f>
        <v/>
      </c>
      <c r="R667" s="11">
        <f>IF(INT(N667/20)&gt;INT(N666/20), "Lần " &amp; INT(N667/20), "")</f>
        <v/>
      </c>
      <c r="S667" s="12">
        <f>IF(INT(O667/20)&gt;INT(O666/20), "Lần " &amp; INT(O667/20), "")</f>
        <v/>
      </c>
      <c r="T667" s="11">
        <f>IF(INT(P667/20)&gt;INT(P666/20), "Lần " &amp; INT(P667/20), "")</f>
        <v/>
      </c>
      <c r="U667" s="25">
        <f>IF(INT(Q667/20)&gt;INT(Q666/20), "Lần " &amp; INT(Q667/20), "")</f>
        <v/>
      </c>
      <c r="V667" s="6" t="inlineStr"/>
      <c r="W667" s="6" t="inlineStr">
        <is>
          <t>ĐẠT TCVN 1651:2018</t>
        </is>
      </c>
    </row>
    <row r="668" ht="19" customHeight="1">
      <c r="A668" s="6" t="n">
        <v>633</v>
      </c>
      <c r="B668" s="7" t="inlineStr">
        <is>
          <t>Trụ T1, T2 (Xà mũ trụ)</t>
        </is>
      </c>
      <c r="C668" s="7" t="inlineStr">
        <is>
          <t>Xà mũ trụ</t>
        </is>
      </c>
      <c r="D668" s="19" t="inlineStr">
        <is>
          <t>x4</t>
        </is>
      </c>
      <c r="E668" s="20" t="n">
        <v>28</v>
      </c>
      <c r="F668" s="6" t="inlineStr">
        <is>
          <t>CB400-V</t>
        </is>
      </c>
      <c r="G668" s="7" t="inlineStr">
        <is>
          <t>S41</t>
        </is>
      </c>
      <c r="H668" s="21" t="n">
        <v>13.68</v>
      </c>
      <c r="I668" s="22" t="n">
        <v>150</v>
      </c>
      <c r="J668" s="23" t="n">
        <v>4.83</v>
      </c>
      <c r="K668" s="9">
        <f>ROUND(H668*I668*J668, 2)</f>
        <v/>
      </c>
      <c r="L668" s="24">
        <f>ROUND(K668/1000, 3)</f>
        <v/>
      </c>
      <c r="M668" s="8" t="n"/>
      <c r="N668" s="21">
        <f>ROUND(N667 + IF(AND(E668&lt;=10, F668&lt;&gt;"ASTM A416"), L668, 0), 3)</f>
        <v/>
      </c>
      <c r="O668" s="21">
        <f>ROUND(O667 + IF(AND(E668&gt;10, E668&lt;=18, F668&lt;&gt;"ASTM A416"), L668, 0), 3)</f>
        <v/>
      </c>
      <c r="P668" s="21">
        <f>ROUND(P667 + IF(AND(E668&gt;18, F668&lt;&gt;"ASTM A416"), L668, 0), 3)</f>
        <v/>
      </c>
      <c r="Q668" s="21">
        <f>ROUND(Q667 + IF(F668="ASTM A416", L668, 0), 3)</f>
        <v/>
      </c>
      <c r="R668" s="11">
        <f>IF(INT(N668/20)&gt;INT(N667/20), "Lần " &amp; INT(N668/20), "")</f>
        <v/>
      </c>
      <c r="S668" s="12">
        <f>IF(INT(O668/20)&gt;INT(O667/20), "Lần " &amp; INT(O668/20), "")</f>
        <v/>
      </c>
      <c r="T668" s="11">
        <f>IF(INT(P668/20)&gt;INT(P667/20), "Lần " &amp; INT(P668/20), "")</f>
        <v/>
      </c>
      <c r="U668" s="25">
        <f>IF(INT(Q668/20)&gt;INT(Q667/20), "Lần " &amp; INT(Q668/20), "")</f>
        <v/>
      </c>
      <c r="V668" s="6" t="inlineStr"/>
      <c r="W668" s="6" t="inlineStr">
        <is>
          <t>ĐẠT TCVN 1651:2018</t>
        </is>
      </c>
    </row>
    <row r="669" ht="19" customHeight="1">
      <c r="A669" s="6" t="n">
        <v>634</v>
      </c>
      <c r="B669" s="7" t="inlineStr">
        <is>
          <t>Trụ T1, T2 (Xà mũ trụ)</t>
        </is>
      </c>
      <c r="C669" s="7" t="inlineStr">
        <is>
          <t>Xà mũ trụ</t>
        </is>
      </c>
      <c r="D669" s="19" t="inlineStr">
        <is>
          <t>x4A</t>
        </is>
      </c>
      <c r="E669" s="20" t="n">
        <v>28</v>
      </c>
      <c r="F669" s="6" t="inlineStr">
        <is>
          <t>CB400-V</t>
        </is>
      </c>
      <c r="G669" s="7" t="inlineStr">
        <is>
          <t>S06</t>
        </is>
      </c>
      <c r="H669" s="21" t="n">
        <v>7.428</v>
      </c>
      <c r="I669" s="22" t="n">
        <v>316</v>
      </c>
      <c r="J669" s="23" t="n">
        <v>4.83</v>
      </c>
      <c r="K669" s="9">
        <f>ROUND(H669*I669*J669, 2)</f>
        <v/>
      </c>
      <c r="L669" s="24">
        <f>ROUND(K669/1000, 3)</f>
        <v/>
      </c>
      <c r="M669" s="8" t="n"/>
      <c r="N669" s="21">
        <f>ROUND(N668 + IF(AND(E669&lt;=10, F669&lt;&gt;"ASTM A416"), L669, 0), 3)</f>
        <v/>
      </c>
      <c r="O669" s="21">
        <f>ROUND(O668 + IF(AND(E669&gt;10, E669&lt;=18, F669&lt;&gt;"ASTM A416"), L669, 0), 3)</f>
        <v/>
      </c>
      <c r="P669" s="21">
        <f>ROUND(P668 + IF(AND(E669&gt;18, F669&lt;&gt;"ASTM A416"), L669, 0), 3)</f>
        <v/>
      </c>
      <c r="Q669" s="21">
        <f>ROUND(Q668 + IF(F669="ASTM A416", L669, 0), 3)</f>
        <v/>
      </c>
      <c r="R669" s="11">
        <f>IF(INT(N669/20)&gt;INT(N668/20), "Lần " &amp; INT(N669/20), "")</f>
        <v/>
      </c>
      <c r="S669" s="12">
        <f>IF(INT(O669/20)&gt;INT(O668/20), "Lần " &amp; INT(O669/20), "")</f>
        <v/>
      </c>
      <c r="T669" s="11">
        <f>IF(INT(P669/20)&gt;INT(P668/20), "Lần " &amp; INT(P669/20), "")</f>
        <v/>
      </c>
      <c r="U669" s="25">
        <f>IF(INT(Q669/20)&gt;INT(Q668/20), "Lần " &amp; INT(Q669/20), "")</f>
        <v/>
      </c>
      <c r="V669" s="6" t="inlineStr"/>
      <c r="W669" s="6" t="inlineStr">
        <is>
          <t>ĐẠT TCVN 1651:2018</t>
        </is>
      </c>
    </row>
    <row r="670" ht="19" customHeight="1">
      <c r="A670" s="6" t="n">
        <v>635</v>
      </c>
      <c r="B670" s="7" t="inlineStr">
        <is>
          <t>Trụ T1, T2 (Xà mũ trụ)</t>
        </is>
      </c>
      <c r="C670" s="7" t="inlineStr">
        <is>
          <t>Xà mũ trụ</t>
        </is>
      </c>
      <c r="D670" s="19" t="inlineStr">
        <is>
          <t>x4b</t>
        </is>
      </c>
      <c r="E670" s="20" t="n">
        <v>28</v>
      </c>
      <c r="F670" s="6" t="inlineStr">
        <is>
          <t>CB400-V</t>
        </is>
      </c>
      <c r="G670" s="7" t="inlineStr">
        <is>
          <t>S41</t>
        </is>
      </c>
      <c r="H670" s="21" t="n">
        <v>13.451</v>
      </c>
      <c r="I670" s="22" t="n">
        <v>8</v>
      </c>
      <c r="J670" s="23" t="n">
        <v>4.83</v>
      </c>
      <c r="K670" s="9">
        <f>ROUND(H670*I670*J670, 2)</f>
        <v/>
      </c>
      <c r="L670" s="24">
        <f>ROUND(K670/1000, 3)</f>
        <v/>
      </c>
      <c r="M670" s="8" t="n"/>
      <c r="N670" s="21">
        <f>ROUND(N669 + IF(AND(E670&lt;=10, F670&lt;&gt;"ASTM A416"), L670, 0), 3)</f>
        <v/>
      </c>
      <c r="O670" s="21">
        <f>ROUND(O669 + IF(AND(E670&gt;10, E670&lt;=18, F670&lt;&gt;"ASTM A416"), L670, 0), 3)</f>
        <v/>
      </c>
      <c r="P670" s="21">
        <f>ROUND(P669 + IF(AND(E670&gt;18, F670&lt;&gt;"ASTM A416"), L670, 0), 3)</f>
        <v/>
      </c>
      <c r="Q670" s="21">
        <f>ROUND(Q669 + IF(F670="ASTM A416", L670, 0), 3)</f>
        <v/>
      </c>
      <c r="R670" s="11">
        <f>IF(INT(N670/20)&gt;INT(N669/20), "Lần " &amp; INT(N670/20), "")</f>
        <v/>
      </c>
      <c r="S670" s="12">
        <f>IF(INT(O670/20)&gt;INT(O669/20), "Lần " &amp; INT(O670/20), "")</f>
        <v/>
      </c>
      <c r="T670" s="11">
        <f>IF(INT(P670/20)&gt;INT(P669/20), "Lần " &amp; INT(P670/20), "")</f>
        <v/>
      </c>
      <c r="U670" s="25">
        <f>IF(INT(Q670/20)&gt;INT(Q669/20), "Lần " &amp; INT(Q670/20), "")</f>
        <v/>
      </c>
      <c r="V670" s="6" t="inlineStr"/>
      <c r="W670" s="6" t="inlineStr">
        <is>
          <t>ĐẠT TCVN 1651:2018</t>
        </is>
      </c>
    </row>
    <row r="671" ht="19" customHeight="1">
      <c r="A671" s="6" t="n">
        <v>636</v>
      </c>
      <c r="B671" s="7" t="inlineStr">
        <is>
          <t>Trụ T1, T2 (Xà mũ trụ)</t>
        </is>
      </c>
      <c r="C671" s="7" t="inlineStr">
        <is>
          <t>Xà mũ trụ</t>
        </is>
      </c>
      <c r="D671" s="19" t="inlineStr">
        <is>
          <t>x5</t>
        </is>
      </c>
      <c r="E671" s="20" t="n">
        <v>25</v>
      </c>
      <c r="F671" s="6" t="inlineStr">
        <is>
          <t>CB400-V</t>
        </is>
      </c>
      <c r="G671" s="7" t="inlineStr">
        <is>
          <t>S06</t>
        </is>
      </c>
      <c r="H671" s="21" t="n">
        <v>9.975</v>
      </c>
      <c r="I671" s="22" t="n">
        <v>150</v>
      </c>
      <c r="J671" s="23" t="n">
        <v>3.85</v>
      </c>
      <c r="K671" s="9">
        <f>ROUND(H671*I671*J671, 2)</f>
        <v/>
      </c>
      <c r="L671" s="24">
        <f>ROUND(K671/1000, 3)</f>
        <v/>
      </c>
      <c r="M671" s="8" t="n"/>
      <c r="N671" s="21">
        <f>ROUND(N670 + IF(AND(E671&lt;=10, F671&lt;&gt;"ASTM A416"), L671, 0), 3)</f>
        <v/>
      </c>
      <c r="O671" s="21">
        <f>ROUND(O670 + IF(AND(E671&gt;10, E671&lt;=18, F671&lt;&gt;"ASTM A416"), L671, 0), 3)</f>
        <v/>
      </c>
      <c r="P671" s="21">
        <f>ROUND(P670 + IF(AND(E671&gt;18, F671&lt;&gt;"ASTM A416"), L671, 0), 3)</f>
        <v/>
      </c>
      <c r="Q671" s="21">
        <f>ROUND(Q670 + IF(F671="ASTM A416", L671, 0), 3)</f>
        <v/>
      </c>
      <c r="R671" s="11">
        <f>IF(INT(N671/20)&gt;INT(N670/20), "Lần " &amp; INT(N671/20), "")</f>
        <v/>
      </c>
      <c r="S671" s="12">
        <f>IF(INT(O671/20)&gt;INT(O670/20), "Lần " &amp; INT(O671/20), "")</f>
        <v/>
      </c>
      <c r="T671" s="11">
        <f>IF(INT(P671/20)&gt;INT(P670/20), "Lần " &amp; INT(P671/20), "")</f>
        <v/>
      </c>
      <c r="U671" s="25">
        <f>IF(INT(Q671/20)&gt;INT(Q670/20), "Lần " &amp; INT(Q671/20), "")</f>
        <v/>
      </c>
      <c r="V671" s="6" t="inlineStr"/>
      <c r="W671" s="6" t="inlineStr">
        <is>
          <t>ĐẠT TCVN 1651:2018</t>
        </is>
      </c>
    </row>
    <row r="672" ht="19" customHeight="1">
      <c r="A672" s="6" t="n">
        <v>637</v>
      </c>
      <c r="B672" s="7" t="inlineStr">
        <is>
          <t>Trụ T1, T2 (Xà mũ trụ)</t>
        </is>
      </c>
      <c r="C672" s="7" t="inlineStr">
        <is>
          <t>Xà mũ trụ</t>
        </is>
      </c>
      <c r="D672" s="19" t="inlineStr">
        <is>
          <t>x5a</t>
        </is>
      </c>
      <c r="E672" s="20" t="n">
        <v>25</v>
      </c>
      <c r="F672" s="6" t="inlineStr">
        <is>
          <t>CB400-V</t>
        </is>
      </c>
      <c r="G672" s="7" t="inlineStr">
        <is>
          <t>S06</t>
        </is>
      </c>
      <c r="H672" s="21" t="n">
        <v>9.689</v>
      </c>
      <c r="I672" s="22" t="n">
        <v>8</v>
      </c>
      <c r="J672" s="23" t="n">
        <v>3.85</v>
      </c>
      <c r="K672" s="9">
        <f>ROUND(H672*I672*J672, 2)</f>
        <v/>
      </c>
      <c r="L672" s="24">
        <f>ROUND(K672/1000, 3)</f>
        <v/>
      </c>
      <c r="M672" s="8" t="n"/>
      <c r="N672" s="21">
        <f>ROUND(N671 + IF(AND(E672&lt;=10, F672&lt;&gt;"ASTM A416"), L672, 0), 3)</f>
        <v/>
      </c>
      <c r="O672" s="21">
        <f>ROUND(O671 + IF(AND(E672&gt;10, E672&lt;=18, F672&lt;&gt;"ASTM A416"), L672, 0), 3)</f>
        <v/>
      </c>
      <c r="P672" s="21">
        <f>ROUND(P671 + IF(AND(E672&gt;18, F672&lt;&gt;"ASTM A416"), L672, 0), 3)</f>
        <v/>
      </c>
      <c r="Q672" s="21">
        <f>ROUND(Q671 + IF(F672="ASTM A416", L672, 0), 3)</f>
        <v/>
      </c>
      <c r="R672" s="11">
        <f>IF(INT(N672/20)&gt;INT(N671/20), "Lần " &amp; INT(N672/20), "")</f>
        <v/>
      </c>
      <c r="S672" s="12">
        <f>IF(INT(O672/20)&gt;INT(O671/20), "Lần " &amp; INT(O672/20), "")</f>
        <v/>
      </c>
      <c r="T672" s="11">
        <f>IF(INT(P672/20)&gt;INT(P671/20), "Lần " &amp; INT(P672/20), "")</f>
        <v/>
      </c>
      <c r="U672" s="25">
        <f>IF(INT(Q672/20)&gt;INT(Q671/20), "Lần " &amp; INT(Q672/20), "")</f>
        <v/>
      </c>
      <c r="V672" s="6" t="inlineStr"/>
      <c r="W672" s="6" t="inlineStr">
        <is>
          <t>ĐẠT TCVN 1651:2018</t>
        </is>
      </c>
    </row>
    <row r="673" ht="19" customHeight="1">
      <c r="A673" s="6" t="n">
        <v>638</v>
      </c>
      <c r="B673" s="7" t="inlineStr">
        <is>
          <t>Trụ T1, T2 (Xà mũ trụ)</t>
        </is>
      </c>
      <c r="C673" s="7" t="inlineStr">
        <is>
          <t>Xà mũ trụ</t>
        </is>
      </c>
      <c r="D673" s="19" t="inlineStr">
        <is>
          <t>x6</t>
        </is>
      </c>
      <c r="E673" s="20" t="n">
        <v>20</v>
      </c>
      <c r="F673" s="6" t="inlineStr">
        <is>
          <t>CB400-V</t>
        </is>
      </c>
      <c r="G673" s="7" t="inlineStr">
        <is>
          <t>S51</t>
        </is>
      </c>
      <c r="H673" s="21" t="n">
        <v>6.9</v>
      </c>
      <c r="I673" s="22" t="n">
        <v>790</v>
      </c>
      <c r="J673" s="23" t="n">
        <v>2.47</v>
      </c>
      <c r="K673" s="9">
        <f>ROUND(H673*I673*J673, 2)</f>
        <v/>
      </c>
      <c r="L673" s="24">
        <f>ROUND(K673/1000, 3)</f>
        <v/>
      </c>
      <c r="M673" s="8" t="n"/>
      <c r="N673" s="21">
        <f>ROUND(N672 + IF(AND(E673&lt;=10, F673&lt;&gt;"ASTM A416"), L673, 0), 3)</f>
        <v/>
      </c>
      <c r="O673" s="21">
        <f>ROUND(O672 + IF(AND(E673&gt;10, E673&lt;=18, F673&lt;&gt;"ASTM A416"), L673, 0), 3)</f>
        <v/>
      </c>
      <c r="P673" s="21">
        <f>ROUND(P672 + IF(AND(E673&gt;18, F673&lt;&gt;"ASTM A416"), L673, 0), 3)</f>
        <v/>
      </c>
      <c r="Q673" s="21">
        <f>ROUND(Q672 + IF(F673="ASTM A416", L673, 0), 3)</f>
        <v/>
      </c>
      <c r="R673" s="11">
        <f>IF(INT(N673/20)&gt;INT(N672/20), "Lần " &amp; INT(N673/20), "")</f>
        <v/>
      </c>
      <c r="S673" s="12">
        <f>IF(INT(O673/20)&gt;INT(O672/20), "Lần " &amp; INT(O673/20), "")</f>
        <v/>
      </c>
      <c r="T673" s="11">
        <f>IF(INT(P673/20)&gt;INT(P672/20), "Lần " &amp; INT(P673/20), "")</f>
        <v/>
      </c>
      <c r="U673" s="25">
        <f>IF(INT(Q673/20)&gt;INT(Q672/20), "Lần " &amp; INT(Q673/20), "")</f>
        <v/>
      </c>
      <c r="V673" s="6" t="inlineStr"/>
      <c r="W673" s="6" t="inlineStr">
        <is>
          <t>ĐẠT TCVN 1651:2018</t>
        </is>
      </c>
    </row>
    <row r="674" ht="19" customHeight="1">
      <c r="A674" s="6" t="n">
        <v>639</v>
      </c>
      <c r="B674" s="7" t="inlineStr">
        <is>
          <t>Trụ T1, T2 (Xà mũ trụ)</t>
        </is>
      </c>
      <c r="C674" s="7" t="inlineStr">
        <is>
          <t>Xà mũ trụ</t>
        </is>
      </c>
      <c r="D674" s="19" t="inlineStr">
        <is>
          <t>x6a</t>
        </is>
      </c>
      <c r="E674" s="20" t="n">
        <v>20</v>
      </c>
      <c r="F674" s="6" t="inlineStr">
        <is>
          <t>CB400-V</t>
        </is>
      </c>
      <c r="G674" s="7" t="inlineStr">
        <is>
          <t>S51</t>
        </is>
      </c>
      <c r="H674" s="21" t="n">
        <v>3.2</v>
      </c>
      <c r="I674" s="22" t="n">
        <v>316</v>
      </c>
      <c r="J674" s="23" t="n">
        <v>2.47</v>
      </c>
      <c r="K674" s="9">
        <f>ROUND(H674*I674*J674, 2)</f>
        <v/>
      </c>
      <c r="L674" s="24">
        <f>ROUND(K674/1000, 3)</f>
        <v/>
      </c>
      <c r="M674" s="8" t="n"/>
      <c r="N674" s="21">
        <f>ROUND(N673 + IF(AND(E674&lt;=10, F674&lt;&gt;"ASTM A416"), L674, 0), 3)</f>
        <v/>
      </c>
      <c r="O674" s="21">
        <f>ROUND(O673 + IF(AND(E674&gt;10, E674&lt;=18, F674&lt;&gt;"ASTM A416"), L674, 0), 3)</f>
        <v/>
      </c>
      <c r="P674" s="21">
        <f>ROUND(P673 + IF(AND(E674&gt;18, F674&lt;&gt;"ASTM A416"), L674, 0), 3)</f>
        <v/>
      </c>
      <c r="Q674" s="21">
        <f>ROUND(Q673 + IF(F674="ASTM A416", L674, 0), 3)</f>
        <v/>
      </c>
      <c r="R674" s="11">
        <f>IF(INT(N674/20)&gt;INT(N673/20), "Lần " &amp; INT(N674/20), "")</f>
        <v/>
      </c>
      <c r="S674" s="12">
        <f>IF(INT(O674/20)&gt;INT(O673/20), "Lần " &amp; INT(O674/20), "")</f>
        <v/>
      </c>
      <c r="T674" s="11">
        <f>IF(INT(P674/20)&gt;INT(P673/20), "Lần " &amp; INT(P674/20), "")</f>
        <v/>
      </c>
      <c r="U674" s="25">
        <f>IF(INT(Q674/20)&gt;INT(Q673/20), "Lần " &amp; INT(Q674/20), "")</f>
        <v/>
      </c>
      <c r="V674" s="6" t="inlineStr"/>
      <c r="W674" s="6" t="inlineStr">
        <is>
          <t>ĐẠT TCVN 1651:2018</t>
        </is>
      </c>
    </row>
    <row r="675" ht="19" customHeight="1">
      <c r="A675" s="6" t="n">
        <v>640</v>
      </c>
      <c r="B675" s="7" t="inlineStr">
        <is>
          <t>Trụ T1, T2 (Xà mũ trụ)</t>
        </is>
      </c>
      <c r="C675" s="7" t="inlineStr">
        <is>
          <t>Xà mũ trụ</t>
        </is>
      </c>
      <c r="D675" s="19" t="inlineStr">
        <is>
          <t>x7</t>
        </is>
      </c>
      <c r="E675" s="20" t="n">
        <v>28</v>
      </c>
      <c r="F675" s="6" t="inlineStr">
        <is>
          <t>CB400-V</t>
        </is>
      </c>
      <c r="G675" s="7" t="inlineStr">
        <is>
          <t>S06</t>
        </is>
      </c>
      <c r="H675" s="21" t="n">
        <v>2.748</v>
      </c>
      <c r="I675" s="22" t="n">
        <v>316</v>
      </c>
      <c r="J675" s="23" t="n">
        <v>4.83</v>
      </c>
      <c r="K675" s="9">
        <f>ROUND(H675*I675*J675, 2)</f>
        <v/>
      </c>
      <c r="L675" s="24">
        <f>ROUND(K675/1000, 3)</f>
        <v/>
      </c>
      <c r="M675" s="8" t="n"/>
      <c r="N675" s="21">
        <f>ROUND(N674 + IF(AND(E675&lt;=10, F675&lt;&gt;"ASTM A416"), L675, 0), 3)</f>
        <v/>
      </c>
      <c r="O675" s="21">
        <f>ROUND(O674 + IF(AND(E675&gt;10, E675&lt;=18, F675&lt;&gt;"ASTM A416"), L675, 0), 3)</f>
        <v/>
      </c>
      <c r="P675" s="21">
        <f>ROUND(P674 + IF(AND(E675&gt;18, F675&lt;&gt;"ASTM A416"), L675, 0), 3)</f>
        <v/>
      </c>
      <c r="Q675" s="21">
        <f>ROUND(Q674 + IF(F675="ASTM A416", L675, 0), 3)</f>
        <v/>
      </c>
      <c r="R675" s="11">
        <f>IF(INT(N675/20)&gt;INT(N674/20), "Lần " &amp; INT(N675/20), "")</f>
        <v/>
      </c>
      <c r="S675" s="12">
        <f>IF(INT(O675/20)&gt;INT(O674/20), "Lần " &amp; INT(O675/20), "")</f>
        <v/>
      </c>
      <c r="T675" s="11">
        <f>IF(INT(P675/20)&gt;INT(P674/20), "Lần " &amp; INT(P675/20), "")</f>
        <v/>
      </c>
      <c r="U675" s="25">
        <f>IF(INT(Q675/20)&gt;INT(Q674/20), "Lần " &amp; INT(Q675/20), "")</f>
        <v/>
      </c>
      <c r="V675" s="6" t="inlineStr"/>
      <c r="W675" s="6" t="inlineStr">
        <is>
          <t>ĐẠT TCVN 1651:2018</t>
        </is>
      </c>
    </row>
    <row r="676" ht="19" customHeight="1">
      <c r="A676" s="6" t="n">
        <v>641</v>
      </c>
      <c r="B676" s="7" t="inlineStr">
        <is>
          <t>Trụ T1, T2 (Xà mũ trụ)</t>
        </is>
      </c>
      <c r="C676" s="7" t="inlineStr">
        <is>
          <t>Xà mũ trụ</t>
        </is>
      </c>
      <c r="D676" s="19" t="inlineStr">
        <is>
          <t>x7a</t>
        </is>
      </c>
      <c r="E676" s="20" t="n">
        <v>28</v>
      </c>
      <c r="F676" s="6" t="inlineStr">
        <is>
          <t>CB400-V</t>
        </is>
      </c>
      <c r="G676" s="7" t="inlineStr">
        <is>
          <t>S01</t>
        </is>
      </c>
      <c r="H676" s="21" t="n">
        <v>2.02</v>
      </c>
      <c r="I676" s="22" t="n">
        <v>316</v>
      </c>
      <c r="J676" s="23" t="n">
        <v>4.83</v>
      </c>
      <c r="K676" s="9">
        <f>ROUND(H676*I676*J676, 2)</f>
        <v/>
      </c>
      <c r="L676" s="24">
        <f>ROUND(K676/1000, 3)</f>
        <v/>
      </c>
      <c r="M676" s="8" t="n"/>
      <c r="N676" s="21">
        <f>ROUND(N675 + IF(AND(E676&lt;=10, F676&lt;&gt;"ASTM A416"), L676, 0), 3)</f>
        <v/>
      </c>
      <c r="O676" s="21">
        <f>ROUND(O675 + IF(AND(E676&gt;10, E676&lt;=18, F676&lt;&gt;"ASTM A416"), L676, 0), 3)</f>
        <v/>
      </c>
      <c r="P676" s="21">
        <f>ROUND(P675 + IF(AND(E676&gt;18, F676&lt;&gt;"ASTM A416"), L676, 0), 3)</f>
        <v/>
      </c>
      <c r="Q676" s="21">
        <f>ROUND(Q675 + IF(F676="ASTM A416", L676, 0), 3)</f>
        <v/>
      </c>
      <c r="R676" s="11">
        <f>IF(INT(N676/20)&gt;INT(N675/20), "Lần " &amp; INT(N676/20), "")</f>
        <v/>
      </c>
      <c r="S676" s="12">
        <f>IF(INT(O676/20)&gt;INT(O675/20), "Lần " &amp; INT(O676/20), "")</f>
        <v/>
      </c>
      <c r="T676" s="11">
        <f>IF(INT(P676/20)&gt;INT(P675/20), "Lần " &amp; INT(P676/20), "")</f>
        <v/>
      </c>
      <c r="U676" s="25">
        <f>IF(INT(Q676/20)&gt;INT(Q675/20), "Lần " &amp; INT(Q676/20), "")</f>
        <v/>
      </c>
      <c r="V676" s="6" t="inlineStr"/>
      <c r="W676" s="6" t="inlineStr">
        <is>
          <t>ĐẠT TCVN 1651:2018</t>
        </is>
      </c>
    </row>
    <row r="677" ht="19" customHeight="1">
      <c r="A677" s="6" t="n">
        <v>642</v>
      </c>
      <c r="B677" s="7" t="inlineStr">
        <is>
          <t>Trụ T1, T2 (Xà mũ trụ)</t>
        </is>
      </c>
      <c r="C677" s="7" t="inlineStr">
        <is>
          <t>Xà mũ trụ</t>
        </is>
      </c>
      <c r="D677" s="19" t="inlineStr">
        <is>
          <t>x8a</t>
        </is>
      </c>
      <c r="E677" s="20" t="n">
        <v>25</v>
      </c>
      <c r="F677" s="6" t="inlineStr">
        <is>
          <t>CB400-V</t>
        </is>
      </c>
      <c r="G677" s="7" t="inlineStr">
        <is>
          <t>S06</t>
        </is>
      </c>
      <c r="H677" s="21" t="n">
        <v>13.575</v>
      </c>
      <c r="I677" s="22" t="n">
        <v>28</v>
      </c>
      <c r="J677" s="23" t="n">
        <v>3.85</v>
      </c>
      <c r="K677" s="9">
        <f>ROUND(H677*I677*J677, 2)</f>
        <v/>
      </c>
      <c r="L677" s="24">
        <f>ROUND(K677/1000, 3)</f>
        <v/>
      </c>
      <c r="M677" s="8" t="n"/>
      <c r="N677" s="21">
        <f>ROUND(N676 + IF(AND(E677&lt;=10, F677&lt;&gt;"ASTM A416"), L677, 0), 3)</f>
        <v/>
      </c>
      <c r="O677" s="21">
        <f>ROUND(O676 + IF(AND(E677&gt;10, E677&lt;=18, F677&lt;&gt;"ASTM A416"), L677, 0), 3)</f>
        <v/>
      </c>
      <c r="P677" s="21">
        <f>ROUND(P676 + IF(AND(E677&gt;18, F677&lt;&gt;"ASTM A416"), L677, 0), 3)</f>
        <v/>
      </c>
      <c r="Q677" s="21">
        <f>ROUND(Q676 + IF(F677="ASTM A416", L677, 0), 3)</f>
        <v/>
      </c>
      <c r="R677" s="11">
        <f>IF(INT(N677/20)&gt;INT(N676/20), "Lần " &amp; INT(N677/20), "")</f>
        <v/>
      </c>
      <c r="S677" s="12">
        <f>IF(INT(O677/20)&gt;INT(O676/20), "Lần " &amp; INT(O677/20), "")</f>
        <v/>
      </c>
      <c r="T677" s="11">
        <f>IF(INT(P677/20)&gt;INT(P676/20), "Lần " &amp; INT(P677/20), "")</f>
        <v/>
      </c>
      <c r="U677" s="25">
        <f>IF(INT(Q677/20)&gt;INT(Q676/20), "Lần " &amp; INT(Q677/20), "")</f>
        <v/>
      </c>
      <c r="V677" s="6" t="inlineStr"/>
      <c r="W677" s="6" t="inlineStr">
        <is>
          <t>ĐẠT TCVN 1651:2018</t>
        </is>
      </c>
    </row>
    <row r="678" ht="19" customHeight="1">
      <c r="A678" s="6" t="n">
        <v>643</v>
      </c>
      <c r="B678" s="7" t="inlineStr">
        <is>
          <t>Trụ T1, T2 (Xà mũ trụ)</t>
        </is>
      </c>
      <c r="C678" s="7" t="inlineStr">
        <is>
          <t>Xà mũ trụ</t>
        </is>
      </c>
      <c r="D678" s="19" t="inlineStr">
        <is>
          <t>x8b</t>
        </is>
      </c>
      <c r="E678" s="20" t="n">
        <v>25</v>
      </c>
      <c r="F678" s="6" t="inlineStr">
        <is>
          <t>CB400-V</t>
        </is>
      </c>
      <c r="G678" s="7" t="inlineStr">
        <is>
          <t>S01</t>
        </is>
      </c>
      <c r="H678" s="21" t="n">
        <v>12.9</v>
      </c>
      <c r="I678" s="22" t="n">
        <v>28</v>
      </c>
      <c r="J678" s="23" t="n">
        <v>3.85</v>
      </c>
      <c r="K678" s="9">
        <f>ROUND(H678*I678*J678, 2)</f>
        <v/>
      </c>
      <c r="L678" s="24">
        <f>ROUND(K678/1000, 3)</f>
        <v/>
      </c>
      <c r="M678" s="8" t="n"/>
      <c r="N678" s="21">
        <f>ROUND(N677 + IF(AND(E678&lt;=10, F678&lt;&gt;"ASTM A416"), L678, 0), 3)</f>
        <v/>
      </c>
      <c r="O678" s="21">
        <f>ROUND(O677 + IF(AND(E678&gt;10, E678&lt;=18, F678&lt;&gt;"ASTM A416"), L678, 0), 3)</f>
        <v/>
      </c>
      <c r="P678" s="21">
        <f>ROUND(P677 + IF(AND(E678&gt;18, F678&lt;&gt;"ASTM A416"), L678, 0), 3)</f>
        <v/>
      </c>
      <c r="Q678" s="21">
        <f>ROUND(Q677 + IF(F678="ASTM A416", L678, 0), 3)</f>
        <v/>
      </c>
      <c r="R678" s="11">
        <f>IF(INT(N678/20)&gt;INT(N677/20), "Lần " &amp; INT(N678/20), "")</f>
        <v/>
      </c>
      <c r="S678" s="12">
        <f>IF(INT(O678/20)&gt;INT(O677/20), "Lần " &amp; INT(O678/20), "")</f>
        <v/>
      </c>
      <c r="T678" s="11">
        <f>IF(INT(P678/20)&gt;INT(P677/20), "Lần " &amp; INT(P678/20), "")</f>
        <v/>
      </c>
      <c r="U678" s="25">
        <f>IF(INT(Q678/20)&gt;INT(Q677/20), "Lần " &amp; INT(Q678/20), "")</f>
        <v/>
      </c>
      <c r="V678" s="6" t="inlineStr"/>
      <c r="W678" s="6" t="inlineStr">
        <is>
          <t>ĐẠT TCVN 1651:2018</t>
        </is>
      </c>
    </row>
    <row r="679" ht="19" customHeight="1">
      <c r="A679" s="6" t="n">
        <v>644</v>
      </c>
      <c r="B679" s="7" t="inlineStr">
        <is>
          <t>Trụ T1, T2 (Xà mũ trụ)</t>
        </is>
      </c>
      <c r="C679" s="7" t="inlineStr">
        <is>
          <t>Xà mũ trụ</t>
        </is>
      </c>
      <c r="D679" s="19" t="inlineStr">
        <is>
          <t>x9</t>
        </is>
      </c>
      <c r="E679" s="20" t="n">
        <v>32</v>
      </c>
      <c r="F679" s="6" t="inlineStr">
        <is>
          <t>CB400-V</t>
        </is>
      </c>
      <c r="G679" s="7" t="inlineStr">
        <is>
          <t>S25</t>
        </is>
      </c>
      <c r="H679" s="21" t="n">
        <v>4.687</v>
      </c>
      <c r="I679" s="22" t="n">
        <v>316</v>
      </c>
      <c r="J679" s="23" t="n">
        <v>6.31</v>
      </c>
      <c r="K679" s="9">
        <f>ROUND(H679*I679*J679, 2)</f>
        <v/>
      </c>
      <c r="L679" s="24">
        <f>ROUND(K679/1000, 3)</f>
        <v/>
      </c>
      <c r="M679" s="8" t="n"/>
      <c r="N679" s="21">
        <f>ROUND(N678 + IF(AND(E679&lt;=10, F679&lt;&gt;"ASTM A416"), L679, 0), 3)</f>
        <v/>
      </c>
      <c r="O679" s="21">
        <f>ROUND(O678 + IF(AND(E679&gt;10, E679&lt;=18, F679&lt;&gt;"ASTM A416"), L679, 0), 3)</f>
        <v/>
      </c>
      <c r="P679" s="21">
        <f>ROUND(P678 + IF(AND(E679&gt;18, F679&lt;&gt;"ASTM A416"), L679, 0), 3)</f>
        <v/>
      </c>
      <c r="Q679" s="21">
        <f>ROUND(Q678 + IF(F679="ASTM A416", L679, 0), 3)</f>
        <v/>
      </c>
      <c r="R679" s="11">
        <f>IF(INT(N679/20)&gt;INT(N678/20), "Lần " &amp; INT(N679/20), "")</f>
        <v/>
      </c>
      <c r="S679" s="12">
        <f>IF(INT(O679/20)&gt;INT(O678/20), "Lần " &amp; INT(O679/20), "")</f>
        <v/>
      </c>
      <c r="T679" s="11">
        <f>IF(INT(P679/20)&gt;INT(P678/20), "Lần " &amp; INT(P679/20), "")</f>
        <v/>
      </c>
      <c r="U679" s="25">
        <f>IF(INT(Q679/20)&gt;INT(Q678/20), "Lần " &amp; INT(Q679/20), "")</f>
        <v/>
      </c>
      <c r="V679" s="6" t="inlineStr"/>
      <c r="W679" s="6" t="inlineStr">
        <is>
          <t>ĐẠT TCVN 1651:2018</t>
        </is>
      </c>
    </row>
    <row r="680" ht="19" customHeight="1">
      <c r="A680" s="6" t="n">
        <v>645</v>
      </c>
      <c r="B680" s="7" t="inlineStr">
        <is>
          <t>Trụ T1, T2 (Xà mũ trụ)</t>
        </is>
      </c>
      <c r="C680" s="7" t="inlineStr">
        <is>
          <t>Xà mũ trụ</t>
        </is>
      </c>
      <c r="D680" s="19" t="inlineStr">
        <is>
          <t>x10</t>
        </is>
      </c>
      <c r="E680" s="20" t="n">
        <v>16</v>
      </c>
      <c r="F680" s="6" t="inlineStr">
        <is>
          <t>CB400-V</t>
        </is>
      </c>
      <c r="G680" s="7" t="inlineStr">
        <is>
          <t>S06</t>
        </is>
      </c>
      <c r="H680" s="21" t="n">
        <v>8.932</v>
      </c>
      <c r="I680" s="22" t="n">
        <v>56</v>
      </c>
      <c r="J680" s="23" t="n">
        <v>1.58</v>
      </c>
      <c r="K680" s="9">
        <f>ROUND(H680*I680*J680, 2)</f>
        <v/>
      </c>
      <c r="L680" s="24">
        <f>ROUND(K680/1000, 3)</f>
        <v/>
      </c>
      <c r="M680" s="8" t="n"/>
      <c r="N680" s="21">
        <f>ROUND(N679 + IF(AND(E680&lt;=10, F680&lt;&gt;"ASTM A416"), L680, 0), 3)</f>
        <v/>
      </c>
      <c r="O680" s="21">
        <f>ROUND(O679 + IF(AND(E680&gt;10, E680&lt;=18, F680&lt;&gt;"ASTM A416"), L680, 0), 3)</f>
        <v/>
      </c>
      <c r="P680" s="21">
        <f>ROUND(P679 + IF(AND(E680&gt;18, F680&lt;&gt;"ASTM A416"), L680, 0), 3)</f>
        <v/>
      </c>
      <c r="Q680" s="21">
        <f>ROUND(Q679 + IF(F680="ASTM A416", L680, 0), 3)</f>
        <v/>
      </c>
      <c r="R680" s="11">
        <f>IF(INT(N680/20)&gt;INT(N679/20), "Lần " &amp; INT(N680/20), "")</f>
        <v/>
      </c>
      <c r="S680" s="12">
        <f>IF(INT(O680/20)&gt;INT(O679/20), "Lần " &amp; INT(O680/20), "")</f>
        <v/>
      </c>
      <c r="T680" s="11">
        <f>IF(INT(P680/20)&gt;INT(P679/20), "Lần " &amp; INT(P680/20), "")</f>
        <v/>
      </c>
      <c r="U680" s="25">
        <f>IF(INT(Q680/20)&gt;INT(Q679/20), "Lần " &amp; INT(Q680/20), "")</f>
        <v/>
      </c>
      <c r="V680" s="6" t="inlineStr"/>
      <c r="W680" s="6" t="inlineStr">
        <is>
          <t>ĐẠT TCVN 1651:2018</t>
        </is>
      </c>
    </row>
    <row r="681" ht="19" customHeight="1">
      <c r="A681" s="6" t="n">
        <v>646</v>
      </c>
      <c r="B681" s="7" t="inlineStr">
        <is>
          <t>Trụ T1, T2 (Xà mũ trụ)</t>
        </is>
      </c>
      <c r="C681" s="7" t="inlineStr">
        <is>
          <t>Xà mũ trụ</t>
        </is>
      </c>
      <c r="D681" s="19" t="inlineStr">
        <is>
          <t>x10a</t>
        </is>
      </c>
      <c r="E681" s="20" t="n">
        <v>16</v>
      </c>
      <c r="F681" s="6" t="inlineStr">
        <is>
          <t>CB400-V</t>
        </is>
      </c>
      <c r="G681" s="7" t="inlineStr">
        <is>
          <t>S06</t>
        </is>
      </c>
      <c r="H681" s="21" t="n">
        <v>7.132</v>
      </c>
      <c r="I681" s="22" t="n">
        <v>4</v>
      </c>
      <c r="J681" s="23" t="n">
        <v>1.58</v>
      </c>
      <c r="K681" s="9">
        <f>ROUND(H681*I681*J681, 2)</f>
        <v/>
      </c>
      <c r="L681" s="24">
        <f>ROUND(K681/1000, 3)</f>
        <v/>
      </c>
      <c r="M681" s="8" t="n"/>
      <c r="N681" s="21">
        <f>ROUND(N680 + IF(AND(E681&lt;=10, F681&lt;&gt;"ASTM A416"), L681, 0), 3)</f>
        <v/>
      </c>
      <c r="O681" s="21">
        <f>ROUND(O680 + IF(AND(E681&gt;10, E681&lt;=18, F681&lt;&gt;"ASTM A416"), L681, 0), 3)</f>
        <v/>
      </c>
      <c r="P681" s="21">
        <f>ROUND(P680 + IF(AND(E681&gt;18, F681&lt;&gt;"ASTM A416"), L681, 0), 3)</f>
        <v/>
      </c>
      <c r="Q681" s="21">
        <f>ROUND(Q680 + IF(F681="ASTM A416", L681, 0), 3)</f>
        <v/>
      </c>
      <c r="R681" s="11">
        <f>IF(INT(N681/20)&gt;INT(N680/20), "Lần " &amp; INT(N681/20), "")</f>
        <v/>
      </c>
      <c r="S681" s="12">
        <f>IF(INT(O681/20)&gt;INT(O680/20), "Lần " &amp; INT(O681/20), "")</f>
        <v/>
      </c>
      <c r="T681" s="11">
        <f>IF(INT(P681/20)&gt;INT(P680/20), "Lần " &amp; INT(P681/20), "")</f>
        <v/>
      </c>
      <c r="U681" s="25">
        <f>IF(INT(Q681/20)&gt;INT(Q680/20), "Lần " &amp; INT(Q681/20), "")</f>
        <v/>
      </c>
      <c r="V681" s="6" t="inlineStr"/>
      <c r="W681" s="6" t="inlineStr">
        <is>
          <t>ĐẠT TCVN 1651:2018</t>
        </is>
      </c>
    </row>
    <row r="682" ht="19" customHeight="1">
      <c r="A682" s="6" t="n">
        <v>647</v>
      </c>
      <c r="B682" s="7" t="inlineStr">
        <is>
          <t>Trụ T1, T2 (Xà mũ trụ)</t>
        </is>
      </c>
      <c r="C682" s="7" t="inlineStr">
        <is>
          <t>®¸, v÷a kª gèi</t>
        </is>
      </c>
      <c r="D682" s="19" t="inlineStr">
        <is>
          <t>g1</t>
        </is>
      </c>
      <c r="E682" s="20" t="n">
        <v>16</v>
      </c>
      <c r="F682" s="6" t="inlineStr">
        <is>
          <t>CB400-V</t>
        </is>
      </c>
      <c r="G682" s="7" t="inlineStr">
        <is>
          <t>S06</t>
        </is>
      </c>
      <c r="H682" s="21" t="n">
        <v>1.512</v>
      </c>
      <c r="I682" s="22" t="n">
        <v>120</v>
      </c>
      <c r="J682" s="23" t="n">
        <v>1.58</v>
      </c>
      <c r="K682" s="9">
        <f>ROUND(H682*I682*J682, 2)</f>
        <v/>
      </c>
      <c r="L682" s="24">
        <f>ROUND(K682/1000, 3)</f>
        <v/>
      </c>
      <c r="M682" s="8" t="n"/>
      <c r="N682" s="21">
        <f>ROUND(N681 + IF(AND(E682&lt;=10, F682&lt;&gt;"ASTM A416"), L682, 0), 3)</f>
        <v/>
      </c>
      <c r="O682" s="21">
        <f>ROUND(O681 + IF(AND(E682&gt;10, E682&lt;=18, F682&lt;&gt;"ASTM A416"), L682, 0), 3)</f>
        <v/>
      </c>
      <c r="P682" s="21">
        <f>ROUND(P681 + IF(AND(E682&gt;18, F682&lt;&gt;"ASTM A416"), L682, 0), 3)</f>
        <v/>
      </c>
      <c r="Q682" s="21">
        <f>ROUND(Q681 + IF(F682="ASTM A416", L682, 0), 3)</f>
        <v/>
      </c>
      <c r="R682" s="11">
        <f>IF(INT(N682/20)&gt;INT(N681/20), "Lần " &amp; INT(N682/20), "")</f>
        <v/>
      </c>
      <c r="S682" s="12">
        <f>IF(INT(O682/20)&gt;INT(O681/20), "Lần " &amp; INT(O682/20), "")</f>
        <v/>
      </c>
      <c r="T682" s="11">
        <f>IF(INT(P682/20)&gt;INT(P681/20), "Lần " &amp; INT(P682/20), "")</f>
        <v/>
      </c>
      <c r="U682" s="25">
        <f>IF(INT(Q682/20)&gt;INT(Q681/20), "Lần " &amp; INT(Q682/20), "")</f>
        <v/>
      </c>
      <c r="V682" s="6" t="inlineStr"/>
      <c r="W682" s="6" t="inlineStr">
        <is>
          <t>ĐẠT TCVN 1651:2018</t>
        </is>
      </c>
    </row>
    <row r="683" ht="19" customHeight="1">
      <c r="A683" s="6" t="n">
        <v>648</v>
      </c>
      <c r="B683" s="7" t="inlineStr">
        <is>
          <t>Trụ T1, T2 (Xà mũ trụ)</t>
        </is>
      </c>
      <c r="C683" s="7" t="inlineStr">
        <is>
          <t>Xà mũ trụ</t>
        </is>
      </c>
      <c r="D683" s="19" t="inlineStr">
        <is>
          <t>g2</t>
        </is>
      </c>
      <c r="E683" s="20" t="n">
        <v>16</v>
      </c>
      <c r="F683" s="6" t="inlineStr">
        <is>
          <t>CB400-V</t>
        </is>
      </c>
      <c r="G683" s="7" t="inlineStr">
        <is>
          <t>S06</t>
        </is>
      </c>
      <c r="H683" s="21" t="n">
        <v>1.312</v>
      </c>
      <c r="I683" s="22" t="n">
        <v>160</v>
      </c>
      <c r="J683" s="23" t="n">
        <v>1.58</v>
      </c>
      <c r="K683" s="9">
        <f>ROUND(H683*I683*J683, 2)</f>
        <v/>
      </c>
      <c r="L683" s="24">
        <f>ROUND(K683/1000, 3)</f>
        <v/>
      </c>
      <c r="M683" s="8" t="n"/>
      <c r="N683" s="21">
        <f>ROUND(N682 + IF(AND(E683&lt;=10, F683&lt;&gt;"ASTM A416"), L683, 0), 3)</f>
        <v/>
      </c>
      <c r="O683" s="21">
        <f>ROUND(O682 + IF(AND(E683&gt;10, E683&lt;=18, F683&lt;&gt;"ASTM A416"), L683, 0), 3)</f>
        <v/>
      </c>
      <c r="P683" s="21">
        <f>ROUND(P682 + IF(AND(E683&gt;18, F683&lt;&gt;"ASTM A416"), L683, 0), 3)</f>
        <v/>
      </c>
      <c r="Q683" s="21">
        <f>ROUND(Q682 + IF(F683="ASTM A416", L683, 0), 3)</f>
        <v/>
      </c>
      <c r="R683" s="11">
        <f>IF(INT(N683/20)&gt;INT(N682/20), "Lần " &amp; INT(N683/20), "")</f>
        <v/>
      </c>
      <c r="S683" s="12">
        <f>IF(INT(O683/20)&gt;INT(O682/20), "Lần " &amp; INT(O683/20), "")</f>
        <v/>
      </c>
      <c r="T683" s="11">
        <f>IF(INT(P683/20)&gt;INT(P682/20), "Lần " &amp; INT(P683/20), "")</f>
        <v/>
      </c>
      <c r="U683" s="25">
        <f>IF(INT(Q683/20)&gt;INT(Q682/20), "Lần " &amp; INT(Q683/20), "")</f>
        <v/>
      </c>
      <c r="V683" s="6" t="inlineStr"/>
      <c r="W683" s="6" t="inlineStr">
        <is>
          <t>ĐẠT TCVN 1651:2018</t>
        </is>
      </c>
    </row>
    <row r="684" ht="19" customHeight="1">
      <c r="A684" s="6" t="n">
        <v>649</v>
      </c>
      <c r="B684" s="7" t="inlineStr">
        <is>
          <t>Trụ T1, T2 (Xà mũ trụ)</t>
        </is>
      </c>
      <c r="C684" s="7" t="inlineStr">
        <is>
          <t>Xà mũ trụ</t>
        </is>
      </c>
      <c r="D684" s="19" t="inlineStr">
        <is>
          <t>g3</t>
        </is>
      </c>
      <c r="E684" s="20" t="n">
        <v>16</v>
      </c>
      <c r="F684" s="6" t="inlineStr">
        <is>
          <t>CB400-V</t>
        </is>
      </c>
      <c r="G684" s="7" t="inlineStr">
        <is>
          <t>S51</t>
        </is>
      </c>
      <c r="H684" s="21" t="n">
        <v>2.856</v>
      </c>
      <c r="I684" s="22" t="n">
        <v>80</v>
      </c>
      <c r="J684" s="23" t="n">
        <v>1.58</v>
      </c>
      <c r="K684" s="9">
        <f>ROUND(H684*I684*J684, 2)</f>
        <v/>
      </c>
      <c r="L684" s="24">
        <f>ROUND(K684/1000, 3)</f>
        <v/>
      </c>
      <c r="M684" s="8" t="n"/>
      <c r="N684" s="21">
        <f>ROUND(N683 + IF(AND(E684&lt;=10, F684&lt;&gt;"ASTM A416"), L684, 0), 3)</f>
        <v/>
      </c>
      <c r="O684" s="21">
        <f>ROUND(O683 + IF(AND(E684&gt;10, E684&lt;=18, F684&lt;&gt;"ASTM A416"), L684, 0), 3)</f>
        <v/>
      </c>
      <c r="P684" s="21">
        <f>ROUND(P683 + IF(AND(E684&gt;18, F684&lt;&gt;"ASTM A416"), L684, 0), 3)</f>
        <v/>
      </c>
      <c r="Q684" s="21">
        <f>ROUND(Q683 + IF(F684="ASTM A416", L684, 0), 3)</f>
        <v/>
      </c>
      <c r="R684" s="11">
        <f>IF(INT(N684/20)&gt;INT(N683/20), "Lần " &amp; INT(N684/20), "")</f>
        <v/>
      </c>
      <c r="S684" s="12">
        <f>IF(INT(O684/20)&gt;INT(O683/20), "Lần " &amp; INT(O684/20), "")</f>
        <v/>
      </c>
      <c r="T684" s="11">
        <f>IF(INT(P684/20)&gt;INT(P683/20), "Lần " &amp; INT(P684/20), "")</f>
        <v/>
      </c>
      <c r="U684" s="25">
        <f>IF(INT(Q684/20)&gt;INT(Q683/20), "Lần " &amp; INT(Q684/20), "")</f>
        <v/>
      </c>
      <c r="V684" s="6" t="inlineStr"/>
      <c r="W684" s="6" t="inlineStr">
        <is>
          <t>ĐẠT TCVN 1651:2018</t>
        </is>
      </c>
    </row>
    <row r="685" ht="19" customHeight="1">
      <c r="A685" s="6" t="n">
        <v>650</v>
      </c>
      <c r="B685" s="7" t="inlineStr">
        <is>
          <t>Trụ T1, T2 (Xà mũ trụ)</t>
        </is>
      </c>
      <c r="C685" s="7" t="inlineStr">
        <is>
          <t>Xà mũ trụ</t>
        </is>
      </c>
      <c r="D685" s="19" t="inlineStr">
        <is>
          <t>g4</t>
        </is>
      </c>
      <c r="E685" s="20" t="n">
        <v>8</v>
      </c>
      <c r="F685" s="6" t="inlineStr">
        <is>
          <t>CB240-T</t>
        </is>
      </c>
      <c r="G685" s="7" t="inlineStr">
        <is>
          <t>S01</t>
        </is>
      </c>
      <c r="H685" s="21" t="n">
        <v>0.49</v>
      </c>
      <c r="I685" s="22" t="n">
        <v>280</v>
      </c>
      <c r="J685" s="23" t="n">
        <v>0.395</v>
      </c>
      <c r="K685" s="9">
        <f>ROUND(H685*I685*J685, 2)</f>
        <v/>
      </c>
      <c r="L685" s="24">
        <f>ROUND(K685/1000, 3)</f>
        <v/>
      </c>
      <c r="M685" s="8" t="n"/>
      <c r="N685" s="21">
        <f>ROUND(N684 + IF(AND(E685&lt;=10, F685&lt;&gt;"ASTM A416"), L685, 0), 3)</f>
        <v/>
      </c>
      <c r="O685" s="21">
        <f>ROUND(O684 + IF(AND(E685&gt;10, E685&lt;=18, F685&lt;&gt;"ASTM A416"), L685, 0), 3)</f>
        <v/>
      </c>
      <c r="P685" s="21">
        <f>ROUND(P684 + IF(AND(E685&gt;18, F685&lt;&gt;"ASTM A416"), L685, 0), 3)</f>
        <v/>
      </c>
      <c r="Q685" s="21">
        <f>ROUND(Q684 + IF(F685="ASTM A416", L685, 0), 3)</f>
        <v/>
      </c>
      <c r="R685" s="11">
        <f>IF(INT(N685/20)&gt;INT(N684/20), "Lần " &amp; INT(N685/20), "")</f>
        <v/>
      </c>
      <c r="S685" s="12">
        <f>IF(INT(O685/20)&gt;INT(O684/20), "Lần " &amp; INT(O685/20), "")</f>
        <v/>
      </c>
      <c r="T685" s="11">
        <f>IF(INT(P685/20)&gt;INT(P684/20), "Lần " &amp; INT(P685/20), "")</f>
        <v/>
      </c>
      <c r="U685" s="25">
        <f>IF(INT(Q685/20)&gt;INT(Q684/20), "Lần " &amp; INT(Q685/20), "")</f>
        <v/>
      </c>
      <c r="V685" s="6" t="inlineStr"/>
      <c r="W685" s="6" t="inlineStr">
        <is>
          <t>ĐẠT TCVN 1651:2018</t>
        </is>
      </c>
    </row>
    <row r="686" ht="19" customHeight="1">
      <c r="A686" s="6" t="n">
        <v>651</v>
      </c>
      <c r="B686" s="7" t="inlineStr">
        <is>
          <t>Trụ T1, T2 (Xà mũ trụ)</t>
        </is>
      </c>
      <c r="C686" s="7" t="inlineStr">
        <is>
          <t>Xà mũ trụ</t>
        </is>
      </c>
      <c r="D686" s="19" t="inlineStr">
        <is>
          <t>g5</t>
        </is>
      </c>
      <c r="E686" s="20" t="n">
        <v>8</v>
      </c>
      <c r="F686" s="6" t="inlineStr">
        <is>
          <t>CB240-T</t>
        </is>
      </c>
      <c r="G686" s="7" t="inlineStr">
        <is>
          <t>S01</t>
        </is>
      </c>
      <c r="H686" s="21" t="n">
        <v>0.6899999999999999</v>
      </c>
      <c r="I686" s="22" t="n">
        <v>200</v>
      </c>
      <c r="J686" s="23" t="n">
        <v>0.395</v>
      </c>
      <c r="K686" s="9">
        <f>ROUND(H686*I686*J686, 2)</f>
        <v/>
      </c>
      <c r="L686" s="24">
        <f>ROUND(K686/1000, 3)</f>
        <v/>
      </c>
      <c r="M686" s="8" t="n"/>
      <c r="N686" s="21">
        <f>ROUND(N685 + IF(AND(E686&lt;=10, F686&lt;&gt;"ASTM A416"), L686, 0), 3)</f>
        <v/>
      </c>
      <c r="O686" s="21">
        <f>ROUND(O685 + IF(AND(E686&gt;10, E686&lt;=18, F686&lt;&gt;"ASTM A416"), L686, 0), 3)</f>
        <v/>
      </c>
      <c r="P686" s="21">
        <f>ROUND(P685 + IF(AND(E686&gt;18, F686&lt;&gt;"ASTM A416"), L686, 0), 3)</f>
        <v/>
      </c>
      <c r="Q686" s="21">
        <f>ROUND(Q685 + IF(F686="ASTM A416", L686, 0), 3)</f>
        <v/>
      </c>
      <c r="R686" s="11">
        <f>IF(INT(N686/20)&gt;INT(N685/20), "Lần " &amp; INT(N686/20), "")</f>
        <v/>
      </c>
      <c r="S686" s="12">
        <f>IF(INT(O686/20)&gt;INT(O685/20), "Lần " &amp; INT(O686/20), "")</f>
        <v/>
      </c>
      <c r="T686" s="11">
        <f>IF(INT(P686/20)&gt;INT(P685/20), "Lần " &amp; INT(P686/20), "")</f>
        <v/>
      </c>
      <c r="U686" s="25">
        <f>IF(INT(Q686/20)&gt;INT(Q685/20), "Lần " &amp; INT(Q686/20), "")</f>
        <v/>
      </c>
      <c r="V686" s="6" t="inlineStr"/>
      <c r="W686" s="6" t="inlineStr">
        <is>
          <t>ĐẠT TCVN 1651:2018</t>
        </is>
      </c>
    </row>
    <row r="687" ht="19" customHeight="1">
      <c r="A687" s="6" t="n">
        <v>652</v>
      </c>
      <c r="B687" s="7" t="inlineStr">
        <is>
          <t>Trụ T1, T2 (Xà mũ trụ)</t>
        </is>
      </c>
      <c r="C687" s="7" t="inlineStr">
        <is>
          <t>ô chèng chuyÓn vÞ</t>
        </is>
      </c>
      <c r="D687" s="19" t="inlineStr">
        <is>
          <t>U1</t>
        </is>
      </c>
      <c r="E687" s="20" t="n">
        <v>16</v>
      </c>
      <c r="F687" s="6" t="inlineStr">
        <is>
          <t>CB400-V</t>
        </is>
      </c>
      <c r="G687" s="7" t="inlineStr">
        <is>
          <t>S06</t>
        </is>
      </c>
      <c r="H687" s="21" t="n">
        <v>3.098</v>
      </c>
      <c r="I687" s="22" t="n">
        <v>56</v>
      </c>
      <c r="J687" s="23" t="n">
        <v>1.58</v>
      </c>
      <c r="K687" s="9">
        <f>ROUND(H687*I687*J687, 2)</f>
        <v/>
      </c>
      <c r="L687" s="24">
        <f>ROUND(K687/1000, 3)</f>
        <v/>
      </c>
      <c r="M687" s="8" t="n"/>
      <c r="N687" s="21">
        <f>ROUND(N686 + IF(AND(E687&lt;=10, F687&lt;&gt;"ASTM A416"), L687, 0), 3)</f>
        <v/>
      </c>
      <c r="O687" s="21">
        <f>ROUND(O686 + IF(AND(E687&gt;10, E687&lt;=18, F687&lt;&gt;"ASTM A416"), L687, 0), 3)</f>
        <v/>
      </c>
      <c r="P687" s="21">
        <f>ROUND(P686 + IF(AND(E687&gt;18, F687&lt;&gt;"ASTM A416"), L687, 0), 3)</f>
        <v/>
      </c>
      <c r="Q687" s="21">
        <f>ROUND(Q686 + IF(F687="ASTM A416", L687, 0), 3)</f>
        <v/>
      </c>
      <c r="R687" s="11">
        <f>IF(INT(N687/20)&gt;INT(N686/20), "Lần " &amp; INT(N687/20), "")</f>
        <v/>
      </c>
      <c r="S687" s="12">
        <f>IF(INT(O687/20)&gt;INT(O686/20), "Lần " &amp; INT(O687/20), "")</f>
        <v/>
      </c>
      <c r="T687" s="11">
        <f>IF(INT(P687/20)&gt;INT(P686/20), "Lần " &amp; INT(P687/20), "")</f>
        <v/>
      </c>
      <c r="U687" s="25">
        <f>IF(INT(Q687/20)&gt;INT(Q686/20), "Lần " &amp; INT(Q687/20), "")</f>
        <v/>
      </c>
      <c r="V687" s="6" t="inlineStr"/>
      <c r="W687" s="6" t="inlineStr">
        <is>
          <t>ĐẠT TCVN 1651:2018</t>
        </is>
      </c>
    </row>
    <row r="688" ht="19" customHeight="1">
      <c r="A688" s="6" t="n">
        <v>653</v>
      </c>
      <c r="B688" s="7" t="inlineStr">
        <is>
          <t>Trụ T1, T2 (Xà mũ trụ)</t>
        </is>
      </c>
      <c r="C688" s="7" t="inlineStr">
        <is>
          <t>Xà mũ trụ</t>
        </is>
      </c>
      <c r="D688" s="19" t="inlineStr">
        <is>
          <t>U2</t>
        </is>
      </c>
      <c r="E688" s="20" t="n">
        <v>16</v>
      </c>
      <c r="F688" s="6" t="inlineStr">
        <is>
          <t>CB400-V</t>
        </is>
      </c>
      <c r="G688" s="7" t="inlineStr">
        <is>
          <t>S06</t>
        </is>
      </c>
      <c r="H688" s="21" t="n">
        <v>2.798</v>
      </c>
      <c r="I688" s="22" t="n">
        <v>80</v>
      </c>
      <c r="J688" s="23" t="n">
        <v>1.58</v>
      </c>
      <c r="K688" s="9">
        <f>ROUND(H688*I688*J688, 2)</f>
        <v/>
      </c>
      <c r="L688" s="24">
        <f>ROUND(K688/1000, 3)</f>
        <v/>
      </c>
      <c r="M688" s="8" t="n"/>
      <c r="N688" s="21">
        <f>ROUND(N687 + IF(AND(E688&lt;=10, F688&lt;&gt;"ASTM A416"), L688, 0), 3)</f>
        <v/>
      </c>
      <c r="O688" s="21">
        <f>ROUND(O687 + IF(AND(E688&gt;10, E688&lt;=18, F688&lt;&gt;"ASTM A416"), L688, 0), 3)</f>
        <v/>
      </c>
      <c r="P688" s="21">
        <f>ROUND(P687 + IF(AND(E688&gt;18, F688&lt;&gt;"ASTM A416"), L688, 0), 3)</f>
        <v/>
      </c>
      <c r="Q688" s="21">
        <f>ROUND(Q687 + IF(F688="ASTM A416", L688, 0), 3)</f>
        <v/>
      </c>
      <c r="R688" s="11">
        <f>IF(INT(N688/20)&gt;INT(N687/20), "Lần " &amp; INT(N688/20), "")</f>
        <v/>
      </c>
      <c r="S688" s="12">
        <f>IF(INT(O688/20)&gt;INT(O687/20), "Lần " &amp; INT(O688/20), "")</f>
        <v/>
      </c>
      <c r="T688" s="11">
        <f>IF(INT(P688/20)&gt;INT(P687/20), "Lần " &amp; INT(P688/20), "")</f>
        <v/>
      </c>
      <c r="U688" s="25">
        <f>IF(INT(Q688/20)&gt;INT(Q687/20), "Lần " &amp; INT(Q688/20), "")</f>
        <v/>
      </c>
      <c r="V688" s="6" t="inlineStr"/>
      <c r="W688" s="6" t="inlineStr">
        <is>
          <t>ĐẠT TCVN 1651:2018</t>
        </is>
      </c>
    </row>
    <row r="689" ht="19" customHeight="1">
      <c r="A689" s="6" t="n">
        <v>654</v>
      </c>
      <c r="B689" s="7" t="inlineStr">
        <is>
          <t>Trụ T1, T2 (Xà mũ trụ)</t>
        </is>
      </c>
      <c r="C689" s="7" t="inlineStr">
        <is>
          <t>Xà mũ trụ</t>
        </is>
      </c>
      <c r="D689" s="19" t="inlineStr">
        <is>
          <t>U3</t>
        </is>
      </c>
      <c r="E689" s="20" t="n">
        <v>16</v>
      </c>
      <c r="F689" s="6" t="inlineStr">
        <is>
          <t>CB400-V</t>
        </is>
      </c>
      <c r="G689" s="7" t="inlineStr">
        <is>
          <t>S51</t>
        </is>
      </c>
      <c r="H689" s="21" t="n">
        <v>3.256</v>
      </c>
      <c r="I689" s="22" t="n">
        <v>56</v>
      </c>
      <c r="J689" s="23" t="n">
        <v>1.58</v>
      </c>
      <c r="K689" s="9">
        <f>ROUND(H689*I689*J689, 2)</f>
        <v/>
      </c>
      <c r="L689" s="24">
        <f>ROUND(K689/1000, 3)</f>
        <v/>
      </c>
      <c r="M689" s="8" t="n"/>
      <c r="N689" s="21">
        <f>ROUND(N688 + IF(AND(E689&lt;=10, F689&lt;&gt;"ASTM A416"), L689, 0), 3)</f>
        <v/>
      </c>
      <c r="O689" s="21">
        <f>ROUND(O688 + IF(AND(E689&gt;10, E689&lt;=18, F689&lt;&gt;"ASTM A416"), L689, 0), 3)</f>
        <v/>
      </c>
      <c r="P689" s="21">
        <f>ROUND(P688 + IF(AND(E689&gt;18, F689&lt;&gt;"ASTM A416"), L689, 0), 3)</f>
        <v/>
      </c>
      <c r="Q689" s="21">
        <f>ROUND(Q688 + IF(F689="ASTM A416", L689, 0), 3)</f>
        <v/>
      </c>
      <c r="R689" s="11">
        <f>IF(INT(N689/20)&gt;INT(N688/20), "Lần " &amp; INT(N689/20), "")</f>
        <v/>
      </c>
      <c r="S689" s="12">
        <f>IF(INT(O689/20)&gt;INT(O688/20), "Lần " &amp; INT(O689/20), "")</f>
        <v/>
      </c>
      <c r="T689" s="11">
        <f>IF(INT(P689/20)&gt;INT(P688/20), "Lần " &amp; INT(P689/20), "")</f>
        <v/>
      </c>
      <c r="U689" s="25">
        <f>IF(INT(Q689/20)&gt;INT(Q688/20), "Lần " &amp; INT(Q689/20), "")</f>
        <v/>
      </c>
      <c r="V689" s="6" t="inlineStr"/>
      <c r="W689" s="6" t="inlineStr">
        <is>
          <t>ĐẠT TCVN 1651:2018</t>
        </is>
      </c>
    </row>
    <row r="690" ht="19" customHeight="1">
      <c r="A690" s="6" t="n">
        <v>655</v>
      </c>
      <c r="B690" s="7" t="inlineStr">
        <is>
          <t>Trụ T1, T2 (Xà mũ trụ)</t>
        </is>
      </c>
      <c r="C690" s="7" t="inlineStr">
        <is>
          <t>Xà mũ trụ</t>
        </is>
      </c>
      <c r="D690" s="19" t="inlineStr">
        <is>
          <t>U4</t>
        </is>
      </c>
      <c r="E690" s="20" t="n">
        <v>8</v>
      </c>
      <c r="F690" s="6" t="inlineStr">
        <is>
          <t>CB240-T</t>
        </is>
      </c>
      <c r="G690" s="7" t="inlineStr">
        <is>
          <t>S32</t>
        </is>
      </c>
      <c r="H690" s="21" t="n">
        <v>1.837</v>
      </c>
      <c r="I690" s="22" t="n">
        <v>24</v>
      </c>
      <c r="J690" s="23" t="n">
        <v>0.395</v>
      </c>
      <c r="K690" s="9">
        <f>ROUND(H690*I690*J690, 2)</f>
        <v/>
      </c>
      <c r="L690" s="24">
        <f>ROUND(K690/1000, 3)</f>
        <v/>
      </c>
      <c r="M690" s="8" t="n"/>
      <c r="N690" s="21">
        <f>ROUND(N689 + IF(AND(E690&lt;=10, F690&lt;&gt;"ASTM A416"), L690, 0), 3)</f>
        <v/>
      </c>
      <c r="O690" s="21">
        <f>ROUND(O689 + IF(AND(E690&gt;10, E690&lt;=18, F690&lt;&gt;"ASTM A416"), L690, 0), 3)</f>
        <v/>
      </c>
      <c r="P690" s="21">
        <f>ROUND(P689 + IF(AND(E690&gt;18, F690&lt;&gt;"ASTM A416"), L690, 0), 3)</f>
        <v/>
      </c>
      <c r="Q690" s="21">
        <f>ROUND(Q689 + IF(F690="ASTM A416", L690, 0), 3)</f>
        <v/>
      </c>
      <c r="R690" s="11">
        <f>IF(INT(N690/20)&gt;INT(N689/20), "Lần " &amp; INT(N690/20), "")</f>
        <v/>
      </c>
      <c r="S690" s="12">
        <f>IF(INT(O690/20)&gt;INT(O689/20), "Lần " &amp; INT(O690/20), "")</f>
        <v/>
      </c>
      <c r="T690" s="11">
        <f>IF(INT(P690/20)&gt;INT(P689/20), "Lần " &amp; INT(P690/20), "")</f>
        <v/>
      </c>
      <c r="U690" s="25">
        <f>IF(INT(Q690/20)&gt;INT(Q689/20), "Lần " &amp; INT(Q690/20), "")</f>
        <v/>
      </c>
      <c r="V690" s="6" t="inlineStr"/>
      <c r="W690" s="6" t="inlineStr">
        <is>
          <t>ĐẠT TCVN 1651:2018</t>
        </is>
      </c>
    </row>
    <row r="691" ht="23" customHeight="1">
      <c r="A691" s="17" t="inlineStr">
        <is>
          <t>03. KẾT CẤU PHẦN TRÊN (SUPERSTRUCTURE)</t>
        </is>
      </c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</row>
    <row r="692" ht="19" customHeight="1">
      <c r="A692" s="6" t="n">
        <v>656</v>
      </c>
      <c r="B692" s="7" t="inlineStr">
        <is>
          <t>Dầm chủ Super-T (15 phiến L=38.2m)</t>
        </is>
      </c>
      <c r="C692" s="7" t="inlineStr">
        <is>
          <t>Sườn dầm / Cánh dầm</t>
        </is>
      </c>
      <c r="D692" s="19" t="inlineStr">
        <is>
          <t>G1a</t>
        </is>
      </c>
      <c r="E692" s="20" t="n">
        <v>16</v>
      </c>
      <c r="F692" s="6" t="inlineStr">
        <is>
          <t>CB400-V</t>
        </is>
      </c>
      <c r="G692" s="7" t="inlineStr">
        <is>
          <t>S06</t>
        </is>
      </c>
      <c r="H692" s="21" t="n">
        <v>5.056</v>
      </c>
      <c r="I692" s="22" t="n">
        <v>2160</v>
      </c>
      <c r="J692" s="23" t="n">
        <v>1.58</v>
      </c>
      <c r="K692" s="9">
        <f>ROUND(H692*I692*J692, 2)</f>
        <v/>
      </c>
      <c r="L692" s="24">
        <f>ROUND(K692/1000, 3)</f>
        <v/>
      </c>
      <c r="M692" s="8" t="n"/>
      <c r="N692" s="21">
        <f>ROUND(N690 + IF(AND(E692&lt;=10, F692&lt;&gt;"ASTM A416"), L692, 0), 3)</f>
        <v/>
      </c>
      <c r="O692" s="21">
        <f>ROUND(O690 + IF(AND(E692&gt;10, E692&lt;=18, F692&lt;&gt;"ASTM A416"), L692, 0), 3)</f>
        <v/>
      </c>
      <c r="P692" s="21">
        <f>ROUND(P690 + IF(AND(E692&gt;18, F692&lt;&gt;"ASTM A416"), L692, 0), 3)</f>
        <v/>
      </c>
      <c r="Q692" s="21">
        <f>ROUND(Q690 + IF(F692="ASTM A416", L692, 0), 3)</f>
        <v/>
      </c>
      <c r="R692" s="11">
        <f>IF(INT(N692/20)&gt;INT(N690/20), "Lần " &amp; INT(N692/20), "")</f>
        <v/>
      </c>
      <c r="S692" s="12">
        <f>IF(INT(O692/20)&gt;INT(O690/20), "Lần " &amp; INT(O692/20), "")</f>
        <v/>
      </c>
      <c r="T692" s="11">
        <f>IF(INT(P692/20)&gt;INT(P690/20), "Lần " &amp; INT(P692/20), "")</f>
        <v/>
      </c>
      <c r="U692" s="25">
        <f>IF(INT(Q692/20)&gt;INT(Q690/20), "Lần " &amp; INT(Q692/20), "")</f>
        <v/>
      </c>
      <c r="V692" s="6" t="inlineStr"/>
      <c r="W692" s="6" t="inlineStr">
        <is>
          <t>ĐẠT TCVN 1651:2018</t>
        </is>
      </c>
    </row>
    <row r="693" ht="19" customHeight="1">
      <c r="A693" s="6" t="n">
        <v>657</v>
      </c>
      <c r="B693" s="7" t="inlineStr">
        <is>
          <t>Dầm chủ Super-T (15 phiến L=38.2m)</t>
        </is>
      </c>
      <c r="C693" s="7" t="inlineStr">
        <is>
          <t>Sườn dầm / Cánh dầm</t>
        </is>
      </c>
      <c r="D693" s="19" t="inlineStr">
        <is>
          <t>G1b</t>
        </is>
      </c>
      <c r="E693" s="20" t="n">
        <v>12</v>
      </c>
      <c r="F693" s="6" t="inlineStr">
        <is>
          <t>CB400-V</t>
        </is>
      </c>
      <c r="G693" s="7" t="inlineStr">
        <is>
          <t>S06</t>
        </is>
      </c>
      <c r="H693" s="21" t="n">
        <v>5.075</v>
      </c>
      <c r="I693" s="22" t="n">
        <v>1875</v>
      </c>
      <c r="J693" s="23" t="n">
        <v>0.888</v>
      </c>
      <c r="K693" s="9">
        <f>ROUND(H693*I693*J693, 2)</f>
        <v/>
      </c>
      <c r="L693" s="24">
        <f>ROUND(K693/1000, 3)</f>
        <v/>
      </c>
      <c r="M693" s="8" t="n"/>
      <c r="N693" s="21">
        <f>ROUND(N692 + IF(AND(E693&lt;=10, F693&lt;&gt;"ASTM A416"), L693, 0), 3)</f>
        <v/>
      </c>
      <c r="O693" s="21">
        <f>ROUND(O692 + IF(AND(E693&gt;10, E693&lt;=18, F693&lt;&gt;"ASTM A416"), L693, 0), 3)</f>
        <v/>
      </c>
      <c r="P693" s="21">
        <f>ROUND(P692 + IF(AND(E693&gt;18, F693&lt;&gt;"ASTM A416"), L693, 0), 3)</f>
        <v/>
      </c>
      <c r="Q693" s="21">
        <f>ROUND(Q692 + IF(F693="ASTM A416", L693, 0), 3)</f>
        <v/>
      </c>
      <c r="R693" s="11">
        <f>IF(INT(N693/20)&gt;INT(N692/20), "Lần " &amp; INT(N693/20), "")</f>
        <v/>
      </c>
      <c r="S693" s="12">
        <f>IF(INT(O693/20)&gt;INT(O692/20), "Lần " &amp; INT(O693/20), "")</f>
        <v/>
      </c>
      <c r="T693" s="11">
        <f>IF(INT(P693/20)&gt;INT(P692/20), "Lần " &amp; INT(P693/20), "")</f>
        <v/>
      </c>
      <c r="U693" s="25">
        <f>IF(INT(Q693/20)&gt;INT(Q692/20), "Lần " &amp; INT(Q693/20), "")</f>
        <v/>
      </c>
      <c r="V693" s="6" t="inlineStr"/>
      <c r="W693" s="6" t="inlineStr">
        <is>
          <t>ĐẠT TCVN 1651:2018</t>
        </is>
      </c>
    </row>
    <row r="694" ht="19" customHeight="1">
      <c r="A694" s="6" t="n">
        <v>658</v>
      </c>
      <c r="B694" s="7" t="inlineStr">
        <is>
          <t>Dầm chủ Super-T (15 phiến L=38.2m)</t>
        </is>
      </c>
      <c r="C694" s="7" t="inlineStr">
        <is>
          <t>Sườn dầm / Cánh dầm</t>
        </is>
      </c>
      <c r="D694" s="19" t="inlineStr">
        <is>
          <t>G2</t>
        </is>
      </c>
      <c r="E694" s="20" t="n">
        <v>12</v>
      </c>
      <c r="F694" s="6" t="inlineStr">
        <is>
          <t>CB400-V</t>
        </is>
      </c>
      <c r="G694" s="7" t="inlineStr">
        <is>
          <t>S06</t>
        </is>
      </c>
      <c r="H694" s="21" t="n">
        <v>1.184</v>
      </c>
      <c r="I694" s="22" t="n">
        <v>3825</v>
      </c>
      <c r="J694" s="23" t="n">
        <v>0.888</v>
      </c>
      <c r="K694" s="9">
        <f>ROUND(H694*I694*J694, 2)</f>
        <v/>
      </c>
      <c r="L694" s="24">
        <f>ROUND(K694/1000, 3)</f>
        <v/>
      </c>
      <c r="M694" s="8" t="n"/>
      <c r="N694" s="21">
        <f>ROUND(N693 + IF(AND(E694&lt;=10, F694&lt;&gt;"ASTM A416"), L694, 0), 3)</f>
        <v/>
      </c>
      <c r="O694" s="21">
        <f>ROUND(O693 + IF(AND(E694&gt;10, E694&lt;=18, F694&lt;&gt;"ASTM A416"), L694, 0), 3)</f>
        <v/>
      </c>
      <c r="P694" s="21">
        <f>ROUND(P693 + IF(AND(E694&gt;18, F694&lt;&gt;"ASTM A416"), L694, 0), 3)</f>
        <v/>
      </c>
      <c r="Q694" s="21">
        <f>ROUND(Q693 + IF(F694="ASTM A416", L694, 0), 3)</f>
        <v/>
      </c>
      <c r="R694" s="11">
        <f>IF(INT(N694/20)&gt;INT(N693/20), "Lần " &amp; INT(N694/20), "")</f>
        <v/>
      </c>
      <c r="S694" s="12">
        <f>IF(INT(O694/20)&gt;INT(O693/20), "Lần " &amp; INT(O694/20), "")</f>
        <v/>
      </c>
      <c r="T694" s="11">
        <f>IF(INT(P694/20)&gt;INT(P693/20), "Lần " &amp; INT(P694/20), "")</f>
        <v/>
      </c>
      <c r="U694" s="25">
        <f>IF(INT(Q694/20)&gt;INT(Q693/20), "Lần " &amp; INT(Q694/20), "")</f>
        <v/>
      </c>
      <c r="V694" s="6" t="inlineStr"/>
      <c r="W694" s="6" t="inlineStr">
        <is>
          <t>ĐẠT TCVN 1651:2018</t>
        </is>
      </c>
    </row>
    <row r="695" ht="19" customHeight="1">
      <c r="A695" s="6" t="n">
        <v>659</v>
      </c>
      <c r="B695" s="7" t="inlineStr">
        <is>
          <t>Dầm chủ Super-T (15 phiến L=38.2m)</t>
        </is>
      </c>
      <c r="C695" s="7" t="inlineStr">
        <is>
          <t>Sườn dầm / Cánh dầm</t>
        </is>
      </c>
      <c r="D695" s="19" t="inlineStr">
        <is>
          <t>G2a</t>
        </is>
      </c>
      <c r="E695" s="20" t="n">
        <v>12</v>
      </c>
      <c r="F695" s="6" t="inlineStr">
        <is>
          <t>CB400-V</t>
        </is>
      </c>
      <c r="G695" s="7" t="inlineStr">
        <is>
          <t>S06</t>
        </is>
      </c>
      <c r="H695" s="21" t="n">
        <v>1.309</v>
      </c>
      <c r="I695" s="22" t="n">
        <v>4035</v>
      </c>
      <c r="J695" s="23" t="n">
        <v>0.888</v>
      </c>
      <c r="K695" s="9">
        <f>ROUND(H695*I695*J695, 2)</f>
        <v/>
      </c>
      <c r="L695" s="24">
        <f>ROUND(K695/1000, 3)</f>
        <v/>
      </c>
      <c r="M695" s="8" t="n"/>
      <c r="N695" s="21">
        <f>ROUND(N694 + IF(AND(E695&lt;=10, F695&lt;&gt;"ASTM A416"), L695, 0), 3)</f>
        <v/>
      </c>
      <c r="O695" s="21">
        <f>ROUND(O694 + IF(AND(E695&gt;10, E695&lt;=18, F695&lt;&gt;"ASTM A416"), L695, 0), 3)</f>
        <v/>
      </c>
      <c r="P695" s="21">
        <f>ROUND(P694 + IF(AND(E695&gt;18, F695&lt;&gt;"ASTM A416"), L695, 0), 3)</f>
        <v/>
      </c>
      <c r="Q695" s="21">
        <f>ROUND(Q694 + IF(F695="ASTM A416", L695, 0), 3)</f>
        <v/>
      </c>
      <c r="R695" s="11">
        <f>IF(INT(N695/20)&gt;INT(N694/20), "Lần " &amp; INT(N695/20), "")</f>
        <v/>
      </c>
      <c r="S695" s="12">
        <f>IF(INT(O695/20)&gt;INT(O694/20), "Lần " &amp; INT(O695/20), "")</f>
        <v/>
      </c>
      <c r="T695" s="11">
        <f>IF(INT(P695/20)&gt;INT(P694/20), "Lần " &amp; INT(P695/20), "")</f>
        <v/>
      </c>
      <c r="U695" s="25">
        <f>IF(INT(Q695/20)&gt;INT(Q694/20), "Lần " &amp; INT(Q695/20), "")</f>
        <v/>
      </c>
      <c r="V695" s="6" t="inlineStr"/>
      <c r="W695" s="6" t="inlineStr">
        <is>
          <t>ĐẠT TCVN 1651:2018</t>
        </is>
      </c>
    </row>
    <row r="696" ht="19" customHeight="1">
      <c r="A696" s="6" t="n">
        <v>660</v>
      </c>
      <c r="B696" s="7" t="inlineStr">
        <is>
          <t>Dầm chủ Super-T (15 phiến L=38.2m)</t>
        </is>
      </c>
      <c r="C696" s="7" t="inlineStr">
        <is>
          <t>Sườn dầm / Cánh dầm</t>
        </is>
      </c>
      <c r="D696" s="19" t="inlineStr">
        <is>
          <t>G3</t>
        </is>
      </c>
      <c r="E696" s="20" t="n">
        <v>12</v>
      </c>
      <c r="F696" s="6" t="inlineStr">
        <is>
          <t>CB400-V</t>
        </is>
      </c>
      <c r="G696" s="7" t="inlineStr">
        <is>
          <t>S06</t>
        </is>
      </c>
      <c r="H696" s="21" t="n">
        <v>1.259</v>
      </c>
      <c r="I696" s="22" t="n">
        <v>4035</v>
      </c>
      <c r="J696" s="23" t="n">
        <v>0.888</v>
      </c>
      <c r="K696" s="9">
        <f>ROUND(H696*I696*J696, 2)</f>
        <v/>
      </c>
      <c r="L696" s="24">
        <f>ROUND(K696/1000, 3)</f>
        <v/>
      </c>
      <c r="M696" s="8" t="n"/>
      <c r="N696" s="21">
        <f>ROUND(N695 + IF(AND(E696&lt;=10, F696&lt;&gt;"ASTM A416"), L696, 0), 3)</f>
        <v/>
      </c>
      <c r="O696" s="21">
        <f>ROUND(O695 + IF(AND(E696&gt;10, E696&lt;=18, F696&lt;&gt;"ASTM A416"), L696, 0), 3)</f>
        <v/>
      </c>
      <c r="P696" s="21">
        <f>ROUND(P695 + IF(AND(E696&gt;18, F696&lt;&gt;"ASTM A416"), L696, 0), 3)</f>
        <v/>
      </c>
      <c r="Q696" s="21">
        <f>ROUND(Q695 + IF(F696="ASTM A416", L696, 0), 3)</f>
        <v/>
      </c>
      <c r="R696" s="11">
        <f>IF(INT(N696/20)&gt;INT(N695/20), "Lần " &amp; INT(N696/20), "")</f>
        <v/>
      </c>
      <c r="S696" s="12">
        <f>IF(INT(O696/20)&gt;INT(O695/20), "Lần " &amp; INT(O696/20), "")</f>
        <v/>
      </c>
      <c r="T696" s="11">
        <f>IF(INT(P696/20)&gt;INT(P695/20), "Lần " &amp; INT(P696/20), "")</f>
        <v/>
      </c>
      <c r="U696" s="25">
        <f>IF(INT(Q696/20)&gt;INT(Q695/20), "Lần " &amp; INT(Q696/20), "")</f>
        <v/>
      </c>
      <c r="V696" s="6" t="inlineStr"/>
      <c r="W696" s="6" t="inlineStr">
        <is>
          <t>ĐẠT TCVN 1651:2018</t>
        </is>
      </c>
    </row>
    <row r="697" ht="19" customHeight="1">
      <c r="A697" s="6" t="n">
        <v>661</v>
      </c>
      <c r="B697" s="7" t="inlineStr">
        <is>
          <t>Dầm chủ Super-T (15 phiến L=38.2m)</t>
        </is>
      </c>
      <c r="C697" s="7" t="inlineStr">
        <is>
          <t>Sườn dầm / Cánh dầm</t>
        </is>
      </c>
      <c r="D697" s="19" t="inlineStr">
        <is>
          <t>G4a1</t>
        </is>
      </c>
      <c r="E697" s="20" t="n">
        <v>12</v>
      </c>
      <c r="F697" s="6" t="inlineStr">
        <is>
          <t>CB400-V</t>
        </is>
      </c>
      <c r="G697" s="7" t="inlineStr">
        <is>
          <t>S01</t>
        </is>
      </c>
      <c r="H697" s="21" t="n">
        <v>11.7</v>
      </c>
      <c r="I697" s="22" t="n">
        <v>315</v>
      </c>
      <c r="J697" s="23" t="n">
        <v>0.888</v>
      </c>
      <c r="K697" s="9">
        <f>ROUND(H697*I697*J697, 2)</f>
        <v/>
      </c>
      <c r="L697" s="24">
        <f>ROUND(K697/1000, 3)</f>
        <v/>
      </c>
      <c r="M697" s="8" t="n"/>
      <c r="N697" s="21">
        <f>ROUND(N696 + IF(AND(E697&lt;=10, F697&lt;&gt;"ASTM A416"), L697, 0), 3)</f>
        <v/>
      </c>
      <c r="O697" s="21">
        <f>ROUND(O696 + IF(AND(E697&gt;10, E697&lt;=18, F697&lt;&gt;"ASTM A416"), L697, 0), 3)</f>
        <v/>
      </c>
      <c r="P697" s="21">
        <f>ROUND(P696 + IF(AND(E697&gt;18, F697&lt;&gt;"ASTM A416"), L697, 0), 3)</f>
        <v/>
      </c>
      <c r="Q697" s="21">
        <f>ROUND(Q696 + IF(F697="ASTM A416", L697, 0), 3)</f>
        <v/>
      </c>
      <c r="R697" s="11">
        <f>IF(INT(N697/20)&gt;INT(N696/20), "Lần " &amp; INT(N697/20), "")</f>
        <v/>
      </c>
      <c r="S697" s="12">
        <f>IF(INT(O697/20)&gt;INT(O696/20), "Lần " &amp; INT(O697/20), "")</f>
        <v/>
      </c>
      <c r="T697" s="11">
        <f>IF(INT(P697/20)&gt;INT(P696/20), "Lần " &amp; INT(P697/20), "")</f>
        <v/>
      </c>
      <c r="U697" s="25">
        <f>IF(INT(Q697/20)&gt;INT(Q696/20), "Lần " &amp; INT(Q697/20), "")</f>
        <v/>
      </c>
      <c r="V697" s="6" t="inlineStr"/>
      <c r="W697" s="6" t="inlineStr">
        <is>
          <t>ĐẠT TCVN 1651:2018</t>
        </is>
      </c>
    </row>
    <row r="698" ht="19" customHeight="1">
      <c r="A698" s="6" t="n">
        <v>662</v>
      </c>
      <c r="B698" s="7" t="inlineStr">
        <is>
          <t>Dầm chủ Super-T (15 phiến L=38.2m)</t>
        </is>
      </c>
      <c r="C698" s="7" t="inlineStr">
        <is>
          <t>Sườn dầm / Cánh dầm</t>
        </is>
      </c>
      <c r="D698" s="19" t="inlineStr">
        <is>
          <t>G4a2</t>
        </is>
      </c>
      <c r="E698" s="20" t="n">
        <v>12</v>
      </c>
      <c r="F698" s="6" t="inlineStr">
        <is>
          <t>CB400-V</t>
        </is>
      </c>
      <c r="G698" s="7" t="inlineStr">
        <is>
          <t>S06</t>
        </is>
      </c>
      <c r="H698" s="21" t="n">
        <v>4.46</v>
      </c>
      <c r="I698" s="22" t="n">
        <v>105</v>
      </c>
      <c r="J698" s="23" t="n">
        <v>0.888</v>
      </c>
      <c r="K698" s="9">
        <f>ROUND(H698*I698*J698, 2)</f>
        <v/>
      </c>
      <c r="L698" s="24">
        <f>ROUND(K698/1000, 3)</f>
        <v/>
      </c>
      <c r="M698" s="8" t="n"/>
      <c r="N698" s="21">
        <f>ROUND(N697 + IF(AND(E698&lt;=10, F698&lt;&gt;"ASTM A416"), L698, 0), 3)</f>
        <v/>
      </c>
      <c r="O698" s="21">
        <f>ROUND(O697 + IF(AND(E698&gt;10, E698&lt;=18, F698&lt;&gt;"ASTM A416"), L698, 0), 3)</f>
        <v/>
      </c>
      <c r="P698" s="21">
        <f>ROUND(P697 + IF(AND(E698&gt;18, F698&lt;&gt;"ASTM A416"), L698, 0), 3)</f>
        <v/>
      </c>
      <c r="Q698" s="21">
        <f>ROUND(Q697 + IF(F698="ASTM A416", L698, 0), 3)</f>
        <v/>
      </c>
      <c r="R698" s="11">
        <f>IF(INT(N698/20)&gt;INT(N697/20), "Lần " &amp; INT(N698/20), "")</f>
        <v/>
      </c>
      <c r="S698" s="12">
        <f>IF(INT(O698/20)&gt;INT(O697/20), "Lần " &amp; INT(O698/20), "")</f>
        <v/>
      </c>
      <c r="T698" s="11">
        <f>IF(INT(P698/20)&gt;INT(P697/20), "Lần " &amp; INT(P698/20), "")</f>
        <v/>
      </c>
      <c r="U698" s="25">
        <f>IF(INT(Q698/20)&gt;INT(Q697/20), "Lần " &amp; INT(Q698/20), "")</f>
        <v/>
      </c>
      <c r="V698" s="6" t="inlineStr"/>
      <c r="W698" s="6" t="inlineStr">
        <is>
          <t>ĐẠT TCVN 1651:2018</t>
        </is>
      </c>
    </row>
    <row r="699" ht="19" customHeight="1">
      <c r="A699" s="6" t="n">
        <v>663</v>
      </c>
      <c r="B699" s="7" t="inlineStr">
        <is>
          <t>Dầm chủ Super-T (15 phiến L=38.2m)</t>
        </is>
      </c>
      <c r="C699" s="7" t="inlineStr">
        <is>
          <t>Sườn dầm / Cánh dầm</t>
        </is>
      </c>
      <c r="D699" s="19" t="inlineStr">
        <is>
          <t>G4b1</t>
        </is>
      </c>
      <c r="E699" s="20" t="n">
        <v>12</v>
      </c>
      <c r="F699" s="6" t="inlineStr">
        <is>
          <t>CB400-V</t>
        </is>
      </c>
      <c r="G699" s="7" t="inlineStr">
        <is>
          <t>S01</t>
        </is>
      </c>
      <c r="H699" s="21" t="n">
        <v>11.7</v>
      </c>
      <c r="I699" s="22" t="n">
        <v>180</v>
      </c>
      <c r="J699" s="23" t="n">
        <v>0.888</v>
      </c>
      <c r="K699" s="9">
        <f>ROUND(H699*I699*J699, 2)</f>
        <v/>
      </c>
      <c r="L699" s="24">
        <f>ROUND(K699/1000, 3)</f>
        <v/>
      </c>
      <c r="M699" s="8" t="n"/>
      <c r="N699" s="21">
        <f>ROUND(N698 + IF(AND(E699&lt;=10, F699&lt;&gt;"ASTM A416"), L699, 0), 3)</f>
        <v/>
      </c>
      <c r="O699" s="21">
        <f>ROUND(O698 + IF(AND(E699&gt;10, E699&lt;=18, F699&lt;&gt;"ASTM A416"), L699, 0), 3)</f>
        <v/>
      </c>
      <c r="P699" s="21">
        <f>ROUND(P698 + IF(AND(E699&gt;18, F699&lt;&gt;"ASTM A416"), L699, 0), 3)</f>
        <v/>
      </c>
      <c r="Q699" s="21">
        <f>ROUND(Q698 + IF(F699="ASTM A416", L699, 0), 3)</f>
        <v/>
      </c>
      <c r="R699" s="11">
        <f>IF(INT(N699/20)&gt;INT(N698/20), "Lần " &amp; INT(N699/20), "")</f>
        <v/>
      </c>
      <c r="S699" s="12">
        <f>IF(INT(O699/20)&gt;INT(O698/20), "Lần " &amp; INT(O699/20), "")</f>
        <v/>
      </c>
      <c r="T699" s="11">
        <f>IF(INT(P699/20)&gt;INT(P698/20), "Lần " &amp; INT(P699/20), "")</f>
        <v/>
      </c>
      <c r="U699" s="25">
        <f>IF(INT(Q699/20)&gt;INT(Q698/20), "Lần " &amp; INT(Q699/20), "")</f>
        <v/>
      </c>
      <c r="V699" s="6" t="inlineStr"/>
      <c r="W699" s="6" t="inlineStr">
        <is>
          <t>ĐẠT TCVN 1651:2018</t>
        </is>
      </c>
    </row>
    <row r="700" ht="19" customHeight="1">
      <c r="A700" s="6" t="n">
        <v>664</v>
      </c>
      <c r="B700" s="7" t="inlineStr">
        <is>
          <t>Dầm chủ Super-T (15 phiến L=38.2m)</t>
        </is>
      </c>
      <c r="C700" s="7" t="inlineStr">
        <is>
          <t>Sườn dầm / Cánh dầm</t>
        </is>
      </c>
      <c r="D700" s="19" t="inlineStr">
        <is>
          <t>G4b2</t>
        </is>
      </c>
      <c r="E700" s="20" t="n">
        <v>12</v>
      </c>
      <c r="F700" s="6" t="inlineStr">
        <is>
          <t>CB400-V</t>
        </is>
      </c>
      <c r="G700" s="7" t="inlineStr">
        <is>
          <t>S06</t>
        </is>
      </c>
      <c r="H700" s="21" t="n">
        <v>3.06</v>
      </c>
      <c r="I700" s="22" t="n">
        <v>60</v>
      </c>
      <c r="J700" s="23" t="n">
        <v>0.888</v>
      </c>
      <c r="K700" s="9">
        <f>ROUND(H700*I700*J700, 2)</f>
        <v/>
      </c>
      <c r="L700" s="24">
        <f>ROUND(K700/1000, 3)</f>
        <v/>
      </c>
      <c r="M700" s="8" t="n"/>
      <c r="N700" s="21">
        <f>ROUND(N699 + IF(AND(E700&lt;=10, F700&lt;&gt;"ASTM A416"), L700, 0), 3)</f>
        <v/>
      </c>
      <c r="O700" s="21">
        <f>ROUND(O699 + IF(AND(E700&gt;10, E700&lt;=18, F700&lt;&gt;"ASTM A416"), L700, 0), 3)</f>
        <v/>
      </c>
      <c r="P700" s="21">
        <f>ROUND(P699 + IF(AND(E700&gt;18, F700&lt;&gt;"ASTM A416"), L700, 0), 3)</f>
        <v/>
      </c>
      <c r="Q700" s="21">
        <f>ROUND(Q699 + IF(F700="ASTM A416", L700, 0), 3)</f>
        <v/>
      </c>
      <c r="R700" s="11">
        <f>IF(INT(N700/20)&gt;INT(N699/20), "Lần " &amp; INT(N700/20), "")</f>
        <v/>
      </c>
      <c r="S700" s="12">
        <f>IF(INT(O700/20)&gt;INT(O699/20), "Lần " &amp; INT(O700/20), "")</f>
        <v/>
      </c>
      <c r="T700" s="11">
        <f>IF(INT(P700/20)&gt;INT(P699/20), "Lần " &amp; INT(P700/20), "")</f>
        <v/>
      </c>
      <c r="U700" s="25">
        <f>IF(INT(Q700/20)&gt;INT(Q699/20), "Lần " &amp; INT(Q700/20), "")</f>
        <v/>
      </c>
      <c r="V700" s="6" t="inlineStr"/>
      <c r="W700" s="6" t="inlineStr">
        <is>
          <t>ĐẠT TCVN 1651:2018</t>
        </is>
      </c>
    </row>
    <row r="701" ht="19" customHeight="1">
      <c r="A701" s="6" t="n">
        <v>665</v>
      </c>
      <c r="B701" s="7" t="inlineStr">
        <is>
          <t>Dầm chủ Super-T (15 phiến L=38.2m)</t>
        </is>
      </c>
      <c r="C701" s="7" t="inlineStr">
        <is>
          <t>Sườn dầm / Cánh dầm</t>
        </is>
      </c>
      <c r="D701" s="19" t="inlineStr">
        <is>
          <t>G5a</t>
        </is>
      </c>
      <c r="E701" s="20" t="n">
        <v>16</v>
      </c>
      <c r="F701" s="6" t="inlineStr">
        <is>
          <t>CB400-V</t>
        </is>
      </c>
      <c r="G701" s="7" t="inlineStr">
        <is>
          <t>S01</t>
        </is>
      </c>
      <c r="H701" s="21" t="n">
        <v>11.7</v>
      </c>
      <c r="I701" s="22" t="n">
        <v>420</v>
      </c>
      <c r="J701" s="23" t="n">
        <v>1.58</v>
      </c>
      <c r="K701" s="9">
        <f>ROUND(H701*I701*J701, 2)</f>
        <v/>
      </c>
      <c r="L701" s="24">
        <f>ROUND(K701/1000, 3)</f>
        <v/>
      </c>
      <c r="M701" s="8" t="n"/>
      <c r="N701" s="21">
        <f>ROUND(N700 + IF(AND(E701&lt;=10, F701&lt;&gt;"ASTM A416"), L701, 0), 3)</f>
        <v/>
      </c>
      <c r="O701" s="21">
        <f>ROUND(O700 + IF(AND(E701&gt;10, E701&lt;=18, F701&lt;&gt;"ASTM A416"), L701, 0), 3)</f>
        <v/>
      </c>
      <c r="P701" s="21">
        <f>ROUND(P700 + IF(AND(E701&gt;18, F701&lt;&gt;"ASTM A416"), L701, 0), 3)</f>
        <v/>
      </c>
      <c r="Q701" s="21">
        <f>ROUND(Q700 + IF(F701="ASTM A416", L701, 0), 3)</f>
        <v/>
      </c>
      <c r="R701" s="11">
        <f>IF(INT(N701/20)&gt;INT(N700/20), "Lần " &amp; INT(N701/20), "")</f>
        <v/>
      </c>
      <c r="S701" s="12">
        <f>IF(INT(O701/20)&gt;INT(O700/20), "Lần " &amp; INT(O701/20), "")</f>
        <v/>
      </c>
      <c r="T701" s="11">
        <f>IF(INT(P701/20)&gt;INT(P700/20), "Lần " &amp; INT(P701/20), "")</f>
        <v/>
      </c>
      <c r="U701" s="25">
        <f>IF(INT(Q701/20)&gt;INT(Q700/20), "Lần " &amp; INT(Q701/20), "")</f>
        <v/>
      </c>
      <c r="V701" s="6" t="inlineStr"/>
      <c r="W701" s="6" t="inlineStr">
        <is>
          <t>ĐẠT TCVN 1651:2018</t>
        </is>
      </c>
    </row>
    <row r="702" ht="19" customHeight="1">
      <c r="A702" s="6" t="n">
        <v>666</v>
      </c>
      <c r="B702" s="7" t="inlineStr">
        <is>
          <t>Dầm chủ Super-T (15 phiến L=38.2m)</t>
        </is>
      </c>
      <c r="C702" s="7" t="inlineStr">
        <is>
          <t>Sườn dầm / Cánh dầm</t>
        </is>
      </c>
      <c r="D702" s="19" t="inlineStr">
        <is>
          <t>G5b</t>
        </is>
      </c>
      <c r="E702" s="20" t="n">
        <v>18</v>
      </c>
      <c r="F702" s="6" t="inlineStr">
        <is>
          <t>CB400-V</t>
        </is>
      </c>
      <c r="G702" s="7" t="inlineStr">
        <is>
          <t>S06</t>
        </is>
      </c>
      <c r="H702" s="21" t="n">
        <v>2.86</v>
      </c>
      <c r="I702" s="22" t="n">
        <v>210</v>
      </c>
      <c r="J702" s="23" t="n">
        <v>2</v>
      </c>
      <c r="K702" s="9">
        <f>ROUND(H702*I702*J702, 2)</f>
        <v/>
      </c>
      <c r="L702" s="24">
        <f>ROUND(K702/1000, 3)</f>
        <v/>
      </c>
      <c r="M702" s="8" t="n"/>
      <c r="N702" s="21">
        <f>ROUND(N701 + IF(AND(E702&lt;=10, F702&lt;&gt;"ASTM A416"), L702, 0), 3)</f>
        <v/>
      </c>
      <c r="O702" s="21">
        <f>ROUND(O701 + IF(AND(E702&gt;10, E702&lt;=18, F702&lt;&gt;"ASTM A416"), L702, 0), 3)</f>
        <v/>
      </c>
      <c r="P702" s="21">
        <f>ROUND(P701 + IF(AND(E702&gt;18, F702&lt;&gt;"ASTM A416"), L702, 0), 3)</f>
        <v/>
      </c>
      <c r="Q702" s="21">
        <f>ROUND(Q701 + IF(F702="ASTM A416", L702, 0), 3)</f>
        <v/>
      </c>
      <c r="R702" s="11">
        <f>IF(INT(N702/20)&gt;INT(N701/20), "Lần " &amp; INT(N702/20), "")</f>
        <v/>
      </c>
      <c r="S702" s="12">
        <f>IF(INT(O702/20)&gt;INT(O701/20), "Lần " &amp; INT(O702/20), "")</f>
        <v/>
      </c>
      <c r="T702" s="11">
        <f>IF(INT(P702/20)&gt;INT(P701/20), "Lần " &amp; INT(P702/20), "")</f>
        <v/>
      </c>
      <c r="U702" s="25">
        <f>IF(INT(Q702/20)&gt;INT(Q701/20), "Lần " &amp; INT(Q702/20), "")</f>
        <v/>
      </c>
      <c r="V702" s="6" t="inlineStr"/>
      <c r="W702" s="6" t="inlineStr">
        <is>
          <t>ĐẠT TCVN 1651:2018</t>
        </is>
      </c>
    </row>
    <row r="703" ht="19" customHeight="1">
      <c r="A703" s="6" t="n">
        <v>667</v>
      </c>
      <c r="B703" s="7" t="inlineStr">
        <is>
          <t>Dầm chủ Super-T (15 phiến L=38.2m)</t>
        </is>
      </c>
      <c r="C703" s="7" t="inlineStr">
        <is>
          <t>Sườn dầm / Cánh dầm</t>
        </is>
      </c>
      <c r="D703" s="19" t="inlineStr">
        <is>
          <t>G5c</t>
        </is>
      </c>
      <c r="E703" s="20" t="n">
        <v>16</v>
      </c>
      <c r="F703" s="6" t="inlineStr">
        <is>
          <t>CB400-V</t>
        </is>
      </c>
      <c r="G703" s="7" t="inlineStr">
        <is>
          <t>S01</t>
        </is>
      </c>
      <c r="H703" s="21" t="n">
        <v>10.68</v>
      </c>
      <c r="I703" s="22" t="n">
        <v>210</v>
      </c>
      <c r="J703" s="23" t="n">
        <v>1.58</v>
      </c>
      <c r="K703" s="9">
        <f>ROUND(H703*I703*J703, 2)</f>
        <v/>
      </c>
      <c r="L703" s="24">
        <f>ROUND(K703/1000, 3)</f>
        <v/>
      </c>
      <c r="M703" s="8" t="n"/>
      <c r="N703" s="21">
        <f>ROUND(N702 + IF(AND(E703&lt;=10, F703&lt;&gt;"ASTM A416"), L703, 0), 3)</f>
        <v/>
      </c>
      <c r="O703" s="21">
        <f>ROUND(O702 + IF(AND(E703&gt;10, E703&lt;=18, F703&lt;&gt;"ASTM A416"), L703, 0), 3)</f>
        <v/>
      </c>
      <c r="P703" s="21">
        <f>ROUND(P702 + IF(AND(E703&gt;18, F703&lt;&gt;"ASTM A416"), L703, 0), 3)</f>
        <v/>
      </c>
      <c r="Q703" s="21">
        <f>ROUND(Q702 + IF(F703="ASTM A416", L703, 0), 3)</f>
        <v/>
      </c>
      <c r="R703" s="11">
        <f>IF(INT(N703/20)&gt;INT(N702/20), "Lần " &amp; INT(N703/20), "")</f>
        <v/>
      </c>
      <c r="S703" s="12">
        <f>IF(INT(O703/20)&gt;INT(O702/20), "Lần " &amp; INT(O703/20), "")</f>
        <v/>
      </c>
      <c r="T703" s="11">
        <f>IF(INT(P703/20)&gt;INT(P702/20), "Lần " &amp; INT(P703/20), "")</f>
        <v/>
      </c>
      <c r="U703" s="25">
        <f>IF(INT(Q703/20)&gt;INT(Q702/20), "Lần " &amp; INT(Q703/20), "")</f>
        <v/>
      </c>
      <c r="V703" s="6" t="inlineStr"/>
      <c r="W703" s="6" t="inlineStr">
        <is>
          <t>ĐẠT TCVN 1651:2018</t>
        </is>
      </c>
    </row>
    <row r="704" ht="19" customHeight="1">
      <c r="A704" s="6" t="n">
        <v>668</v>
      </c>
      <c r="B704" s="7" t="inlineStr">
        <is>
          <t>Dầm chủ Super-T (15 phiến L=38.2m)</t>
        </is>
      </c>
      <c r="C704" s="7" t="inlineStr">
        <is>
          <t>Sườn dầm / Cánh dầm</t>
        </is>
      </c>
      <c r="D704" s="19" t="inlineStr">
        <is>
          <t>G5d</t>
        </is>
      </c>
      <c r="E704" s="20" t="n">
        <v>18</v>
      </c>
      <c r="F704" s="6" t="inlineStr">
        <is>
          <t>CB400-V</t>
        </is>
      </c>
      <c r="G704" s="7" t="inlineStr">
        <is>
          <t>S06</t>
        </is>
      </c>
      <c r="H704" s="21" t="n">
        <v>3.9</v>
      </c>
      <c r="I704" s="22" t="n">
        <v>210</v>
      </c>
      <c r="J704" s="23" t="n">
        <v>2</v>
      </c>
      <c r="K704" s="9">
        <f>ROUND(H704*I704*J704, 2)</f>
        <v/>
      </c>
      <c r="L704" s="24">
        <f>ROUND(K704/1000, 3)</f>
        <v/>
      </c>
      <c r="M704" s="8" t="n"/>
      <c r="N704" s="21">
        <f>ROUND(N703 + IF(AND(E704&lt;=10, F704&lt;&gt;"ASTM A416"), L704, 0), 3)</f>
        <v/>
      </c>
      <c r="O704" s="21">
        <f>ROUND(O703 + IF(AND(E704&gt;10, E704&lt;=18, F704&lt;&gt;"ASTM A416"), L704, 0), 3)</f>
        <v/>
      </c>
      <c r="P704" s="21">
        <f>ROUND(P703 + IF(AND(E704&gt;18, F704&lt;&gt;"ASTM A416"), L704, 0), 3)</f>
        <v/>
      </c>
      <c r="Q704" s="21">
        <f>ROUND(Q703 + IF(F704="ASTM A416", L704, 0), 3)</f>
        <v/>
      </c>
      <c r="R704" s="11">
        <f>IF(INT(N704/20)&gt;INT(N703/20), "Lần " &amp; INT(N704/20), "")</f>
        <v/>
      </c>
      <c r="S704" s="12">
        <f>IF(INT(O704/20)&gt;INT(O703/20), "Lần " &amp; INT(O704/20), "")</f>
        <v/>
      </c>
      <c r="T704" s="11">
        <f>IF(INT(P704/20)&gt;INT(P703/20), "Lần " &amp; INT(P704/20), "")</f>
        <v/>
      </c>
      <c r="U704" s="25">
        <f>IF(INT(Q704/20)&gt;INT(Q703/20), "Lần " &amp; INT(Q704/20), "")</f>
        <v/>
      </c>
      <c r="V704" s="6" t="inlineStr"/>
      <c r="W704" s="6" t="inlineStr">
        <is>
          <t>ĐẠT TCVN 1651:2018</t>
        </is>
      </c>
    </row>
    <row r="705" ht="19" customHeight="1">
      <c r="A705" s="6" t="n">
        <v>669</v>
      </c>
      <c r="B705" s="7" t="inlineStr">
        <is>
          <t>Dầm chủ Super-T (15 phiến L=38.2m)</t>
        </is>
      </c>
      <c r="C705" s="7" t="inlineStr">
        <is>
          <t>Sườn dầm / Cánh dầm</t>
        </is>
      </c>
      <c r="D705" s="19" t="inlineStr">
        <is>
          <t>G6a</t>
        </is>
      </c>
      <c r="E705" s="20" t="n">
        <v>32</v>
      </c>
      <c r="F705" s="6" t="inlineStr">
        <is>
          <t>CB400-V</t>
        </is>
      </c>
      <c r="G705" s="7" t="inlineStr">
        <is>
          <t>S01</t>
        </is>
      </c>
      <c r="H705" s="21" t="n">
        <v>11.7</v>
      </c>
      <c r="I705" s="22" t="n">
        <v>135</v>
      </c>
      <c r="J705" s="23" t="n">
        <v>6.31</v>
      </c>
      <c r="K705" s="9">
        <f>ROUND(H705*I705*J705, 2)</f>
        <v/>
      </c>
      <c r="L705" s="24">
        <f>ROUND(K705/1000, 3)</f>
        <v/>
      </c>
      <c r="M705" s="8" t="n"/>
      <c r="N705" s="21">
        <f>ROUND(N704 + IF(AND(E705&lt;=10, F705&lt;&gt;"ASTM A416"), L705, 0), 3)</f>
        <v/>
      </c>
      <c r="O705" s="21">
        <f>ROUND(O704 + IF(AND(E705&gt;10, E705&lt;=18, F705&lt;&gt;"ASTM A416"), L705, 0), 3)</f>
        <v/>
      </c>
      <c r="P705" s="21">
        <f>ROUND(P704 + IF(AND(E705&gt;18, F705&lt;&gt;"ASTM A416"), L705, 0), 3)</f>
        <v/>
      </c>
      <c r="Q705" s="21">
        <f>ROUND(Q704 + IF(F705="ASTM A416", L705, 0), 3)</f>
        <v/>
      </c>
      <c r="R705" s="11">
        <f>IF(INT(N705/20)&gt;INT(N704/20), "Lần " &amp; INT(N705/20), "")</f>
        <v/>
      </c>
      <c r="S705" s="12">
        <f>IF(INT(O705/20)&gt;INT(O704/20), "Lần " &amp; INT(O705/20), "")</f>
        <v/>
      </c>
      <c r="T705" s="11">
        <f>IF(INT(P705/20)&gt;INT(P704/20), "Lần " &amp; INT(P705/20), "")</f>
        <v/>
      </c>
      <c r="U705" s="25">
        <f>IF(INT(Q705/20)&gt;INT(Q704/20), "Lần " &amp; INT(Q705/20), "")</f>
        <v/>
      </c>
      <c r="V705" s="6" t="inlineStr"/>
      <c r="W705" s="6" t="inlineStr">
        <is>
          <t>ĐẠT TCVN 1651:2018</t>
        </is>
      </c>
    </row>
    <row r="706" ht="19" customHeight="1">
      <c r="A706" s="6" t="n">
        <v>670</v>
      </c>
      <c r="B706" s="7" t="inlineStr">
        <is>
          <t>Dầm chủ Super-T (15 phiến L=38.2m)</t>
        </is>
      </c>
      <c r="C706" s="7" t="inlineStr">
        <is>
          <t>Sườn dầm / Cánh dầm</t>
        </is>
      </c>
      <c r="D706" s="19" t="inlineStr">
        <is>
          <t>G6b</t>
        </is>
      </c>
      <c r="E706" s="20" t="n">
        <v>32</v>
      </c>
      <c r="F706" s="6" t="inlineStr">
        <is>
          <t>CB400-V</t>
        </is>
      </c>
      <c r="G706" s="7" t="inlineStr">
        <is>
          <t>S06</t>
        </is>
      </c>
      <c r="H706" s="21" t="n">
        <v>6.86</v>
      </c>
      <c r="I706" s="22" t="n">
        <v>45</v>
      </c>
      <c r="J706" s="23" t="n">
        <v>6.31</v>
      </c>
      <c r="K706" s="9">
        <f>ROUND(H706*I706*J706, 2)</f>
        <v/>
      </c>
      <c r="L706" s="24">
        <f>ROUND(K706/1000, 3)</f>
        <v/>
      </c>
      <c r="M706" s="8" t="n"/>
      <c r="N706" s="21">
        <f>ROUND(N705 + IF(AND(E706&lt;=10, F706&lt;&gt;"ASTM A416"), L706, 0), 3)</f>
        <v/>
      </c>
      <c r="O706" s="21">
        <f>ROUND(O705 + IF(AND(E706&gt;10, E706&lt;=18, F706&lt;&gt;"ASTM A416"), L706, 0), 3)</f>
        <v/>
      </c>
      <c r="P706" s="21">
        <f>ROUND(P705 + IF(AND(E706&gt;18, F706&lt;&gt;"ASTM A416"), L706, 0), 3)</f>
        <v/>
      </c>
      <c r="Q706" s="21">
        <f>ROUND(Q705 + IF(F706="ASTM A416", L706, 0), 3)</f>
        <v/>
      </c>
      <c r="R706" s="11">
        <f>IF(INT(N706/20)&gt;INT(N705/20), "Lần " &amp; INT(N706/20), "")</f>
        <v/>
      </c>
      <c r="S706" s="12">
        <f>IF(INT(O706/20)&gt;INT(O705/20), "Lần " &amp; INT(O706/20), "")</f>
        <v/>
      </c>
      <c r="T706" s="11">
        <f>IF(INT(P706/20)&gt;INT(P705/20), "Lần " &amp; INT(P706/20), "")</f>
        <v/>
      </c>
      <c r="U706" s="25">
        <f>IF(INT(Q706/20)&gt;INT(Q705/20), "Lần " &amp; INT(Q706/20), "")</f>
        <v/>
      </c>
      <c r="V706" s="6" t="inlineStr"/>
      <c r="W706" s="6" t="inlineStr">
        <is>
          <t>ĐẠT TCVN 1651:2018</t>
        </is>
      </c>
    </row>
    <row r="707" ht="19" customHeight="1">
      <c r="A707" s="6" t="n">
        <v>671</v>
      </c>
      <c r="B707" s="7" t="inlineStr">
        <is>
          <t>Dầm chủ Super-T (15 phiến L=38.2m)</t>
        </is>
      </c>
      <c r="C707" s="7" t="inlineStr">
        <is>
          <t>Sườn dầm / Cánh dầm</t>
        </is>
      </c>
      <c r="D707" s="19" t="inlineStr">
        <is>
          <t>N1a</t>
        </is>
      </c>
      <c r="E707" s="20" t="n">
        <v>12</v>
      </c>
      <c r="F707" s="6" t="inlineStr">
        <is>
          <t>CB400-V</t>
        </is>
      </c>
      <c r="G707" s="7" t="inlineStr">
        <is>
          <t>S06</t>
        </is>
      </c>
      <c r="H707" s="21" t="n">
        <v>1.185</v>
      </c>
      <c r="I707" s="22" t="n">
        <v>555</v>
      </c>
      <c r="J707" s="23" t="n">
        <v>0.888</v>
      </c>
      <c r="K707" s="9">
        <f>ROUND(H707*I707*J707, 2)</f>
        <v/>
      </c>
      <c r="L707" s="24">
        <f>ROUND(K707/1000, 3)</f>
        <v/>
      </c>
      <c r="M707" s="8" t="n"/>
      <c r="N707" s="21">
        <f>ROUND(N706 + IF(AND(E707&lt;=10, F707&lt;&gt;"ASTM A416"), L707, 0), 3)</f>
        <v/>
      </c>
      <c r="O707" s="21">
        <f>ROUND(O706 + IF(AND(E707&gt;10, E707&lt;=18, F707&lt;&gt;"ASTM A416"), L707, 0), 3)</f>
        <v/>
      </c>
      <c r="P707" s="21">
        <f>ROUND(P706 + IF(AND(E707&gt;18, F707&lt;&gt;"ASTM A416"), L707, 0), 3)</f>
        <v/>
      </c>
      <c r="Q707" s="21">
        <f>ROUND(Q706 + IF(F707="ASTM A416", L707, 0), 3)</f>
        <v/>
      </c>
      <c r="R707" s="11">
        <f>IF(INT(N707/20)&gt;INT(N706/20), "Lần " &amp; INT(N707/20), "")</f>
        <v/>
      </c>
      <c r="S707" s="12">
        <f>IF(INT(O707/20)&gt;INT(O706/20), "Lần " &amp; INT(O707/20), "")</f>
        <v/>
      </c>
      <c r="T707" s="11">
        <f>IF(INT(P707/20)&gt;INT(P706/20), "Lần " &amp; INT(P707/20), "")</f>
        <v/>
      </c>
      <c r="U707" s="25">
        <f>IF(INT(Q707/20)&gt;INT(Q706/20), "Lần " &amp; INT(Q707/20), "")</f>
        <v/>
      </c>
      <c r="V707" s="6" t="inlineStr"/>
      <c r="W707" s="6" t="inlineStr">
        <is>
          <t>ĐẠT TCVN 1651:2018</t>
        </is>
      </c>
    </row>
    <row r="708" ht="19" customHeight="1">
      <c r="A708" s="6" t="n">
        <v>672</v>
      </c>
      <c r="B708" s="7" t="inlineStr">
        <is>
          <t>Dầm chủ Super-T (15 phiến L=38.2m)</t>
        </is>
      </c>
      <c r="C708" s="7" t="inlineStr">
        <is>
          <t>TRUNG BÌNH</t>
        </is>
      </c>
      <c r="D708" s="19" t="inlineStr">
        <is>
          <t>N1b</t>
        </is>
      </c>
      <c r="E708" s="20" t="n">
        <v>12</v>
      </c>
      <c r="F708" s="6" t="inlineStr">
        <is>
          <t>CB400-V</t>
        </is>
      </c>
      <c r="G708" s="7" t="inlineStr">
        <is>
          <t>S06</t>
        </is>
      </c>
      <c r="H708" s="21" t="n">
        <v>0.93</v>
      </c>
      <c r="I708" s="22" t="n">
        <v>3885</v>
      </c>
      <c r="J708" s="23" t="n">
        <v>0.888</v>
      </c>
      <c r="K708" s="9">
        <f>ROUND(H708*I708*J708, 2)</f>
        <v/>
      </c>
      <c r="L708" s="24">
        <f>ROUND(K708/1000, 3)</f>
        <v/>
      </c>
      <c r="M708" s="8" t="n"/>
      <c r="N708" s="21">
        <f>ROUND(N707 + IF(AND(E708&lt;=10, F708&lt;&gt;"ASTM A416"), L708, 0), 3)</f>
        <v/>
      </c>
      <c r="O708" s="21">
        <f>ROUND(O707 + IF(AND(E708&gt;10, E708&lt;=18, F708&lt;&gt;"ASTM A416"), L708, 0), 3)</f>
        <v/>
      </c>
      <c r="P708" s="21">
        <f>ROUND(P707 + IF(AND(E708&gt;18, F708&lt;&gt;"ASTM A416"), L708, 0), 3)</f>
        <v/>
      </c>
      <c r="Q708" s="21">
        <f>ROUND(Q707 + IF(F708="ASTM A416", L708, 0), 3)</f>
        <v/>
      </c>
      <c r="R708" s="11">
        <f>IF(INT(N708/20)&gt;INT(N707/20), "Lần " &amp; INT(N708/20), "")</f>
        <v/>
      </c>
      <c r="S708" s="12">
        <f>IF(INT(O708/20)&gt;INT(O707/20), "Lần " &amp; INT(O708/20), "")</f>
        <v/>
      </c>
      <c r="T708" s="11">
        <f>IF(INT(P708/20)&gt;INT(P707/20), "Lần " &amp; INT(P708/20), "")</f>
        <v/>
      </c>
      <c r="U708" s="25">
        <f>IF(INT(Q708/20)&gt;INT(Q707/20), "Lần " &amp; INT(Q708/20), "")</f>
        <v/>
      </c>
      <c r="V708" s="6" t="inlineStr"/>
      <c r="W708" s="6" t="inlineStr">
        <is>
          <t>ĐẠT TCVN 1651:2018</t>
        </is>
      </c>
    </row>
    <row r="709" ht="19" customHeight="1">
      <c r="A709" s="6" t="n">
        <v>673</v>
      </c>
      <c r="B709" s="7" t="inlineStr">
        <is>
          <t>Dầm chủ Super-T (15 phiến L=38.2m)</t>
        </is>
      </c>
      <c r="C709" s="7" t="inlineStr">
        <is>
          <t>Sườn dầm / Cánh dầm</t>
        </is>
      </c>
      <c r="D709" s="19" t="inlineStr">
        <is>
          <t>N2</t>
        </is>
      </c>
      <c r="E709" s="20" t="n">
        <v>12</v>
      </c>
      <c r="F709" s="6" t="inlineStr">
        <is>
          <t>CB400-V</t>
        </is>
      </c>
      <c r="G709" s="7" t="inlineStr">
        <is>
          <t>S06</t>
        </is>
      </c>
      <c r="H709" s="21" t="n">
        <v>3.664</v>
      </c>
      <c r="I709" s="22" t="n">
        <v>45</v>
      </c>
      <c r="J709" s="23" t="n">
        <v>0.888</v>
      </c>
      <c r="K709" s="9">
        <f>ROUND(H709*I709*J709, 2)</f>
        <v/>
      </c>
      <c r="L709" s="24">
        <f>ROUND(K709/1000, 3)</f>
        <v/>
      </c>
      <c r="M709" s="8" t="n"/>
      <c r="N709" s="21">
        <f>ROUND(N708 + IF(AND(E709&lt;=10, F709&lt;&gt;"ASTM A416"), L709, 0), 3)</f>
        <v/>
      </c>
      <c r="O709" s="21">
        <f>ROUND(O708 + IF(AND(E709&gt;10, E709&lt;=18, F709&lt;&gt;"ASTM A416"), L709, 0), 3)</f>
        <v/>
      </c>
      <c r="P709" s="21">
        <f>ROUND(P708 + IF(AND(E709&gt;18, F709&lt;&gt;"ASTM A416"), L709, 0), 3)</f>
        <v/>
      </c>
      <c r="Q709" s="21">
        <f>ROUND(Q708 + IF(F709="ASTM A416", L709, 0), 3)</f>
        <v/>
      </c>
      <c r="R709" s="11">
        <f>IF(INT(N709/20)&gt;INT(N708/20), "Lần " &amp; INT(N709/20), "")</f>
        <v/>
      </c>
      <c r="S709" s="12">
        <f>IF(INT(O709/20)&gt;INT(O708/20), "Lần " &amp; INT(O709/20), "")</f>
        <v/>
      </c>
      <c r="T709" s="11">
        <f>IF(INT(P709/20)&gt;INT(P708/20), "Lần " &amp; INT(P709/20), "")</f>
        <v/>
      </c>
      <c r="U709" s="25">
        <f>IF(INT(Q709/20)&gt;INT(Q708/20), "Lần " &amp; INT(Q709/20), "")</f>
        <v/>
      </c>
      <c r="V709" s="6" t="inlineStr"/>
      <c r="W709" s="6" t="inlineStr">
        <is>
          <t>ĐẠT TCVN 1651:2018</t>
        </is>
      </c>
    </row>
    <row r="710" ht="19" customHeight="1">
      <c r="A710" s="6" t="n">
        <v>674</v>
      </c>
      <c r="B710" s="7" t="inlineStr">
        <is>
          <t>Dầm chủ Super-T (15 phiến L=38.2m)</t>
        </is>
      </c>
      <c r="C710" s="7" t="inlineStr">
        <is>
          <t>Sườn dầm / Cánh dầm</t>
        </is>
      </c>
      <c r="D710" s="19" t="inlineStr">
        <is>
          <t>E1</t>
        </is>
      </c>
      <c r="E710" s="20" t="n">
        <v>16</v>
      </c>
      <c r="F710" s="6" t="inlineStr">
        <is>
          <t>CB400-V</t>
        </is>
      </c>
      <c r="G710" s="7" t="inlineStr">
        <is>
          <t>S06</t>
        </is>
      </c>
      <c r="H710" s="21" t="n">
        <v>2.376</v>
      </c>
      <c r="I710" s="22" t="n">
        <v>3780</v>
      </c>
      <c r="J710" s="23" t="n">
        <v>1.58</v>
      </c>
      <c r="K710" s="9">
        <f>ROUND(H710*I710*J710, 2)</f>
        <v/>
      </c>
      <c r="L710" s="24">
        <f>ROUND(K710/1000, 3)</f>
        <v/>
      </c>
      <c r="M710" s="8" t="n"/>
      <c r="N710" s="21">
        <f>ROUND(N709 + IF(AND(E710&lt;=10, F710&lt;&gt;"ASTM A416"), L710, 0), 3)</f>
        <v/>
      </c>
      <c r="O710" s="21">
        <f>ROUND(O709 + IF(AND(E710&gt;10, E710&lt;=18, F710&lt;&gt;"ASTM A416"), L710, 0), 3)</f>
        <v/>
      </c>
      <c r="P710" s="21">
        <f>ROUND(P709 + IF(AND(E710&gt;18, F710&lt;&gt;"ASTM A416"), L710, 0), 3)</f>
        <v/>
      </c>
      <c r="Q710" s="21">
        <f>ROUND(Q709 + IF(F710="ASTM A416", L710, 0), 3)</f>
        <v/>
      </c>
      <c r="R710" s="11">
        <f>IF(INT(N710/20)&gt;INT(N709/20), "Lần " &amp; INT(N710/20), "")</f>
        <v/>
      </c>
      <c r="S710" s="12">
        <f>IF(INT(O710/20)&gt;INT(O709/20), "Lần " &amp; INT(O710/20), "")</f>
        <v/>
      </c>
      <c r="T710" s="11">
        <f>IF(INT(P710/20)&gt;INT(P709/20), "Lần " &amp; INT(P710/20), "")</f>
        <v/>
      </c>
      <c r="U710" s="25">
        <f>IF(INT(Q710/20)&gt;INT(Q709/20), "Lần " &amp; INT(Q710/20), "")</f>
        <v/>
      </c>
      <c r="V710" s="6" t="inlineStr"/>
      <c r="W710" s="6" t="inlineStr">
        <is>
          <t>ĐẠT TCVN 1651:2018</t>
        </is>
      </c>
    </row>
    <row r="711" ht="19" customHeight="1">
      <c r="A711" s="6" t="n">
        <v>675</v>
      </c>
      <c r="B711" s="7" t="inlineStr">
        <is>
          <t>Dầm chủ Super-T (15 phiến L=38.2m)</t>
        </is>
      </c>
      <c r="C711" s="7" t="inlineStr">
        <is>
          <t>Sườn dầm / Cánh dầm</t>
        </is>
      </c>
      <c r="D711" s="19" t="inlineStr">
        <is>
          <t>E2</t>
        </is>
      </c>
      <c r="E711" s="20" t="n">
        <v>16</v>
      </c>
      <c r="F711" s="6" t="inlineStr">
        <is>
          <t>CB400-V</t>
        </is>
      </c>
      <c r="G711" s="7" t="inlineStr">
        <is>
          <t>S06</t>
        </is>
      </c>
      <c r="H711" s="21" t="n">
        <v>3.932</v>
      </c>
      <c r="I711" s="22" t="n">
        <v>300</v>
      </c>
      <c r="J711" s="23" t="n">
        <v>1.58</v>
      </c>
      <c r="K711" s="9">
        <f>ROUND(H711*I711*J711, 2)</f>
        <v/>
      </c>
      <c r="L711" s="24">
        <f>ROUND(K711/1000, 3)</f>
        <v/>
      </c>
      <c r="M711" s="8" t="n"/>
      <c r="N711" s="21">
        <f>ROUND(N710 + IF(AND(E711&lt;=10, F711&lt;&gt;"ASTM A416"), L711, 0), 3)</f>
        <v/>
      </c>
      <c r="O711" s="21">
        <f>ROUND(O710 + IF(AND(E711&gt;10, E711&lt;=18, F711&lt;&gt;"ASTM A416"), L711, 0), 3)</f>
        <v/>
      </c>
      <c r="P711" s="21">
        <f>ROUND(P710 + IF(AND(E711&gt;18, F711&lt;&gt;"ASTM A416"), L711, 0), 3)</f>
        <v/>
      </c>
      <c r="Q711" s="21">
        <f>ROUND(Q710 + IF(F711="ASTM A416", L711, 0), 3)</f>
        <v/>
      </c>
      <c r="R711" s="11">
        <f>IF(INT(N711/20)&gt;INT(N710/20), "Lần " &amp; INT(N711/20), "")</f>
        <v/>
      </c>
      <c r="S711" s="12">
        <f>IF(INT(O711/20)&gt;INT(O710/20), "Lần " &amp; INT(O711/20), "")</f>
        <v/>
      </c>
      <c r="T711" s="11">
        <f>IF(INT(P711/20)&gt;INT(P710/20), "Lần " &amp; INT(P711/20), "")</f>
        <v/>
      </c>
      <c r="U711" s="25">
        <f>IF(INT(Q711/20)&gt;INT(Q710/20), "Lần " &amp; INT(Q711/20), "")</f>
        <v/>
      </c>
      <c r="V711" s="6" t="inlineStr"/>
      <c r="W711" s="6" t="inlineStr">
        <is>
          <t>ĐẠT TCVN 1651:2018</t>
        </is>
      </c>
    </row>
    <row r="712" ht="19" customHeight="1">
      <c r="A712" s="6" t="n">
        <v>676</v>
      </c>
      <c r="B712" s="7" t="inlineStr">
        <is>
          <t>Dầm chủ Super-T (15 phiến L=38.2m)</t>
        </is>
      </c>
      <c r="C712" s="7" t="inlineStr">
        <is>
          <t>Sườn dầm / Cánh dầm</t>
        </is>
      </c>
      <c r="D712" s="19" t="inlineStr">
        <is>
          <t>Thanh neo</t>
        </is>
      </c>
      <c r="E712" s="20" t="n">
        <v>20</v>
      </c>
      <c r="F712" s="6" t="inlineStr">
        <is>
          <t>CB400-V</t>
        </is>
      </c>
      <c r="G712" s="7" t="inlineStr">
        <is>
          <t>S06</t>
        </is>
      </c>
      <c r="H712" s="21" t="n">
        <v>0.11</v>
      </c>
      <c r="I712" s="22" t="n">
        <v>120</v>
      </c>
      <c r="J712" s="23" t="n">
        <v>2.47</v>
      </c>
      <c r="K712" s="9">
        <f>ROUND(H712*I712*J712, 2)</f>
        <v/>
      </c>
      <c r="L712" s="24">
        <f>ROUND(K712/1000, 3)</f>
        <v/>
      </c>
      <c r="M712" s="8" t="n"/>
      <c r="N712" s="21">
        <f>ROUND(N711 + IF(AND(E712&lt;=10, F712&lt;&gt;"ASTM A416"), L712, 0), 3)</f>
        <v/>
      </c>
      <c r="O712" s="21">
        <f>ROUND(O711 + IF(AND(E712&gt;10, E712&lt;=18, F712&lt;&gt;"ASTM A416"), L712, 0), 3)</f>
        <v/>
      </c>
      <c r="P712" s="21">
        <f>ROUND(P711 + IF(AND(E712&gt;18, F712&lt;&gt;"ASTM A416"), L712, 0), 3)</f>
        <v/>
      </c>
      <c r="Q712" s="21">
        <f>ROUND(Q711 + IF(F712="ASTM A416", L712, 0), 3)</f>
        <v/>
      </c>
      <c r="R712" s="11">
        <f>IF(INT(N712/20)&gt;INT(N711/20), "Lần " &amp; INT(N712/20), "")</f>
        <v/>
      </c>
      <c r="S712" s="12">
        <f>IF(INT(O712/20)&gt;INT(O711/20), "Lần " &amp; INT(O712/20), "")</f>
        <v/>
      </c>
      <c r="T712" s="11">
        <f>IF(INT(P712/20)&gt;INT(P711/20), "Lần " &amp; INT(P712/20), "")</f>
        <v/>
      </c>
      <c r="U712" s="25">
        <f>IF(INT(Q712/20)&gt;INT(Q711/20), "Lần " &amp; INT(Q712/20), "")</f>
        <v/>
      </c>
      <c r="V712" s="6" t="inlineStr"/>
      <c r="W712" s="6" t="inlineStr">
        <is>
          <t>ĐẠT TCVN 1651:2018</t>
        </is>
      </c>
    </row>
    <row r="713" ht="19" customHeight="1">
      <c r="A713" s="6" t="n">
        <v>677</v>
      </c>
      <c r="B713" s="7" t="inlineStr">
        <is>
          <t>Dầm chủ Super-T (15 phiến L=38.2m)</t>
        </is>
      </c>
      <c r="C713" s="7" t="inlineStr">
        <is>
          <t>Sườn dầm / Cánh dầm</t>
        </is>
      </c>
      <c r="D713" s="19" t="inlineStr">
        <is>
          <t>K1a</t>
        </is>
      </c>
      <c r="E713" s="20" t="n">
        <v>16</v>
      </c>
      <c r="F713" s="6" t="inlineStr">
        <is>
          <t>CB400-V</t>
        </is>
      </c>
      <c r="G713" s="7" t="inlineStr">
        <is>
          <t>S06</t>
        </is>
      </c>
      <c r="H713" s="21" t="n">
        <v>0.976</v>
      </c>
      <c r="I713" s="22" t="n">
        <v>120</v>
      </c>
      <c r="J713" s="23" t="n">
        <v>1.58</v>
      </c>
      <c r="K713" s="9">
        <f>ROUND(H713*I713*J713, 2)</f>
        <v/>
      </c>
      <c r="L713" s="24">
        <f>ROUND(K713/1000, 3)</f>
        <v/>
      </c>
      <c r="M713" s="8" t="n"/>
      <c r="N713" s="21">
        <f>ROUND(N712 + IF(AND(E713&lt;=10, F713&lt;&gt;"ASTM A416"), L713, 0), 3)</f>
        <v/>
      </c>
      <c r="O713" s="21">
        <f>ROUND(O712 + IF(AND(E713&gt;10, E713&lt;=18, F713&lt;&gt;"ASTM A416"), L713, 0), 3)</f>
        <v/>
      </c>
      <c r="P713" s="21">
        <f>ROUND(P712 + IF(AND(E713&gt;18, F713&lt;&gt;"ASTM A416"), L713, 0), 3)</f>
        <v/>
      </c>
      <c r="Q713" s="21">
        <f>ROUND(Q712 + IF(F713="ASTM A416", L713, 0), 3)</f>
        <v/>
      </c>
      <c r="R713" s="11">
        <f>IF(INT(N713/20)&gt;INT(N712/20), "Lần " &amp; INT(N713/20), "")</f>
        <v/>
      </c>
      <c r="S713" s="12">
        <f>IF(INT(O713/20)&gt;INT(O712/20), "Lần " &amp; INT(O713/20), "")</f>
        <v/>
      </c>
      <c r="T713" s="11">
        <f>IF(INT(P713/20)&gt;INT(P712/20), "Lần " &amp; INT(P713/20), "")</f>
        <v/>
      </c>
      <c r="U713" s="25">
        <f>IF(INT(Q713/20)&gt;INT(Q712/20), "Lần " &amp; INT(Q713/20), "")</f>
        <v/>
      </c>
      <c r="V713" s="6" t="inlineStr"/>
      <c r="W713" s="6" t="inlineStr">
        <is>
          <t>ĐẠT TCVN 1651:2018</t>
        </is>
      </c>
    </row>
    <row r="714" ht="19" customHeight="1">
      <c r="A714" s="6" t="n">
        <v>678</v>
      </c>
      <c r="B714" s="7" t="inlineStr">
        <is>
          <t>Dầm chủ Super-T (15 phiến L=38.2m)</t>
        </is>
      </c>
      <c r="C714" s="7" t="inlineStr">
        <is>
          <t>Sườn dầm / Cánh dầm</t>
        </is>
      </c>
      <c r="D714" s="19" t="inlineStr">
        <is>
          <t>K1b</t>
        </is>
      </c>
      <c r="E714" s="20" t="n">
        <v>16</v>
      </c>
      <c r="F714" s="6" t="inlineStr">
        <is>
          <t>CB400-V</t>
        </is>
      </c>
      <c r="G714" s="7" t="inlineStr">
        <is>
          <t>S06</t>
        </is>
      </c>
      <c r="H714" s="21" t="n">
        <v>0.776</v>
      </c>
      <c r="I714" s="22" t="n">
        <v>120</v>
      </c>
      <c r="J714" s="23" t="n">
        <v>1.58</v>
      </c>
      <c r="K714" s="9">
        <f>ROUND(H714*I714*J714, 2)</f>
        <v/>
      </c>
      <c r="L714" s="24">
        <f>ROUND(K714/1000, 3)</f>
        <v/>
      </c>
      <c r="M714" s="8" t="n"/>
      <c r="N714" s="21">
        <f>ROUND(N713 + IF(AND(E714&lt;=10, F714&lt;&gt;"ASTM A416"), L714, 0), 3)</f>
        <v/>
      </c>
      <c r="O714" s="21">
        <f>ROUND(O713 + IF(AND(E714&gt;10, E714&lt;=18, F714&lt;&gt;"ASTM A416"), L714, 0), 3)</f>
        <v/>
      </c>
      <c r="P714" s="21">
        <f>ROUND(P713 + IF(AND(E714&gt;18, F714&lt;&gt;"ASTM A416"), L714, 0), 3)</f>
        <v/>
      </c>
      <c r="Q714" s="21">
        <f>ROUND(Q713 + IF(F714="ASTM A416", L714, 0), 3)</f>
        <v/>
      </c>
      <c r="R714" s="11">
        <f>IF(INT(N714/20)&gt;INT(N713/20), "Lần " &amp; INT(N714/20), "")</f>
        <v/>
      </c>
      <c r="S714" s="12">
        <f>IF(INT(O714/20)&gt;INT(O713/20), "Lần " &amp; INT(O714/20), "")</f>
        <v/>
      </c>
      <c r="T714" s="11">
        <f>IF(INT(P714/20)&gt;INT(P713/20), "Lần " &amp; INT(P714/20), "")</f>
        <v/>
      </c>
      <c r="U714" s="25">
        <f>IF(INT(Q714/20)&gt;INT(Q713/20), "Lần " &amp; INT(Q714/20), "")</f>
        <v/>
      </c>
      <c r="V714" s="6" t="inlineStr"/>
      <c r="W714" s="6" t="inlineStr">
        <is>
          <t>ĐẠT TCVN 1651:2018</t>
        </is>
      </c>
    </row>
    <row r="715" ht="19" customHeight="1">
      <c r="A715" s="6" t="n">
        <v>679</v>
      </c>
      <c r="B715" s="7" t="inlineStr">
        <is>
          <t>Dầm chủ Super-T (15 phiến L=38.2m)</t>
        </is>
      </c>
      <c r="C715" s="7" t="inlineStr">
        <is>
          <t>Sườn dầm / Cánh dầm</t>
        </is>
      </c>
      <c r="D715" s="19" t="inlineStr">
        <is>
          <t>G1a</t>
        </is>
      </c>
      <c r="E715" s="20" t="n">
        <v>16</v>
      </c>
      <c r="F715" s="6" t="inlineStr">
        <is>
          <t>CB400-V</t>
        </is>
      </c>
      <c r="G715" s="7" t="inlineStr">
        <is>
          <t>S06</t>
        </is>
      </c>
      <c r="H715" s="21" t="n">
        <v>5.056</v>
      </c>
      <c r="I715" s="22" t="n">
        <v>2160</v>
      </c>
      <c r="J715" s="23" t="n">
        <v>1.58</v>
      </c>
      <c r="K715" s="9">
        <f>ROUND(H715*I715*J715, 2)</f>
        <v/>
      </c>
      <c r="L715" s="24">
        <f>ROUND(K715/1000, 3)</f>
        <v/>
      </c>
      <c r="M715" s="8" t="n"/>
      <c r="N715" s="21">
        <f>ROUND(N714 + IF(AND(E715&lt;=10, F715&lt;&gt;"ASTM A416"), L715, 0), 3)</f>
        <v/>
      </c>
      <c r="O715" s="21">
        <f>ROUND(O714 + IF(AND(E715&gt;10, E715&lt;=18, F715&lt;&gt;"ASTM A416"), L715, 0), 3)</f>
        <v/>
      </c>
      <c r="P715" s="21">
        <f>ROUND(P714 + IF(AND(E715&gt;18, F715&lt;&gt;"ASTM A416"), L715, 0), 3)</f>
        <v/>
      </c>
      <c r="Q715" s="21">
        <f>ROUND(Q714 + IF(F715="ASTM A416", L715, 0), 3)</f>
        <v/>
      </c>
      <c r="R715" s="11">
        <f>IF(INT(N715/20)&gt;INT(N714/20), "Lần " &amp; INT(N715/20), "")</f>
        <v/>
      </c>
      <c r="S715" s="12">
        <f>IF(INT(O715/20)&gt;INT(O714/20), "Lần " &amp; INT(O715/20), "")</f>
        <v/>
      </c>
      <c r="T715" s="11">
        <f>IF(INT(P715/20)&gt;INT(P714/20), "Lần " &amp; INT(P715/20), "")</f>
        <v/>
      </c>
      <c r="U715" s="25">
        <f>IF(INT(Q715/20)&gt;INT(Q714/20), "Lần " &amp; INT(Q715/20), "")</f>
        <v/>
      </c>
      <c r="V715" s="6" t="inlineStr"/>
      <c r="W715" s="6" t="inlineStr">
        <is>
          <t>ĐẠT TCVN 1651:2018</t>
        </is>
      </c>
    </row>
    <row r="716" ht="19" customHeight="1">
      <c r="A716" s="6" t="n">
        <v>680</v>
      </c>
      <c r="B716" s="7" t="inlineStr">
        <is>
          <t>Dầm chủ Super-T (15 phiến L=38.2m)</t>
        </is>
      </c>
      <c r="C716" s="7" t="inlineStr">
        <is>
          <t>Sườn dầm / Cánh dầm</t>
        </is>
      </c>
      <c r="D716" s="19" t="inlineStr">
        <is>
          <t>G1b</t>
        </is>
      </c>
      <c r="E716" s="20" t="n">
        <v>12</v>
      </c>
      <c r="F716" s="6" t="inlineStr">
        <is>
          <t>CB400-V</t>
        </is>
      </c>
      <c r="G716" s="7" t="inlineStr">
        <is>
          <t>S06</t>
        </is>
      </c>
      <c r="H716" s="21" t="n">
        <v>5.075</v>
      </c>
      <c r="I716" s="22" t="n">
        <v>1875</v>
      </c>
      <c r="J716" s="23" t="n">
        <v>0.888</v>
      </c>
      <c r="K716" s="9">
        <f>ROUND(H716*I716*J716, 2)</f>
        <v/>
      </c>
      <c r="L716" s="24">
        <f>ROUND(K716/1000, 3)</f>
        <v/>
      </c>
      <c r="M716" s="8" t="n"/>
      <c r="N716" s="21">
        <f>ROUND(N715 + IF(AND(E716&lt;=10, F716&lt;&gt;"ASTM A416"), L716, 0), 3)</f>
        <v/>
      </c>
      <c r="O716" s="21">
        <f>ROUND(O715 + IF(AND(E716&gt;10, E716&lt;=18, F716&lt;&gt;"ASTM A416"), L716, 0), 3)</f>
        <v/>
      </c>
      <c r="P716" s="21">
        <f>ROUND(P715 + IF(AND(E716&gt;18, F716&lt;&gt;"ASTM A416"), L716, 0), 3)</f>
        <v/>
      </c>
      <c r="Q716" s="21">
        <f>ROUND(Q715 + IF(F716="ASTM A416", L716, 0), 3)</f>
        <v/>
      </c>
      <c r="R716" s="11">
        <f>IF(INT(N716/20)&gt;INT(N715/20), "Lần " &amp; INT(N716/20), "")</f>
        <v/>
      </c>
      <c r="S716" s="12">
        <f>IF(INT(O716/20)&gt;INT(O715/20), "Lần " &amp; INT(O716/20), "")</f>
        <v/>
      </c>
      <c r="T716" s="11">
        <f>IF(INT(P716/20)&gt;INT(P715/20), "Lần " &amp; INT(P716/20), "")</f>
        <v/>
      </c>
      <c r="U716" s="25">
        <f>IF(INT(Q716/20)&gt;INT(Q715/20), "Lần " &amp; INT(Q716/20), "")</f>
        <v/>
      </c>
      <c r="V716" s="6" t="inlineStr"/>
      <c r="W716" s="6" t="inlineStr">
        <is>
          <t>ĐẠT TCVN 1651:2018</t>
        </is>
      </c>
    </row>
    <row r="717" ht="19" customHeight="1">
      <c r="A717" s="6" t="n">
        <v>681</v>
      </c>
      <c r="B717" s="7" t="inlineStr">
        <is>
          <t>Dầm chủ Super-T (15 phiến L=38.2m)</t>
        </is>
      </c>
      <c r="C717" s="7" t="inlineStr">
        <is>
          <t>Sườn dầm / Cánh dầm</t>
        </is>
      </c>
      <c r="D717" s="19" t="inlineStr">
        <is>
          <t>G2</t>
        </is>
      </c>
      <c r="E717" s="20" t="n">
        <v>12</v>
      </c>
      <c r="F717" s="6" t="inlineStr">
        <is>
          <t>CB400-V</t>
        </is>
      </c>
      <c r="G717" s="7" t="inlineStr">
        <is>
          <t>S06</t>
        </is>
      </c>
      <c r="H717" s="21" t="n">
        <v>1.184</v>
      </c>
      <c r="I717" s="22" t="n">
        <v>3825</v>
      </c>
      <c r="J717" s="23" t="n">
        <v>0.888</v>
      </c>
      <c r="K717" s="9">
        <f>ROUND(H717*I717*J717, 2)</f>
        <v/>
      </c>
      <c r="L717" s="24">
        <f>ROUND(K717/1000, 3)</f>
        <v/>
      </c>
      <c r="M717" s="8" t="n"/>
      <c r="N717" s="21">
        <f>ROUND(N716 + IF(AND(E717&lt;=10, F717&lt;&gt;"ASTM A416"), L717, 0), 3)</f>
        <v/>
      </c>
      <c r="O717" s="21">
        <f>ROUND(O716 + IF(AND(E717&gt;10, E717&lt;=18, F717&lt;&gt;"ASTM A416"), L717, 0), 3)</f>
        <v/>
      </c>
      <c r="P717" s="21">
        <f>ROUND(P716 + IF(AND(E717&gt;18, F717&lt;&gt;"ASTM A416"), L717, 0), 3)</f>
        <v/>
      </c>
      <c r="Q717" s="21">
        <f>ROUND(Q716 + IF(F717="ASTM A416", L717, 0), 3)</f>
        <v/>
      </c>
      <c r="R717" s="11">
        <f>IF(INT(N717/20)&gt;INT(N716/20), "Lần " &amp; INT(N717/20), "")</f>
        <v/>
      </c>
      <c r="S717" s="12">
        <f>IF(INT(O717/20)&gt;INT(O716/20), "Lần " &amp; INT(O717/20), "")</f>
        <v/>
      </c>
      <c r="T717" s="11">
        <f>IF(INT(P717/20)&gt;INT(P716/20), "Lần " &amp; INT(P717/20), "")</f>
        <v/>
      </c>
      <c r="U717" s="25">
        <f>IF(INT(Q717/20)&gt;INT(Q716/20), "Lần " &amp; INT(Q717/20), "")</f>
        <v/>
      </c>
      <c r="V717" s="6" t="inlineStr"/>
      <c r="W717" s="6" t="inlineStr">
        <is>
          <t>ĐẠT TCVN 1651:2018</t>
        </is>
      </c>
    </row>
    <row r="718" ht="19" customHeight="1">
      <c r="A718" s="6" t="n">
        <v>682</v>
      </c>
      <c r="B718" s="7" t="inlineStr">
        <is>
          <t>Dầm chủ Super-T (15 phiến L=38.2m)</t>
        </is>
      </c>
      <c r="C718" s="7" t="inlineStr">
        <is>
          <t>Sườn dầm / Cánh dầm</t>
        </is>
      </c>
      <c r="D718" s="19" t="inlineStr">
        <is>
          <t>G2a</t>
        </is>
      </c>
      <c r="E718" s="20" t="n">
        <v>12</v>
      </c>
      <c r="F718" s="6" t="inlineStr">
        <is>
          <t>CB400-V</t>
        </is>
      </c>
      <c r="G718" s="7" t="inlineStr">
        <is>
          <t>S06</t>
        </is>
      </c>
      <c r="H718" s="21" t="n">
        <v>1.284</v>
      </c>
      <c r="I718" s="22" t="n">
        <v>4035</v>
      </c>
      <c r="J718" s="23" t="n">
        <v>0.888</v>
      </c>
      <c r="K718" s="9">
        <f>ROUND(H718*I718*J718, 2)</f>
        <v/>
      </c>
      <c r="L718" s="24">
        <f>ROUND(K718/1000, 3)</f>
        <v/>
      </c>
      <c r="M718" s="8" t="n"/>
      <c r="N718" s="21">
        <f>ROUND(N717 + IF(AND(E718&lt;=10, F718&lt;&gt;"ASTM A416"), L718, 0), 3)</f>
        <v/>
      </c>
      <c r="O718" s="21">
        <f>ROUND(O717 + IF(AND(E718&gt;10, E718&lt;=18, F718&lt;&gt;"ASTM A416"), L718, 0), 3)</f>
        <v/>
      </c>
      <c r="P718" s="21">
        <f>ROUND(P717 + IF(AND(E718&gt;18, F718&lt;&gt;"ASTM A416"), L718, 0), 3)</f>
        <v/>
      </c>
      <c r="Q718" s="21">
        <f>ROUND(Q717 + IF(F718="ASTM A416", L718, 0), 3)</f>
        <v/>
      </c>
      <c r="R718" s="11">
        <f>IF(INT(N718/20)&gt;INT(N717/20), "Lần " &amp; INT(N718/20), "")</f>
        <v/>
      </c>
      <c r="S718" s="12">
        <f>IF(INT(O718/20)&gt;INT(O717/20), "Lần " &amp; INT(O718/20), "")</f>
        <v/>
      </c>
      <c r="T718" s="11">
        <f>IF(INT(P718/20)&gt;INT(P717/20), "Lần " &amp; INT(P718/20), "")</f>
        <v/>
      </c>
      <c r="U718" s="25">
        <f>IF(INT(Q718/20)&gt;INT(Q717/20), "Lần " &amp; INT(Q718/20), "")</f>
        <v/>
      </c>
      <c r="V718" s="6" t="inlineStr"/>
      <c r="W718" s="6" t="inlineStr">
        <is>
          <t>ĐẠT TCVN 1651:2018</t>
        </is>
      </c>
    </row>
    <row r="719" ht="19" customHeight="1">
      <c r="A719" s="6" t="n">
        <v>683</v>
      </c>
      <c r="B719" s="7" t="inlineStr">
        <is>
          <t>Dầm chủ Super-T (15 phiến L=38.2m)</t>
        </is>
      </c>
      <c r="C719" s="7" t="inlineStr">
        <is>
          <t>Sườn dầm / Cánh dầm</t>
        </is>
      </c>
      <c r="D719" s="19" t="inlineStr">
        <is>
          <t>G3</t>
        </is>
      </c>
      <c r="E719" s="20" t="n">
        <v>12</v>
      </c>
      <c r="F719" s="6" t="inlineStr">
        <is>
          <t>CB400-V</t>
        </is>
      </c>
      <c r="G719" s="7" t="inlineStr">
        <is>
          <t>S06</t>
        </is>
      </c>
      <c r="H719" s="21" t="n">
        <v>1.259</v>
      </c>
      <c r="I719" s="22" t="n">
        <v>4035</v>
      </c>
      <c r="J719" s="23" t="n">
        <v>0.888</v>
      </c>
      <c r="K719" s="9">
        <f>ROUND(H719*I719*J719, 2)</f>
        <v/>
      </c>
      <c r="L719" s="24">
        <f>ROUND(K719/1000, 3)</f>
        <v/>
      </c>
      <c r="M719" s="8" t="n"/>
      <c r="N719" s="21">
        <f>ROUND(N718 + IF(AND(E719&lt;=10, F719&lt;&gt;"ASTM A416"), L719, 0), 3)</f>
        <v/>
      </c>
      <c r="O719" s="21">
        <f>ROUND(O718 + IF(AND(E719&gt;10, E719&lt;=18, F719&lt;&gt;"ASTM A416"), L719, 0), 3)</f>
        <v/>
      </c>
      <c r="P719" s="21">
        <f>ROUND(P718 + IF(AND(E719&gt;18, F719&lt;&gt;"ASTM A416"), L719, 0), 3)</f>
        <v/>
      </c>
      <c r="Q719" s="21">
        <f>ROUND(Q718 + IF(F719="ASTM A416", L719, 0), 3)</f>
        <v/>
      </c>
      <c r="R719" s="11">
        <f>IF(INT(N719/20)&gt;INT(N718/20), "Lần " &amp; INT(N719/20), "")</f>
        <v/>
      </c>
      <c r="S719" s="12">
        <f>IF(INT(O719/20)&gt;INT(O718/20), "Lần " &amp; INT(O719/20), "")</f>
        <v/>
      </c>
      <c r="T719" s="11">
        <f>IF(INT(P719/20)&gt;INT(P718/20), "Lần " &amp; INT(P719/20), "")</f>
        <v/>
      </c>
      <c r="U719" s="25">
        <f>IF(INT(Q719/20)&gt;INT(Q718/20), "Lần " &amp; INT(Q719/20), "")</f>
        <v/>
      </c>
      <c r="V719" s="6" t="inlineStr"/>
      <c r="W719" s="6" t="inlineStr">
        <is>
          <t>ĐẠT TCVN 1651:2018</t>
        </is>
      </c>
    </row>
    <row r="720" ht="19" customHeight="1">
      <c r="A720" s="6" t="n">
        <v>684</v>
      </c>
      <c r="B720" s="7" t="inlineStr">
        <is>
          <t>Dầm chủ Super-T (15 phiến L=38.2m)</t>
        </is>
      </c>
      <c r="C720" s="7" t="inlineStr">
        <is>
          <t>Sườn dầm / Cánh dầm</t>
        </is>
      </c>
      <c r="D720" s="19" t="inlineStr">
        <is>
          <t>G4a1</t>
        </is>
      </c>
      <c r="E720" s="20" t="n">
        <v>12</v>
      </c>
      <c r="F720" s="6" t="inlineStr">
        <is>
          <t>CB400-V</t>
        </is>
      </c>
      <c r="G720" s="7" t="inlineStr">
        <is>
          <t>S01</t>
        </is>
      </c>
      <c r="H720" s="21" t="n">
        <v>11.7</v>
      </c>
      <c r="I720" s="22" t="n">
        <v>315</v>
      </c>
      <c r="J720" s="23" t="n">
        <v>0.888</v>
      </c>
      <c r="K720" s="9">
        <f>ROUND(H720*I720*J720, 2)</f>
        <v/>
      </c>
      <c r="L720" s="24">
        <f>ROUND(K720/1000, 3)</f>
        <v/>
      </c>
      <c r="M720" s="8" t="n"/>
      <c r="N720" s="21">
        <f>ROUND(N719 + IF(AND(E720&lt;=10, F720&lt;&gt;"ASTM A416"), L720, 0), 3)</f>
        <v/>
      </c>
      <c r="O720" s="21">
        <f>ROUND(O719 + IF(AND(E720&gt;10, E720&lt;=18, F720&lt;&gt;"ASTM A416"), L720, 0), 3)</f>
        <v/>
      </c>
      <c r="P720" s="21">
        <f>ROUND(P719 + IF(AND(E720&gt;18, F720&lt;&gt;"ASTM A416"), L720, 0), 3)</f>
        <v/>
      </c>
      <c r="Q720" s="21">
        <f>ROUND(Q719 + IF(F720="ASTM A416", L720, 0), 3)</f>
        <v/>
      </c>
      <c r="R720" s="11">
        <f>IF(INT(N720/20)&gt;INT(N719/20), "Lần " &amp; INT(N720/20), "")</f>
        <v/>
      </c>
      <c r="S720" s="12">
        <f>IF(INT(O720/20)&gt;INT(O719/20), "Lần " &amp; INT(O720/20), "")</f>
        <v/>
      </c>
      <c r="T720" s="11">
        <f>IF(INT(P720/20)&gt;INT(P719/20), "Lần " &amp; INT(P720/20), "")</f>
        <v/>
      </c>
      <c r="U720" s="25">
        <f>IF(INT(Q720/20)&gt;INT(Q719/20), "Lần " &amp; INT(Q720/20), "")</f>
        <v/>
      </c>
      <c r="V720" s="6" t="inlineStr"/>
      <c r="W720" s="6" t="inlineStr">
        <is>
          <t>ĐẠT TCVN 1651:2018</t>
        </is>
      </c>
    </row>
    <row r="721" ht="19" customHeight="1">
      <c r="A721" s="6" t="n">
        <v>685</v>
      </c>
      <c r="B721" s="7" t="inlineStr">
        <is>
          <t>Dầm chủ Super-T (15 phiến L=38.2m)</t>
        </is>
      </c>
      <c r="C721" s="7" t="inlineStr">
        <is>
          <t>Sườn dầm / Cánh dầm</t>
        </is>
      </c>
      <c r="D721" s="19" t="inlineStr">
        <is>
          <t>G4a2</t>
        </is>
      </c>
      <c r="E721" s="20" t="n">
        <v>12</v>
      </c>
      <c r="F721" s="6" t="inlineStr">
        <is>
          <t>CB400-V</t>
        </is>
      </c>
      <c r="G721" s="7" t="inlineStr">
        <is>
          <t>S06</t>
        </is>
      </c>
      <c r="H721" s="21" t="n">
        <v>4.46</v>
      </c>
      <c r="I721" s="22" t="n">
        <v>105</v>
      </c>
      <c r="J721" s="23" t="n">
        <v>0.888</v>
      </c>
      <c r="K721" s="9">
        <f>ROUND(H721*I721*J721, 2)</f>
        <v/>
      </c>
      <c r="L721" s="24">
        <f>ROUND(K721/1000, 3)</f>
        <v/>
      </c>
      <c r="M721" s="8" t="n"/>
      <c r="N721" s="21">
        <f>ROUND(N720 + IF(AND(E721&lt;=10, F721&lt;&gt;"ASTM A416"), L721, 0), 3)</f>
        <v/>
      </c>
      <c r="O721" s="21">
        <f>ROUND(O720 + IF(AND(E721&gt;10, E721&lt;=18, F721&lt;&gt;"ASTM A416"), L721, 0), 3)</f>
        <v/>
      </c>
      <c r="P721" s="21">
        <f>ROUND(P720 + IF(AND(E721&gt;18, F721&lt;&gt;"ASTM A416"), L721, 0), 3)</f>
        <v/>
      </c>
      <c r="Q721" s="21">
        <f>ROUND(Q720 + IF(F721="ASTM A416", L721, 0), 3)</f>
        <v/>
      </c>
      <c r="R721" s="11">
        <f>IF(INT(N721/20)&gt;INT(N720/20), "Lần " &amp; INT(N721/20), "")</f>
        <v/>
      </c>
      <c r="S721" s="12">
        <f>IF(INT(O721/20)&gt;INT(O720/20), "Lần " &amp; INT(O721/20), "")</f>
        <v/>
      </c>
      <c r="T721" s="11">
        <f>IF(INT(P721/20)&gt;INT(P720/20), "Lần " &amp; INT(P721/20), "")</f>
        <v/>
      </c>
      <c r="U721" s="25">
        <f>IF(INT(Q721/20)&gt;INT(Q720/20), "Lần " &amp; INT(Q721/20), "")</f>
        <v/>
      </c>
      <c r="V721" s="6" t="inlineStr"/>
      <c r="W721" s="6" t="inlineStr">
        <is>
          <t>ĐẠT TCVN 1651:2018</t>
        </is>
      </c>
    </row>
    <row r="722" ht="19" customHeight="1">
      <c r="A722" s="6" t="n">
        <v>686</v>
      </c>
      <c r="B722" s="7" t="inlineStr">
        <is>
          <t>Dầm chủ Super-T (15 phiến L=38.2m)</t>
        </is>
      </c>
      <c r="C722" s="7" t="inlineStr">
        <is>
          <t>Sườn dầm / Cánh dầm</t>
        </is>
      </c>
      <c r="D722" s="19" t="inlineStr">
        <is>
          <t>G4b1</t>
        </is>
      </c>
      <c r="E722" s="20" t="n">
        <v>12</v>
      </c>
      <c r="F722" s="6" t="inlineStr">
        <is>
          <t>CB400-V</t>
        </is>
      </c>
      <c r="G722" s="7" t="inlineStr">
        <is>
          <t>S01</t>
        </is>
      </c>
      <c r="H722" s="21" t="n">
        <v>11.7</v>
      </c>
      <c r="I722" s="22" t="n">
        <v>180</v>
      </c>
      <c r="J722" s="23" t="n">
        <v>0.888</v>
      </c>
      <c r="K722" s="9">
        <f>ROUND(H722*I722*J722, 2)</f>
        <v/>
      </c>
      <c r="L722" s="24">
        <f>ROUND(K722/1000, 3)</f>
        <v/>
      </c>
      <c r="M722" s="8" t="n"/>
      <c r="N722" s="21">
        <f>ROUND(N721 + IF(AND(E722&lt;=10, F722&lt;&gt;"ASTM A416"), L722, 0), 3)</f>
        <v/>
      </c>
      <c r="O722" s="21">
        <f>ROUND(O721 + IF(AND(E722&gt;10, E722&lt;=18, F722&lt;&gt;"ASTM A416"), L722, 0), 3)</f>
        <v/>
      </c>
      <c r="P722" s="21">
        <f>ROUND(P721 + IF(AND(E722&gt;18, F722&lt;&gt;"ASTM A416"), L722, 0), 3)</f>
        <v/>
      </c>
      <c r="Q722" s="21">
        <f>ROUND(Q721 + IF(F722="ASTM A416", L722, 0), 3)</f>
        <v/>
      </c>
      <c r="R722" s="11">
        <f>IF(INT(N722/20)&gt;INT(N721/20), "Lần " &amp; INT(N722/20), "")</f>
        <v/>
      </c>
      <c r="S722" s="12">
        <f>IF(INT(O722/20)&gt;INT(O721/20), "Lần " &amp; INT(O722/20), "")</f>
        <v/>
      </c>
      <c r="T722" s="11">
        <f>IF(INT(P722/20)&gt;INT(P721/20), "Lần " &amp; INT(P722/20), "")</f>
        <v/>
      </c>
      <c r="U722" s="25">
        <f>IF(INT(Q722/20)&gt;INT(Q721/20), "Lần " &amp; INT(Q722/20), "")</f>
        <v/>
      </c>
      <c r="V722" s="6" t="inlineStr"/>
      <c r="W722" s="6" t="inlineStr">
        <is>
          <t>ĐẠT TCVN 1651:2018</t>
        </is>
      </c>
    </row>
    <row r="723" ht="19" customHeight="1">
      <c r="A723" s="6" t="n">
        <v>687</v>
      </c>
      <c r="B723" s="7" t="inlineStr">
        <is>
          <t>Dầm chủ Super-T (15 phiến L=38.2m)</t>
        </is>
      </c>
      <c r="C723" s="7" t="inlineStr">
        <is>
          <t>Sườn dầm / Cánh dầm</t>
        </is>
      </c>
      <c r="D723" s="19" t="inlineStr">
        <is>
          <t>G4b2</t>
        </is>
      </c>
      <c r="E723" s="20" t="n">
        <v>12</v>
      </c>
      <c r="F723" s="6" t="inlineStr">
        <is>
          <t>CB400-V</t>
        </is>
      </c>
      <c r="G723" s="7" t="inlineStr">
        <is>
          <t>S06</t>
        </is>
      </c>
      <c r="H723" s="21" t="n">
        <v>3.06</v>
      </c>
      <c r="I723" s="22" t="n">
        <v>60</v>
      </c>
      <c r="J723" s="23" t="n">
        <v>0.888</v>
      </c>
      <c r="K723" s="9">
        <f>ROUND(H723*I723*J723, 2)</f>
        <v/>
      </c>
      <c r="L723" s="24">
        <f>ROUND(K723/1000, 3)</f>
        <v/>
      </c>
      <c r="M723" s="8" t="n"/>
      <c r="N723" s="21">
        <f>ROUND(N722 + IF(AND(E723&lt;=10, F723&lt;&gt;"ASTM A416"), L723, 0), 3)</f>
        <v/>
      </c>
      <c r="O723" s="21">
        <f>ROUND(O722 + IF(AND(E723&gt;10, E723&lt;=18, F723&lt;&gt;"ASTM A416"), L723, 0), 3)</f>
        <v/>
      </c>
      <c r="P723" s="21">
        <f>ROUND(P722 + IF(AND(E723&gt;18, F723&lt;&gt;"ASTM A416"), L723, 0), 3)</f>
        <v/>
      </c>
      <c r="Q723" s="21">
        <f>ROUND(Q722 + IF(F723="ASTM A416", L723, 0), 3)</f>
        <v/>
      </c>
      <c r="R723" s="11">
        <f>IF(INT(N723/20)&gt;INT(N722/20), "Lần " &amp; INT(N723/20), "")</f>
        <v/>
      </c>
      <c r="S723" s="12">
        <f>IF(INT(O723/20)&gt;INT(O722/20), "Lần " &amp; INT(O723/20), "")</f>
        <v/>
      </c>
      <c r="T723" s="11">
        <f>IF(INT(P723/20)&gt;INT(P722/20), "Lần " &amp; INT(P723/20), "")</f>
        <v/>
      </c>
      <c r="U723" s="25">
        <f>IF(INT(Q723/20)&gt;INT(Q722/20), "Lần " &amp; INT(Q723/20), "")</f>
        <v/>
      </c>
      <c r="V723" s="6" t="inlineStr"/>
      <c r="W723" s="6" t="inlineStr">
        <is>
          <t>ĐẠT TCVN 1651:2018</t>
        </is>
      </c>
    </row>
    <row r="724" ht="19" customHeight="1">
      <c r="A724" s="6" t="n">
        <v>688</v>
      </c>
      <c r="B724" s="7" t="inlineStr">
        <is>
          <t>Dầm chủ Super-T (15 phiến L=38.2m)</t>
        </is>
      </c>
      <c r="C724" s="7" t="inlineStr">
        <is>
          <t>Sườn dầm / Cánh dầm</t>
        </is>
      </c>
      <c r="D724" s="19" t="inlineStr">
        <is>
          <t>G5a</t>
        </is>
      </c>
      <c r="E724" s="20" t="n">
        <v>16</v>
      </c>
      <c r="F724" s="6" t="inlineStr">
        <is>
          <t>CB400-V</t>
        </is>
      </c>
      <c r="G724" s="7" t="inlineStr">
        <is>
          <t>S01</t>
        </is>
      </c>
      <c r="H724" s="21" t="n">
        <v>11.7</v>
      </c>
      <c r="I724" s="22" t="n">
        <v>420</v>
      </c>
      <c r="J724" s="23" t="n">
        <v>1.58</v>
      </c>
      <c r="K724" s="9">
        <f>ROUND(H724*I724*J724, 2)</f>
        <v/>
      </c>
      <c r="L724" s="24">
        <f>ROUND(K724/1000, 3)</f>
        <v/>
      </c>
      <c r="M724" s="8" t="n"/>
      <c r="N724" s="21">
        <f>ROUND(N723 + IF(AND(E724&lt;=10, F724&lt;&gt;"ASTM A416"), L724, 0), 3)</f>
        <v/>
      </c>
      <c r="O724" s="21">
        <f>ROUND(O723 + IF(AND(E724&gt;10, E724&lt;=18, F724&lt;&gt;"ASTM A416"), L724, 0), 3)</f>
        <v/>
      </c>
      <c r="P724" s="21">
        <f>ROUND(P723 + IF(AND(E724&gt;18, F724&lt;&gt;"ASTM A416"), L724, 0), 3)</f>
        <v/>
      </c>
      <c r="Q724" s="21">
        <f>ROUND(Q723 + IF(F724="ASTM A416", L724, 0), 3)</f>
        <v/>
      </c>
      <c r="R724" s="11">
        <f>IF(INT(N724/20)&gt;INT(N723/20), "Lần " &amp; INT(N724/20), "")</f>
        <v/>
      </c>
      <c r="S724" s="12">
        <f>IF(INT(O724/20)&gt;INT(O723/20), "Lần " &amp; INT(O724/20), "")</f>
        <v/>
      </c>
      <c r="T724" s="11">
        <f>IF(INT(P724/20)&gt;INT(P723/20), "Lần " &amp; INT(P724/20), "")</f>
        <v/>
      </c>
      <c r="U724" s="25">
        <f>IF(INT(Q724/20)&gt;INT(Q723/20), "Lần " &amp; INT(Q724/20), "")</f>
        <v/>
      </c>
      <c r="V724" s="6" t="inlineStr"/>
      <c r="W724" s="6" t="inlineStr">
        <is>
          <t>ĐẠT TCVN 1651:2018</t>
        </is>
      </c>
    </row>
    <row r="725" ht="19" customHeight="1">
      <c r="A725" s="6" t="n">
        <v>689</v>
      </c>
      <c r="B725" s="7" t="inlineStr">
        <is>
          <t>Dầm chủ Super-T (15 phiến L=38.2m)</t>
        </is>
      </c>
      <c r="C725" s="7" t="inlineStr">
        <is>
          <t>Sườn dầm / Cánh dầm</t>
        </is>
      </c>
      <c r="D725" s="19" t="inlineStr">
        <is>
          <t>G5b</t>
        </is>
      </c>
      <c r="E725" s="20" t="n">
        <v>18</v>
      </c>
      <c r="F725" s="6" t="inlineStr">
        <is>
          <t>CB400-V</t>
        </is>
      </c>
      <c r="G725" s="7" t="inlineStr">
        <is>
          <t>S06</t>
        </is>
      </c>
      <c r="H725" s="21" t="n">
        <v>2.86</v>
      </c>
      <c r="I725" s="22" t="n">
        <v>210</v>
      </c>
      <c r="J725" s="23" t="n">
        <v>2</v>
      </c>
      <c r="K725" s="9">
        <f>ROUND(H725*I725*J725, 2)</f>
        <v/>
      </c>
      <c r="L725" s="24">
        <f>ROUND(K725/1000, 3)</f>
        <v/>
      </c>
      <c r="M725" s="8" t="n"/>
      <c r="N725" s="21">
        <f>ROUND(N724 + IF(AND(E725&lt;=10, F725&lt;&gt;"ASTM A416"), L725, 0), 3)</f>
        <v/>
      </c>
      <c r="O725" s="21">
        <f>ROUND(O724 + IF(AND(E725&gt;10, E725&lt;=18, F725&lt;&gt;"ASTM A416"), L725, 0), 3)</f>
        <v/>
      </c>
      <c r="P725" s="21">
        <f>ROUND(P724 + IF(AND(E725&gt;18, F725&lt;&gt;"ASTM A416"), L725, 0), 3)</f>
        <v/>
      </c>
      <c r="Q725" s="21">
        <f>ROUND(Q724 + IF(F725="ASTM A416", L725, 0), 3)</f>
        <v/>
      </c>
      <c r="R725" s="11">
        <f>IF(INT(N725/20)&gt;INT(N724/20), "Lần " &amp; INT(N725/20), "")</f>
        <v/>
      </c>
      <c r="S725" s="12">
        <f>IF(INT(O725/20)&gt;INT(O724/20), "Lần " &amp; INT(O725/20), "")</f>
        <v/>
      </c>
      <c r="T725" s="11">
        <f>IF(INT(P725/20)&gt;INT(P724/20), "Lần " &amp; INT(P725/20), "")</f>
        <v/>
      </c>
      <c r="U725" s="25">
        <f>IF(INT(Q725/20)&gt;INT(Q724/20), "Lần " &amp; INT(Q725/20), "")</f>
        <v/>
      </c>
      <c r="V725" s="6" t="inlineStr"/>
      <c r="W725" s="6" t="inlineStr">
        <is>
          <t>ĐẠT TCVN 1651:2018</t>
        </is>
      </c>
    </row>
    <row r="726" ht="19" customHeight="1">
      <c r="A726" s="6" t="n">
        <v>690</v>
      </c>
      <c r="B726" s="7" t="inlineStr">
        <is>
          <t>Dầm chủ Super-T (15 phiến L=38.2m)</t>
        </is>
      </c>
      <c r="C726" s="7" t="inlineStr">
        <is>
          <t>Sườn dầm / Cánh dầm</t>
        </is>
      </c>
      <c r="D726" s="19" t="inlineStr">
        <is>
          <t>G5c</t>
        </is>
      </c>
      <c r="E726" s="20" t="n">
        <v>16</v>
      </c>
      <c r="F726" s="6" t="inlineStr">
        <is>
          <t>CB400-V</t>
        </is>
      </c>
      <c r="G726" s="7" t="inlineStr">
        <is>
          <t>S01</t>
        </is>
      </c>
      <c r="H726" s="21" t="n">
        <v>10.68</v>
      </c>
      <c r="I726" s="22" t="n">
        <v>210</v>
      </c>
      <c r="J726" s="23" t="n">
        <v>1.58</v>
      </c>
      <c r="K726" s="9">
        <f>ROUND(H726*I726*J726, 2)</f>
        <v/>
      </c>
      <c r="L726" s="24">
        <f>ROUND(K726/1000, 3)</f>
        <v/>
      </c>
      <c r="M726" s="8" t="n"/>
      <c r="N726" s="21">
        <f>ROUND(N725 + IF(AND(E726&lt;=10, F726&lt;&gt;"ASTM A416"), L726, 0), 3)</f>
        <v/>
      </c>
      <c r="O726" s="21">
        <f>ROUND(O725 + IF(AND(E726&gt;10, E726&lt;=18, F726&lt;&gt;"ASTM A416"), L726, 0), 3)</f>
        <v/>
      </c>
      <c r="P726" s="21">
        <f>ROUND(P725 + IF(AND(E726&gt;18, F726&lt;&gt;"ASTM A416"), L726, 0), 3)</f>
        <v/>
      </c>
      <c r="Q726" s="21">
        <f>ROUND(Q725 + IF(F726="ASTM A416", L726, 0), 3)</f>
        <v/>
      </c>
      <c r="R726" s="11">
        <f>IF(INT(N726/20)&gt;INT(N725/20), "Lần " &amp; INT(N726/20), "")</f>
        <v/>
      </c>
      <c r="S726" s="12">
        <f>IF(INT(O726/20)&gt;INT(O725/20), "Lần " &amp; INT(O726/20), "")</f>
        <v/>
      </c>
      <c r="T726" s="11">
        <f>IF(INT(P726/20)&gt;INT(P725/20), "Lần " &amp; INT(P726/20), "")</f>
        <v/>
      </c>
      <c r="U726" s="25">
        <f>IF(INT(Q726/20)&gt;INT(Q725/20), "Lần " &amp; INT(Q726/20), "")</f>
        <v/>
      </c>
      <c r="V726" s="6" t="inlineStr"/>
      <c r="W726" s="6" t="inlineStr">
        <is>
          <t>ĐẠT TCVN 1651:2018</t>
        </is>
      </c>
    </row>
    <row r="727" ht="19" customHeight="1">
      <c r="A727" s="6" t="n">
        <v>691</v>
      </c>
      <c r="B727" s="7" t="inlineStr">
        <is>
          <t>Dầm chủ Super-T (15 phiến L=38.2m)</t>
        </is>
      </c>
      <c r="C727" s="7" t="inlineStr">
        <is>
          <t>Sườn dầm / Cánh dầm</t>
        </is>
      </c>
      <c r="D727" s="19" t="inlineStr">
        <is>
          <t>G5d</t>
        </is>
      </c>
      <c r="E727" s="20" t="n">
        <v>18</v>
      </c>
      <c r="F727" s="6" t="inlineStr">
        <is>
          <t>CB400-V</t>
        </is>
      </c>
      <c r="G727" s="7" t="inlineStr">
        <is>
          <t>S06</t>
        </is>
      </c>
      <c r="H727" s="21" t="n">
        <v>3.9</v>
      </c>
      <c r="I727" s="22" t="n">
        <v>210</v>
      </c>
      <c r="J727" s="23" t="n">
        <v>2</v>
      </c>
      <c r="K727" s="9">
        <f>ROUND(H727*I727*J727, 2)</f>
        <v/>
      </c>
      <c r="L727" s="24">
        <f>ROUND(K727/1000, 3)</f>
        <v/>
      </c>
      <c r="M727" s="8" t="n"/>
      <c r="N727" s="21">
        <f>ROUND(N726 + IF(AND(E727&lt;=10, F727&lt;&gt;"ASTM A416"), L727, 0), 3)</f>
        <v/>
      </c>
      <c r="O727" s="21">
        <f>ROUND(O726 + IF(AND(E727&gt;10, E727&lt;=18, F727&lt;&gt;"ASTM A416"), L727, 0), 3)</f>
        <v/>
      </c>
      <c r="P727" s="21">
        <f>ROUND(P726 + IF(AND(E727&gt;18, F727&lt;&gt;"ASTM A416"), L727, 0), 3)</f>
        <v/>
      </c>
      <c r="Q727" s="21">
        <f>ROUND(Q726 + IF(F727="ASTM A416", L727, 0), 3)</f>
        <v/>
      </c>
      <c r="R727" s="11">
        <f>IF(INT(N727/20)&gt;INT(N726/20), "Lần " &amp; INT(N727/20), "")</f>
        <v/>
      </c>
      <c r="S727" s="12">
        <f>IF(INT(O727/20)&gt;INT(O726/20), "Lần " &amp; INT(O727/20), "")</f>
        <v/>
      </c>
      <c r="T727" s="11">
        <f>IF(INT(P727/20)&gt;INT(P726/20), "Lần " &amp; INT(P727/20), "")</f>
        <v/>
      </c>
      <c r="U727" s="25">
        <f>IF(INT(Q727/20)&gt;INT(Q726/20), "Lần " &amp; INT(Q727/20), "")</f>
        <v/>
      </c>
      <c r="V727" s="6" t="inlineStr"/>
      <c r="W727" s="6" t="inlineStr">
        <is>
          <t>ĐẠT TCVN 1651:2018</t>
        </is>
      </c>
    </row>
    <row r="728" ht="19" customHeight="1">
      <c r="A728" s="6" t="n">
        <v>692</v>
      </c>
      <c r="B728" s="7" t="inlineStr">
        <is>
          <t>Dầm chủ Super-T (15 phiến L=38.2m)</t>
        </is>
      </c>
      <c r="C728" s="7" t="inlineStr">
        <is>
          <t>Sườn dầm / Cánh dầm</t>
        </is>
      </c>
      <c r="D728" s="19" t="inlineStr">
        <is>
          <t>G6a</t>
        </is>
      </c>
      <c r="E728" s="20" t="n">
        <v>32</v>
      </c>
      <c r="F728" s="6" t="inlineStr">
        <is>
          <t>CB400-V</t>
        </is>
      </c>
      <c r="G728" s="7" t="inlineStr">
        <is>
          <t>S01</t>
        </is>
      </c>
      <c r="H728" s="21" t="n">
        <v>11.7</v>
      </c>
      <c r="I728" s="22" t="n">
        <v>135</v>
      </c>
      <c r="J728" s="23" t="n">
        <v>6.31</v>
      </c>
      <c r="K728" s="9">
        <f>ROUND(H728*I728*J728, 2)</f>
        <v/>
      </c>
      <c r="L728" s="24">
        <f>ROUND(K728/1000, 3)</f>
        <v/>
      </c>
      <c r="M728" s="8" t="n"/>
      <c r="N728" s="21">
        <f>ROUND(N727 + IF(AND(E728&lt;=10, F728&lt;&gt;"ASTM A416"), L728, 0), 3)</f>
        <v/>
      </c>
      <c r="O728" s="21">
        <f>ROUND(O727 + IF(AND(E728&gt;10, E728&lt;=18, F728&lt;&gt;"ASTM A416"), L728, 0), 3)</f>
        <v/>
      </c>
      <c r="P728" s="21">
        <f>ROUND(P727 + IF(AND(E728&gt;18, F728&lt;&gt;"ASTM A416"), L728, 0), 3)</f>
        <v/>
      </c>
      <c r="Q728" s="21">
        <f>ROUND(Q727 + IF(F728="ASTM A416", L728, 0), 3)</f>
        <v/>
      </c>
      <c r="R728" s="11">
        <f>IF(INT(N728/20)&gt;INT(N727/20), "Lần " &amp; INT(N728/20), "")</f>
        <v/>
      </c>
      <c r="S728" s="12">
        <f>IF(INT(O728/20)&gt;INT(O727/20), "Lần " &amp; INT(O728/20), "")</f>
        <v/>
      </c>
      <c r="T728" s="11">
        <f>IF(INT(P728/20)&gt;INT(P727/20), "Lần " &amp; INT(P728/20), "")</f>
        <v/>
      </c>
      <c r="U728" s="25">
        <f>IF(INT(Q728/20)&gt;INT(Q727/20), "Lần " &amp; INT(Q728/20), "")</f>
        <v/>
      </c>
      <c r="V728" s="6" t="inlineStr"/>
      <c r="W728" s="6" t="inlineStr">
        <is>
          <t>ĐẠT TCVN 1651:2018</t>
        </is>
      </c>
    </row>
    <row r="729" ht="19" customHeight="1">
      <c r="A729" s="6" t="n">
        <v>693</v>
      </c>
      <c r="B729" s="7" t="inlineStr">
        <is>
          <t>Dầm chủ Super-T (15 phiến L=38.2m)</t>
        </is>
      </c>
      <c r="C729" s="7" t="inlineStr">
        <is>
          <t>Sườn dầm / Cánh dầm</t>
        </is>
      </c>
      <c r="D729" s="19" t="inlineStr">
        <is>
          <t>G6b</t>
        </is>
      </c>
      <c r="E729" s="20" t="n">
        <v>32</v>
      </c>
      <c r="F729" s="6" t="inlineStr">
        <is>
          <t>CB400-V</t>
        </is>
      </c>
      <c r="G729" s="7" t="inlineStr">
        <is>
          <t>S06</t>
        </is>
      </c>
      <c r="H729" s="21" t="n">
        <v>6.86</v>
      </c>
      <c r="I729" s="22" t="n">
        <v>45</v>
      </c>
      <c r="J729" s="23" t="n">
        <v>6.31</v>
      </c>
      <c r="K729" s="9">
        <f>ROUND(H729*I729*J729, 2)</f>
        <v/>
      </c>
      <c r="L729" s="24">
        <f>ROUND(K729/1000, 3)</f>
        <v/>
      </c>
      <c r="M729" s="8" t="n"/>
      <c r="N729" s="21">
        <f>ROUND(N728 + IF(AND(E729&lt;=10, F729&lt;&gt;"ASTM A416"), L729, 0), 3)</f>
        <v/>
      </c>
      <c r="O729" s="21">
        <f>ROUND(O728 + IF(AND(E729&gt;10, E729&lt;=18, F729&lt;&gt;"ASTM A416"), L729, 0), 3)</f>
        <v/>
      </c>
      <c r="P729" s="21">
        <f>ROUND(P728 + IF(AND(E729&gt;18, F729&lt;&gt;"ASTM A416"), L729, 0), 3)</f>
        <v/>
      </c>
      <c r="Q729" s="21">
        <f>ROUND(Q728 + IF(F729="ASTM A416", L729, 0), 3)</f>
        <v/>
      </c>
      <c r="R729" s="11">
        <f>IF(INT(N729/20)&gt;INT(N728/20), "Lần " &amp; INT(N729/20), "")</f>
        <v/>
      </c>
      <c r="S729" s="12">
        <f>IF(INT(O729/20)&gt;INT(O728/20), "Lần " &amp; INT(O729/20), "")</f>
        <v/>
      </c>
      <c r="T729" s="11">
        <f>IF(INT(P729/20)&gt;INT(P728/20), "Lần " &amp; INT(P729/20), "")</f>
        <v/>
      </c>
      <c r="U729" s="25">
        <f>IF(INT(Q729/20)&gt;INT(Q728/20), "Lần " &amp; INT(Q729/20), "")</f>
        <v/>
      </c>
      <c r="V729" s="6" t="inlineStr"/>
      <c r="W729" s="6" t="inlineStr">
        <is>
          <t>ĐẠT TCVN 1651:2018</t>
        </is>
      </c>
    </row>
    <row r="730" ht="19" customHeight="1">
      <c r="A730" s="6" t="n">
        <v>694</v>
      </c>
      <c r="B730" s="7" t="inlineStr">
        <is>
          <t>Dầm chủ Super-T (15 phiến L=38.2m)</t>
        </is>
      </c>
      <c r="C730" s="7" t="inlineStr">
        <is>
          <t>Sườn dầm / Cánh dầm</t>
        </is>
      </c>
      <c r="D730" s="19" t="inlineStr">
        <is>
          <t>N1a</t>
        </is>
      </c>
      <c r="E730" s="20" t="n">
        <v>12</v>
      </c>
      <c r="F730" s="6" t="inlineStr">
        <is>
          <t>CB400-V</t>
        </is>
      </c>
      <c r="G730" s="7" t="inlineStr">
        <is>
          <t>S06</t>
        </is>
      </c>
      <c r="H730" s="21" t="n">
        <v>1.185</v>
      </c>
      <c r="I730" s="22" t="n">
        <v>555</v>
      </c>
      <c r="J730" s="23" t="n">
        <v>0.888</v>
      </c>
      <c r="K730" s="9">
        <f>ROUND(H730*I730*J730, 2)</f>
        <v/>
      </c>
      <c r="L730" s="24">
        <f>ROUND(K730/1000, 3)</f>
        <v/>
      </c>
      <c r="M730" s="8" t="n"/>
      <c r="N730" s="21">
        <f>ROUND(N729 + IF(AND(E730&lt;=10, F730&lt;&gt;"ASTM A416"), L730, 0), 3)</f>
        <v/>
      </c>
      <c r="O730" s="21">
        <f>ROUND(O729 + IF(AND(E730&gt;10, E730&lt;=18, F730&lt;&gt;"ASTM A416"), L730, 0), 3)</f>
        <v/>
      </c>
      <c r="P730" s="21">
        <f>ROUND(P729 + IF(AND(E730&gt;18, F730&lt;&gt;"ASTM A416"), L730, 0), 3)</f>
        <v/>
      </c>
      <c r="Q730" s="21">
        <f>ROUND(Q729 + IF(F730="ASTM A416", L730, 0), 3)</f>
        <v/>
      </c>
      <c r="R730" s="11">
        <f>IF(INT(N730/20)&gt;INT(N729/20), "Lần " &amp; INT(N730/20), "")</f>
        <v/>
      </c>
      <c r="S730" s="12">
        <f>IF(INT(O730/20)&gt;INT(O729/20), "Lần " &amp; INT(O730/20), "")</f>
        <v/>
      </c>
      <c r="T730" s="11">
        <f>IF(INT(P730/20)&gt;INT(P729/20), "Lần " &amp; INT(P730/20), "")</f>
        <v/>
      </c>
      <c r="U730" s="25">
        <f>IF(INT(Q730/20)&gt;INT(Q729/20), "Lần " &amp; INT(Q730/20), "")</f>
        <v/>
      </c>
      <c r="V730" s="6" t="inlineStr"/>
      <c r="W730" s="6" t="inlineStr">
        <is>
          <t>ĐẠT TCVN 1651:2018</t>
        </is>
      </c>
    </row>
    <row r="731" ht="19" customHeight="1">
      <c r="A731" s="6" t="n">
        <v>695</v>
      </c>
      <c r="B731" s="7" t="inlineStr">
        <is>
          <t>Dầm chủ Super-T (15 phiến L=38.2m)</t>
        </is>
      </c>
      <c r="C731" s="7" t="inlineStr">
        <is>
          <t>TRUNG BÌNH</t>
        </is>
      </c>
      <c r="D731" s="19" t="inlineStr">
        <is>
          <t>N1b</t>
        </is>
      </c>
      <c r="E731" s="20" t="n">
        <v>12</v>
      </c>
      <c r="F731" s="6" t="inlineStr">
        <is>
          <t>CB400-V</t>
        </is>
      </c>
      <c r="G731" s="7" t="inlineStr">
        <is>
          <t>S06</t>
        </is>
      </c>
      <c r="H731" s="21" t="n">
        <v>0.93</v>
      </c>
      <c r="I731" s="22" t="n">
        <v>3885</v>
      </c>
      <c r="J731" s="23" t="n">
        <v>0.888</v>
      </c>
      <c r="K731" s="9">
        <f>ROUND(H731*I731*J731, 2)</f>
        <v/>
      </c>
      <c r="L731" s="24">
        <f>ROUND(K731/1000, 3)</f>
        <v/>
      </c>
      <c r="M731" s="8" t="n"/>
      <c r="N731" s="21">
        <f>ROUND(N730 + IF(AND(E731&lt;=10, F731&lt;&gt;"ASTM A416"), L731, 0), 3)</f>
        <v/>
      </c>
      <c r="O731" s="21">
        <f>ROUND(O730 + IF(AND(E731&gt;10, E731&lt;=18, F731&lt;&gt;"ASTM A416"), L731, 0), 3)</f>
        <v/>
      </c>
      <c r="P731" s="21">
        <f>ROUND(P730 + IF(AND(E731&gt;18, F731&lt;&gt;"ASTM A416"), L731, 0), 3)</f>
        <v/>
      </c>
      <c r="Q731" s="21">
        <f>ROUND(Q730 + IF(F731="ASTM A416", L731, 0), 3)</f>
        <v/>
      </c>
      <c r="R731" s="11">
        <f>IF(INT(N731/20)&gt;INT(N730/20), "Lần " &amp; INT(N731/20), "")</f>
        <v/>
      </c>
      <c r="S731" s="12">
        <f>IF(INT(O731/20)&gt;INT(O730/20), "Lần " &amp; INT(O731/20), "")</f>
        <v/>
      </c>
      <c r="T731" s="11">
        <f>IF(INT(P731/20)&gt;INT(P730/20), "Lần " &amp; INT(P731/20), "")</f>
        <v/>
      </c>
      <c r="U731" s="25">
        <f>IF(INT(Q731/20)&gt;INT(Q730/20), "Lần " &amp; INT(Q731/20), "")</f>
        <v/>
      </c>
      <c r="V731" s="6" t="inlineStr"/>
      <c r="W731" s="6" t="inlineStr">
        <is>
          <t>ĐẠT TCVN 1651:2018</t>
        </is>
      </c>
    </row>
    <row r="732" ht="19" customHeight="1">
      <c r="A732" s="6" t="n">
        <v>696</v>
      </c>
      <c r="B732" s="7" t="inlineStr">
        <is>
          <t>Dầm chủ Super-T (15 phiến L=38.2m)</t>
        </is>
      </c>
      <c r="C732" s="7" t="inlineStr">
        <is>
          <t>Sườn dầm / Cánh dầm</t>
        </is>
      </c>
      <c r="D732" s="19" t="inlineStr">
        <is>
          <t>N2</t>
        </is>
      </c>
      <c r="E732" s="20" t="n">
        <v>12</v>
      </c>
      <c r="F732" s="6" t="inlineStr">
        <is>
          <t>CB400-V</t>
        </is>
      </c>
      <c r="G732" s="7" t="inlineStr">
        <is>
          <t>S06</t>
        </is>
      </c>
      <c r="H732" s="21" t="n">
        <v>3.664</v>
      </c>
      <c r="I732" s="22" t="n">
        <v>45</v>
      </c>
      <c r="J732" s="23" t="n">
        <v>0.888</v>
      </c>
      <c r="K732" s="9">
        <f>ROUND(H732*I732*J732, 2)</f>
        <v/>
      </c>
      <c r="L732" s="24">
        <f>ROUND(K732/1000, 3)</f>
        <v/>
      </c>
      <c r="M732" s="8" t="n"/>
      <c r="N732" s="21">
        <f>ROUND(N731 + IF(AND(E732&lt;=10, F732&lt;&gt;"ASTM A416"), L732, 0), 3)</f>
        <v/>
      </c>
      <c r="O732" s="21">
        <f>ROUND(O731 + IF(AND(E732&gt;10, E732&lt;=18, F732&lt;&gt;"ASTM A416"), L732, 0), 3)</f>
        <v/>
      </c>
      <c r="P732" s="21">
        <f>ROUND(P731 + IF(AND(E732&gt;18, F732&lt;&gt;"ASTM A416"), L732, 0), 3)</f>
        <v/>
      </c>
      <c r="Q732" s="21">
        <f>ROUND(Q731 + IF(F732="ASTM A416", L732, 0), 3)</f>
        <v/>
      </c>
      <c r="R732" s="11">
        <f>IF(INT(N732/20)&gt;INT(N731/20), "Lần " &amp; INT(N732/20), "")</f>
        <v/>
      </c>
      <c r="S732" s="12">
        <f>IF(INT(O732/20)&gt;INT(O731/20), "Lần " &amp; INT(O732/20), "")</f>
        <v/>
      </c>
      <c r="T732" s="11">
        <f>IF(INT(P732/20)&gt;INT(P731/20), "Lần " &amp; INT(P732/20), "")</f>
        <v/>
      </c>
      <c r="U732" s="25">
        <f>IF(INT(Q732/20)&gt;INT(Q731/20), "Lần " &amp; INT(Q732/20), "")</f>
        <v/>
      </c>
      <c r="V732" s="6" t="inlineStr"/>
      <c r="W732" s="6" t="inlineStr">
        <is>
          <t>ĐẠT TCVN 1651:2018</t>
        </is>
      </c>
    </row>
    <row r="733" ht="19" customHeight="1">
      <c r="A733" s="6" t="n">
        <v>697</v>
      </c>
      <c r="B733" s="7" t="inlineStr">
        <is>
          <t>Dầm chủ Super-T (15 phiến L=38.2m)</t>
        </is>
      </c>
      <c r="C733" s="7" t="inlineStr">
        <is>
          <t>Sườn dầm / Cánh dầm</t>
        </is>
      </c>
      <c r="D733" s="19" t="inlineStr">
        <is>
          <t>E1</t>
        </is>
      </c>
      <c r="E733" s="20" t="n">
        <v>16</v>
      </c>
      <c r="F733" s="6" t="inlineStr">
        <is>
          <t>CB400-V</t>
        </is>
      </c>
      <c r="G733" s="7" t="inlineStr">
        <is>
          <t>S06</t>
        </is>
      </c>
      <c r="H733" s="21" t="n">
        <v>2.376</v>
      </c>
      <c r="I733" s="22" t="n">
        <v>3780</v>
      </c>
      <c r="J733" s="23" t="n">
        <v>1.58</v>
      </c>
      <c r="K733" s="9">
        <f>ROUND(H733*I733*J733, 2)</f>
        <v/>
      </c>
      <c r="L733" s="24">
        <f>ROUND(K733/1000, 3)</f>
        <v/>
      </c>
      <c r="M733" s="8" t="n"/>
      <c r="N733" s="21">
        <f>ROUND(N732 + IF(AND(E733&lt;=10, F733&lt;&gt;"ASTM A416"), L733, 0), 3)</f>
        <v/>
      </c>
      <c r="O733" s="21">
        <f>ROUND(O732 + IF(AND(E733&gt;10, E733&lt;=18, F733&lt;&gt;"ASTM A416"), L733, 0), 3)</f>
        <v/>
      </c>
      <c r="P733" s="21">
        <f>ROUND(P732 + IF(AND(E733&gt;18, F733&lt;&gt;"ASTM A416"), L733, 0), 3)</f>
        <v/>
      </c>
      <c r="Q733" s="21">
        <f>ROUND(Q732 + IF(F733="ASTM A416", L733, 0), 3)</f>
        <v/>
      </c>
      <c r="R733" s="11">
        <f>IF(INT(N733/20)&gt;INT(N732/20), "Lần " &amp; INT(N733/20), "")</f>
        <v/>
      </c>
      <c r="S733" s="12">
        <f>IF(INT(O733/20)&gt;INT(O732/20), "Lần " &amp; INT(O733/20), "")</f>
        <v/>
      </c>
      <c r="T733" s="11">
        <f>IF(INT(P733/20)&gt;INT(P732/20), "Lần " &amp; INT(P733/20), "")</f>
        <v/>
      </c>
      <c r="U733" s="25">
        <f>IF(INT(Q733/20)&gt;INT(Q732/20), "Lần " &amp; INT(Q733/20), "")</f>
        <v/>
      </c>
      <c r="V733" s="6" t="inlineStr"/>
      <c r="W733" s="6" t="inlineStr">
        <is>
          <t>ĐẠT TCVN 1651:2018</t>
        </is>
      </c>
    </row>
    <row r="734" ht="19" customHeight="1">
      <c r="A734" s="6" t="n">
        <v>698</v>
      </c>
      <c r="B734" s="7" t="inlineStr">
        <is>
          <t>Dầm chủ Super-T (15 phiến L=38.2m)</t>
        </is>
      </c>
      <c r="C734" s="7" t="inlineStr">
        <is>
          <t>Sườn dầm / Cánh dầm</t>
        </is>
      </c>
      <c r="D734" s="19" t="inlineStr">
        <is>
          <t>E2</t>
        </is>
      </c>
      <c r="E734" s="20" t="n">
        <v>16</v>
      </c>
      <c r="F734" s="6" t="inlineStr">
        <is>
          <t>CB400-V</t>
        </is>
      </c>
      <c r="G734" s="7" t="inlineStr">
        <is>
          <t>S06</t>
        </is>
      </c>
      <c r="H734" s="21" t="n">
        <v>3.932</v>
      </c>
      <c r="I734" s="22" t="n">
        <v>300</v>
      </c>
      <c r="J734" s="23" t="n">
        <v>1.58</v>
      </c>
      <c r="K734" s="9">
        <f>ROUND(H734*I734*J734, 2)</f>
        <v/>
      </c>
      <c r="L734" s="24">
        <f>ROUND(K734/1000, 3)</f>
        <v/>
      </c>
      <c r="M734" s="8" t="n"/>
      <c r="N734" s="21">
        <f>ROUND(N733 + IF(AND(E734&lt;=10, F734&lt;&gt;"ASTM A416"), L734, 0), 3)</f>
        <v/>
      </c>
      <c r="O734" s="21">
        <f>ROUND(O733 + IF(AND(E734&gt;10, E734&lt;=18, F734&lt;&gt;"ASTM A416"), L734, 0), 3)</f>
        <v/>
      </c>
      <c r="P734" s="21">
        <f>ROUND(P733 + IF(AND(E734&gt;18, F734&lt;&gt;"ASTM A416"), L734, 0), 3)</f>
        <v/>
      </c>
      <c r="Q734" s="21">
        <f>ROUND(Q733 + IF(F734="ASTM A416", L734, 0), 3)</f>
        <v/>
      </c>
      <c r="R734" s="11">
        <f>IF(INT(N734/20)&gt;INT(N733/20), "Lần " &amp; INT(N734/20), "")</f>
        <v/>
      </c>
      <c r="S734" s="12">
        <f>IF(INT(O734/20)&gt;INT(O733/20), "Lần " &amp; INT(O734/20), "")</f>
        <v/>
      </c>
      <c r="T734" s="11">
        <f>IF(INT(P734/20)&gt;INT(P733/20), "Lần " &amp; INT(P734/20), "")</f>
        <v/>
      </c>
      <c r="U734" s="25">
        <f>IF(INT(Q734/20)&gt;INT(Q733/20), "Lần " &amp; INT(Q734/20), "")</f>
        <v/>
      </c>
      <c r="V734" s="6" t="inlineStr"/>
      <c r="W734" s="6" t="inlineStr">
        <is>
          <t>ĐẠT TCVN 1651:2018</t>
        </is>
      </c>
    </row>
    <row r="735" ht="19" customHeight="1">
      <c r="A735" s="6" t="n">
        <v>699</v>
      </c>
      <c r="B735" s="7" t="inlineStr">
        <is>
          <t>Dầm chủ Super-T (15 phiến L=38.2m)</t>
        </is>
      </c>
      <c r="C735" s="7" t="inlineStr">
        <is>
          <t>Sườn dầm / Cánh dầm</t>
        </is>
      </c>
      <c r="D735" s="19" t="inlineStr">
        <is>
          <t>Thanh neo</t>
        </is>
      </c>
      <c r="E735" s="20" t="n">
        <v>20</v>
      </c>
      <c r="F735" s="6" t="inlineStr">
        <is>
          <t>CB400-V</t>
        </is>
      </c>
      <c r="G735" s="7" t="inlineStr">
        <is>
          <t>S06</t>
        </is>
      </c>
      <c r="H735" s="21" t="n">
        <v>0.11</v>
      </c>
      <c r="I735" s="22" t="n">
        <v>120</v>
      </c>
      <c r="J735" s="23" t="n">
        <v>2.47</v>
      </c>
      <c r="K735" s="9">
        <f>ROUND(H735*I735*J735, 2)</f>
        <v/>
      </c>
      <c r="L735" s="24">
        <f>ROUND(K735/1000, 3)</f>
        <v/>
      </c>
      <c r="M735" s="8" t="n"/>
      <c r="N735" s="21">
        <f>ROUND(N734 + IF(AND(E735&lt;=10, F735&lt;&gt;"ASTM A416"), L735, 0), 3)</f>
        <v/>
      </c>
      <c r="O735" s="21">
        <f>ROUND(O734 + IF(AND(E735&gt;10, E735&lt;=18, F735&lt;&gt;"ASTM A416"), L735, 0), 3)</f>
        <v/>
      </c>
      <c r="P735" s="21">
        <f>ROUND(P734 + IF(AND(E735&gt;18, F735&lt;&gt;"ASTM A416"), L735, 0), 3)</f>
        <v/>
      </c>
      <c r="Q735" s="21">
        <f>ROUND(Q734 + IF(F735="ASTM A416", L735, 0), 3)</f>
        <v/>
      </c>
      <c r="R735" s="11">
        <f>IF(INT(N735/20)&gt;INT(N734/20), "Lần " &amp; INT(N735/20), "")</f>
        <v/>
      </c>
      <c r="S735" s="12">
        <f>IF(INT(O735/20)&gt;INT(O734/20), "Lần " &amp; INT(O735/20), "")</f>
        <v/>
      </c>
      <c r="T735" s="11">
        <f>IF(INT(P735/20)&gt;INT(P734/20), "Lần " &amp; INT(P735/20), "")</f>
        <v/>
      </c>
      <c r="U735" s="25">
        <f>IF(INT(Q735/20)&gt;INT(Q734/20), "Lần " &amp; INT(Q735/20), "")</f>
        <v/>
      </c>
      <c r="V735" s="6" t="inlineStr"/>
      <c r="W735" s="6" t="inlineStr">
        <is>
          <t>ĐẠT TCVN 1651:2018</t>
        </is>
      </c>
    </row>
    <row r="736" ht="19" customHeight="1">
      <c r="A736" s="6" t="n">
        <v>700</v>
      </c>
      <c r="B736" s="7" t="inlineStr">
        <is>
          <t>Dầm chủ Super-T (15 phiến L=38.2m)</t>
        </is>
      </c>
      <c r="C736" s="7" t="inlineStr">
        <is>
          <t>Sườn dầm / Cánh dầm</t>
        </is>
      </c>
      <c r="D736" s="19" t="inlineStr">
        <is>
          <t>K1a</t>
        </is>
      </c>
      <c r="E736" s="20" t="n">
        <v>16</v>
      </c>
      <c r="F736" s="6" t="inlineStr">
        <is>
          <t>CB400-V</t>
        </is>
      </c>
      <c r="G736" s="7" t="inlineStr">
        <is>
          <t>S06</t>
        </is>
      </c>
      <c r="H736" s="21" t="n">
        <v>0.976</v>
      </c>
      <c r="I736" s="22" t="n">
        <v>120</v>
      </c>
      <c r="J736" s="23" t="n">
        <v>1.58</v>
      </c>
      <c r="K736" s="9">
        <f>ROUND(H736*I736*J736, 2)</f>
        <v/>
      </c>
      <c r="L736" s="24">
        <f>ROUND(K736/1000, 3)</f>
        <v/>
      </c>
      <c r="M736" s="8" t="n"/>
      <c r="N736" s="21">
        <f>ROUND(N735 + IF(AND(E736&lt;=10, F736&lt;&gt;"ASTM A416"), L736, 0), 3)</f>
        <v/>
      </c>
      <c r="O736" s="21">
        <f>ROUND(O735 + IF(AND(E736&gt;10, E736&lt;=18, F736&lt;&gt;"ASTM A416"), L736, 0), 3)</f>
        <v/>
      </c>
      <c r="P736" s="21">
        <f>ROUND(P735 + IF(AND(E736&gt;18, F736&lt;&gt;"ASTM A416"), L736, 0), 3)</f>
        <v/>
      </c>
      <c r="Q736" s="21">
        <f>ROUND(Q735 + IF(F736="ASTM A416", L736, 0), 3)</f>
        <v/>
      </c>
      <c r="R736" s="11">
        <f>IF(INT(N736/20)&gt;INT(N735/20), "Lần " &amp; INT(N736/20), "")</f>
        <v/>
      </c>
      <c r="S736" s="12">
        <f>IF(INT(O736/20)&gt;INT(O735/20), "Lần " &amp; INT(O736/20), "")</f>
        <v/>
      </c>
      <c r="T736" s="11">
        <f>IF(INT(P736/20)&gt;INT(P735/20), "Lần " &amp; INT(P736/20), "")</f>
        <v/>
      </c>
      <c r="U736" s="25">
        <f>IF(INT(Q736/20)&gt;INT(Q735/20), "Lần " &amp; INT(Q736/20), "")</f>
        <v/>
      </c>
      <c r="V736" s="6" t="inlineStr"/>
      <c r="W736" s="6" t="inlineStr">
        <is>
          <t>ĐẠT TCVN 1651:2018</t>
        </is>
      </c>
    </row>
    <row r="737" ht="19" customHeight="1">
      <c r="A737" s="6" t="n">
        <v>701</v>
      </c>
      <c r="B737" s="7" t="inlineStr">
        <is>
          <t>Dầm chủ Super-T (15 phiến L=38.2m)</t>
        </is>
      </c>
      <c r="C737" s="7" t="inlineStr">
        <is>
          <t>Sườn dầm / Cánh dầm</t>
        </is>
      </c>
      <c r="D737" s="19" t="inlineStr">
        <is>
          <t>K1b</t>
        </is>
      </c>
      <c r="E737" s="20" t="n">
        <v>16</v>
      </c>
      <c r="F737" s="6" t="inlineStr">
        <is>
          <t>CB400-V</t>
        </is>
      </c>
      <c r="G737" s="7" t="inlineStr">
        <is>
          <t>S06</t>
        </is>
      </c>
      <c r="H737" s="21" t="n">
        <v>0.776</v>
      </c>
      <c r="I737" s="22" t="n">
        <v>120</v>
      </c>
      <c r="J737" s="23" t="n">
        <v>1.58</v>
      </c>
      <c r="K737" s="9">
        <f>ROUND(H737*I737*J737, 2)</f>
        <v/>
      </c>
      <c r="L737" s="24">
        <f>ROUND(K737/1000, 3)</f>
        <v/>
      </c>
      <c r="M737" s="8" t="n"/>
      <c r="N737" s="21">
        <f>ROUND(N736 + IF(AND(E737&lt;=10, F737&lt;&gt;"ASTM A416"), L737, 0), 3)</f>
        <v/>
      </c>
      <c r="O737" s="21">
        <f>ROUND(O736 + IF(AND(E737&gt;10, E737&lt;=18, F737&lt;&gt;"ASTM A416"), L737, 0), 3)</f>
        <v/>
      </c>
      <c r="P737" s="21">
        <f>ROUND(P736 + IF(AND(E737&gt;18, F737&lt;&gt;"ASTM A416"), L737, 0), 3)</f>
        <v/>
      </c>
      <c r="Q737" s="21">
        <f>ROUND(Q736 + IF(F737="ASTM A416", L737, 0), 3)</f>
        <v/>
      </c>
      <c r="R737" s="11">
        <f>IF(INT(N737/20)&gt;INT(N736/20), "Lần " &amp; INT(N737/20), "")</f>
        <v/>
      </c>
      <c r="S737" s="12">
        <f>IF(INT(O737/20)&gt;INT(O736/20), "Lần " &amp; INT(O737/20), "")</f>
        <v/>
      </c>
      <c r="T737" s="11">
        <f>IF(INT(P737/20)&gt;INT(P736/20), "Lần " &amp; INT(P737/20), "")</f>
        <v/>
      </c>
      <c r="U737" s="25">
        <f>IF(INT(Q737/20)&gt;INT(Q736/20), "Lần " &amp; INT(Q737/20), "")</f>
        <v/>
      </c>
      <c r="V737" s="6" t="inlineStr"/>
      <c r="W737" s="6" t="inlineStr">
        <is>
          <t>ĐẠT TCVN 1651:2018</t>
        </is>
      </c>
    </row>
    <row r="738" ht="19" customHeight="1">
      <c r="A738" s="6" t="n">
        <v>702</v>
      </c>
      <c r="B738" s="7" t="inlineStr">
        <is>
          <t>Dầm chủ Super-T (15 phiến L=38.2m)</t>
        </is>
      </c>
      <c r="C738" s="7" t="inlineStr">
        <is>
          <t>Sườn dầm / Cánh dầm</t>
        </is>
      </c>
      <c r="D738" s="19" t="inlineStr">
        <is>
          <t>G1a</t>
        </is>
      </c>
      <c r="E738" s="20" t="n">
        <v>16</v>
      </c>
      <c r="F738" s="6" t="inlineStr">
        <is>
          <t>CB400-V</t>
        </is>
      </c>
      <c r="G738" s="7" t="inlineStr">
        <is>
          <t>S06</t>
        </is>
      </c>
      <c r="H738" s="21" t="n">
        <v>5.056</v>
      </c>
      <c r="I738" s="22" t="n">
        <v>2160</v>
      </c>
      <c r="J738" s="23" t="n">
        <v>1.58</v>
      </c>
      <c r="K738" s="9">
        <f>ROUND(H738*I738*J738, 2)</f>
        <v/>
      </c>
      <c r="L738" s="24">
        <f>ROUND(K738/1000, 3)</f>
        <v/>
      </c>
      <c r="M738" s="8" t="n"/>
      <c r="N738" s="21">
        <f>ROUND(N737 + IF(AND(E738&lt;=10, F738&lt;&gt;"ASTM A416"), L738, 0), 3)</f>
        <v/>
      </c>
      <c r="O738" s="21">
        <f>ROUND(O737 + IF(AND(E738&gt;10, E738&lt;=18, F738&lt;&gt;"ASTM A416"), L738, 0), 3)</f>
        <v/>
      </c>
      <c r="P738" s="21">
        <f>ROUND(P737 + IF(AND(E738&gt;18, F738&lt;&gt;"ASTM A416"), L738, 0), 3)</f>
        <v/>
      </c>
      <c r="Q738" s="21">
        <f>ROUND(Q737 + IF(F738="ASTM A416", L738, 0), 3)</f>
        <v/>
      </c>
      <c r="R738" s="11">
        <f>IF(INT(N738/20)&gt;INT(N737/20), "Lần " &amp; INT(N738/20), "")</f>
        <v/>
      </c>
      <c r="S738" s="12">
        <f>IF(INT(O738/20)&gt;INT(O737/20), "Lần " &amp; INT(O738/20), "")</f>
        <v/>
      </c>
      <c r="T738" s="11">
        <f>IF(INT(P738/20)&gt;INT(P737/20), "Lần " &amp; INT(P738/20), "")</f>
        <v/>
      </c>
      <c r="U738" s="25">
        <f>IF(INT(Q738/20)&gt;INT(Q737/20), "Lần " &amp; INT(Q738/20), "")</f>
        <v/>
      </c>
      <c r="V738" s="6" t="inlineStr"/>
      <c r="W738" s="6" t="inlineStr">
        <is>
          <t>ĐẠT TCVN 1651:2018</t>
        </is>
      </c>
    </row>
    <row r="739" ht="19" customHeight="1">
      <c r="A739" s="6" t="n">
        <v>703</v>
      </c>
      <c r="B739" s="7" t="inlineStr">
        <is>
          <t>Dầm chủ Super-T (15 phiến L=38.2m)</t>
        </is>
      </c>
      <c r="C739" s="7" t="inlineStr">
        <is>
          <t>Sườn dầm / Cánh dầm</t>
        </is>
      </c>
      <c r="D739" s="19" t="inlineStr">
        <is>
          <t>G1b</t>
        </is>
      </c>
      <c r="E739" s="20" t="n">
        <v>12</v>
      </c>
      <c r="F739" s="6" t="inlineStr">
        <is>
          <t>CB400-V</t>
        </is>
      </c>
      <c r="G739" s="7" t="inlineStr">
        <is>
          <t>S06</t>
        </is>
      </c>
      <c r="H739" s="21" t="n">
        <v>5.075</v>
      </c>
      <c r="I739" s="22" t="n">
        <v>1875</v>
      </c>
      <c r="J739" s="23" t="n">
        <v>0.888</v>
      </c>
      <c r="K739" s="9">
        <f>ROUND(H739*I739*J739, 2)</f>
        <v/>
      </c>
      <c r="L739" s="24">
        <f>ROUND(K739/1000, 3)</f>
        <v/>
      </c>
      <c r="M739" s="8" t="n"/>
      <c r="N739" s="21">
        <f>ROUND(N738 + IF(AND(E739&lt;=10, F739&lt;&gt;"ASTM A416"), L739, 0), 3)</f>
        <v/>
      </c>
      <c r="O739" s="21">
        <f>ROUND(O738 + IF(AND(E739&gt;10, E739&lt;=18, F739&lt;&gt;"ASTM A416"), L739, 0), 3)</f>
        <v/>
      </c>
      <c r="P739" s="21">
        <f>ROUND(P738 + IF(AND(E739&gt;18, F739&lt;&gt;"ASTM A416"), L739, 0), 3)</f>
        <v/>
      </c>
      <c r="Q739" s="21">
        <f>ROUND(Q738 + IF(F739="ASTM A416", L739, 0), 3)</f>
        <v/>
      </c>
      <c r="R739" s="11">
        <f>IF(INT(N739/20)&gt;INT(N738/20), "Lần " &amp; INT(N739/20), "")</f>
        <v/>
      </c>
      <c r="S739" s="12">
        <f>IF(INT(O739/20)&gt;INT(O738/20), "Lần " &amp; INT(O739/20), "")</f>
        <v/>
      </c>
      <c r="T739" s="11">
        <f>IF(INT(P739/20)&gt;INT(P738/20), "Lần " &amp; INT(P739/20), "")</f>
        <v/>
      </c>
      <c r="U739" s="25">
        <f>IF(INT(Q739/20)&gt;INT(Q738/20), "Lần " &amp; INT(Q739/20), "")</f>
        <v/>
      </c>
      <c r="V739" s="6" t="inlineStr"/>
      <c r="W739" s="6" t="inlineStr">
        <is>
          <t>ĐẠT TCVN 1651:2018</t>
        </is>
      </c>
    </row>
    <row r="740" ht="19" customHeight="1">
      <c r="A740" s="6" t="n">
        <v>704</v>
      </c>
      <c r="B740" s="7" t="inlineStr">
        <is>
          <t>Dầm chủ Super-T (15 phiến L=38.2m)</t>
        </is>
      </c>
      <c r="C740" s="7" t="inlineStr">
        <is>
          <t>Sườn dầm / Cánh dầm</t>
        </is>
      </c>
      <c r="D740" s="19" t="inlineStr">
        <is>
          <t>G2</t>
        </is>
      </c>
      <c r="E740" s="20" t="n">
        <v>12</v>
      </c>
      <c r="F740" s="6" t="inlineStr">
        <is>
          <t>CB400-V</t>
        </is>
      </c>
      <c r="G740" s="7" t="inlineStr">
        <is>
          <t>S06</t>
        </is>
      </c>
      <c r="H740" s="21" t="n">
        <v>1.025</v>
      </c>
      <c r="I740" s="22" t="n">
        <v>7590</v>
      </c>
      <c r="J740" s="23" t="n">
        <v>0.888</v>
      </c>
      <c r="K740" s="9">
        <f>ROUND(H740*I740*J740, 2)</f>
        <v/>
      </c>
      <c r="L740" s="24">
        <f>ROUND(K740/1000, 3)</f>
        <v/>
      </c>
      <c r="M740" s="8" t="n"/>
      <c r="N740" s="21">
        <f>ROUND(N739 + IF(AND(E740&lt;=10, F740&lt;&gt;"ASTM A416"), L740, 0), 3)</f>
        <v/>
      </c>
      <c r="O740" s="21">
        <f>ROUND(O739 + IF(AND(E740&gt;10, E740&lt;=18, F740&lt;&gt;"ASTM A416"), L740, 0), 3)</f>
        <v/>
      </c>
      <c r="P740" s="21">
        <f>ROUND(P739 + IF(AND(E740&gt;18, F740&lt;&gt;"ASTM A416"), L740, 0), 3)</f>
        <v/>
      </c>
      <c r="Q740" s="21">
        <f>ROUND(Q739 + IF(F740="ASTM A416", L740, 0), 3)</f>
        <v/>
      </c>
      <c r="R740" s="11">
        <f>IF(INT(N740/20)&gt;INT(N739/20), "Lần " &amp; INT(N740/20), "")</f>
        <v/>
      </c>
      <c r="S740" s="12">
        <f>IF(INT(O740/20)&gt;INT(O739/20), "Lần " &amp; INT(O740/20), "")</f>
        <v/>
      </c>
      <c r="T740" s="11">
        <f>IF(INT(P740/20)&gt;INT(P739/20), "Lần " &amp; INT(P740/20), "")</f>
        <v/>
      </c>
      <c r="U740" s="25">
        <f>IF(INT(Q740/20)&gt;INT(Q739/20), "Lần " &amp; INT(Q740/20), "")</f>
        <v/>
      </c>
      <c r="V740" s="6" t="inlineStr"/>
      <c r="W740" s="6" t="inlineStr">
        <is>
          <t>ĐẠT TCVN 1651:2018</t>
        </is>
      </c>
    </row>
    <row r="741" ht="19" customHeight="1">
      <c r="A741" s="6" t="n">
        <v>705</v>
      </c>
      <c r="B741" s="7" t="inlineStr">
        <is>
          <t>Dầm chủ Super-T (15 phiến L=38.2m)</t>
        </is>
      </c>
      <c r="C741" s="7" t="inlineStr">
        <is>
          <t>Sườn dầm / Cánh dầm</t>
        </is>
      </c>
      <c r="D741" s="19" t="inlineStr">
        <is>
          <t>G3</t>
        </is>
      </c>
      <c r="E741" s="20" t="n">
        <v>12</v>
      </c>
      <c r="F741" s="6" t="inlineStr">
        <is>
          <t>CB400-V</t>
        </is>
      </c>
      <c r="G741" s="7" t="inlineStr">
        <is>
          <t>S06</t>
        </is>
      </c>
      <c r="H741" s="21" t="n">
        <v>1.259</v>
      </c>
      <c r="I741" s="22" t="n">
        <v>4035</v>
      </c>
      <c r="J741" s="23" t="n">
        <v>0.888</v>
      </c>
      <c r="K741" s="9">
        <f>ROUND(H741*I741*J741, 2)</f>
        <v/>
      </c>
      <c r="L741" s="24">
        <f>ROUND(K741/1000, 3)</f>
        <v/>
      </c>
      <c r="M741" s="8" t="n"/>
      <c r="N741" s="21">
        <f>ROUND(N740 + IF(AND(E741&lt;=10, F741&lt;&gt;"ASTM A416"), L741, 0), 3)</f>
        <v/>
      </c>
      <c r="O741" s="21">
        <f>ROUND(O740 + IF(AND(E741&gt;10, E741&lt;=18, F741&lt;&gt;"ASTM A416"), L741, 0), 3)</f>
        <v/>
      </c>
      <c r="P741" s="21">
        <f>ROUND(P740 + IF(AND(E741&gt;18, F741&lt;&gt;"ASTM A416"), L741, 0), 3)</f>
        <v/>
      </c>
      <c r="Q741" s="21">
        <f>ROUND(Q740 + IF(F741="ASTM A416", L741, 0), 3)</f>
        <v/>
      </c>
      <c r="R741" s="11">
        <f>IF(INT(N741/20)&gt;INT(N740/20), "Lần " &amp; INT(N741/20), "")</f>
        <v/>
      </c>
      <c r="S741" s="12">
        <f>IF(INT(O741/20)&gt;INT(O740/20), "Lần " &amp; INT(O741/20), "")</f>
        <v/>
      </c>
      <c r="T741" s="11">
        <f>IF(INT(P741/20)&gt;INT(P740/20), "Lần " &amp; INT(P741/20), "")</f>
        <v/>
      </c>
      <c r="U741" s="25">
        <f>IF(INT(Q741/20)&gt;INT(Q740/20), "Lần " &amp; INT(Q741/20), "")</f>
        <v/>
      </c>
      <c r="V741" s="6" t="inlineStr"/>
      <c r="W741" s="6" t="inlineStr">
        <is>
          <t>ĐẠT TCVN 1651:2018</t>
        </is>
      </c>
    </row>
    <row r="742" ht="19" customHeight="1">
      <c r="A742" s="6" t="n">
        <v>706</v>
      </c>
      <c r="B742" s="7" t="inlineStr">
        <is>
          <t>Dầm chủ Super-T (15 phiến L=38.2m)</t>
        </is>
      </c>
      <c r="C742" s="7" t="inlineStr">
        <is>
          <t>Sườn dầm / Cánh dầm</t>
        </is>
      </c>
      <c r="D742" s="19" t="inlineStr">
        <is>
          <t>G4a1</t>
        </is>
      </c>
      <c r="E742" s="20" t="n">
        <v>12</v>
      </c>
      <c r="F742" s="6" t="inlineStr">
        <is>
          <t>CB400-V</t>
        </is>
      </c>
      <c r="G742" s="7" t="inlineStr">
        <is>
          <t>S01</t>
        </is>
      </c>
      <c r="H742" s="21" t="n">
        <v>11.7</v>
      </c>
      <c r="I742" s="22" t="n">
        <v>90</v>
      </c>
      <c r="J742" s="23" t="n">
        <v>0.888</v>
      </c>
      <c r="K742" s="9">
        <f>ROUND(H742*I742*J742, 2)</f>
        <v/>
      </c>
      <c r="L742" s="24">
        <f>ROUND(K742/1000, 3)</f>
        <v/>
      </c>
      <c r="M742" s="8" t="n"/>
      <c r="N742" s="21">
        <f>ROUND(N741 + IF(AND(E742&lt;=10, F742&lt;&gt;"ASTM A416"), L742, 0), 3)</f>
        <v/>
      </c>
      <c r="O742" s="21">
        <f>ROUND(O741 + IF(AND(E742&gt;10, E742&lt;=18, F742&lt;&gt;"ASTM A416"), L742, 0), 3)</f>
        <v/>
      </c>
      <c r="P742" s="21">
        <f>ROUND(P741 + IF(AND(E742&gt;18, F742&lt;&gt;"ASTM A416"), L742, 0), 3)</f>
        <v/>
      </c>
      <c r="Q742" s="21">
        <f>ROUND(Q741 + IF(F742="ASTM A416", L742, 0), 3)</f>
        <v/>
      </c>
      <c r="R742" s="11">
        <f>IF(INT(N742/20)&gt;INT(N741/20), "Lần " &amp; INT(N742/20), "")</f>
        <v/>
      </c>
      <c r="S742" s="12">
        <f>IF(INT(O742/20)&gt;INT(O741/20), "Lần " &amp; INT(O742/20), "")</f>
        <v/>
      </c>
      <c r="T742" s="11">
        <f>IF(INT(P742/20)&gt;INT(P741/20), "Lần " &amp; INT(P742/20), "")</f>
        <v/>
      </c>
      <c r="U742" s="25">
        <f>IF(INT(Q742/20)&gt;INT(Q741/20), "Lần " &amp; INT(Q742/20), "")</f>
        <v/>
      </c>
      <c r="V742" s="6" t="inlineStr"/>
      <c r="W742" s="6" t="inlineStr">
        <is>
          <t>ĐẠT TCVN 1651:2018</t>
        </is>
      </c>
    </row>
    <row r="743" ht="19" customHeight="1">
      <c r="A743" s="6" t="n">
        <v>707</v>
      </c>
      <c r="B743" s="7" t="inlineStr">
        <is>
          <t>Dầm chủ Super-T (15 phiến L=38.2m)</t>
        </is>
      </c>
      <c r="C743" s="7" t="inlineStr">
        <is>
          <t>Sườn dầm / Cánh dầm</t>
        </is>
      </c>
      <c r="D743" s="19" t="inlineStr">
        <is>
          <t>G4a2</t>
        </is>
      </c>
      <c r="E743" s="20" t="n">
        <v>12</v>
      </c>
      <c r="F743" s="6" t="inlineStr">
        <is>
          <t>CB400-V</t>
        </is>
      </c>
      <c r="G743" s="7" t="inlineStr">
        <is>
          <t>S06</t>
        </is>
      </c>
      <c r="H743" s="21" t="n">
        <v>4.46</v>
      </c>
      <c r="I743" s="22" t="n">
        <v>30</v>
      </c>
      <c r="J743" s="23" t="n">
        <v>0.888</v>
      </c>
      <c r="K743" s="9">
        <f>ROUND(H743*I743*J743, 2)</f>
        <v/>
      </c>
      <c r="L743" s="24">
        <f>ROUND(K743/1000, 3)</f>
        <v/>
      </c>
      <c r="M743" s="8" t="n"/>
      <c r="N743" s="21">
        <f>ROUND(N742 + IF(AND(E743&lt;=10, F743&lt;&gt;"ASTM A416"), L743, 0), 3)</f>
        <v/>
      </c>
      <c r="O743" s="21">
        <f>ROUND(O742 + IF(AND(E743&gt;10, E743&lt;=18, F743&lt;&gt;"ASTM A416"), L743, 0), 3)</f>
        <v/>
      </c>
      <c r="P743" s="21">
        <f>ROUND(P742 + IF(AND(E743&gt;18, F743&lt;&gt;"ASTM A416"), L743, 0), 3)</f>
        <v/>
      </c>
      <c r="Q743" s="21">
        <f>ROUND(Q742 + IF(F743="ASTM A416", L743, 0), 3)</f>
        <v/>
      </c>
      <c r="R743" s="11">
        <f>IF(INT(N743/20)&gt;INT(N742/20), "Lần " &amp; INT(N743/20), "")</f>
        <v/>
      </c>
      <c r="S743" s="12">
        <f>IF(INT(O743/20)&gt;INT(O742/20), "Lần " &amp; INT(O743/20), "")</f>
        <v/>
      </c>
      <c r="T743" s="11">
        <f>IF(INT(P743/20)&gt;INT(P742/20), "Lần " &amp; INT(P743/20), "")</f>
        <v/>
      </c>
      <c r="U743" s="25">
        <f>IF(INT(Q743/20)&gt;INT(Q742/20), "Lần " &amp; INT(Q743/20), "")</f>
        <v/>
      </c>
      <c r="V743" s="6" t="inlineStr"/>
      <c r="W743" s="6" t="inlineStr">
        <is>
          <t>ĐẠT TCVN 1651:2018</t>
        </is>
      </c>
    </row>
    <row r="744" ht="19" customHeight="1">
      <c r="A744" s="6" t="n">
        <v>708</v>
      </c>
      <c r="B744" s="7" t="inlineStr">
        <is>
          <t>Dầm chủ Super-T (15 phiến L=38.2m)</t>
        </is>
      </c>
      <c r="C744" s="7" t="inlineStr">
        <is>
          <t>Sườn dầm / Cánh dầm</t>
        </is>
      </c>
      <c r="D744" s="19" t="inlineStr">
        <is>
          <t>G4b1</t>
        </is>
      </c>
      <c r="E744" s="20" t="n">
        <v>12</v>
      </c>
      <c r="F744" s="6" t="inlineStr">
        <is>
          <t>CB400-V</t>
        </is>
      </c>
      <c r="G744" s="7" t="inlineStr">
        <is>
          <t>S01</t>
        </is>
      </c>
      <c r="H744" s="21" t="n">
        <v>11.7</v>
      </c>
      <c r="I744" s="22" t="n">
        <v>360</v>
      </c>
      <c r="J744" s="23" t="n">
        <v>0.888</v>
      </c>
      <c r="K744" s="9">
        <f>ROUND(H744*I744*J744, 2)</f>
        <v/>
      </c>
      <c r="L744" s="24">
        <f>ROUND(K744/1000, 3)</f>
        <v/>
      </c>
      <c r="M744" s="8" t="n"/>
      <c r="N744" s="21">
        <f>ROUND(N743 + IF(AND(E744&lt;=10, F744&lt;&gt;"ASTM A416"), L744, 0), 3)</f>
        <v/>
      </c>
      <c r="O744" s="21">
        <f>ROUND(O743 + IF(AND(E744&gt;10, E744&lt;=18, F744&lt;&gt;"ASTM A416"), L744, 0), 3)</f>
        <v/>
      </c>
      <c r="P744" s="21">
        <f>ROUND(P743 + IF(AND(E744&gt;18, F744&lt;&gt;"ASTM A416"), L744, 0), 3)</f>
        <v/>
      </c>
      <c r="Q744" s="21">
        <f>ROUND(Q743 + IF(F744="ASTM A416", L744, 0), 3)</f>
        <v/>
      </c>
      <c r="R744" s="11">
        <f>IF(INT(N744/20)&gt;INT(N743/20), "Lần " &amp; INT(N744/20), "")</f>
        <v/>
      </c>
      <c r="S744" s="12">
        <f>IF(INT(O744/20)&gt;INT(O743/20), "Lần " &amp; INT(O744/20), "")</f>
        <v/>
      </c>
      <c r="T744" s="11">
        <f>IF(INT(P744/20)&gt;INT(P743/20), "Lần " &amp; INT(P744/20), "")</f>
        <v/>
      </c>
      <c r="U744" s="25">
        <f>IF(INT(Q744/20)&gt;INT(Q743/20), "Lần " &amp; INT(Q744/20), "")</f>
        <v/>
      </c>
      <c r="V744" s="6" t="inlineStr"/>
      <c r="W744" s="6" t="inlineStr">
        <is>
          <t>ĐẠT TCVN 1651:2018</t>
        </is>
      </c>
    </row>
    <row r="745" ht="19" customHeight="1">
      <c r="A745" s="6" t="n">
        <v>709</v>
      </c>
      <c r="B745" s="7" t="inlineStr">
        <is>
          <t>Dầm chủ Super-T (15 phiến L=38.2m)</t>
        </is>
      </c>
      <c r="C745" s="7" t="inlineStr">
        <is>
          <t>Sườn dầm / Cánh dầm</t>
        </is>
      </c>
      <c r="D745" s="19" t="inlineStr">
        <is>
          <t>G4b2</t>
        </is>
      </c>
      <c r="E745" s="20" t="n">
        <v>12</v>
      </c>
      <c r="F745" s="6" t="inlineStr">
        <is>
          <t>CB400-V</t>
        </is>
      </c>
      <c r="G745" s="7" t="inlineStr">
        <is>
          <t>S06</t>
        </is>
      </c>
      <c r="H745" s="21" t="n">
        <v>3.06</v>
      </c>
      <c r="I745" s="22" t="n">
        <v>120</v>
      </c>
      <c r="J745" s="23" t="n">
        <v>0.888</v>
      </c>
      <c r="K745" s="9">
        <f>ROUND(H745*I745*J745, 2)</f>
        <v/>
      </c>
      <c r="L745" s="24">
        <f>ROUND(K745/1000, 3)</f>
        <v/>
      </c>
      <c r="M745" s="8" t="n"/>
      <c r="N745" s="21">
        <f>ROUND(N744 + IF(AND(E745&lt;=10, F745&lt;&gt;"ASTM A416"), L745, 0), 3)</f>
        <v/>
      </c>
      <c r="O745" s="21">
        <f>ROUND(O744 + IF(AND(E745&gt;10, E745&lt;=18, F745&lt;&gt;"ASTM A416"), L745, 0), 3)</f>
        <v/>
      </c>
      <c r="P745" s="21">
        <f>ROUND(P744 + IF(AND(E745&gt;18, F745&lt;&gt;"ASTM A416"), L745, 0), 3)</f>
        <v/>
      </c>
      <c r="Q745" s="21">
        <f>ROUND(Q744 + IF(F745="ASTM A416", L745, 0), 3)</f>
        <v/>
      </c>
      <c r="R745" s="11">
        <f>IF(INT(N745/20)&gt;INT(N744/20), "Lần " &amp; INT(N745/20), "")</f>
        <v/>
      </c>
      <c r="S745" s="12">
        <f>IF(INT(O745/20)&gt;INT(O744/20), "Lần " &amp; INT(O745/20), "")</f>
        <v/>
      </c>
      <c r="T745" s="11">
        <f>IF(INT(P745/20)&gt;INT(P744/20), "Lần " &amp; INT(P745/20), "")</f>
        <v/>
      </c>
      <c r="U745" s="25">
        <f>IF(INT(Q745/20)&gt;INT(Q744/20), "Lần " &amp; INT(Q745/20), "")</f>
        <v/>
      </c>
      <c r="V745" s="6" t="inlineStr"/>
      <c r="W745" s="6" t="inlineStr">
        <is>
          <t>ĐẠT TCVN 1651:2018</t>
        </is>
      </c>
    </row>
    <row r="746" ht="19" customHeight="1">
      <c r="A746" s="6" t="n">
        <v>710</v>
      </c>
      <c r="B746" s="7" t="inlineStr">
        <is>
          <t>Dầm chủ Super-T (15 phiến L=38.2m)</t>
        </is>
      </c>
      <c r="C746" s="7" t="inlineStr">
        <is>
          <t>Sườn dầm / Cánh dầm</t>
        </is>
      </c>
      <c r="D746" s="19" t="inlineStr">
        <is>
          <t>G5a</t>
        </is>
      </c>
      <c r="E746" s="20" t="n">
        <v>16</v>
      </c>
      <c r="F746" s="6" t="inlineStr">
        <is>
          <t>CB400-V</t>
        </is>
      </c>
      <c r="G746" s="7" t="inlineStr">
        <is>
          <t>S01</t>
        </is>
      </c>
      <c r="H746" s="21" t="n">
        <v>11.7</v>
      </c>
      <c r="I746" s="22" t="n">
        <v>420</v>
      </c>
      <c r="J746" s="23" t="n">
        <v>1.58</v>
      </c>
      <c r="K746" s="9">
        <f>ROUND(H746*I746*J746, 2)</f>
        <v/>
      </c>
      <c r="L746" s="24">
        <f>ROUND(K746/1000, 3)</f>
        <v/>
      </c>
      <c r="M746" s="8" t="n"/>
      <c r="N746" s="21">
        <f>ROUND(N745 + IF(AND(E746&lt;=10, F746&lt;&gt;"ASTM A416"), L746, 0), 3)</f>
        <v/>
      </c>
      <c r="O746" s="21">
        <f>ROUND(O745 + IF(AND(E746&gt;10, E746&lt;=18, F746&lt;&gt;"ASTM A416"), L746, 0), 3)</f>
        <v/>
      </c>
      <c r="P746" s="21">
        <f>ROUND(P745 + IF(AND(E746&gt;18, F746&lt;&gt;"ASTM A416"), L746, 0), 3)</f>
        <v/>
      </c>
      <c r="Q746" s="21">
        <f>ROUND(Q745 + IF(F746="ASTM A416", L746, 0), 3)</f>
        <v/>
      </c>
      <c r="R746" s="11">
        <f>IF(INT(N746/20)&gt;INT(N745/20), "Lần " &amp; INT(N746/20), "")</f>
        <v/>
      </c>
      <c r="S746" s="12">
        <f>IF(INT(O746/20)&gt;INT(O745/20), "Lần " &amp; INT(O746/20), "")</f>
        <v/>
      </c>
      <c r="T746" s="11">
        <f>IF(INT(P746/20)&gt;INT(P745/20), "Lần " &amp; INT(P746/20), "")</f>
        <v/>
      </c>
      <c r="U746" s="25">
        <f>IF(INT(Q746/20)&gt;INT(Q745/20), "Lần " &amp; INT(Q746/20), "")</f>
        <v/>
      </c>
      <c r="V746" s="6" t="inlineStr"/>
      <c r="W746" s="6" t="inlineStr">
        <is>
          <t>ĐẠT TCVN 1651:2018</t>
        </is>
      </c>
    </row>
    <row r="747" ht="19" customHeight="1">
      <c r="A747" s="6" t="n">
        <v>711</v>
      </c>
      <c r="B747" s="7" t="inlineStr">
        <is>
          <t>Dầm chủ Super-T (15 phiến L=38.2m)</t>
        </is>
      </c>
      <c r="C747" s="7" t="inlineStr">
        <is>
          <t>Sườn dầm / Cánh dầm</t>
        </is>
      </c>
      <c r="D747" s="19" t="inlineStr">
        <is>
          <t>G5b</t>
        </is>
      </c>
      <c r="E747" s="20" t="n">
        <v>18</v>
      </c>
      <c r="F747" s="6" t="inlineStr">
        <is>
          <t>CB400-V</t>
        </is>
      </c>
      <c r="G747" s="7" t="inlineStr">
        <is>
          <t>S06</t>
        </is>
      </c>
      <c r="H747" s="21" t="n">
        <v>2.86</v>
      </c>
      <c r="I747" s="22" t="n">
        <v>210</v>
      </c>
      <c r="J747" s="23" t="n">
        <v>2</v>
      </c>
      <c r="K747" s="9">
        <f>ROUND(H747*I747*J747, 2)</f>
        <v/>
      </c>
      <c r="L747" s="24">
        <f>ROUND(K747/1000, 3)</f>
        <v/>
      </c>
      <c r="M747" s="8" t="n"/>
      <c r="N747" s="21">
        <f>ROUND(N746 + IF(AND(E747&lt;=10, F747&lt;&gt;"ASTM A416"), L747, 0), 3)</f>
        <v/>
      </c>
      <c r="O747" s="21">
        <f>ROUND(O746 + IF(AND(E747&gt;10, E747&lt;=18, F747&lt;&gt;"ASTM A416"), L747, 0), 3)</f>
        <v/>
      </c>
      <c r="P747" s="21">
        <f>ROUND(P746 + IF(AND(E747&gt;18, F747&lt;&gt;"ASTM A416"), L747, 0), 3)</f>
        <v/>
      </c>
      <c r="Q747" s="21">
        <f>ROUND(Q746 + IF(F747="ASTM A416", L747, 0), 3)</f>
        <v/>
      </c>
      <c r="R747" s="11">
        <f>IF(INT(N747/20)&gt;INT(N746/20), "Lần " &amp; INT(N747/20), "")</f>
        <v/>
      </c>
      <c r="S747" s="12">
        <f>IF(INT(O747/20)&gt;INT(O746/20), "Lần " &amp; INT(O747/20), "")</f>
        <v/>
      </c>
      <c r="T747" s="11">
        <f>IF(INT(P747/20)&gt;INT(P746/20), "Lần " &amp; INT(P747/20), "")</f>
        <v/>
      </c>
      <c r="U747" s="25">
        <f>IF(INT(Q747/20)&gt;INT(Q746/20), "Lần " &amp; INT(Q747/20), "")</f>
        <v/>
      </c>
      <c r="V747" s="6" t="inlineStr"/>
      <c r="W747" s="6" t="inlineStr">
        <is>
          <t>ĐẠT TCVN 1651:2018</t>
        </is>
      </c>
    </row>
    <row r="748" ht="19" customHeight="1">
      <c r="A748" s="6" t="n">
        <v>712</v>
      </c>
      <c r="B748" s="7" t="inlineStr">
        <is>
          <t>Dầm chủ Super-T (15 phiến L=38.2m)</t>
        </is>
      </c>
      <c r="C748" s="7" t="inlineStr">
        <is>
          <t>Sườn dầm / Cánh dầm</t>
        </is>
      </c>
      <c r="D748" s="19" t="inlineStr">
        <is>
          <t>G5c</t>
        </is>
      </c>
      <c r="E748" s="20" t="n">
        <v>16</v>
      </c>
      <c r="F748" s="6" t="inlineStr">
        <is>
          <t>CB400-V</t>
        </is>
      </c>
      <c r="G748" s="7" t="inlineStr">
        <is>
          <t>S01</t>
        </is>
      </c>
      <c r="H748" s="21" t="n">
        <v>10.68</v>
      </c>
      <c r="I748" s="22" t="n">
        <v>210</v>
      </c>
      <c r="J748" s="23" t="n">
        <v>1.58</v>
      </c>
      <c r="K748" s="9">
        <f>ROUND(H748*I748*J748, 2)</f>
        <v/>
      </c>
      <c r="L748" s="24">
        <f>ROUND(K748/1000, 3)</f>
        <v/>
      </c>
      <c r="M748" s="8" t="n"/>
      <c r="N748" s="21">
        <f>ROUND(N747 + IF(AND(E748&lt;=10, F748&lt;&gt;"ASTM A416"), L748, 0), 3)</f>
        <v/>
      </c>
      <c r="O748" s="21">
        <f>ROUND(O747 + IF(AND(E748&gt;10, E748&lt;=18, F748&lt;&gt;"ASTM A416"), L748, 0), 3)</f>
        <v/>
      </c>
      <c r="P748" s="21">
        <f>ROUND(P747 + IF(AND(E748&gt;18, F748&lt;&gt;"ASTM A416"), L748, 0), 3)</f>
        <v/>
      </c>
      <c r="Q748" s="21">
        <f>ROUND(Q747 + IF(F748="ASTM A416", L748, 0), 3)</f>
        <v/>
      </c>
      <c r="R748" s="11">
        <f>IF(INT(N748/20)&gt;INT(N747/20), "Lần " &amp; INT(N748/20), "")</f>
        <v/>
      </c>
      <c r="S748" s="12">
        <f>IF(INT(O748/20)&gt;INT(O747/20), "Lần " &amp; INT(O748/20), "")</f>
        <v/>
      </c>
      <c r="T748" s="11">
        <f>IF(INT(P748/20)&gt;INT(P747/20), "Lần " &amp; INT(P748/20), "")</f>
        <v/>
      </c>
      <c r="U748" s="25">
        <f>IF(INT(Q748/20)&gt;INT(Q747/20), "Lần " &amp; INT(Q748/20), "")</f>
        <v/>
      </c>
      <c r="V748" s="6" t="inlineStr"/>
      <c r="W748" s="6" t="inlineStr">
        <is>
          <t>ĐẠT TCVN 1651:2018</t>
        </is>
      </c>
    </row>
    <row r="749" ht="19" customHeight="1">
      <c r="A749" s="6" t="n">
        <v>713</v>
      </c>
      <c r="B749" s="7" t="inlineStr">
        <is>
          <t>Dầm chủ Super-T (15 phiến L=38.2m)</t>
        </is>
      </c>
      <c r="C749" s="7" t="inlineStr">
        <is>
          <t>Sườn dầm / Cánh dầm</t>
        </is>
      </c>
      <c r="D749" s="19" t="inlineStr">
        <is>
          <t>G5d</t>
        </is>
      </c>
      <c r="E749" s="20" t="n">
        <v>18</v>
      </c>
      <c r="F749" s="6" t="inlineStr">
        <is>
          <t>CB400-V</t>
        </is>
      </c>
      <c r="G749" s="7" t="inlineStr">
        <is>
          <t>S06</t>
        </is>
      </c>
      <c r="H749" s="21" t="n">
        <v>3.9</v>
      </c>
      <c r="I749" s="22" t="n">
        <v>210</v>
      </c>
      <c r="J749" s="23" t="n">
        <v>2</v>
      </c>
      <c r="K749" s="9">
        <f>ROUND(H749*I749*J749, 2)</f>
        <v/>
      </c>
      <c r="L749" s="24">
        <f>ROUND(K749/1000, 3)</f>
        <v/>
      </c>
      <c r="M749" s="8" t="n"/>
      <c r="N749" s="21">
        <f>ROUND(N748 + IF(AND(E749&lt;=10, F749&lt;&gt;"ASTM A416"), L749, 0), 3)</f>
        <v/>
      </c>
      <c r="O749" s="21">
        <f>ROUND(O748 + IF(AND(E749&gt;10, E749&lt;=18, F749&lt;&gt;"ASTM A416"), L749, 0), 3)</f>
        <v/>
      </c>
      <c r="P749" s="21">
        <f>ROUND(P748 + IF(AND(E749&gt;18, F749&lt;&gt;"ASTM A416"), L749, 0), 3)</f>
        <v/>
      </c>
      <c r="Q749" s="21">
        <f>ROUND(Q748 + IF(F749="ASTM A416", L749, 0), 3)</f>
        <v/>
      </c>
      <c r="R749" s="11">
        <f>IF(INT(N749/20)&gt;INT(N748/20), "Lần " &amp; INT(N749/20), "")</f>
        <v/>
      </c>
      <c r="S749" s="12">
        <f>IF(INT(O749/20)&gt;INT(O748/20), "Lần " &amp; INT(O749/20), "")</f>
        <v/>
      </c>
      <c r="T749" s="11">
        <f>IF(INT(P749/20)&gt;INT(P748/20), "Lần " &amp; INT(P749/20), "")</f>
        <v/>
      </c>
      <c r="U749" s="25">
        <f>IF(INT(Q749/20)&gt;INT(Q748/20), "Lần " &amp; INT(Q749/20), "")</f>
        <v/>
      </c>
      <c r="V749" s="6" t="inlineStr"/>
      <c r="W749" s="6" t="inlineStr">
        <is>
          <t>ĐẠT TCVN 1651:2018</t>
        </is>
      </c>
    </row>
    <row r="750" ht="19" customHeight="1">
      <c r="A750" s="6" t="n">
        <v>714</v>
      </c>
      <c r="B750" s="7" t="inlineStr">
        <is>
          <t>Dầm chủ Super-T (15 phiến L=38.2m)</t>
        </is>
      </c>
      <c r="C750" s="7" t="inlineStr">
        <is>
          <t>Sườn dầm / Cánh dầm</t>
        </is>
      </c>
      <c r="D750" s="19" t="inlineStr">
        <is>
          <t>G6a</t>
        </is>
      </c>
      <c r="E750" s="20" t="n">
        <v>32</v>
      </c>
      <c r="F750" s="6" t="inlineStr">
        <is>
          <t>CB400-V</t>
        </is>
      </c>
      <c r="G750" s="7" t="inlineStr">
        <is>
          <t>S01</t>
        </is>
      </c>
      <c r="H750" s="21" t="n">
        <v>11.7</v>
      </c>
      <c r="I750" s="22" t="n">
        <v>135</v>
      </c>
      <c r="J750" s="23" t="n">
        <v>6.31</v>
      </c>
      <c r="K750" s="9">
        <f>ROUND(H750*I750*J750, 2)</f>
        <v/>
      </c>
      <c r="L750" s="24">
        <f>ROUND(K750/1000, 3)</f>
        <v/>
      </c>
      <c r="M750" s="8" t="n"/>
      <c r="N750" s="21">
        <f>ROUND(N749 + IF(AND(E750&lt;=10, F750&lt;&gt;"ASTM A416"), L750, 0), 3)</f>
        <v/>
      </c>
      <c r="O750" s="21">
        <f>ROUND(O749 + IF(AND(E750&gt;10, E750&lt;=18, F750&lt;&gt;"ASTM A416"), L750, 0), 3)</f>
        <v/>
      </c>
      <c r="P750" s="21">
        <f>ROUND(P749 + IF(AND(E750&gt;18, F750&lt;&gt;"ASTM A416"), L750, 0), 3)</f>
        <v/>
      </c>
      <c r="Q750" s="21">
        <f>ROUND(Q749 + IF(F750="ASTM A416", L750, 0), 3)</f>
        <v/>
      </c>
      <c r="R750" s="11">
        <f>IF(INT(N750/20)&gt;INT(N749/20), "Lần " &amp; INT(N750/20), "")</f>
        <v/>
      </c>
      <c r="S750" s="12">
        <f>IF(INT(O750/20)&gt;INT(O749/20), "Lần " &amp; INT(O750/20), "")</f>
        <v/>
      </c>
      <c r="T750" s="11">
        <f>IF(INT(P750/20)&gt;INT(P749/20), "Lần " &amp; INT(P750/20), "")</f>
        <v/>
      </c>
      <c r="U750" s="25">
        <f>IF(INT(Q750/20)&gt;INT(Q749/20), "Lần " &amp; INT(Q750/20), "")</f>
        <v/>
      </c>
      <c r="V750" s="6" t="inlineStr"/>
      <c r="W750" s="6" t="inlineStr">
        <is>
          <t>ĐẠT TCVN 1651:2018</t>
        </is>
      </c>
    </row>
    <row r="751" ht="19" customHeight="1">
      <c r="A751" s="6" t="n">
        <v>715</v>
      </c>
      <c r="B751" s="7" t="inlineStr">
        <is>
          <t>Dầm chủ Super-T (15 phiến L=38.2m)</t>
        </is>
      </c>
      <c r="C751" s="7" t="inlineStr">
        <is>
          <t>Sườn dầm / Cánh dầm</t>
        </is>
      </c>
      <c r="D751" s="19" t="inlineStr">
        <is>
          <t>G6b</t>
        </is>
      </c>
      <c r="E751" s="20" t="n">
        <v>32</v>
      </c>
      <c r="F751" s="6" t="inlineStr">
        <is>
          <t>CB400-V</t>
        </is>
      </c>
      <c r="G751" s="7" t="inlineStr">
        <is>
          <t>S06</t>
        </is>
      </c>
      <c r="H751" s="21" t="n">
        <v>6.86</v>
      </c>
      <c r="I751" s="22" t="n">
        <v>45</v>
      </c>
      <c r="J751" s="23" t="n">
        <v>6.31</v>
      </c>
      <c r="K751" s="9">
        <f>ROUND(H751*I751*J751, 2)</f>
        <v/>
      </c>
      <c r="L751" s="24">
        <f>ROUND(K751/1000, 3)</f>
        <v/>
      </c>
      <c r="M751" s="8" t="n"/>
      <c r="N751" s="21">
        <f>ROUND(N750 + IF(AND(E751&lt;=10, F751&lt;&gt;"ASTM A416"), L751, 0), 3)</f>
        <v/>
      </c>
      <c r="O751" s="21">
        <f>ROUND(O750 + IF(AND(E751&gt;10, E751&lt;=18, F751&lt;&gt;"ASTM A416"), L751, 0), 3)</f>
        <v/>
      </c>
      <c r="P751" s="21">
        <f>ROUND(P750 + IF(AND(E751&gt;18, F751&lt;&gt;"ASTM A416"), L751, 0), 3)</f>
        <v/>
      </c>
      <c r="Q751" s="21">
        <f>ROUND(Q750 + IF(F751="ASTM A416", L751, 0), 3)</f>
        <v/>
      </c>
      <c r="R751" s="11">
        <f>IF(INT(N751/20)&gt;INT(N750/20), "Lần " &amp; INT(N751/20), "")</f>
        <v/>
      </c>
      <c r="S751" s="12">
        <f>IF(INT(O751/20)&gt;INT(O750/20), "Lần " &amp; INT(O751/20), "")</f>
        <v/>
      </c>
      <c r="T751" s="11">
        <f>IF(INT(P751/20)&gt;INT(P750/20), "Lần " &amp; INT(P751/20), "")</f>
        <v/>
      </c>
      <c r="U751" s="25">
        <f>IF(INT(Q751/20)&gt;INT(Q750/20), "Lần " &amp; INT(Q751/20), "")</f>
        <v/>
      </c>
      <c r="V751" s="6" t="inlineStr"/>
      <c r="W751" s="6" t="inlineStr">
        <is>
          <t>ĐẠT TCVN 1651:2018</t>
        </is>
      </c>
    </row>
    <row r="752" ht="19" customHeight="1">
      <c r="A752" s="6" t="n">
        <v>716</v>
      </c>
      <c r="B752" s="7" t="inlineStr">
        <is>
          <t>Dầm chủ Super-T (15 phiến L=38.2m)</t>
        </is>
      </c>
      <c r="C752" s="7" t="inlineStr">
        <is>
          <t>Sườn dầm / Cánh dầm</t>
        </is>
      </c>
      <c r="D752" s="19" t="inlineStr">
        <is>
          <t>N1a</t>
        </is>
      </c>
      <c r="E752" s="20" t="n">
        <v>12</v>
      </c>
      <c r="F752" s="6" t="inlineStr">
        <is>
          <t>CB400-V</t>
        </is>
      </c>
      <c r="G752" s="7" t="inlineStr">
        <is>
          <t>S06</t>
        </is>
      </c>
      <c r="H752" s="21" t="n">
        <v>1.185</v>
      </c>
      <c r="I752" s="22" t="n">
        <v>555</v>
      </c>
      <c r="J752" s="23" t="n">
        <v>0.888</v>
      </c>
      <c r="K752" s="9">
        <f>ROUND(H752*I752*J752, 2)</f>
        <v/>
      </c>
      <c r="L752" s="24">
        <f>ROUND(K752/1000, 3)</f>
        <v/>
      </c>
      <c r="M752" s="8" t="n"/>
      <c r="N752" s="21">
        <f>ROUND(N751 + IF(AND(E752&lt;=10, F752&lt;&gt;"ASTM A416"), L752, 0), 3)</f>
        <v/>
      </c>
      <c r="O752" s="21">
        <f>ROUND(O751 + IF(AND(E752&gt;10, E752&lt;=18, F752&lt;&gt;"ASTM A416"), L752, 0), 3)</f>
        <v/>
      </c>
      <c r="P752" s="21">
        <f>ROUND(P751 + IF(AND(E752&gt;18, F752&lt;&gt;"ASTM A416"), L752, 0), 3)</f>
        <v/>
      </c>
      <c r="Q752" s="21">
        <f>ROUND(Q751 + IF(F752="ASTM A416", L752, 0), 3)</f>
        <v/>
      </c>
      <c r="R752" s="11">
        <f>IF(INT(N752/20)&gt;INT(N751/20), "Lần " &amp; INT(N752/20), "")</f>
        <v/>
      </c>
      <c r="S752" s="12">
        <f>IF(INT(O752/20)&gt;INT(O751/20), "Lần " &amp; INT(O752/20), "")</f>
        <v/>
      </c>
      <c r="T752" s="11">
        <f>IF(INT(P752/20)&gt;INT(P751/20), "Lần " &amp; INT(P752/20), "")</f>
        <v/>
      </c>
      <c r="U752" s="25">
        <f>IF(INT(Q752/20)&gt;INT(Q751/20), "Lần " &amp; INT(Q752/20), "")</f>
        <v/>
      </c>
      <c r="V752" s="6" t="inlineStr"/>
      <c r="W752" s="6" t="inlineStr">
        <is>
          <t>ĐẠT TCVN 1651:2018</t>
        </is>
      </c>
    </row>
    <row r="753" ht="19" customHeight="1">
      <c r="A753" s="6" t="n">
        <v>717</v>
      </c>
      <c r="B753" s="7" t="inlineStr">
        <is>
          <t>Dầm chủ Super-T (15 phiến L=38.2m)</t>
        </is>
      </c>
      <c r="C753" s="7" t="inlineStr">
        <is>
          <t>TRUNG BÌNH</t>
        </is>
      </c>
      <c r="D753" s="19" t="inlineStr">
        <is>
          <t>N1b</t>
        </is>
      </c>
      <c r="E753" s="20" t="n">
        <v>12</v>
      </c>
      <c r="F753" s="6" t="inlineStr">
        <is>
          <t>CB400-V</t>
        </is>
      </c>
      <c r="G753" s="7" t="inlineStr">
        <is>
          <t>S06</t>
        </is>
      </c>
      <c r="H753" s="21" t="n">
        <v>0.93</v>
      </c>
      <c r="I753" s="22" t="n">
        <v>3885</v>
      </c>
      <c r="J753" s="23" t="n">
        <v>0.888</v>
      </c>
      <c r="K753" s="9">
        <f>ROUND(H753*I753*J753, 2)</f>
        <v/>
      </c>
      <c r="L753" s="24">
        <f>ROUND(K753/1000, 3)</f>
        <v/>
      </c>
      <c r="M753" s="8" t="n"/>
      <c r="N753" s="21">
        <f>ROUND(N752 + IF(AND(E753&lt;=10, F753&lt;&gt;"ASTM A416"), L753, 0), 3)</f>
        <v/>
      </c>
      <c r="O753" s="21">
        <f>ROUND(O752 + IF(AND(E753&gt;10, E753&lt;=18, F753&lt;&gt;"ASTM A416"), L753, 0), 3)</f>
        <v/>
      </c>
      <c r="P753" s="21">
        <f>ROUND(P752 + IF(AND(E753&gt;18, F753&lt;&gt;"ASTM A416"), L753, 0), 3)</f>
        <v/>
      </c>
      <c r="Q753" s="21">
        <f>ROUND(Q752 + IF(F753="ASTM A416", L753, 0), 3)</f>
        <v/>
      </c>
      <c r="R753" s="11">
        <f>IF(INT(N753/20)&gt;INT(N752/20), "Lần " &amp; INT(N753/20), "")</f>
        <v/>
      </c>
      <c r="S753" s="12">
        <f>IF(INT(O753/20)&gt;INT(O752/20), "Lần " &amp; INT(O753/20), "")</f>
        <v/>
      </c>
      <c r="T753" s="11">
        <f>IF(INT(P753/20)&gt;INT(P752/20), "Lần " &amp; INT(P753/20), "")</f>
        <v/>
      </c>
      <c r="U753" s="25">
        <f>IF(INT(Q753/20)&gt;INT(Q752/20), "Lần " &amp; INT(Q753/20), "")</f>
        <v/>
      </c>
      <c r="V753" s="6" t="inlineStr"/>
      <c r="W753" s="6" t="inlineStr">
        <is>
          <t>ĐẠT TCVN 1651:2018</t>
        </is>
      </c>
    </row>
    <row r="754" ht="19" customHeight="1">
      <c r="A754" s="6" t="n">
        <v>718</v>
      </c>
      <c r="B754" s="7" t="inlineStr">
        <is>
          <t>Dầm chủ Super-T (15 phiến L=38.2m)</t>
        </is>
      </c>
      <c r="C754" s="7" t="inlineStr">
        <is>
          <t>Sườn dầm / Cánh dầm</t>
        </is>
      </c>
      <c r="D754" s="19" t="inlineStr">
        <is>
          <t>N2</t>
        </is>
      </c>
      <c r="E754" s="20" t="n">
        <v>12</v>
      </c>
      <c r="F754" s="6" t="inlineStr">
        <is>
          <t>CB400-V</t>
        </is>
      </c>
      <c r="G754" s="7" t="inlineStr">
        <is>
          <t>S06</t>
        </is>
      </c>
      <c r="H754" s="21" t="n">
        <v>3.664</v>
      </c>
      <c r="I754" s="22" t="n">
        <v>45</v>
      </c>
      <c r="J754" s="23" t="n">
        <v>0.888</v>
      </c>
      <c r="K754" s="9">
        <f>ROUND(H754*I754*J754, 2)</f>
        <v/>
      </c>
      <c r="L754" s="24">
        <f>ROUND(K754/1000, 3)</f>
        <v/>
      </c>
      <c r="M754" s="8" t="n"/>
      <c r="N754" s="21">
        <f>ROUND(N753 + IF(AND(E754&lt;=10, F754&lt;&gt;"ASTM A416"), L754, 0), 3)</f>
        <v/>
      </c>
      <c r="O754" s="21">
        <f>ROUND(O753 + IF(AND(E754&gt;10, E754&lt;=18, F754&lt;&gt;"ASTM A416"), L754, 0), 3)</f>
        <v/>
      </c>
      <c r="P754" s="21">
        <f>ROUND(P753 + IF(AND(E754&gt;18, F754&lt;&gt;"ASTM A416"), L754, 0), 3)</f>
        <v/>
      </c>
      <c r="Q754" s="21">
        <f>ROUND(Q753 + IF(F754="ASTM A416", L754, 0), 3)</f>
        <v/>
      </c>
      <c r="R754" s="11">
        <f>IF(INT(N754/20)&gt;INT(N753/20), "Lần " &amp; INT(N754/20), "")</f>
        <v/>
      </c>
      <c r="S754" s="12">
        <f>IF(INT(O754/20)&gt;INT(O753/20), "Lần " &amp; INT(O754/20), "")</f>
        <v/>
      </c>
      <c r="T754" s="11">
        <f>IF(INT(P754/20)&gt;INT(P753/20), "Lần " &amp; INT(P754/20), "")</f>
        <v/>
      </c>
      <c r="U754" s="25">
        <f>IF(INT(Q754/20)&gt;INT(Q753/20), "Lần " &amp; INT(Q754/20), "")</f>
        <v/>
      </c>
      <c r="V754" s="6" t="inlineStr"/>
      <c r="W754" s="6" t="inlineStr">
        <is>
          <t>ĐẠT TCVN 1651:2018</t>
        </is>
      </c>
    </row>
    <row r="755" ht="19" customHeight="1">
      <c r="A755" s="6" t="n">
        <v>719</v>
      </c>
      <c r="B755" s="7" t="inlineStr">
        <is>
          <t>Dầm chủ Super-T (15 phiến L=38.2m)</t>
        </is>
      </c>
      <c r="C755" s="7" t="inlineStr">
        <is>
          <t>Sườn dầm / Cánh dầm</t>
        </is>
      </c>
      <c r="D755" s="19" t="inlineStr">
        <is>
          <t>E1</t>
        </is>
      </c>
      <c r="E755" s="20" t="n">
        <v>16</v>
      </c>
      <c r="F755" s="6" t="inlineStr">
        <is>
          <t>CB400-V</t>
        </is>
      </c>
      <c r="G755" s="7" t="inlineStr">
        <is>
          <t>S06</t>
        </is>
      </c>
      <c r="H755" s="21" t="n">
        <v>2.391</v>
      </c>
      <c r="I755" s="22" t="n">
        <v>3780</v>
      </c>
      <c r="J755" s="23" t="n">
        <v>1.58</v>
      </c>
      <c r="K755" s="9">
        <f>ROUND(H755*I755*J755, 2)</f>
        <v/>
      </c>
      <c r="L755" s="24">
        <f>ROUND(K755/1000, 3)</f>
        <v/>
      </c>
      <c r="M755" s="8" t="n"/>
      <c r="N755" s="21">
        <f>ROUND(N754 + IF(AND(E755&lt;=10, F755&lt;&gt;"ASTM A416"), L755, 0), 3)</f>
        <v/>
      </c>
      <c r="O755" s="21">
        <f>ROUND(O754 + IF(AND(E755&gt;10, E755&lt;=18, F755&lt;&gt;"ASTM A416"), L755, 0), 3)</f>
        <v/>
      </c>
      <c r="P755" s="21">
        <f>ROUND(P754 + IF(AND(E755&gt;18, F755&lt;&gt;"ASTM A416"), L755, 0), 3)</f>
        <v/>
      </c>
      <c r="Q755" s="21">
        <f>ROUND(Q754 + IF(F755="ASTM A416", L755, 0), 3)</f>
        <v/>
      </c>
      <c r="R755" s="11">
        <f>IF(INT(N755/20)&gt;INT(N754/20), "Lần " &amp; INT(N755/20), "")</f>
        <v/>
      </c>
      <c r="S755" s="12">
        <f>IF(INT(O755/20)&gt;INT(O754/20), "Lần " &amp; INT(O755/20), "")</f>
        <v/>
      </c>
      <c r="T755" s="11">
        <f>IF(INT(P755/20)&gt;INT(P754/20), "Lần " &amp; INT(P755/20), "")</f>
        <v/>
      </c>
      <c r="U755" s="25">
        <f>IF(INT(Q755/20)&gt;INT(Q754/20), "Lần " &amp; INT(Q755/20), "")</f>
        <v/>
      </c>
      <c r="V755" s="6" t="inlineStr"/>
      <c r="W755" s="6" t="inlineStr">
        <is>
          <t>ĐẠT TCVN 1651:2018</t>
        </is>
      </c>
    </row>
    <row r="756" ht="19" customHeight="1">
      <c r="A756" s="6" t="n">
        <v>720</v>
      </c>
      <c r="B756" s="7" t="inlineStr">
        <is>
          <t>Dầm chủ Super-T (15 phiến L=38.2m)</t>
        </is>
      </c>
      <c r="C756" s="7" t="inlineStr">
        <is>
          <t>Sườn dầm / Cánh dầm</t>
        </is>
      </c>
      <c r="D756" s="19" t="inlineStr">
        <is>
          <t>E2</t>
        </is>
      </c>
      <c r="E756" s="20" t="n">
        <v>16</v>
      </c>
      <c r="F756" s="6" t="inlineStr">
        <is>
          <t>CB400-V</t>
        </is>
      </c>
      <c r="G756" s="7" t="inlineStr">
        <is>
          <t>S06</t>
        </is>
      </c>
      <c r="H756" s="21" t="n">
        <v>3.932</v>
      </c>
      <c r="I756" s="22" t="n">
        <v>300</v>
      </c>
      <c r="J756" s="23" t="n">
        <v>1.58</v>
      </c>
      <c r="K756" s="9">
        <f>ROUND(H756*I756*J756, 2)</f>
        <v/>
      </c>
      <c r="L756" s="24">
        <f>ROUND(K756/1000, 3)</f>
        <v/>
      </c>
      <c r="M756" s="8" t="n"/>
      <c r="N756" s="21">
        <f>ROUND(N755 + IF(AND(E756&lt;=10, F756&lt;&gt;"ASTM A416"), L756, 0), 3)</f>
        <v/>
      </c>
      <c r="O756" s="21">
        <f>ROUND(O755 + IF(AND(E756&gt;10, E756&lt;=18, F756&lt;&gt;"ASTM A416"), L756, 0), 3)</f>
        <v/>
      </c>
      <c r="P756" s="21">
        <f>ROUND(P755 + IF(AND(E756&gt;18, F756&lt;&gt;"ASTM A416"), L756, 0), 3)</f>
        <v/>
      </c>
      <c r="Q756" s="21">
        <f>ROUND(Q755 + IF(F756="ASTM A416", L756, 0), 3)</f>
        <v/>
      </c>
      <c r="R756" s="11">
        <f>IF(INT(N756/20)&gt;INT(N755/20), "Lần " &amp; INT(N756/20), "")</f>
        <v/>
      </c>
      <c r="S756" s="12">
        <f>IF(INT(O756/20)&gt;INT(O755/20), "Lần " &amp; INT(O756/20), "")</f>
        <v/>
      </c>
      <c r="T756" s="11">
        <f>IF(INT(P756/20)&gt;INT(P755/20), "Lần " &amp; INT(P756/20), "")</f>
        <v/>
      </c>
      <c r="U756" s="25">
        <f>IF(INT(Q756/20)&gt;INT(Q755/20), "Lần " &amp; INT(Q756/20), "")</f>
        <v/>
      </c>
      <c r="V756" s="6" t="inlineStr"/>
      <c r="W756" s="6" t="inlineStr">
        <is>
          <t>ĐẠT TCVN 1651:2018</t>
        </is>
      </c>
    </row>
    <row r="757" ht="19" customHeight="1">
      <c r="A757" s="6" t="n">
        <v>721</v>
      </c>
      <c r="B757" s="7" t="inlineStr">
        <is>
          <t>Dầm chủ Super-T (15 phiến L=38.2m)</t>
        </is>
      </c>
      <c r="C757" s="7" t="inlineStr">
        <is>
          <t>Sườn dầm / Cánh dầm</t>
        </is>
      </c>
      <c r="D757" s="19" t="inlineStr">
        <is>
          <t>Thanh neo</t>
        </is>
      </c>
      <c r="E757" s="20" t="n">
        <v>20</v>
      </c>
      <c r="F757" s="6" t="inlineStr">
        <is>
          <t>CB400-V</t>
        </is>
      </c>
      <c r="G757" s="7" t="inlineStr">
        <is>
          <t>S06</t>
        </is>
      </c>
      <c r="H757" s="21" t="n">
        <v>0.11</v>
      </c>
      <c r="I757" s="22" t="n">
        <v>120</v>
      </c>
      <c r="J757" s="23" t="n">
        <v>2.47</v>
      </c>
      <c r="K757" s="9">
        <f>ROUND(H757*I757*J757, 2)</f>
        <v/>
      </c>
      <c r="L757" s="24">
        <f>ROUND(K757/1000, 3)</f>
        <v/>
      </c>
      <c r="M757" s="8" t="n"/>
      <c r="N757" s="21">
        <f>ROUND(N756 + IF(AND(E757&lt;=10, F757&lt;&gt;"ASTM A416"), L757, 0), 3)</f>
        <v/>
      </c>
      <c r="O757" s="21">
        <f>ROUND(O756 + IF(AND(E757&gt;10, E757&lt;=18, F757&lt;&gt;"ASTM A416"), L757, 0), 3)</f>
        <v/>
      </c>
      <c r="P757" s="21">
        <f>ROUND(P756 + IF(AND(E757&gt;18, F757&lt;&gt;"ASTM A416"), L757, 0), 3)</f>
        <v/>
      </c>
      <c r="Q757" s="21">
        <f>ROUND(Q756 + IF(F757="ASTM A416", L757, 0), 3)</f>
        <v/>
      </c>
      <c r="R757" s="11">
        <f>IF(INT(N757/20)&gt;INT(N756/20), "Lần " &amp; INT(N757/20), "")</f>
        <v/>
      </c>
      <c r="S757" s="12">
        <f>IF(INT(O757/20)&gt;INT(O756/20), "Lần " &amp; INT(O757/20), "")</f>
        <v/>
      </c>
      <c r="T757" s="11">
        <f>IF(INT(P757/20)&gt;INT(P756/20), "Lần " &amp; INT(P757/20), "")</f>
        <v/>
      </c>
      <c r="U757" s="25">
        <f>IF(INT(Q757/20)&gt;INT(Q756/20), "Lần " &amp; INT(Q757/20), "")</f>
        <v/>
      </c>
      <c r="V757" s="6" t="inlineStr"/>
      <c r="W757" s="6" t="inlineStr">
        <is>
          <t>ĐẠT TCVN 1651:2018</t>
        </is>
      </c>
    </row>
    <row r="758" ht="19" customHeight="1">
      <c r="A758" s="6" t="n">
        <v>722</v>
      </c>
      <c r="B758" s="7" t="inlineStr">
        <is>
          <t>Dầm chủ Super-T (15 phiến L=38.2m)</t>
        </is>
      </c>
      <c r="C758" s="7" t="inlineStr">
        <is>
          <t>Sườn dầm / Cánh dầm</t>
        </is>
      </c>
      <c r="D758" s="19" t="inlineStr">
        <is>
          <t>K1a</t>
        </is>
      </c>
      <c r="E758" s="20" t="n">
        <v>16</v>
      </c>
      <c r="F758" s="6" t="inlineStr">
        <is>
          <t>CB400-V</t>
        </is>
      </c>
      <c r="G758" s="7" t="inlineStr">
        <is>
          <t>S06</t>
        </is>
      </c>
      <c r="H758" s="21" t="n">
        <v>1.14</v>
      </c>
      <c r="I758" s="22" t="n">
        <v>120</v>
      </c>
      <c r="J758" s="23" t="n">
        <v>1.58</v>
      </c>
      <c r="K758" s="9">
        <f>ROUND(H758*I758*J758, 2)</f>
        <v/>
      </c>
      <c r="L758" s="24">
        <f>ROUND(K758/1000, 3)</f>
        <v/>
      </c>
      <c r="M758" s="8" t="n"/>
      <c r="N758" s="21">
        <f>ROUND(N757 + IF(AND(E758&lt;=10, F758&lt;&gt;"ASTM A416"), L758, 0), 3)</f>
        <v/>
      </c>
      <c r="O758" s="21">
        <f>ROUND(O757 + IF(AND(E758&gt;10, E758&lt;=18, F758&lt;&gt;"ASTM A416"), L758, 0), 3)</f>
        <v/>
      </c>
      <c r="P758" s="21">
        <f>ROUND(P757 + IF(AND(E758&gt;18, F758&lt;&gt;"ASTM A416"), L758, 0), 3)</f>
        <v/>
      </c>
      <c r="Q758" s="21">
        <f>ROUND(Q757 + IF(F758="ASTM A416", L758, 0), 3)</f>
        <v/>
      </c>
      <c r="R758" s="11">
        <f>IF(INT(N758/20)&gt;INT(N757/20), "Lần " &amp; INT(N758/20), "")</f>
        <v/>
      </c>
      <c r="S758" s="12">
        <f>IF(INT(O758/20)&gt;INT(O757/20), "Lần " &amp; INT(O758/20), "")</f>
        <v/>
      </c>
      <c r="T758" s="11">
        <f>IF(INT(P758/20)&gt;INT(P757/20), "Lần " &amp; INT(P758/20), "")</f>
        <v/>
      </c>
      <c r="U758" s="25">
        <f>IF(INT(Q758/20)&gt;INT(Q757/20), "Lần " &amp; INT(Q758/20), "")</f>
        <v/>
      </c>
      <c r="V758" s="6" t="inlineStr"/>
      <c r="W758" s="6" t="inlineStr">
        <is>
          <t>ĐẠT TCVN 1651:2018</t>
        </is>
      </c>
    </row>
    <row r="759" ht="19" customHeight="1">
      <c r="A759" s="6" t="n">
        <v>723</v>
      </c>
      <c r="B759" s="7" t="inlineStr">
        <is>
          <t>Dầm chủ Super-T (15 phiến L=38.2m)</t>
        </is>
      </c>
      <c r="C759" s="7" t="inlineStr">
        <is>
          <t>Sườn dầm / Cánh dầm</t>
        </is>
      </c>
      <c r="D759" s="19" t="inlineStr">
        <is>
          <t>K1b</t>
        </is>
      </c>
      <c r="E759" s="20" t="n">
        <v>16</v>
      </c>
      <c r="F759" s="6" t="inlineStr">
        <is>
          <t>CB400-V</t>
        </is>
      </c>
      <c r="G759" s="7" t="inlineStr">
        <is>
          <t>S06</t>
        </is>
      </c>
      <c r="H759" s="21" t="n">
        <v>0.864</v>
      </c>
      <c r="I759" s="22" t="n">
        <v>120</v>
      </c>
      <c r="J759" s="23" t="n">
        <v>1.58</v>
      </c>
      <c r="K759" s="9">
        <f>ROUND(H759*I759*J759, 2)</f>
        <v/>
      </c>
      <c r="L759" s="24">
        <f>ROUND(K759/1000, 3)</f>
        <v/>
      </c>
      <c r="M759" s="8" t="n"/>
      <c r="N759" s="21">
        <f>ROUND(N758 + IF(AND(E759&lt;=10, F759&lt;&gt;"ASTM A416"), L759, 0), 3)</f>
        <v/>
      </c>
      <c r="O759" s="21">
        <f>ROUND(O758 + IF(AND(E759&gt;10, E759&lt;=18, F759&lt;&gt;"ASTM A416"), L759, 0), 3)</f>
        <v/>
      </c>
      <c r="P759" s="21">
        <f>ROUND(P758 + IF(AND(E759&gt;18, F759&lt;&gt;"ASTM A416"), L759, 0), 3)</f>
        <v/>
      </c>
      <c r="Q759" s="21">
        <f>ROUND(Q758 + IF(F759="ASTM A416", L759, 0), 3)</f>
        <v/>
      </c>
      <c r="R759" s="11">
        <f>IF(INT(N759/20)&gt;INT(N758/20), "Lần " &amp; INT(N759/20), "")</f>
        <v/>
      </c>
      <c r="S759" s="12">
        <f>IF(INT(O759/20)&gt;INT(O758/20), "Lần " &amp; INT(O759/20), "")</f>
        <v/>
      </c>
      <c r="T759" s="11">
        <f>IF(INT(P759/20)&gt;INT(P758/20), "Lần " &amp; INT(P759/20), "")</f>
        <v/>
      </c>
      <c r="U759" s="25">
        <f>IF(INT(Q759/20)&gt;INT(Q758/20), "Lần " &amp; INT(Q759/20), "")</f>
        <v/>
      </c>
      <c r="V759" s="6" t="inlineStr"/>
      <c r="W759" s="6" t="inlineStr">
        <is>
          <t>ĐẠT TCVN 1651:2018</t>
        </is>
      </c>
    </row>
    <row r="760" ht="19" customHeight="1">
      <c r="A760" s="6" t="n">
        <v>724</v>
      </c>
      <c r="B760" s="7" t="inlineStr">
        <is>
          <t>Dầm chủ Super-T (15 phiến L=38.2m)</t>
        </is>
      </c>
      <c r="C760" s="7" t="inlineStr">
        <is>
          <t>Sườn dầm / Cánh dầm</t>
        </is>
      </c>
      <c r="D760" s="19" t="inlineStr">
        <is>
          <t>G1a</t>
        </is>
      </c>
      <c r="E760" s="20" t="n">
        <v>16</v>
      </c>
      <c r="F760" s="6" t="inlineStr">
        <is>
          <t>CB400-V</t>
        </is>
      </c>
      <c r="G760" s="7" t="inlineStr">
        <is>
          <t>S06</t>
        </is>
      </c>
      <c r="H760" s="21" t="n">
        <v>5.056</v>
      </c>
      <c r="I760" s="22" t="n">
        <v>2160</v>
      </c>
      <c r="J760" s="23" t="n">
        <v>1.58</v>
      </c>
      <c r="K760" s="9">
        <f>ROUND(H760*I760*J760, 2)</f>
        <v/>
      </c>
      <c r="L760" s="24">
        <f>ROUND(K760/1000, 3)</f>
        <v/>
      </c>
      <c r="M760" s="8" t="n"/>
      <c r="N760" s="21">
        <f>ROUND(N759 + IF(AND(E760&lt;=10, F760&lt;&gt;"ASTM A416"), L760, 0), 3)</f>
        <v/>
      </c>
      <c r="O760" s="21">
        <f>ROUND(O759 + IF(AND(E760&gt;10, E760&lt;=18, F760&lt;&gt;"ASTM A416"), L760, 0), 3)</f>
        <v/>
      </c>
      <c r="P760" s="21">
        <f>ROUND(P759 + IF(AND(E760&gt;18, F760&lt;&gt;"ASTM A416"), L760, 0), 3)</f>
        <v/>
      </c>
      <c r="Q760" s="21">
        <f>ROUND(Q759 + IF(F760="ASTM A416", L760, 0), 3)</f>
        <v/>
      </c>
      <c r="R760" s="11">
        <f>IF(INT(N760/20)&gt;INT(N759/20), "Lần " &amp; INT(N760/20), "")</f>
        <v/>
      </c>
      <c r="S760" s="12">
        <f>IF(INT(O760/20)&gt;INT(O759/20), "Lần " &amp; INT(O760/20), "")</f>
        <v/>
      </c>
      <c r="T760" s="11">
        <f>IF(INT(P760/20)&gt;INT(P759/20), "Lần " &amp; INT(P760/20), "")</f>
        <v/>
      </c>
      <c r="U760" s="25">
        <f>IF(INT(Q760/20)&gt;INT(Q759/20), "Lần " &amp; INT(Q760/20), "")</f>
        <v/>
      </c>
      <c r="V760" s="6" t="inlineStr"/>
      <c r="W760" s="6" t="inlineStr">
        <is>
          <t>ĐẠT TCVN 1651:2018</t>
        </is>
      </c>
    </row>
    <row r="761" ht="19" customHeight="1">
      <c r="A761" s="6" t="n">
        <v>725</v>
      </c>
      <c r="B761" s="7" t="inlineStr">
        <is>
          <t>Dầm chủ Super-T (15 phiến L=38.2m)</t>
        </is>
      </c>
      <c r="C761" s="7" t="inlineStr">
        <is>
          <t>Sườn dầm / Cánh dầm</t>
        </is>
      </c>
      <c r="D761" s="19" t="inlineStr">
        <is>
          <t>G1b</t>
        </is>
      </c>
      <c r="E761" s="20" t="n">
        <v>12</v>
      </c>
      <c r="F761" s="6" t="inlineStr">
        <is>
          <t>CB400-V</t>
        </is>
      </c>
      <c r="G761" s="7" t="inlineStr">
        <is>
          <t>S06</t>
        </is>
      </c>
      <c r="H761" s="21" t="n">
        <v>5.075</v>
      </c>
      <c r="I761" s="22" t="n">
        <v>1875</v>
      </c>
      <c r="J761" s="23" t="n">
        <v>0.888</v>
      </c>
      <c r="K761" s="9">
        <f>ROUND(H761*I761*J761, 2)</f>
        <v/>
      </c>
      <c r="L761" s="24">
        <f>ROUND(K761/1000, 3)</f>
        <v/>
      </c>
      <c r="M761" s="8" t="n"/>
      <c r="N761" s="21">
        <f>ROUND(N760 + IF(AND(E761&lt;=10, F761&lt;&gt;"ASTM A416"), L761, 0), 3)</f>
        <v/>
      </c>
      <c r="O761" s="21">
        <f>ROUND(O760 + IF(AND(E761&gt;10, E761&lt;=18, F761&lt;&gt;"ASTM A416"), L761, 0), 3)</f>
        <v/>
      </c>
      <c r="P761" s="21">
        <f>ROUND(P760 + IF(AND(E761&gt;18, F761&lt;&gt;"ASTM A416"), L761, 0), 3)</f>
        <v/>
      </c>
      <c r="Q761" s="21">
        <f>ROUND(Q760 + IF(F761="ASTM A416", L761, 0), 3)</f>
        <v/>
      </c>
      <c r="R761" s="11">
        <f>IF(INT(N761/20)&gt;INT(N760/20), "Lần " &amp; INT(N761/20), "")</f>
        <v/>
      </c>
      <c r="S761" s="12">
        <f>IF(INT(O761/20)&gt;INT(O760/20), "Lần " &amp; INT(O761/20), "")</f>
        <v/>
      </c>
      <c r="T761" s="11">
        <f>IF(INT(P761/20)&gt;INT(P760/20), "Lần " &amp; INT(P761/20), "")</f>
        <v/>
      </c>
      <c r="U761" s="25">
        <f>IF(INT(Q761/20)&gt;INT(Q760/20), "Lần " &amp; INT(Q761/20), "")</f>
        <v/>
      </c>
      <c r="V761" s="6" t="inlineStr"/>
      <c r="W761" s="6" t="inlineStr">
        <is>
          <t>ĐẠT TCVN 1651:2018</t>
        </is>
      </c>
    </row>
    <row r="762" ht="19" customHeight="1">
      <c r="A762" s="6" t="n">
        <v>726</v>
      </c>
      <c r="B762" s="7" t="inlineStr">
        <is>
          <t>Dầm chủ Super-T (15 phiến L=38.2m)</t>
        </is>
      </c>
      <c r="C762" s="7" t="inlineStr">
        <is>
          <t>Sườn dầm / Cánh dầm</t>
        </is>
      </c>
      <c r="D762" s="19" t="inlineStr">
        <is>
          <t>G2</t>
        </is>
      </c>
      <c r="E762" s="20" t="n">
        <v>12</v>
      </c>
      <c r="F762" s="6" t="inlineStr">
        <is>
          <t>CB400-V</t>
        </is>
      </c>
      <c r="G762" s="7" t="inlineStr">
        <is>
          <t>S06</t>
        </is>
      </c>
      <c r="H762" s="21" t="n">
        <v>1.184</v>
      </c>
      <c r="I762" s="22" t="n">
        <v>3825</v>
      </c>
      <c r="J762" s="23" t="n">
        <v>0.888</v>
      </c>
      <c r="K762" s="9">
        <f>ROUND(H762*I762*J762, 2)</f>
        <v/>
      </c>
      <c r="L762" s="24">
        <f>ROUND(K762/1000, 3)</f>
        <v/>
      </c>
      <c r="M762" s="8" t="n"/>
      <c r="N762" s="21">
        <f>ROUND(N761 + IF(AND(E762&lt;=10, F762&lt;&gt;"ASTM A416"), L762, 0), 3)</f>
        <v/>
      </c>
      <c r="O762" s="21">
        <f>ROUND(O761 + IF(AND(E762&gt;10, E762&lt;=18, F762&lt;&gt;"ASTM A416"), L762, 0), 3)</f>
        <v/>
      </c>
      <c r="P762" s="21">
        <f>ROUND(P761 + IF(AND(E762&gt;18, F762&lt;&gt;"ASTM A416"), L762, 0), 3)</f>
        <v/>
      </c>
      <c r="Q762" s="21">
        <f>ROUND(Q761 + IF(F762="ASTM A416", L762, 0), 3)</f>
        <v/>
      </c>
      <c r="R762" s="11">
        <f>IF(INT(N762/20)&gt;INT(N761/20), "Lần " &amp; INT(N762/20), "")</f>
        <v/>
      </c>
      <c r="S762" s="12">
        <f>IF(INT(O762/20)&gt;INT(O761/20), "Lần " &amp; INT(O762/20), "")</f>
        <v/>
      </c>
      <c r="T762" s="11">
        <f>IF(INT(P762/20)&gt;INT(P761/20), "Lần " &amp; INT(P762/20), "")</f>
        <v/>
      </c>
      <c r="U762" s="25">
        <f>IF(INT(Q762/20)&gt;INT(Q761/20), "Lần " &amp; INT(Q762/20), "")</f>
        <v/>
      </c>
      <c r="V762" s="6" t="inlineStr"/>
      <c r="W762" s="6" t="inlineStr">
        <is>
          <t>ĐẠT TCVN 1651:2018</t>
        </is>
      </c>
    </row>
    <row r="763" ht="19" customHeight="1">
      <c r="A763" s="6" t="n">
        <v>727</v>
      </c>
      <c r="B763" s="7" t="inlineStr">
        <is>
          <t>Dầm chủ Super-T (15 phiến L=38.2m)</t>
        </is>
      </c>
      <c r="C763" s="7" t="inlineStr">
        <is>
          <t>Sườn dầm / Cánh dầm</t>
        </is>
      </c>
      <c r="D763" s="19" t="inlineStr">
        <is>
          <t>G2a</t>
        </is>
      </c>
      <c r="E763" s="20" t="n">
        <v>12</v>
      </c>
      <c r="F763" s="6" t="inlineStr">
        <is>
          <t>CB400-V</t>
        </is>
      </c>
      <c r="G763" s="7" t="inlineStr">
        <is>
          <t>S06</t>
        </is>
      </c>
      <c r="H763" s="21" t="n">
        <v>1.219</v>
      </c>
      <c r="I763" s="22" t="n">
        <v>4035</v>
      </c>
      <c r="J763" s="23" t="n">
        <v>0.888</v>
      </c>
      <c r="K763" s="9">
        <f>ROUND(H763*I763*J763, 2)</f>
        <v/>
      </c>
      <c r="L763" s="24">
        <f>ROUND(K763/1000, 3)</f>
        <v/>
      </c>
      <c r="M763" s="8" t="n"/>
      <c r="N763" s="21">
        <f>ROUND(N762 + IF(AND(E763&lt;=10, F763&lt;&gt;"ASTM A416"), L763, 0), 3)</f>
        <v/>
      </c>
      <c r="O763" s="21">
        <f>ROUND(O762 + IF(AND(E763&gt;10, E763&lt;=18, F763&lt;&gt;"ASTM A416"), L763, 0), 3)</f>
        <v/>
      </c>
      <c r="P763" s="21">
        <f>ROUND(P762 + IF(AND(E763&gt;18, F763&lt;&gt;"ASTM A416"), L763, 0), 3)</f>
        <v/>
      </c>
      <c r="Q763" s="21">
        <f>ROUND(Q762 + IF(F763="ASTM A416", L763, 0), 3)</f>
        <v/>
      </c>
      <c r="R763" s="11">
        <f>IF(INT(N763/20)&gt;INT(N762/20), "Lần " &amp; INT(N763/20), "")</f>
        <v/>
      </c>
      <c r="S763" s="12">
        <f>IF(INT(O763/20)&gt;INT(O762/20), "Lần " &amp; INT(O763/20), "")</f>
        <v/>
      </c>
      <c r="T763" s="11">
        <f>IF(INT(P763/20)&gt;INT(P762/20), "Lần " &amp; INT(P763/20), "")</f>
        <v/>
      </c>
      <c r="U763" s="25">
        <f>IF(INT(Q763/20)&gt;INT(Q762/20), "Lần " &amp; INT(Q763/20), "")</f>
        <v/>
      </c>
      <c r="V763" s="6" t="inlineStr"/>
      <c r="W763" s="6" t="inlineStr">
        <is>
          <t>ĐẠT TCVN 1651:2018</t>
        </is>
      </c>
    </row>
    <row r="764" ht="19" customHeight="1">
      <c r="A764" s="6" t="n">
        <v>728</v>
      </c>
      <c r="B764" s="7" t="inlineStr">
        <is>
          <t>Dầm chủ Super-T (15 phiến L=38.2m)</t>
        </is>
      </c>
      <c r="C764" s="7" t="inlineStr">
        <is>
          <t>Sườn dầm / Cánh dầm</t>
        </is>
      </c>
      <c r="D764" s="19" t="inlineStr">
        <is>
          <t>G3</t>
        </is>
      </c>
      <c r="E764" s="20" t="n">
        <v>12</v>
      </c>
      <c r="F764" s="6" t="inlineStr">
        <is>
          <t>CB400-V</t>
        </is>
      </c>
      <c r="G764" s="7" t="inlineStr">
        <is>
          <t>S06</t>
        </is>
      </c>
      <c r="H764" s="21" t="n">
        <v>1.259</v>
      </c>
      <c r="I764" s="22" t="n">
        <v>4035</v>
      </c>
      <c r="J764" s="23" t="n">
        <v>0.888</v>
      </c>
      <c r="K764" s="9">
        <f>ROUND(H764*I764*J764, 2)</f>
        <v/>
      </c>
      <c r="L764" s="24">
        <f>ROUND(K764/1000, 3)</f>
        <v/>
      </c>
      <c r="M764" s="8" t="n"/>
      <c r="N764" s="21">
        <f>ROUND(N763 + IF(AND(E764&lt;=10, F764&lt;&gt;"ASTM A416"), L764, 0), 3)</f>
        <v/>
      </c>
      <c r="O764" s="21">
        <f>ROUND(O763 + IF(AND(E764&gt;10, E764&lt;=18, F764&lt;&gt;"ASTM A416"), L764, 0), 3)</f>
        <v/>
      </c>
      <c r="P764" s="21">
        <f>ROUND(P763 + IF(AND(E764&gt;18, F764&lt;&gt;"ASTM A416"), L764, 0), 3)</f>
        <v/>
      </c>
      <c r="Q764" s="21">
        <f>ROUND(Q763 + IF(F764="ASTM A416", L764, 0), 3)</f>
        <v/>
      </c>
      <c r="R764" s="11">
        <f>IF(INT(N764/20)&gt;INT(N763/20), "Lần " &amp; INT(N764/20), "")</f>
        <v/>
      </c>
      <c r="S764" s="12">
        <f>IF(INT(O764/20)&gt;INT(O763/20), "Lần " &amp; INT(O764/20), "")</f>
        <v/>
      </c>
      <c r="T764" s="11">
        <f>IF(INT(P764/20)&gt;INT(P763/20), "Lần " &amp; INT(P764/20), "")</f>
        <v/>
      </c>
      <c r="U764" s="25">
        <f>IF(INT(Q764/20)&gt;INT(Q763/20), "Lần " &amp; INT(Q764/20), "")</f>
        <v/>
      </c>
      <c r="V764" s="6" t="inlineStr"/>
      <c r="W764" s="6" t="inlineStr">
        <is>
          <t>ĐẠT TCVN 1651:2018</t>
        </is>
      </c>
    </row>
    <row r="765" ht="19" customHeight="1">
      <c r="A765" s="6" t="n">
        <v>729</v>
      </c>
      <c r="B765" s="7" t="inlineStr">
        <is>
          <t>Dầm chủ Super-T (15 phiến L=38.2m)</t>
        </is>
      </c>
      <c r="C765" s="7" t="inlineStr">
        <is>
          <t>Sườn dầm / Cánh dầm</t>
        </is>
      </c>
      <c r="D765" s="19" t="inlineStr">
        <is>
          <t>G4a1</t>
        </is>
      </c>
      <c r="E765" s="20" t="n">
        <v>12</v>
      </c>
      <c r="F765" s="6" t="inlineStr">
        <is>
          <t>CB400-V</t>
        </is>
      </c>
      <c r="G765" s="7" t="inlineStr">
        <is>
          <t>S01</t>
        </is>
      </c>
      <c r="H765" s="21" t="n">
        <v>11.7</v>
      </c>
      <c r="I765" s="22" t="n">
        <v>315</v>
      </c>
      <c r="J765" s="23" t="n">
        <v>0.888</v>
      </c>
      <c r="K765" s="9">
        <f>ROUND(H765*I765*J765, 2)</f>
        <v/>
      </c>
      <c r="L765" s="24">
        <f>ROUND(K765/1000, 3)</f>
        <v/>
      </c>
      <c r="M765" s="8" t="n"/>
      <c r="N765" s="21">
        <f>ROUND(N764 + IF(AND(E765&lt;=10, F765&lt;&gt;"ASTM A416"), L765, 0), 3)</f>
        <v/>
      </c>
      <c r="O765" s="21">
        <f>ROUND(O764 + IF(AND(E765&gt;10, E765&lt;=18, F765&lt;&gt;"ASTM A416"), L765, 0), 3)</f>
        <v/>
      </c>
      <c r="P765" s="21">
        <f>ROUND(P764 + IF(AND(E765&gt;18, F765&lt;&gt;"ASTM A416"), L765, 0), 3)</f>
        <v/>
      </c>
      <c r="Q765" s="21">
        <f>ROUND(Q764 + IF(F765="ASTM A416", L765, 0), 3)</f>
        <v/>
      </c>
      <c r="R765" s="11">
        <f>IF(INT(N765/20)&gt;INT(N764/20), "Lần " &amp; INT(N765/20), "")</f>
        <v/>
      </c>
      <c r="S765" s="12">
        <f>IF(INT(O765/20)&gt;INT(O764/20), "Lần " &amp; INT(O765/20), "")</f>
        <v/>
      </c>
      <c r="T765" s="11">
        <f>IF(INT(P765/20)&gt;INT(P764/20), "Lần " &amp; INT(P765/20), "")</f>
        <v/>
      </c>
      <c r="U765" s="25">
        <f>IF(INT(Q765/20)&gt;INT(Q764/20), "Lần " &amp; INT(Q765/20), "")</f>
        <v/>
      </c>
      <c r="V765" s="6" t="inlineStr"/>
      <c r="W765" s="6" t="inlineStr">
        <is>
          <t>ĐẠT TCVN 1651:2018</t>
        </is>
      </c>
    </row>
    <row r="766" ht="19" customHeight="1">
      <c r="A766" s="6" t="n">
        <v>730</v>
      </c>
      <c r="B766" s="7" t="inlineStr">
        <is>
          <t>Dầm chủ Super-T (15 phiến L=38.2m)</t>
        </is>
      </c>
      <c r="C766" s="7" t="inlineStr">
        <is>
          <t>Sườn dầm / Cánh dầm</t>
        </is>
      </c>
      <c r="D766" s="19" t="inlineStr">
        <is>
          <t>G4a2</t>
        </is>
      </c>
      <c r="E766" s="20" t="n">
        <v>12</v>
      </c>
      <c r="F766" s="6" t="inlineStr">
        <is>
          <t>CB400-V</t>
        </is>
      </c>
      <c r="G766" s="7" t="inlineStr">
        <is>
          <t>S06</t>
        </is>
      </c>
      <c r="H766" s="21" t="n">
        <v>4.46</v>
      </c>
      <c r="I766" s="22" t="n">
        <v>105</v>
      </c>
      <c r="J766" s="23" t="n">
        <v>0.888</v>
      </c>
      <c r="K766" s="9">
        <f>ROUND(H766*I766*J766, 2)</f>
        <v/>
      </c>
      <c r="L766" s="24">
        <f>ROUND(K766/1000, 3)</f>
        <v/>
      </c>
      <c r="M766" s="8" t="n"/>
      <c r="N766" s="21">
        <f>ROUND(N765 + IF(AND(E766&lt;=10, F766&lt;&gt;"ASTM A416"), L766, 0), 3)</f>
        <v/>
      </c>
      <c r="O766" s="21">
        <f>ROUND(O765 + IF(AND(E766&gt;10, E766&lt;=18, F766&lt;&gt;"ASTM A416"), L766, 0), 3)</f>
        <v/>
      </c>
      <c r="P766" s="21">
        <f>ROUND(P765 + IF(AND(E766&gt;18, F766&lt;&gt;"ASTM A416"), L766, 0), 3)</f>
        <v/>
      </c>
      <c r="Q766" s="21">
        <f>ROUND(Q765 + IF(F766="ASTM A416", L766, 0), 3)</f>
        <v/>
      </c>
      <c r="R766" s="11">
        <f>IF(INT(N766/20)&gt;INT(N765/20), "Lần " &amp; INT(N766/20), "")</f>
        <v/>
      </c>
      <c r="S766" s="12">
        <f>IF(INT(O766/20)&gt;INT(O765/20), "Lần " &amp; INT(O766/20), "")</f>
        <v/>
      </c>
      <c r="T766" s="11">
        <f>IF(INT(P766/20)&gt;INT(P765/20), "Lần " &amp; INT(P766/20), "")</f>
        <v/>
      </c>
      <c r="U766" s="25">
        <f>IF(INT(Q766/20)&gt;INT(Q765/20), "Lần " &amp; INT(Q766/20), "")</f>
        <v/>
      </c>
      <c r="V766" s="6" t="inlineStr"/>
      <c r="W766" s="6" t="inlineStr">
        <is>
          <t>ĐẠT TCVN 1651:2018</t>
        </is>
      </c>
    </row>
    <row r="767" ht="19" customHeight="1">
      <c r="A767" s="6" t="n">
        <v>731</v>
      </c>
      <c r="B767" s="7" t="inlineStr">
        <is>
          <t>Dầm chủ Super-T (15 phiến L=38.2m)</t>
        </is>
      </c>
      <c r="C767" s="7" t="inlineStr">
        <is>
          <t>Sườn dầm / Cánh dầm</t>
        </is>
      </c>
      <c r="D767" s="19" t="inlineStr">
        <is>
          <t>G4b1</t>
        </is>
      </c>
      <c r="E767" s="20" t="n">
        <v>12</v>
      </c>
      <c r="F767" s="6" t="inlineStr">
        <is>
          <t>CB400-V</t>
        </is>
      </c>
      <c r="G767" s="7" t="inlineStr">
        <is>
          <t>S01</t>
        </is>
      </c>
      <c r="H767" s="21" t="n">
        <v>11.7</v>
      </c>
      <c r="I767" s="22" t="n">
        <v>180</v>
      </c>
      <c r="J767" s="23" t="n">
        <v>0.888</v>
      </c>
      <c r="K767" s="9">
        <f>ROUND(H767*I767*J767, 2)</f>
        <v/>
      </c>
      <c r="L767" s="24">
        <f>ROUND(K767/1000, 3)</f>
        <v/>
      </c>
      <c r="M767" s="8" t="n"/>
      <c r="N767" s="21">
        <f>ROUND(N766 + IF(AND(E767&lt;=10, F767&lt;&gt;"ASTM A416"), L767, 0), 3)</f>
        <v/>
      </c>
      <c r="O767" s="21">
        <f>ROUND(O766 + IF(AND(E767&gt;10, E767&lt;=18, F767&lt;&gt;"ASTM A416"), L767, 0), 3)</f>
        <v/>
      </c>
      <c r="P767" s="21">
        <f>ROUND(P766 + IF(AND(E767&gt;18, F767&lt;&gt;"ASTM A416"), L767, 0), 3)</f>
        <v/>
      </c>
      <c r="Q767" s="21">
        <f>ROUND(Q766 + IF(F767="ASTM A416", L767, 0), 3)</f>
        <v/>
      </c>
      <c r="R767" s="11">
        <f>IF(INT(N767/20)&gt;INT(N766/20), "Lần " &amp; INT(N767/20), "")</f>
        <v/>
      </c>
      <c r="S767" s="12">
        <f>IF(INT(O767/20)&gt;INT(O766/20), "Lần " &amp; INT(O767/20), "")</f>
        <v/>
      </c>
      <c r="T767" s="11">
        <f>IF(INT(P767/20)&gt;INT(P766/20), "Lần " &amp; INT(P767/20), "")</f>
        <v/>
      </c>
      <c r="U767" s="25">
        <f>IF(INT(Q767/20)&gt;INT(Q766/20), "Lần " &amp; INT(Q767/20), "")</f>
        <v/>
      </c>
      <c r="V767" s="6" t="inlineStr"/>
      <c r="W767" s="6" t="inlineStr">
        <is>
          <t>ĐẠT TCVN 1651:2018</t>
        </is>
      </c>
    </row>
    <row r="768" ht="19" customHeight="1">
      <c r="A768" s="6" t="n">
        <v>732</v>
      </c>
      <c r="B768" s="7" t="inlineStr">
        <is>
          <t>Dầm chủ Super-T (15 phiến L=38.2m)</t>
        </is>
      </c>
      <c r="C768" s="7" t="inlineStr">
        <is>
          <t>Sườn dầm / Cánh dầm</t>
        </is>
      </c>
      <c r="D768" s="19" t="inlineStr">
        <is>
          <t>G4b2</t>
        </is>
      </c>
      <c r="E768" s="20" t="n">
        <v>12</v>
      </c>
      <c r="F768" s="6" t="inlineStr">
        <is>
          <t>CB400-V</t>
        </is>
      </c>
      <c r="G768" s="7" t="inlineStr">
        <is>
          <t>S06</t>
        </is>
      </c>
      <c r="H768" s="21" t="n">
        <v>3.06</v>
      </c>
      <c r="I768" s="22" t="n">
        <v>60</v>
      </c>
      <c r="J768" s="23" t="n">
        <v>0.888</v>
      </c>
      <c r="K768" s="9">
        <f>ROUND(H768*I768*J768, 2)</f>
        <v/>
      </c>
      <c r="L768" s="24">
        <f>ROUND(K768/1000, 3)</f>
        <v/>
      </c>
      <c r="M768" s="8" t="n"/>
      <c r="N768" s="21">
        <f>ROUND(N767 + IF(AND(E768&lt;=10, F768&lt;&gt;"ASTM A416"), L768, 0), 3)</f>
        <v/>
      </c>
      <c r="O768" s="21">
        <f>ROUND(O767 + IF(AND(E768&gt;10, E768&lt;=18, F768&lt;&gt;"ASTM A416"), L768, 0), 3)</f>
        <v/>
      </c>
      <c r="P768" s="21">
        <f>ROUND(P767 + IF(AND(E768&gt;18, F768&lt;&gt;"ASTM A416"), L768, 0), 3)</f>
        <v/>
      </c>
      <c r="Q768" s="21">
        <f>ROUND(Q767 + IF(F768="ASTM A416", L768, 0), 3)</f>
        <v/>
      </c>
      <c r="R768" s="11">
        <f>IF(INT(N768/20)&gt;INT(N767/20), "Lần " &amp; INT(N768/20), "")</f>
        <v/>
      </c>
      <c r="S768" s="12">
        <f>IF(INT(O768/20)&gt;INT(O767/20), "Lần " &amp; INT(O768/20), "")</f>
        <v/>
      </c>
      <c r="T768" s="11">
        <f>IF(INT(P768/20)&gt;INT(P767/20), "Lần " &amp; INT(P768/20), "")</f>
        <v/>
      </c>
      <c r="U768" s="25">
        <f>IF(INT(Q768/20)&gt;INT(Q767/20), "Lần " &amp; INT(Q768/20), "")</f>
        <v/>
      </c>
      <c r="V768" s="6" t="inlineStr"/>
      <c r="W768" s="6" t="inlineStr">
        <is>
          <t>ĐẠT TCVN 1651:2018</t>
        </is>
      </c>
    </row>
    <row r="769" ht="19" customHeight="1">
      <c r="A769" s="6" t="n">
        <v>733</v>
      </c>
      <c r="B769" s="7" t="inlineStr">
        <is>
          <t>Dầm chủ Super-T (15 phiến L=38.2m)</t>
        </is>
      </c>
      <c r="C769" s="7" t="inlineStr">
        <is>
          <t>Sườn dầm / Cánh dầm</t>
        </is>
      </c>
      <c r="D769" s="19" t="inlineStr">
        <is>
          <t>G5a</t>
        </is>
      </c>
      <c r="E769" s="20" t="n">
        <v>16</v>
      </c>
      <c r="F769" s="6" t="inlineStr">
        <is>
          <t>CB400-V</t>
        </is>
      </c>
      <c r="G769" s="7" t="inlineStr">
        <is>
          <t>S01</t>
        </is>
      </c>
      <c r="H769" s="21" t="n">
        <v>11.7</v>
      </c>
      <c r="I769" s="22" t="n">
        <v>420</v>
      </c>
      <c r="J769" s="23" t="n">
        <v>1.58</v>
      </c>
      <c r="K769" s="9">
        <f>ROUND(H769*I769*J769, 2)</f>
        <v/>
      </c>
      <c r="L769" s="24">
        <f>ROUND(K769/1000, 3)</f>
        <v/>
      </c>
      <c r="M769" s="8" t="n"/>
      <c r="N769" s="21">
        <f>ROUND(N768 + IF(AND(E769&lt;=10, F769&lt;&gt;"ASTM A416"), L769, 0), 3)</f>
        <v/>
      </c>
      <c r="O769" s="21">
        <f>ROUND(O768 + IF(AND(E769&gt;10, E769&lt;=18, F769&lt;&gt;"ASTM A416"), L769, 0), 3)</f>
        <v/>
      </c>
      <c r="P769" s="21">
        <f>ROUND(P768 + IF(AND(E769&gt;18, F769&lt;&gt;"ASTM A416"), L769, 0), 3)</f>
        <v/>
      </c>
      <c r="Q769" s="21">
        <f>ROUND(Q768 + IF(F769="ASTM A416", L769, 0), 3)</f>
        <v/>
      </c>
      <c r="R769" s="11">
        <f>IF(INT(N769/20)&gt;INT(N768/20), "Lần " &amp; INT(N769/20), "")</f>
        <v/>
      </c>
      <c r="S769" s="12">
        <f>IF(INT(O769/20)&gt;INT(O768/20), "Lần " &amp; INT(O769/20), "")</f>
        <v/>
      </c>
      <c r="T769" s="11">
        <f>IF(INT(P769/20)&gt;INT(P768/20), "Lần " &amp; INT(P769/20), "")</f>
        <v/>
      </c>
      <c r="U769" s="25">
        <f>IF(INT(Q769/20)&gt;INT(Q768/20), "Lần " &amp; INT(Q769/20), "")</f>
        <v/>
      </c>
      <c r="V769" s="6" t="inlineStr"/>
      <c r="W769" s="6" t="inlineStr">
        <is>
          <t>ĐẠT TCVN 1651:2018</t>
        </is>
      </c>
    </row>
    <row r="770" ht="19" customHeight="1">
      <c r="A770" s="6" t="n">
        <v>734</v>
      </c>
      <c r="B770" s="7" t="inlineStr">
        <is>
          <t>Dầm chủ Super-T (15 phiến L=38.2m)</t>
        </is>
      </c>
      <c r="C770" s="7" t="inlineStr">
        <is>
          <t>Sườn dầm / Cánh dầm</t>
        </is>
      </c>
      <c r="D770" s="19" t="inlineStr">
        <is>
          <t>G5b</t>
        </is>
      </c>
      <c r="E770" s="20" t="n">
        <v>18</v>
      </c>
      <c r="F770" s="6" t="inlineStr">
        <is>
          <t>CB400-V</t>
        </is>
      </c>
      <c r="G770" s="7" t="inlineStr">
        <is>
          <t>S06</t>
        </is>
      </c>
      <c r="H770" s="21" t="n">
        <v>2.86</v>
      </c>
      <c r="I770" s="22" t="n">
        <v>210</v>
      </c>
      <c r="J770" s="23" t="n">
        <v>2</v>
      </c>
      <c r="K770" s="9">
        <f>ROUND(H770*I770*J770, 2)</f>
        <v/>
      </c>
      <c r="L770" s="24">
        <f>ROUND(K770/1000, 3)</f>
        <v/>
      </c>
      <c r="M770" s="8" t="n"/>
      <c r="N770" s="21">
        <f>ROUND(N769 + IF(AND(E770&lt;=10, F770&lt;&gt;"ASTM A416"), L770, 0), 3)</f>
        <v/>
      </c>
      <c r="O770" s="21">
        <f>ROUND(O769 + IF(AND(E770&gt;10, E770&lt;=18, F770&lt;&gt;"ASTM A416"), L770, 0), 3)</f>
        <v/>
      </c>
      <c r="P770" s="21">
        <f>ROUND(P769 + IF(AND(E770&gt;18, F770&lt;&gt;"ASTM A416"), L770, 0), 3)</f>
        <v/>
      </c>
      <c r="Q770" s="21">
        <f>ROUND(Q769 + IF(F770="ASTM A416", L770, 0), 3)</f>
        <v/>
      </c>
      <c r="R770" s="11">
        <f>IF(INT(N770/20)&gt;INT(N769/20), "Lần " &amp; INT(N770/20), "")</f>
        <v/>
      </c>
      <c r="S770" s="12">
        <f>IF(INT(O770/20)&gt;INT(O769/20), "Lần " &amp; INT(O770/20), "")</f>
        <v/>
      </c>
      <c r="T770" s="11">
        <f>IF(INT(P770/20)&gt;INT(P769/20), "Lần " &amp; INT(P770/20), "")</f>
        <v/>
      </c>
      <c r="U770" s="25">
        <f>IF(INT(Q770/20)&gt;INT(Q769/20), "Lần " &amp; INT(Q770/20), "")</f>
        <v/>
      </c>
      <c r="V770" s="6" t="inlineStr"/>
      <c r="W770" s="6" t="inlineStr">
        <is>
          <t>ĐẠT TCVN 1651:2018</t>
        </is>
      </c>
    </row>
    <row r="771" ht="19" customHeight="1">
      <c r="A771" s="6" t="n">
        <v>735</v>
      </c>
      <c r="B771" s="7" t="inlineStr">
        <is>
          <t>Dầm chủ Super-T (15 phiến L=38.2m)</t>
        </is>
      </c>
      <c r="C771" s="7" t="inlineStr">
        <is>
          <t>Sườn dầm / Cánh dầm</t>
        </is>
      </c>
      <c r="D771" s="19" t="inlineStr">
        <is>
          <t>G5c</t>
        </is>
      </c>
      <c r="E771" s="20" t="n">
        <v>16</v>
      </c>
      <c r="F771" s="6" t="inlineStr">
        <is>
          <t>CB400-V</t>
        </is>
      </c>
      <c r="G771" s="7" t="inlineStr">
        <is>
          <t>S01</t>
        </is>
      </c>
      <c r="H771" s="21" t="n">
        <v>10.68</v>
      </c>
      <c r="I771" s="22" t="n">
        <v>210</v>
      </c>
      <c r="J771" s="23" t="n">
        <v>1.58</v>
      </c>
      <c r="K771" s="9">
        <f>ROUND(H771*I771*J771, 2)</f>
        <v/>
      </c>
      <c r="L771" s="24">
        <f>ROUND(K771/1000, 3)</f>
        <v/>
      </c>
      <c r="M771" s="8" t="n"/>
      <c r="N771" s="21">
        <f>ROUND(N770 + IF(AND(E771&lt;=10, F771&lt;&gt;"ASTM A416"), L771, 0), 3)</f>
        <v/>
      </c>
      <c r="O771" s="21">
        <f>ROUND(O770 + IF(AND(E771&gt;10, E771&lt;=18, F771&lt;&gt;"ASTM A416"), L771, 0), 3)</f>
        <v/>
      </c>
      <c r="P771" s="21">
        <f>ROUND(P770 + IF(AND(E771&gt;18, F771&lt;&gt;"ASTM A416"), L771, 0), 3)</f>
        <v/>
      </c>
      <c r="Q771" s="21">
        <f>ROUND(Q770 + IF(F771="ASTM A416", L771, 0), 3)</f>
        <v/>
      </c>
      <c r="R771" s="11">
        <f>IF(INT(N771/20)&gt;INT(N770/20), "Lần " &amp; INT(N771/20), "")</f>
        <v/>
      </c>
      <c r="S771" s="12">
        <f>IF(INT(O771/20)&gt;INT(O770/20), "Lần " &amp; INT(O771/20), "")</f>
        <v/>
      </c>
      <c r="T771" s="11">
        <f>IF(INT(P771/20)&gt;INT(P770/20), "Lần " &amp; INT(P771/20), "")</f>
        <v/>
      </c>
      <c r="U771" s="25">
        <f>IF(INT(Q771/20)&gt;INT(Q770/20), "Lần " &amp; INT(Q771/20), "")</f>
        <v/>
      </c>
      <c r="V771" s="6" t="inlineStr"/>
      <c r="W771" s="6" t="inlineStr">
        <is>
          <t>ĐẠT TCVN 1651:2018</t>
        </is>
      </c>
    </row>
    <row r="772" ht="19" customHeight="1">
      <c r="A772" s="6" t="n">
        <v>736</v>
      </c>
      <c r="B772" s="7" t="inlineStr">
        <is>
          <t>Dầm chủ Super-T (15 phiến L=38.2m)</t>
        </is>
      </c>
      <c r="C772" s="7" t="inlineStr">
        <is>
          <t>Sườn dầm / Cánh dầm</t>
        </is>
      </c>
      <c r="D772" s="19" t="inlineStr">
        <is>
          <t>G5d</t>
        </is>
      </c>
      <c r="E772" s="20" t="n">
        <v>18</v>
      </c>
      <c r="F772" s="6" t="inlineStr">
        <is>
          <t>CB400-V</t>
        </is>
      </c>
      <c r="G772" s="7" t="inlineStr">
        <is>
          <t>S06</t>
        </is>
      </c>
      <c r="H772" s="21" t="n">
        <v>3.9</v>
      </c>
      <c r="I772" s="22" t="n">
        <v>210</v>
      </c>
      <c r="J772" s="23" t="n">
        <v>2</v>
      </c>
      <c r="K772" s="9">
        <f>ROUND(H772*I772*J772, 2)</f>
        <v/>
      </c>
      <c r="L772" s="24">
        <f>ROUND(K772/1000, 3)</f>
        <v/>
      </c>
      <c r="M772" s="8" t="n"/>
      <c r="N772" s="21">
        <f>ROUND(N771 + IF(AND(E772&lt;=10, F772&lt;&gt;"ASTM A416"), L772, 0), 3)</f>
        <v/>
      </c>
      <c r="O772" s="21">
        <f>ROUND(O771 + IF(AND(E772&gt;10, E772&lt;=18, F772&lt;&gt;"ASTM A416"), L772, 0), 3)</f>
        <v/>
      </c>
      <c r="P772" s="21">
        <f>ROUND(P771 + IF(AND(E772&gt;18, F772&lt;&gt;"ASTM A416"), L772, 0), 3)</f>
        <v/>
      </c>
      <c r="Q772" s="21">
        <f>ROUND(Q771 + IF(F772="ASTM A416", L772, 0), 3)</f>
        <v/>
      </c>
      <c r="R772" s="11">
        <f>IF(INT(N772/20)&gt;INT(N771/20), "Lần " &amp; INT(N772/20), "")</f>
        <v/>
      </c>
      <c r="S772" s="12">
        <f>IF(INT(O772/20)&gt;INT(O771/20), "Lần " &amp; INT(O772/20), "")</f>
        <v/>
      </c>
      <c r="T772" s="11">
        <f>IF(INT(P772/20)&gt;INT(P771/20), "Lần " &amp; INT(P772/20), "")</f>
        <v/>
      </c>
      <c r="U772" s="25">
        <f>IF(INT(Q772/20)&gt;INT(Q771/20), "Lần " &amp; INT(Q772/20), "")</f>
        <v/>
      </c>
      <c r="V772" s="6" t="inlineStr"/>
      <c r="W772" s="6" t="inlineStr">
        <is>
          <t>ĐẠT TCVN 1651:2018</t>
        </is>
      </c>
    </row>
    <row r="773" ht="19" customHeight="1">
      <c r="A773" s="6" t="n">
        <v>737</v>
      </c>
      <c r="B773" s="7" t="inlineStr">
        <is>
          <t>Dầm chủ Super-T (15 phiến L=38.2m)</t>
        </is>
      </c>
      <c r="C773" s="7" t="inlineStr">
        <is>
          <t>Sườn dầm / Cánh dầm</t>
        </is>
      </c>
      <c r="D773" s="19" t="inlineStr">
        <is>
          <t>G6a</t>
        </is>
      </c>
      <c r="E773" s="20" t="n">
        <v>32</v>
      </c>
      <c r="F773" s="6" t="inlineStr">
        <is>
          <t>CB400-V</t>
        </is>
      </c>
      <c r="G773" s="7" t="inlineStr">
        <is>
          <t>S01</t>
        </is>
      </c>
      <c r="H773" s="21" t="n">
        <v>11.7</v>
      </c>
      <c r="I773" s="22" t="n">
        <v>135</v>
      </c>
      <c r="J773" s="23" t="n">
        <v>6.31</v>
      </c>
      <c r="K773" s="9">
        <f>ROUND(H773*I773*J773, 2)</f>
        <v/>
      </c>
      <c r="L773" s="24">
        <f>ROUND(K773/1000, 3)</f>
        <v/>
      </c>
      <c r="M773" s="8" t="n"/>
      <c r="N773" s="21">
        <f>ROUND(N772 + IF(AND(E773&lt;=10, F773&lt;&gt;"ASTM A416"), L773, 0), 3)</f>
        <v/>
      </c>
      <c r="O773" s="21">
        <f>ROUND(O772 + IF(AND(E773&gt;10, E773&lt;=18, F773&lt;&gt;"ASTM A416"), L773, 0), 3)</f>
        <v/>
      </c>
      <c r="P773" s="21">
        <f>ROUND(P772 + IF(AND(E773&gt;18, F773&lt;&gt;"ASTM A416"), L773, 0), 3)</f>
        <v/>
      </c>
      <c r="Q773" s="21">
        <f>ROUND(Q772 + IF(F773="ASTM A416", L773, 0), 3)</f>
        <v/>
      </c>
      <c r="R773" s="11">
        <f>IF(INT(N773/20)&gt;INT(N772/20), "Lần " &amp; INT(N773/20), "")</f>
        <v/>
      </c>
      <c r="S773" s="12">
        <f>IF(INT(O773/20)&gt;INT(O772/20), "Lần " &amp; INT(O773/20), "")</f>
        <v/>
      </c>
      <c r="T773" s="11">
        <f>IF(INT(P773/20)&gt;INT(P772/20), "Lần " &amp; INT(P773/20), "")</f>
        <v/>
      </c>
      <c r="U773" s="25">
        <f>IF(INT(Q773/20)&gt;INT(Q772/20), "Lần " &amp; INT(Q773/20), "")</f>
        <v/>
      </c>
      <c r="V773" s="6" t="inlineStr"/>
      <c r="W773" s="6" t="inlineStr">
        <is>
          <t>ĐẠT TCVN 1651:2018</t>
        </is>
      </c>
    </row>
    <row r="774" ht="19" customHeight="1">
      <c r="A774" s="6" t="n">
        <v>738</v>
      </c>
      <c r="B774" s="7" t="inlineStr">
        <is>
          <t>Dầm chủ Super-T (15 phiến L=38.2m)</t>
        </is>
      </c>
      <c r="C774" s="7" t="inlineStr">
        <is>
          <t>Sườn dầm / Cánh dầm</t>
        </is>
      </c>
      <c r="D774" s="19" t="inlineStr">
        <is>
          <t>G6b</t>
        </is>
      </c>
      <c r="E774" s="20" t="n">
        <v>32</v>
      </c>
      <c r="F774" s="6" t="inlineStr">
        <is>
          <t>CB400-V</t>
        </is>
      </c>
      <c r="G774" s="7" t="inlineStr">
        <is>
          <t>S06</t>
        </is>
      </c>
      <c r="H774" s="21" t="n">
        <v>6.86</v>
      </c>
      <c r="I774" s="22" t="n">
        <v>45</v>
      </c>
      <c r="J774" s="23" t="n">
        <v>6.31</v>
      </c>
      <c r="K774" s="9">
        <f>ROUND(H774*I774*J774, 2)</f>
        <v/>
      </c>
      <c r="L774" s="24">
        <f>ROUND(K774/1000, 3)</f>
        <v/>
      </c>
      <c r="M774" s="8" t="n"/>
      <c r="N774" s="21">
        <f>ROUND(N773 + IF(AND(E774&lt;=10, F774&lt;&gt;"ASTM A416"), L774, 0), 3)</f>
        <v/>
      </c>
      <c r="O774" s="21">
        <f>ROUND(O773 + IF(AND(E774&gt;10, E774&lt;=18, F774&lt;&gt;"ASTM A416"), L774, 0), 3)</f>
        <v/>
      </c>
      <c r="P774" s="21">
        <f>ROUND(P773 + IF(AND(E774&gt;18, F774&lt;&gt;"ASTM A416"), L774, 0), 3)</f>
        <v/>
      </c>
      <c r="Q774" s="21">
        <f>ROUND(Q773 + IF(F774="ASTM A416", L774, 0), 3)</f>
        <v/>
      </c>
      <c r="R774" s="11">
        <f>IF(INT(N774/20)&gt;INT(N773/20), "Lần " &amp; INT(N774/20), "")</f>
        <v/>
      </c>
      <c r="S774" s="12">
        <f>IF(INT(O774/20)&gt;INT(O773/20), "Lần " &amp; INT(O774/20), "")</f>
        <v/>
      </c>
      <c r="T774" s="11">
        <f>IF(INT(P774/20)&gt;INT(P773/20), "Lần " &amp; INT(P774/20), "")</f>
        <v/>
      </c>
      <c r="U774" s="25">
        <f>IF(INT(Q774/20)&gt;INT(Q773/20), "Lần " &amp; INT(Q774/20), "")</f>
        <v/>
      </c>
      <c r="V774" s="6" t="inlineStr"/>
      <c r="W774" s="6" t="inlineStr">
        <is>
          <t>ĐẠT TCVN 1651:2018</t>
        </is>
      </c>
    </row>
    <row r="775" ht="19" customHeight="1">
      <c r="A775" s="6" t="n">
        <v>739</v>
      </c>
      <c r="B775" s="7" t="inlineStr">
        <is>
          <t>Dầm chủ Super-T (15 phiến L=38.2m)</t>
        </is>
      </c>
      <c r="C775" s="7" t="inlineStr">
        <is>
          <t>Sườn dầm / Cánh dầm</t>
        </is>
      </c>
      <c r="D775" s="19" t="inlineStr">
        <is>
          <t>N1a</t>
        </is>
      </c>
      <c r="E775" s="20" t="n">
        <v>12</v>
      </c>
      <c r="F775" s="6" t="inlineStr">
        <is>
          <t>CB400-V</t>
        </is>
      </c>
      <c r="G775" s="7" t="inlineStr">
        <is>
          <t>S06</t>
        </is>
      </c>
      <c r="H775" s="21" t="n">
        <v>1.185</v>
      </c>
      <c r="I775" s="22" t="n">
        <v>555</v>
      </c>
      <c r="J775" s="23" t="n">
        <v>0.888</v>
      </c>
      <c r="K775" s="9">
        <f>ROUND(H775*I775*J775, 2)</f>
        <v/>
      </c>
      <c r="L775" s="24">
        <f>ROUND(K775/1000, 3)</f>
        <v/>
      </c>
      <c r="M775" s="8" t="n"/>
      <c r="N775" s="21">
        <f>ROUND(N774 + IF(AND(E775&lt;=10, F775&lt;&gt;"ASTM A416"), L775, 0), 3)</f>
        <v/>
      </c>
      <c r="O775" s="21">
        <f>ROUND(O774 + IF(AND(E775&gt;10, E775&lt;=18, F775&lt;&gt;"ASTM A416"), L775, 0), 3)</f>
        <v/>
      </c>
      <c r="P775" s="21">
        <f>ROUND(P774 + IF(AND(E775&gt;18, F775&lt;&gt;"ASTM A416"), L775, 0), 3)</f>
        <v/>
      </c>
      <c r="Q775" s="21">
        <f>ROUND(Q774 + IF(F775="ASTM A416", L775, 0), 3)</f>
        <v/>
      </c>
      <c r="R775" s="11">
        <f>IF(INT(N775/20)&gt;INT(N774/20), "Lần " &amp; INT(N775/20), "")</f>
        <v/>
      </c>
      <c r="S775" s="12">
        <f>IF(INT(O775/20)&gt;INT(O774/20), "Lần " &amp; INT(O775/20), "")</f>
        <v/>
      </c>
      <c r="T775" s="11">
        <f>IF(INT(P775/20)&gt;INT(P774/20), "Lần " &amp; INT(P775/20), "")</f>
        <v/>
      </c>
      <c r="U775" s="25">
        <f>IF(INT(Q775/20)&gt;INT(Q774/20), "Lần " &amp; INT(Q775/20), "")</f>
        <v/>
      </c>
      <c r="V775" s="6" t="inlineStr"/>
      <c r="W775" s="6" t="inlineStr">
        <is>
          <t>ĐẠT TCVN 1651:2018</t>
        </is>
      </c>
    </row>
    <row r="776" ht="19" customHeight="1">
      <c r="A776" s="6" t="n">
        <v>740</v>
      </c>
      <c r="B776" s="7" t="inlineStr">
        <is>
          <t>Dầm chủ Super-T (15 phiến L=38.2m)</t>
        </is>
      </c>
      <c r="C776" s="7" t="inlineStr">
        <is>
          <t>TRUNG BÌNH</t>
        </is>
      </c>
      <c r="D776" s="19" t="inlineStr">
        <is>
          <t>N1b</t>
        </is>
      </c>
      <c r="E776" s="20" t="n">
        <v>12</v>
      </c>
      <c r="F776" s="6" t="inlineStr">
        <is>
          <t>CB400-V</t>
        </is>
      </c>
      <c r="G776" s="7" t="inlineStr">
        <is>
          <t>S06</t>
        </is>
      </c>
      <c r="H776" s="21" t="n">
        <v>0.93</v>
      </c>
      <c r="I776" s="22" t="n">
        <v>3885</v>
      </c>
      <c r="J776" s="23" t="n">
        <v>0.888</v>
      </c>
      <c r="K776" s="9">
        <f>ROUND(H776*I776*J776, 2)</f>
        <v/>
      </c>
      <c r="L776" s="24">
        <f>ROUND(K776/1000, 3)</f>
        <v/>
      </c>
      <c r="M776" s="8" t="n"/>
      <c r="N776" s="21">
        <f>ROUND(N775 + IF(AND(E776&lt;=10, F776&lt;&gt;"ASTM A416"), L776, 0), 3)</f>
        <v/>
      </c>
      <c r="O776" s="21">
        <f>ROUND(O775 + IF(AND(E776&gt;10, E776&lt;=18, F776&lt;&gt;"ASTM A416"), L776, 0), 3)</f>
        <v/>
      </c>
      <c r="P776" s="21">
        <f>ROUND(P775 + IF(AND(E776&gt;18, F776&lt;&gt;"ASTM A416"), L776, 0), 3)</f>
        <v/>
      </c>
      <c r="Q776" s="21">
        <f>ROUND(Q775 + IF(F776="ASTM A416", L776, 0), 3)</f>
        <v/>
      </c>
      <c r="R776" s="11">
        <f>IF(INT(N776/20)&gt;INT(N775/20), "Lần " &amp; INT(N776/20), "")</f>
        <v/>
      </c>
      <c r="S776" s="12">
        <f>IF(INT(O776/20)&gt;INT(O775/20), "Lần " &amp; INT(O776/20), "")</f>
        <v/>
      </c>
      <c r="T776" s="11">
        <f>IF(INT(P776/20)&gt;INT(P775/20), "Lần " &amp; INT(P776/20), "")</f>
        <v/>
      </c>
      <c r="U776" s="25">
        <f>IF(INT(Q776/20)&gt;INT(Q775/20), "Lần " &amp; INT(Q776/20), "")</f>
        <v/>
      </c>
      <c r="V776" s="6" t="inlineStr"/>
      <c r="W776" s="6" t="inlineStr">
        <is>
          <t>ĐẠT TCVN 1651:2018</t>
        </is>
      </c>
    </row>
    <row r="777" ht="19" customHeight="1">
      <c r="A777" s="6" t="n">
        <v>741</v>
      </c>
      <c r="B777" s="7" t="inlineStr">
        <is>
          <t>Dầm chủ Super-T (15 phiến L=38.2m)</t>
        </is>
      </c>
      <c r="C777" s="7" t="inlineStr">
        <is>
          <t>Sườn dầm / Cánh dầm</t>
        </is>
      </c>
      <c r="D777" s="19" t="inlineStr">
        <is>
          <t>N2</t>
        </is>
      </c>
      <c r="E777" s="20" t="n">
        <v>12</v>
      </c>
      <c r="F777" s="6" t="inlineStr">
        <is>
          <t>CB400-V</t>
        </is>
      </c>
      <c r="G777" s="7" t="inlineStr">
        <is>
          <t>S06</t>
        </is>
      </c>
      <c r="H777" s="21" t="n">
        <v>3.664</v>
      </c>
      <c r="I777" s="22" t="n">
        <v>45</v>
      </c>
      <c r="J777" s="23" t="n">
        <v>0.888</v>
      </c>
      <c r="K777" s="9">
        <f>ROUND(H777*I777*J777, 2)</f>
        <v/>
      </c>
      <c r="L777" s="24">
        <f>ROUND(K777/1000, 3)</f>
        <v/>
      </c>
      <c r="M777" s="8" t="n"/>
      <c r="N777" s="21">
        <f>ROUND(N776 + IF(AND(E777&lt;=10, F777&lt;&gt;"ASTM A416"), L777, 0), 3)</f>
        <v/>
      </c>
      <c r="O777" s="21">
        <f>ROUND(O776 + IF(AND(E777&gt;10, E777&lt;=18, F777&lt;&gt;"ASTM A416"), L777, 0), 3)</f>
        <v/>
      </c>
      <c r="P777" s="21">
        <f>ROUND(P776 + IF(AND(E777&gt;18, F777&lt;&gt;"ASTM A416"), L777, 0), 3)</f>
        <v/>
      </c>
      <c r="Q777" s="21">
        <f>ROUND(Q776 + IF(F777="ASTM A416", L777, 0), 3)</f>
        <v/>
      </c>
      <c r="R777" s="11">
        <f>IF(INT(N777/20)&gt;INT(N776/20), "Lần " &amp; INT(N777/20), "")</f>
        <v/>
      </c>
      <c r="S777" s="12">
        <f>IF(INT(O777/20)&gt;INT(O776/20), "Lần " &amp; INT(O777/20), "")</f>
        <v/>
      </c>
      <c r="T777" s="11">
        <f>IF(INT(P777/20)&gt;INT(P776/20), "Lần " &amp; INT(P777/20), "")</f>
        <v/>
      </c>
      <c r="U777" s="25">
        <f>IF(INT(Q777/20)&gt;INT(Q776/20), "Lần " &amp; INT(Q777/20), "")</f>
        <v/>
      </c>
      <c r="V777" s="6" t="inlineStr"/>
      <c r="W777" s="6" t="inlineStr">
        <is>
          <t>ĐẠT TCVN 1651:2018</t>
        </is>
      </c>
    </row>
    <row r="778" ht="19" customHeight="1">
      <c r="A778" s="6" t="n">
        <v>742</v>
      </c>
      <c r="B778" s="7" t="inlineStr">
        <is>
          <t>Dầm chủ Super-T (15 phiến L=38.2m)</t>
        </is>
      </c>
      <c r="C778" s="7" t="inlineStr">
        <is>
          <t>Sườn dầm / Cánh dầm</t>
        </is>
      </c>
      <c r="D778" s="19" t="inlineStr">
        <is>
          <t>E1</t>
        </is>
      </c>
      <c r="E778" s="20" t="n">
        <v>16</v>
      </c>
      <c r="F778" s="6" t="inlineStr">
        <is>
          <t>CB400-V</t>
        </is>
      </c>
      <c r="G778" s="7" t="inlineStr">
        <is>
          <t>S06</t>
        </is>
      </c>
      <c r="H778" s="21" t="n">
        <v>2.376</v>
      </c>
      <c r="I778" s="22" t="n">
        <v>3780</v>
      </c>
      <c r="J778" s="23" t="n">
        <v>1.58</v>
      </c>
      <c r="K778" s="9">
        <f>ROUND(H778*I778*J778, 2)</f>
        <v/>
      </c>
      <c r="L778" s="24">
        <f>ROUND(K778/1000, 3)</f>
        <v/>
      </c>
      <c r="M778" s="8" t="n"/>
      <c r="N778" s="21">
        <f>ROUND(N777 + IF(AND(E778&lt;=10, F778&lt;&gt;"ASTM A416"), L778, 0), 3)</f>
        <v/>
      </c>
      <c r="O778" s="21">
        <f>ROUND(O777 + IF(AND(E778&gt;10, E778&lt;=18, F778&lt;&gt;"ASTM A416"), L778, 0), 3)</f>
        <v/>
      </c>
      <c r="P778" s="21">
        <f>ROUND(P777 + IF(AND(E778&gt;18, F778&lt;&gt;"ASTM A416"), L778, 0), 3)</f>
        <v/>
      </c>
      <c r="Q778" s="21">
        <f>ROUND(Q777 + IF(F778="ASTM A416", L778, 0), 3)</f>
        <v/>
      </c>
      <c r="R778" s="11">
        <f>IF(INT(N778/20)&gt;INT(N777/20), "Lần " &amp; INT(N778/20), "")</f>
        <v/>
      </c>
      <c r="S778" s="12">
        <f>IF(INT(O778/20)&gt;INT(O777/20), "Lần " &amp; INT(O778/20), "")</f>
        <v/>
      </c>
      <c r="T778" s="11">
        <f>IF(INT(P778/20)&gt;INT(P777/20), "Lần " &amp; INT(P778/20), "")</f>
        <v/>
      </c>
      <c r="U778" s="25">
        <f>IF(INT(Q778/20)&gt;INT(Q777/20), "Lần " &amp; INT(Q778/20), "")</f>
        <v/>
      </c>
      <c r="V778" s="6" t="inlineStr"/>
      <c r="W778" s="6" t="inlineStr">
        <is>
          <t>ĐẠT TCVN 1651:2018</t>
        </is>
      </c>
    </row>
    <row r="779" ht="19" customHeight="1">
      <c r="A779" s="6" t="n">
        <v>743</v>
      </c>
      <c r="B779" s="7" t="inlineStr">
        <is>
          <t>Dầm chủ Super-T (15 phiến L=38.2m)</t>
        </is>
      </c>
      <c r="C779" s="7" t="inlineStr">
        <is>
          <t>Sườn dầm / Cánh dầm</t>
        </is>
      </c>
      <c r="D779" s="19" t="inlineStr">
        <is>
          <t>E2</t>
        </is>
      </c>
      <c r="E779" s="20" t="n">
        <v>16</v>
      </c>
      <c r="F779" s="6" t="inlineStr">
        <is>
          <t>CB400-V</t>
        </is>
      </c>
      <c r="G779" s="7" t="inlineStr">
        <is>
          <t>S06</t>
        </is>
      </c>
      <c r="H779" s="21" t="n">
        <v>3.932</v>
      </c>
      <c r="I779" s="22" t="n">
        <v>300</v>
      </c>
      <c r="J779" s="23" t="n">
        <v>1.58</v>
      </c>
      <c r="K779" s="9">
        <f>ROUND(H779*I779*J779, 2)</f>
        <v/>
      </c>
      <c r="L779" s="24">
        <f>ROUND(K779/1000, 3)</f>
        <v/>
      </c>
      <c r="M779" s="8" t="n"/>
      <c r="N779" s="21">
        <f>ROUND(N778 + IF(AND(E779&lt;=10, F779&lt;&gt;"ASTM A416"), L779, 0), 3)</f>
        <v/>
      </c>
      <c r="O779" s="21">
        <f>ROUND(O778 + IF(AND(E779&gt;10, E779&lt;=18, F779&lt;&gt;"ASTM A416"), L779, 0), 3)</f>
        <v/>
      </c>
      <c r="P779" s="21">
        <f>ROUND(P778 + IF(AND(E779&gt;18, F779&lt;&gt;"ASTM A416"), L779, 0), 3)</f>
        <v/>
      </c>
      <c r="Q779" s="21">
        <f>ROUND(Q778 + IF(F779="ASTM A416", L779, 0), 3)</f>
        <v/>
      </c>
      <c r="R779" s="11">
        <f>IF(INT(N779/20)&gt;INT(N778/20), "Lần " &amp; INT(N779/20), "")</f>
        <v/>
      </c>
      <c r="S779" s="12">
        <f>IF(INT(O779/20)&gt;INT(O778/20), "Lần " &amp; INT(O779/20), "")</f>
        <v/>
      </c>
      <c r="T779" s="11">
        <f>IF(INT(P779/20)&gt;INT(P778/20), "Lần " &amp; INT(P779/20), "")</f>
        <v/>
      </c>
      <c r="U779" s="25">
        <f>IF(INT(Q779/20)&gt;INT(Q778/20), "Lần " &amp; INT(Q779/20), "")</f>
        <v/>
      </c>
      <c r="V779" s="6" t="inlineStr"/>
      <c r="W779" s="6" t="inlineStr">
        <is>
          <t>ĐẠT TCVN 1651:2018</t>
        </is>
      </c>
    </row>
    <row r="780" ht="19" customHeight="1">
      <c r="A780" s="6" t="n">
        <v>744</v>
      </c>
      <c r="B780" s="7" t="inlineStr">
        <is>
          <t>Dầm chủ Super-T (15 phiến L=38.2m)</t>
        </is>
      </c>
      <c r="C780" s="7" t="inlineStr">
        <is>
          <t>Sườn dầm / Cánh dầm</t>
        </is>
      </c>
      <c r="D780" s="19" t="inlineStr">
        <is>
          <t>Thanh neo</t>
        </is>
      </c>
      <c r="E780" s="20" t="n">
        <v>20</v>
      </c>
      <c r="F780" s="6" t="inlineStr">
        <is>
          <t>CB400-V</t>
        </is>
      </c>
      <c r="G780" s="7" t="inlineStr">
        <is>
          <t>S06</t>
        </is>
      </c>
      <c r="H780" s="21" t="n">
        <v>0.11</v>
      </c>
      <c r="I780" s="22" t="n">
        <v>120</v>
      </c>
      <c r="J780" s="23" t="n">
        <v>2.47</v>
      </c>
      <c r="K780" s="9">
        <f>ROUND(H780*I780*J780, 2)</f>
        <v/>
      </c>
      <c r="L780" s="24">
        <f>ROUND(K780/1000, 3)</f>
        <v/>
      </c>
      <c r="M780" s="8" t="n"/>
      <c r="N780" s="21">
        <f>ROUND(N779 + IF(AND(E780&lt;=10, F780&lt;&gt;"ASTM A416"), L780, 0), 3)</f>
        <v/>
      </c>
      <c r="O780" s="21">
        <f>ROUND(O779 + IF(AND(E780&gt;10, E780&lt;=18, F780&lt;&gt;"ASTM A416"), L780, 0), 3)</f>
        <v/>
      </c>
      <c r="P780" s="21">
        <f>ROUND(P779 + IF(AND(E780&gt;18, F780&lt;&gt;"ASTM A416"), L780, 0), 3)</f>
        <v/>
      </c>
      <c r="Q780" s="21">
        <f>ROUND(Q779 + IF(F780="ASTM A416", L780, 0), 3)</f>
        <v/>
      </c>
      <c r="R780" s="11">
        <f>IF(INT(N780/20)&gt;INT(N779/20), "Lần " &amp; INT(N780/20), "")</f>
        <v/>
      </c>
      <c r="S780" s="12">
        <f>IF(INT(O780/20)&gt;INT(O779/20), "Lần " &amp; INT(O780/20), "")</f>
        <v/>
      </c>
      <c r="T780" s="11">
        <f>IF(INT(P780/20)&gt;INT(P779/20), "Lần " &amp; INT(P780/20), "")</f>
        <v/>
      </c>
      <c r="U780" s="25">
        <f>IF(INT(Q780/20)&gt;INT(Q779/20), "Lần " &amp; INT(Q780/20), "")</f>
        <v/>
      </c>
      <c r="V780" s="6" t="inlineStr"/>
      <c r="W780" s="6" t="inlineStr">
        <is>
          <t>ĐẠT TCVN 1651:2018</t>
        </is>
      </c>
    </row>
    <row r="781" ht="19" customHeight="1">
      <c r="A781" s="6" t="n">
        <v>745</v>
      </c>
      <c r="B781" s="7" t="inlineStr">
        <is>
          <t>Dầm chủ Super-T (15 phiến L=38.2m)</t>
        </is>
      </c>
      <c r="C781" s="7" t="inlineStr">
        <is>
          <t>Sườn dầm / Cánh dầm</t>
        </is>
      </c>
      <c r="D781" s="19" t="inlineStr">
        <is>
          <t>K1a</t>
        </is>
      </c>
      <c r="E781" s="20" t="n">
        <v>16</v>
      </c>
      <c r="F781" s="6" t="inlineStr">
        <is>
          <t>CB400-V</t>
        </is>
      </c>
      <c r="G781" s="7" t="inlineStr">
        <is>
          <t>S06</t>
        </is>
      </c>
      <c r="H781" s="21" t="n">
        <v>0.976</v>
      </c>
      <c r="I781" s="22" t="n">
        <v>120</v>
      </c>
      <c r="J781" s="23" t="n">
        <v>1.58</v>
      </c>
      <c r="K781" s="9">
        <f>ROUND(H781*I781*J781, 2)</f>
        <v/>
      </c>
      <c r="L781" s="24">
        <f>ROUND(K781/1000, 3)</f>
        <v/>
      </c>
      <c r="M781" s="8" t="n"/>
      <c r="N781" s="21">
        <f>ROUND(N780 + IF(AND(E781&lt;=10, F781&lt;&gt;"ASTM A416"), L781, 0), 3)</f>
        <v/>
      </c>
      <c r="O781" s="21">
        <f>ROUND(O780 + IF(AND(E781&gt;10, E781&lt;=18, F781&lt;&gt;"ASTM A416"), L781, 0), 3)</f>
        <v/>
      </c>
      <c r="P781" s="21">
        <f>ROUND(P780 + IF(AND(E781&gt;18, F781&lt;&gt;"ASTM A416"), L781, 0), 3)</f>
        <v/>
      </c>
      <c r="Q781" s="21">
        <f>ROUND(Q780 + IF(F781="ASTM A416", L781, 0), 3)</f>
        <v/>
      </c>
      <c r="R781" s="11">
        <f>IF(INT(N781/20)&gt;INT(N780/20), "Lần " &amp; INT(N781/20), "")</f>
        <v/>
      </c>
      <c r="S781" s="12">
        <f>IF(INT(O781/20)&gt;INT(O780/20), "Lần " &amp; INT(O781/20), "")</f>
        <v/>
      </c>
      <c r="T781" s="11">
        <f>IF(INT(P781/20)&gt;INT(P780/20), "Lần " &amp; INT(P781/20), "")</f>
        <v/>
      </c>
      <c r="U781" s="25">
        <f>IF(INT(Q781/20)&gt;INT(Q780/20), "Lần " &amp; INT(Q781/20), "")</f>
        <v/>
      </c>
      <c r="V781" s="6" t="inlineStr"/>
      <c r="W781" s="6" t="inlineStr">
        <is>
          <t>ĐẠT TCVN 1651:2018</t>
        </is>
      </c>
    </row>
    <row r="782" ht="19" customHeight="1">
      <c r="A782" s="6" t="n">
        <v>746</v>
      </c>
      <c r="B782" s="7" t="inlineStr">
        <is>
          <t>Dầm chủ Super-T (15 phiến L=38.2m)</t>
        </is>
      </c>
      <c r="C782" s="7" t="inlineStr">
        <is>
          <t>Sườn dầm / Cánh dầm</t>
        </is>
      </c>
      <c r="D782" s="19" t="inlineStr">
        <is>
          <t>K1b</t>
        </is>
      </c>
      <c r="E782" s="20" t="n">
        <v>16</v>
      </c>
      <c r="F782" s="6" t="inlineStr">
        <is>
          <t>CB400-V</t>
        </is>
      </c>
      <c r="G782" s="7" t="inlineStr">
        <is>
          <t>S06</t>
        </is>
      </c>
      <c r="H782" s="21" t="n">
        <v>0.776</v>
      </c>
      <c r="I782" s="22" t="n">
        <v>120</v>
      </c>
      <c r="J782" s="23" t="n">
        <v>1.58</v>
      </c>
      <c r="K782" s="9">
        <f>ROUND(H782*I782*J782, 2)</f>
        <v/>
      </c>
      <c r="L782" s="24">
        <f>ROUND(K782/1000, 3)</f>
        <v/>
      </c>
      <c r="M782" s="8" t="n"/>
      <c r="N782" s="21">
        <f>ROUND(N781 + IF(AND(E782&lt;=10, F782&lt;&gt;"ASTM A416"), L782, 0), 3)</f>
        <v/>
      </c>
      <c r="O782" s="21">
        <f>ROUND(O781 + IF(AND(E782&gt;10, E782&lt;=18, F782&lt;&gt;"ASTM A416"), L782, 0), 3)</f>
        <v/>
      </c>
      <c r="P782" s="21">
        <f>ROUND(P781 + IF(AND(E782&gt;18, F782&lt;&gt;"ASTM A416"), L782, 0), 3)</f>
        <v/>
      </c>
      <c r="Q782" s="21">
        <f>ROUND(Q781 + IF(F782="ASTM A416", L782, 0), 3)</f>
        <v/>
      </c>
      <c r="R782" s="11">
        <f>IF(INT(N782/20)&gt;INT(N781/20), "Lần " &amp; INT(N782/20), "")</f>
        <v/>
      </c>
      <c r="S782" s="12">
        <f>IF(INT(O782/20)&gt;INT(O781/20), "Lần " &amp; INT(O782/20), "")</f>
        <v/>
      </c>
      <c r="T782" s="11">
        <f>IF(INT(P782/20)&gt;INT(P781/20), "Lần " &amp; INT(P782/20), "")</f>
        <v/>
      </c>
      <c r="U782" s="25">
        <f>IF(INT(Q782/20)&gt;INT(Q781/20), "Lần " &amp; INT(Q782/20), "")</f>
        <v/>
      </c>
      <c r="V782" s="6" t="inlineStr"/>
      <c r="W782" s="6" t="inlineStr">
        <is>
          <t>ĐẠT TCVN 1651:2018</t>
        </is>
      </c>
    </row>
    <row r="783" ht="19" customHeight="1">
      <c r="A783" s="6" t="n">
        <v>747</v>
      </c>
      <c r="B783" s="7" t="inlineStr">
        <is>
          <t>Dầm chủ Super-T (15 phiến L=38.2m)</t>
        </is>
      </c>
      <c r="C783" s="7" t="inlineStr">
        <is>
          <t>Cáp DƯL 7 sợi cường độ cao</t>
        </is>
      </c>
      <c r="D783" s="19" t="inlineStr">
        <is>
          <t>CABLE-15.2</t>
        </is>
      </c>
      <c r="E783" s="26" t="n">
        <v>15.2</v>
      </c>
      <c r="F783" s="6" t="inlineStr">
        <is>
          <t>ASTM A416 Gr270 (fpu=1860MPa)</t>
        </is>
      </c>
      <c r="G783" s="7" t="inlineStr">
        <is>
          <t>Tao cáp xoắn 7 sợi</t>
        </is>
      </c>
      <c r="H783" s="21" t="n">
        <v>38.2</v>
      </c>
      <c r="I783" s="22" t="n">
        <v>660</v>
      </c>
      <c r="J783" s="23" t="n">
        <v>1.102</v>
      </c>
      <c r="K783" s="9">
        <f>ROUND(H783*I783*J783, 2)</f>
        <v/>
      </c>
      <c r="L783" s="24">
        <f>ROUND(K783/1000, 3)</f>
        <v/>
      </c>
      <c r="M783" s="8" t="n"/>
      <c r="N783" s="21">
        <f>ROUND(N782 + IF(AND(E783&lt;=10, F783&lt;&gt;"ASTM A416"), L783, 0), 3)</f>
        <v/>
      </c>
      <c r="O783" s="21">
        <f>ROUND(O782 + IF(AND(E783&gt;10, E783&lt;=18, F783&lt;&gt;"ASTM A416"), L783, 0), 3)</f>
        <v/>
      </c>
      <c r="P783" s="21">
        <f>ROUND(P782 + IF(AND(E783&gt;18, F783&lt;&gt;"ASTM A416"), L783, 0), 3)</f>
        <v/>
      </c>
      <c r="Q783" s="21">
        <f>ROUND(Q782 + IF(F783="ASTM A416", L783, 0), 3)</f>
        <v/>
      </c>
      <c r="R783" s="11">
        <f>IF(INT(N783/20)&gt;INT(N782/20), "Lần " &amp; INT(N783/20), "")</f>
        <v/>
      </c>
      <c r="S783" s="12">
        <f>IF(INT(O783/20)&gt;INT(O782/20), "Lần " &amp; INT(O783/20), "")</f>
        <v/>
      </c>
      <c r="T783" s="11">
        <f>IF(INT(P783/20)&gt;INT(P782/20), "Lần " &amp; INT(P783/20), "")</f>
        <v/>
      </c>
      <c r="U783" s="25">
        <f>IF(INT(Q783/20)&gt;INT(Q782/20), "Lần " &amp; INT(Q783/20), "")</f>
        <v/>
      </c>
      <c r="V783" s="6" t="inlineStr"/>
      <c r="W783" s="6" t="inlineStr">
        <is>
          <t>ĐẠT TCVN 1651:2018</t>
        </is>
      </c>
    </row>
    <row r="784" ht="19" customHeight="1">
      <c r="A784" s="6" t="n">
        <v>748</v>
      </c>
      <c r="B784" s="7" t="inlineStr">
        <is>
          <t>Dầm ngang (Diaphragm)</t>
        </is>
      </c>
      <c r="C784" s="7" t="inlineStr">
        <is>
          <t>Dầm ngang trên trụ / mố</t>
        </is>
      </c>
      <c r="D784" s="19" t="inlineStr">
        <is>
          <t>16</t>
        </is>
      </c>
      <c r="E784" s="20" t="n">
        <v>16</v>
      </c>
      <c r="F784" s="6" t="inlineStr">
        <is>
          <t>CB400-V</t>
        </is>
      </c>
      <c r="G784" s="7" t="inlineStr">
        <is>
          <t>Thanh uốn chữ U</t>
        </is>
      </c>
      <c r="H784" s="21" t="n">
        <v>0.002</v>
      </c>
      <c r="I784" s="22" t="n">
        <v>525</v>
      </c>
      <c r="J784" s="23" t="n">
        <v>1.578</v>
      </c>
      <c r="K784" s="9">
        <f>ROUND(H784*I784*J784, 2)</f>
        <v/>
      </c>
      <c r="L784" s="24">
        <f>ROUND(K784/1000, 3)</f>
        <v/>
      </c>
      <c r="M784" s="8" t="n"/>
      <c r="N784" s="21">
        <f>ROUND(N783 + IF(AND(E784&lt;=10, F784&lt;&gt;"ASTM A416"), L784, 0), 3)</f>
        <v/>
      </c>
      <c r="O784" s="21">
        <f>ROUND(O783 + IF(AND(E784&gt;10, E784&lt;=18, F784&lt;&gt;"ASTM A416"), L784, 0), 3)</f>
        <v/>
      </c>
      <c r="P784" s="21">
        <f>ROUND(P783 + IF(AND(E784&gt;18, F784&lt;&gt;"ASTM A416"), L784, 0), 3)</f>
        <v/>
      </c>
      <c r="Q784" s="21">
        <f>ROUND(Q783 + IF(F784="ASTM A416", L784, 0), 3)</f>
        <v/>
      </c>
      <c r="R784" s="11">
        <f>IF(INT(N784/20)&gt;INT(N783/20), "Lần " &amp; INT(N784/20), "")</f>
        <v/>
      </c>
      <c r="S784" s="12">
        <f>IF(INT(O784/20)&gt;INT(O783/20), "Lần " &amp; INT(O784/20), "")</f>
        <v/>
      </c>
      <c r="T784" s="11">
        <f>IF(INT(P784/20)&gt;INT(P783/20), "Lần " &amp; INT(P784/20), "")</f>
        <v/>
      </c>
      <c r="U784" s="25">
        <f>IF(INT(Q784/20)&gt;INT(Q783/20), "Lần " &amp; INT(Q784/20), "")</f>
        <v/>
      </c>
      <c r="V784" s="6" t="inlineStr"/>
      <c r="W784" s="6" t="inlineStr">
        <is>
          <t>ĐẠT TCVN 1651:2018</t>
        </is>
      </c>
    </row>
    <row r="785" ht="19" customHeight="1">
      <c r="A785" s="6" t="n">
        <v>749</v>
      </c>
      <c r="B785" s="7" t="inlineStr">
        <is>
          <t>Dầm ngang (Diaphragm)</t>
        </is>
      </c>
      <c r="C785" s="7" t="inlineStr">
        <is>
          <t>Dầm ngang trên trụ / mố</t>
        </is>
      </c>
      <c r="D785" s="19" t="inlineStr">
        <is>
          <t>20</t>
        </is>
      </c>
      <c r="E785" s="20" t="n">
        <v>32</v>
      </c>
      <c r="F785" s="6" t="inlineStr">
        <is>
          <t>CB400-V</t>
        </is>
      </c>
      <c r="G785" s="7" t="inlineStr">
        <is>
          <t>S06</t>
        </is>
      </c>
      <c r="H785" s="21" t="n">
        <v>0.002</v>
      </c>
      <c r="I785" s="22" t="n">
        <v>1450</v>
      </c>
      <c r="J785" s="23" t="n">
        <v>114.61</v>
      </c>
      <c r="K785" s="9">
        <f>ROUND(H785*I785*J785, 2)</f>
        <v/>
      </c>
      <c r="L785" s="24">
        <f>ROUND(K785/1000, 3)</f>
        <v/>
      </c>
      <c r="M785" s="8" t="n"/>
      <c r="N785" s="21">
        <f>ROUND(N784 + IF(AND(E785&lt;=10, F785&lt;&gt;"ASTM A416"), L785, 0), 3)</f>
        <v/>
      </c>
      <c r="O785" s="21">
        <f>ROUND(O784 + IF(AND(E785&gt;10, E785&lt;=18, F785&lt;&gt;"ASTM A416"), L785, 0), 3)</f>
        <v/>
      </c>
      <c r="P785" s="21">
        <f>ROUND(P784 + IF(AND(E785&gt;18, F785&lt;&gt;"ASTM A416"), L785, 0), 3)</f>
        <v/>
      </c>
      <c r="Q785" s="21">
        <f>ROUND(Q784 + IF(F785="ASTM A416", L785, 0), 3)</f>
        <v/>
      </c>
      <c r="R785" s="11">
        <f>IF(INT(N785/20)&gt;INT(N784/20), "Lần " &amp; INT(N785/20), "")</f>
        <v/>
      </c>
      <c r="S785" s="12">
        <f>IF(INT(O785/20)&gt;INT(O784/20), "Lần " &amp; INT(O785/20), "")</f>
        <v/>
      </c>
      <c r="T785" s="11">
        <f>IF(INT(P785/20)&gt;INT(P784/20), "Lần " &amp; INT(P785/20), "")</f>
        <v/>
      </c>
      <c r="U785" s="25">
        <f>IF(INT(Q785/20)&gt;INT(Q784/20), "Lần " &amp; INT(Q785/20), "")</f>
        <v/>
      </c>
      <c r="V785" s="6" t="inlineStr"/>
      <c r="W785" s="6" t="inlineStr">
        <is>
          <t>ĐẠT TCVN 1651:2018</t>
        </is>
      </c>
    </row>
    <row r="786" ht="19" customHeight="1">
      <c r="A786" s="6" t="n">
        <v>750</v>
      </c>
      <c r="B786" s="7" t="inlineStr">
        <is>
          <t>Dầm ngang (Diaphragm)</t>
        </is>
      </c>
      <c r="C786" s="7" t="inlineStr">
        <is>
          <t>Dầm ngang trên trụ / mố</t>
        </is>
      </c>
      <c r="D786" s="19" t="inlineStr">
        <is>
          <t>16</t>
        </is>
      </c>
      <c r="E786" s="20" t="n">
        <v>16</v>
      </c>
      <c r="F786" s="6" t="inlineStr">
        <is>
          <t>CB400-V</t>
        </is>
      </c>
      <c r="G786" s="7" t="inlineStr">
        <is>
          <t>Thanh uốn chữ U</t>
        </is>
      </c>
      <c r="H786" s="21" t="n">
        <v>0.002</v>
      </c>
      <c r="I786" s="22" t="n">
        <v>1390</v>
      </c>
      <c r="J786" s="23" t="n">
        <v>1.578</v>
      </c>
      <c r="K786" s="9">
        <f>ROUND(H786*I786*J786, 2)</f>
        <v/>
      </c>
      <c r="L786" s="24">
        <f>ROUND(K786/1000, 3)</f>
        <v/>
      </c>
      <c r="M786" s="8" t="n"/>
      <c r="N786" s="21">
        <f>ROUND(N785 + IF(AND(E786&lt;=10, F786&lt;&gt;"ASTM A416"), L786, 0), 3)</f>
        <v/>
      </c>
      <c r="O786" s="21">
        <f>ROUND(O785 + IF(AND(E786&gt;10, E786&lt;=18, F786&lt;&gt;"ASTM A416"), L786, 0), 3)</f>
        <v/>
      </c>
      <c r="P786" s="21">
        <f>ROUND(P785 + IF(AND(E786&gt;18, F786&lt;&gt;"ASTM A416"), L786, 0), 3)</f>
        <v/>
      </c>
      <c r="Q786" s="21">
        <f>ROUND(Q785 + IF(F786="ASTM A416", L786, 0), 3)</f>
        <v/>
      </c>
      <c r="R786" s="11">
        <f>IF(INT(N786/20)&gt;INT(N785/20), "Lần " &amp; INT(N786/20), "")</f>
        <v/>
      </c>
      <c r="S786" s="12">
        <f>IF(INT(O786/20)&gt;INT(O785/20), "Lần " &amp; INT(O786/20), "")</f>
        <v/>
      </c>
      <c r="T786" s="11">
        <f>IF(INT(P786/20)&gt;INT(P785/20), "Lần " &amp; INT(P786/20), "")</f>
        <v/>
      </c>
      <c r="U786" s="25">
        <f>IF(INT(Q786/20)&gt;INT(Q785/20), "Lần " &amp; INT(Q786/20), "")</f>
        <v/>
      </c>
      <c r="V786" s="6" t="inlineStr"/>
      <c r="W786" s="6" t="inlineStr">
        <is>
          <t>ĐẠT TCVN 1651:2018</t>
        </is>
      </c>
    </row>
    <row r="787" ht="19" customHeight="1">
      <c r="A787" s="6" t="n">
        <v>751</v>
      </c>
      <c r="B787" s="7" t="inlineStr">
        <is>
          <t>Dầm ngang (Diaphragm)</t>
        </is>
      </c>
      <c r="C787" s="7" t="inlineStr">
        <is>
          <t>Dầm ngang trên trụ / mố</t>
        </is>
      </c>
      <c r="D787" s="19" t="inlineStr">
        <is>
          <t>16</t>
        </is>
      </c>
      <c r="E787" s="20" t="n">
        <v>32</v>
      </c>
      <c r="F787" s="6" t="inlineStr">
        <is>
          <t>CB400-V</t>
        </is>
      </c>
      <c r="G787" s="7" t="inlineStr">
        <is>
          <t>S06</t>
        </is>
      </c>
      <c r="H787" s="21" t="n">
        <v>0.002</v>
      </c>
      <c r="I787" s="22" t="n">
        <v>1140</v>
      </c>
      <c r="J787" s="23" t="n">
        <v>57.64</v>
      </c>
      <c r="K787" s="9">
        <f>ROUND(H787*I787*J787, 2)</f>
        <v/>
      </c>
      <c r="L787" s="24">
        <f>ROUND(K787/1000, 3)</f>
        <v/>
      </c>
      <c r="M787" s="8" t="n"/>
      <c r="N787" s="21">
        <f>ROUND(N786 + IF(AND(E787&lt;=10, F787&lt;&gt;"ASTM A416"), L787, 0), 3)</f>
        <v/>
      </c>
      <c r="O787" s="21">
        <f>ROUND(O786 + IF(AND(E787&gt;10, E787&lt;=18, F787&lt;&gt;"ASTM A416"), L787, 0), 3)</f>
        <v/>
      </c>
      <c r="P787" s="21">
        <f>ROUND(P786 + IF(AND(E787&gt;18, F787&lt;&gt;"ASTM A416"), L787, 0), 3)</f>
        <v/>
      </c>
      <c r="Q787" s="21">
        <f>ROUND(Q786 + IF(F787="ASTM A416", L787, 0), 3)</f>
        <v/>
      </c>
      <c r="R787" s="11">
        <f>IF(INT(N787/20)&gt;INT(N786/20), "Lần " &amp; INT(N787/20), "")</f>
        <v/>
      </c>
      <c r="S787" s="12">
        <f>IF(INT(O787/20)&gt;INT(O786/20), "Lần " &amp; INT(O787/20), "")</f>
        <v/>
      </c>
      <c r="T787" s="11">
        <f>IF(INT(P787/20)&gt;INT(P786/20), "Lần " &amp; INT(P787/20), "")</f>
        <v/>
      </c>
      <c r="U787" s="25">
        <f>IF(INT(Q787/20)&gt;INT(Q786/20), "Lần " &amp; INT(Q787/20), "")</f>
        <v/>
      </c>
      <c r="V787" s="6" t="inlineStr"/>
      <c r="W787" s="6" t="inlineStr">
        <is>
          <t>ĐẠT TCVN 1651:2018</t>
        </is>
      </c>
    </row>
    <row r="788" ht="19" customHeight="1">
      <c r="A788" s="6" t="n">
        <v>752</v>
      </c>
      <c r="B788" s="7" t="inlineStr">
        <is>
          <t>Dầm ngang (Diaphragm)</t>
        </is>
      </c>
      <c r="C788" s="7" t="inlineStr">
        <is>
          <t>Dầm ngang trên trụ / mố</t>
        </is>
      </c>
      <c r="D788" s="19" t="inlineStr">
        <is>
          <t>16</t>
        </is>
      </c>
      <c r="E788" s="20" t="n">
        <v>16</v>
      </c>
      <c r="F788" s="6" t="inlineStr">
        <is>
          <t>CB400-V</t>
        </is>
      </c>
      <c r="G788" s="7" t="inlineStr">
        <is>
          <t>Thanh uốn chữ U</t>
        </is>
      </c>
      <c r="H788" s="21" t="n">
        <v>0.002</v>
      </c>
      <c r="I788" s="22" t="n">
        <v>3262</v>
      </c>
      <c r="J788" s="23" t="n">
        <v>1.578</v>
      </c>
      <c r="K788" s="9">
        <f>ROUND(H788*I788*J788, 2)</f>
        <v/>
      </c>
      <c r="L788" s="24">
        <f>ROUND(K788/1000, 3)</f>
        <v/>
      </c>
      <c r="M788" s="8" t="n"/>
      <c r="N788" s="21">
        <f>ROUND(N787 + IF(AND(E788&lt;=10, F788&lt;&gt;"ASTM A416"), L788, 0), 3)</f>
        <v/>
      </c>
      <c r="O788" s="21">
        <f>ROUND(O787 + IF(AND(E788&gt;10, E788&lt;=18, F788&lt;&gt;"ASTM A416"), L788, 0), 3)</f>
        <v/>
      </c>
      <c r="P788" s="21">
        <f>ROUND(P787 + IF(AND(E788&gt;18, F788&lt;&gt;"ASTM A416"), L788, 0), 3)</f>
        <v/>
      </c>
      <c r="Q788" s="21">
        <f>ROUND(Q787 + IF(F788="ASTM A416", L788, 0), 3)</f>
        <v/>
      </c>
      <c r="R788" s="11">
        <f>IF(INT(N788/20)&gt;INT(N787/20), "Lần " &amp; INT(N788/20), "")</f>
        <v/>
      </c>
      <c r="S788" s="12">
        <f>IF(INT(O788/20)&gt;INT(O787/20), "Lần " &amp; INT(O788/20), "")</f>
        <v/>
      </c>
      <c r="T788" s="11">
        <f>IF(INT(P788/20)&gt;INT(P787/20), "Lần " &amp; INT(P788/20), "")</f>
        <v/>
      </c>
      <c r="U788" s="25">
        <f>IF(INT(Q788/20)&gt;INT(Q787/20), "Lần " &amp; INT(Q788/20), "")</f>
        <v/>
      </c>
      <c r="V788" s="6" t="inlineStr"/>
      <c r="W788" s="6" t="inlineStr">
        <is>
          <t>ĐẠT TCVN 1651:2018</t>
        </is>
      </c>
    </row>
    <row r="789" ht="19" customHeight="1">
      <c r="A789" s="6" t="n">
        <v>753</v>
      </c>
      <c r="B789" s="7" t="inlineStr">
        <is>
          <t>Dầm ngang (Diaphragm)</t>
        </is>
      </c>
      <c r="C789" s="7" t="inlineStr">
        <is>
          <t>Dầm ngang trên trụ / mố</t>
        </is>
      </c>
      <c r="D789" s="19" t="inlineStr">
        <is>
          <t>16</t>
        </is>
      </c>
      <c r="E789" s="20" t="n">
        <v>16</v>
      </c>
      <c r="F789" s="6" t="inlineStr">
        <is>
          <t>CB400-V</t>
        </is>
      </c>
      <c r="G789" s="7" t="inlineStr">
        <is>
          <t>S06</t>
        </is>
      </c>
      <c r="H789" s="21" t="n">
        <v>0.002</v>
      </c>
      <c r="I789" s="22" t="n">
        <v>2642</v>
      </c>
      <c r="J789" s="23" t="n">
        <v>66.79000000000001</v>
      </c>
      <c r="K789" s="9">
        <f>ROUND(H789*I789*J789, 2)</f>
        <v/>
      </c>
      <c r="L789" s="24">
        <f>ROUND(K789/1000, 3)</f>
        <v/>
      </c>
      <c r="M789" s="8" t="n"/>
      <c r="N789" s="21">
        <f>ROUND(N788 + IF(AND(E789&lt;=10, F789&lt;&gt;"ASTM A416"), L789, 0), 3)</f>
        <v/>
      </c>
      <c r="O789" s="21">
        <f>ROUND(O788 + IF(AND(E789&gt;10, E789&lt;=18, F789&lt;&gt;"ASTM A416"), L789, 0), 3)</f>
        <v/>
      </c>
      <c r="P789" s="21">
        <f>ROUND(P788 + IF(AND(E789&gt;18, F789&lt;&gt;"ASTM A416"), L789, 0), 3)</f>
        <v/>
      </c>
      <c r="Q789" s="21">
        <f>ROUND(Q788 + IF(F789="ASTM A416", L789, 0), 3)</f>
        <v/>
      </c>
      <c r="R789" s="11">
        <f>IF(INT(N789/20)&gt;INT(N788/20), "Lần " &amp; INT(N789/20), "")</f>
        <v/>
      </c>
      <c r="S789" s="12">
        <f>IF(INT(O789/20)&gt;INT(O788/20), "Lần " &amp; INT(O789/20), "")</f>
        <v/>
      </c>
      <c r="T789" s="11">
        <f>IF(INT(P789/20)&gt;INT(P788/20), "Lần " &amp; INT(P789/20), "")</f>
        <v/>
      </c>
      <c r="U789" s="25">
        <f>IF(INT(Q789/20)&gt;INT(Q788/20), "Lần " &amp; INT(Q789/20), "")</f>
        <v/>
      </c>
      <c r="V789" s="6" t="inlineStr"/>
      <c r="W789" s="6" t="inlineStr">
        <is>
          <t>ĐẠT TCVN 1651:2018</t>
        </is>
      </c>
    </row>
    <row r="790" ht="19" customHeight="1">
      <c r="A790" s="6" t="n">
        <v>754</v>
      </c>
      <c r="B790" s="7" t="inlineStr">
        <is>
          <t>Bản mặt cầu (Deck Slab)</t>
        </is>
      </c>
      <c r="C790" s="7" t="inlineStr">
        <is>
          <t>Lưới thép BMC đổ bù</t>
        </is>
      </c>
      <c r="D790" s="19" t="inlineStr">
        <is>
          <t>S1</t>
        </is>
      </c>
      <c r="E790" s="20" t="n">
        <v>14</v>
      </c>
      <c r="F790" s="6" t="inlineStr">
        <is>
          <t>CB400-V</t>
        </is>
      </c>
      <c r="G790" s="7" t="inlineStr">
        <is>
          <t>S01</t>
        </is>
      </c>
      <c r="H790" s="21" t="n">
        <v>39.85</v>
      </c>
      <c r="I790" s="22" t="n">
        <v>84</v>
      </c>
      <c r="J790" s="23" t="n">
        <v>1.21</v>
      </c>
      <c r="K790" s="9">
        <f>ROUND(H790*I790*J790, 2)</f>
        <v/>
      </c>
      <c r="L790" s="24">
        <f>ROUND(K790/1000, 3)</f>
        <v/>
      </c>
      <c r="M790" s="8" t="n"/>
      <c r="N790" s="21">
        <f>ROUND(N789 + IF(AND(E790&lt;=10, F790&lt;&gt;"ASTM A416"), L790, 0), 3)</f>
        <v/>
      </c>
      <c r="O790" s="21">
        <f>ROUND(O789 + IF(AND(E790&gt;10, E790&lt;=18, F790&lt;&gt;"ASTM A416"), L790, 0), 3)</f>
        <v/>
      </c>
      <c r="P790" s="21">
        <f>ROUND(P789 + IF(AND(E790&gt;18, F790&lt;&gt;"ASTM A416"), L790, 0), 3)</f>
        <v/>
      </c>
      <c r="Q790" s="21">
        <f>ROUND(Q789 + IF(F790="ASTM A416", L790, 0), 3)</f>
        <v/>
      </c>
      <c r="R790" s="11">
        <f>IF(INT(N790/20)&gt;INT(N789/20), "Lần " &amp; INT(N790/20), "")</f>
        <v/>
      </c>
      <c r="S790" s="12">
        <f>IF(INT(O790/20)&gt;INT(O789/20), "Lần " &amp; INT(O790/20), "")</f>
        <v/>
      </c>
      <c r="T790" s="11">
        <f>IF(INT(P790/20)&gt;INT(P789/20), "Lần " &amp; INT(P790/20), "")</f>
        <v/>
      </c>
      <c r="U790" s="25">
        <f>IF(INT(Q790/20)&gt;INT(Q789/20), "Lần " &amp; INT(Q790/20), "")</f>
        <v/>
      </c>
      <c r="V790" s="6" t="inlineStr"/>
      <c r="W790" s="6" t="inlineStr">
        <is>
          <t>ĐẠT TCVN 1651:2018</t>
        </is>
      </c>
    </row>
    <row r="791" ht="19" customHeight="1">
      <c r="A791" s="6" t="n">
        <v>755</v>
      </c>
      <c r="B791" s="7" t="inlineStr">
        <is>
          <t>Bản mặt cầu (Deck Slab)</t>
        </is>
      </c>
      <c r="C791" s="7" t="inlineStr">
        <is>
          <t>Lưới thép BMC đổ bù</t>
        </is>
      </c>
      <c r="D791" s="19" t="inlineStr">
        <is>
          <t>S1a</t>
        </is>
      </c>
      <c r="E791" s="20" t="n">
        <v>14</v>
      </c>
      <c r="F791" s="6" t="inlineStr">
        <is>
          <t>CB400-V</t>
        </is>
      </c>
      <c r="G791" s="7" t="inlineStr">
        <is>
          <t>S01</t>
        </is>
      </c>
      <c r="H791" s="21" t="n">
        <v>39.29</v>
      </c>
      <c r="I791" s="22" t="n">
        <v>84</v>
      </c>
      <c r="J791" s="23" t="n">
        <v>1.21</v>
      </c>
      <c r="K791" s="9">
        <f>ROUND(H791*I791*J791, 2)</f>
        <v/>
      </c>
      <c r="L791" s="24">
        <f>ROUND(K791/1000, 3)</f>
        <v/>
      </c>
      <c r="M791" s="8" t="n"/>
      <c r="N791" s="21">
        <f>ROUND(N790 + IF(AND(E791&lt;=10, F791&lt;&gt;"ASTM A416"), L791, 0), 3)</f>
        <v/>
      </c>
      <c r="O791" s="21">
        <f>ROUND(O790 + IF(AND(E791&gt;10, E791&lt;=18, F791&lt;&gt;"ASTM A416"), L791, 0), 3)</f>
        <v/>
      </c>
      <c r="P791" s="21">
        <f>ROUND(P790 + IF(AND(E791&gt;18, F791&lt;&gt;"ASTM A416"), L791, 0), 3)</f>
        <v/>
      </c>
      <c r="Q791" s="21">
        <f>ROUND(Q790 + IF(F791="ASTM A416", L791, 0), 3)</f>
        <v/>
      </c>
      <c r="R791" s="11">
        <f>IF(INT(N791/20)&gt;INT(N790/20), "Lần " &amp; INT(N791/20), "")</f>
        <v/>
      </c>
      <c r="S791" s="12">
        <f>IF(INT(O791/20)&gt;INT(O790/20), "Lần " &amp; INT(O791/20), "")</f>
        <v/>
      </c>
      <c r="T791" s="11">
        <f>IF(INT(P791/20)&gt;INT(P790/20), "Lần " &amp; INT(P791/20), "")</f>
        <v/>
      </c>
      <c r="U791" s="25">
        <f>IF(INT(Q791/20)&gt;INT(Q790/20), "Lần " &amp; INT(Q791/20), "")</f>
        <v/>
      </c>
      <c r="V791" s="6" t="inlineStr"/>
      <c r="W791" s="6" t="inlineStr">
        <is>
          <t>ĐẠT TCVN 1651:2018</t>
        </is>
      </c>
    </row>
    <row r="792" ht="19" customHeight="1">
      <c r="A792" s="6" t="n">
        <v>756</v>
      </c>
      <c r="B792" s="7" t="inlineStr">
        <is>
          <t>Bản mặt cầu (Deck Slab)</t>
        </is>
      </c>
      <c r="C792" s="7" t="inlineStr">
        <is>
          <t>Lưới thép BMC đổ bù</t>
        </is>
      </c>
      <c r="D792" s="19" t="inlineStr">
        <is>
          <t>S2</t>
        </is>
      </c>
      <c r="E792" s="20" t="n">
        <v>18</v>
      </c>
      <c r="F792" s="6" t="inlineStr">
        <is>
          <t>CB400-V</t>
        </is>
      </c>
      <c r="G792" s="7" t="inlineStr">
        <is>
          <t>S01</t>
        </is>
      </c>
      <c r="H792" s="21" t="n">
        <v>13.135</v>
      </c>
      <c r="I792" s="22" t="n">
        <v>490</v>
      </c>
      <c r="J792" s="23" t="n">
        <v>2</v>
      </c>
      <c r="K792" s="9">
        <f>ROUND(H792*I792*J792, 2)</f>
        <v/>
      </c>
      <c r="L792" s="24">
        <f>ROUND(K792/1000, 3)</f>
        <v/>
      </c>
      <c r="M792" s="8" t="n"/>
      <c r="N792" s="21">
        <f>ROUND(N791 + IF(AND(E792&lt;=10, F792&lt;&gt;"ASTM A416"), L792, 0), 3)</f>
        <v/>
      </c>
      <c r="O792" s="21">
        <f>ROUND(O791 + IF(AND(E792&gt;10, E792&lt;=18, F792&lt;&gt;"ASTM A416"), L792, 0), 3)</f>
        <v/>
      </c>
      <c r="P792" s="21">
        <f>ROUND(P791 + IF(AND(E792&gt;18, F792&lt;&gt;"ASTM A416"), L792, 0), 3)</f>
        <v/>
      </c>
      <c r="Q792" s="21">
        <f>ROUND(Q791 + IF(F792="ASTM A416", L792, 0), 3)</f>
        <v/>
      </c>
      <c r="R792" s="11">
        <f>IF(INT(N792/20)&gt;INT(N791/20), "Lần " &amp; INT(N792/20), "")</f>
        <v/>
      </c>
      <c r="S792" s="12">
        <f>IF(INT(O792/20)&gt;INT(O791/20), "Lần " &amp; INT(O792/20), "")</f>
        <v/>
      </c>
      <c r="T792" s="11">
        <f>IF(INT(P792/20)&gt;INT(P791/20), "Lần " &amp; INT(P792/20), "")</f>
        <v/>
      </c>
      <c r="U792" s="25">
        <f>IF(INT(Q792/20)&gt;INT(Q791/20), "Lần " &amp; INT(Q792/20), "")</f>
        <v/>
      </c>
      <c r="V792" s="6" t="inlineStr"/>
      <c r="W792" s="6" t="inlineStr">
        <is>
          <t>ĐẠT TCVN 1651:2018</t>
        </is>
      </c>
    </row>
    <row r="793" ht="19" customHeight="1">
      <c r="A793" s="6" t="n">
        <v>757</v>
      </c>
      <c r="B793" s="7" t="inlineStr">
        <is>
          <t>Bản mặt cầu (Deck Slab)</t>
        </is>
      </c>
      <c r="C793" s="7" t="inlineStr">
        <is>
          <t>Lưới thép BMC đổ bù</t>
        </is>
      </c>
      <c r="D793" s="19" t="inlineStr">
        <is>
          <t>S3</t>
        </is>
      </c>
      <c r="E793" s="20" t="n">
        <v>10</v>
      </c>
      <c r="F793" s="6" t="inlineStr">
        <is>
          <t>CB240-T</t>
        </is>
      </c>
      <c r="G793" s="7" t="inlineStr">
        <is>
          <t>S01</t>
        </is>
      </c>
      <c r="H793" s="21" t="n">
        <v>0.33</v>
      </c>
      <c r="I793" s="22" t="n">
        <v>2420</v>
      </c>
      <c r="J793" s="23" t="n">
        <v>0.617</v>
      </c>
      <c r="K793" s="9">
        <f>ROUND(H793*I793*J793, 2)</f>
        <v/>
      </c>
      <c r="L793" s="24">
        <f>ROUND(K793/1000, 3)</f>
        <v/>
      </c>
      <c r="M793" s="8" t="n"/>
      <c r="N793" s="21">
        <f>ROUND(N792 + IF(AND(E793&lt;=10, F793&lt;&gt;"ASTM A416"), L793, 0), 3)</f>
        <v/>
      </c>
      <c r="O793" s="21">
        <f>ROUND(O792 + IF(AND(E793&gt;10, E793&lt;=18, F793&lt;&gt;"ASTM A416"), L793, 0), 3)</f>
        <v/>
      </c>
      <c r="P793" s="21">
        <f>ROUND(P792 + IF(AND(E793&gt;18, F793&lt;&gt;"ASTM A416"), L793, 0), 3)</f>
        <v/>
      </c>
      <c r="Q793" s="21">
        <f>ROUND(Q792 + IF(F793="ASTM A416", L793, 0), 3)</f>
        <v/>
      </c>
      <c r="R793" s="11">
        <f>IF(INT(N793/20)&gt;INT(N792/20), "Lần " &amp; INT(N793/20), "")</f>
        <v/>
      </c>
      <c r="S793" s="12">
        <f>IF(INT(O793/20)&gt;INT(O792/20), "Lần " &amp; INT(O793/20), "")</f>
        <v/>
      </c>
      <c r="T793" s="11">
        <f>IF(INT(P793/20)&gt;INT(P792/20), "Lần " &amp; INT(P793/20), "")</f>
        <v/>
      </c>
      <c r="U793" s="25">
        <f>IF(INT(Q793/20)&gt;INT(Q792/20), "Lần " &amp; INT(Q793/20), "")</f>
        <v/>
      </c>
      <c r="V793" s="6" t="inlineStr"/>
      <c r="W793" s="6" t="inlineStr">
        <is>
          <t>ĐẠT TCVN 1651:2018</t>
        </is>
      </c>
    </row>
    <row r="794" ht="19" customHeight="1">
      <c r="A794" s="6" t="n">
        <v>758</v>
      </c>
      <c r="B794" s="7" t="inlineStr">
        <is>
          <t>Bản mặt cầu (Deck Slab)</t>
        </is>
      </c>
      <c r="C794" s="7" t="inlineStr">
        <is>
          <t>Lưới thép BMC đổ bù</t>
        </is>
      </c>
      <c r="D794" s="19" t="inlineStr">
        <is>
          <t>S4</t>
        </is>
      </c>
      <c r="E794" s="20" t="n">
        <v>18</v>
      </c>
      <c r="F794" s="6" t="inlineStr">
        <is>
          <t>CB400-V</t>
        </is>
      </c>
      <c r="G794" s="7" t="inlineStr">
        <is>
          <t>S01</t>
        </is>
      </c>
      <c r="H794" s="21" t="n">
        <v>2.1</v>
      </c>
      <c r="I794" s="22" t="n">
        <v>980</v>
      </c>
      <c r="J794" s="23" t="n">
        <v>2</v>
      </c>
      <c r="K794" s="9">
        <f>ROUND(H794*I794*J794, 2)</f>
        <v/>
      </c>
      <c r="L794" s="24">
        <f>ROUND(K794/1000, 3)</f>
        <v/>
      </c>
      <c r="M794" s="8" t="n"/>
      <c r="N794" s="21">
        <f>ROUND(N793 + IF(AND(E794&lt;=10, F794&lt;&gt;"ASTM A416"), L794, 0), 3)</f>
        <v/>
      </c>
      <c r="O794" s="21">
        <f>ROUND(O793 + IF(AND(E794&gt;10, E794&lt;=18, F794&lt;&gt;"ASTM A416"), L794, 0), 3)</f>
        <v/>
      </c>
      <c r="P794" s="21">
        <f>ROUND(P793 + IF(AND(E794&gt;18, F794&lt;&gt;"ASTM A416"), L794, 0), 3)</f>
        <v/>
      </c>
      <c r="Q794" s="21">
        <f>ROUND(Q793 + IF(F794="ASTM A416", L794, 0), 3)</f>
        <v/>
      </c>
      <c r="R794" s="11">
        <f>IF(INT(N794/20)&gt;INT(N793/20), "Lần " &amp; INT(N794/20), "")</f>
        <v/>
      </c>
      <c r="S794" s="12">
        <f>IF(INT(O794/20)&gt;INT(O793/20), "Lần " &amp; INT(O794/20), "")</f>
        <v/>
      </c>
      <c r="T794" s="11">
        <f>IF(INT(P794/20)&gt;INT(P793/20), "Lần " &amp; INT(P794/20), "")</f>
        <v/>
      </c>
      <c r="U794" s="25">
        <f>IF(INT(Q794/20)&gt;INT(Q793/20), "Lần " &amp; INT(Q794/20), "")</f>
        <v/>
      </c>
      <c r="V794" s="6" t="inlineStr"/>
      <c r="W794" s="6" t="inlineStr">
        <is>
          <t>ĐẠT TCVN 1651:2018</t>
        </is>
      </c>
    </row>
    <row r="795" ht="19" customHeight="1">
      <c r="A795" s="6" t="n">
        <v>759</v>
      </c>
      <c r="B795" s="7" t="inlineStr">
        <is>
          <t>Bản mặt cầu (Deck Slab)</t>
        </is>
      </c>
      <c r="C795" s="7" t="inlineStr">
        <is>
          <t>Lưới thép BMC đổ bù</t>
        </is>
      </c>
      <c r="D795" s="19" t="inlineStr">
        <is>
          <t>DR1</t>
        </is>
      </c>
      <c r="E795" s="20" t="n">
        <v>14</v>
      </c>
      <c r="F795" s="6" t="inlineStr">
        <is>
          <t>CB400-V</t>
        </is>
      </c>
      <c r="G795" s="7" t="inlineStr">
        <is>
          <t>S01</t>
        </is>
      </c>
      <c r="H795" s="21" t="n">
        <v>0.6</v>
      </c>
      <c r="I795" s="22" t="n">
        <v>64</v>
      </c>
      <c r="J795" s="23" t="n">
        <v>1.21</v>
      </c>
      <c r="K795" s="9">
        <f>ROUND(H795*I795*J795, 2)</f>
        <v/>
      </c>
      <c r="L795" s="24">
        <f>ROUND(K795/1000, 3)</f>
        <v/>
      </c>
      <c r="M795" s="8" t="n"/>
      <c r="N795" s="21">
        <f>ROUND(N794 + IF(AND(E795&lt;=10, F795&lt;&gt;"ASTM A416"), L795, 0), 3)</f>
        <v/>
      </c>
      <c r="O795" s="21">
        <f>ROUND(O794 + IF(AND(E795&gt;10, E795&lt;=18, F795&lt;&gt;"ASTM A416"), L795, 0), 3)</f>
        <v/>
      </c>
      <c r="P795" s="21">
        <f>ROUND(P794 + IF(AND(E795&gt;18, F795&lt;&gt;"ASTM A416"), L795, 0), 3)</f>
        <v/>
      </c>
      <c r="Q795" s="21">
        <f>ROUND(Q794 + IF(F795="ASTM A416", L795, 0), 3)</f>
        <v/>
      </c>
      <c r="R795" s="11">
        <f>IF(INT(N795/20)&gt;INT(N794/20), "Lần " &amp; INT(N795/20), "")</f>
        <v/>
      </c>
      <c r="S795" s="12">
        <f>IF(INT(O795/20)&gt;INT(O794/20), "Lần " &amp; INT(O795/20), "")</f>
        <v/>
      </c>
      <c r="T795" s="11">
        <f>IF(INT(P795/20)&gt;INT(P794/20), "Lần " &amp; INT(P795/20), "")</f>
        <v/>
      </c>
      <c r="U795" s="25">
        <f>IF(INT(Q795/20)&gt;INT(Q794/20), "Lần " &amp; INT(Q795/20), "")</f>
        <v/>
      </c>
      <c r="V795" s="6" t="inlineStr"/>
      <c r="W795" s="6" t="inlineStr">
        <is>
          <t>ĐẠT TCVN 1651:2018</t>
        </is>
      </c>
    </row>
    <row r="796" ht="19" customHeight="1">
      <c r="A796" s="6" t="n">
        <v>760</v>
      </c>
      <c r="B796" s="7" t="inlineStr">
        <is>
          <t>Bản mặt cầu (Deck Slab)</t>
        </is>
      </c>
      <c r="C796" s="7" t="inlineStr">
        <is>
          <t>Lưới thép BMC đổ bù</t>
        </is>
      </c>
      <c r="D796" s="19" t="inlineStr">
        <is>
          <t>DR2</t>
        </is>
      </c>
      <c r="E796" s="20" t="n">
        <v>14</v>
      </c>
      <c r="F796" s="6" t="inlineStr">
        <is>
          <t>CB400-V</t>
        </is>
      </c>
      <c r="G796" s="7" t="inlineStr">
        <is>
          <t>S01</t>
        </is>
      </c>
      <c r="H796" s="21" t="n">
        <v>1.3</v>
      </c>
      <c r="I796" s="22" t="n">
        <v>32</v>
      </c>
      <c r="J796" s="23" t="n">
        <v>1.21</v>
      </c>
      <c r="K796" s="9">
        <f>ROUND(H796*I796*J796, 2)</f>
        <v/>
      </c>
      <c r="L796" s="24">
        <f>ROUND(K796/1000, 3)</f>
        <v/>
      </c>
      <c r="M796" s="8" t="n"/>
      <c r="N796" s="21">
        <f>ROUND(N795 + IF(AND(E796&lt;=10, F796&lt;&gt;"ASTM A416"), L796, 0), 3)</f>
        <v/>
      </c>
      <c r="O796" s="21">
        <f>ROUND(O795 + IF(AND(E796&gt;10, E796&lt;=18, F796&lt;&gt;"ASTM A416"), L796, 0), 3)</f>
        <v/>
      </c>
      <c r="P796" s="21">
        <f>ROUND(P795 + IF(AND(E796&gt;18, F796&lt;&gt;"ASTM A416"), L796, 0), 3)</f>
        <v/>
      </c>
      <c r="Q796" s="21">
        <f>ROUND(Q795 + IF(F796="ASTM A416", L796, 0), 3)</f>
        <v/>
      </c>
      <c r="R796" s="11">
        <f>IF(INT(N796/20)&gt;INT(N795/20), "Lần " &amp; INT(N796/20), "")</f>
        <v/>
      </c>
      <c r="S796" s="12">
        <f>IF(INT(O796/20)&gt;INT(O795/20), "Lần " &amp; INT(O796/20), "")</f>
        <v/>
      </c>
      <c r="T796" s="11">
        <f>IF(INT(P796/20)&gt;INT(P795/20), "Lần " &amp; INT(P796/20), "")</f>
        <v/>
      </c>
      <c r="U796" s="25">
        <f>IF(INT(Q796/20)&gt;INT(Q795/20), "Lần " &amp; INT(Q796/20), "")</f>
        <v/>
      </c>
      <c r="V796" s="6" t="inlineStr"/>
      <c r="W796" s="6" t="inlineStr">
        <is>
          <t>ĐẠT TCVN 1651:2018</t>
        </is>
      </c>
    </row>
    <row r="797" ht="19" customHeight="1">
      <c r="A797" s="6" t="n">
        <v>761</v>
      </c>
      <c r="B797" s="7" t="inlineStr">
        <is>
          <t>Bản mặt cầu (Deck Slab)</t>
        </is>
      </c>
      <c r="C797" s="7" t="inlineStr">
        <is>
          <t>Lưới thép BMC đổ bù</t>
        </is>
      </c>
      <c r="D797" s="19" t="inlineStr">
        <is>
          <t>DR3</t>
        </is>
      </c>
      <c r="E797" s="20" t="n">
        <v>14</v>
      </c>
      <c r="F797" s="6" t="inlineStr">
        <is>
          <t>CB400-V</t>
        </is>
      </c>
      <c r="G797" s="7" t="inlineStr">
        <is>
          <t>S01</t>
        </is>
      </c>
      <c r="H797" s="21" t="n">
        <v>0.9</v>
      </c>
      <c r="I797" s="22" t="n">
        <v>64</v>
      </c>
      <c r="J797" s="23" t="n">
        <v>1.21</v>
      </c>
      <c r="K797" s="9">
        <f>ROUND(H797*I797*J797, 2)</f>
        <v/>
      </c>
      <c r="L797" s="24">
        <f>ROUND(K797/1000, 3)</f>
        <v/>
      </c>
      <c r="M797" s="8" t="n"/>
      <c r="N797" s="21">
        <f>ROUND(N796 + IF(AND(E797&lt;=10, F797&lt;&gt;"ASTM A416"), L797, 0), 3)</f>
        <v/>
      </c>
      <c r="O797" s="21">
        <f>ROUND(O796 + IF(AND(E797&gt;10, E797&lt;=18, F797&lt;&gt;"ASTM A416"), L797, 0), 3)</f>
        <v/>
      </c>
      <c r="P797" s="21">
        <f>ROUND(P796 + IF(AND(E797&gt;18, F797&lt;&gt;"ASTM A416"), L797, 0), 3)</f>
        <v/>
      </c>
      <c r="Q797" s="21">
        <f>ROUND(Q796 + IF(F797="ASTM A416", L797, 0), 3)</f>
        <v/>
      </c>
      <c r="R797" s="11">
        <f>IF(INT(N797/20)&gt;INT(N796/20), "Lần " &amp; INT(N797/20), "")</f>
        <v/>
      </c>
      <c r="S797" s="12">
        <f>IF(INT(O797/20)&gt;INT(O796/20), "Lần " &amp; INT(O797/20), "")</f>
        <v/>
      </c>
      <c r="T797" s="11">
        <f>IF(INT(P797/20)&gt;INT(P796/20), "Lần " &amp; INT(P797/20), "")</f>
        <v/>
      </c>
      <c r="U797" s="25">
        <f>IF(INT(Q797/20)&gt;INT(Q796/20), "Lần " &amp; INT(Q797/20), "")</f>
        <v/>
      </c>
      <c r="V797" s="6" t="inlineStr"/>
      <c r="W797" s="6" t="inlineStr">
        <is>
          <t>ĐẠT TCVN 1651:2018</t>
        </is>
      </c>
    </row>
    <row r="798" ht="19" customHeight="1">
      <c r="A798" s="6" t="n">
        <v>762</v>
      </c>
      <c r="B798" s="7" t="inlineStr">
        <is>
          <t>Bản mặt cầu (Deck Slab)</t>
        </is>
      </c>
      <c r="C798" s="7" t="inlineStr">
        <is>
          <t>Lưới thép BMC đổ bù</t>
        </is>
      </c>
      <c r="D798" s="19" t="inlineStr">
        <is>
          <t>S1</t>
        </is>
      </c>
      <c r="E798" s="20" t="n">
        <v>14</v>
      </c>
      <c r="F798" s="6" t="inlineStr">
        <is>
          <t>CB400-V</t>
        </is>
      </c>
      <c r="G798" s="7" t="inlineStr">
        <is>
          <t>S01</t>
        </is>
      </c>
      <c r="H798" s="21" t="n">
        <v>39.36</v>
      </c>
      <c r="I798" s="22" t="n">
        <v>168</v>
      </c>
      <c r="J798" s="23" t="n">
        <v>1.21</v>
      </c>
      <c r="K798" s="9">
        <f>ROUND(H798*I798*J798, 2)</f>
        <v/>
      </c>
      <c r="L798" s="24">
        <f>ROUND(K798/1000, 3)</f>
        <v/>
      </c>
      <c r="M798" s="8" t="n"/>
      <c r="N798" s="21">
        <f>ROUND(N797 + IF(AND(E798&lt;=10, F798&lt;&gt;"ASTM A416"), L798, 0), 3)</f>
        <v/>
      </c>
      <c r="O798" s="21">
        <f>ROUND(O797 + IF(AND(E798&gt;10, E798&lt;=18, F798&lt;&gt;"ASTM A416"), L798, 0), 3)</f>
        <v/>
      </c>
      <c r="P798" s="21">
        <f>ROUND(P797 + IF(AND(E798&gt;18, F798&lt;&gt;"ASTM A416"), L798, 0), 3)</f>
        <v/>
      </c>
      <c r="Q798" s="21">
        <f>ROUND(Q797 + IF(F798="ASTM A416", L798, 0), 3)</f>
        <v/>
      </c>
      <c r="R798" s="11">
        <f>IF(INT(N798/20)&gt;INT(N797/20), "Lần " &amp; INT(N798/20), "")</f>
        <v/>
      </c>
      <c r="S798" s="12">
        <f>IF(INT(O798/20)&gt;INT(O797/20), "Lần " &amp; INT(O798/20), "")</f>
        <v/>
      </c>
      <c r="T798" s="11">
        <f>IF(INT(P798/20)&gt;INT(P797/20), "Lần " &amp; INT(P798/20), "")</f>
        <v/>
      </c>
      <c r="U798" s="25">
        <f>IF(INT(Q798/20)&gt;INT(Q797/20), "Lần " &amp; INT(Q798/20), "")</f>
        <v/>
      </c>
      <c r="V798" s="6" t="inlineStr"/>
      <c r="W798" s="6" t="inlineStr">
        <is>
          <t>ĐẠT TCVN 1651:2018</t>
        </is>
      </c>
    </row>
    <row r="799" ht="19" customHeight="1">
      <c r="A799" s="6" t="n">
        <v>763</v>
      </c>
      <c r="B799" s="7" t="inlineStr">
        <is>
          <t>Bản mặt cầu (Deck Slab)</t>
        </is>
      </c>
      <c r="C799" s="7" t="inlineStr">
        <is>
          <t>Lưới thép BMC đổ bù</t>
        </is>
      </c>
      <c r="D799" s="19" t="inlineStr">
        <is>
          <t>S2</t>
        </is>
      </c>
      <c r="E799" s="20" t="n">
        <v>18</v>
      </c>
      <c r="F799" s="6" t="inlineStr">
        <is>
          <t>CB400-V</t>
        </is>
      </c>
      <c r="G799" s="7" t="inlineStr">
        <is>
          <t>S01</t>
        </is>
      </c>
      <c r="H799" s="21" t="n">
        <v>13.135</v>
      </c>
      <c r="I799" s="22" t="n">
        <v>480</v>
      </c>
      <c r="J799" s="23" t="n">
        <v>2</v>
      </c>
      <c r="K799" s="9">
        <f>ROUND(H799*I799*J799, 2)</f>
        <v/>
      </c>
      <c r="L799" s="24">
        <f>ROUND(K799/1000, 3)</f>
        <v/>
      </c>
      <c r="M799" s="8" t="n"/>
      <c r="N799" s="21">
        <f>ROUND(N798 + IF(AND(E799&lt;=10, F799&lt;&gt;"ASTM A416"), L799, 0), 3)</f>
        <v/>
      </c>
      <c r="O799" s="21">
        <f>ROUND(O798 + IF(AND(E799&gt;10, E799&lt;=18, F799&lt;&gt;"ASTM A416"), L799, 0), 3)</f>
        <v/>
      </c>
      <c r="P799" s="21">
        <f>ROUND(P798 + IF(AND(E799&gt;18, F799&lt;&gt;"ASTM A416"), L799, 0), 3)</f>
        <v/>
      </c>
      <c r="Q799" s="21">
        <f>ROUND(Q798 + IF(F799="ASTM A416", L799, 0), 3)</f>
        <v/>
      </c>
      <c r="R799" s="11">
        <f>IF(INT(N799/20)&gt;INT(N798/20), "Lần " &amp; INT(N799/20), "")</f>
        <v/>
      </c>
      <c r="S799" s="12">
        <f>IF(INT(O799/20)&gt;INT(O798/20), "Lần " &amp; INT(O799/20), "")</f>
        <v/>
      </c>
      <c r="T799" s="11">
        <f>IF(INT(P799/20)&gt;INT(P798/20), "Lần " &amp; INT(P799/20), "")</f>
        <v/>
      </c>
      <c r="U799" s="25">
        <f>IF(INT(Q799/20)&gt;INT(Q798/20), "Lần " &amp; INT(Q799/20), "")</f>
        <v/>
      </c>
      <c r="V799" s="6" t="inlineStr"/>
      <c r="W799" s="6" t="inlineStr">
        <is>
          <t>ĐẠT TCVN 1651:2018</t>
        </is>
      </c>
    </row>
    <row r="800" ht="19" customHeight="1">
      <c r="A800" s="6" t="n">
        <v>764</v>
      </c>
      <c r="B800" s="7" t="inlineStr">
        <is>
          <t>Bản mặt cầu (Deck Slab)</t>
        </is>
      </c>
      <c r="C800" s="7" t="inlineStr">
        <is>
          <t>Lưới thép BMC đổ bù</t>
        </is>
      </c>
      <c r="D800" s="19" t="inlineStr">
        <is>
          <t>S3</t>
        </is>
      </c>
      <c r="E800" s="20" t="n">
        <v>10</v>
      </c>
      <c r="F800" s="6" t="inlineStr">
        <is>
          <t>CB240-T</t>
        </is>
      </c>
      <c r="G800" s="7" t="inlineStr">
        <is>
          <t>S01</t>
        </is>
      </c>
      <c r="H800" s="21" t="n">
        <v>0.33</v>
      </c>
      <c r="I800" s="22" t="n">
        <v>2380</v>
      </c>
      <c r="J800" s="23" t="n">
        <v>0.617</v>
      </c>
      <c r="K800" s="9">
        <f>ROUND(H800*I800*J800, 2)</f>
        <v/>
      </c>
      <c r="L800" s="24">
        <f>ROUND(K800/1000, 3)</f>
        <v/>
      </c>
      <c r="M800" s="8" t="n"/>
      <c r="N800" s="21">
        <f>ROUND(N799 + IF(AND(E800&lt;=10, F800&lt;&gt;"ASTM A416"), L800, 0), 3)</f>
        <v/>
      </c>
      <c r="O800" s="21">
        <f>ROUND(O799 + IF(AND(E800&gt;10, E800&lt;=18, F800&lt;&gt;"ASTM A416"), L800, 0), 3)</f>
        <v/>
      </c>
      <c r="P800" s="21">
        <f>ROUND(P799 + IF(AND(E800&gt;18, F800&lt;&gt;"ASTM A416"), L800, 0), 3)</f>
        <v/>
      </c>
      <c r="Q800" s="21">
        <f>ROUND(Q799 + IF(F800="ASTM A416", L800, 0), 3)</f>
        <v/>
      </c>
      <c r="R800" s="11">
        <f>IF(INT(N800/20)&gt;INT(N799/20), "Lần " &amp; INT(N800/20), "")</f>
        <v/>
      </c>
      <c r="S800" s="12">
        <f>IF(INT(O800/20)&gt;INT(O799/20), "Lần " &amp; INT(O800/20), "")</f>
        <v/>
      </c>
      <c r="T800" s="11">
        <f>IF(INT(P800/20)&gt;INT(P799/20), "Lần " &amp; INT(P800/20), "")</f>
        <v/>
      </c>
      <c r="U800" s="25">
        <f>IF(INT(Q800/20)&gt;INT(Q799/20), "Lần " &amp; INT(Q800/20), "")</f>
        <v/>
      </c>
      <c r="V800" s="6" t="inlineStr"/>
      <c r="W800" s="6" t="inlineStr">
        <is>
          <t>ĐẠT TCVN 1651:2018</t>
        </is>
      </c>
    </row>
    <row r="801" ht="19" customHeight="1">
      <c r="A801" s="6" t="n">
        <v>765</v>
      </c>
      <c r="B801" s="7" t="inlineStr">
        <is>
          <t>Bản mặt cầu (Deck Slab)</t>
        </is>
      </c>
      <c r="C801" s="7" t="inlineStr">
        <is>
          <t>Lưới thép BMC đổ bù</t>
        </is>
      </c>
      <c r="D801" s="19" t="inlineStr">
        <is>
          <t>S4</t>
        </is>
      </c>
      <c r="E801" s="20" t="n">
        <v>18</v>
      </c>
      <c r="F801" s="6" t="inlineStr">
        <is>
          <t>CB400-V</t>
        </is>
      </c>
      <c r="G801" s="7" t="inlineStr">
        <is>
          <t>S01</t>
        </is>
      </c>
      <c r="H801" s="21" t="n">
        <v>2.1</v>
      </c>
      <c r="I801" s="22" t="n">
        <v>960</v>
      </c>
      <c r="J801" s="23" t="n">
        <v>2</v>
      </c>
      <c r="K801" s="9">
        <f>ROUND(H801*I801*J801, 2)</f>
        <v/>
      </c>
      <c r="L801" s="24">
        <f>ROUND(K801/1000, 3)</f>
        <v/>
      </c>
      <c r="M801" s="8" t="n"/>
      <c r="N801" s="21">
        <f>ROUND(N800 + IF(AND(E801&lt;=10, F801&lt;&gt;"ASTM A416"), L801, 0), 3)</f>
        <v/>
      </c>
      <c r="O801" s="21">
        <f>ROUND(O800 + IF(AND(E801&gt;10, E801&lt;=18, F801&lt;&gt;"ASTM A416"), L801, 0), 3)</f>
        <v/>
      </c>
      <c r="P801" s="21">
        <f>ROUND(P800 + IF(AND(E801&gt;18, F801&lt;&gt;"ASTM A416"), L801, 0), 3)</f>
        <v/>
      </c>
      <c r="Q801" s="21">
        <f>ROUND(Q800 + IF(F801="ASTM A416", L801, 0), 3)</f>
        <v/>
      </c>
      <c r="R801" s="11">
        <f>IF(INT(N801/20)&gt;INT(N800/20), "Lần " &amp; INT(N801/20), "")</f>
        <v/>
      </c>
      <c r="S801" s="12">
        <f>IF(INT(O801/20)&gt;INT(O800/20), "Lần " &amp; INT(O801/20), "")</f>
        <v/>
      </c>
      <c r="T801" s="11">
        <f>IF(INT(P801/20)&gt;INT(P800/20), "Lần " &amp; INT(P801/20), "")</f>
        <v/>
      </c>
      <c r="U801" s="25">
        <f>IF(INT(Q801/20)&gt;INT(Q800/20), "Lần " &amp; INT(Q801/20), "")</f>
        <v/>
      </c>
      <c r="V801" s="6" t="inlineStr"/>
      <c r="W801" s="6" t="inlineStr">
        <is>
          <t>ĐẠT TCVN 1651:2018</t>
        </is>
      </c>
    </row>
    <row r="802" ht="19" customHeight="1">
      <c r="A802" s="6" t="n">
        <v>766</v>
      </c>
      <c r="B802" s="7" t="inlineStr">
        <is>
          <t>Bản mặt cầu (Deck Slab)</t>
        </is>
      </c>
      <c r="C802" s="7" t="inlineStr">
        <is>
          <t>Lưới thép BMC đổ bù</t>
        </is>
      </c>
      <c r="D802" s="19" t="inlineStr">
        <is>
          <t>DR1</t>
        </is>
      </c>
      <c r="E802" s="20" t="n">
        <v>14</v>
      </c>
      <c r="F802" s="6" t="inlineStr">
        <is>
          <t>CB400-V</t>
        </is>
      </c>
      <c r="G802" s="7" t="inlineStr">
        <is>
          <t>S01</t>
        </is>
      </c>
      <c r="H802" s="21" t="n">
        <v>0.6</v>
      </c>
      <c r="I802" s="22" t="n">
        <v>64</v>
      </c>
      <c r="J802" s="23" t="n">
        <v>1.21</v>
      </c>
      <c r="K802" s="9">
        <f>ROUND(H802*I802*J802, 2)</f>
        <v/>
      </c>
      <c r="L802" s="24">
        <f>ROUND(K802/1000, 3)</f>
        <v/>
      </c>
      <c r="M802" s="8" t="n"/>
      <c r="N802" s="21">
        <f>ROUND(N801 + IF(AND(E802&lt;=10, F802&lt;&gt;"ASTM A416"), L802, 0), 3)</f>
        <v/>
      </c>
      <c r="O802" s="21">
        <f>ROUND(O801 + IF(AND(E802&gt;10, E802&lt;=18, F802&lt;&gt;"ASTM A416"), L802, 0), 3)</f>
        <v/>
      </c>
      <c r="P802" s="21">
        <f>ROUND(P801 + IF(AND(E802&gt;18, F802&lt;&gt;"ASTM A416"), L802, 0), 3)</f>
        <v/>
      </c>
      <c r="Q802" s="21">
        <f>ROUND(Q801 + IF(F802="ASTM A416", L802, 0), 3)</f>
        <v/>
      </c>
      <c r="R802" s="11">
        <f>IF(INT(N802/20)&gt;INT(N801/20), "Lần " &amp; INT(N802/20), "")</f>
        <v/>
      </c>
      <c r="S802" s="12">
        <f>IF(INT(O802/20)&gt;INT(O801/20), "Lần " &amp; INT(O802/20), "")</f>
        <v/>
      </c>
      <c r="T802" s="11">
        <f>IF(INT(P802/20)&gt;INT(P801/20), "Lần " &amp; INT(P802/20), "")</f>
        <v/>
      </c>
      <c r="U802" s="25">
        <f>IF(INT(Q802/20)&gt;INT(Q801/20), "Lần " &amp; INT(Q802/20), "")</f>
        <v/>
      </c>
      <c r="V802" s="6" t="inlineStr"/>
      <c r="W802" s="6" t="inlineStr">
        <is>
          <t>ĐẠT TCVN 1651:2018</t>
        </is>
      </c>
    </row>
    <row r="803" ht="19" customHeight="1">
      <c r="A803" s="6" t="n">
        <v>767</v>
      </c>
      <c r="B803" s="7" t="inlineStr">
        <is>
          <t>Bản mặt cầu (Deck Slab)</t>
        </is>
      </c>
      <c r="C803" s="7" t="inlineStr">
        <is>
          <t>Lưới thép BMC đổ bù</t>
        </is>
      </c>
      <c r="D803" s="19" t="inlineStr">
        <is>
          <t>DR2</t>
        </is>
      </c>
      <c r="E803" s="20" t="n">
        <v>14</v>
      </c>
      <c r="F803" s="6" t="inlineStr">
        <is>
          <t>CB400-V</t>
        </is>
      </c>
      <c r="G803" s="7" t="inlineStr">
        <is>
          <t>S01</t>
        </is>
      </c>
      <c r="H803" s="21" t="n">
        <v>1.3</v>
      </c>
      <c r="I803" s="22" t="n">
        <v>32</v>
      </c>
      <c r="J803" s="23" t="n">
        <v>1.21</v>
      </c>
      <c r="K803" s="9">
        <f>ROUND(H803*I803*J803, 2)</f>
        <v/>
      </c>
      <c r="L803" s="24">
        <f>ROUND(K803/1000, 3)</f>
        <v/>
      </c>
      <c r="M803" s="8" t="n"/>
      <c r="N803" s="21">
        <f>ROUND(N802 + IF(AND(E803&lt;=10, F803&lt;&gt;"ASTM A416"), L803, 0), 3)</f>
        <v/>
      </c>
      <c r="O803" s="21">
        <f>ROUND(O802 + IF(AND(E803&gt;10, E803&lt;=18, F803&lt;&gt;"ASTM A416"), L803, 0), 3)</f>
        <v/>
      </c>
      <c r="P803" s="21">
        <f>ROUND(P802 + IF(AND(E803&gt;18, F803&lt;&gt;"ASTM A416"), L803, 0), 3)</f>
        <v/>
      </c>
      <c r="Q803" s="21">
        <f>ROUND(Q802 + IF(F803="ASTM A416", L803, 0), 3)</f>
        <v/>
      </c>
      <c r="R803" s="11">
        <f>IF(INT(N803/20)&gt;INT(N802/20), "Lần " &amp; INT(N803/20), "")</f>
        <v/>
      </c>
      <c r="S803" s="12">
        <f>IF(INT(O803/20)&gt;INT(O802/20), "Lần " &amp; INT(O803/20), "")</f>
        <v/>
      </c>
      <c r="T803" s="11">
        <f>IF(INT(P803/20)&gt;INT(P802/20), "Lần " &amp; INT(P803/20), "")</f>
        <v/>
      </c>
      <c r="U803" s="25">
        <f>IF(INT(Q803/20)&gt;INT(Q802/20), "Lần " &amp; INT(Q803/20), "")</f>
        <v/>
      </c>
      <c r="V803" s="6" t="inlineStr"/>
      <c r="W803" s="6" t="inlineStr">
        <is>
          <t>ĐẠT TCVN 1651:2018</t>
        </is>
      </c>
    </row>
    <row r="804" ht="19" customHeight="1">
      <c r="A804" s="6" t="n">
        <v>768</v>
      </c>
      <c r="B804" s="7" t="inlineStr">
        <is>
          <t>Bản mặt cầu (Deck Slab)</t>
        </is>
      </c>
      <c r="C804" s="7" t="inlineStr">
        <is>
          <t>Lưới thép BMC đổ bù</t>
        </is>
      </c>
      <c r="D804" s="19" t="inlineStr">
        <is>
          <t>DR3</t>
        </is>
      </c>
      <c r="E804" s="20" t="n">
        <v>14</v>
      </c>
      <c r="F804" s="6" t="inlineStr">
        <is>
          <t>CB400-V</t>
        </is>
      </c>
      <c r="G804" s="7" t="inlineStr">
        <is>
          <t>S01</t>
        </is>
      </c>
      <c r="H804" s="21" t="n">
        <v>0.9</v>
      </c>
      <c r="I804" s="22" t="n">
        <v>64</v>
      </c>
      <c r="J804" s="23" t="n">
        <v>1.21</v>
      </c>
      <c r="K804" s="9">
        <f>ROUND(H804*I804*J804, 2)</f>
        <v/>
      </c>
      <c r="L804" s="24">
        <f>ROUND(K804/1000, 3)</f>
        <v/>
      </c>
      <c r="M804" s="8" t="n"/>
      <c r="N804" s="21">
        <f>ROUND(N803 + IF(AND(E804&lt;=10, F804&lt;&gt;"ASTM A416"), L804, 0), 3)</f>
        <v/>
      </c>
      <c r="O804" s="21">
        <f>ROUND(O803 + IF(AND(E804&gt;10, E804&lt;=18, F804&lt;&gt;"ASTM A416"), L804, 0), 3)</f>
        <v/>
      </c>
      <c r="P804" s="21">
        <f>ROUND(P803 + IF(AND(E804&gt;18, F804&lt;&gt;"ASTM A416"), L804, 0), 3)</f>
        <v/>
      </c>
      <c r="Q804" s="21">
        <f>ROUND(Q803 + IF(F804="ASTM A416", L804, 0), 3)</f>
        <v/>
      </c>
      <c r="R804" s="11">
        <f>IF(INT(N804/20)&gt;INT(N803/20), "Lần " &amp; INT(N804/20), "")</f>
        <v/>
      </c>
      <c r="S804" s="12">
        <f>IF(INT(O804/20)&gt;INT(O803/20), "Lần " &amp; INT(O804/20), "")</f>
        <v/>
      </c>
      <c r="T804" s="11">
        <f>IF(INT(P804/20)&gt;INT(P803/20), "Lần " &amp; INT(P804/20), "")</f>
        <v/>
      </c>
      <c r="U804" s="25">
        <f>IF(INT(Q804/20)&gt;INT(Q803/20), "Lần " &amp; INT(Q804/20), "")</f>
        <v/>
      </c>
      <c r="V804" s="6" t="inlineStr"/>
      <c r="W804" s="6" t="inlineStr">
        <is>
          <t>ĐẠT TCVN 1651:2018</t>
        </is>
      </c>
    </row>
    <row r="805" ht="19" customHeight="1">
      <c r="A805" s="6" t="n">
        <v>769</v>
      </c>
      <c r="B805" s="7" t="inlineStr">
        <is>
          <t>Bản mặt cầu (Deck Slab)</t>
        </is>
      </c>
      <c r="C805" s="7" t="inlineStr">
        <is>
          <t>Lưới thép BMC đổ bù</t>
        </is>
      </c>
      <c r="D805" s="19" t="inlineStr">
        <is>
          <t>S1</t>
        </is>
      </c>
      <c r="E805" s="20" t="n">
        <v>14</v>
      </c>
      <c r="F805" s="6" t="inlineStr">
        <is>
          <t>CB400-V</t>
        </is>
      </c>
      <c r="G805" s="7" t="inlineStr">
        <is>
          <t>S01</t>
        </is>
      </c>
      <c r="H805" s="21" t="n">
        <v>39.85</v>
      </c>
      <c r="I805" s="22" t="n">
        <v>84</v>
      </c>
      <c r="J805" s="23" t="n">
        <v>1.21</v>
      </c>
      <c r="K805" s="9">
        <f>ROUND(H805*I805*J805, 2)</f>
        <v/>
      </c>
      <c r="L805" s="24">
        <f>ROUND(K805/1000, 3)</f>
        <v/>
      </c>
      <c r="M805" s="8" t="n"/>
      <c r="N805" s="21">
        <f>ROUND(N804 + IF(AND(E805&lt;=10, F805&lt;&gt;"ASTM A416"), L805, 0), 3)</f>
        <v/>
      </c>
      <c r="O805" s="21">
        <f>ROUND(O804 + IF(AND(E805&gt;10, E805&lt;=18, F805&lt;&gt;"ASTM A416"), L805, 0), 3)</f>
        <v/>
      </c>
      <c r="P805" s="21">
        <f>ROUND(P804 + IF(AND(E805&gt;18, F805&lt;&gt;"ASTM A416"), L805, 0), 3)</f>
        <v/>
      </c>
      <c r="Q805" s="21">
        <f>ROUND(Q804 + IF(F805="ASTM A416", L805, 0), 3)</f>
        <v/>
      </c>
      <c r="R805" s="11">
        <f>IF(INT(N805/20)&gt;INT(N804/20), "Lần " &amp; INT(N805/20), "")</f>
        <v/>
      </c>
      <c r="S805" s="12">
        <f>IF(INT(O805/20)&gt;INT(O804/20), "Lần " &amp; INT(O805/20), "")</f>
        <v/>
      </c>
      <c r="T805" s="11">
        <f>IF(INT(P805/20)&gt;INT(P804/20), "Lần " &amp; INT(P805/20), "")</f>
        <v/>
      </c>
      <c r="U805" s="25">
        <f>IF(INT(Q805/20)&gt;INT(Q804/20), "Lần " &amp; INT(Q805/20), "")</f>
        <v/>
      </c>
      <c r="V805" s="6" t="inlineStr"/>
      <c r="W805" s="6" t="inlineStr">
        <is>
          <t>ĐẠT TCVN 1651:2018</t>
        </is>
      </c>
    </row>
    <row r="806" ht="19" customHeight="1">
      <c r="A806" s="6" t="n">
        <v>770</v>
      </c>
      <c r="B806" s="7" t="inlineStr">
        <is>
          <t>Bản mặt cầu (Deck Slab)</t>
        </is>
      </c>
      <c r="C806" s="7" t="inlineStr">
        <is>
          <t>Lưới thép BMC đổ bù</t>
        </is>
      </c>
      <c r="D806" s="19" t="inlineStr">
        <is>
          <t>S1a</t>
        </is>
      </c>
      <c r="E806" s="20" t="n">
        <v>14</v>
      </c>
      <c r="F806" s="6" t="inlineStr">
        <is>
          <t>CB400-V</t>
        </is>
      </c>
      <c r="G806" s="7" t="inlineStr">
        <is>
          <t>S01</t>
        </is>
      </c>
      <c r="H806" s="21" t="n">
        <v>39.29</v>
      </c>
      <c r="I806" s="22" t="n">
        <v>84</v>
      </c>
      <c r="J806" s="23" t="n">
        <v>1.21</v>
      </c>
      <c r="K806" s="9">
        <f>ROUND(H806*I806*J806, 2)</f>
        <v/>
      </c>
      <c r="L806" s="24">
        <f>ROUND(K806/1000, 3)</f>
        <v/>
      </c>
      <c r="M806" s="8" t="n"/>
      <c r="N806" s="21">
        <f>ROUND(N805 + IF(AND(E806&lt;=10, F806&lt;&gt;"ASTM A416"), L806, 0), 3)</f>
        <v/>
      </c>
      <c r="O806" s="21">
        <f>ROUND(O805 + IF(AND(E806&gt;10, E806&lt;=18, F806&lt;&gt;"ASTM A416"), L806, 0), 3)</f>
        <v/>
      </c>
      <c r="P806" s="21">
        <f>ROUND(P805 + IF(AND(E806&gt;18, F806&lt;&gt;"ASTM A416"), L806, 0), 3)</f>
        <v/>
      </c>
      <c r="Q806" s="21">
        <f>ROUND(Q805 + IF(F806="ASTM A416", L806, 0), 3)</f>
        <v/>
      </c>
      <c r="R806" s="11">
        <f>IF(INT(N806/20)&gt;INT(N805/20), "Lần " &amp; INT(N806/20), "")</f>
        <v/>
      </c>
      <c r="S806" s="12">
        <f>IF(INT(O806/20)&gt;INT(O805/20), "Lần " &amp; INT(O806/20), "")</f>
        <v/>
      </c>
      <c r="T806" s="11">
        <f>IF(INT(P806/20)&gt;INT(P805/20), "Lần " &amp; INT(P806/20), "")</f>
        <v/>
      </c>
      <c r="U806" s="25">
        <f>IF(INT(Q806/20)&gt;INT(Q805/20), "Lần " &amp; INT(Q806/20), "")</f>
        <v/>
      </c>
      <c r="V806" s="6" t="inlineStr"/>
      <c r="W806" s="6" t="inlineStr">
        <is>
          <t>ĐẠT TCVN 1651:2018</t>
        </is>
      </c>
    </row>
    <row r="807" ht="19" customHeight="1">
      <c r="A807" s="6" t="n">
        <v>771</v>
      </c>
      <c r="B807" s="7" t="inlineStr">
        <is>
          <t>Bản mặt cầu (Deck Slab)</t>
        </is>
      </c>
      <c r="C807" s="7" t="inlineStr">
        <is>
          <t>Lưới thép BMC đổ bù</t>
        </is>
      </c>
      <c r="D807" s="19" t="inlineStr">
        <is>
          <t>S2</t>
        </is>
      </c>
      <c r="E807" s="20" t="n">
        <v>18</v>
      </c>
      <c r="F807" s="6" t="inlineStr">
        <is>
          <t>CB400-V</t>
        </is>
      </c>
      <c r="G807" s="7" t="inlineStr">
        <is>
          <t>S01</t>
        </is>
      </c>
      <c r="H807" s="21" t="n">
        <v>13.135</v>
      </c>
      <c r="I807" s="22" t="n">
        <v>490</v>
      </c>
      <c r="J807" s="23" t="n">
        <v>2</v>
      </c>
      <c r="K807" s="9">
        <f>ROUND(H807*I807*J807, 2)</f>
        <v/>
      </c>
      <c r="L807" s="24">
        <f>ROUND(K807/1000, 3)</f>
        <v/>
      </c>
      <c r="M807" s="8" t="n"/>
      <c r="N807" s="21">
        <f>ROUND(N806 + IF(AND(E807&lt;=10, F807&lt;&gt;"ASTM A416"), L807, 0), 3)</f>
        <v/>
      </c>
      <c r="O807" s="21">
        <f>ROUND(O806 + IF(AND(E807&gt;10, E807&lt;=18, F807&lt;&gt;"ASTM A416"), L807, 0), 3)</f>
        <v/>
      </c>
      <c r="P807" s="21">
        <f>ROUND(P806 + IF(AND(E807&gt;18, F807&lt;&gt;"ASTM A416"), L807, 0), 3)</f>
        <v/>
      </c>
      <c r="Q807" s="21">
        <f>ROUND(Q806 + IF(F807="ASTM A416", L807, 0), 3)</f>
        <v/>
      </c>
      <c r="R807" s="11">
        <f>IF(INT(N807/20)&gt;INT(N806/20), "Lần " &amp; INT(N807/20), "")</f>
        <v/>
      </c>
      <c r="S807" s="12">
        <f>IF(INT(O807/20)&gt;INT(O806/20), "Lần " &amp; INT(O807/20), "")</f>
        <v/>
      </c>
      <c r="T807" s="11">
        <f>IF(INT(P807/20)&gt;INT(P806/20), "Lần " &amp; INT(P807/20), "")</f>
        <v/>
      </c>
      <c r="U807" s="25">
        <f>IF(INT(Q807/20)&gt;INT(Q806/20), "Lần " &amp; INT(Q807/20), "")</f>
        <v/>
      </c>
      <c r="V807" s="6" t="inlineStr"/>
      <c r="W807" s="6" t="inlineStr">
        <is>
          <t>ĐẠT TCVN 1651:2018</t>
        </is>
      </c>
    </row>
    <row r="808" ht="19" customHeight="1">
      <c r="A808" s="6" t="n">
        <v>772</v>
      </c>
      <c r="B808" s="7" t="inlineStr">
        <is>
          <t>Bản mặt cầu (Deck Slab)</t>
        </is>
      </c>
      <c r="C808" s="7" t="inlineStr">
        <is>
          <t>Lưới thép BMC đổ bù</t>
        </is>
      </c>
      <c r="D808" s="19" t="inlineStr">
        <is>
          <t>S3</t>
        </is>
      </c>
      <c r="E808" s="20" t="n">
        <v>10</v>
      </c>
      <c r="F808" s="6" t="inlineStr">
        <is>
          <t>CB240-T</t>
        </is>
      </c>
      <c r="G808" s="7" t="inlineStr">
        <is>
          <t>S01</t>
        </is>
      </c>
      <c r="H808" s="21" t="n">
        <v>0.33</v>
      </c>
      <c r="I808" s="22" t="n">
        <v>2420</v>
      </c>
      <c r="J808" s="23" t="n">
        <v>0.617</v>
      </c>
      <c r="K808" s="9">
        <f>ROUND(H808*I808*J808, 2)</f>
        <v/>
      </c>
      <c r="L808" s="24">
        <f>ROUND(K808/1000, 3)</f>
        <v/>
      </c>
      <c r="M808" s="8" t="n"/>
      <c r="N808" s="21">
        <f>ROUND(N807 + IF(AND(E808&lt;=10, F808&lt;&gt;"ASTM A416"), L808, 0), 3)</f>
        <v/>
      </c>
      <c r="O808" s="21">
        <f>ROUND(O807 + IF(AND(E808&gt;10, E808&lt;=18, F808&lt;&gt;"ASTM A416"), L808, 0), 3)</f>
        <v/>
      </c>
      <c r="P808" s="21">
        <f>ROUND(P807 + IF(AND(E808&gt;18, F808&lt;&gt;"ASTM A416"), L808, 0), 3)</f>
        <v/>
      </c>
      <c r="Q808" s="21">
        <f>ROUND(Q807 + IF(F808="ASTM A416", L808, 0), 3)</f>
        <v/>
      </c>
      <c r="R808" s="11">
        <f>IF(INT(N808/20)&gt;INT(N807/20), "Lần " &amp; INT(N808/20), "")</f>
        <v/>
      </c>
      <c r="S808" s="12">
        <f>IF(INT(O808/20)&gt;INT(O807/20), "Lần " &amp; INT(O808/20), "")</f>
        <v/>
      </c>
      <c r="T808" s="11">
        <f>IF(INT(P808/20)&gt;INT(P807/20), "Lần " &amp; INT(P808/20), "")</f>
        <v/>
      </c>
      <c r="U808" s="25">
        <f>IF(INT(Q808/20)&gt;INT(Q807/20), "Lần " &amp; INT(Q808/20), "")</f>
        <v/>
      </c>
      <c r="V808" s="6" t="inlineStr"/>
      <c r="W808" s="6" t="inlineStr">
        <is>
          <t>ĐẠT TCVN 1651:2018</t>
        </is>
      </c>
    </row>
    <row r="809" ht="19" customHeight="1">
      <c r="A809" s="6" t="n">
        <v>773</v>
      </c>
      <c r="B809" s="7" t="inlineStr">
        <is>
          <t>Bản mặt cầu (Deck Slab)</t>
        </is>
      </c>
      <c r="C809" s="7" t="inlineStr">
        <is>
          <t>Lưới thép BMC đổ bù</t>
        </is>
      </c>
      <c r="D809" s="19" t="inlineStr">
        <is>
          <t>S4</t>
        </is>
      </c>
      <c r="E809" s="20" t="n">
        <v>18</v>
      </c>
      <c r="F809" s="6" t="inlineStr">
        <is>
          <t>CB400-V</t>
        </is>
      </c>
      <c r="G809" s="7" t="inlineStr">
        <is>
          <t>S01</t>
        </is>
      </c>
      <c r="H809" s="21" t="n">
        <v>2.1</v>
      </c>
      <c r="I809" s="22" t="n">
        <v>980</v>
      </c>
      <c r="J809" s="23" t="n">
        <v>2</v>
      </c>
      <c r="K809" s="9">
        <f>ROUND(H809*I809*J809, 2)</f>
        <v/>
      </c>
      <c r="L809" s="24">
        <f>ROUND(K809/1000, 3)</f>
        <v/>
      </c>
      <c r="M809" s="8" t="n"/>
      <c r="N809" s="21">
        <f>ROUND(N808 + IF(AND(E809&lt;=10, F809&lt;&gt;"ASTM A416"), L809, 0), 3)</f>
        <v/>
      </c>
      <c r="O809" s="21">
        <f>ROUND(O808 + IF(AND(E809&gt;10, E809&lt;=18, F809&lt;&gt;"ASTM A416"), L809, 0), 3)</f>
        <v/>
      </c>
      <c r="P809" s="21">
        <f>ROUND(P808 + IF(AND(E809&gt;18, F809&lt;&gt;"ASTM A416"), L809, 0), 3)</f>
        <v/>
      </c>
      <c r="Q809" s="21">
        <f>ROUND(Q808 + IF(F809="ASTM A416", L809, 0), 3)</f>
        <v/>
      </c>
      <c r="R809" s="11">
        <f>IF(INT(N809/20)&gt;INT(N808/20), "Lần " &amp; INT(N809/20), "")</f>
        <v/>
      </c>
      <c r="S809" s="12">
        <f>IF(INT(O809/20)&gt;INT(O808/20), "Lần " &amp; INT(O809/20), "")</f>
        <v/>
      </c>
      <c r="T809" s="11">
        <f>IF(INT(P809/20)&gt;INT(P808/20), "Lần " &amp; INT(P809/20), "")</f>
        <v/>
      </c>
      <c r="U809" s="25">
        <f>IF(INT(Q809/20)&gt;INT(Q808/20), "Lần " &amp; INT(Q809/20), "")</f>
        <v/>
      </c>
      <c r="V809" s="6" t="inlineStr"/>
      <c r="W809" s="6" t="inlineStr">
        <is>
          <t>ĐẠT TCVN 1651:2018</t>
        </is>
      </c>
    </row>
    <row r="810" ht="19" customHeight="1">
      <c r="A810" s="6" t="n">
        <v>774</v>
      </c>
      <c r="B810" s="7" t="inlineStr">
        <is>
          <t>Bản mặt cầu (Deck Slab)</t>
        </is>
      </c>
      <c r="C810" s="7" t="inlineStr">
        <is>
          <t>Lưới thép BMC đổ bù</t>
        </is>
      </c>
      <c r="D810" s="19" t="inlineStr">
        <is>
          <t>DR1</t>
        </is>
      </c>
      <c r="E810" s="20" t="n">
        <v>14</v>
      </c>
      <c r="F810" s="6" t="inlineStr">
        <is>
          <t>CB400-V</t>
        </is>
      </c>
      <c r="G810" s="7" t="inlineStr">
        <is>
          <t>S01</t>
        </is>
      </c>
      <c r="H810" s="21" t="n">
        <v>0.6</v>
      </c>
      <c r="I810" s="22" t="n">
        <v>64</v>
      </c>
      <c r="J810" s="23" t="n">
        <v>1.21</v>
      </c>
      <c r="K810" s="9">
        <f>ROUND(H810*I810*J810, 2)</f>
        <v/>
      </c>
      <c r="L810" s="24">
        <f>ROUND(K810/1000, 3)</f>
        <v/>
      </c>
      <c r="M810" s="8" t="n"/>
      <c r="N810" s="21">
        <f>ROUND(N809 + IF(AND(E810&lt;=10, F810&lt;&gt;"ASTM A416"), L810, 0), 3)</f>
        <v/>
      </c>
      <c r="O810" s="21">
        <f>ROUND(O809 + IF(AND(E810&gt;10, E810&lt;=18, F810&lt;&gt;"ASTM A416"), L810, 0), 3)</f>
        <v/>
      </c>
      <c r="P810" s="21">
        <f>ROUND(P809 + IF(AND(E810&gt;18, F810&lt;&gt;"ASTM A416"), L810, 0), 3)</f>
        <v/>
      </c>
      <c r="Q810" s="21">
        <f>ROUND(Q809 + IF(F810="ASTM A416", L810, 0), 3)</f>
        <v/>
      </c>
      <c r="R810" s="11">
        <f>IF(INT(N810/20)&gt;INT(N809/20), "Lần " &amp; INT(N810/20), "")</f>
        <v/>
      </c>
      <c r="S810" s="12">
        <f>IF(INT(O810/20)&gt;INT(O809/20), "Lần " &amp; INT(O810/20), "")</f>
        <v/>
      </c>
      <c r="T810" s="11">
        <f>IF(INT(P810/20)&gt;INT(P809/20), "Lần " &amp; INT(P810/20), "")</f>
        <v/>
      </c>
      <c r="U810" s="25">
        <f>IF(INT(Q810/20)&gt;INT(Q809/20), "Lần " &amp; INT(Q810/20), "")</f>
        <v/>
      </c>
      <c r="V810" s="6" t="inlineStr"/>
      <c r="W810" s="6" t="inlineStr">
        <is>
          <t>ĐẠT TCVN 1651:2018</t>
        </is>
      </c>
    </row>
    <row r="811" ht="19" customHeight="1">
      <c r="A811" s="6" t="n">
        <v>775</v>
      </c>
      <c r="B811" s="7" t="inlineStr">
        <is>
          <t>Bản mặt cầu (Deck Slab)</t>
        </is>
      </c>
      <c r="C811" s="7" t="inlineStr">
        <is>
          <t>Lưới thép BMC đổ bù</t>
        </is>
      </c>
      <c r="D811" s="19" t="inlineStr">
        <is>
          <t>DR2</t>
        </is>
      </c>
      <c r="E811" s="20" t="n">
        <v>14</v>
      </c>
      <c r="F811" s="6" t="inlineStr">
        <is>
          <t>CB400-V</t>
        </is>
      </c>
      <c r="G811" s="7" t="inlineStr">
        <is>
          <t>S01</t>
        </is>
      </c>
      <c r="H811" s="21" t="n">
        <v>1.3</v>
      </c>
      <c r="I811" s="22" t="n">
        <v>32</v>
      </c>
      <c r="J811" s="23" t="n">
        <v>1.21</v>
      </c>
      <c r="K811" s="9">
        <f>ROUND(H811*I811*J811, 2)</f>
        <v/>
      </c>
      <c r="L811" s="24">
        <f>ROUND(K811/1000, 3)</f>
        <v/>
      </c>
      <c r="M811" s="8" t="n"/>
      <c r="N811" s="21">
        <f>ROUND(N810 + IF(AND(E811&lt;=10, F811&lt;&gt;"ASTM A416"), L811, 0), 3)</f>
        <v/>
      </c>
      <c r="O811" s="21">
        <f>ROUND(O810 + IF(AND(E811&gt;10, E811&lt;=18, F811&lt;&gt;"ASTM A416"), L811, 0), 3)</f>
        <v/>
      </c>
      <c r="P811" s="21">
        <f>ROUND(P810 + IF(AND(E811&gt;18, F811&lt;&gt;"ASTM A416"), L811, 0), 3)</f>
        <v/>
      </c>
      <c r="Q811" s="21">
        <f>ROUND(Q810 + IF(F811="ASTM A416", L811, 0), 3)</f>
        <v/>
      </c>
      <c r="R811" s="11">
        <f>IF(INT(N811/20)&gt;INT(N810/20), "Lần " &amp; INT(N811/20), "")</f>
        <v/>
      </c>
      <c r="S811" s="12">
        <f>IF(INT(O811/20)&gt;INT(O810/20), "Lần " &amp; INT(O811/20), "")</f>
        <v/>
      </c>
      <c r="T811" s="11">
        <f>IF(INT(P811/20)&gt;INT(P810/20), "Lần " &amp; INT(P811/20), "")</f>
        <v/>
      </c>
      <c r="U811" s="25">
        <f>IF(INT(Q811/20)&gt;INT(Q810/20), "Lần " &amp; INT(Q811/20), "")</f>
        <v/>
      </c>
      <c r="V811" s="6" t="inlineStr"/>
      <c r="W811" s="6" t="inlineStr">
        <is>
          <t>ĐẠT TCVN 1651:2018</t>
        </is>
      </c>
    </row>
    <row r="812" ht="19" customHeight="1">
      <c r="A812" s="6" t="n">
        <v>776</v>
      </c>
      <c r="B812" s="7" t="inlineStr">
        <is>
          <t>Bản mặt cầu (Deck Slab)</t>
        </is>
      </c>
      <c r="C812" s="7" t="inlineStr">
        <is>
          <t>Lưới thép BMC đổ bù</t>
        </is>
      </c>
      <c r="D812" s="19" t="inlineStr">
        <is>
          <t>DR3</t>
        </is>
      </c>
      <c r="E812" s="20" t="n">
        <v>14</v>
      </c>
      <c r="F812" s="6" t="inlineStr">
        <is>
          <t>CB400-V</t>
        </is>
      </c>
      <c r="G812" s="7" t="inlineStr">
        <is>
          <t>S01</t>
        </is>
      </c>
      <c r="H812" s="21" t="n">
        <v>0.9</v>
      </c>
      <c r="I812" s="22" t="n">
        <v>64</v>
      </c>
      <c r="J812" s="23" t="n">
        <v>1.21</v>
      </c>
      <c r="K812" s="9">
        <f>ROUND(H812*I812*J812, 2)</f>
        <v/>
      </c>
      <c r="L812" s="24">
        <f>ROUND(K812/1000, 3)</f>
        <v/>
      </c>
      <c r="M812" s="8" t="n"/>
      <c r="N812" s="21">
        <f>ROUND(N811 + IF(AND(E812&lt;=10, F812&lt;&gt;"ASTM A416"), L812, 0), 3)</f>
        <v/>
      </c>
      <c r="O812" s="21">
        <f>ROUND(O811 + IF(AND(E812&gt;10, E812&lt;=18, F812&lt;&gt;"ASTM A416"), L812, 0), 3)</f>
        <v/>
      </c>
      <c r="P812" s="21">
        <f>ROUND(P811 + IF(AND(E812&gt;18, F812&lt;&gt;"ASTM A416"), L812, 0), 3)</f>
        <v/>
      </c>
      <c r="Q812" s="21">
        <f>ROUND(Q811 + IF(F812="ASTM A416", L812, 0), 3)</f>
        <v/>
      </c>
      <c r="R812" s="11">
        <f>IF(INT(N812/20)&gt;INT(N811/20), "Lần " &amp; INT(N812/20), "")</f>
        <v/>
      </c>
      <c r="S812" s="12">
        <f>IF(INT(O812/20)&gt;INT(O811/20), "Lần " &amp; INT(O812/20), "")</f>
        <v/>
      </c>
      <c r="T812" s="11">
        <f>IF(INT(P812/20)&gt;INT(P811/20), "Lần " &amp; INT(P812/20), "")</f>
        <v/>
      </c>
      <c r="U812" s="25">
        <f>IF(INT(Q812/20)&gt;INT(Q811/20), "Lần " &amp; INT(Q812/20), "")</f>
        <v/>
      </c>
      <c r="V812" s="6" t="inlineStr"/>
      <c r="W812" s="6" t="inlineStr">
        <is>
          <t>ĐẠT TCVN 1651:2018</t>
        </is>
      </c>
    </row>
    <row r="813" ht="19" customHeight="1">
      <c r="A813" s="6" t="n">
        <v>777</v>
      </c>
      <c r="B813" s="7" t="inlineStr">
        <is>
          <t>Bản liên tục nhiệt (Link Slab)</t>
        </is>
      </c>
      <c r="C813" s="7" t="inlineStr">
        <is>
          <t>Liên tục nhiệt trên đỉnh trụ T1, T2</t>
        </is>
      </c>
      <c r="D813" s="19" t="inlineStr">
        <is>
          <t>18</t>
        </is>
      </c>
      <c r="E813" s="20" t="n">
        <v>16</v>
      </c>
      <c r="F813" s="6" t="inlineStr">
        <is>
          <t>CB400-V</t>
        </is>
      </c>
      <c r="G813" s="7" t="inlineStr">
        <is>
          <t>Thanh uốn chữ U</t>
        </is>
      </c>
      <c r="H813" s="21" t="n">
        <v>0.002</v>
      </c>
      <c r="I813" s="22" t="n">
        <v>13135</v>
      </c>
      <c r="J813" s="23" t="n">
        <v>1.578</v>
      </c>
      <c r="K813" s="9">
        <f>ROUND(H813*I813*J813, 2)</f>
        <v/>
      </c>
      <c r="L813" s="24">
        <f>ROUND(K813/1000, 3)</f>
        <v/>
      </c>
      <c r="M813" s="8" t="n"/>
      <c r="N813" s="21">
        <f>ROUND(N812 + IF(AND(E813&lt;=10, F813&lt;&gt;"ASTM A416"), L813, 0), 3)</f>
        <v/>
      </c>
      <c r="O813" s="21">
        <f>ROUND(O812 + IF(AND(E813&gt;10, E813&lt;=18, F813&lt;&gt;"ASTM A416"), L813, 0), 3)</f>
        <v/>
      </c>
      <c r="P813" s="21">
        <f>ROUND(P812 + IF(AND(E813&gt;18, F813&lt;&gt;"ASTM A416"), L813, 0), 3)</f>
        <v/>
      </c>
      <c r="Q813" s="21">
        <f>ROUND(Q812 + IF(F813="ASTM A416", L813, 0), 3)</f>
        <v/>
      </c>
      <c r="R813" s="11">
        <f>IF(INT(N813/20)&gt;INT(N812/20), "Lần " &amp; INT(N813/20), "")</f>
        <v/>
      </c>
      <c r="S813" s="12">
        <f>IF(INT(O813/20)&gt;INT(O812/20), "Lần " &amp; INT(O813/20), "")</f>
        <v/>
      </c>
      <c r="T813" s="11">
        <f>IF(INT(P813/20)&gt;INT(P812/20), "Lần " &amp; INT(P813/20), "")</f>
        <v/>
      </c>
      <c r="U813" s="25">
        <f>IF(INT(Q813/20)&gt;INT(Q812/20), "Lần " &amp; INT(Q813/20), "")</f>
        <v/>
      </c>
      <c r="V813" s="6" t="inlineStr"/>
      <c r="W813" s="6" t="inlineStr">
        <is>
          <t>ĐẠT TCVN 1651:2018</t>
        </is>
      </c>
    </row>
    <row r="814" ht="19" customHeight="1">
      <c r="A814" s="6" t="n">
        <v>778</v>
      </c>
      <c r="B814" s="7" t="inlineStr">
        <is>
          <t>Bản liên tục nhiệt (Link Slab)</t>
        </is>
      </c>
      <c r="C814" s="7" t="inlineStr">
        <is>
          <t>Liên tục nhiệt trên đỉnh trụ T1, T2</t>
        </is>
      </c>
      <c r="D814" s="19" t="inlineStr">
        <is>
          <t>25</t>
        </is>
      </c>
      <c r="E814" s="20" t="n">
        <v>16</v>
      </c>
      <c r="F814" s="6" t="inlineStr">
        <is>
          <t>CB400-V</t>
        </is>
      </c>
      <c r="G814" s="7" t="inlineStr">
        <is>
          <t>Thanh uốn chữ U</t>
        </is>
      </c>
      <c r="H814" s="21" t="n">
        <v>0.004</v>
      </c>
      <c r="I814" s="22" t="n">
        <v>3920</v>
      </c>
      <c r="J814" s="23" t="n">
        <v>1.578</v>
      </c>
      <c r="K814" s="9">
        <f>ROUND(H814*I814*J814, 2)</f>
        <v/>
      </c>
      <c r="L814" s="24">
        <f>ROUND(K814/1000, 3)</f>
        <v/>
      </c>
      <c r="M814" s="8" t="n"/>
      <c r="N814" s="21">
        <f>ROUND(N813 + IF(AND(E814&lt;=10, F814&lt;&gt;"ASTM A416"), L814, 0), 3)</f>
        <v/>
      </c>
      <c r="O814" s="21">
        <f>ROUND(O813 + IF(AND(E814&gt;10, E814&lt;=18, F814&lt;&gt;"ASTM A416"), L814, 0), 3)</f>
        <v/>
      </c>
      <c r="P814" s="21">
        <f>ROUND(P813 + IF(AND(E814&gt;18, F814&lt;&gt;"ASTM A416"), L814, 0), 3)</f>
        <v/>
      </c>
      <c r="Q814" s="21">
        <f>ROUND(Q813 + IF(F814="ASTM A416", L814, 0), 3)</f>
        <v/>
      </c>
      <c r="R814" s="11">
        <f>IF(INT(N814/20)&gt;INT(N813/20), "Lần " &amp; INT(N814/20), "")</f>
        <v/>
      </c>
      <c r="S814" s="12">
        <f>IF(INT(O814/20)&gt;INT(O813/20), "Lần " &amp; INT(O814/20), "")</f>
        <v/>
      </c>
      <c r="T814" s="11">
        <f>IF(INT(P814/20)&gt;INT(P813/20), "Lần " &amp; INT(P814/20), "")</f>
        <v/>
      </c>
      <c r="U814" s="25">
        <f>IF(INT(Q814/20)&gt;INT(Q813/20), "Lần " &amp; INT(Q814/20), "")</f>
        <v/>
      </c>
      <c r="V814" s="6" t="inlineStr"/>
      <c r="W814" s="6" t="inlineStr">
        <is>
          <t>ĐẠT TCVN 1651:2018</t>
        </is>
      </c>
    </row>
    <row r="815" ht="19" customHeight="1">
      <c r="A815" s="6" t="n">
        <v>779</v>
      </c>
      <c r="B815" s="7" t="inlineStr">
        <is>
          <t>Bản liên tục nhiệt (Link Slab)</t>
        </is>
      </c>
      <c r="C815" s="7" t="inlineStr">
        <is>
          <t>Liên tục nhiệt trên đỉnh trụ T1, T2</t>
        </is>
      </c>
      <c r="D815" s="19" t="inlineStr">
        <is>
          <t>10</t>
        </is>
      </c>
      <c r="E815" s="20" t="n">
        <v>16</v>
      </c>
      <c r="F815" s="6" t="inlineStr">
        <is>
          <t>CB400-V</t>
        </is>
      </c>
      <c r="G815" s="7" t="inlineStr">
        <is>
          <t>Thanh uốn chữ U</t>
        </is>
      </c>
      <c r="H815" s="21" t="n">
        <v>0.001</v>
      </c>
      <c r="I815" s="22" t="n">
        <v>320</v>
      </c>
      <c r="J815" s="23" t="n">
        <v>1.578</v>
      </c>
      <c r="K815" s="9">
        <f>ROUND(H815*I815*J815, 2)</f>
        <v/>
      </c>
      <c r="L815" s="24">
        <f>ROUND(K815/1000, 3)</f>
        <v/>
      </c>
      <c r="M815" s="8" t="n"/>
      <c r="N815" s="21">
        <f>ROUND(N814 + IF(AND(E815&lt;=10, F815&lt;&gt;"ASTM A416"), L815, 0), 3)</f>
        <v/>
      </c>
      <c r="O815" s="21">
        <f>ROUND(O814 + IF(AND(E815&gt;10, E815&lt;=18, F815&lt;&gt;"ASTM A416"), L815, 0), 3)</f>
        <v/>
      </c>
      <c r="P815" s="21">
        <f>ROUND(P814 + IF(AND(E815&gt;18, F815&lt;&gt;"ASTM A416"), L815, 0), 3)</f>
        <v/>
      </c>
      <c r="Q815" s="21">
        <f>ROUND(Q814 + IF(F815="ASTM A416", L815, 0), 3)</f>
        <v/>
      </c>
      <c r="R815" s="11">
        <f>IF(INT(N815/20)&gt;INT(N814/20), "Lần " &amp; INT(N815/20), "")</f>
        <v/>
      </c>
      <c r="S815" s="12">
        <f>IF(INT(O815/20)&gt;INT(O814/20), "Lần " &amp; INT(O815/20), "")</f>
        <v/>
      </c>
      <c r="T815" s="11">
        <f>IF(INT(P815/20)&gt;INT(P814/20), "Lần " &amp; INT(P815/20), "")</f>
        <v/>
      </c>
      <c r="U815" s="25">
        <f>IF(INT(Q815/20)&gt;INT(Q814/20), "Lần " &amp; INT(Q815/20), "")</f>
        <v/>
      </c>
      <c r="V815" s="6" t="inlineStr"/>
      <c r="W815" s="6" t="inlineStr">
        <is>
          <t>ĐẠT TCVN 1651:2018</t>
        </is>
      </c>
    </row>
    <row r="816" ht="19" customHeight="1">
      <c r="A816" s="6" t="n">
        <v>780</v>
      </c>
      <c r="B816" s="7" t="inlineStr">
        <is>
          <t>Bản liên tục nhiệt (Link Slab)</t>
        </is>
      </c>
      <c r="C816" s="7" t="inlineStr">
        <is>
          <t>Liên tục nhiệt trên đỉnh trụ T1, T2</t>
        </is>
      </c>
      <c r="D816" s="19" t="inlineStr">
        <is>
          <t>18</t>
        </is>
      </c>
      <c r="E816" s="20" t="n">
        <v>16</v>
      </c>
      <c r="F816" s="6" t="inlineStr">
        <is>
          <t>CB400-V</t>
        </is>
      </c>
      <c r="G816" s="7" t="inlineStr">
        <is>
          <t>Thanh uốn chữ U</t>
        </is>
      </c>
      <c r="H816" s="21" t="n">
        <v>0.002</v>
      </c>
      <c r="I816" s="22" t="n">
        <v>2100</v>
      </c>
      <c r="J816" s="23" t="n">
        <v>1.578</v>
      </c>
      <c r="K816" s="9">
        <f>ROUND(H816*I816*J816, 2)</f>
        <v/>
      </c>
      <c r="L816" s="24">
        <f>ROUND(K816/1000, 3)</f>
        <v/>
      </c>
      <c r="M816" s="8" t="n"/>
      <c r="N816" s="21">
        <f>ROUND(N815 + IF(AND(E816&lt;=10, F816&lt;&gt;"ASTM A416"), L816, 0), 3)</f>
        <v/>
      </c>
      <c r="O816" s="21">
        <f>ROUND(O815 + IF(AND(E816&gt;10, E816&lt;=18, F816&lt;&gt;"ASTM A416"), L816, 0), 3)</f>
        <v/>
      </c>
      <c r="P816" s="21">
        <f>ROUND(P815 + IF(AND(E816&gt;18, F816&lt;&gt;"ASTM A416"), L816, 0), 3)</f>
        <v/>
      </c>
      <c r="Q816" s="21">
        <f>ROUND(Q815 + IF(F816="ASTM A416", L816, 0), 3)</f>
        <v/>
      </c>
      <c r="R816" s="11">
        <f>IF(INT(N816/20)&gt;INT(N815/20), "Lần " &amp; INT(N816/20), "")</f>
        <v/>
      </c>
      <c r="S816" s="12">
        <f>IF(INT(O816/20)&gt;INT(O815/20), "Lần " &amp; INT(O816/20), "")</f>
        <v/>
      </c>
      <c r="T816" s="11">
        <f>IF(INT(P816/20)&gt;INT(P815/20), "Lần " &amp; INT(P816/20), "")</f>
        <v/>
      </c>
      <c r="U816" s="25">
        <f>IF(INT(Q816/20)&gt;INT(Q815/20), "Lần " &amp; INT(Q816/20), "")</f>
        <v/>
      </c>
      <c r="V816" s="6" t="inlineStr"/>
      <c r="W816" s="6" t="inlineStr">
        <is>
          <t>ĐẠT TCVN 1651:2018</t>
        </is>
      </c>
    </row>
    <row r="817" ht="23" customHeight="1">
      <c r="A817" s="17" t="inlineStr">
        <is>
          <t>04. CÔNG TRÌNH PHỤ TRỢ (MISCELLANEOUS)</t>
        </is>
      </c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</row>
    <row r="818" ht="19" customHeight="1">
      <c r="A818" s="6" t="n">
        <v>781</v>
      </c>
      <c r="B818" s="7" t="inlineStr">
        <is>
          <t>Bản quá độ Mố M1</t>
        </is>
      </c>
      <c r="C818" s="7" t="inlineStr">
        <is>
          <t>Bản quá độ tiếp giáp mố</t>
        </is>
      </c>
      <c r="D818" s="19" t="inlineStr">
        <is>
          <t>A1</t>
        </is>
      </c>
      <c r="E818" s="20" t="n">
        <v>16</v>
      </c>
      <c r="F818" s="6" t="inlineStr">
        <is>
          <t>CB400-V</t>
        </is>
      </c>
      <c r="G818" s="7" t="inlineStr">
        <is>
          <t>S06</t>
        </is>
      </c>
      <c r="H818" s="21" t="n">
        <v>6.332</v>
      </c>
      <c r="I818" s="22" t="n">
        <v>57</v>
      </c>
      <c r="J818" s="23" t="n">
        <v>1.58</v>
      </c>
      <c r="K818" s="9">
        <f>ROUND(H818*I818*J818, 2)</f>
        <v/>
      </c>
      <c r="L818" s="24">
        <f>ROUND(K818/1000, 3)</f>
        <v/>
      </c>
      <c r="M818" s="8" t="n"/>
      <c r="N818" s="21">
        <f>ROUND(N816 + IF(AND(E818&lt;=10, F818&lt;&gt;"ASTM A416"), L818, 0), 3)</f>
        <v/>
      </c>
      <c r="O818" s="21">
        <f>ROUND(O816 + IF(AND(E818&gt;10, E818&lt;=18, F818&lt;&gt;"ASTM A416"), L818, 0), 3)</f>
        <v/>
      </c>
      <c r="P818" s="21">
        <f>ROUND(P816 + IF(AND(E818&gt;18, F818&lt;&gt;"ASTM A416"), L818, 0), 3)</f>
        <v/>
      </c>
      <c r="Q818" s="21">
        <f>ROUND(Q816 + IF(F818="ASTM A416", L818, 0), 3)</f>
        <v/>
      </c>
      <c r="R818" s="11">
        <f>IF(INT(N818/20)&gt;INT(N816/20), "Lần " &amp; INT(N818/20), "")</f>
        <v/>
      </c>
      <c r="S818" s="12">
        <f>IF(INT(O818/20)&gt;INT(O816/20), "Lần " &amp; INT(O818/20), "")</f>
        <v/>
      </c>
      <c r="T818" s="11">
        <f>IF(INT(P818/20)&gt;INT(P816/20), "Lần " &amp; INT(P818/20), "")</f>
        <v/>
      </c>
      <c r="U818" s="25">
        <f>IF(INT(Q818/20)&gt;INT(Q816/20), "Lần " &amp; INT(Q818/20), "")</f>
        <v/>
      </c>
      <c r="V818" s="6" t="inlineStr"/>
      <c r="W818" s="6" t="inlineStr">
        <is>
          <t>ĐẠT TCVN 1651:2018</t>
        </is>
      </c>
    </row>
    <row r="819" ht="19" customHeight="1">
      <c r="A819" s="6" t="n">
        <v>782</v>
      </c>
      <c r="B819" s="7" t="inlineStr">
        <is>
          <t>Bản quá độ Mố M1</t>
        </is>
      </c>
      <c r="C819" s="7" t="inlineStr">
        <is>
          <t>Bản quá độ tiếp giáp mố</t>
        </is>
      </c>
      <c r="D819" s="19" t="inlineStr">
        <is>
          <t>A2</t>
        </is>
      </c>
      <c r="E819" s="20" t="n">
        <v>16</v>
      </c>
      <c r="F819" s="6" t="inlineStr">
        <is>
          <t>CB400-V</t>
        </is>
      </c>
      <c r="G819" s="7" t="inlineStr">
        <is>
          <t>S06</t>
        </is>
      </c>
      <c r="H819" s="21" t="n">
        <v>12.447</v>
      </c>
      <c r="I819" s="22" t="n">
        <v>30</v>
      </c>
      <c r="J819" s="23" t="n">
        <v>1.58</v>
      </c>
      <c r="K819" s="9">
        <f>ROUND(H819*I819*J819, 2)</f>
        <v/>
      </c>
      <c r="L819" s="24">
        <f>ROUND(K819/1000, 3)</f>
        <v/>
      </c>
      <c r="M819" s="8" t="n"/>
      <c r="N819" s="21">
        <f>ROUND(N818 + IF(AND(E819&lt;=10, F819&lt;&gt;"ASTM A416"), L819, 0), 3)</f>
        <v/>
      </c>
      <c r="O819" s="21">
        <f>ROUND(O818 + IF(AND(E819&gt;10, E819&lt;=18, F819&lt;&gt;"ASTM A416"), L819, 0), 3)</f>
        <v/>
      </c>
      <c r="P819" s="21">
        <f>ROUND(P818 + IF(AND(E819&gt;18, F819&lt;&gt;"ASTM A416"), L819, 0), 3)</f>
        <v/>
      </c>
      <c r="Q819" s="21">
        <f>ROUND(Q818 + IF(F819="ASTM A416", L819, 0), 3)</f>
        <v/>
      </c>
      <c r="R819" s="11">
        <f>IF(INT(N819/20)&gt;INT(N818/20), "Lần " &amp; INT(N819/20), "")</f>
        <v/>
      </c>
      <c r="S819" s="12">
        <f>IF(INT(O819/20)&gt;INT(O818/20), "Lần " &amp; INT(O819/20), "")</f>
        <v/>
      </c>
      <c r="T819" s="11">
        <f>IF(INT(P819/20)&gt;INT(P818/20), "Lần " &amp; INT(P819/20), "")</f>
        <v/>
      </c>
      <c r="U819" s="25">
        <f>IF(INT(Q819/20)&gt;INT(Q818/20), "Lần " &amp; INT(Q819/20), "")</f>
        <v/>
      </c>
      <c r="V819" s="6" t="inlineStr"/>
      <c r="W819" s="6" t="inlineStr">
        <is>
          <t>ĐẠT TCVN 1651:2018</t>
        </is>
      </c>
    </row>
    <row r="820" ht="19" customHeight="1">
      <c r="A820" s="6" t="n">
        <v>783</v>
      </c>
      <c r="B820" s="7" t="inlineStr">
        <is>
          <t>Bản quá độ Mố M1</t>
        </is>
      </c>
      <c r="C820" s="7" t="inlineStr">
        <is>
          <t>Bản quá độ tiếp giáp mố</t>
        </is>
      </c>
      <c r="D820" s="19" t="inlineStr">
        <is>
          <t>A3</t>
        </is>
      </c>
      <c r="E820" s="20" t="n">
        <v>20</v>
      </c>
      <c r="F820" s="6" t="inlineStr">
        <is>
          <t>CB400-V</t>
        </is>
      </c>
      <c r="G820" s="7" t="inlineStr">
        <is>
          <t>S06</t>
        </is>
      </c>
      <c r="H820" s="21" t="n">
        <v>6.3</v>
      </c>
      <c r="I820" s="22" t="n">
        <v>113</v>
      </c>
      <c r="J820" s="23" t="n">
        <v>2.47</v>
      </c>
      <c r="K820" s="9">
        <f>ROUND(H820*I820*J820, 2)</f>
        <v/>
      </c>
      <c r="L820" s="24">
        <f>ROUND(K820/1000, 3)</f>
        <v/>
      </c>
      <c r="M820" s="8" t="n"/>
      <c r="N820" s="21">
        <f>ROUND(N819 + IF(AND(E820&lt;=10, F820&lt;&gt;"ASTM A416"), L820, 0), 3)</f>
        <v/>
      </c>
      <c r="O820" s="21">
        <f>ROUND(O819 + IF(AND(E820&gt;10, E820&lt;=18, F820&lt;&gt;"ASTM A416"), L820, 0), 3)</f>
        <v/>
      </c>
      <c r="P820" s="21">
        <f>ROUND(P819 + IF(AND(E820&gt;18, F820&lt;&gt;"ASTM A416"), L820, 0), 3)</f>
        <v/>
      </c>
      <c r="Q820" s="21">
        <f>ROUND(Q819 + IF(F820="ASTM A416", L820, 0), 3)</f>
        <v/>
      </c>
      <c r="R820" s="11">
        <f>IF(INT(N820/20)&gt;INT(N819/20), "Lần " &amp; INT(N820/20), "")</f>
        <v/>
      </c>
      <c r="S820" s="12">
        <f>IF(INT(O820/20)&gt;INT(O819/20), "Lần " &amp; INT(O820/20), "")</f>
        <v/>
      </c>
      <c r="T820" s="11">
        <f>IF(INT(P820/20)&gt;INT(P819/20), "Lần " &amp; INT(P820/20), "")</f>
        <v/>
      </c>
      <c r="U820" s="25">
        <f>IF(INT(Q820/20)&gt;INT(Q819/20), "Lần " &amp; INT(Q820/20), "")</f>
        <v/>
      </c>
      <c r="V820" s="6" t="inlineStr"/>
      <c r="W820" s="6" t="inlineStr">
        <is>
          <t>ĐẠT TCVN 1651:2018</t>
        </is>
      </c>
    </row>
    <row r="821" ht="19" customHeight="1">
      <c r="A821" s="6" t="n">
        <v>784</v>
      </c>
      <c r="B821" s="7" t="inlineStr">
        <is>
          <t>Bản quá độ Mố M1</t>
        </is>
      </c>
      <c r="C821" s="7" t="inlineStr">
        <is>
          <t>Bản quá độ tiếp giáp mố</t>
        </is>
      </c>
      <c r="D821" s="19" t="inlineStr">
        <is>
          <t>A4</t>
        </is>
      </c>
      <c r="E821" s="20" t="n">
        <v>16</v>
      </c>
      <c r="F821" s="6" t="inlineStr">
        <is>
          <t>CB400-V</t>
        </is>
      </c>
      <c r="G821" s="7" t="inlineStr">
        <is>
          <t>S06</t>
        </is>
      </c>
      <c r="H821" s="21" t="n">
        <v>12.447</v>
      </c>
      <c r="I821" s="22" t="n">
        <v>30</v>
      </c>
      <c r="J821" s="23" t="n">
        <v>1.58</v>
      </c>
      <c r="K821" s="9">
        <f>ROUND(H821*I821*J821, 2)</f>
        <v/>
      </c>
      <c r="L821" s="24">
        <f>ROUND(K821/1000, 3)</f>
        <v/>
      </c>
      <c r="M821" s="8" t="n"/>
      <c r="N821" s="21">
        <f>ROUND(N820 + IF(AND(E821&lt;=10, F821&lt;&gt;"ASTM A416"), L821, 0), 3)</f>
        <v/>
      </c>
      <c r="O821" s="21">
        <f>ROUND(O820 + IF(AND(E821&gt;10, E821&lt;=18, F821&lt;&gt;"ASTM A416"), L821, 0), 3)</f>
        <v/>
      </c>
      <c r="P821" s="21">
        <f>ROUND(P820 + IF(AND(E821&gt;18, F821&lt;&gt;"ASTM A416"), L821, 0), 3)</f>
        <v/>
      </c>
      <c r="Q821" s="21">
        <f>ROUND(Q820 + IF(F821="ASTM A416", L821, 0), 3)</f>
        <v/>
      </c>
      <c r="R821" s="11">
        <f>IF(INT(N821/20)&gt;INT(N820/20), "Lần " &amp; INT(N821/20), "")</f>
        <v/>
      </c>
      <c r="S821" s="12">
        <f>IF(INT(O821/20)&gt;INT(O820/20), "Lần " &amp; INT(O821/20), "")</f>
        <v/>
      </c>
      <c r="T821" s="11">
        <f>IF(INT(P821/20)&gt;INT(P820/20), "Lần " &amp; INT(P821/20), "")</f>
        <v/>
      </c>
      <c r="U821" s="25">
        <f>IF(INT(Q821/20)&gt;INT(Q820/20), "Lần " &amp; INT(Q821/20), "")</f>
        <v/>
      </c>
      <c r="V821" s="6" t="inlineStr"/>
      <c r="W821" s="6" t="inlineStr">
        <is>
          <t>ĐẠT TCVN 1651:2018</t>
        </is>
      </c>
    </row>
    <row r="822" ht="19" customHeight="1">
      <c r="A822" s="6" t="n">
        <v>785</v>
      </c>
      <c r="B822" s="7" t="inlineStr">
        <is>
          <t>Bản quá độ Mố M1</t>
        </is>
      </c>
      <c r="C822" s="7" t="inlineStr">
        <is>
          <t>Bản quá độ tiếp giáp mố</t>
        </is>
      </c>
      <c r="D822" s="19" t="inlineStr">
        <is>
          <t>A5</t>
        </is>
      </c>
      <c r="E822" s="20" t="n">
        <v>18</v>
      </c>
      <c r="F822" s="6" t="inlineStr">
        <is>
          <t>CB400-V</t>
        </is>
      </c>
      <c r="G822" s="7" t="inlineStr">
        <is>
          <t>S29</t>
        </is>
      </c>
      <c r="H822" s="21" t="n">
        <v>1.629</v>
      </c>
      <c r="I822" s="22" t="n">
        <v>113</v>
      </c>
      <c r="J822" s="23" t="n">
        <v>2</v>
      </c>
      <c r="K822" s="9">
        <f>ROUND(H822*I822*J822, 2)</f>
        <v/>
      </c>
      <c r="L822" s="24">
        <f>ROUND(K822/1000, 3)</f>
        <v/>
      </c>
      <c r="M822" s="8" t="n"/>
      <c r="N822" s="21">
        <f>ROUND(N821 + IF(AND(E822&lt;=10, F822&lt;&gt;"ASTM A416"), L822, 0), 3)</f>
        <v/>
      </c>
      <c r="O822" s="21">
        <f>ROUND(O821 + IF(AND(E822&gt;10, E822&lt;=18, F822&lt;&gt;"ASTM A416"), L822, 0), 3)</f>
        <v/>
      </c>
      <c r="P822" s="21">
        <f>ROUND(P821 + IF(AND(E822&gt;18, F822&lt;&gt;"ASTM A416"), L822, 0), 3)</f>
        <v/>
      </c>
      <c r="Q822" s="21">
        <f>ROUND(Q821 + IF(F822="ASTM A416", L822, 0), 3)</f>
        <v/>
      </c>
      <c r="R822" s="11">
        <f>IF(INT(N822/20)&gt;INT(N821/20), "Lần " &amp; INT(N822/20), "")</f>
        <v/>
      </c>
      <c r="S822" s="12">
        <f>IF(INT(O822/20)&gt;INT(O821/20), "Lần " &amp; INT(O822/20), "")</f>
        <v/>
      </c>
      <c r="T822" s="11">
        <f>IF(INT(P822/20)&gt;INT(P821/20), "Lần " &amp; INT(P822/20), "")</f>
        <v/>
      </c>
      <c r="U822" s="25">
        <f>IF(INT(Q822/20)&gt;INT(Q821/20), "Lần " &amp; INT(Q822/20), "")</f>
        <v/>
      </c>
      <c r="V822" s="6" t="inlineStr"/>
      <c r="W822" s="6" t="inlineStr">
        <is>
          <t>ĐẠT TCVN 1651:2018</t>
        </is>
      </c>
    </row>
    <row r="823" ht="19" customHeight="1">
      <c r="A823" s="6" t="n">
        <v>786</v>
      </c>
      <c r="B823" s="7" t="inlineStr">
        <is>
          <t>Bản quá độ Mố M1</t>
        </is>
      </c>
      <c r="C823" s="7" t="inlineStr">
        <is>
          <t>Bản quá độ tiếp giáp mố</t>
        </is>
      </c>
      <c r="D823" s="19" t="inlineStr">
        <is>
          <t>A6</t>
        </is>
      </c>
      <c r="E823" s="20" t="n">
        <v>12</v>
      </c>
      <c r="F823" s="6" t="inlineStr">
        <is>
          <t>CB400-V</t>
        </is>
      </c>
      <c r="G823" s="7" t="inlineStr">
        <is>
          <t>S06</t>
        </is>
      </c>
      <c r="H823" s="21" t="n">
        <v>0.396</v>
      </c>
      <c r="I823" s="22" t="n">
        <v>222</v>
      </c>
      <c r="J823" s="23" t="n">
        <v>0.888</v>
      </c>
      <c r="K823" s="9">
        <f>ROUND(H823*I823*J823, 2)</f>
        <v/>
      </c>
      <c r="L823" s="24">
        <f>ROUND(K823/1000, 3)</f>
        <v/>
      </c>
      <c r="M823" s="8" t="n"/>
      <c r="N823" s="21">
        <f>ROUND(N822 + IF(AND(E823&lt;=10, F823&lt;&gt;"ASTM A416"), L823, 0), 3)</f>
        <v/>
      </c>
      <c r="O823" s="21">
        <f>ROUND(O822 + IF(AND(E823&gt;10, E823&lt;=18, F823&lt;&gt;"ASTM A416"), L823, 0), 3)</f>
        <v/>
      </c>
      <c r="P823" s="21">
        <f>ROUND(P822 + IF(AND(E823&gt;18, F823&lt;&gt;"ASTM A416"), L823, 0), 3)</f>
        <v/>
      </c>
      <c r="Q823" s="21">
        <f>ROUND(Q822 + IF(F823="ASTM A416", L823, 0), 3)</f>
        <v/>
      </c>
      <c r="R823" s="11">
        <f>IF(INT(N823/20)&gt;INT(N822/20), "Lần " &amp; INT(N823/20), "")</f>
        <v/>
      </c>
      <c r="S823" s="12">
        <f>IF(INT(O823/20)&gt;INT(O822/20), "Lần " &amp; INT(O823/20), "")</f>
        <v/>
      </c>
      <c r="T823" s="11">
        <f>IF(INT(P823/20)&gt;INT(P822/20), "Lần " &amp; INT(P823/20), "")</f>
        <v/>
      </c>
      <c r="U823" s="25">
        <f>IF(INT(Q823/20)&gt;INT(Q822/20), "Lần " &amp; INT(Q823/20), "")</f>
        <v/>
      </c>
      <c r="V823" s="6" t="inlineStr"/>
      <c r="W823" s="6" t="inlineStr">
        <is>
          <t>ĐẠT TCVN 1651:2018</t>
        </is>
      </c>
    </row>
    <row r="824" ht="19" customHeight="1">
      <c r="A824" s="6" t="n">
        <v>787</v>
      </c>
      <c r="B824" s="7" t="inlineStr">
        <is>
          <t>Bản quá độ Mố M1</t>
        </is>
      </c>
      <c r="C824" s="7" t="inlineStr">
        <is>
          <t>Bản quá độ tiếp giáp mố</t>
        </is>
      </c>
      <c r="D824" s="19" t="inlineStr">
        <is>
          <t>A7</t>
        </is>
      </c>
      <c r="E824" s="20" t="n">
        <v>10</v>
      </c>
      <c r="F824" s="6" t="inlineStr">
        <is>
          <t>CB240-T</t>
        </is>
      </c>
      <c r="G824" s="7" t="inlineStr">
        <is>
          <t>S32</t>
        </is>
      </c>
      <c r="H824" s="21" t="n">
        <v>0.676</v>
      </c>
      <c r="I824" s="22" t="n">
        <v>23</v>
      </c>
      <c r="J824" s="23" t="n">
        <v>0.617</v>
      </c>
      <c r="K824" s="9">
        <f>ROUND(H824*I824*J824, 2)</f>
        <v/>
      </c>
      <c r="L824" s="24">
        <f>ROUND(K824/1000, 3)</f>
        <v/>
      </c>
      <c r="M824" s="8" t="n"/>
      <c r="N824" s="21">
        <f>ROUND(N823 + IF(AND(E824&lt;=10, F824&lt;&gt;"ASTM A416"), L824, 0), 3)</f>
        <v/>
      </c>
      <c r="O824" s="21">
        <f>ROUND(O823 + IF(AND(E824&gt;10, E824&lt;=18, F824&lt;&gt;"ASTM A416"), L824, 0), 3)</f>
        <v/>
      </c>
      <c r="P824" s="21">
        <f>ROUND(P823 + IF(AND(E824&gt;18, F824&lt;&gt;"ASTM A416"), L824, 0), 3)</f>
        <v/>
      </c>
      <c r="Q824" s="21">
        <f>ROUND(Q823 + IF(F824="ASTM A416", L824, 0), 3)</f>
        <v/>
      </c>
      <c r="R824" s="11">
        <f>IF(INT(N824/20)&gt;INT(N823/20), "Lần " &amp; INT(N824/20), "")</f>
        <v/>
      </c>
      <c r="S824" s="12">
        <f>IF(INT(O824/20)&gt;INT(O823/20), "Lần " &amp; INT(O824/20), "")</f>
        <v/>
      </c>
      <c r="T824" s="11">
        <f>IF(INT(P824/20)&gt;INT(P823/20), "Lần " &amp; INT(P824/20), "")</f>
        <v/>
      </c>
      <c r="U824" s="25">
        <f>IF(INT(Q824/20)&gt;INT(Q823/20), "Lần " &amp; INT(Q824/20), "")</f>
        <v/>
      </c>
      <c r="V824" s="6" t="inlineStr"/>
      <c r="W824" s="6" t="inlineStr">
        <is>
          <t>ĐẠT TCVN 1651:2018</t>
        </is>
      </c>
    </row>
    <row r="825" ht="19" customHeight="1">
      <c r="A825" s="6" t="n">
        <v>788</v>
      </c>
      <c r="B825" s="7" t="inlineStr">
        <is>
          <t>Bản quá độ Mố M2</t>
        </is>
      </c>
      <c r="C825" s="7" t="inlineStr">
        <is>
          <t>Bản quá độ tiếp giáp mố</t>
        </is>
      </c>
      <c r="D825" s="19" t="inlineStr">
        <is>
          <t>A1</t>
        </is>
      </c>
      <c r="E825" s="20" t="n">
        <v>16</v>
      </c>
      <c r="F825" s="6" t="inlineStr">
        <is>
          <t>CB400-V</t>
        </is>
      </c>
      <c r="G825" s="7" t="inlineStr">
        <is>
          <t>S06</t>
        </is>
      </c>
      <c r="H825" s="21" t="n">
        <v>8.332000000000001</v>
      </c>
      <c r="I825" s="22" t="n">
        <v>57</v>
      </c>
      <c r="J825" s="23" t="n">
        <v>1.58</v>
      </c>
      <c r="K825" s="9">
        <f>ROUND(H825*I825*J825, 2)</f>
        <v/>
      </c>
      <c r="L825" s="24">
        <f>ROUND(K825/1000, 3)</f>
        <v/>
      </c>
      <c r="M825" s="8" t="n"/>
      <c r="N825" s="21">
        <f>ROUND(N824 + IF(AND(E825&lt;=10, F825&lt;&gt;"ASTM A416"), L825, 0), 3)</f>
        <v/>
      </c>
      <c r="O825" s="21">
        <f>ROUND(O824 + IF(AND(E825&gt;10, E825&lt;=18, F825&lt;&gt;"ASTM A416"), L825, 0), 3)</f>
        <v/>
      </c>
      <c r="P825" s="21">
        <f>ROUND(P824 + IF(AND(E825&gt;18, F825&lt;&gt;"ASTM A416"), L825, 0), 3)</f>
        <v/>
      </c>
      <c r="Q825" s="21">
        <f>ROUND(Q824 + IF(F825="ASTM A416", L825, 0), 3)</f>
        <v/>
      </c>
      <c r="R825" s="11">
        <f>IF(INT(N825/20)&gt;INT(N824/20), "Lần " &amp; INT(N825/20), "")</f>
        <v/>
      </c>
      <c r="S825" s="12">
        <f>IF(INT(O825/20)&gt;INT(O824/20), "Lần " &amp; INT(O825/20), "")</f>
        <v/>
      </c>
      <c r="T825" s="11">
        <f>IF(INT(P825/20)&gt;INT(P824/20), "Lần " &amp; INT(P825/20), "")</f>
        <v/>
      </c>
      <c r="U825" s="25">
        <f>IF(INT(Q825/20)&gt;INT(Q824/20), "Lần " &amp; INT(Q825/20), "")</f>
        <v/>
      </c>
      <c r="V825" s="6" t="inlineStr"/>
      <c r="W825" s="6" t="inlineStr">
        <is>
          <t>ĐẠT TCVN 1651:2018</t>
        </is>
      </c>
    </row>
    <row r="826" ht="19" customHeight="1">
      <c r="A826" s="6" t="n">
        <v>789</v>
      </c>
      <c r="B826" s="7" t="inlineStr">
        <is>
          <t>Bản quá độ Mố M2</t>
        </is>
      </c>
      <c r="C826" s="7" t="inlineStr">
        <is>
          <t>Bản quá độ tiếp giáp mố</t>
        </is>
      </c>
      <c r="D826" s="19" t="inlineStr">
        <is>
          <t>A2</t>
        </is>
      </c>
      <c r="E826" s="20" t="n">
        <v>16</v>
      </c>
      <c r="F826" s="6" t="inlineStr">
        <is>
          <t>CB400-V</t>
        </is>
      </c>
      <c r="G826" s="7" t="inlineStr">
        <is>
          <t>S06</t>
        </is>
      </c>
      <c r="H826" s="21" t="n">
        <v>12.447</v>
      </c>
      <c r="I826" s="22" t="n">
        <v>40</v>
      </c>
      <c r="J826" s="23" t="n">
        <v>1.58</v>
      </c>
      <c r="K826" s="9">
        <f>ROUND(H826*I826*J826, 2)</f>
        <v/>
      </c>
      <c r="L826" s="24">
        <f>ROUND(K826/1000, 3)</f>
        <v/>
      </c>
      <c r="M826" s="8" t="n"/>
      <c r="N826" s="21">
        <f>ROUND(N825 + IF(AND(E826&lt;=10, F826&lt;&gt;"ASTM A416"), L826, 0), 3)</f>
        <v/>
      </c>
      <c r="O826" s="21">
        <f>ROUND(O825 + IF(AND(E826&gt;10, E826&lt;=18, F826&lt;&gt;"ASTM A416"), L826, 0), 3)</f>
        <v/>
      </c>
      <c r="P826" s="21">
        <f>ROUND(P825 + IF(AND(E826&gt;18, F826&lt;&gt;"ASTM A416"), L826, 0), 3)</f>
        <v/>
      </c>
      <c r="Q826" s="21">
        <f>ROUND(Q825 + IF(F826="ASTM A416", L826, 0), 3)</f>
        <v/>
      </c>
      <c r="R826" s="11">
        <f>IF(INT(N826/20)&gt;INT(N825/20), "Lần " &amp; INT(N826/20), "")</f>
        <v/>
      </c>
      <c r="S826" s="12">
        <f>IF(INT(O826/20)&gt;INT(O825/20), "Lần " &amp; INT(O826/20), "")</f>
        <v/>
      </c>
      <c r="T826" s="11">
        <f>IF(INT(P826/20)&gt;INT(P825/20), "Lần " &amp; INT(P826/20), "")</f>
        <v/>
      </c>
      <c r="U826" s="25">
        <f>IF(INT(Q826/20)&gt;INT(Q825/20), "Lần " &amp; INT(Q826/20), "")</f>
        <v/>
      </c>
      <c r="V826" s="6" t="inlineStr"/>
      <c r="W826" s="6" t="inlineStr">
        <is>
          <t>ĐẠT TCVN 1651:2018</t>
        </is>
      </c>
    </row>
    <row r="827" ht="19" customHeight="1">
      <c r="A827" s="6" t="n">
        <v>790</v>
      </c>
      <c r="B827" s="7" t="inlineStr">
        <is>
          <t>Bản quá độ Mố M2</t>
        </is>
      </c>
      <c r="C827" s="7" t="inlineStr">
        <is>
          <t>Bản quá độ tiếp giáp mố</t>
        </is>
      </c>
      <c r="D827" s="19" t="inlineStr">
        <is>
          <t>A3</t>
        </is>
      </c>
      <c r="E827" s="20" t="n">
        <v>22</v>
      </c>
      <c r="F827" s="6" t="inlineStr">
        <is>
          <t>CB400-V</t>
        </is>
      </c>
      <c r="G827" s="7" t="inlineStr">
        <is>
          <t>S06</t>
        </is>
      </c>
      <c r="H827" s="21" t="n">
        <v>8.289999999999999</v>
      </c>
      <c r="I827" s="22" t="n">
        <v>113</v>
      </c>
      <c r="J827" s="23" t="n">
        <v>2.98</v>
      </c>
      <c r="K827" s="9">
        <f>ROUND(H827*I827*J827, 2)</f>
        <v/>
      </c>
      <c r="L827" s="24">
        <f>ROUND(K827/1000, 3)</f>
        <v/>
      </c>
      <c r="M827" s="8" t="n"/>
      <c r="N827" s="21">
        <f>ROUND(N826 + IF(AND(E827&lt;=10, F827&lt;&gt;"ASTM A416"), L827, 0), 3)</f>
        <v/>
      </c>
      <c r="O827" s="21">
        <f>ROUND(O826 + IF(AND(E827&gt;10, E827&lt;=18, F827&lt;&gt;"ASTM A416"), L827, 0), 3)</f>
        <v/>
      </c>
      <c r="P827" s="21">
        <f>ROUND(P826 + IF(AND(E827&gt;18, F827&lt;&gt;"ASTM A416"), L827, 0), 3)</f>
        <v/>
      </c>
      <c r="Q827" s="21">
        <f>ROUND(Q826 + IF(F827="ASTM A416", L827, 0), 3)</f>
        <v/>
      </c>
      <c r="R827" s="11">
        <f>IF(INT(N827/20)&gt;INT(N826/20), "Lần " &amp; INT(N827/20), "")</f>
        <v/>
      </c>
      <c r="S827" s="12">
        <f>IF(INT(O827/20)&gt;INT(O826/20), "Lần " &amp; INT(O827/20), "")</f>
        <v/>
      </c>
      <c r="T827" s="11">
        <f>IF(INT(P827/20)&gt;INT(P826/20), "Lần " &amp; INT(P827/20), "")</f>
        <v/>
      </c>
      <c r="U827" s="25">
        <f>IF(INT(Q827/20)&gt;INT(Q826/20), "Lần " &amp; INT(Q827/20), "")</f>
        <v/>
      </c>
      <c r="V827" s="6" t="inlineStr"/>
      <c r="W827" s="6" t="inlineStr">
        <is>
          <t>ĐẠT TCVN 1651:2018</t>
        </is>
      </c>
    </row>
    <row r="828" ht="19" customHeight="1">
      <c r="A828" s="6" t="n">
        <v>791</v>
      </c>
      <c r="B828" s="7" t="inlineStr">
        <is>
          <t>Bản quá độ Mố M2</t>
        </is>
      </c>
      <c r="C828" s="7" t="inlineStr">
        <is>
          <t>Bản quá độ tiếp giáp mố</t>
        </is>
      </c>
      <c r="D828" s="19" t="inlineStr">
        <is>
          <t>A4</t>
        </is>
      </c>
      <c r="E828" s="20" t="n">
        <v>16</v>
      </c>
      <c r="F828" s="6" t="inlineStr">
        <is>
          <t>CB400-V</t>
        </is>
      </c>
      <c r="G828" s="7" t="inlineStr">
        <is>
          <t>S06</t>
        </is>
      </c>
      <c r="H828" s="21" t="n">
        <v>12.447</v>
      </c>
      <c r="I828" s="22" t="n">
        <v>40</v>
      </c>
      <c r="J828" s="23" t="n">
        <v>1.58</v>
      </c>
      <c r="K828" s="9">
        <f>ROUND(H828*I828*J828, 2)</f>
        <v/>
      </c>
      <c r="L828" s="24">
        <f>ROUND(K828/1000, 3)</f>
        <v/>
      </c>
      <c r="M828" s="8" t="n"/>
      <c r="N828" s="21">
        <f>ROUND(N827 + IF(AND(E828&lt;=10, F828&lt;&gt;"ASTM A416"), L828, 0), 3)</f>
        <v/>
      </c>
      <c r="O828" s="21">
        <f>ROUND(O827 + IF(AND(E828&gt;10, E828&lt;=18, F828&lt;&gt;"ASTM A416"), L828, 0), 3)</f>
        <v/>
      </c>
      <c r="P828" s="21">
        <f>ROUND(P827 + IF(AND(E828&gt;18, F828&lt;&gt;"ASTM A416"), L828, 0), 3)</f>
        <v/>
      </c>
      <c r="Q828" s="21">
        <f>ROUND(Q827 + IF(F828="ASTM A416", L828, 0), 3)</f>
        <v/>
      </c>
      <c r="R828" s="11">
        <f>IF(INT(N828/20)&gt;INT(N827/20), "Lần " &amp; INT(N828/20), "")</f>
        <v/>
      </c>
      <c r="S828" s="12">
        <f>IF(INT(O828/20)&gt;INT(O827/20), "Lần " &amp; INT(O828/20), "")</f>
        <v/>
      </c>
      <c r="T828" s="11">
        <f>IF(INT(P828/20)&gt;INT(P827/20), "Lần " &amp; INT(P828/20), "")</f>
        <v/>
      </c>
      <c r="U828" s="25">
        <f>IF(INT(Q828/20)&gt;INT(Q827/20), "Lần " &amp; INT(Q828/20), "")</f>
        <v/>
      </c>
      <c r="V828" s="6" t="inlineStr"/>
      <c r="W828" s="6" t="inlineStr">
        <is>
          <t>ĐẠT TCVN 1651:2018</t>
        </is>
      </c>
    </row>
    <row r="829" ht="19" customHeight="1">
      <c r="A829" s="6" t="n">
        <v>792</v>
      </c>
      <c r="B829" s="7" t="inlineStr">
        <is>
          <t>Bản quá độ Mố M2</t>
        </is>
      </c>
      <c r="C829" s="7" t="inlineStr">
        <is>
          <t>Bản quá độ tiếp giáp mố</t>
        </is>
      </c>
      <c r="D829" s="19" t="inlineStr">
        <is>
          <t>A5</t>
        </is>
      </c>
      <c r="E829" s="20" t="n">
        <v>18</v>
      </c>
      <c r="F829" s="6" t="inlineStr">
        <is>
          <t>CB400-V</t>
        </is>
      </c>
      <c r="G829" s="7" t="inlineStr">
        <is>
          <t>S29</t>
        </is>
      </c>
      <c r="H829" s="21" t="n">
        <v>1.629</v>
      </c>
      <c r="I829" s="22" t="n">
        <v>113</v>
      </c>
      <c r="J829" s="23" t="n">
        <v>2</v>
      </c>
      <c r="K829" s="9">
        <f>ROUND(H829*I829*J829, 2)</f>
        <v/>
      </c>
      <c r="L829" s="24">
        <f>ROUND(K829/1000, 3)</f>
        <v/>
      </c>
      <c r="M829" s="8" t="n"/>
      <c r="N829" s="21">
        <f>ROUND(N828 + IF(AND(E829&lt;=10, F829&lt;&gt;"ASTM A416"), L829, 0), 3)</f>
        <v/>
      </c>
      <c r="O829" s="21">
        <f>ROUND(O828 + IF(AND(E829&gt;10, E829&lt;=18, F829&lt;&gt;"ASTM A416"), L829, 0), 3)</f>
        <v/>
      </c>
      <c r="P829" s="21">
        <f>ROUND(P828 + IF(AND(E829&gt;18, F829&lt;&gt;"ASTM A416"), L829, 0), 3)</f>
        <v/>
      </c>
      <c r="Q829" s="21">
        <f>ROUND(Q828 + IF(F829="ASTM A416", L829, 0), 3)</f>
        <v/>
      </c>
      <c r="R829" s="11">
        <f>IF(INT(N829/20)&gt;INT(N828/20), "Lần " &amp; INT(N829/20), "")</f>
        <v/>
      </c>
      <c r="S829" s="12">
        <f>IF(INT(O829/20)&gt;INT(O828/20), "Lần " &amp; INT(O829/20), "")</f>
        <v/>
      </c>
      <c r="T829" s="11">
        <f>IF(INT(P829/20)&gt;INT(P828/20), "Lần " &amp; INT(P829/20), "")</f>
        <v/>
      </c>
      <c r="U829" s="25">
        <f>IF(INT(Q829/20)&gt;INT(Q828/20), "Lần " &amp; INT(Q829/20), "")</f>
        <v/>
      </c>
      <c r="V829" s="6" t="inlineStr"/>
      <c r="W829" s="6" t="inlineStr">
        <is>
          <t>ĐẠT TCVN 1651:2018</t>
        </is>
      </c>
    </row>
    <row r="830" ht="19" customHeight="1">
      <c r="A830" s="6" t="n">
        <v>793</v>
      </c>
      <c r="B830" s="7" t="inlineStr">
        <is>
          <t>Bản quá độ Mố M2</t>
        </is>
      </c>
      <c r="C830" s="7" t="inlineStr">
        <is>
          <t>Bản quá độ tiếp giáp mố</t>
        </is>
      </c>
      <c r="D830" s="19" t="inlineStr">
        <is>
          <t>A6</t>
        </is>
      </c>
      <c r="E830" s="20" t="n">
        <v>12</v>
      </c>
      <c r="F830" s="6" t="inlineStr">
        <is>
          <t>CB400-V</t>
        </is>
      </c>
      <c r="G830" s="7" t="inlineStr">
        <is>
          <t>S06</t>
        </is>
      </c>
      <c r="H830" s="21" t="n">
        <v>0.396</v>
      </c>
      <c r="I830" s="22" t="n">
        <v>216</v>
      </c>
      <c r="J830" s="23" t="n">
        <v>0.888</v>
      </c>
      <c r="K830" s="9">
        <f>ROUND(H830*I830*J830, 2)</f>
        <v/>
      </c>
      <c r="L830" s="24">
        <f>ROUND(K830/1000, 3)</f>
        <v/>
      </c>
      <c r="M830" s="8" t="n"/>
      <c r="N830" s="21">
        <f>ROUND(N829 + IF(AND(E830&lt;=10, F830&lt;&gt;"ASTM A416"), L830, 0), 3)</f>
        <v/>
      </c>
      <c r="O830" s="21">
        <f>ROUND(O829 + IF(AND(E830&gt;10, E830&lt;=18, F830&lt;&gt;"ASTM A416"), L830, 0), 3)</f>
        <v/>
      </c>
      <c r="P830" s="21">
        <f>ROUND(P829 + IF(AND(E830&gt;18, F830&lt;&gt;"ASTM A416"), L830, 0), 3)</f>
        <v/>
      </c>
      <c r="Q830" s="21">
        <f>ROUND(Q829 + IF(F830="ASTM A416", L830, 0), 3)</f>
        <v/>
      </c>
      <c r="R830" s="11">
        <f>IF(INT(N830/20)&gt;INT(N829/20), "Lần " &amp; INT(N830/20), "")</f>
        <v/>
      </c>
      <c r="S830" s="12">
        <f>IF(INT(O830/20)&gt;INT(O829/20), "Lần " &amp; INT(O830/20), "")</f>
        <v/>
      </c>
      <c r="T830" s="11">
        <f>IF(INT(P830/20)&gt;INT(P829/20), "Lần " &amp; INT(P830/20), "")</f>
        <v/>
      </c>
      <c r="U830" s="25">
        <f>IF(INT(Q830/20)&gt;INT(Q829/20), "Lần " &amp; INT(Q830/20), "")</f>
        <v/>
      </c>
      <c r="V830" s="6" t="inlineStr"/>
      <c r="W830" s="6" t="inlineStr">
        <is>
          <t>ĐẠT TCVN 1651:2018</t>
        </is>
      </c>
    </row>
    <row r="831" ht="19" customHeight="1">
      <c r="A831" s="6" t="n">
        <v>794</v>
      </c>
      <c r="B831" s="7" t="inlineStr">
        <is>
          <t>Bản quá độ Mố M2</t>
        </is>
      </c>
      <c r="C831" s="7" t="inlineStr">
        <is>
          <t>Bản quá độ tiếp giáp mố</t>
        </is>
      </c>
      <c r="D831" s="19" t="inlineStr">
        <is>
          <t>A7</t>
        </is>
      </c>
      <c r="E831" s="20" t="n">
        <v>10</v>
      </c>
      <c r="F831" s="6" t="inlineStr">
        <is>
          <t>CB240-T</t>
        </is>
      </c>
      <c r="G831" s="7" t="inlineStr">
        <is>
          <t>S32</t>
        </is>
      </c>
      <c r="H831" s="21" t="n">
        <v>0.676</v>
      </c>
      <c r="I831" s="22" t="n">
        <v>23</v>
      </c>
      <c r="J831" s="23" t="n">
        <v>0.617</v>
      </c>
      <c r="K831" s="9">
        <f>ROUND(H831*I831*J831, 2)</f>
        <v/>
      </c>
      <c r="L831" s="24">
        <f>ROUND(K831/1000, 3)</f>
        <v/>
      </c>
      <c r="M831" s="8" t="n"/>
      <c r="N831" s="21">
        <f>ROUND(N830 + IF(AND(E831&lt;=10, F831&lt;&gt;"ASTM A416"), L831, 0), 3)</f>
        <v/>
      </c>
      <c r="O831" s="21">
        <f>ROUND(O830 + IF(AND(E831&gt;10, E831&lt;=18, F831&lt;&gt;"ASTM A416"), L831, 0), 3)</f>
        <v/>
      </c>
      <c r="P831" s="21">
        <f>ROUND(P830 + IF(AND(E831&gt;18, F831&lt;&gt;"ASTM A416"), L831, 0), 3)</f>
        <v/>
      </c>
      <c r="Q831" s="21">
        <f>ROUND(Q830 + IF(F831="ASTM A416", L831, 0), 3)</f>
        <v/>
      </c>
      <c r="R831" s="11">
        <f>IF(INT(N831/20)&gt;INT(N830/20), "Lần " &amp; INT(N831/20), "")</f>
        <v/>
      </c>
      <c r="S831" s="12">
        <f>IF(INT(O831/20)&gt;INT(O830/20), "Lần " &amp; INT(O831/20), "")</f>
        <v/>
      </c>
      <c r="T831" s="11">
        <f>IF(INT(P831/20)&gt;INT(P830/20), "Lần " &amp; INT(P831/20), "")</f>
        <v/>
      </c>
      <c r="U831" s="25">
        <f>IF(INT(Q831/20)&gt;INT(Q830/20), "Lần " &amp; INT(Q831/20), "")</f>
        <v/>
      </c>
      <c r="V831" s="6" t="inlineStr"/>
      <c r="W831" s="6" t="inlineStr">
        <is>
          <t>ĐẠT TCVN 1651:2018</t>
        </is>
      </c>
    </row>
    <row r="832" ht="19" customHeight="1">
      <c r="A832" s="6" t="n">
        <v>795</v>
      </c>
      <c r="B832" s="7" t="inlineStr">
        <is>
          <t>Gờ lan can BTCT</t>
        </is>
      </c>
      <c r="C832" s="7" t="inlineStr">
        <is>
          <t>LOẠI A1</t>
        </is>
      </c>
      <c r="D832" s="19" t="inlineStr">
        <is>
          <t>G1</t>
        </is>
      </c>
      <c r="E832" s="20" t="n">
        <v>14</v>
      </c>
      <c r="F832" s="6" t="inlineStr">
        <is>
          <t>CB400-V</t>
        </is>
      </c>
      <c r="G832" s="7" t="inlineStr">
        <is>
          <t>S01</t>
        </is>
      </c>
      <c r="H832" s="21" t="n">
        <v>5.91</v>
      </c>
      <c r="I832" s="22" t="n">
        <v>19</v>
      </c>
      <c r="J832" s="23" t="n">
        <v>1.21</v>
      </c>
      <c r="K832" s="9">
        <f>ROUND(H832*I832*J832, 2)</f>
        <v/>
      </c>
      <c r="L832" s="24">
        <f>ROUND(K832/1000, 3)</f>
        <v/>
      </c>
      <c r="M832" s="8" t="n"/>
      <c r="N832" s="21">
        <f>ROUND(N831 + IF(AND(E832&lt;=10, F832&lt;&gt;"ASTM A416"), L832, 0), 3)</f>
        <v/>
      </c>
      <c r="O832" s="21">
        <f>ROUND(O831 + IF(AND(E832&gt;10, E832&lt;=18, F832&lt;&gt;"ASTM A416"), L832, 0), 3)</f>
        <v/>
      </c>
      <c r="P832" s="21">
        <f>ROUND(P831 + IF(AND(E832&gt;18, F832&lt;&gt;"ASTM A416"), L832, 0), 3)</f>
        <v/>
      </c>
      <c r="Q832" s="21">
        <f>ROUND(Q831 + IF(F832="ASTM A416", L832, 0), 3)</f>
        <v/>
      </c>
      <c r="R832" s="11">
        <f>IF(INT(N832/20)&gt;INT(N831/20), "Lần " &amp; INT(N832/20), "")</f>
        <v/>
      </c>
      <c r="S832" s="12">
        <f>IF(INT(O832/20)&gt;INT(O831/20), "Lần " &amp; INT(O832/20), "")</f>
        <v/>
      </c>
      <c r="T832" s="11">
        <f>IF(INT(P832/20)&gt;INT(P831/20), "Lần " &amp; INT(P832/20), "")</f>
        <v/>
      </c>
      <c r="U832" s="25">
        <f>IF(INT(Q832/20)&gt;INT(Q831/20), "Lần " &amp; INT(Q832/20), "")</f>
        <v/>
      </c>
      <c r="V832" s="6" t="inlineStr"/>
      <c r="W832" s="6" t="inlineStr">
        <is>
          <t>ĐẠT TCVN 1651:2018</t>
        </is>
      </c>
    </row>
    <row r="833" ht="19" customHeight="1">
      <c r="A833" s="6" t="n">
        <v>796</v>
      </c>
      <c r="B833" s="7" t="inlineStr">
        <is>
          <t>Gờ lan can BTCT</t>
        </is>
      </c>
      <c r="C833" s="7" t="inlineStr">
        <is>
          <t>Gờ lan can 2 bên cầu</t>
        </is>
      </c>
      <c r="D833" s="19" t="inlineStr">
        <is>
          <t>G2</t>
        </is>
      </c>
      <c r="E833" s="20" t="n">
        <v>18</v>
      </c>
      <c r="F833" s="6" t="inlineStr">
        <is>
          <t>CB400-V</t>
        </is>
      </c>
      <c r="G833" s="7" t="inlineStr">
        <is>
          <t>S57</t>
        </is>
      </c>
      <c r="H833" s="21" t="n">
        <v>2.578</v>
      </c>
      <c r="I833" s="22" t="n">
        <v>41</v>
      </c>
      <c r="J833" s="23" t="n">
        <v>2</v>
      </c>
      <c r="K833" s="9">
        <f>ROUND(H833*I833*J833, 2)</f>
        <v/>
      </c>
      <c r="L833" s="24">
        <f>ROUND(K833/1000, 3)</f>
        <v/>
      </c>
      <c r="M833" s="8" t="n"/>
      <c r="N833" s="21">
        <f>ROUND(N832 + IF(AND(E833&lt;=10, F833&lt;&gt;"ASTM A416"), L833, 0), 3)</f>
        <v/>
      </c>
      <c r="O833" s="21">
        <f>ROUND(O832 + IF(AND(E833&gt;10, E833&lt;=18, F833&lt;&gt;"ASTM A416"), L833, 0), 3)</f>
        <v/>
      </c>
      <c r="P833" s="21">
        <f>ROUND(P832 + IF(AND(E833&gt;18, F833&lt;&gt;"ASTM A416"), L833, 0), 3)</f>
        <v/>
      </c>
      <c r="Q833" s="21">
        <f>ROUND(Q832 + IF(F833="ASTM A416", L833, 0), 3)</f>
        <v/>
      </c>
      <c r="R833" s="11">
        <f>IF(INT(N833/20)&gt;INT(N832/20), "Lần " &amp; INT(N833/20), "")</f>
        <v/>
      </c>
      <c r="S833" s="12">
        <f>IF(INT(O833/20)&gt;INT(O832/20), "Lần " &amp; INT(O833/20), "")</f>
        <v/>
      </c>
      <c r="T833" s="11">
        <f>IF(INT(P833/20)&gt;INT(P832/20), "Lần " &amp; INT(P833/20), "")</f>
        <v/>
      </c>
      <c r="U833" s="25">
        <f>IF(INT(Q833/20)&gt;INT(Q832/20), "Lần " &amp; INT(Q833/20), "")</f>
        <v/>
      </c>
      <c r="V833" s="6" t="inlineStr"/>
      <c r="W833" s="6" t="inlineStr">
        <is>
          <t>ĐẠT TCVN 1651:2018</t>
        </is>
      </c>
    </row>
    <row r="834" ht="19" customHeight="1">
      <c r="A834" s="6" t="n">
        <v>797</v>
      </c>
      <c r="B834" s="7" t="inlineStr">
        <is>
          <t>Gờ lan can BTCT</t>
        </is>
      </c>
      <c r="C834" s="7" t="inlineStr">
        <is>
          <t>Gờ lan can 2 bên cầu</t>
        </is>
      </c>
      <c r="D834" s="19" t="inlineStr">
        <is>
          <t>G3</t>
        </is>
      </c>
      <c r="E834" s="20" t="n">
        <v>14</v>
      </c>
      <c r="F834" s="6" t="inlineStr">
        <is>
          <t>CB400-V</t>
        </is>
      </c>
      <c r="G834" s="7" t="inlineStr">
        <is>
          <t>S29</t>
        </is>
      </c>
      <c r="H834" s="21" t="n">
        <v>2.344</v>
      </c>
      <c r="I834" s="22" t="n">
        <v>41</v>
      </c>
      <c r="J834" s="23" t="n">
        <v>1.21</v>
      </c>
      <c r="K834" s="9">
        <f>ROUND(H834*I834*J834, 2)</f>
        <v/>
      </c>
      <c r="L834" s="24">
        <f>ROUND(K834/1000, 3)</f>
        <v/>
      </c>
      <c r="M834" s="8" t="n"/>
      <c r="N834" s="21">
        <f>ROUND(N833 + IF(AND(E834&lt;=10, F834&lt;&gt;"ASTM A416"), L834, 0), 3)</f>
        <v/>
      </c>
      <c r="O834" s="21">
        <f>ROUND(O833 + IF(AND(E834&gt;10, E834&lt;=18, F834&lt;&gt;"ASTM A416"), L834, 0), 3)</f>
        <v/>
      </c>
      <c r="P834" s="21">
        <f>ROUND(P833 + IF(AND(E834&gt;18, F834&lt;&gt;"ASTM A416"), L834, 0), 3)</f>
        <v/>
      </c>
      <c r="Q834" s="21">
        <f>ROUND(Q833 + IF(F834="ASTM A416", L834, 0), 3)</f>
        <v/>
      </c>
      <c r="R834" s="11">
        <f>IF(INT(N834/20)&gt;INT(N833/20), "Lần " &amp; INT(N834/20), "")</f>
        <v/>
      </c>
      <c r="S834" s="12">
        <f>IF(INT(O834/20)&gt;INT(O833/20), "Lần " &amp; INT(O834/20), "")</f>
        <v/>
      </c>
      <c r="T834" s="11">
        <f>IF(INT(P834/20)&gt;INT(P833/20), "Lần " &amp; INT(P834/20), "")</f>
        <v/>
      </c>
      <c r="U834" s="25">
        <f>IF(INT(Q834/20)&gt;INT(Q833/20), "Lần " &amp; INT(Q834/20), "")</f>
        <v/>
      </c>
      <c r="V834" s="6" t="inlineStr"/>
      <c r="W834" s="6" t="inlineStr">
        <is>
          <t>ĐẠT TCVN 1651:2018</t>
        </is>
      </c>
    </row>
    <row r="835" ht="19" customHeight="1">
      <c r="A835" s="6" t="n">
        <v>798</v>
      </c>
      <c r="B835" s="7" t="inlineStr">
        <is>
          <t>Gờ lan can BTCT</t>
        </is>
      </c>
      <c r="C835" s="7" t="inlineStr">
        <is>
          <t>Gờ lan can 2 bên cầu</t>
        </is>
      </c>
      <c r="D835" s="19" t="inlineStr">
        <is>
          <t>G4A</t>
        </is>
      </c>
      <c r="E835" s="20" t="n">
        <v>12</v>
      </c>
      <c r="F835" s="6" t="inlineStr">
        <is>
          <t>CB400-V</t>
        </is>
      </c>
      <c r="G835" s="7" t="inlineStr">
        <is>
          <t>S06</t>
        </is>
      </c>
      <c r="H835" s="21" t="n">
        <v>0.342</v>
      </c>
      <c r="I835" s="22" t="n">
        <v>13</v>
      </c>
      <c r="J835" s="23" t="n">
        <v>0.888</v>
      </c>
      <c r="K835" s="9">
        <f>ROUND(H835*I835*J835, 2)</f>
        <v/>
      </c>
      <c r="L835" s="24">
        <f>ROUND(K835/1000, 3)</f>
        <v/>
      </c>
      <c r="M835" s="8" t="n"/>
      <c r="N835" s="21">
        <f>ROUND(N834 + IF(AND(E835&lt;=10, F835&lt;&gt;"ASTM A416"), L835, 0), 3)</f>
        <v/>
      </c>
      <c r="O835" s="21">
        <f>ROUND(O834 + IF(AND(E835&gt;10, E835&lt;=18, F835&lt;&gt;"ASTM A416"), L835, 0), 3)</f>
        <v/>
      </c>
      <c r="P835" s="21">
        <f>ROUND(P834 + IF(AND(E835&gt;18, F835&lt;&gt;"ASTM A416"), L835, 0), 3)</f>
        <v/>
      </c>
      <c r="Q835" s="21">
        <f>ROUND(Q834 + IF(F835="ASTM A416", L835, 0), 3)</f>
        <v/>
      </c>
      <c r="R835" s="11">
        <f>IF(INT(N835/20)&gt;INT(N834/20), "Lần " &amp; INT(N835/20), "")</f>
        <v/>
      </c>
      <c r="S835" s="12">
        <f>IF(INT(O835/20)&gt;INT(O834/20), "Lần " &amp; INT(O835/20), "")</f>
        <v/>
      </c>
      <c r="T835" s="11">
        <f>IF(INT(P835/20)&gt;INT(P834/20), "Lần " &amp; INT(P835/20), "")</f>
        <v/>
      </c>
      <c r="U835" s="25">
        <f>IF(INT(Q835/20)&gt;INT(Q834/20), "Lần " &amp; INT(Q835/20), "")</f>
        <v/>
      </c>
      <c r="V835" s="6" t="inlineStr"/>
      <c r="W835" s="6" t="inlineStr">
        <is>
          <t>ĐẠT TCVN 1651:2018</t>
        </is>
      </c>
    </row>
    <row r="836" ht="19" customHeight="1">
      <c r="A836" s="6" t="n">
        <v>799</v>
      </c>
      <c r="B836" s="7" t="inlineStr">
        <is>
          <t>Gờ lan can BTCT</t>
        </is>
      </c>
      <c r="C836" s="7" t="inlineStr">
        <is>
          <t>Gờ lan can 2 bên cầu</t>
        </is>
      </c>
      <c r="D836" s="19" t="inlineStr">
        <is>
          <t>G4B</t>
        </is>
      </c>
      <c r="E836" s="20" t="n">
        <v>12</v>
      </c>
      <c r="F836" s="6" t="inlineStr">
        <is>
          <t>CB400-V</t>
        </is>
      </c>
      <c r="G836" s="7" t="inlineStr">
        <is>
          <t>S06</t>
        </is>
      </c>
      <c r="H836" s="21" t="n">
        <v>0.388</v>
      </c>
      <c r="I836" s="22" t="n">
        <v>13</v>
      </c>
      <c r="J836" s="23" t="n">
        <v>0.888</v>
      </c>
      <c r="K836" s="9">
        <f>ROUND(H836*I836*J836, 2)</f>
        <v/>
      </c>
      <c r="L836" s="24">
        <f>ROUND(K836/1000, 3)</f>
        <v/>
      </c>
      <c r="M836" s="8" t="n"/>
      <c r="N836" s="21">
        <f>ROUND(N835 + IF(AND(E836&lt;=10, F836&lt;&gt;"ASTM A416"), L836, 0), 3)</f>
        <v/>
      </c>
      <c r="O836" s="21">
        <f>ROUND(O835 + IF(AND(E836&gt;10, E836&lt;=18, F836&lt;&gt;"ASTM A416"), L836, 0), 3)</f>
        <v/>
      </c>
      <c r="P836" s="21">
        <f>ROUND(P835 + IF(AND(E836&gt;18, F836&lt;&gt;"ASTM A416"), L836, 0), 3)</f>
        <v/>
      </c>
      <c r="Q836" s="21">
        <f>ROUND(Q835 + IF(F836="ASTM A416", L836, 0), 3)</f>
        <v/>
      </c>
      <c r="R836" s="11">
        <f>IF(INT(N836/20)&gt;INT(N835/20), "Lần " &amp; INT(N836/20), "")</f>
        <v/>
      </c>
      <c r="S836" s="12">
        <f>IF(INT(O836/20)&gt;INT(O835/20), "Lần " &amp; INT(O836/20), "")</f>
        <v/>
      </c>
      <c r="T836" s="11">
        <f>IF(INT(P836/20)&gt;INT(P835/20), "Lần " &amp; INT(P836/20), "")</f>
        <v/>
      </c>
      <c r="U836" s="25">
        <f>IF(INT(Q836/20)&gt;INT(Q835/20), "Lần " &amp; INT(Q836/20), "")</f>
        <v/>
      </c>
      <c r="V836" s="6" t="inlineStr"/>
      <c r="W836" s="6" t="inlineStr">
        <is>
          <t>ĐẠT TCVN 1651:2018</t>
        </is>
      </c>
    </row>
    <row r="837" ht="19" customHeight="1">
      <c r="A837" s="6" t="n">
        <v>800</v>
      </c>
      <c r="B837" s="7" t="inlineStr">
        <is>
          <t>Gờ lan can BTCT</t>
        </is>
      </c>
      <c r="C837" s="7" t="inlineStr">
        <is>
          <t>Gờ lan can 2 bên cầu</t>
        </is>
      </c>
      <c r="D837" s="19" t="inlineStr">
        <is>
          <t>G4C</t>
        </is>
      </c>
      <c r="E837" s="20" t="n">
        <v>12</v>
      </c>
      <c r="F837" s="6" t="inlineStr">
        <is>
          <t>CB400-V</t>
        </is>
      </c>
      <c r="G837" s="7" t="inlineStr">
        <is>
          <t>S06</t>
        </is>
      </c>
      <c r="H837" s="21" t="n">
        <v>0.634</v>
      </c>
      <c r="I837" s="22" t="n">
        <v>13</v>
      </c>
      <c r="J837" s="23" t="n">
        <v>0.888</v>
      </c>
      <c r="K837" s="9">
        <f>ROUND(H837*I837*J837, 2)</f>
        <v/>
      </c>
      <c r="L837" s="24">
        <f>ROUND(K837/1000, 3)</f>
        <v/>
      </c>
      <c r="M837" s="8" t="n"/>
      <c r="N837" s="21">
        <f>ROUND(N836 + IF(AND(E837&lt;=10, F837&lt;&gt;"ASTM A416"), L837, 0), 3)</f>
        <v/>
      </c>
      <c r="O837" s="21">
        <f>ROUND(O836 + IF(AND(E837&gt;10, E837&lt;=18, F837&lt;&gt;"ASTM A416"), L837, 0), 3)</f>
        <v/>
      </c>
      <c r="P837" s="21">
        <f>ROUND(P836 + IF(AND(E837&gt;18, F837&lt;&gt;"ASTM A416"), L837, 0), 3)</f>
        <v/>
      </c>
      <c r="Q837" s="21">
        <f>ROUND(Q836 + IF(F837="ASTM A416", L837, 0), 3)</f>
        <v/>
      </c>
      <c r="R837" s="11">
        <f>IF(INT(N837/20)&gt;INT(N836/20), "Lần " &amp; INT(N837/20), "")</f>
        <v/>
      </c>
      <c r="S837" s="12">
        <f>IF(INT(O837/20)&gt;INT(O836/20), "Lần " &amp; INT(O837/20), "")</f>
        <v/>
      </c>
      <c r="T837" s="11">
        <f>IF(INT(P837/20)&gt;INT(P836/20), "Lần " &amp; INT(P837/20), "")</f>
        <v/>
      </c>
      <c r="U837" s="25">
        <f>IF(INT(Q837/20)&gt;INT(Q836/20), "Lần " &amp; INT(Q837/20), "")</f>
        <v/>
      </c>
      <c r="V837" s="6" t="inlineStr"/>
      <c r="W837" s="6" t="inlineStr">
        <is>
          <t>ĐẠT TCVN 1651:2018</t>
        </is>
      </c>
    </row>
    <row r="838" ht="19" customHeight="1">
      <c r="A838" s="6" t="n">
        <v>801</v>
      </c>
      <c r="B838" s="7" t="inlineStr">
        <is>
          <t>Gờ lan can BTCT</t>
        </is>
      </c>
      <c r="C838" s="7" t="inlineStr">
        <is>
          <t>LOẠI A2</t>
        </is>
      </c>
      <c r="D838" s="19" t="inlineStr">
        <is>
          <t>G1A</t>
        </is>
      </c>
      <c r="E838" s="20" t="n">
        <v>14</v>
      </c>
      <c r="F838" s="6" t="inlineStr">
        <is>
          <t>CB400-V</t>
        </is>
      </c>
      <c r="G838" s="7" t="inlineStr">
        <is>
          <t>S01</t>
        </is>
      </c>
      <c r="H838" s="21" t="n">
        <v>4.12</v>
      </c>
      <c r="I838" s="22" t="n">
        <v>19</v>
      </c>
      <c r="J838" s="23" t="n">
        <v>1.21</v>
      </c>
      <c r="K838" s="9">
        <f>ROUND(H838*I838*J838, 2)</f>
        <v/>
      </c>
      <c r="L838" s="24">
        <f>ROUND(K838/1000, 3)</f>
        <v/>
      </c>
      <c r="M838" s="8" t="n"/>
      <c r="N838" s="21">
        <f>ROUND(N837 + IF(AND(E838&lt;=10, F838&lt;&gt;"ASTM A416"), L838, 0), 3)</f>
        <v/>
      </c>
      <c r="O838" s="21">
        <f>ROUND(O837 + IF(AND(E838&gt;10, E838&lt;=18, F838&lt;&gt;"ASTM A416"), L838, 0), 3)</f>
        <v/>
      </c>
      <c r="P838" s="21">
        <f>ROUND(P837 + IF(AND(E838&gt;18, F838&lt;&gt;"ASTM A416"), L838, 0), 3)</f>
        <v/>
      </c>
      <c r="Q838" s="21">
        <f>ROUND(Q837 + IF(F838="ASTM A416", L838, 0), 3)</f>
        <v/>
      </c>
      <c r="R838" s="11">
        <f>IF(INT(N838/20)&gt;INT(N837/20), "Lần " &amp; INT(N838/20), "")</f>
        <v/>
      </c>
      <c r="S838" s="12">
        <f>IF(INT(O838/20)&gt;INT(O837/20), "Lần " &amp; INT(O838/20), "")</f>
        <v/>
      </c>
      <c r="T838" s="11">
        <f>IF(INT(P838/20)&gt;INT(P837/20), "Lần " &amp; INT(P838/20), "")</f>
        <v/>
      </c>
      <c r="U838" s="25">
        <f>IF(INT(Q838/20)&gt;INT(Q837/20), "Lần " &amp; INT(Q838/20), "")</f>
        <v/>
      </c>
      <c r="V838" s="6" t="inlineStr"/>
      <c r="W838" s="6" t="inlineStr">
        <is>
          <t>ĐẠT TCVN 1651:2018</t>
        </is>
      </c>
    </row>
    <row r="839" ht="19" customHeight="1">
      <c r="A839" s="6" t="n">
        <v>802</v>
      </c>
      <c r="B839" s="7" t="inlineStr">
        <is>
          <t>Gờ lan can BTCT</t>
        </is>
      </c>
      <c r="C839" s="7" t="inlineStr">
        <is>
          <t>Gờ lan can 2 bên cầu</t>
        </is>
      </c>
      <c r="D839" s="19" t="inlineStr">
        <is>
          <t>G2</t>
        </is>
      </c>
      <c r="E839" s="20" t="n">
        <v>18</v>
      </c>
      <c r="F839" s="6" t="inlineStr">
        <is>
          <t>CB400-V</t>
        </is>
      </c>
      <c r="G839" s="7" t="inlineStr">
        <is>
          <t>S57</t>
        </is>
      </c>
      <c r="H839" s="21" t="n">
        <v>2.578</v>
      </c>
      <c r="I839" s="22" t="n">
        <v>28</v>
      </c>
      <c r="J839" s="23" t="n">
        <v>2</v>
      </c>
      <c r="K839" s="9">
        <f>ROUND(H839*I839*J839, 2)</f>
        <v/>
      </c>
      <c r="L839" s="24">
        <f>ROUND(K839/1000, 3)</f>
        <v/>
      </c>
      <c r="M839" s="8" t="n"/>
      <c r="N839" s="21">
        <f>ROUND(N838 + IF(AND(E839&lt;=10, F839&lt;&gt;"ASTM A416"), L839, 0), 3)</f>
        <v/>
      </c>
      <c r="O839" s="21">
        <f>ROUND(O838 + IF(AND(E839&gt;10, E839&lt;=18, F839&lt;&gt;"ASTM A416"), L839, 0), 3)</f>
        <v/>
      </c>
      <c r="P839" s="21">
        <f>ROUND(P838 + IF(AND(E839&gt;18, F839&lt;&gt;"ASTM A416"), L839, 0), 3)</f>
        <v/>
      </c>
      <c r="Q839" s="21">
        <f>ROUND(Q838 + IF(F839="ASTM A416", L839, 0), 3)</f>
        <v/>
      </c>
      <c r="R839" s="11">
        <f>IF(INT(N839/20)&gt;INT(N838/20), "Lần " &amp; INT(N839/20), "")</f>
        <v/>
      </c>
      <c r="S839" s="12">
        <f>IF(INT(O839/20)&gt;INT(O838/20), "Lần " &amp; INT(O839/20), "")</f>
        <v/>
      </c>
      <c r="T839" s="11">
        <f>IF(INT(P839/20)&gt;INT(P838/20), "Lần " &amp; INT(P839/20), "")</f>
        <v/>
      </c>
      <c r="U839" s="25">
        <f>IF(INT(Q839/20)&gt;INT(Q838/20), "Lần " &amp; INT(Q839/20), "")</f>
        <v/>
      </c>
      <c r="V839" s="6" t="inlineStr"/>
      <c r="W839" s="6" t="inlineStr">
        <is>
          <t>ĐẠT TCVN 1651:2018</t>
        </is>
      </c>
    </row>
    <row r="840" ht="19" customHeight="1">
      <c r="A840" s="6" t="n">
        <v>803</v>
      </c>
      <c r="B840" s="7" t="inlineStr">
        <is>
          <t>Gờ lan can BTCT</t>
        </is>
      </c>
      <c r="C840" s="7" t="inlineStr">
        <is>
          <t>Gờ lan can 2 bên cầu</t>
        </is>
      </c>
      <c r="D840" s="19" t="inlineStr">
        <is>
          <t>G3</t>
        </is>
      </c>
      <c r="E840" s="20" t="n">
        <v>14</v>
      </c>
      <c r="F840" s="6" t="inlineStr">
        <is>
          <t>CB400-V</t>
        </is>
      </c>
      <c r="G840" s="7" t="inlineStr">
        <is>
          <t>S29</t>
        </is>
      </c>
      <c r="H840" s="21" t="n">
        <v>2.344</v>
      </c>
      <c r="I840" s="22" t="n">
        <v>28</v>
      </c>
      <c r="J840" s="23" t="n">
        <v>1.21</v>
      </c>
      <c r="K840" s="9">
        <f>ROUND(H840*I840*J840, 2)</f>
        <v/>
      </c>
      <c r="L840" s="24">
        <f>ROUND(K840/1000, 3)</f>
        <v/>
      </c>
      <c r="M840" s="8" t="n"/>
      <c r="N840" s="21">
        <f>ROUND(N839 + IF(AND(E840&lt;=10, F840&lt;&gt;"ASTM A416"), L840, 0), 3)</f>
        <v/>
      </c>
      <c r="O840" s="21">
        <f>ROUND(O839 + IF(AND(E840&gt;10, E840&lt;=18, F840&lt;&gt;"ASTM A416"), L840, 0), 3)</f>
        <v/>
      </c>
      <c r="P840" s="21">
        <f>ROUND(P839 + IF(AND(E840&gt;18, F840&lt;&gt;"ASTM A416"), L840, 0), 3)</f>
        <v/>
      </c>
      <c r="Q840" s="21">
        <f>ROUND(Q839 + IF(F840="ASTM A416", L840, 0), 3)</f>
        <v/>
      </c>
      <c r="R840" s="11">
        <f>IF(INT(N840/20)&gt;INT(N839/20), "Lần " &amp; INT(N840/20), "")</f>
        <v/>
      </c>
      <c r="S840" s="12">
        <f>IF(INT(O840/20)&gt;INT(O839/20), "Lần " &amp; INT(O840/20), "")</f>
        <v/>
      </c>
      <c r="T840" s="11">
        <f>IF(INT(P840/20)&gt;INT(P839/20), "Lần " &amp; INT(P840/20), "")</f>
        <v/>
      </c>
      <c r="U840" s="25">
        <f>IF(INT(Q840/20)&gt;INT(Q839/20), "Lần " &amp; INT(Q840/20), "")</f>
        <v/>
      </c>
      <c r="V840" s="6" t="inlineStr"/>
      <c r="W840" s="6" t="inlineStr">
        <is>
          <t>ĐẠT TCVN 1651:2018</t>
        </is>
      </c>
    </row>
    <row r="841" ht="19" customHeight="1">
      <c r="A841" s="6" t="n">
        <v>804</v>
      </c>
      <c r="B841" s="7" t="inlineStr">
        <is>
          <t>Gờ lan can BTCT</t>
        </is>
      </c>
      <c r="C841" s="7" t="inlineStr">
        <is>
          <t>Gờ lan can 2 bên cầu</t>
        </is>
      </c>
      <c r="D841" s="19" t="inlineStr">
        <is>
          <t>G4A</t>
        </is>
      </c>
      <c r="E841" s="20" t="n">
        <v>12</v>
      </c>
      <c r="F841" s="6" t="inlineStr">
        <is>
          <t>CB400-V</t>
        </is>
      </c>
      <c r="G841" s="7" t="inlineStr">
        <is>
          <t>S06</t>
        </is>
      </c>
      <c r="H841" s="21" t="n">
        <v>0.342</v>
      </c>
      <c r="I841" s="22" t="n">
        <v>9</v>
      </c>
      <c r="J841" s="23" t="n">
        <v>0.888</v>
      </c>
      <c r="K841" s="9">
        <f>ROUND(H841*I841*J841, 2)</f>
        <v/>
      </c>
      <c r="L841" s="24">
        <f>ROUND(K841/1000, 3)</f>
        <v/>
      </c>
      <c r="M841" s="8" t="n"/>
      <c r="N841" s="21">
        <f>ROUND(N840 + IF(AND(E841&lt;=10, F841&lt;&gt;"ASTM A416"), L841, 0), 3)</f>
        <v/>
      </c>
      <c r="O841" s="21">
        <f>ROUND(O840 + IF(AND(E841&gt;10, E841&lt;=18, F841&lt;&gt;"ASTM A416"), L841, 0), 3)</f>
        <v/>
      </c>
      <c r="P841" s="21">
        <f>ROUND(P840 + IF(AND(E841&gt;18, F841&lt;&gt;"ASTM A416"), L841, 0), 3)</f>
        <v/>
      </c>
      <c r="Q841" s="21">
        <f>ROUND(Q840 + IF(F841="ASTM A416", L841, 0), 3)</f>
        <v/>
      </c>
      <c r="R841" s="11">
        <f>IF(INT(N841/20)&gt;INT(N840/20), "Lần " &amp; INT(N841/20), "")</f>
        <v/>
      </c>
      <c r="S841" s="12">
        <f>IF(INT(O841/20)&gt;INT(O840/20), "Lần " &amp; INT(O841/20), "")</f>
        <v/>
      </c>
      <c r="T841" s="11">
        <f>IF(INT(P841/20)&gt;INT(P840/20), "Lần " &amp; INT(P841/20), "")</f>
        <v/>
      </c>
      <c r="U841" s="25">
        <f>IF(INT(Q841/20)&gt;INT(Q840/20), "Lần " &amp; INT(Q841/20), "")</f>
        <v/>
      </c>
      <c r="V841" s="6" t="inlineStr"/>
      <c r="W841" s="6" t="inlineStr">
        <is>
          <t>ĐẠT TCVN 1651:2018</t>
        </is>
      </c>
    </row>
    <row r="842" ht="19" customHeight="1">
      <c r="A842" s="6" t="n">
        <v>805</v>
      </c>
      <c r="B842" s="7" t="inlineStr">
        <is>
          <t>Gờ lan can BTCT</t>
        </is>
      </c>
      <c r="C842" s="7" t="inlineStr">
        <is>
          <t>Gờ lan can 2 bên cầu</t>
        </is>
      </c>
      <c r="D842" s="19" t="inlineStr">
        <is>
          <t>G4B</t>
        </is>
      </c>
      <c r="E842" s="20" t="n">
        <v>12</v>
      </c>
      <c r="F842" s="6" t="inlineStr">
        <is>
          <t>CB400-V</t>
        </is>
      </c>
      <c r="G842" s="7" t="inlineStr">
        <is>
          <t>S06</t>
        </is>
      </c>
      <c r="H842" s="21" t="n">
        <v>0.388</v>
      </c>
      <c r="I842" s="22" t="n">
        <v>9</v>
      </c>
      <c r="J842" s="23" t="n">
        <v>0.888</v>
      </c>
      <c r="K842" s="9">
        <f>ROUND(H842*I842*J842, 2)</f>
        <v/>
      </c>
      <c r="L842" s="24">
        <f>ROUND(K842/1000, 3)</f>
        <v/>
      </c>
      <c r="M842" s="8" t="n"/>
      <c r="N842" s="21">
        <f>ROUND(N841 + IF(AND(E842&lt;=10, F842&lt;&gt;"ASTM A416"), L842, 0), 3)</f>
        <v/>
      </c>
      <c r="O842" s="21">
        <f>ROUND(O841 + IF(AND(E842&gt;10, E842&lt;=18, F842&lt;&gt;"ASTM A416"), L842, 0), 3)</f>
        <v/>
      </c>
      <c r="P842" s="21">
        <f>ROUND(P841 + IF(AND(E842&gt;18, F842&lt;&gt;"ASTM A416"), L842, 0), 3)</f>
        <v/>
      </c>
      <c r="Q842" s="21">
        <f>ROUND(Q841 + IF(F842="ASTM A416", L842, 0), 3)</f>
        <v/>
      </c>
      <c r="R842" s="11">
        <f>IF(INT(N842/20)&gt;INT(N841/20), "Lần " &amp; INT(N842/20), "")</f>
        <v/>
      </c>
      <c r="S842" s="12">
        <f>IF(INT(O842/20)&gt;INT(O841/20), "Lần " &amp; INT(O842/20), "")</f>
        <v/>
      </c>
      <c r="T842" s="11">
        <f>IF(INT(P842/20)&gt;INT(P841/20), "Lần " &amp; INT(P842/20), "")</f>
        <v/>
      </c>
      <c r="U842" s="25">
        <f>IF(INT(Q842/20)&gt;INT(Q841/20), "Lần " &amp; INT(Q842/20), "")</f>
        <v/>
      </c>
      <c r="V842" s="6" t="inlineStr"/>
      <c r="W842" s="6" t="inlineStr">
        <is>
          <t>ĐẠT TCVN 1651:2018</t>
        </is>
      </c>
    </row>
    <row r="843" ht="19" customHeight="1">
      <c r="A843" s="6" t="n">
        <v>806</v>
      </c>
      <c r="B843" s="7" t="inlineStr">
        <is>
          <t>Gờ lan can BTCT</t>
        </is>
      </c>
      <c r="C843" s="7" t="inlineStr">
        <is>
          <t>Gờ lan can 2 bên cầu</t>
        </is>
      </c>
      <c r="D843" s="19" t="inlineStr">
        <is>
          <t>G4C</t>
        </is>
      </c>
      <c r="E843" s="20" t="n">
        <v>12</v>
      </c>
      <c r="F843" s="6" t="inlineStr">
        <is>
          <t>CB400-V</t>
        </is>
      </c>
      <c r="G843" s="7" t="inlineStr">
        <is>
          <t>S06</t>
        </is>
      </c>
      <c r="H843" s="21" t="n">
        <v>0.634</v>
      </c>
      <c r="I843" s="22" t="n">
        <v>9</v>
      </c>
      <c r="J843" s="23" t="n">
        <v>0.888</v>
      </c>
      <c r="K843" s="9">
        <f>ROUND(H843*I843*J843, 2)</f>
        <v/>
      </c>
      <c r="L843" s="24">
        <f>ROUND(K843/1000, 3)</f>
        <v/>
      </c>
      <c r="M843" s="8" t="n"/>
      <c r="N843" s="21">
        <f>ROUND(N842 + IF(AND(E843&lt;=10, F843&lt;&gt;"ASTM A416"), L843, 0), 3)</f>
        <v/>
      </c>
      <c r="O843" s="21">
        <f>ROUND(O842 + IF(AND(E843&gt;10, E843&lt;=18, F843&lt;&gt;"ASTM A416"), L843, 0), 3)</f>
        <v/>
      </c>
      <c r="P843" s="21">
        <f>ROUND(P842 + IF(AND(E843&gt;18, F843&lt;&gt;"ASTM A416"), L843, 0), 3)</f>
        <v/>
      </c>
      <c r="Q843" s="21">
        <f>ROUND(Q842 + IF(F843="ASTM A416", L843, 0), 3)</f>
        <v/>
      </c>
      <c r="R843" s="11">
        <f>IF(INT(N843/20)&gt;INT(N842/20), "Lần " &amp; INT(N843/20), "")</f>
        <v/>
      </c>
      <c r="S843" s="12">
        <f>IF(INT(O843/20)&gt;INT(O842/20), "Lần " &amp; INT(O843/20), "")</f>
        <v/>
      </c>
      <c r="T843" s="11">
        <f>IF(INT(P843/20)&gt;INT(P842/20), "Lần " &amp; INT(P843/20), "")</f>
        <v/>
      </c>
      <c r="U843" s="25">
        <f>IF(INT(Q843/20)&gt;INT(Q842/20), "Lần " &amp; INT(Q843/20), "")</f>
        <v/>
      </c>
      <c r="V843" s="6" t="inlineStr"/>
      <c r="W843" s="6" t="inlineStr">
        <is>
          <t>ĐẠT TCVN 1651:2018</t>
        </is>
      </c>
    </row>
    <row r="844" ht="19" customHeight="1">
      <c r="A844" s="6" t="n">
        <v>807</v>
      </c>
      <c r="B844" s="7" t="inlineStr">
        <is>
          <t>Gờ lan can BTCT</t>
        </is>
      </c>
      <c r="C844" s="7" t="inlineStr">
        <is>
          <t>LOẠI B1</t>
        </is>
      </c>
      <c r="D844" s="19" t="inlineStr">
        <is>
          <t>G5</t>
        </is>
      </c>
      <c r="E844" s="20" t="n">
        <v>14</v>
      </c>
      <c r="F844" s="6" t="inlineStr">
        <is>
          <t>CB400-V</t>
        </is>
      </c>
      <c r="G844" s="7" t="inlineStr">
        <is>
          <t>S01</t>
        </is>
      </c>
      <c r="H844" s="21" t="n">
        <v>5.91</v>
      </c>
      <c r="I844" s="22" t="n">
        <v>19</v>
      </c>
      <c r="J844" s="23" t="n">
        <v>1.21</v>
      </c>
      <c r="K844" s="9">
        <f>ROUND(H844*I844*J844, 2)</f>
        <v/>
      </c>
      <c r="L844" s="24">
        <f>ROUND(K844/1000, 3)</f>
        <v/>
      </c>
      <c r="M844" s="8" t="n"/>
      <c r="N844" s="21">
        <f>ROUND(N843 + IF(AND(E844&lt;=10, F844&lt;&gt;"ASTM A416"), L844, 0), 3)</f>
        <v/>
      </c>
      <c r="O844" s="21">
        <f>ROUND(O843 + IF(AND(E844&gt;10, E844&lt;=18, F844&lt;&gt;"ASTM A416"), L844, 0), 3)</f>
        <v/>
      </c>
      <c r="P844" s="21">
        <f>ROUND(P843 + IF(AND(E844&gt;18, F844&lt;&gt;"ASTM A416"), L844, 0), 3)</f>
        <v/>
      </c>
      <c r="Q844" s="21">
        <f>ROUND(Q843 + IF(F844="ASTM A416", L844, 0), 3)</f>
        <v/>
      </c>
      <c r="R844" s="11">
        <f>IF(INT(N844/20)&gt;INT(N843/20), "Lần " &amp; INT(N844/20), "")</f>
        <v/>
      </c>
      <c r="S844" s="12">
        <f>IF(INT(O844/20)&gt;INT(O843/20), "Lần " &amp; INT(O844/20), "")</f>
        <v/>
      </c>
      <c r="T844" s="11">
        <f>IF(INT(P844/20)&gt;INT(P843/20), "Lần " &amp; INT(P844/20), "")</f>
        <v/>
      </c>
      <c r="U844" s="25">
        <f>IF(INT(Q844/20)&gt;INT(Q843/20), "Lần " &amp; INT(Q844/20), "")</f>
        <v/>
      </c>
      <c r="V844" s="6" t="inlineStr"/>
      <c r="W844" s="6" t="inlineStr">
        <is>
          <t>ĐẠT TCVN 1651:2018</t>
        </is>
      </c>
    </row>
    <row r="845" ht="19" customHeight="1">
      <c r="A845" s="6" t="n">
        <v>808</v>
      </c>
      <c r="B845" s="7" t="inlineStr">
        <is>
          <t>Gờ lan can BTCT</t>
        </is>
      </c>
      <c r="C845" s="7" t="inlineStr">
        <is>
          <t>Gờ lan can 2 bên cầu</t>
        </is>
      </c>
      <c r="D845" s="19" t="inlineStr">
        <is>
          <t>G6</t>
        </is>
      </c>
      <c r="E845" s="20" t="n">
        <v>20</v>
      </c>
      <c r="F845" s="6" t="inlineStr">
        <is>
          <t>CB400-V</t>
        </is>
      </c>
      <c r="G845" s="7" t="inlineStr">
        <is>
          <t>S57</t>
        </is>
      </c>
      <c r="H845" s="21" t="n">
        <v>2.026</v>
      </c>
      <c r="I845" s="22" t="n">
        <v>41</v>
      </c>
      <c r="J845" s="23" t="n">
        <v>2.47</v>
      </c>
      <c r="K845" s="9">
        <f>ROUND(H845*I845*J845, 2)</f>
        <v/>
      </c>
      <c r="L845" s="24">
        <f>ROUND(K845/1000, 3)</f>
        <v/>
      </c>
      <c r="M845" s="8" t="n"/>
      <c r="N845" s="21">
        <f>ROUND(N844 + IF(AND(E845&lt;=10, F845&lt;&gt;"ASTM A416"), L845, 0), 3)</f>
        <v/>
      </c>
      <c r="O845" s="21">
        <f>ROUND(O844 + IF(AND(E845&gt;10, E845&lt;=18, F845&lt;&gt;"ASTM A416"), L845, 0), 3)</f>
        <v/>
      </c>
      <c r="P845" s="21">
        <f>ROUND(P844 + IF(AND(E845&gt;18, F845&lt;&gt;"ASTM A416"), L845, 0), 3)</f>
        <v/>
      </c>
      <c r="Q845" s="21">
        <f>ROUND(Q844 + IF(F845="ASTM A416", L845, 0), 3)</f>
        <v/>
      </c>
      <c r="R845" s="11">
        <f>IF(INT(N845/20)&gt;INT(N844/20), "Lần " &amp; INT(N845/20), "")</f>
        <v/>
      </c>
      <c r="S845" s="12">
        <f>IF(INT(O845/20)&gt;INT(O844/20), "Lần " &amp; INT(O845/20), "")</f>
        <v/>
      </c>
      <c r="T845" s="11">
        <f>IF(INT(P845/20)&gt;INT(P844/20), "Lần " &amp; INT(P845/20), "")</f>
        <v/>
      </c>
      <c r="U845" s="25">
        <f>IF(INT(Q845/20)&gt;INT(Q844/20), "Lần " &amp; INT(Q845/20), "")</f>
        <v/>
      </c>
      <c r="V845" s="6" t="inlineStr"/>
      <c r="W845" s="6" t="inlineStr">
        <is>
          <t>ĐẠT TCVN 1651:2018</t>
        </is>
      </c>
    </row>
    <row r="846" ht="19" customHeight="1">
      <c r="A846" s="6" t="n">
        <v>809</v>
      </c>
      <c r="B846" s="7" t="inlineStr">
        <is>
          <t>Gờ lan can BTCT</t>
        </is>
      </c>
      <c r="C846" s="7" t="inlineStr">
        <is>
          <t>Gờ lan can 2 bên cầu</t>
        </is>
      </c>
      <c r="D846" s="19" t="inlineStr">
        <is>
          <t>G7</t>
        </is>
      </c>
      <c r="E846" s="20" t="n">
        <v>14</v>
      </c>
      <c r="F846" s="6" t="inlineStr">
        <is>
          <t>CB400-V</t>
        </is>
      </c>
      <c r="G846" s="7" t="inlineStr">
        <is>
          <t>S29</t>
        </is>
      </c>
      <c r="H846" s="21" t="n">
        <v>1.371</v>
      </c>
      <c r="I846" s="22" t="n">
        <v>41</v>
      </c>
      <c r="J846" s="23" t="n">
        <v>1.21</v>
      </c>
      <c r="K846" s="9">
        <f>ROUND(H846*I846*J846, 2)</f>
        <v/>
      </c>
      <c r="L846" s="24">
        <f>ROUND(K846/1000, 3)</f>
        <v/>
      </c>
      <c r="M846" s="8" t="n"/>
      <c r="N846" s="21">
        <f>ROUND(N845 + IF(AND(E846&lt;=10, F846&lt;&gt;"ASTM A416"), L846, 0), 3)</f>
        <v/>
      </c>
      <c r="O846" s="21">
        <f>ROUND(O845 + IF(AND(E846&gt;10, E846&lt;=18, F846&lt;&gt;"ASTM A416"), L846, 0), 3)</f>
        <v/>
      </c>
      <c r="P846" s="21">
        <f>ROUND(P845 + IF(AND(E846&gt;18, F846&lt;&gt;"ASTM A416"), L846, 0), 3)</f>
        <v/>
      </c>
      <c r="Q846" s="21">
        <f>ROUND(Q845 + IF(F846="ASTM A416", L846, 0), 3)</f>
        <v/>
      </c>
      <c r="R846" s="11">
        <f>IF(INT(N846/20)&gt;INT(N845/20), "Lần " &amp; INT(N846/20), "")</f>
        <v/>
      </c>
      <c r="S846" s="12">
        <f>IF(INT(O846/20)&gt;INT(O845/20), "Lần " &amp; INT(O846/20), "")</f>
        <v/>
      </c>
      <c r="T846" s="11">
        <f>IF(INT(P846/20)&gt;INT(P845/20), "Lần " &amp; INT(P846/20), "")</f>
        <v/>
      </c>
      <c r="U846" s="25">
        <f>IF(INT(Q846/20)&gt;INT(Q845/20), "Lần " &amp; INT(Q846/20), "")</f>
        <v/>
      </c>
      <c r="V846" s="6" t="inlineStr"/>
      <c r="W846" s="6" t="inlineStr">
        <is>
          <t>ĐẠT TCVN 1651:2018</t>
        </is>
      </c>
    </row>
    <row r="847" ht="19" customHeight="1">
      <c r="A847" s="6" t="n">
        <v>810</v>
      </c>
      <c r="B847" s="7" t="inlineStr">
        <is>
          <t>Gờ lan can BTCT</t>
        </is>
      </c>
      <c r="C847" s="7" t="inlineStr">
        <is>
          <t>Gờ lan can 2 bên cầu</t>
        </is>
      </c>
      <c r="D847" s="19" t="inlineStr">
        <is>
          <t>G7A</t>
        </is>
      </c>
      <c r="E847" s="20" t="n">
        <v>20</v>
      </c>
      <c r="F847" s="6" t="inlineStr">
        <is>
          <t>CB400-V</t>
        </is>
      </c>
      <c r="G847" s="7" t="inlineStr">
        <is>
          <t>S05</t>
        </is>
      </c>
      <c r="H847" s="21" t="n">
        <v>1.182</v>
      </c>
      <c r="I847" s="22" t="n">
        <v>41</v>
      </c>
      <c r="J847" s="23" t="n">
        <v>2.47</v>
      </c>
      <c r="K847" s="9">
        <f>ROUND(H847*I847*J847, 2)</f>
        <v/>
      </c>
      <c r="L847" s="24">
        <f>ROUND(K847/1000, 3)</f>
        <v/>
      </c>
      <c r="M847" s="8" t="n"/>
      <c r="N847" s="21">
        <f>ROUND(N846 + IF(AND(E847&lt;=10, F847&lt;&gt;"ASTM A416"), L847, 0), 3)</f>
        <v/>
      </c>
      <c r="O847" s="21">
        <f>ROUND(O846 + IF(AND(E847&gt;10, E847&lt;=18, F847&lt;&gt;"ASTM A416"), L847, 0), 3)</f>
        <v/>
      </c>
      <c r="P847" s="21">
        <f>ROUND(P846 + IF(AND(E847&gt;18, F847&lt;&gt;"ASTM A416"), L847, 0), 3)</f>
        <v/>
      </c>
      <c r="Q847" s="21">
        <f>ROUND(Q846 + IF(F847="ASTM A416", L847, 0), 3)</f>
        <v/>
      </c>
      <c r="R847" s="11">
        <f>IF(INT(N847/20)&gt;INT(N846/20), "Lần " &amp; INT(N847/20), "")</f>
        <v/>
      </c>
      <c r="S847" s="12">
        <f>IF(INT(O847/20)&gt;INT(O846/20), "Lần " &amp; INT(O847/20), "")</f>
        <v/>
      </c>
      <c r="T847" s="11">
        <f>IF(INT(P847/20)&gt;INT(P846/20), "Lần " &amp; INT(P847/20), "")</f>
        <v/>
      </c>
      <c r="U847" s="25">
        <f>IF(INT(Q847/20)&gt;INT(Q846/20), "Lần " &amp; INT(Q847/20), "")</f>
        <v/>
      </c>
      <c r="V847" s="6" t="inlineStr"/>
      <c r="W847" s="6" t="inlineStr">
        <is>
          <t>ĐẠT TCVN 1651:2018</t>
        </is>
      </c>
    </row>
    <row r="848" ht="19" customHeight="1">
      <c r="A848" s="6" t="n">
        <v>811</v>
      </c>
      <c r="B848" s="7" t="inlineStr">
        <is>
          <t>Gờ lan can BTCT</t>
        </is>
      </c>
      <c r="C848" s="7" t="inlineStr">
        <is>
          <t>Gờ lan can 2 bên cầu</t>
        </is>
      </c>
      <c r="D848" s="19" t="inlineStr">
        <is>
          <t>G8A</t>
        </is>
      </c>
      <c r="E848" s="20" t="n">
        <v>12</v>
      </c>
      <c r="F848" s="6" t="inlineStr">
        <is>
          <t>CB400-V</t>
        </is>
      </c>
      <c r="G848" s="7" t="inlineStr">
        <is>
          <t>S06</t>
        </is>
      </c>
      <c r="H848" s="21" t="n">
        <v>0.26</v>
      </c>
      <c r="I848" s="22" t="n">
        <v>13</v>
      </c>
      <c r="J848" s="23" t="n">
        <v>0.888</v>
      </c>
      <c r="K848" s="9">
        <f>ROUND(H848*I848*J848, 2)</f>
        <v/>
      </c>
      <c r="L848" s="24">
        <f>ROUND(K848/1000, 3)</f>
        <v/>
      </c>
      <c r="M848" s="8" t="n"/>
      <c r="N848" s="21">
        <f>ROUND(N847 + IF(AND(E848&lt;=10, F848&lt;&gt;"ASTM A416"), L848, 0), 3)</f>
        <v/>
      </c>
      <c r="O848" s="21">
        <f>ROUND(O847 + IF(AND(E848&gt;10, E848&lt;=18, F848&lt;&gt;"ASTM A416"), L848, 0), 3)</f>
        <v/>
      </c>
      <c r="P848" s="21">
        <f>ROUND(P847 + IF(AND(E848&gt;18, F848&lt;&gt;"ASTM A416"), L848, 0), 3)</f>
        <v/>
      </c>
      <c r="Q848" s="21">
        <f>ROUND(Q847 + IF(F848="ASTM A416", L848, 0), 3)</f>
        <v/>
      </c>
      <c r="R848" s="11">
        <f>IF(INT(N848/20)&gt;INT(N847/20), "Lần " &amp; INT(N848/20), "")</f>
        <v/>
      </c>
      <c r="S848" s="12">
        <f>IF(INT(O848/20)&gt;INT(O847/20), "Lần " &amp; INT(O848/20), "")</f>
        <v/>
      </c>
      <c r="T848" s="11">
        <f>IF(INT(P848/20)&gt;INT(P847/20), "Lần " &amp; INT(P848/20), "")</f>
        <v/>
      </c>
      <c r="U848" s="25">
        <f>IF(INT(Q848/20)&gt;INT(Q847/20), "Lần " &amp; INT(Q848/20), "")</f>
        <v/>
      </c>
      <c r="V848" s="6" t="inlineStr"/>
      <c r="W848" s="6" t="inlineStr">
        <is>
          <t>ĐẠT TCVN 1651:2018</t>
        </is>
      </c>
    </row>
    <row r="849" ht="19" customHeight="1">
      <c r="A849" s="6" t="n">
        <v>812</v>
      </c>
      <c r="B849" s="7" t="inlineStr">
        <is>
          <t>Gờ lan can BTCT</t>
        </is>
      </c>
      <c r="C849" s="7" t="inlineStr">
        <is>
          <t>Gờ lan can 2 bên cầu</t>
        </is>
      </c>
      <c r="D849" s="19" t="inlineStr">
        <is>
          <t>G8B</t>
        </is>
      </c>
      <c r="E849" s="20" t="n">
        <v>12</v>
      </c>
      <c r="F849" s="6" t="inlineStr">
        <is>
          <t>CB400-V</t>
        </is>
      </c>
      <c r="G849" s="7" t="inlineStr">
        <is>
          <t>S06</t>
        </is>
      </c>
      <c r="H849" s="21" t="n">
        <v>0.306</v>
      </c>
      <c r="I849" s="22" t="n">
        <v>13</v>
      </c>
      <c r="J849" s="23" t="n">
        <v>0.888</v>
      </c>
      <c r="K849" s="9">
        <f>ROUND(H849*I849*J849, 2)</f>
        <v/>
      </c>
      <c r="L849" s="24">
        <f>ROUND(K849/1000, 3)</f>
        <v/>
      </c>
      <c r="M849" s="8" t="n"/>
      <c r="N849" s="21">
        <f>ROUND(N848 + IF(AND(E849&lt;=10, F849&lt;&gt;"ASTM A416"), L849, 0), 3)</f>
        <v/>
      </c>
      <c r="O849" s="21">
        <f>ROUND(O848 + IF(AND(E849&gt;10, E849&lt;=18, F849&lt;&gt;"ASTM A416"), L849, 0), 3)</f>
        <v/>
      </c>
      <c r="P849" s="21">
        <f>ROUND(P848 + IF(AND(E849&gt;18, F849&lt;&gt;"ASTM A416"), L849, 0), 3)</f>
        <v/>
      </c>
      <c r="Q849" s="21">
        <f>ROUND(Q848 + IF(F849="ASTM A416", L849, 0), 3)</f>
        <v/>
      </c>
      <c r="R849" s="11">
        <f>IF(INT(N849/20)&gt;INT(N848/20), "Lần " &amp; INT(N849/20), "")</f>
        <v/>
      </c>
      <c r="S849" s="12">
        <f>IF(INT(O849/20)&gt;INT(O848/20), "Lần " &amp; INT(O849/20), "")</f>
        <v/>
      </c>
      <c r="T849" s="11">
        <f>IF(INT(P849/20)&gt;INT(P848/20), "Lần " &amp; INT(P849/20), "")</f>
        <v/>
      </c>
      <c r="U849" s="25">
        <f>IF(INT(Q849/20)&gt;INT(Q848/20), "Lần " &amp; INT(Q849/20), "")</f>
        <v/>
      </c>
      <c r="V849" s="6" t="inlineStr"/>
      <c r="W849" s="6" t="inlineStr">
        <is>
          <t>ĐẠT TCVN 1651:2018</t>
        </is>
      </c>
    </row>
    <row r="850" ht="19" customHeight="1">
      <c r="A850" s="6" t="n">
        <v>813</v>
      </c>
      <c r="B850" s="7" t="inlineStr">
        <is>
          <t>Gờ lan can BTCT</t>
        </is>
      </c>
      <c r="C850" s="7" t="inlineStr">
        <is>
          <t>Gờ lan can 2 bên cầu</t>
        </is>
      </c>
      <c r="D850" s="19" t="inlineStr">
        <is>
          <t>G8C</t>
        </is>
      </c>
      <c r="E850" s="20" t="n">
        <v>12</v>
      </c>
      <c r="F850" s="6" t="inlineStr">
        <is>
          <t>CB400-V</t>
        </is>
      </c>
      <c r="G850" s="7" t="inlineStr">
        <is>
          <t>S06</t>
        </is>
      </c>
      <c r="H850" s="21" t="n">
        <v>0.417</v>
      </c>
      <c r="I850" s="22" t="n">
        <v>13</v>
      </c>
      <c r="J850" s="23" t="n">
        <v>0.888</v>
      </c>
      <c r="K850" s="9">
        <f>ROUND(H850*I850*J850, 2)</f>
        <v/>
      </c>
      <c r="L850" s="24">
        <f>ROUND(K850/1000, 3)</f>
        <v/>
      </c>
      <c r="M850" s="8" t="n"/>
      <c r="N850" s="21">
        <f>ROUND(N849 + IF(AND(E850&lt;=10, F850&lt;&gt;"ASTM A416"), L850, 0), 3)</f>
        <v/>
      </c>
      <c r="O850" s="21">
        <f>ROUND(O849 + IF(AND(E850&gt;10, E850&lt;=18, F850&lt;&gt;"ASTM A416"), L850, 0), 3)</f>
        <v/>
      </c>
      <c r="P850" s="21">
        <f>ROUND(P849 + IF(AND(E850&gt;18, F850&lt;&gt;"ASTM A416"), L850, 0), 3)</f>
        <v/>
      </c>
      <c r="Q850" s="21">
        <f>ROUND(Q849 + IF(F850="ASTM A416", L850, 0), 3)</f>
        <v/>
      </c>
      <c r="R850" s="11">
        <f>IF(INT(N850/20)&gt;INT(N849/20), "Lần " &amp; INT(N850/20), "")</f>
        <v/>
      </c>
      <c r="S850" s="12">
        <f>IF(INT(O850/20)&gt;INT(O849/20), "Lần " &amp; INT(O850/20), "")</f>
        <v/>
      </c>
      <c r="T850" s="11">
        <f>IF(INT(P850/20)&gt;INT(P849/20), "Lần " &amp; INT(P850/20), "")</f>
        <v/>
      </c>
      <c r="U850" s="25">
        <f>IF(INT(Q850/20)&gt;INT(Q849/20), "Lần " &amp; INT(Q850/20), "")</f>
        <v/>
      </c>
      <c r="V850" s="6" t="inlineStr"/>
      <c r="W850" s="6" t="inlineStr">
        <is>
          <t>ĐẠT TCVN 1651:2018</t>
        </is>
      </c>
    </row>
    <row r="851" ht="19" customHeight="1">
      <c r="A851" s="6" t="n">
        <v>814</v>
      </c>
      <c r="B851" s="7" t="inlineStr">
        <is>
          <t>Gờ lan can BTCT</t>
        </is>
      </c>
      <c r="C851" s="7" t="inlineStr">
        <is>
          <t>LOẠI B2</t>
        </is>
      </c>
      <c r="D851" s="19" t="inlineStr">
        <is>
          <t>G5A</t>
        </is>
      </c>
      <c r="E851" s="20" t="n">
        <v>14</v>
      </c>
      <c r="F851" s="6" t="inlineStr">
        <is>
          <t>CB400-V</t>
        </is>
      </c>
      <c r="G851" s="7" t="inlineStr">
        <is>
          <t>S01</t>
        </is>
      </c>
      <c r="H851" s="21" t="n">
        <v>4.12</v>
      </c>
      <c r="I851" s="22" t="n">
        <v>19</v>
      </c>
      <c r="J851" s="23" t="n">
        <v>1.21</v>
      </c>
      <c r="K851" s="9">
        <f>ROUND(H851*I851*J851, 2)</f>
        <v/>
      </c>
      <c r="L851" s="24">
        <f>ROUND(K851/1000, 3)</f>
        <v/>
      </c>
      <c r="M851" s="8" t="n"/>
      <c r="N851" s="21">
        <f>ROUND(N850 + IF(AND(E851&lt;=10, F851&lt;&gt;"ASTM A416"), L851, 0), 3)</f>
        <v/>
      </c>
      <c r="O851" s="21">
        <f>ROUND(O850 + IF(AND(E851&gt;10, E851&lt;=18, F851&lt;&gt;"ASTM A416"), L851, 0), 3)</f>
        <v/>
      </c>
      <c r="P851" s="21">
        <f>ROUND(P850 + IF(AND(E851&gt;18, F851&lt;&gt;"ASTM A416"), L851, 0), 3)</f>
        <v/>
      </c>
      <c r="Q851" s="21">
        <f>ROUND(Q850 + IF(F851="ASTM A416", L851, 0), 3)</f>
        <v/>
      </c>
      <c r="R851" s="11">
        <f>IF(INT(N851/20)&gt;INT(N850/20), "Lần " &amp; INT(N851/20), "")</f>
        <v/>
      </c>
      <c r="S851" s="12">
        <f>IF(INT(O851/20)&gt;INT(O850/20), "Lần " &amp; INT(O851/20), "")</f>
        <v/>
      </c>
      <c r="T851" s="11">
        <f>IF(INT(P851/20)&gt;INT(P850/20), "Lần " &amp; INT(P851/20), "")</f>
        <v/>
      </c>
      <c r="U851" s="25">
        <f>IF(INT(Q851/20)&gt;INT(Q850/20), "Lần " &amp; INT(Q851/20), "")</f>
        <v/>
      </c>
      <c r="V851" s="6" t="inlineStr"/>
      <c r="W851" s="6" t="inlineStr">
        <is>
          <t>ĐẠT TCVN 1651:2018</t>
        </is>
      </c>
    </row>
    <row r="852" ht="19" customHeight="1">
      <c r="A852" s="6" t="n">
        <v>815</v>
      </c>
      <c r="B852" s="7" t="inlineStr">
        <is>
          <t>Gờ lan can BTCT</t>
        </is>
      </c>
      <c r="C852" s="7" t="inlineStr">
        <is>
          <t>Gờ lan can 2 bên cầu</t>
        </is>
      </c>
      <c r="D852" s="19" t="inlineStr">
        <is>
          <t>G6</t>
        </is>
      </c>
      <c r="E852" s="20" t="n">
        <v>20</v>
      </c>
      <c r="F852" s="6" t="inlineStr">
        <is>
          <t>CB400-V</t>
        </is>
      </c>
      <c r="G852" s="7" t="inlineStr">
        <is>
          <t>S57</t>
        </is>
      </c>
      <c r="H852" s="21" t="n">
        <v>2.026</v>
      </c>
      <c r="I852" s="22" t="n">
        <v>28</v>
      </c>
      <c r="J852" s="23" t="n">
        <v>2.47</v>
      </c>
      <c r="K852" s="9">
        <f>ROUND(H852*I852*J852, 2)</f>
        <v/>
      </c>
      <c r="L852" s="24">
        <f>ROUND(K852/1000, 3)</f>
        <v/>
      </c>
      <c r="M852" s="8" t="n"/>
      <c r="N852" s="21">
        <f>ROUND(N851 + IF(AND(E852&lt;=10, F852&lt;&gt;"ASTM A416"), L852, 0), 3)</f>
        <v/>
      </c>
      <c r="O852" s="21">
        <f>ROUND(O851 + IF(AND(E852&gt;10, E852&lt;=18, F852&lt;&gt;"ASTM A416"), L852, 0), 3)</f>
        <v/>
      </c>
      <c r="P852" s="21">
        <f>ROUND(P851 + IF(AND(E852&gt;18, F852&lt;&gt;"ASTM A416"), L852, 0), 3)</f>
        <v/>
      </c>
      <c r="Q852" s="21">
        <f>ROUND(Q851 + IF(F852="ASTM A416", L852, 0), 3)</f>
        <v/>
      </c>
      <c r="R852" s="11">
        <f>IF(INT(N852/20)&gt;INT(N851/20), "Lần " &amp; INT(N852/20), "")</f>
        <v/>
      </c>
      <c r="S852" s="12">
        <f>IF(INT(O852/20)&gt;INT(O851/20), "Lần " &amp; INT(O852/20), "")</f>
        <v/>
      </c>
      <c r="T852" s="11">
        <f>IF(INT(P852/20)&gt;INT(P851/20), "Lần " &amp; INT(P852/20), "")</f>
        <v/>
      </c>
      <c r="U852" s="25">
        <f>IF(INT(Q852/20)&gt;INT(Q851/20), "Lần " &amp; INT(Q852/20), "")</f>
        <v/>
      </c>
      <c r="V852" s="6" t="inlineStr"/>
      <c r="W852" s="6" t="inlineStr">
        <is>
          <t>ĐẠT TCVN 1651:2018</t>
        </is>
      </c>
    </row>
    <row r="853" ht="19" customHeight="1">
      <c r="A853" s="6" t="n">
        <v>816</v>
      </c>
      <c r="B853" s="7" t="inlineStr">
        <is>
          <t>Gờ lan can BTCT</t>
        </is>
      </c>
      <c r="C853" s="7" t="inlineStr">
        <is>
          <t>Gờ lan can 2 bên cầu</t>
        </is>
      </c>
      <c r="D853" s="19" t="inlineStr">
        <is>
          <t>G7</t>
        </is>
      </c>
      <c r="E853" s="20" t="n">
        <v>14</v>
      </c>
      <c r="F853" s="6" t="inlineStr">
        <is>
          <t>CB400-V</t>
        </is>
      </c>
      <c r="G853" s="7" t="inlineStr">
        <is>
          <t>S29</t>
        </is>
      </c>
      <c r="H853" s="21" t="n">
        <v>1.371</v>
      </c>
      <c r="I853" s="22" t="n">
        <v>28</v>
      </c>
      <c r="J853" s="23" t="n">
        <v>1.21</v>
      </c>
      <c r="K853" s="9">
        <f>ROUND(H853*I853*J853, 2)</f>
        <v/>
      </c>
      <c r="L853" s="24">
        <f>ROUND(K853/1000, 3)</f>
        <v/>
      </c>
      <c r="M853" s="8" t="n"/>
      <c r="N853" s="21">
        <f>ROUND(N852 + IF(AND(E853&lt;=10, F853&lt;&gt;"ASTM A416"), L853, 0), 3)</f>
        <v/>
      </c>
      <c r="O853" s="21">
        <f>ROUND(O852 + IF(AND(E853&gt;10, E853&lt;=18, F853&lt;&gt;"ASTM A416"), L853, 0), 3)</f>
        <v/>
      </c>
      <c r="P853" s="21">
        <f>ROUND(P852 + IF(AND(E853&gt;18, F853&lt;&gt;"ASTM A416"), L853, 0), 3)</f>
        <v/>
      </c>
      <c r="Q853" s="21">
        <f>ROUND(Q852 + IF(F853="ASTM A416", L853, 0), 3)</f>
        <v/>
      </c>
      <c r="R853" s="11">
        <f>IF(INT(N853/20)&gt;INT(N852/20), "Lần " &amp; INT(N853/20), "")</f>
        <v/>
      </c>
      <c r="S853" s="12">
        <f>IF(INT(O853/20)&gt;INT(O852/20), "Lần " &amp; INT(O853/20), "")</f>
        <v/>
      </c>
      <c r="T853" s="11">
        <f>IF(INT(P853/20)&gt;INT(P852/20), "Lần " &amp; INT(P853/20), "")</f>
        <v/>
      </c>
      <c r="U853" s="25">
        <f>IF(INT(Q853/20)&gt;INT(Q852/20), "Lần " &amp; INT(Q853/20), "")</f>
        <v/>
      </c>
      <c r="V853" s="6" t="inlineStr"/>
      <c r="W853" s="6" t="inlineStr">
        <is>
          <t>ĐẠT TCVN 1651:2018</t>
        </is>
      </c>
    </row>
    <row r="854" ht="19" customHeight="1">
      <c r="A854" s="6" t="n">
        <v>817</v>
      </c>
      <c r="B854" s="7" t="inlineStr">
        <is>
          <t>Gờ lan can BTCT</t>
        </is>
      </c>
      <c r="C854" s="7" t="inlineStr">
        <is>
          <t>Gờ lan can 2 bên cầu</t>
        </is>
      </c>
      <c r="D854" s="19" t="inlineStr">
        <is>
          <t>G7A</t>
        </is>
      </c>
      <c r="E854" s="20" t="n">
        <v>20</v>
      </c>
      <c r="F854" s="6" t="inlineStr">
        <is>
          <t>CB400-V</t>
        </is>
      </c>
      <c r="G854" s="7" t="inlineStr">
        <is>
          <t>S05</t>
        </is>
      </c>
      <c r="H854" s="21" t="n">
        <v>1.182</v>
      </c>
      <c r="I854" s="22" t="n">
        <v>28</v>
      </c>
      <c r="J854" s="23" t="n">
        <v>2.47</v>
      </c>
      <c r="K854" s="9">
        <f>ROUND(H854*I854*J854, 2)</f>
        <v/>
      </c>
      <c r="L854" s="24">
        <f>ROUND(K854/1000, 3)</f>
        <v/>
      </c>
      <c r="M854" s="8" t="n"/>
      <c r="N854" s="21">
        <f>ROUND(N853 + IF(AND(E854&lt;=10, F854&lt;&gt;"ASTM A416"), L854, 0), 3)</f>
        <v/>
      </c>
      <c r="O854" s="21">
        <f>ROUND(O853 + IF(AND(E854&gt;10, E854&lt;=18, F854&lt;&gt;"ASTM A416"), L854, 0), 3)</f>
        <v/>
      </c>
      <c r="P854" s="21">
        <f>ROUND(P853 + IF(AND(E854&gt;18, F854&lt;&gt;"ASTM A416"), L854, 0), 3)</f>
        <v/>
      </c>
      <c r="Q854" s="21">
        <f>ROUND(Q853 + IF(F854="ASTM A416", L854, 0), 3)</f>
        <v/>
      </c>
      <c r="R854" s="11">
        <f>IF(INT(N854/20)&gt;INT(N853/20), "Lần " &amp; INT(N854/20), "")</f>
        <v/>
      </c>
      <c r="S854" s="12">
        <f>IF(INT(O854/20)&gt;INT(O853/20), "Lần " &amp; INT(O854/20), "")</f>
        <v/>
      </c>
      <c r="T854" s="11">
        <f>IF(INT(P854/20)&gt;INT(P853/20), "Lần " &amp; INT(P854/20), "")</f>
        <v/>
      </c>
      <c r="U854" s="25">
        <f>IF(INT(Q854/20)&gt;INT(Q853/20), "Lần " &amp; INT(Q854/20), "")</f>
        <v/>
      </c>
      <c r="V854" s="6" t="inlineStr"/>
      <c r="W854" s="6" t="inlineStr">
        <is>
          <t>ĐẠT TCVN 1651:2018</t>
        </is>
      </c>
    </row>
    <row r="855" ht="19" customHeight="1">
      <c r="A855" s="6" t="n">
        <v>818</v>
      </c>
      <c r="B855" s="7" t="inlineStr">
        <is>
          <t>Gờ lan can BTCT</t>
        </is>
      </c>
      <c r="C855" s="7" t="inlineStr">
        <is>
          <t>Gờ lan can 2 bên cầu</t>
        </is>
      </c>
      <c r="D855" s="19" t="inlineStr">
        <is>
          <t>G8A</t>
        </is>
      </c>
      <c r="E855" s="20" t="n">
        <v>12</v>
      </c>
      <c r="F855" s="6" t="inlineStr">
        <is>
          <t>CB400-V</t>
        </is>
      </c>
      <c r="G855" s="7" t="inlineStr">
        <is>
          <t>S06</t>
        </is>
      </c>
      <c r="H855" s="21" t="n">
        <v>0.26</v>
      </c>
      <c r="I855" s="22" t="n">
        <v>9</v>
      </c>
      <c r="J855" s="23" t="n">
        <v>0.888</v>
      </c>
      <c r="K855" s="9">
        <f>ROUND(H855*I855*J855, 2)</f>
        <v/>
      </c>
      <c r="L855" s="24">
        <f>ROUND(K855/1000, 3)</f>
        <v/>
      </c>
      <c r="M855" s="8" t="n"/>
      <c r="N855" s="21">
        <f>ROUND(N854 + IF(AND(E855&lt;=10, F855&lt;&gt;"ASTM A416"), L855, 0), 3)</f>
        <v/>
      </c>
      <c r="O855" s="21">
        <f>ROUND(O854 + IF(AND(E855&gt;10, E855&lt;=18, F855&lt;&gt;"ASTM A416"), L855, 0), 3)</f>
        <v/>
      </c>
      <c r="P855" s="21">
        <f>ROUND(P854 + IF(AND(E855&gt;18, F855&lt;&gt;"ASTM A416"), L855, 0), 3)</f>
        <v/>
      </c>
      <c r="Q855" s="21">
        <f>ROUND(Q854 + IF(F855="ASTM A416", L855, 0), 3)</f>
        <v/>
      </c>
      <c r="R855" s="11">
        <f>IF(INT(N855/20)&gt;INT(N854/20), "Lần " &amp; INT(N855/20), "")</f>
        <v/>
      </c>
      <c r="S855" s="12">
        <f>IF(INT(O855/20)&gt;INT(O854/20), "Lần " &amp; INT(O855/20), "")</f>
        <v/>
      </c>
      <c r="T855" s="11">
        <f>IF(INT(P855/20)&gt;INT(P854/20), "Lần " &amp; INT(P855/20), "")</f>
        <v/>
      </c>
      <c r="U855" s="25">
        <f>IF(INT(Q855/20)&gt;INT(Q854/20), "Lần " &amp; INT(Q855/20), "")</f>
        <v/>
      </c>
      <c r="V855" s="6" t="inlineStr"/>
      <c r="W855" s="6" t="inlineStr">
        <is>
          <t>ĐẠT TCVN 1651:2018</t>
        </is>
      </c>
    </row>
    <row r="856" ht="19" customHeight="1">
      <c r="A856" s="6" t="n">
        <v>819</v>
      </c>
      <c r="B856" s="7" t="inlineStr">
        <is>
          <t>Gờ lan can BTCT</t>
        </is>
      </c>
      <c r="C856" s="7" t="inlineStr">
        <is>
          <t>Gờ lan can 2 bên cầu</t>
        </is>
      </c>
      <c r="D856" s="19" t="inlineStr">
        <is>
          <t>G8B</t>
        </is>
      </c>
      <c r="E856" s="20" t="n">
        <v>12</v>
      </c>
      <c r="F856" s="6" t="inlineStr">
        <is>
          <t>CB400-V</t>
        </is>
      </c>
      <c r="G856" s="7" t="inlineStr">
        <is>
          <t>S06</t>
        </is>
      </c>
      <c r="H856" s="21" t="n">
        <v>0.306</v>
      </c>
      <c r="I856" s="22" t="n">
        <v>9</v>
      </c>
      <c r="J856" s="23" t="n">
        <v>0.888</v>
      </c>
      <c r="K856" s="9">
        <f>ROUND(H856*I856*J856, 2)</f>
        <v/>
      </c>
      <c r="L856" s="24">
        <f>ROUND(K856/1000, 3)</f>
        <v/>
      </c>
      <c r="M856" s="8" t="n"/>
      <c r="N856" s="21">
        <f>ROUND(N855 + IF(AND(E856&lt;=10, F856&lt;&gt;"ASTM A416"), L856, 0), 3)</f>
        <v/>
      </c>
      <c r="O856" s="21">
        <f>ROUND(O855 + IF(AND(E856&gt;10, E856&lt;=18, F856&lt;&gt;"ASTM A416"), L856, 0), 3)</f>
        <v/>
      </c>
      <c r="P856" s="21">
        <f>ROUND(P855 + IF(AND(E856&gt;18, F856&lt;&gt;"ASTM A416"), L856, 0), 3)</f>
        <v/>
      </c>
      <c r="Q856" s="21">
        <f>ROUND(Q855 + IF(F856="ASTM A416", L856, 0), 3)</f>
        <v/>
      </c>
      <c r="R856" s="11">
        <f>IF(INT(N856/20)&gt;INT(N855/20), "Lần " &amp; INT(N856/20), "")</f>
        <v/>
      </c>
      <c r="S856" s="12">
        <f>IF(INT(O856/20)&gt;INT(O855/20), "Lần " &amp; INT(O856/20), "")</f>
        <v/>
      </c>
      <c r="T856" s="11">
        <f>IF(INT(P856/20)&gt;INT(P855/20), "Lần " &amp; INT(P856/20), "")</f>
        <v/>
      </c>
      <c r="U856" s="25">
        <f>IF(INT(Q856/20)&gt;INT(Q855/20), "Lần " &amp; INT(Q856/20), "")</f>
        <v/>
      </c>
      <c r="V856" s="6" t="inlineStr"/>
      <c r="W856" s="6" t="inlineStr">
        <is>
          <t>ĐẠT TCVN 1651:2018</t>
        </is>
      </c>
    </row>
    <row r="857" ht="19" customHeight="1">
      <c r="A857" s="6" t="n">
        <v>820</v>
      </c>
      <c r="B857" s="7" t="inlineStr">
        <is>
          <t>Gờ lan can BTCT</t>
        </is>
      </c>
      <c r="C857" s="7" t="inlineStr">
        <is>
          <t>Gờ lan can 2 bên cầu</t>
        </is>
      </c>
      <c r="D857" s="19" t="inlineStr">
        <is>
          <t>G8C</t>
        </is>
      </c>
      <c r="E857" s="20" t="n">
        <v>12</v>
      </c>
      <c r="F857" s="6" t="inlineStr">
        <is>
          <t>CB400-V</t>
        </is>
      </c>
      <c r="G857" s="7" t="inlineStr">
        <is>
          <t>S06</t>
        </is>
      </c>
      <c r="H857" s="21" t="n">
        <v>0.417</v>
      </c>
      <c r="I857" s="22" t="n">
        <v>9</v>
      </c>
      <c r="J857" s="23" t="n">
        <v>0.888</v>
      </c>
      <c r="K857" s="9">
        <f>ROUND(H857*I857*J857, 2)</f>
        <v/>
      </c>
      <c r="L857" s="24">
        <f>ROUND(K857/1000, 3)</f>
        <v/>
      </c>
      <c r="M857" s="8" t="n"/>
      <c r="N857" s="21">
        <f>ROUND(N856 + IF(AND(E857&lt;=10, F857&lt;&gt;"ASTM A416"), L857, 0), 3)</f>
        <v/>
      </c>
      <c r="O857" s="21">
        <f>ROUND(O856 + IF(AND(E857&gt;10, E857&lt;=18, F857&lt;&gt;"ASTM A416"), L857, 0), 3)</f>
        <v/>
      </c>
      <c r="P857" s="21">
        <f>ROUND(P856 + IF(AND(E857&gt;18, F857&lt;&gt;"ASTM A416"), L857, 0), 3)</f>
        <v/>
      </c>
      <c r="Q857" s="21">
        <f>ROUND(Q856 + IF(F857="ASTM A416", L857, 0), 3)</f>
        <v/>
      </c>
      <c r="R857" s="11">
        <f>IF(INT(N857/20)&gt;INT(N856/20), "Lần " &amp; INT(N857/20), "")</f>
        <v/>
      </c>
      <c r="S857" s="12">
        <f>IF(INT(O857/20)&gt;INT(O856/20), "Lần " &amp; INT(O857/20), "")</f>
        <v/>
      </c>
      <c r="T857" s="11">
        <f>IF(INT(P857/20)&gt;INT(P856/20), "Lần " &amp; INT(P857/20), "")</f>
        <v/>
      </c>
      <c r="U857" s="25">
        <f>IF(INT(Q857/20)&gt;INT(Q856/20), "Lần " &amp; INT(Q857/20), "")</f>
        <v/>
      </c>
      <c r="V857" s="6" t="inlineStr"/>
      <c r="W857" s="6" t="inlineStr">
        <is>
          <t>ĐẠT TCVN 1651:2018</t>
        </is>
      </c>
    </row>
    <row r="858" ht="20" customHeight="1">
      <c r="A858" s="18" t="inlineStr">
        <is>
          <t>--- CÁP DỰ ỨNG LỰC 15.2MM DẦM SUPER-T L=38.2M (15 PHIẾN DẦM) ---</t>
        </is>
      </c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</row>
    <row r="859" ht="19" customHeight="1">
      <c r="A859" s="6" t="n">
        <v>821</v>
      </c>
      <c r="B859" s="7" t="inlineStr">
        <is>
          <t>Dầm chủ Super-T (15 phiến)</t>
        </is>
      </c>
      <c r="C859" s="7" t="inlineStr">
        <is>
          <t>Bó cáp DƯL ngoài (Bó 43, 44)</t>
        </is>
      </c>
      <c r="D859" s="19" t="inlineStr">
        <is>
          <t>Cáp-01</t>
        </is>
      </c>
      <c r="E859" s="26" t="n">
        <v>15.2</v>
      </c>
      <c r="F859" s="6" t="inlineStr">
        <is>
          <t>ASTM A416</t>
        </is>
      </c>
      <c r="G859" s="7" t="inlineStr">
        <is>
          <t>Bó 7 sợi xoắn Gr270</t>
        </is>
      </c>
      <c r="H859" s="21" t="n">
        <v>38.2</v>
      </c>
      <c r="I859" s="22" t="n">
        <v>30</v>
      </c>
      <c r="J859" s="23" t="n">
        <v>1.102</v>
      </c>
      <c r="K859" s="9">
        <f>ROUND(H859*I859*J859, 2)</f>
        <v/>
      </c>
      <c r="L859" s="24">
        <f>ROUND(K859/1000, 3)</f>
        <v/>
      </c>
      <c r="M859" s="8" t="n"/>
      <c r="N859" s="21">
        <f>ROUND(N857 + IF(AND(E859&lt;=10, F859&lt;&gt;"ASTM A416"), L859, 0), 3)</f>
        <v/>
      </c>
      <c r="O859" s="21">
        <f>ROUND(O857 + IF(AND(E859&gt;10, E859&lt;=18, F859&lt;&gt;"ASTM A416"), L859, 0), 3)</f>
        <v/>
      </c>
      <c r="P859" s="21">
        <f>ROUND(P857 + IF(AND(E859&gt;18, F859&lt;&gt;"ASTM A416"), L859, 0), 3)</f>
        <v/>
      </c>
      <c r="Q859" s="21">
        <f>ROUND(Q857 + IF(F859="ASTM A416", L859, 0), 3)</f>
        <v/>
      </c>
      <c r="R859" s="11">
        <f>IF(INT(N859/20)&gt;INT(N857/20), "Lần " &amp; INT(N859/20), "")</f>
        <v/>
      </c>
      <c r="S859" s="12">
        <f>IF(INT(O859/20)&gt;INT(O857/20), "Lần " &amp; INT(O859/20), "")</f>
        <v/>
      </c>
      <c r="T859" s="11">
        <f>IF(INT(P859/20)&gt;INT(P857/20), "Lần " &amp; INT(P859/20), "")</f>
        <v/>
      </c>
      <c r="U859" s="25">
        <f>IF(INT(Q859/20)&gt;INT(Q857/20), "Lần " &amp; INT(Q859/20), "")</f>
        <v/>
      </c>
      <c r="V859" s="6" t="inlineStr"/>
      <c r="W859" s="6" t="inlineStr">
        <is>
          <t>ĐẠT TCVN 1651:2018</t>
        </is>
      </c>
    </row>
    <row r="860" ht="19" customHeight="1">
      <c r="A860" s="6" t="n">
        <v>822</v>
      </c>
      <c r="B860" s="7" t="inlineStr">
        <is>
          <t>Dầm chủ Super-T (15 phiến)</t>
        </is>
      </c>
      <c r="C860" s="7" t="inlineStr">
        <is>
          <t>Bó cáp DƯL trong (Bó 1..42)</t>
        </is>
      </c>
      <c r="D860" s="19" t="inlineStr">
        <is>
          <t>Cáp-02</t>
        </is>
      </c>
      <c r="E860" s="26" t="n">
        <v>15.2</v>
      </c>
      <c r="F860" s="6" t="inlineStr">
        <is>
          <t>ASTM A416</t>
        </is>
      </c>
      <c r="G860" s="7" t="inlineStr">
        <is>
          <t>Bó 7 sợi xoắn Gr270</t>
        </is>
      </c>
      <c r="H860" s="21" t="n">
        <v>38.2</v>
      </c>
      <c r="I860" s="22" t="n">
        <v>630</v>
      </c>
      <c r="J860" s="23" t="n">
        <v>1.102</v>
      </c>
      <c r="K860" s="9">
        <f>ROUND(H860*I860*J860, 2)</f>
        <v/>
      </c>
      <c r="L860" s="24">
        <f>ROUND(K860/1000, 3)</f>
        <v/>
      </c>
      <c r="M860" s="8" t="n"/>
      <c r="N860" s="21">
        <f>ROUND(N859 + IF(AND(E860&lt;=10, F860&lt;&gt;"ASTM A416"), L860, 0), 3)</f>
        <v/>
      </c>
      <c r="O860" s="21">
        <f>ROUND(O859 + IF(AND(E860&gt;10, E860&lt;=18, F860&lt;&gt;"ASTM A416"), L860, 0), 3)</f>
        <v/>
      </c>
      <c r="P860" s="21">
        <f>ROUND(P859 + IF(AND(E860&gt;18, F860&lt;&gt;"ASTM A416"), L860, 0), 3)</f>
        <v/>
      </c>
      <c r="Q860" s="21">
        <f>ROUND(Q859 + IF(F860="ASTM A416", L860, 0), 3)</f>
        <v/>
      </c>
      <c r="R860" s="11">
        <f>IF(INT(N860/20)&gt;INT(N859/20), "Lần " &amp; INT(N860/20), "")</f>
        <v/>
      </c>
      <c r="S860" s="12">
        <f>IF(INT(O860/20)&gt;INT(O859/20), "Lần " &amp; INT(O860/20), "")</f>
        <v/>
      </c>
      <c r="T860" s="11">
        <f>IF(INT(P860/20)&gt;INT(P859/20), "Lần " &amp; INT(P860/20), "")</f>
        <v/>
      </c>
      <c r="U860" s="25">
        <f>IF(INT(Q860/20)&gt;INT(Q859/20), "Lần " &amp; INT(Q860/20), "")</f>
        <v/>
      </c>
      <c r="V860" s="6" t="inlineStr"/>
      <c r="W860" s="6" t="inlineStr">
        <is>
          <t>ĐẠT TCVN 1651:2018</t>
        </is>
      </c>
    </row>
    <row r="861" ht="25" customHeight="1">
      <c r="A861" s="13" t="inlineStr">
        <is>
          <t>TỔNG CỘNG KHỐI LƯỢNG CỐT THÉP &amp; CÁP DƯL TOÀN BỘ CÔNG TRÌNH</t>
        </is>
      </c>
      <c r="B861" s="14" t="n"/>
      <c r="C861" s="14" t="n"/>
      <c r="D861" s="14" t="n"/>
      <c r="E861" s="14" t="n"/>
      <c r="F861" s="14" t="n"/>
      <c r="G861" s="14" t="n"/>
      <c r="H861" s="14" t="n"/>
      <c r="I861" s="14" t="n"/>
      <c r="J861" s="14" t="n"/>
      <c r="K861" s="15">
        <f>SUM(K4:K860)</f>
        <v/>
      </c>
      <c r="L861" s="27">
        <f>SUM(L4:L860)</f>
        <v/>
      </c>
      <c r="M861" s="28" t="inlineStr"/>
      <c r="N861" s="27">
        <f>N860</f>
        <v/>
      </c>
      <c r="O861" s="27">
        <f>O860</f>
        <v/>
      </c>
      <c r="P861" s="27">
        <f>P860</f>
        <v/>
      </c>
      <c r="Q861" s="27">
        <f>Q860</f>
        <v/>
      </c>
      <c r="R861" s="13">
        <f>"Tổng: " &amp; INT(N860/20) &amp; " lần"</f>
        <v/>
      </c>
      <c r="S861" s="13">
        <f>"Tổng: " &amp; INT(O860/20) &amp; " lần"</f>
        <v/>
      </c>
      <c r="T861" s="13">
        <f>"Tổng: " &amp; INT(P860/20) &amp; " lần"</f>
        <v/>
      </c>
      <c r="U861" s="13">
        <f>"Tổng: " &amp; INT(Q860/20) &amp; " lần"</f>
        <v/>
      </c>
      <c r="V861" s="28" t="inlineStr"/>
      <c r="W861" s="13" t="inlineStr">
        <is>
          <t>100% ĐẠT CHUẨN</t>
        </is>
      </c>
    </row>
  </sheetData>
  <mergeCells count="54">
    <mergeCell ref="A102:W102"/>
    <mergeCell ref="A858:W858"/>
    <mergeCell ref="C1:C2"/>
    <mergeCell ref="E1:E2"/>
    <mergeCell ref="K1:K2"/>
    <mergeCell ref="V1:V2"/>
    <mergeCell ref="A691:W691"/>
    <mergeCell ref="M1:M2"/>
    <mergeCell ref="A222:W222"/>
    <mergeCell ref="A60:W60"/>
    <mergeCell ref="W1:W2"/>
    <mergeCell ref="A207:W207"/>
    <mergeCell ref="A132:W132"/>
    <mergeCell ref="A461:W461"/>
    <mergeCell ref="R1:U1"/>
    <mergeCell ref="A237:W237"/>
    <mergeCell ref="A88:W88"/>
    <mergeCell ref="A359:W359"/>
    <mergeCell ref="A162:W162"/>
    <mergeCell ref="A427:W427"/>
    <mergeCell ref="B1:B2"/>
    <mergeCell ref="L1:L2"/>
    <mergeCell ref="A252:W252"/>
    <mergeCell ref="A410:W410"/>
    <mergeCell ref="A46:W46"/>
    <mergeCell ref="A177:W177"/>
    <mergeCell ref="A444:W444"/>
    <mergeCell ref="A817:W817"/>
    <mergeCell ref="A282:W282"/>
    <mergeCell ref="A18:W18"/>
    <mergeCell ref="A192:W192"/>
    <mergeCell ref="A74:W74"/>
    <mergeCell ref="A267:W267"/>
    <mergeCell ref="A376:W376"/>
    <mergeCell ref="A861:J861"/>
    <mergeCell ref="A3:W3"/>
    <mergeCell ref="G1:G2"/>
    <mergeCell ref="A297:W297"/>
    <mergeCell ref="I1:I2"/>
    <mergeCell ref="A393:W393"/>
    <mergeCell ref="A468:W468"/>
    <mergeCell ref="A32:W32"/>
    <mergeCell ref="A312:W312"/>
    <mergeCell ref="N1:Q1"/>
    <mergeCell ref="A4:W4"/>
    <mergeCell ref="A327:W327"/>
    <mergeCell ref="A342:W342"/>
    <mergeCell ref="D1:D2"/>
    <mergeCell ref="A147:W147"/>
    <mergeCell ref="F1:F2"/>
    <mergeCell ref="H1:H2"/>
    <mergeCell ref="J1:J2"/>
    <mergeCell ref="A117:W117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22" customWidth="1" min="3" max="3"/>
    <col width="26" customWidth="1" min="4" max="4"/>
    <col width="12" customWidth="1" min="5" max="5"/>
    <col width="22" customWidth="1" min="6" max="6"/>
    <col width="24" customWidth="1" min="7" max="7"/>
    <col width="36" customWidth="1" min="8" max="8"/>
    <col width="28" customWidth="1" min="9" max="9"/>
  </cols>
  <sheetData>
    <row r="1">
      <c r="A1" s="29" t="inlineStr">
        <is>
          <t>BẢNG TỔNG HỢP KẾ HOẠCH &amp; TẦN SUẤT THÍ NGHIỆM VẬT LIỆU ĐẦU VÀO TOÀN DỰ ÁN</t>
        </is>
      </c>
    </row>
    <row r="2">
      <c r="A2" s="30" t="inlineStr">
        <is>
          <t>Dự án: Cầu Km19+529.080 | Tiêu chuẩn: Luật Xây dựng 135/2025/QH15, NĐ 207/2026/NĐ-CP, TCVN 1651:2018, TCVN 4453:1995</t>
        </is>
      </c>
    </row>
    <row r="4" ht="28" customHeight="1">
      <c r="A4" s="1" t="inlineStr">
        <is>
          <t>STT</t>
        </is>
      </c>
      <c r="B4" s="1" t="inlineStr">
        <is>
          <t>DANH MỤC VẬT LIỆU / CÔNG VIỆC THÍ NGHIỆM</t>
        </is>
      </c>
      <c r="C4" s="1" t="inlineStr">
        <is>
          <t>TIÊU CHUẨN ÁP DỤNG</t>
        </is>
      </c>
      <c r="D4" s="1" t="inlineStr">
        <is>
          <t>QUY ĐỊNH TẦN SUẤT LẤY MẪU</t>
        </is>
      </c>
      <c r="E4" s="1" t="inlineStr">
        <is>
          <t>ĐƠN VỊ TÍNH</t>
        </is>
      </c>
      <c r="F4" s="1" t="inlineStr">
        <is>
          <t>TỔNG KHỐI LƯỢNG DỰ ÁN</t>
        </is>
      </c>
      <c r="G4" s="1" t="inlineStr">
        <is>
          <t>SỐ LẦN THÍ NGHIỆM DỰ KIẾN</t>
        </is>
      </c>
      <c r="H4" s="1" t="inlineStr">
        <is>
          <t>CHỈ TIÊU CƠ LÝ KIỂM TRA CHÍNH</t>
        </is>
      </c>
      <c r="I4" s="1" t="inlineStr">
        <is>
          <t>GHI CHÚ / QUY ĐỊNH PHÁP LÝ</t>
        </is>
      </c>
    </row>
    <row r="5" ht="22" customHeight="1">
      <c r="A5" s="4" t="inlineStr">
        <is>
          <t>I. NHÓM VẬT LIỆU ĐẦU VÀO BÊ TÔNG XI MĂNG</t>
        </is>
      </c>
      <c r="B5" s="5" t="n"/>
      <c r="C5" s="5" t="n"/>
      <c r="D5" s="5" t="n"/>
      <c r="E5" s="5" t="n"/>
      <c r="F5" s="5" t="n"/>
      <c r="G5" s="5" t="n"/>
      <c r="H5" s="5" t="n"/>
      <c r="I5" s="5" t="n"/>
    </row>
    <row r="6" ht="20" customHeight="1">
      <c r="A6" s="6" t="n">
        <v>1</v>
      </c>
      <c r="B6" s="31" t="inlineStr">
        <is>
          <t>Xi măng Poóc lăng hỗn hợp PCB40</t>
        </is>
      </c>
      <c r="C6" s="6" t="inlineStr">
        <is>
          <t>TCVN 6260:2020</t>
        </is>
      </c>
      <c r="D6" s="7" t="inlineStr">
        <is>
          <t>50 Tấn / lần lấy mẫu</t>
        </is>
      </c>
      <c r="E6" s="6" t="inlineStr">
        <is>
          <t>Tấn</t>
        </is>
      </c>
      <c r="F6" s="32">
        <f>Theo_Doi_Tan_Suat_Be_Tong!M91</f>
        <v/>
      </c>
      <c r="G6" s="11">
        <f>IF(F6="","",IF(F6=0,"1 lần",INT(F6/50)+1 &amp; " lần"))</f>
        <v/>
      </c>
      <c r="H6" s="7" t="inlineStr">
        <is>
          <t>Độ mịn, thời gian đông kết, giới hạn bền nén, độ ổn định thể tích</t>
        </is>
      </c>
      <c r="I6" s="7" t="inlineStr">
        <is>
          <t>TCVN 2682/6260, NĐ 207/2026</t>
        </is>
      </c>
    </row>
    <row r="7" ht="20" customHeight="1">
      <c r="A7" s="6" t="n">
        <v>2</v>
      </c>
      <c r="B7" s="31" t="inlineStr">
        <is>
          <t>Cát vàng đổ bê tông (Mô đun độ lớn Mk &gt;= 2.0)</t>
        </is>
      </c>
      <c r="C7" s="6" t="inlineStr">
        <is>
          <t>TCVN 7570:2006</t>
        </is>
      </c>
      <c r="D7" s="7" t="inlineStr">
        <is>
          <t>200 m3 / lần lấy mẫu</t>
        </is>
      </c>
      <c r="E7" s="6" t="inlineStr">
        <is>
          <t>m3</t>
        </is>
      </c>
      <c r="F7" s="32">
        <f>Theo_Doi_Tan_Suat_Be_Tong!N91</f>
        <v/>
      </c>
      <c r="G7" s="11">
        <f>IF(F7="","",IF(F7=0,"1 lần",INT(F7/200)+1 &amp; " lần"))</f>
        <v/>
      </c>
      <c r="H7" s="7" t="inlineStr">
        <is>
          <t>Thành phần hạt, hàm lượng bùn bụi sét, tạp chất hữu cơ, khối lượng thể tích</t>
        </is>
      </c>
      <c r="I7" s="7" t="inlineStr">
        <is>
          <t>TCVN 7570, Chỉ dẫn kỹ thuật</t>
        </is>
      </c>
    </row>
    <row r="8" ht="20" customHeight="1">
      <c r="A8" s="6" t="n">
        <v>3</v>
      </c>
      <c r="B8" s="31" t="inlineStr">
        <is>
          <t>Đá dăm bê tông (Đá 1x2 cho C30/C35/C45)</t>
        </is>
      </c>
      <c r="C8" s="6" t="inlineStr">
        <is>
          <t>TCVN 7570:2006</t>
        </is>
      </c>
      <c r="D8" s="7" t="inlineStr">
        <is>
          <t>350 m3 / lần lấy mẫu</t>
        </is>
      </c>
      <c r="E8" s="6" t="inlineStr">
        <is>
          <t>m3</t>
        </is>
      </c>
      <c r="F8" s="32">
        <f>Theo_Doi_Tan_Suat_Be_Tong!O91</f>
        <v/>
      </c>
      <c r="G8" s="11">
        <f>IF(F8="","",IF(F8=0,"1 lần",INT(F8/350)+1 &amp; " lần"))</f>
        <v/>
      </c>
      <c r="H8" s="7" t="inlineStr">
        <is>
          <t>Thành phần hạt, hàm lượng thoi dẹt, độ nén dập trong ống hình trụ, độ hút nước</t>
        </is>
      </c>
      <c r="I8" s="7" t="inlineStr">
        <is>
          <t>TCVN 7570, TCVN 1771</t>
        </is>
      </c>
    </row>
    <row r="9" ht="20" customHeight="1">
      <c r="A9" s="6" t="n">
        <v>4</v>
      </c>
      <c r="B9" s="31" t="inlineStr">
        <is>
          <t>Nước trộn bê tông</t>
        </is>
      </c>
      <c r="C9" s="6" t="inlineStr">
        <is>
          <t>TCVN 4506:2012</t>
        </is>
      </c>
      <c r="D9" s="7" t="inlineStr">
        <is>
          <t>1 nguồn cấp / toàn dự án</t>
        </is>
      </c>
      <c r="E9" s="6" t="inlineStr">
        <is>
          <t>Nguồn</t>
        </is>
      </c>
      <c r="F9" s="33" t="n">
        <v>1</v>
      </c>
      <c r="G9" s="11" t="inlineStr">
        <is>
          <t>1 lần (định kỳ 6 tháng)</t>
        </is>
      </c>
      <c r="H9" s="7" t="inlineStr">
        <is>
          <t>Độ pH, hàm lượng muối hòa tan, ion Cl-, SO4(2-), cặn không tan</t>
        </is>
      </c>
      <c r="I9" s="7" t="inlineStr">
        <is>
          <t>Kiểm tra trước khi thi công</t>
        </is>
      </c>
    </row>
    <row r="10" ht="20" customHeight="1">
      <c r="A10" s="6" t="n">
        <v>5</v>
      </c>
      <c r="B10" s="31" t="inlineStr">
        <is>
          <t>Phụ gia giảm nước / siêu dẻo bê tông</t>
        </is>
      </c>
      <c r="C10" s="6" t="inlineStr">
        <is>
          <t>TCVN 8826:2011</t>
        </is>
      </c>
      <c r="D10" s="7" t="inlineStr">
        <is>
          <t>5 Tấn / lô vật liệu</t>
        </is>
      </c>
      <c r="E10" s="6" t="inlineStr">
        <is>
          <t>Tấn</t>
        </is>
      </c>
      <c r="F10" s="34" t="n">
        <v>12.5</v>
      </c>
      <c r="G10" s="11" t="inlineStr">
        <is>
          <t>3 lần</t>
        </is>
      </c>
      <c r="H10" s="7" t="inlineStr">
        <is>
          <t>Khả năng giảm nước, độ chảy xòe, độ pH, hàm lượng chất rắn</t>
        </is>
      </c>
      <c r="I10" s="7" t="inlineStr">
        <is>
          <t>Chứng chỉ xuất xưởng + thử nghiệm</t>
        </is>
      </c>
    </row>
    <row r="11" ht="22" customHeight="1">
      <c r="A11" s="4" t="inlineStr">
        <is>
          <t>II. NHÓM CỐT THÉP VÀ CÁP DỰ ỨNG LỰC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 ht="20" customHeight="1">
      <c r="A12" s="6" t="n">
        <v>6</v>
      </c>
      <c r="B12" s="31" t="inlineStr">
        <is>
          <t>Thép tròn trơn Ø &lt;= 10mm (CB240-T)</t>
        </is>
      </c>
      <c r="C12" s="6" t="inlineStr">
        <is>
          <t>TCVN 1651-1:2018</t>
        </is>
      </c>
      <c r="D12" s="7" t="inlineStr">
        <is>
          <t>20 Tấn / lô đường kính</t>
        </is>
      </c>
      <c r="E12" s="6" t="inlineStr">
        <is>
          <t>Tấn</t>
        </is>
      </c>
      <c r="F12" s="32">
        <f>Theo_Doi_Tan_Suat_Cot_Thep!N861</f>
        <v/>
      </c>
      <c r="G12" s="11">
        <f>IF(F12="","",IF(F12=0,"1 lần",INT(F12/20)+1 &amp; " lần"))</f>
        <v/>
      </c>
      <c r="H12" s="7" t="inlineStr">
        <is>
          <t>Giới hạn chảy, độ bền kéo, độ giãn dài tương đối, uốn nguội 180°</t>
        </is>
      </c>
      <c r="I12" s="7" t="inlineStr">
        <is>
          <t>1 tổ 3 kéo + 3 uốn / lô 20T</t>
        </is>
      </c>
    </row>
    <row r="13" ht="20" customHeight="1">
      <c r="A13" s="6" t="n">
        <v>7</v>
      </c>
      <c r="B13" s="31" t="inlineStr">
        <is>
          <t>Thép thanh vằn 10 &lt; Ø &lt;= 18mm (CB400-V)</t>
        </is>
      </c>
      <c r="C13" s="6" t="inlineStr">
        <is>
          <t>TCVN 1651-2:2018</t>
        </is>
      </c>
      <c r="D13" s="7" t="inlineStr">
        <is>
          <t>20 Tấn / lô đường kính</t>
        </is>
      </c>
      <c r="E13" s="6" t="inlineStr">
        <is>
          <t>Tấn</t>
        </is>
      </c>
      <c r="F13" s="32">
        <f>Theo_Doi_Tan_Suat_Cot_Thep!O861</f>
        <v/>
      </c>
      <c r="G13" s="11">
        <f>IF(F13="","",IF(F13=0,"1 lần",INT(F13/20)+1 &amp; " lần"))</f>
        <v/>
      </c>
      <c r="H13" s="7" t="inlineStr">
        <is>
          <t>Giới hạn chảy, độ bền kéo, tỷ số Rmt/ReH, độ giãn dài, uốn nguội 180°</t>
        </is>
      </c>
      <c r="I13" s="7" t="inlineStr">
        <is>
          <t>1 tổ 3 kéo + 3 uốn / lô 20T</t>
        </is>
      </c>
    </row>
    <row r="14" ht="20" customHeight="1">
      <c r="A14" s="6" t="n">
        <v>8</v>
      </c>
      <c r="B14" s="31" t="inlineStr">
        <is>
          <t>Thép thanh vằn Ø &gt; 18mm (CB400-V, CB500-V)</t>
        </is>
      </c>
      <c r="C14" s="6" t="inlineStr">
        <is>
          <t>TCVN 1651-2:2018</t>
        </is>
      </c>
      <c r="D14" s="7" t="inlineStr">
        <is>
          <t>20 Tấn / lô đường kính</t>
        </is>
      </c>
      <c r="E14" s="6" t="inlineStr">
        <is>
          <t>Tấn</t>
        </is>
      </c>
      <c r="F14" s="32">
        <f>Theo_Doi_Tan_Suat_Cot_Thep!P861</f>
        <v/>
      </c>
      <c r="G14" s="11">
        <f>IF(F14="","",IF(F14=0,"1 lần",INT(F14/20)+1 &amp; " lần"))</f>
        <v/>
      </c>
      <c r="H14" s="7" t="inlineStr">
        <is>
          <t>Giới hạn chảy, độ bền kéo, độ giãn dài, uốn nguội 180°, sai số kích thước</t>
        </is>
      </c>
      <c r="I14" s="7" t="inlineStr">
        <is>
          <t>Thép chủ cọc, bệ, thân, xà mũ</t>
        </is>
      </c>
    </row>
    <row r="15" ht="20" customHeight="1">
      <c r="A15" s="6" t="n">
        <v>9</v>
      </c>
      <c r="B15" s="31" t="inlineStr">
        <is>
          <t>Cáp dự ứng lực 15.2mm 7 sợi xoắn</t>
        </is>
      </c>
      <c r="C15" s="6" t="inlineStr">
        <is>
          <t>ASTM A416 Gr270</t>
        </is>
      </c>
      <c r="D15" s="7" t="inlineStr">
        <is>
          <t>20 Tấn / lô kéo rút</t>
        </is>
      </c>
      <c r="E15" s="6" t="inlineStr">
        <is>
          <t>Tấn</t>
        </is>
      </c>
      <c r="F15" s="32">
        <f>Theo_Doi_Tan_Suat_Cot_Thep!Q861</f>
        <v/>
      </c>
      <c r="G15" s="11">
        <f>IF(F15="","",IF(F15=0,"1 lần",INT(F15/20)+1 &amp; " lần"))</f>
        <v/>
      </c>
      <c r="H15" s="7" t="inlineStr">
        <is>
          <t>Giới hạn bền kéo đứt, độ giãn dài, mô đun đàn hồi Ep, diện tích tiết diện</t>
        </is>
      </c>
      <c r="I15" s="7" t="inlineStr">
        <is>
          <t>Cáp dầm Super-T L=38.2m</t>
        </is>
      </c>
    </row>
    <row r="16" ht="20" customHeight="1">
      <c r="A16" s="6" t="n">
        <v>10</v>
      </c>
      <c r="B16" s="31" t="inlineStr">
        <is>
          <t>Mối nối cóc nối ren coupler / hàn đối đầu</t>
        </is>
      </c>
      <c r="C16" s="6" t="inlineStr">
        <is>
          <t>TCVN 8163:2009</t>
        </is>
      </c>
      <c r="D16" s="7" t="inlineStr">
        <is>
          <t>500 mối nối / lô</t>
        </is>
      </c>
      <c r="E16" s="6" t="inlineStr">
        <is>
          <t>Mối nối</t>
        </is>
      </c>
      <c r="F16" s="33" t="n">
        <v>1840</v>
      </c>
      <c r="G16" s="11" t="inlineStr">
        <is>
          <t>4 lần (mỗi lô 3 mẫu kéo)</t>
        </is>
      </c>
      <c r="H16" s="7" t="inlineStr">
        <is>
          <t>Độ bền kéo mối nối, độ dãn dư, khả năng chịu biến dạng dẻo</t>
        </is>
      </c>
      <c r="I16" s="7" t="inlineStr">
        <is>
          <t>Mối nối thép chủ cọc khoan nhồi</t>
        </is>
      </c>
    </row>
    <row r="17" ht="22" customHeight="1">
      <c r="A17" s="4" t="inlineStr">
        <is>
          <t>III. KIỂM ĐỊNH HIỆN TRƯỜNG &amp; NGHIỆM THU CHẤT LƯỢNG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</row>
    <row r="18" ht="20" customHeight="1">
      <c r="A18" s="6" t="n">
        <v>11</v>
      </c>
      <c r="B18" s="31" t="inlineStr">
        <is>
          <t>Thí nghiệm nén mẫu bê tông hiện trường R7, R28</t>
        </is>
      </c>
      <c r="C18" s="6" t="inlineStr">
        <is>
          <t>TCVN 3118:2022</t>
        </is>
      </c>
      <c r="D18" s="7" t="inlineStr">
        <is>
          <t>1 tổ 3 mẫu / cấu kiện &lt;=20m3</t>
        </is>
      </c>
      <c r="E18" s="6" t="inlineStr">
        <is>
          <t>Tổ mẫu</t>
        </is>
      </c>
      <c r="F18" s="33" t="n">
        <v>83</v>
      </c>
      <c r="G18" s="11" t="inlineStr">
        <is>
          <t>83 tổ mẫu (249 viên)</t>
        </is>
      </c>
      <c r="H18" s="7" t="inlineStr">
        <is>
          <t>Cường độ chịu nén R7 ngày và R28 ngày (MPa)</t>
        </is>
      </c>
      <c r="I18" s="7" t="inlineStr">
        <is>
          <t>Kèm biên bản nghiệm thu KCS</t>
        </is>
      </c>
    </row>
    <row r="19" ht="20" customHeight="1">
      <c r="A19" s="6" t="n">
        <v>12</v>
      </c>
      <c r="B19" s="31" t="inlineStr">
        <is>
          <t>Thí nghiệm siêu âm cọc khoan nhồi D1.2m</t>
        </is>
      </c>
      <c r="C19" s="6" t="inlineStr">
        <is>
          <t>TCVN 9395:2012</t>
        </is>
      </c>
      <c r="D19" s="7" t="inlineStr">
        <is>
          <t>100% các cọc khoan nhồi</t>
        </is>
      </c>
      <c r="E19" s="6" t="inlineStr">
        <is>
          <t>Mặt cắt</t>
        </is>
      </c>
      <c r="F19" s="33" t="n">
        <v>156</v>
      </c>
      <c r="G19" s="11" t="inlineStr">
        <is>
          <t>156 mặt cắt siêu âm (30 cọc)</t>
        </is>
      </c>
      <c r="H19" s="7" t="inlineStr">
        <is>
          <t>Độ đồng nhất, vận tốc truyền sóng, phát hiện khuyết tật bê tông thân cọc</t>
        </is>
      </c>
      <c r="I19" s="7" t="inlineStr">
        <is>
          <t>4 ống siêu âm / cọc (6 mặt cắt)</t>
        </is>
      </c>
    </row>
    <row r="20" ht="20" customHeight="1">
      <c r="A20" s="6" t="n">
        <v>13</v>
      </c>
      <c r="B20" s="31" t="inlineStr">
        <is>
          <t>Thử động biến dạng lớn PDA (Sức chịu tải cọc)</t>
        </is>
      </c>
      <c r="C20" s="6" t="inlineStr">
        <is>
          <t>ASTM D4945</t>
        </is>
      </c>
      <c r="D20" s="7" t="inlineStr">
        <is>
          <t>Tối thiểu 2 cọc đại diện</t>
        </is>
      </c>
      <c r="E20" s="6" t="inlineStr">
        <is>
          <t>Cọc</t>
        </is>
      </c>
      <c r="F20" s="33" t="n">
        <v>2</v>
      </c>
      <c r="G20" s="11" t="inlineStr">
        <is>
          <t>2 cọc (M1-C1 và T1-C1)</t>
        </is>
      </c>
      <c r="H20" s="7" t="inlineStr">
        <is>
          <t>Sức chịu tải giới hạn cọc, ứng suất nén/kéo khi đóng, độ toàn vẹn thân cọc</t>
        </is>
      </c>
      <c r="I20" s="7" t="inlineStr">
        <is>
          <t>Đơn vị kiểm định độc lập</t>
        </is>
      </c>
    </row>
    <row r="21" ht="20" customHeight="1">
      <c r="A21" s="6" t="n">
        <v>14</v>
      </c>
      <c r="B21" s="31" t="inlineStr">
        <is>
          <t>Thí nghiệm độ sụt bê tông tươi tại hiện trường</t>
        </is>
      </c>
      <c r="C21" s="6" t="inlineStr">
        <is>
          <t>TCVN 3106:2022</t>
        </is>
      </c>
      <c r="D21" s="7" t="inlineStr">
        <is>
          <t>100% các xe bê tông trạm trộn</t>
        </is>
      </c>
      <c r="E21" s="6" t="inlineStr">
        <is>
          <t>Xe bồn</t>
        </is>
      </c>
      <c r="F21" s="33" t="n">
        <v>285</v>
      </c>
      <c r="G21" s="11" t="inlineStr">
        <is>
          <t>285 xe (mỗi xe 1 lần)</t>
        </is>
      </c>
      <c r="H21" s="7" t="inlineStr">
        <is>
          <t>Độ sụt cọc nhồi (18±2cm), độ sụt kết cấu (14±2cm), nhiệt độ bê tông tươi</t>
        </is>
      </c>
      <c r="I21" s="7" t="inlineStr">
        <is>
          <t>Kiểm tra trước khi đổ</t>
        </is>
      </c>
    </row>
  </sheetData>
  <mergeCells count="5">
    <mergeCell ref="A2:I2"/>
    <mergeCell ref="A11:I11"/>
    <mergeCell ref="A5:I5"/>
    <mergeCell ref="A1:I1"/>
    <mergeCell ref="A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2026-10-07T07:31:13Z</dcterms:created>
  <dcterms:modified xmlns:dcterms="http://purl.org/dc/terms/" xmlns:xsi="http://www.w3.org/2001/XMLSchema-instance" xsi:type="dcterms:W3CDTF">2026-10-07T07:31:13Z</dcterms:modified>
</cp:coreProperties>
</file>