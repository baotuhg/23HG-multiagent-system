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_DO_THI_CONG_WBS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"/>
    <numFmt numFmtId="166" formatCode="DD/MM"/>
    <numFmt numFmtId="167" formatCode="#,##0.0"/>
    <numFmt numFmtId="168" formatCode="#,##0.0000"/>
    <numFmt numFmtId="169" formatCode="#,##0.000"/>
  </numFmts>
  <fonts count="10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b val="1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b val="1"/>
      <sz val="8"/>
    </font>
    <font>
      <color rgb="00FFFFFF"/>
      <sz val="8"/>
    </font>
    <font>
      <name val="Times New Roman"/>
      <b val="1"/>
      <sz val="9"/>
    </font>
    <font>
      <name val="Times New Roman"/>
      <sz val="9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97D"/>
        <bgColor rgb="001F497D"/>
      </patternFill>
    </fill>
    <fill>
      <patternFill patternType="solid">
        <fgColor rgb="00244061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2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2" pivotButton="0" quotePrefix="0" xfId="0"/>
    <xf numFmtId="166" fontId="7" fillId="4" borderId="1" applyAlignment="1" pivotButton="0" quotePrefix="0" xfId="0">
      <alignment horizontal="center" textRotation="90"/>
    </xf>
    <xf numFmtId="166" fontId="7" fillId="4" borderId="0" applyAlignment="1" pivotButton="0" quotePrefix="0" xfId="0">
      <alignment horizontal="center" textRotation="90"/>
    </xf>
    <xf numFmtId="0" fontId="3" fillId="5" borderId="0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4" fontId="8" fillId="0" borderId="1" pivotButton="0" quotePrefix="0" xfId="0"/>
    <xf numFmtId="3" fontId="8" fillId="0" borderId="1" applyAlignment="1" pivotButton="0" quotePrefix="0" xfId="0">
      <alignment horizontal="right" vertical="center"/>
    </xf>
    <xf numFmtId="3" fontId="8" fillId="0" borderId="1" pivotButton="0" quotePrefix="0" xfId="0"/>
    <xf numFmtId="0" fontId="9" fillId="7" borderId="1" pivotButton="0" quotePrefix="0" xfId="0"/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4" fontId="9" fillId="7" borderId="1" applyAlignment="1" pivotButton="0" quotePrefix="0" xfId="0">
      <alignment horizontal="right" vertical="center"/>
    </xf>
    <xf numFmtId="168" fontId="9" fillId="7" borderId="1" applyAlignment="1" pivotButton="0" quotePrefix="0" xfId="0">
      <alignment horizontal="right" vertical="center"/>
    </xf>
    <xf numFmtId="4" fontId="9" fillId="7" borderId="1" pivotButton="0" quotePrefix="0" xfId="0"/>
    <xf numFmtId="169" fontId="8" fillId="0" borderId="1" pivotButton="0" quotePrefix="0" xfId="0"/>
    <xf numFmtId="169" fontId="9" fillId="7" borderId="1" pivotButton="0" quotePrefix="0" xfId="0"/>
    <xf numFmtId="0" fontId="8" fillId="8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3" fontId="8" fillId="8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3" customWidth="1" min="9" max="9"/>
    <col width="13" customWidth="1" min="10" max="10"/>
    <col width="15" customWidth="1" min="11" max="11"/>
    <col width="12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</cols>
  <sheetData>
    <row r="1"/>
    <row r="2">
      <c r="B2" s="1" t="inlineStr">
        <is>
          <t>DỰ ÁN: CAO TỐC TUYÊN QUANG - HÀ GIANG (GIAI ĐOẠN 1) - ĐOẠN QUA TỈNH HÀ GIANG</t>
        </is>
      </c>
      <c r="N2" s="2" t="inlineStr">
        <is>
          <t>Ngày khởi công</t>
        </is>
      </c>
      <c r="R2" s="3" t="n">
        <v>46096</v>
      </c>
      <c r="V2" s="2" t="inlineStr">
        <is>
          <t>Hoàn thành (tính toán)</t>
        </is>
      </c>
      <c r="Z2" s="4">
        <f>MAX($J$8:$J$42)</f>
        <v/>
      </c>
      <c r="AD2" s="2" t="inlineStr">
        <is>
          <t>Tổng thời gian (ngày)</t>
        </is>
      </c>
      <c r="AH2">
        <f>Z2-$R$2+1</f>
        <v/>
      </c>
    </row>
    <row r="3">
      <c r="B3" s="5" t="inlineStr">
        <is>
          <t>BẢNG KẾ HOẠCH TIẾN ĐỘ WBS, ĐIỀU PHỐI NHÂN CÔNG &amp; BIỂU ĐỒ GANTT CPM - CẦU KM19+529.080</t>
        </is>
      </c>
      <c r="N3" s="2" t="inlineStr">
        <is>
          <t>Hạn hoàn thành (mục tiêu)</t>
        </is>
      </c>
      <c r="R3" s="3" t="n">
        <v>46386</v>
      </c>
      <c r="V3" s="2" t="inlineStr">
        <is>
          <t>Dự phòng so với hạn (ngày)</t>
        </is>
      </c>
      <c r="Z3">
        <f>$R$3-Z2</f>
        <v/>
      </c>
      <c r="AD3" s="2" t="inlineStr">
        <is>
          <t>Trạng thái</t>
        </is>
      </c>
      <c r="AH3">
        <f>IF(Z2&lt;=$R$3,"ĐẠT","TRỄ")</f>
        <v/>
      </c>
    </row>
    <row r="4">
      <c r="B4" s="6" t="inlineStr">
        <is>
          <t>Định mức ngày công TT 12/2021/TT-BXD, Luật Xây dựng số 135/2025/QH15 &amp; NĐ 207/2026/NĐ-CP (Cột đỏ: Đường găng CPM)</t>
        </is>
      </c>
      <c r="N4" s="2" t="inlineStr">
        <is>
          <t>Gantt: 1=thanh 2=nhân công 3=ca</t>
        </is>
      </c>
      <c r="R4" s="7" t="n">
        <v>1</v>
      </c>
    </row>
    <row r="5" ht="20" customHeight="1">
      <c r="A5" s="8" t="inlineStr">
        <is>
          <t>Mã WBS</t>
        </is>
      </c>
      <c r="B5" s="8" t="inlineStr">
        <is>
          <t>Danh mục công tác thi công</t>
        </is>
      </c>
      <c r="C5" s="8" t="inlineStr">
        <is>
          <t>Khối lượng</t>
        </is>
      </c>
      <c r="D5" s="8" t="inlineStr">
        <is>
          <t>ĐVT</t>
        </is>
      </c>
      <c r="E5" s="8" t="inlineStr">
        <is>
          <t>Định mức
(công/ĐVT)</t>
        </is>
      </c>
      <c r="F5" s="8" t="inlineStr">
        <is>
          <t>Tổng công
(công)</t>
        </is>
      </c>
      <c r="G5" s="8" t="inlineStr">
        <is>
          <t>Tổ đội
(người)</t>
        </is>
      </c>
      <c r="H5" s="8" t="inlineStr">
        <is>
          <t>Thời gian
Duration (ngày)</t>
        </is>
      </c>
      <c r="I5" s="8" t="inlineStr">
        <is>
          <t>Ngày bắt đầu
Start</t>
        </is>
      </c>
      <c r="J5" s="8" t="inlineStr">
        <is>
          <t>Ngày hoàn thành
Finish</t>
        </is>
      </c>
      <c r="K5" s="8" t="inlineStr">
        <is>
          <t>Quan hệ logic
Predecessors</t>
        </is>
      </c>
      <c r="L5" s="8" t="inlineStr">
        <is>
          <t>Đường găng
CPM</t>
        </is>
      </c>
      <c r="M5" s="9">
        <f>"T"&amp;1</f>
        <v/>
      </c>
      <c r="N5" s="10">
        <f>"T"&amp;2</f>
        <v/>
      </c>
      <c r="O5" s="10">
        <f>"T"&amp;3</f>
        <v/>
      </c>
      <c r="P5" s="10">
        <f>"T"&amp;4</f>
        <v/>
      </c>
      <c r="Q5" s="9">
        <f>"T"&amp;5</f>
        <v/>
      </c>
      <c r="R5" s="10">
        <f>"T"&amp;6</f>
        <v/>
      </c>
      <c r="S5" s="10">
        <f>"T"&amp;7</f>
        <v/>
      </c>
      <c r="T5" s="10">
        <f>"T"&amp;8</f>
        <v/>
      </c>
      <c r="U5" s="9">
        <f>"T"&amp;9</f>
        <v/>
      </c>
      <c r="V5" s="10">
        <f>"T"&amp;10</f>
        <v/>
      </c>
      <c r="W5" s="10">
        <f>"T"&amp;11</f>
        <v/>
      </c>
      <c r="X5" s="10">
        <f>"T"&amp;12</f>
        <v/>
      </c>
      <c r="Y5" s="9">
        <f>"T"&amp;13</f>
        <v/>
      </c>
      <c r="Z5" s="10">
        <f>"T"&amp;14</f>
        <v/>
      </c>
      <c r="AA5" s="10">
        <f>"T"&amp;15</f>
        <v/>
      </c>
      <c r="AB5" s="10">
        <f>"T"&amp;16</f>
        <v/>
      </c>
      <c r="AC5" s="9">
        <f>"T"&amp;17</f>
        <v/>
      </c>
      <c r="AD5" s="10">
        <f>"T"&amp;18</f>
        <v/>
      </c>
      <c r="AE5" s="10">
        <f>"T"&amp;19</f>
        <v/>
      </c>
      <c r="AF5" s="10">
        <f>"T"&amp;20</f>
        <v/>
      </c>
      <c r="AG5" s="9">
        <f>"T"&amp;21</f>
        <v/>
      </c>
      <c r="AH5" s="10">
        <f>"T"&amp;22</f>
        <v/>
      </c>
      <c r="AI5" s="10">
        <f>"T"&amp;23</f>
        <v/>
      </c>
      <c r="AJ5" s="10">
        <f>"T"&amp;24</f>
        <v/>
      </c>
      <c r="AK5" s="10">
        <f>"T"&amp;25</f>
        <v/>
      </c>
      <c r="AL5" s="10">
        <f>"T"&amp;26</f>
        <v/>
      </c>
      <c r="AM5" s="10">
        <f>"T"&amp;27</f>
        <v/>
      </c>
      <c r="AN5" s="10">
        <f>"T"&amp;28</f>
        <v/>
      </c>
      <c r="AO5" s="10">
        <f>"T"&amp;29</f>
        <v/>
      </c>
      <c r="AP5" s="10">
        <f>"T"&amp;30</f>
        <v/>
      </c>
      <c r="AQ5" s="10">
        <f>"T"&amp;31</f>
        <v/>
      </c>
      <c r="AR5" s="10">
        <f>"T"&amp;32</f>
        <v/>
      </c>
      <c r="AS5" s="10">
        <f>"T"&amp;33</f>
        <v/>
      </c>
      <c r="AT5" s="10">
        <f>"T"&amp;34</f>
        <v/>
      </c>
      <c r="AU5" s="10">
        <f>"T"&amp;35</f>
        <v/>
      </c>
      <c r="AV5" s="10">
        <f>"T"&amp;36</f>
        <v/>
      </c>
      <c r="AW5" s="10">
        <f>"T"&amp;37</f>
        <v/>
      </c>
      <c r="AX5" s="10">
        <f>"T"&amp;38</f>
        <v/>
      </c>
      <c r="AY5" s="10">
        <f>"T"&amp;39</f>
        <v/>
      </c>
      <c r="AZ5" s="10">
        <f>"T"&amp;40</f>
        <v/>
      </c>
      <c r="BA5" s="10">
        <f>"T"&amp;41</f>
        <v/>
      </c>
      <c r="BB5" s="10">
        <f>"T"&amp;42</f>
        <v/>
      </c>
      <c r="BC5" s="10">
        <f>"T"&amp;43</f>
        <v/>
      </c>
      <c r="BD5" s="10">
        <f>"T"&amp;44</f>
        <v/>
      </c>
      <c r="BF5" s="2" t="inlineStr">
        <is>
          <t>Đường găng (công thức)</t>
        </is>
      </c>
    </row>
    <row r="6" ht="38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2">
        <f>$R$2+7*0</f>
        <v/>
      </c>
      <c r="N6" s="12">
        <f>$R$2+7*1</f>
        <v/>
      </c>
      <c r="O6" s="12">
        <f>$R$2+7*2</f>
        <v/>
      </c>
      <c r="P6" s="12">
        <f>$R$2+7*3</f>
        <v/>
      </c>
      <c r="Q6" s="12">
        <f>$R$2+7*4</f>
        <v/>
      </c>
      <c r="R6" s="12">
        <f>$R$2+7*5</f>
        <v/>
      </c>
      <c r="S6" s="12">
        <f>$R$2+7*6</f>
        <v/>
      </c>
      <c r="T6" s="12">
        <f>$R$2+7*7</f>
        <v/>
      </c>
      <c r="U6" s="12">
        <f>$R$2+7*8</f>
        <v/>
      </c>
      <c r="V6" s="12">
        <f>$R$2+7*9</f>
        <v/>
      </c>
      <c r="W6" s="12">
        <f>$R$2+7*10</f>
        <v/>
      </c>
      <c r="X6" s="12">
        <f>$R$2+7*11</f>
        <v/>
      </c>
      <c r="Y6" s="12">
        <f>$R$2+7*12</f>
        <v/>
      </c>
      <c r="Z6" s="12">
        <f>$R$2+7*13</f>
        <v/>
      </c>
      <c r="AA6" s="12">
        <f>$R$2+7*14</f>
        <v/>
      </c>
      <c r="AB6" s="12">
        <f>$R$2+7*15</f>
        <v/>
      </c>
      <c r="AC6" s="12">
        <f>$R$2+7*16</f>
        <v/>
      </c>
      <c r="AD6" s="12">
        <f>$R$2+7*17</f>
        <v/>
      </c>
      <c r="AE6" s="12">
        <f>$R$2+7*18</f>
        <v/>
      </c>
      <c r="AF6" s="12">
        <f>$R$2+7*19</f>
        <v/>
      </c>
      <c r="AG6" s="12">
        <f>$R$2+7*20</f>
        <v/>
      </c>
      <c r="AH6" s="12">
        <f>$R$2+7*21</f>
        <v/>
      </c>
      <c r="AI6" s="12">
        <f>$R$2+7*22</f>
        <v/>
      </c>
      <c r="AJ6" s="12">
        <f>$R$2+7*23</f>
        <v/>
      </c>
      <c r="AK6" s="13">
        <f>$R$2+7*24</f>
        <v/>
      </c>
      <c r="AL6" s="13">
        <f>$R$2+7*25</f>
        <v/>
      </c>
      <c r="AM6" s="13">
        <f>$R$2+7*26</f>
        <v/>
      </c>
      <c r="AN6" s="13">
        <f>$R$2+7*27</f>
        <v/>
      </c>
      <c r="AO6" s="13">
        <f>$R$2+7*28</f>
        <v/>
      </c>
      <c r="AP6" s="13">
        <f>$R$2+7*29</f>
        <v/>
      </c>
      <c r="AQ6" s="13">
        <f>$R$2+7*30</f>
        <v/>
      </c>
      <c r="AR6" s="13">
        <f>$R$2+7*31</f>
        <v/>
      </c>
      <c r="AS6" s="13">
        <f>$R$2+7*32</f>
        <v/>
      </c>
      <c r="AT6" s="13">
        <f>$R$2+7*33</f>
        <v/>
      </c>
      <c r="AU6" s="13">
        <f>$R$2+7*34</f>
        <v/>
      </c>
      <c r="AV6" s="13">
        <f>$R$2+7*35</f>
        <v/>
      </c>
      <c r="AW6" s="13">
        <f>$R$2+7*36</f>
        <v/>
      </c>
      <c r="AX6" s="13">
        <f>$R$2+7*37</f>
        <v/>
      </c>
      <c r="AY6" s="13">
        <f>$R$2+7*38</f>
        <v/>
      </c>
      <c r="AZ6" s="13">
        <f>$R$2+7*39</f>
        <v/>
      </c>
      <c r="BA6" s="13">
        <f>$R$2+7*40</f>
        <v/>
      </c>
      <c r="BB6" s="13">
        <f>$R$2+7*41</f>
        <v/>
      </c>
      <c r="BC6" s="13">
        <f>$R$2+7*42</f>
        <v/>
      </c>
      <c r="BD6" s="13">
        <f>$R$2+7*43</f>
        <v/>
      </c>
      <c r="BF6" s="2" t="inlineStr">
        <is>
          <t>LF</t>
        </is>
      </c>
      <c r="BG6" s="2" t="inlineStr">
        <is>
          <t>LS</t>
        </is>
      </c>
      <c r="BH6" s="2" t="inlineStr">
        <is>
          <t>TF</t>
        </is>
      </c>
    </row>
    <row r="7" ht="24" customHeight="1">
      <c r="A7" s="14" t="inlineStr">
        <is>
          <t>1.0</t>
        </is>
      </c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</row>
    <row r="8" ht="20" customHeight="1">
      <c r="A8" s="16" t="inlineStr">
        <is>
          <t>1.1</t>
        </is>
      </c>
      <c r="B8" s="17" t="inlineStr">
        <is>
          <t>Bàn giao tim mốc VN2000, cao độ quốc gia Hòn Dấu &amp; tim mốc cầu</t>
        </is>
      </c>
      <c r="C8" s="18" t="n">
        <v>1</v>
      </c>
      <c r="D8" s="19" t="inlineStr">
        <is>
          <t>Điểm</t>
        </is>
      </c>
      <c r="E8" s="18" t="n">
        <v>12</v>
      </c>
      <c r="F8" s="20">
        <f>C8*E8</f>
        <v/>
      </c>
      <c r="G8" s="19" t="n">
        <v>6</v>
      </c>
      <c r="H8" s="16">
        <f>ROUNDUP(F8/G8, 0)</f>
        <v/>
      </c>
      <c r="I8" s="21">
        <f>$R$2</f>
        <v/>
      </c>
      <c r="J8" s="21">
        <f>I8+H8-1</f>
        <v/>
      </c>
      <c r="K8" s="19" t="inlineStr">
        <is>
          <t>-</t>
        </is>
      </c>
      <c r="L8" s="22">
        <f>IF(BH8=0,"YES","NO")</f>
        <v/>
      </c>
      <c r="M8" s="23">
        <f>IF(AND($I8&lt;=M$6+6,$J8&gt;=M$6),IF($R$4=1,"█",IF($R$4=2,$G8,$G8*2)),"")</f>
        <v/>
      </c>
      <c r="N8" s="23">
        <f>IF(AND($I8&lt;=N$6+6,$J8&gt;=N$6),IF($R$4=1,"█",IF($R$4=2,$G8,$G8*2)),"")</f>
        <v/>
      </c>
      <c r="O8" s="23">
        <f>IF(AND($I8&lt;=O$6+6,$J8&gt;=O$6),IF($R$4=1,"█",IF($R$4=2,$G8,$G8*2)),"")</f>
        <v/>
      </c>
      <c r="P8" s="23">
        <f>IF(AND($I8&lt;=P$6+6,$J8&gt;=P$6),IF($R$4=1,"█",IF($R$4=2,$G8,$G8*2)),"")</f>
        <v/>
      </c>
      <c r="Q8" s="23">
        <f>IF(AND($I8&lt;=Q$6+6,$J8&gt;=Q$6),IF($R$4=1,"█",IF($R$4=2,$G8,$G8*2)),"")</f>
        <v/>
      </c>
      <c r="R8" s="23">
        <f>IF(AND($I8&lt;=R$6+6,$J8&gt;=R$6),IF($R$4=1,"█",IF($R$4=2,$G8,$G8*2)),"")</f>
        <v/>
      </c>
      <c r="S8" s="23">
        <f>IF(AND($I8&lt;=S$6+6,$J8&gt;=S$6),IF($R$4=1,"█",IF($R$4=2,$G8,$G8*2)),"")</f>
        <v/>
      </c>
      <c r="T8" s="23">
        <f>IF(AND($I8&lt;=T$6+6,$J8&gt;=T$6),IF($R$4=1,"█",IF($R$4=2,$G8,$G8*2)),"")</f>
        <v/>
      </c>
      <c r="U8" s="23">
        <f>IF(AND($I8&lt;=U$6+6,$J8&gt;=U$6),IF($R$4=1,"█",IF($R$4=2,$G8,$G8*2)),"")</f>
        <v/>
      </c>
      <c r="V8" s="23">
        <f>IF(AND($I8&lt;=V$6+6,$J8&gt;=V$6),IF($R$4=1,"█",IF($R$4=2,$G8,$G8*2)),"")</f>
        <v/>
      </c>
      <c r="W8" s="23">
        <f>IF(AND($I8&lt;=W$6+6,$J8&gt;=W$6),IF($R$4=1,"█",IF($R$4=2,$G8,$G8*2)),"")</f>
        <v/>
      </c>
      <c r="X8" s="23">
        <f>IF(AND($I8&lt;=X$6+6,$J8&gt;=X$6),IF($R$4=1,"█",IF($R$4=2,$G8,$G8*2)),"")</f>
        <v/>
      </c>
      <c r="Y8" s="23">
        <f>IF(AND($I8&lt;=Y$6+6,$J8&gt;=Y$6),IF($R$4=1,"█",IF($R$4=2,$G8,$G8*2)),"")</f>
        <v/>
      </c>
      <c r="Z8" s="23">
        <f>IF(AND($I8&lt;=Z$6+6,$J8&gt;=Z$6),IF($R$4=1,"█",IF($R$4=2,$G8,$G8*2)),"")</f>
        <v/>
      </c>
      <c r="AA8" s="23">
        <f>IF(AND($I8&lt;=AA$6+6,$J8&gt;=AA$6),IF($R$4=1,"█",IF($R$4=2,$G8,$G8*2)),"")</f>
        <v/>
      </c>
      <c r="AB8" s="23">
        <f>IF(AND($I8&lt;=AB$6+6,$J8&gt;=AB$6),IF($R$4=1,"█",IF($R$4=2,$G8,$G8*2)),"")</f>
        <v/>
      </c>
      <c r="AC8" s="23">
        <f>IF(AND($I8&lt;=AC$6+6,$J8&gt;=AC$6),IF($R$4=1,"█",IF($R$4=2,$G8,$G8*2)),"")</f>
        <v/>
      </c>
      <c r="AD8" s="23">
        <f>IF(AND($I8&lt;=AD$6+6,$J8&gt;=AD$6),IF($R$4=1,"█",IF($R$4=2,$G8,$G8*2)),"")</f>
        <v/>
      </c>
      <c r="AE8" s="23">
        <f>IF(AND($I8&lt;=AE$6+6,$J8&gt;=AE$6),IF($R$4=1,"█",IF($R$4=2,$G8,$G8*2)),"")</f>
        <v/>
      </c>
      <c r="AF8" s="23">
        <f>IF(AND($I8&lt;=AF$6+6,$J8&gt;=AF$6),IF($R$4=1,"█",IF($R$4=2,$G8,$G8*2)),"")</f>
        <v/>
      </c>
      <c r="AG8" s="23">
        <f>IF(AND($I8&lt;=AG$6+6,$J8&gt;=AG$6),IF($R$4=1,"█",IF($R$4=2,$G8,$G8*2)),"")</f>
        <v/>
      </c>
      <c r="AH8" s="23">
        <f>IF(AND($I8&lt;=AH$6+6,$J8&gt;=AH$6),IF($R$4=1,"█",IF($R$4=2,$G8,$G8*2)),"")</f>
        <v/>
      </c>
      <c r="AI8" s="23">
        <f>IF(AND($I8&lt;=AI$6+6,$J8&gt;=AI$6),IF($R$4=1,"█",IF($R$4=2,$G8,$G8*2)),"")</f>
        <v/>
      </c>
      <c r="AJ8" s="23">
        <f>IF(AND($I8&lt;=AJ$6+6,$J8&gt;=AJ$6),IF($R$4=1,"█",IF($R$4=2,$G8,$G8*2)),"")</f>
        <v/>
      </c>
      <c r="AK8" s="24">
        <f>IF(AND($I8&lt;=AK$6+6,$J8&gt;=AK$6),IF($R$4=1,"█",IF($R$4=2,$G8,$G8*2)),"")</f>
        <v/>
      </c>
      <c r="AL8" s="24">
        <f>IF(AND($I8&lt;=AL$6+6,$J8&gt;=AL$6),IF($R$4=1,"█",IF($R$4=2,$G8,$G8*2)),"")</f>
        <v/>
      </c>
      <c r="AM8" s="24">
        <f>IF(AND($I8&lt;=AM$6+6,$J8&gt;=AM$6),IF($R$4=1,"█",IF($R$4=2,$G8,$G8*2)),"")</f>
        <v/>
      </c>
      <c r="AN8" s="24">
        <f>IF(AND($I8&lt;=AN$6+6,$J8&gt;=AN$6),IF($R$4=1,"█",IF($R$4=2,$G8,$G8*2)),"")</f>
        <v/>
      </c>
      <c r="AO8" s="24">
        <f>IF(AND($I8&lt;=AO$6+6,$J8&gt;=AO$6),IF($R$4=1,"█",IF($R$4=2,$G8,$G8*2)),"")</f>
        <v/>
      </c>
      <c r="AP8" s="24">
        <f>IF(AND($I8&lt;=AP$6+6,$J8&gt;=AP$6),IF($R$4=1,"█",IF($R$4=2,$G8,$G8*2)),"")</f>
        <v/>
      </c>
      <c r="AQ8" s="24">
        <f>IF(AND($I8&lt;=AQ$6+6,$J8&gt;=AQ$6),IF($R$4=1,"█",IF($R$4=2,$G8,$G8*2)),"")</f>
        <v/>
      </c>
      <c r="AR8" s="24">
        <f>IF(AND($I8&lt;=AR$6+6,$J8&gt;=AR$6),IF($R$4=1,"█",IF($R$4=2,$G8,$G8*2)),"")</f>
        <v/>
      </c>
      <c r="AS8" s="24">
        <f>IF(AND($I8&lt;=AS$6+6,$J8&gt;=AS$6),IF($R$4=1,"█",IF($R$4=2,$G8,$G8*2)),"")</f>
        <v/>
      </c>
      <c r="AT8" s="24">
        <f>IF(AND($I8&lt;=AT$6+6,$J8&gt;=AT$6),IF($R$4=1,"█",IF($R$4=2,$G8,$G8*2)),"")</f>
        <v/>
      </c>
      <c r="AU8" s="24">
        <f>IF(AND($I8&lt;=AU$6+6,$J8&gt;=AU$6),IF($R$4=1,"█",IF($R$4=2,$G8,$G8*2)),"")</f>
        <v/>
      </c>
      <c r="AV8" s="24">
        <f>IF(AND($I8&lt;=AV$6+6,$J8&gt;=AV$6),IF($R$4=1,"█",IF($R$4=2,$G8,$G8*2)),"")</f>
        <v/>
      </c>
      <c r="AW8" s="24">
        <f>IF(AND($I8&lt;=AW$6+6,$J8&gt;=AW$6),IF($R$4=1,"█",IF($R$4=2,$G8,$G8*2)),"")</f>
        <v/>
      </c>
      <c r="AX8" s="24">
        <f>IF(AND($I8&lt;=AX$6+6,$J8&gt;=AX$6),IF($R$4=1,"█",IF($R$4=2,$G8,$G8*2)),"")</f>
        <v/>
      </c>
      <c r="AY8" s="24">
        <f>IF(AND($I8&lt;=AY$6+6,$J8&gt;=AY$6),IF($R$4=1,"█",IF($R$4=2,$G8,$G8*2)),"")</f>
        <v/>
      </c>
      <c r="AZ8" s="24">
        <f>IF(AND($I8&lt;=AZ$6+6,$J8&gt;=AZ$6),IF($R$4=1,"█",IF($R$4=2,$G8,$G8*2)),"")</f>
        <v/>
      </c>
      <c r="BA8" s="24">
        <f>IF(AND($I8&lt;=BA$6+6,$J8&gt;=BA$6),IF($R$4=1,"█",IF($R$4=2,$G8,$G8*2)),"")</f>
        <v/>
      </c>
      <c r="BB8" s="24">
        <f>IF(AND($I8&lt;=BB$6+6,$J8&gt;=BB$6),IF($R$4=1,"█",IF($R$4=2,$G8,$G8*2)),"")</f>
        <v/>
      </c>
      <c r="BC8" s="24">
        <f>IF(AND($I8&lt;=BC$6+6,$J8&gt;=BC$6),IF($R$4=1,"█",IF($R$4=2,$G8,$G8*2)),"")</f>
        <v/>
      </c>
      <c r="BD8" s="24">
        <f>IF(AND($I8&lt;=BD$6+6,$J8&gt;=BD$6),IF($R$4=1,"█",IF($R$4=2,$G8,$G8*2)),"")</f>
        <v/>
      </c>
      <c r="BF8" s="4">
        <f>BG9-1-0</f>
        <v/>
      </c>
      <c r="BG8" s="4">
        <f>BF8-H8+1</f>
        <v/>
      </c>
      <c r="BH8">
        <f>BG8-I8</f>
        <v/>
      </c>
    </row>
    <row r="9" ht="20" customHeight="1">
      <c r="A9" s="16" t="inlineStr">
        <is>
          <t>1.2</t>
        </is>
      </c>
      <c r="B9" s="17" t="inlineStr">
        <is>
          <t>Rà phá bom mìn, dọn dẹp mặt bằng thi công &amp; dựng lán trại</t>
        </is>
      </c>
      <c r="C9" s="18" t="n">
        <v>12500</v>
      </c>
      <c r="D9" s="19" t="inlineStr">
        <is>
          <t>m2</t>
        </is>
      </c>
      <c r="E9" s="18" t="n">
        <v>0.02</v>
      </c>
      <c r="F9" s="20">
        <f>C9*E9</f>
        <v/>
      </c>
      <c r="G9" s="19" t="n">
        <v>10</v>
      </c>
      <c r="H9" s="16">
        <f>ROUNDUP(F9/G9, 0)</f>
        <v/>
      </c>
      <c r="I9" s="21">
        <f>J8+1+0</f>
        <v/>
      </c>
      <c r="J9" s="21">
        <f>I9+H9-1</f>
        <v/>
      </c>
      <c r="K9" s="19" t="inlineStr">
        <is>
          <t>1.1FS</t>
        </is>
      </c>
      <c r="L9" s="22">
        <f>IF(BH9=0,"YES","NO")</f>
        <v/>
      </c>
      <c r="M9" s="23">
        <f>IF(AND($I9&lt;=M$6+6,$J9&gt;=M$6),IF($R$4=1,"█",IF($R$4=2,$G9,$G9*2)),"")</f>
        <v/>
      </c>
      <c r="N9" s="23">
        <f>IF(AND($I9&lt;=N$6+6,$J9&gt;=N$6),IF($R$4=1,"█",IF($R$4=2,$G9,$G9*2)),"")</f>
        <v/>
      </c>
      <c r="O9" s="23">
        <f>IF(AND($I9&lt;=O$6+6,$J9&gt;=O$6),IF($R$4=1,"█",IF($R$4=2,$G9,$G9*2)),"")</f>
        <v/>
      </c>
      <c r="P9" s="23">
        <f>IF(AND($I9&lt;=P$6+6,$J9&gt;=P$6),IF($R$4=1,"█",IF($R$4=2,$G9,$G9*2)),"")</f>
        <v/>
      </c>
      <c r="Q9" s="23">
        <f>IF(AND($I9&lt;=Q$6+6,$J9&gt;=Q$6),IF($R$4=1,"█",IF($R$4=2,$G9,$G9*2)),"")</f>
        <v/>
      </c>
      <c r="R9" s="23">
        <f>IF(AND($I9&lt;=R$6+6,$J9&gt;=R$6),IF($R$4=1,"█",IF($R$4=2,$G9,$G9*2)),"")</f>
        <v/>
      </c>
      <c r="S9" s="23">
        <f>IF(AND($I9&lt;=S$6+6,$J9&gt;=S$6),IF($R$4=1,"█",IF($R$4=2,$G9,$G9*2)),"")</f>
        <v/>
      </c>
      <c r="T9" s="23">
        <f>IF(AND($I9&lt;=T$6+6,$J9&gt;=T$6),IF($R$4=1,"█",IF($R$4=2,$G9,$G9*2)),"")</f>
        <v/>
      </c>
      <c r="U9" s="23">
        <f>IF(AND($I9&lt;=U$6+6,$J9&gt;=U$6),IF($R$4=1,"█",IF($R$4=2,$G9,$G9*2)),"")</f>
        <v/>
      </c>
      <c r="V9" s="23">
        <f>IF(AND($I9&lt;=V$6+6,$J9&gt;=V$6),IF($R$4=1,"█",IF($R$4=2,$G9,$G9*2)),"")</f>
        <v/>
      </c>
      <c r="W9" s="23">
        <f>IF(AND($I9&lt;=W$6+6,$J9&gt;=W$6),IF($R$4=1,"█",IF($R$4=2,$G9,$G9*2)),"")</f>
        <v/>
      </c>
      <c r="X9" s="23">
        <f>IF(AND($I9&lt;=X$6+6,$J9&gt;=X$6),IF($R$4=1,"█",IF($R$4=2,$G9,$G9*2)),"")</f>
        <v/>
      </c>
      <c r="Y9" s="23">
        <f>IF(AND($I9&lt;=Y$6+6,$J9&gt;=Y$6),IF($R$4=1,"█",IF($R$4=2,$G9,$G9*2)),"")</f>
        <v/>
      </c>
      <c r="Z9" s="23">
        <f>IF(AND($I9&lt;=Z$6+6,$J9&gt;=Z$6),IF($R$4=1,"█",IF($R$4=2,$G9,$G9*2)),"")</f>
        <v/>
      </c>
      <c r="AA9" s="23">
        <f>IF(AND($I9&lt;=AA$6+6,$J9&gt;=AA$6),IF($R$4=1,"█",IF($R$4=2,$G9,$G9*2)),"")</f>
        <v/>
      </c>
      <c r="AB9" s="23">
        <f>IF(AND($I9&lt;=AB$6+6,$J9&gt;=AB$6),IF($R$4=1,"█",IF($R$4=2,$G9,$G9*2)),"")</f>
        <v/>
      </c>
      <c r="AC9" s="23">
        <f>IF(AND($I9&lt;=AC$6+6,$J9&gt;=AC$6),IF($R$4=1,"█",IF($R$4=2,$G9,$G9*2)),"")</f>
        <v/>
      </c>
      <c r="AD9" s="23">
        <f>IF(AND($I9&lt;=AD$6+6,$J9&gt;=AD$6),IF($R$4=1,"█",IF($R$4=2,$G9,$G9*2)),"")</f>
        <v/>
      </c>
      <c r="AE9" s="23">
        <f>IF(AND($I9&lt;=AE$6+6,$J9&gt;=AE$6),IF($R$4=1,"█",IF($R$4=2,$G9,$G9*2)),"")</f>
        <v/>
      </c>
      <c r="AF9" s="23">
        <f>IF(AND($I9&lt;=AF$6+6,$J9&gt;=AF$6),IF($R$4=1,"█",IF($R$4=2,$G9,$G9*2)),"")</f>
        <v/>
      </c>
      <c r="AG9" s="23">
        <f>IF(AND($I9&lt;=AG$6+6,$J9&gt;=AG$6),IF($R$4=1,"█",IF($R$4=2,$G9,$G9*2)),"")</f>
        <v/>
      </c>
      <c r="AH9" s="23">
        <f>IF(AND($I9&lt;=AH$6+6,$J9&gt;=AH$6),IF($R$4=1,"█",IF($R$4=2,$G9,$G9*2)),"")</f>
        <v/>
      </c>
      <c r="AI9" s="23">
        <f>IF(AND($I9&lt;=AI$6+6,$J9&gt;=AI$6),IF($R$4=1,"█",IF($R$4=2,$G9,$G9*2)),"")</f>
        <v/>
      </c>
      <c r="AJ9" s="23">
        <f>IF(AND($I9&lt;=AJ$6+6,$J9&gt;=AJ$6),IF($R$4=1,"█",IF($R$4=2,$G9,$G9*2)),"")</f>
        <v/>
      </c>
      <c r="AK9" s="24">
        <f>IF(AND($I9&lt;=AK$6+6,$J9&gt;=AK$6),IF($R$4=1,"█",IF($R$4=2,$G9,$G9*2)),"")</f>
        <v/>
      </c>
      <c r="AL9" s="24">
        <f>IF(AND($I9&lt;=AL$6+6,$J9&gt;=AL$6),IF($R$4=1,"█",IF($R$4=2,$G9,$G9*2)),"")</f>
        <v/>
      </c>
      <c r="AM9" s="24">
        <f>IF(AND($I9&lt;=AM$6+6,$J9&gt;=AM$6),IF($R$4=1,"█",IF($R$4=2,$G9,$G9*2)),"")</f>
        <v/>
      </c>
      <c r="AN9" s="24">
        <f>IF(AND($I9&lt;=AN$6+6,$J9&gt;=AN$6),IF($R$4=1,"█",IF($R$4=2,$G9,$G9*2)),"")</f>
        <v/>
      </c>
      <c r="AO9" s="24">
        <f>IF(AND($I9&lt;=AO$6+6,$J9&gt;=AO$6),IF($R$4=1,"█",IF($R$4=2,$G9,$G9*2)),"")</f>
        <v/>
      </c>
      <c r="AP9" s="24">
        <f>IF(AND($I9&lt;=AP$6+6,$J9&gt;=AP$6),IF($R$4=1,"█",IF($R$4=2,$G9,$G9*2)),"")</f>
        <v/>
      </c>
      <c r="AQ9" s="24">
        <f>IF(AND($I9&lt;=AQ$6+6,$J9&gt;=AQ$6),IF($R$4=1,"█",IF($R$4=2,$G9,$G9*2)),"")</f>
        <v/>
      </c>
      <c r="AR9" s="24">
        <f>IF(AND($I9&lt;=AR$6+6,$J9&gt;=AR$6),IF($R$4=1,"█",IF($R$4=2,$G9,$G9*2)),"")</f>
        <v/>
      </c>
      <c r="AS9" s="24">
        <f>IF(AND($I9&lt;=AS$6+6,$J9&gt;=AS$6),IF($R$4=1,"█",IF($R$4=2,$G9,$G9*2)),"")</f>
        <v/>
      </c>
      <c r="AT9" s="24">
        <f>IF(AND($I9&lt;=AT$6+6,$J9&gt;=AT$6),IF($R$4=1,"█",IF($R$4=2,$G9,$G9*2)),"")</f>
        <v/>
      </c>
      <c r="AU9" s="24">
        <f>IF(AND($I9&lt;=AU$6+6,$J9&gt;=AU$6),IF($R$4=1,"█",IF($R$4=2,$G9,$G9*2)),"")</f>
        <v/>
      </c>
      <c r="AV9" s="24">
        <f>IF(AND($I9&lt;=AV$6+6,$J9&gt;=AV$6),IF($R$4=1,"█",IF($R$4=2,$G9,$G9*2)),"")</f>
        <v/>
      </c>
      <c r="AW9" s="24">
        <f>IF(AND($I9&lt;=AW$6+6,$J9&gt;=AW$6),IF($R$4=1,"█",IF($R$4=2,$G9,$G9*2)),"")</f>
        <v/>
      </c>
      <c r="AX9" s="24">
        <f>IF(AND($I9&lt;=AX$6+6,$J9&gt;=AX$6),IF($R$4=1,"█",IF($R$4=2,$G9,$G9*2)),"")</f>
        <v/>
      </c>
      <c r="AY9" s="24">
        <f>IF(AND($I9&lt;=AY$6+6,$J9&gt;=AY$6),IF($R$4=1,"█",IF($R$4=2,$G9,$G9*2)),"")</f>
        <v/>
      </c>
      <c r="AZ9" s="24">
        <f>IF(AND($I9&lt;=AZ$6+6,$J9&gt;=AZ$6),IF($R$4=1,"█",IF($R$4=2,$G9,$G9*2)),"")</f>
        <v/>
      </c>
      <c r="BA9" s="24">
        <f>IF(AND($I9&lt;=BA$6+6,$J9&gt;=BA$6),IF($R$4=1,"█",IF($R$4=2,$G9,$G9*2)),"")</f>
        <v/>
      </c>
      <c r="BB9" s="24">
        <f>IF(AND($I9&lt;=BB$6+6,$J9&gt;=BB$6),IF($R$4=1,"█",IF($R$4=2,$G9,$G9*2)),"")</f>
        <v/>
      </c>
      <c r="BC9" s="24">
        <f>IF(AND($I9&lt;=BC$6+6,$J9&gt;=BC$6),IF($R$4=1,"█",IF($R$4=2,$G9,$G9*2)),"")</f>
        <v/>
      </c>
      <c r="BD9" s="24">
        <f>IF(AND($I9&lt;=BD$6+6,$J9&gt;=BD$6),IF($R$4=1,"█",IF($R$4=2,$G9,$G9*2)),"")</f>
        <v/>
      </c>
      <c r="BF9" s="4">
        <f>BG10-1-0</f>
        <v/>
      </c>
      <c r="BG9" s="4">
        <f>BF9-H9+1</f>
        <v/>
      </c>
      <c r="BH9">
        <f>BG9-I9</f>
        <v/>
      </c>
    </row>
    <row r="10" ht="20" customHeight="1">
      <c r="A10" s="16" t="inlineStr">
        <is>
          <t>1.3</t>
        </is>
      </c>
      <c r="B10" s="17" t="inlineStr">
        <is>
          <t>Thi công đường công vụ nhánh 6 &amp; nhánh 6A tiếp cận mố trụ</t>
        </is>
      </c>
      <c r="C10" s="18" t="n">
        <v>825</v>
      </c>
      <c r="D10" s="19" t="inlineStr">
        <is>
          <t>m3</t>
        </is>
      </c>
      <c r="E10" s="18" t="n">
        <v>0.08</v>
      </c>
      <c r="F10" s="20">
        <f>C10*E10</f>
        <v/>
      </c>
      <c r="G10" s="19" t="n">
        <v>12</v>
      </c>
      <c r="H10" s="16">
        <f>ROUNDUP(F10/G10, 0)</f>
        <v/>
      </c>
      <c r="I10" s="21">
        <f>J9+1+0</f>
        <v/>
      </c>
      <c r="J10" s="21">
        <f>I10+H10-1</f>
        <v/>
      </c>
      <c r="K10" s="19" t="inlineStr">
        <is>
          <t>1.2FS</t>
        </is>
      </c>
      <c r="L10" s="22">
        <f>IF(BH10=0,"YES","NO")</f>
        <v/>
      </c>
      <c r="M10" s="23">
        <f>IF(AND($I10&lt;=M$6+6,$J10&gt;=M$6),IF($R$4=1,"█",IF($R$4=2,$G10,$G10*2)),"")</f>
        <v/>
      </c>
      <c r="N10" s="23">
        <f>IF(AND($I10&lt;=N$6+6,$J10&gt;=N$6),IF($R$4=1,"█",IF($R$4=2,$G10,$G10*2)),"")</f>
        <v/>
      </c>
      <c r="O10" s="23">
        <f>IF(AND($I10&lt;=O$6+6,$J10&gt;=O$6),IF($R$4=1,"█",IF($R$4=2,$G10,$G10*2)),"")</f>
        <v/>
      </c>
      <c r="P10" s="23">
        <f>IF(AND($I10&lt;=P$6+6,$J10&gt;=P$6),IF($R$4=1,"█",IF($R$4=2,$G10,$G10*2)),"")</f>
        <v/>
      </c>
      <c r="Q10" s="23">
        <f>IF(AND($I10&lt;=Q$6+6,$J10&gt;=Q$6),IF($R$4=1,"█",IF($R$4=2,$G10,$G10*2)),"")</f>
        <v/>
      </c>
      <c r="R10" s="23">
        <f>IF(AND($I10&lt;=R$6+6,$J10&gt;=R$6),IF($R$4=1,"█",IF($R$4=2,$G10,$G10*2)),"")</f>
        <v/>
      </c>
      <c r="S10" s="23">
        <f>IF(AND($I10&lt;=S$6+6,$J10&gt;=S$6),IF($R$4=1,"█",IF($R$4=2,$G10,$G10*2)),"")</f>
        <v/>
      </c>
      <c r="T10" s="23">
        <f>IF(AND($I10&lt;=T$6+6,$J10&gt;=T$6),IF($R$4=1,"█",IF($R$4=2,$G10,$G10*2)),"")</f>
        <v/>
      </c>
      <c r="U10" s="23">
        <f>IF(AND($I10&lt;=U$6+6,$J10&gt;=U$6),IF($R$4=1,"█",IF($R$4=2,$G10,$G10*2)),"")</f>
        <v/>
      </c>
      <c r="V10" s="23">
        <f>IF(AND($I10&lt;=V$6+6,$J10&gt;=V$6),IF($R$4=1,"█",IF($R$4=2,$G10,$G10*2)),"")</f>
        <v/>
      </c>
      <c r="W10" s="23">
        <f>IF(AND($I10&lt;=W$6+6,$J10&gt;=W$6),IF($R$4=1,"█",IF($R$4=2,$G10,$G10*2)),"")</f>
        <v/>
      </c>
      <c r="X10" s="23">
        <f>IF(AND($I10&lt;=X$6+6,$J10&gt;=X$6),IF($R$4=1,"█",IF($R$4=2,$G10,$G10*2)),"")</f>
        <v/>
      </c>
      <c r="Y10" s="23">
        <f>IF(AND($I10&lt;=Y$6+6,$J10&gt;=Y$6),IF($R$4=1,"█",IF($R$4=2,$G10,$G10*2)),"")</f>
        <v/>
      </c>
      <c r="Z10" s="23">
        <f>IF(AND($I10&lt;=Z$6+6,$J10&gt;=Z$6),IF($R$4=1,"█",IF($R$4=2,$G10,$G10*2)),"")</f>
        <v/>
      </c>
      <c r="AA10" s="23">
        <f>IF(AND($I10&lt;=AA$6+6,$J10&gt;=AA$6),IF($R$4=1,"█",IF($R$4=2,$G10,$G10*2)),"")</f>
        <v/>
      </c>
      <c r="AB10" s="23">
        <f>IF(AND($I10&lt;=AB$6+6,$J10&gt;=AB$6),IF($R$4=1,"█",IF($R$4=2,$G10,$G10*2)),"")</f>
        <v/>
      </c>
      <c r="AC10" s="23">
        <f>IF(AND($I10&lt;=AC$6+6,$J10&gt;=AC$6),IF($R$4=1,"█",IF($R$4=2,$G10,$G10*2)),"")</f>
        <v/>
      </c>
      <c r="AD10" s="23">
        <f>IF(AND($I10&lt;=AD$6+6,$J10&gt;=AD$6),IF($R$4=1,"█",IF($R$4=2,$G10,$G10*2)),"")</f>
        <v/>
      </c>
      <c r="AE10" s="23">
        <f>IF(AND($I10&lt;=AE$6+6,$J10&gt;=AE$6),IF($R$4=1,"█",IF($R$4=2,$G10,$G10*2)),"")</f>
        <v/>
      </c>
      <c r="AF10" s="23">
        <f>IF(AND($I10&lt;=AF$6+6,$J10&gt;=AF$6),IF($R$4=1,"█",IF($R$4=2,$G10,$G10*2)),"")</f>
        <v/>
      </c>
      <c r="AG10" s="23">
        <f>IF(AND($I10&lt;=AG$6+6,$J10&gt;=AG$6),IF($R$4=1,"█",IF($R$4=2,$G10,$G10*2)),"")</f>
        <v/>
      </c>
      <c r="AH10" s="23">
        <f>IF(AND($I10&lt;=AH$6+6,$J10&gt;=AH$6),IF($R$4=1,"█",IF($R$4=2,$G10,$G10*2)),"")</f>
        <v/>
      </c>
      <c r="AI10" s="23">
        <f>IF(AND($I10&lt;=AI$6+6,$J10&gt;=AI$6),IF($R$4=1,"█",IF($R$4=2,$G10,$G10*2)),"")</f>
        <v/>
      </c>
      <c r="AJ10" s="23">
        <f>IF(AND($I10&lt;=AJ$6+6,$J10&gt;=AJ$6),IF($R$4=1,"█",IF($R$4=2,$G10,$G10*2)),"")</f>
        <v/>
      </c>
      <c r="AK10" s="24">
        <f>IF(AND($I10&lt;=AK$6+6,$J10&gt;=AK$6),IF($R$4=1,"█",IF($R$4=2,$G10,$G10*2)),"")</f>
        <v/>
      </c>
      <c r="AL10" s="24">
        <f>IF(AND($I10&lt;=AL$6+6,$J10&gt;=AL$6),IF($R$4=1,"█",IF($R$4=2,$G10,$G10*2)),"")</f>
        <v/>
      </c>
      <c r="AM10" s="24">
        <f>IF(AND($I10&lt;=AM$6+6,$J10&gt;=AM$6),IF($R$4=1,"█",IF($R$4=2,$G10,$G10*2)),"")</f>
        <v/>
      </c>
      <c r="AN10" s="24">
        <f>IF(AND($I10&lt;=AN$6+6,$J10&gt;=AN$6),IF($R$4=1,"█",IF($R$4=2,$G10,$G10*2)),"")</f>
        <v/>
      </c>
      <c r="AO10" s="24">
        <f>IF(AND($I10&lt;=AO$6+6,$J10&gt;=AO$6),IF($R$4=1,"█",IF($R$4=2,$G10,$G10*2)),"")</f>
        <v/>
      </c>
      <c r="AP10" s="24">
        <f>IF(AND($I10&lt;=AP$6+6,$J10&gt;=AP$6),IF($R$4=1,"█",IF($R$4=2,$G10,$G10*2)),"")</f>
        <v/>
      </c>
      <c r="AQ10" s="24">
        <f>IF(AND($I10&lt;=AQ$6+6,$J10&gt;=AQ$6),IF($R$4=1,"█",IF($R$4=2,$G10,$G10*2)),"")</f>
        <v/>
      </c>
      <c r="AR10" s="24">
        <f>IF(AND($I10&lt;=AR$6+6,$J10&gt;=AR$6),IF($R$4=1,"█",IF($R$4=2,$G10,$G10*2)),"")</f>
        <v/>
      </c>
      <c r="AS10" s="24">
        <f>IF(AND($I10&lt;=AS$6+6,$J10&gt;=AS$6),IF($R$4=1,"█",IF($R$4=2,$G10,$G10*2)),"")</f>
        <v/>
      </c>
      <c r="AT10" s="24">
        <f>IF(AND($I10&lt;=AT$6+6,$J10&gt;=AT$6),IF($R$4=1,"█",IF($R$4=2,$G10,$G10*2)),"")</f>
        <v/>
      </c>
      <c r="AU10" s="24">
        <f>IF(AND($I10&lt;=AU$6+6,$J10&gt;=AU$6),IF($R$4=1,"█",IF($R$4=2,$G10,$G10*2)),"")</f>
        <v/>
      </c>
      <c r="AV10" s="24">
        <f>IF(AND($I10&lt;=AV$6+6,$J10&gt;=AV$6),IF($R$4=1,"█",IF($R$4=2,$G10,$G10*2)),"")</f>
        <v/>
      </c>
      <c r="AW10" s="24">
        <f>IF(AND($I10&lt;=AW$6+6,$J10&gt;=AW$6),IF($R$4=1,"█",IF($R$4=2,$G10,$G10*2)),"")</f>
        <v/>
      </c>
      <c r="AX10" s="24">
        <f>IF(AND($I10&lt;=AX$6+6,$J10&gt;=AX$6),IF($R$4=1,"█",IF($R$4=2,$G10,$G10*2)),"")</f>
        <v/>
      </c>
      <c r="AY10" s="24">
        <f>IF(AND($I10&lt;=AY$6+6,$J10&gt;=AY$6),IF($R$4=1,"█",IF($R$4=2,$G10,$G10*2)),"")</f>
        <v/>
      </c>
      <c r="AZ10" s="24">
        <f>IF(AND($I10&lt;=AZ$6+6,$J10&gt;=AZ$6),IF($R$4=1,"█",IF($R$4=2,$G10,$G10*2)),"")</f>
        <v/>
      </c>
      <c r="BA10" s="24">
        <f>IF(AND($I10&lt;=BA$6+6,$J10&gt;=BA$6),IF($R$4=1,"█",IF($R$4=2,$G10,$G10*2)),"")</f>
        <v/>
      </c>
      <c r="BB10" s="24">
        <f>IF(AND($I10&lt;=BB$6+6,$J10&gt;=BB$6),IF($R$4=1,"█",IF($R$4=2,$G10,$G10*2)),"")</f>
        <v/>
      </c>
      <c r="BC10" s="24">
        <f>IF(AND($I10&lt;=BC$6+6,$J10&gt;=BC$6),IF($R$4=1,"█",IF($R$4=2,$G10,$G10*2)),"")</f>
        <v/>
      </c>
      <c r="BD10" s="24">
        <f>IF(AND($I10&lt;=BD$6+6,$J10&gt;=BD$6),IF($R$4=1,"█",IF($R$4=2,$G10,$G10*2)),"")</f>
        <v/>
      </c>
      <c r="BF10" s="4">
        <f>MIN(BG11-(3)+H10-1,BG13-1-0)</f>
        <v/>
      </c>
      <c r="BG10" s="4">
        <f>BF10-H10+1</f>
        <v/>
      </c>
      <c r="BH10">
        <f>BG10-I10</f>
        <v/>
      </c>
    </row>
    <row r="11" ht="20" customHeight="1">
      <c r="A11" s="16" t="inlineStr">
        <is>
          <t>1.4</t>
        </is>
      </c>
      <c r="B11" s="17" t="inlineStr">
        <is>
          <t>Xây dựng bãi đúc dầm Super-T, bệ đúc cáp căng &amp; trạm trộn BTXM</t>
        </is>
      </c>
      <c r="C11" s="18" t="n">
        <v>1</v>
      </c>
      <c r="D11" s="19" t="inlineStr">
        <is>
          <t>Hệ</t>
        </is>
      </c>
      <c r="E11" s="18" t="n">
        <v>180</v>
      </c>
      <c r="F11" s="20">
        <f>C11*E11</f>
        <v/>
      </c>
      <c r="G11" s="19" t="n">
        <v>15</v>
      </c>
      <c r="H11" s="16">
        <f>ROUNDUP(F11/G11, 0)</f>
        <v/>
      </c>
      <c r="I11" s="21">
        <f>I10+3</f>
        <v/>
      </c>
      <c r="J11" s="21">
        <f>I11+H11-1</f>
        <v/>
      </c>
      <c r="K11" s="19" t="inlineStr">
        <is>
          <t>1.3SS+3d</t>
        </is>
      </c>
      <c r="L11" s="19">
        <f>IF(BH11=0,"YES","NO")</f>
        <v/>
      </c>
      <c r="M11" s="23">
        <f>IF(AND($I11&lt;=M$6+6,$J11&gt;=M$6),IF($R$4=1,"█",IF($R$4=2,$G11,$G11*2)),"")</f>
        <v/>
      </c>
      <c r="N11" s="23">
        <f>IF(AND($I11&lt;=N$6+6,$J11&gt;=N$6),IF($R$4=1,"█",IF($R$4=2,$G11,$G11*2)),"")</f>
        <v/>
      </c>
      <c r="O11" s="23">
        <f>IF(AND($I11&lt;=O$6+6,$J11&gt;=O$6),IF($R$4=1,"█",IF($R$4=2,$G11,$G11*2)),"")</f>
        <v/>
      </c>
      <c r="P11" s="23">
        <f>IF(AND($I11&lt;=P$6+6,$J11&gt;=P$6),IF($R$4=1,"█",IF($R$4=2,$G11,$G11*2)),"")</f>
        <v/>
      </c>
      <c r="Q11" s="23">
        <f>IF(AND($I11&lt;=Q$6+6,$J11&gt;=Q$6),IF($R$4=1,"█",IF($R$4=2,$G11,$G11*2)),"")</f>
        <v/>
      </c>
      <c r="R11" s="23">
        <f>IF(AND($I11&lt;=R$6+6,$J11&gt;=R$6),IF($R$4=1,"█",IF($R$4=2,$G11,$G11*2)),"")</f>
        <v/>
      </c>
      <c r="S11" s="23">
        <f>IF(AND($I11&lt;=S$6+6,$J11&gt;=S$6),IF($R$4=1,"█",IF($R$4=2,$G11,$G11*2)),"")</f>
        <v/>
      </c>
      <c r="T11" s="23">
        <f>IF(AND($I11&lt;=T$6+6,$J11&gt;=T$6),IF($R$4=1,"█",IF($R$4=2,$G11,$G11*2)),"")</f>
        <v/>
      </c>
      <c r="U11" s="23">
        <f>IF(AND($I11&lt;=U$6+6,$J11&gt;=U$6),IF($R$4=1,"█",IF($R$4=2,$G11,$G11*2)),"")</f>
        <v/>
      </c>
      <c r="V11" s="23">
        <f>IF(AND($I11&lt;=V$6+6,$J11&gt;=V$6),IF($R$4=1,"█",IF($R$4=2,$G11,$G11*2)),"")</f>
        <v/>
      </c>
      <c r="W11" s="23">
        <f>IF(AND($I11&lt;=W$6+6,$J11&gt;=W$6),IF($R$4=1,"█",IF($R$4=2,$G11,$G11*2)),"")</f>
        <v/>
      </c>
      <c r="X11" s="23">
        <f>IF(AND($I11&lt;=X$6+6,$J11&gt;=X$6),IF($R$4=1,"█",IF($R$4=2,$G11,$G11*2)),"")</f>
        <v/>
      </c>
      <c r="Y11" s="23">
        <f>IF(AND($I11&lt;=Y$6+6,$J11&gt;=Y$6),IF($R$4=1,"█",IF($R$4=2,$G11,$G11*2)),"")</f>
        <v/>
      </c>
      <c r="Z11" s="23">
        <f>IF(AND($I11&lt;=Z$6+6,$J11&gt;=Z$6),IF($R$4=1,"█",IF($R$4=2,$G11,$G11*2)),"")</f>
        <v/>
      </c>
      <c r="AA11" s="23">
        <f>IF(AND($I11&lt;=AA$6+6,$J11&gt;=AA$6),IF($R$4=1,"█",IF($R$4=2,$G11,$G11*2)),"")</f>
        <v/>
      </c>
      <c r="AB11" s="23">
        <f>IF(AND($I11&lt;=AB$6+6,$J11&gt;=AB$6),IF($R$4=1,"█",IF($R$4=2,$G11,$G11*2)),"")</f>
        <v/>
      </c>
      <c r="AC11" s="23">
        <f>IF(AND($I11&lt;=AC$6+6,$J11&gt;=AC$6),IF($R$4=1,"█",IF($R$4=2,$G11,$G11*2)),"")</f>
        <v/>
      </c>
      <c r="AD11" s="23">
        <f>IF(AND($I11&lt;=AD$6+6,$J11&gt;=AD$6),IF($R$4=1,"█",IF($R$4=2,$G11,$G11*2)),"")</f>
        <v/>
      </c>
      <c r="AE11" s="23">
        <f>IF(AND($I11&lt;=AE$6+6,$J11&gt;=AE$6),IF($R$4=1,"█",IF($R$4=2,$G11,$G11*2)),"")</f>
        <v/>
      </c>
      <c r="AF11" s="23">
        <f>IF(AND($I11&lt;=AF$6+6,$J11&gt;=AF$6),IF($R$4=1,"█",IF($R$4=2,$G11,$G11*2)),"")</f>
        <v/>
      </c>
      <c r="AG11" s="23">
        <f>IF(AND($I11&lt;=AG$6+6,$J11&gt;=AG$6),IF($R$4=1,"█",IF($R$4=2,$G11,$G11*2)),"")</f>
        <v/>
      </c>
      <c r="AH11" s="23">
        <f>IF(AND($I11&lt;=AH$6+6,$J11&gt;=AH$6),IF($R$4=1,"█",IF($R$4=2,$G11,$G11*2)),"")</f>
        <v/>
      </c>
      <c r="AI11" s="23">
        <f>IF(AND($I11&lt;=AI$6+6,$J11&gt;=AI$6),IF($R$4=1,"█",IF($R$4=2,$G11,$G11*2)),"")</f>
        <v/>
      </c>
      <c r="AJ11" s="23">
        <f>IF(AND($I11&lt;=AJ$6+6,$J11&gt;=AJ$6),IF($R$4=1,"█",IF($R$4=2,$G11,$G11*2)),"")</f>
        <v/>
      </c>
      <c r="AK11" s="24">
        <f>IF(AND($I11&lt;=AK$6+6,$J11&gt;=AK$6),IF($R$4=1,"█",IF($R$4=2,$G11,$G11*2)),"")</f>
        <v/>
      </c>
      <c r="AL11" s="24">
        <f>IF(AND($I11&lt;=AL$6+6,$J11&gt;=AL$6),IF($R$4=1,"█",IF($R$4=2,$G11,$G11*2)),"")</f>
        <v/>
      </c>
      <c r="AM11" s="24">
        <f>IF(AND($I11&lt;=AM$6+6,$J11&gt;=AM$6),IF($R$4=1,"█",IF($R$4=2,$G11,$G11*2)),"")</f>
        <v/>
      </c>
      <c r="AN11" s="24">
        <f>IF(AND($I11&lt;=AN$6+6,$J11&gt;=AN$6),IF($R$4=1,"█",IF($R$4=2,$G11,$G11*2)),"")</f>
        <v/>
      </c>
      <c r="AO11" s="24">
        <f>IF(AND($I11&lt;=AO$6+6,$J11&gt;=AO$6),IF($R$4=1,"█",IF($R$4=2,$G11,$G11*2)),"")</f>
        <v/>
      </c>
      <c r="AP11" s="24">
        <f>IF(AND($I11&lt;=AP$6+6,$J11&gt;=AP$6),IF($R$4=1,"█",IF($R$4=2,$G11,$G11*2)),"")</f>
        <v/>
      </c>
      <c r="AQ11" s="24">
        <f>IF(AND($I11&lt;=AQ$6+6,$J11&gt;=AQ$6),IF($R$4=1,"█",IF($R$4=2,$G11,$G11*2)),"")</f>
        <v/>
      </c>
      <c r="AR11" s="24">
        <f>IF(AND($I11&lt;=AR$6+6,$J11&gt;=AR$6),IF($R$4=1,"█",IF($R$4=2,$G11,$G11*2)),"")</f>
        <v/>
      </c>
      <c r="AS11" s="24">
        <f>IF(AND($I11&lt;=AS$6+6,$J11&gt;=AS$6),IF($R$4=1,"█",IF($R$4=2,$G11,$G11*2)),"")</f>
        <v/>
      </c>
      <c r="AT11" s="24">
        <f>IF(AND($I11&lt;=AT$6+6,$J11&gt;=AT$6),IF($R$4=1,"█",IF($R$4=2,$G11,$G11*2)),"")</f>
        <v/>
      </c>
      <c r="AU11" s="24">
        <f>IF(AND($I11&lt;=AU$6+6,$J11&gt;=AU$6),IF($R$4=1,"█",IF($R$4=2,$G11,$G11*2)),"")</f>
        <v/>
      </c>
      <c r="AV11" s="24">
        <f>IF(AND($I11&lt;=AV$6+6,$J11&gt;=AV$6),IF($R$4=1,"█",IF($R$4=2,$G11,$G11*2)),"")</f>
        <v/>
      </c>
      <c r="AW11" s="24">
        <f>IF(AND($I11&lt;=AW$6+6,$J11&gt;=AW$6),IF($R$4=1,"█",IF($R$4=2,$G11,$G11*2)),"")</f>
        <v/>
      </c>
      <c r="AX11" s="24">
        <f>IF(AND($I11&lt;=AX$6+6,$J11&gt;=AX$6),IF($R$4=1,"█",IF($R$4=2,$G11,$G11*2)),"")</f>
        <v/>
      </c>
      <c r="AY11" s="24">
        <f>IF(AND($I11&lt;=AY$6+6,$J11&gt;=AY$6),IF($R$4=1,"█",IF($R$4=2,$G11,$G11*2)),"")</f>
        <v/>
      </c>
      <c r="AZ11" s="24">
        <f>IF(AND($I11&lt;=AZ$6+6,$J11&gt;=AZ$6),IF($R$4=1,"█",IF($R$4=2,$G11,$G11*2)),"")</f>
        <v/>
      </c>
      <c r="BA11" s="24">
        <f>IF(AND($I11&lt;=BA$6+6,$J11&gt;=BA$6),IF($R$4=1,"█",IF($R$4=2,$G11,$G11*2)),"")</f>
        <v/>
      </c>
      <c r="BB11" s="24">
        <f>IF(AND($I11&lt;=BB$6+6,$J11&gt;=BB$6),IF($R$4=1,"█",IF($R$4=2,$G11,$G11*2)),"")</f>
        <v/>
      </c>
      <c r="BC11" s="24">
        <f>IF(AND($I11&lt;=BC$6+6,$J11&gt;=BC$6),IF($R$4=1,"█",IF($R$4=2,$G11,$G11*2)),"")</f>
        <v/>
      </c>
      <c r="BD11" s="24">
        <f>IF(AND($I11&lt;=BD$6+6,$J11&gt;=BD$6),IF($R$4=1,"█",IF($R$4=2,$G11,$G11*2)),"")</f>
        <v/>
      </c>
      <c r="BF11" s="4">
        <f>BG27-1-0</f>
        <v/>
      </c>
      <c r="BG11" s="4">
        <f>BF11-H11+1</f>
        <v/>
      </c>
      <c r="BH11">
        <f>BG11-I11</f>
        <v/>
      </c>
    </row>
    <row r="12" ht="24" customHeight="1">
      <c r="A12" s="14" t="inlineStr">
        <is>
          <t>2.0</t>
        </is>
      </c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</row>
    <row r="13" ht="20" customHeight="1">
      <c r="A13" s="16" t="inlineStr">
        <is>
          <t>2.1</t>
        </is>
      </c>
      <c r="B13" s="17" t="inlineStr">
        <is>
          <t>Khoan thăm dò hang Karst sâu 5m vào đá liền khối dưới mũi cọc</t>
        </is>
      </c>
      <c r="C13" s="18" t="n">
        <v>26</v>
      </c>
      <c r="D13" s="19" t="inlineStr">
        <is>
          <t>Lỗ</t>
        </is>
      </c>
      <c r="E13" s="18" t="n">
        <v>12</v>
      </c>
      <c r="F13" s="20">
        <f>C13*E13</f>
        <v/>
      </c>
      <c r="G13" s="19" t="n">
        <v>8</v>
      </c>
      <c r="H13" s="16">
        <f>ROUNDUP(F13/G13, 0)</f>
        <v/>
      </c>
      <c r="I13" s="21">
        <f>J10+1+0</f>
        <v/>
      </c>
      <c r="J13" s="21">
        <f>I13+H13-1</f>
        <v/>
      </c>
      <c r="K13" s="19" t="inlineStr">
        <is>
          <t>1.3FS</t>
        </is>
      </c>
      <c r="L13" s="22">
        <f>IF(BH13=0,"YES","NO")</f>
        <v/>
      </c>
      <c r="M13" s="23">
        <f>IF(AND($I13&lt;=M$6+6,$J13&gt;=M$6),IF($R$4=1,"█",IF($R$4=2,$G13,$G13*2)),"")</f>
        <v/>
      </c>
      <c r="N13" s="23">
        <f>IF(AND($I13&lt;=N$6+6,$J13&gt;=N$6),IF($R$4=1,"█",IF($R$4=2,$G13,$G13*2)),"")</f>
        <v/>
      </c>
      <c r="O13" s="23">
        <f>IF(AND($I13&lt;=O$6+6,$J13&gt;=O$6),IF($R$4=1,"█",IF($R$4=2,$G13,$G13*2)),"")</f>
        <v/>
      </c>
      <c r="P13" s="23">
        <f>IF(AND($I13&lt;=P$6+6,$J13&gt;=P$6),IF($R$4=1,"█",IF($R$4=2,$G13,$G13*2)),"")</f>
        <v/>
      </c>
      <c r="Q13" s="23">
        <f>IF(AND($I13&lt;=Q$6+6,$J13&gt;=Q$6),IF($R$4=1,"█",IF($R$4=2,$G13,$G13*2)),"")</f>
        <v/>
      </c>
      <c r="R13" s="23">
        <f>IF(AND($I13&lt;=R$6+6,$J13&gt;=R$6),IF($R$4=1,"█",IF($R$4=2,$G13,$G13*2)),"")</f>
        <v/>
      </c>
      <c r="S13" s="23">
        <f>IF(AND($I13&lt;=S$6+6,$J13&gt;=S$6),IF($R$4=1,"█",IF($R$4=2,$G13,$G13*2)),"")</f>
        <v/>
      </c>
      <c r="T13" s="23">
        <f>IF(AND($I13&lt;=T$6+6,$J13&gt;=T$6),IF($R$4=1,"█",IF($R$4=2,$G13,$G13*2)),"")</f>
        <v/>
      </c>
      <c r="U13" s="23">
        <f>IF(AND($I13&lt;=U$6+6,$J13&gt;=U$6),IF($R$4=1,"█",IF($R$4=2,$G13,$G13*2)),"")</f>
        <v/>
      </c>
      <c r="V13" s="23">
        <f>IF(AND($I13&lt;=V$6+6,$J13&gt;=V$6),IF($R$4=1,"█",IF($R$4=2,$G13,$G13*2)),"")</f>
        <v/>
      </c>
      <c r="W13" s="23">
        <f>IF(AND($I13&lt;=W$6+6,$J13&gt;=W$6),IF($R$4=1,"█",IF($R$4=2,$G13,$G13*2)),"")</f>
        <v/>
      </c>
      <c r="X13" s="23">
        <f>IF(AND($I13&lt;=X$6+6,$J13&gt;=X$6),IF($R$4=1,"█",IF($R$4=2,$G13,$G13*2)),"")</f>
        <v/>
      </c>
      <c r="Y13" s="23">
        <f>IF(AND($I13&lt;=Y$6+6,$J13&gt;=Y$6),IF($R$4=1,"█",IF($R$4=2,$G13,$G13*2)),"")</f>
        <v/>
      </c>
      <c r="Z13" s="23">
        <f>IF(AND($I13&lt;=Z$6+6,$J13&gt;=Z$6),IF($R$4=1,"█",IF($R$4=2,$G13,$G13*2)),"")</f>
        <v/>
      </c>
      <c r="AA13" s="23">
        <f>IF(AND($I13&lt;=AA$6+6,$J13&gt;=AA$6),IF($R$4=1,"█",IF($R$4=2,$G13,$G13*2)),"")</f>
        <v/>
      </c>
      <c r="AB13" s="23">
        <f>IF(AND($I13&lt;=AB$6+6,$J13&gt;=AB$6),IF($R$4=1,"█",IF($R$4=2,$G13,$G13*2)),"")</f>
        <v/>
      </c>
      <c r="AC13" s="23">
        <f>IF(AND($I13&lt;=AC$6+6,$J13&gt;=AC$6),IF($R$4=1,"█",IF($R$4=2,$G13,$G13*2)),"")</f>
        <v/>
      </c>
      <c r="AD13" s="23">
        <f>IF(AND($I13&lt;=AD$6+6,$J13&gt;=AD$6),IF($R$4=1,"█",IF($R$4=2,$G13,$G13*2)),"")</f>
        <v/>
      </c>
      <c r="AE13" s="23">
        <f>IF(AND($I13&lt;=AE$6+6,$J13&gt;=AE$6),IF($R$4=1,"█",IF($R$4=2,$G13,$G13*2)),"")</f>
        <v/>
      </c>
      <c r="AF13" s="23">
        <f>IF(AND($I13&lt;=AF$6+6,$J13&gt;=AF$6),IF($R$4=1,"█",IF($R$4=2,$G13,$G13*2)),"")</f>
        <v/>
      </c>
      <c r="AG13" s="23">
        <f>IF(AND($I13&lt;=AG$6+6,$J13&gt;=AG$6),IF($R$4=1,"█",IF($R$4=2,$G13,$G13*2)),"")</f>
        <v/>
      </c>
      <c r="AH13" s="23">
        <f>IF(AND($I13&lt;=AH$6+6,$J13&gt;=AH$6),IF($R$4=1,"█",IF($R$4=2,$G13,$G13*2)),"")</f>
        <v/>
      </c>
      <c r="AI13" s="23">
        <f>IF(AND($I13&lt;=AI$6+6,$J13&gt;=AI$6),IF($R$4=1,"█",IF($R$4=2,$G13,$G13*2)),"")</f>
        <v/>
      </c>
      <c r="AJ13" s="23">
        <f>IF(AND($I13&lt;=AJ$6+6,$J13&gt;=AJ$6),IF($R$4=1,"█",IF($R$4=2,$G13,$G13*2)),"")</f>
        <v/>
      </c>
      <c r="AK13" s="24">
        <f>IF(AND($I13&lt;=AK$6+6,$J13&gt;=AK$6),IF($R$4=1,"█",IF($R$4=2,$G13,$G13*2)),"")</f>
        <v/>
      </c>
      <c r="AL13" s="24">
        <f>IF(AND($I13&lt;=AL$6+6,$J13&gt;=AL$6),IF($R$4=1,"█",IF($R$4=2,$G13,$G13*2)),"")</f>
        <v/>
      </c>
      <c r="AM13" s="24">
        <f>IF(AND($I13&lt;=AM$6+6,$J13&gt;=AM$6),IF($R$4=1,"█",IF($R$4=2,$G13,$G13*2)),"")</f>
        <v/>
      </c>
      <c r="AN13" s="24">
        <f>IF(AND($I13&lt;=AN$6+6,$J13&gt;=AN$6),IF($R$4=1,"█",IF($R$4=2,$G13,$G13*2)),"")</f>
        <v/>
      </c>
      <c r="AO13" s="24">
        <f>IF(AND($I13&lt;=AO$6+6,$J13&gt;=AO$6),IF($R$4=1,"█",IF($R$4=2,$G13,$G13*2)),"")</f>
        <v/>
      </c>
      <c r="AP13" s="24">
        <f>IF(AND($I13&lt;=AP$6+6,$J13&gt;=AP$6),IF($R$4=1,"█",IF($R$4=2,$G13,$G13*2)),"")</f>
        <v/>
      </c>
      <c r="AQ13" s="24">
        <f>IF(AND($I13&lt;=AQ$6+6,$J13&gt;=AQ$6),IF($R$4=1,"█",IF($R$4=2,$G13,$G13*2)),"")</f>
        <v/>
      </c>
      <c r="AR13" s="24">
        <f>IF(AND($I13&lt;=AR$6+6,$J13&gt;=AR$6),IF($R$4=1,"█",IF($R$4=2,$G13,$G13*2)),"")</f>
        <v/>
      </c>
      <c r="AS13" s="24">
        <f>IF(AND($I13&lt;=AS$6+6,$J13&gt;=AS$6),IF($R$4=1,"█",IF($R$4=2,$G13,$G13*2)),"")</f>
        <v/>
      </c>
      <c r="AT13" s="24">
        <f>IF(AND($I13&lt;=AT$6+6,$J13&gt;=AT$6),IF($R$4=1,"█",IF($R$4=2,$G13,$G13*2)),"")</f>
        <v/>
      </c>
      <c r="AU13" s="24">
        <f>IF(AND($I13&lt;=AU$6+6,$J13&gt;=AU$6),IF($R$4=1,"█",IF($R$4=2,$G13,$G13*2)),"")</f>
        <v/>
      </c>
      <c r="AV13" s="24">
        <f>IF(AND($I13&lt;=AV$6+6,$J13&gt;=AV$6),IF($R$4=1,"█",IF($R$4=2,$G13,$G13*2)),"")</f>
        <v/>
      </c>
      <c r="AW13" s="24">
        <f>IF(AND($I13&lt;=AW$6+6,$J13&gt;=AW$6),IF($R$4=1,"█",IF($R$4=2,$G13,$G13*2)),"")</f>
        <v/>
      </c>
      <c r="AX13" s="24">
        <f>IF(AND($I13&lt;=AX$6+6,$J13&gt;=AX$6),IF($R$4=1,"█",IF($R$4=2,$G13,$G13*2)),"")</f>
        <v/>
      </c>
      <c r="AY13" s="24">
        <f>IF(AND($I13&lt;=AY$6+6,$J13&gt;=AY$6),IF($R$4=1,"█",IF($R$4=2,$G13,$G13*2)),"")</f>
        <v/>
      </c>
      <c r="AZ13" s="24">
        <f>IF(AND($I13&lt;=AZ$6+6,$J13&gt;=AZ$6),IF($R$4=1,"█",IF($R$4=2,$G13,$G13*2)),"")</f>
        <v/>
      </c>
      <c r="BA13" s="24">
        <f>IF(AND($I13&lt;=BA$6+6,$J13&gt;=BA$6),IF($R$4=1,"█",IF($R$4=2,$G13,$G13*2)),"")</f>
        <v/>
      </c>
      <c r="BB13" s="24">
        <f>IF(AND($I13&lt;=BB$6+6,$J13&gt;=BB$6),IF($R$4=1,"█",IF($R$4=2,$G13,$G13*2)),"")</f>
        <v/>
      </c>
      <c r="BC13" s="24">
        <f>IF(AND($I13&lt;=BC$6+6,$J13&gt;=BC$6),IF($R$4=1,"█",IF($R$4=2,$G13,$G13*2)),"")</f>
        <v/>
      </c>
      <c r="BD13" s="24">
        <f>IF(AND($I13&lt;=BD$6+6,$J13&gt;=BD$6),IF($R$4=1,"█",IF($R$4=2,$G13,$G13*2)),"")</f>
        <v/>
      </c>
      <c r="BF13" s="4">
        <f>BG14-1-0</f>
        <v/>
      </c>
      <c r="BG13" s="4">
        <f>BF13-H13+1</f>
        <v/>
      </c>
      <c r="BH13">
        <f>BG13-I13</f>
        <v/>
      </c>
    </row>
    <row r="14" ht="20" customHeight="1">
      <c r="A14" s="16" t="inlineStr">
        <is>
          <t>2.2</t>
        </is>
      </c>
      <c r="B14" s="17" t="inlineStr">
        <is>
          <t>Khoan cọc nhồi D1200mm M1 (3 cọc L=20m) &amp; đổ bê tông C30</t>
        </is>
      </c>
      <c r="C14" s="18">
        <f>QS_DIEN_GIAI_CHI_TIET!J8</f>
        <v/>
      </c>
      <c r="D14" s="19" t="inlineStr">
        <is>
          <t>m</t>
        </is>
      </c>
      <c r="E14" s="18" t="n">
        <v>0.75</v>
      </c>
      <c r="F14" s="20">
        <f>C14*E14</f>
        <v/>
      </c>
      <c r="G14" s="19" t="n">
        <v>10</v>
      </c>
      <c r="H14" s="16">
        <f>ROUNDUP(F14/G14, 0)</f>
        <v/>
      </c>
      <c r="I14" s="21">
        <f>J13+1+0</f>
        <v/>
      </c>
      <c r="J14" s="21">
        <f>I14+H14-1</f>
        <v/>
      </c>
      <c r="K14" s="19" t="inlineStr">
        <is>
          <t>2.1FS</t>
        </is>
      </c>
      <c r="L14" s="22">
        <f>IF(BH14=0,"YES","NO")</f>
        <v/>
      </c>
      <c r="M14" s="23">
        <f>IF(AND($I14&lt;=M$6+6,$J14&gt;=M$6),IF($R$4=1,"█",IF($R$4=2,$G14,$G14*2)),"")</f>
        <v/>
      </c>
      <c r="N14" s="23">
        <f>IF(AND($I14&lt;=N$6+6,$J14&gt;=N$6),IF($R$4=1,"█",IF($R$4=2,$G14,$G14*2)),"")</f>
        <v/>
      </c>
      <c r="O14" s="23">
        <f>IF(AND($I14&lt;=O$6+6,$J14&gt;=O$6),IF($R$4=1,"█",IF($R$4=2,$G14,$G14*2)),"")</f>
        <v/>
      </c>
      <c r="P14" s="23">
        <f>IF(AND($I14&lt;=P$6+6,$J14&gt;=P$6),IF($R$4=1,"█",IF($R$4=2,$G14,$G14*2)),"")</f>
        <v/>
      </c>
      <c r="Q14" s="23">
        <f>IF(AND($I14&lt;=Q$6+6,$J14&gt;=Q$6),IF($R$4=1,"█",IF($R$4=2,$G14,$G14*2)),"")</f>
        <v/>
      </c>
      <c r="R14" s="23">
        <f>IF(AND($I14&lt;=R$6+6,$J14&gt;=R$6),IF($R$4=1,"█",IF($R$4=2,$G14,$G14*2)),"")</f>
        <v/>
      </c>
      <c r="S14" s="23">
        <f>IF(AND($I14&lt;=S$6+6,$J14&gt;=S$6),IF($R$4=1,"█",IF($R$4=2,$G14,$G14*2)),"")</f>
        <v/>
      </c>
      <c r="T14" s="23">
        <f>IF(AND($I14&lt;=T$6+6,$J14&gt;=T$6),IF($R$4=1,"█",IF($R$4=2,$G14,$G14*2)),"")</f>
        <v/>
      </c>
      <c r="U14" s="23">
        <f>IF(AND($I14&lt;=U$6+6,$J14&gt;=U$6),IF($R$4=1,"█",IF($R$4=2,$G14,$G14*2)),"")</f>
        <v/>
      </c>
      <c r="V14" s="23">
        <f>IF(AND($I14&lt;=V$6+6,$J14&gt;=V$6),IF($R$4=1,"█",IF($R$4=2,$G14,$G14*2)),"")</f>
        <v/>
      </c>
      <c r="W14" s="23">
        <f>IF(AND($I14&lt;=W$6+6,$J14&gt;=W$6),IF($R$4=1,"█",IF($R$4=2,$G14,$G14*2)),"")</f>
        <v/>
      </c>
      <c r="X14" s="23">
        <f>IF(AND($I14&lt;=X$6+6,$J14&gt;=X$6),IF($R$4=1,"█",IF($R$4=2,$G14,$G14*2)),"")</f>
        <v/>
      </c>
      <c r="Y14" s="23">
        <f>IF(AND($I14&lt;=Y$6+6,$J14&gt;=Y$6),IF($R$4=1,"█",IF($R$4=2,$G14,$G14*2)),"")</f>
        <v/>
      </c>
      <c r="Z14" s="23">
        <f>IF(AND($I14&lt;=Z$6+6,$J14&gt;=Z$6),IF($R$4=1,"█",IF($R$4=2,$G14,$G14*2)),"")</f>
        <v/>
      </c>
      <c r="AA14" s="23">
        <f>IF(AND($I14&lt;=AA$6+6,$J14&gt;=AA$6),IF($R$4=1,"█",IF($R$4=2,$G14,$G14*2)),"")</f>
        <v/>
      </c>
      <c r="AB14" s="23">
        <f>IF(AND($I14&lt;=AB$6+6,$J14&gt;=AB$6),IF($R$4=1,"█",IF($R$4=2,$G14,$G14*2)),"")</f>
        <v/>
      </c>
      <c r="AC14" s="23">
        <f>IF(AND($I14&lt;=AC$6+6,$J14&gt;=AC$6),IF($R$4=1,"█",IF($R$4=2,$G14,$G14*2)),"")</f>
        <v/>
      </c>
      <c r="AD14" s="23">
        <f>IF(AND($I14&lt;=AD$6+6,$J14&gt;=AD$6),IF($R$4=1,"█",IF($R$4=2,$G14,$G14*2)),"")</f>
        <v/>
      </c>
      <c r="AE14" s="23">
        <f>IF(AND($I14&lt;=AE$6+6,$J14&gt;=AE$6),IF($R$4=1,"█",IF($R$4=2,$G14,$G14*2)),"")</f>
        <v/>
      </c>
      <c r="AF14" s="23">
        <f>IF(AND($I14&lt;=AF$6+6,$J14&gt;=AF$6),IF($R$4=1,"█",IF($R$4=2,$G14,$G14*2)),"")</f>
        <v/>
      </c>
      <c r="AG14" s="23">
        <f>IF(AND($I14&lt;=AG$6+6,$J14&gt;=AG$6),IF($R$4=1,"█",IF($R$4=2,$G14,$G14*2)),"")</f>
        <v/>
      </c>
      <c r="AH14" s="23">
        <f>IF(AND($I14&lt;=AH$6+6,$J14&gt;=AH$6),IF($R$4=1,"█",IF($R$4=2,$G14,$G14*2)),"")</f>
        <v/>
      </c>
      <c r="AI14" s="23">
        <f>IF(AND($I14&lt;=AI$6+6,$J14&gt;=AI$6),IF($R$4=1,"█",IF($R$4=2,$G14,$G14*2)),"")</f>
        <v/>
      </c>
      <c r="AJ14" s="23">
        <f>IF(AND($I14&lt;=AJ$6+6,$J14&gt;=AJ$6),IF($R$4=1,"█",IF($R$4=2,$G14,$G14*2)),"")</f>
        <v/>
      </c>
      <c r="AK14" s="24">
        <f>IF(AND($I14&lt;=AK$6+6,$J14&gt;=AK$6),IF($R$4=1,"█",IF($R$4=2,$G14,$G14*2)),"")</f>
        <v/>
      </c>
      <c r="AL14" s="24">
        <f>IF(AND($I14&lt;=AL$6+6,$J14&gt;=AL$6),IF($R$4=1,"█",IF($R$4=2,$G14,$G14*2)),"")</f>
        <v/>
      </c>
      <c r="AM14" s="24">
        <f>IF(AND($I14&lt;=AM$6+6,$J14&gt;=AM$6),IF($R$4=1,"█",IF($R$4=2,$G14,$G14*2)),"")</f>
        <v/>
      </c>
      <c r="AN14" s="24">
        <f>IF(AND($I14&lt;=AN$6+6,$J14&gt;=AN$6),IF($R$4=1,"█",IF($R$4=2,$G14,$G14*2)),"")</f>
        <v/>
      </c>
      <c r="AO14" s="24">
        <f>IF(AND($I14&lt;=AO$6+6,$J14&gt;=AO$6),IF($R$4=1,"█",IF($R$4=2,$G14,$G14*2)),"")</f>
        <v/>
      </c>
      <c r="AP14" s="24">
        <f>IF(AND($I14&lt;=AP$6+6,$J14&gt;=AP$6),IF($R$4=1,"█",IF($R$4=2,$G14,$G14*2)),"")</f>
        <v/>
      </c>
      <c r="AQ14" s="24">
        <f>IF(AND($I14&lt;=AQ$6+6,$J14&gt;=AQ$6),IF($R$4=1,"█",IF($R$4=2,$G14,$G14*2)),"")</f>
        <v/>
      </c>
      <c r="AR14" s="24">
        <f>IF(AND($I14&lt;=AR$6+6,$J14&gt;=AR$6),IF($R$4=1,"█",IF($R$4=2,$G14,$G14*2)),"")</f>
        <v/>
      </c>
      <c r="AS14" s="24">
        <f>IF(AND($I14&lt;=AS$6+6,$J14&gt;=AS$6),IF($R$4=1,"█",IF($R$4=2,$G14,$G14*2)),"")</f>
        <v/>
      </c>
      <c r="AT14" s="24">
        <f>IF(AND($I14&lt;=AT$6+6,$J14&gt;=AT$6),IF($R$4=1,"█",IF($R$4=2,$G14,$G14*2)),"")</f>
        <v/>
      </c>
      <c r="AU14" s="24">
        <f>IF(AND($I14&lt;=AU$6+6,$J14&gt;=AU$6),IF($R$4=1,"█",IF($R$4=2,$G14,$G14*2)),"")</f>
        <v/>
      </c>
      <c r="AV14" s="24">
        <f>IF(AND($I14&lt;=AV$6+6,$J14&gt;=AV$6),IF($R$4=1,"█",IF($R$4=2,$G14,$G14*2)),"")</f>
        <v/>
      </c>
      <c r="AW14" s="24">
        <f>IF(AND($I14&lt;=AW$6+6,$J14&gt;=AW$6),IF($R$4=1,"█",IF($R$4=2,$G14,$G14*2)),"")</f>
        <v/>
      </c>
      <c r="AX14" s="24">
        <f>IF(AND($I14&lt;=AX$6+6,$J14&gt;=AX$6),IF($R$4=1,"█",IF($R$4=2,$G14,$G14*2)),"")</f>
        <v/>
      </c>
      <c r="AY14" s="24">
        <f>IF(AND($I14&lt;=AY$6+6,$J14&gt;=AY$6),IF($R$4=1,"█",IF($R$4=2,$G14,$G14*2)),"")</f>
        <v/>
      </c>
      <c r="AZ14" s="24">
        <f>IF(AND($I14&lt;=AZ$6+6,$J14&gt;=AZ$6),IF($R$4=1,"█",IF($R$4=2,$G14,$G14*2)),"")</f>
        <v/>
      </c>
      <c r="BA14" s="24">
        <f>IF(AND($I14&lt;=BA$6+6,$J14&gt;=BA$6),IF($R$4=1,"█",IF($R$4=2,$G14,$G14*2)),"")</f>
        <v/>
      </c>
      <c r="BB14" s="24">
        <f>IF(AND($I14&lt;=BB$6+6,$J14&gt;=BB$6),IF($R$4=1,"█",IF($R$4=2,$G14,$G14*2)),"")</f>
        <v/>
      </c>
      <c r="BC14" s="24">
        <f>IF(AND($I14&lt;=BC$6+6,$J14&gt;=BC$6),IF($R$4=1,"█",IF($R$4=2,$G14,$G14*2)),"")</f>
        <v/>
      </c>
      <c r="BD14" s="24">
        <f>IF(AND($I14&lt;=BD$6+6,$J14&gt;=BD$6),IF($R$4=1,"█",IF($R$4=2,$G14,$G14*2)),"")</f>
        <v/>
      </c>
      <c r="BF14" s="4">
        <f>BG15-(4)+H14-1</f>
        <v/>
      </c>
      <c r="BG14" s="4">
        <f>BF14-H14+1</f>
        <v/>
      </c>
      <c r="BH14">
        <f>BG14-I14</f>
        <v/>
      </c>
    </row>
    <row r="15" ht="20" customHeight="1">
      <c r="A15" s="16" t="inlineStr">
        <is>
          <t>2.3</t>
        </is>
      </c>
      <c r="B15" s="17" t="inlineStr">
        <is>
          <t>Khoan cọc nhồi D1200mm Trụ T1 (8 cọc L=40m) &amp; đổ bê tông C30</t>
        </is>
      </c>
      <c r="C15" s="18">
        <f>QS_DIEN_GIAI_CHI_TIET!J9</f>
        <v/>
      </c>
      <c r="D15" s="19" t="inlineStr">
        <is>
          <t>m</t>
        </is>
      </c>
      <c r="E15" s="18" t="n">
        <v>0.75</v>
      </c>
      <c r="F15" s="20">
        <f>C15*E15</f>
        <v/>
      </c>
      <c r="G15" s="19" t="n">
        <v>16</v>
      </c>
      <c r="H15" s="16">
        <f>ROUNDUP(F15/G15, 0)</f>
        <v/>
      </c>
      <c r="I15" s="21">
        <f>I14+4</f>
        <v/>
      </c>
      <c r="J15" s="21">
        <f>I15+H15-1</f>
        <v/>
      </c>
      <c r="K15" s="19" t="inlineStr">
        <is>
          <t>2.2SS+4d</t>
        </is>
      </c>
      <c r="L15" s="22">
        <f>IF(BH15=0,"YES","NO")</f>
        <v/>
      </c>
      <c r="M15" s="23">
        <f>IF(AND($I15&lt;=M$6+6,$J15&gt;=M$6),IF($R$4=1,"█",IF($R$4=2,$G15,$G15*2)),"")</f>
        <v/>
      </c>
      <c r="N15" s="23">
        <f>IF(AND($I15&lt;=N$6+6,$J15&gt;=N$6),IF($R$4=1,"█",IF($R$4=2,$G15,$G15*2)),"")</f>
        <v/>
      </c>
      <c r="O15" s="23">
        <f>IF(AND($I15&lt;=O$6+6,$J15&gt;=O$6),IF($R$4=1,"█",IF($R$4=2,$G15,$G15*2)),"")</f>
        <v/>
      </c>
      <c r="P15" s="23">
        <f>IF(AND($I15&lt;=P$6+6,$J15&gt;=P$6),IF($R$4=1,"█",IF($R$4=2,$G15,$G15*2)),"")</f>
        <v/>
      </c>
      <c r="Q15" s="23">
        <f>IF(AND($I15&lt;=Q$6+6,$J15&gt;=Q$6),IF($R$4=1,"█",IF($R$4=2,$G15,$G15*2)),"")</f>
        <v/>
      </c>
      <c r="R15" s="23">
        <f>IF(AND($I15&lt;=R$6+6,$J15&gt;=R$6),IF($R$4=1,"█",IF($R$4=2,$G15,$G15*2)),"")</f>
        <v/>
      </c>
      <c r="S15" s="23">
        <f>IF(AND($I15&lt;=S$6+6,$J15&gt;=S$6),IF($R$4=1,"█",IF($R$4=2,$G15,$G15*2)),"")</f>
        <v/>
      </c>
      <c r="T15" s="23">
        <f>IF(AND($I15&lt;=T$6+6,$J15&gt;=T$6),IF($R$4=1,"█",IF($R$4=2,$G15,$G15*2)),"")</f>
        <v/>
      </c>
      <c r="U15" s="23">
        <f>IF(AND($I15&lt;=U$6+6,$J15&gt;=U$6),IF($R$4=1,"█",IF($R$4=2,$G15,$G15*2)),"")</f>
        <v/>
      </c>
      <c r="V15" s="23">
        <f>IF(AND($I15&lt;=V$6+6,$J15&gt;=V$6),IF($R$4=1,"█",IF($R$4=2,$G15,$G15*2)),"")</f>
        <v/>
      </c>
      <c r="W15" s="23">
        <f>IF(AND($I15&lt;=W$6+6,$J15&gt;=W$6),IF($R$4=1,"█",IF($R$4=2,$G15,$G15*2)),"")</f>
        <v/>
      </c>
      <c r="X15" s="23">
        <f>IF(AND($I15&lt;=X$6+6,$J15&gt;=X$6),IF($R$4=1,"█",IF($R$4=2,$G15,$G15*2)),"")</f>
        <v/>
      </c>
      <c r="Y15" s="23">
        <f>IF(AND($I15&lt;=Y$6+6,$J15&gt;=Y$6),IF($R$4=1,"█",IF($R$4=2,$G15,$G15*2)),"")</f>
        <v/>
      </c>
      <c r="Z15" s="23">
        <f>IF(AND($I15&lt;=Z$6+6,$J15&gt;=Z$6),IF($R$4=1,"█",IF($R$4=2,$G15,$G15*2)),"")</f>
        <v/>
      </c>
      <c r="AA15" s="23">
        <f>IF(AND($I15&lt;=AA$6+6,$J15&gt;=AA$6),IF($R$4=1,"█",IF($R$4=2,$G15,$G15*2)),"")</f>
        <v/>
      </c>
      <c r="AB15" s="23">
        <f>IF(AND($I15&lt;=AB$6+6,$J15&gt;=AB$6),IF($R$4=1,"█",IF($R$4=2,$G15,$G15*2)),"")</f>
        <v/>
      </c>
      <c r="AC15" s="23">
        <f>IF(AND($I15&lt;=AC$6+6,$J15&gt;=AC$6),IF($R$4=1,"█",IF($R$4=2,$G15,$G15*2)),"")</f>
        <v/>
      </c>
      <c r="AD15" s="23">
        <f>IF(AND($I15&lt;=AD$6+6,$J15&gt;=AD$6),IF($R$4=1,"█",IF($R$4=2,$G15,$G15*2)),"")</f>
        <v/>
      </c>
      <c r="AE15" s="23">
        <f>IF(AND($I15&lt;=AE$6+6,$J15&gt;=AE$6),IF($R$4=1,"█",IF($R$4=2,$G15,$G15*2)),"")</f>
        <v/>
      </c>
      <c r="AF15" s="23">
        <f>IF(AND($I15&lt;=AF$6+6,$J15&gt;=AF$6),IF($R$4=1,"█",IF($R$4=2,$G15,$G15*2)),"")</f>
        <v/>
      </c>
      <c r="AG15" s="23">
        <f>IF(AND($I15&lt;=AG$6+6,$J15&gt;=AG$6),IF($R$4=1,"█",IF($R$4=2,$G15,$G15*2)),"")</f>
        <v/>
      </c>
      <c r="AH15" s="23">
        <f>IF(AND($I15&lt;=AH$6+6,$J15&gt;=AH$6),IF($R$4=1,"█",IF($R$4=2,$G15,$G15*2)),"")</f>
        <v/>
      </c>
      <c r="AI15" s="23">
        <f>IF(AND($I15&lt;=AI$6+6,$J15&gt;=AI$6),IF($R$4=1,"█",IF($R$4=2,$G15,$G15*2)),"")</f>
        <v/>
      </c>
      <c r="AJ15" s="23">
        <f>IF(AND($I15&lt;=AJ$6+6,$J15&gt;=AJ$6),IF($R$4=1,"█",IF($R$4=2,$G15,$G15*2)),"")</f>
        <v/>
      </c>
      <c r="AK15" s="24">
        <f>IF(AND($I15&lt;=AK$6+6,$J15&gt;=AK$6),IF($R$4=1,"█",IF($R$4=2,$G15,$G15*2)),"")</f>
        <v/>
      </c>
      <c r="AL15" s="24">
        <f>IF(AND($I15&lt;=AL$6+6,$J15&gt;=AL$6),IF($R$4=1,"█",IF($R$4=2,$G15,$G15*2)),"")</f>
        <v/>
      </c>
      <c r="AM15" s="24">
        <f>IF(AND($I15&lt;=AM$6+6,$J15&gt;=AM$6),IF($R$4=1,"█",IF($R$4=2,$G15,$G15*2)),"")</f>
        <v/>
      </c>
      <c r="AN15" s="24">
        <f>IF(AND($I15&lt;=AN$6+6,$J15&gt;=AN$6),IF($R$4=1,"█",IF($R$4=2,$G15,$G15*2)),"")</f>
        <v/>
      </c>
      <c r="AO15" s="24">
        <f>IF(AND($I15&lt;=AO$6+6,$J15&gt;=AO$6),IF($R$4=1,"█",IF($R$4=2,$G15,$G15*2)),"")</f>
        <v/>
      </c>
      <c r="AP15" s="24">
        <f>IF(AND($I15&lt;=AP$6+6,$J15&gt;=AP$6),IF($R$4=1,"█",IF($R$4=2,$G15,$G15*2)),"")</f>
        <v/>
      </c>
      <c r="AQ15" s="24">
        <f>IF(AND($I15&lt;=AQ$6+6,$J15&gt;=AQ$6),IF($R$4=1,"█",IF($R$4=2,$G15,$G15*2)),"")</f>
        <v/>
      </c>
      <c r="AR15" s="24">
        <f>IF(AND($I15&lt;=AR$6+6,$J15&gt;=AR$6),IF($R$4=1,"█",IF($R$4=2,$G15,$G15*2)),"")</f>
        <v/>
      </c>
      <c r="AS15" s="24">
        <f>IF(AND($I15&lt;=AS$6+6,$J15&gt;=AS$6),IF($R$4=1,"█",IF($R$4=2,$G15,$G15*2)),"")</f>
        <v/>
      </c>
      <c r="AT15" s="24">
        <f>IF(AND($I15&lt;=AT$6+6,$J15&gt;=AT$6),IF($R$4=1,"█",IF($R$4=2,$G15,$G15*2)),"")</f>
        <v/>
      </c>
      <c r="AU15" s="24">
        <f>IF(AND($I15&lt;=AU$6+6,$J15&gt;=AU$6),IF($R$4=1,"█",IF($R$4=2,$G15,$G15*2)),"")</f>
        <v/>
      </c>
      <c r="AV15" s="24">
        <f>IF(AND($I15&lt;=AV$6+6,$J15&gt;=AV$6),IF($R$4=1,"█",IF($R$4=2,$G15,$G15*2)),"")</f>
        <v/>
      </c>
      <c r="AW15" s="24">
        <f>IF(AND($I15&lt;=AW$6+6,$J15&gt;=AW$6),IF($R$4=1,"█",IF($R$4=2,$G15,$G15*2)),"")</f>
        <v/>
      </c>
      <c r="AX15" s="24">
        <f>IF(AND($I15&lt;=AX$6+6,$J15&gt;=AX$6),IF($R$4=1,"█",IF($R$4=2,$G15,$G15*2)),"")</f>
        <v/>
      </c>
      <c r="AY15" s="24">
        <f>IF(AND($I15&lt;=AY$6+6,$J15&gt;=AY$6),IF($R$4=1,"█",IF($R$4=2,$G15,$G15*2)),"")</f>
        <v/>
      </c>
      <c r="AZ15" s="24">
        <f>IF(AND($I15&lt;=AZ$6+6,$J15&gt;=AZ$6),IF($R$4=1,"█",IF($R$4=2,$G15,$G15*2)),"")</f>
        <v/>
      </c>
      <c r="BA15" s="24">
        <f>IF(AND($I15&lt;=BA$6+6,$J15&gt;=BA$6),IF($R$4=1,"█",IF($R$4=2,$G15,$G15*2)),"")</f>
        <v/>
      </c>
      <c r="BB15" s="24">
        <f>IF(AND($I15&lt;=BB$6+6,$J15&gt;=BB$6),IF($R$4=1,"█",IF($R$4=2,$G15,$G15*2)),"")</f>
        <v/>
      </c>
      <c r="BC15" s="24">
        <f>IF(AND($I15&lt;=BC$6+6,$J15&gt;=BC$6),IF($R$4=1,"█",IF($R$4=2,$G15,$G15*2)),"")</f>
        <v/>
      </c>
      <c r="BD15" s="24">
        <f>IF(AND($I15&lt;=BD$6+6,$J15&gt;=BD$6),IF($R$4=1,"█",IF($R$4=2,$G15,$G15*2)),"")</f>
        <v/>
      </c>
      <c r="BF15" s="4">
        <f>BG16-(8)+H15-1</f>
        <v/>
      </c>
      <c r="BG15" s="4">
        <f>BF15-H15+1</f>
        <v/>
      </c>
      <c r="BH15">
        <f>BG15-I15</f>
        <v/>
      </c>
    </row>
    <row r="16" ht="20" customHeight="1">
      <c r="A16" s="16" t="inlineStr">
        <is>
          <t>2.4</t>
        </is>
      </c>
      <c r="B16" s="17" t="inlineStr">
        <is>
          <t>Khoan cọc nhồi D1200mm Trụ T2 (8 cọc L=30m) &amp; đổ bê tông C30</t>
        </is>
      </c>
      <c r="C16" s="18">
        <f>QS_DIEN_GIAI_CHI_TIET!J10</f>
        <v/>
      </c>
      <c r="D16" s="19" t="inlineStr">
        <is>
          <t>m</t>
        </is>
      </c>
      <c r="E16" s="18" t="n">
        <v>0.75</v>
      </c>
      <c r="F16" s="20">
        <f>C16*E16</f>
        <v/>
      </c>
      <c r="G16" s="19" t="n">
        <v>14</v>
      </c>
      <c r="H16" s="16">
        <f>ROUNDUP(F16/G16, 0)</f>
        <v/>
      </c>
      <c r="I16" s="21">
        <f>I15+8</f>
        <v/>
      </c>
      <c r="J16" s="21">
        <f>I16+H16-1</f>
        <v/>
      </c>
      <c r="K16" s="19" t="inlineStr">
        <is>
          <t>2.3SS+8d</t>
        </is>
      </c>
      <c r="L16" s="22">
        <f>IF(BH16=0,"YES","NO")</f>
        <v/>
      </c>
      <c r="M16" s="23">
        <f>IF(AND($I16&lt;=M$6+6,$J16&gt;=M$6),IF($R$4=1,"█",IF($R$4=2,$G16,$G16*2)),"")</f>
        <v/>
      </c>
      <c r="N16" s="23">
        <f>IF(AND($I16&lt;=N$6+6,$J16&gt;=N$6),IF($R$4=1,"█",IF($R$4=2,$G16,$G16*2)),"")</f>
        <v/>
      </c>
      <c r="O16" s="23">
        <f>IF(AND($I16&lt;=O$6+6,$J16&gt;=O$6),IF($R$4=1,"█",IF($R$4=2,$G16,$G16*2)),"")</f>
        <v/>
      </c>
      <c r="P16" s="23">
        <f>IF(AND($I16&lt;=P$6+6,$J16&gt;=P$6),IF($R$4=1,"█",IF($R$4=2,$G16,$G16*2)),"")</f>
        <v/>
      </c>
      <c r="Q16" s="23">
        <f>IF(AND($I16&lt;=Q$6+6,$J16&gt;=Q$6),IF($R$4=1,"█",IF($R$4=2,$G16,$G16*2)),"")</f>
        <v/>
      </c>
      <c r="R16" s="23">
        <f>IF(AND($I16&lt;=R$6+6,$J16&gt;=R$6),IF($R$4=1,"█",IF($R$4=2,$G16,$G16*2)),"")</f>
        <v/>
      </c>
      <c r="S16" s="23">
        <f>IF(AND($I16&lt;=S$6+6,$J16&gt;=S$6),IF($R$4=1,"█",IF($R$4=2,$G16,$G16*2)),"")</f>
        <v/>
      </c>
      <c r="T16" s="23">
        <f>IF(AND($I16&lt;=T$6+6,$J16&gt;=T$6),IF($R$4=1,"█",IF($R$4=2,$G16,$G16*2)),"")</f>
        <v/>
      </c>
      <c r="U16" s="23">
        <f>IF(AND($I16&lt;=U$6+6,$J16&gt;=U$6),IF($R$4=1,"█",IF($R$4=2,$G16,$G16*2)),"")</f>
        <v/>
      </c>
      <c r="V16" s="23">
        <f>IF(AND($I16&lt;=V$6+6,$J16&gt;=V$6),IF($R$4=1,"█",IF($R$4=2,$G16,$G16*2)),"")</f>
        <v/>
      </c>
      <c r="W16" s="23">
        <f>IF(AND($I16&lt;=W$6+6,$J16&gt;=W$6),IF($R$4=1,"█",IF($R$4=2,$G16,$G16*2)),"")</f>
        <v/>
      </c>
      <c r="X16" s="23">
        <f>IF(AND($I16&lt;=X$6+6,$J16&gt;=X$6),IF($R$4=1,"█",IF($R$4=2,$G16,$G16*2)),"")</f>
        <v/>
      </c>
      <c r="Y16" s="23">
        <f>IF(AND($I16&lt;=Y$6+6,$J16&gt;=Y$6),IF($R$4=1,"█",IF($R$4=2,$G16,$G16*2)),"")</f>
        <v/>
      </c>
      <c r="Z16" s="23">
        <f>IF(AND($I16&lt;=Z$6+6,$J16&gt;=Z$6),IF($R$4=1,"█",IF($R$4=2,$G16,$G16*2)),"")</f>
        <v/>
      </c>
      <c r="AA16" s="23">
        <f>IF(AND($I16&lt;=AA$6+6,$J16&gt;=AA$6),IF($R$4=1,"█",IF($R$4=2,$G16,$G16*2)),"")</f>
        <v/>
      </c>
      <c r="AB16" s="23">
        <f>IF(AND($I16&lt;=AB$6+6,$J16&gt;=AB$6),IF($R$4=1,"█",IF($R$4=2,$G16,$G16*2)),"")</f>
        <v/>
      </c>
      <c r="AC16" s="23">
        <f>IF(AND($I16&lt;=AC$6+6,$J16&gt;=AC$6),IF($R$4=1,"█",IF($R$4=2,$G16,$G16*2)),"")</f>
        <v/>
      </c>
      <c r="AD16" s="23">
        <f>IF(AND($I16&lt;=AD$6+6,$J16&gt;=AD$6),IF($R$4=1,"█",IF($R$4=2,$G16,$G16*2)),"")</f>
        <v/>
      </c>
      <c r="AE16" s="23">
        <f>IF(AND($I16&lt;=AE$6+6,$J16&gt;=AE$6),IF($R$4=1,"█",IF($R$4=2,$G16,$G16*2)),"")</f>
        <v/>
      </c>
      <c r="AF16" s="23">
        <f>IF(AND($I16&lt;=AF$6+6,$J16&gt;=AF$6),IF($R$4=1,"█",IF($R$4=2,$G16,$G16*2)),"")</f>
        <v/>
      </c>
      <c r="AG16" s="23">
        <f>IF(AND($I16&lt;=AG$6+6,$J16&gt;=AG$6),IF($R$4=1,"█",IF($R$4=2,$G16,$G16*2)),"")</f>
        <v/>
      </c>
      <c r="AH16" s="23">
        <f>IF(AND($I16&lt;=AH$6+6,$J16&gt;=AH$6),IF($R$4=1,"█",IF($R$4=2,$G16,$G16*2)),"")</f>
        <v/>
      </c>
      <c r="AI16" s="23">
        <f>IF(AND($I16&lt;=AI$6+6,$J16&gt;=AI$6),IF($R$4=1,"█",IF($R$4=2,$G16,$G16*2)),"")</f>
        <v/>
      </c>
      <c r="AJ16" s="23">
        <f>IF(AND($I16&lt;=AJ$6+6,$J16&gt;=AJ$6),IF($R$4=1,"█",IF($R$4=2,$G16,$G16*2)),"")</f>
        <v/>
      </c>
      <c r="AK16" s="24">
        <f>IF(AND($I16&lt;=AK$6+6,$J16&gt;=AK$6),IF($R$4=1,"█",IF($R$4=2,$G16,$G16*2)),"")</f>
        <v/>
      </c>
      <c r="AL16" s="24">
        <f>IF(AND($I16&lt;=AL$6+6,$J16&gt;=AL$6),IF($R$4=1,"█",IF($R$4=2,$G16,$G16*2)),"")</f>
        <v/>
      </c>
      <c r="AM16" s="24">
        <f>IF(AND($I16&lt;=AM$6+6,$J16&gt;=AM$6),IF($R$4=1,"█",IF($R$4=2,$G16,$G16*2)),"")</f>
        <v/>
      </c>
      <c r="AN16" s="24">
        <f>IF(AND($I16&lt;=AN$6+6,$J16&gt;=AN$6),IF($R$4=1,"█",IF($R$4=2,$G16,$G16*2)),"")</f>
        <v/>
      </c>
      <c r="AO16" s="24">
        <f>IF(AND($I16&lt;=AO$6+6,$J16&gt;=AO$6),IF($R$4=1,"█",IF($R$4=2,$G16,$G16*2)),"")</f>
        <v/>
      </c>
      <c r="AP16" s="24">
        <f>IF(AND($I16&lt;=AP$6+6,$J16&gt;=AP$6),IF($R$4=1,"█",IF($R$4=2,$G16,$G16*2)),"")</f>
        <v/>
      </c>
      <c r="AQ16" s="24">
        <f>IF(AND($I16&lt;=AQ$6+6,$J16&gt;=AQ$6),IF($R$4=1,"█",IF($R$4=2,$G16,$G16*2)),"")</f>
        <v/>
      </c>
      <c r="AR16" s="24">
        <f>IF(AND($I16&lt;=AR$6+6,$J16&gt;=AR$6),IF($R$4=1,"█",IF($R$4=2,$G16,$G16*2)),"")</f>
        <v/>
      </c>
      <c r="AS16" s="24">
        <f>IF(AND($I16&lt;=AS$6+6,$J16&gt;=AS$6),IF($R$4=1,"█",IF($R$4=2,$G16,$G16*2)),"")</f>
        <v/>
      </c>
      <c r="AT16" s="24">
        <f>IF(AND($I16&lt;=AT$6+6,$J16&gt;=AT$6),IF($R$4=1,"█",IF($R$4=2,$G16,$G16*2)),"")</f>
        <v/>
      </c>
      <c r="AU16" s="24">
        <f>IF(AND($I16&lt;=AU$6+6,$J16&gt;=AU$6),IF($R$4=1,"█",IF($R$4=2,$G16,$G16*2)),"")</f>
        <v/>
      </c>
      <c r="AV16" s="24">
        <f>IF(AND($I16&lt;=AV$6+6,$J16&gt;=AV$6),IF($R$4=1,"█",IF($R$4=2,$G16,$G16*2)),"")</f>
        <v/>
      </c>
      <c r="AW16" s="24">
        <f>IF(AND($I16&lt;=AW$6+6,$J16&gt;=AW$6),IF($R$4=1,"█",IF($R$4=2,$G16,$G16*2)),"")</f>
        <v/>
      </c>
      <c r="AX16" s="24">
        <f>IF(AND($I16&lt;=AX$6+6,$J16&gt;=AX$6),IF($R$4=1,"█",IF($R$4=2,$G16,$G16*2)),"")</f>
        <v/>
      </c>
      <c r="AY16" s="24">
        <f>IF(AND($I16&lt;=AY$6+6,$J16&gt;=AY$6),IF($R$4=1,"█",IF($R$4=2,$G16,$G16*2)),"")</f>
        <v/>
      </c>
      <c r="AZ16" s="24">
        <f>IF(AND($I16&lt;=AZ$6+6,$J16&gt;=AZ$6),IF($R$4=1,"█",IF($R$4=2,$G16,$G16*2)),"")</f>
        <v/>
      </c>
      <c r="BA16" s="24">
        <f>IF(AND($I16&lt;=BA$6+6,$J16&gt;=BA$6),IF($R$4=1,"█",IF($R$4=2,$G16,$G16*2)),"")</f>
        <v/>
      </c>
      <c r="BB16" s="24">
        <f>IF(AND($I16&lt;=BB$6+6,$J16&gt;=BB$6),IF($R$4=1,"█",IF($R$4=2,$G16,$G16*2)),"")</f>
        <v/>
      </c>
      <c r="BC16" s="24">
        <f>IF(AND($I16&lt;=BC$6+6,$J16&gt;=BC$6),IF($R$4=1,"█",IF($R$4=2,$G16,$G16*2)),"")</f>
        <v/>
      </c>
      <c r="BD16" s="24">
        <f>IF(AND($I16&lt;=BD$6+6,$J16&gt;=BD$6),IF($R$4=1,"█",IF($R$4=2,$G16,$G16*2)),"")</f>
        <v/>
      </c>
      <c r="BF16" s="4">
        <f>MIN(BG17-(7)+H16-1,BG18-1-0)</f>
        <v/>
      </c>
      <c r="BG16" s="4">
        <f>BF16-H16+1</f>
        <v/>
      </c>
      <c r="BH16">
        <f>BG16-I16</f>
        <v/>
      </c>
    </row>
    <row r="17" ht="20" customHeight="1">
      <c r="A17" s="16" t="inlineStr">
        <is>
          <t>2.5</t>
        </is>
      </c>
      <c r="B17" s="17" t="inlineStr">
        <is>
          <t>Khoan cọc nhồi D1200mm M2 (7 cọc L=36m) &amp; đổ bê tông C30</t>
        </is>
      </c>
      <c r="C17" s="18">
        <f>QS_DIEN_GIAI_CHI_TIET!J11</f>
        <v/>
      </c>
      <c r="D17" s="19" t="inlineStr">
        <is>
          <t>m</t>
        </is>
      </c>
      <c r="E17" s="18" t="n">
        <v>0.75</v>
      </c>
      <c r="F17" s="20">
        <f>C17*E17</f>
        <v/>
      </c>
      <c r="G17" s="19" t="n">
        <v>14</v>
      </c>
      <c r="H17" s="16">
        <f>ROUNDUP(F17/G17, 0)</f>
        <v/>
      </c>
      <c r="I17" s="21">
        <f>I16+7</f>
        <v/>
      </c>
      <c r="J17" s="21">
        <f>I17+H17-1</f>
        <v/>
      </c>
      <c r="K17" s="19" t="inlineStr">
        <is>
          <t>2.4SS+7d</t>
        </is>
      </c>
      <c r="L17" s="19">
        <f>IF(BH17=0,"YES","NO")</f>
        <v/>
      </c>
      <c r="M17" s="23">
        <f>IF(AND($I17&lt;=M$6+6,$J17&gt;=M$6),IF($R$4=1,"█",IF($R$4=2,$G17,$G17*2)),"")</f>
        <v/>
      </c>
      <c r="N17" s="23">
        <f>IF(AND($I17&lt;=N$6+6,$J17&gt;=N$6),IF($R$4=1,"█",IF($R$4=2,$G17,$G17*2)),"")</f>
        <v/>
      </c>
      <c r="O17" s="23">
        <f>IF(AND($I17&lt;=O$6+6,$J17&gt;=O$6),IF($R$4=1,"█",IF($R$4=2,$G17,$G17*2)),"")</f>
        <v/>
      </c>
      <c r="P17" s="23">
        <f>IF(AND($I17&lt;=P$6+6,$J17&gt;=P$6),IF($R$4=1,"█",IF($R$4=2,$G17,$G17*2)),"")</f>
        <v/>
      </c>
      <c r="Q17" s="23">
        <f>IF(AND($I17&lt;=Q$6+6,$J17&gt;=Q$6),IF($R$4=1,"█",IF($R$4=2,$G17,$G17*2)),"")</f>
        <v/>
      </c>
      <c r="R17" s="23">
        <f>IF(AND($I17&lt;=R$6+6,$J17&gt;=R$6),IF($R$4=1,"█",IF($R$4=2,$G17,$G17*2)),"")</f>
        <v/>
      </c>
      <c r="S17" s="23">
        <f>IF(AND($I17&lt;=S$6+6,$J17&gt;=S$6),IF($R$4=1,"█",IF($R$4=2,$G17,$G17*2)),"")</f>
        <v/>
      </c>
      <c r="T17" s="23">
        <f>IF(AND($I17&lt;=T$6+6,$J17&gt;=T$6),IF($R$4=1,"█",IF($R$4=2,$G17,$G17*2)),"")</f>
        <v/>
      </c>
      <c r="U17" s="23">
        <f>IF(AND($I17&lt;=U$6+6,$J17&gt;=U$6),IF($R$4=1,"█",IF($R$4=2,$G17,$G17*2)),"")</f>
        <v/>
      </c>
      <c r="V17" s="23">
        <f>IF(AND($I17&lt;=V$6+6,$J17&gt;=V$6),IF($R$4=1,"█",IF($R$4=2,$G17,$G17*2)),"")</f>
        <v/>
      </c>
      <c r="W17" s="23">
        <f>IF(AND($I17&lt;=W$6+6,$J17&gt;=W$6),IF($R$4=1,"█",IF($R$4=2,$G17,$G17*2)),"")</f>
        <v/>
      </c>
      <c r="X17" s="23">
        <f>IF(AND($I17&lt;=X$6+6,$J17&gt;=X$6),IF($R$4=1,"█",IF($R$4=2,$G17,$G17*2)),"")</f>
        <v/>
      </c>
      <c r="Y17" s="23">
        <f>IF(AND($I17&lt;=Y$6+6,$J17&gt;=Y$6),IF($R$4=1,"█",IF($R$4=2,$G17,$G17*2)),"")</f>
        <v/>
      </c>
      <c r="Z17" s="23">
        <f>IF(AND($I17&lt;=Z$6+6,$J17&gt;=Z$6),IF($R$4=1,"█",IF($R$4=2,$G17,$G17*2)),"")</f>
        <v/>
      </c>
      <c r="AA17" s="23">
        <f>IF(AND($I17&lt;=AA$6+6,$J17&gt;=AA$6),IF($R$4=1,"█",IF($R$4=2,$G17,$G17*2)),"")</f>
        <v/>
      </c>
      <c r="AB17" s="23">
        <f>IF(AND($I17&lt;=AB$6+6,$J17&gt;=AB$6),IF($R$4=1,"█",IF($R$4=2,$G17,$G17*2)),"")</f>
        <v/>
      </c>
      <c r="AC17" s="23">
        <f>IF(AND($I17&lt;=AC$6+6,$J17&gt;=AC$6),IF($R$4=1,"█",IF($R$4=2,$G17,$G17*2)),"")</f>
        <v/>
      </c>
      <c r="AD17" s="23">
        <f>IF(AND($I17&lt;=AD$6+6,$J17&gt;=AD$6),IF($R$4=1,"█",IF($R$4=2,$G17,$G17*2)),"")</f>
        <v/>
      </c>
      <c r="AE17" s="23">
        <f>IF(AND($I17&lt;=AE$6+6,$J17&gt;=AE$6),IF($R$4=1,"█",IF($R$4=2,$G17,$G17*2)),"")</f>
        <v/>
      </c>
      <c r="AF17" s="23">
        <f>IF(AND($I17&lt;=AF$6+6,$J17&gt;=AF$6),IF($R$4=1,"█",IF($R$4=2,$G17,$G17*2)),"")</f>
        <v/>
      </c>
      <c r="AG17" s="23">
        <f>IF(AND($I17&lt;=AG$6+6,$J17&gt;=AG$6),IF($R$4=1,"█",IF($R$4=2,$G17,$G17*2)),"")</f>
        <v/>
      </c>
      <c r="AH17" s="23">
        <f>IF(AND($I17&lt;=AH$6+6,$J17&gt;=AH$6),IF($R$4=1,"█",IF($R$4=2,$G17,$G17*2)),"")</f>
        <v/>
      </c>
      <c r="AI17" s="23">
        <f>IF(AND($I17&lt;=AI$6+6,$J17&gt;=AI$6),IF($R$4=1,"█",IF($R$4=2,$G17,$G17*2)),"")</f>
        <v/>
      </c>
      <c r="AJ17" s="23">
        <f>IF(AND($I17&lt;=AJ$6+6,$J17&gt;=AJ$6),IF($R$4=1,"█",IF($R$4=2,$G17,$G17*2)),"")</f>
        <v/>
      </c>
      <c r="AK17" s="24">
        <f>IF(AND($I17&lt;=AK$6+6,$J17&gt;=AK$6),IF($R$4=1,"█",IF($R$4=2,$G17,$G17*2)),"")</f>
        <v/>
      </c>
      <c r="AL17" s="24">
        <f>IF(AND($I17&lt;=AL$6+6,$J17&gt;=AL$6),IF($R$4=1,"█",IF($R$4=2,$G17,$G17*2)),"")</f>
        <v/>
      </c>
      <c r="AM17" s="24">
        <f>IF(AND($I17&lt;=AM$6+6,$J17&gt;=AM$6),IF($R$4=1,"█",IF($R$4=2,$G17,$G17*2)),"")</f>
        <v/>
      </c>
      <c r="AN17" s="24">
        <f>IF(AND($I17&lt;=AN$6+6,$J17&gt;=AN$6),IF($R$4=1,"█",IF($R$4=2,$G17,$G17*2)),"")</f>
        <v/>
      </c>
      <c r="AO17" s="24">
        <f>IF(AND($I17&lt;=AO$6+6,$J17&gt;=AO$6),IF($R$4=1,"█",IF($R$4=2,$G17,$G17*2)),"")</f>
        <v/>
      </c>
      <c r="AP17" s="24">
        <f>IF(AND($I17&lt;=AP$6+6,$J17&gt;=AP$6),IF($R$4=1,"█",IF($R$4=2,$G17,$G17*2)),"")</f>
        <v/>
      </c>
      <c r="AQ17" s="24">
        <f>IF(AND($I17&lt;=AQ$6+6,$J17&gt;=AQ$6),IF($R$4=1,"█",IF($R$4=2,$G17,$G17*2)),"")</f>
        <v/>
      </c>
      <c r="AR17" s="24">
        <f>IF(AND($I17&lt;=AR$6+6,$J17&gt;=AR$6),IF($R$4=1,"█",IF($R$4=2,$G17,$G17*2)),"")</f>
        <v/>
      </c>
      <c r="AS17" s="24">
        <f>IF(AND($I17&lt;=AS$6+6,$J17&gt;=AS$6),IF($R$4=1,"█",IF($R$4=2,$G17,$G17*2)),"")</f>
        <v/>
      </c>
      <c r="AT17" s="24">
        <f>IF(AND($I17&lt;=AT$6+6,$J17&gt;=AT$6),IF($R$4=1,"█",IF($R$4=2,$G17,$G17*2)),"")</f>
        <v/>
      </c>
      <c r="AU17" s="24">
        <f>IF(AND($I17&lt;=AU$6+6,$J17&gt;=AU$6),IF($R$4=1,"█",IF($R$4=2,$G17,$G17*2)),"")</f>
        <v/>
      </c>
      <c r="AV17" s="24">
        <f>IF(AND($I17&lt;=AV$6+6,$J17&gt;=AV$6),IF($R$4=1,"█",IF($R$4=2,$G17,$G17*2)),"")</f>
        <v/>
      </c>
      <c r="AW17" s="24">
        <f>IF(AND($I17&lt;=AW$6+6,$J17&gt;=AW$6),IF($R$4=1,"█",IF($R$4=2,$G17,$G17*2)),"")</f>
        <v/>
      </c>
      <c r="AX17" s="24">
        <f>IF(AND($I17&lt;=AX$6+6,$J17&gt;=AX$6),IF($R$4=1,"█",IF($R$4=2,$G17,$G17*2)),"")</f>
        <v/>
      </c>
      <c r="AY17" s="24">
        <f>IF(AND($I17&lt;=AY$6+6,$J17&gt;=AY$6),IF($R$4=1,"█",IF($R$4=2,$G17,$G17*2)),"")</f>
        <v/>
      </c>
      <c r="AZ17" s="24">
        <f>IF(AND($I17&lt;=AZ$6+6,$J17&gt;=AZ$6),IF($R$4=1,"█",IF($R$4=2,$G17,$G17*2)),"")</f>
        <v/>
      </c>
      <c r="BA17" s="24">
        <f>IF(AND($I17&lt;=BA$6+6,$J17&gt;=BA$6),IF($R$4=1,"█",IF($R$4=2,$G17,$G17*2)),"")</f>
        <v/>
      </c>
      <c r="BB17" s="24">
        <f>IF(AND($I17&lt;=BB$6+6,$J17&gt;=BB$6),IF($R$4=1,"█",IF($R$4=2,$G17,$G17*2)),"")</f>
        <v/>
      </c>
      <c r="BC17" s="24">
        <f>IF(AND($I17&lt;=BC$6+6,$J17&gt;=BC$6),IF($R$4=1,"█",IF($R$4=2,$G17,$G17*2)),"")</f>
        <v/>
      </c>
      <c r="BD17" s="24">
        <f>IF(AND($I17&lt;=BD$6+6,$J17&gt;=BD$6),IF($R$4=1,"█",IF($R$4=2,$G17,$G17*2)),"")</f>
        <v/>
      </c>
      <c r="BF17" s="4">
        <f>BG18-1-0</f>
        <v/>
      </c>
      <c r="BG17" s="4">
        <f>BF17-H17+1</f>
        <v/>
      </c>
      <c r="BH17">
        <f>BG17-I17</f>
        <v/>
      </c>
    </row>
    <row r="18" ht="20" customHeight="1">
      <c r="A18" s="16" t="inlineStr">
        <is>
          <t>2.6</t>
        </is>
      </c>
      <c r="B18" s="17" t="inlineStr">
        <is>
          <t>Thí nghiệm siêu âm 156 mặt cắt, khoan kiểm tra mũi cọc &amp; thử tải PDA</t>
        </is>
      </c>
      <c r="C18" s="18" t="n">
        <v>1</v>
      </c>
      <c r="D18" s="19" t="inlineStr">
        <is>
          <t>Gói</t>
        </is>
      </c>
      <c r="E18" s="18" t="n">
        <v>48</v>
      </c>
      <c r="F18" s="20">
        <f>C18*E18</f>
        <v/>
      </c>
      <c r="G18" s="19" t="n">
        <v>6</v>
      </c>
      <c r="H18" s="16">
        <f>ROUNDUP(F18/G18, 0)</f>
        <v/>
      </c>
      <c r="I18" s="21">
        <f>MAX(J16+1+0,J17+1+0)</f>
        <v/>
      </c>
      <c r="J18" s="21">
        <f>I18+H18-1</f>
        <v/>
      </c>
      <c r="K18" s="19" t="inlineStr">
        <is>
          <t>2.4FS,2.5FS</t>
        </is>
      </c>
      <c r="L18" s="22">
        <f>IF(BH18=0,"YES","NO")</f>
        <v/>
      </c>
      <c r="M18" s="23">
        <f>IF(AND($I18&lt;=M$6+6,$J18&gt;=M$6),IF($R$4=1,"█",IF($R$4=2,$G18,$G18*2)),"")</f>
        <v/>
      </c>
      <c r="N18" s="23">
        <f>IF(AND($I18&lt;=N$6+6,$J18&gt;=N$6),IF($R$4=1,"█",IF($R$4=2,$G18,$G18*2)),"")</f>
        <v/>
      </c>
      <c r="O18" s="23">
        <f>IF(AND($I18&lt;=O$6+6,$J18&gt;=O$6),IF($R$4=1,"█",IF($R$4=2,$G18,$G18*2)),"")</f>
        <v/>
      </c>
      <c r="P18" s="23">
        <f>IF(AND($I18&lt;=P$6+6,$J18&gt;=P$6),IF($R$4=1,"█",IF($R$4=2,$G18,$G18*2)),"")</f>
        <v/>
      </c>
      <c r="Q18" s="23">
        <f>IF(AND($I18&lt;=Q$6+6,$J18&gt;=Q$6),IF($R$4=1,"█",IF($R$4=2,$G18,$G18*2)),"")</f>
        <v/>
      </c>
      <c r="R18" s="23">
        <f>IF(AND($I18&lt;=R$6+6,$J18&gt;=R$6),IF($R$4=1,"█",IF($R$4=2,$G18,$G18*2)),"")</f>
        <v/>
      </c>
      <c r="S18" s="23">
        <f>IF(AND($I18&lt;=S$6+6,$J18&gt;=S$6),IF($R$4=1,"█",IF($R$4=2,$G18,$G18*2)),"")</f>
        <v/>
      </c>
      <c r="T18" s="23">
        <f>IF(AND($I18&lt;=T$6+6,$J18&gt;=T$6),IF($R$4=1,"█",IF($R$4=2,$G18,$G18*2)),"")</f>
        <v/>
      </c>
      <c r="U18" s="23">
        <f>IF(AND($I18&lt;=U$6+6,$J18&gt;=U$6),IF($R$4=1,"█",IF($R$4=2,$G18,$G18*2)),"")</f>
        <v/>
      </c>
      <c r="V18" s="23">
        <f>IF(AND($I18&lt;=V$6+6,$J18&gt;=V$6),IF($R$4=1,"█",IF($R$4=2,$G18,$G18*2)),"")</f>
        <v/>
      </c>
      <c r="W18" s="23">
        <f>IF(AND($I18&lt;=W$6+6,$J18&gt;=W$6),IF($R$4=1,"█",IF($R$4=2,$G18,$G18*2)),"")</f>
        <v/>
      </c>
      <c r="X18" s="23">
        <f>IF(AND($I18&lt;=X$6+6,$J18&gt;=X$6),IF($R$4=1,"█",IF($R$4=2,$G18,$G18*2)),"")</f>
        <v/>
      </c>
      <c r="Y18" s="23">
        <f>IF(AND($I18&lt;=Y$6+6,$J18&gt;=Y$6),IF($R$4=1,"█",IF($R$4=2,$G18,$G18*2)),"")</f>
        <v/>
      </c>
      <c r="Z18" s="23">
        <f>IF(AND($I18&lt;=Z$6+6,$J18&gt;=Z$6),IF($R$4=1,"█",IF($R$4=2,$G18,$G18*2)),"")</f>
        <v/>
      </c>
      <c r="AA18" s="23">
        <f>IF(AND($I18&lt;=AA$6+6,$J18&gt;=AA$6),IF($R$4=1,"█",IF($R$4=2,$G18,$G18*2)),"")</f>
        <v/>
      </c>
      <c r="AB18" s="23">
        <f>IF(AND($I18&lt;=AB$6+6,$J18&gt;=AB$6),IF($R$4=1,"█",IF($R$4=2,$G18,$G18*2)),"")</f>
        <v/>
      </c>
      <c r="AC18" s="23">
        <f>IF(AND($I18&lt;=AC$6+6,$J18&gt;=AC$6),IF($R$4=1,"█",IF($R$4=2,$G18,$G18*2)),"")</f>
        <v/>
      </c>
      <c r="AD18" s="23">
        <f>IF(AND($I18&lt;=AD$6+6,$J18&gt;=AD$6),IF($R$4=1,"█",IF($R$4=2,$G18,$G18*2)),"")</f>
        <v/>
      </c>
      <c r="AE18" s="23">
        <f>IF(AND($I18&lt;=AE$6+6,$J18&gt;=AE$6),IF($R$4=1,"█",IF($R$4=2,$G18,$G18*2)),"")</f>
        <v/>
      </c>
      <c r="AF18" s="23">
        <f>IF(AND($I18&lt;=AF$6+6,$J18&gt;=AF$6),IF($R$4=1,"█",IF($R$4=2,$G18,$G18*2)),"")</f>
        <v/>
      </c>
      <c r="AG18" s="23">
        <f>IF(AND($I18&lt;=AG$6+6,$J18&gt;=AG$6),IF($R$4=1,"█",IF($R$4=2,$G18,$G18*2)),"")</f>
        <v/>
      </c>
      <c r="AH18" s="23">
        <f>IF(AND($I18&lt;=AH$6+6,$J18&gt;=AH$6),IF($R$4=1,"█",IF($R$4=2,$G18,$G18*2)),"")</f>
        <v/>
      </c>
      <c r="AI18" s="23">
        <f>IF(AND($I18&lt;=AI$6+6,$J18&gt;=AI$6),IF($R$4=1,"█",IF($R$4=2,$G18,$G18*2)),"")</f>
        <v/>
      </c>
      <c r="AJ18" s="23">
        <f>IF(AND($I18&lt;=AJ$6+6,$J18&gt;=AJ$6),IF($R$4=1,"█",IF($R$4=2,$G18,$G18*2)),"")</f>
        <v/>
      </c>
      <c r="AK18" s="24">
        <f>IF(AND($I18&lt;=AK$6+6,$J18&gt;=AK$6),IF($R$4=1,"█",IF($R$4=2,$G18,$G18*2)),"")</f>
        <v/>
      </c>
      <c r="AL18" s="24">
        <f>IF(AND($I18&lt;=AL$6+6,$J18&gt;=AL$6),IF($R$4=1,"█",IF($R$4=2,$G18,$G18*2)),"")</f>
        <v/>
      </c>
      <c r="AM18" s="24">
        <f>IF(AND($I18&lt;=AM$6+6,$J18&gt;=AM$6),IF($R$4=1,"█",IF($R$4=2,$G18,$G18*2)),"")</f>
        <v/>
      </c>
      <c r="AN18" s="24">
        <f>IF(AND($I18&lt;=AN$6+6,$J18&gt;=AN$6),IF($R$4=1,"█",IF($R$4=2,$G18,$G18*2)),"")</f>
        <v/>
      </c>
      <c r="AO18" s="24">
        <f>IF(AND($I18&lt;=AO$6+6,$J18&gt;=AO$6),IF($R$4=1,"█",IF($R$4=2,$G18,$G18*2)),"")</f>
        <v/>
      </c>
      <c r="AP18" s="24">
        <f>IF(AND($I18&lt;=AP$6+6,$J18&gt;=AP$6),IF($R$4=1,"█",IF($R$4=2,$G18,$G18*2)),"")</f>
        <v/>
      </c>
      <c r="AQ18" s="24">
        <f>IF(AND($I18&lt;=AQ$6+6,$J18&gt;=AQ$6),IF($R$4=1,"█",IF($R$4=2,$G18,$G18*2)),"")</f>
        <v/>
      </c>
      <c r="AR18" s="24">
        <f>IF(AND($I18&lt;=AR$6+6,$J18&gt;=AR$6),IF($R$4=1,"█",IF($R$4=2,$G18,$G18*2)),"")</f>
        <v/>
      </c>
      <c r="AS18" s="24">
        <f>IF(AND($I18&lt;=AS$6+6,$J18&gt;=AS$6),IF($R$4=1,"█",IF($R$4=2,$G18,$G18*2)),"")</f>
        <v/>
      </c>
      <c r="AT18" s="24">
        <f>IF(AND($I18&lt;=AT$6+6,$J18&gt;=AT$6),IF($R$4=1,"█",IF($R$4=2,$G18,$G18*2)),"")</f>
        <v/>
      </c>
      <c r="AU18" s="24">
        <f>IF(AND($I18&lt;=AU$6+6,$J18&gt;=AU$6),IF($R$4=1,"█",IF($R$4=2,$G18,$G18*2)),"")</f>
        <v/>
      </c>
      <c r="AV18" s="24">
        <f>IF(AND($I18&lt;=AV$6+6,$J18&gt;=AV$6),IF($R$4=1,"█",IF($R$4=2,$G18,$G18*2)),"")</f>
        <v/>
      </c>
      <c r="AW18" s="24">
        <f>IF(AND($I18&lt;=AW$6+6,$J18&gt;=AW$6),IF($R$4=1,"█",IF($R$4=2,$G18,$G18*2)),"")</f>
        <v/>
      </c>
      <c r="AX18" s="24">
        <f>IF(AND($I18&lt;=AX$6+6,$J18&gt;=AX$6),IF($R$4=1,"█",IF($R$4=2,$G18,$G18*2)),"")</f>
        <v/>
      </c>
      <c r="AY18" s="24">
        <f>IF(AND($I18&lt;=AY$6+6,$J18&gt;=AY$6),IF($R$4=1,"█",IF($R$4=2,$G18,$G18*2)),"")</f>
        <v/>
      </c>
      <c r="AZ18" s="24">
        <f>IF(AND($I18&lt;=AZ$6+6,$J18&gt;=AZ$6),IF($R$4=1,"█",IF($R$4=2,$G18,$G18*2)),"")</f>
        <v/>
      </c>
      <c r="BA18" s="24">
        <f>IF(AND($I18&lt;=BA$6+6,$J18&gt;=BA$6),IF($R$4=1,"█",IF($R$4=2,$G18,$G18*2)),"")</f>
        <v/>
      </c>
      <c r="BB18" s="24">
        <f>IF(AND($I18&lt;=BB$6+6,$J18&gt;=BB$6),IF($R$4=1,"█",IF($R$4=2,$G18,$G18*2)),"")</f>
        <v/>
      </c>
      <c r="BC18" s="24">
        <f>IF(AND($I18&lt;=BC$6+6,$J18&gt;=BC$6),IF($R$4=1,"█",IF($R$4=2,$G18,$G18*2)),"")</f>
        <v/>
      </c>
      <c r="BD18" s="24">
        <f>IF(AND($I18&lt;=BD$6+6,$J18&gt;=BD$6),IF($R$4=1,"█",IF($R$4=2,$G18,$G18*2)),"")</f>
        <v/>
      </c>
      <c r="BF18" s="4">
        <f>BG20-1-0</f>
        <v/>
      </c>
      <c r="BG18" s="4">
        <f>BF18-H18+1</f>
        <v/>
      </c>
      <c r="BH18">
        <f>BG18-I18</f>
        <v/>
      </c>
    </row>
    <row r="19" ht="24" customHeight="1">
      <c r="A19" s="14" t="inlineStr">
        <is>
          <t>3.0</t>
        </is>
      </c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</row>
    <row r="20" ht="20" customHeight="1">
      <c r="A20" s="16" t="inlineStr">
        <is>
          <t>3.1</t>
        </is>
      </c>
      <c r="B20" s="17" t="inlineStr">
        <is>
          <t>Đào hố móng, đập đầu 26 cọc nhồi &amp; đổ bê tông lót đáy bệ mác C10</t>
        </is>
      </c>
      <c r="C20" s="18" t="n">
        <v>26</v>
      </c>
      <c r="D20" s="19" t="inlineStr">
        <is>
          <t>Cọc</t>
        </is>
      </c>
      <c r="E20" s="18" t="n">
        <v>2.5</v>
      </c>
      <c r="F20" s="20">
        <f>C20*E20</f>
        <v/>
      </c>
      <c r="G20" s="19" t="n">
        <v>10</v>
      </c>
      <c r="H20" s="16">
        <f>ROUNDUP(F20/G20, 0)</f>
        <v/>
      </c>
      <c r="I20" s="21">
        <f>J18+1+0</f>
        <v/>
      </c>
      <c r="J20" s="21">
        <f>I20+H20-1</f>
        <v/>
      </c>
      <c r="K20" s="19" t="inlineStr">
        <is>
          <t>2.6FS</t>
        </is>
      </c>
      <c r="L20" s="22">
        <f>IF(BH20=0,"YES","NO")</f>
        <v/>
      </c>
      <c r="M20" s="23">
        <f>IF(AND($I20&lt;=M$6+6,$J20&gt;=M$6),IF($R$4=1,"█",IF($R$4=2,$G20,$G20*2)),"")</f>
        <v/>
      </c>
      <c r="N20" s="23">
        <f>IF(AND($I20&lt;=N$6+6,$J20&gt;=N$6),IF($R$4=1,"█",IF($R$4=2,$G20,$G20*2)),"")</f>
        <v/>
      </c>
      <c r="O20" s="23">
        <f>IF(AND($I20&lt;=O$6+6,$J20&gt;=O$6),IF($R$4=1,"█",IF($R$4=2,$G20,$G20*2)),"")</f>
        <v/>
      </c>
      <c r="P20" s="23">
        <f>IF(AND($I20&lt;=P$6+6,$J20&gt;=P$6),IF($R$4=1,"█",IF($R$4=2,$G20,$G20*2)),"")</f>
        <v/>
      </c>
      <c r="Q20" s="23">
        <f>IF(AND($I20&lt;=Q$6+6,$J20&gt;=Q$6),IF($R$4=1,"█",IF($R$4=2,$G20,$G20*2)),"")</f>
        <v/>
      </c>
      <c r="R20" s="23">
        <f>IF(AND($I20&lt;=R$6+6,$J20&gt;=R$6),IF($R$4=1,"█",IF($R$4=2,$G20,$G20*2)),"")</f>
        <v/>
      </c>
      <c r="S20" s="23">
        <f>IF(AND($I20&lt;=S$6+6,$J20&gt;=S$6),IF($R$4=1,"█",IF($R$4=2,$G20,$G20*2)),"")</f>
        <v/>
      </c>
      <c r="T20" s="23">
        <f>IF(AND($I20&lt;=T$6+6,$J20&gt;=T$6),IF($R$4=1,"█",IF($R$4=2,$G20,$G20*2)),"")</f>
        <v/>
      </c>
      <c r="U20" s="23">
        <f>IF(AND($I20&lt;=U$6+6,$J20&gt;=U$6),IF($R$4=1,"█",IF($R$4=2,$G20,$G20*2)),"")</f>
        <v/>
      </c>
      <c r="V20" s="23">
        <f>IF(AND($I20&lt;=V$6+6,$J20&gt;=V$6),IF($R$4=1,"█",IF($R$4=2,$G20,$G20*2)),"")</f>
        <v/>
      </c>
      <c r="W20" s="23">
        <f>IF(AND($I20&lt;=W$6+6,$J20&gt;=W$6),IF($R$4=1,"█",IF($R$4=2,$G20,$G20*2)),"")</f>
        <v/>
      </c>
      <c r="X20" s="23">
        <f>IF(AND($I20&lt;=X$6+6,$J20&gt;=X$6),IF($R$4=1,"█",IF($R$4=2,$G20,$G20*2)),"")</f>
        <v/>
      </c>
      <c r="Y20" s="23">
        <f>IF(AND($I20&lt;=Y$6+6,$J20&gt;=Y$6),IF($R$4=1,"█",IF($R$4=2,$G20,$G20*2)),"")</f>
        <v/>
      </c>
      <c r="Z20" s="23">
        <f>IF(AND($I20&lt;=Z$6+6,$J20&gt;=Z$6),IF($R$4=1,"█",IF($R$4=2,$G20,$G20*2)),"")</f>
        <v/>
      </c>
      <c r="AA20" s="23">
        <f>IF(AND($I20&lt;=AA$6+6,$J20&gt;=AA$6),IF($R$4=1,"█",IF($R$4=2,$G20,$G20*2)),"")</f>
        <v/>
      </c>
      <c r="AB20" s="23">
        <f>IF(AND($I20&lt;=AB$6+6,$J20&gt;=AB$6),IF($R$4=1,"█",IF($R$4=2,$G20,$G20*2)),"")</f>
        <v/>
      </c>
      <c r="AC20" s="23">
        <f>IF(AND($I20&lt;=AC$6+6,$J20&gt;=AC$6),IF($R$4=1,"█",IF($R$4=2,$G20,$G20*2)),"")</f>
        <v/>
      </c>
      <c r="AD20" s="23">
        <f>IF(AND($I20&lt;=AD$6+6,$J20&gt;=AD$6),IF($R$4=1,"█",IF($R$4=2,$G20,$G20*2)),"")</f>
        <v/>
      </c>
      <c r="AE20" s="23">
        <f>IF(AND($I20&lt;=AE$6+6,$J20&gt;=AE$6),IF($R$4=1,"█",IF($R$4=2,$G20,$G20*2)),"")</f>
        <v/>
      </c>
      <c r="AF20" s="23">
        <f>IF(AND($I20&lt;=AF$6+6,$J20&gt;=AF$6),IF($R$4=1,"█",IF($R$4=2,$G20,$G20*2)),"")</f>
        <v/>
      </c>
      <c r="AG20" s="23">
        <f>IF(AND($I20&lt;=AG$6+6,$J20&gt;=AG$6),IF($R$4=1,"█",IF($R$4=2,$G20,$G20*2)),"")</f>
        <v/>
      </c>
      <c r="AH20" s="23">
        <f>IF(AND($I20&lt;=AH$6+6,$J20&gt;=AH$6),IF($R$4=1,"█",IF($R$4=2,$G20,$G20*2)),"")</f>
        <v/>
      </c>
      <c r="AI20" s="23">
        <f>IF(AND($I20&lt;=AI$6+6,$J20&gt;=AI$6),IF($R$4=1,"█",IF($R$4=2,$G20,$G20*2)),"")</f>
        <v/>
      </c>
      <c r="AJ20" s="23">
        <f>IF(AND($I20&lt;=AJ$6+6,$J20&gt;=AJ$6),IF($R$4=1,"█",IF($R$4=2,$G20,$G20*2)),"")</f>
        <v/>
      </c>
      <c r="AK20" s="24">
        <f>IF(AND($I20&lt;=AK$6+6,$J20&gt;=AK$6),IF($R$4=1,"█",IF($R$4=2,$G20,$G20*2)),"")</f>
        <v/>
      </c>
      <c r="AL20" s="24">
        <f>IF(AND($I20&lt;=AL$6+6,$J20&gt;=AL$6),IF($R$4=1,"█",IF($R$4=2,$G20,$G20*2)),"")</f>
        <v/>
      </c>
      <c r="AM20" s="24">
        <f>IF(AND($I20&lt;=AM$6+6,$J20&gt;=AM$6),IF($R$4=1,"█",IF($R$4=2,$G20,$G20*2)),"")</f>
        <v/>
      </c>
      <c r="AN20" s="24">
        <f>IF(AND($I20&lt;=AN$6+6,$J20&gt;=AN$6),IF($R$4=1,"█",IF($R$4=2,$G20,$G20*2)),"")</f>
        <v/>
      </c>
      <c r="AO20" s="24">
        <f>IF(AND($I20&lt;=AO$6+6,$J20&gt;=AO$6),IF($R$4=1,"█",IF($R$4=2,$G20,$G20*2)),"")</f>
        <v/>
      </c>
      <c r="AP20" s="24">
        <f>IF(AND($I20&lt;=AP$6+6,$J20&gt;=AP$6),IF($R$4=1,"█",IF($R$4=2,$G20,$G20*2)),"")</f>
        <v/>
      </c>
      <c r="AQ20" s="24">
        <f>IF(AND($I20&lt;=AQ$6+6,$J20&gt;=AQ$6),IF($R$4=1,"█",IF($R$4=2,$G20,$G20*2)),"")</f>
        <v/>
      </c>
      <c r="AR20" s="24">
        <f>IF(AND($I20&lt;=AR$6+6,$J20&gt;=AR$6),IF($R$4=1,"█",IF($R$4=2,$G20,$G20*2)),"")</f>
        <v/>
      </c>
      <c r="AS20" s="24">
        <f>IF(AND($I20&lt;=AS$6+6,$J20&gt;=AS$6),IF($R$4=1,"█",IF($R$4=2,$G20,$G20*2)),"")</f>
        <v/>
      </c>
      <c r="AT20" s="24">
        <f>IF(AND($I20&lt;=AT$6+6,$J20&gt;=AT$6),IF($R$4=1,"█",IF($R$4=2,$G20,$G20*2)),"")</f>
        <v/>
      </c>
      <c r="AU20" s="24">
        <f>IF(AND($I20&lt;=AU$6+6,$J20&gt;=AU$6),IF($R$4=1,"█",IF($R$4=2,$G20,$G20*2)),"")</f>
        <v/>
      </c>
      <c r="AV20" s="24">
        <f>IF(AND($I20&lt;=AV$6+6,$J20&gt;=AV$6),IF($R$4=1,"█",IF($R$4=2,$G20,$G20*2)),"")</f>
        <v/>
      </c>
      <c r="AW20" s="24">
        <f>IF(AND($I20&lt;=AW$6+6,$J20&gt;=AW$6),IF($R$4=1,"█",IF($R$4=2,$G20,$G20*2)),"")</f>
        <v/>
      </c>
      <c r="AX20" s="24">
        <f>IF(AND($I20&lt;=AX$6+6,$J20&gt;=AX$6),IF($R$4=1,"█",IF($R$4=2,$G20,$G20*2)),"")</f>
        <v/>
      </c>
      <c r="AY20" s="24">
        <f>IF(AND($I20&lt;=AY$6+6,$J20&gt;=AY$6),IF($R$4=1,"█",IF($R$4=2,$G20,$G20*2)),"")</f>
        <v/>
      </c>
      <c r="AZ20" s="24">
        <f>IF(AND($I20&lt;=AZ$6+6,$J20&gt;=AZ$6),IF($R$4=1,"█",IF($R$4=2,$G20,$G20*2)),"")</f>
        <v/>
      </c>
      <c r="BA20" s="24">
        <f>IF(AND($I20&lt;=BA$6+6,$J20&gt;=BA$6),IF($R$4=1,"█",IF($R$4=2,$G20,$G20*2)),"")</f>
        <v/>
      </c>
      <c r="BB20" s="24">
        <f>IF(AND($I20&lt;=BB$6+6,$J20&gt;=BB$6),IF($R$4=1,"█",IF($R$4=2,$G20,$G20*2)),"")</f>
        <v/>
      </c>
      <c r="BC20" s="24">
        <f>IF(AND($I20&lt;=BC$6+6,$J20&gt;=BC$6),IF($R$4=1,"█",IF($R$4=2,$G20,$G20*2)),"")</f>
        <v/>
      </c>
      <c r="BD20" s="24">
        <f>IF(AND($I20&lt;=BD$6+6,$J20&gt;=BD$6),IF($R$4=1,"█",IF($R$4=2,$G20,$G20*2)),"")</f>
        <v/>
      </c>
      <c r="BF20" s="4">
        <f>MIN(BG21-1-0,BG22-1-2)</f>
        <v/>
      </c>
      <c r="BG20" s="4">
        <f>BF20-H20+1</f>
        <v/>
      </c>
      <c r="BH20">
        <f>BG20-I20</f>
        <v/>
      </c>
    </row>
    <row r="21" ht="20" customHeight="1">
      <c r="A21" s="16" t="inlineStr">
        <is>
          <t>3.2</t>
        </is>
      </c>
      <c r="B21" s="17" t="inlineStr">
        <is>
          <t>Gia công lắp dựng cốt thép, ván khuôn &amp; đổ bê tông bệ móng mố M1, M2</t>
        </is>
      </c>
      <c r="C21" s="18">
        <f>QS_DIEN_GIAI_CHI_TIET!J38</f>
        <v/>
      </c>
      <c r="D21" s="19" t="inlineStr">
        <is>
          <t>m3</t>
        </is>
      </c>
      <c r="E21" s="18" t="n">
        <v>0.45</v>
      </c>
      <c r="F21" s="20">
        <f>C21*E21</f>
        <v/>
      </c>
      <c r="G21" s="19" t="n">
        <v>16</v>
      </c>
      <c r="H21" s="16">
        <f>ROUNDUP(F21/G21, 0)</f>
        <v/>
      </c>
      <c r="I21" s="21">
        <f>J20+1+0</f>
        <v/>
      </c>
      <c r="J21" s="21">
        <f>I21+H21-1</f>
        <v/>
      </c>
      <c r="K21" s="19" t="inlineStr">
        <is>
          <t>3.1FS</t>
        </is>
      </c>
      <c r="L21" s="22">
        <f>IF(BH21=0,"YES","NO")</f>
        <v/>
      </c>
      <c r="M21" s="23">
        <f>IF(AND($I21&lt;=M$6+6,$J21&gt;=M$6),IF($R$4=1,"█",IF($R$4=2,$G21,$G21*2)),"")</f>
        <v/>
      </c>
      <c r="N21" s="23">
        <f>IF(AND($I21&lt;=N$6+6,$J21&gt;=N$6),IF($R$4=1,"█",IF($R$4=2,$G21,$G21*2)),"")</f>
        <v/>
      </c>
      <c r="O21" s="23">
        <f>IF(AND($I21&lt;=O$6+6,$J21&gt;=O$6),IF($R$4=1,"█",IF($R$4=2,$G21,$G21*2)),"")</f>
        <v/>
      </c>
      <c r="P21" s="23">
        <f>IF(AND($I21&lt;=P$6+6,$J21&gt;=P$6),IF($R$4=1,"█",IF($R$4=2,$G21,$G21*2)),"")</f>
        <v/>
      </c>
      <c r="Q21" s="23">
        <f>IF(AND($I21&lt;=Q$6+6,$J21&gt;=Q$6),IF($R$4=1,"█",IF($R$4=2,$G21,$G21*2)),"")</f>
        <v/>
      </c>
      <c r="R21" s="23">
        <f>IF(AND($I21&lt;=R$6+6,$J21&gt;=R$6),IF($R$4=1,"█",IF($R$4=2,$G21,$G21*2)),"")</f>
        <v/>
      </c>
      <c r="S21" s="23">
        <f>IF(AND($I21&lt;=S$6+6,$J21&gt;=S$6),IF($R$4=1,"█",IF($R$4=2,$G21,$G21*2)),"")</f>
        <v/>
      </c>
      <c r="T21" s="23">
        <f>IF(AND($I21&lt;=T$6+6,$J21&gt;=T$6),IF($R$4=1,"█",IF($R$4=2,$G21,$G21*2)),"")</f>
        <v/>
      </c>
      <c r="U21" s="23">
        <f>IF(AND($I21&lt;=U$6+6,$J21&gt;=U$6),IF($R$4=1,"█",IF($R$4=2,$G21,$G21*2)),"")</f>
        <v/>
      </c>
      <c r="V21" s="23">
        <f>IF(AND($I21&lt;=V$6+6,$J21&gt;=V$6),IF($R$4=1,"█",IF($R$4=2,$G21,$G21*2)),"")</f>
        <v/>
      </c>
      <c r="W21" s="23">
        <f>IF(AND($I21&lt;=W$6+6,$J21&gt;=W$6),IF($R$4=1,"█",IF($R$4=2,$G21,$G21*2)),"")</f>
        <v/>
      </c>
      <c r="X21" s="23">
        <f>IF(AND($I21&lt;=X$6+6,$J21&gt;=X$6),IF($R$4=1,"█",IF($R$4=2,$G21,$G21*2)),"")</f>
        <v/>
      </c>
      <c r="Y21" s="23">
        <f>IF(AND($I21&lt;=Y$6+6,$J21&gt;=Y$6),IF($R$4=1,"█",IF($R$4=2,$G21,$G21*2)),"")</f>
        <v/>
      </c>
      <c r="Z21" s="23">
        <f>IF(AND($I21&lt;=Z$6+6,$J21&gt;=Z$6),IF($R$4=1,"█",IF($R$4=2,$G21,$G21*2)),"")</f>
        <v/>
      </c>
      <c r="AA21" s="23">
        <f>IF(AND($I21&lt;=AA$6+6,$J21&gt;=AA$6),IF($R$4=1,"█",IF($R$4=2,$G21,$G21*2)),"")</f>
        <v/>
      </c>
      <c r="AB21" s="23">
        <f>IF(AND($I21&lt;=AB$6+6,$J21&gt;=AB$6),IF($R$4=1,"█",IF($R$4=2,$G21,$G21*2)),"")</f>
        <v/>
      </c>
      <c r="AC21" s="23">
        <f>IF(AND($I21&lt;=AC$6+6,$J21&gt;=AC$6),IF($R$4=1,"█",IF($R$4=2,$G21,$G21*2)),"")</f>
        <v/>
      </c>
      <c r="AD21" s="23">
        <f>IF(AND($I21&lt;=AD$6+6,$J21&gt;=AD$6),IF($R$4=1,"█",IF($R$4=2,$G21,$G21*2)),"")</f>
        <v/>
      </c>
      <c r="AE21" s="23">
        <f>IF(AND($I21&lt;=AE$6+6,$J21&gt;=AE$6),IF($R$4=1,"█",IF($R$4=2,$G21,$G21*2)),"")</f>
        <v/>
      </c>
      <c r="AF21" s="23">
        <f>IF(AND($I21&lt;=AF$6+6,$J21&gt;=AF$6),IF($R$4=1,"█",IF($R$4=2,$G21,$G21*2)),"")</f>
        <v/>
      </c>
      <c r="AG21" s="23">
        <f>IF(AND($I21&lt;=AG$6+6,$J21&gt;=AG$6),IF($R$4=1,"█",IF($R$4=2,$G21,$G21*2)),"")</f>
        <v/>
      </c>
      <c r="AH21" s="23">
        <f>IF(AND($I21&lt;=AH$6+6,$J21&gt;=AH$6),IF($R$4=1,"█",IF($R$4=2,$G21,$G21*2)),"")</f>
        <v/>
      </c>
      <c r="AI21" s="23">
        <f>IF(AND($I21&lt;=AI$6+6,$J21&gt;=AI$6),IF($R$4=1,"█",IF($R$4=2,$G21,$G21*2)),"")</f>
        <v/>
      </c>
      <c r="AJ21" s="23">
        <f>IF(AND($I21&lt;=AJ$6+6,$J21&gt;=AJ$6),IF($R$4=1,"█",IF($R$4=2,$G21,$G21*2)),"")</f>
        <v/>
      </c>
      <c r="AK21" s="24">
        <f>IF(AND($I21&lt;=AK$6+6,$J21&gt;=AK$6),IF($R$4=1,"█",IF($R$4=2,$G21,$G21*2)),"")</f>
        <v/>
      </c>
      <c r="AL21" s="24">
        <f>IF(AND($I21&lt;=AL$6+6,$J21&gt;=AL$6),IF($R$4=1,"█",IF($R$4=2,$G21,$G21*2)),"")</f>
        <v/>
      </c>
      <c r="AM21" s="24">
        <f>IF(AND($I21&lt;=AM$6+6,$J21&gt;=AM$6),IF($R$4=1,"█",IF($R$4=2,$G21,$G21*2)),"")</f>
        <v/>
      </c>
      <c r="AN21" s="24">
        <f>IF(AND($I21&lt;=AN$6+6,$J21&gt;=AN$6),IF($R$4=1,"█",IF($R$4=2,$G21,$G21*2)),"")</f>
        <v/>
      </c>
      <c r="AO21" s="24">
        <f>IF(AND($I21&lt;=AO$6+6,$J21&gt;=AO$6),IF($R$4=1,"█",IF($R$4=2,$G21,$G21*2)),"")</f>
        <v/>
      </c>
      <c r="AP21" s="24">
        <f>IF(AND($I21&lt;=AP$6+6,$J21&gt;=AP$6),IF($R$4=1,"█",IF($R$4=2,$G21,$G21*2)),"")</f>
        <v/>
      </c>
      <c r="AQ21" s="24">
        <f>IF(AND($I21&lt;=AQ$6+6,$J21&gt;=AQ$6),IF($R$4=1,"█",IF($R$4=2,$G21,$G21*2)),"")</f>
        <v/>
      </c>
      <c r="AR21" s="24">
        <f>IF(AND($I21&lt;=AR$6+6,$J21&gt;=AR$6),IF($R$4=1,"█",IF($R$4=2,$G21,$G21*2)),"")</f>
        <v/>
      </c>
      <c r="AS21" s="24">
        <f>IF(AND($I21&lt;=AS$6+6,$J21&gt;=AS$6),IF($R$4=1,"█",IF($R$4=2,$G21,$G21*2)),"")</f>
        <v/>
      </c>
      <c r="AT21" s="24">
        <f>IF(AND($I21&lt;=AT$6+6,$J21&gt;=AT$6),IF($R$4=1,"█",IF($R$4=2,$G21,$G21*2)),"")</f>
        <v/>
      </c>
      <c r="AU21" s="24">
        <f>IF(AND($I21&lt;=AU$6+6,$J21&gt;=AU$6),IF($R$4=1,"█",IF($R$4=2,$G21,$G21*2)),"")</f>
        <v/>
      </c>
      <c r="AV21" s="24">
        <f>IF(AND($I21&lt;=AV$6+6,$J21&gt;=AV$6),IF($R$4=1,"█",IF($R$4=2,$G21,$G21*2)),"")</f>
        <v/>
      </c>
      <c r="AW21" s="24">
        <f>IF(AND($I21&lt;=AW$6+6,$J21&gt;=AW$6),IF($R$4=1,"█",IF($R$4=2,$G21,$G21*2)),"")</f>
        <v/>
      </c>
      <c r="AX21" s="24">
        <f>IF(AND($I21&lt;=AX$6+6,$J21&gt;=AX$6),IF($R$4=1,"█",IF($R$4=2,$G21,$G21*2)),"")</f>
        <v/>
      </c>
      <c r="AY21" s="24">
        <f>IF(AND($I21&lt;=AY$6+6,$J21&gt;=AY$6),IF($R$4=1,"█",IF($R$4=2,$G21,$G21*2)),"")</f>
        <v/>
      </c>
      <c r="AZ21" s="24">
        <f>IF(AND($I21&lt;=AZ$6+6,$J21&gt;=AZ$6),IF($R$4=1,"█",IF($R$4=2,$G21,$G21*2)),"")</f>
        <v/>
      </c>
      <c r="BA21" s="24">
        <f>IF(AND($I21&lt;=BA$6+6,$J21&gt;=BA$6),IF($R$4=1,"█",IF($R$4=2,$G21,$G21*2)),"")</f>
        <v/>
      </c>
      <c r="BB21" s="24">
        <f>IF(AND($I21&lt;=BB$6+6,$J21&gt;=BB$6),IF($R$4=1,"█",IF($R$4=2,$G21,$G21*2)),"")</f>
        <v/>
      </c>
      <c r="BC21" s="24">
        <f>IF(AND($I21&lt;=BC$6+6,$J21&gt;=BC$6),IF($R$4=1,"█",IF($R$4=2,$G21,$G21*2)),"")</f>
        <v/>
      </c>
      <c r="BD21" s="24">
        <f>IF(AND($I21&lt;=BD$6+6,$J21&gt;=BD$6),IF($R$4=1,"█",IF($R$4=2,$G21,$G21*2)),"")</f>
        <v/>
      </c>
      <c r="BF21" s="4">
        <f>BG24-1-0</f>
        <v/>
      </c>
      <c r="BG21" s="4">
        <f>BF21-H21+1</f>
        <v/>
      </c>
      <c r="BH21">
        <f>BG21-I21</f>
        <v/>
      </c>
    </row>
    <row r="22" ht="20" customHeight="1">
      <c r="A22" s="16" t="inlineStr">
        <is>
          <t>3.3</t>
        </is>
      </c>
      <c r="B22" s="17" t="inlineStr">
        <is>
          <t>Gia công lắp dựng cốt thép, ván khuôn &amp; đổ bê tông bệ trụ T1, T2</t>
        </is>
      </c>
      <c r="C22" s="18">
        <f>QS_DIEN_GIAI_CHI_TIET!J39</f>
        <v/>
      </c>
      <c r="D22" s="19" t="inlineStr">
        <is>
          <t>m3</t>
        </is>
      </c>
      <c r="E22" s="18" t="n">
        <v>0.42</v>
      </c>
      <c r="F22" s="20">
        <f>C22*E22</f>
        <v/>
      </c>
      <c r="G22" s="19" t="n">
        <v>18</v>
      </c>
      <c r="H22" s="16">
        <f>ROUNDUP(F22/G22, 0)</f>
        <v/>
      </c>
      <c r="I22" s="21">
        <f>J20+1+2</f>
        <v/>
      </c>
      <c r="J22" s="21">
        <f>I22+H22-1</f>
        <v/>
      </c>
      <c r="K22" s="19" t="inlineStr">
        <is>
          <t>3.1FS+2d</t>
        </is>
      </c>
      <c r="L22" s="22">
        <f>IF(BH22=0,"YES","NO")</f>
        <v/>
      </c>
      <c r="M22" s="23">
        <f>IF(AND($I22&lt;=M$6+6,$J22&gt;=M$6),IF($R$4=1,"█",IF($R$4=2,$G22,$G22*2)),"")</f>
        <v/>
      </c>
      <c r="N22" s="23">
        <f>IF(AND($I22&lt;=N$6+6,$J22&gt;=N$6),IF($R$4=1,"█",IF($R$4=2,$G22,$G22*2)),"")</f>
        <v/>
      </c>
      <c r="O22" s="23">
        <f>IF(AND($I22&lt;=O$6+6,$J22&gt;=O$6),IF($R$4=1,"█",IF($R$4=2,$G22,$G22*2)),"")</f>
        <v/>
      </c>
      <c r="P22" s="23">
        <f>IF(AND($I22&lt;=P$6+6,$J22&gt;=P$6),IF($R$4=1,"█",IF($R$4=2,$G22,$G22*2)),"")</f>
        <v/>
      </c>
      <c r="Q22" s="23">
        <f>IF(AND($I22&lt;=Q$6+6,$J22&gt;=Q$6),IF($R$4=1,"█",IF($R$4=2,$G22,$G22*2)),"")</f>
        <v/>
      </c>
      <c r="R22" s="23">
        <f>IF(AND($I22&lt;=R$6+6,$J22&gt;=R$6),IF($R$4=1,"█",IF($R$4=2,$G22,$G22*2)),"")</f>
        <v/>
      </c>
      <c r="S22" s="23">
        <f>IF(AND($I22&lt;=S$6+6,$J22&gt;=S$6),IF($R$4=1,"█",IF($R$4=2,$G22,$G22*2)),"")</f>
        <v/>
      </c>
      <c r="T22" s="23">
        <f>IF(AND($I22&lt;=T$6+6,$J22&gt;=T$6),IF($R$4=1,"█",IF($R$4=2,$G22,$G22*2)),"")</f>
        <v/>
      </c>
      <c r="U22" s="23">
        <f>IF(AND($I22&lt;=U$6+6,$J22&gt;=U$6),IF($R$4=1,"█",IF($R$4=2,$G22,$G22*2)),"")</f>
        <v/>
      </c>
      <c r="V22" s="23">
        <f>IF(AND($I22&lt;=V$6+6,$J22&gt;=V$6),IF($R$4=1,"█",IF($R$4=2,$G22,$G22*2)),"")</f>
        <v/>
      </c>
      <c r="W22" s="23">
        <f>IF(AND($I22&lt;=W$6+6,$J22&gt;=W$6),IF($R$4=1,"█",IF($R$4=2,$G22,$G22*2)),"")</f>
        <v/>
      </c>
      <c r="X22" s="23">
        <f>IF(AND($I22&lt;=X$6+6,$J22&gt;=X$6),IF($R$4=1,"█",IF($R$4=2,$G22,$G22*2)),"")</f>
        <v/>
      </c>
      <c r="Y22" s="23">
        <f>IF(AND($I22&lt;=Y$6+6,$J22&gt;=Y$6),IF($R$4=1,"█",IF($R$4=2,$G22,$G22*2)),"")</f>
        <v/>
      </c>
      <c r="Z22" s="23">
        <f>IF(AND($I22&lt;=Z$6+6,$J22&gt;=Z$6),IF($R$4=1,"█",IF($R$4=2,$G22,$G22*2)),"")</f>
        <v/>
      </c>
      <c r="AA22" s="23">
        <f>IF(AND($I22&lt;=AA$6+6,$J22&gt;=AA$6),IF($R$4=1,"█",IF($R$4=2,$G22,$G22*2)),"")</f>
        <v/>
      </c>
      <c r="AB22" s="23">
        <f>IF(AND($I22&lt;=AB$6+6,$J22&gt;=AB$6),IF($R$4=1,"█",IF($R$4=2,$G22,$G22*2)),"")</f>
        <v/>
      </c>
      <c r="AC22" s="23">
        <f>IF(AND($I22&lt;=AC$6+6,$J22&gt;=AC$6),IF($R$4=1,"█",IF($R$4=2,$G22,$G22*2)),"")</f>
        <v/>
      </c>
      <c r="AD22" s="23">
        <f>IF(AND($I22&lt;=AD$6+6,$J22&gt;=AD$6),IF($R$4=1,"█",IF($R$4=2,$G22,$G22*2)),"")</f>
        <v/>
      </c>
      <c r="AE22" s="23">
        <f>IF(AND($I22&lt;=AE$6+6,$J22&gt;=AE$6),IF($R$4=1,"█",IF($R$4=2,$G22,$G22*2)),"")</f>
        <v/>
      </c>
      <c r="AF22" s="23">
        <f>IF(AND($I22&lt;=AF$6+6,$J22&gt;=AF$6),IF($R$4=1,"█",IF($R$4=2,$G22,$G22*2)),"")</f>
        <v/>
      </c>
      <c r="AG22" s="23">
        <f>IF(AND($I22&lt;=AG$6+6,$J22&gt;=AG$6),IF($R$4=1,"█",IF($R$4=2,$G22,$G22*2)),"")</f>
        <v/>
      </c>
      <c r="AH22" s="23">
        <f>IF(AND($I22&lt;=AH$6+6,$J22&gt;=AH$6),IF($R$4=1,"█",IF($R$4=2,$G22,$G22*2)),"")</f>
        <v/>
      </c>
      <c r="AI22" s="23">
        <f>IF(AND($I22&lt;=AI$6+6,$J22&gt;=AI$6),IF($R$4=1,"█",IF($R$4=2,$G22,$G22*2)),"")</f>
        <v/>
      </c>
      <c r="AJ22" s="23">
        <f>IF(AND($I22&lt;=AJ$6+6,$J22&gt;=AJ$6),IF($R$4=1,"█",IF($R$4=2,$G22,$G22*2)),"")</f>
        <v/>
      </c>
      <c r="AK22" s="24">
        <f>IF(AND($I22&lt;=AK$6+6,$J22&gt;=AK$6),IF($R$4=1,"█",IF($R$4=2,$G22,$G22*2)),"")</f>
        <v/>
      </c>
      <c r="AL22" s="24">
        <f>IF(AND($I22&lt;=AL$6+6,$J22&gt;=AL$6),IF($R$4=1,"█",IF($R$4=2,$G22,$G22*2)),"")</f>
        <v/>
      </c>
      <c r="AM22" s="24">
        <f>IF(AND($I22&lt;=AM$6+6,$J22&gt;=AM$6),IF($R$4=1,"█",IF($R$4=2,$G22,$G22*2)),"")</f>
        <v/>
      </c>
      <c r="AN22" s="24">
        <f>IF(AND($I22&lt;=AN$6+6,$J22&gt;=AN$6),IF($R$4=1,"█",IF($R$4=2,$G22,$G22*2)),"")</f>
        <v/>
      </c>
      <c r="AO22" s="24">
        <f>IF(AND($I22&lt;=AO$6+6,$J22&gt;=AO$6),IF($R$4=1,"█",IF($R$4=2,$G22,$G22*2)),"")</f>
        <v/>
      </c>
      <c r="AP22" s="24">
        <f>IF(AND($I22&lt;=AP$6+6,$J22&gt;=AP$6),IF($R$4=1,"█",IF($R$4=2,$G22,$G22*2)),"")</f>
        <v/>
      </c>
      <c r="AQ22" s="24">
        <f>IF(AND($I22&lt;=AQ$6+6,$J22&gt;=AQ$6),IF($R$4=1,"█",IF($R$4=2,$G22,$G22*2)),"")</f>
        <v/>
      </c>
      <c r="AR22" s="24">
        <f>IF(AND($I22&lt;=AR$6+6,$J22&gt;=AR$6),IF($R$4=1,"█",IF($R$4=2,$G22,$G22*2)),"")</f>
        <v/>
      </c>
      <c r="AS22" s="24">
        <f>IF(AND($I22&lt;=AS$6+6,$J22&gt;=AS$6),IF($R$4=1,"█",IF($R$4=2,$G22,$G22*2)),"")</f>
        <v/>
      </c>
      <c r="AT22" s="24">
        <f>IF(AND($I22&lt;=AT$6+6,$J22&gt;=AT$6),IF($R$4=1,"█",IF($R$4=2,$G22,$G22*2)),"")</f>
        <v/>
      </c>
      <c r="AU22" s="24">
        <f>IF(AND($I22&lt;=AU$6+6,$J22&gt;=AU$6),IF($R$4=1,"█",IF($R$4=2,$G22,$G22*2)),"")</f>
        <v/>
      </c>
      <c r="AV22" s="24">
        <f>IF(AND($I22&lt;=AV$6+6,$J22&gt;=AV$6),IF($R$4=1,"█",IF($R$4=2,$G22,$G22*2)),"")</f>
        <v/>
      </c>
      <c r="AW22" s="24">
        <f>IF(AND($I22&lt;=AW$6+6,$J22&gt;=AW$6),IF($R$4=1,"█",IF($R$4=2,$G22,$G22*2)),"")</f>
        <v/>
      </c>
      <c r="AX22" s="24">
        <f>IF(AND($I22&lt;=AX$6+6,$J22&gt;=AX$6),IF($R$4=1,"█",IF($R$4=2,$G22,$G22*2)),"")</f>
        <v/>
      </c>
      <c r="AY22" s="24">
        <f>IF(AND($I22&lt;=AY$6+6,$J22&gt;=AY$6),IF($R$4=1,"█",IF($R$4=2,$G22,$G22*2)),"")</f>
        <v/>
      </c>
      <c r="AZ22" s="24">
        <f>IF(AND($I22&lt;=AZ$6+6,$J22&gt;=AZ$6),IF($R$4=1,"█",IF($R$4=2,$G22,$G22*2)),"")</f>
        <v/>
      </c>
      <c r="BA22" s="24">
        <f>IF(AND($I22&lt;=BA$6+6,$J22&gt;=BA$6),IF($R$4=1,"█",IF($R$4=2,$G22,$G22*2)),"")</f>
        <v/>
      </c>
      <c r="BB22" s="24">
        <f>IF(AND($I22&lt;=BB$6+6,$J22&gt;=BB$6),IF($R$4=1,"█",IF($R$4=2,$G22,$G22*2)),"")</f>
        <v/>
      </c>
      <c r="BC22" s="24">
        <f>IF(AND($I22&lt;=BC$6+6,$J22&gt;=BC$6),IF($R$4=1,"█",IF($R$4=2,$G22,$G22*2)),"")</f>
        <v/>
      </c>
      <c r="BD22" s="24">
        <f>IF(AND($I22&lt;=BD$6+6,$J22&gt;=BD$6),IF($R$4=1,"█",IF($R$4=2,$G22,$G22*2)),"")</f>
        <v/>
      </c>
      <c r="BF22" s="4">
        <f>BG23-1-0</f>
        <v/>
      </c>
      <c r="BG22" s="4">
        <f>BF22-H22+1</f>
        <v/>
      </c>
      <c r="BH22">
        <f>BG22-I22</f>
        <v/>
      </c>
    </row>
    <row r="23" ht="20" customHeight="1">
      <c r="A23" s="16" t="inlineStr">
        <is>
          <t>3.4</t>
        </is>
      </c>
      <c r="B23" s="17" t="inlineStr">
        <is>
          <t>Thi công thân đặc trụ T1, T2 (H=14.5m &amp; 11.4m) bê tông C30</t>
        </is>
      </c>
      <c r="C23" s="18">
        <f>QS_DIEN_GIAI_CHI_TIET!J47</f>
        <v/>
      </c>
      <c r="D23" s="19" t="inlineStr">
        <is>
          <t>m3</t>
        </is>
      </c>
      <c r="E23" s="18" t="n">
        <v>0.55</v>
      </c>
      <c r="F23" s="20">
        <f>C23*E23</f>
        <v/>
      </c>
      <c r="G23" s="19" t="n">
        <v>18</v>
      </c>
      <c r="H23" s="16">
        <f>ROUNDUP(F23/G23, 0)</f>
        <v/>
      </c>
      <c r="I23" s="21">
        <f>J22+1+0</f>
        <v/>
      </c>
      <c r="J23" s="21">
        <f>I23+H23-1</f>
        <v/>
      </c>
      <c r="K23" s="19" t="inlineStr">
        <is>
          <t>3.3FS</t>
        </is>
      </c>
      <c r="L23" s="22">
        <f>IF(BH23=0,"YES","NO")</f>
        <v/>
      </c>
      <c r="M23" s="23">
        <f>IF(AND($I23&lt;=M$6+6,$J23&gt;=M$6),IF($R$4=1,"█",IF($R$4=2,$G23,$G23*2)),"")</f>
        <v/>
      </c>
      <c r="N23" s="23">
        <f>IF(AND($I23&lt;=N$6+6,$J23&gt;=N$6),IF($R$4=1,"█",IF($R$4=2,$G23,$G23*2)),"")</f>
        <v/>
      </c>
      <c r="O23" s="23">
        <f>IF(AND($I23&lt;=O$6+6,$J23&gt;=O$6),IF($R$4=1,"█",IF($R$4=2,$G23,$G23*2)),"")</f>
        <v/>
      </c>
      <c r="P23" s="23">
        <f>IF(AND($I23&lt;=P$6+6,$J23&gt;=P$6),IF($R$4=1,"█",IF($R$4=2,$G23,$G23*2)),"")</f>
        <v/>
      </c>
      <c r="Q23" s="23">
        <f>IF(AND($I23&lt;=Q$6+6,$J23&gt;=Q$6),IF($R$4=1,"█",IF($R$4=2,$G23,$G23*2)),"")</f>
        <v/>
      </c>
      <c r="R23" s="23">
        <f>IF(AND($I23&lt;=R$6+6,$J23&gt;=R$6),IF($R$4=1,"█",IF($R$4=2,$G23,$G23*2)),"")</f>
        <v/>
      </c>
      <c r="S23" s="23">
        <f>IF(AND($I23&lt;=S$6+6,$J23&gt;=S$6),IF($R$4=1,"█",IF($R$4=2,$G23,$G23*2)),"")</f>
        <v/>
      </c>
      <c r="T23" s="23">
        <f>IF(AND($I23&lt;=T$6+6,$J23&gt;=T$6),IF($R$4=1,"█",IF($R$4=2,$G23,$G23*2)),"")</f>
        <v/>
      </c>
      <c r="U23" s="23">
        <f>IF(AND($I23&lt;=U$6+6,$J23&gt;=U$6),IF($R$4=1,"█",IF($R$4=2,$G23,$G23*2)),"")</f>
        <v/>
      </c>
      <c r="V23" s="23">
        <f>IF(AND($I23&lt;=V$6+6,$J23&gt;=V$6),IF($R$4=1,"█",IF($R$4=2,$G23,$G23*2)),"")</f>
        <v/>
      </c>
      <c r="W23" s="23">
        <f>IF(AND($I23&lt;=W$6+6,$J23&gt;=W$6),IF($R$4=1,"█",IF($R$4=2,$G23,$G23*2)),"")</f>
        <v/>
      </c>
      <c r="X23" s="23">
        <f>IF(AND($I23&lt;=X$6+6,$J23&gt;=X$6),IF($R$4=1,"█",IF($R$4=2,$G23,$G23*2)),"")</f>
        <v/>
      </c>
      <c r="Y23" s="23">
        <f>IF(AND($I23&lt;=Y$6+6,$J23&gt;=Y$6),IF($R$4=1,"█",IF($R$4=2,$G23,$G23*2)),"")</f>
        <v/>
      </c>
      <c r="Z23" s="23">
        <f>IF(AND($I23&lt;=Z$6+6,$J23&gt;=Z$6),IF($R$4=1,"█",IF($R$4=2,$G23,$G23*2)),"")</f>
        <v/>
      </c>
      <c r="AA23" s="23">
        <f>IF(AND($I23&lt;=AA$6+6,$J23&gt;=AA$6),IF($R$4=1,"█",IF($R$4=2,$G23,$G23*2)),"")</f>
        <v/>
      </c>
      <c r="AB23" s="23">
        <f>IF(AND($I23&lt;=AB$6+6,$J23&gt;=AB$6),IF($R$4=1,"█",IF($R$4=2,$G23,$G23*2)),"")</f>
        <v/>
      </c>
      <c r="AC23" s="23">
        <f>IF(AND($I23&lt;=AC$6+6,$J23&gt;=AC$6),IF($R$4=1,"█",IF($R$4=2,$G23,$G23*2)),"")</f>
        <v/>
      </c>
      <c r="AD23" s="23">
        <f>IF(AND($I23&lt;=AD$6+6,$J23&gt;=AD$6),IF($R$4=1,"█",IF($R$4=2,$G23,$G23*2)),"")</f>
        <v/>
      </c>
      <c r="AE23" s="23">
        <f>IF(AND($I23&lt;=AE$6+6,$J23&gt;=AE$6),IF($R$4=1,"█",IF($R$4=2,$G23,$G23*2)),"")</f>
        <v/>
      </c>
      <c r="AF23" s="23">
        <f>IF(AND($I23&lt;=AF$6+6,$J23&gt;=AF$6),IF($R$4=1,"█",IF($R$4=2,$G23,$G23*2)),"")</f>
        <v/>
      </c>
      <c r="AG23" s="23">
        <f>IF(AND($I23&lt;=AG$6+6,$J23&gt;=AG$6),IF($R$4=1,"█",IF($R$4=2,$G23,$G23*2)),"")</f>
        <v/>
      </c>
      <c r="AH23" s="23">
        <f>IF(AND($I23&lt;=AH$6+6,$J23&gt;=AH$6),IF($R$4=1,"█",IF($R$4=2,$G23,$G23*2)),"")</f>
        <v/>
      </c>
      <c r="AI23" s="23">
        <f>IF(AND($I23&lt;=AI$6+6,$J23&gt;=AI$6),IF($R$4=1,"█",IF($R$4=2,$G23,$G23*2)),"")</f>
        <v/>
      </c>
      <c r="AJ23" s="23">
        <f>IF(AND($I23&lt;=AJ$6+6,$J23&gt;=AJ$6),IF($R$4=1,"█",IF($R$4=2,$G23,$G23*2)),"")</f>
        <v/>
      </c>
      <c r="AK23" s="24">
        <f>IF(AND($I23&lt;=AK$6+6,$J23&gt;=AK$6),IF($R$4=1,"█",IF($R$4=2,$G23,$G23*2)),"")</f>
        <v/>
      </c>
      <c r="AL23" s="24">
        <f>IF(AND($I23&lt;=AL$6+6,$J23&gt;=AL$6),IF($R$4=1,"█",IF($R$4=2,$G23,$G23*2)),"")</f>
        <v/>
      </c>
      <c r="AM23" s="24">
        <f>IF(AND($I23&lt;=AM$6+6,$J23&gt;=AM$6),IF($R$4=1,"█",IF($R$4=2,$G23,$G23*2)),"")</f>
        <v/>
      </c>
      <c r="AN23" s="24">
        <f>IF(AND($I23&lt;=AN$6+6,$J23&gt;=AN$6),IF($R$4=1,"█",IF($R$4=2,$G23,$G23*2)),"")</f>
        <v/>
      </c>
      <c r="AO23" s="24">
        <f>IF(AND($I23&lt;=AO$6+6,$J23&gt;=AO$6),IF($R$4=1,"█",IF($R$4=2,$G23,$G23*2)),"")</f>
        <v/>
      </c>
      <c r="AP23" s="24">
        <f>IF(AND($I23&lt;=AP$6+6,$J23&gt;=AP$6),IF($R$4=1,"█",IF($R$4=2,$G23,$G23*2)),"")</f>
        <v/>
      </c>
      <c r="AQ23" s="24">
        <f>IF(AND($I23&lt;=AQ$6+6,$J23&gt;=AQ$6),IF($R$4=1,"█",IF($R$4=2,$G23,$G23*2)),"")</f>
        <v/>
      </c>
      <c r="AR23" s="24">
        <f>IF(AND($I23&lt;=AR$6+6,$J23&gt;=AR$6),IF($R$4=1,"█",IF($R$4=2,$G23,$G23*2)),"")</f>
        <v/>
      </c>
      <c r="AS23" s="24">
        <f>IF(AND($I23&lt;=AS$6+6,$J23&gt;=AS$6),IF($R$4=1,"█",IF($R$4=2,$G23,$G23*2)),"")</f>
        <v/>
      </c>
      <c r="AT23" s="24">
        <f>IF(AND($I23&lt;=AT$6+6,$J23&gt;=AT$6),IF($R$4=1,"█",IF($R$4=2,$G23,$G23*2)),"")</f>
        <v/>
      </c>
      <c r="AU23" s="24">
        <f>IF(AND($I23&lt;=AU$6+6,$J23&gt;=AU$6),IF($R$4=1,"█",IF($R$4=2,$G23,$G23*2)),"")</f>
        <v/>
      </c>
      <c r="AV23" s="24">
        <f>IF(AND($I23&lt;=AV$6+6,$J23&gt;=AV$6),IF($R$4=1,"█",IF($R$4=2,$G23,$G23*2)),"")</f>
        <v/>
      </c>
      <c r="AW23" s="24">
        <f>IF(AND($I23&lt;=AW$6+6,$J23&gt;=AW$6),IF($R$4=1,"█",IF($R$4=2,$G23,$G23*2)),"")</f>
        <v/>
      </c>
      <c r="AX23" s="24">
        <f>IF(AND($I23&lt;=AX$6+6,$J23&gt;=AX$6),IF($R$4=1,"█",IF($R$4=2,$G23,$G23*2)),"")</f>
        <v/>
      </c>
      <c r="AY23" s="24">
        <f>IF(AND($I23&lt;=AY$6+6,$J23&gt;=AY$6),IF($R$4=1,"█",IF($R$4=2,$G23,$G23*2)),"")</f>
        <v/>
      </c>
      <c r="AZ23" s="24">
        <f>IF(AND($I23&lt;=AZ$6+6,$J23&gt;=AZ$6),IF($R$4=1,"█",IF($R$4=2,$G23,$G23*2)),"")</f>
        <v/>
      </c>
      <c r="BA23" s="24">
        <f>IF(AND($I23&lt;=BA$6+6,$J23&gt;=BA$6),IF($R$4=1,"█",IF($R$4=2,$G23,$G23*2)),"")</f>
        <v/>
      </c>
      <c r="BB23" s="24">
        <f>IF(AND($I23&lt;=BB$6+6,$J23&gt;=BB$6),IF($R$4=1,"█",IF($R$4=2,$G23,$G23*2)),"")</f>
        <v/>
      </c>
      <c r="BC23" s="24">
        <f>IF(AND($I23&lt;=BC$6+6,$J23&gt;=BC$6),IF($R$4=1,"█",IF($R$4=2,$G23,$G23*2)),"")</f>
        <v/>
      </c>
      <c r="BD23" s="24">
        <f>IF(AND($I23&lt;=BD$6+6,$J23&gt;=BD$6),IF($R$4=1,"█",IF($R$4=2,$G23,$G23*2)),"")</f>
        <v/>
      </c>
      <c r="BF23" s="4">
        <f>BG25-1-0</f>
        <v/>
      </c>
      <c r="BG23" s="4">
        <f>BF23-H23+1</f>
        <v/>
      </c>
      <c r="BH23">
        <f>BG23-I23</f>
        <v/>
      </c>
    </row>
    <row r="24" ht="20" customHeight="1">
      <c r="A24" s="16" t="inlineStr">
        <is>
          <t>3.5</t>
        </is>
      </c>
      <c r="B24" s="17" t="inlineStr">
        <is>
          <t>Thi công thân mố chân dê M1 và mố chữ U M2 bê tông C30</t>
        </is>
      </c>
      <c r="C24" s="18">
        <f>QS_DIEN_GIAI_CHI_TIET!J42</f>
        <v/>
      </c>
      <c r="D24" s="19" t="inlineStr">
        <is>
          <t>m3</t>
        </is>
      </c>
      <c r="E24" s="18" t="n">
        <v>0.52</v>
      </c>
      <c r="F24" s="20">
        <f>C24*E24</f>
        <v/>
      </c>
      <c r="G24" s="19" t="n">
        <v>14</v>
      </c>
      <c r="H24" s="16">
        <f>ROUNDUP(F24/G24, 0)</f>
        <v/>
      </c>
      <c r="I24" s="21">
        <f>J21+1+0</f>
        <v/>
      </c>
      <c r="J24" s="21">
        <f>I24+H24-1</f>
        <v/>
      </c>
      <c r="K24" s="19" t="inlineStr">
        <is>
          <t>3.2FS</t>
        </is>
      </c>
      <c r="L24" s="19">
        <f>IF(BH24=0,"YES","NO")</f>
        <v/>
      </c>
      <c r="M24" s="23">
        <f>IF(AND($I24&lt;=M$6+6,$J24&gt;=M$6),IF($R$4=1,"█",IF($R$4=2,$G24,$G24*2)),"")</f>
        <v/>
      </c>
      <c r="N24" s="23">
        <f>IF(AND($I24&lt;=N$6+6,$J24&gt;=N$6),IF($R$4=1,"█",IF($R$4=2,$G24,$G24*2)),"")</f>
        <v/>
      </c>
      <c r="O24" s="23">
        <f>IF(AND($I24&lt;=O$6+6,$J24&gt;=O$6),IF($R$4=1,"█",IF($R$4=2,$G24,$G24*2)),"")</f>
        <v/>
      </c>
      <c r="P24" s="23">
        <f>IF(AND($I24&lt;=P$6+6,$J24&gt;=P$6),IF($R$4=1,"█",IF($R$4=2,$G24,$G24*2)),"")</f>
        <v/>
      </c>
      <c r="Q24" s="23">
        <f>IF(AND($I24&lt;=Q$6+6,$J24&gt;=Q$6),IF($R$4=1,"█",IF($R$4=2,$G24,$G24*2)),"")</f>
        <v/>
      </c>
      <c r="R24" s="23">
        <f>IF(AND($I24&lt;=R$6+6,$J24&gt;=R$6),IF($R$4=1,"█",IF($R$4=2,$G24,$G24*2)),"")</f>
        <v/>
      </c>
      <c r="S24" s="23">
        <f>IF(AND($I24&lt;=S$6+6,$J24&gt;=S$6),IF($R$4=1,"█",IF($R$4=2,$G24,$G24*2)),"")</f>
        <v/>
      </c>
      <c r="T24" s="23">
        <f>IF(AND($I24&lt;=T$6+6,$J24&gt;=T$6),IF($R$4=1,"█",IF($R$4=2,$G24,$G24*2)),"")</f>
        <v/>
      </c>
      <c r="U24" s="23">
        <f>IF(AND($I24&lt;=U$6+6,$J24&gt;=U$6),IF($R$4=1,"█",IF($R$4=2,$G24,$G24*2)),"")</f>
        <v/>
      </c>
      <c r="V24" s="23">
        <f>IF(AND($I24&lt;=V$6+6,$J24&gt;=V$6),IF($R$4=1,"█",IF($R$4=2,$G24,$G24*2)),"")</f>
        <v/>
      </c>
      <c r="W24" s="23">
        <f>IF(AND($I24&lt;=W$6+6,$J24&gt;=W$6),IF($R$4=1,"█",IF($R$4=2,$G24,$G24*2)),"")</f>
        <v/>
      </c>
      <c r="X24" s="23">
        <f>IF(AND($I24&lt;=X$6+6,$J24&gt;=X$6),IF($R$4=1,"█",IF($R$4=2,$G24,$G24*2)),"")</f>
        <v/>
      </c>
      <c r="Y24" s="23">
        <f>IF(AND($I24&lt;=Y$6+6,$J24&gt;=Y$6),IF($R$4=1,"█",IF($R$4=2,$G24,$G24*2)),"")</f>
        <v/>
      </c>
      <c r="Z24" s="23">
        <f>IF(AND($I24&lt;=Z$6+6,$J24&gt;=Z$6),IF($R$4=1,"█",IF($R$4=2,$G24,$G24*2)),"")</f>
        <v/>
      </c>
      <c r="AA24" s="23">
        <f>IF(AND($I24&lt;=AA$6+6,$J24&gt;=AA$6),IF($R$4=1,"█",IF($R$4=2,$G24,$G24*2)),"")</f>
        <v/>
      </c>
      <c r="AB24" s="23">
        <f>IF(AND($I24&lt;=AB$6+6,$J24&gt;=AB$6),IF($R$4=1,"█",IF($R$4=2,$G24,$G24*2)),"")</f>
        <v/>
      </c>
      <c r="AC24" s="23">
        <f>IF(AND($I24&lt;=AC$6+6,$J24&gt;=AC$6),IF($R$4=1,"█",IF($R$4=2,$G24,$G24*2)),"")</f>
        <v/>
      </c>
      <c r="AD24" s="23">
        <f>IF(AND($I24&lt;=AD$6+6,$J24&gt;=AD$6),IF($R$4=1,"█",IF($R$4=2,$G24,$G24*2)),"")</f>
        <v/>
      </c>
      <c r="AE24" s="23">
        <f>IF(AND($I24&lt;=AE$6+6,$J24&gt;=AE$6),IF($R$4=1,"█",IF($R$4=2,$G24,$G24*2)),"")</f>
        <v/>
      </c>
      <c r="AF24" s="23">
        <f>IF(AND($I24&lt;=AF$6+6,$J24&gt;=AF$6),IF($R$4=1,"█",IF($R$4=2,$G24,$G24*2)),"")</f>
        <v/>
      </c>
      <c r="AG24" s="23">
        <f>IF(AND($I24&lt;=AG$6+6,$J24&gt;=AG$6),IF($R$4=1,"█",IF($R$4=2,$G24,$G24*2)),"")</f>
        <v/>
      </c>
      <c r="AH24" s="23">
        <f>IF(AND($I24&lt;=AH$6+6,$J24&gt;=AH$6),IF($R$4=1,"█",IF($R$4=2,$G24,$G24*2)),"")</f>
        <v/>
      </c>
      <c r="AI24" s="23">
        <f>IF(AND($I24&lt;=AI$6+6,$J24&gt;=AI$6),IF($R$4=1,"█",IF($R$4=2,$G24,$G24*2)),"")</f>
        <v/>
      </c>
      <c r="AJ24" s="23">
        <f>IF(AND($I24&lt;=AJ$6+6,$J24&gt;=AJ$6),IF($R$4=1,"█",IF($R$4=2,$G24,$G24*2)),"")</f>
        <v/>
      </c>
      <c r="AK24" s="24">
        <f>IF(AND($I24&lt;=AK$6+6,$J24&gt;=AK$6),IF($R$4=1,"█",IF($R$4=2,$G24,$G24*2)),"")</f>
        <v/>
      </c>
      <c r="AL24" s="24">
        <f>IF(AND($I24&lt;=AL$6+6,$J24&gt;=AL$6),IF($R$4=1,"█",IF($R$4=2,$G24,$G24*2)),"")</f>
        <v/>
      </c>
      <c r="AM24" s="24">
        <f>IF(AND($I24&lt;=AM$6+6,$J24&gt;=AM$6),IF($R$4=1,"█",IF($R$4=2,$G24,$G24*2)),"")</f>
        <v/>
      </c>
      <c r="AN24" s="24">
        <f>IF(AND($I24&lt;=AN$6+6,$J24&gt;=AN$6),IF($R$4=1,"█",IF($R$4=2,$G24,$G24*2)),"")</f>
        <v/>
      </c>
      <c r="AO24" s="24">
        <f>IF(AND($I24&lt;=AO$6+6,$J24&gt;=AO$6),IF($R$4=1,"█",IF($R$4=2,$G24,$G24*2)),"")</f>
        <v/>
      </c>
      <c r="AP24" s="24">
        <f>IF(AND($I24&lt;=AP$6+6,$J24&gt;=AP$6),IF($R$4=1,"█",IF($R$4=2,$G24,$G24*2)),"")</f>
        <v/>
      </c>
      <c r="AQ24" s="24">
        <f>IF(AND($I24&lt;=AQ$6+6,$J24&gt;=AQ$6),IF($R$4=1,"█",IF($R$4=2,$G24,$G24*2)),"")</f>
        <v/>
      </c>
      <c r="AR24" s="24">
        <f>IF(AND($I24&lt;=AR$6+6,$J24&gt;=AR$6),IF($R$4=1,"█",IF($R$4=2,$G24,$G24*2)),"")</f>
        <v/>
      </c>
      <c r="AS24" s="24">
        <f>IF(AND($I24&lt;=AS$6+6,$J24&gt;=AS$6),IF($R$4=1,"█",IF($R$4=2,$G24,$G24*2)),"")</f>
        <v/>
      </c>
      <c r="AT24" s="24">
        <f>IF(AND($I24&lt;=AT$6+6,$J24&gt;=AT$6),IF($R$4=1,"█",IF($R$4=2,$G24,$G24*2)),"")</f>
        <v/>
      </c>
      <c r="AU24" s="24">
        <f>IF(AND($I24&lt;=AU$6+6,$J24&gt;=AU$6),IF($R$4=1,"█",IF($R$4=2,$G24,$G24*2)),"")</f>
        <v/>
      </c>
      <c r="AV24" s="24">
        <f>IF(AND($I24&lt;=AV$6+6,$J24&gt;=AV$6),IF($R$4=1,"█",IF($R$4=2,$G24,$G24*2)),"")</f>
        <v/>
      </c>
      <c r="AW24" s="24">
        <f>IF(AND($I24&lt;=AW$6+6,$J24&gt;=AW$6),IF($R$4=1,"█",IF($R$4=2,$G24,$G24*2)),"")</f>
        <v/>
      </c>
      <c r="AX24" s="24">
        <f>IF(AND($I24&lt;=AX$6+6,$J24&gt;=AX$6),IF($R$4=1,"█",IF($R$4=2,$G24,$G24*2)),"")</f>
        <v/>
      </c>
      <c r="AY24" s="24">
        <f>IF(AND($I24&lt;=AY$6+6,$J24&gt;=AY$6),IF($R$4=1,"█",IF($R$4=2,$G24,$G24*2)),"")</f>
        <v/>
      </c>
      <c r="AZ24" s="24">
        <f>IF(AND($I24&lt;=AZ$6+6,$J24&gt;=AZ$6),IF($R$4=1,"█",IF($R$4=2,$G24,$G24*2)),"")</f>
        <v/>
      </c>
      <c r="BA24" s="24">
        <f>IF(AND($I24&lt;=BA$6+6,$J24&gt;=BA$6),IF($R$4=1,"█",IF($R$4=2,$G24,$G24*2)),"")</f>
        <v/>
      </c>
      <c r="BB24" s="24">
        <f>IF(AND($I24&lt;=BB$6+6,$J24&gt;=BB$6),IF($R$4=1,"█",IF($R$4=2,$G24,$G24*2)),"")</f>
        <v/>
      </c>
      <c r="BC24" s="24">
        <f>IF(AND($I24&lt;=BC$6+6,$J24&gt;=BC$6),IF($R$4=1,"█",IF($R$4=2,$G24,$G24*2)),"")</f>
        <v/>
      </c>
      <c r="BD24" s="24">
        <f>IF(AND($I24&lt;=BD$6+6,$J24&gt;=BD$6),IF($R$4=1,"█",IF($R$4=2,$G24,$G24*2)),"")</f>
        <v/>
      </c>
      <c r="BF24" s="4">
        <f>MAX($J$8:$J$42)</f>
        <v/>
      </c>
      <c r="BG24" s="4">
        <f>BF24-H24+1</f>
        <v/>
      </c>
      <c r="BH24">
        <f>BG24-I24</f>
        <v/>
      </c>
    </row>
    <row r="25" ht="20" customHeight="1">
      <c r="A25" s="16" t="inlineStr">
        <is>
          <t>3.6</t>
        </is>
      </c>
      <c r="B25" s="17" t="inlineStr">
        <is>
          <t>Thi công xà mũ trụ T1, T2, đá kê gối &amp; khối chống xô</t>
        </is>
      </c>
      <c r="C25" s="18">
        <f>QS_DIEN_GIAI_CHI_TIET!J51</f>
        <v/>
      </c>
      <c r="D25" s="19" t="inlineStr">
        <is>
          <t>m3</t>
        </is>
      </c>
      <c r="E25" s="18" t="n">
        <v>0.65</v>
      </c>
      <c r="F25" s="20">
        <f>C25*E25</f>
        <v/>
      </c>
      <c r="G25" s="19" t="n">
        <v>14</v>
      </c>
      <c r="H25" s="16">
        <f>ROUNDUP(F25/G25, 0)</f>
        <v/>
      </c>
      <c r="I25" s="21">
        <f>J23+1+0</f>
        <v/>
      </c>
      <c r="J25" s="21">
        <f>I25+H25-1</f>
        <v/>
      </c>
      <c r="K25" s="19" t="inlineStr">
        <is>
          <t>3.4FS</t>
        </is>
      </c>
      <c r="L25" s="22">
        <f>IF(BH25=0,"YES","NO")</f>
        <v/>
      </c>
      <c r="M25" s="23">
        <f>IF(AND($I25&lt;=M$6+6,$J25&gt;=M$6),IF($R$4=1,"█",IF($R$4=2,$G25,$G25*2)),"")</f>
        <v/>
      </c>
      <c r="N25" s="23">
        <f>IF(AND($I25&lt;=N$6+6,$J25&gt;=N$6),IF($R$4=1,"█",IF($R$4=2,$G25,$G25*2)),"")</f>
        <v/>
      </c>
      <c r="O25" s="23">
        <f>IF(AND($I25&lt;=O$6+6,$J25&gt;=O$6),IF($R$4=1,"█",IF($R$4=2,$G25,$G25*2)),"")</f>
        <v/>
      </c>
      <c r="P25" s="23">
        <f>IF(AND($I25&lt;=P$6+6,$J25&gt;=P$6),IF($R$4=1,"█",IF($R$4=2,$G25,$G25*2)),"")</f>
        <v/>
      </c>
      <c r="Q25" s="23">
        <f>IF(AND($I25&lt;=Q$6+6,$J25&gt;=Q$6),IF($R$4=1,"█",IF($R$4=2,$G25,$G25*2)),"")</f>
        <v/>
      </c>
      <c r="R25" s="23">
        <f>IF(AND($I25&lt;=R$6+6,$J25&gt;=R$6),IF($R$4=1,"█",IF($R$4=2,$G25,$G25*2)),"")</f>
        <v/>
      </c>
      <c r="S25" s="23">
        <f>IF(AND($I25&lt;=S$6+6,$J25&gt;=S$6),IF($R$4=1,"█",IF($R$4=2,$G25,$G25*2)),"")</f>
        <v/>
      </c>
      <c r="T25" s="23">
        <f>IF(AND($I25&lt;=T$6+6,$J25&gt;=T$6),IF($R$4=1,"█",IF($R$4=2,$G25,$G25*2)),"")</f>
        <v/>
      </c>
      <c r="U25" s="23">
        <f>IF(AND($I25&lt;=U$6+6,$J25&gt;=U$6),IF($R$4=1,"█",IF($R$4=2,$G25,$G25*2)),"")</f>
        <v/>
      </c>
      <c r="V25" s="23">
        <f>IF(AND($I25&lt;=V$6+6,$J25&gt;=V$6),IF($R$4=1,"█",IF($R$4=2,$G25,$G25*2)),"")</f>
        <v/>
      </c>
      <c r="W25" s="23">
        <f>IF(AND($I25&lt;=W$6+6,$J25&gt;=W$6),IF($R$4=1,"█",IF($R$4=2,$G25,$G25*2)),"")</f>
        <v/>
      </c>
      <c r="X25" s="23">
        <f>IF(AND($I25&lt;=X$6+6,$J25&gt;=X$6),IF($R$4=1,"█",IF($R$4=2,$G25,$G25*2)),"")</f>
        <v/>
      </c>
      <c r="Y25" s="23">
        <f>IF(AND($I25&lt;=Y$6+6,$J25&gt;=Y$6),IF($R$4=1,"█",IF($R$4=2,$G25,$G25*2)),"")</f>
        <v/>
      </c>
      <c r="Z25" s="23">
        <f>IF(AND($I25&lt;=Z$6+6,$J25&gt;=Z$6),IF($R$4=1,"█",IF($R$4=2,$G25,$G25*2)),"")</f>
        <v/>
      </c>
      <c r="AA25" s="23">
        <f>IF(AND($I25&lt;=AA$6+6,$J25&gt;=AA$6),IF($R$4=1,"█",IF($R$4=2,$G25,$G25*2)),"")</f>
        <v/>
      </c>
      <c r="AB25" s="23">
        <f>IF(AND($I25&lt;=AB$6+6,$J25&gt;=AB$6),IF($R$4=1,"█",IF($R$4=2,$G25,$G25*2)),"")</f>
        <v/>
      </c>
      <c r="AC25" s="23">
        <f>IF(AND($I25&lt;=AC$6+6,$J25&gt;=AC$6),IF($R$4=1,"█",IF($R$4=2,$G25,$G25*2)),"")</f>
        <v/>
      </c>
      <c r="AD25" s="23">
        <f>IF(AND($I25&lt;=AD$6+6,$J25&gt;=AD$6),IF($R$4=1,"█",IF($R$4=2,$G25,$G25*2)),"")</f>
        <v/>
      </c>
      <c r="AE25" s="23">
        <f>IF(AND($I25&lt;=AE$6+6,$J25&gt;=AE$6),IF($R$4=1,"█",IF($R$4=2,$G25,$G25*2)),"")</f>
        <v/>
      </c>
      <c r="AF25" s="23">
        <f>IF(AND($I25&lt;=AF$6+6,$J25&gt;=AF$6),IF($R$4=1,"█",IF($R$4=2,$G25,$G25*2)),"")</f>
        <v/>
      </c>
      <c r="AG25" s="23">
        <f>IF(AND($I25&lt;=AG$6+6,$J25&gt;=AG$6),IF($R$4=1,"█",IF($R$4=2,$G25,$G25*2)),"")</f>
        <v/>
      </c>
      <c r="AH25" s="23">
        <f>IF(AND($I25&lt;=AH$6+6,$J25&gt;=AH$6),IF($R$4=1,"█",IF($R$4=2,$G25,$G25*2)),"")</f>
        <v/>
      </c>
      <c r="AI25" s="23">
        <f>IF(AND($I25&lt;=AI$6+6,$J25&gt;=AI$6),IF($R$4=1,"█",IF($R$4=2,$G25,$G25*2)),"")</f>
        <v/>
      </c>
      <c r="AJ25" s="23">
        <f>IF(AND($I25&lt;=AJ$6+6,$J25&gt;=AJ$6),IF($R$4=1,"█",IF($R$4=2,$G25,$G25*2)),"")</f>
        <v/>
      </c>
      <c r="AK25" s="24">
        <f>IF(AND($I25&lt;=AK$6+6,$J25&gt;=AK$6),IF($R$4=1,"█",IF($R$4=2,$G25,$G25*2)),"")</f>
        <v/>
      </c>
      <c r="AL25" s="24">
        <f>IF(AND($I25&lt;=AL$6+6,$J25&gt;=AL$6),IF($R$4=1,"█",IF($R$4=2,$G25,$G25*2)),"")</f>
        <v/>
      </c>
      <c r="AM25" s="24">
        <f>IF(AND($I25&lt;=AM$6+6,$J25&gt;=AM$6),IF($R$4=1,"█",IF($R$4=2,$G25,$G25*2)),"")</f>
        <v/>
      </c>
      <c r="AN25" s="24">
        <f>IF(AND($I25&lt;=AN$6+6,$J25&gt;=AN$6),IF($R$4=1,"█",IF($R$4=2,$G25,$G25*2)),"")</f>
        <v/>
      </c>
      <c r="AO25" s="24">
        <f>IF(AND($I25&lt;=AO$6+6,$J25&gt;=AO$6),IF($R$4=1,"█",IF($R$4=2,$G25,$G25*2)),"")</f>
        <v/>
      </c>
      <c r="AP25" s="24">
        <f>IF(AND($I25&lt;=AP$6+6,$J25&gt;=AP$6),IF($R$4=1,"█",IF($R$4=2,$G25,$G25*2)),"")</f>
        <v/>
      </c>
      <c r="AQ25" s="24">
        <f>IF(AND($I25&lt;=AQ$6+6,$J25&gt;=AQ$6),IF($R$4=1,"█",IF($R$4=2,$G25,$G25*2)),"")</f>
        <v/>
      </c>
      <c r="AR25" s="24">
        <f>IF(AND($I25&lt;=AR$6+6,$J25&gt;=AR$6),IF($R$4=1,"█",IF($R$4=2,$G25,$G25*2)),"")</f>
        <v/>
      </c>
      <c r="AS25" s="24">
        <f>IF(AND($I25&lt;=AS$6+6,$J25&gt;=AS$6),IF($R$4=1,"█",IF($R$4=2,$G25,$G25*2)),"")</f>
        <v/>
      </c>
      <c r="AT25" s="24">
        <f>IF(AND($I25&lt;=AT$6+6,$J25&gt;=AT$6),IF($R$4=1,"█",IF($R$4=2,$G25,$G25*2)),"")</f>
        <v/>
      </c>
      <c r="AU25" s="24">
        <f>IF(AND($I25&lt;=AU$6+6,$J25&gt;=AU$6),IF($R$4=1,"█",IF($R$4=2,$G25,$G25*2)),"")</f>
        <v/>
      </c>
      <c r="AV25" s="24">
        <f>IF(AND($I25&lt;=AV$6+6,$J25&gt;=AV$6),IF($R$4=1,"█",IF($R$4=2,$G25,$G25*2)),"")</f>
        <v/>
      </c>
      <c r="AW25" s="24">
        <f>IF(AND($I25&lt;=AW$6+6,$J25&gt;=AW$6),IF($R$4=1,"█",IF($R$4=2,$G25,$G25*2)),"")</f>
        <v/>
      </c>
      <c r="AX25" s="24">
        <f>IF(AND($I25&lt;=AX$6+6,$J25&gt;=AX$6),IF($R$4=1,"█",IF($R$4=2,$G25,$G25*2)),"")</f>
        <v/>
      </c>
      <c r="AY25" s="24">
        <f>IF(AND($I25&lt;=AY$6+6,$J25&gt;=AY$6),IF($R$4=1,"█",IF($R$4=2,$G25,$G25*2)),"")</f>
        <v/>
      </c>
      <c r="AZ25" s="24">
        <f>IF(AND($I25&lt;=AZ$6+6,$J25&gt;=AZ$6),IF($R$4=1,"█",IF($R$4=2,$G25,$G25*2)),"")</f>
        <v/>
      </c>
      <c r="BA25" s="24">
        <f>IF(AND($I25&lt;=BA$6+6,$J25&gt;=BA$6),IF($R$4=1,"█",IF($R$4=2,$G25,$G25*2)),"")</f>
        <v/>
      </c>
      <c r="BB25" s="24">
        <f>IF(AND($I25&lt;=BB$6+6,$J25&gt;=BB$6),IF($R$4=1,"█",IF($R$4=2,$G25,$G25*2)),"")</f>
        <v/>
      </c>
      <c r="BC25" s="24">
        <f>IF(AND($I25&lt;=BC$6+6,$J25&gt;=BC$6),IF($R$4=1,"█",IF($R$4=2,$G25,$G25*2)),"")</f>
        <v/>
      </c>
      <c r="BD25" s="24">
        <f>IF(AND($I25&lt;=BD$6+6,$J25&gt;=BD$6),IF($R$4=1,"█",IF($R$4=2,$G25,$G25*2)),"")</f>
        <v/>
      </c>
      <c r="BF25" s="4">
        <f>BG30-1-0</f>
        <v/>
      </c>
      <c r="BG25" s="4">
        <f>BF25-H25+1</f>
        <v/>
      </c>
      <c r="BH25">
        <f>BG25-I25</f>
        <v/>
      </c>
    </row>
    <row r="26" ht="24" customHeight="1">
      <c r="A26" s="14" t="inlineStr">
        <is>
          <t>4.0</t>
        </is>
      </c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</row>
    <row r="27" ht="20" customHeight="1">
      <c r="A27" s="16" t="inlineStr">
        <is>
          <t>4.1</t>
        </is>
      </c>
      <c r="B27" s="17" t="inlineStr">
        <is>
          <t>Gia công cốt thép, luồn cáp DUL 15.2mm 15 phiến dầm tại bãi đúc</t>
        </is>
      </c>
      <c r="C27" s="18" t="n">
        <v>15</v>
      </c>
      <c r="D27" s="19" t="inlineStr">
        <is>
          <t>Phiến</t>
        </is>
      </c>
      <c r="E27" s="18" t="n">
        <v>28</v>
      </c>
      <c r="F27" s="20">
        <f>C27*E27</f>
        <v/>
      </c>
      <c r="G27" s="19" t="n">
        <v>16</v>
      </c>
      <c r="H27" s="16">
        <f>ROUNDUP(F27/G27, 0)</f>
        <v/>
      </c>
      <c r="I27" s="21">
        <f>J11+1+0</f>
        <v/>
      </c>
      <c r="J27" s="21">
        <f>I27+H27-1</f>
        <v/>
      </c>
      <c r="K27" s="19" t="inlineStr">
        <is>
          <t>1.4FS</t>
        </is>
      </c>
      <c r="L27" s="19">
        <f>IF(BH27=0,"YES","NO")</f>
        <v/>
      </c>
      <c r="M27" s="23">
        <f>IF(AND($I27&lt;=M$6+6,$J27&gt;=M$6),IF($R$4=1,"█",IF($R$4=2,$G27,$G27*2)),"")</f>
        <v/>
      </c>
      <c r="N27" s="23">
        <f>IF(AND($I27&lt;=N$6+6,$J27&gt;=N$6),IF($R$4=1,"█",IF($R$4=2,$G27,$G27*2)),"")</f>
        <v/>
      </c>
      <c r="O27" s="23">
        <f>IF(AND($I27&lt;=O$6+6,$J27&gt;=O$6),IF($R$4=1,"█",IF($R$4=2,$G27,$G27*2)),"")</f>
        <v/>
      </c>
      <c r="P27" s="23">
        <f>IF(AND($I27&lt;=P$6+6,$J27&gt;=P$6),IF($R$4=1,"█",IF($R$4=2,$G27,$G27*2)),"")</f>
        <v/>
      </c>
      <c r="Q27" s="23">
        <f>IF(AND($I27&lt;=Q$6+6,$J27&gt;=Q$6),IF($R$4=1,"█",IF($R$4=2,$G27,$G27*2)),"")</f>
        <v/>
      </c>
      <c r="R27" s="23">
        <f>IF(AND($I27&lt;=R$6+6,$J27&gt;=R$6),IF($R$4=1,"█",IF($R$4=2,$G27,$G27*2)),"")</f>
        <v/>
      </c>
      <c r="S27" s="23">
        <f>IF(AND($I27&lt;=S$6+6,$J27&gt;=S$6),IF($R$4=1,"█",IF($R$4=2,$G27,$G27*2)),"")</f>
        <v/>
      </c>
      <c r="T27" s="23">
        <f>IF(AND($I27&lt;=T$6+6,$J27&gt;=T$6),IF($R$4=1,"█",IF($R$4=2,$G27,$G27*2)),"")</f>
        <v/>
      </c>
      <c r="U27" s="23">
        <f>IF(AND($I27&lt;=U$6+6,$J27&gt;=U$6),IF($R$4=1,"█",IF($R$4=2,$G27,$G27*2)),"")</f>
        <v/>
      </c>
      <c r="V27" s="23">
        <f>IF(AND($I27&lt;=V$6+6,$J27&gt;=V$6),IF($R$4=1,"█",IF($R$4=2,$G27,$G27*2)),"")</f>
        <v/>
      </c>
      <c r="W27" s="23">
        <f>IF(AND($I27&lt;=W$6+6,$J27&gt;=W$6),IF($R$4=1,"█",IF($R$4=2,$G27,$G27*2)),"")</f>
        <v/>
      </c>
      <c r="X27" s="23">
        <f>IF(AND($I27&lt;=X$6+6,$J27&gt;=X$6),IF($R$4=1,"█",IF($R$4=2,$G27,$G27*2)),"")</f>
        <v/>
      </c>
      <c r="Y27" s="23">
        <f>IF(AND($I27&lt;=Y$6+6,$J27&gt;=Y$6),IF($R$4=1,"█",IF($R$4=2,$G27,$G27*2)),"")</f>
        <v/>
      </c>
      <c r="Z27" s="23">
        <f>IF(AND($I27&lt;=Z$6+6,$J27&gt;=Z$6),IF($R$4=1,"█",IF($R$4=2,$G27,$G27*2)),"")</f>
        <v/>
      </c>
      <c r="AA27" s="23">
        <f>IF(AND($I27&lt;=AA$6+6,$J27&gt;=AA$6),IF($R$4=1,"█",IF($R$4=2,$G27,$G27*2)),"")</f>
        <v/>
      </c>
      <c r="AB27" s="23">
        <f>IF(AND($I27&lt;=AB$6+6,$J27&gt;=AB$6),IF($R$4=1,"█",IF($R$4=2,$G27,$G27*2)),"")</f>
        <v/>
      </c>
      <c r="AC27" s="23">
        <f>IF(AND($I27&lt;=AC$6+6,$J27&gt;=AC$6),IF($R$4=1,"█",IF($R$4=2,$G27,$G27*2)),"")</f>
        <v/>
      </c>
      <c r="AD27" s="23">
        <f>IF(AND($I27&lt;=AD$6+6,$J27&gt;=AD$6),IF($R$4=1,"█",IF($R$4=2,$G27,$G27*2)),"")</f>
        <v/>
      </c>
      <c r="AE27" s="23">
        <f>IF(AND($I27&lt;=AE$6+6,$J27&gt;=AE$6),IF($R$4=1,"█",IF($R$4=2,$G27,$G27*2)),"")</f>
        <v/>
      </c>
      <c r="AF27" s="23">
        <f>IF(AND($I27&lt;=AF$6+6,$J27&gt;=AF$6),IF($R$4=1,"█",IF($R$4=2,$G27,$G27*2)),"")</f>
        <v/>
      </c>
      <c r="AG27" s="23">
        <f>IF(AND($I27&lt;=AG$6+6,$J27&gt;=AG$6),IF($R$4=1,"█",IF($R$4=2,$G27,$G27*2)),"")</f>
        <v/>
      </c>
      <c r="AH27" s="23">
        <f>IF(AND($I27&lt;=AH$6+6,$J27&gt;=AH$6),IF($R$4=1,"█",IF($R$4=2,$G27,$G27*2)),"")</f>
        <v/>
      </c>
      <c r="AI27" s="23">
        <f>IF(AND($I27&lt;=AI$6+6,$J27&gt;=AI$6),IF($R$4=1,"█",IF($R$4=2,$G27,$G27*2)),"")</f>
        <v/>
      </c>
      <c r="AJ27" s="23">
        <f>IF(AND($I27&lt;=AJ$6+6,$J27&gt;=AJ$6),IF($R$4=1,"█",IF($R$4=2,$G27,$G27*2)),"")</f>
        <v/>
      </c>
      <c r="AK27" s="24">
        <f>IF(AND($I27&lt;=AK$6+6,$J27&gt;=AK$6),IF($R$4=1,"█",IF($R$4=2,$G27,$G27*2)),"")</f>
        <v/>
      </c>
      <c r="AL27" s="24">
        <f>IF(AND($I27&lt;=AL$6+6,$J27&gt;=AL$6),IF($R$4=1,"█",IF($R$4=2,$G27,$G27*2)),"")</f>
        <v/>
      </c>
      <c r="AM27" s="24">
        <f>IF(AND($I27&lt;=AM$6+6,$J27&gt;=AM$6),IF($R$4=1,"█",IF($R$4=2,$G27,$G27*2)),"")</f>
        <v/>
      </c>
      <c r="AN27" s="24">
        <f>IF(AND($I27&lt;=AN$6+6,$J27&gt;=AN$6),IF($R$4=1,"█",IF($R$4=2,$G27,$G27*2)),"")</f>
        <v/>
      </c>
      <c r="AO27" s="24">
        <f>IF(AND($I27&lt;=AO$6+6,$J27&gt;=AO$6),IF($R$4=1,"█",IF($R$4=2,$G27,$G27*2)),"")</f>
        <v/>
      </c>
      <c r="AP27" s="24">
        <f>IF(AND($I27&lt;=AP$6+6,$J27&gt;=AP$6),IF($R$4=1,"█",IF($R$4=2,$G27,$G27*2)),"")</f>
        <v/>
      </c>
      <c r="AQ27" s="24">
        <f>IF(AND($I27&lt;=AQ$6+6,$J27&gt;=AQ$6),IF($R$4=1,"█",IF($R$4=2,$G27,$G27*2)),"")</f>
        <v/>
      </c>
      <c r="AR27" s="24">
        <f>IF(AND($I27&lt;=AR$6+6,$J27&gt;=AR$6),IF($R$4=1,"█",IF($R$4=2,$G27,$G27*2)),"")</f>
        <v/>
      </c>
      <c r="AS27" s="24">
        <f>IF(AND($I27&lt;=AS$6+6,$J27&gt;=AS$6),IF($R$4=1,"█",IF($R$4=2,$G27,$G27*2)),"")</f>
        <v/>
      </c>
      <c r="AT27" s="24">
        <f>IF(AND($I27&lt;=AT$6+6,$J27&gt;=AT$6),IF($R$4=1,"█",IF($R$4=2,$G27,$G27*2)),"")</f>
        <v/>
      </c>
      <c r="AU27" s="24">
        <f>IF(AND($I27&lt;=AU$6+6,$J27&gt;=AU$6),IF($R$4=1,"█",IF($R$4=2,$G27,$G27*2)),"")</f>
        <v/>
      </c>
      <c r="AV27" s="24">
        <f>IF(AND($I27&lt;=AV$6+6,$J27&gt;=AV$6),IF($R$4=1,"█",IF($R$4=2,$G27,$G27*2)),"")</f>
        <v/>
      </c>
      <c r="AW27" s="24">
        <f>IF(AND($I27&lt;=AW$6+6,$J27&gt;=AW$6),IF($R$4=1,"█",IF($R$4=2,$G27,$G27*2)),"")</f>
        <v/>
      </c>
      <c r="AX27" s="24">
        <f>IF(AND($I27&lt;=AX$6+6,$J27&gt;=AX$6),IF($R$4=1,"█",IF($R$4=2,$G27,$G27*2)),"")</f>
        <v/>
      </c>
      <c r="AY27" s="24">
        <f>IF(AND($I27&lt;=AY$6+6,$J27&gt;=AY$6),IF($R$4=1,"█",IF($R$4=2,$G27,$G27*2)),"")</f>
        <v/>
      </c>
      <c r="AZ27" s="24">
        <f>IF(AND($I27&lt;=AZ$6+6,$J27&gt;=AZ$6),IF($R$4=1,"█",IF($R$4=2,$G27,$G27*2)),"")</f>
        <v/>
      </c>
      <c r="BA27" s="24">
        <f>IF(AND($I27&lt;=BA$6+6,$J27&gt;=BA$6),IF($R$4=1,"█",IF($R$4=2,$G27,$G27*2)),"")</f>
        <v/>
      </c>
      <c r="BB27" s="24">
        <f>IF(AND($I27&lt;=BB$6+6,$J27&gt;=BB$6),IF($R$4=1,"█",IF($R$4=2,$G27,$G27*2)),"")</f>
        <v/>
      </c>
      <c r="BC27" s="24">
        <f>IF(AND($I27&lt;=BC$6+6,$J27&gt;=BC$6),IF($R$4=1,"█",IF($R$4=2,$G27,$G27*2)),"")</f>
        <v/>
      </c>
      <c r="BD27" s="24">
        <f>IF(AND($I27&lt;=BD$6+6,$J27&gt;=BD$6),IF($R$4=1,"█",IF($R$4=2,$G27,$G27*2)),"")</f>
        <v/>
      </c>
      <c r="BF27" s="4">
        <f>BG28-1-0</f>
        <v/>
      </c>
      <c r="BG27" s="4">
        <f>BF27-H27+1</f>
        <v/>
      </c>
      <c r="BH27">
        <f>BG27-I27</f>
        <v/>
      </c>
    </row>
    <row r="28" ht="20" customHeight="1">
      <c r="A28" s="16" t="inlineStr">
        <is>
          <t>4.2</t>
        </is>
      </c>
      <c r="B28" s="17" t="inlineStr">
        <is>
          <t>Đổ bê tông C45 15 phiến dầm Super-T (bảo dưỡng đạt cường độ R28)</t>
        </is>
      </c>
      <c r="C28" s="18">
        <f>QS_DIEN_GIAI_CHI_TIET!J57</f>
        <v/>
      </c>
      <c r="D28" s="19" t="inlineStr">
        <is>
          <t>m3</t>
        </is>
      </c>
      <c r="E28" s="18" t="n">
        <v>0.65</v>
      </c>
      <c r="F28" s="20">
        <f>C28*E28</f>
        <v/>
      </c>
      <c r="G28" s="19" t="n">
        <v>16</v>
      </c>
      <c r="H28" s="16">
        <f>ROUNDUP(F28/G28, 0)</f>
        <v/>
      </c>
      <c r="I28" s="21">
        <f>J27+1+0</f>
        <v/>
      </c>
      <c r="J28" s="21">
        <f>I28+H28-1</f>
        <v/>
      </c>
      <c r="K28" s="19" t="inlineStr">
        <is>
          <t>4.1FS</t>
        </is>
      </c>
      <c r="L28" s="19">
        <f>IF(BH28=0,"YES","NO")</f>
        <v/>
      </c>
      <c r="M28" s="23">
        <f>IF(AND($I28&lt;=M$6+6,$J28&gt;=M$6),IF($R$4=1,"█",IF($R$4=2,$G28,$G28*2)),"")</f>
        <v/>
      </c>
      <c r="N28" s="23">
        <f>IF(AND($I28&lt;=N$6+6,$J28&gt;=N$6),IF($R$4=1,"█",IF($R$4=2,$G28,$G28*2)),"")</f>
        <v/>
      </c>
      <c r="O28" s="23">
        <f>IF(AND($I28&lt;=O$6+6,$J28&gt;=O$6),IF($R$4=1,"█",IF($R$4=2,$G28,$G28*2)),"")</f>
        <v/>
      </c>
      <c r="P28" s="23">
        <f>IF(AND($I28&lt;=P$6+6,$J28&gt;=P$6),IF($R$4=1,"█",IF($R$4=2,$G28,$G28*2)),"")</f>
        <v/>
      </c>
      <c r="Q28" s="23">
        <f>IF(AND($I28&lt;=Q$6+6,$J28&gt;=Q$6),IF($R$4=1,"█",IF($R$4=2,$G28,$G28*2)),"")</f>
        <v/>
      </c>
      <c r="R28" s="23">
        <f>IF(AND($I28&lt;=R$6+6,$J28&gt;=R$6),IF($R$4=1,"█",IF($R$4=2,$G28,$G28*2)),"")</f>
        <v/>
      </c>
      <c r="S28" s="23">
        <f>IF(AND($I28&lt;=S$6+6,$J28&gt;=S$6),IF($R$4=1,"█",IF($R$4=2,$G28,$G28*2)),"")</f>
        <v/>
      </c>
      <c r="T28" s="23">
        <f>IF(AND($I28&lt;=T$6+6,$J28&gt;=T$6),IF($R$4=1,"█",IF($R$4=2,$G28,$G28*2)),"")</f>
        <v/>
      </c>
      <c r="U28" s="23">
        <f>IF(AND($I28&lt;=U$6+6,$J28&gt;=U$6),IF($R$4=1,"█",IF($R$4=2,$G28,$G28*2)),"")</f>
        <v/>
      </c>
      <c r="V28" s="23">
        <f>IF(AND($I28&lt;=V$6+6,$J28&gt;=V$6),IF($R$4=1,"█",IF($R$4=2,$G28,$G28*2)),"")</f>
        <v/>
      </c>
      <c r="W28" s="23">
        <f>IF(AND($I28&lt;=W$6+6,$J28&gt;=W$6),IF($R$4=1,"█",IF($R$4=2,$G28,$G28*2)),"")</f>
        <v/>
      </c>
      <c r="X28" s="23">
        <f>IF(AND($I28&lt;=X$6+6,$J28&gt;=X$6),IF($R$4=1,"█",IF($R$4=2,$G28,$G28*2)),"")</f>
        <v/>
      </c>
      <c r="Y28" s="23">
        <f>IF(AND($I28&lt;=Y$6+6,$J28&gt;=Y$6),IF($R$4=1,"█",IF($R$4=2,$G28,$G28*2)),"")</f>
        <v/>
      </c>
      <c r="Z28" s="23">
        <f>IF(AND($I28&lt;=Z$6+6,$J28&gt;=Z$6),IF($R$4=1,"█",IF($R$4=2,$G28,$G28*2)),"")</f>
        <v/>
      </c>
      <c r="AA28" s="23">
        <f>IF(AND($I28&lt;=AA$6+6,$J28&gt;=AA$6),IF($R$4=1,"█",IF($R$4=2,$G28,$G28*2)),"")</f>
        <v/>
      </c>
      <c r="AB28" s="23">
        <f>IF(AND($I28&lt;=AB$6+6,$J28&gt;=AB$6),IF($R$4=1,"█",IF($R$4=2,$G28,$G28*2)),"")</f>
        <v/>
      </c>
      <c r="AC28" s="23">
        <f>IF(AND($I28&lt;=AC$6+6,$J28&gt;=AC$6),IF($R$4=1,"█",IF($R$4=2,$G28,$G28*2)),"")</f>
        <v/>
      </c>
      <c r="AD28" s="23">
        <f>IF(AND($I28&lt;=AD$6+6,$J28&gt;=AD$6),IF($R$4=1,"█",IF($R$4=2,$G28,$G28*2)),"")</f>
        <v/>
      </c>
      <c r="AE28" s="23">
        <f>IF(AND($I28&lt;=AE$6+6,$J28&gt;=AE$6),IF($R$4=1,"█",IF($R$4=2,$G28,$G28*2)),"")</f>
        <v/>
      </c>
      <c r="AF28" s="23">
        <f>IF(AND($I28&lt;=AF$6+6,$J28&gt;=AF$6),IF($R$4=1,"█",IF($R$4=2,$G28,$G28*2)),"")</f>
        <v/>
      </c>
      <c r="AG28" s="23">
        <f>IF(AND($I28&lt;=AG$6+6,$J28&gt;=AG$6),IF($R$4=1,"█",IF($R$4=2,$G28,$G28*2)),"")</f>
        <v/>
      </c>
      <c r="AH28" s="23">
        <f>IF(AND($I28&lt;=AH$6+6,$J28&gt;=AH$6),IF($R$4=1,"█",IF($R$4=2,$G28,$G28*2)),"")</f>
        <v/>
      </c>
      <c r="AI28" s="23">
        <f>IF(AND($I28&lt;=AI$6+6,$J28&gt;=AI$6),IF($R$4=1,"█",IF($R$4=2,$G28,$G28*2)),"")</f>
        <v/>
      </c>
      <c r="AJ28" s="23">
        <f>IF(AND($I28&lt;=AJ$6+6,$J28&gt;=AJ$6),IF($R$4=1,"█",IF($R$4=2,$G28,$G28*2)),"")</f>
        <v/>
      </c>
      <c r="AK28" s="24">
        <f>IF(AND($I28&lt;=AK$6+6,$J28&gt;=AK$6),IF($R$4=1,"█",IF($R$4=2,$G28,$G28*2)),"")</f>
        <v/>
      </c>
      <c r="AL28" s="24">
        <f>IF(AND($I28&lt;=AL$6+6,$J28&gt;=AL$6),IF($R$4=1,"█",IF($R$4=2,$G28,$G28*2)),"")</f>
        <v/>
      </c>
      <c r="AM28" s="24">
        <f>IF(AND($I28&lt;=AM$6+6,$J28&gt;=AM$6),IF($R$4=1,"█",IF($R$4=2,$G28,$G28*2)),"")</f>
        <v/>
      </c>
      <c r="AN28" s="24">
        <f>IF(AND($I28&lt;=AN$6+6,$J28&gt;=AN$6),IF($R$4=1,"█",IF($R$4=2,$G28,$G28*2)),"")</f>
        <v/>
      </c>
      <c r="AO28" s="24">
        <f>IF(AND($I28&lt;=AO$6+6,$J28&gt;=AO$6),IF($R$4=1,"█",IF($R$4=2,$G28,$G28*2)),"")</f>
        <v/>
      </c>
      <c r="AP28" s="24">
        <f>IF(AND($I28&lt;=AP$6+6,$J28&gt;=AP$6),IF($R$4=1,"█",IF($R$4=2,$G28,$G28*2)),"")</f>
        <v/>
      </c>
      <c r="AQ28" s="24">
        <f>IF(AND($I28&lt;=AQ$6+6,$J28&gt;=AQ$6),IF($R$4=1,"█",IF($R$4=2,$G28,$G28*2)),"")</f>
        <v/>
      </c>
      <c r="AR28" s="24">
        <f>IF(AND($I28&lt;=AR$6+6,$J28&gt;=AR$6),IF($R$4=1,"█",IF($R$4=2,$G28,$G28*2)),"")</f>
        <v/>
      </c>
      <c r="AS28" s="24">
        <f>IF(AND($I28&lt;=AS$6+6,$J28&gt;=AS$6),IF($R$4=1,"█",IF($R$4=2,$G28,$G28*2)),"")</f>
        <v/>
      </c>
      <c r="AT28" s="24">
        <f>IF(AND($I28&lt;=AT$6+6,$J28&gt;=AT$6),IF($R$4=1,"█",IF($R$4=2,$G28,$G28*2)),"")</f>
        <v/>
      </c>
      <c r="AU28" s="24">
        <f>IF(AND($I28&lt;=AU$6+6,$J28&gt;=AU$6),IF($R$4=1,"█",IF($R$4=2,$G28,$G28*2)),"")</f>
        <v/>
      </c>
      <c r="AV28" s="24">
        <f>IF(AND($I28&lt;=AV$6+6,$J28&gt;=AV$6),IF($R$4=1,"█",IF($R$4=2,$G28,$G28*2)),"")</f>
        <v/>
      </c>
      <c r="AW28" s="24">
        <f>IF(AND($I28&lt;=AW$6+6,$J28&gt;=AW$6),IF($R$4=1,"█",IF($R$4=2,$G28,$G28*2)),"")</f>
        <v/>
      </c>
      <c r="AX28" s="24">
        <f>IF(AND($I28&lt;=AX$6+6,$J28&gt;=AX$6),IF($R$4=1,"█",IF($R$4=2,$G28,$G28*2)),"")</f>
        <v/>
      </c>
      <c r="AY28" s="24">
        <f>IF(AND($I28&lt;=AY$6+6,$J28&gt;=AY$6),IF($R$4=1,"█",IF($R$4=2,$G28,$G28*2)),"")</f>
        <v/>
      </c>
      <c r="AZ28" s="24">
        <f>IF(AND($I28&lt;=AZ$6+6,$J28&gt;=AZ$6),IF($R$4=1,"█",IF($R$4=2,$G28,$G28*2)),"")</f>
        <v/>
      </c>
      <c r="BA28" s="24">
        <f>IF(AND($I28&lt;=BA$6+6,$J28&gt;=BA$6),IF($R$4=1,"█",IF($R$4=2,$G28,$G28*2)),"")</f>
        <v/>
      </c>
      <c r="BB28" s="24">
        <f>IF(AND($I28&lt;=BB$6+6,$J28&gt;=BB$6),IF($R$4=1,"█",IF($R$4=2,$G28,$G28*2)),"")</f>
        <v/>
      </c>
      <c r="BC28" s="24">
        <f>IF(AND($I28&lt;=BC$6+6,$J28&gt;=BC$6),IF($R$4=1,"█",IF($R$4=2,$G28,$G28*2)),"")</f>
        <v/>
      </c>
      <c r="BD28" s="24">
        <f>IF(AND($I28&lt;=BD$6+6,$J28&gt;=BD$6),IF($R$4=1,"█",IF($R$4=2,$G28,$G28*2)),"")</f>
        <v/>
      </c>
      <c r="BF28" s="4">
        <f>BG29-1-0</f>
        <v/>
      </c>
      <c r="BG28" s="4">
        <f>BF28-H28+1</f>
        <v/>
      </c>
      <c r="BH28">
        <f>BG28-I28</f>
        <v/>
      </c>
    </row>
    <row r="29" ht="20" customHeight="1">
      <c r="A29" s="16" t="inlineStr">
        <is>
          <t>4.3</t>
        </is>
      </c>
      <c r="B29" s="17" t="inlineStr">
        <is>
          <t>Căng kéo cáp DUL tao xoắn 15.2mm &amp; bơm vữa ống gen dầm</t>
        </is>
      </c>
      <c r="C29" s="18" t="n">
        <v>15</v>
      </c>
      <c r="D29" s="19" t="inlineStr">
        <is>
          <t>Phiến</t>
        </is>
      </c>
      <c r="E29" s="18" t="n">
        <v>4</v>
      </c>
      <c r="F29" s="20">
        <f>C29*E29</f>
        <v/>
      </c>
      <c r="G29" s="19" t="n">
        <v>8</v>
      </c>
      <c r="H29" s="16">
        <f>ROUNDUP(F29/G29, 0)</f>
        <v/>
      </c>
      <c r="I29" s="21">
        <f>J28+1+0</f>
        <v/>
      </c>
      <c r="J29" s="21">
        <f>I29+H29-1</f>
        <v/>
      </c>
      <c r="K29" s="19" t="inlineStr">
        <is>
          <t>4.2FS</t>
        </is>
      </c>
      <c r="L29" s="22">
        <f>IF(BH29=0,"YES","NO")</f>
        <v/>
      </c>
      <c r="M29" s="23">
        <f>IF(AND($I29&lt;=M$6+6,$J29&gt;=M$6),IF($R$4=1,"█",IF($R$4=2,$G29,$G29*2)),"")</f>
        <v/>
      </c>
      <c r="N29" s="23">
        <f>IF(AND($I29&lt;=N$6+6,$J29&gt;=N$6),IF($R$4=1,"█",IF($R$4=2,$G29,$G29*2)),"")</f>
        <v/>
      </c>
      <c r="O29" s="23">
        <f>IF(AND($I29&lt;=O$6+6,$J29&gt;=O$6),IF($R$4=1,"█",IF($R$4=2,$G29,$G29*2)),"")</f>
        <v/>
      </c>
      <c r="P29" s="23">
        <f>IF(AND($I29&lt;=P$6+6,$J29&gt;=P$6),IF($R$4=1,"█",IF($R$4=2,$G29,$G29*2)),"")</f>
        <v/>
      </c>
      <c r="Q29" s="23">
        <f>IF(AND($I29&lt;=Q$6+6,$J29&gt;=Q$6),IF($R$4=1,"█",IF($R$4=2,$G29,$G29*2)),"")</f>
        <v/>
      </c>
      <c r="R29" s="23">
        <f>IF(AND($I29&lt;=R$6+6,$J29&gt;=R$6),IF($R$4=1,"█",IF($R$4=2,$G29,$G29*2)),"")</f>
        <v/>
      </c>
      <c r="S29" s="23">
        <f>IF(AND($I29&lt;=S$6+6,$J29&gt;=S$6),IF($R$4=1,"█",IF($R$4=2,$G29,$G29*2)),"")</f>
        <v/>
      </c>
      <c r="T29" s="23">
        <f>IF(AND($I29&lt;=T$6+6,$J29&gt;=T$6),IF($R$4=1,"█",IF($R$4=2,$G29,$G29*2)),"")</f>
        <v/>
      </c>
      <c r="U29" s="23">
        <f>IF(AND($I29&lt;=U$6+6,$J29&gt;=U$6),IF($R$4=1,"█",IF($R$4=2,$G29,$G29*2)),"")</f>
        <v/>
      </c>
      <c r="V29" s="23">
        <f>IF(AND($I29&lt;=V$6+6,$J29&gt;=V$6),IF($R$4=1,"█",IF($R$4=2,$G29,$G29*2)),"")</f>
        <v/>
      </c>
      <c r="W29" s="23">
        <f>IF(AND($I29&lt;=W$6+6,$J29&gt;=W$6),IF($R$4=1,"█",IF($R$4=2,$G29,$G29*2)),"")</f>
        <v/>
      </c>
      <c r="X29" s="23">
        <f>IF(AND($I29&lt;=X$6+6,$J29&gt;=X$6),IF($R$4=1,"█",IF($R$4=2,$G29,$G29*2)),"")</f>
        <v/>
      </c>
      <c r="Y29" s="23">
        <f>IF(AND($I29&lt;=Y$6+6,$J29&gt;=Y$6),IF($R$4=1,"█",IF($R$4=2,$G29,$G29*2)),"")</f>
        <v/>
      </c>
      <c r="Z29" s="23">
        <f>IF(AND($I29&lt;=Z$6+6,$J29&gt;=Z$6),IF($R$4=1,"█",IF($R$4=2,$G29,$G29*2)),"")</f>
        <v/>
      </c>
      <c r="AA29" s="23">
        <f>IF(AND($I29&lt;=AA$6+6,$J29&gt;=AA$6),IF($R$4=1,"█",IF($R$4=2,$G29,$G29*2)),"")</f>
        <v/>
      </c>
      <c r="AB29" s="23">
        <f>IF(AND($I29&lt;=AB$6+6,$J29&gt;=AB$6),IF($R$4=1,"█",IF($R$4=2,$G29,$G29*2)),"")</f>
        <v/>
      </c>
      <c r="AC29" s="23">
        <f>IF(AND($I29&lt;=AC$6+6,$J29&gt;=AC$6),IF($R$4=1,"█",IF($R$4=2,$G29,$G29*2)),"")</f>
        <v/>
      </c>
      <c r="AD29" s="23">
        <f>IF(AND($I29&lt;=AD$6+6,$J29&gt;=AD$6),IF($R$4=1,"█",IF($R$4=2,$G29,$G29*2)),"")</f>
        <v/>
      </c>
      <c r="AE29" s="23">
        <f>IF(AND($I29&lt;=AE$6+6,$J29&gt;=AE$6),IF($R$4=1,"█",IF($R$4=2,$G29,$G29*2)),"")</f>
        <v/>
      </c>
      <c r="AF29" s="23">
        <f>IF(AND($I29&lt;=AF$6+6,$J29&gt;=AF$6),IF($R$4=1,"█",IF($R$4=2,$G29,$G29*2)),"")</f>
        <v/>
      </c>
      <c r="AG29" s="23">
        <f>IF(AND($I29&lt;=AG$6+6,$J29&gt;=AG$6),IF($R$4=1,"█",IF($R$4=2,$G29,$G29*2)),"")</f>
        <v/>
      </c>
      <c r="AH29" s="23">
        <f>IF(AND($I29&lt;=AH$6+6,$J29&gt;=AH$6),IF($R$4=1,"█",IF($R$4=2,$G29,$G29*2)),"")</f>
        <v/>
      </c>
      <c r="AI29" s="23">
        <f>IF(AND($I29&lt;=AI$6+6,$J29&gt;=AI$6),IF($R$4=1,"█",IF($R$4=2,$G29,$G29*2)),"")</f>
        <v/>
      </c>
      <c r="AJ29" s="23">
        <f>IF(AND($I29&lt;=AJ$6+6,$J29&gt;=AJ$6),IF($R$4=1,"█",IF($R$4=2,$G29,$G29*2)),"")</f>
        <v/>
      </c>
      <c r="AK29" s="24">
        <f>IF(AND($I29&lt;=AK$6+6,$J29&gt;=AK$6),IF($R$4=1,"█",IF($R$4=2,$G29,$G29*2)),"")</f>
        <v/>
      </c>
      <c r="AL29" s="24">
        <f>IF(AND($I29&lt;=AL$6+6,$J29&gt;=AL$6),IF($R$4=1,"█",IF($R$4=2,$G29,$G29*2)),"")</f>
        <v/>
      </c>
      <c r="AM29" s="24">
        <f>IF(AND($I29&lt;=AM$6+6,$J29&gt;=AM$6),IF($R$4=1,"█",IF($R$4=2,$G29,$G29*2)),"")</f>
        <v/>
      </c>
      <c r="AN29" s="24">
        <f>IF(AND($I29&lt;=AN$6+6,$J29&gt;=AN$6),IF($R$4=1,"█",IF($R$4=2,$G29,$G29*2)),"")</f>
        <v/>
      </c>
      <c r="AO29" s="24">
        <f>IF(AND($I29&lt;=AO$6+6,$J29&gt;=AO$6),IF($R$4=1,"█",IF($R$4=2,$G29,$G29*2)),"")</f>
        <v/>
      </c>
      <c r="AP29" s="24">
        <f>IF(AND($I29&lt;=AP$6+6,$J29&gt;=AP$6),IF($R$4=1,"█",IF($R$4=2,$G29,$G29*2)),"")</f>
        <v/>
      </c>
      <c r="AQ29" s="24">
        <f>IF(AND($I29&lt;=AQ$6+6,$J29&gt;=AQ$6),IF($R$4=1,"█",IF($R$4=2,$G29,$G29*2)),"")</f>
        <v/>
      </c>
      <c r="AR29" s="24">
        <f>IF(AND($I29&lt;=AR$6+6,$J29&gt;=AR$6),IF($R$4=1,"█",IF($R$4=2,$G29,$G29*2)),"")</f>
        <v/>
      </c>
      <c r="AS29" s="24">
        <f>IF(AND($I29&lt;=AS$6+6,$J29&gt;=AS$6),IF($R$4=1,"█",IF($R$4=2,$G29,$G29*2)),"")</f>
        <v/>
      </c>
      <c r="AT29" s="24">
        <f>IF(AND($I29&lt;=AT$6+6,$J29&gt;=AT$6),IF($R$4=1,"█",IF($R$4=2,$G29,$G29*2)),"")</f>
        <v/>
      </c>
      <c r="AU29" s="24">
        <f>IF(AND($I29&lt;=AU$6+6,$J29&gt;=AU$6),IF($R$4=1,"█",IF($R$4=2,$G29,$G29*2)),"")</f>
        <v/>
      </c>
      <c r="AV29" s="24">
        <f>IF(AND($I29&lt;=AV$6+6,$J29&gt;=AV$6),IF($R$4=1,"█",IF($R$4=2,$G29,$G29*2)),"")</f>
        <v/>
      </c>
      <c r="AW29" s="24">
        <f>IF(AND($I29&lt;=AW$6+6,$J29&gt;=AW$6),IF($R$4=1,"█",IF($R$4=2,$G29,$G29*2)),"")</f>
        <v/>
      </c>
      <c r="AX29" s="24">
        <f>IF(AND($I29&lt;=AX$6+6,$J29&gt;=AX$6),IF($R$4=1,"█",IF($R$4=2,$G29,$G29*2)),"")</f>
        <v/>
      </c>
      <c r="AY29" s="24">
        <f>IF(AND($I29&lt;=AY$6+6,$J29&gt;=AY$6),IF($R$4=1,"█",IF($R$4=2,$G29,$G29*2)),"")</f>
        <v/>
      </c>
      <c r="AZ29" s="24">
        <f>IF(AND($I29&lt;=AZ$6+6,$J29&gt;=AZ$6),IF($R$4=1,"█",IF($R$4=2,$G29,$G29*2)),"")</f>
        <v/>
      </c>
      <c r="BA29" s="24">
        <f>IF(AND($I29&lt;=BA$6+6,$J29&gt;=BA$6),IF($R$4=1,"█",IF($R$4=2,$G29,$G29*2)),"")</f>
        <v/>
      </c>
      <c r="BB29" s="24">
        <f>IF(AND($I29&lt;=BB$6+6,$J29&gt;=BB$6),IF($R$4=1,"█",IF($R$4=2,$G29,$G29*2)),"")</f>
        <v/>
      </c>
      <c r="BC29" s="24">
        <f>IF(AND($I29&lt;=BC$6+6,$J29&gt;=BC$6),IF($R$4=1,"█",IF($R$4=2,$G29,$G29*2)),"")</f>
        <v/>
      </c>
      <c r="BD29" s="24">
        <f>IF(AND($I29&lt;=BD$6+6,$J29&gt;=BD$6),IF($R$4=1,"█",IF($R$4=2,$G29,$G29*2)),"")</f>
        <v/>
      </c>
      <c r="BF29" s="4">
        <f>BG31-1-0</f>
        <v/>
      </c>
      <c r="BG29" s="4">
        <f>BF29-H29+1</f>
        <v/>
      </c>
      <c r="BH29">
        <f>BG29-I29</f>
        <v/>
      </c>
    </row>
    <row r="30" ht="20" customHeight="1">
      <c r="A30" s="16" t="inlineStr">
        <is>
          <t>4.4</t>
        </is>
      </c>
      <c r="B30" s="17" t="inlineStr">
        <is>
          <t>Lắp đặt 30 gối chậu cao su đơn/song hướng mố trụ</t>
        </is>
      </c>
      <c r="C30" s="18" t="n">
        <v>30</v>
      </c>
      <c r="D30" s="19" t="inlineStr">
        <is>
          <t>Cái</t>
        </is>
      </c>
      <c r="E30" s="18" t="n">
        <v>1.2</v>
      </c>
      <c r="F30" s="20">
        <f>C30*E30</f>
        <v/>
      </c>
      <c r="G30" s="19" t="n">
        <v>6</v>
      </c>
      <c r="H30" s="16">
        <f>ROUNDUP(F30/G30, 0)</f>
        <v/>
      </c>
      <c r="I30" s="21">
        <f>J25+1+0</f>
        <v/>
      </c>
      <c r="J30" s="21">
        <f>I30+H30-1</f>
        <v/>
      </c>
      <c r="K30" s="19" t="inlineStr">
        <is>
          <t>3.6FS</t>
        </is>
      </c>
      <c r="L30" s="22">
        <f>IF(BH30=0,"YES","NO")</f>
        <v/>
      </c>
      <c r="M30" s="23">
        <f>IF(AND($I30&lt;=M$6+6,$J30&gt;=M$6),IF($R$4=1,"█",IF($R$4=2,$G30,$G30*2)),"")</f>
        <v/>
      </c>
      <c r="N30" s="23">
        <f>IF(AND($I30&lt;=N$6+6,$J30&gt;=N$6),IF($R$4=1,"█",IF($R$4=2,$G30,$G30*2)),"")</f>
        <v/>
      </c>
      <c r="O30" s="23">
        <f>IF(AND($I30&lt;=O$6+6,$J30&gt;=O$6),IF($R$4=1,"█",IF($R$4=2,$G30,$G30*2)),"")</f>
        <v/>
      </c>
      <c r="P30" s="23">
        <f>IF(AND($I30&lt;=P$6+6,$J30&gt;=P$6),IF($R$4=1,"█",IF($R$4=2,$G30,$G30*2)),"")</f>
        <v/>
      </c>
      <c r="Q30" s="23">
        <f>IF(AND($I30&lt;=Q$6+6,$J30&gt;=Q$6),IF($R$4=1,"█",IF($R$4=2,$G30,$G30*2)),"")</f>
        <v/>
      </c>
      <c r="R30" s="23">
        <f>IF(AND($I30&lt;=R$6+6,$J30&gt;=R$6),IF($R$4=1,"█",IF($R$4=2,$G30,$G30*2)),"")</f>
        <v/>
      </c>
      <c r="S30" s="23">
        <f>IF(AND($I30&lt;=S$6+6,$J30&gt;=S$6),IF($R$4=1,"█",IF($R$4=2,$G30,$G30*2)),"")</f>
        <v/>
      </c>
      <c r="T30" s="23">
        <f>IF(AND($I30&lt;=T$6+6,$J30&gt;=T$6),IF($R$4=1,"█",IF($R$4=2,$G30,$G30*2)),"")</f>
        <v/>
      </c>
      <c r="U30" s="23">
        <f>IF(AND($I30&lt;=U$6+6,$J30&gt;=U$6),IF($R$4=1,"█",IF($R$4=2,$G30,$G30*2)),"")</f>
        <v/>
      </c>
      <c r="V30" s="23">
        <f>IF(AND($I30&lt;=V$6+6,$J30&gt;=V$6),IF($R$4=1,"█",IF($R$4=2,$G30,$G30*2)),"")</f>
        <v/>
      </c>
      <c r="W30" s="23">
        <f>IF(AND($I30&lt;=W$6+6,$J30&gt;=W$6),IF($R$4=1,"█",IF($R$4=2,$G30,$G30*2)),"")</f>
        <v/>
      </c>
      <c r="X30" s="23">
        <f>IF(AND($I30&lt;=X$6+6,$J30&gt;=X$6),IF($R$4=1,"█",IF($R$4=2,$G30,$G30*2)),"")</f>
        <v/>
      </c>
      <c r="Y30" s="23">
        <f>IF(AND($I30&lt;=Y$6+6,$J30&gt;=Y$6),IF($R$4=1,"█",IF($R$4=2,$G30,$G30*2)),"")</f>
        <v/>
      </c>
      <c r="Z30" s="23">
        <f>IF(AND($I30&lt;=Z$6+6,$J30&gt;=Z$6),IF($R$4=1,"█",IF($R$4=2,$G30,$G30*2)),"")</f>
        <v/>
      </c>
      <c r="AA30" s="23">
        <f>IF(AND($I30&lt;=AA$6+6,$J30&gt;=AA$6),IF($R$4=1,"█",IF($R$4=2,$G30,$G30*2)),"")</f>
        <v/>
      </c>
      <c r="AB30" s="23">
        <f>IF(AND($I30&lt;=AB$6+6,$J30&gt;=AB$6),IF($R$4=1,"█",IF($R$4=2,$G30,$G30*2)),"")</f>
        <v/>
      </c>
      <c r="AC30" s="23">
        <f>IF(AND($I30&lt;=AC$6+6,$J30&gt;=AC$6),IF($R$4=1,"█",IF($R$4=2,$G30,$G30*2)),"")</f>
        <v/>
      </c>
      <c r="AD30" s="23">
        <f>IF(AND($I30&lt;=AD$6+6,$J30&gt;=AD$6),IF($R$4=1,"█",IF($R$4=2,$G30,$G30*2)),"")</f>
        <v/>
      </c>
      <c r="AE30" s="23">
        <f>IF(AND($I30&lt;=AE$6+6,$J30&gt;=AE$6),IF($R$4=1,"█",IF($R$4=2,$G30,$G30*2)),"")</f>
        <v/>
      </c>
      <c r="AF30" s="23">
        <f>IF(AND($I30&lt;=AF$6+6,$J30&gt;=AF$6),IF($R$4=1,"█",IF($R$4=2,$G30,$G30*2)),"")</f>
        <v/>
      </c>
      <c r="AG30" s="23">
        <f>IF(AND($I30&lt;=AG$6+6,$J30&gt;=AG$6),IF($R$4=1,"█",IF($R$4=2,$G30,$G30*2)),"")</f>
        <v/>
      </c>
      <c r="AH30" s="23">
        <f>IF(AND($I30&lt;=AH$6+6,$J30&gt;=AH$6),IF($R$4=1,"█",IF($R$4=2,$G30,$G30*2)),"")</f>
        <v/>
      </c>
      <c r="AI30" s="23">
        <f>IF(AND($I30&lt;=AI$6+6,$J30&gt;=AI$6),IF($R$4=1,"█",IF($R$4=2,$G30,$G30*2)),"")</f>
        <v/>
      </c>
      <c r="AJ30" s="23">
        <f>IF(AND($I30&lt;=AJ$6+6,$J30&gt;=AJ$6),IF($R$4=1,"█",IF($R$4=2,$G30,$G30*2)),"")</f>
        <v/>
      </c>
      <c r="AK30" s="24">
        <f>IF(AND($I30&lt;=AK$6+6,$J30&gt;=AK$6),IF($R$4=1,"█",IF($R$4=2,$G30,$G30*2)),"")</f>
        <v/>
      </c>
      <c r="AL30" s="24">
        <f>IF(AND($I30&lt;=AL$6+6,$J30&gt;=AL$6),IF($R$4=1,"█",IF($R$4=2,$G30,$G30*2)),"")</f>
        <v/>
      </c>
      <c r="AM30" s="24">
        <f>IF(AND($I30&lt;=AM$6+6,$J30&gt;=AM$6),IF($R$4=1,"█",IF($R$4=2,$G30,$G30*2)),"")</f>
        <v/>
      </c>
      <c r="AN30" s="24">
        <f>IF(AND($I30&lt;=AN$6+6,$J30&gt;=AN$6),IF($R$4=1,"█",IF($R$4=2,$G30,$G30*2)),"")</f>
        <v/>
      </c>
      <c r="AO30" s="24">
        <f>IF(AND($I30&lt;=AO$6+6,$J30&gt;=AO$6),IF($R$4=1,"█",IF($R$4=2,$G30,$G30*2)),"")</f>
        <v/>
      </c>
      <c r="AP30" s="24">
        <f>IF(AND($I30&lt;=AP$6+6,$J30&gt;=AP$6),IF($R$4=1,"█",IF($R$4=2,$G30,$G30*2)),"")</f>
        <v/>
      </c>
      <c r="AQ30" s="24">
        <f>IF(AND($I30&lt;=AQ$6+6,$J30&gt;=AQ$6),IF($R$4=1,"█",IF($R$4=2,$G30,$G30*2)),"")</f>
        <v/>
      </c>
      <c r="AR30" s="24">
        <f>IF(AND($I30&lt;=AR$6+6,$J30&gt;=AR$6),IF($R$4=1,"█",IF($R$4=2,$G30,$G30*2)),"")</f>
        <v/>
      </c>
      <c r="AS30" s="24">
        <f>IF(AND($I30&lt;=AS$6+6,$J30&gt;=AS$6),IF($R$4=1,"█",IF($R$4=2,$G30,$G30*2)),"")</f>
        <v/>
      </c>
      <c r="AT30" s="24">
        <f>IF(AND($I30&lt;=AT$6+6,$J30&gt;=AT$6),IF($R$4=1,"█",IF($R$4=2,$G30,$G30*2)),"")</f>
        <v/>
      </c>
      <c r="AU30" s="24">
        <f>IF(AND($I30&lt;=AU$6+6,$J30&gt;=AU$6),IF($R$4=1,"█",IF($R$4=2,$G30,$G30*2)),"")</f>
        <v/>
      </c>
      <c r="AV30" s="24">
        <f>IF(AND($I30&lt;=AV$6+6,$J30&gt;=AV$6),IF($R$4=1,"█",IF($R$4=2,$G30,$G30*2)),"")</f>
        <v/>
      </c>
      <c r="AW30" s="24">
        <f>IF(AND($I30&lt;=AW$6+6,$J30&gt;=AW$6),IF($R$4=1,"█",IF($R$4=2,$G30,$G30*2)),"")</f>
        <v/>
      </c>
      <c r="AX30" s="24">
        <f>IF(AND($I30&lt;=AX$6+6,$J30&gt;=AX$6),IF($R$4=1,"█",IF($R$4=2,$G30,$G30*2)),"")</f>
        <v/>
      </c>
      <c r="AY30" s="24">
        <f>IF(AND($I30&lt;=AY$6+6,$J30&gt;=AY$6),IF($R$4=1,"█",IF($R$4=2,$G30,$G30*2)),"")</f>
        <v/>
      </c>
      <c r="AZ30" s="24">
        <f>IF(AND($I30&lt;=AZ$6+6,$J30&gt;=AZ$6),IF($R$4=1,"█",IF($R$4=2,$G30,$G30*2)),"")</f>
        <v/>
      </c>
      <c r="BA30" s="24">
        <f>IF(AND($I30&lt;=BA$6+6,$J30&gt;=BA$6),IF($R$4=1,"█",IF($R$4=2,$G30,$G30*2)),"")</f>
        <v/>
      </c>
      <c r="BB30" s="24">
        <f>IF(AND($I30&lt;=BB$6+6,$J30&gt;=BB$6),IF($R$4=1,"█",IF($R$4=2,$G30,$G30*2)),"")</f>
        <v/>
      </c>
      <c r="BC30" s="24">
        <f>IF(AND($I30&lt;=BC$6+6,$J30&gt;=BC$6),IF($R$4=1,"█",IF($R$4=2,$G30,$G30*2)),"")</f>
        <v/>
      </c>
      <c r="BD30" s="24">
        <f>IF(AND($I30&lt;=BD$6+6,$J30&gt;=BD$6),IF($R$4=1,"█",IF($R$4=2,$G30,$G30*2)),"")</f>
        <v/>
      </c>
      <c r="BF30" s="4">
        <f>BG31-1-0</f>
        <v/>
      </c>
      <c r="BG30" s="4">
        <f>BF30-H30+1</f>
        <v/>
      </c>
      <c r="BH30">
        <f>BG30-I30</f>
        <v/>
      </c>
    </row>
    <row r="31" ht="20" customHeight="1">
      <c r="A31" s="16" t="inlineStr">
        <is>
          <t>4.5</t>
        </is>
      </c>
      <c r="B31" s="17" t="inlineStr">
        <is>
          <t>Lắp đặt đường ray P43, vận chuyển &amp; lao lắp 15 phiến dầm Super-T</t>
        </is>
      </c>
      <c r="C31" s="18" t="n">
        <v>15</v>
      </c>
      <c r="D31" s="19" t="inlineStr">
        <is>
          <t>Phiến</t>
        </is>
      </c>
      <c r="E31" s="18" t="n">
        <v>5</v>
      </c>
      <c r="F31" s="20">
        <f>C31*E31</f>
        <v/>
      </c>
      <c r="G31" s="19" t="n">
        <v>12</v>
      </c>
      <c r="H31" s="16">
        <f>ROUNDUP(F31/G31, 0)</f>
        <v/>
      </c>
      <c r="I31" s="21">
        <f>MAX(J29+1+0,J30+1+0)</f>
        <v/>
      </c>
      <c r="J31" s="21">
        <f>I31+H31-1</f>
        <v/>
      </c>
      <c r="K31" s="19" t="inlineStr">
        <is>
          <t>4.3FS,4.4FS</t>
        </is>
      </c>
      <c r="L31" s="22">
        <f>IF(BH31=0,"YES","NO")</f>
        <v/>
      </c>
      <c r="M31" s="23">
        <f>IF(AND($I31&lt;=M$6+6,$J31&gt;=M$6),IF($R$4=1,"█",IF($R$4=2,$G31,$G31*2)),"")</f>
        <v/>
      </c>
      <c r="N31" s="23">
        <f>IF(AND($I31&lt;=N$6+6,$J31&gt;=N$6),IF($R$4=1,"█",IF($R$4=2,$G31,$G31*2)),"")</f>
        <v/>
      </c>
      <c r="O31" s="23">
        <f>IF(AND($I31&lt;=O$6+6,$J31&gt;=O$6),IF($R$4=1,"█",IF($R$4=2,$G31,$G31*2)),"")</f>
        <v/>
      </c>
      <c r="P31" s="23">
        <f>IF(AND($I31&lt;=P$6+6,$J31&gt;=P$6),IF($R$4=1,"█",IF($R$4=2,$G31,$G31*2)),"")</f>
        <v/>
      </c>
      <c r="Q31" s="23">
        <f>IF(AND($I31&lt;=Q$6+6,$J31&gt;=Q$6),IF($R$4=1,"█",IF($R$4=2,$G31,$G31*2)),"")</f>
        <v/>
      </c>
      <c r="R31" s="23">
        <f>IF(AND($I31&lt;=R$6+6,$J31&gt;=R$6),IF($R$4=1,"█",IF($R$4=2,$G31,$G31*2)),"")</f>
        <v/>
      </c>
      <c r="S31" s="23">
        <f>IF(AND($I31&lt;=S$6+6,$J31&gt;=S$6),IF($R$4=1,"█",IF($R$4=2,$G31,$G31*2)),"")</f>
        <v/>
      </c>
      <c r="T31" s="23">
        <f>IF(AND($I31&lt;=T$6+6,$J31&gt;=T$6),IF($R$4=1,"█",IF($R$4=2,$G31,$G31*2)),"")</f>
        <v/>
      </c>
      <c r="U31" s="23">
        <f>IF(AND($I31&lt;=U$6+6,$J31&gt;=U$6),IF($R$4=1,"█",IF($R$4=2,$G31,$G31*2)),"")</f>
        <v/>
      </c>
      <c r="V31" s="23">
        <f>IF(AND($I31&lt;=V$6+6,$J31&gt;=V$6),IF($R$4=1,"█",IF($R$4=2,$G31,$G31*2)),"")</f>
        <v/>
      </c>
      <c r="W31" s="23">
        <f>IF(AND($I31&lt;=W$6+6,$J31&gt;=W$6),IF($R$4=1,"█",IF($R$4=2,$G31,$G31*2)),"")</f>
        <v/>
      </c>
      <c r="X31" s="23">
        <f>IF(AND($I31&lt;=X$6+6,$J31&gt;=X$6),IF($R$4=1,"█",IF($R$4=2,$G31,$G31*2)),"")</f>
        <v/>
      </c>
      <c r="Y31" s="23">
        <f>IF(AND($I31&lt;=Y$6+6,$J31&gt;=Y$6),IF($R$4=1,"█",IF($R$4=2,$G31,$G31*2)),"")</f>
        <v/>
      </c>
      <c r="Z31" s="23">
        <f>IF(AND($I31&lt;=Z$6+6,$J31&gt;=Z$6),IF($R$4=1,"█",IF($R$4=2,$G31,$G31*2)),"")</f>
        <v/>
      </c>
      <c r="AA31" s="23">
        <f>IF(AND($I31&lt;=AA$6+6,$J31&gt;=AA$6),IF($R$4=1,"█",IF($R$4=2,$G31,$G31*2)),"")</f>
        <v/>
      </c>
      <c r="AB31" s="23">
        <f>IF(AND($I31&lt;=AB$6+6,$J31&gt;=AB$6),IF($R$4=1,"█",IF($R$4=2,$G31,$G31*2)),"")</f>
        <v/>
      </c>
      <c r="AC31" s="23">
        <f>IF(AND($I31&lt;=AC$6+6,$J31&gt;=AC$6),IF($R$4=1,"█",IF($R$4=2,$G31,$G31*2)),"")</f>
        <v/>
      </c>
      <c r="AD31" s="23">
        <f>IF(AND($I31&lt;=AD$6+6,$J31&gt;=AD$6),IF($R$4=1,"█",IF($R$4=2,$G31,$G31*2)),"")</f>
        <v/>
      </c>
      <c r="AE31" s="23">
        <f>IF(AND($I31&lt;=AE$6+6,$J31&gt;=AE$6),IF($R$4=1,"█",IF($R$4=2,$G31,$G31*2)),"")</f>
        <v/>
      </c>
      <c r="AF31" s="23">
        <f>IF(AND($I31&lt;=AF$6+6,$J31&gt;=AF$6),IF($R$4=1,"█",IF($R$4=2,$G31,$G31*2)),"")</f>
        <v/>
      </c>
      <c r="AG31" s="23">
        <f>IF(AND($I31&lt;=AG$6+6,$J31&gt;=AG$6),IF($R$4=1,"█",IF($R$4=2,$G31,$G31*2)),"")</f>
        <v/>
      </c>
      <c r="AH31" s="23">
        <f>IF(AND($I31&lt;=AH$6+6,$J31&gt;=AH$6),IF($R$4=1,"█",IF($R$4=2,$G31,$G31*2)),"")</f>
        <v/>
      </c>
      <c r="AI31" s="23">
        <f>IF(AND($I31&lt;=AI$6+6,$J31&gt;=AI$6),IF($R$4=1,"█",IF($R$4=2,$G31,$G31*2)),"")</f>
        <v/>
      </c>
      <c r="AJ31" s="23">
        <f>IF(AND($I31&lt;=AJ$6+6,$J31&gt;=AJ$6),IF($R$4=1,"█",IF($R$4=2,$G31,$G31*2)),"")</f>
        <v/>
      </c>
      <c r="AK31" s="24">
        <f>IF(AND($I31&lt;=AK$6+6,$J31&gt;=AK$6),IF($R$4=1,"█",IF($R$4=2,$G31,$G31*2)),"")</f>
        <v/>
      </c>
      <c r="AL31" s="24">
        <f>IF(AND($I31&lt;=AL$6+6,$J31&gt;=AL$6),IF($R$4=1,"█",IF($R$4=2,$G31,$G31*2)),"")</f>
        <v/>
      </c>
      <c r="AM31" s="24">
        <f>IF(AND($I31&lt;=AM$6+6,$J31&gt;=AM$6),IF($R$4=1,"█",IF($R$4=2,$G31,$G31*2)),"")</f>
        <v/>
      </c>
      <c r="AN31" s="24">
        <f>IF(AND($I31&lt;=AN$6+6,$J31&gt;=AN$6),IF($R$4=1,"█",IF($R$4=2,$G31,$G31*2)),"")</f>
        <v/>
      </c>
      <c r="AO31" s="24">
        <f>IF(AND($I31&lt;=AO$6+6,$J31&gt;=AO$6),IF($R$4=1,"█",IF($R$4=2,$G31,$G31*2)),"")</f>
        <v/>
      </c>
      <c r="AP31" s="24">
        <f>IF(AND($I31&lt;=AP$6+6,$J31&gt;=AP$6),IF($R$4=1,"█",IF($R$4=2,$G31,$G31*2)),"")</f>
        <v/>
      </c>
      <c r="AQ31" s="24">
        <f>IF(AND($I31&lt;=AQ$6+6,$J31&gt;=AQ$6),IF($R$4=1,"█",IF($R$4=2,$G31,$G31*2)),"")</f>
        <v/>
      </c>
      <c r="AR31" s="24">
        <f>IF(AND($I31&lt;=AR$6+6,$J31&gt;=AR$6),IF($R$4=1,"█",IF($R$4=2,$G31,$G31*2)),"")</f>
        <v/>
      </c>
      <c r="AS31" s="24">
        <f>IF(AND($I31&lt;=AS$6+6,$J31&gt;=AS$6),IF($R$4=1,"█",IF($R$4=2,$G31,$G31*2)),"")</f>
        <v/>
      </c>
      <c r="AT31" s="24">
        <f>IF(AND($I31&lt;=AT$6+6,$J31&gt;=AT$6),IF($R$4=1,"█",IF($R$4=2,$G31,$G31*2)),"")</f>
        <v/>
      </c>
      <c r="AU31" s="24">
        <f>IF(AND($I31&lt;=AU$6+6,$J31&gt;=AU$6),IF($R$4=1,"█",IF($R$4=2,$G31,$G31*2)),"")</f>
        <v/>
      </c>
      <c r="AV31" s="24">
        <f>IF(AND($I31&lt;=AV$6+6,$J31&gt;=AV$6),IF($R$4=1,"█",IF($R$4=2,$G31,$G31*2)),"")</f>
        <v/>
      </c>
      <c r="AW31" s="24">
        <f>IF(AND($I31&lt;=AW$6+6,$J31&gt;=AW$6),IF($R$4=1,"█",IF($R$4=2,$G31,$G31*2)),"")</f>
        <v/>
      </c>
      <c r="AX31" s="24">
        <f>IF(AND($I31&lt;=AX$6+6,$J31&gt;=AX$6),IF($R$4=1,"█",IF($R$4=2,$G31,$G31*2)),"")</f>
        <v/>
      </c>
      <c r="AY31" s="24">
        <f>IF(AND($I31&lt;=AY$6+6,$J31&gt;=AY$6),IF($R$4=1,"█",IF($R$4=2,$G31,$G31*2)),"")</f>
        <v/>
      </c>
      <c r="AZ31" s="24">
        <f>IF(AND($I31&lt;=AZ$6+6,$J31&gt;=AZ$6),IF($R$4=1,"█",IF($R$4=2,$G31,$G31*2)),"")</f>
        <v/>
      </c>
      <c r="BA31" s="24">
        <f>IF(AND($I31&lt;=BA$6+6,$J31&gt;=BA$6),IF($R$4=1,"█",IF($R$4=2,$G31,$G31*2)),"")</f>
        <v/>
      </c>
      <c r="BB31" s="24">
        <f>IF(AND($I31&lt;=BB$6+6,$J31&gt;=BB$6),IF($R$4=1,"█",IF($R$4=2,$G31,$G31*2)),"")</f>
        <v/>
      </c>
      <c r="BC31" s="24">
        <f>IF(AND($I31&lt;=BC$6+6,$J31&gt;=BC$6),IF($R$4=1,"█",IF($R$4=2,$G31,$G31*2)),"")</f>
        <v/>
      </c>
      <c r="BD31" s="24">
        <f>IF(AND($I31&lt;=BD$6+6,$J31&gt;=BD$6),IF($R$4=1,"█",IF($R$4=2,$G31,$G31*2)),"")</f>
        <v/>
      </c>
      <c r="BF31" s="4">
        <f>BG33-1-0</f>
        <v/>
      </c>
      <c r="BG31" s="4">
        <f>BF31-H31+1</f>
        <v/>
      </c>
      <c r="BH31">
        <f>BG31-I31</f>
        <v/>
      </c>
    </row>
    <row r="32" ht="24" customHeight="1">
      <c r="A32" s="14" t="inlineStr">
        <is>
          <t>5.0</t>
        </is>
      </c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</row>
    <row r="33" ht="20" customHeight="1">
      <c r="A33" s="16" t="inlineStr">
        <is>
          <t>5.1</t>
        </is>
      </c>
      <c r="B33" s="17" t="inlineStr">
        <is>
          <t>Đổ bê tông dầm ngang mố, dầm ngang trụ và bản liên tục nhiệt C35</t>
        </is>
      </c>
      <c r="C33" s="18">
        <f>QS_DIEN_GIAI_CHI_TIET!J68</f>
        <v/>
      </c>
      <c r="D33" s="19" t="inlineStr">
        <is>
          <t>m3</t>
        </is>
      </c>
      <c r="E33" s="18" t="n">
        <v>0.85</v>
      </c>
      <c r="F33" s="20">
        <f>C33*E33</f>
        <v/>
      </c>
      <c r="G33" s="19" t="n">
        <v>12</v>
      </c>
      <c r="H33" s="16">
        <f>ROUNDUP(F33/G33, 0)</f>
        <v/>
      </c>
      <c r="I33" s="21">
        <f>J31+1+0</f>
        <v/>
      </c>
      <c r="J33" s="21">
        <f>I33+H33-1</f>
        <v/>
      </c>
      <c r="K33" s="19" t="inlineStr">
        <is>
          <t>4.5FS</t>
        </is>
      </c>
      <c r="L33" s="22">
        <f>IF(BH33=0,"YES","NO")</f>
        <v/>
      </c>
      <c r="M33" s="23">
        <f>IF(AND($I33&lt;=M$6+6,$J33&gt;=M$6),IF($R$4=1,"█",IF($R$4=2,$G33,$G33*2)),"")</f>
        <v/>
      </c>
      <c r="N33" s="23">
        <f>IF(AND($I33&lt;=N$6+6,$J33&gt;=N$6),IF($R$4=1,"█",IF($R$4=2,$G33,$G33*2)),"")</f>
        <v/>
      </c>
      <c r="O33" s="23">
        <f>IF(AND($I33&lt;=O$6+6,$J33&gt;=O$6),IF($R$4=1,"█",IF($R$4=2,$G33,$G33*2)),"")</f>
        <v/>
      </c>
      <c r="P33" s="23">
        <f>IF(AND($I33&lt;=P$6+6,$J33&gt;=P$6),IF($R$4=1,"█",IF($R$4=2,$G33,$G33*2)),"")</f>
        <v/>
      </c>
      <c r="Q33" s="23">
        <f>IF(AND($I33&lt;=Q$6+6,$J33&gt;=Q$6),IF($R$4=1,"█",IF($R$4=2,$G33,$G33*2)),"")</f>
        <v/>
      </c>
      <c r="R33" s="23">
        <f>IF(AND($I33&lt;=R$6+6,$J33&gt;=R$6),IF($R$4=1,"█",IF($R$4=2,$G33,$G33*2)),"")</f>
        <v/>
      </c>
      <c r="S33" s="23">
        <f>IF(AND($I33&lt;=S$6+6,$J33&gt;=S$6),IF($R$4=1,"█",IF($R$4=2,$G33,$G33*2)),"")</f>
        <v/>
      </c>
      <c r="T33" s="23">
        <f>IF(AND($I33&lt;=T$6+6,$J33&gt;=T$6),IF($R$4=1,"█",IF($R$4=2,$G33,$G33*2)),"")</f>
        <v/>
      </c>
      <c r="U33" s="23">
        <f>IF(AND($I33&lt;=U$6+6,$J33&gt;=U$6),IF($R$4=1,"█",IF($R$4=2,$G33,$G33*2)),"")</f>
        <v/>
      </c>
      <c r="V33" s="23">
        <f>IF(AND($I33&lt;=V$6+6,$J33&gt;=V$6),IF($R$4=1,"█",IF($R$4=2,$G33,$G33*2)),"")</f>
        <v/>
      </c>
      <c r="W33" s="23">
        <f>IF(AND($I33&lt;=W$6+6,$J33&gt;=W$6),IF($R$4=1,"█",IF($R$4=2,$G33,$G33*2)),"")</f>
        <v/>
      </c>
      <c r="X33" s="23">
        <f>IF(AND($I33&lt;=X$6+6,$J33&gt;=X$6),IF($R$4=1,"█",IF($R$4=2,$G33,$G33*2)),"")</f>
        <v/>
      </c>
      <c r="Y33" s="23">
        <f>IF(AND($I33&lt;=Y$6+6,$J33&gt;=Y$6),IF($R$4=1,"█",IF($R$4=2,$G33,$G33*2)),"")</f>
        <v/>
      </c>
      <c r="Z33" s="23">
        <f>IF(AND($I33&lt;=Z$6+6,$J33&gt;=Z$6),IF($R$4=1,"█",IF($R$4=2,$G33,$G33*2)),"")</f>
        <v/>
      </c>
      <c r="AA33" s="23">
        <f>IF(AND($I33&lt;=AA$6+6,$J33&gt;=AA$6),IF($R$4=1,"█",IF($R$4=2,$G33,$G33*2)),"")</f>
        <v/>
      </c>
      <c r="AB33" s="23">
        <f>IF(AND($I33&lt;=AB$6+6,$J33&gt;=AB$6),IF($R$4=1,"█",IF($R$4=2,$G33,$G33*2)),"")</f>
        <v/>
      </c>
      <c r="AC33" s="23">
        <f>IF(AND($I33&lt;=AC$6+6,$J33&gt;=AC$6),IF($R$4=1,"█",IF($R$4=2,$G33,$G33*2)),"")</f>
        <v/>
      </c>
      <c r="AD33" s="23">
        <f>IF(AND($I33&lt;=AD$6+6,$J33&gt;=AD$6),IF($R$4=1,"█",IF($R$4=2,$G33,$G33*2)),"")</f>
        <v/>
      </c>
      <c r="AE33" s="23">
        <f>IF(AND($I33&lt;=AE$6+6,$J33&gt;=AE$6),IF($R$4=1,"█",IF($R$4=2,$G33,$G33*2)),"")</f>
        <v/>
      </c>
      <c r="AF33" s="23">
        <f>IF(AND($I33&lt;=AF$6+6,$J33&gt;=AF$6),IF($R$4=1,"█",IF($R$4=2,$G33,$G33*2)),"")</f>
        <v/>
      </c>
      <c r="AG33" s="23">
        <f>IF(AND($I33&lt;=AG$6+6,$J33&gt;=AG$6),IF($R$4=1,"█",IF($R$4=2,$G33,$G33*2)),"")</f>
        <v/>
      </c>
      <c r="AH33" s="23">
        <f>IF(AND($I33&lt;=AH$6+6,$J33&gt;=AH$6),IF($R$4=1,"█",IF($R$4=2,$G33,$G33*2)),"")</f>
        <v/>
      </c>
      <c r="AI33" s="23">
        <f>IF(AND($I33&lt;=AI$6+6,$J33&gt;=AI$6),IF($R$4=1,"█",IF($R$4=2,$G33,$G33*2)),"")</f>
        <v/>
      </c>
      <c r="AJ33" s="23">
        <f>IF(AND($I33&lt;=AJ$6+6,$J33&gt;=AJ$6),IF($R$4=1,"█",IF($R$4=2,$G33,$G33*2)),"")</f>
        <v/>
      </c>
      <c r="AK33" s="24">
        <f>IF(AND($I33&lt;=AK$6+6,$J33&gt;=AK$6),IF($R$4=1,"█",IF($R$4=2,$G33,$G33*2)),"")</f>
        <v/>
      </c>
      <c r="AL33" s="24">
        <f>IF(AND($I33&lt;=AL$6+6,$J33&gt;=AL$6),IF($R$4=1,"█",IF($R$4=2,$G33,$G33*2)),"")</f>
        <v/>
      </c>
      <c r="AM33" s="24">
        <f>IF(AND($I33&lt;=AM$6+6,$J33&gt;=AM$6),IF($R$4=1,"█",IF($R$4=2,$G33,$G33*2)),"")</f>
        <v/>
      </c>
      <c r="AN33" s="24">
        <f>IF(AND($I33&lt;=AN$6+6,$J33&gt;=AN$6),IF($R$4=1,"█",IF($R$4=2,$G33,$G33*2)),"")</f>
        <v/>
      </c>
      <c r="AO33" s="24">
        <f>IF(AND($I33&lt;=AO$6+6,$J33&gt;=AO$6),IF($R$4=1,"█",IF($R$4=2,$G33,$G33*2)),"")</f>
        <v/>
      </c>
      <c r="AP33" s="24">
        <f>IF(AND($I33&lt;=AP$6+6,$J33&gt;=AP$6),IF($R$4=1,"█",IF($R$4=2,$G33,$G33*2)),"")</f>
        <v/>
      </c>
      <c r="AQ33" s="24">
        <f>IF(AND($I33&lt;=AQ$6+6,$J33&gt;=AQ$6),IF($R$4=1,"█",IF($R$4=2,$G33,$G33*2)),"")</f>
        <v/>
      </c>
      <c r="AR33" s="24">
        <f>IF(AND($I33&lt;=AR$6+6,$J33&gt;=AR$6),IF($R$4=1,"█",IF($R$4=2,$G33,$G33*2)),"")</f>
        <v/>
      </c>
      <c r="AS33" s="24">
        <f>IF(AND($I33&lt;=AS$6+6,$J33&gt;=AS$6),IF($R$4=1,"█",IF($R$4=2,$G33,$G33*2)),"")</f>
        <v/>
      </c>
      <c r="AT33" s="24">
        <f>IF(AND($I33&lt;=AT$6+6,$J33&gt;=AT$6),IF($R$4=1,"█",IF($R$4=2,$G33,$G33*2)),"")</f>
        <v/>
      </c>
      <c r="AU33" s="24">
        <f>IF(AND($I33&lt;=AU$6+6,$J33&gt;=AU$6),IF($R$4=1,"█",IF($R$4=2,$G33,$G33*2)),"")</f>
        <v/>
      </c>
      <c r="AV33" s="24">
        <f>IF(AND($I33&lt;=AV$6+6,$J33&gt;=AV$6),IF($R$4=1,"█",IF($R$4=2,$G33,$G33*2)),"")</f>
        <v/>
      </c>
      <c r="AW33" s="24">
        <f>IF(AND($I33&lt;=AW$6+6,$J33&gt;=AW$6),IF($R$4=1,"█",IF($R$4=2,$G33,$G33*2)),"")</f>
        <v/>
      </c>
      <c r="AX33" s="24">
        <f>IF(AND($I33&lt;=AX$6+6,$J33&gt;=AX$6),IF($R$4=1,"█",IF($R$4=2,$G33,$G33*2)),"")</f>
        <v/>
      </c>
      <c r="AY33" s="24">
        <f>IF(AND($I33&lt;=AY$6+6,$J33&gt;=AY$6),IF($R$4=1,"█",IF($R$4=2,$G33,$G33*2)),"")</f>
        <v/>
      </c>
      <c r="AZ33" s="24">
        <f>IF(AND($I33&lt;=AZ$6+6,$J33&gt;=AZ$6),IF($R$4=1,"█",IF($R$4=2,$G33,$G33*2)),"")</f>
        <v/>
      </c>
      <c r="BA33" s="24">
        <f>IF(AND($I33&lt;=BA$6+6,$J33&gt;=BA$6),IF($R$4=1,"█",IF($R$4=2,$G33,$G33*2)),"")</f>
        <v/>
      </c>
      <c r="BB33" s="24">
        <f>IF(AND($I33&lt;=BB$6+6,$J33&gt;=BB$6),IF($R$4=1,"█",IF($R$4=2,$G33,$G33*2)),"")</f>
        <v/>
      </c>
      <c r="BC33" s="24">
        <f>IF(AND($I33&lt;=BC$6+6,$J33&gt;=BC$6),IF($R$4=1,"█",IF($R$4=2,$G33,$G33*2)),"")</f>
        <v/>
      </c>
      <c r="BD33" s="24">
        <f>IF(AND($I33&lt;=BD$6+6,$J33&gt;=BD$6),IF($R$4=1,"█",IF($R$4=2,$G33,$G33*2)),"")</f>
        <v/>
      </c>
      <c r="BF33" s="4">
        <f>MIN(BG34-1-0,BG36-1-0)</f>
        <v/>
      </c>
      <c r="BG33" s="4">
        <f>BF33-H33+1</f>
        <v/>
      </c>
      <c r="BH33">
        <f>BG33-I33</f>
        <v/>
      </c>
    </row>
    <row r="34" ht="20" customHeight="1">
      <c r="A34" s="16" t="inlineStr">
        <is>
          <t>5.2</t>
        </is>
      </c>
      <c r="B34" s="17" t="inlineStr">
        <is>
          <t>Lắp đặt 510 tấm ván khuôn đúc sẵn &amp; lắp cốt thép bản mặt cầu C35</t>
        </is>
      </c>
      <c r="C34" s="18">
        <f>QS_DIEN_GIAI_CHI_TIET!J72</f>
        <v/>
      </c>
      <c r="D34" s="19" t="inlineStr">
        <is>
          <t>Tấm</t>
        </is>
      </c>
      <c r="E34" s="18" t="n">
        <v>0.08</v>
      </c>
      <c r="F34" s="20">
        <f>C34*E34</f>
        <v/>
      </c>
      <c r="G34" s="19" t="n">
        <v>14</v>
      </c>
      <c r="H34" s="16">
        <f>ROUNDUP(F34/G34, 0)</f>
        <v/>
      </c>
      <c r="I34" s="21">
        <f>J33+1+0</f>
        <v/>
      </c>
      <c r="J34" s="21">
        <f>I34+H34-1</f>
        <v/>
      </c>
      <c r="K34" s="19" t="inlineStr">
        <is>
          <t>5.1FS</t>
        </is>
      </c>
      <c r="L34" s="22">
        <f>IF(BH34=0,"YES","NO")</f>
        <v/>
      </c>
      <c r="M34" s="23">
        <f>IF(AND($I34&lt;=M$6+6,$J34&gt;=M$6),IF($R$4=1,"█",IF($R$4=2,$G34,$G34*2)),"")</f>
        <v/>
      </c>
      <c r="N34" s="23">
        <f>IF(AND($I34&lt;=N$6+6,$J34&gt;=N$6),IF($R$4=1,"█",IF($R$4=2,$G34,$G34*2)),"")</f>
        <v/>
      </c>
      <c r="O34" s="23">
        <f>IF(AND($I34&lt;=O$6+6,$J34&gt;=O$6),IF($R$4=1,"█",IF($R$4=2,$G34,$G34*2)),"")</f>
        <v/>
      </c>
      <c r="P34" s="23">
        <f>IF(AND($I34&lt;=P$6+6,$J34&gt;=P$6),IF($R$4=1,"█",IF($R$4=2,$G34,$G34*2)),"")</f>
        <v/>
      </c>
      <c r="Q34" s="23">
        <f>IF(AND($I34&lt;=Q$6+6,$J34&gt;=Q$6),IF($R$4=1,"█",IF($R$4=2,$G34,$G34*2)),"")</f>
        <v/>
      </c>
      <c r="R34" s="23">
        <f>IF(AND($I34&lt;=R$6+6,$J34&gt;=R$6),IF($R$4=1,"█",IF($R$4=2,$G34,$G34*2)),"")</f>
        <v/>
      </c>
      <c r="S34" s="23">
        <f>IF(AND($I34&lt;=S$6+6,$J34&gt;=S$6),IF($R$4=1,"█",IF($R$4=2,$G34,$G34*2)),"")</f>
        <v/>
      </c>
      <c r="T34" s="23">
        <f>IF(AND($I34&lt;=T$6+6,$J34&gt;=T$6),IF($R$4=1,"█",IF($R$4=2,$G34,$G34*2)),"")</f>
        <v/>
      </c>
      <c r="U34" s="23">
        <f>IF(AND($I34&lt;=U$6+6,$J34&gt;=U$6),IF($R$4=1,"█",IF($R$4=2,$G34,$G34*2)),"")</f>
        <v/>
      </c>
      <c r="V34" s="23">
        <f>IF(AND($I34&lt;=V$6+6,$J34&gt;=V$6),IF($R$4=1,"█",IF($R$4=2,$G34,$G34*2)),"")</f>
        <v/>
      </c>
      <c r="W34" s="23">
        <f>IF(AND($I34&lt;=W$6+6,$J34&gt;=W$6),IF($R$4=1,"█",IF($R$4=2,$G34,$G34*2)),"")</f>
        <v/>
      </c>
      <c r="X34" s="23">
        <f>IF(AND($I34&lt;=X$6+6,$J34&gt;=X$6),IF($R$4=1,"█",IF($R$4=2,$G34,$G34*2)),"")</f>
        <v/>
      </c>
      <c r="Y34" s="23">
        <f>IF(AND($I34&lt;=Y$6+6,$J34&gt;=Y$6),IF($R$4=1,"█",IF($R$4=2,$G34,$G34*2)),"")</f>
        <v/>
      </c>
      <c r="Z34" s="23">
        <f>IF(AND($I34&lt;=Z$6+6,$J34&gt;=Z$6),IF($R$4=1,"█",IF($R$4=2,$G34,$G34*2)),"")</f>
        <v/>
      </c>
      <c r="AA34" s="23">
        <f>IF(AND($I34&lt;=AA$6+6,$J34&gt;=AA$6),IF($R$4=1,"█",IF($R$4=2,$G34,$G34*2)),"")</f>
        <v/>
      </c>
      <c r="AB34" s="23">
        <f>IF(AND($I34&lt;=AB$6+6,$J34&gt;=AB$6),IF($R$4=1,"█",IF($R$4=2,$G34,$G34*2)),"")</f>
        <v/>
      </c>
      <c r="AC34" s="23">
        <f>IF(AND($I34&lt;=AC$6+6,$J34&gt;=AC$6),IF($R$4=1,"█",IF($R$4=2,$G34,$G34*2)),"")</f>
        <v/>
      </c>
      <c r="AD34" s="23">
        <f>IF(AND($I34&lt;=AD$6+6,$J34&gt;=AD$6),IF($R$4=1,"█",IF($R$4=2,$G34,$G34*2)),"")</f>
        <v/>
      </c>
      <c r="AE34" s="23">
        <f>IF(AND($I34&lt;=AE$6+6,$J34&gt;=AE$6),IF($R$4=1,"█",IF($R$4=2,$G34,$G34*2)),"")</f>
        <v/>
      </c>
      <c r="AF34" s="23">
        <f>IF(AND($I34&lt;=AF$6+6,$J34&gt;=AF$6),IF($R$4=1,"█",IF($R$4=2,$G34,$G34*2)),"")</f>
        <v/>
      </c>
      <c r="AG34" s="23">
        <f>IF(AND($I34&lt;=AG$6+6,$J34&gt;=AG$6),IF($R$4=1,"█",IF($R$4=2,$G34,$G34*2)),"")</f>
        <v/>
      </c>
      <c r="AH34" s="23">
        <f>IF(AND($I34&lt;=AH$6+6,$J34&gt;=AH$6),IF($R$4=1,"█",IF($R$4=2,$G34,$G34*2)),"")</f>
        <v/>
      </c>
      <c r="AI34" s="23">
        <f>IF(AND($I34&lt;=AI$6+6,$J34&gt;=AI$6),IF($R$4=1,"█",IF($R$4=2,$G34,$G34*2)),"")</f>
        <v/>
      </c>
      <c r="AJ34" s="23">
        <f>IF(AND($I34&lt;=AJ$6+6,$J34&gt;=AJ$6),IF($R$4=1,"█",IF($R$4=2,$G34,$G34*2)),"")</f>
        <v/>
      </c>
      <c r="AK34" s="24">
        <f>IF(AND($I34&lt;=AK$6+6,$J34&gt;=AK$6),IF($R$4=1,"█",IF($R$4=2,$G34,$G34*2)),"")</f>
        <v/>
      </c>
      <c r="AL34" s="24">
        <f>IF(AND($I34&lt;=AL$6+6,$J34&gt;=AL$6),IF($R$4=1,"█",IF($R$4=2,$G34,$G34*2)),"")</f>
        <v/>
      </c>
      <c r="AM34" s="24">
        <f>IF(AND($I34&lt;=AM$6+6,$J34&gt;=AM$6),IF($R$4=1,"█",IF($R$4=2,$G34,$G34*2)),"")</f>
        <v/>
      </c>
      <c r="AN34" s="24">
        <f>IF(AND($I34&lt;=AN$6+6,$J34&gt;=AN$6),IF($R$4=1,"█",IF($R$4=2,$G34,$G34*2)),"")</f>
        <v/>
      </c>
      <c r="AO34" s="24">
        <f>IF(AND($I34&lt;=AO$6+6,$J34&gt;=AO$6),IF($R$4=1,"█",IF($R$4=2,$G34,$G34*2)),"")</f>
        <v/>
      </c>
      <c r="AP34" s="24">
        <f>IF(AND($I34&lt;=AP$6+6,$J34&gt;=AP$6),IF($R$4=1,"█",IF($R$4=2,$G34,$G34*2)),"")</f>
        <v/>
      </c>
      <c r="AQ34" s="24">
        <f>IF(AND($I34&lt;=AQ$6+6,$J34&gt;=AQ$6),IF($R$4=1,"█",IF($R$4=2,$G34,$G34*2)),"")</f>
        <v/>
      </c>
      <c r="AR34" s="24">
        <f>IF(AND($I34&lt;=AR$6+6,$J34&gt;=AR$6),IF($R$4=1,"█",IF($R$4=2,$G34,$G34*2)),"")</f>
        <v/>
      </c>
      <c r="AS34" s="24">
        <f>IF(AND($I34&lt;=AS$6+6,$J34&gt;=AS$6),IF($R$4=1,"█",IF($R$4=2,$G34,$G34*2)),"")</f>
        <v/>
      </c>
      <c r="AT34" s="24">
        <f>IF(AND($I34&lt;=AT$6+6,$J34&gt;=AT$6),IF($R$4=1,"█",IF($R$4=2,$G34,$G34*2)),"")</f>
        <v/>
      </c>
      <c r="AU34" s="24">
        <f>IF(AND($I34&lt;=AU$6+6,$J34&gt;=AU$6),IF($R$4=1,"█",IF($R$4=2,$G34,$G34*2)),"")</f>
        <v/>
      </c>
      <c r="AV34" s="24">
        <f>IF(AND($I34&lt;=AV$6+6,$J34&gt;=AV$6),IF($R$4=1,"█",IF($R$4=2,$G34,$G34*2)),"")</f>
        <v/>
      </c>
      <c r="AW34" s="24">
        <f>IF(AND($I34&lt;=AW$6+6,$J34&gt;=AW$6),IF($R$4=1,"█",IF($R$4=2,$G34,$G34*2)),"")</f>
        <v/>
      </c>
      <c r="AX34" s="24">
        <f>IF(AND($I34&lt;=AX$6+6,$J34&gt;=AX$6),IF($R$4=1,"█",IF($R$4=2,$G34,$G34*2)),"")</f>
        <v/>
      </c>
      <c r="AY34" s="24">
        <f>IF(AND($I34&lt;=AY$6+6,$J34&gt;=AY$6),IF($R$4=1,"█",IF($R$4=2,$G34,$G34*2)),"")</f>
        <v/>
      </c>
      <c r="AZ34" s="24">
        <f>IF(AND($I34&lt;=AZ$6+6,$J34&gt;=AZ$6),IF($R$4=1,"█",IF($R$4=2,$G34,$G34*2)),"")</f>
        <v/>
      </c>
      <c r="BA34" s="24">
        <f>IF(AND($I34&lt;=BA$6+6,$J34&gt;=BA$6),IF($R$4=1,"█",IF($R$4=2,$G34,$G34*2)),"")</f>
        <v/>
      </c>
      <c r="BB34" s="24">
        <f>IF(AND($I34&lt;=BB$6+6,$J34&gt;=BB$6),IF($R$4=1,"█",IF($R$4=2,$G34,$G34*2)),"")</f>
        <v/>
      </c>
      <c r="BC34" s="24">
        <f>IF(AND($I34&lt;=BC$6+6,$J34&gt;=BC$6),IF($R$4=1,"█",IF($R$4=2,$G34,$G34*2)),"")</f>
        <v/>
      </c>
      <c r="BD34" s="24">
        <f>IF(AND($I34&lt;=BD$6+6,$J34&gt;=BD$6),IF($R$4=1,"█",IF($R$4=2,$G34,$G34*2)),"")</f>
        <v/>
      </c>
      <c r="BF34" s="4">
        <f>BG35-1-0</f>
        <v/>
      </c>
      <c r="BG34" s="4">
        <f>BF34-H34+1</f>
        <v/>
      </c>
      <c r="BH34">
        <f>BG34-I34</f>
        <v/>
      </c>
    </row>
    <row r="35" ht="20" customHeight="1">
      <c r="A35" s="16" t="inlineStr">
        <is>
          <t>5.3</t>
        </is>
      </c>
      <c r="B35" s="17" t="inlineStr">
        <is>
          <t>Đổ bê tông bản mặt cầu tại chỗ C35 (dày tối thiểu 180mm)</t>
        </is>
      </c>
      <c r="C35" s="18">
        <f>QS_DIEN_GIAI_CHI_TIET!J74</f>
        <v/>
      </c>
      <c r="D35" s="19" t="inlineStr">
        <is>
          <t>m3</t>
        </is>
      </c>
      <c r="E35" s="18" t="n">
        <v>0.45</v>
      </c>
      <c r="F35" s="20">
        <f>C35*E35</f>
        <v/>
      </c>
      <c r="G35" s="19" t="n">
        <v>18</v>
      </c>
      <c r="H35" s="16">
        <f>ROUNDUP(F35/G35, 0)</f>
        <v/>
      </c>
      <c r="I35" s="21">
        <f>J34+1+0</f>
        <v/>
      </c>
      <c r="J35" s="21">
        <f>I35+H35-1</f>
        <v/>
      </c>
      <c r="K35" s="19" t="inlineStr">
        <is>
          <t>5.2FS</t>
        </is>
      </c>
      <c r="L35" s="22">
        <f>IF(BH35=0,"YES","NO")</f>
        <v/>
      </c>
      <c r="M35" s="23">
        <f>IF(AND($I35&lt;=M$6+6,$J35&gt;=M$6),IF($R$4=1,"█",IF($R$4=2,$G35,$G35*2)),"")</f>
        <v/>
      </c>
      <c r="N35" s="23">
        <f>IF(AND($I35&lt;=N$6+6,$J35&gt;=N$6),IF($R$4=1,"█",IF($R$4=2,$G35,$G35*2)),"")</f>
        <v/>
      </c>
      <c r="O35" s="23">
        <f>IF(AND($I35&lt;=O$6+6,$J35&gt;=O$6),IF($R$4=1,"█",IF($R$4=2,$G35,$G35*2)),"")</f>
        <v/>
      </c>
      <c r="P35" s="23">
        <f>IF(AND($I35&lt;=P$6+6,$J35&gt;=P$6),IF($R$4=1,"█",IF($R$4=2,$G35,$G35*2)),"")</f>
        <v/>
      </c>
      <c r="Q35" s="23">
        <f>IF(AND($I35&lt;=Q$6+6,$J35&gt;=Q$6),IF($R$4=1,"█",IF($R$4=2,$G35,$G35*2)),"")</f>
        <v/>
      </c>
      <c r="R35" s="23">
        <f>IF(AND($I35&lt;=R$6+6,$J35&gt;=R$6),IF($R$4=1,"█",IF($R$4=2,$G35,$G35*2)),"")</f>
        <v/>
      </c>
      <c r="S35" s="23">
        <f>IF(AND($I35&lt;=S$6+6,$J35&gt;=S$6),IF($R$4=1,"█",IF($R$4=2,$G35,$G35*2)),"")</f>
        <v/>
      </c>
      <c r="T35" s="23">
        <f>IF(AND($I35&lt;=T$6+6,$J35&gt;=T$6),IF($R$4=1,"█",IF($R$4=2,$G35,$G35*2)),"")</f>
        <v/>
      </c>
      <c r="U35" s="23">
        <f>IF(AND($I35&lt;=U$6+6,$J35&gt;=U$6),IF($R$4=1,"█",IF($R$4=2,$G35,$G35*2)),"")</f>
        <v/>
      </c>
      <c r="V35" s="23">
        <f>IF(AND($I35&lt;=V$6+6,$J35&gt;=V$6),IF($R$4=1,"█",IF($R$4=2,$G35,$G35*2)),"")</f>
        <v/>
      </c>
      <c r="W35" s="23">
        <f>IF(AND($I35&lt;=W$6+6,$J35&gt;=W$6),IF($R$4=1,"█",IF($R$4=2,$G35,$G35*2)),"")</f>
        <v/>
      </c>
      <c r="X35" s="23">
        <f>IF(AND($I35&lt;=X$6+6,$J35&gt;=X$6),IF($R$4=1,"█",IF($R$4=2,$G35,$G35*2)),"")</f>
        <v/>
      </c>
      <c r="Y35" s="23">
        <f>IF(AND($I35&lt;=Y$6+6,$J35&gt;=Y$6),IF($R$4=1,"█",IF($R$4=2,$G35,$G35*2)),"")</f>
        <v/>
      </c>
      <c r="Z35" s="23">
        <f>IF(AND($I35&lt;=Z$6+6,$J35&gt;=Z$6),IF($R$4=1,"█",IF($R$4=2,$G35,$G35*2)),"")</f>
        <v/>
      </c>
      <c r="AA35" s="23">
        <f>IF(AND($I35&lt;=AA$6+6,$J35&gt;=AA$6),IF($R$4=1,"█",IF($R$4=2,$G35,$G35*2)),"")</f>
        <v/>
      </c>
      <c r="AB35" s="23">
        <f>IF(AND($I35&lt;=AB$6+6,$J35&gt;=AB$6),IF($R$4=1,"█",IF($R$4=2,$G35,$G35*2)),"")</f>
        <v/>
      </c>
      <c r="AC35" s="23">
        <f>IF(AND($I35&lt;=AC$6+6,$J35&gt;=AC$6),IF($R$4=1,"█",IF($R$4=2,$G35,$G35*2)),"")</f>
        <v/>
      </c>
      <c r="AD35" s="23">
        <f>IF(AND($I35&lt;=AD$6+6,$J35&gt;=AD$6),IF($R$4=1,"█",IF($R$4=2,$G35,$G35*2)),"")</f>
        <v/>
      </c>
      <c r="AE35" s="23">
        <f>IF(AND($I35&lt;=AE$6+6,$J35&gt;=AE$6),IF($R$4=1,"█",IF($R$4=2,$G35,$G35*2)),"")</f>
        <v/>
      </c>
      <c r="AF35" s="23">
        <f>IF(AND($I35&lt;=AF$6+6,$J35&gt;=AF$6),IF($R$4=1,"█",IF($R$4=2,$G35,$G35*2)),"")</f>
        <v/>
      </c>
      <c r="AG35" s="23">
        <f>IF(AND($I35&lt;=AG$6+6,$J35&gt;=AG$6),IF($R$4=1,"█",IF($R$4=2,$G35,$G35*2)),"")</f>
        <v/>
      </c>
      <c r="AH35" s="23">
        <f>IF(AND($I35&lt;=AH$6+6,$J35&gt;=AH$6),IF($R$4=1,"█",IF($R$4=2,$G35,$G35*2)),"")</f>
        <v/>
      </c>
      <c r="AI35" s="23">
        <f>IF(AND($I35&lt;=AI$6+6,$J35&gt;=AI$6),IF($R$4=1,"█",IF($R$4=2,$G35,$G35*2)),"")</f>
        <v/>
      </c>
      <c r="AJ35" s="23">
        <f>IF(AND($I35&lt;=AJ$6+6,$J35&gt;=AJ$6),IF($R$4=1,"█",IF($R$4=2,$G35,$G35*2)),"")</f>
        <v/>
      </c>
      <c r="AK35" s="24">
        <f>IF(AND($I35&lt;=AK$6+6,$J35&gt;=AK$6),IF($R$4=1,"█",IF($R$4=2,$G35,$G35*2)),"")</f>
        <v/>
      </c>
      <c r="AL35" s="24">
        <f>IF(AND($I35&lt;=AL$6+6,$J35&gt;=AL$6),IF($R$4=1,"█",IF($R$4=2,$G35,$G35*2)),"")</f>
        <v/>
      </c>
      <c r="AM35" s="24">
        <f>IF(AND($I35&lt;=AM$6+6,$J35&gt;=AM$6),IF($R$4=1,"█",IF($R$4=2,$G35,$G35*2)),"")</f>
        <v/>
      </c>
      <c r="AN35" s="24">
        <f>IF(AND($I35&lt;=AN$6+6,$J35&gt;=AN$6),IF($R$4=1,"█",IF($R$4=2,$G35,$G35*2)),"")</f>
        <v/>
      </c>
      <c r="AO35" s="24">
        <f>IF(AND($I35&lt;=AO$6+6,$J35&gt;=AO$6),IF($R$4=1,"█",IF($R$4=2,$G35,$G35*2)),"")</f>
        <v/>
      </c>
      <c r="AP35" s="24">
        <f>IF(AND($I35&lt;=AP$6+6,$J35&gt;=AP$6),IF($R$4=1,"█",IF($R$4=2,$G35,$G35*2)),"")</f>
        <v/>
      </c>
      <c r="AQ35" s="24">
        <f>IF(AND($I35&lt;=AQ$6+6,$J35&gt;=AQ$6),IF($R$4=1,"█",IF($R$4=2,$G35,$G35*2)),"")</f>
        <v/>
      </c>
      <c r="AR35" s="24">
        <f>IF(AND($I35&lt;=AR$6+6,$J35&gt;=AR$6),IF($R$4=1,"█",IF($R$4=2,$G35,$G35*2)),"")</f>
        <v/>
      </c>
      <c r="AS35" s="24">
        <f>IF(AND($I35&lt;=AS$6+6,$J35&gt;=AS$6),IF($R$4=1,"█",IF($R$4=2,$G35,$G35*2)),"")</f>
        <v/>
      </c>
      <c r="AT35" s="24">
        <f>IF(AND($I35&lt;=AT$6+6,$J35&gt;=AT$6),IF($R$4=1,"█",IF($R$4=2,$G35,$G35*2)),"")</f>
        <v/>
      </c>
      <c r="AU35" s="24">
        <f>IF(AND($I35&lt;=AU$6+6,$J35&gt;=AU$6),IF($R$4=1,"█",IF($R$4=2,$G35,$G35*2)),"")</f>
        <v/>
      </c>
      <c r="AV35" s="24">
        <f>IF(AND($I35&lt;=AV$6+6,$J35&gt;=AV$6),IF($R$4=1,"█",IF($R$4=2,$G35,$G35*2)),"")</f>
        <v/>
      </c>
      <c r="AW35" s="24">
        <f>IF(AND($I35&lt;=AW$6+6,$J35&gt;=AW$6),IF($R$4=1,"█",IF($R$4=2,$G35,$G35*2)),"")</f>
        <v/>
      </c>
      <c r="AX35" s="24">
        <f>IF(AND($I35&lt;=AX$6+6,$J35&gt;=AX$6),IF($R$4=1,"█",IF($R$4=2,$G35,$G35*2)),"")</f>
        <v/>
      </c>
      <c r="AY35" s="24">
        <f>IF(AND($I35&lt;=AY$6+6,$J35&gt;=AY$6),IF($R$4=1,"█",IF($R$4=2,$G35,$G35*2)),"")</f>
        <v/>
      </c>
      <c r="AZ35" s="24">
        <f>IF(AND($I35&lt;=AZ$6+6,$J35&gt;=AZ$6),IF($R$4=1,"█",IF($R$4=2,$G35,$G35*2)),"")</f>
        <v/>
      </c>
      <c r="BA35" s="24">
        <f>IF(AND($I35&lt;=BA$6+6,$J35&gt;=BA$6),IF($R$4=1,"█",IF($R$4=2,$G35,$G35*2)),"")</f>
        <v/>
      </c>
      <c r="BB35" s="24">
        <f>IF(AND($I35&lt;=BB$6+6,$J35&gt;=BB$6),IF($R$4=1,"█",IF($R$4=2,$G35,$G35*2)),"")</f>
        <v/>
      </c>
      <c r="BC35" s="24">
        <f>IF(AND($I35&lt;=BC$6+6,$J35&gt;=BC$6),IF($R$4=1,"█",IF($R$4=2,$G35,$G35*2)),"")</f>
        <v/>
      </c>
      <c r="BD35" s="24">
        <f>IF(AND($I35&lt;=BD$6+6,$J35&gt;=BD$6),IF($R$4=1,"█",IF($R$4=2,$G35,$G35*2)),"")</f>
        <v/>
      </c>
      <c r="BF35" s="4">
        <f>MIN(BG37-1-0,BG38-1-0)</f>
        <v/>
      </c>
      <c r="BG35" s="4">
        <f>BF35-H35+1</f>
        <v/>
      </c>
      <c r="BH35">
        <f>BG35-I35</f>
        <v/>
      </c>
    </row>
    <row r="36" ht="20" customHeight="1">
      <c r="A36" s="16" t="inlineStr">
        <is>
          <t>5.4</t>
        </is>
      </c>
      <c r="B36" s="17" t="inlineStr">
        <is>
          <t>Đổ bê tông bản quá độ C25 sau 2 mố &amp; đắp đất chọn lọc K98</t>
        </is>
      </c>
      <c r="C36" s="18" t="n">
        <v>2</v>
      </c>
      <c r="D36" s="19" t="inlineStr">
        <is>
          <t>Bản</t>
        </is>
      </c>
      <c r="E36" s="18" t="n">
        <v>24</v>
      </c>
      <c r="F36" s="20">
        <f>C36*E36</f>
        <v/>
      </c>
      <c r="G36" s="19" t="n">
        <v>10</v>
      </c>
      <c r="H36" s="16">
        <f>ROUNDUP(F36/G36, 0)</f>
        <v/>
      </c>
      <c r="I36" s="21">
        <f>J33+1+0</f>
        <v/>
      </c>
      <c r="J36" s="21">
        <f>I36+H36-1</f>
        <v/>
      </c>
      <c r="K36" s="19" t="inlineStr">
        <is>
          <t>5.1FS</t>
        </is>
      </c>
      <c r="L36" s="19">
        <f>IF(BH36=0,"YES","NO")</f>
        <v/>
      </c>
      <c r="M36" s="23">
        <f>IF(AND($I36&lt;=M$6+6,$J36&gt;=M$6),IF($R$4=1,"█",IF($R$4=2,$G36,$G36*2)),"")</f>
        <v/>
      </c>
      <c r="N36" s="23">
        <f>IF(AND($I36&lt;=N$6+6,$J36&gt;=N$6),IF($R$4=1,"█",IF($R$4=2,$G36,$G36*2)),"")</f>
        <v/>
      </c>
      <c r="O36" s="23">
        <f>IF(AND($I36&lt;=O$6+6,$J36&gt;=O$6),IF($R$4=1,"█",IF($R$4=2,$G36,$G36*2)),"")</f>
        <v/>
      </c>
      <c r="P36" s="23">
        <f>IF(AND($I36&lt;=P$6+6,$J36&gt;=P$6),IF($R$4=1,"█",IF($R$4=2,$G36,$G36*2)),"")</f>
        <v/>
      </c>
      <c r="Q36" s="23">
        <f>IF(AND($I36&lt;=Q$6+6,$J36&gt;=Q$6),IF($R$4=1,"█",IF($R$4=2,$G36,$G36*2)),"")</f>
        <v/>
      </c>
      <c r="R36" s="23">
        <f>IF(AND($I36&lt;=R$6+6,$J36&gt;=R$6),IF($R$4=1,"█",IF($R$4=2,$G36,$G36*2)),"")</f>
        <v/>
      </c>
      <c r="S36" s="23">
        <f>IF(AND($I36&lt;=S$6+6,$J36&gt;=S$6),IF($R$4=1,"█",IF($R$4=2,$G36,$G36*2)),"")</f>
        <v/>
      </c>
      <c r="T36" s="23">
        <f>IF(AND($I36&lt;=T$6+6,$J36&gt;=T$6),IF($R$4=1,"█",IF($R$4=2,$G36,$G36*2)),"")</f>
        <v/>
      </c>
      <c r="U36" s="23">
        <f>IF(AND($I36&lt;=U$6+6,$J36&gt;=U$6),IF($R$4=1,"█",IF($R$4=2,$G36,$G36*2)),"")</f>
        <v/>
      </c>
      <c r="V36" s="23">
        <f>IF(AND($I36&lt;=V$6+6,$J36&gt;=V$6),IF($R$4=1,"█",IF($R$4=2,$G36,$G36*2)),"")</f>
        <v/>
      </c>
      <c r="W36" s="23">
        <f>IF(AND($I36&lt;=W$6+6,$J36&gt;=W$6),IF($R$4=1,"█",IF($R$4=2,$G36,$G36*2)),"")</f>
        <v/>
      </c>
      <c r="X36" s="23">
        <f>IF(AND($I36&lt;=X$6+6,$J36&gt;=X$6),IF($R$4=1,"█",IF($R$4=2,$G36,$G36*2)),"")</f>
        <v/>
      </c>
      <c r="Y36" s="23">
        <f>IF(AND($I36&lt;=Y$6+6,$J36&gt;=Y$6),IF($R$4=1,"█",IF($R$4=2,$G36,$G36*2)),"")</f>
        <v/>
      </c>
      <c r="Z36" s="23">
        <f>IF(AND($I36&lt;=Z$6+6,$J36&gt;=Z$6),IF($R$4=1,"█",IF($R$4=2,$G36,$G36*2)),"")</f>
        <v/>
      </c>
      <c r="AA36" s="23">
        <f>IF(AND($I36&lt;=AA$6+6,$J36&gt;=AA$6),IF($R$4=1,"█",IF($R$4=2,$G36,$G36*2)),"")</f>
        <v/>
      </c>
      <c r="AB36" s="23">
        <f>IF(AND($I36&lt;=AB$6+6,$J36&gt;=AB$6),IF($R$4=1,"█",IF($R$4=2,$G36,$G36*2)),"")</f>
        <v/>
      </c>
      <c r="AC36" s="23">
        <f>IF(AND($I36&lt;=AC$6+6,$J36&gt;=AC$6),IF($R$4=1,"█",IF($R$4=2,$G36,$G36*2)),"")</f>
        <v/>
      </c>
      <c r="AD36" s="23">
        <f>IF(AND($I36&lt;=AD$6+6,$J36&gt;=AD$6),IF($R$4=1,"█",IF($R$4=2,$G36,$G36*2)),"")</f>
        <v/>
      </c>
      <c r="AE36" s="23">
        <f>IF(AND($I36&lt;=AE$6+6,$J36&gt;=AE$6),IF($R$4=1,"█",IF($R$4=2,$G36,$G36*2)),"")</f>
        <v/>
      </c>
      <c r="AF36" s="23">
        <f>IF(AND($I36&lt;=AF$6+6,$J36&gt;=AF$6),IF($R$4=1,"█",IF($R$4=2,$G36,$G36*2)),"")</f>
        <v/>
      </c>
      <c r="AG36" s="23">
        <f>IF(AND($I36&lt;=AG$6+6,$J36&gt;=AG$6),IF($R$4=1,"█",IF($R$4=2,$G36,$G36*2)),"")</f>
        <v/>
      </c>
      <c r="AH36" s="23">
        <f>IF(AND($I36&lt;=AH$6+6,$J36&gt;=AH$6),IF($R$4=1,"█",IF($R$4=2,$G36,$G36*2)),"")</f>
        <v/>
      </c>
      <c r="AI36" s="23">
        <f>IF(AND($I36&lt;=AI$6+6,$J36&gt;=AI$6),IF($R$4=1,"█",IF($R$4=2,$G36,$G36*2)),"")</f>
        <v/>
      </c>
      <c r="AJ36" s="23">
        <f>IF(AND($I36&lt;=AJ$6+6,$J36&gt;=AJ$6),IF($R$4=1,"█",IF($R$4=2,$G36,$G36*2)),"")</f>
        <v/>
      </c>
      <c r="AK36" s="24">
        <f>IF(AND($I36&lt;=AK$6+6,$J36&gt;=AK$6),IF($R$4=1,"█",IF($R$4=2,$G36,$G36*2)),"")</f>
        <v/>
      </c>
      <c r="AL36" s="24">
        <f>IF(AND($I36&lt;=AL$6+6,$J36&gt;=AL$6),IF($R$4=1,"█",IF($R$4=2,$G36,$G36*2)),"")</f>
        <v/>
      </c>
      <c r="AM36" s="24">
        <f>IF(AND($I36&lt;=AM$6+6,$J36&gt;=AM$6),IF($R$4=1,"█",IF($R$4=2,$G36,$G36*2)),"")</f>
        <v/>
      </c>
      <c r="AN36" s="24">
        <f>IF(AND($I36&lt;=AN$6+6,$J36&gt;=AN$6),IF($R$4=1,"█",IF($R$4=2,$G36,$G36*2)),"")</f>
        <v/>
      </c>
      <c r="AO36" s="24">
        <f>IF(AND($I36&lt;=AO$6+6,$J36&gt;=AO$6),IF($R$4=1,"█",IF($R$4=2,$G36,$G36*2)),"")</f>
        <v/>
      </c>
      <c r="AP36" s="24">
        <f>IF(AND($I36&lt;=AP$6+6,$J36&gt;=AP$6),IF($R$4=1,"█",IF($R$4=2,$G36,$G36*2)),"")</f>
        <v/>
      </c>
      <c r="AQ36" s="24">
        <f>IF(AND($I36&lt;=AQ$6+6,$J36&gt;=AQ$6),IF($R$4=1,"█",IF($R$4=2,$G36,$G36*2)),"")</f>
        <v/>
      </c>
      <c r="AR36" s="24">
        <f>IF(AND($I36&lt;=AR$6+6,$J36&gt;=AR$6),IF($R$4=1,"█",IF($R$4=2,$G36,$G36*2)),"")</f>
        <v/>
      </c>
      <c r="AS36" s="24">
        <f>IF(AND($I36&lt;=AS$6+6,$J36&gt;=AS$6),IF($R$4=1,"█",IF($R$4=2,$G36,$G36*2)),"")</f>
        <v/>
      </c>
      <c r="AT36" s="24">
        <f>IF(AND($I36&lt;=AT$6+6,$J36&gt;=AT$6),IF($R$4=1,"█",IF($R$4=2,$G36,$G36*2)),"")</f>
        <v/>
      </c>
      <c r="AU36" s="24">
        <f>IF(AND($I36&lt;=AU$6+6,$J36&gt;=AU$6),IF($R$4=1,"█",IF($R$4=2,$G36,$G36*2)),"")</f>
        <v/>
      </c>
      <c r="AV36" s="24">
        <f>IF(AND($I36&lt;=AV$6+6,$J36&gt;=AV$6),IF($R$4=1,"█",IF($R$4=2,$G36,$G36*2)),"")</f>
        <v/>
      </c>
      <c r="AW36" s="24">
        <f>IF(AND($I36&lt;=AW$6+6,$J36&gt;=AW$6),IF($R$4=1,"█",IF($R$4=2,$G36,$G36*2)),"")</f>
        <v/>
      </c>
      <c r="AX36" s="24">
        <f>IF(AND($I36&lt;=AX$6+6,$J36&gt;=AX$6),IF($R$4=1,"█",IF($R$4=2,$G36,$G36*2)),"")</f>
        <v/>
      </c>
      <c r="AY36" s="24">
        <f>IF(AND($I36&lt;=AY$6+6,$J36&gt;=AY$6),IF($R$4=1,"█",IF($R$4=2,$G36,$G36*2)),"")</f>
        <v/>
      </c>
      <c r="AZ36" s="24">
        <f>IF(AND($I36&lt;=AZ$6+6,$J36&gt;=AZ$6),IF($R$4=1,"█",IF($R$4=2,$G36,$G36*2)),"")</f>
        <v/>
      </c>
      <c r="BA36" s="24">
        <f>IF(AND($I36&lt;=BA$6+6,$J36&gt;=BA$6),IF($R$4=1,"█",IF($R$4=2,$G36,$G36*2)),"")</f>
        <v/>
      </c>
      <c r="BB36" s="24">
        <f>IF(AND($I36&lt;=BB$6+6,$J36&gt;=BB$6),IF($R$4=1,"█",IF($R$4=2,$G36,$G36*2)),"")</f>
        <v/>
      </c>
      <c r="BC36" s="24">
        <f>IF(AND($I36&lt;=BC$6+6,$J36&gt;=BC$6),IF($R$4=1,"█",IF($R$4=2,$G36,$G36*2)),"")</f>
        <v/>
      </c>
      <c r="BD36" s="24">
        <f>IF(AND($I36&lt;=BD$6+6,$J36&gt;=BD$6),IF($R$4=1,"█",IF($R$4=2,$G36,$G36*2)),"")</f>
        <v/>
      </c>
      <c r="BF36" s="4">
        <f>MAX($J$8:$J$42)</f>
        <v/>
      </c>
      <c r="BG36" s="4">
        <f>BF36-H36+1</f>
        <v/>
      </c>
      <c r="BH36">
        <f>BG36-I36</f>
        <v/>
      </c>
    </row>
    <row r="37" ht="20" customHeight="1">
      <c r="A37" s="16" t="inlineStr">
        <is>
          <t>5.5</t>
        </is>
      </c>
      <c r="B37" s="17" t="inlineStr">
        <is>
          <t>Lắp đặt khe co giãn răng lược thép D=100mm &amp; ống thoát nước PVC D150</t>
        </is>
      </c>
      <c r="C37" s="18" t="n">
        <v>2</v>
      </c>
      <c r="D37" s="19" t="inlineStr">
        <is>
          <t>Bộ</t>
        </is>
      </c>
      <c r="E37" s="18" t="n">
        <v>18</v>
      </c>
      <c r="F37" s="20">
        <f>C37*E37</f>
        <v/>
      </c>
      <c r="G37" s="19" t="n">
        <v>6</v>
      </c>
      <c r="H37" s="16">
        <f>ROUNDUP(F37/G37, 0)</f>
        <v/>
      </c>
      <c r="I37" s="21">
        <f>J35+1+0</f>
        <v/>
      </c>
      <c r="J37" s="21">
        <f>I37+H37-1</f>
        <v/>
      </c>
      <c r="K37" s="19" t="inlineStr">
        <is>
          <t>5.3FS</t>
        </is>
      </c>
      <c r="L37" s="22">
        <f>IF(BH37=0,"YES","NO")</f>
        <v/>
      </c>
      <c r="M37" s="23">
        <f>IF(AND($I37&lt;=M$6+6,$J37&gt;=M$6),IF($R$4=1,"█",IF($R$4=2,$G37,$G37*2)),"")</f>
        <v/>
      </c>
      <c r="N37" s="23">
        <f>IF(AND($I37&lt;=N$6+6,$J37&gt;=N$6),IF($R$4=1,"█",IF($R$4=2,$G37,$G37*2)),"")</f>
        <v/>
      </c>
      <c r="O37" s="23">
        <f>IF(AND($I37&lt;=O$6+6,$J37&gt;=O$6),IF($R$4=1,"█",IF($R$4=2,$G37,$G37*2)),"")</f>
        <v/>
      </c>
      <c r="P37" s="23">
        <f>IF(AND($I37&lt;=P$6+6,$J37&gt;=P$6),IF($R$4=1,"█",IF($R$4=2,$G37,$G37*2)),"")</f>
        <v/>
      </c>
      <c r="Q37" s="23">
        <f>IF(AND($I37&lt;=Q$6+6,$J37&gt;=Q$6),IF($R$4=1,"█",IF($R$4=2,$G37,$G37*2)),"")</f>
        <v/>
      </c>
      <c r="R37" s="23">
        <f>IF(AND($I37&lt;=R$6+6,$J37&gt;=R$6),IF($R$4=1,"█",IF($R$4=2,$G37,$G37*2)),"")</f>
        <v/>
      </c>
      <c r="S37" s="23">
        <f>IF(AND($I37&lt;=S$6+6,$J37&gt;=S$6),IF($R$4=1,"█",IF($R$4=2,$G37,$G37*2)),"")</f>
        <v/>
      </c>
      <c r="T37" s="23">
        <f>IF(AND($I37&lt;=T$6+6,$J37&gt;=T$6),IF($R$4=1,"█",IF($R$4=2,$G37,$G37*2)),"")</f>
        <v/>
      </c>
      <c r="U37" s="23">
        <f>IF(AND($I37&lt;=U$6+6,$J37&gt;=U$6),IF($R$4=1,"█",IF($R$4=2,$G37,$G37*2)),"")</f>
        <v/>
      </c>
      <c r="V37" s="23">
        <f>IF(AND($I37&lt;=V$6+6,$J37&gt;=V$6),IF($R$4=1,"█",IF($R$4=2,$G37,$G37*2)),"")</f>
        <v/>
      </c>
      <c r="W37" s="23">
        <f>IF(AND($I37&lt;=W$6+6,$J37&gt;=W$6),IF($R$4=1,"█",IF($R$4=2,$G37,$G37*2)),"")</f>
        <v/>
      </c>
      <c r="X37" s="23">
        <f>IF(AND($I37&lt;=X$6+6,$J37&gt;=X$6),IF($R$4=1,"█",IF($R$4=2,$G37,$G37*2)),"")</f>
        <v/>
      </c>
      <c r="Y37" s="23">
        <f>IF(AND($I37&lt;=Y$6+6,$J37&gt;=Y$6),IF($R$4=1,"█",IF($R$4=2,$G37,$G37*2)),"")</f>
        <v/>
      </c>
      <c r="Z37" s="23">
        <f>IF(AND($I37&lt;=Z$6+6,$J37&gt;=Z$6),IF($R$4=1,"█",IF($R$4=2,$G37,$G37*2)),"")</f>
        <v/>
      </c>
      <c r="AA37" s="23">
        <f>IF(AND($I37&lt;=AA$6+6,$J37&gt;=AA$6),IF($R$4=1,"█",IF($R$4=2,$G37,$G37*2)),"")</f>
        <v/>
      </c>
      <c r="AB37" s="23">
        <f>IF(AND($I37&lt;=AB$6+6,$J37&gt;=AB$6),IF($R$4=1,"█",IF($R$4=2,$G37,$G37*2)),"")</f>
        <v/>
      </c>
      <c r="AC37" s="23">
        <f>IF(AND($I37&lt;=AC$6+6,$J37&gt;=AC$6),IF($R$4=1,"█",IF($R$4=2,$G37,$G37*2)),"")</f>
        <v/>
      </c>
      <c r="AD37" s="23">
        <f>IF(AND($I37&lt;=AD$6+6,$J37&gt;=AD$6),IF($R$4=1,"█",IF($R$4=2,$G37,$G37*2)),"")</f>
        <v/>
      </c>
      <c r="AE37" s="23">
        <f>IF(AND($I37&lt;=AE$6+6,$J37&gt;=AE$6),IF($R$4=1,"█",IF($R$4=2,$G37,$G37*2)),"")</f>
        <v/>
      </c>
      <c r="AF37" s="23">
        <f>IF(AND($I37&lt;=AF$6+6,$J37&gt;=AF$6),IF($R$4=1,"█",IF($R$4=2,$G37,$G37*2)),"")</f>
        <v/>
      </c>
      <c r="AG37" s="23">
        <f>IF(AND($I37&lt;=AG$6+6,$J37&gt;=AG$6),IF($R$4=1,"█",IF($R$4=2,$G37,$G37*2)),"")</f>
        <v/>
      </c>
      <c r="AH37" s="23">
        <f>IF(AND($I37&lt;=AH$6+6,$J37&gt;=AH$6),IF($R$4=1,"█",IF($R$4=2,$G37,$G37*2)),"")</f>
        <v/>
      </c>
      <c r="AI37" s="23">
        <f>IF(AND($I37&lt;=AI$6+6,$J37&gt;=AI$6),IF($R$4=1,"█",IF($R$4=2,$G37,$G37*2)),"")</f>
        <v/>
      </c>
      <c r="AJ37" s="23">
        <f>IF(AND($I37&lt;=AJ$6+6,$J37&gt;=AJ$6),IF($R$4=1,"█",IF($R$4=2,$G37,$G37*2)),"")</f>
        <v/>
      </c>
      <c r="AK37" s="24">
        <f>IF(AND($I37&lt;=AK$6+6,$J37&gt;=AK$6),IF($R$4=1,"█",IF($R$4=2,$G37,$G37*2)),"")</f>
        <v/>
      </c>
      <c r="AL37" s="24">
        <f>IF(AND($I37&lt;=AL$6+6,$J37&gt;=AL$6),IF($R$4=1,"█",IF($R$4=2,$G37,$G37*2)),"")</f>
        <v/>
      </c>
      <c r="AM37" s="24">
        <f>IF(AND($I37&lt;=AM$6+6,$J37&gt;=AM$6),IF($R$4=1,"█",IF($R$4=2,$G37,$G37*2)),"")</f>
        <v/>
      </c>
      <c r="AN37" s="24">
        <f>IF(AND($I37&lt;=AN$6+6,$J37&gt;=AN$6),IF($R$4=1,"█",IF($R$4=2,$G37,$G37*2)),"")</f>
        <v/>
      </c>
      <c r="AO37" s="24">
        <f>IF(AND($I37&lt;=AO$6+6,$J37&gt;=AO$6),IF($R$4=1,"█",IF($R$4=2,$G37,$G37*2)),"")</f>
        <v/>
      </c>
      <c r="AP37" s="24">
        <f>IF(AND($I37&lt;=AP$6+6,$J37&gt;=AP$6),IF($R$4=1,"█",IF($R$4=2,$G37,$G37*2)),"")</f>
        <v/>
      </c>
      <c r="AQ37" s="24">
        <f>IF(AND($I37&lt;=AQ$6+6,$J37&gt;=AQ$6),IF($R$4=1,"█",IF($R$4=2,$G37,$G37*2)),"")</f>
        <v/>
      </c>
      <c r="AR37" s="24">
        <f>IF(AND($I37&lt;=AR$6+6,$J37&gt;=AR$6),IF($R$4=1,"█",IF($R$4=2,$G37,$G37*2)),"")</f>
        <v/>
      </c>
      <c r="AS37" s="24">
        <f>IF(AND($I37&lt;=AS$6+6,$J37&gt;=AS$6),IF($R$4=1,"█",IF($R$4=2,$G37,$G37*2)),"")</f>
        <v/>
      </c>
      <c r="AT37" s="24">
        <f>IF(AND($I37&lt;=AT$6+6,$J37&gt;=AT$6),IF($R$4=1,"█",IF($R$4=2,$G37,$G37*2)),"")</f>
        <v/>
      </c>
      <c r="AU37" s="24">
        <f>IF(AND($I37&lt;=AU$6+6,$J37&gt;=AU$6),IF($R$4=1,"█",IF($R$4=2,$G37,$G37*2)),"")</f>
        <v/>
      </c>
      <c r="AV37" s="24">
        <f>IF(AND($I37&lt;=AV$6+6,$J37&gt;=AV$6),IF($R$4=1,"█",IF($R$4=2,$G37,$G37*2)),"")</f>
        <v/>
      </c>
      <c r="AW37" s="24">
        <f>IF(AND($I37&lt;=AW$6+6,$J37&gt;=AW$6),IF($R$4=1,"█",IF($R$4=2,$G37,$G37*2)),"")</f>
        <v/>
      </c>
      <c r="AX37" s="24">
        <f>IF(AND($I37&lt;=AX$6+6,$J37&gt;=AX$6),IF($R$4=1,"█",IF($R$4=2,$G37,$G37*2)),"")</f>
        <v/>
      </c>
      <c r="AY37" s="24">
        <f>IF(AND($I37&lt;=AY$6+6,$J37&gt;=AY$6),IF($R$4=1,"█",IF($R$4=2,$G37,$G37*2)),"")</f>
        <v/>
      </c>
      <c r="AZ37" s="24">
        <f>IF(AND($I37&lt;=AZ$6+6,$J37&gt;=AZ$6),IF($R$4=1,"█",IF($R$4=2,$G37,$G37*2)),"")</f>
        <v/>
      </c>
      <c r="BA37" s="24">
        <f>IF(AND($I37&lt;=BA$6+6,$J37&gt;=BA$6),IF($R$4=1,"█",IF($R$4=2,$G37,$G37*2)),"")</f>
        <v/>
      </c>
      <c r="BB37" s="24">
        <f>IF(AND($I37&lt;=BB$6+6,$J37&gt;=BB$6),IF($R$4=1,"█",IF($R$4=2,$G37,$G37*2)),"")</f>
        <v/>
      </c>
      <c r="BC37" s="24">
        <f>IF(AND($I37&lt;=BC$6+6,$J37&gt;=BC$6),IF($R$4=1,"█",IF($R$4=2,$G37,$G37*2)),"")</f>
        <v/>
      </c>
      <c r="BD37" s="24">
        <f>IF(AND($I37&lt;=BD$6+6,$J37&gt;=BD$6),IF($R$4=1,"█",IF($R$4=2,$G37,$G37*2)),"")</f>
        <v/>
      </c>
      <c r="BF37" s="4">
        <f>BG39-1-0</f>
        <v/>
      </c>
      <c r="BG37" s="4">
        <f>BF37-H37+1</f>
        <v/>
      </c>
      <c r="BH37">
        <f>BG37-I37</f>
        <v/>
      </c>
    </row>
    <row r="38" ht="20" customHeight="1">
      <c r="A38" s="16" t="inlineStr">
        <is>
          <t>5.6</t>
        </is>
      </c>
      <c r="B38" s="17" t="inlineStr">
        <is>
          <t>Đổ bê tông gờ lan can C25 &amp; lắp dựng tay vịn thép mạ kẽm</t>
        </is>
      </c>
      <c r="C38" s="18" t="n">
        <v>260.8</v>
      </c>
      <c r="D38" s="19" t="inlineStr">
        <is>
          <t>m</t>
        </is>
      </c>
      <c r="E38" s="18" t="n">
        <v>0.35</v>
      </c>
      <c r="F38" s="20">
        <f>C38*E38</f>
        <v/>
      </c>
      <c r="G38" s="19" t="n">
        <v>10</v>
      </c>
      <c r="H38" s="16">
        <f>ROUNDUP(F38/G38, 0)</f>
        <v/>
      </c>
      <c r="I38" s="21">
        <f>J35+1+0</f>
        <v/>
      </c>
      <c r="J38" s="21">
        <f>I38+H38-1</f>
        <v/>
      </c>
      <c r="K38" s="19" t="inlineStr">
        <is>
          <t>5.3FS</t>
        </is>
      </c>
      <c r="L38" s="19">
        <f>IF(BH38=0,"YES","NO")</f>
        <v/>
      </c>
      <c r="M38" s="23">
        <f>IF(AND($I38&lt;=M$6+6,$J38&gt;=M$6),IF($R$4=1,"█",IF($R$4=2,$G38,$G38*2)),"")</f>
        <v/>
      </c>
      <c r="N38" s="23">
        <f>IF(AND($I38&lt;=N$6+6,$J38&gt;=N$6),IF($R$4=1,"█",IF($R$4=2,$G38,$G38*2)),"")</f>
        <v/>
      </c>
      <c r="O38" s="23">
        <f>IF(AND($I38&lt;=O$6+6,$J38&gt;=O$6),IF($R$4=1,"█",IF($R$4=2,$G38,$G38*2)),"")</f>
        <v/>
      </c>
      <c r="P38" s="23">
        <f>IF(AND($I38&lt;=P$6+6,$J38&gt;=P$6),IF($R$4=1,"█",IF($R$4=2,$G38,$G38*2)),"")</f>
        <v/>
      </c>
      <c r="Q38" s="23">
        <f>IF(AND($I38&lt;=Q$6+6,$J38&gt;=Q$6),IF($R$4=1,"█",IF($R$4=2,$G38,$G38*2)),"")</f>
        <v/>
      </c>
      <c r="R38" s="23">
        <f>IF(AND($I38&lt;=R$6+6,$J38&gt;=R$6),IF($R$4=1,"█",IF($R$4=2,$G38,$G38*2)),"")</f>
        <v/>
      </c>
      <c r="S38" s="23">
        <f>IF(AND($I38&lt;=S$6+6,$J38&gt;=S$6),IF($R$4=1,"█",IF($R$4=2,$G38,$G38*2)),"")</f>
        <v/>
      </c>
      <c r="T38" s="23">
        <f>IF(AND($I38&lt;=T$6+6,$J38&gt;=T$6),IF($R$4=1,"█",IF($R$4=2,$G38,$G38*2)),"")</f>
        <v/>
      </c>
      <c r="U38" s="23">
        <f>IF(AND($I38&lt;=U$6+6,$J38&gt;=U$6),IF($R$4=1,"█",IF($R$4=2,$G38,$G38*2)),"")</f>
        <v/>
      </c>
      <c r="V38" s="23">
        <f>IF(AND($I38&lt;=V$6+6,$J38&gt;=V$6),IF($R$4=1,"█",IF($R$4=2,$G38,$G38*2)),"")</f>
        <v/>
      </c>
      <c r="W38" s="23">
        <f>IF(AND($I38&lt;=W$6+6,$J38&gt;=W$6),IF($R$4=1,"█",IF($R$4=2,$G38,$G38*2)),"")</f>
        <v/>
      </c>
      <c r="X38" s="23">
        <f>IF(AND($I38&lt;=X$6+6,$J38&gt;=X$6),IF($R$4=1,"█",IF($R$4=2,$G38,$G38*2)),"")</f>
        <v/>
      </c>
      <c r="Y38" s="23">
        <f>IF(AND($I38&lt;=Y$6+6,$J38&gt;=Y$6),IF($R$4=1,"█",IF($R$4=2,$G38,$G38*2)),"")</f>
        <v/>
      </c>
      <c r="Z38" s="23">
        <f>IF(AND($I38&lt;=Z$6+6,$J38&gt;=Z$6),IF($R$4=1,"█",IF($R$4=2,$G38,$G38*2)),"")</f>
        <v/>
      </c>
      <c r="AA38" s="23">
        <f>IF(AND($I38&lt;=AA$6+6,$J38&gt;=AA$6),IF($R$4=1,"█",IF($R$4=2,$G38,$G38*2)),"")</f>
        <v/>
      </c>
      <c r="AB38" s="23">
        <f>IF(AND($I38&lt;=AB$6+6,$J38&gt;=AB$6),IF($R$4=1,"█",IF($R$4=2,$G38,$G38*2)),"")</f>
        <v/>
      </c>
      <c r="AC38" s="23">
        <f>IF(AND($I38&lt;=AC$6+6,$J38&gt;=AC$6),IF($R$4=1,"█",IF($R$4=2,$G38,$G38*2)),"")</f>
        <v/>
      </c>
      <c r="AD38" s="23">
        <f>IF(AND($I38&lt;=AD$6+6,$J38&gt;=AD$6),IF($R$4=1,"█",IF($R$4=2,$G38,$G38*2)),"")</f>
        <v/>
      </c>
      <c r="AE38" s="23">
        <f>IF(AND($I38&lt;=AE$6+6,$J38&gt;=AE$6),IF($R$4=1,"█",IF($R$4=2,$G38,$G38*2)),"")</f>
        <v/>
      </c>
      <c r="AF38" s="23">
        <f>IF(AND($I38&lt;=AF$6+6,$J38&gt;=AF$6),IF($R$4=1,"█",IF($R$4=2,$G38,$G38*2)),"")</f>
        <v/>
      </c>
      <c r="AG38" s="23">
        <f>IF(AND($I38&lt;=AG$6+6,$J38&gt;=AG$6),IF($R$4=1,"█",IF($R$4=2,$G38,$G38*2)),"")</f>
        <v/>
      </c>
      <c r="AH38" s="23">
        <f>IF(AND($I38&lt;=AH$6+6,$J38&gt;=AH$6),IF($R$4=1,"█",IF($R$4=2,$G38,$G38*2)),"")</f>
        <v/>
      </c>
      <c r="AI38" s="23">
        <f>IF(AND($I38&lt;=AI$6+6,$J38&gt;=AI$6),IF($R$4=1,"█",IF($R$4=2,$G38,$G38*2)),"")</f>
        <v/>
      </c>
      <c r="AJ38" s="23">
        <f>IF(AND($I38&lt;=AJ$6+6,$J38&gt;=AJ$6),IF($R$4=1,"█",IF($R$4=2,$G38,$G38*2)),"")</f>
        <v/>
      </c>
      <c r="AK38" s="24">
        <f>IF(AND($I38&lt;=AK$6+6,$J38&gt;=AK$6),IF($R$4=1,"█",IF($R$4=2,$G38,$G38*2)),"")</f>
        <v/>
      </c>
      <c r="AL38" s="24">
        <f>IF(AND($I38&lt;=AL$6+6,$J38&gt;=AL$6),IF($R$4=1,"█",IF($R$4=2,$G38,$G38*2)),"")</f>
        <v/>
      </c>
      <c r="AM38" s="24">
        <f>IF(AND($I38&lt;=AM$6+6,$J38&gt;=AM$6),IF($R$4=1,"█",IF($R$4=2,$G38,$G38*2)),"")</f>
        <v/>
      </c>
      <c r="AN38" s="24">
        <f>IF(AND($I38&lt;=AN$6+6,$J38&gt;=AN$6),IF($R$4=1,"█",IF($R$4=2,$G38,$G38*2)),"")</f>
        <v/>
      </c>
      <c r="AO38" s="24">
        <f>IF(AND($I38&lt;=AO$6+6,$J38&gt;=AO$6),IF($R$4=1,"█",IF($R$4=2,$G38,$G38*2)),"")</f>
        <v/>
      </c>
      <c r="AP38" s="24">
        <f>IF(AND($I38&lt;=AP$6+6,$J38&gt;=AP$6),IF($R$4=1,"█",IF($R$4=2,$G38,$G38*2)),"")</f>
        <v/>
      </c>
      <c r="AQ38" s="24">
        <f>IF(AND($I38&lt;=AQ$6+6,$J38&gt;=AQ$6),IF($R$4=1,"█",IF($R$4=2,$G38,$G38*2)),"")</f>
        <v/>
      </c>
      <c r="AR38" s="24">
        <f>IF(AND($I38&lt;=AR$6+6,$J38&gt;=AR$6),IF($R$4=1,"█",IF($R$4=2,$G38,$G38*2)),"")</f>
        <v/>
      </c>
      <c r="AS38" s="24">
        <f>IF(AND($I38&lt;=AS$6+6,$J38&gt;=AS$6),IF($R$4=1,"█",IF($R$4=2,$G38,$G38*2)),"")</f>
        <v/>
      </c>
      <c r="AT38" s="24">
        <f>IF(AND($I38&lt;=AT$6+6,$J38&gt;=AT$6),IF($R$4=1,"█",IF($R$4=2,$G38,$G38*2)),"")</f>
        <v/>
      </c>
      <c r="AU38" s="24">
        <f>IF(AND($I38&lt;=AU$6+6,$J38&gt;=AU$6),IF($R$4=1,"█",IF($R$4=2,$G38,$G38*2)),"")</f>
        <v/>
      </c>
      <c r="AV38" s="24">
        <f>IF(AND($I38&lt;=AV$6+6,$J38&gt;=AV$6),IF($R$4=1,"█",IF($R$4=2,$G38,$G38*2)),"")</f>
        <v/>
      </c>
      <c r="AW38" s="24">
        <f>IF(AND($I38&lt;=AW$6+6,$J38&gt;=AW$6),IF($R$4=1,"█",IF($R$4=2,$G38,$G38*2)),"")</f>
        <v/>
      </c>
      <c r="AX38" s="24">
        <f>IF(AND($I38&lt;=AX$6+6,$J38&gt;=AX$6),IF($R$4=1,"█",IF($R$4=2,$G38,$G38*2)),"")</f>
        <v/>
      </c>
      <c r="AY38" s="24">
        <f>IF(AND($I38&lt;=AY$6+6,$J38&gt;=AY$6),IF($R$4=1,"█",IF($R$4=2,$G38,$G38*2)),"")</f>
        <v/>
      </c>
      <c r="AZ38" s="24">
        <f>IF(AND($I38&lt;=AZ$6+6,$J38&gt;=AZ$6),IF($R$4=1,"█",IF($R$4=2,$G38,$G38*2)),"")</f>
        <v/>
      </c>
      <c r="BA38" s="24">
        <f>IF(AND($I38&lt;=BA$6+6,$J38&gt;=BA$6),IF($R$4=1,"█",IF($R$4=2,$G38,$G38*2)),"")</f>
        <v/>
      </c>
      <c r="BB38" s="24">
        <f>IF(AND($I38&lt;=BB$6+6,$J38&gt;=BB$6),IF($R$4=1,"█",IF($R$4=2,$G38,$G38*2)),"")</f>
        <v/>
      </c>
      <c r="BC38" s="24">
        <f>IF(AND($I38&lt;=BC$6+6,$J38&gt;=BC$6),IF($R$4=1,"█",IF($R$4=2,$G38,$G38*2)),"")</f>
        <v/>
      </c>
      <c r="BD38" s="24">
        <f>IF(AND($I38&lt;=BD$6+6,$J38&gt;=BD$6),IF($R$4=1,"█",IF($R$4=2,$G38,$G38*2)),"")</f>
        <v/>
      </c>
      <c r="BF38" s="4">
        <f>MAX($J$8:$J$42)</f>
        <v/>
      </c>
      <c r="BG38" s="4">
        <f>BF38-H38+1</f>
        <v/>
      </c>
      <c r="BH38">
        <f>BG38-I38</f>
        <v/>
      </c>
    </row>
    <row r="39" ht="20" customHeight="1">
      <c r="A39" s="16" t="inlineStr">
        <is>
          <t>5.7</t>
        </is>
      </c>
      <c r="B39" s="17" t="inlineStr">
        <is>
          <t>Phun lớp màng chống thấm &amp; thảm bê tông nhựa C16 mặt cầu dày 7cm</t>
        </is>
      </c>
      <c r="C39" s="18">
        <f>QS_DIEN_GIAI_CHI_TIET!J87</f>
        <v/>
      </c>
      <c r="D39" s="19" t="inlineStr">
        <is>
          <t>m2</t>
        </is>
      </c>
      <c r="E39" s="18" t="n">
        <v>0.04</v>
      </c>
      <c r="F39" s="20">
        <f>C39*E39</f>
        <v/>
      </c>
      <c r="G39" s="19" t="n">
        <v>12</v>
      </c>
      <c r="H39" s="16">
        <f>ROUNDUP(F39/G39, 0)</f>
        <v/>
      </c>
      <c r="I39" s="21">
        <f>J37+1+0</f>
        <v/>
      </c>
      <c r="J39" s="21">
        <f>I39+H39-1</f>
        <v/>
      </c>
      <c r="K39" s="19" t="inlineStr">
        <is>
          <t>5.5FS</t>
        </is>
      </c>
      <c r="L39" s="22">
        <f>IF(BH39=0,"YES","NO")</f>
        <v/>
      </c>
      <c r="M39" s="23">
        <f>IF(AND($I39&lt;=M$6+6,$J39&gt;=M$6),IF($R$4=1,"█",IF($R$4=2,$G39,$G39*2)),"")</f>
        <v/>
      </c>
      <c r="N39" s="23">
        <f>IF(AND($I39&lt;=N$6+6,$J39&gt;=N$6),IF($R$4=1,"█",IF($R$4=2,$G39,$G39*2)),"")</f>
        <v/>
      </c>
      <c r="O39" s="23">
        <f>IF(AND($I39&lt;=O$6+6,$J39&gt;=O$6),IF($R$4=1,"█",IF($R$4=2,$G39,$G39*2)),"")</f>
        <v/>
      </c>
      <c r="P39" s="23">
        <f>IF(AND($I39&lt;=P$6+6,$J39&gt;=P$6),IF($R$4=1,"█",IF($R$4=2,$G39,$G39*2)),"")</f>
        <v/>
      </c>
      <c r="Q39" s="23">
        <f>IF(AND($I39&lt;=Q$6+6,$J39&gt;=Q$6),IF($R$4=1,"█",IF($R$4=2,$G39,$G39*2)),"")</f>
        <v/>
      </c>
      <c r="R39" s="23">
        <f>IF(AND($I39&lt;=R$6+6,$J39&gt;=R$6),IF($R$4=1,"█",IF($R$4=2,$G39,$G39*2)),"")</f>
        <v/>
      </c>
      <c r="S39" s="23">
        <f>IF(AND($I39&lt;=S$6+6,$J39&gt;=S$6),IF($R$4=1,"█",IF($R$4=2,$G39,$G39*2)),"")</f>
        <v/>
      </c>
      <c r="T39" s="23">
        <f>IF(AND($I39&lt;=T$6+6,$J39&gt;=T$6),IF($R$4=1,"█",IF($R$4=2,$G39,$G39*2)),"")</f>
        <v/>
      </c>
      <c r="U39" s="23">
        <f>IF(AND($I39&lt;=U$6+6,$J39&gt;=U$6),IF($R$4=1,"█",IF($R$4=2,$G39,$G39*2)),"")</f>
        <v/>
      </c>
      <c r="V39" s="23">
        <f>IF(AND($I39&lt;=V$6+6,$J39&gt;=V$6),IF($R$4=1,"█",IF($R$4=2,$G39,$G39*2)),"")</f>
        <v/>
      </c>
      <c r="W39" s="23">
        <f>IF(AND($I39&lt;=W$6+6,$J39&gt;=W$6),IF($R$4=1,"█",IF($R$4=2,$G39,$G39*2)),"")</f>
        <v/>
      </c>
      <c r="X39" s="23">
        <f>IF(AND($I39&lt;=X$6+6,$J39&gt;=X$6),IF($R$4=1,"█",IF($R$4=2,$G39,$G39*2)),"")</f>
        <v/>
      </c>
      <c r="Y39" s="23">
        <f>IF(AND($I39&lt;=Y$6+6,$J39&gt;=Y$6),IF($R$4=1,"█",IF($R$4=2,$G39,$G39*2)),"")</f>
        <v/>
      </c>
      <c r="Z39" s="23">
        <f>IF(AND($I39&lt;=Z$6+6,$J39&gt;=Z$6),IF($R$4=1,"█",IF($R$4=2,$G39,$G39*2)),"")</f>
        <v/>
      </c>
      <c r="AA39" s="23">
        <f>IF(AND($I39&lt;=AA$6+6,$J39&gt;=AA$6),IF($R$4=1,"█",IF($R$4=2,$G39,$G39*2)),"")</f>
        <v/>
      </c>
      <c r="AB39" s="23">
        <f>IF(AND($I39&lt;=AB$6+6,$J39&gt;=AB$6),IF($R$4=1,"█",IF($R$4=2,$G39,$G39*2)),"")</f>
        <v/>
      </c>
      <c r="AC39" s="23">
        <f>IF(AND($I39&lt;=AC$6+6,$J39&gt;=AC$6),IF($R$4=1,"█",IF($R$4=2,$G39,$G39*2)),"")</f>
        <v/>
      </c>
      <c r="AD39" s="23">
        <f>IF(AND($I39&lt;=AD$6+6,$J39&gt;=AD$6),IF($R$4=1,"█",IF($R$4=2,$G39,$G39*2)),"")</f>
        <v/>
      </c>
      <c r="AE39" s="23">
        <f>IF(AND($I39&lt;=AE$6+6,$J39&gt;=AE$6),IF($R$4=1,"█",IF($R$4=2,$G39,$G39*2)),"")</f>
        <v/>
      </c>
      <c r="AF39" s="23">
        <f>IF(AND($I39&lt;=AF$6+6,$J39&gt;=AF$6),IF($R$4=1,"█",IF($R$4=2,$G39,$G39*2)),"")</f>
        <v/>
      </c>
      <c r="AG39" s="23">
        <f>IF(AND($I39&lt;=AG$6+6,$J39&gt;=AG$6),IF($R$4=1,"█",IF($R$4=2,$G39,$G39*2)),"")</f>
        <v/>
      </c>
      <c r="AH39" s="23">
        <f>IF(AND($I39&lt;=AH$6+6,$J39&gt;=AH$6),IF($R$4=1,"█",IF($R$4=2,$G39,$G39*2)),"")</f>
        <v/>
      </c>
      <c r="AI39" s="23">
        <f>IF(AND($I39&lt;=AI$6+6,$J39&gt;=AI$6),IF($R$4=1,"█",IF($R$4=2,$G39,$G39*2)),"")</f>
        <v/>
      </c>
      <c r="AJ39" s="23">
        <f>IF(AND($I39&lt;=AJ$6+6,$J39&gt;=AJ$6),IF($R$4=1,"█",IF($R$4=2,$G39,$G39*2)),"")</f>
        <v/>
      </c>
      <c r="AK39" s="24">
        <f>IF(AND($I39&lt;=AK$6+6,$J39&gt;=AK$6),IF($R$4=1,"█",IF($R$4=2,$G39,$G39*2)),"")</f>
        <v/>
      </c>
      <c r="AL39" s="24">
        <f>IF(AND($I39&lt;=AL$6+6,$J39&gt;=AL$6),IF($R$4=1,"█",IF($R$4=2,$G39,$G39*2)),"")</f>
        <v/>
      </c>
      <c r="AM39" s="24">
        <f>IF(AND($I39&lt;=AM$6+6,$J39&gt;=AM$6),IF($R$4=1,"█",IF($R$4=2,$G39,$G39*2)),"")</f>
        <v/>
      </c>
      <c r="AN39" s="24">
        <f>IF(AND($I39&lt;=AN$6+6,$J39&gt;=AN$6),IF($R$4=1,"█",IF($R$4=2,$G39,$G39*2)),"")</f>
        <v/>
      </c>
      <c r="AO39" s="24">
        <f>IF(AND($I39&lt;=AO$6+6,$J39&gt;=AO$6),IF($R$4=1,"█",IF($R$4=2,$G39,$G39*2)),"")</f>
        <v/>
      </c>
      <c r="AP39" s="24">
        <f>IF(AND($I39&lt;=AP$6+6,$J39&gt;=AP$6),IF($R$4=1,"█",IF($R$4=2,$G39,$G39*2)),"")</f>
        <v/>
      </c>
      <c r="AQ39" s="24">
        <f>IF(AND($I39&lt;=AQ$6+6,$J39&gt;=AQ$6),IF($R$4=1,"█",IF($R$4=2,$G39,$G39*2)),"")</f>
        <v/>
      </c>
      <c r="AR39" s="24">
        <f>IF(AND($I39&lt;=AR$6+6,$J39&gt;=AR$6),IF($R$4=1,"█",IF($R$4=2,$G39,$G39*2)),"")</f>
        <v/>
      </c>
      <c r="AS39" s="24">
        <f>IF(AND($I39&lt;=AS$6+6,$J39&gt;=AS$6),IF($R$4=1,"█",IF($R$4=2,$G39,$G39*2)),"")</f>
        <v/>
      </c>
      <c r="AT39" s="24">
        <f>IF(AND($I39&lt;=AT$6+6,$J39&gt;=AT$6),IF($R$4=1,"█",IF($R$4=2,$G39,$G39*2)),"")</f>
        <v/>
      </c>
      <c r="AU39" s="24">
        <f>IF(AND($I39&lt;=AU$6+6,$J39&gt;=AU$6),IF($R$4=1,"█",IF($R$4=2,$G39,$G39*2)),"")</f>
        <v/>
      </c>
      <c r="AV39" s="24">
        <f>IF(AND($I39&lt;=AV$6+6,$J39&gt;=AV$6),IF($R$4=1,"█",IF($R$4=2,$G39,$G39*2)),"")</f>
        <v/>
      </c>
      <c r="AW39" s="24">
        <f>IF(AND($I39&lt;=AW$6+6,$J39&gt;=AW$6),IF($R$4=1,"█",IF($R$4=2,$G39,$G39*2)),"")</f>
        <v/>
      </c>
      <c r="AX39" s="24">
        <f>IF(AND($I39&lt;=AX$6+6,$J39&gt;=AX$6),IF($R$4=1,"█",IF($R$4=2,$G39,$G39*2)),"")</f>
        <v/>
      </c>
      <c r="AY39" s="24">
        <f>IF(AND($I39&lt;=AY$6+6,$J39&gt;=AY$6),IF($R$4=1,"█",IF($R$4=2,$G39,$G39*2)),"")</f>
        <v/>
      </c>
      <c r="AZ39" s="24">
        <f>IF(AND($I39&lt;=AZ$6+6,$J39&gt;=AZ$6),IF($R$4=1,"█",IF($R$4=2,$G39,$G39*2)),"")</f>
        <v/>
      </c>
      <c r="BA39" s="24">
        <f>IF(AND($I39&lt;=BA$6+6,$J39&gt;=BA$6),IF($R$4=1,"█",IF($R$4=2,$G39,$G39*2)),"")</f>
        <v/>
      </c>
      <c r="BB39" s="24">
        <f>IF(AND($I39&lt;=BB$6+6,$J39&gt;=BB$6),IF($R$4=1,"█",IF($R$4=2,$G39,$G39*2)),"")</f>
        <v/>
      </c>
      <c r="BC39" s="24">
        <f>IF(AND($I39&lt;=BC$6+6,$J39&gt;=BC$6),IF($R$4=1,"█",IF($R$4=2,$G39,$G39*2)),"")</f>
        <v/>
      </c>
      <c r="BD39" s="24">
        <f>IF(AND($I39&lt;=BD$6+6,$J39&gt;=BD$6),IF($R$4=1,"█",IF($R$4=2,$G39,$G39*2)),"")</f>
        <v/>
      </c>
      <c r="BF39" s="4">
        <f>BG41-1-0</f>
        <v/>
      </c>
      <c r="BG39" s="4">
        <f>BF39-H39+1</f>
        <v/>
      </c>
      <c r="BH39">
        <f>BG39-I39</f>
        <v/>
      </c>
    </row>
    <row r="40" ht="24" customHeight="1">
      <c r="A40" s="14" t="inlineStr">
        <is>
          <t>6.0</t>
        </is>
      </c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</row>
    <row r="41" ht="20" customHeight="1">
      <c r="A41" s="16" t="inlineStr">
        <is>
          <t>6.1</t>
        </is>
      </c>
      <c r="B41" s="17" t="inlineStr">
        <is>
          <t>Thử tải tĩnh/động cầu bằng đoàn xe tải nặng, đo dao động &amp; võng dầm</t>
        </is>
      </c>
      <c r="C41" s="18" t="n">
        <v>1</v>
      </c>
      <c r="D41" s="19" t="inlineStr">
        <is>
          <t>Gói</t>
        </is>
      </c>
      <c r="E41" s="18" t="n">
        <v>32</v>
      </c>
      <c r="F41" s="20">
        <f>C41*E41</f>
        <v/>
      </c>
      <c r="G41" s="19" t="n">
        <v>8</v>
      </c>
      <c r="H41" s="16">
        <f>ROUNDUP(F41/G41, 0)</f>
        <v/>
      </c>
      <c r="I41" s="21">
        <f>J39+1+0</f>
        <v/>
      </c>
      <c r="J41" s="21">
        <f>I41+H41-1</f>
        <v/>
      </c>
      <c r="K41" s="19" t="inlineStr">
        <is>
          <t>5.7FS</t>
        </is>
      </c>
      <c r="L41" s="22">
        <f>IF(BH41=0,"YES","NO")</f>
        <v/>
      </c>
      <c r="M41" s="23">
        <f>IF(AND($I41&lt;=M$6+6,$J41&gt;=M$6),IF($R$4=1,"█",IF($R$4=2,$G41,$G41*2)),"")</f>
        <v/>
      </c>
      <c r="N41" s="23">
        <f>IF(AND($I41&lt;=N$6+6,$J41&gt;=N$6),IF($R$4=1,"█",IF($R$4=2,$G41,$G41*2)),"")</f>
        <v/>
      </c>
      <c r="O41" s="23">
        <f>IF(AND($I41&lt;=O$6+6,$J41&gt;=O$6),IF($R$4=1,"█",IF($R$4=2,$G41,$G41*2)),"")</f>
        <v/>
      </c>
      <c r="P41" s="23">
        <f>IF(AND($I41&lt;=P$6+6,$J41&gt;=P$6),IF($R$4=1,"█",IF($R$4=2,$G41,$G41*2)),"")</f>
        <v/>
      </c>
      <c r="Q41" s="23">
        <f>IF(AND($I41&lt;=Q$6+6,$J41&gt;=Q$6),IF($R$4=1,"█",IF($R$4=2,$G41,$G41*2)),"")</f>
        <v/>
      </c>
      <c r="R41" s="23">
        <f>IF(AND($I41&lt;=R$6+6,$J41&gt;=R$6),IF($R$4=1,"█",IF($R$4=2,$G41,$G41*2)),"")</f>
        <v/>
      </c>
      <c r="S41" s="23">
        <f>IF(AND($I41&lt;=S$6+6,$J41&gt;=S$6),IF($R$4=1,"█",IF($R$4=2,$G41,$G41*2)),"")</f>
        <v/>
      </c>
      <c r="T41" s="23">
        <f>IF(AND($I41&lt;=T$6+6,$J41&gt;=T$6),IF($R$4=1,"█",IF($R$4=2,$G41,$G41*2)),"")</f>
        <v/>
      </c>
      <c r="U41" s="23">
        <f>IF(AND($I41&lt;=U$6+6,$J41&gt;=U$6),IF($R$4=1,"█",IF($R$4=2,$G41,$G41*2)),"")</f>
        <v/>
      </c>
      <c r="V41" s="23">
        <f>IF(AND($I41&lt;=V$6+6,$J41&gt;=V$6),IF($R$4=1,"█",IF($R$4=2,$G41,$G41*2)),"")</f>
        <v/>
      </c>
      <c r="W41" s="23">
        <f>IF(AND($I41&lt;=W$6+6,$J41&gt;=W$6),IF($R$4=1,"█",IF($R$4=2,$G41,$G41*2)),"")</f>
        <v/>
      </c>
      <c r="X41" s="23">
        <f>IF(AND($I41&lt;=X$6+6,$J41&gt;=X$6),IF($R$4=1,"█",IF($R$4=2,$G41,$G41*2)),"")</f>
        <v/>
      </c>
      <c r="Y41" s="23">
        <f>IF(AND($I41&lt;=Y$6+6,$J41&gt;=Y$6),IF($R$4=1,"█",IF($R$4=2,$G41,$G41*2)),"")</f>
        <v/>
      </c>
      <c r="Z41" s="23">
        <f>IF(AND($I41&lt;=Z$6+6,$J41&gt;=Z$6),IF($R$4=1,"█",IF($R$4=2,$G41,$G41*2)),"")</f>
        <v/>
      </c>
      <c r="AA41" s="23">
        <f>IF(AND($I41&lt;=AA$6+6,$J41&gt;=AA$6),IF($R$4=1,"█",IF($R$4=2,$G41,$G41*2)),"")</f>
        <v/>
      </c>
      <c r="AB41" s="23">
        <f>IF(AND($I41&lt;=AB$6+6,$J41&gt;=AB$6),IF($R$4=1,"█",IF($R$4=2,$G41,$G41*2)),"")</f>
        <v/>
      </c>
      <c r="AC41" s="23">
        <f>IF(AND($I41&lt;=AC$6+6,$J41&gt;=AC$6),IF($R$4=1,"█",IF($R$4=2,$G41,$G41*2)),"")</f>
        <v/>
      </c>
      <c r="AD41" s="23">
        <f>IF(AND($I41&lt;=AD$6+6,$J41&gt;=AD$6),IF($R$4=1,"█",IF($R$4=2,$G41,$G41*2)),"")</f>
        <v/>
      </c>
      <c r="AE41" s="23">
        <f>IF(AND($I41&lt;=AE$6+6,$J41&gt;=AE$6),IF($R$4=1,"█",IF($R$4=2,$G41,$G41*2)),"")</f>
        <v/>
      </c>
      <c r="AF41" s="23">
        <f>IF(AND($I41&lt;=AF$6+6,$J41&gt;=AF$6),IF($R$4=1,"█",IF($R$4=2,$G41,$G41*2)),"")</f>
        <v/>
      </c>
      <c r="AG41" s="23">
        <f>IF(AND($I41&lt;=AG$6+6,$J41&gt;=AG$6),IF($R$4=1,"█",IF($R$4=2,$G41,$G41*2)),"")</f>
        <v/>
      </c>
      <c r="AH41" s="23">
        <f>IF(AND($I41&lt;=AH$6+6,$J41&gt;=AH$6),IF($R$4=1,"█",IF($R$4=2,$G41,$G41*2)),"")</f>
        <v/>
      </c>
      <c r="AI41" s="23">
        <f>IF(AND($I41&lt;=AI$6+6,$J41&gt;=AI$6),IF($R$4=1,"█",IF($R$4=2,$G41,$G41*2)),"")</f>
        <v/>
      </c>
      <c r="AJ41" s="23">
        <f>IF(AND($I41&lt;=AJ$6+6,$J41&gt;=AJ$6),IF($R$4=1,"█",IF($R$4=2,$G41,$G41*2)),"")</f>
        <v/>
      </c>
      <c r="AK41" s="24">
        <f>IF(AND($I41&lt;=AK$6+6,$J41&gt;=AK$6),IF($R$4=1,"█",IF($R$4=2,$G41,$G41*2)),"")</f>
        <v/>
      </c>
      <c r="AL41" s="24">
        <f>IF(AND($I41&lt;=AL$6+6,$J41&gt;=AL$6),IF($R$4=1,"█",IF($R$4=2,$G41,$G41*2)),"")</f>
        <v/>
      </c>
      <c r="AM41" s="24">
        <f>IF(AND($I41&lt;=AM$6+6,$J41&gt;=AM$6),IF($R$4=1,"█",IF($R$4=2,$G41,$G41*2)),"")</f>
        <v/>
      </c>
      <c r="AN41" s="24">
        <f>IF(AND($I41&lt;=AN$6+6,$J41&gt;=AN$6),IF($R$4=1,"█",IF($R$4=2,$G41,$G41*2)),"")</f>
        <v/>
      </c>
      <c r="AO41" s="24">
        <f>IF(AND($I41&lt;=AO$6+6,$J41&gt;=AO$6),IF($R$4=1,"█",IF($R$4=2,$G41,$G41*2)),"")</f>
        <v/>
      </c>
      <c r="AP41" s="24">
        <f>IF(AND($I41&lt;=AP$6+6,$J41&gt;=AP$6),IF($R$4=1,"█",IF($R$4=2,$G41,$G41*2)),"")</f>
        <v/>
      </c>
      <c r="AQ41" s="24">
        <f>IF(AND($I41&lt;=AQ$6+6,$J41&gt;=AQ$6),IF($R$4=1,"█",IF($R$4=2,$G41,$G41*2)),"")</f>
        <v/>
      </c>
      <c r="AR41" s="24">
        <f>IF(AND($I41&lt;=AR$6+6,$J41&gt;=AR$6),IF($R$4=1,"█",IF($R$4=2,$G41,$G41*2)),"")</f>
        <v/>
      </c>
      <c r="AS41" s="24">
        <f>IF(AND($I41&lt;=AS$6+6,$J41&gt;=AS$6),IF($R$4=1,"█",IF($R$4=2,$G41,$G41*2)),"")</f>
        <v/>
      </c>
      <c r="AT41" s="24">
        <f>IF(AND($I41&lt;=AT$6+6,$J41&gt;=AT$6),IF($R$4=1,"█",IF($R$4=2,$G41,$G41*2)),"")</f>
        <v/>
      </c>
      <c r="AU41" s="24">
        <f>IF(AND($I41&lt;=AU$6+6,$J41&gt;=AU$6),IF($R$4=1,"█",IF($R$4=2,$G41,$G41*2)),"")</f>
        <v/>
      </c>
      <c r="AV41" s="24">
        <f>IF(AND($I41&lt;=AV$6+6,$J41&gt;=AV$6),IF($R$4=1,"█",IF($R$4=2,$G41,$G41*2)),"")</f>
        <v/>
      </c>
      <c r="AW41" s="24">
        <f>IF(AND($I41&lt;=AW$6+6,$J41&gt;=AW$6),IF($R$4=1,"█",IF($R$4=2,$G41,$G41*2)),"")</f>
        <v/>
      </c>
      <c r="AX41" s="24">
        <f>IF(AND($I41&lt;=AX$6+6,$J41&gt;=AX$6),IF($R$4=1,"█",IF($R$4=2,$G41,$G41*2)),"")</f>
        <v/>
      </c>
      <c r="AY41" s="24">
        <f>IF(AND($I41&lt;=AY$6+6,$J41&gt;=AY$6),IF($R$4=1,"█",IF($R$4=2,$G41,$G41*2)),"")</f>
        <v/>
      </c>
      <c r="AZ41" s="24">
        <f>IF(AND($I41&lt;=AZ$6+6,$J41&gt;=AZ$6),IF($R$4=1,"█",IF($R$4=2,$G41,$G41*2)),"")</f>
        <v/>
      </c>
      <c r="BA41" s="24">
        <f>IF(AND($I41&lt;=BA$6+6,$J41&gt;=BA$6),IF($R$4=1,"█",IF($R$4=2,$G41,$G41*2)),"")</f>
        <v/>
      </c>
      <c r="BB41" s="24">
        <f>IF(AND($I41&lt;=BB$6+6,$J41&gt;=BB$6),IF($R$4=1,"█",IF($R$4=2,$G41,$G41*2)),"")</f>
        <v/>
      </c>
      <c r="BC41" s="24">
        <f>IF(AND($I41&lt;=BC$6+6,$J41&gt;=BC$6),IF($R$4=1,"█",IF($R$4=2,$G41,$G41*2)),"")</f>
        <v/>
      </c>
      <c r="BD41" s="24">
        <f>IF(AND($I41&lt;=BD$6+6,$J41&gt;=BD$6),IF($R$4=1,"█",IF($R$4=2,$G41,$G41*2)),"")</f>
        <v/>
      </c>
      <c r="BF41" s="4">
        <f>BG42-1-0</f>
        <v/>
      </c>
      <c r="BG41" s="4">
        <f>BF41-H41+1</f>
        <v/>
      </c>
      <c r="BH41">
        <f>BG41-I41</f>
        <v/>
      </c>
    </row>
    <row r="42" ht="20" customHeight="1">
      <c r="A42" s="16" t="inlineStr">
        <is>
          <t>6.2</t>
        </is>
      </c>
      <c r="B42" s="17" t="inlineStr">
        <is>
          <t>Hoàn thiện hồ sơ hoàn công, nghiệm thu bàn giao đưa vào khai thác</t>
        </is>
      </c>
      <c r="C42" s="18" t="n">
        <v>1</v>
      </c>
      <c r="D42" s="19" t="inlineStr">
        <is>
          <t>Gói</t>
        </is>
      </c>
      <c r="E42" s="18" t="n">
        <v>24</v>
      </c>
      <c r="F42" s="20">
        <f>C42*E42</f>
        <v/>
      </c>
      <c r="G42" s="19" t="n">
        <v>6</v>
      </c>
      <c r="H42" s="16">
        <f>ROUNDUP(F42/G42, 0)</f>
        <v/>
      </c>
      <c r="I42" s="21">
        <f>J41+1+0</f>
        <v/>
      </c>
      <c r="J42" s="21">
        <f>I42+H42-1</f>
        <v/>
      </c>
      <c r="K42" s="19" t="inlineStr">
        <is>
          <t>6.1FS</t>
        </is>
      </c>
      <c r="L42" s="22">
        <f>IF(BH42=0,"YES","NO")</f>
        <v/>
      </c>
      <c r="M42" s="23">
        <f>IF(AND($I42&lt;=M$6+6,$J42&gt;=M$6),IF($R$4=1,"█",IF($R$4=2,$G42,$G42*2)),"")</f>
        <v/>
      </c>
      <c r="N42" s="23">
        <f>IF(AND($I42&lt;=N$6+6,$J42&gt;=N$6),IF($R$4=1,"█",IF($R$4=2,$G42,$G42*2)),"")</f>
        <v/>
      </c>
      <c r="O42" s="23">
        <f>IF(AND($I42&lt;=O$6+6,$J42&gt;=O$6),IF($R$4=1,"█",IF($R$4=2,$G42,$G42*2)),"")</f>
        <v/>
      </c>
      <c r="P42" s="23">
        <f>IF(AND($I42&lt;=P$6+6,$J42&gt;=P$6),IF($R$4=1,"█",IF($R$4=2,$G42,$G42*2)),"")</f>
        <v/>
      </c>
      <c r="Q42" s="23">
        <f>IF(AND($I42&lt;=Q$6+6,$J42&gt;=Q$6),IF($R$4=1,"█",IF($R$4=2,$G42,$G42*2)),"")</f>
        <v/>
      </c>
      <c r="R42" s="23">
        <f>IF(AND($I42&lt;=R$6+6,$J42&gt;=R$6),IF($R$4=1,"█",IF($R$4=2,$G42,$G42*2)),"")</f>
        <v/>
      </c>
      <c r="S42" s="23">
        <f>IF(AND($I42&lt;=S$6+6,$J42&gt;=S$6),IF($R$4=1,"█",IF($R$4=2,$G42,$G42*2)),"")</f>
        <v/>
      </c>
      <c r="T42" s="23">
        <f>IF(AND($I42&lt;=T$6+6,$J42&gt;=T$6),IF($R$4=1,"█",IF($R$4=2,$G42,$G42*2)),"")</f>
        <v/>
      </c>
      <c r="U42" s="23">
        <f>IF(AND($I42&lt;=U$6+6,$J42&gt;=U$6),IF($R$4=1,"█",IF($R$4=2,$G42,$G42*2)),"")</f>
        <v/>
      </c>
      <c r="V42" s="23">
        <f>IF(AND($I42&lt;=V$6+6,$J42&gt;=V$6),IF($R$4=1,"█",IF($R$4=2,$G42,$G42*2)),"")</f>
        <v/>
      </c>
      <c r="W42" s="23">
        <f>IF(AND($I42&lt;=W$6+6,$J42&gt;=W$6),IF($R$4=1,"█",IF($R$4=2,$G42,$G42*2)),"")</f>
        <v/>
      </c>
      <c r="X42" s="23">
        <f>IF(AND($I42&lt;=X$6+6,$J42&gt;=X$6),IF($R$4=1,"█",IF($R$4=2,$G42,$G42*2)),"")</f>
        <v/>
      </c>
      <c r="Y42" s="23">
        <f>IF(AND($I42&lt;=Y$6+6,$J42&gt;=Y$6),IF($R$4=1,"█",IF($R$4=2,$G42,$G42*2)),"")</f>
        <v/>
      </c>
      <c r="Z42" s="23">
        <f>IF(AND($I42&lt;=Z$6+6,$J42&gt;=Z$6),IF($R$4=1,"█",IF($R$4=2,$G42,$G42*2)),"")</f>
        <v/>
      </c>
      <c r="AA42" s="23">
        <f>IF(AND($I42&lt;=AA$6+6,$J42&gt;=AA$6),IF($R$4=1,"█",IF($R$4=2,$G42,$G42*2)),"")</f>
        <v/>
      </c>
      <c r="AB42" s="23">
        <f>IF(AND($I42&lt;=AB$6+6,$J42&gt;=AB$6),IF($R$4=1,"█",IF($R$4=2,$G42,$G42*2)),"")</f>
        <v/>
      </c>
      <c r="AC42" s="23">
        <f>IF(AND($I42&lt;=AC$6+6,$J42&gt;=AC$6),IF($R$4=1,"█",IF($R$4=2,$G42,$G42*2)),"")</f>
        <v/>
      </c>
      <c r="AD42" s="23">
        <f>IF(AND($I42&lt;=AD$6+6,$J42&gt;=AD$6),IF($R$4=1,"█",IF($R$4=2,$G42,$G42*2)),"")</f>
        <v/>
      </c>
      <c r="AE42" s="23">
        <f>IF(AND($I42&lt;=AE$6+6,$J42&gt;=AE$6),IF($R$4=1,"█",IF($R$4=2,$G42,$G42*2)),"")</f>
        <v/>
      </c>
      <c r="AF42" s="23">
        <f>IF(AND($I42&lt;=AF$6+6,$J42&gt;=AF$6),IF($R$4=1,"█",IF($R$4=2,$G42,$G42*2)),"")</f>
        <v/>
      </c>
      <c r="AG42" s="23">
        <f>IF(AND($I42&lt;=AG$6+6,$J42&gt;=AG$6),IF($R$4=1,"█",IF($R$4=2,$G42,$G42*2)),"")</f>
        <v/>
      </c>
      <c r="AH42" s="23">
        <f>IF(AND($I42&lt;=AH$6+6,$J42&gt;=AH$6),IF($R$4=1,"█",IF($R$4=2,$G42,$G42*2)),"")</f>
        <v/>
      </c>
      <c r="AI42" s="23">
        <f>IF(AND($I42&lt;=AI$6+6,$J42&gt;=AI$6),IF($R$4=1,"█",IF($R$4=2,$G42,$G42*2)),"")</f>
        <v/>
      </c>
      <c r="AJ42" s="23">
        <f>IF(AND($I42&lt;=AJ$6+6,$J42&gt;=AJ$6),IF($R$4=1,"█",IF($R$4=2,$G42,$G42*2)),"")</f>
        <v/>
      </c>
      <c r="AK42" s="24">
        <f>IF(AND($I42&lt;=AK$6+6,$J42&gt;=AK$6),IF($R$4=1,"█",IF($R$4=2,$G42,$G42*2)),"")</f>
        <v/>
      </c>
      <c r="AL42" s="24">
        <f>IF(AND($I42&lt;=AL$6+6,$J42&gt;=AL$6),IF($R$4=1,"█",IF($R$4=2,$G42,$G42*2)),"")</f>
        <v/>
      </c>
      <c r="AM42" s="24">
        <f>IF(AND($I42&lt;=AM$6+6,$J42&gt;=AM$6),IF($R$4=1,"█",IF($R$4=2,$G42,$G42*2)),"")</f>
        <v/>
      </c>
      <c r="AN42" s="24">
        <f>IF(AND($I42&lt;=AN$6+6,$J42&gt;=AN$6),IF($R$4=1,"█",IF($R$4=2,$G42,$G42*2)),"")</f>
        <v/>
      </c>
      <c r="AO42" s="24">
        <f>IF(AND($I42&lt;=AO$6+6,$J42&gt;=AO$6),IF($R$4=1,"█",IF($R$4=2,$G42,$G42*2)),"")</f>
        <v/>
      </c>
      <c r="AP42" s="24">
        <f>IF(AND($I42&lt;=AP$6+6,$J42&gt;=AP$6),IF($R$4=1,"█",IF($R$4=2,$G42,$G42*2)),"")</f>
        <v/>
      </c>
      <c r="AQ42" s="24">
        <f>IF(AND($I42&lt;=AQ$6+6,$J42&gt;=AQ$6),IF($R$4=1,"█",IF($R$4=2,$G42,$G42*2)),"")</f>
        <v/>
      </c>
      <c r="AR42" s="24">
        <f>IF(AND($I42&lt;=AR$6+6,$J42&gt;=AR$6),IF($R$4=1,"█",IF($R$4=2,$G42,$G42*2)),"")</f>
        <v/>
      </c>
      <c r="AS42" s="24">
        <f>IF(AND($I42&lt;=AS$6+6,$J42&gt;=AS$6),IF($R$4=1,"█",IF($R$4=2,$G42,$G42*2)),"")</f>
        <v/>
      </c>
      <c r="AT42" s="24">
        <f>IF(AND($I42&lt;=AT$6+6,$J42&gt;=AT$6),IF($R$4=1,"█",IF($R$4=2,$G42,$G42*2)),"")</f>
        <v/>
      </c>
      <c r="AU42" s="24">
        <f>IF(AND($I42&lt;=AU$6+6,$J42&gt;=AU$6),IF($R$4=1,"█",IF($R$4=2,$G42,$G42*2)),"")</f>
        <v/>
      </c>
      <c r="AV42" s="24">
        <f>IF(AND($I42&lt;=AV$6+6,$J42&gt;=AV$6),IF($R$4=1,"█",IF($R$4=2,$G42,$G42*2)),"")</f>
        <v/>
      </c>
      <c r="AW42" s="24">
        <f>IF(AND($I42&lt;=AW$6+6,$J42&gt;=AW$6),IF($R$4=1,"█",IF($R$4=2,$G42,$G42*2)),"")</f>
        <v/>
      </c>
      <c r="AX42" s="24">
        <f>IF(AND($I42&lt;=AX$6+6,$J42&gt;=AX$6),IF($R$4=1,"█",IF($R$4=2,$G42,$G42*2)),"")</f>
        <v/>
      </c>
      <c r="AY42" s="24">
        <f>IF(AND($I42&lt;=AY$6+6,$J42&gt;=AY$6),IF($R$4=1,"█",IF($R$4=2,$G42,$G42*2)),"")</f>
        <v/>
      </c>
      <c r="AZ42" s="24">
        <f>IF(AND($I42&lt;=AZ$6+6,$J42&gt;=AZ$6),IF($R$4=1,"█",IF($R$4=2,$G42,$G42*2)),"")</f>
        <v/>
      </c>
      <c r="BA42" s="24">
        <f>IF(AND($I42&lt;=BA$6+6,$J42&gt;=BA$6),IF($R$4=1,"█",IF($R$4=2,$G42,$G42*2)),"")</f>
        <v/>
      </c>
      <c r="BB42" s="24">
        <f>IF(AND($I42&lt;=BB$6+6,$J42&gt;=BB$6),IF($R$4=1,"█",IF($R$4=2,$G42,$G42*2)),"")</f>
        <v/>
      </c>
      <c r="BC42" s="24">
        <f>IF(AND($I42&lt;=BC$6+6,$J42&gt;=BC$6),IF($R$4=1,"█",IF($R$4=2,$G42,$G42*2)),"")</f>
        <v/>
      </c>
      <c r="BD42" s="24">
        <f>IF(AND($I42&lt;=BD$6+6,$J42&gt;=BD$6),IF($R$4=1,"█",IF($R$4=2,$G42,$G42*2)),"")</f>
        <v/>
      </c>
      <c r="BF42" s="4">
        <f>MAX($J$8:$J$42)</f>
        <v/>
      </c>
      <c r="BG42" s="4">
        <f>BF42-H42+1</f>
        <v/>
      </c>
      <c r="BH42">
        <f>BG42-I42</f>
        <v/>
      </c>
    </row>
  </sheetData>
  <mergeCells count="18">
    <mergeCell ref="A26:L26"/>
    <mergeCell ref="G5:G6"/>
    <mergeCell ref="E5:E6"/>
    <mergeCell ref="A5:A6"/>
    <mergeCell ref="H5:H6"/>
    <mergeCell ref="A7:L7"/>
    <mergeCell ref="K5:K6"/>
    <mergeCell ref="J5:J6"/>
    <mergeCell ref="A19:L19"/>
    <mergeCell ref="A32:L32"/>
    <mergeCell ref="I5:I6"/>
    <mergeCell ref="C5:C6"/>
    <mergeCell ref="A40:L40"/>
    <mergeCell ref="F5:F6"/>
    <mergeCell ref="D5:D6"/>
    <mergeCell ref="B5:B6"/>
    <mergeCell ref="A12:L12"/>
    <mergeCell ref="L5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5" t="inlineStr">
        <is>
          <t>BẢNG DIỄN GIẢI TIÊN LƯỢNG KHỐI LƯỢNG HÌNH HỌC CHI TIẾT - CẦU KM19+529.080</t>
        </is>
      </c>
    </row>
    <row r="4">
      <c r="B4" s="6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8" t="inlineStr">
        <is>
          <t>TT</t>
        </is>
      </c>
      <c r="B5" s="8" t="inlineStr">
        <is>
          <t>Mã hiệu</t>
        </is>
      </c>
      <c r="C5" s="8" t="inlineStr">
        <is>
          <t>Nội dung công tác &amp; Diễn giải hình học cấu kiện</t>
        </is>
      </c>
      <c r="D5" s="8" t="inlineStr">
        <is>
          <t>ĐVT</t>
        </is>
      </c>
      <c r="E5" s="8" t="inlineStr">
        <is>
          <t>Số lượng
(Cấu kiện)</t>
        </is>
      </c>
      <c r="F5" s="8" t="inlineStr">
        <is>
          <t>Dài
(m)</t>
        </is>
      </c>
      <c r="G5" s="8" t="inlineStr">
        <is>
          <t>Rộng
(m)</t>
        </is>
      </c>
      <c r="H5" s="8" t="inlineStr">
        <is>
          <t>Cao / Dày
(m)</t>
        </is>
      </c>
      <c r="I5" s="8" t="inlineStr">
        <is>
          <t>Hệ số
hình học</t>
        </is>
      </c>
      <c r="J5" s="8" t="inlineStr">
        <is>
          <t>Khối lượng
(Công thức)</t>
        </is>
      </c>
      <c r="K5" s="8" t="inlineStr">
        <is>
          <t>Đơn giá
(VNĐ)</t>
        </is>
      </c>
      <c r="L5" s="8" t="inlineStr">
        <is>
          <t>Thành tiền
(VNĐ)</t>
        </is>
      </c>
    </row>
    <row r="6" ht="24" customHeight="1">
      <c r="A6" s="14" t="inlineStr">
        <is>
          <t>PHẦN I: THI CÔNG CỌC KHOAN NHỒI D1200MM &amp; THÍ NGHIỆM KIỂM SOÁT</t>
        </is>
      </c>
    </row>
    <row r="7" ht="22" customHeight="1">
      <c r="A7" s="16" t="inlineStr">
        <is>
          <t>1</t>
        </is>
      </c>
      <c r="B7" s="16" t="inlineStr">
        <is>
          <t>AC.11111</t>
        </is>
      </c>
      <c r="C7" s="25" t="inlineStr">
        <is>
          <t>Khoan tạo lỗ cọc khoan nhồi D1200mm vào đất và đá gốc (26 cọc)</t>
        </is>
      </c>
      <c r="D7" s="16" t="inlineStr">
        <is>
          <t>m</t>
        </is>
      </c>
      <c r="E7" s="15" t="n"/>
      <c r="F7" s="15" t="n"/>
      <c r="G7" s="15" t="n"/>
      <c r="H7" s="15" t="n"/>
      <c r="I7" s="15" t="n"/>
      <c r="J7" s="26">
        <f>SUM(J8:J11)</f>
        <v/>
      </c>
      <c r="K7" s="27" t="n">
        <v>2850000</v>
      </c>
      <c r="L7" s="28">
        <f>J7*K7</f>
        <v/>
      </c>
    </row>
    <row r="8" ht="19" customHeight="1">
      <c r="A8" s="29" t="n"/>
      <c r="B8" s="29" t="n"/>
      <c r="C8" s="30" t="inlineStr">
        <is>
          <t>- Cọc mố M1: 3 cọc chiều sâu L=20.0m</t>
        </is>
      </c>
      <c r="D8" s="31" t="inlineStr">
        <is>
          <t>m</t>
        </is>
      </c>
      <c r="E8" s="32" t="n">
        <v>3</v>
      </c>
      <c r="F8" s="32" t="n">
        <v>20</v>
      </c>
      <c r="G8" s="32" t="n">
        <v>1</v>
      </c>
      <c r="H8" s="32" t="n">
        <v>1</v>
      </c>
      <c r="I8" s="33" t="n">
        <v>1</v>
      </c>
      <c r="J8" s="34">
        <f>E8*F8*G8*H8*I8</f>
        <v/>
      </c>
      <c r="K8" s="29" t="n"/>
      <c r="L8" s="29" t="n"/>
    </row>
    <row r="9" ht="19" customHeight="1">
      <c r="A9" s="29" t="n"/>
      <c r="B9" s="29" t="n"/>
      <c r="C9" s="30" t="inlineStr">
        <is>
          <t>- Cọc trụ T1: 8 cọc chiều sâu L=40.0m</t>
        </is>
      </c>
      <c r="D9" s="31" t="inlineStr">
        <is>
          <t>m</t>
        </is>
      </c>
      <c r="E9" s="32" t="n">
        <v>8</v>
      </c>
      <c r="F9" s="32" t="n">
        <v>40</v>
      </c>
      <c r="G9" s="32" t="n">
        <v>1</v>
      </c>
      <c r="H9" s="32" t="n">
        <v>1</v>
      </c>
      <c r="I9" s="33" t="n">
        <v>1</v>
      </c>
      <c r="J9" s="34">
        <f>E9*F9*G9*H9*I9</f>
        <v/>
      </c>
      <c r="K9" s="29" t="n"/>
      <c r="L9" s="29" t="n"/>
    </row>
    <row r="10" ht="19" customHeight="1">
      <c r="A10" s="29" t="n"/>
      <c r="B10" s="29" t="n"/>
      <c r="C10" s="30" t="inlineStr">
        <is>
          <t>- Cọc trụ T2: 8 cọc chiều sâu L=30.0m</t>
        </is>
      </c>
      <c r="D10" s="31" t="inlineStr">
        <is>
          <t>m</t>
        </is>
      </c>
      <c r="E10" s="32" t="n">
        <v>8</v>
      </c>
      <c r="F10" s="32" t="n">
        <v>30</v>
      </c>
      <c r="G10" s="32" t="n">
        <v>1</v>
      </c>
      <c r="H10" s="32" t="n">
        <v>1</v>
      </c>
      <c r="I10" s="33" t="n">
        <v>1</v>
      </c>
      <c r="J10" s="34">
        <f>E10*F10*G10*H10*I10</f>
        <v/>
      </c>
      <c r="K10" s="29" t="n"/>
      <c r="L10" s="29" t="n"/>
    </row>
    <row r="11" ht="19" customHeight="1">
      <c r="A11" s="29" t="n"/>
      <c r="B11" s="29" t="n"/>
      <c r="C11" s="30" t="inlineStr">
        <is>
          <t>- Cọc mố M2: 7 cọc chiều sâu L=36.0m</t>
        </is>
      </c>
      <c r="D11" s="31" t="inlineStr">
        <is>
          <t>m</t>
        </is>
      </c>
      <c r="E11" s="32" t="n">
        <v>7</v>
      </c>
      <c r="F11" s="32" t="n">
        <v>36</v>
      </c>
      <c r="G11" s="32" t="n">
        <v>1</v>
      </c>
      <c r="H11" s="32" t="n">
        <v>1</v>
      </c>
      <c r="I11" s="33" t="n">
        <v>1</v>
      </c>
      <c r="J11" s="34">
        <f>E11*F11*G11*H11*I11</f>
        <v/>
      </c>
      <c r="K11" s="29" t="n"/>
      <c r="L11" s="29" t="n"/>
    </row>
    <row r="12" ht="22" customHeight="1">
      <c r="A12" s="16" t="inlineStr">
        <is>
          <t>2</t>
        </is>
      </c>
      <c r="B12" s="16" t="inlineStr">
        <is>
          <t>AC.12111</t>
        </is>
      </c>
      <c r="C12" s="25" t="inlineStr">
        <is>
          <t>Hạ và nhổ ống vách thép dẫn hướng D1300mm d=8mm (luân chuyển)</t>
        </is>
      </c>
      <c r="D12" s="16" t="inlineStr">
        <is>
          <t>m</t>
        </is>
      </c>
      <c r="E12" s="15" t="n"/>
      <c r="F12" s="15" t="n"/>
      <c r="G12" s="15" t="n"/>
      <c r="H12" s="15" t="n"/>
      <c r="I12" s="15" t="n"/>
      <c r="J12" s="26">
        <f>SUM(J13:J16)</f>
        <v/>
      </c>
      <c r="K12" s="27" t="n">
        <v>1450000</v>
      </c>
      <c r="L12" s="28">
        <f>J12*K12</f>
        <v/>
      </c>
    </row>
    <row r="13" ht="19" customHeight="1">
      <c r="A13" s="29" t="n"/>
      <c r="B13" s="29" t="n"/>
      <c r="C13" s="30" t="inlineStr">
        <is>
          <t>- Ống vách thép cọc mố M1 (3 cọc x 6m)</t>
        </is>
      </c>
      <c r="D13" s="31" t="inlineStr">
        <is>
          <t>m</t>
        </is>
      </c>
      <c r="E13" s="32" t="n">
        <v>3</v>
      </c>
      <c r="F13" s="32" t="n">
        <v>6</v>
      </c>
      <c r="G13" s="32" t="n">
        <v>1</v>
      </c>
      <c r="H13" s="32" t="n">
        <v>1</v>
      </c>
      <c r="I13" s="33" t="n">
        <v>1</v>
      </c>
      <c r="J13" s="34">
        <f>E13*F13*G13*H13*I13</f>
        <v/>
      </c>
      <c r="K13" s="29" t="n"/>
      <c r="L13" s="29" t="n"/>
    </row>
    <row r="14" ht="19" customHeight="1">
      <c r="A14" s="29" t="n"/>
      <c r="B14" s="29" t="n"/>
      <c r="C14" s="30" t="inlineStr">
        <is>
          <t>- Ống vách thép cọc trụ T1 (8 cọc x 6m)</t>
        </is>
      </c>
      <c r="D14" s="31" t="inlineStr">
        <is>
          <t>m</t>
        </is>
      </c>
      <c r="E14" s="32" t="n">
        <v>8</v>
      </c>
      <c r="F14" s="32" t="n">
        <v>6</v>
      </c>
      <c r="G14" s="32" t="n">
        <v>1</v>
      </c>
      <c r="H14" s="32" t="n">
        <v>1</v>
      </c>
      <c r="I14" s="33" t="n">
        <v>1</v>
      </c>
      <c r="J14" s="34">
        <f>E14*F14*G14*H14*I14</f>
        <v/>
      </c>
      <c r="K14" s="29" t="n"/>
      <c r="L14" s="29" t="n"/>
    </row>
    <row r="15" ht="19" customHeight="1">
      <c r="A15" s="29" t="n"/>
      <c r="B15" s="29" t="n"/>
      <c r="C15" s="30" t="inlineStr">
        <is>
          <t>- Ống vách thép cọc trụ T2 (8 cọc x 6m)</t>
        </is>
      </c>
      <c r="D15" s="31" t="inlineStr">
        <is>
          <t>m</t>
        </is>
      </c>
      <c r="E15" s="32" t="n">
        <v>8</v>
      </c>
      <c r="F15" s="32" t="n">
        <v>6</v>
      </c>
      <c r="G15" s="32" t="n">
        <v>1</v>
      </c>
      <c r="H15" s="32" t="n">
        <v>1</v>
      </c>
      <c r="I15" s="33" t="n">
        <v>1</v>
      </c>
      <c r="J15" s="34">
        <f>E15*F15*G15*H15*I15</f>
        <v/>
      </c>
      <c r="K15" s="29" t="n"/>
      <c r="L15" s="29" t="n"/>
    </row>
    <row r="16" ht="19" customHeight="1">
      <c r="A16" s="29" t="n"/>
      <c r="B16" s="29" t="n"/>
      <c r="C16" s="30" t="inlineStr">
        <is>
          <t>- Ống vách thép cọc mố M2 (7 cọc x 6m)</t>
        </is>
      </c>
      <c r="D16" s="31" t="inlineStr">
        <is>
          <t>m</t>
        </is>
      </c>
      <c r="E16" s="32" t="n">
        <v>7</v>
      </c>
      <c r="F16" s="32" t="n">
        <v>6</v>
      </c>
      <c r="G16" s="32" t="n">
        <v>1</v>
      </c>
      <c r="H16" s="32" t="n">
        <v>1</v>
      </c>
      <c r="I16" s="33" t="n">
        <v>1</v>
      </c>
      <c r="J16" s="34">
        <f>E16*F16*G16*H16*I16</f>
        <v/>
      </c>
      <c r="K16" s="29" t="n"/>
      <c r="L16" s="29" t="n"/>
    </row>
    <row r="17" ht="22" customHeight="1">
      <c r="A17" s="16" t="inlineStr">
        <is>
          <t>3</t>
        </is>
      </c>
      <c r="B17" s="16" t="inlineStr">
        <is>
          <t>AF.21111</t>
        </is>
      </c>
      <c r="C17" s="25" t="inlineStr">
        <is>
          <t>Bê tông cọc khoan nhồi C30/37 đổ bằng phương pháp rút ống tremie</t>
        </is>
      </c>
      <c r="D17" s="16" t="inlineStr">
        <is>
          <t>m3</t>
        </is>
      </c>
      <c r="E17" s="15" t="n"/>
      <c r="F17" s="15" t="n"/>
      <c r="G17" s="15" t="n"/>
      <c r="H17" s="15" t="n"/>
      <c r="I17" s="15" t="n"/>
      <c r="J17" s="26">
        <f>SUM(J18:J21)</f>
        <v/>
      </c>
      <c r="K17" s="27" t="n">
        <v>1650000</v>
      </c>
      <c r="L17" s="28">
        <f>J17*K17</f>
        <v/>
      </c>
    </row>
    <row r="18" ht="19" customHeight="1">
      <c r="A18" s="29" t="n"/>
      <c r="B18" s="29" t="n"/>
      <c r="C18" s="30" t="inlineStr">
        <is>
          <t>- Bê tông 3 cọc mố M1 (L=20m, D=1.2m, hs nở thành 1.12)</t>
        </is>
      </c>
      <c r="D18" s="31" t="inlineStr">
        <is>
          <t>m3</t>
        </is>
      </c>
      <c r="E18" s="32" t="n">
        <v>3</v>
      </c>
      <c r="F18" s="32" t="n">
        <v>20</v>
      </c>
      <c r="G18" s="32" t="n">
        <v>0.6</v>
      </c>
      <c r="H18" s="32" t="n">
        <v>0.6</v>
      </c>
      <c r="I18" s="33" t="n">
        <v>3.5186</v>
      </c>
      <c r="J18" s="34">
        <f>E18*F18*G18*H18*I18</f>
        <v/>
      </c>
      <c r="K18" s="29" t="n"/>
      <c r="L18" s="29" t="n"/>
    </row>
    <row r="19" ht="19" customHeight="1">
      <c r="A19" s="29" t="n"/>
      <c r="B19" s="29" t="n"/>
      <c r="C19" s="30" t="inlineStr">
        <is>
          <t>- Bê tông 8 cọc trụ T1 (L=40m, D=1.2m, hs nở thành 1.12)</t>
        </is>
      </c>
      <c r="D19" s="31" t="inlineStr">
        <is>
          <t>m3</t>
        </is>
      </c>
      <c r="E19" s="32" t="n">
        <v>8</v>
      </c>
      <c r="F19" s="32" t="n">
        <v>40</v>
      </c>
      <c r="G19" s="32" t="n">
        <v>0.6</v>
      </c>
      <c r="H19" s="32" t="n">
        <v>0.6</v>
      </c>
      <c r="I19" s="33" t="n">
        <v>3.5186</v>
      </c>
      <c r="J19" s="34">
        <f>E19*F19*G19*H19*I19</f>
        <v/>
      </c>
      <c r="K19" s="29" t="n"/>
      <c r="L19" s="29" t="n"/>
    </row>
    <row r="20" ht="19" customHeight="1">
      <c r="A20" s="29" t="n"/>
      <c r="B20" s="29" t="n"/>
      <c r="C20" s="30" t="inlineStr">
        <is>
          <t>- Bê tông 8 cọc trụ T2 (L=30m, D=1.2m, hs nở thành 1.12)</t>
        </is>
      </c>
      <c r="D20" s="31" t="inlineStr">
        <is>
          <t>m3</t>
        </is>
      </c>
      <c r="E20" s="32" t="n">
        <v>8</v>
      </c>
      <c r="F20" s="32" t="n">
        <v>30</v>
      </c>
      <c r="G20" s="32" t="n">
        <v>0.6</v>
      </c>
      <c r="H20" s="32" t="n">
        <v>0.6</v>
      </c>
      <c r="I20" s="33" t="n">
        <v>3.5186</v>
      </c>
      <c r="J20" s="34">
        <f>E20*F20*G20*H20*I20</f>
        <v/>
      </c>
      <c r="K20" s="29" t="n"/>
      <c r="L20" s="29" t="n"/>
    </row>
    <row r="21" ht="19" customHeight="1">
      <c r="A21" s="29" t="n"/>
      <c r="B21" s="29" t="n"/>
      <c r="C21" s="30" t="inlineStr">
        <is>
          <t>- Bê tông 7 cọc mố M2 (L=36m, D=1.2m, hs nở thành 1.12)</t>
        </is>
      </c>
      <c r="D21" s="31" t="inlineStr">
        <is>
          <t>m3</t>
        </is>
      </c>
      <c r="E21" s="32" t="n">
        <v>7</v>
      </c>
      <c r="F21" s="32" t="n">
        <v>36</v>
      </c>
      <c r="G21" s="32" t="n">
        <v>0.6</v>
      </c>
      <c r="H21" s="32" t="n">
        <v>0.6</v>
      </c>
      <c r="I21" s="33" t="n">
        <v>3.5186</v>
      </c>
      <c r="J21" s="34">
        <f>E21*F21*G21*H21*I21</f>
        <v/>
      </c>
      <c r="K21" s="29" t="n"/>
      <c r="L21" s="29" t="n"/>
    </row>
    <row r="22" ht="22" customHeight="1">
      <c r="A22" s="16" t="inlineStr">
        <is>
          <t>4</t>
        </is>
      </c>
      <c r="B22" s="16" t="inlineStr">
        <is>
          <t>AF.61111</t>
        </is>
      </c>
      <c r="C22" s="25" t="inlineStr">
        <is>
          <t>Cốt thép cọc khoan nhồi D1200mm (Thép chủ D25, đai D16, D10)</t>
        </is>
      </c>
      <c r="D22" s="16" t="inlineStr">
        <is>
          <t>Tấn</t>
        </is>
      </c>
      <c r="E22" s="15" t="n"/>
      <c r="F22" s="15" t="n"/>
      <c r="G22" s="15" t="n"/>
      <c r="H22" s="15" t="n"/>
      <c r="I22" s="15" t="n"/>
      <c r="J22" s="35" t="n">
        <v>108.76599036</v>
      </c>
      <c r="K22" s="27" t="n">
        <v>18500000</v>
      </c>
      <c r="L22" s="28">
        <f>J22*K22</f>
        <v/>
      </c>
    </row>
    <row r="23" ht="19" customHeight="1">
      <c r="A23" s="29" t="n"/>
      <c r="B23" s="29" t="n"/>
      <c r="C23" s="30" t="inlineStr">
        <is>
          <t>- Cốt thép cọc mố M1 (3 cọc x 5.889 tấn/cọc)</t>
        </is>
      </c>
      <c r="D23" s="31" t="inlineStr">
        <is>
          <t>Tấn</t>
        </is>
      </c>
      <c r="E23" s="32" t="n">
        <v>3</v>
      </c>
      <c r="F23" s="32" t="n">
        <v>5.889</v>
      </c>
      <c r="G23" s="32" t="n">
        <v>1</v>
      </c>
      <c r="H23" s="32" t="n">
        <v>1</v>
      </c>
      <c r="I23" s="33" t="n">
        <v>1</v>
      </c>
      <c r="J23" s="34">
        <f>E23*F23*G23*H23*I23</f>
        <v/>
      </c>
      <c r="K23" s="29" t="n"/>
      <c r="L23" s="29" t="n"/>
    </row>
    <row r="24" ht="19" customHeight="1">
      <c r="A24" s="29" t="n"/>
      <c r="B24" s="29" t="n"/>
      <c r="C24" s="30" t="inlineStr">
        <is>
          <t>- Cốt thép cọc trụ T1 (8 cọc x 4.845 tấn/cọc)</t>
        </is>
      </c>
      <c r="D24" s="31" t="inlineStr">
        <is>
          <t>Tấn</t>
        </is>
      </c>
      <c r="E24" s="32" t="n">
        <v>8</v>
      </c>
      <c r="F24" s="32" t="n">
        <v>4.845</v>
      </c>
      <c r="G24" s="32" t="n">
        <v>1</v>
      </c>
      <c r="H24" s="32" t="n">
        <v>1</v>
      </c>
      <c r="I24" s="33" t="n">
        <v>1</v>
      </c>
      <c r="J24" s="34">
        <f>E24*F24*G24*H24*I24</f>
        <v/>
      </c>
      <c r="K24" s="29" t="n"/>
      <c r="L24" s="29" t="n"/>
    </row>
    <row r="25" ht="19" customHeight="1">
      <c r="A25" s="29" t="n"/>
      <c r="B25" s="29" t="n"/>
      <c r="C25" s="30" t="inlineStr">
        <is>
          <t>- Cốt thép cọc trụ T2 (8 cọc x 3.687 tấn/cọc)</t>
        </is>
      </c>
      <c r="D25" s="31" t="inlineStr">
        <is>
          <t>Tấn</t>
        </is>
      </c>
      <c r="E25" s="32" t="n">
        <v>8</v>
      </c>
      <c r="F25" s="32" t="n">
        <v>3.687</v>
      </c>
      <c r="G25" s="32" t="n">
        <v>1</v>
      </c>
      <c r="H25" s="32" t="n">
        <v>1</v>
      </c>
      <c r="I25" s="33" t="n">
        <v>1</v>
      </c>
      <c r="J25" s="34">
        <f>E25*F25*G25*H25*I25</f>
        <v/>
      </c>
      <c r="K25" s="29" t="n"/>
      <c r="L25" s="29" t="n"/>
    </row>
    <row r="26" ht="19" customHeight="1">
      <c r="A26" s="29" t="n"/>
      <c r="B26" s="29" t="n"/>
      <c r="C26" s="30" t="inlineStr">
        <is>
          <t>- Cốt thép cọc mố M2 (7 cọc x 4.721 tấn/cọc)</t>
        </is>
      </c>
      <c r="D26" s="31" t="inlineStr">
        <is>
          <t>Tấn</t>
        </is>
      </c>
      <c r="E26" s="32" t="n">
        <v>7</v>
      </c>
      <c r="F26" s="32" t="n">
        <v>4.721</v>
      </c>
      <c r="G26" s="32" t="n">
        <v>1</v>
      </c>
      <c r="H26" s="32" t="n">
        <v>1</v>
      </c>
      <c r="I26" s="33" t="n">
        <v>1</v>
      </c>
      <c r="J26" s="34">
        <f>E26*F26*G26*H26*I26</f>
        <v/>
      </c>
      <c r="K26" s="29" t="n"/>
      <c r="L26" s="29" t="n"/>
    </row>
    <row r="27" ht="22" customHeight="1">
      <c r="A27" s="16" t="inlineStr">
        <is>
          <t>5</t>
        </is>
      </c>
      <c r="B27" s="16" t="inlineStr">
        <is>
          <t>AC.13111</t>
        </is>
      </c>
      <c r="C27" s="25" t="inlineStr">
        <is>
          <t>Đập đầu cọc khoan nhồi nhô lên đáy bệ ngàm vào kết cấu</t>
        </is>
      </c>
      <c r="D27" s="16" t="inlineStr">
        <is>
          <t>m3</t>
        </is>
      </c>
      <c r="E27" s="15" t="n"/>
      <c r="F27" s="15" t="n"/>
      <c r="G27" s="15" t="n"/>
      <c r="H27" s="15" t="n"/>
      <c r="I27" s="15" t="n"/>
      <c r="J27" s="26">
        <f>SUM(J28:J28)</f>
        <v/>
      </c>
      <c r="K27" s="27" t="n">
        <v>550000</v>
      </c>
      <c r="L27" s="28">
        <f>J27*K27</f>
        <v/>
      </c>
    </row>
    <row r="28" ht="19" customHeight="1">
      <c r="A28" s="29" t="n"/>
      <c r="B28" s="29" t="n"/>
      <c r="C28" s="30" t="inlineStr">
        <is>
          <t>- Đập đầu 26 cọc khoan nhồi (chiều cao đập h=1.0m)</t>
        </is>
      </c>
      <c r="D28" s="31" t="inlineStr">
        <is>
          <t>m3</t>
        </is>
      </c>
      <c r="E28" s="32" t="n">
        <v>26</v>
      </c>
      <c r="F28" s="32" t="n">
        <v>1</v>
      </c>
      <c r="G28" s="32" t="n">
        <v>0.6</v>
      </c>
      <c r="H28" s="32" t="n">
        <v>0.6</v>
      </c>
      <c r="I28" s="33" t="n">
        <v>3.1416</v>
      </c>
      <c r="J28" s="34">
        <f>E28*F28*G28*H28*I28</f>
        <v/>
      </c>
      <c r="K28" s="29" t="n"/>
      <c r="L28" s="29" t="n"/>
    </row>
    <row r="29" ht="22" customHeight="1">
      <c r="A29" s="16" t="inlineStr">
        <is>
          <t>6</t>
        </is>
      </c>
      <c r="B29" s="16" t="inlineStr">
        <is>
          <t>TN.11111</t>
        </is>
      </c>
      <c r="C29" s="25" t="inlineStr">
        <is>
          <t>Thí nghiệm kiểm soát cọc (Siêu âm 156 mặt cắt, PDA 9434kN, lấy lõi 4 cọc)</t>
        </is>
      </c>
      <c r="D29" s="16" t="inlineStr">
        <is>
          <t>Gói</t>
        </is>
      </c>
      <c r="E29" s="15" t="n"/>
      <c r="F29" s="15" t="n"/>
      <c r="G29" s="15" t="n"/>
      <c r="H29" s="15" t="n"/>
      <c r="I29" s="15" t="n"/>
      <c r="J29" s="26">
        <f>SUM(J30:J30)</f>
        <v/>
      </c>
      <c r="K29" s="27" t="n">
        <v>450000000</v>
      </c>
      <c r="L29" s="28">
        <f>J29*K29</f>
        <v/>
      </c>
    </row>
    <row r="30" ht="19" customHeight="1">
      <c r="A30" s="29" t="n"/>
      <c r="B30" s="29" t="n"/>
      <c r="C30" s="30" t="inlineStr">
        <is>
          <t>- Gói thí nghiệm siêu âm 100% cọc, nén động PDA trụ T1 &amp; khoan lấy lõi</t>
        </is>
      </c>
      <c r="D30" s="31" t="inlineStr">
        <is>
          <t>Gói</t>
        </is>
      </c>
      <c r="E30" s="32" t="n">
        <v>1</v>
      </c>
      <c r="F30" s="32" t="n">
        <v>1</v>
      </c>
      <c r="G30" s="32" t="n">
        <v>1</v>
      </c>
      <c r="H30" s="32" t="n">
        <v>1</v>
      </c>
      <c r="I30" s="33" t="n">
        <v>1</v>
      </c>
      <c r="J30" s="34">
        <f>E30*F30*G30*H30*I30</f>
        <v/>
      </c>
      <c r="K30" s="29" t="n"/>
      <c r="L30" s="29" t="n"/>
    </row>
    <row r="31" ht="24" customHeight="1">
      <c r="A31" s="14" t="inlineStr">
        <is>
          <t>PHẦN II: KẾT CẤU PHẦN DƯỚI (BỆ, THÂN, XÀ MŨ MỐ M1, M2 &amp; TRỤ T1, T2)</t>
        </is>
      </c>
    </row>
    <row r="32" ht="22" customHeight="1">
      <c r="A32" s="16" t="inlineStr">
        <is>
          <t>7</t>
        </is>
      </c>
      <c r="B32" s="16" t="inlineStr">
        <is>
          <t>AB.11111</t>
        </is>
      </c>
      <c r="C32" s="25" t="inlineStr">
        <is>
          <t>Đào đất đá hố móng bệ mố M1, M2 và bệ trụ T1, T2 (Link Sheet Đào Đắp)</t>
        </is>
      </c>
      <c r="D32" s="16" t="inlineStr">
        <is>
          <t>m3</t>
        </is>
      </c>
      <c r="E32" s="15" t="n"/>
      <c r="F32" s="15" t="n"/>
      <c r="G32" s="15" t="n"/>
      <c r="H32" s="15" t="n"/>
      <c r="I32" s="15" t="n"/>
      <c r="J32" s="26">
        <f>SUM(J33:J33)</f>
        <v/>
      </c>
      <c r="K32" s="27" t="n">
        <v>145000</v>
      </c>
      <c r="L32" s="28">
        <f>J32*K32</f>
        <v/>
      </c>
    </row>
    <row r="33" ht="19" customHeight="1">
      <c r="A33" s="29" t="n"/>
      <c r="B33" s="29" t="n"/>
      <c r="C33" s="30" t="inlineStr">
        <is>
          <t>- Đào đất đá hố móng bệ mố M1,M2 &amp; bệ trụ T1,T2 → =KHOI_LUONG_DAO_DAP!F21</t>
        </is>
      </c>
      <c r="D33" s="31" t="inlineStr">
        <is>
          <t>m3</t>
        </is>
      </c>
      <c r="E33" s="32" t="n">
        <v>1</v>
      </c>
      <c r="F33" s="32" t="n">
        <v>1</v>
      </c>
      <c r="G33" s="32" t="n">
        <v>1</v>
      </c>
      <c r="H33" s="32" t="n">
        <v>1</v>
      </c>
      <c r="I33" s="33" t="n">
        <v>1</v>
      </c>
      <c r="J33" s="36" t="n">
        <v>6245</v>
      </c>
      <c r="K33" s="29" t="n"/>
      <c r="L33" s="29" t="n"/>
    </row>
    <row r="34" ht="22" customHeight="1">
      <c r="A34" s="16" t="inlineStr">
        <is>
          <t>8</t>
        </is>
      </c>
      <c r="B34" s="16" t="inlineStr">
        <is>
          <t>AF.11111</t>
        </is>
      </c>
      <c r="C34" s="25" t="inlineStr">
        <is>
          <t>Bê tông lót đáy bệ móng mác C10 dày 10cm</t>
        </is>
      </c>
      <c r="D34" s="16" t="inlineStr">
        <is>
          <t>m3</t>
        </is>
      </c>
      <c r="E34" s="15" t="n"/>
      <c r="F34" s="15" t="n"/>
      <c r="G34" s="15" t="n"/>
      <c r="H34" s="15" t="n"/>
      <c r="I34" s="15" t="n"/>
      <c r="J34" s="26">
        <f>SUM(J35:J38)</f>
        <v/>
      </c>
      <c r="K34" s="27" t="n">
        <v>1150000</v>
      </c>
      <c r="L34" s="28">
        <f>J34*K34</f>
        <v/>
      </c>
    </row>
    <row r="35" ht="19" customHeight="1">
      <c r="A35" s="29" t="n"/>
      <c r="B35" s="29" t="n"/>
      <c r="C35" s="30" t="inlineStr">
        <is>
          <t>- Lớp bê tông lót đáy bệ mố M1 chân dê</t>
        </is>
      </c>
      <c r="D35" s="31" t="inlineStr">
        <is>
          <t>m3</t>
        </is>
      </c>
      <c r="E35" s="32" t="n">
        <v>1</v>
      </c>
      <c r="F35" s="32" t="n">
        <v>12.5</v>
      </c>
      <c r="G35" s="32" t="n">
        <v>6</v>
      </c>
      <c r="H35" s="32" t="n">
        <v>0.1</v>
      </c>
      <c r="I35" s="33" t="n">
        <v>1</v>
      </c>
      <c r="J35" s="34">
        <f>E35*F35*G35*H35*I35</f>
        <v/>
      </c>
      <c r="K35" s="29" t="n"/>
      <c r="L35" s="29" t="n"/>
    </row>
    <row r="36" ht="19" customHeight="1">
      <c r="A36" s="29" t="n"/>
      <c r="B36" s="29" t="n"/>
      <c r="C36" s="30" t="inlineStr">
        <is>
          <t>- Lớp bê tông lót đáy bệ mố M2 chữ U</t>
        </is>
      </c>
      <c r="D36" s="31" t="inlineStr">
        <is>
          <t>m3</t>
        </is>
      </c>
      <c r="E36" s="32" t="n">
        <v>1</v>
      </c>
      <c r="F36" s="32" t="n">
        <v>14</v>
      </c>
      <c r="G36" s="32" t="n">
        <v>6.5</v>
      </c>
      <c r="H36" s="32" t="n">
        <v>0.1</v>
      </c>
      <c r="I36" s="33" t="n">
        <v>1</v>
      </c>
      <c r="J36" s="34">
        <f>E36*F36*G36*H36*I36</f>
        <v/>
      </c>
      <c r="K36" s="29" t="n"/>
      <c r="L36" s="29" t="n"/>
    </row>
    <row r="37" ht="19" customHeight="1">
      <c r="A37" s="29" t="n"/>
      <c r="B37" s="29" t="n"/>
      <c r="C37" s="30" t="inlineStr">
        <is>
          <t>- Lớp bê tông lót đáy bệ trụ T1</t>
        </is>
      </c>
      <c r="D37" s="31" t="inlineStr">
        <is>
          <t>m3</t>
        </is>
      </c>
      <c r="E37" s="32" t="n">
        <v>1</v>
      </c>
      <c r="F37" s="32" t="n">
        <v>13</v>
      </c>
      <c r="G37" s="32" t="n">
        <v>6.5</v>
      </c>
      <c r="H37" s="32" t="n">
        <v>0.1</v>
      </c>
      <c r="I37" s="33" t="n">
        <v>1</v>
      </c>
      <c r="J37" s="34">
        <f>E37*F37*G37*H37*I37</f>
        <v/>
      </c>
      <c r="K37" s="29" t="n"/>
      <c r="L37" s="29" t="n"/>
    </row>
    <row r="38" ht="19" customHeight="1">
      <c r="A38" s="29" t="n"/>
      <c r="B38" s="29" t="n"/>
      <c r="C38" s="30" t="inlineStr">
        <is>
          <t>- Lớp bê tông lót đáy bệ trụ T2</t>
        </is>
      </c>
      <c r="D38" s="31" t="inlineStr">
        <is>
          <t>m3</t>
        </is>
      </c>
      <c r="E38" s="32" t="n">
        <v>1</v>
      </c>
      <c r="F38" s="32" t="n">
        <v>13</v>
      </c>
      <c r="G38" s="32" t="n">
        <v>6.5</v>
      </c>
      <c r="H38" s="32" t="n">
        <v>0.1</v>
      </c>
      <c r="I38" s="33" t="n">
        <v>1</v>
      </c>
      <c r="J38" s="34">
        <f>E38*F38*G38*H38*I38</f>
        <v/>
      </c>
      <c r="K38" s="29" t="n"/>
      <c r="L38" s="29" t="n"/>
    </row>
    <row r="39" ht="22" customHeight="1">
      <c r="A39" s="16" t="inlineStr">
        <is>
          <t>9</t>
        </is>
      </c>
      <c r="B39" s="16" t="inlineStr">
        <is>
          <t>AF.12111</t>
        </is>
      </c>
      <c r="C39" s="25" t="inlineStr">
        <is>
          <t>Bê tông bệ móng mố M1, M2 và bệ trụ T1, T2 mác C30</t>
        </is>
      </c>
      <c r="D39" s="16" t="inlineStr">
        <is>
          <t>m3</t>
        </is>
      </c>
      <c r="E39" s="15" t="n"/>
      <c r="F39" s="15" t="n"/>
      <c r="G39" s="15" t="n"/>
      <c r="H39" s="15" t="n"/>
      <c r="I39" s="15" t="n"/>
      <c r="J39" s="26">
        <f>SUM(J40:J43)</f>
        <v/>
      </c>
      <c r="K39" s="27" t="n">
        <v>1480000</v>
      </c>
      <c r="L39" s="28">
        <f>J39*K39</f>
        <v/>
      </c>
    </row>
    <row r="40" ht="19" customHeight="1">
      <c r="A40" s="29" t="n"/>
      <c r="B40" s="29" t="n"/>
      <c r="C40" s="30" t="inlineStr">
        <is>
          <t>- Bệ móng mố M1 chân dê (chiều cao bệ h=2.0m)</t>
        </is>
      </c>
      <c r="D40" s="31" t="inlineStr">
        <is>
          <t>m3</t>
        </is>
      </c>
      <c r="E40" s="32" t="n">
        <v>1</v>
      </c>
      <c r="F40" s="32" t="n">
        <v>12</v>
      </c>
      <c r="G40" s="32" t="n">
        <v>5.5</v>
      </c>
      <c r="H40" s="32" t="n">
        <v>2</v>
      </c>
      <c r="I40" s="33" t="n">
        <v>1.1287</v>
      </c>
      <c r="J40" s="34">
        <f>E40*F40*G40*H40*I40</f>
        <v/>
      </c>
      <c r="K40" s="29" t="n"/>
      <c r="L40" s="29" t="n"/>
    </row>
    <row r="41" ht="19" customHeight="1">
      <c r="A41" s="29" t="n"/>
      <c r="B41" s="29" t="n"/>
      <c r="C41" s="30" t="inlineStr">
        <is>
          <t>- Bệ móng mố M2 chữ U (chiều cao bệ h=2.0m)</t>
        </is>
      </c>
      <c r="D41" s="31" t="inlineStr">
        <is>
          <t>m3</t>
        </is>
      </c>
      <c r="E41" s="32" t="n">
        <v>1</v>
      </c>
      <c r="F41" s="32" t="n">
        <v>13.5</v>
      </c>
      <c r="G41" s="32" t="n">
        <v>5.5</v>
      </c>
      <c r="H41" s="32" t="n">
        <v>2</v>
      </c>
      <c r="I41" s="33" t="n">
        <v>1.0033</v>
      </c>
      <c r="J41" s="34">
        <f>E41*F41*G41*H41*I41</f>
        <v/>
      </c>
      <c r="K41" s="29" t="n"/>
      <c r="L41" s="29" t="n"/>
    </row>
    <row r="42" ht="19" customHeight="1">
      <c r="A42" s="29" t="n"/>
      <c r="B42" s="29" t="n"/>
      <c r="C42" s="30" t="inlineStr">
        <is>
          <t>- Bệ móng trụ T1 thân đặc (chiều cao bệ h=2.5m)</t>
        </is>
      </c>
      <c r="D42" s="31" t="inlineStr">
        <is>
          <t>m3</t>
        </is>
      </c>
      <c r="E42" s="32" t="n">
        <v>1</v>
      </c>
      <c r="F42" s="32" t="n">
        <v>12.3</v>
      </c>
      <c r="G42" s="32" t="n">
        <v>6</v>
      </c>
      <c r="H42" s="32" t="n">
        <v>2.5</v>
      </c>
      <c r="I42" s="33" t="n">
        <v>1</v>
      </c>
      <c r="J42" s="34">
        <f>E42*F42*G42*H42*I42</f>
        <v/>
      </c>
      <c r="K42" s="29" t="n"/>
      <c r="L42" s="29" t="n"/>
    </row>
    <row r="43" ht="19" customHeight="1">
      <c r="A43" s="29" t="n"/>
      <c r="B43" s="29" t="n"/>
      <c r="C43" s="30" t="inlineStr">
        <is>
          <t>- Bệ móng trụ T2 thân đặc (chiều cao bệ h=2.5m)</t>
        </is>
      </c>
      <c r="D43" s="31" t="inlineStr">
        <is>
          <t>m3</t>
        </is>
      </c>
      <c r="E43" s="32" t="n">
        <v>1</v>
      </c>
      <c r="F43" s="32" t="n">
        <v>12.3</v>
      </c>
      <c r="G43" s="32" t="n">
        <v>6</v>
      </c>
      <c r="H43" s="32" t="n">
        <v>2.5</v>
      </c>
      <c r="I43" s="33" t="n">
        <v>1</v>
      </c>
      <c r="J43" s="34">
        <f>E43*F43*G43*H43*I43</f>
        <v/>
      </c>
      <c r="K43" s="29" t="n"/>
      <c r="L43" s="29" t="n"/>
    </row>
    <row r="44" ht="22" customHeight="1">
      <c r="A44" s="16" t="inlineStr">
        <is>
          <t>10</t>
        </is>
      </c>
      <c r="B44" s="16" t="inlineStr">
        <is>
          <t>AF.12211</t>
        </is>
      </c>
      <c r="C44" s="25" t="inlineStr">
        <is>
          <t>Bê tông thân mố chân dê M1 và mố chữ U M2 mác C30</t>
        </is>
      </c>
      <c r="D44" s="16" t="inlineStr">
        <is>
          <t>m3</t>
        </is>
      </c>
      <c r="E44" s="15" t="n"/>
      <c r="F44" s="15" t="n"/>
      <c r="G44" s="15" t="n"/>
      <c r="H44" s="15" t="n"/>
      <c r="I44" s="15" t="n"/>
      <c r="J44" s="26">
        <f>SUM(J45:J46)</f>
        <v/>
      </c>
      <c r="K44" s="27" t="n">
        <v>1520000</v>
      </c>
      <c r="L44" s="28">
        <f>J44*K44</f>
        <v/>
      </c>
    </row>
    <row r="45" ht="19" customHeight="1">
      <c r="A45" s="29" t="n"/>
      <c r="B45" s="29" t="n"/>
      <c r="C45" s="30" t="inlineStr">
        <is>
          <t>- Thân mố M1 chân dê</t>
        </is>
      </c>
      <c r="D45" s="31" t="inlineStr">
        <is>
          <t>m3</t>
        </is>
      </c>
      <c r="E45" s="32" t="n">
        <v>1</v>
      </c>
      <c r="F45" s="32" t="n">
        <v>11.75</v>
      </c>
      <c r="G45" s="32" t="n">
        <v>1.2</v>
      </c>
      <c r="H45" s="32" t="n">
        <v>6</v>
      </c>
      <c r="I45" s="33" t="n">
        <v>1</v>
      </c>
      <c r="J45" s="34">
        <f>E45*F45*G45*H45*I45</f>
        <v/>
      </c>
      <c r="K45" s="29" t="n"/>
      <c r="L45" s="29" t="n"/>
    </row>
    <row r="46" ht="19" customHeight="1">
      <c r="A46" s="29" t="n"/>
      <c r="B46" s="29" t="n"/>
      <c r="C46" s="30" t="inlineStr">
        <is>
          <t>- Thân mố M2 chữ U (tường thân trước)</t>
        </is>
      </c>
      <c r="D46" s="31" t="inlineStr">
        <is>
          <t>m3</t>
        </is>
      </c>
      <c r="E46" s="32" t="n">
        <v>1</v>
      </c>
      <c r="F46" s="32" t="n">
        <v>11.75</v>
      </c>
      <c r="G46" s="32" t="n">
        <v>1.2</v>
      </c>
      <c r="H46" s="32" t="n">
        <v>6</v>
      </c>
      <c r="I46" s="33" t="n">
        <v>1</v>
      </c>
      <c r="J46" s="34">
        <f>E46*F46*G46*H46*I46</f>
        <v/>
      </c>
      <c r="K46" s="29" t="n"/>
      <c r="L46" s="29" t="n"/>
    </row>
    <row r="47" ht="22" customHeight="1">
      <c r="A47" s="16" t="inlineStr">
        <is>
          <t>11</t>
        </is>
      </c>
      <c r="B47" s="16" t="inlineStr">
        <is>
          <t>AF.12311</t>
        </is>
      </c>
      <c r="C47" s="25" t="inlineStr">
        <is>
          <t>Bê tông tường cánh và tường đỉnh mố M1, M2 mác C30</t>
        </is>
      </c>
      <c r="D47" s="16" t="inlineStr">
        <is>
          <t>m3</t>
        </is>
      </c>
      <c r="E47" s="15" t="n"/>
      <c r="F47" s="15" t="n"/>
      <c r="G47" s="15" t="n"/>
      <c r="H47" s="15" t="n"/>
      <c r="I47" s="15" t="n"/>
      <c r="J47" s="26">
        <f>SUM(J48:J49)</f>
        <v/>
      </c>
      <c r="K47" s="27" t="n">
        <v>1520000</v>
      </c>
      <c r="L47" s="28">
        <f>J47*K47</f>
        <v/>
      </c>
    </row>
    <row r="48" ht="19" customHeight="1">
      <c r="A48" s="29" t="n"/>
      <c r="B48" s="29" t="n"/>
      <c r="C48" s="30" t="inlineStr">
        <is>
          <t>- Tường đỉnh mố M1 và M2</t>
        </is>
      </c>
      <c r="D48" s="31" t="inlineStr">
        <is>
          <t>m3</t>
        </is>
      </c>
      <c r="E48" s="32" t="n">
        <v>2</v>
      </c>
      <c r="F48" s="32" t="n">
        <v>11.75</v>
      </c>
      <c r="G48" s="32" t="n">
        <v>0.45</v>
      </c>
      <c r="H48" s="32" t="n">
        <v>2.71</v>
      </c>
      <c r="I48" s="33" t="n">
        <v>1</v>
      </c>
      <c r="J48" s="34">
        <f>E48*F48*G48*H48*I48</f>
        <v/>
      </c>
      <c r="K48" s="29" t="n"/>
      <c r="L48" s="29" t="n"/>
    </row>
    <row r="49" ht="19" customHeight="1">
      <c r="A49" s="29" t="n"/>
      <c r="B49" s="29" t="n"/>
      <c r="C49" s="30" t="inlineStr">
        <is>
          <t>- Tường cánh mố M1 và M2 (4 tường cánh vát)</t>
        </is>
      </c>
      <c r="D49" s="31" t="inlineStr">
        <is>
          <t>m3</t>
        </is>
      </c>
      <c r="E49" s="32" t="n">
        <v>4</v>
      </c>
      <c r="F49" s="32" t="n">
        <v>7.5</v>
      </c>
      <c r="G49" s="32" t="n">
        <v>0.4</v>
      </c>
      <c r="H49" s="32" t="n">
        <v>4.22</v>
      </c>
      <c r="I49" s="33" t="n">
        <v>0.4</v>
      </c>
      <c r="J49" s="34">
        <f>E49*F49*G49*H49*I49</f>
        <v/>
      </c>
      <c r="K49" s="29" t="n"/>
      <c r="L49" s="29" t="n"/>
    </row>
    <row r="50" ht="22" customHeight="1">
      <c r="A50" s="16" t="inlineStr">
        <is>
          <t>12</t>
        </is>
      </c>
      <c r="B50" s="16" t="inlineStr">
        <is>
          <t>AF.13111</t>
        </is>
      </c>
      <c r="C50" s="25" t="inlineStr">
        <is>
          <t>Bê tông thân đặc trụ T1 và T2 mác C30</t>
        </is>
      </c>
      <c r="D50" s="16" t="inlineStr">
        <is>
          <t>m3</t>
        </is>
      </c>
      <c r="E50" s="15" t="n"/>
      <c r="F50" s="15" t="n"/>
      <c r="G50" s="15" t="n"/>
      <c r="H50" s="15" t="n"/>
      <c r="I50" s="15" t="n"/>
      <c r="J50" s="26">
        <f>SUM(J51:J52)</f>
        <v/>
      </c>
      <c r="K50" s="27" t="n">
        <v>1550000</v>
      </c>
      <c r="L50" s="28">
        <f>J50*K50</f>
        <v/>
      </c>
    </row>
    <row r="51" ht="19" customHeight="1">
      <c r="A51" s="29" t="n"/>
      <c r="B51" s="29" t="n"/>
      <c r="C51" s="30" t="inlineStr">
        <is>
          <t>- Thân đặc trụ T1 (chiều cao trụ H=14.5m)</t>
        </is>
      </c>
      <c r="D51" s="31" t="inlineStr">
        <is>
          <t>m3</t>
        </is>
      </c>
      <c r="E51" s="32" t="n">
        <v>1</v>
      </c>
      <c r="F51" s="32" t="n">
        <v>9.75</v>
      </c>
      <c r="G51" s="32" t="n">
        <v>2</v>
      </c>
      <c r="H51" s="32" t="n">
        <v>14.5</v>
      </c>
      <c r="I51" s="33" t="n">
        <v>0.995</v>
      </c>
      <c r="J51" s="34">
        <f>E51*F51*G51*H51*I51</f>
        <v/>
      </c>
      <c r="K51" s="29" t="n"/>
      <c r="L51" s="29" t="n"/>
    </row>
    <row r="52" ht="19" customHeight="1">
      <c r="A52" s="29" t="n"/>
      <c r="B52" s="29" t="n"/>
      <c r="C52" s="30" t="inlineStr">
        <is>
          <t>- Thân đặc trụ T2 (chiều cao trụ H=11.4m)</t>
        </is>
      </c>
      <c r="D52" s="31" t="inlineStr">
        <is>
          <t>m3</t>
        </is>
      </c>
      <c r="E52" s="32" t="n">
        <v>1</v>
      </c>
      <c r="F52" s="32" t="n">
        <v>9.75</v>
      </c>
      <c r="G52" s="32" t="n">
        <v>2</v>
      </c>
      <c r="H52" s="32" t="n">
        <v>11.4</v>
      </c>
      <c r="I52" s="33" t="n">
        <v>0.995</v>
      </c>
      <c r="J52" s="34">
        <f>E52*F52*G52*H52*I52</f>
        <v/>
      </c>
      <c r="K52" s="29" t="n"/>
      <c r="L52" s="29" t="n"/>
    </row>
    <row r="53" ht="22" customHeight="1">
      <c r="A53" s="16" t="inlineStr">
        <is>
          <t>13</t>
        </is>
      </c>
      <c r="B53" s="16" t="inlineStr">
        <is>
          <t>AF.13211</t>
        </is>
      </c>
      <c r="C53" s="25" t="inlineStr">
        <is>
          <t>Bê tông xà mũ trụ T1, T2 mác C30</t>
        </is>
      </c>
      <c r="D53" s="16" t="inlineStr">
        <is>
          <t>m3</t>
        </is>
      </c>
      <c r="E53" s="15" t="n"/>
      <c r="F53" s="15" t="n"/>
      <c r="G53" s="15" t="n"/>
      <c r="H53" s="15" t="n"/>
      <c r="I53" s="15" t="n"/>
      <c r="J53" s="26">
        <f>SUM(J54:J55)</f>
        <v/>
      </c>
      <c r="K53" s="27" t="n">
        <v>1580000</v>
      </c>
      <c r="L53" s="28">
        <f>J53*K53</f>
        <v/>
      </c>
    </row>
    <row r="54" ht="19" customHeight="1">
      <c r="A54" s="29" t="n"/>
      <c r="B54" s="29" t="n"/>
      <c r="C54" s="30" t="inlineStr">
        <is>
          <t>- Xà mũ trụ T1 (kích thước vát 12.3m x 3.3m x 1.8m)</t>
        </is>
      </c>
      <c r="D54" s="31" t="inlineStr">
        <is>
          <t>m3</t>
        </is>
      </c>
      <c r="E54" s="32" t="n">
        <v>1</v>
      </c>
      <c r="F54" s="32" t="n">
        <v>12.3</v>
      </c>
      <c r="G54" s="32" t="n">
        <v>3.3</v>
      </c>
      <c r="H54" s="32" t="n">
        <v>1.8</v>
      </c>
      <c r="I54" s="33" t="n">
        <v>1</v>
      </c>
      <c r="J54" s="34">
        <f>E54*F54*G54*H54*I54</f>
        <v/>
      </c>
      <c r="K54" s="29" t="n"/>
      <c r="L54" s="29" t="n"/>
    </row>
    <row r="55" ht="19" customHeight="1">
      <c r="A55" s="29" t="n"/>
      <c r="B55" s="29" t="n"/>
      <c r="C55" s="30" t="inlineStr">
        <is>
          <t>- Xà mũ trụ T2 (kích thước vát 12.3m x 3.3m x 1.8m)</t>
        </is>
      </c>
      <c r="D55" s="31" t="inlineStr">
        <is>
          <t>m3</t>
        </is>
      </c>
      <c r="E55" s="32" t="n">
        <v>1</v>
      </c>
      <c r="F55" s="32" t="n">
        <v>12.3</v>
      </c>
      <c r="G55" s="32" t="n">
        <v>3.3</v>
      </c>
      <c r="H55" s="32" t="n">
        <v>1.8</v>
      </c>
      <c r="I55" s="33" t="n">
        <v>1</v>
      </c>
      <c r="J55" s="34">
        <f>E55*F55*G55*H55*I55</f>
        <v/>
      </c>
      <c r="K55" s="29" t="n"/>
      <c r="L55" s="29" t="n"/>
    </row>
    <row r="56" ht="22" customHeight="1">
      <c r="A56" s="16" t="inlineStr">
        <is>
          <t>14</t>
        </is>
      </c>
      <c r="B56" s="16" t="inlineStr">
        <is>
          <t>AF.62111</t>
        </is>
      </c>
      <c r="C56" s="25" t="inlineStr">
        <is>
          <t>Cốt thép mố và trụ (D&lt;=10, 10&lt;D&lt;=18, D&gt;18)</t>
        </is>
      </c>
      <c r="D56" s="16" t="inlineStr">
        <is>
          <t>Tấn</t>
        </is>
      </c>
      <c r="E56" s="15" t="n"/>
      <c r="F56" s="15" t="n"/>
      <c r="G56" s="15" t="n"/>
      <c r="H56" s="15" t="n"/>
      <c r="I56" s="15" t="n"/>
      <c r="J56" s="35" t="n">
        <v>224.6522560819999</v>
      </c>
      <c r="K56" s="27" t="n">
        <v>18500000</v>
      </c>
      <c r="L56" s="28">
        <f>J56*K56</f>
        <v/>
      </c>
    </row>
    <row r="57" ht="19" customHeight="1">
      <c r="A57" s="29" t="n"/>
      <c r="B57" s="29" t="n"/>
      <c r="C57" s="30" t="inlineStr">
        <is>
          <t>- Cốt thép mố M1 (tổng hợp bản vẽ Trang 31)</t>
        </is>
      </c>
      <c r="D57" s="31" t="inlineStr">
        <is>
          <t>Tấn</t>
        </is>
      </c>
      <c r="E57" s="32" t="n">
        <v>1</v>
      </c>
      <c r="F57" s="32" t="n">
        <v>23.45</v>
      </c>
      <c r="G57" s="32" t="n">
        <v>1</v>
      </c>
      <c r="H57" s="32" t="n">
        <v>1</v>
      </c>
      <c r="I57" s="33" t="n">
        <v>1</v>
      </c>
      <c r="J57" s="34">
        <f>E57*F57*G57*H57*I57</f>
        <v/>
      </c>
      <c r="K57" s="29" t="n"/>
      <c r="L57" s="29" t="n"/>
    </row>
    <row r="58" ht="19" customHeight="1">
      <c r="A58" s="29" t="n"/>
      <c r="B58" s="29" t="n"/>
      <c r="C58" s="30" t="inlineStr">
        <is>
          <t>- Cốt thép mố M2 (tổng hợp bản vẽ Trang 40)</t>
        </is>
      </c>
      <c r="D58" s="31" t="inlineStr">
        <is>
          <t>Tấn</t>
        </is>
      </c>
      <c r="E58" s="32" t="n">
        <v>1</v>
      </c>
      <c r="F58" s="32" t="n">
        <v>31.85</v>
      </c>
      <c r="G58" s="32" t="n">
        <v>1</v>
      </c>
      <c r="H58" s="32" t="n">
        <v>1</v>
      </c>
      <c r="I58" s="33" t="n">
        <v>1</v>
      </c>
      <c r="J58" s="34">
        <f>E58*F58*G58*H58*I58</f>
        <v/>
      </c>
      <c r="K58" s="29" t="n"/>
      <c r="L58" s="29" t="n"/>
    </row>
    <row r="59" ht="19" customHeight="1">
      <c r="A59" s="29" t="n"/>
      <c r="B59" s="29" t="n"/>
      <c r="C59" s="30" t="inlineStr">
        <is>
          <t>- Cốt thép trụ T1 (bệ, thân, xà mũ)</t>
        </is>
      </c>
      <c r="D59" s="31" t="inlineStr">
        <is>
          <t>Tấn</t>
        </is>
      </c>
      <c r="E59" s="32" t="n">
        <v>1</v>
      </c>
      <c r="F59" s="32" t="n">
        <v>38.6</v>
      </c>
      <c r="G59" s="32" t="n">
        <v>1</v>
      </c>
      <c r="H59" s="32" t="n">
        <v>1</v>
      </c>
      <c r="I59" s="33" t="n">
        <v>1</v>
      </c>
      <c r="J59" s="34">
        <f>E59*F59*G59*H59*I59</f>
        <v/>
      </c>
      <c r="K59" s="29" t="n"/>
      <c r="L59" s="29" t="n"/>
    </row>
    <row r="60" ht="19" customHeight="1">
      <c r="A60" s="29" t="n"/>
      <c r="B60" s="29" t="n"/>
      <c r="C60" s="30" t="inlineStr">
        <is>
          <t>- Cốt thép trụ T2 (bệ, thân, xà mũ)</t>
        </is>
      </c>
      <c r="D60" s="31" t="inlineStr">
        <is>
          <t>Tấn</t>
        </is>
      </c>
      <c r="E60" s="32" t="n">
        <v>1</v>
      </c>
      <c r="F60" s="32" t="n">
        <v>34.2</v>
      </c>
      <c r="G60" s="32" t="n">
        <v>1</v>
      </c>
      <c r="H60" s="32" t="n">
        <v>1</v>
      </c>
      <c r="I60" s="33" t="n">
        <v>1</v>
      </c>
      <c r="J60" s="34">
        <f>E60*F60*G60*H60*I60</f>
        <v/>
      </c>
      <c r="K60" s="29" t="n"/>
      <c r="L60" s="29" t="n"/>
    </row>
    <row r="61" ht="24" customHeight="1">
      <c r="A61" s="14" t="inlineStr">
        <is>
          <t>PHẦN III: KẾT CẤU PHẦN TRÊN (15 PHIẾN DẦM SUPER-T L=38.2M, BẢN MẶT CẦU)</t>
        </is>
      </c>
    </row>
    <row r="62" ht="22" customHeight="1">
      <c r="A62" s="16" t="inlineStr">
        <is>
          <t>15</t>
        </is>
      </c>
      <c r="B62" s="16" t="inlineStr">
        <is>
          <t>AF.31111</t>
        </is>
      </c>
      <c r="C62" s="25" t="inlineStr">
        <is>
          <t>Bê tông dầm chủ Super-T L=38.2m mác cao C45/55</t>
        </is>
      </c>
      <c r="D62" s="16" t="inlineStr">
        <is>
          <t>m3</t>
        </is>
      </c>
      <c r="E62" s="15" t="n"/>
      <c r="F62" s="15" t="n"/>
      <c r="G62" s="15" t="n"/>
      <c r="H62" s="15" t="n"/>
      <c r="I62" s="15" t="n"/>
      <c r="J62" s="26">
        <f>SUM(J63:J63)</f>
        <v/>
      </c>
      <c r="K62" s="27" t="n">
        <v>2150000</v>
      </c>
      <c r="L62" s="28">
        <f>J62*K62</f>
        <v/>
      </c>
    </row>
    <row r="63" ht="19" customHeight="1">
      <c r="A63" s="29" t="n"/>
      <c r="B63" s="29" t="n"/>
      <c r="C63" s="30" t="inlineStr">
        <is>
          <t>- Bê tông 15 phiến dầm Super-T (chiều dài L=38.2m, F_tb=0.759m2)</t>
        </is>
      </c>
      <c r="D63" s="31" t="inlineStr">
        <is>
          <t>m3</t>
        </is>
      </c>
      <c r="E63" s="32" t="n">
        <v>15</v>
      </c>
      <c r="F63" s="32" t="n">
        <v>38.2</v>
      </c>
      <c r="G63" s="32" t="n">
        <v>0.759</v>
      </c>
      <c r="H63" s="32" t="n">
        <v>1</v>
      </c>
      <c r="I63" s="33" t="n">
        <v>1</v>
      </c>
      <c r="J63" s="34">
        <f>E63*F63*G63*H63*I63</f>
        <v/>
      </c>
      <c r="K63" s="29" t="n"/>
      <c r="L63" s="29" t="n"/>
    </row>
    <row r="64" ht="22" customHeight="1">
      <c r="A64" s="16" t="inlineStr">
        <is>
          <t>16</t>
        </is>
      </c>
      <c r="B64" s="16" t="inlineStr">
        <is>
          <t>AF.63111</t>
        </is>
      </c>
      <c r="C64" s="25" t="inlineStr">
        <is>
          <t>Cáp dự ứng lực tao xoắn 15.2mm Grade 270 kéo căng trước/sau</t>
        </is>
      </c>
      <c r="D64" s="16" t="inlineStr">
        <is>
          <t>Tấn</t>
        </is>
      </c>
      <c r="E64" s="15" t="n"/>
      <c r="F64" s="15" t="n"/>
      <c r="G64" s="15" t="n"/>
      <c r="H64" s="15" t="n"/>
      <c r="I64" s="15" t="n"/>
      <c r="J64" s="35" t="n">
        <v>27.78362400000001</v>
      </c>
      <c r="K64" s="27" t="n">
        <v>42000000</v>
      </c>
      <c r="L64" s="28">
        <f>J64*K64</f>
        <v/>
      </c>
    </row>
    <row r="65" ht="19" customHeight="1">
      <c r="A65" s="29" t="n"/>
      <c r="B65" s="29" t="n"/>
      <c r="C65" s="30" t="inlineStr">
        <is>
          <t>- Cáp DUL 15 phiến dầm Super-T (15 phiến x 1.994 tấn/phiến)</t>
        </is>
      </c>
      <c r="D65" s="31" t="inlineStr">
        <is>
          <t>Tấn</t>
        </is>
      </c>
      <c r="E65" s="32" t="n">
        <v>15</v>
      </c>
      <c r="F65" s="32" t="n">
        <v>1.994</v>
      </c>
      <c r="G65" s="32" t="n">
        <v>1</v>
      </c>
      <c r="H65" s="32" t="n">
        <v>1</v>
      </c>
      <c r="I65" s="33" t="n">
        <v>1</v>
      </c>
      <c r="J65" s="34">
        <f>E65*F65*G65*H65*I65</f>
        <v/>
      </c>
      <c r="K65" s="29" t="n"/>
      <c r="L65" s="29" t="n"/>
    </row>
    <row r="66" ht="22" customHeight="1">
      <c r="A66" s="16" t="inlineStr">
        <is>
          <t>17</t>
        </is>
      </c>
      <c r="B66" s="16" t="inlineStr">
        <is>
          <t>AF.64111</t>
        </is>
      </c>
      <c r="C66" s="25" t="inlineStr">
        <is>
          <t>Cốt thép thường dầm chủ Super-T (D10, D14, D16, D20)</t>
        </is>
      </c>
      <c r="D66" s="16" t="inlineStr">
        <is>
          <t>Tấn</t>
        </is>
      </c>
      <c r="E66" s="15" t="n"/>
      <c r="F66" s="15" t="n"/>
      <c r="G66" s="15" t="n"/>
      <c r="H66" s="15" t="n"/>
      <c r="I66" s="15" t="n"/>
      <c r="J66" s="35" t="n">
        <v>361.5960984</v>
      </c>
      <c r="K66" s="27" t="n">
        <v>18800000</v>
      </c>
      <c r="L66" s="28">
        <f>J66*K66</f>
        <v/>
      </c>
    </row>
    <row r="67" ht="19" customHeight="1">
      <c r="A67" s="29" t="n"/>
      <c r="B67" s="29" t="n"/>
      <c r="C67" s="30" t="inlineStr">
        <is>
          <t>- Cốt thép thường 15 phiến dầm Super-T (15 phiến x 6.042 tấn/phiến)</t>
        </is>
      </c>
      <c r="D67" s="31" t="inlineStr">
        <is>
          <t>Tấn</t>
        </is>
      </c>
      <c r="E67" s="32" t="n">
        <v>15</v>
      </c>
      <c r="F67" s="32" t="n">
        <v>6.042</v>
      </c>
      <c r="G67" s="32" t="n">
        <v>1</v>
      </c>
      <c r="H67" s="32" t="n">
        <v>1</v>
      </c>
      <c r="I67" s="33" t="n">
        <v>1</v>
      </c>
      <c r="J67" s="34">
        <f>E67*F67*G67*H67*I67</f>
        <v/>
      </c>
      <c r="K67" s="29" t="n"/>
      <c r="L67" s="29" t="n"/>
    </row>
    <row r="68" ht="22" customHeight="1">
      <c r="A68" s="16" t="inlineStr">
        <is>
          <t>18</t>
        </is>
      </c>
      <c r="B68" s="16" t="inlineStr">
        <is>
          <t>AC.21111</t>
        </is>
      </c>
      <c r="C68" s="25" t="inlineStr">
        <is>
          <t>Vận chuyển và lao lắp 15 phiến dầm Super-T bằng giá lao dầm ray P43</t>
        </is>
      </c>
      <c r="D68" s="16" t="inlineStr">
        <is>
          <t>Phiến</t>
        </is>
      </c>
      <c r="E68" s="15" t="n"/>
      <c r="F68" s="15" t="n"/>
      <c r="G68" s="15" t="n"/>
      <c r="H68" s="15" t="n"/>
      <c r="I68" s="15" t="n"/>
      <c r="J68" s="26">
        <f>SUM(J69:J69)</f>
        <v/>
      </c>
      <c r="K68" s="27" t="n">
        <v>18500000</v>
      </c>
      <c r="L68" s="28">
        <f>J68*K68</f>
        <v/>
      </c>
    </row>
    <row r="69" ht="19" customHeight="1">
      <c r="A69" s="29" t="n"/>
      <c r="B69" s="29" t="n"/>
      <c r="C69" s="30" t="inlineStr">
        <is>
          <t>- Lao lắp hoàn chỉnh 15 phiến dầm vào 3 nhịp (3 nhịp x 5 phiến)</t>
        </is>
      </c>
      <c r="D69" s="31" t="inlineStr">
        <is>
          <t>Phiến</t>
        </is>
      </c>
      <c r="E69" s="32" t="n">
        <v>3</v>
      </c>
      <c r="F69" s="32" t="n">
        <v>5</v>
      </c>
      <c r="G69" s="32" t="n">
        <v>1</v>
      </c>
      <c r="H69" s="32" t="n">
        <v>1</v>
      </c>
      <c r="I69" s="33" t="n">
        <v>1</v>
      </c>
      <c r="J69" s="34">
        <f>E69*F69*G69*H69*I69</f>
        <v/>
      </c>
      <c r="K69" s="29" t="n"/>
      <c r="L69" s="29" t="n"/>
    </row>
    <row r="70" ht="22" customHeight="1">
      <c r="A70" s="16" t="inlineStr">
        <is>
          <t>19</t>
        </is>
      </c>
      <c r="B70" s="16" t="inlineStr">
        <is>
          <t>AF.32111</t>
        </is>
      </c>
      <c r="C70" s="25" t="inlineStr">
        <is>
          <t>Gối chậu cao su di động đơn hướng và song hướng</t>
        </is>
      </c>
      <c r="D70" s="16" t="inlineStr">
        <is>
          <t>Cái</t>
        </is>
      </c>
      <c r="E70" s="15" t="n"/>
      <c r="F70" s="15" t="n"/>
      <c r="G70" s="15" t="n"/>
      <c r="H70" s="15" t="n"/>
      <c r="I70" s="15" t="n"/>
      <c r="J70" s="26">
        <f>SUM(J71:J72)</f>
        <v/>
      </c>
      <c r="K70" s="27" t="n">
        <v>12500000</v>
      </c>
      <c r="L70" s="28">
        <f>J70*K70</f>
        <v/>
      </c>
    </row>
    <row r="71" ht="19" customHeight="1">
      <c r="A71" s="29" t="n"/>
      <c r="B71" s="29" t="n"/>
      <c r="C71" s="30" t="inlineStr">
        <is>
          <t>- Gối chậu đơn hướng (15 vị trí trên mố và trụ)</t>
        </is>
      </c>
      <c r="D71" s="31" t="inlineStr">
        <is>
          <t>Cái</t>
        </is>
      </c>
      <c r="E71" s="32" t="n">
        <v>15</v>
      </c>
      <c r="F71" s="32" t="n">
        <v>1</v>
      </c>
      <c r="G71" s="32" t="n">
        <v>1</v>
      </c>
      <c r="H71" s="32" t="n">
        <v>1</v>
      </c>
      <c r="I71" s="33" t="n">
        <v>1</v>
      </c>
      <c r="J71" s="34">
        <f>E71*F71*G71*H71*I71</f>
        <v/>
      </c>
      <c r="K71" s="29" t="n"/>
      <c r="L71" s="29" t="n"/>
    </row>
    <row r="72" ht="19" customHeight="1">
      <c r="A72" s="29" t="n"/>
      <c r="B72" s="29" t="n"/>
      <c r="C72" s="30" t="inlineStr">
        <is>
          <t>- Gối chậu song hướng (15 vị trí trên mố và trụ)</t>
        </is>
      </c>
      <c r="D72" s="31" t="inlineStr">
        <is>
          <t>Cái</t>
        </is>
      </c>
      <c r="E72" s="32" t="n">
        <v>15</v>
      </c>
      <c r="F72" s="32" t="n">
        <v>1</v>
      </c>
      <c r="G72" s="32" t="n">
        <v>1</v>
      </c>
      <c r="H72" s="32" t="n">
        <v>1</v>
      </c>
      <c r="I72" s="33" t="n">
        <v>1</v>
      </c>
      <c r="J72" s="34">
        <f>E72*F72*G72*H72*I72</f>
        <v/>
      </c>
      <c r="K72" s="29" t="n"/>
      <c r="L72" s="29" t="n"/>
    </row>
    <row r="73" ht="22" customHeight="1">
      <c r="A73" s="16" t="inlineStr">
        <is>
          <t>20</t>
        </is>
      </c>
      <c r="B73" s="16" t="inlineStr">
        <is>
          <t>AF.33111</t>
        </is>
      </c>
      <c r="C73" s="25" t="inlineStr">
        <is>
          <t>Bê tông dầm ngang mố và trụ mác C35</t>
        </is>
      </c>
      <c r="D73" s="16" t="inlineStr">
        <is>
          <t>m3</t>
        </is>
      </c>
      <c r="E73" s="15" t="n"/>
      <c r="F73" s="15" t="n"/>
      <c r="G73" s="15" t="n"/>
      <c r="H73" s="15" t="n"/>
      <c r="I73" s="15" t="n"/>
      <c r="J73" s="26">
        <f>SUM(J74:J74)</f>
        <v/>
      </c>
      <c r="K73" s="27" t="n">
        <v>1650000</v>
      </c>
      <c r="L73" s="28">
        <f>J73*K73</f>
        <v/>
      </c>
    </row>
    <row r="74" ht="19" customHeight="1">
      <c r="A74" s="29" t="n"/>
      <c r="B74" s="29" t="n"/>
      <c r="C74" s="30" t="inlineStr">
        <is>
          <t>- Dầm ngang tại 2 mố và 2 trụ</t>
        </is>
      </c>
      <c r="D74" s="31" t="inlineStr">
        <is>
          <t>m3</t>
        </is>
      </c>
      <c r="E74" s="32" t="n">
        <v>4</v>
      </c>
      <c r="F74" s="32" t="n">
        <v>12.3</v>
      </c>
      <c r="G74" s="32" t="n">
        <v>0.45</v>
      </c>
      <c r="H74" s="32" t="n">
        <v>1.8</v>
      </c>
      <c r="I74" s="33" t="n">
        <v>1</v>
      </c>
      <c r="J74" s="34">
        <f>E74*F74*G74*H74*I74</f>
        <v/>
      </c>
      <c r="K74" s="29" t="n"/>
      <c r="L74" s="29" t="n"/>
    </row>
    <row r="75" ht="22" customHeight="1">
      <c r="A75" s="16" t="inlineStr">
        <is>
          <t>21</t>
        </is>
      </c>
      <c r="B75" s="16" t="inlineStr">
        <is>
          <t>AF.34111</t>
        </is>
      </c>
      <c r="C75" s="25" t="inlineStr">
        <is>
          <t>Cung cấp và lắp đặt tấm ván khuôn đúc sẵn đáy bản mặt cầu</t>
        </is>
      </c>
      <c r="D75" s="16" t="inlineStr">
        <is>
          <t>Tấm</t>
        </is>
      </c>
      <c r="E75" s="15" t="n"/>
      <c r="F75" s="15" t="n"/>
      <c r="G75" s="15" t="n"/>
      <c r="H75" s="15" t="n"/>
      <c r="I75" s="15" t="n"/>
      <c r="J75" s="26">
        <f>SUM(J76:J76)</f>
        <v/>
      </c>
      <c r="K75" s="27" t="n">
        <v>285000</v>
      </c>
      <c r="L75" s="28">
        <f>J75*K75</f>
        <v/>
      </c>
    </row>
    <row r="76" ht="19" customHeight="1">
      <c r="A76" s="29" t="n"/>
      <c r="B76" s="29" t="n"/>
      <c r="C76" s="30" t="inlineStr">
        <is>
          <t>- Tấm ván khuôn đúc sẵn (510 tấm toàn cầu)</t>
        </is>
      </c>
      <c r="D76" s="31" t="inlineStr">
        <is>
          <t>Tấm</t>
        </is>
      </c>
      <c r="E76" s="32" t="n">
        <v>510</v>
      </c>
      <c r="F76" s="32" t="n">
        <v>1</v>
      </c>
      <c r="G76" s="32" t="n">
        <v>1</v>
      </c>
      <c r="H76" s="32" t="n">
        <v>1</v>
      </c>
      <c r="I76" s="33" t="n">
        <v>1</v>
      </c>
      <c r="J76" s="34">
        <f>E76*F76*G76*H76*I76</f>
        <v/>
      </c>
      <c r="K76" s="29" t="n"/>
      <c r="L76" s="29" t="n"/>
    </row>
    <row r="77" ht="22" customHeight="1">
      <c r="A77" s="16" t="inlineStr">
        <is>
          <t>22</t>
        </is>
      </c>
      <c r="B77" s="16" t="inlineStr">
        <is>
          <t>AF.35111</t>
        </is>
      </c>
      <c r="C77" s="25" t="inlineStr">
        <is>
          <t>Bê tông bản mặt cầu đổ tại chỗ dày 180mm mác C35</t>
        </is>
      </c>
      <c r="D77" s="16" t="inlineStr">
        <is>
          <t>m3</t>
        </is>
      </c>
      <c r="E77" s="15" t="n"/>
      <c r="F77" s="15" t="n"/>
      <c r="G77" s="15" t="n"/>
      <c r="H77" s="15" t="n"/>
      <c r="I77" s="15" t="n"/>
      <c r="J77" s="26">
        <f>SUM(J78:J78)</f>
        <v/>
      </c>
      <c r="K77" s="27" t="n">
        <v>1680000</v>
      </c>
      <c r="L77" s="28">
        <f>J77*K77</f>
        <v/>
      </c>
    </row>
    <row r="78" ht="19" customHeight="1">
      <c r="A78" s="29" t="n"/>
      <c r="B78" s="29" t="n"/>
      <c r="C78" s="30" t="inlineStr">
        <is>
          <t>- Bê tông bản mặt cầu 3 nhịp (L=118.2m, B=12.615m, d=0.18m, trừ dầm)</t>
        </is>
      </c>
      <c r="D78" s="31" t="inlineStr">
        <is>
          <t>m3</t>
        </is>
      </c>
      <c r="E78" s="32" t="n">
        <v>1</v>
      </c>
      <c r="F78" s="32" t="n">
        <v>118.2</v>
      </c>
      <c r="G78" s="32" t="n">
        <v>12.615</v>
      </c>
      <c r="H78" s="32" t="n">
        <v>0.18</v>
      </c>
      <c r="I78" s="33" t="n">
        <v>1.1378</v>
      </c>
      <c r="J78" s="34">
        <f>E78*F78*G78*H78*I78</f>
        <v/>
      </c>
      <c r="K78" s="29" t="n"/>
      <c r="L78" s="29" t="n"/>
    </row>
    <row r="79" ht="22" customHeight="1">
      <c r="A79" s="16" t="inlineStr">
        <is>
          <t>23</t>
        </is>
      </c>
      <c r="B79" s="16" t="inlineStr">
        <is>
          <t>AF.36111</t>
        </is>
      </c>
      <c r="C79" s="25" t="inlineStr">
        <is>
          <t>Bê tông mối nối liên tục nhiệt đỉnh trụ T1, T2 mác C35</t>
        </is>
      </c>
      <c r="D79" s="16" t="inlineStr">
        <is>
          <t>m3</t>
        </is>
      </c>
      <c r="E79" s="15" t="n"/>
      <c r="F79" s="15" t="n"/>
      <c r="G79" s="15" t="n"/>
      <c r="H79" s="15" t="n"/>
      <c r="I79" s="15" t="n"/>
      <c r="J79" s="26">
        <f>SUM(J80:J80)</f>
        <v/>
      </c>
      <c r="K79" s="27" t="n">
        <v>1700000</v>
      </c>
      <c r="L79" s="28">
        <f>J79*K79</f>
        <v/>
      </c>
    </row>
    <row r="80" ht="19" customHeight="1">
      <c r="A80" s="29" t="n"/>
      <c r="B80" s="29" t="n"/>
      <c r="C80" s="30" t="inlineStr">
        <is>
          <t>- Bản liên tục nhiệt tại trụ T1 và T2</t>
        </is>
      </c>
      <c r="D80" s="31" t="inlineStr">
        <is>
          <t>m3</t>
        </is>
      </c>
      <c r="E80" s="32" t="n">
        <v>2</v>
      </c>
      <c r="F80" s="32" t="n">
        <v>12.615</v>
      </c>
      <c r="G80" s="32" t="n">
        <v>4</v>
      </c>
      <c r="H80" s="32" t="n">
        <v>0.216</v>
      </c>
      <c r="I80" s="33" t="n">
        <v>1</v>
      </c>
      <c r="J80" s="34">
        <f>E80*F80*G80*H80*I80</f>
        <v/>
      </c>
      <c r="K80" s="29" t="n"/>
      <c r="L80" s="29" t="n"/>
    </row>
    <row r="81" ht="22" customHeight="1">
      <c r="A81" s="16" t="inlineStr">
        <is>
          <t>24</t>
        </is>
      </c>
      <c r="B81" s="16" t="inlineStr">
        <is>
          <t>AF.65111</t>
        </is>
      </c>
      <c r="C81" s="25" t="inlineStr">
        <is>
          <t>Cốt thép bản mặt cầu và mối nối liên tục nhiệt (D14, D16)</t>
        </is>
      </c>
      <c r="D81" s="16" t="inlineStr">
        <is>
          <t>Tấn</t>
        </is>
      </c>
      <c r="E81" s="15" t="n"/>
      <c r="F81" s="15" t="n"/>
      <c r="G81" s="15" t="n"/>
      <c r="H81" s="15" t="n"/>
      <c r="I81" s="15" t="n"/>
      <c r="J81" s="26">
        <f>SUM(J82:J82)</f>
        <v/>
      </c>
      <c r="K81" s="27" t="n">
        <v>18500000</v>
      </c>
      <c r="L81" s="28">
        <f>J81*K81</f>
        <v/>
      </c>
    </row>
    <row r="82" ht="19" customHeight="1">
      <c r="A82" s="29" t="n"/>
      <c r="B82" s="29" t="n"/>
      <c r="C82" s="30" t="inlineStr">
        <is>
          <t>- Thép bản mặt cầu loại 1, loại 2, loại 3 &amp; liên tục nhiệt</t>
        </is>
      </c>
      <c r="D82" s="31" t="inlineStr">
        <is>
          <t>Tấn</t>
        </is>
      </c>
      <c r="E82" s="32" t="n">
        <v>1</v>
      </c>
      <c r="F82" s="32" t="n">
        <v>33.07</v>
      </c>
      <c r="G82" s="32" t="n">
        <v>1</v>
      </c>
      <c r="H82" s="32" t="n">
        <v>1</v>
      </c>
      <c r="I82" s="33" t="n">
        <v>1</v>
      </c>
      <c r="J82" s="34">
        <f>E82*F82*G82*H82*I82</f>
        <v/>
      </c>
      <c r="K82" s="29" t="n"/>
      <c r="L82" s="29" t="n"/>
    </row>
    <row r="83" ht="22" customHeight="1">
      <c r="A83" s="16" t="inlineStr">
        <is>
          <t>25</t>
        </is>
      </c>
      <c r="B83" s="16" t="inlineStr">
        <is>
          <t>AC.31111</t>
        </is>
      </c>
      <c r="C83" s="25" t="inlineStr">
        <is>
          <t>Khe co giãn răng lược thép D=100mm mạ kẽm nhúng nóng</t>
        </is>
      </c>
      <c r="D83" s="16" t="inlineStr">
        <is>
          <t>m</t>
        </is>
      </c>
      <c r="E83" s="15" t="n"/>
      <c r="F83" s="15" t="n"/>
      <c r="G83" s="15" t="n"/>
      <c r="H83" s="15" t="n"/>
      <c r="I83" s="15" t="n"/>
      <c r="J83" s="26">
        <f>SUM(J84:J84)</f>
        <v/>
      </c>
      <c r="K83" s="27" t="n">
        <v>8500000</v>
      </c>
      <c r="L83" s="28">
        <f>J83*K83</f>
        <v/>
      </c>
    </row>
    <row r="84" ht="19" customHeight="1">
      <c r="A84" s="29" t="n"/>
      <c r="B84" s="29" t="n"/>
      <c r="C84" s="30" t="inlineStr">
        <is>
          <t>- Khe co giãn mố M1 và M2 (2 vị trí x 12.25m)</t>
        </is>
      </c>
      <c r="D84" s="31" t="inlineStr">
        <is>
          <t>m</t>
        </is>
      </c>
      <c r="E84" s="32" t="n">
        <v>2</v>
      </c>
      <c r="F84" s="32" t="n">
        <v>12.25</v>
      </c>
      <c r="G84" s="32" t="n">
        <v>1</v>
      </c>
      <c r="H84" s="32" t="n">
        <v>1</v>
      </c>
      <c r="I84" s="33" t="n">
        <v>1</v>
      </c>
      <c r="J84" s="34">
        <f>E84*F84*G84*H84*I84</f>
        <v/>
      </c>
      <c r="K84" s="29" t="n"/>
      <c r="L84" s="29" t="n"/>
    </row>
    <row r="85" ht="24" customHeight="1">
      <c r="A85" s="14" t="inlineStr">
        <is>
          <t>PHẦN IV: KẾT CẤU PHỤ TRỢ, ĐƯỜNG ĐẦU CẦU &amp; HOÀN THIỆN TOÀN CẦU</t>
        </is>
      </c>
    </row>
    <row r="86" ht="22" customHeight="1">
      <c r="A86" s="16" t="inlineStr">
        <is>
          <t>26</t>
        </is>
      </c>
      <c r="B86" s="16" t="inlineStr">
        <is>
          <t>AF.41111</t>
        </is>
      </c>
      <c r="C86" s="25" t="inlineStr">
        <is>
          <t>Bê tông bản quá độ sau mố M1, M2 mác C25</t>
        </is>
      </c>
      <c r="D86" s="16" t="inlineStr">
        <is>
          <t>m3</t>
        </is>
      </c>
      <c r="E86" s="15" t="n"/>
      <c r="F86" s="15" t="n"/>
      <c r="G86" s="15" t="n"/>
      <c r="H86" s="15" t="n"/>
      <c r="I86" s="15" t="n"/>
      <c r="J86" s="26">
        <f>SUM(J87:J88)</f>
        <v/>
      </c>
      <c r="K86" s="27" t="n">
        <v>1450000</v>
      </c>
      <c r="L86" s="28">
        <f>J86*K86</f>
        <v/>
      </c>
    </row>
    <row r="87" ht="19" customHeight="1">
      <c r="A87" s="29" t="n"/>
      <c r="B87" s="29" t="n"/>
      <c r="C87" s="30" t="inlineStr">
        <is>
          <t>- Bản quá độ sau mố M1 (L=8.0m, B=12.5m, d=0.35m)</t>
        </is>
      </c>
      <c r="D87" s="31" t="inlineStr">
        <is>
          <t>m3</t>
        </is>
      </c>
      <c r="E87" s="32" t="n">
        <v>1</v>
      </c>
      <c r="F87" s="32" t="n">
        <v>8</v>
      </c>
      <c r="G87" s="32" t="n">
        <v>12.5</v>
      </c>
      <c r="H87" s="32" t="n">
        <v>0.35</v>
      </c>
      <c r="I87" s="33" t="n">
        <v>0.9626</v>
      </c>
      <c r="J87" s="34">
        <f>E87*F87*G87*H87*I87</f>
        <v/>
      </c>
      <c r="K87" s="29" t="n"/>
      <c r="L87" s="29" t="n"/>
    </row>
    <row r="88" ht="19" customHeight="1">
      <c r="A88" s="29" t="n"/>
      <c r="B88" s="29" t="n"/>
      <c r="C88" s="30" t="inlineStr">
        <is>
          <t>- Bản quá độ sau mố M2 (L=8.0m, B=12.5m, d=0.35m)</t>
        </is>
      </c>
      <c r="D88" s="31" t="inlineStr">
        <is>
          <t>m3</t>
        </is>
      </c>
      <c r="E88" s="32" t="n">
        <v>1</v>
      </c>
      <c r="F88" s="32" t="n">
        <v>8</v>
      </c>
      <c r="G88" s="32" t="n">
        <v>12.5</v>
      </c>
      <c r="H88" s="32" t="n">
        <v>0.35</v>
      </c>
      <c r="I88" s="33" t="n">
        <v>0.9626</v>
      </c>
      <c r="J88" s="34">
        <f>E88*F88*G88*H88*I88</f>
        <v/>
      </c>
      <c r="K88" s="29" t="n"/>
      <c r="L88" s="29" t="n"/>
    </row>
    <row r="89" ht="22" customHeight="1">
      <c r="A89" s="16" t="inlineStr">
        <is>
          <t>27</t>
        </is>
      </c>
      <c r="B89" s="16" t="inlineStr">
        <is>
          <t>AB.21111</t>
        </is>
      </c>
      <c r="C89" s="25" t="inlineStr">
        <is>
          <t>Đắp vật liệu dạng hạt chọn lọc sau mố đầm chặt K &gt;= 0.98</t>
        </is>
      </c>
      <c r="D89" s="16" t="inlineStr">
        <is>
          <t>m3</t>
        </is>
      </c>
      <c r="E89" s="15" t="n"/>
      <c r="F89" s="15" t="n"/>
      <c r="G89" s="15" t="n"/>
      <c r="H89" s="15" t="n"/>
      <c r="I89" s="15" t="n"/>
      <c r="J89" s="26">
        <f>SUM(J90:J90)</f>
        <v/>
      </c>
      <c r="K89" s="27" t="n">
        <v>185000</v>
      </c>
      <c r="L89" s="28">
        <f>J89*K89</f>
        <v/>
      </c>
    </row>
    <row r="90" ht="19" customHeight="1">
      <c r="A90" s="29" t="n"/>
      <c r="B90" s="29" t="n"/>
      <c r="C90" s="30" t="inlineStr">
        <is>
          <t>- Đoạn đắp chuyển tiếp sau mố M1 và M2</t>
        </is>
      </c>
      <c r="D90" s="31" t="inlineStr">
        <is>
          <t>m3</t>
        </is>
      </c>
      <c r="E90" s="32" t="n">
        <v>2</v>
      </c>
      <c r="F90" s="32" t="n">
        <v>18</v>
      </c>
      <c r="G90" s="32" t="n">
        <v>12.5</v>
      </c>
      <c r="H90" s="32" t="n">
        <v>4.5</v>
      </c>
      <c r="I90" s="33" t="n">
        <v>0.5</v>
      </c>
      <c r="J90" s="34">
        <f>E90*F90*G90*H90*I90</f>
        <v/>
      </c>
      <c r="K90" s="29" t="n"/>
      <c r="L90" s="29" t="n"/>
    </row>
    <row r="91" ht="22" customHeight="1">
      <c r="A91" s="16" t="inlineStr">
        <is>
          <t>28</t>
        </is>
      </c>
      <c r="B91" s="16" t="inlineStr">
        <is>
          <t>AF.42111</t>
        </is>
      </c>
      <c r="C91" s="25" t="inlineStr">
        <is>
          <t>Bê tông gờ lan can mác C25 và lắp tay vịn thép mạ kẽm</t>
        </is>
      </c>
      <c r="D91" s="16" t="inlineStr">
        <is>
          <t>m</t>
        </is>
      </c>
      <c r="E91" s="15" t="n"/>
      <c r="F91" s="15" t="n"/>
      <c r="G91" s="15" t="n"/>
      <c r="H91" s="15" t="n"/>
      <c r="I91" s="15" t="n"/>
      <c r="J91" s="26">
        <f>SUM(J92:J92)</f>
        <v/>
      </c>
      <c r="K91" s="27" t="n">
        <v>1650000</v>
      </c>
      <c r="L91" s="28">
        <f>J91*K91</f>
        <v/>
      </c>
    </row>
    <row r="92" ht="19" customHeight="1">
      <c r="A92" s="29" t="n"/>
      <c r="B92" s="29" t="n"/>
      <c r="C92" s="30" t="inlineStr">
        <is>
          <t>- Lan can 2 bên suốt chiều dài cầu (2 bên x 130.4m)</t>
        </is>
      </c>
      <c r="D92" s="31" t="inlineStr">
        <is>
          <t>m</t>
        </is>
      </c>
      <c r="E92" s="32" t="n">
        <v>2</v>
      </c>
      <c r="F92" s="32" t="n">
        <v>130.4</v>
      </c>
      <c r="G92" s="32" t="n">
        <v>1</v>
      </c>
      <c r="H92" s="32" t="n">
        <v>1</v>
      </c>
      <c r="I92" s="33" t="n">
        <v>1</v>
      </c>
      <c r="J92" s="34">
        <f>E92*F92*G92*H92*I92</f>
        <v/>
      </c>
      <c r="K92" s="29" t="n"/>
      <c r="L92" s="29" t="n"/>
    </row>
    <row r="93" ht="22" customHeight="1">
      <c r="A93" s="16" t="inlineStr">
        <is>
          <t>29</t>
        </is>
      </c>
      <c r="B93" s="16" t="inlineStr">
        <is>
          <t>AC.41111</t>
        </is>
      </c>
      <c r="C93" s="25" t="inlineStr">
        <is>
          <t>Hệ thống thoát nước mặt cầu (24 bộ hố ga gang &amp; ống PVC D150)</t>
        </is>
      </c>
      <c r="D93" s="16" t="inlineStr">
        <is>
          <t>Bộ</t>
        </is>
      </c>
      <c r="E93" s="15" t="n"/>
      <c r="F93" s="15" t="n"/>
      <c r="G93" s="15" t="n"/>
      <c r="H93" s="15" t="n"/>
      <c r="I93" s="15" t="n"/>
      <c r="J93" s="26">
        <f>SUM(J94:J94)</f>
        <v/>
      </c>
      <c r="K93" s="27" t="n">
        <v>2850000</v>
      </c>
      <c r="L93" s="28">
        <f>J93*K93</f>
        <v/>
      </c>
    </row>
    <row r="94" ht="19" customHeight="1">
      <c r="A94" s="29" t="n"/>
      <c r="B94" s="29" t="n"/>
      <c r="C94" s="30" t="inlineStr">
        <is>
          <t>- Cụm hố ga gang xám có lưới chắn rác và ống xả D150</t>
        </is>
      </c>
      <c r="D94" s="31" t="inlineStr">
        <is>
          <t>Bộ</t>
        </is>
      </c>
      <c r="E94" s="32" t="n">
        <v>24</v>
      </c>
      <c r="F94" s="32" t="n">
        <v>1</v>
      </c>
      <c r="G94" s="32" t="n">
        <v>1</v>
      </c>
      <c r="H94" s="32" t="n">
        <v>1</v>
      </c>
      <c r="I94" s="33" t="n">
        <v>1</v>
      </c>
      <c r="J94" s="34">
        <f>E94*F94*G94*H94*I94</f>
        <v/>
      </c>
      <c r="K94" s="29" t="n"/>
      <c r="L94" s="29" t="n"/>
    </row>
    <row r="95" ht="22" customHeight="1">
      <c r="A95" s="16" t="inlineStr">
        <is>
          <t>30</t>
        </is>
      </c>
      <c r="B95" s="16" t="inlineStr">
        <is>
          <t>AD.11111</t>
        </is>
      </c>
      <c r="C95" s="25" t="inlineStr">
        <is>
          <t>Lớp phun chống thấm &amp; thảm bê tông nhựa chặt C16 dày 7cm mặt cầu</t>
        </is>
      </c>
      <c r="D95" s="16" t="inlineStr">
        <is>
          <t>m2</t>
        </is>
      </c>
      <c r="E95" s="15" t="n"/>
      <c r="F95" s="15" t="n"/>
      <c r="G95" s="15" t="n"/>
      <c r="H95" s="15" t="n"/>
      <c r="I95" s="15" t="n"/>
      <c r="J95" s="26">
        <f>SUM(J96:J96)</f>
        <v/>
      </c>
      <c r="K95" s="27" t="n">
        <v>385000</v>
      </c>
      <c r="L95" s="28">
        <f>J95*K95</f>
        <v/>
      </c>
    </row>
    <row r="96" ht="19" customHeight="1">
      <c r="A96" s="29" t="n"/>
      <c r="B96" s="29" t="n"/>
      <c r="C96" s="30" t="inlineStr">
        <is>
          <t>- Diện tích mặt cầu xe chạy (L=118.2m x B=11.68m)</t>
        </is>
      </c>
      <c r="D96" s="31" t="inlineStr">
        <is>
          <t>m2</t>
        </is>
      </c>
      <c r="E96" s="32" t="n">
        <v>1</v>
      </c>
      <c r="F96" s="32" t="n">
        <v>118.2</v>
      </c>
      <c r="G96" s="32" t="n">
        <v>11.678</v>
      </c>
      <c r="H96" s="32" t="n">
        <v>1</v>
      </c>
      <c r="I96" s="33" t="n">
        <v>1</v>
      </c>
      <c r="J96" s="34">
        <f>E96*F96*G96*H96*I96</f>
        <v/>
      </c>
      <c r="K96" s="29" t="n"/>
      <c r="L96" s="29" t="n"/>
    </row>
    <row r="97" ht="22" customHeight="1">
      <c r="A97" s="16" t="inlineStr">
        <is>
          <t>31</t>
        </is>
      </c>
      <c r="B97" s="16" t="inlineStr">
        <is>
          <t>AL.11111</t>
        </is>
      </c>
      <c r="C97" s="25" t="inlineStr">
        <is>
          <t>Gia cố mái taluy tứ nón mố bằng đá hộc xây vữa VXM M100</t>
        </is>
      </c>
      <c r="D97" s="16" t="inlineStr">
        <is>
          <t>m3</t>
        </is>
      </c>
      <c r="E97" s="15" t="n"/>
      <c r="F97" s="15" t="n"/>
      <c r="G97" s="15" t="n"/>
      <c r="H97" s="15" t="n"/>
      <c r="I97" s="15" t="n"/>
      <c r="J97" s="26">
        <f>SUM(J98:J98)</f>
        <v/>
      </c>
      <c r="K97" s="27" t="n">
        <v>850000</v>
      </c>
      <c r="L97" s="28">
        <f>J97*K97</f>
        <v/>
      </c>
    </row>
    <row r="98" ht="19" customHeight="1">
      <c r="A98" s="29" t="n"/>
      <c r="B98" s="29" t="n"/>
      <c r="C98" s="30" t="inlineStr">
        <is>
          <t>- Tứ nón và chân khay đá hộc mố M1, M2</t>
        </is>
      </c>
      <c r="D98" s="31" t="inlineStr">
        <is>
          <t>m3</t>
        </is>
      </c>
      <c r="E98" s="32" t="n">
        <v>1</v>
      </c>
      <c r="F98" s="32" t="n">
        <v>52.216</v>
      </c>
      <c r="G98" s="32" t="n">
        <v>1</v>
      </c>
      <c r="H98" s="32" t="n">
        <v>1</v>
      </c>
      <c r="I98" s="33" t="n">
        <v>1</v>
      </c>
      <c r="J98" s="34">
        <f>E98*F98*G98*H98*I98</f>
        <v/>
      </c>
      <c r="K98" s="29" t="n"/>
      <c r="L98" s="29" t="n"/>
    </row>
    <row r="99" ht="22" customHeight="1">
      <c r="A99" s="16" t="inlineStr">
        <is>
          <t>32</t>
        </is>
      </c>
      <c r="B99" s="16" t="inlineStr">
        <is>
          <t>TN.21111</t>
        </is>
      </c>
      <c r="C99" s="25" t="inlineStr">
        <is>
          <t>Thử tải tĩnh/động cầu &amp; kiểm định an toàn chịu lực trước khi bàn giao</t>
        </is>
      </c>
      <c r="D99" s="16" t="inlineStr">
        <is>
          <t>Gói</t>
        </is>
      </c>
      <c r="E99" s="15" t="n"/>
      <c r="F99" s="15" t="n"/>
      <c r="G99" s="15" t="n"/>
      <c r="H99" s="15" t="n"/>
      <c r="I99" s="15" t="n"/>
      <c r="J99" s="26">
        <f>SUM(J100:J100)</f>
        <v/>
      </c>
      <c r="K99" s="27" t="n">
        <v>350000000</v>
      </c>
      <c r="L99" s="28">
        <f>J99*K99</f>
        <v/>
      </c>
    </row>
    <row r="100" ht="19" customHeight="1">
      <c r="A100" s="29" t="n"/>
      <c r="B100" s="29" t="n"/>
      <c r="C100" s="30" t="inlineStr">
        <is>
          <t>- Trọn gói thử tải xe tải nặng theo đề cương phê duyệt</t>
        </is>
      </c>
      <c r="D100" s="31" t="inlineStr">
        <is>
          <t>Gói</t>
        </is>
      </c>
      <c r="E100" s="32" t="n">
        <v>1</v>
      </c>
      <c r="F100" s="32" t="n">
        <v>1</v>
      </c>
      <c r="G100" s="32" t="n">
        <v>1</v>
      </c>
      <c r="H100" s="32" t="n">
        <v>1</v>
      </c>
      <c r="I100" s="33" t="n">
        <v>1</v>
      </c>
      <c r="J100" s="34">
        <f>E100*F100*G100*H100*I100</f>
        <v/>
      </c>
      <c r="K100" s="29" t="n"/>
      <c r="L100" s="29" t="n"/>
    </row>
    <row r="101" ht="26" customHeight="1">
      <c r="A101" s="37" t="inlineStr">
        <is>
          <t>TỔNG CỘNG CHI PHÍ TRỰC TIẾP (T) (VNĐ)</t>
        </is>
      </c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9" t="n"/>
      <c r="L101" s="40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2026-10-03T08:58:40Z</dcterms:created>
  <dcterms:modified xmlns:dcterms="http://purl.org/dc/terms/" xmlns:xsi="http://www.w3.org/2001/XMLSchema-instance" xsi:type="dcterms:W3CDTF">2026-10-03T08:58:41Z</dcterms:modified>
</cp:coreProperties>
</file>