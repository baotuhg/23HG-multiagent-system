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HOI_LUONG_DAO_D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imes New Roman"/>
      <b val="1"/>
      <color rgb="001F497D"/>
      <sz val="13"/>
    </font>
    <font>
      <name val="Times New Roman"/>
      <b val="1"/>
      <color rgb="001F497D"/>
      <sz val="10"/>
    </font>
    <font>
      <name val="Times New Roman"/>
      <i val="1"/>
      <color rgb="00595959"/>
      <sz val="10"/>
    </font>
    <font>
      <name val="Times New Roman"/>
      <b val="1"/>
      <color rgb="00FFFFFF"/>
      <sz val="9"/>
    </font>
    <font>
      <name val="Times New Roman"/>
      <sz val="9"/>
    </font>
    <font>
      <name val="Times New Roman"/>
      <b val="1"/>
      <sz val="9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  <fill>
      <patternFill patternType="solid">
        <fgColor rgb="00FFF2CC"/>
        <bgColor rgb="00FFF2CC"/>
      </patternFill>
    </fill>
  </fills>
  <borders count="7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double">
        <color rgb="001F497D"/>
      </bottom>
    </border>
    <border>
      <left/>
      <right/>
      <top style="thin">
        <color rgb="00BFBFBF"/>
      </top>
      <bottom style="double">
        <color rgb="001F497D"/>
      </bottom>
      <diagonal/>
    </border>
    <border>
      <left/>
      <right style="thin">
        <color rgb="00BFBFBF"/>
      </right>
      <top style="thin">
        <color rgb="00BFBFBF"/>
      </top>
      <bottom style="double">
        <color rgb="001F497D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4" fontId="5" fillId="0" borderId="1" applyAlignment="1" pivotButton="0" quotePrefix="0" xfId="0">
      <alignment horizontal="right" vertical="center"/>
    </xf>
    <xf numFmtId="4" fontId="5" fillId="0" borderId="1" pivotButton="0" quotePrefix="0" xfId="0"/>
    <xf numFmtId="0" fontId="6" fillId="4" borderId="2" applyAlignment="1" pivotButton="0" quotePrefix="0" xfId="0">
      <alignment horizontal="right" vertical="center"/>
    </xf>
    <xf numFmtId="0" fontId="0" fillId="0" borderId="3" pivotButton="0" quotePrefix="0" xfId="0"/>
    <xf numFmtId="0" fontId="0" fillId="0" borderId="4" pivotButton="0" quotePrefix="0" xfId="0"/>
    <xf numFmtId="4" fontId="6" fillId="4" borderId="2" pivotButton="0" quotePrefix="0" xfId="0"/>
    <xf numFmtId="0" fontId="0" fillId="4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4" customWidth="1" min="3" max="3"/>
    <col width="15" customWidth="1" min="4" max="4"/>
    <col width="15" customWidth="1" min="5" max="5"/>
    <col width="18" customWidth="1" min="6" max="6"/>
    <col width="15" customWidth="1" min="7" max="7"/>
    <col width="15" customWidth="1" min="8" max="8"/>
    <col width="18" customWidth="1" min="9" max="9"/>
    <col width="16" customWidth="1" min="10" max="10"/>
  </cols>
  <sheetData>
    <row r="1"/>
    <row r="2">
      <c r="B2" s="1" t="inlineStr">
        <is>
          <t>DỰ ÁN: CAO TỐC TUYÊN QUANG - HÀ GIANG (GIAI ĐOẠN 1) - ĐOẠN QUA TỈNH HÀ GIANG</t>
        </is>
      </c>
    </row>
    <row r="3">
      <c r="B3" s="2" t="inlineStr">
        <is>
          <t>BẢNG TÍNH KHỐI LƯỢNG ĐÀO ĐẮP TRẮC NGANG V = ((F1+F2)/2)*L - ĐƯỜNG CÔNG VỤ VÀ MÓNG MỐ TRỤ</t>
        </is>
      </c>
    </row>
    <row r="4">
      <c r="B4" s="3" t="inlineStr">
        <is>
          <t>Trích xuất từ Bản vẽ bình đồ, trắc dọc &amp; trắc ngang thi công (Trang 138-150 Hồ sơ TKBVTC)</t>
        </is>
      </c>
    </row>
    <row r="5" ht="28" customHeight="1">
      <c r="A5" s="4" t="inlineStr">
        <is>
          <t>STT</t>
        </is>
      </c>
      <c r="B5" s="4" t="inlineStr">
        <is>
          <t>Lý trình / Vị trí cọc</t>
        </is>
      </c>
      <c r="C5" s="4" t="inlineStr">
        <is>
          <t>Khoảng cách L (m)</t>
        </is>
      </c>
      <c r="D5" s="4" t="inlineStr">
        <is>
          <t>Diện tích Đào F1 (m2)</t>
        </is>
      </c>
      <c r="E5" s="4" t="inlineStr">
        <is>
          <t>Diện tích Đào F2 (m2)</t>
        </is>
      </c>
      <c r="F5" s="4" t="inlineStr">
        <is>
          <t>Thể tích Đào V_dao (m3)</t>
        </is>
      </c>
      <c r="G5" s="4" t="inlineStr">
        <is>
          <t>Diện tích Đắp F1 (m2)</t>
        </is>
      </c>
      <c r="H5" s="4" t="inlineStr">
        <is>
          <t>Diện tích Đắp F2 (m2)</t>
        </is>
      </c>
      <c r="I5" s="4" t="inlineStr">
        <is>
          <t>Thể tích Đắp V_dap (m3)</t>
        </is>
      </c>
      <c r="J5" s="4" t="inlineStr">
        <is>
          <t>Ghi chú</t>
        </is>
      </c>
    </row>
    <row r="6" ht="24" customHeight="1">
      <c r="A6" s="5" t="inlineStr">
        <is>
          <t>I. ĐƯỜNG CÔNG VỤ NHÁNH 6 (TIẾP CẬN CẦU KM19+529.080)</t>
        </is>
      </c>
    </row>
    <row r="7" ht="20" customHeight="1">
      <c r="A7" s="6" t="inlineStr">
        <is>
          <t>1</t>
        </is>
      </c>
      <c r="B7" s="7" t="inlineStr">
        <is>
          <t>Km 0+00.00 đến Km 0+10.00</t>
        </is>
      </c>
      <c r="C7" s="8" t="n">
        <v>10</v>
      </c>
      <c r="D7" s="8" t="n">
        <v>51.47</v>
      </c>
      <c r="E7" s="8" t="n">
        <v>33.55</v>
      </c>
      <c r="F7" s="9">
        <f>((D7+E7)/2)*C7</f>
        <v/>
      </c>
      <c r="G7" s="8" t="n">
        <v>0</v>
      </c>
      <c r="H7" s="8" t="n">
        <v>0</v>
      </c>
      <c r="I7" s="9">
        <f>((G7+H7)/2)*C7</f>
        <v/>
      </c>
      <c r="J7" s="6" t="inlineStr">
        <is>
          <t>Chuẩn hình học</t>
        </is>
      </c>
    </row>
    <row r="8" ht="20" customHeight="1">
      <c r="A8" s="6" t="inlineStr">
        <is>
          <t>2</t>
        </is>
      </c>
      <c r="B8" s="7" t="inlineStr">
        <is>
          <t>Km 0+10.00 đến cọc TD1 (Km 0+18.12)</t>
        </is>
      </c>
      <c r="C8" s="8" t="n">
        <v>8.119999999999999</v>
      </c>
      <c r="D8" s="8" t="n">
        <v>33.55</v>
      </c>
      <c r="E8" s="8" t="n">
        <v>10.5</v>
      </c>
      <c r="F8" s="9">
        <f>((D8+E8)/2)*C8</f>
        <v/>
      </c>
      <c r="G8" s="8" t="n">
        <v>0</v>
      </c>
      <c r="H8" s="8" t="n">
        <v>0</v>
      </c>
      <c r="I8" s="9">
        <f>((G8+H8)/2)*C8</f>
        <v/>
      </c>
      <c r="J8" s="6" t="inlineStr">
        <is>
          <t>Chuẩn hình học</t>
        </is>
      </c>
    </row>
    <row r="9" ht="20" customHeight="1">
      <c r="A9" s="6" t="inlineStr">
        <is>
          <t>3</t>
        </is>
      </c>
      <c r="B9" s="7" t="inlineStr">
        <is>
          <t>Cọc TD1 đến cọc 2 (Km 0+20.00)</t>
        </is>
      </c>
      <c r="C9" s="8" t="n">
        <v>1.88</v>
      </c>
      <c r="D9" s="8" t="n">
        <v>10.5</v>
      </c>
      <c r="E9" s="8" t="n">
        <v>9.18</v>
      </c>
      <c r="F9" s="9">
        <f>((D9+E9)/2)*C9</f>
        <v/>
      </c>
      <c r="G9" s="8" t="n">
        <v>0</v>
      </c>
      <c r="H9" s="8" t="n">
        <v>0</v>
      </c>
      <c r="I9" s="9">
        <f>((G9+H9)/2)*C9</f>
        <v/>
      </c>
      <c r="J9" s="6" t="inlineStr">
        <is>
          <t>Chuẩn hình học</t>
        </is>
      </c>
    </row>
    <row r="10" ht="20" customHeight="1">
      <c r="A10" s="6" t="inlineStr">
        <is>
          <t>4</t>
        </is>
      </c>
      <c r="B10" s="7" t="inlineStr">
        <is>
          <t>Cọc 2 đến cọc P1 (Km 0+21.65)</t>
        </is>
      </c>
      <c r="C10" s="8" t="n">
        <v>1.65</v>
      </c>
      <c r="D10" s="8" t="n">
        <v>9.18</v>
      </c>
      <c r="E10" s="8" t="n">
        <v>9.02</v>
      </c>
      <c r="F10" s="9">
        <f>((D10+E10)/2)*C10</f>
        <v/>
      </c>
      <c r="G10" s="8" t="n">
        <v>0</v>
      </c>
      <c r="H10" s="8" t="n">
        <v>0.22</v>
      </c>
      <c r="I10" s="9">
        <f>((G10+H10)/2)*C10</f>
        <v/>
      </c>
      <c r="J10" s="6" t="inlineStr">
        <is>
          <t>Chuẩn hình học</t>
        </is>
      </c>
    </row>
    <row r="11" ht="20" customHeight="1">
      <c r="A11" s="6" t="inlineStr">
        <is>
          <t>5</t>
        </is>
      </c>
      <c r="B11" s="7" t="inlineStr">
        <is>
          <t>Cọc P1 đến cọc TC1 (Km 0+25.17)</t>
        </is>
      </c>
      <c r="C11" s="8" t="n">
        <v>3.52</v>
      </c>
      <c r="D11" s="8" t="n">
        <v>9.02</v>
      </c>
      <c r="E11" s="8" t="n">
        <v>11.58</v>
      </c>
      <c r="F11" s="9">
        <f>((D11+E11)/2)*C11</f>
        <v/>
      </c>
      <c r="G11" s="8" t="n">
        <v>0.22</v>
      </c>
      <c r="H11" s="8" t="n">
        <v>3.2</v>
      </c>
      <c r="I11" s="9">
        <f>((G11+H11)/2)*C11</f>
        <v/>
      </c>
      <c r="J11" s="6" t="inlineStr">
        <is>
          <t>Chuẩn hình học</t>
        </is>
      </c>
    </row>
    <row r="12" ht="20" customHeight="1">
      <c r="A12" s="6" t="inlineStr">
        <is>
          <t>6</t>
        </is>
      </c>
      <c r="B12" s="7" t="inlineStr">
        <is>
          <t>Cọc TC1 đến cọc 3 (Km 0+30.00)</t>
        </is>
      </c>
      <c r="C12" s="8" t="n">
        <v>4.83</v>
      </c>
      <c r="D12" s="8" t="n">
        <v>11.58</v>
      </c>
      <c r="E12" s="8" t="n">
        <v>20.34</v>
      </c>
      <c r="F12" s="9">
        <f>((D12+E12)/2)*C12</f>
        <v/>
      </c>
      <c r="G12" s="8" t="n">
        <v>3.2</v>
      </c>
      <c r="H12" s="8" t="n">
        <v>0</v>
      </c>
      <c r="I12" s="9">
        <f>((G12+H12)/2)*C12</f>
        <v/>
      </c>
      <c r="J12" s="6" t="inlineStr">
        <is>
          <t>Chuẩn hình học</t>
        </is>
      </c>
    </row>
    <row r="13" ht="20" customHeight="1">
      <c r="A13" s="6" t="inlineStr">
        <is>
          <t>7</t>
        </is>
      </c>
      <c r="B13" s="7" t="inlineStr">
        <is>
          <t>Cọc 3 đến cọc 4 (Km 0+40.00)</t>
        </is>
      </c>
      <c r="C13" s="8" t="n">
        <v>10</v>
      </c>
      <c r="D13" s="8" t="n">
        <v>20.34</v>
      </c>
      <c r="E13" s="8" t="n">
        <v>51.82</v>
      </c>
      <c r="F13" s="9">
        <f>((D13+E13)/2)*C13</f>
        <v/>
      </c>
      <c r="G13" s="8" t="n">
        <v>0</v>
      </c>
      <c r="H13" s="8" t="n">
        <v>0</v>
      </c>
      <c r="I13" s="9">
        <f>((G13+H13)/2)*C13</f>
        <v/>
      </c>
      <c r="J13" s="6" t="inlineStr">
        <is>
          <t>Chuẩn hình học</t>
        </is>
      </c>
    </row>
    <row r="14" ht="20" customHeight="1">
      <c r="A14" s="6" t="inlineStr">
        <is>
          <t>8</t>
        </is>
      </c>
      <c r="B14" s="7" t="inlineStr">
        <is>
          <t>Km 0+40.00 đến Km 0+80.00 (Nhánh tiếp cận trụ T1)</t>
        </is>
      </c>
      <c r="C14" s="8" t="n">
        <v>40</v>
      </c>
      <c r="D14" s="8" t="n">
        <v>51.82</v>
      </c>
      <c r="E14" s="8" t="n">
        <v>28.4</v>
      </c>
      <c r="F14" s="9">
        <f>((D14+E14)/2)*C14</f>
        <v/>
      </c>
      <c r="G14" s="8" t="n">
        <v>0</v>
      </c>
      <c r="H14" s="8" t="n">
        <v>0</v>
      </c>
      <c r="I14" s="9">
        <f>((G14+H14)/2)*C14</f>
        <v/>
      </c>
      <c r="J14" s="6" t="inlineStr">
        <is>
          <t>Chuẩn hình học</t>
        </is>
      </c>
    </row>
    <row r="15" ht="20" customHeight="1">
      <c r="A15" s="6" t="inlineStr">
        <is>
          <t>9</t>
        </is>
      </c>
      <c r="B15" s="7" t="inlineStr">
        <is>
          <t>Km 0+80.00 đến Km 0+120.00 (Nhánh tiếp cận trụ T2)</t>
        </is>
      </c>
      <c r="C15" s="8" t="n">
        <v>40</v>
      </c>
      <c r="D15" s="8" t="n">
        <v>28.4</v>
      </c>
      <c r="E15" s="8" t="n">
        <v>16.5</v>
      </c>
      <c r="F15" s="9">
        <f>((D15+E15)/2)*C15</f>
        <v/>
      </c>
      <c r="G15" s="8" t="n">
        <v>0</v>
      </c>
      <c r="H15" s="8" t="n">
        <v>0.5</v>
      </c>
      <c r="I15" s="9">
        <f>((G15+H15)/2)*C15</f>
        <v/>
      </c>
      <c r="J15" s="6" t="inlineStr">
        <is>
          <t>Chuẩn hình học</t>
        </is>
      </c>
    </row>
    <row r="16" ht="24" customHeight="1">
      <c r="A16" s="5" t="inlineStr">
        <is>
          <t>II. HỐ MÓNG BỆ MỐ M1, M2 VÀ BỆ TRỤ T1, T2</t>
        </is>
      </c>
    </row>
    <row r="17" ht="20" customHeight="1">
      <c r="A17" s="6" t="inlineStr">
        <is>
          <t>10</t>
        </is>
      </c>
      <c r="B17" s="7" t="inlineStr">
        <is>
          <t>Đào đất đá hố móng bệ mố M1 chân dê (Km19+463.88)</t>
        </is>
      </c>
      <c r="C17" s="8" t="n">
        <v>12</v>
      </c>
      <c r="D17" s="8" t="n">
        <v>36.5</v>
      </c>
      <c r="E17" s="8" t="n">
        <v>36.5</v>
      </c>
      <c r="F17" s="9">
        <f>((D17+E17)/2)*C17</f>
        <v/>
      </c>
      <c r="G17" s="8" t="n">
        <v>0</v>
      </c>
      <c r="H17" s="8" t="n">
        <v>0</v>
      </c>
      <c r="I17" s="9">
        <f>((G17+H17)/2)*C17</f>
        <v/>
      </c>
      <c r="J17" s="6" t="inlineStr">
        <is>
          <t>Chuẩn hình học</t>
        </is>
      </c>
    </row>
    <row r="18" ht="20" customHeight="1">
      <c r="A18" s="6" t="inlineStr">
        <is>
          <t>11</t>
        </is>
      </c>
      <c r="B18" s="7" t="inlineStr">
        <is>
          <t>Đào đất đá hố móng bệ mố M2 chữ U (Km19+594.28)</t>
        </is>
      </c>
      <c r="C18" s="8" t="n">
        <v>14</v>
      </c>
      <c r="D18" s="8" t="n">
        <v>42</v>
      </c>
      <c r="E18" s="8" t="n">
        <v>42</v>
      </c>
      <c r="F18" s="9">
        <f>((D18+E18)/2)*C18</f>
        <v/>
      </c>
      <c r="G18" s="8" t="n">
        <v>0</v>
      </c>
      <c r="H18" s="8" t="n">
        <v>0</v>
      </c>
      <c r="I18" s="9">
        <f>((G18+H18)/2)*C18</f>
        <v/>
      </c>
      <c r="J18" s="6" t="inlineStr">
        <is>
          <t>Chuẩn hình học</t>
        </is>
      </c>
    </row>
    <row r="19" ht="20" customHeight="1">
      <c r="A19" s="6" t="inlineStr">
        <is>
          <t>12</t>
        </is>
      </c>
      <c r="B19" s="7" t="inlineStr">
        <is>
          <t>Đào đất đá hố móng bệ trụ T1 (Km19+502.98)</t>
        </is>
      </c>
      <c r="C19" s="8" t="n">
        <v>15</v>
      </c>
      <c r="D19" s="8" t="n">
        <v>55</v>
      </c>
      <c r="E19" s="8" t="n">
        <v>55</v>
      </c>
      <c r="F19" s="9">
        <f>((D19+E19)/2)*C19</f>
        <v/>
      </c>
      <c r="G19" s="8" t="n">
        <v>0</v>
      </c>
      <c r="H19" s="8" t="n">
        <v>0</v>
      </c>
      <c r="I19" s="9">
        <f>((G19+H19)/2)*C19</f>
        <v/>
      </c>
      <c r="J19" s="6" t="inlineStr">
        <is>
          <t>Chuẩn hình học</t>
        </is>
      </c>
    </row>
    <row r="20" ht="20" customHeight="1">
      <c r="A20" s="6" t="inlineStr">
        <is>
          <t>13</t>
        </is>
      </c>
      <c r="B20" s="7" t="inlineStr">
        <is>
          <t>Đào đất đá hố móng bệ trụ T2 (Km19+542.98)</t>
        </is>
      </c>
      <c r="C20" s="8" t="n">
        <v>15</v>
      </c>
      <c r="D20" s="8" t="n">
        <v>52</v>
      </c>
      <c r="E20" s="8" t="n">
        <v>52</v>
      </c>
      <c r="F20" s="9">
        <f>((D20+E20)/2)*C20</f>
        <v/>
      </c>
      <c r="G20" s="8" t="n">
        <v>0</v>
      </c>
      <c r="H20" s="8" t="n">
        <v>0</v>
      </c>
      <c r="I20" s="9">
        <f>((G20+H20)/2)*C20</f>
        <v/>
      </c>
      <c r="J20" s="6" t="inlineStr">
        <is>
          <t>Chuẩn hình học</t>
        </is>
      </c>
    </row>
    <row r="21" ht="24" customHeight="1">
      <c r="A21" s="10" t="inlineStr">
        <is>
          <t>TỔNG CỘNG KHỐI LƯỢNG ĐÀO ĐẮP (M3)</t>
        </is>
      </c>
      <c r="B21" s="11" t="n"/>
      <c r="C21" s="11" t="n"/>
      <c r="D21" s="11" t="n"/>
      <c r="E21" s="12" t="n"/>
      <c r="F21" s="13">
        <f>F7+F8+F9+F10+F11+F12+F13+F14+F15+F17+F18+F19+F20</f>
        <v/>
      </c>
      <c r="G21" s="14" t="n"/>
      <c r="H21" s="14" t="n"/>
      <c r="I21" s="13">
        <f>I7+I8+I9+I10+I11+I12+I13+I14+I15+I17+I18+I19+I20</f>
        <v/>
      </c>
      <c r="J21" s="14" t="n"/>
    </row>
  </sheetData>
  <mergeCells count="3">
    <mergeCell ref="A6:J6"/>
    <mergeCell ref="A21:E21"/>
    <mergeCell ref="A16:J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2026-10-03T08:58:24Z</dcterms:created>
  <dcterms:modified xmlns:dcterms="http://purl.org/dc/terms/" xmlns:xsi="http://www.w3.org/2001/XMLSchema-instance" xsi:type="dcterms:W3CDTF">2026-10-03T08:58:25Z</dcterms:modified>
</cp:coreProperties>
</file>