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0" borderId="1" pivotButton="0" quotePrefix="0" xfId="0"/>
    <xf numFmtId="3" fontId="5" fillId="0" borderId="1" pivotButton="0" quotePrefix="0" xfId="0"/>
    <xf numFmtId="2" fontId="5" fillId="0" borderId="1" pivotButton="0" quotePrefix="0" xfId="0"/>
    <xf numFmtId="0" fontId="6" fillId="3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4" fontId="6" fillId="3" borderId="2" pivotButton="0" quotePrefix="0" xfId="0"/>
    <xf numFmtId="2" fontId="6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14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 HỢP CẮT THÉP CÂY NGUYÊN 11.7m (1D CUTTING STOCK) - CẦU KM19+529.080</t>
        </is>
      </c>
    </row>
    <row r="4">
      <c r="B4" s="3" t="inlineStr">
        <is>
          <t>Tối ưu hóa sơ đồ cắt thép, kiểm soát hao hụt đề-xê &lt; 1.5% (Tiêu chuẩn TCVN 1651:2018)</t>
        </is>
      </c>
    </row>
    <row r="5" ht="28" customHeight="1">
      <c r="A5" s="4" t="inlineStr">
        <is>
          <t>TT</t>
        </is>
      </c>
      <c r="B5" s="4" t="inlineStr">
        <is>
          <t>Cấu kiện sử dụng</t>
        </is>
      </c>
      <c r="C5" s="4" t="inlineStr">
        <is>
          <t>Ký hiệu đường kính (mm)</t>
        </is>
      </c>
      <c r="D5" s="4" t="inlineStr">
        <is>
          <t>Số lượng thanh (N)</t>
        </is>
      </c>
      <c r="E5" s="4" t="inlineStr">
        <is>
          <t>Dài 1 thanh L (m)</t>
        </is>
      </c>
      <c r="F5" s="4" t="inlineStr">
        <is>
          <t>Tổng chiều dài (m)</t>
        </is>
      </c>
      <c r="G5" s="4" t="inlineStr">
        <is>
          <t>Dài cây tiêu chuẩn (m)</t>
        </is>
      </c>
      <c r="H5" s="4" t="inlineStr">
        <is>
          <t>Số cây 11.7m cần dùng</t>
        </is>
      </c>
      <c r="I5" s="4" t="inlineStr">
        <is>
          <t>Chiều dài phôi (m)</t>
        </is>
      </c>
      <c r="J5" s="4" t="inlineStr">
        <is>
          <t>Đề-xê thừa (m)</t>
        </is>
      </c>
      <c r="K5" s="4" t="inlineStr">
        <is>
          <t>Tổng trọng lượng (kg)</t>
        </is>
      </c>
      <c r="L5" s="4" t="inlineStr">
        <is>
          <t>Tỷ lệ hao hụt (%)</t>
        </is>
      </c>
    </row>
    <row r="6" ht="20" customHeight="1">
      <c r="A6" s="5" t="inlineStr">
        <is>
          <t>1</t>
        </is>
      </c>
      <c r="B6" s="6" t="inlineStr">
        <is>
          <t>Thép chủ cọc khoan nhồi D1200mm (M1, T1, T2, M2)</t>
        </is>
      </c>
      <c r="C6" s="5" t="n">
        <v>25</v>
      </c>
      <c r="D6" s="7" t="n">
        <v>1</v>
      </c>
      <c r="E6" s="8" t="n">
        <v>11.2</v>
      </c>
      <c r="F6" s="9">
        <f>D6*E6</f>
        <v/>
      </c>
      <c r="G6" s="5" t="n">
        <v>11.7</v>
      </c>
      <c r="H6" s="10">
        <f>ROUNDUP(F6/G6, 0)</f>
        <v/>
      </c>
      <c r="I6" s="9">
        <f>H6*G6</f>
        <v/>
      </c>
      <c r="J6" s="9">
        <f>I6-F6</f>
        <v/>
      </c>
      <c r="K6" s="9">
        <f>F6*3.853</f>
        <v/>
      </c>
      <c r="L6" s="11">
        <f>IF(I6=0, 0, (J6/I6)*100)</f>
        <v/>
      </c>
    </row>
    <row r="7" ht="20" customHeight="1">
      <c r="A7" s="5" t="inlineStr">
        <is>
          <t>2</t>
        </is>
      </c>
      <c r="B7" s="6" t="inlineStr">
        <is>
          <t>Thép đai tăng cường cọc khoan nhồi D1200mm</t>
        </is>
      </c>
      <c r="C7" s="5" t="n">
        <v>16</v>
      </c>
      <c r="D7" s="7" t="n">
        <v>1</v>
      </c>
      <c r="E7" s="8" t="n">
        <v>3.85</v>
      </c>
      <c r="F7" s="9">
        <f>D7*E7</f>
        <v/>
      </c>
      <c r="G7" s="5" t="n">
        <v>11.7</v>
      </c>
      <c r="H7" s="10">
        <f>ROUNDUP(F7/G7, 0)</f>
        <v/>
      </c>
      <c r="I7" s="9">
        <f>H7*G7</f>
        <v/>
      </c>
      <c r="J7" s="9">
        <f>I7-F7</f>
        <v/>
      </c>
      <c r="K7" s="9">
        <f>F7*1.578</f>
        <v/>
      </c>
      <c r="L7" s="11">
        <f>IF(I7=0, 0, (J7/I7)*100)</f>
        <v/>
      </c>
    </row>
    <row r="8" ht="20" customHeight="1">
      <c r="A8" s="5" t="inlineStr">
        <is>
          <t>3</t>
        </is>
      </c>
      <c r="B8" s="6" t="inlineStr">
        <is>
          <t>Thép đai xoắn liên tục cọc khoan nhồi D1200mm</t>
        </is>
      </c>
      <c r="C8" s="5" t="n">
        <v>10</v>
      </c>
      <c r="D8" s="7" t="n">
        <v>1</v>
      </c>
      <c r="E8" s="8" t="n">
        <v>2.9</v>
      </c>
      <c r="F8" s="9">
        <f>D8*E8</f>
        <v/>
      </c>
      <c r="G8" s="5" t="n">
        <v>11.7</v>
      </c>
      <c r="H8" s="10">
        <f>ROUNDUP(F8/G8, 0)</f>
        <v/>
      </c>
      <c r="I8" s="9">
        <f>H8*G8</f>
        <v/>
      </c>
      <c r="J8" s="9">
        <f>I8-F8</f>
        <v/>
      </c>
      <c r="K8" s="9">
        <f>F8*0.617</f>
        <v/>
      </c>
      <c r="L8" s="11">
        <f>IF(I8=0, 0, (J8/I8)*100)</f>
        <v/>
      </c>
    </row>
    <row r="9" ht="20" customHeight="1">
      <c r="A9" s="5" t="inlineStr">
        <is>
          <t>4</t>
        </is>
      </c>
      <c r="B9" s="6" t="inlineStr">
        <is>
          <t>Thép chịu lực đáy bệ móng mố M1, M2 &amp; trụ T1, T2</t>
        </is>
      </c>
      <c r="C9" s="5" t="n">
        <v>32</v>
      </c>
      <c r="D9" s="7" t="n">
        <v>8</v>
      </c>
      <c r="E9" s="8" t="n">
        <v>5.75</v>
      </c>
      <c r="F9" s="9">
        <f>D9*E9</f>
        <v/>
      </c>
      <c r="G9" s="5" t="n">
        <v>11.7</v>
      </c>
      <c r="H9" s="10">
        <f>ROUNDUP(F9/G9, 0)</f>
        <v/>
      </c>
      <c r="I9" s="9">
        <f>H9*G9</f>
        <v/>
      </c>
      <c r="J9" s="9">
        <f>I9-F9</f>
        <v/>
      </c>
      <c r="K9" s="9">
        <f>F9*6.313</f>
        <v/>
      </c>
      <c r="L9" s="11">
        <f>IF(I9=0, 0, (J9/I9)*100)</f>
        <v/>
      </c>
    </row>
    <row r="10" ht="20" customHeight="1">
      <c r="A10" s="5" t="inlineStr">
        <is>
          <t>5</t>
        </is>
      </c>
      <c r="B10" s="6" t="inlineStr">
        <is>
          <t>Thép phân bố bệ móng mố và bệ trụ</t>
        </is>
      </c>
      <c r="C10" s="5" t="n">
        <v>20</v>
      </c>
      <c r="D10" s="7" t="n">
        <v>7</v>
      </c>
      <c r="E10" s="8" t="n">
        <v>8.4</v>
      </c>
      <c r="F10" s="9">
        <f>D10*E10</f>
        <v/>
      </c>
      <c r="G10" s="5" t="n">
        <v>11.7</v>
      </c>
      <c r="H10" s="10">
        <f>ROUNDUP(F10/G10, 0)</f>
        <v/>
      </c>
      <c r="I10" s="9">
        <f>H10*G10</f>
        <v/>
      </c>
      <c r="J10" s="9">
        <f>I10-F10</f>
        <v/>
      </c>
      <c r="K10" s="9">
        <f>F10*2.466</f>
        <v/>
      </c>
      <c r="L10" s="11">
        <f>IF(I10=0, 0, (J10/I10)*100)</f>
        <v/>
      </c>
    </row>
    <row r="11" ht="20" customHeight="1">
      <c r="A11" s="5" t="inlineStr">
        <is>
          <t>6</t>
        </is>
      </c>
      <c r="B11" s="6" t="inlineStr">
        <is>
          <t>Thép đứng thân mố chân dê M1 và mố chữ U M2</t>
        </is>
      </c>
      <c r="C11" s="5" t="n">
        <v>28</v>
      </c>
      <c r="D11" s="7" t="n">
        <v>3</v>
      </c>
      <c r="E11" s="8" t="n">
        <v>7.8</v>
      </c>
      <c r="F11" s="9">
        <f>D11*E11</f>
        <v/>
      </c>
      <c r="G11" s="5" t="n">
        <v>11.7</v>
      </c>
      <c r="H11" s="10">
        <f>ROUNDUP(F11/G11, 0)</f>
        <v/>
      </c>
      <c r="I11" s="9">
        <f>H11*G11</f>
        <v/>
      </c>
      <c r="J11" s="9">
        <f>I11-F11</f>
        <v/>
      </c>
      <c r="K11" s="9">
        <f>F11*4.834</f>
        <v/>
      </c>
      <c r="L11" s="11">
        <f>IF(I11=0, 0, (J11/I11)*100)</f>
        <v/>
      </c>
    </row>
    <row r="12" ht="20" customHeight="1">
      <c r="A12" s="5" t="inlineStr">
        <is>
          <t>7</t>
        </is>
      </c>
      <c r="B12" s="6" t="inlineStr">
        <is>
          <t>Thép đứng thân đặc trụ T1 và T2</t>
        </is>
      </c>
      <c r="C12" s="5" t="n">
        <v>32</v>
      </c>
      <c r="D12" s="7" t="n">
        <v>8</v>
      </c>
      <c r="E12" s="8" t="n">
        <v>9.6</v>
      </c>
      <c r="F12" s="9">
        <f>D12*E12</f>
        <v/>
      </c>
      <c r="G12" s="5" t="n">
        <v>11.7</v>
      </c>
      <c r="H12" s="10">
        <f>ROUNDUP(F12/G12, 0)</f>
        <v/>
      </c>
      <c r="I12" s="9">
        <f>H12*G12</f>
        <v/>
      </c>
      <c r="J12" s="9">
        <f>I12-F12</f>
        <v/>
      </c>
      <c r="K12" s="9">
        <f>F12*6.313</f>
        <v/>
      </c>
      <c r="L12" s="11">
        <f>IF(I12=0, 0, (J12/I12)*100)</f>
        <v/>
      </c>
    </row>
    <row r="13" ht="20" customHeight="1">
      <c r="A13" s="5" t="inlineStr">
        <is>
          <t>8</t>
        </is>
      </c>
      <c r="B13" s="6" t="inlineStr">
        <is>
          <t>Thép xà mũ trụ T1, T2 chịu uốn &amp; chịu cắt</t>
        </is>
      </c>
      <c r="C13" s="5" t="n">
        <v>28</v>
      </c>
      <c r="D13" s="7" t="n">
        <v>8</v>
      </c>
      <c r="E13" s="8" t="n">
        <v>10.5</v>
      </c>
      <c r="F13" s="9">
        <f>D13*E13</f>
        <v/>
      </c>
      <c r="G13" s="5" t="n">
        <v>11.7</v>
      </c>
      <c r="H13" s="10">
        <f>ROUNDUP(F13/G13, 0)</f>
        <v/>
      </c>
      <c r="I13" s="9">
        <f>H13*G13</f>
        <v/>
      </c>
      <c r="J13" s="9">
        <f>I13-F13</f>
        <v/>
      </c>
      <c r="K13" s="9">
        <f>F13*4.834</f>
        <v/>
      </c>
      <c r="L13" s="11">
        <f>IF(I13=0, 0, (J13/I13)*100)</f>
        <v/>
      </c>
    </row>
    <row r="14" ht="20" customHeight="1">
      <c r="A14" s="5" t="inlineStr">
        <is>
          <t>9</t>
        </is>
      </c>
      <c r="B14" s="6" t="inlineStr">
        <is>
          <t>Thép thường dầm Super-T L=38.2m (15 phiến dầm) - Thép sườn</t>
        </is>
      </c>
      <c r="C14" s="5" t="n">
        <v>16</v>
      </c>
      <c r="D14" s="7" t="n">
        <v>28</v>
      </c>
      <c r="E14" s="8" t="n">
        <v>7.85</v>
      </c>
      <c r="F14" s="9">
        <f>D14*E14</f>
        <v/>
      </c>
      <c r="G14" s="5" t="n">
        <v>11.7</v>
      </c>
      <c r="H14" s="10">
        <f>ROUNDUP(F14/G14, 0)</f>
        <v/>
      </c>
      <c r="I14" s="9">
        <f>H14*G14</f>
        <v/>
      </c>
      <c r="J14" s="9">
        <f>I14-F14</f>
        <v/>
      </c>
      <c r="K14" s="9">
        <f>F14*1.578</f>
        <v/>
      </c>
      <c r="L14" s="11">
        <f>IF(I14=0, 0, (J14/I14)*100)</f>
        <v/>
      </c>
    </row>
    <row r="15" ht="20" customHeight="1">
      <c r="A15" s="5" t="inlineStr">
        <is>
          <t>10</t>
        </is>
      </c>
      <c r="B15" s="6" t="inlineStr">
        <is>
          <t>Thép thường dầm Super-T L=38.2m - Thép bản cánh trên/dưới</t>
        </is>
      </c>
      <c r="C15" s="5" t="n">
        <v>14</v>
      </c>
      <c r="D15" s="7" t="n">
        <v>0</v>
      </c>
      <c r="E15" s="8" t="n">
        <v>3.8</v>
      </c>
      <c r="F15" s="9">
        <f>D15*E15</f>
        <v/>
      </c>
      <c r="G15" s="5" t="n">
        <v>11.7</v>
      </c>
      <c r="H15" s="10">
        <f>ROUNDUP(F15/G15, 0)</f>
        <v/>
      </c>
      <c r="I15" s="9">
        <f>H15*G15</f>
        <v/>
      </c>
      <c r="J15" s="9">
        <f>I15-F15</f>
        <v/>
      </c>
      <c r="K15" s="9">
        <f>F15*1.208</f>
        <v/>
      </c>
      <c r="L15" s="11">
        <f>IF(I15=0, 0, (J15/I15)*100)</f>
        <v/>
      </c>
    </row>
    <row r="16" ht="20" customHeight="1">
      <c r="A16" s="5" t="inlineStr">
        <is>
          <t>11</t>
        </is>
      </c>
      <c r="B16" s="6" t="inlineStr">
        <is>
          <t>Thép dầm ngang mố, dầm ngang trụ và liên tục nhiệt</t>
        </is>
      </c>
      <c r="C16" s="5" t="n">
        <v>16</v>
      </c>
      <c r="D16" s="7" t="n">
        <v>1</v>
      </c>
      <c r="E16" s="8" t="n">
        <v>5.6</v>
      </c>
      <c r="F16" s="9">
        <f>D16*E16</f>
        <v/>
      </c>
      <c r="G16" s="5" t="n">
        <v>11.7</v>
      </c>
      <c r="H16" s="10">
        <f>ROUNDUP(F16/G16, 0)</f>
        <v/>
      </c>
      <c r="I16" s="9">
        <f>H16*G16</f>
        <v/>
      </c>
      <c r="J16" s="9">
        <f>I16-F16</f>
        <v/>
      </c>
      <c r="K16" s="9">
        <f>F16*1.578</f>
        <v/>
      </c>
      <c r="L16" s="11">
        <f>IF(I16=0, 0, (J16/I16)*100)</f>
        <v/>
      </c>
    </row>
    <row r="17" ht="20" customHeight="1">
      <c r="A17" s="5" t="inlineStr">
        <is>
          <t>12</t>
        </is>
      </c>
      <c r="B17" s="6" t="inlineStr">
        <is>
          <t>Thép bản mặt cầu chịu lực lưới dưới (D16 a=150)</t>
        </is>
      </c>
      <c r="C17" s="5" t="n">
        <v>16</v>
      </c>
      <c r="D17" s="7" t="n">
        <v>6</v>
      </c>
      <c r="E17" s="8" t="n">
        <v>3.85</v>
      </c>
      <c r="F17" s="9">
        <f>D17*E17</f>
        <v/>
      </c>
      <c r="G17" s="5" t="n">
        <v>11.7</v>
      </c>
      <c r="H17" s="10">
        <f>ROUNDUP(F17/G17, 0)</f>
        <v/>
      </c>
      <c r="I17" s="9">
        <f>H17*G17</f>
        <v/>
      </c>
      <c r="J17" s="9">
        <f>I17-F17</f>
        <v/>
      </c>
      <c r="K17" s="9">
        <f>F17*1.578</f>
        <v/>
      </c>
      <c r="L17" s="11">
        <f>IF(I17=0, 0, (J17/I17)*100)</f>
        <v/>
      </c>
    </row>
    <row r="18" ht="20" customHeight="1">
      <c r="A18" s="5" t="inlineStr">
        <is>
          <t>13</t>
        </is>
      </c>
      <c r="B18" s="6" t="inlineStr">
        <is>
          <t>Thép bản mặt cầu chịu lực lưới trên (D14 a=150)</t>
        </is>
      </c>
      <c r="C18" s="5" t="n">
        <v>14</v>
      </c>
      <c r="D18" s="7" t="n">
        <v>14</v>
      </c>
      <c r="E18" s="8" t="n">
        <v>3.85</v>
      </c>
      <c r="F18" s="9">
        <f>D18*E18</f>
        <v/>
      </c>
      <c r="G18" s="5" t="n">
        <v>11.7</v>
      </c>
      <c r="H18" s="10">
        <f>ROUNDUP(F18/G18, 0)</f>
        <v/>
      </c>
      <c r="I18" s="9">
        <f>H18*G18</f>
        <v/>
      </c>
      <c r="J18" s="9">
        <f>I18-F18</f>
        <v/>
      </c>
      <c r="K18" s="9">
        <f>F18*1.208</f>
        <v/>
      </c>
      <c r="L18" s="11">
        <f>IF(I18=0, 0, (J18/I18)*100)</f>
        <v/>
      </c>
    </row>
    <row r="19" ht="20" customHeight="1">
      <c r="A19" s="5" t="inlineStr">
        <is>
          <t>14</t>
        </is>
      </c>
      <c r="B19" s="6" t="inlineStr">
        <is>
          <t>Thép bản quá độ 2 đầu mố L=8.0m (D16)</t>
        </is>
      </c>
      <c r="C19" s="5" t="n">
        <v>16</v>
      </c>
      <c r="D19" s="7" t="n">
        <v>6</v>
      </c>
      <c r="E19" s="8" t="n">
        <v>7.85</v>
      </c>
      <c r="F19" s="9">
        <f>D19*E19</f>
        <v/>
      </c>
      <c r="G19" s="5" t="n">
        <v>11.7</v>
      </c>
      <c r="H19" s="10">
        <f>ROUNDUP(F19/G19, 0)</f>
        <v/>
      </c>
      <c r="I19" s="9">
        <f>H19*G19</f>
        <v/>
      </c>
      <c r="J19" s="9">
        <f>I19-F19</f>
        <v/>
      </c>
      <c r="K19" s="9">
        <f>F19*1.578</f>
        <v/>
      </c>
      <c r="L19" s="11">
        <f>IF(I19=0, 0, (J19/I19)*100)</f>
        <v/>
      </c>
    </row>
    <row r="20" ht="24" customHeight="1">
      <c r="A20" s="12" t="inlineStr">
        <is>
          <t>TỔNG CỘNG VẬT TƯ THÉP TOÀN CẦU (KG)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5">
        <f>SUM(K6:K19)</f>
        <v/>
      </c>
      <c r="L20" s="16">
        <f>IFERROR(AVERAGE(L6:L19), 0)</f>
        <v/>
      </c>
    </row>
  </sheetData>
  <mergeCells count="1">
    <mergeCell ref="A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2026-10-03T08:58:24Z</dcterms:created>
  <dcterms:modified xmlns:dcterms="http://purl.org/dc/terms/" xmlns:xsi="http://www.w3.org/2001/XMLSchema-instance" xsi:type="dcterms:W3CDTF">2026-10-03T08:58:24Z</dcterms:modified>
</cp:coreProperties>
</file>