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_TOAN_CAU" sheetId="1" state="visible" r:id="rId1"/>
    <sheet xmlns:r="http://schemas.openxmlformats.org/officeDocument/2006/relationships" name="00_DANH_MUC_30_BAN_VE_CAD" sheetId="2" state="visible" r:id="rId2"/>
    <sheet xmlns:r="http://schemas.openxmlformats.org/officeDocument/2006/relationships" name="01_KET_CAU_NHIP_SUPER_T" sheetId="3" state="visible" r:id="rId3"/>
    <sheet xmlns:r="http://schemas.openxmlformats.org/officeDocument/2006/relationships" name="02_KET_CAU_HA_BO_MO_TRU" sheetId="4" state="visible" r:id="rId4"/>
    <sheet xmlns:r="http://schemas.openxmlformats.org/officeDocument/2006/relationships" name="03_KET_CAU_PHU_TRO_MISC" sheetId="5" state="visible" r:id="rId5"/>
    <sheet xmlns:r="http://schemas.openxmlformats.org/officeDocument/2006/relationships" name="04_DUONG_DAU_CAU_TU_NON" sheetId="6" state="visible" r:id="rId6"/>
    <sheet xmlns:r="http://schemas.openxmlformats.org/officeDocument/2006/relationships" name="05_BIEN_PHAP_THI_CONG_CON" sheetId="7" state="visible" r:id="rId7"/>
    <sheet xmlns:r="http://schemas.openxmlformats.org/officeDocument/2006/relationships" name="06_BANG_TONG_HOP_BOQ_TIEN_LUO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B365D"/>
      <sz val="18"/>
    </font>
    <font>
      <name val="Segoe UI"/>
      <i val="1"/>
      <color rgb="00595959"/>
      <sz val="9"/>
    </font>
    <font>
      <name val="Segoe UI"/>
      <b val="1"/>
      <color rgb="001B365D"/>
      <sz val="11"/>
    </font>
    <font>
      <name val="Segoe UI"/>
      <b val="1"/>
      <color rgb="00FFFFFF"/>
      <sz val="11"/>
    </font>
    <font>
      <name val="Segoe UI"/>
      <b val="1"/>
      <color rgb="00276A3C"/>
      <sz val="10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F2F4F8"/>
      </patternFill>
    </fill>
    <fill>
      <patternFill patternType="solid">
        <fgColor rgb="001B365D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4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4" fontId="9" fillId="0" borderId="1" applyAlignment="1" pivotButton="0" quotePrefix="0" xfId="0">
      <alignment horizontal="right" vertical="center"/>
    </xf>
    <xf numFmtId="10" fontId="9" fillId="0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/>
    </xf>
    <xf numFmtId="0" fontId="0" fillId="6" borderId="2" pivotButton="0" quotePrefix="0" xfId="0"/>
    <xf numFmtId="0" fontId="10" fillId="6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center" vertical="center" wrapText="1"/>
    </xf>
    <xf numFmtId="4" fontId="10" fillId="6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right" vertical="center"/>
    </xf>
    <xf numFmtId="4" fontId="10" fillId="0" borderId="0" applyAlignment="1" pivotButton="0" quotePrefix="0" xfId="0">
      <alignment horizontal="right" vertical="center"/>
    </xf>
    <xf numFmtId="164" fontId="10" fillId="6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37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8" customWidth="1" min="2" max="2"/>
    <col width="44" customWidth="1" min="3" max="3"/>
    <col width="35" customWidth="1" min="4" max="4"/>
    <col width="26" customWidth="1" min="5" max="5"/>
    <col width="28" customWidth="1" min="6" max="6"/>
    <col width="35" customWidth="1" min="7" max="7"/>
    <col width="30" customWidth="1" min="8" max="8"/>
    <col width="15" customWidth="1" min="9" max="9"/>
    <col width="26" customWidth="1" min="10" max="10"/>
    <col width="25" customWidth="1" min="11" max="11"/>
    <col width="12" customWidth="1" min="12" max="12"/>
    <col width="12" customWidth="1" min="13" max="13"/>
    <col width="30" customWidth="1" min="14" max="14"/>
    <col width="12" customWidth="1" min="15" max="15"/>
    <col width="12" customWidth="1" min="16" max="16"/>
    <col width="28" customWidth="1" min="17" max="17"/>
    <col width="12" customWidth="1" min="18" max="18"/>
    <col width="12" customWidth="1" min="19" max="19"/>
  </cols>
  <sheetData>
    <row r="1"/>
    <row r="2">
      <c r="B2" s="1" t="inlineStr">
        <is>
          <t>BÁO CÁO ĐO BÓC KHỐI LƯỢNG TOÀN DIỆN TẤT CẢ BẢN VẼ - CẦU KM19+529.080</t>
        </is>
      </c>
    </row>
    <row r="3">
      <c r="B3" s="2" t="inlineStr">
        <is>
          <t>Dự án: Cao tốc Đồng Đăng - Trà Lĩnh | Tiêu chuẩn: TCVN 11823:2017 &amp; Thông tư 36/2026/TT-BXD | 100% Công thức động Office 365 Enterprise</t>
        </is>
      </c>
    </row>
    <row r="4"/>
    <row r="5">
      <c r="B5" s="3" t="inlineStr">
        <is>
          <t>TỔNG BÊ TÔNG TOÀN CẦU</t>
        </is>
      </c>
      <c r="C5" s="4" t="n"/>
      <c r="D5" s="4" t="n"/>
      <c r="E5" s="3" t="inlineStr">
        <is>
          <t>TỔNG CỐT THÉP THƯỜNG</t>
        </is>
      </c>
      <c r="F5" s="4" t="n"/>
      <c r="G5" s="4" t="n"/>
      <c r="H5" s="3" t="inlineStr">
        <is>
          <t>CÁP DƯL 15.2MM KÉO TRƯỚC</t>
        </is>
      </c>
      <c r="I5" s="4" t="n"/>
      <c r="J5" s="4" t="n"/>
      <c r="K5" s="3" t="inlineStr">
        <is>
          <t>CỌC KHOAN NHỒI D1200MM</t>
        </is>
      </c>
      <c r="L5" s="4" t="n"/>
      <c r="M5" s="4" t="n"/>
      <c r="N5" s="3" t="inlineStr">
        <is>
          <t>TỔNG DIỆN TÍCH VÁN KHUÔN</t>
        </is>
      </c>
      <c r="O5" s="4" t="n"/>
      <c r="P5" s="4" t="n"/>
      <c r="Q5" s="3" t="inlineStr">
        <is>
          <t>VẬT LIỆU HẠT ĐẮP LÒNG MỐ</t>
        </is>
      </c>
      <c r="R5" s="4" t="n"/>
      <c r="S5" s="4" t="n"/>
    </row>
    <row r="6">
      <c r="B6" s="5">
        <f>'06_BANG_TONG_HOP_BOQ_TIEN_LUONG'!G40</f>
        <v/>
      </c>
      <c r="C6" s="4" t="n"/>
      <c r="D6" s="4" t="n"/>
      <c r="E6" s="5">
        <f>'06_BANG_TONG_HOP_BOQ_TIEN_LUONG'!G41</f>
        <v/>
      </c>
      <c r="F6" s="4" t="n"/>
      <c r="G6" s="4" t="n"/>
      <c r="H6" s="5">
        <f>'01_KET_CAU_NHIP_SUPER_T'!H22</f>
        <v/>
      </c>
      <c r="I6" s="4" t="n"/>
      <c r="J6" s="4" t="n"/>
      <c r="K6" s="5">
        <f>'02_KET_CAU_HA_BO_MO_TRU'!G27</f>
        <v/>
      </c>
      <c r="L6" s="4" t="n"/>
      <c r="M6" s="4" t="n"/>
      <c r="N6" s="5">
        <f>'06_BANG_TONG_HOP_BOQ_TIEN_LUONG'!G42</f>
        <v/>
      </c>
      <c r="O6" s="4" t="n"/>
      <c r="P6" s="4" t="n"/>
      <c r="Q6" s="5">
        <f>'04_DUONG_DAU_CAU_TU_NON'!H24</f>
        <v/>
      </c>
      <c r="R6" s="4" t="n"/>
      <c r="S6" s="4" t="n"/>
    </row>
    <row r="7"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B8" s="6" t="inlineStr">
        <is>
          <t>m³ (C10 đến C45)</t>
        </is>
      </c>
      <c r="C8" s="4" t="n"/>
      <c r="D8" s="4" t="n"/>
      <c r="E8" s="6" t="inlineStr">
        <is>
          <t>Tấn (CB400-V / CB240-T)</t>
        </is>
      </c>
      <c r="F8" s="4" t="n"/>
      <c r="G8" s="4" t="n"/>
      <c r="H8" s="6" t="inlineStr">
        <is>
          <t>Tấn (44 tao/dầm x 15 phiến)</t>
        </is>
      </c>
      <c r="I8" s="4" t="n"/>
      <c r="J8" s="4" t="n"/>
      <c r="K8" s="6" t="inlineStr">
        <is>
          <t>Mét (26 cọc đại trà)</t>
        </is>
      </c>
      <c r="L8" s="4" t="n"/>
      <c r="M8" s="4" t="n"/>
      <c r="N8" s="6" t="inlineStr">
        <is>
          <t>m² (Dầm, Mố, Trụ, Cấu kiện)</t>
        </is>
      </c>
      <c r="O8" s="4" t="n"/>
      <c r="P8" s="4" t="n"/>
      <c r="Q8" s="6" t="inlineStr">
        <is>
          <t>m³ (Hạt chọn lọc đắp K98)</t>
        </is>
      </c>
      <c r="R8" s="4" t="n"/>
      <c r="S8" s="4" t="n"/>
    </row>
    <row r="9"/>
    <row r="10">
      <c r="B10" s="7" t="inlineStr">
        <is>
          <t>BẢNG ĐỐI CHIẾU KIỂM TOÁN CHÉO TOÀN DIỆN VỚI HỒ SƠ THIẾT KẾ DUYỆT (06.THKL_KM19.5)</t>
        </is>
      </c>
    </row>
    <row r="11">
      <c r="B11" s="8" t="inlineStr">
        <is>
          <t>STT</t>
        </is>
      </c>
      <c r="C11" s="8" t="inlineStr">
        <is>
          <t>Phân hệ hạng mục công việc</t>
        </is>
      </c>
      <c r="D11" s="8" t="inlineStr">
        <is>
          <t>Quy cách / Mác vật liệu</t>
        </is>
      </c>
      <c r="E11" s="8" t="inlineStr">
        <is>
          <t>ĐVT</t>
        </is>
      </c>
      <c r="F11" s="8" t="inlineStr">
        <is>
          <t>Khối lượng Thiết kế Duyệt</t>
        </is>
      </c>
      <c r="G11" s="8" t="inlineStr">
        <is>
          <t>Khối lượng Bóc tách Chi tiết 365</t>
        </is>
      </c>
      <c r="H11" s="8" t="inlineStr">
        <is>
          <t>Chênh lệch (Delta)</t>
        </is>
      </c>
      <c r="I11" s="8" t="inlineStr">
        <is>
          <t>Tỷ lệ sai số</t>
        </is>
      </c>
      <c r="J11" s="8" t="inlineStr">
        <is>
          <t>Kết quả Kiểm toán Audit</t>
        </is>
      </c>
    </row>
    <row r="12">
      <c r="B12" s="9" t="inlineStr">
        <is>
          <t>I. KẾT CẤU PHẦN TRÊN (SUPERSTRUCTURE)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B13" s="11" t="inlineStr">
        <is>
          <t>1</t>
        </is>
      </c>
      <c r="C13" s="12" t="inlineStr">
        <is>
          <t>Dầm chủ Super-T 38.2m (15 phiến)</t>
        </is>
      </c>
      <c r="D13" s="12" t="inlineStr">
        <is>
          <t>Bê tông C45/50</t>
        </is>
      </c>
      <c r="E13" s="11" t="inlineStr">
        <is>
          <t>m³</t>
        </is>
      </c>
      <c r="F13" s="13" t="n">
        <v>434.55</v>
      </c>
      <c r="G13" s="13">
        <f>'01_KET_CAU_NHIP_SUPER_T'!H21</f>
        <v/>
      </c>
      <c r="H13" s="13">
        <f>G13-F13</f>
        <v/>
      </c>
      <c r="I13" s="14">
        <f>IF(F13=0,0,H13/F13)</f>
        <v/>
      </c>
      <c r="J13" s="15">
        <f>IF(ABS(I13)&lt;0.001," KHỚP 100%"," CẦN SOÁT")</f>
        <v/>
      </c>
    </row>
    <row r="14">
      <c r="B14" s="11" t="inlineStr">
        <is>
          <t>2</t>
        </is>
      </c>
      <c r="C14" s="12" t="inlineStr">
        <is>
          <t>Cáp DƯL 15.2mm 7 sợi kéo trước</t>
        </is>
      </c>
      <c r="D14" s="12" t="inlineStr">
        <is>
          <t>ASTM A416 Grade 270</t>
        </is>
      </c>
      <c r="E14" s="11" t="inlineStr">
        <is>
          <t>kg</t>
        </is>
      </c>
      <c r="F14" s="13" t="n">
        <v>29911.2</v>
      </c>
      <c r="G14" s="13">
        <f>'01_KET_CAU_NHIP_SUPER_T'!H22*1000</f>
        <v/>
      </c>
      <c r="H14" s="13">
        <f>G14-F14</f>
        <v/>
      </c>
      <c r="I14" s="14">
        <f>IF(F14=0,0,H14/F14)</f>
        <v/>
      </c>
      <c r="J14" s="15">
        <f>IF(ABS(I14)&lt;0.001," KHỚP 100%"," CẦN SOÁT")</f>
        <v/>
      </c>
    </row>
    <row r="15">
      <c r="B15" s="11" t="inlineStr">
        <is>
          <t>3</t>
        </is>
      </c>
      <c r="C15" s="12" t="inlineStr">
        <is>
          <t>Thép thanh thường dầm chủ (23 mã BBS)</t>
        </is>
      </c>
      <c r="D15" s="12" t="inlineStr">
        <is>
          <t>CB400-V (10&lt;D&lt;=18 &amp; D&gt;18)</t>
        </is>
      </c>
      <c r="E15" s="11" t="inlineStr">
        <is>
          <t>kg</t>
        </is>
      </c>
      <c r="F15" s="13" t="n">
        <v>89668.81</v>
      </c>
      <c r="G15" s="13">
        <f>'01_KET_CAU_NHIP_SUPER_T'!H23*1000</f>
        <v/>
      </c>
      <c r="H15" s="13">
        <f>G15-F15</f>
        <v/>
      </c>
      <c r="I15" s="14">
        <f>IF(F15=0,0,H15/F15)</f>
        <v/>
      </c>
      <c r="J15" s="15">
        <f>IF(ABS(I15)&lt;0.001," KHỚP 100%"," CẦN SOÁT")</f>
        <v/>
      </c>
    </row>
    <row r="16">
      <c r="B16" s="11" t="inlineStr">
        <is>
          <t>4</t>
        </is>
      </c>
      <c r="C16" s="12" t="inlineStr">
        <is>
          <t>Ván khuôn dầm chủ Super-T</t>
        </is>
      </c>
      <c r="D16" s="12" t="inlineStr">
        <is>
          <t>Thép định hình / Phủ phim</t>
        </is>
      </c>
      <c r="E16" s="11" t="inlineStr">
        <is>
          <t>m²</t>
        </is>
      </c>
      <c r="F16" s="13" t="n">
        <v>5098.77</v>
      </c>
      <c r="G16" s="13">
        <f>'01_KET_CAU_NHIP_SUPER_T'!H24</f>
        <v/>
      </c>
      <c r="H16" s="13">
        <f>G16-F16</f>
        <v/>
      </c>
      <c r="I16" s="14">
        <f>IF(F16=0,0,H16/F16)</f>
        <v/>
      </c>
      <c r="J16" s="15">
        <f>IF(ABS(I16)&lt;0.001," KHỚP 100%"," CẦN SOÁT")</f>
        <v/>
      </c>
    </row>
    <row r="17">
      <c r="B17" s="11" t="inlineStr">
        <is>
          <t>5</t>
        </is>
      </c>
      <c r="C17" s="12" t="inlineStr">
        <is>
          <t>Dầm ngang BTCT 3 nhịp</t>
        </is>
      </c>
      <c r="D17" s="12" t="inlineStr">
        <is>
          <t>Bê tông C35/45</t>
        </is>
      </c>
      <c r="E17" s="11" t="inlineStr">
        <is>
          <t>m³</t>
        </is>
      </c>
      <c r="F17" s="13" t="n">
        <v>19.38</v>
      </c>
      <c r="G17" s="13">
        <f>'01_KET_CAU_NHIP_SUPER_T'!H25</f>
        <v/>
      </c>
      <c r="H17" s="13">
        <f>G17-F17</f>
        <v/>
      </c>
      <c r="I17" s="14">
        <f>IF(F17=0,0,H17/F17)</f>
        <v/>
      </c>
      <c r="J17" s="15">
        <f>IF(ABS(I17)&lt;0.001," KHỚP 100%"," CẦN SOÁT")</f>
        <v/>
      </c>
    </row>
    <row r="18">
      <c r="B18" s="11" t="inlineStr">
        <is>
          <t>6</t>
        </is>
      </c>
      <c r="C18" s="12" t="inlineStr">
        <is>
          <t>Bản mặt cầu &amp; Bản LTN</t>
        </is>
      </c>
      <c r="D18" s="12" t="inlineStr">
        <is>
          <t>Bê tông C35/45</t>
        </is>
      </c>
      <c r="E18" s="11" t="inlineStr">
        <is>
          <t>m³</t>
        </is>
      </c>
      <c r="F18" s="13" t="n">
        <v>327.33</v>
      </c>
      <c r="G18" s="13">
        <f>'01_KET_CAU_NHIP_SUPER_T'!H26</f>
        <v/>
      </c>
      <c r="H18" s="13">
        <f>G18-F18</f>
        <v/>
      </c>
      <c r="I18" s="14">
        <f>IF(F18=0,0,H18/F18)</f>
        <v/>
      </c>
      <c r="J18" s="15">
        <f>IF(ABS(I18)&lt;0.001," KHỚP 100%"," CẦN SOÁT")</f>
        <v/>
      </c>
    </row>
    <row r="19">
      <c r="B19" s="11" t="inlineStr">
        <is>
          <t>7</t>
        </is>
      </c>
      <c r="C19" s="12" t="inlineStr">
        <is>
          <t>Cốt thép BMC, DN &amp; Bản LTN</t>
        </is>
      </c>
      <c r="D19" s="12" t="inlineStr">
        <is>
          <t>CB400-V (D&lt;=18 &amp; D&gt;18)</t>
        </is>
      </c>
      <c r="E19" s="11" t="inlineStr">
        <is>
          <t>kg</t>
        </is>
      </c>
      <c r="F19" s="13" t="n">
        <v>88357.50999999999</v>
      </c>
      <c r="G19" s="13">
        <f>'01_KET_CAU_NHIP_SUPER_T'!H27*1000</f>
        <v/>
      </c>
      <c r="H19" s="13">
        <f>G19-F19</f>
        <v/>
      </c>
      <c r="I19" s="14">
        <f>IF(F19=0,0,H19/F19)</f>
        <v/>
      </c>
      <c r="J19" s="15">
        <f>IF(ABS(I19)&lt;0.001," KHỚP 100%"," CẦN SOÁT")</f>
        <v/>
      </c>
    </row>
    <row r="20">
      <c r="B20" s="11" t="inlineStr">
        <is>
          <t>8</t>
        </is>
      </c>
      <c r="C20" s="12" t="inlineStr">
        <is>
          <t>Tấm ván khuôn đúc sẵn (510 tấm)</t>
        </is>
      </c>
      <c r="D20" s="12" t="inlineStr">
        <is>
          <t>Bê tông C25/30</t>
        </is>
      </c>
      <c r="E20" s="11" t="inlineStr">
        <is>
          <t>m³</t>
        </is>
      </c>
      <c r="F20" s="13" t="n">
        <v>13.23</v>
      </c>
      <c r="G20" s="13">
        <f>'01_KET_CAU_NHIP_SUPER_T'!H28</f>
        <v/>
      </c>
      <c r="H20" s="13">
        <f>G20-F20</f>
        <v/>
      </c>
      <c r="I20" s="14">
        <f>IF(F20=0,0,H20/F20)</f>
        <v/>
      </c>
      <c r="J20" s="15">
        <f>IF(ABS(I20)&lt;0.001," KHỚP 100%"," CẦN SOÁT")</f>
        <v/>
      </c>
    </row>
    <row r="21">
      <c r="B21" s="11" t="inlineStr">
        <is>
          <t>9</t>
        </is>
      </c>
      <c r="C21" s="12" t="inlineStr">
        <is>
          <t>Mặt đường Asphalt C16 (t=7cm)</t>
        </is>
      </c>
      <c r="D21" s="12" t="inlineStr">
        <is>
          <t>BTN C16 &amp; Chống thấm</t>
        </is>
      </c>
      <c r="E21" s="11" t="inlineStr">
        <is>
          <t>m²</t>
        </is>
      </c>
      <c r="F21" s="13" t="n">
        <v>1380.39</v>
      </c>
      <c r="G21" s="13">
        <f>'01_KET_CAU_NHIP_SUPER_T'!H29</f>
        <v/>
      </c>
      <c r="H21" s="13">
        <f>G21-F21</f>
        <v/>
      </c>
      <c r="I21" s="14">
        <f>IF(F21=0,0,H21/F21)</f>
        <v/>
      </c>
      <c r="J21" s="15">
        <f>IF(ABS(I21)&lt;0.001," KHỚP 100%"," CẦN SOÁT")</f>
        <v/>
      </c>
    </row>
    <row r="22">
      <c r="B22" s="9" t="inlineStr">
        <is>
          <t>II. KẾT CẤU PHẦN DƯỚI (SUBSTRUCTURE)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B23" s="11" t="inlineStr">
        <is>
          <t>10</t>
        </is>
      </c>
      <c r="C23" s="12" t="inlineStr">
        <is>
          <t>Bê tông Mố M1 &amp; M2 trên cạn</t>
        </is>
      </c>
      <c r="D23" s="12" t="inlineStr">
        <is>
          <t>Bê tông C30/37</t>
        </is>
      </c>
      <c r="E23" s="11" t="inlineStr">
        <is>
          <t>m³</t>
        </is>
      </c>
      <c r="F23" s="13" t="n">
        <v>403.75</v>
      </c>
      <c r="G23" s="13">
        <f>'02_KET_CAU_HA_BO_MO_TRU'!G21</f>
        <v/>
      </c>
      <c r="H23" s="13">
        <f>G23-F23</f>
        <v/>
      </c>
      <c r="I23" s="14">
        <f>IF(F23=0,0,H23/F23)</f>
        <v/>
      </c>
      <c r="J23" s="15">
        <f>IF(ABS(I23)&lt;0.001," KHỚP 100%"," CẦN SOÁT")</f>
        <v/>
      </c>
    </row>
    <row r="24">
      <c r="B24" s="11" t="inlineStr">
        <is>
          <t>11</t>
        </is>
      </c>
      <c r="C24" s="12" t="inlineStr">
        <is>
          <t>Cốt thép Mố M1 &amp; M2</t>
        </is>
      </c>
      <c r="D24" s="12" t="inlineStr">
        <is>
          <t>CB400-V (D10 đến D28)</t>
        </is>
      </c>
      <c r="E24" s="11" t="inlineStr">
        <is>
          <t>kg</t>
        </is>
      </c>
      <c r="F24" s="13" t="n">
        <v>40954.12</v>
      </c>
      <c r="G24" s="13">
        <f>'02_KET_CAU_HA_BO_MO_TRU'!G22*1000</f>
        <v/>
      </c>
      <c r="H24" s="13">
        <f>G24-F24</f>
        <v/>
      </c>
      <c r="I24" s="14">
        <f>IF(F24=0,0,H24/F24)</f>
        <v/>
      </c>
      <c r="J24" s="15">
        <f>IF(ABS(I24)&lt;0.001," KHỚP 100%"," CẦN SOÁT")</f>
        <v/>
      </c>
    </row>
    <row r="25">
      <c r="B25" s="11" t="inlineStr">
        <is>
          <t>12</t>
        </is>
      </c>
      <c r="C25" s="12" t="inlineStr">
        <is>
          <t>Bê tông Trụ T1 &amp; T2 trên cạn</t>
        </is>
      </c>
      <c r="D25" s="12" t="inlineStr">
        <is>
          <t>Bê tông C30/37 (Bệ, thân, xà mũ)</t>
        </is>
      </c>
      <c r="E25" s="11" t="inlineStr">
        <is>
          <t>m³</t>
        </is>
      </c>
      <c r="F25" s="13" t="n">
        <v>1015.22</v>
      </c>
      <c r="G25" s="13">
        <f>'02_KET_CAU_HA_BO_MO_TRU'!G23</f>
        <v/>
      </c>
      <c r="H25" s="13">
        <f>G25-F25</f>
        <v/>
      </c>
      <c r="I25" s="14">
        <f>IF(F25=0,0,H25/F25)</f>
        <v/>
      </c>
      <c r="J25" s="15">
        <f>IF(ABS(I25)&lt;0.001," KHỚP 100%"," CẦN SOÁT")</f>
        <v/>
      </c>
    </row>
    <row r="26">
      <c r="B26" s="11" t="inlineStr">
        <is>
          <t>13</t>
        </is>
      </c>
      <c r="C26" s="12" t="inlineStr">
        <is>
          <t>Cốt thép Trụ T1 &amp; T2</t>
        </is>
      </c>
      <c r="D26" s="12" t="inlineStr">
        <is>
          <t>CB400-V (D12 đến D32)</t>
        </is>
      </c>
      <c r="E26" s="11" t="inlineStr">
        <is>
          <t>kg</t>
        </is>
      </c>
      <c r="F26" s="13" t="n">
        <v>126127.25</v>
      </c>
      <c r="G26" s="13">
        <f>'02_KET_CAU_HA_BO_MO_TRU'!G24*1000</f>
        <v/>
      </c>
      <c r="H26" s="13">
        <f>G26-F26</f>
        <v/>
      </c>
      <c r="I26" s="14">
        <f>IF(F26=0,0,H26/F26)</f>
        <v/>
      </c>
      <c r="J26" s="15">
        <f>IF(ABS(I26)&lt;0.001," KHỚP 100%"," CẦN SOÁT")</f>
        <v/>
      </c>
    </row>
    <row r="27">
      <c r="B27" s="11" t="inlineStr">
        <is>
          <t>14</t>
        </is>
      </c>
      <c r="C27" s="12" t="inlineStr">
        <is>
          <t>Cọc khoan nhồi D1200mm đại trà (26 cọc)</t>
        </is>
      </c>
      <c r="D27" s="12" t="inlineStr">
        <is>
          <t>Bê tông C30/37 (L=872m)</t>
        </is>
      </c>
      <c r="E27" s="11" t="inlineStr">
        <is>
          <t>m³</t>
        </is>
      </c>
      <c r="F27" s="13" t="n">
        <v>1006.54</v>
      </c>
      <c r="G27" s="13">
        <f>'02_KET_CAU_HA_BO_MO_TRU'!G25</f>
        <v/>
      </c>
      <c r="H27" s="13">
        <f>G27-F27</f>
        <v/>
      </c>
      <c r="I27" s="14">
        <f>IF(F27=0,0,H27/F27)</f>
        <v/>
      </c>
      <c r="J27" s="15">
        <f>IF(ABS(I27)&lt;0.001," KHỚP 100%"," CẦN SOÁT")</f>
        <v/>
      </c>
    </row>
    <row r="28">
      <c r="B28" s="11" t="inlineStr">
        <is>
          <t>15</t>
        </is>
      </c>
      <c r="C28" s="12" t="inlineStr">
        <is>
          <t>Cốt thép Cọc khoan nhồi D1200mm</t>
        </is>
      </c>
      <c r="D28" s="12" t="inlineStr">
        <is>
          <t>CB400-V (D10, D16, D28)</t>
        </is>
      </c>
      <c r="E28" s="11" t="inlineStr">
        <is>
          <t>kg</t>
        </is>
      </c>
      <c r="F28" s="13" t="n">
        <v>108884.17</v>
      </c>
      <c r="G28" s="13">
        <f>'02_KET_CAU_HA_BO_MO_TRU'!G26*1000</f>
        <v/>
      </c>
      <c r="H28" s="13">
        <f>G28-F28</f>
        <v/>
      </c>
      <c r="I28" s="14">
        <f>IF(F28=0,0,H28/F28)</f>
        <v/>
      </c>
      <c r="J28" s="15">
        <f>IF(ABS(I28)&lt;0.001," KHỚP 100%"," CẦN SOÁT")</f>
        <v/>
      </c>
    </row>
    <row r="29">
      <c r="B29" s="9" t="inlineStr">
        <is>
          <t>III. KẾT CẤU PHỤ TRỢ (MISCELLANEOUS)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B30" s="11" t="inlineStr">
        <is>
          <t>16</t>
        </is>
      </c>
      <c r="C30" s="12" t="inlineStr">
        <is>
          <t>Bản quá độ BTCT C25 (M1 &amp; M2)</t>
        </is>
      </c>
      <c r="D30" s="12" t="inlineStr">
        <is>
          <t>Bê tông C25/30</t>
        </is>
      </c>
      <c r="E30" s="11" t="inlineStr">
        <is>
          <t>m³</t>
        </is>
      </c>
      <c r="F30" s="13" t="n">
        <v>67.38</v>
      </c>
      <c r="G30" s="13">
        <f>'03_KET_CAU_PHU_TRO_MISC'!G17</f>
        <v/>
      </c>
      <c r="H30" s="13">
        <f>G30-F30</f>
        <v/>
      </c>
      <c r="I30" s="14">
        <f>IF(F30=0,0,H30/F30)</f>
        <v/>
      </c>
      <c r="J30" s="15">
        <f>IF(ABS(I30)&lt;0.001," KHỚP 100%"," CẦN SOÁT")</f>
        <v/>
      </c>
    </row>
    <row r="31">
      <c r="B31" s="11" t="inlineStr">
        <is>
          <t>17</t>
        </is>
      </c>
      <c r="C31" s="12" t="inlineStr">
        <is>
          <t>Gờ lan can BTCT C25</t>
        </is>
      </c>
      <c r="D31" s="12" t="inlineStr">
        <is>
          <t>Bê tông C25/30</t>
        </is>
      </c>
      <c r="E31" s="11" t="inlineStr">
        <is>
          <t>m³</t>
        </is>
      </c>
      <c r="F31" s="13" t="n">
        <v>104.28</v>
      </c>
      <c r="G31" s="13">
        <f>'03_KET_CAU_PHU_TRO_MISC'!G18</f>
        <v/>
      </c>
      <c r="H31" s="13">
        <f>G31-F31</f>
        <v/>
      </c>
      <c r="I31" s="14">
        <f>IF(F31=0,0,H31/F31)</f>
        <v/>
      </c>
      <c r="J31" s="15">
        <f>IF(ABS(I31)&lt;0.001," KHỚP 100%"," CẦN SOÁT")</f>
        <v/>
      </c>
    </row>
    <row r="32">
      <c r="B32" s="11" t="inlineStr">
        <is>
          <t>18</t>
        </is>
      </c>
      <c r="C32" s="12" t="inlineStr">
        <is>
          <t>Cốt thép gờ lan can &amp; bản quá độ</t>
        </is>
      </c>
      <c r="D32" s="12" t="inlineStr">
        <is>
          <t>CB400-V</t>
        </is>
      </c>
      <c r="E32" s="11" t="inlineStr">
        <is>
          <t>kg</t>
        </is>
      </c>
      <c r="F32" s="13" t="n">
        <v>29602.42</v>
      </c>
      <c r="G32" s="13">
        <f>'03_KET_CAU_PHU_TRO_MISC'!G19*1000</f>
        <v/>
      </c>
      <c r="H32" s="13">
        <f>G32-F32</f>
        <v/>
      </c>
      <c r="I32" s="14">
        <f>IF(F32=0,0,H32/F32)</f>
        <v/>
      </c>
      <c r="J32" s="15">
        <f>IF(ABS(I32)&lt;0.001," KHỚP 100%"," CẦN SOÁT")</f>
        <v/>
      </c>
    </row>
    <row r="33">
      <c r="B33" s="11" t="inlineStr">
        <is>
          <t>19</t>
        </is>
      </c>
      <c r="C33" s="12" t="inlineStr">
        <is>
          <t>Gối chậu Super-T (B1 đơn &amp; B2 song hướng)</t>
        </is>
      </c>
      <c r="D33" s="12" t="inlineStr">
        <is>
          <t>Thép đúc &amp; PTFE (30 gối)</t>
        </is>
      </c>
      <c r="E33" s="11" t="inlineStr">
        <is>
          <t>Cái</t>
        </is>
      </c>
      <c r="F33" s="13" t="n">
        <v>30</v>
      </c>
      <c r="G33" s="13">
        <f>'03_KET_CAU_PHU_TRO_MISC'!G20</f>
        <v/>
      </c>
      <c r="H33" s="13">
        <f>G33-F33</f>
        <v/>
      </c>
      <c r="I33" s="14">
        <f>IF(F33=0,0,H33/F33)</f>
        <v/>
      </c>
      <c r="J33" s="15">
        <f>IF(ABS(I33)&lt;0.001," KHỚP 100%"," CẦN SOÁT")</f>
        <v/>
      </c>
    </row>
    <row r="34">
      <c r="B34" s="11" t="inlineStr">
        <is>
          <t>20</t>
        </is>
      </c>
      <c r="C34" s="12" t="inlineStr">
        <is>
          <t>Khe co giãn răng lược WD230</t>
        </is>
      </c>
      <c r="D34" s="12" t="inlineStr">
        <is>
          <t>Thép mạ kẽm (2 khe x 12.25m)</t>
        </is>
      </c>
      <c r="E34" s="11" t="inlineStr">
        <is>
          <t>m</t>
        </is>
      </c>
      <c r="F34" s="13" t="n">
        <v>24.5</v>
      </c>
      <c r="G34" s="13">
        <f>'03_KET_CAU_PHU_TRO_MISC'!G21</f>
        <v/>
      </c>
      <c r="H34" s="13">
        <f>G34-F34</f>
        <v/>
      </c>
      <c r="I34" s="14">
        <f>IF(F34=0,0,H34/F34)</f>
        <v/>
      </c>
      <c r="J34" s="15">
        <f>IF(ABS(I34)&lt;0.001," KHỚP 100%"," CẦN SOÁT")</f>
        <v/>
      </c>
    </row>
    <row r="35">
      <c r="B35" s="11" t="inlineStr">
        <is>
          <t>21</t>
        </is>
      </c>
      <c r="C35" s="12" t="inlineStr">
        <is>
          <t>Hè gang &amp; Ống thoát nước mặt cầu</t>
        </is>
      </c>
      <c r="D35" s="12" t="inlineStr">
        <is>
          <t>Gang xám &amp; uPVC D150</t>
        </is>
      </c>
      <c r="E35" s="11" t="inlineStr">
        <is>
          <t>Bộ</t>
        </is>
      </c>
      <c r="F35" s="13" t="n">
        <v>24</v>
      </c>
      <c r="G35" s="13">
        <f>'03_KET_CAU_PHU_TRO_MISC'!G22</f>
        <v/>
      </c>
      <c r="H35" s="13">
        <f>G35-F35</f>
        <v/>
      </c>
      <c r="I35" s="14">
        <f>IF(F35=0,0,H35/F35)</f>
        <v/>
      </c>
      <c r="J35" s="15">
        <f>IF(ABS(I35)&lt;0.001," KHỚP 100%"," CẦN SOÁT")</f>
        <v/>
      </c>
    </row>
    <row r="36">
      <c r="B36" s="9" t="inlineStr">
        <is>
          <t>IV. ĐƯỜNG SAU MỐ, TỨ NÓN &amp; GIA CỐ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B37" s="11" t="inlineStr">
        <is>
          <t>22</t>
        </is>
      </c>
      <c r="C37" s="12" t="inlineStr">
        <is>
          <t>Đá hộc xây vữa VXM M100 kè tứ nón</t>
        </is>
      </c>
      <c r="D37" s="12" t="inlineStr">
        <is>
          <t>Đá hộc VXM M100</t>
        </is>
      </c>
      <c r="E37" s="11" t="inlineStr">
        <is>
          <t>m³</t>
        </is>
      </c>
      <c r="F37" s="13" t="n">
        <v>104.74</v>
      </c>
      <c r="G37" s="13">
        <f>'04_DUONG_DAU_CAU_TU_NON'!H21</f>
        <v/>
      </c>
      <c r="H37" s="13">
        <f>G37-F37</f>
        <v/>
      </c>
      <c r="I37" s="14">
        <f>IF(F37=0,0,H37/F37)</f>
        <v/>
      </c>
      <c r="J37" s="15">
        <f>IF(ABS(I37)&lt;0.001," KHỚP 100%"," CẦN SOÁT")</f>
        <v/>
      </c>
    </row>
    <row r="38">
      <c r="B38" s="11" t="inlineStr">
        <is>
          <t>23</t>
        </is>
      </c>
      <c r="C38" s="12" t="inlineStr">
        <is>
          <t>Tường chắn bê tông trọng lực C15</t>
        </is>
      </c>
      <c r="D38" s="12" t="inlineStr">
        <is>
          <t>Bê tông C15</t>
        </is>
      </c>
      <c r="E38" s="11" t="inlineStr">
        <is>
          <t>m³</t>
        </is>
      </c>
      <c r="F38" s="13" t="n">
        <v>115.88</v>
      </c>
      <c r="G38" s="13">
        <f>'04_DUONG_DAU_CAU_TU_NON'!H22</f>
        <v/>
      </c>
      <c r="H38" s="13">
        <f>G38-F38</f>
        <v/>
      </c>
      <c r="I38" s="14">
        <f>IF(F38=0,0,H38/F38)</f>
        <v/>
      </c>
      <c r="J38" s="15">
        <f>IF(ABS(I38)&lt;0.001," KHỚP 100%"," CẦN SOÁT")</f>
        <v/>
      </c>
    </row>
    <row r="39">
      <c r="B39" s="11" t="inlineStr">
        <is>
          <t>24</t>
        </is>
      </c>
      <c r="C39" s="12" t="inlineStr">
        <is>
          <t>Áo đường vuốt nối 10m đầu cầu</t>
        </is>
      </c>
      <c r="D39" s="12" t="inlineStr">
        <is>
          <t>BTN rỗng 12.5 &amp; BTNC 19</t>
        </is>
      </c>
      <c r="E39" s="11" t="inlineStr">
        <is>
          <t>m²</t>
        </is>
      </c>
      <c r="F39" s="13" t="n">
        <v>387.97</v>
      </c>
      <c r="G39" s="13">
        <f>'04_DUONG_DAU_CAU_TU_NON'!H23</f>
        <v/>
      </c>
      <c r="H39" s="13">
        <f>G39-F39</f>
        <v/>
      </c>
      <c r="I39" s="14">
        <f>IF(F39=0,0,H39/F39)</f>
        <v/>
      </c>
      <c r="J39" s="15">
        <f>IF(ABS(I39)&lt;0.001," KHỚP 100%"," CẦN SOÁT")</f>
        <v/>
      </c>
    </row>
    <row r="40">
      <c r="B40" s="11" t="inlineStr">
        <is>
          <t>25</t>
        </is>
      </c>
      <c r="C40" s="12" t="inlineStr">
        <is>
          <t>Vật liệu hạt chọn lọc đắp lòng mố K98</t>
        </is>
      </c>
      <c r="D40" s="12" t="inlineStr">
        <is>
          <t>Cấp phối hạt K98</t>
        </is>
      </c>
      <c r="E40" s="11" t="inlineStr">
        <is>
          <t>m³</t>
        </is>
      </c>
      <c r="F40" s="13" t="n">
        <v>1012.96</v>
      </c>
      <c r="G40" s="13">
        <f>'04_DUONG_DAU_CAU_TU_NON'!H24</f>
        <v/>
      </c>
      <c r="H40" s="13">
        <f>G40-F40</f>
        <v/>
      </c>
      <c r="I40" s="14">
        <f>IF(F40=0,0,H40/F40)</f>
        <v/>
      </c>
      <c r="J40" s="15">
        <f>IF(ABS(I40)&lt;0.001," KHỚP 100%"," CẦN SOÁT")</f>
        <v/>
      </c>
    </row>
  </sheetData>
  <mergeCells count="22">
    <mergeCell ref="N6:P7"/>
    <mergeCell ref="Q5:S5"/>
    <mergeCell ref="B8:D8"/>
    <mergeCell ref="N5:P5"/>
    <mergeCell ref="N8:P8"/>
    <mergeCell ref="K6:M7"/>
    <mergeCell ref="B29:J29"/>
    <mergeCell ref="K8:M8"/>
    <mergeCell ref="H6:J7"/>
    <mergeCell ref="B5:D5"/>
    <mergeCell ref="H5:J5"/>
    <mergeCell ref="B36:J36"/>
    <mergeCell ref="H8:J8"/>
    <mergeCell ref="E6:G7"/>
    <mergeCell ref="Q6:S7"/>
    <mergeCell ref="B6:D7"/>
    <mergeCell ref="E5:G5"/>
    <mergeCell ref="K5:M5"/>
    <mergeCell ref="B22:J22"/>
    <mergeCell ref="E8:G8"/>
    <mergeCell ref="Q8:S8"/>
    <mergeCell ref="B12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91" customWidth="1" min="2" max="2"/>
    <col width="17" customWidth="1" min="3" max="3"/>
    <col width="53" customWidth="1" min="4" max="4"/>
    <col width="45" customWidth="1" min="5" max="5"/>
    <col width="32" customWidth="1" min="6" max="6"/>
    <col width="20" customWidth="1" min="7" max="7"/>
    <col width="85" customWidth="1" min="8" max="8"/>
    <col width="20" customWidth="1" min="9" max="9"/>
  </cols>
  <sheetData>
    <row r="1"/>
    <row r="2">
      <c r="B2" s="1" t="inlineStr">
        <is>
          <t>DANH MỤC TOÀN BỘ 30 BẢN VẼ THIẾT KẾ THI CÔNG - CẦU KM19+529.080</t>
        </is>
      </c>
    </row>
    <row r="3">
      <c r="B3" s="2" t="inlineStr">
        <is>
          <t>Bảng theo dõi tình trạng quét, đo bóc giải tích và liên kết kiểm toán với hồ sơ thiết kế</t>
        </is>
      </c>
    </row>
    <row r="4"/>
    <row r="5">
      <c r="B5" s="8" t="inlineStr">
        <is>
          <t>STT</t>
        </is>
      </c>
      <c r="C5" s="8" t="inlineStr">
        <is>
          <t>Ký hiệu Bản vẽ</t>
        </is>
      </c>
      <c r="D5" s="8" t="inlineStr">
        <is>
          <t>Tên Bản vẽ Thiết kế Kỹ thuật Thi công</t>
        </is>
      </c>
      <c r="E5" s="8" t="inlineStr">
        <is>
          <t>Tên Tệp DWG</t>
        </is>
      </c>
      <c r="F5" s="8" t="inlineStr">
        <is>
          <t>Thư mục Lưu trữ</t>
        </is>
      </c>
      <c r="G5" s="8" t="inlineStr">
        <is>
          <t>Hạng mục Cấu kiện</t>
        </is>
      </c>
      <c r="H5" s="8" t="inlineStr">
        <is>
          <t>Mục tiêu Đo bóc Khối lượng</t>
        </is>
      </c>
      <c r="I5" s="8" t="inlineStr">
        <is>
          <t>Tình trạng Đo bóc</t>
        </is>
      </c>
    </row>
    <row r="6">
      <c r="B6" s="11" t="inlineStr">
        <is>
          <t>1</t>
        </is>
      </c>
      <c r="C6" s="11" t="inlineStr">
        <is>
          <t>01.GEN-01</t>
        </is>
      </c>
      <c r="D6" s="12" t="inlineStr">
        <is>
          <t>Bình đồ và Bố trí chung Cầu Km19+500 Super-T</t>
        </is>
      </c>
      <c r="E6" s="12" t="inlineStr">
        <is>
          <t>BTC CAU KM19+500 SUPER-T.dwg</t>
        </is>
      </c>
      <c r="F6" s="12" t="inlineStr">
        <is>
          <t>01. GEN\06.CAU KM19+529.08</t>
        </is>
      </c>
      <c r="G6" s="11" t="inlineStr">
        <is>
          <t>Toàn cầu</t>
        </is>
      </c>
      <c r="H6" s="12" t="inlineStr">
        <is>
          <t>Sơ đồ nhịp 39.1+40+39.1m, khẩu độ thoát nước, cao độ móng mố trụ</t>
        </is>
      </c>
      <c r="I6" s="15" t="inlineStr">
        <is>
          <t xml:space="preserve"> ĐÃ ĐO BÓC 100%</t>
        </is>
      </c>
    </row>
    <row r="7">
      <c r="B7" s="11" t="inlineStr">
        <is>
          <t>2</t>
        </is>
      </c>
      <c r="C7" s="11" t="inlineStr">
        <is>
          <t>01.GEN-02</t>
        </is>
      </c>
      <c r="D7" s="12" t="inlineStr">
        <is>
          <t>Trắc dọc Cầu Km19+529.080</t>
        </is>
      </c>
      <c r="E7" s="12" t="inlineStr">
        <is>
          <t>03.TD_Km19.5.dwg</t>
        </is>
      </c>
      <c r="F7" s="12" t="inlineStr">
        <is>
          <t>01. GEN\06.CAU KM19+529.08</t>
        </is>
      </c>
      <c r="G7" s="11" t="inlineStr">
        <is>
          <t>Toàn cầu</t>
        </is>
      </c>
      <c r="H7" s="12" t="inlineStr">
        <is>
          <t>Độ dốc dọc i=1.5%, bán kính đường cong R, chiều dài toàn cầu L=118.2m</t>
        </is>
      </c>
      <c r="I7" s="15" t="inlineStr">
        <is>
          <t xml:space="preserve"> ĐÃ ĐO BÓC 100%</t>
        </is>
      </c>
    </row>
    <row r="8">
      <c r="B8" s="11" t="inlineStr">
        <is>
          <t>3</t>
        </is>
      </c>
      <c r="C8" s="11" t="inlineStr">
        <is>
          <t>02.SUP-01</t>
        </is>
      </c>
      <c r="D8" s="12" t="inlineStr">
        <is>
          <t>Bố trí chung Nhịp Cầu Km19+529.08</t>
        </is>
      </c>
      <c r="E8" s="12" t="inlineStr">
        <is>
          <t>01.BO TRI CHUNG NHIP-Cau km19.5.dwg</t>
        </is>
      </c>
      <c r="F8" s="12" t="inlineStr">
        <is>
          <t>02. SUP\SUPER T 38.2</t>
        </is>
      </c>
      <c r="G8" s="11" t="inlineStr">
        <is>
          <t>Kết cấu nhịp</t>
        </is>
      </c>
      <c r="H8" s="12" t="inlineStr">
        <is>
          <t>Khoảng cách tim dầm 2.15-2.27m, 5 dầm/nhịp x 3 nhịp = 15 dầm</t>
        </is>
      </c>
      <c r="I8" s="15" t="inlineStr">
        <is>
          <t xml:space="preserve"> ĐÃ ĐO BÓC 100%</t>
        </is>
      </c>
    </row>
    <row r="9">
      <c r="B9" s="11" t="inlineStr">
        <is>
          <t>4</t>
        </is>
      </c>
      <c r="C9" s="11" t="inlineStr">
        <is>
          <t>02.SUP-02</t>
        </is>
      </c>
      <c r="D9" s="12" t="inlineStr">
        <is>
          <t>Bố trí chung Kích thước Hình học Dầm Super-T 38.2m</t>
        </is>
      </c>
      <c r="E9" s="12" t="inlineStr">
        <is>
          <t>02. BO TRI CHUNG DAM.dwg</t>
        </is>
      </c>
      <c r="F9" s="12" t="inlineStr">
        <is>
          <t>02. SUP\SUPER T 38.2</t>
        </is>
      </c>
      <c r="G9" s="11" t="inlineStr">
        <is>
          <t>Dầm chủ Super-T</t>
        </is>
      </c>
      <c r="H9" s="12" t="inlineStr">
        <is>
          <t>Phân đốt L1=1.4m (đầu đặc), L2=3.45m (vát sườn), L3=33.35m (chữ U)</t>
        </is>
      </c>
      <c r="I9" s="15" t="inlineStr">
        <is>
          <t xml:space="preserve"> ĐÃ ĐO BÓC 100%</t>
        </is>
      </c>
    </row>
    <row r="10">
      <c r="B10" s="11" t="inlineStr">
        <is>
          <t>5</t>
        </is>
      </c>
      <c r="C10" s="11" t="inlineStr">
        <is>
          <t>02.SUP-03</t>
        </is>
      </c>
      <c r="D10" s="12" t="inlineStr">
        <is>
          <t>Bố trí Cáp DƯL 15.2mm &amp; Ống PVC De-bonding</t>
        </is>
      </c>
      <c r="E10" s="12" t="inlineStr">
        <is>
          <t>03. CAP DUL .dwg</t>
        </is>
      </c>
      <c r="F10" s="12" t="inlineStr">
        <is>
          <t>02. SUP\SUPER T 38.2</t>
        </is>
      </c>
      <c r="G10" s="11" t="inlineStr">
        <is>
          <t>Cáp DƯL</t>
        </is>
      </c>
      <c r="H10" s="12" t="inlineStr">
        <is>
          <t>44 tao cáp 15.2mm/dầm, 6 nhóm de-bonding, ống PVC D18/22 L=240m/dầm</t>
        </is>
      </c>
      <c r="I10" s="15" t="inlineStr">
        <is>
          <t xml:space="preserve"> ĐÃ ĐO BÓC 100%</t>
        </is>
      </c>
    </row>
    <row r="11">
      <c r="B11" s="11" t="inlineStr">
        <is>
          <t>6</t>
        </is>
      </c>
      <c r="C11" s="11" t="inlineStr">
        <is>
          <t>02.SUP-04</t>
        </is>
      </c>
      <c r="D11" s="12" t="inlineStr">
        <is>
          <t>Bố trí Cốt thép thường Dầm chủ Super-T</t>
        </is>
      </c>
      <c r="E11" s="12" t="inlineStr">
        <is>
          <t>04. COT THEP DAM.dwg</t>
        </is>
      </c>
      <c r="F11" s="12" t="inlineStr">
        <is>
          <t>02. SUP\SUPER T 38.2</t>
        </is>
      </c>
      <c r="G11" s="11" t="inlineStr">
        <is>
          <t>Cốt thép dầm</t>
        </is>
      </c>
      <c r="H11" s="12" t="inlineStr">
        <is>
          <t>BBS 23 mã hiệu G1a-G18, K1a-b, tấm đệm đáy dầm 370x540x20mm</t>
        </is>
      </c>
      <c r="I11" s="15" t="inlineStr">
        <is>
          <t xml:space="preserve"> ĐÃ ĐO BÓC 100%</t>
        </is>
      </c>
    </row>
    <row r="12">
      <c r="B12" s="11" t="inlineStr">
        <is>
          <t>7</t>
        </is>
      </c>
      <c r="C12" s="11" t="inlineStr">
        <is>
          <t>02.SUP-05</t>
        </is>
      </c>
      <c r="D12" s="12" t="inlineStr">
        <is>
          <t>Bố trí chung &amp; Cốt thép Dầm ngang BTCT</t>
        </is>
      </c>
      <c r="E12" s="12" t="inlineStr">
        <is>
          <t>05 DAM NGANG.dwg</t>
        </is>
      </c>
      <c r="F12" s="12" t="inlineStr">
        <is>
          <t>02. SUP\SUPER T 38.2</t>
        </is>
      </c>
      <c r="G12" s="11" t="inlineStr">
        <is>
          <t>Dầm ngang</t>
        </is>
      </c>
      <c r="H12" s="12" t="inlineStr">
        <is>
          <t>Dầm ngang đầu dầm M1/M2 và trụ T1/T2, BT C35 V=19.38 m³, Thép 2.76T</t>
        </is>
      </c>
      <c r="I12" s="15" t="inlineStr">
        <is>
          <t xml:space="preserve"> ĐÃ ĐO BÓC 100%</t>
        </is>
      </c>
    </row>
    <row r="13">
      <c r="B13" s="11" t="inlineStr">
        <is>
          <t>8</t>
        </is>
      </c>
      <c r="C13" s="11" t="inlineStr">
        <is>
          <t>02.SUP-06</t>
        </is>
      </c>
      <c r="D13" s="12" t="inlineStr">
        <is>
          <t>Bố trí Tấm ván khuôn BTCT đúc sẵn C25</t>
        </is>
      </c>
      <c r="E13" s="12" t="inlineStr">
        <is>
          <t>06. TAM DUC SAN.dwg</t>
        </is>
      </c>
      <c r="F13" s="12" t="inlineStr">
        <is>
          <t>02. SUP\SUPER T 38.2</t>
        </is>
      </c>
      <c r="G13" s="11" t="inlineStr">
        <is>
          <t>Tấm đúc sẵn</t>
        </is>
      </c>
      <c r="H13" s="12" t="inlineStr">
        <is>
          <t>510 tấm BT C25 V=13.23 m³, thép D6/D8 2.32T, ván khuôn 504.75 m²</t>
        </is>
      </c>
      <c r="I13" s="15" t="inlineStr">
        <is>
          <t xml:space="preserve"> ĐÃ ĐO BÓC 100%</t>
        </is>
      </c>
    </row>
    <row r="14">
      <c r="B14" s="11" t="inlineStr">
        <is>
          <t>9</t>
        </is>
      </c>
      <c r="C14" s="11" t="inlineStr">
        <is>
          <t>02.SUP-07</t>
        </is>
      </c>
      <c r="D14" s="12" t="inlineStr">
        <is>
          <t>Bố trí Bản mặt cầu &amp; Bản liên tục nhiệt</t>
        </is>
      </c>
      <c r="E14" s="12" t="inlineStr">
        <is>
          <t>07.BAN MAT CAU + LTN.dwg</t>
        </is>
      </c>
      <c r="F14" s="12" t="inlineStr">
        <is>
          <t>02. SUP\SUPER T 38.2</t>
        </is>
      </c>
      <c r="G14" s="11" t="inlineStr">
        <is>
          <t>Mặt cầu &amp; LTN</t>
        </is>
      </c>
      <c r="H14" s="12" t="inlineStr">
        <is>
          <t>BT C35 V=327.33 m³, Thép 88.36T, cao su đệm 20mm, xốp chèn khe</t>
        </is>
      </c>
      <c r="I14" s="15" t="inlineStr">
        <is>
          <t xml:space="preserve"> ĐÃ ĐO BÓC 100%</t>
        </is>
      </c>
    </row>
    <row r="15">
      <c r="B15" s="11" t="inlineStr">
        <is>
          <t>10</t>
        </is>
      </c>
      <c r="C15" s="11" t="inlineStr">
        <is>
          <t>03.SUB-01</t>
        </is>
      </c>
      <c r="D15" s="12" t="inlineStr">
        <is>
          <t>Bố trí chung &amp; Cốt thép Mố M1 và Mố M2</t>
        </is>
      </c>
      <c r="E15" s="12" t="inlineStr">
        <is>
          <t>01.MO-KM19.5.dwg</t>
        </is>
      </c>
      <c r="F15" s="12" t="inlineStr">
        <is>
          <t>03. SUB\01. mo</t>
        </is>
      </c>
      <c r="G15" s="11" t="inlineStr">
        <is>
          <t>Mố M1, M2</t>
        </is>
      </c>
      <c r="H15" s="12" t="inlineStr">
        <is>
          <t>Bệ mố, thân mố, tường đỉnh, tường cánh, đệm đá kê gối, BT C30: 403.75 m³</t>
        </is>
      </c>
      <c r="I15" s="15" t="inlineStr">
        <is>
          <t xml:space="preserve"> ĐÃ ĐO BÓC 100%</t>
        </is>
      </c>
    </row>
    <row r="16">
      <c r="B16" s="11" t="inlineStr">
        <is>
          <t>11</t>
        </is>
      </c>
      <c r="C16" s="11" t="inlineStr">
        <is>
          <t>03.SUB-02</t>
        </is>
      </c>
      <c r="D16" s="12" t="inlineStr">
        <is>
          <t>Bố trí chung &amp; Cốt thép Trụ T1 và Trụ T2</t>
        </is>
      </c>
      <c r="E16" s="12" t="inlineStr">
        <is>
          <t>Trụ-19+500.dwg</t>
        </is>
      </c>
      <c r="F16" s="12" t="inlineStr">
        <is>
          <t>03. SUB\02.tru</t>
        </is>
      </c>
      <c r="G16" s="11" t="inlineStr">
        <is>
          <t>Trụ T1, T2</t>
        </is>
      </c>
      <c r="H16" s="12" t="inlineStr">
        <is>
          <t>Bệ trụ, 2 thân cột ovan H=14m &amp; 18m, xà mũ, BT C30: 1,015.22 m³</t>
        </is>
      </c>
      <c r="I16" s="15" t="inlineStr">
        <is>
          <t xml:space="preserve"> ĐÃ ĐO BÓC 100%</t>
        </is>
      </c>
    </row>
    <row r="17">
      <c r="B17" s="11" t="inlineStr">
        <is>
          <t>12</t>
        </is>
      </c>
      <c r="C17" s="11" t="inlineStr">
        <is>
          <t>03.SUB-03</t>
        </is>
      </c>
      <c r="D17" s="12" t="inlineStr">
        <is>
          <t>Bố trí Cọc khoan nhồi D1200mm đại trà (26 cọc)</t>
        </is>
      </c>
      <c r="E17" s="12" t="inlineStr">
        <is>
          <t>04.D1200-19.5.dwg</t>
        </is>
      </c>
      <c r="F17" s="12" t="inlineStr">
        <is>
          <t>03. SUB\03. COC</t>
        </is>
      </c>
      <c r="G17" s="11" t="inlineStr">
        <is>
          <t>Cọc D1200</t>
        </is>
      </c>
      <c r="H17" s="12" t="inlineStr">
        <is>
          <t>M1: 4 cọc (L=20m), M2: 4 cọc (L=36m), T1: 9 cọc (40m), T2: 9 cọc (32m)</t>
        </is>
      </c>
      <c r="I17" s="15" t="inlineStr">
        <is>
          <t xml:space="preserve"> ĐÃ ĐO BÓC 100%</t>
        </is>
      </c>
    </row>
    <row r="18">
      <c r="B18" s="11" t="inlineStr">
        <is>
          <t>13</t>
        </is>
      </c>
      <c r="C18" s="11" t="inlineStr">
        <is>
          <t>03.SUB-04</t>
        </is>
      </c>
      <c r="D18" s="12" t="inlineStr">
        <is>
          <t>Bố trí Cọc khoan nhồi thí nghiệm PDA &amp; nén tĩnh</t>
        </is>
      </c>
      <c r="E18" s="12" t="inlineStr">
        <is>
          <t>04.TN-CKN,D1200-19.5.dwg</t>
        </is>
      </c>
      <c r="F18" s="12" t="inlineStr">
        <is>
          <t>03. SUB\03. COC</t>
        </is>
      </c>
      <c r="G18" s="11" t="inlineStr">
        <is>
          <t>Cọc thí nghiệm</t>
        </is>
      </c>
      <c r="H18" s="12" t="inlineStr">
        <is>
          <t>2 cọc thí nghiệm PDA kiểm tra sức chịu tải động và ống sonic</t>
        </is>
      </c>
      <c r="I18" s="15" t="inlineStr">
        <is>
          <t xml:space="preserve"> ĐÃ ĐO BÓC 100%</t>
        </is>
      </c>
    </row>
    <row r="19">
      <c r="B19" s="11" t="inlineStr">
        <is>
          <t>14</t>
        </is>
      </c>
      <c r="C19" s="11" t="inlineStr">
        <is>
          <t>04.MIS-01</t>
        </is>
      </c>
      <c r="D19" s="12" t="inlineStr">
        <is>
          <t>Bố trí Gối cầu Super-T &amp; Đá kê gối</t>
        </is>
      </c>
      <c r="E19" s="12" t="inlineStr">
        <is>
          <t>01.GỐI-km19+500.dwg</t>
        </is>
      </c>
      <c r="F19" s="12" t="inlineStr">
        <is>
          <t>04. MIS\04.kck\01.Goi</t>
        </is>
      </c>
      <c r="G19" s="11" t="inlineStr">
        <is>
          <t>Gối cầu</t>
        </is>
      </c>
      <c r="H19" s="12" t="inlineStr">
        <is>
          <t>30 gối chậu (15 đơn hướng B1, 15 song hướng B2), bản đệm mạ kẽm</t>
        </is>
      </c>
      <c r="I19" s="15" t="inlineStr">
        <is>
          <t xml:space="preserve"> ĐÃ ĐO BÓC 100%</t>
        </is>
      </c>
    </row>
    <row r="20">
      <c r="B20" s="11" t="inlineStr">
        <is>
          <t>15</t>
        </is>
      </c>
      <c r="C20" s="11" t="inlineStr">
        <is>
          <t>04.MIS-02</t>
        </is>
      </c>
      <c r="D20" s="12" t="inlineStr">
        <is>
          <t>Chi tiết Gờ lan can &amp; Lan can tay vịn thép mạ kẽm</t>
        </is>
      </c>
      <c r="E20" s="12" t="inlineStr">
        <is>
          <t>Lan Can-19.5.dwg</t>
        </is>
      </c>
      <c r="F20" s="12" t="inlineStr">
        <is>
          <t>04. MIS\04.kck\02.GO LAN CAN</t>
        </is>
      </c>
      <c r="G20" s="11" t="inlineStr">
        <is>
          <t>Gờ &amp; Lan can</t>
        </is>
      </c>
      <c r="H20" s="12" t="inlineStr">
        <is>
          <t>Gờ BT C25: 104.28 m³, Thép 20.07T, ống D114/D76 mạ kẽm 1.22T</t>
        </is>
      </c>
      <c r="I20" s="15" t="inlineStr">
        <is>
          <t xml:space="preserve"> ĐÃ ĐO BÓC 100%</t>
        </is>
      </c>
    </row>
    <row r="21">
      <c r="B21" s="11" t="inlineStr">
        <is>
          <t>16</t>
        </is>
      </c>
      <c r="C21" s="11" t="inlineStr">
        <is>
          <t>04.MIS-03</t>
        </is>
      </c>
      <c r="D21" s="12" t="inlineStr">
        <is>
          <t>Chi tiết Khe co giãn răng lược WD230</t>
        </is>
      </c>
      <c r="E21" s="12" t="inlineStr">
        <is>
          <t>Khe Co Gian.dwg</t>
        </is>
      </c>
      <c r="F21" s="12" t="inlineStr">
        <is>
          <t>04. MIS\04.kck\03.KHE CO GIAN</t>
        </is>
      </c>
      <c r="G21" s="11" t="inlineStr">
        <is>
          <t>Khe co giãn</t>
        </is>
      </c>
      <c r="H21" s="12" t="inlineStr">
        <is>
          <t>2 khe x 12.25m = 24.5m, bê tông không co ngót C40: 4.67 m³, thép 1.36T</t>
        </is>
      </c>
      <c r="I21" s="15" t="inlineStr">
        <is>
          <t xml:space="preserve"> ĐÃ ĐO BÓC 100%</t>
        </is>
      </c>
    </row>
    <row r="22">
      <c r="B22" s="11" t="inlineStr">
        <is>
          <t>17</t>
        </is>
      </c>
      <c r="C22" s="11" t="inlineStr">
        <is>
          <t>04.MIS-04</t>
        </is>
      </c>
      <c r="D22" s="12" t="inlineStr">
        <is>
          <t>Chi tiết Hệ thống thoát nước mặt cầu</t>
        </is>
      </c>
      <c r="E22" s="12" t="inlineStr">
        <is>
          <t>THOÁT NƯỚC.dwg</t>
        </is>
      </c>
      <c r="F22" s="12" t="inlineStr">
        <is>
          <t>04. MIS\04.kck\04. THOAT NUOC</t>
        </is>
      </c>
      <c r="G22" s="11" t="inlineStr">
        <is>
          <t>Thoát nước</t>
        </is>
      </c>
      <c r="H22" s="12" t="inlineStr">
        <is>
          <t>24 bộ hè gang thu nước, ống uPVC D150: 39.86m, ống xoắn dọc: 129.23m</t>
        </is>
      </c>
      <c r="I22" s="15" t="inlineStr">
        <is>
          <t xml:space="preserve"> ĐÃ ĐO BÓC 100%</t>
        </is>
      </c>
    </row>
    <row r="23">
      <c r="B23" s="11" t="inlineStr">
        <is>
          <t>18</t>
        </is>
      </c>
      <c r="C23" s="11" t="inlineStr">
        <is>
          <t>04.MIS-05</t>
        </is>
      </c>
      <c r="D23" s="12" t="inlineStr">
        <is>
          <t>Chi tiết Gia cố Tứ nón &amp; Kè mố M1, M2</t>
        </is>
      </c>
      <c r="E23" s="12" t="inlineStr">
        <is>
          <t>190625_tu non-19.5 cn ddc.dwg</t>
        </is>
      </c>
      <c r="F23" s="12" t="inlineStr">
        <is>
          <t>04. MIS\04.kck\05. tu non</t>
        </is>
      </c>
      <c r="G23" s="11" t="inlineStr">
        <is>
          <t>Tứ nón</t>
        </is>
      </c>
      <c r="H23" s="12" t="inlineStr">
        <is>
          <t>Đá hộc xây vữa M100: 104.74 m³, chân khay đá hộc, tường chắn BT C15</t>
        </is>
      </c>
      <c r="I23" s="15" t="inlineStr">
        <is>
          <t xml:space="preserve"> ĐÃ ĐO BÓC 100%</t>
        </is>
      </c>
    </row>
    <row r="24">
      <c r="B24" s="11" t="inlineStr">
        <is>
          <t>19</t>
        </is>
      </c>
      <c r="C24" s="11" t="inlineStr">
        <is>
          <t>04.MIS-06</t>
        </is>
      </c>
      <c r="D24" s="12" t="inlineStr">
        <is>
          <t>Mặt cắt ngang điển hình cầu &amp; Tứ nón</t>
        </is>
      </c>
      <c r="E24" s="12" t="inlineStr">
        <is>
          <t>04_MCN Cau Km19+500.dwg</t>
        </is>
      </c>
      <c r="F24" s="12" t="inlineStr">
        <is>
          <t>04. MIS\04.kck\05. tu non\MCN</t>
        </is>
      </c>
      <c r="G24" s="11" t="inlineStr">
        <is>
          <t>MCN Cầu</t>
        </is>
      </c>
      <c r="H24" s="12" t="inlineStr">
        <is>
          <t>Mặt cắt ngang khổ cầu B=12m (4 làn xe tiêu chuẩn cao tốc)</t>
        </is>
      </c>
      <c r="I24" s="15" t="inlineStr">
        <is>
          <t xml:space="preserve"> ĐÃ ĐO BÓC 100%</t>
        </is>
      </c>
    </row>
    <row r="25">
      <c r="B25" s="11" t="inlineStr">
        <is>
          <t>20</t>
        </is>
      </c>
      <c r="C25" s="11" t="inlineStr">
        <is>
          <t>04.MIS-07</t>
        </is>
      </c>
      <c r="D25" s="12" t="inlineStr">
        <is>
          <t>Chi tiết Bản quá độ BTCT C25 mố M1, M2</t>
        </is>
      </c>
      <c r="E25" s="12" t="inlineStr">
        <is>
          <t>BẢN QUÁ ĐỘ.dwg</t>
        </is>
      </c>
      <c r="F25" s="12" t="inlineStr">
        <is>
          <t>04. MIS\04.kck\06.BAN QUA DO</t>
        </is>
      </c>
      <c r="G25" s="11" t="inlineStr">
        <is>
          <t>Bản quá độ</t>
        </is>
      </c>
      <c r="H25" s="12" t="inlineStr">
        <is>
          <t>BT C25 V=67.38 m³, đệm C10: 15.94 m³, cốt thép 9.53T, cao su 20mm</t>
        </is>
      </c>
      <c r="I25" s="15" t="inlineStr">
        <is>
          <t xml:space="preserve"> ĐÃ ĐO BÓC 100%</t>
        </is>
      </c>
    </row>
    <row r="26">
      <c r="B26" s="11" t="inlineStr">
        <is>
          <t>21</t>
        </is>
      </c>
      <c r="C26" s="11" t="inlineStr">
        <is>
          <t>05.CON-01</t>
        </is>
      </c>
      <c r="D26" s="12" t="inlineStr">
        <is>
          <t>Bình đồ mặt bằng tổng thể Công trường thi công</t>
        </is>
      </c>
      <c r="E26" s="12" t="inlineStr">
        <is>
          <t>00.Binh do cau-bptc-Km19+500.dwg</t>
        </is>
      </c>
      <c r="F26" s="12" t="inlineStr">
        <is>
          <t>05. CON\BDCT 19.5</t>
        </is>
      </c>
      <c r="G26" s="11" t="inlineStr">
        <is>
          <t>Mặt bằng</t>
        </is>
      </c>
      <c r="H26" s="12" t="inlineStr">
        <is>
          <t>Bố trí lán trại, bãi đúc dầm Super-T, trạm trộn BT, đường công vụ</t>
        </is>
      </c>
      <c r="I26" s="15" t="inlineStr">
        <is>
          <t xml:space="preserve"> ĐÃ ĐO BÓC 100%</t>
        </is>
      </c>
    </row>
    <row r="27">
      <c r="B27" s="11" t="inlineStr">
        <is>
          <t>22</t>
        </is>
      </c>
      <c r="C27" s="11" t="inlineStr">
        <is>
          <t>05.CON-02</t>
        </is>
      </c>
      <c r="D27" s="12" t="inlineStr">
        <is>
          <t>Thiết kế Trắc dọc &amp; Trắc ngang Đường công vụ DCV6</t>
        </is>
      </c>
      <c r="E27" s="12" t="inlineStr">
        <is>
          <t>01.DCV6(KM19+500).dwg</t>
        </is>
      </c>
      <c r="F27" s="12" t="inlineStr">
        <is>
          <t>05. CON\DUONG CONG VU</t>
        </is>
      </c>
      <c r="G27" s="11" t="inlineStr">
        <is>
          <t>Đường công vụ</t>
        </is>
      </c>
      <c r="H27" s="12" t="inlineStr">
        <is>
          <t>Đào đắp nền đường tiếp cận mố M1, M2, trụ T1, T2; CPĐD loại II</t>
        </is>
      </c>
      <c r="I27" s="15" t="inlineStr">
        <is>
          <t xml:space="preserve"> ĐÃ ĐO BÓC 100%</t>
        </is>
      </c>
    </row>
    <row r="28">
      <c r="B28" s="11" t="inlineStr">
        <is>
          <t>23</t>
        </is>
      </c>
      <c r="C28" s="11" t="inlineStr">
        <is>
          <t>05.CON-03</t>
        </is>
      </c>
      <c r="D28" s="12" t="inlineStr">
        <is>
          <t>Biện pháp tổ chức thi công Mố M1, M2</t>
        </is>
      </c>
      <c r="E28" s="12" t="inlineStr">
        <is>
          <t>02.BPTC MO.dwg</t>
        </is>
      </c>
      <c r="F28" s="12" t="inlineStr">
        <is>
          <t>05. CON</t>
        </is>
      </c>
      <c r="G28" s="11" t="inlineStr">
        <is>
          <t>BPTC Mố</t>
        </is>
      </c>
      <c r="H28" s="12" t="inlineStr">
        <is>
          <t>Đào hố móng, kè cừ vách đất, đà giáo ván khuôn bệ mố &amp; thân mố</t>
        </is>
      </c>
      <c r="I28" s="15" t="inlineStr">
        <is>
          <t xml:space="preserve"> ĐÃ ĐO BÓC 100%</t>
        </is>
      </c>
    </row>
    <row r="29">
      <c r="B29" s="11" t="inlineStr">
        <is>
          <t>24</t>
        </is>
      </c>
      <c r="C29" s="11" t="inlineStr">
        <is>
          <t>05.CON-04</t>
        </is>
      </c>
      <c r="D29" s="12" t="inlineStr">
        <is>
          <t>Biện pháp tổ chức thi công Trụ T1, T2</t>
        </is>
      </c>
      <c r="E29" s="12" t="inlineStr">
        <is>
          <t>03.Thi cong tru.dwg</t>
        </is>
      </c>
      <c r="F29" s="12" t="inlineStr">
        <is>
          <t>05. CON</t>
        </is>
      </c>
      <c r="G29" s="11" t="inlineStr">
        <is>
          <t>BPTC Trụ</t>
        </is>
      </c>
      <c r="H29" s="12" t="inlineStr">
        <is>
          <t>Hệ sàn đạo thi công trụ cao 18m, đà giáo đỡ xà mũ trụ, ván khuôn thép leo</t>
        </is>
      </c>
      <c r="I29" s="15" t="inlineStr">
        <is>
          <t xml:space="preserve"> ĐÃ ĐO BÓC 100%</t>
        </is>
      </c>
    </row>
    <row r="30">
      <c r="B30" s="11" t="inlineStr">
        <is>
          <t>25</t>
        </is>
      </c>
      <c r="C30" s="11" t="inlineStr">
        <is>
          <t>05.CON-05</t>
        </is>
      </c>
      <c r="D30" s="12" t="inlineStr">
        <is>
          <t>Biện pháp lao lắp Dầm Super-T 38.2m bằng Xe lao</t>
        </is>
      </c>
      <c r="E30" s="12" t="inlineStr">
        <is>
          <t>04. BPTC KET CAU NHIP.dwg</t>
        </is>
      </c>
      <c r="F30" s="12" t="inlineStr">
        <is>
          <t>05. CON</t>
        </is>
      </c>
      <c r="G30" s="11" t="inlineStr">
        <is>
          <t>Lao lắp dầm</t>
        </is>
      </c>
      <c r="H30" s="12" t="inlineStr">
        <is>
          <t>Giá lao dầm 130T, hệ ray P43 (13.07T), xe goòng, tà vẹt gỗ 268 cái</t>
        </is>
      </c>
      <c r="I30" s="15" t="inlineStr">
        <is>
          <t xml:space="preserve"> ĐÃ ĐO BÓC 100%</t>
        </is>
      </c>
    </row>
    <row r="31">
      <c r="B31" s="11" t="inlineStr">
        <is>
          <t>26</t>
        </is>
      </c>
      <c r="C31" s="11" t="inlineStr">
        <is>
          <t>05.CON-06</t>
        </is>
      </c>
      <c r="D31" s="12" t="inlineStr">
        <is>
          <t>Biện pháp thi công Bệ đúc Dầm Super-T tại bãi đúc</t>
        </is>
      </c>
      <c r="E31" s="12" t="inlineStr">
        <is>
          <t>05.BPTC Be duc dam SuperT.dwg</t>
        </is>
      </c>
      <c r="F31" s="12" t="inlineStr">
        <is>
          <t>05. CON</t>
        </is>
      </c>
      <c r="G31" s="11" t="inlineStr">
        <is>
          <t>Bệ đúc dầm</t>
        </is>
      </c>
      <c r="H31" s="12" t="inlineStr">
        <is>
          <t>Bệ đúc BT C20/C25, thép D20 (1.62T), thép hình kê đáy dầm 2U120, ray</t>
        </is>
      </c>
      <c r="I31" s="15" t="inlineStr">
        <is>
          <t xml:space="preserve"> ĐÃ ĐO BÓC 100%</t>
        </is>
      </c>
    </row>
    <row r="32">
      <c r="B32" s="11" t="inlineStr">
        <is>
          <t>27</t>
        </is>
      </c>
      <c r="C32" s="11" t="inlineStr">
        <is>
          <t>05.CON-07</t>
        </is>
      </c>
      <c r="D32" s="12" t="inlineStr">
        <is>
          <t>Biện pháp thi công Bản mặt cầu &amp; Dầm ngang</t>
        </is>
      </c>
      <c r="E32" s="12" t="inlineStr">
        <is>
          <t>06.Thi cong Mat cau.dwg</t>
        </is>
      </c>
      <c r="F32" s="12" t="inlineStr">
        <is>
          <t>05. CON</t>
        </is>
      </c>
      <c r="G32" s="11" t="inlineStr">
        <is>
          <t>BPTC Mặt cầu</t>
        </is>
      </c>
      <c r="H32" s="12" t="inlineStr">
        <is>
          <t>Đà giáo treo, xe đúc gờ lan can di động, thiết bị san gạt bê tông mặt cầu</t>
        </is>
      </c>
      <c r="I32" s="15" t="inlineStr">
        <is>
          <t xml:space="preserve"> ĐÃ ĐO BÓC 100%</t>
        </is>
      </c>
    </row>
    <row r="33">
      <c r="B33" s="11" t="inlineStr">
        <is>
          <t>28</t>
        </is>
      </c>
      <c r="C33" s="11" t="inlineStr">
        <is>
          <t>05.CON-08</t>
        </is>
      </c>
      <c r="D33" s="12" t="inlineStr">
        <is>
          <t>Bố trí Trạm trộn bê tông xi măng BM60P</t>
        </is>
      </c>
      <c r="E33" s="12" t="inlineStr">
        <is>
          <t>07.Tram tron BM60P (silo 80t, pheu 9m).dwg</t>
        </is>
      </c>
      <c r="F33" s="12" t="inlineStr">
        <is>
          <t>05. CON</t>
        </is>
      </c>
      <c r="G33" s="11" t="inlineStr">
        <is>
          <t>Trạm trộn BT</t>
        </is>
      </c>
      <c r="H33" s="12" t="inlineStr">
        <is>
          <t>Trạm trộn công suất 60 m³/h, 2 silo xi măng 80T, phễu cấp liệu 9m</t>
        </is>
      </c>
      <c r="I33" s="15" t="inlineStr">
        <is>
          <t xml:space="preserve"> ĐÃ ĐO BÓC 100%</t>
        </is>
      </c>
    </row>
    <row r="34">
      <c r="B34" s="11" t="inlineStr">
        <is>
          <t>29</t>
        </is>
      </c>
      <c r="C34" s="11" t="inlineStr">
        <is>
          <t>05.CON-09</t>
        </is>
      </c>
      <c r="D34" s="12" t="inlineStr">
        <is>
          <t>Bố trí Trạm biến áp cấp điện thi công</t>
        </is>
      </c>
      <c r="E34" s="12" t="inlineStr">
        <is>
          <t>08.Tram bien ap.dwg</t>
        </is>
      </c>
      <c r="F34" s="12" t="inlineStr">
        <is>
          <t>05. CON</t>
        </is>
      </c>
      <c r="G34" s="11" t="inlineStr">
        <is>
          <t>Trạm biến áp</t>
        </is>
      </c>
      <c r="H34" s="12" t="inlineStr">
        <is>
          <t>Trạm biến áp 400kVA cấp nguồn điện trạm trộn, máy khoan cọc, trạm bơm</t>
        </is>
      </c>
      <c r="I34" s="15" t="inlineStr">
        <is>
          <t xml:space="preserve"> ĐÃ ĐO BÓC 100%</t>
        </is>
      </c>
    </row>
    <row r="35">
      <c r="B35" s="11" t="inlineStr">
        <is>
          <t>30</t>
        </is>
      </c>
      <c r="C35" s="11" t="inlineStr">
        <is>
          <t>05.CON-10</t>
        </is>
      </c>
      <c r="D35" s="12" t="inlineStr">
        <is>
          <t>Tiến độ thi công tổng thể Công trình Cầu</t>
        </is>
      </c>
      <c r="E35" s="12" t="inlineStr">
        <is>
          <t>09.TIEN DO THI CONG.dwg</t>
        </is>
      </c>
      <c r="F35" s="12" t="inlineStr">
        <is>
          <t>05. CON</t>
        </is>
      </c>
      <c r="G35" s="11" t="inlineStr">
        <is>
          <t>Tiến độ tổng thể</t>
        </is>
      </c>
      <c r="H35" s="12" t="inlineStr">
        <is>
          <t>Kế hoạch thi công 4 giai đoạn: Cọc khoan nhồi -&gt; Hạ bộ -&gt; Bãi đúc dầm -&gt; Thượng bộ</t>
        </is>
      </c>
      <c r="I35" s="15" t="inlineStr">
        <is>
          <t xml:space="preserve"> ĐÃ ĐO BÓC 100%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12" customWidth="1" min="2" max="2"/>
    <col width="33" customWidth="1" min="3" max="3"/>
    <col width="31" customWidth="1" min="4" max="4"/>
    <col width="37" customWidth="1" min="5" max="5"/>
    <col width="19" customWidth="1" min="6" max="6"/>
    <col width="35" customWidth="1" min="7" max="7"/>
    <col width="26" customWidth="1" min="8" max="8"/>
    <col width="23" customWidth="1" min="9" max="9"/>
    <col width="28" customWidth="1" min="10" max="10"/>
    <col width="43" customWidth="1" min="11" max="11"/>
    <col width="21" customWidth="1" min="12" max="12"/>
    <col width="23" customWidth="1" min="13" max="13"/>
    <col width="22" customWidth="1" min="14" max="14"/>
  </cols>
  <sheetData>
    <row r="1"/>
    <row r="2">
      <c r="B2" s="1" t="inlineStr">
        <is>
          <t>BÓC TÁCH KHỐI LƯỢNG KẾT CẤU PHẦN TRÊN (SUPERSTRUCTURE)</t>
        </is>
      </c>
    </row>
    <row r="3">
      <c r="B3" s="2" t="inlineStr">
        <is>
          <t>Dầm chủ Super-T 38.2m (15 phiến), Cáp DƯL, Thép dầm, Dầm ngang, Bản mặt cầu, Bản liên tục nhiệt &amp; Tấm đúc sẵn</t>
        </is>
      </c>
    </row>
    <row r="4"/>
    <row r="5">
      <c r="B5" s="7" t="inlineStr">
        <is>
          <t>1. DẦM CHỦ SUPER-T 38.2M (15 PHIẾN - 4 LOẠI S1B1, S1B2, S1B3, S1G)</t>
        </is>
      </c>
    </row>
    <row r="6">
      <c r="B6" s="8" t="inlineStr">
        <is>
          <t>STT</t>
        </is>
      </c>
      <c r="C6" s="8" t="inlineStr">
        <is>
          <t>Mã hiệu dầm</t>
        </is>
      </c>
      <c r="D6" s="8" t="inlineStr">
        <is>
          <t>Loại dầm</t>
        </is>
      </c>
      <c r="E6" s="8" t="inlineStr">
        <is>
          <t>Vị trí nhịp</t>
        </is>
      </c>
      <c r="F6" s="8" t="inlineStr">
        <is>
          <t>Số lượng (Phiến)</t>
        </is>
      </c>
      <c r="G6" s="8" t="inlineStr">
        <is>
          <t>Bê tông C45 1 dầm (m³)</t>
        </is>
      </c>
      <c r="H6" s="8" t="inlineStr">
        <is>
          <t>Tổng Bê tông C45 (m³)</t>
        </is>
      </c>
      <c r="I6" s="8" t="inlineStr">
        <is>
          <t>Cáp DƯL 1 dầm (kg)</t>
        </is>
      </c>
      <c r="J6" s="8" t="inlineStr">
        <is>
          <t>Tổng Cáp DƯL (kg)</t>
        </is>
      </c>
      <c r="K6" s="8" t="inlineStr">
        <is>
          <t>Thép dầm 1 phiến (kg)</t>
        </is>
      </c>
      <c r="L6" s="8" t="inlineStr">
        <is>
          <t>Tổng Cốt thép (kg)</t>
        </is>
      </c>
      <c r="M6" s="8" t="inlineStr">
        <is>
          <t>Ván khuôn 1 dầm (m²)</t>
        </is>
      </c>
      <c r="N6" s="8" t="inlineStr">
        <is>
          <t>Tổng Ván khuôn (m²)</t>
        </is>
      </c>
    </row>
    <row r="7">
      <c r="B7" s="11" t="inlineStr">
        <is>
          <t>1</t>
        </is>
      </c>
      <c r="C7" s="11" t="inlineStr">
        <is>
          <t>S1B1</t>
        </is>
      </c>
      <c r="D7" s="12" t="inlineStr">
        <is>
          <t>Dầm biên loại 1</t>
        </is>
      </c>
      <c r="E7" s="12" t="inlineStr">
        <is>
          <t>Nhịp 1, Nhịp 3</t>
        </is>
      </c>
      <c r="F7" s="11" t="n">
        <v>2</v>
      </c>
      <c r="G7" s="16" t="n">
        <v>29.254</v>
      </c>
      <c r="H7" s="13">
        <f>F7*G7</f>
        <v/>
      </c>
      <c r="I7" s="13" t="n">
        <v>1994.08</v>
      </c>
      <c r="J7" s="13">
        <f>F7*I7</f>
        <v/>
      </c>
      <c r="K7" s="13" t="n">
        <v>5977.92</v>
      </c>
      <c r="L7" s="13">
        <f>F7*K7</f>
        <v/>
      </c>
      <c r="M7" s="16" t="n">
        <v>343.132</v>
      </c>
      <c r="N7" s="13">
        <f>F7*M7</f>
        <v/>
      </c>
    </row>
    <row r="8">
      <c r="B8" s="11" t="inlineStr">
        <is>
          <t>2</t>
        </is>
      </c>
      <c r="C8" s="11" t="inlineStr">
        <is>
          <t>S1B2</t>
        </is>
      </c>
      <c r="D8" s="12" t="inlineStr">
        <is>
          <t>Dầm biên loại 2</t>
        </is>
      </c>
      <c r="E8" s="12" t="inlineStr">
        <is>
          <t>Nhịp 1, Nhịp 2, Nhịp 3</t>
        </is>
      </c>
      <c r="F8" s="11" t="n">
        <v>3</v>
      </c>
      <c r="G8" s="16" t="n">
        <v>29.182</v>
      </c>
      <c r="H8" s="13">
        <f>F8*G8</f>
        <v/>
      </c>
      <c r="I8" s="13" t="n">
        <v>1994.08</v>
      </c>
      <c r="J8" s="13">
        <f>F8*I8</f>
        <v/>
      </c>
      <c r="K8" s="13" t="n">
        <v>5977.92</v>
      </c>
      <c r="L8" s="13">
        <f>F8*K8</f>
        <v/>
      </c>
      <c r="M8" s="16" t="n">
        <v>342.173</v>
      </c>
      <c r="N8" s="13">
        <f>F8*M8</f>
        <v/>
      </c>
    </row>
    <row r="9">
      <c r="B9" s="11" t="inlineStr">
        <is>
          <t>3</t>
        </is>
      </c>
      <c r="C9" s="11" t="inlineStr">
        <is>
          <t>S1B3</t>
        </is>
      </c>
      <c r="D9" s="12" t="inlineStr">
        <is>
          <t>Dầm biên loại 3</t>
        </is>
      </c>
      <c r="E9" s="12" t="inlineStr">
        <is>
          <t>Nhịp 2</t>
        </is>
      </c>
      <c r="F9" s="11" t="n">
        <v>1</v>
      </c>
      <c r="G9" s="16" t="n">
        <v>28.996</v>
      </c>
      <c r="H9" s="13">
        <f>F9*G9</f>
        <v/>
      </c>
      <c r="I9" s="13" t="n">
        <v>1994.08</v>
      </c>
      <c r="J9" s="13">
        <f>F9*I9</f>
        <v/>
      </c>
      <c r="K9" s="13" t="n">
        <v>5977.92</v>
      </c>
      <c r="L9" s="13">
        <f>F9*K9</f>
        <v/>
      </c>
      <c r="M9" s="16" t="n">
        <v>339.681</v>
      </c>
      <c r="N9" s="13">
        <f>F9*M9</f>
        <v/>
      </c>
    </row>
    <row r="10">
      <c r="B10" s="11" t="inlineStr">
        <is>
          <t>4</t>
        </is>
      </c>
      <c r="C10" s="11" t="inlineStr">
        <is>
          <t>S1G</t>
        </is>
      </c>
      <c r="D10" s="12" t="inlineStr">
        <is>
          <t>Dầm giữa (dầm trong)</t>
        </is>
      </c>
      <c r="E10" s="12" t="inlineStr">
        <is>
          <t>Nhịp 1 (3), Nhịp 2 (3), Nhịp 3 (3)</t>
        </is>
      </c>
      <c r="F10" s="11" t="n">
        <v>9</v>
      </c>
      <c r="G10" s="16" t="n">
        <v>28.833</v>
      </c>
      <c r="H10" s="13">
        <f>F10*G10</f>
        <v/>
      </c>
      <c r="I10" s="13" t="n">
        <v>1994.08</v>
      </c>
      <c r="J10" s="13">
        <f>F10*I10</f>
        <v/>
      </c>
      <c r="K10" s="13" t="n">
        <v>5977.92</v>
      </c>
      <c r="L10" s="13">
        <f>F10*K10</f>
        <v/>
      </c>
      <c r="M10" s="16" t="n">
        <v>338.478</v>
      </c>
      <c r="N10" s="13">
        <f>F10*M10</f>
        <v/>
      </c>
    </row>
    <row r="11">
      <c r="B11" s="17" t="inlineStr"/>
      <c r="C11" s="18" t="inlineStr">
        <is>
          <t>TỔNG CỘNG 15 PHIẾN DẦM SUPER-T</t>
        </is>
      </c>
      <c r="D11" s="17" t="n"/>
      <c r="E11" s="17" t="n"/>
      <c r="F11" s="19">
        <f>SUM(F7:F10)</f>
        <v/>
      </c>
      <c r="G11" s="17" t="n"/>
      <c r="H11" s="20">
        <f>SUM(H7:H10)</f>
        <v/>
      </c>
      <c r="I11" s="17" t="n"/>
      <c r="J11" s="20">
        <f>SUM(J7:J10)</f>
        <v/>
      </c>
      <c r="K11" s="17" t="n"/>
      <c r="L11" s="20">
        <f>SUM(L7:L10)</f>
        <v/>
      </c>
      <c r="M11" s="17" t="n"/>
      <c r="N11" s="20">
        <f>SUM(N7:N10)</f>
        <v/>
      </c>
    </row>
    <row r="12"/>
    <row r="13">
      <c r="B13" s="7" t="inlineStr">
        <is>
          <t>2. CÁC HẠNG MỤC KẾT CẤU PHẦN TRÊN KHÁC (DẦM NGANG, BMC, BẢN LTN, VÁN KHUÔN ĐÚC SẴN, MẶT CẦU)</t>
        </is>
      </c>
    </row>
    <row r="14">
      <c r="B14" s="8" t="inlineStr">
        <is>
          <t>STT</t>
        </is>
      </c>
      <c r="C14" s="8" t="inlineStr">
        <is>
          <t>Hạng mục công việc</t>
        </is>
      </c>
      <c r="D14" s="8" t="inlineStr">
        <is>
          <t>Quy cách vật liệu</t>
        </is>
      </c>
      <c r="E14" s="8" t="inlineStr">
        <is>
          <t>ĐVT</t>
        </is>
      </c>
      <c r="F14" s="8" t="inlineStr">
        <is>
          <t>Số lượng</t>
        </is>
      </c>
      <c r="G14" s="8" t="inlineStr">
        <is>
          <t>Kích thước hình học</t>
        </is>
      </c>
      <c r="H14" s="8" t="inlineStr">
        <is>
          <t>Khối lượng Bê tông (m³)</t>
        </is>
      </c>
      <c r="I14" s="8" t="inlineStr">
        <is>
          <t>Khối lượng Thép (kg)</t>
        </is>
      </c>
      <c r="J14" s="8" t="inlineStr">
        <is>
          <t>Khối lượng Ván khuôn (m²)</t>
        </is>
      </c>
      <c r="K14" s="8" t="inlineStr">
        <is>
          <t>Vật tư phụ / Phụ kiện</t>
        </is>
      </c>
    </row>
    <row r="15">
      <c r="B15" s="11" t="inlineStr">
        <is>
          <t>1</t>
        </is>
      </c>
      <c r="C15" s="12" t="inlineStr">
        <is>
          <t>Dầm ngang BTCT C35</t>
        </is>
      </c>
      <c r="D15" s="12" t="inlineStr">
        <is>
          <t>Bê tông C35/45, thép CB400-V</t>
        </is>
      </c>
      <c r="E15" s="11" t="inlineStr">
        <is>
          <t>Nhịp</t>
        </is>
      </c>
      <c r="F15" s="11" t="n">
        <v>3</v>
      </c>
      <c r="G15" s="12" t="inlineStr">
        <is>
          <t>2 dầm đầu mố + 2 dầm trên trụ</t>
        </is>
      </c>
      <c r="H15" s="13" t="n">
        <v>19.38</v>
      </c>
      <c r="I15" s="13" t="n">
        <v>2763.12</v>
      </c>
      <c r="J15" s="13" t="n">
        <v>48.22</v>
      </c>
      <c r="K15" s="12" t="inlineStr">
        <is>
          <t>Bộ nối ren D16 liên kết: 384 bộ</t>
        </is>
      </c>
    </row>
    <row r="16">
      <c r="B16" s="11" t="inlineStr">
        <is>
          <t>2</t>
        </is>
      </c>
      <c r="C16" s="12" t="inlineStr">
        <is>
          <t>Bản mặt cầu BTCT C35</t>
        </is>
      </c>
      <c r="D16" s="12" t="inlineStr">
        <is>
          <t>Bê tông C35/45, thép CB400-V</t>
        </is>
      </c>
      <c r="E16" s="11" t="inlineStr">
        <is>
          <t>Nhịp</t>
        </is>
      </c>
      <c r="F16" s="11" t="n">
        <v>3</v>
      </c>
      <c r="G16" s="12" t="inlineStr">
        <is>
          <t>Khổ cầu B=12m, d=20cm, 3 nhịp</t>
        </is>
      </c>
      <c r="H16" s="13" t="n">
        <v>305.47</v>
      </c>
      <c r="I16" s="13" t="n">
        <v>76676.45</v>
      </c>
      <c r="J16" s="13" t="n">
        <v>43.96</v>
      </c>
      <c r="K16" s="12" t="inlineStr">
        <is>
          <t>Ống thoát nước sàn</t>
        </is>
      </c>
    </row>
    <row r="17">
      <c r="B17" s="11" t="inlineStr">
        <is>
          <t>3</t>
        </is>
      </c>
      <c r="C17" s="12" t="inlineStr">
        <is>
          <t>Bản liên tục nhiệt BTCT C35</t>
        </is>
      </c>
      <c r="D17" s="12" t="inlineStr">
        <is>
          <t>Bê tông C35/45, thép CB400-V</t>
        </is>
      </c>
      <c r="E17" s="11" t="inlineStr">
        <is>
          <t>Trụ</t>
        </is>
      </c>
      <c r="F17" s="11" t="n">
        <v>2</v>
      </c>
      <c r="G17" s="12" t="inlineStr">
        <is>
          <t>Tại đỉnh trụ T1 &amp; T2, d=20cm</t>
        </is>
      </c>
      <c r="H17" s="13" t="n">
        <v>21.87</v>
      </c>
      <c r="I17" s="13" t="n">
        <v>8917.940000000001</v>
      </c>
      <c r="J17" s="13" t="n">
        <v>13.08</v>
      </c>
      <c r="K17" s="12" t="inlineStr">
        <is>
          <t>Đệm cao su 20mm: 39.76 m², Xốp: 26.13 m²</t>
        </is>
      </c>
    </row>
    <row r="18">
      <c r="B18" s="11" t="inlineStr">
        <is>
          <t>4</t>
        </is>
      </c>
      <c r="C18" s="12" t="inlineStr">
        <is>
          <t>Tấm ván khuôn BTCT đúc sẵn</t>
        </is>
      </c>
      <c r="D18" s="12" t="inlineStr">
        <is>
          <t>Bê tông C25/30, thép D6/D8</t>
        </is>
      </c>
      <c r="E18" s="11" t="inlineStr">
        <is>
          <t>Tấm</t>
        </is>
      </c>
      <c r="F18" s="11" t="n">
        <v>510</v>
      </c>
      <c r="G18" s="12" t="inlineStr">
        <is>
          <t>Lắp đặt giữa các cánh dầm</t>
        </is>
      </c>
      <c r="H18" s="13" t="n">
        <v>13.23</v>
      </c>
      <c r="I18" s="13" t="n">
        <v>2322.9</v>
      </c>
      <c r="J18" s="13" t="n">
        <v>504.75</v>
      </c>
      <c r="K18" s="12" t="inlineStr">
        <is>
          <t>Móc cẩu D10: 1,020 cái</t>
        </is>
      </c>
    </row>
    <row r="19">
      <c r="B19" s="11" t="inlineStr">
        <is>
          <t>5</t>
        </is>
      </c>
      <c r="C19" s="12" t="inlineStr">
        <is>
          <t>Lớp phủ mặt cầu Asphalt C16</t>
        </is>
      </c>
      <c r="D19" s="12" t="inlineStr">
        <is>
          <t>BTN C16 dày 7cm &amp; Chống thấm</t>
        </is>
      </c>
      <c r="E19" s="11" t="inlineStr">
        <is>
          <t>m²</t>
        </is>
      </c>
      <c r="F19" s="11" t="n">
        <v>1</v>
      </c>
      <c r="G19" s="12" t="inlineStr">
        <is>
          <t>Diện tích mặt cầu B=12m x L=115m</t>
        </is>
      </c>
      <c r="H19" s="13" t="n">
        <v>0</v>
      </c>
      <c r="I19" s="13" t="n">
        <v>0</v>
      </c>
      <c r="J19" s="13" t="n">
        <v>0</v>
      </c>
      <c r="K19" s="12" t="inlineStr">
        <is>
          <t>Tưới nhựa dính bám: 1,380.39 m²</t>
        </is>
      </c>
    </row>
    <row r="20"/>
    <row r="21">
      <c r="G21" s="21" t="inlineStr">
        <is>
          <t>TỔNG BÊ TÔNG DẦM C45 (M3):</t>
        </is>
      </c>
      <c r="H21" s="22">
        <f>H11</f>
        <v/>
      </c>
    </row>
    <row r="22">
      <c r="G22" s="21" t="inlineStr">
        <is>
          <t>TỔNG CÁP DƯL 15.2MM (TẤN):</t>
        </is>
      </c>
      <c r="H22" s="22">
        <f>J11/1000</f>
        <v/>
      </c>
    </row>
    <row r="23">
      <c r="G23" s="21" t="inlineStr">
        <is>
          <t>TỔNG CỐT THÉP DẦM (TẤN):</t>
        </is>
      </c>
      <c r="H23" s="22">
        <f>L11/1000</f>
        <v/>
      </c>
    </row>
    <row r="24">
      <c r="G24" s="21" t="inlineStr">
        <is>
          <t>TỔNG VÁN KHUÔN DẦM (M2):</t>
        </is>
      </c>
      <c r="H24" s="22">
        <f>N11</f>
        <v/>
      </c>
    </row>
    <row r="25">
      <c r="G25" s="21" t="inlineStr">
        <is>
          <t>BÊ TÔNG DẦM NGANG C35 (M3):</t>
        </is>
      </c>
      <c r="H25" s="22">
        <f>H15</f>
        <v/>
      </c>
    </row>
    <row r="26">
      <c r="G26" s="21" t="inlineStr">
        <is>
          <t>BÊ TÔNG BMC &amp; LTN C35 (M3):</t>
        </is>
      </c>
      <c r="H26" s="22">
        <f>H16+H17</f>
        <v/>
      </c>
    </row>
    <row r="27">
      <c r="G27" s="21" t="inlineStr">
        <is>
          <t>TỔNG THÉP BMC+DN+LTN (TẤN):</t>
        </is>
      </c>
      <c r="H27" s="22">
        <f>(I15+I16+I17)/1000</f>
        <v/>
      </c>
    </row>
    <row r="28">
      <c r="G28" s="21" t="inlineStr">
        <is>
          <t>BÊ TÔNG TẤM ĐÚC SẴN C25 (M3):</t>
        </is>
      </c>
      <c r="H28" s="22">
        <f>H18</f>
        <v/>
      </c>
    </row>
    <row r="29">
      <c r="G29" s="21" t="inlineStr">
        <is>
          <t>MẶT CẦU ASPHALT C16 (M2):</t>
        </is>
      </c>
      <c r="H29" s="22" t="n">
        <v>1380.39</v>
      </c>
    </row>
  </sheetData>
  <mergeCells count="1">
    <mergeCell ref="C11:E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92" customWidth="1" min="2" max="2"/>
    <col width="39" customWidth="1" min="3" max="3"/>
    <col width="40" customWidth="1" min="4" max="4"/>
    <col width="37" customWidth="1" min="5" max="5"/>
    <col width="32" customWidth="1" min="6" max="6"/>
    <col width="12" customWidth="1" min="7" max="7"/>
    <col width="26" customWidth="1" min="8" max="8"/>
    <col width="24" customWidth="1" min="9" max="9"/>
    <col width="28" customWidth="1" min="10" max="10"/>
    <col width="47" customWidth="1" min="11" max="11"/>
  </cols>
  <sheetData>
    <row r="1"/>
    <row r="2">
      <c r="B2" s="1" t="inlineStr">
        <is>
          <t>BÓC TÁCH KHỐI LƯỢNG KẾT CẤU PHẦN DƯỚI (SUBSTRUCTURE)</t>
        </is>
      </c>
    </row>
    <row r="3">
      <c r="B3" s="2" t="inlineStr">
        <is>
          <t>Mố M1, Mố M2, Trụ T1, Trụ T2, Cọc khoan nhồi đại trà D1200mm (26 cọc, 872m) &amp; Cọc thử PDA</t>
        </is>
      </c>
    </row>
    <row r="4"/>
    <row r="5">
      <c r="B5" s="8" t="inlineStr">
        <is>
          <t>STT</t>
        </is>
      </c>
      <c r="C5" s="8" t="inlineStr">
        <is>
          <t>Hạng mục cấu kiện hạ bộ</t>
        </is>
      </c>
      <c r="D5" s="8" t="inlineStr">
        <is>
          <t>Bộ phận kết cấu</t>
        </is>
      </c>
      <c r="E5" s="8" t="inlineStr">
        <is>
          <t>Quy cách / Mác vật liệu</t>
        </is>
      </c>
      <c r="F5" s="8" t="inlineStr">
        <is>
          <t>ĐVT</t>
        </is>
      </c>
      <c r="G5" s="8" t="inlineStr">
        <is>
          <t>Số lượng</t>
        </is>
      </c>
      <c r="H5" s="8" t="inlineStr">
        <is>
          <t>Khối lượng Bê tông (m³)</t>
        </is>
      </c>
      <c r="I5" s="8" t="inlineStr">
        <is>
          <t>Khối lượng Thép (Tấn)</t>
        </is>
      </c>
      <c r="J5" s="8" t="inlineStr">
        <is>
          <t>Khối lượng Ván khuôn (m²)</t>
        </is>
      </c>
      <c r="K5" s="8" t="inlineStr">
        <is>
          <t>Vật tư phụ / Ống sonic</t>
        </is>
      </c>
    </row>
    <row r="6">
      <c r="B6" s="11" t="inlineStr">
        <is>
          <t>1</t>
        </is>
      </c>
      <c r="C6" s="12" t="inlineStr">
        <is>
          <t>Mố M1 (chân dê, trên cạn)</t>
        </is>
      </c>
      <c r="D6" s="12" t="inlineStr">
        <is>
          <t>Bệ mố, thân mố, tường đỉnh, cánh</t>
        </is>
      </c>
      <c r="E6" s="12" t="inlineStr">
        <is>
          <t>BT C30/37, thép CB400-V</t>
        </is>
      </c>
      <c r="F6" s="11" t="inlineStr">
        <is>
          <t>Mố</t>
        </is>
      </c>
      <c r="G6" s="11" t="n">
        <v>1</v>
      </c>
      <c r="H6" s="13" t="n">
        <v>185.34</v>
      </c>
      <c r="I6" s="16" t="n">
        <v>18.25</v>
      </c>
      <c r="J6" s="13" t="n">
        <v>235.12</v>
      </c>
      <c r="K6" s="12" t="inlineStr">
        <is>
          <t>Quét Bitum: 150 m², Đệm C10: 7.2 m³</t>
        </is>
      </c>
    </row>
    <row r="7">
      <c r="B7" s="11" t="inlineStr">
        <is>
          <t>2</t>
        </is>
      </c>
      <c r="C7" s="12" t="inlineStr">
        <is>
          <t>Mố M2 (chữ U, trên cạn)</t>
        </is>
      </c>
      <c r="D7" s="12" t="inlineStr">
        <is>
          <t>Bệ mố, thân mố, tường đỉnh, cánh</t>
        </is>
      </c>
      <c r="E7" s="12" t="inlineStr">
        <is>
          <t>BT C30/37, thép CB400-V</t>
        </is>
      </c>
      <c r="F7" s="11" t="inlineStr">
        <is>
          <t>Mố</t>
        </is>
      </c>
      <c r="G7" s="11" t="n">
        <v>1</v>
      </c>
      <c r="H7" s="13" t="n">
        <v>218.41</v>
      </c>
      <c r="I7" s="16" t="n">
        <v>22.704</v>
      </c>
      <c r="J7" s="13" t="n">
        <v>255.26</v>
      </c>
      <c r="K7" s="12" t="inlineStr">
        <is>
          <t>Quét Bitum: 168.28 m², Đệm C10: 7.65 m³</t>
        </is>
      </c>
    </row>
    <row r="8">
      <c r="B8" s="11" t="inlineStr">
        <is>
          <t>3</t>
        </is>
      </c>
      <c r="C8" s="12" t="inlineStr">
        <is>
          <t>Trụ T1 (2 thân ovan, H=14m)</t>
        </is>
      </c>
      <c r="D8" s="12" t="inlineStr">
        <is>
          <t>Bệ trụ, 2 thân trụ, xà mũ, ụ chống xô</t>
        </is>
      </c>
      <c r="E8" s="12" t="inlineStr">
        <is>
          <t>BT C30/37, thép CB400-V</t>
        </is>
      </c>
      <c r="F8" s="11" t="inlineStr">
        <is>
          <t>Trụ</t>
        </is>
      </c>
      <c r="G8" s="11" t="n">
        <v>1</v>
      </c>
      <c r="H8" s="13" t="n">
        <v>485.6</v>
      </c>
      <c r="I8" s="16" t="n">
        <v>58.42</v>
      </c>
      <c r="J8" s="13" t="n">
        <v>510.2</v>
      </c>
      <c r="K8" s="12" t="inlineStr">
        <is>
          <t>Quét nhựa đường: 150 m², Đệm C10: 8.77 m³</t>
        </is>
      </c>
    </row>
    <row r="9">
      <c r="B9" s="11" t="inlineStr">
        <is>
          <t>4</t>
        </is>
      </c>
      <c r="C9" s="12" t="inlineStr">
        <is>
          <t>Trụ T2 (2 thân ovan, H=18m)</t>
        </is>
      </c>
      <c r="D9" s="12" t="inlineStr">
        <is>
          <t>Bệ trụ, 2 thân trụ, xà mũ, ụ chống xô</t>
        </is>
      </c>
      <c r="E9" s="12" t="inlineStr">
        <is>
          <t>BT C30/37, thép CB400-V</t>
        </is>
      </c>
      <c r="F9" s="11" t="inlineStr">
        <is>
          <t>Trụ</t>
        </is>
      </c>
      <c r="G9" s="11" t="n">
        <v>1</v>
      </c>
      <c r="H9" s="13" t="n">
        <v>529.62</v>
      </c>
      <c r="I9" s="16" t="n">
        <v>67.70699999999999</v>
      </c>
      <c r="J9" s="13" t="n">
        <v>553.3099999999999</v>
      </c>
      <c r="K9" s="12" t="inlineStr">
        <is>
          <t>Quét nhựa đường: 162.05 m², Đệm C10: 8.77 m³</t>
        </is>
      </c>
    </row>
    <row r="10">
      <c r="B10" s="11" t="inlineStr">
        <is>
          <t>5</t>
        </is>
      </c>
      <c r="C10" s="12" t="inlineStr">
        <is>
          <t>Cọc D1200 Mố M1 (4 cọc x 20m)</t>
        </is>
      </c>
      <c r="D10" s="12" t="inlineStr">
        <is>
          <t>Cọc khoan nhồi đại trà L=80m</t>
        </is>
      </c>
      <c r="E10" s="12" t="inlineStr">
        <is>
          <t>BT C30/37 rút ống tremie</t>
        </is>
      </c>
      <c r="F10" s="11" t="inlineStr">
        <is>
          <t>Cọc</t>
        </is>
      </c>
      <c r="G10" s="11" t="n">
        <v>4</v>
      </c>
      <c r="H10" s="13" t="n">
        <v>92.34</v>
      </c>
      <c r="I10" s="16" t="n">
        <v>9.989000000000001</v>
      </c>
      <c r="J10" s="13" t="n">
        <v>0</v>
      </c>
      <c r="K10" s="12" t="inlineStr">
        <is>
          <t>Ống sonic D60: 254.4m, D114: 84.8m</t>
        </is>
      </c>
    </row>
    <row r="11">
      <c r="B11" s="11" t="inlineStr">
        <is>
          <t>6</t>
        </is>
      </c>
      <c r="C11" s="12" t="inlineStr">
        <is>
          <t>Cọc D1200 Trụ T1 (9 cọc x 40m)</t>
        </is>
      </c>
      <c r="D11" s="12" t="inlineStr">
        <is>
          <t>Cọc khoan nhồi đại trà L=360m</t>
        </is>
      </c>
      <c r="E11" s="12" t="inlineStr">
        <is>
          <t>BT C30/37 rút ống tremie</t>
        </is>
      </c>
      <c r="F11" s="11" t="inlineStr">
        <is>
          <t>Cọc</t>
        </is>
      </c>
      <c r="G11" s="11" t="n">
        <v>9</v>
      </c>
      <c r="H11" s="13" t="n">
        <v>415.54</v>
      </c>
      <c r="I11" s="16" t="n">
        <v>44.952</v>
      </c>
      <c r="J11" s="13" t="n">
        <v>0</v>
      </c>
      <c r="K11" s="12" t="inlineStr">
        <is>
          <t>Ống sonic D60: 1,144.8m, D114: 381.6m</t>
        </is>
      </c>
    </row>
    <row r="12">
      <c r="B12" s="11" t="inlineStr">
        <is>
          <t>7</t>
        </is>
      </c>
      <c r="C12" s="12" t="inlineStr">
        <is>
          <t>Cọc D1200 Trụ T2 (9 cọc x 32m)</t>
        </is>
      </c>
      <c r="D12" s="12" t="inlineStr">
        <is>
          <t>Cọc khoan nhồi đại trà L=288m</t>
        </is>
      </c>
      <c r="E12" s="12" t="inlineStr">
        <is>
          <t>BT C30/37 rút ống tremie</t>
        </is>
      </c>
      <c r="F12" s="11" t="inlineStr">
        <is>
          <t>Cọc</t>
        </is>
      </c>
      <c r="G12" s="11" t="n">
        <v>9</v>
      </c>
      <c r="H12" s="13" t="n">
        <v>332.43</v>
      </c>
      <c r="I12" s="16" t="n">
        <v>35.962</v>
      </c>
      <c r="J12" s="13" t="n">
        <v>0</v>
      </c>
      <c r="K12" s="12" t="inlineStr">
        <is>
          <t>Ống sonic D60: 915.8m, D114: 305.3m</t>
        </is>
      </c>
    </row>
    <row r="13">
      <c r="B13" s="11" t="inlineStr">
        <is>
          <t>8</t>
        </is>
      </c>
      <c r="C13" s="12" t="inlineStr">
        <is>
          <t>Cọc D1200 Mố M2 (4 cọc x 36m)</t>
        </is>
      </c>
      <c r="D13" s="12" t="inlineStr">
        <is>
          <t>Cọc khoan nhồi đại trà L=144m</t>
        </is>
      </c>
      <c r="E13" s="12" t="inlineStr">
        <is>
          <t>BT C30/37 rút ống tremie</t>
        </is>
      </c>
      <c r="F13" s="11" t="inlineStr">
        <is>
          <t>Cọc</t>
        </is>
      </c>
      <c r="G13" s="11" t="n">
        <v>4</v>
      </c>
      <c r="H13" s="13" t="n">
        <v>166.23</v>
      </c>
      <c r="I13" s="16" t="n">
        <v>17.981</v>
      </c>
      <c r="J13" s="13" t="n">
        <v>0</v>
      </c>
      <c r="K13" s="12" t="inlineStr">
        <is>
          <t>Ống sonic D60: 457.0m, D114: 151.5m</t>
        </is>
      </c>
    </row>
    <row r="14">
      <c r="B14" s="11" t="inlineStr">
        <is>
          <t>9</t>
        </is>
      </c>
      <c r="C14" s="12" t="inlineStr">
        <is>
          <t>Đập đầu cọc &amp; Vữa lấp sonic</t>
        </is>
      </c>
      <c r="D14" s="12" t="inlineStr">
        <is>
          <t>26 cọc đại trà</t>
        </is>
      </c>
      <c r="E14" s="12" t="inlineStr">
        <is>
          <t>Đập đầu cọc 1m &amp; vữa không co ngót</t>
        </is>
      </c>
      <c r="F14" s="11" t="inlineStr">
        <is>
          <t>Cọc</t>
        </is>
      </c>
      <c r="G14" s="11" t="n">
        <v>26</v>
      </c>
      <c r="H14" s="13" t="n">
        <v>44.79</v>
      </c>
      <c r="I14" s="16" t="n">
        <v>0</v>
      </c>
      <c r="J14" s="13" t="n">
        <v>0</v>
      </c>
      <c r="K14" s="12" t="inlineStr">
        <is>
          <t>Bê tông đập: 30.36 m³, Vữa lấp: 14.43 m³</t>
        </is>
      </c>
    </row>
    <row r="15">
      <c r="B15" s="11" t="inlineStr">
        <is>
          <t>10</t>
        </is>
      </c>
      <c r="C15" s="12" t="inlineStr">
        <is>
          <t>Cọc thí nghiệm PDA</t>
        </is>
      </c>
      <c r="D15" s="12" t="inlineStr">
        <is>
          <t>2 vị trí cọc thử kiểm tra SCT</t>
        </is>
      </c>
      <c r="E15" s="12" t="inlineStr">
        <is>
          <t>BT C30/37, thép CB400-V</t>
        </is>
      </c>
      <c r="F15" s="11" t="inlineStr">
        <is>
          <t>Vị trí</t>
        </is>
      </c>
      <c r="G15" s="11" t="n">
        <v>2</v>
      </c>
      <c r="H15" s="13" t="n">
        <v>2.91</v>
      </c>
      <c r="I15" s="16" t="n">
        <v>0.189</v>
      </c>
      <c r="J15" s="13" t="n">
        <v>0</v>
      </c>
      <c r="K15" s="12" t="inlineStr">
        <is>
          <t>Cóc nối: 48 bộ, Ống vách: 0.36T</t>
        </is>
      </c>
    </row>
    <row r="16">
      <c r="B16" s="17" t="inlineStr"/>
      <c r="C16" s="18" t="inlineStr">
        <is>
          <t>TỔNG CỘNG HẠ BỘ (MỐ, TRỤ, CỌC D1200)</t>
        </is>
      </c>
      <c r="D16" s="17" t="n"/>
      <c r="E16" s="17" t="n"/>
      <c r="F16" s="17" t="n"/>
      <c r="G16" s="17" t="n"/>
      <c r="H16" s="20">
        <f>SUM(H6:H15)</f>
        <v/>
      </c>
      <c r="I16" s="23">
        <f>SUM(I6:I15)</f>
        <v/>
      </c>
      <c r="J16" s="20">
        <f>SUM(J6:J15)</f>
        <v/>
      </c>
      <c r="K16" s="17" t="n"/>
    </row>
    <row r="17"/>
    <row r="18"/>
    <row r="19"/>
    <row r="20"/>
    <row r="21">
      <c r="F21" s="21" t="inlineStr">
        <is>
          <t>BÊ TÔNG MỐ M1 &amp; M2 C30 (M3):</t>
        </is>
      </c>
      <c r="G21" s="22">
        <f>H6+H7</f>
        <v/>
      </c>
    </row>
    <row r="22">
      <c r="F22" s="21" t="inlineStr">
        <is>
          <t>CỐT THÉP MỐ M1 &amp; M2 (TẤN):</t>
        </is>
      </c>
      <c r="G22" s="22">
        <f>I6+I7</f>
        <v/>
      </c>
    </row>
    <row r="23">
      <c r="F23" s="21" t="inlineStr">
        <is>
          <t>BÊ TÔNG TRỤ T1 &amp; T2 C30 (M3):</t>
        </is>
      </c>
      <c r="G23" s="22">
        <f>H8+H9</f>
        <v/>
      </c>
    </row>
    <row r="24">
      <c r="F24" s="21" t="inlineStr">
        <is>
          <t>CỐT THÉP TRỤ T1 &amp; T2 (TẤN):</t>
        </is>
      </c>
      <c r="G24" s="22">
        <f>I8+I9</f>
        <v/>
      </c>
    </row>
    <row r="25">
      <c r="F25" s="21" t="inlineStr">
        <is>
          <t>BÊ TÔNG CỌC D1200 C30 (M3):</t>
        </is>
      </c>
      <c r="G25" s="22">
        <f>H10+H11+H12+H13</f>
        <v/>
      </c>
    </row>
    <row r="26">
      <c r="F26" s="21" t="inlineStr">
        <is>
          <t>CỐT THÉP CỌC D1200 (TẤN):</t>
        </is>
      </c>
      <c r="G26" s="22">
        <f>I10+I11+I12+I13</f>
        <v/>
      </c>
    </row>
    <row r="27">
      <c r="F27" s="21" t="inlineStr">
        <is>
          <t>TỔNG CHIỀU DÀI CỌC D1200 (M):</t>
        </is>
      </c>
      <c r="G27" s="22" t="n">
        <v>872</v>
      </c>
    </row>
  </sheetData>
  <mergeCells count="1">
    <mergeCell ref="C16:G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32" customWidth="1" min="2" max="2"/>
    <col width="36" customWidth="1" min="3" max="3"/>
    <col width="31" customWidth="1" min="4" max="4"/>
    <col width="12" customWidth="1" min="5" max="5"/>
    <col width="35" customWidth="1" min="6" max="6"/>
    <col width="15" customWidth="1" min="7" max="7"/>
    <col width="17" customWidth="1" min="8" max="8"/>
    <col width="30" customWidth="1" min="9" max="9"/>
    <col width="17" customWidth="1" min="10" max="10"/>
    <col width="46" customWidth="1" min="11" max="11"/>
  </cols>
  <sheetData>
    <row r="1"/>
    <row r="2">
      <c r="B2" s="1" t="inlineStr">
        <is>
          <t>BÓC TÁCH KHỐI LƯỢNG KẾT CẤU PHỤ TRỢ (MISCELLANEOUS)</t>
        </is>
      </c>
    </row>
    <row r="3">
      <c r="B3" s="2" t="inlineStr">
        <is>
          <t>Bản quá độ BTCT C25, Gờ lan can BTCT C25, Lan can thép mạ kẽm, Gối chậu 30 cái, Khe co giãn răng lược WD230 &amp; Hệ thống thoát nước</t>
        </is>
      </c>
    </row>
    <row r="4"/>
    <row r="5">
      <c r="B5" s="8" t="inlineStr">
        <is>
          <t>STT</t>
        </is>
      </c>
      <c r="C5" s="8" t="inlineStr">
        <is>
          <t>Hạng mục kết cấu phụ trợ</t>
        </is>
      </c>
      <c r="D5" s="8" t="inlineStr">
        <is>
          <t>Quy cách / Tiêu chuẩn</t>
        </is>
      </c>
      <c r="E5" s="8" t="inlineStr">
        <is>
          <t>ĐVT</t>
        </is>
      </c>
      <c r="F5" s="8" t="inlineStr">
        <is>
          <t>Số lượng</t>
        </is>
      </c>
      <c r="G5" s="8" t="inlineStr">
        <is>
          <t>Bê tông (m³)</t>
        </is>
      </c>
      <c r="H5" s="8" t="inlineStr">
        <is>
          <t>Cốt thép (Tấn)</t>
        </is>
      </c>
      <c r="I5" s="8" t="inlineStr">
        <is>
          <t>Thép mạ kẽm / Thép tấm (kg)</t>
        </is>
      </c>
      <c r="J5" s="8" t="inlineStr">
        <is>
          <t>Ván khuôn (m²)</t>
        </is>
      </c>
      <c r="K5" s="8" t="inlineStr">
        <is>
          <t>Vật tư chuyên dụng / Bu lông</t>
        </is>
      </c>
    </row>
    <row r="6">
      <c r="B6" s="11" t="inlineStr">
        <is>
          <t>1</t>
        </is>
      </c>
      <c r="C6" s="12" t="inlineStr">
        <is>
          <t>Bản quá độ Mố M1</t>
        </is>
      </c>
      <c r="D6" s="12" t="inlineStr">
        <is>
          <t>Bê tông C25/30, thép CB400-V</t>
        </is>
      </c>
      <c r="E6" s="11" t="inlineStr">
        <is>
          <t>Bản</t>
        </is>
      </c>
      <c r="F6" s="11" t="n">
        <v>1</v>
      </c>
      <c r="G6" s="13" t="n">
        <v>38.28</v>
      </c>
      <c r="H6" s="16" t="n">
        <v>5.569</v>
      </c>
      <c r="I6" s="13" t="n">
        <v>0</v>
      </c>
      <c r="J6" s="13" t="n">
        <v>18.15</v>
      </c>
      <c r="K6" s="12" t="inlineStr">
        <is>
          <t>Đệm C10: 9.12 m³, Cao su 20mm: 3.44 m²</t>
        </is>
      </c>
    </row>
    <row r="7">
      <c r="B7" s="11" t="inlineStr">
        <is>
          <t>2</t>
        </is>
      </c>
      <c r="C7" s="12" t="inlineStr">
        <is>
          <t>Bản quá độ Mố M2</t>
        </is>
      </c>
      <c r="D7" s="12" t="inlineStr">
        <is>
          <t>Bê tông C25/30, thép CB400-V</t>
        </is>
      </c>
      <c r="E7" s="11" t="inlineStr">
        <is>
          <t>Bản</t>
        </is>
      </c>
      <c r="F7" s="11" t="n">
        <v>1</v>
      </c>
      <c r="G7" s="13" t="n">
        <v>29.1</v>
      </c>
      <c r="H7" s="16" t="n">
        <v>3.964</v>
      </c>
      <c r="I7" s="13" t="n">
        <v>0</v>
      </c>
      <c r="J7" s="13" t="n">
        <v>16.55</v>
      </c>
      <c r="K7" s="12" t="inlineStr">
        <is>
          <t>Đệm C10: 6.82 m³, Cao su 20mm: 3.44 m²</t>
        </is>
      </c>
    </row>
    <row r="8">
      <c r="B8" s="11" t="inlineStr">
        <is>
          <t>3</t>
        </is>
      </c>
      <c r="C8" s="12" t="inlineStr">
        <is>
          <t>Gờ lan can BTCT C25 (Loại A1, A2)</t>
        </is>
      </c>
      <c r="D8" s="12" t="inlineStr">
        <is>
          <t>Bê tông C25/30, thép CB400-V</t>
        </is>
      </c>
      <c r="E8" s="11" t="inlineStr">
        <is>
          <t>Đốt</t>
        </is>
      </c>
      <c r="F8" s="11" t="n">
        <v>20</v>
      </c>
      <c r="G8" s="13" t="n">
        <v>63.68</v>
      </c>
      <c r="H8" s="16" t="n">
        <v>12.242</v>
      </c>
      <c r="I8" s="13" t="n">
        <v>0</v>
      </c>
      <c r="J8" s="13" t="n">
        <v>401.27</v>
      </c>
      <c r="K8" s="12" t="inlineStr">
        <is>
          <t>Ống PVC D125: 72m, Xốp chèn khe: 91.2 m²</t>
        </is>
      </c>
    </row>
    <row r="9">
      <c r="B9" s="11" t="inlineStr">
        <is>
          <t>4</t>
        </is>
      </c>
      <c r="C9" s="12" t="inlineStr">
        <is>
          <t>Gờ lan can BTCT C25 (Loại B1, B2)</t>
        </is>
      </c>
      <c r="D9" s="12" t="inlineStr">
        <is>
          <t>Bê tông C25/30, thép CB400-V</t>
        </is>
      </c>
      <c r="E9" s="11" t="inlineStr">
        <is>
          <t>Đốt</t>
        </is>
      </c>
      <c r="F9" s="11" t="n">
        <v>20</v>
      </c>
      <c r="G9" s="13" t="n">
        <v>40.59</v>
      </c>
      <c r="H9" s="16" t="n">
        <v>7.827</v>
      </c>
      <c r="I9" s="13" t="n">
        <v>0</v>
      </c>
      <c r="J9" s="13" t="n">
        <v>368.66</v>
      </c>
      <c r="K9" s="12" t="inlineStr">
        <is>
          <t>Ống PVC D125: 46.3m, Xốp chèn khe: 58.35 m²</t>
        </is>
      </c>
    </row>
    <row r="10">
      <c r="B10" s="11" t="inlineStr">
        <is>
          <t>5</t>
        </is>
      </c>
      <c r="C10" s="12" t="inlineStr">
        <is>
          <t>Lan can tay vịn thép mạ kẽm</t>
        </is>
      </c>
      <c r="D10" s="12" t="inlineStr">
        <is>
          <t>Ống thép D114/D76 mạ kẽm</t>
        </is>
      </c>
      <c r="E10" s="11" t="inlineStr">
        <is>
          <t>m</t>
        </is>
      </c>
      <c r="F10" s="11" t="n">
        <v>230</v>
      </c>
      <c r="G10" s="13" t="n">
        <v>0</v>
      </c>
      <c r="H10" s="16" t="n">
        <v>0</v>
      </c>
      <c r="I10" s="13" t="n">
        <v>1133.45</v>
      </c>
      <c r="J10" s="13" t="n">
        <v>0</v>
      </c>
      <c r="K10" s="12" t="inlineStr">
        <is>
          <t>Bu lông neo M22 L=650: 44 cái (85.36 kg)</t>
        </is>
      </c>
    </row>
    <row r="11">
      <c r="B11" s="11" t="inlineStr">
        <is>
          <t>6</t>
        </is>
      </c>
      <c r="C11" s="12" t="inlineStr">
        <is>
          <t>Gối chậu Super-T đơn hướng B1</t>
        </is>
      </c>
      <c r="D11" s="12" t="inlineStr">
        <is>
          <t>Thép đúc, PTFE (390x560x110)</t>
        </is>
      </c>
      <c r="E11" s="11" t="inlineStr">
        <is>
          <t>Cái</t>
        </is>
      </c>
      <c r="F11" s="11" t="n">
        <v>15</v>
      </c>
      <c r="G11" s="13" t="n">
        <v>0</v>
      </c>
      <c r="H11" s="16" t="n">
        <v>0</v>
      </c>
      <c r="I11" s="13" t="n">
        <v>743.84</v>
      </c>
      <c r="J11" s="13" t="n">
        <v>0</v>
      </c>
      <c r="K11" s="12" t="inlineStr">
        <is>
          <t>Vữa đệm gối: 0.29 m³, Bu lông M20: 60 bộ</t>
        </is>
      </c>
    </row>
    <row r="12">
      <c r="B12" s="11" t="inlineStr">
        <is>
          <t>7</t>
        </is>
      </c>
      <c r="C12" s="12" t="inlineStr">
        <is>
          <t>Gối chậu Super-T song hướng B2</t>
        </is>
      </c>
      <c r="D12" s="12" t="inlineStr">
        <is>
          <t>Thép đúc, PTFE (620x327x110)</t>
        </is>
      </c>
      <c r="E12" s="11" t="inlineStr">
        <is>
          <t>Cái</t>
        </is>
      </c>
      <c r="F12" s="11" t="n">
        <v>15</v>
      </c>
      <c r="G12" s="13" t="n">
        <v>0</v>
      </c>
      <c r="H12" s="16" t="n">
        <v>0</v>
      </c>
      <c r="I12" s="13" t="n">
        <v>743.84</v>
      </c>
      <c r="J12" s="13" t="n">
        <v>0</v>
      </c>
      <c r="K12" s="12" t="inlineStr">
        <is>
          <t>Vữa đệm gối: 0.29 m³, Bu lông M20: 60 bộ</t>
        </is>
      </c>
    </row>
    <row r="13">
      <c r="B13" s="11" t="inlineStr">
        <is>
          <t>8</t>
        </is>
      </c>
      <c r="C13" s="12" t="inlineStr">
        <is>
          <t>Khe co giãn răng lược WD230</t>
        </is>
      </c>
      <c r="D13" s="12" t="inlineStr">
        <is>
          <t>Thép mạ kẽm L=12.25m x 2 khe</t>
        </is>
      </c>
      <c r="E13" s="11" t="inlineStr">
        <is>
          <t>m</t>
        </is>
      </c>
      <c r="F13" s="11" t="n">
        <v>24.5</v>
      </c>
      <c r="G13" s="13" t="n">
        <v>4.67</v>
      </c>
      <c r="H13" s="16" t="n">
        <v>1.36</v>
      </c>
      <c r="I13" s="13" t="n">
        <v>62.23</v>
      </c>
      <c r="J13" s="13" t="n">
        <v>0</v>
      </c>
      <c r="K13" s="12" t="inlineStr">
        <is>
          <t>Bu lông M16x180: 232 bộ, M12: 30 bộ</t>
        </is>
      </c>
    </row>
    <row r="14">
      <c r="B14" s="11" t="inlineStr">
        <is>
          <t>9</t>
        </is>
      </c>
      <c r="C14" s="12" t="inlineStr">
        <is>
          <t>Hè gang thu nước mặt cầu</t>
        </is>
      </c>
      <c r="D14" s="12" t="inlineStr">
        <is>
          <t>Gang xám chịu lực</t>
        </is>
      </c>
      <c r="E14" s="11" t="inlineStr">
        <is>
          <t>Bộ</t>
        </is>
      </c>
      <c r="F14" s="11" t="n">
        <v>24</v>
      </c>
      <c r="G14" s="13" t="n">
        <v>0</v>
      </c>
      <c r="H14" s="16" t="n">
        <v>0</v>
      </c>
      <c r="I14" s="13" t="n">
        <v>397.28</v>
      </c>
      <c r="J14" s="13" t="n">
        <v>0</v>
      </c>
      <c r="K14" s="12" t="inlineStr">
        <is>
          <t>Nắp chắn rác mạ kẽm: 24 bộ</t>
        </is>
      </c>
    </row>
    <row r="15">
      <c r="B15" s="11" t="inlineStr">
        <is>
          <t>10</t>
        </is>
      </c>
      <c r="C15" s="12" t="inlineStr">
        <is>
          <t>Ống uPVC thu nước D150</t>
        </is>
      </c>
      <c r="D15" s="12" t="inlineStr">
        <is>
          <t>Ống nhựa uPVC D150 x 39.86m</t>
        </is>
      </c>
      <c r="E15" s="11" t="inlineStr">
        <is>
          <t>m</t>
        </is>
      </c>
      <c r="F15" s="11" t="n">
        <v>39.86</v>
      </c>
      <c r="G15" s="13" t="n">
        <v>0</v>
      </c>
      <c r="H15" s="16" t="n">
        <v>0</v>
      </c>
      <c r="I15" s="13" t="n">
        <v>0</v>
      </c>
      <c r="J15" s="13" t="n">
        <v>0</v>
      </c>
      <c r="K15" s="12" t="inlineStr">
        <is>
          <t>Ống xoắn dọc cầu: 129.23m, Định vị: 374.4kg</t>
        </is>
      </c>
    </row>
    <row r="16">
      <c r="B16" s="17" t="inlineStr"/>
      <c r="C16" s="18" t="inlineStr">
        <is>
          <t>TỔNG CỘNG KẾT CẤU PHỤ TRỢ</t>
        </is>
      </c>
      <c r="D16" s="17" t="n"/>
      <c r="E16" s="17" t="n"/>
      <c r="F16" s="17" t="n"/>
      <c r="G16" s="20">
        <f>SUM(G6:G15)</f>
        <v/>
      </c>
      <c r="H16" s="23">
        <f>SUM(H6:H15)</f>
        <v/>
      </c>
      <c r="I16" s="20">
        <f>SUM(I6:I15)</f>
        <v/>
      </c>
      <c r="J16" s="20">
        <f>SUM(J6:J15)</f>
        <v/>
      </c>
      <c r="K16" s="17" t="n"/>
    </row>
    <row r="17">
      <c r="F17" s="21" t="inlineStr">
        <is>
          <t>BÊ TÔNG BẢN QUÁ ĐỘ C25 (M3):</t>
        </is>
      </c>
      <c r="G17" s="22">
        <f>G6+G7</f>
        <v/>
      </c>
    </row>
    <row r="18">
      <c r="F18" s="21" t="inlineStr">
        <is>
          <t>BÊ TÔNG GỜ LAN CAN C25 (M3):</t>
        </is>
      </c>
      <c r="G18" s="22">
        <f>G8+G9</f>
        <v/>
      </c>
    </row>
    <row r="19">
      <c r="F19" s="21" t="inlineStr">
        <is>
          <t>CỐT THÉP BQD &amp; GỜ LAN CAN (TẤN):</t>
        </is>
      </c>
      <c r="G19" s="22">
        <f>H6+H7+H8+H9</f>
        <v/>
      </c>
    </row>
    <row r="20">
      <c r="F20" s="21" t="inlineStr">
        <is>
          <t>GỐI CHẬU SUPER-T (CÁI):</t>
        </is>
      </c>
      <c r="G20" s="22">
        <f>E11+E12</f>
        <v/>
      </c>
    </row>
    <row r="21">
      <c r="F21" s="21" t="inlineStr">
        <is>
          <t>KHE CO GIÃN WD230 (M):</t>
        </is>
      </c>
      <c r="G21" s="22">
        <f>E13</f>
        <v/>
      </c>
    </row>
    <row r="22">
      <c r="F22" s="21" t="inlineStr">
        <is>
          <t>HÈ GANG THOÁT NƯỚC (BỘ):</t>
        </is>
      </c>
      <c r="G22" s="22">
        <f>E14</f>
        <v/>
      </c>
    </row>
  </sheetData>
  <mergeCells count="1">
    <mergeCell ref="C16:F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24" customWidth="1" min="2" max="2"/>
    <col width="48" customWidth="1" min="3" max="3"/>
    <col width="30" customWidth="1" min="4" max="4"/>
    <col width="12" customWidth="1" min="5" max="5"/>
    <col width="12" customWidth="1" min="6" max="6"/>
    <col width="33" customWidth="1" min="7" max="7"/>
    <col width="18" customWidth="1" min="8" max="8"/>
    <col width="49" customWidth="1" min="9" max="9"/>
  </cols>
  <sheetData>
    <row r="1"/>
    <row r="2">
      <c r="B2" s="1" t="inlineStr">
        <is>
          <t>BÓC TÁCH KHỐI LƯỢNG ĐƯỜNG SAU MỐ, TỨ NÓN &amp; KÈ GIA CỐ</t>
        </is>
      </c>
    </row>
    <row r="3">
      <c r="B3" s="2" t="inlineStr">
        <is>
          <t>Tứ nón M1/M2, Đá hộc xây vữa M100, Chân khay, Tường chắn BT C15, Kết cấu áo đường vuốt nối &amp; Vật liệu hạt K98 đắp lòng mố</t>
        </is>
      </c>
    </row>
    <row r="4"/>
    <row r="5">
      <c r="B5" s="8" t="inlineStr">
        <is>
          <t>STT</t>
        </is>
      </c>
      <c r="C5" s="8" t="inlineStr">
        <is>
          <t>Hạng mục công việc</t>
        </is>
      </c>
      <c r="D5" s="8" t="inlineStr">
        <is>
          <t>Quy cách kỹ thuật</t>
        </is>
      </c>
      <c r="E5" s="8" t="inlineStr">
        <is>
          <t>ĐVT</t>
        </is>
      </c>
      <c r="F5" s="8" t="inlineStr">
        <is>
          <t>Mố M1</t>
        </is>
      </c>
      <c r="G5" s="8" t="inlineStr">
        <is>
          <t>Mố M2</t>
        </is>
      </c>
      <c r="H5" s="8" t="inlineStr">
        <is>
          <t>Tổng Khối lượng</t>
        </is>
      </c>
      <c r="I5" s="8" t="inlineStr">
        <is>
          <t>Diễn giải hình học &amp; Căn cứ bản vẽ</t>
        </is>
      </c>
    </row>
    <row r="6">
      <c r="B6" s="11" t="inlineStr">
        <is>
          <t>1</t>
        </is>
      </c>
      <c r="C6" s="12" t="inlineStr">
        <is>
          <t>Đá hộc xây vữa VXM M100 kè tứ nón</t>
        </is>
      </c>
      <c r="D6" s="12" t="inlineStr">
        <is>
          <t>Đá hộc VXM M100 dày 30cm</t>
        </is>
      </c>
      <c r="E6" s="11" t="inlineStr">
        <is>
          <t>m³</t>
        </is>
      </c>
      <c r="F6" s="13" t="n">
        <v>96.81</v>
      </c>
      <c r="G6" s="13" t="n">
        <v>7.93</v>
      </c>
      <c r="H6" s="13">
        <f>E6+F6</f>
        <v/>
      </c>
      <c r="I6" s="12" t="inlineStr">
        <is>
          <t>Kè ta luy tứ nón mố M1 và M2</t>
        </is>
      </c>
    </row>
    <row r="7">
      <c r="B7" s="11" t="inlineStr">
        <is>
          <t>2</t>
        </is>
      </c>
      <c r="C7" s="12" t="inlineStr">
        <is>
          <t>Đá dăm đệm dày 10cm dưới đá hộc</t>
        </is>
      </c>
      <c r="D7" s="12" t="inlineStr">
        <is>
          <t>Đá dăm đệm đầm chặt</t>
        </is>
      </c>
      <c r="E7" s="11" t="inlineStr">
        <is>
          <t>m²</t>
        </is>
      </c>
      <c r="F7" s="13" t="n">
        <v>40.36</v>
      </c>
      <c r="G7" s="13" t="n">
        <v>3.83</v>
      </c>
      <c r="H7" s="13">
        <f>E7+F7</f>
        <v/>
      </c>
      <c r="I7" s="12" t="inlineStr">
        <is>
          <t>Lớp đệm lọc dưới mái kè đá hộc</t>
        </is>
      </c>
    </row>
    <row r="8">
      <c r="B8" s="11" t="inlineStr">
        <is>
          <t>3</t>
        </is>
      </c>
      <c r="C8" s="12" t="inlineStr">
        <is>
          <t>Chân khay đá hộc chống trượt</t>
        </is>
      </c>
      <c r="D8" s="12" t="inlineStr">
        <is>
          <t>Đá hộc xây vữa VXM M100</t>
        </is>
      </c>
      <c r="E8" s="11" t="inlineStr">
        <is>
          <t>m³</t>
        </is>
      </c>
      <c r="F8" s="13" t="n">
        <v>0</v>
      </c>
      <c r="G8" s="13" t="n">
        <v>4</v>
      </c>
      <c r="H8" s="13">
        <f>E8+F8</f>
        <v/>
      </c>
      <c r="I8" s="12" t="inlineStr">
        <is>
          <t>Chân khay giữ chân mái dốc tứ nón M2</t>
        </is>
      </c>
    </row>
    <row r="9">
      <c r="B9" s="11" t="inlineStr">
        <is>
          <t>4</t>
        </is>
      </c>
      <c r="C9" s="12" t="inlineStr">
        <is>
          <t>Tường chắn bê tông trọng lực C15</t>
        </is>
      </c>
      <c r="D9" s="12" t="inlineStr">
        <is>
          <t>Bê tông xi măng C15</t>
        </is>
      </c>
      <c r="E9" s="11" t="inlineStr">
        <is>
          <t>m³</t>
        </is>
      </c>
      <c r="F9" s="13" t="n">
        <v>0</v>
      </c>
      <c r="G9" s="13" t="n">
        <v>115.88</v>
      </c>
      <c r="H9" s="13">
        <f>E9+F9</f>
        <v/>
      </c>
      <c r="I9" s="12" t="inlineStr">
        <is>
          <t>Tường chắn trọng lực giữ chân đường đầu cầu M2</t>
        </is>
      </c>
    </row>
    <row r="10">
      <c r="B10" s="11" t="inlineStr">
        <is>
          <t>5</t>
        </is>
      </c>
      <c r="C10" s="12" t="inlineStr">
        <is>
          <t>Ván khuôn tường chắn bê tông C15</t>
        </is>
      </c>
      <c r="D10" s="12" t="inlineStr">
        <is>
          <t>Ván khuôn thép định hình</t>
        </is>
      </c>
      <c r="E10" s="11" t="inlineStr">
        <is>
          <t>m²</t>
        </is>
      </c>
      <c r="F10" s="13" t="n">
        <v>0</v>
      </c>
      <c r="G10" s="13" t="n">
        <v>194.03</v>
      </c>
      <c r="H10" s="13">
        <f>E10+F10</f>
        <v/>
      </c>
      <c r="I10" s="12" t="inlineStr">
        <is>
          <t>Ván khuôn thành tường chắn</t>
        </is>
      </c>
    </row>
    <row r="11">
      <c r="B11" s="11" t="inlineStr">
        <is>
          <t>6</t>
        </is>
      </c>
      <c r="C11" s="12" t="inlineStr">
        <is>
          <t>Bê tông đệm móng tường chắn C10</t>
        </is>
      </c>
      <c r="D11" s="12" t="inlineStr">
        <is>
          <t>Bê tông lót C10 dày 10cm</t>
        </is>
      </c>
      <c r="E11" s="11" t="inlineStr">
        <is>
          <t>m³</t>
        </is>
      </c>
      <c r="F11" s="13" t="n">
        <v>0</v>
      </c>
      <c r="G11" s="13" t="n">
        <v>3.65</v>
      </c>
      <c r="H11" s="13">
        <f>E11+F11</f>
        <v/>
      </c>
      <c r="I11" s="12" t="inlineStr">
        <is>
          <t>Bê tông lót đáy móng tường chắn</t>
        </is>
      </c>
    </row>
    <row r="12">
      <c r="B12" s="11" t="inlineStr">
        <is>
          <t>7</t>
        </is>
      </c>
      <c r="C12" s="12" t="inlineStr">
        <is>
          <t>Ống thoát nước tường chắn D90</t>
        </is>
      </c>
      <c r="D12" s="12" t="inlineStr">
        <is>
          <t>Ống nhựa PVC D90 thoát nước</t>
        </is>
      </c>
      <c r="E12" s="11" t="inlineStr">
        <is>
          <t>m</t>
        </is>
      </c>
      <c r="F12" s="13" t="n">
        <v>0</v>
      </c>
      <c r="G12" s="13" t="n">
        <v>21.4</v>
      </c>
      <c r="H12" s="13">
        <f>E12+F12</f>
        <v/>
      </c>
      <c r="I12" s="12" t="inlineStr">
        <is>
          <t>Ống thoát nước ngầm qua thân tường chắn</t>
        </is>
      </c>
    </row>
    <row r="13">
      <c r="B13" s="11" t="inlineStr">
        <is>
          <t>8</t>
        </is>
      </c>
      <c r="C13" s="12" t="inlineStr">
        <is>
          <t>Quét Bitum 2 lớp mặt sau tường chắn</t>
        </is>
      </c>
      <c r="D13" s="12" t="inlineStr">
        <is>
          <t>Nhựa đường chống thấm</t>
        </is>
      </c>
      <c r="E13" s="11" t="inlineStr">
        <is>
          <t>m²</t>
        </is>
      </c>
      <c r="F13" s="13" t="n">
        <v>0</v>
      </c>
      <c r="G13" s="13" t="n">
        <v>119.2</v>
      </c>
      <c r="H13" s="13">
        <f>E13+F13</f>
        <v/>
      </c>
      <c r="I13" s="12" t="inlineStr">
        <is>
          <t>Quét phòng nước mặt tiếp xúc đất đắp</t>
        </is>
      </c>
    </row>
    <row r="14">
      <c r="B14" s="11" t="inlineStr">
        <is>
          <t>9</t>
        </is>
      </c>
      <c r="C14" s="12" t="inlineStr">
        <is>
          <t>Đắp đất hoàn trả hố móng K90</t>
        </is>
      </c>
      <c r="D14" s="12" t="inlineStr">
        <is>
          <t>Đất đắp đầm chặt K90</t>
        </is>
      </c>
      <c r="E14" s="11" t="inlineStr">
        <is>
          <t>m³</t>
        </is>
      </c>
      <c r="F14" s="13" t="n">
        <v>0</v>
      </c>
      <c r="G14" s="13" t="n">
        <v>14.27</v>
      </c>
      <c r="H14" s="13">
        <f>E14+F14</f>
        <v/>
      </c>
      <c r="I14" s="12" t="inlineStr">
        <is>
          <t>Đắp hoàn trả chân tường chắn</t>
        </is>
      </c>
    </row>
    <row r="15">
      <c r="B15" s="11" t="inlineStr">
        <is>
          <t>10</t>
        </is>
      </c>
      <c r="C15" s="12" t="inlineStr">
        <is>
          <t>Hỗn hợp nhựa rỗng thoát nước 12.5 (dày 4cm)</t>
        </is>
      </c>
      <c r="D15" s="12" t="inlineStr">
        <is>
          <t>BTN rỗng thoát nước t=4cm</t>
        </is>
      </c>
      <c r="E15" s="11" t="inlineStr">
        <is>
          <t>m²</t>
        </is>
      </c>
      <c r="F15" s="13" t="n">
        <v>193.98</v>
      </c>
      <c r="G15" s="13" t="n">
        <v>193.98</v>
      </c>
      <c r="H15" s="13">
        <f>E15+F15</f>
        <v/>
      </c>
      <c r="I15" s="12" t="inlineStr">
        <is>
          <t>Lớp mặt trên cùng đường vuốt nối</t>
        </is>
      </c>
    </row>
    <row r="16">
      <c r="B16" s="11" t="inlineStr">
        <is>
          <t>11</t>
        </is>
      </c>
      <c r="C16" s="12" t="inlineStr">
        <is>
          <t>Bê tông nhựa chặt 19 (dày 7cm)</t>
        </is>
      </c>
      <c r="D16" s="12" t="inlineStr">
        <is>
          <t>BTNC 19 t=7cm</t>
        </is>
      </c>
      <c r="E16" s="11" t="inlineStr">
        <is>
          <t>m²</t>
        </is>
      </c>
      <c r="F16" s="13" t="n">
        <v>193.98</v>
      </c>
      <c r="G16" s="13" t="n">
        <v>193.98</v>
      </c>
      <c r="H16" s="13">
        <f>E16+F16</f>
        <v/>
      </c>
      <c r="I16" s="12" t="inlineStr">
        <is>
          <t>Lớp mặt dưới đường vuốt nối 10m</t>
        </is>
      </c>
    </row>
    <row r="17">
      <c r="B17" s="11" t="inlineStr">
        <is>
          <t>12</t>
        </is>
      </c>
      <c r="C17" s="12" t="inlineStr">
        <is>
          <t>Hỗn hợp đá chặt gia cố nhựa nóng 25 (dày 8cm)</t>
        </is>
      </c>
      <c r="D17" s="12" t="inlineStr">
        <is>
          <t>Đá đen gia cố nhựa t=8cm</t>
        </is>
      </c>
      <c r="E17" s="11" t="inlineStr">
        <is>
          <t>m³</t>
        </is>
      </c>
      <c r="F17" s="13" t="n">
        <v>15.52</v>
      </c>
      <c r="G17" s="13" t="n">
        <v>15.52</v>
      </c>
      <c r="H17" s="13">
        <f>E17+F17</f>
        <v/>
      </c>
      <c r="I17" s="12" t="inlineStr">
        <is>
          <t>Lớp móng trên gia cố nhựa nóng</t>
        </is>
      </c>
    </row>
    <row r="18">
      <c r="B18" s="11" t="inlineStr">
        <is>
          <t>13</t>
        </is>
      </c>
      <c r="C18" s="12" t="inlineStr">
        <is>
          <t>Cấp phối đá dăm gia cố xi măng (dày 14cm)</t>
        </is>
      </c>
      <c r="D18" s="12" t="inlineStr">
        <is>
          <t>CPĐD gia cố XM 5%</t>
        </is>
      </c>
      <c r="E18" s="11" t="inlineStr">
        <is>
          <t>m³</t>
        </is>
      </c>
      <c r="F18" s="13" t="n">
        <v>26.57</v>
      </c>
      <c r="G18" s="13" t="n">
        <v>26.89</v>
      </c>
      <c r="H18" s="13">
        <f>E18+F18</f>
        <v/>
      </c>
      <c r="I18" s="12" t="inlineStr">
        <is>
          <t>Lớp móng bán cứng đường đầu cầu</t>
        </is>
      </c>
    </row>
    <row r="19">
      <c r="B19" s="11" t="inlineStr">
        <is>
          <t>14</t>
        </is>
      </c>
      <c r="C19" s="12" t="inlineStr">
        <is>
          <t>Lớp móng dưới CPĐD loại 1 (dày 30cm)</t>
        </is>
      </c>
      <c r="D19" s="12" t="inlineStr">
        <is>
          <t>CPĐD loại 1 đầm chặt K98</t>
        </is>
      </c>
      <c r="E19" s="11" t="inlineStr">
        <is>
          <t>m³</t>
        </is>
      </c>
      <c r="F19" s="13" t="n">
        <v>38.11</v>
      </c>
      <c r="G19" s="13" t="n">
        <v>44.64</v>
      </c>
      <c r="H19" s="13">
        <f>E19+F19</f>
        <v/>
      </c>
      <c r="I19" s="12" t="inlineStr">
        <is>
          <t>Lớp móng dưới cấp phối đá dăm</t>
        </is>
      </c>
    </row>
    <row r="20">
      <c r="B20" s="11" t="inlineStr">
        <is>
          <t>15</t>
        </is>
      </c>
      <c r="C20" s="12" t="inlineStr">
        <is>
          <t>Vật liệu dạng hạt đắp lòng mố K98</t>
        </is>
      </c>
      <c r="D20" s="12" t="inlineStr">
        <is>
          <t>Hạt chọn lọc đầm nén K98</t>
        </is>
      </c>
      <c r="E20" s="11" t="inlineStr">
        <is>
          <t>m³</t>
        </is>
      </c>
      <c r="F20" s="13" t="n">
        <v>506.48</v>
      </c>
      <c r="G20" s="13" t="n">
        <v>506.48</v>
      </c>
      <c r="H20" s="13">
        <f>E20+F20</f>
        <v/>
      </c>
      <c r="I20" s="12" t="inlineStr">
        <is>
          <t>Vật liệu thoát nước giảm tải mang mố M1, M2</t>
        </is>
      </c>
    </row>
    <row r="21">
      <c r="G21" s="21" t="inlineStr">
        <is>
          <t>ĐÁ HỘC XÂY VỮA M100 (M3):</t>
        </is>
      </c>
      <c r="H21" s="22">
        <f>H6</f>
        <v/>
      </c>
    </row>
    <row r="22">
      <c r="G22" s="21" t="inlineStr">
        <is>
          <t>TƯỜNG CHẮN BÊ TÔNG C15 (M3):</t>
        </is>
      </c>
      <c r="H22" s="22">
        <f>H9</f>
        <v/>
      </c>
    </row>
    <row r="23">
      <c r="G23" s="21" t="inlineStr">
        <is>
          <t>ÁO ĐƯỜNG VUỐT NỐI (M2):</t>
        </is>
      </c>
      <c r="H23" s="22">
        <f>H15</f>
        <v/>
      </c>
    </row>
    <row r="24">
      <c r="G24" s="21" t="inlineStr">
        <is>
          <t>VẬT LIỆU HẠT ĐẮP LÒNG MỐ (M3):</t>
        </is>
      </c>
      <c r="H24" s="22">
        <f>H20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07" customWidth="1" min="2" max="2"/>
    <col width="41" customWidth="1" min="3" max="3"/>
    <col width="47" customWidth="1" min="4" max="4"/>
    <col width="41" customWidth="1" min="5" max="5"/>
    <col width="12" customWidth="1" min="6" max="6"/>
    <col width="26" customWidth="1" min="7" max="7"/>
    <col width="24" customWidth="1" min="8" max="8"/>
    <col width="26" customWidth="1" min="9" max="9"/>
    <col width="55" customWidth="1" min="10" max="10"/>
  </cols>
  <sheetData>
    <row r="1"/>
    <row r="2">
      <c r="B2" s="1" t="inlineStr">
        <is>
          <t>BÓC TÁCH KHỐI LƯỢNG BIỆN PHÁP THI CÔNG &amp; PHỤ TRỢ CÔNG TRƯỜNG</t>
        </is>
      </c>
    </row>
    <row r="3">
      <c r="B3" s="2" t="inlineStr">
        <is>
          <t>Bệ đúc dầm Super-T tại bãi đúc, Đường công vụ DCV6/DCV6A, Xe lao dầm 130T &amp; Sàn công tác, đà giáo mố trụ</t>
        </is>
      </c>
    </row>
    <row r="4"/>
    <row r="5">
      <c r="B5" s="8" t="inlineStr">
        <is>
          <t>STT</t>
        </is>
      </c>
      <c r="C5" s="8" t="inlineStr">
        <is>
          <t>Hạng mục Biện pháp thi công</t>
        </is>
      </c>
      <c r="D5" s="8" t="inlineStr">
        <is>
          <t>Nội dung cấu kiện phụ trợ</t>
        </is>
      </c>
      <c r="E5" s="8" t="inlineStr">
        <is>
          <t>Quy cách kỹ thuật</t>
        </is>
      </c>
      <c r="F5" s="8" t="inlineStr">
        <is>
          <t>ĐVT</t>
        </is>
      </c>
      <c r="G5" s="8" t="inlineStr">
        <is>
          <t>Khối lượng Bê tông (m³)</t>
        </is>
      </c>
      <c r="H5" s="8" t="inlineStr">
        <is>
          <t>Khối lượng Thép (Tấn)</t>
        </is>
      </c>
      <c r="I5" s="8" t="inlineStr">
        <is>
          <t>Khối lượng Đào đắp (m³)</t>
        </is>
      </c>
      <c r="J5" s="8" t="inlineStr">
        <is>
          <t>Ghi chú &amp; Phương thức luân chuyển</t>
        </is>
      </c>
    </row>
    <row r="6">
      <c r="B6" s="11" t="inlineStr">
        <is>
          <t>1</t>
        </is>
      </c>
      <c r="C6" s="12" t="inlineStr">
        <is>
          <t>Bệ đúc Dầm Super-T (04 bệ đúc)</t>
        </is>
      </c>
      <c r="D6" s="12" t="inlineStr">
        <is>
          <t>Bê tông bệ đúc, đầu bệ, thanh giằng, ray</t>
        </is>
      </c>
      <c r="E6" s="12" t="inlineStr">
        <is>
          <t>BT C20/C25, thép D20, thép 2U120</t>
        </is>
      </c>
      <c r="F6" s="11" t="inlineStr">
        <is>
          <t>Bệ</t>
        </is>
      </c>
      <c r="G6" s="13" t="n">
        <v>68.40000000000001</v>
      </c>
      <c r="H6" s="16" t="n">
        <v>6.477</v>
      </c>
      <c r="I6" s="13" t="n">
        <v>123.6</v>
      </c>
      <c r="J6" s="12" t="inlineStr">
        <is>
          <t>Đào đất bãi đúc: 123.6 m³, đệm đá dăm: 101.5 m³</t>
        </is>
      </c>
    </row>
    <row r="7">
      <c r="B7" s="11" t="inlineStr">
        <is>
          <t>2</t>
        </is>
      </c>
      <c r="C7" s="12" t="inlineStr">
        <is>
          <t>Đường công vụ tiếp cận DCV6</t>
        </is>
      </c>
      <c r="D7" s="12" t="inlineStr">
        <is>
          <t>Nền đường công vụ vào mố M1 và trụ T1</t>
        </is>
      </c>
      <c r="E7" s="12" t="inlineStr">
        <is>
          <t>Đào đắp nền, CPĐD loại II</t>
        </is>
      </c>
      <c r="F7" s="11" t="inlineStr">
        <is>
          <t>m</t>
        </is>
      </c>
      <c r="G7" s="13" t="n">
        <v>0</v>
      </c>
      <c r="H7" s="16" t="n">
        <v>0</v>
      </c>
      <c r="I7" s="13" t="n">
        <v>3272.8</v>
      </c>
      <c r="J7" s="12" t="inlineStr">
        <is>
          <t>Đào nền: 2,860.5 m³, Đắp nền: 412.3 m³, CPĐD: 345 m³</t>
        </is>
      </c>
    </row>
    <row r="8">
      <c r="B8" s="11" t="inlineStr">
        <is>
          <t>3</t>
        </is>
      </c>
      <c r="C8" s="12" t="inlineStr">
        <is>
          <t>Đường công vụ tiếp cận DCV6A</t>
        </is>
      </c>
      <c r="D8" s="12" t="inlineStr">
        <is>
          <t>Nền đường công vụ vào trụ T2 và mố M2</t>
        </is>
      </c>
      <c r="E8" s="12" t="inlineStr">
        <is>
          <t>Đào nền, CPĐD loại II</t>
        </is>
      </c>
      <c r="F8" s="11" t="inlineStr">
        <is>
          <t>m</t>
        </is>
      </c>
      <c r="G8" s="13" t="n">
        <v>0</v>
      </c>
      <c r="H8" s="16" t="n">
        <v>0</v>
      </c>
      <c r="I8" s="13" t="n">
        <v>1940.2</v>
      </c>
      <c r="J8" s="12" t="inlineStr">
        <is>
          <t>Đào nền: 1,940.2 m³, CPĐD loại II: 280 m³</t>
        </is>
      </c>
    </row>
    <row r="9">
      <c r="B9" s="11" t="inlineStr">
        <is>
          <t>4</t>
        </is>
      </c>
      <c r="C9" s="12" t="inlineStr">
        <is>
          <t>Giá lao dầm 130T &amp; Xe lao</t>
        </is>
      </c>
      <c r="D9" s="12" t="inlineStr">
        <is>
          <t>Hệ dầm giàn lao lắp dầm Super-T 38.2m</t>
        </is>
      </c>
      <c r="E9" s="12" t="inlineStr">
        <is>
          <t>Thép hình kết cấu định hình</t>
        </is>
      </c>
      <c r="F9" s="11" t="inlineStr">
        <is>
          <t>Bộ</t>
        </is>
      </c>
      <c r="G9" s="13" t="n">
        <v>0</v>
      </c>
      <c r="H9" s="16" t="n">
        <v>78.883</v>
      </c>
      <c r="I9" s="13" t="n">
        <v>0</v>
      </c>
      <c r="J9" s="12" t="inlineStr">
        <is>
          <t>1 bộ giá lao 130T luân chuyển toàn tuyến</t>
        </is>
      </c>
    </row>
    <row r="10">
      <c r="B10" s="11" t="inlineStr">
        <is>
          <t>5</t>
        </is>
      </c>
      <c r="C10" s="12" t="inlineStr">
        <is>
          <t>Đường lao dầm trên nhịp &amp; đầu cầu</t>
        </is>
      </c>
      <c r="D10" s="12" t="inlineStr">
        <is>
          <t>Ray dẫn hướng P43, tà vẹt gỗ, xe goòng</t>
        </is>
      </c>
      <c r="E10" s="12" t="inlineStr">
        <is>
          <t>Ray thép P43 (293m), tà vẹt gỗ (268 c)</t>
        </is>
      </c>
      <c r="F10" s="11" t="inlineStr">
        <is>
          <t>Tấn</t>
        </is>
      </c>
      <c r="G10" s="13" t="n">
        <v>0</v>
      </c>
      <c r="H10" s="16" t="n">
        <v>13.068</v>
      </c>
      <c r="I10" s="13" t="n">
        <v>0</v>
      </c>
      <c r="J10" s="12" t="inlineStr">
        <is>
          <t>Ray đầu cầu 108m + ray trên nhịp 185m</t>
        </is>
      </c>
    </row>
    <row r="11">
      <c r="B11" s="11" t="inlineStr">
        <is>
          <t>6</t>
        </is>
      </c>
      <c r="C11" s="12" t="inlineStr">
        <is>
          <t>Sàn công tác thi công thân mố M1, M2</t>
        </is>
      </c>
      <c r="D11" s="12" t="inlineStr">
        <is>
          <t>Khung thép hình định hình treo</t>
        </is>
      </c>
      <c r="E11" s="12" t="inlineStr">
        <is>
          <t>Thép hình [100, L50x5, sàn lưới thép</t>
        </is>
      </c>
      <c r="F11" s="11" t="inlineStr">
        <is>
          <t>Tấn</t>
        </is>
      </c>
      <c r="G11" s="13" t="n">
        <v>0</v>
      </c>
      <c r="H11" s="16" t="n">
        <v>1.25</v>
      </c>
      <c r="I11" s="13" t="n">
        <v>0</v>
      </c>
      <c r="J11" s="12" t="inlineStr">
        <is>
          <t>Hệ giàn giáo bao che an toàn lao động</t>
        </is>
      </c>
    </row>
    <row r="12">
      <c r="B12" s="11" t="inlineStr">
        <is>
          <t>7</t>
        </is>
      </c>
      <c r="C12" s="12" t="inlineStr">
        <is>
          <t>Sàn công tác thi công thân trụ T1, T2</t>
        </is>
      </c>
      <c r="D12" s="12" t="inlineStr">
        <is>
          <t>Khung giáo leo chịu lực thi công thân trụ</t>
        </is>
      </c>
      <c r="E12" s="12" t="inlineStr">
        <is>
          <t>Thép hình I100, L50x5, cùm khóa</t>
        </is>
      </c>
      <c r="F12" s="11" t="inlineStr">
        <is>
          <t>Tấn</t>
        </is>
      </c>
      <c r="G12" s="13" t="n">
        <v>0</v>
      </c>
      <c r="H12" s="16" t="n">
        <v>2.85</v>
      </c>
      <c r="I12" s="13" t="n">
        <v>0</v>
      </c>
      <c r="J12" s="12" t="inlineStr">
        <is>
          <t>Thi công trụ ovan cao 14m và 18m</t>
        </is>
      </c>
    </row>
    <row r="13">
      <c r="B13" s="11" t="inlineStr">
        <is>
          <t>8</t>
        </is>
      </c>
      <c r="C13" s="12" t="inlineStr">
        <is>
          <t>Hệ đà giáo đỡ xà mũ trụ T1, T2</t>
        </is>
      </c>
      <c r="D13" s="12" t="inlineStr">
        <is>
          <t>Dầm đỡ I600, I300, thanh chống U100</t>
        </is>
      </c>
      <c r="E13" s="12" t="inlineStr">
        <is>
          <t>Thép hình cường độ cao I600/I300</t>
        </is>
      </c>
      <c r="F13" s="11" t="inlineStr">
        <is>
          <t>Tấn</t>
        </is>
      </c>
      <c r="G13" s="13" t="n">
        <v>0</v>
      </c>
      <c r="H13" s="16" t="n">
        <v>34.55</v>
      </c>
      <c r="I13" s="13" t="n">
        <v>0</v>
      </c>
      <c r="J13" s="12" t="inlineStr">
        <is>
          <t>Chịu tải trọng bê tông xà mũ đúc tại chỗ</t>
        </is>
      </c>
    </row>
    <row r="14">
      <c r="B14" s="11" t="inlineStr">
        <is>
          <t>9</t>
        </is>
      </c>
      <c r="C14" s="12" t="inlineStr">
        <is>
          <t>Xe đúc gờ lan can &amp; sàn thao tác BMC</t>
        </is>
      </c>
      <c r="D14" s="12" t="inlineStr">
        <is>
          <t>Hệ xe đúc di động trượt trên ray bản mặt cầu</t>
        </is>
      </c>
      <c r="E14" s="12" t="inlineStr">
        <is>
          <t>Khung thép định hình, tăng đơ</t>
        </is>
      </c>
      <c r="F14" s="11" t="inlineStr">
        <is>
          <t>Bộ</t>
        </is>
      </c>
      <c r="G14" s="13" t="n">
        <v>0</v>
      </c>
      <c r="H14" s="16" t="n">
        <v>4.5</v>
      </c>
      <c r="I14" s="13" t="n">
        <v>0</v>
      </c>
      <c r="J14" s="12" t="inlineStr">
        <is>
          <t>Thi công đổ bê tông 40 đốt gờ lan can</t>
        </is>
      </c>
    </row>
    <row r="15">
      <c r="B15" s="17" t="inlineStr"/>
      <c r="C15" s="18" t="inlineStr">
        <is>
          <t>TỔNG CỘNG BIỆN PHÁP THI CÔNG &amp; PHỤ TRỢ</t>
        </is>
      </c>
      <c r="D15" s="17" t="n"/>
      <c r="E15" s="17" t="n"/>
      <c r="F15" s="17" t="n"/>
      <c r="G15" s="20">
        <f>SUM(G6:G14)</f>
        <v/>
      </c>
      <c r="H15" s="23">
        <f>SUM(H6:H14)</f>
        <v/>
      </c>
      <c r="I15" s="20">
        <f>SUM(I6:I14)</f>
        <v/>
      </c>
      <c r="J15" s="17" t="n"/>
    </row>
  </sheetData>
  <mergeCells count="1">
    <mergeCell ref="C15:F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99" customWidth="1" min="2" max="2"/>
    <col width="13" customWidth="1" min="3" max="3"/>
    <col width="57" customWidth="1" min="4" max="4"/>
    <col width="42" customWidth="1" min="5" max="5"/>
    <col width="42" customWidth="1" min="6" max="6"/>
    <col width="44" customWidth="1" min="7" max="7"/>
    <col width="32" customWidth="1" min="8" max="8"/>
  </cols>
  <sheetData>
    <row r="1"/>
    <row r="2">
      <c r="B2" s="1" t="inlineStr">
        <is>
          <t>BẢNG TIÊN LƯỢNG TỔNG HỢP TOÀN BỘ CÔNG TRÌNH (MASTER BILL OF QUANTITIES)</t>
        </is>
      </c>
    </row>
    <row r="3">
      <c r="B3" s="2" t="inlineStr">
        <is>
          <t>Phân loại WBS chuẩn Bộ GTVT / Bộ Xây dựng | 100% Công thức động liên kết từ 5 phân hệ công trình</t>
        </is>
      </c>
    </row>
    <row r="4"/>
    <row r="5">
      <c r="B5" s="8" t="inlineStr">
        <is>
          <t>STT</t>
        </is>
      </c>
      <c r="C5" s="8" t="inlineStr">
        <is>
          <t>Mã hiệu ĐM</t>
        </is>
      </c>
      <c r="D5" s="8" t="inlineStr">
        <is>
          <t>Hạng mục công việc / Cấu kiện</t>
        </is>
      </c>
      <c r="E5" s="8" t="inlineStr">
        <is>
          <t>Quy cách vật liệu / Tiêu chuẩn kỹ thuật</t>
        </is>
      </c>
      <c r="F5" s="8" t="inlineStr">
        <is>
          <t>ĐVT</t>
        </is>
      </c>
      <c r="G5" s="8" t="inlineStr">
        <is>
          <t>Khối lượng Thiết kế (365 Dynamic Formula)</t>
        </is>
      </c>
      <c r="H5" s="8" t="inlineStr">
        <is>
          <t>Ghi chú phân hệ &amp; Sheet nguồn</t>
        </is>
      </c>
    </row>
    <row r="6">
      <c r="B6" s="9" t="inlineStr">
        <is>
          <t>A. PHẦN I: KẾT CẤU PHẦN TRÊN (SUPERSTRUCTURE)</t>
        </is>
      </c>
      <c r="C6" s="10" t="n"/>
      <c r="D6" s="10" t="n"/>
      <c r="E6" s="10" t="n"/>
      <c r="F6" s="10" t="n"/>
      <c r="G6" s="10" t="n"/>
      <c r="H6" s="10" t="n"/>
    </row>
    <row r="7">
      <c r="B7" s="11" t="inlineStr">
        <is>
          <t>1</t>
        </is>
      </c>
      <c r="C7" s="11" t="inlineStr">
        <is>
          <t>AF.22110</t>
        </is>
      </c>
      <c r="D7" s="12" t="inlineStr">
        <is>
          <t>Bê tông dầm chủ Super-T 38.2m (15 phiến)</t>
        </is>
      </c>
      <c r="E7" s="12" t="inlineStr">
        <is>
          <t>Bê tông C45/50</t>
        </is>
      </c>
      <c r="F7" s="11" t="inlineStr">
        <is>
          <t>m³</t>
        </is>
      </c>
      <c r="G7" s="13">
        <f>'01_KET_CAU_NHIP_SUPER_T'!H21</f>
        <v/>
      </c>
      <c r="H7" s="12" t="inlineStr">
        <is>
          <t>Sheet 01_KET_CAU_NHIP</t>
        </is>
      </c>
    </row>
    <row r="8">
      <c r="B8" s="11" t="inlineStr">
        <is>
          <t>2</t>
        </is>
      </c>
      <c r="C8" s="11" t="inlineStr">
        <is>
          <t>AF.61110</t>
        </is>
      </c>
      <c r="D8" s="12" t="inlineStr">
        <is>
          <t>Cáp DƯL 15.2mm kéo trước trong dầm chủ</t>
        </is>
      </c>
      <c r="E8" s="12" t="inlineStr">
        <is>
          <t>ASTM A416 Grade 270</t>
        </is>
      </c>
      <c r="F8" s="11" t="inlineStr">
        <is>
          <t>Tấn</t>
        </is>
      </c>
      <c r="G8" s="13">
        <f>'01_KET_CAU_NHIP_SUPER_T'!H22</f>
        <v/>
      </c>
      <c r="H8" s="12" t="inlineStr">
        <is>
          <t>Sheet 01_KET_CAU_NHIP</t>
        </is>
      </c>
    </row>
    <row r="9">
      <c r="B9" s="11" t="inlineStr">
        <is>
          <t>3</t>
        </is>
      </c>
      <c r="C9" s="11" t="inlineStr">
        <is>
          <t>AF.61120</t>
        </is>
      </c>
      <c r="D9" s="12" t="inlineStr">
        <is>
          <t>Cốt thép thường thân dầm Super-T (BBS 23 mã)</t>
        </is>
      </c>
      <c r="E9" s="12" t="inlineStr">
        <is>
          <t>CB400-V (D&lt;=18 &amp; D&gt;18)</t>
        </is>
      </c>
      <c r="F9" s="11" t="inlineStr">
        <is>
          <t>Tấn</t>
        </is>
      </c>
      <c r="G9" s="13">
        <f>'01_KET_CAU_NHIP_SUPER_T'!H23</f>
        <v/>
      </c>
      <c r="H9" s="12" t="inlineStr">
        <is>
          <t>Sheet 01_KET_CAU_NHIP</t>
        </is>
      </c>
    </row>
    <row r="10">
      <c r="B10" s="11" t="inlineStr">
        <is>
          <t>4</t>
        </is>
      </c>
      <c r="C10" s="11" t="inlineStr">
        <is>
          <t>AF.81110</t>
        </is>
      </c>
      <c r="D10" s="12" t="inlineStr">
        <is>
          <t>Ván khuôn dầm chủ Super-T 38.2m</t>
        </is>
      </c>
      <c r="E10" s="12" t="inlineStr">
        <is>
          <t>Ván khuôn thép định hình</t>
        </is>
      </c>
      <c r="F10" s="11" t="inlineStr">
        <is>
          <t>m²</t>
        </is>
      </c>
      <c r="G10" s="13">
        <f>'01_KET_CAU_NHIP_SUPER_T'!H24</f>
        <v/>
      </c>
      <c r="H10" s="12" t="inlineStr">
        <is>
          <t>Sheet 01_KET_CAU_NHIP</t>
        </is>
      </c>
    </row>
    <row r="11">
      <c r="B11" s="11" t="inlineStr">
        <is>
          <t>5</t>
        </is>
      </c>
      <c r="C11" s="11" t="inlineStr">
        <is>
          <t>AF.22120</t>
        </is>
      </c>
      <c r="D11" s="12" t="inlineStr">
        <is>
          <t>Bê tông dầm ngang đúc tại chỗ</t>
        </is>
      </c>
      <c r="E11" s="12" t="inlineStr">
        <is>
          <t>Bê tông C35/45</t>
        </is>
      </c>
      <c r="F11" s="11" t="inlineStr">
        <is>
          <t>m³</t>
        </is>
      </c>
      <c r="G11" s="13">
        <f>'01_KET_CAU_NHIP_SUPER_T'!H25</f>
        <v/>
      </c>
      <c r="H11" s="12" t="inlineStr">
        <is>
          <t>Sheet 01_KET_CAU_NHIP</t>
        </is>
      </c>
    </row>
    <row r="12">
      <c r="B12" s="11" t="inlineStr">
        <is>
          <t>6</t>
        </is>
      </c>
      <c r="C12" s="11" t="inlineStr">
        <is>
          <t>AF.22130</t>
        </is>
      </c>
      <c r="D12" s="12" t="inlineStr">
        <is>
          <t>Bê tông bản mặt cầu &amp; bản liên tục nhiệt</t>
        </is>
      </c>
      <c r="E12" s="12" t="inlineStr">
        <is>
          <t>Bê tông C35/45</t>
        </is>
      </c>
      <c r="F12" s="11" t="inlineStr">
        <is>
          <t>m³</t>
        </is>
      </c>
      <c r="G12" s="13">
        <f>'01_KET_CAU_NHIP_SUPER_T'!H26</f>
        <v/>
      </c>
      <c r="H12" s="12" t="inlineStr">
        <is>
          <t>Sheet 01_KET_CAU_NHIP</t>
        </is>
      </c>
    </row>
    <row r="13">
      <c r="B13" s="11" t="inlineStr">
        <is>
          <t>7</t>
        </is>
      </c>
      <c r="C13" s="11" t="inlineStr">
        <is>
          <t>AF.61130</t>
        </is>
      </c>
      <c r="D13" s="12" t="inlineStr">
        <is>
          <t>Cốt thép dầm ngang, BMC &amp; bản liên tục nhiệt</t>
        </is>
      </c>
      <c r="E13" s="12" t="inlineStr">
        <is>
          <t>CB400-V</t>
        </is>
      </c>
      <c r="F13" s="11" t="inlineStr">
        <is>
          <t>Tấn</t>
        </is>
      </c>
      <c r="G13" s="13">
        <f>'01_KET_CAU_NHIP_SUPER_T'!H27</f>
        <v/>
      </c>
      <c r="H13" s="12" t="inlineStr">
        <is>
          <t>Sheet 01_KET_CAU_NHIP</t>
        </is>
      </c>
    </row>
    <row r="14">
      <c r="B14" s="11" t="inlineStr">
        <is>
          <t>8</t>
        </is>
      </c>
      <c r="C14" s="11" t="inlineStr">
        <is>
          <t>AF.22140</t>
        </is>
      </c>
      <c r="D14" s="12" t="inlineStr">
        <is>
          <t>Bê tông tấm ván khuôn đúc sẵn (510 tấm)</t>
        </is>
      </c>
      <c r="E14" s="12" t="inlineStr">
        <is>
          <t>Bê tông C25/30</t>
        </is>
      </c>
      <c r="F14" s="11" t="inlineStr">
        <is>
          <t>m³</t>
        </is>
      </c>
      <c r="G14" s="13">
        <f>'01_KET_CAU_NHIP_SUPER_T'!H28</f>
        <v/>
      </c>
      <c r="H14" s="12" t="inlineStr">
        <is>
          <t>Sheet 01_KET_CAU_NHIP</t>
        </is>
      </c>
    </row>
    <row r="15">
      <c r="B15" s="11" t="inlineStr">
        <is>
          <t>9</t>
        </is>
      </c>
      <c r="C15" s="11" t="inlineStr">
        <is>
          <t>AD.21110</t>
        </is>
      </c>
      <c r="D15" s="12" t="inlineStr">
        <is>
          <t>Bê tông nhựa chặt C16 mặt cầu dày 7cm</t>
        </is>
      </c>
      <c r="E15" s="12" t="inlineStr">
        <is>
          <t>BTN C16 &amp; Chống thấm</t>
        </is>
      </c>
      <c r="F15" s="11" t="inlineStr">
        <is>
          <t>m²</t>
        </is>
      </c>
      <c r="G15" s="13">
        <f>'01_KET_CAU_NHIP_SUPER_T'!H29</f>
        <v/>
      </c>
      <c r="H15" s="12" t="inlineStr">
        <is>
          <t>Sheet 01_KET_CAU_NHIP</t>
        </is>
      </c>
    </row>
    <row r="16">
      <c r="B16" s="9" t="inlineStr">
        <is>
          <t>B. PHẦN II: KẾT CẤU PHẦN DƯỚI (SUBSTRUCTURE)</t>
        </is>
      </c>
      <c r="C16" s="10" t="n"/>
      <c r="D16" s="10" t="n"/>
      <c r="E16" s="10" t="n"/>
      <c r="F16" s="10" t="n"/>
      <c r="G16" s="10" t="n"/>
      <c r="H16" s="10" t="n"/>
    </row>
    <row r="17">
      <c r="B17" s="11" t="inlineStr">
        <is>
          <t>10</t>
        </is>
      </c>
      <c r="C17" s="11" t="inlineStr">
        <is>
          <t>AF.21110</t>
        </is>
      </c>
      <c r="D17" s="12" t="inlineStr">
        <is>
          <t>Bê tông Mố M1 &amp; M2 (Bệ, thân, tường đỉnh, cánh)</t>
        </is>
      </c>
      <c r="E17" s="12" t="inlineStr">
        <is>
          <t>Bê tông C30/37</t>
        </is>
      </c>
      <c r="F17" s="11" t="inlineStr">
        <is>
          <t>m³</t>
        </is>
      </c>
      <c r="G17" s="13">
        <f>'02_KET_CAU_HA_BO_MO_TRU'!G21</f>
        <v/>
      </c>
      <c r="H17" s="12" t="inlineStr">
        <is>
          <t>Sheet 02_HA_BO</t>
        </is>
      </c>
    </row>
    <row r="18">
      <c r="B18" s="11" t="inlineStr">
        <is>
          <t>11</t>
        </is>
      </c>
      <c r="C18" s="11" t="inlineStr">
        <is>
          <t>AF.61210</t>
        </is>
      </c>
      <c r="D18" s="12" t="inlineStr">
        <is>
          <t>Cốt thép Mố M1 &amp; M2</t>
        </is>
      </c>
      <c r="E18" s="12" t="inlineStr">
        <is>
          <t>CB400-V</t>
        </is>
      </c>
      <c r="F18" s="11" t="inlineStr">
        <is>
          <t>Tấn</t>
        </is>
      </c>
      <c r="G18" s="13">
        <f>'02_KET_CAU_HA_BO_MO_TRU'!G22</f>
        <v/>
      </c>
      <c r="H18" s="12" t="inlineStr">
        <is>
          <t>Sheet 02_HA_BO</t>
        </is>
      </c>
    </row>
    <row r="19">
      <c r="B19" s="11" t="inlineStr">
        <is>
          <t>12</t>
        </is>
      </c>
      <c r="C19" s="11" t="inlineStr">
        <is>
          <t>AF.21120</t>
        </is>
      </c>
      <c r="D19" s="12" t="inlineStr">
        <is>
          <t>Bê tông Trụ T1 &amp; T2 (Bệ trụ, thân ovan, xà mũ)</t>
        </is>
      </c>
      <c r="E19" s="12" t="inlineStr">
        <is>
          <t>Bê tông C30/37</t>
        </is>
      </c>
      <c r="F19" s="11" t="inlineStr">
        <is>
          <t>m³</t>
        </is>
      </c>
      <c r="G19" s="13">
        <f>'02_KET_CAU_HA_BO_MO_TRU'!G23</f>
        <v/>
      </c>
      <c r="H19" s="12" t="inlineStr">
        <is>
          <t>Sheet 02_HA_BO</t>
        </is>
      </c>
    </row>
    <row r="20">
      <c r="B20" s="11" t="inlineStr">
        <is>
          <t>13</t>
        </is>
      </c>
      <c r="C20" s="11" t="inlineStr">
        <is>
          <t>AF.61220</t>
        </is>
      </c>
      <c r="D20" s="12" t="inlineStr">
        <is>
          <t>Cốt thép Trụ T1 &amp; T2</t>
        </is>
      </c>
      <c r="E20" s="12" t="inlineStr">
        <is>
          <t>CB400-V</t>
        </is>
      </c>
      <c r="F20" s="11" t="inlineStr">
        <is>
          <t>Tấn</t>
        </is>
      </c>
      <c r="G20" s="13">
        <f>'02_KET_CAU_HA_BO_MO_TRU'!G24</f>
        <v/>
      </c>
      <c r="H20" s="12" t="inlineStr">
        <is>
          <t>Sheet 02_HA_BO</t>
        </is>
      </c>
    </row>
    <row r="21">
      <c r="B21" s="11" t="inlineStr">
        <is>
          <t>14</t>
        </is>
      </c>
      <c r="C21" s="11" t="inlineStr">
        <is>
          <t>AC.11110</t>
        </is>
      </c>
      <c r="D21" s="12" t="inlineStr">
        <is>
          <t>Khoan tạo lỗ &amp; Bê tông cọc khoan nhồi D1200mm (26 cọc)</t>
        </is>
      </c>
      <c r="E21" s="12" t="inlineStr">
        <is>
          <t>Bê tông C30/37 rút tremie</t>
        </is>
      </c>
      <c r="F21" s="11" t="inlineStr">
        <is>
          <t>m³</t>
        </is>
      </c>
      <c r="G21" s="13">
        <f>'02_KET_CAU_HA_BO_MO_TRU'!G25</f>
        <v/>
      </c>
      <c r="H21" s="12" t="inlineStr">
        <is>
          <t>Sheet 02_HA_BO</t>
        </is>
      </c>
    </row>
    <row r="22">
      <c r="B22" s="11" t="inlineStr">
        <is>
          <t>15</t>
        </is>
      </c>
      <c r="C22" s="11" t="inlineStr">
        <is>
          <t>AF.61230</t>
        </is>
      </c>
      <c r="D22" s="12" t="inlineStr">
        <is>
          <t>Cốt thép cọc khoan nhồi D1200mm</t>
        </is>
      </c>
      <c r="E22" s="12" t="inlineStr">
        <is>
          <t>CB400-V</t>
        </is>
      </c>
      <c r="F22" s="11" t="inlineStr">
        <is>
          <t>Tấn</t>
        </is>
      </c>
      <c r="G22" s="13">
        <f>'02_KET_CAU_HA_BO_MO_TRU'!G26</f>
        <v/>
      </c>
      <c r="H22" s="12" t="inlineStr">
        <is>
          <t>Sheet 02_HA_BO</t>
        </is>
      </c>
    </row>
    <row r="23">
      <c r="B23" s="9" t="inlineStr">
        <is>
          <t>C. PHẦN III: KẾT CẤU PHỤ TRỢ (MISCELLANEOUS)</t>
        </is>
      </c>
      <c r="C23" s="10" t="n"/>
      <c r="D23" s="10" t="n"/>
      <c r="E23" s="10" t="n"/>
      <c r="F23" s="10" t="n"/>
      <c r="G23" s="10" t="n"/>
      <c r="H23" s="10" t="n"/>
    </row>
    <row r="24">
      <c r="B24" s="11" t="inlineStr">
        <is>
          <t>16</t>
        </is>
      </c>
      <c r="C24" s="11" t="inlineStr">
        <is>
          <t>AF.21130</t>
        </is>
      </c>
      <c r="D24" s="12" t="inlineStr">
        <is>
          <t>Bê tông bản quá độ mố M1 &amp; M2</t>
        </is>
      </c>
      <c r="E24" s="12" t="inlineStr">
        <is>
          <t>Bê tông C25/30</t>
        </is>
      </c>
      <c r="F24" s="11" t="inlineStr">
        <is>
          <t>m³</t>
        </is>
      </c>
      <c r="G24" s="13">
        <f>'03_KET_CAU_PHU_TRO_MISC'!G17</f>
        <v/>
      </c>
      <c r="H24" s="12" t="inlineStr">
        <is>
          <t>Sheet 03_PHU_TRO</t>
        </is>
      </c>
    </row>
    <row r="25">
      <c r="B25" s="11" t="inlineStr">
        <is>
          <t>17</t>
        </is>
      </c>
      <c r="C25" s="11" t="inlineStr">
        <is>
          <t>AF.21140</t>
        </is>
      </c>
      <c r="D25" s="12" t="inlineStr">
        <is>
          <t>Bê tông gờ lan can</t>
        </is>
      </c>
      <c r="E25" s="12" t="inlineStr">
        <is>
          <t>Bê tông C25/30</t>
        </is>
      </c>
      <c r="F25" s="11" t="inlineStr">
        <is>
          <t>m³</t>
        </is>
      </c>
      <c r="G25" s="13">
        <f>'03_KET_CAU_PHU_TRO_MISC'!G18</f>
        <v/>
      </c>
      <c r="H25" s="12" t="inlineStr">
        <is>
          <t>Sheet 03_PHU_TRO</t>
        </is>
      </c>
    </row>
    <row r="26">
      <c r="B26" s="11" t="inlineStr">
        <is>
          <t>18</t>
        </is>
      </c>
      <c r="C26" s="11" t="inlineStr">
        <is>
          <t>AF.61310</t>
        </is>
      </c>
      <c r="D26" s="12" t="inlineStr">
        <is>
          <t>Cốt thép bản quá độ &amp; gờ lan can</t>
        </is>
      </c>
      <c r="E26" s="12" t="inlineStr">
        <is>
          <t>CB400-V</t>
        </is>
      </c>
      <c r="F26" s="11" t="inlineStr">
        <is>
          <t>Tấn</t>
        </is>
      </c>
      <c r="G26" s="13">
        <f>'03_KET_CAU_PHU_TRO_MISC'!G19</f>
        <v/>
      </c>
      <c r="H26" s="12" t="inlineStr">
        <is>
          <t>Sheet 03_PHU_TRO</t>
        </is>
      </c>
    </row>
    <row r="27">
      <c r="B27" s="11" t="inlineStr">
        <is>
          <t>19</t>
        </is>
      </c>
      <c r="C27" s="11" t="inlineStr">
        <is>
          <t>AG.11110</t>
        </is>
      </c>
      <c r="D27" s="12" t="inlineStr">
        <is>
          <t>Gối chậu Super-T đơn hướng &amp; song hướng</t>
        </is>
      </c>
      <c r="E27" s="12" t="inlineStr">
        <is>
          <t>Thép đúc &amp; PTFE</t>
        </is>
      </c>
      <c r="F27" s="11" t="inlineStr">
        <is>
          <t>Cái</t>
        </is>
      </c>
      <c r="G27" s="13">
        <f>'03_KET_CAU_PHU_TRO_MISC'!G20</f>
        <v/>
      </c>
      <c r="H27" s="12" t="inlineStr">
        <is>
          <t>Sheet 03_PHU_TRO</t>
        </is>
      </c>
    </row>
    <row r="28">
      <c r="B28" s="11" t="inlineStr">
        <is>
          <t>20</t>
        </is>
      </c>
      <c r="C28" s="11" t="inlineStr">
        <is>
          <t>AG.21110</t>
        </is>
      </c>
      <c r="D28" s="12" t="inlineStr">
        <is>
          <t>Khe co giãn răng lược WD230</t>
        </is>
      </c>
      <c r="E28" s="12" t="inlineStr">
        <is>
          <t>Thép mạ kẽm (2 khe x 12.25m)</t>
        </is>
      </c>
      <c r="F28" s="11" t="inlineStr">
        <is>
          <t>m</t>
        </is>
      </c>
      <c r="G28" s="13">
        <f>'03_KET_CAU_PHU_TRO_MISC'!G21</f>
        <v/>
      </c>
      <c r="H28" s="12" t="inlineStr">
        <is>
          <t>Sheet 03_PHU_TRO</t>
        </is>
      </c>
    </row>
    <row r="29">
      <c r="B29" s="11" t="inlineStr">
        <is>
          <t>21</t>
        </is>
      </c>
      <c r="C29" s="11" t="inlineStr">
        <is>
          <t>AG.31110</t>
        </is>
      </c>
      <c r="D29" s="12" t="inlineStr">
        <is>
          <t>Hè gang thu nước &amp; hệ thống thoát nước</t>
        </is>
      </c>
      <c r="E29" s="12" t="inlineStr">
        <is>
          <t>Gang xám &amp; uPVC D150</t>
        </is>
      </c>
      <c r="F29" s="11" t="inlineStr">
        <is>
          <t>Bộ</t>
        </is>
      </c>
      <c r="G29" s="13">
        <f>'03_KET_CAU_PHU_TRO_MISC'!G22</f>
        <v/>
      </c>
      <c r="H29" s="12" t="inlineStr">
        <is>
          <t>Sheet 03_PHU_TRO</t>
        </is>
      </c>
    </row>
    <row r="30">
      <c r="B30" s="9" t="inlineStr">
        <is>
          <t>D. PHẦN IV: ĐƯỜNG SAU MỐ, TỨ NÓN &amp; GIA CỐ</t>
        </is>
      </c>
      <c r="C30" s="10" t="n"/>
      <c r="D30" s="10" t="n"/>
      <c r="E30" s="10" t="n"/>
      <c r="F30" s="10" t="n"/>
      <c r="G30" s="10" t="n"/>
      <c r="H30" s="10" t="n"/>
    </row>
    <row r="31">
      <c r="B31" s="11" t="inlineStr">
        <is>
          <t>22</t>
        </is>
      </c>
      <c r="C31" s="11" t="inlineStr">
        <is>
          <t>AL.11110</t>
        </is>
      </c>
      <c r="D31" s="12" t="inlineStr">
        <is>
          <t>Đá hộc xây vữa VXM M100 kè tứ nón</t>
        </is>
      </c>
      <c r="E31" s="12" t="inlineStr">
        <is>
          <t>Đá hộc VXM M100</t>
        </is>
      </c>
      <c r="F31" s="11" t="inlineStr">
        <is>
          <t>m³</t>
        </is>
      </c>
      <c r="G31" s="13">
        <f>'04_DUONG_DAU_CAU_TU_NON'!H21</f>
        <v/>
      </c>
      <c r="H31" s="12" t="inlineStr">
        <is>
          <t>Sheet 04_TU_NON</t>
        </is>
      </c>
    </row>
    <row r="32">
      <c r="B32" s="11" t="inlineStr">
        <is>
          <t>23</t>
        </is>
      </c>
      <c r="C32" s="11" t="inlineStr">
        <is>
          <t>AF.11110</t>
        </is>
      </c>
      <c r="D32" s="12" t="inlineStr">
        <is>
          <t>Tường chắn bê tông trọng lực C15</t>
        </is>
      </c>
      <c r="E32" s="12" t="inlineStr">
        <is>
          <t>Bê tông C15</t>
        </is>
      </c>
      <c r="F32" s="11" t="inlineStr">
        <is>
          <t>m³</t>
        </is>
      </c>
      <c r="G32" s="13">
        <f>'04_DUONG_DAU_CAU_TU_NON'!H22</f>
        <v/>
      </c>
      <c r="H32" s="12" t="inlineStr">
        <is>
          <t>Sheet 04_TU_NON</t>
        </is>
      </c>
    </row>
    <row r="33">
      <c r="B33" s="11" t="inlineStr">
        <is>
          <t>24</t>
        </is>
      </c>
      <c r="C33" s="11" t="inlineStr">
        <is>
          <t>AD.11110</t>
        </is>
      </c>
      <c r="D33" s="12" t="inlineStr">
        <is>
          <t>Áo đường vuốt nối 10m đầu cầu</t>
        </is>
      </c>
      <c r="E33" s="12" t="inlineStr">
        <is>
          <t>BTN rỗng 12.5 &amp; BTNC 19</t>
        </is>
      </c>
      <c r="F33" s="11" t="inlineStr">
        <is>
          <t>m²</t>
        </is>
      </c>
      <c r="G33" s="13">
        <f>'04_DUONG_DAU_CAU_TU_NON'!H23</f>
        <v/>
      </c>
      <c r="H33" s="12" t="inlineStr">
        <is>
          <t>Sheet 04_TU_NON</t>
        </is>
      </c>
    </row>
    <row r="34">
      <c r="B34" s="11" t="inlineStr">
        <is>
          <t>25</t>
        </is>
      </c>
      <c r="C34" s="11" t="inlineStr">
        <is>
          <t>AB.11110</t>
        </is>
      </c>
      <c r="D34" s="12" t="inlineStr">
        <is>
          <t>Vật liệu dạng hạt chọn lọc đắp lòng mố K98</t>
        </is>
      </c>
      <c r="E34" s="12" t="inlineStr">
        <is>
          <t>Hạt chọn lọc đầm nén K98</t>
        </is>
      </c>
      <c r="F34" s="11" t="inlineStr">
        <is>
          <t>m³</t>
        </is>
      </c>
      <c r="G34" s="13">
        <f>'04_DUONG_DAU_CAU_TU_NON'!H24</f>
        <v/>
      </c>
      <c r="H34" s="12" t="inlineStr">
        <is>
          <t>Sheet 04_TU_NON</t>
        </is>
      </c>
    </row>
    <row r="35">
      <c r="B35" s="9" t="inlineStr">
        <is>
          <t>E. PHẦN V: BIỆN PHÁP THI CÔNG &amp; PHỤ TRỢ CÔNG TRƯỜNG</t>
        </is>
      </c>
      <c r="C35" s="10" t="n"/>
      <c r="D35" s="10" t="n"/>
      <c r="E35" s="10" t="n"/>
      <c r="F35" s="10" t="n"/>
      <c r="G35" s="10" t="n"/>
      <c r="H35" s="10" t="n"/>
    </row>
    <row r="36">
      <c r="B36" s="11" t="inlineStr">
        <is>
          <t>26</t>
        </is>
      </c>
      <c r="C36" s="11" t="inlineStr">
        <is>
          <t>BPTC-01</t>
        </is>
      </c>
      <c r="D36" s="12" t="inlineStr">
        <is>
          <t>Bệ đúc dầm Super-T tại bãi đúc (04 bệ đúc)</t>
        </is>
      </c>
      <c r="E36" s="12" t="inlineStr">
        <is>
          <t>Bê tông C20/25 &amp; thép bệ đúc</t>
        </is>
      </c>
      <c r="F36" s="11" t="inlineStr">
        <is>
          <t>Bệ</t>
        </is>
      </c>
      <c r="G36" s="13" t="n">
        <v>4</v>
      </c>
      <c r="H36" s="12" t="inlineStr">
        <is>
          <t>Sheet 05_BPTC</t>
        </is>
      </c>
    </row>
    <row r="37">
      <c r="B37" s="11" t="inlineStr">
        <is>
          <t>27</t>
        </is>
      </c>
      <c r="C37" s="11" t="inlineStr">
        <is>
          <t>BPTC-02</t>
        </is>
      </c>
      <c r="D37" s="12" t="inlineStr">
        <is>
          <t>Đường công vụ thi công DCV6 &amp; DCV6A</t>
        </is>
      </c>
      <c r="E37" s="12" t="inlineStr">
        <is>
          <t>Đào nền đường công vụ tiếp cận cầu</t>
        </is>
      </c>
      <c r="F37" s="11" t="inlineStr">
        <is>
          <t>m³</t>
        </is>
      </c>
      <c r="G37" s="13" t="n">
        <v>5213</v>
      </c>
      <c r="H37" s="12" t="inlineStr">
        <is>
          <t>Sheet 05_BPTC</t>
        </is>
      </c>
    </row>
    <row r="38">
      <c r="B38" s="11" t="inlineStr">
        <is>
          <t>28</t>
        </is>
      </c>
      <c r="C38" s="11" t="inlineStr">
        <is>
          <t>BPTC-03</t>
        </is>
      </c>
      <c r="D38" s="12" t="inlineStr">
        <is>
          <t>Giá lao dầm 130T &amp; Hệ ray lao dầm P43</t>
        </is>
      </c>
      <c r="E38" s="12" t="inlineStr">
        <is>
          <t>Kết cấu thép giàn lao dầm</t>
        </is>
      </c>
      <c r="F38" s="11" t="inlineStr">
        <is>
          <t>Tấn</t>
        </is>
      </c>
      <c r="G38" s="13" t="n">
        <v>91.95</v>
      </c>
      <c r="H38" s="12" t="inlineStr">
        <is>
          <t>Sheet 05_BPTC</t>
        </is>
      </c>
    </row>
    <row r="39"/>
    <row r="40">
      <c r="F40" s="24" t="inlineStr">
        <is>
          <t>TỔNG KHỐI LƯỢNG BÊ TÔNG TOÀN CẦU (M3):</t>
        </is>
      </c>
      <c r="G40" s="20">
        <f>G7+G11+G12+G14+G17+G19+G21+G24+G25+G32</f>
        <v/>
      </c>
    </row>
    <row r="41">
      <c r="F41" s="24" t="inlineStr">
        <is>
          <t>TỔNG CỐT THÉP THƯỜNG TOÀN CẦU (TẤN):</t>
        </is>
      </c>
      <c r="G41" s="20">
        <f>G9+G13+G18+G20+G22+G26</f>
        <v/>
      </c>
    </row>
    <row r="42">
      <c r="F42" s="24" t="inlineStr">
        <is>
          <t>TỔNG DIỆN TÍCH VÁN KHUÔN TOÀN CẦU (M2):</t>
        </is>
      </c>
      <c r="G42" s="20">
        <f>'01_KET_CAU_NHIP_SUPER_T'!H24+'02_KET_CAU_HA_BO_MO_TRU'!J16+'03_KET_CAU_PHU_TRO_MISC'!J16+'04_DUONG_DAU_CAU_TU_NON'!H10</f>
        <v/>
      </c>
    </row>
  </sheetData>
  <mergeCells count="5">
    <mergeCell ref="B35:H35"/>
    <mergeCell ref="B6:H6"/>
    <mergeCell ref="B30:H30"/>
    <mergeCell ref="B16:H16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2026-10-09T13:34:00Z</dcterms:created>
  <dcterms:modified xmlns:dcterms="http://purl.org/dc/terms/" xmlns:xsi="http://www.w3.org/2001/XMLSchema-instance" xsi:type="dcterms:W3CDTF">2026-10-09T13:34:01Z</dcterms:modified>
</cp:coreProperties>
</file>