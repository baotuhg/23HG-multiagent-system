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_DIEN_GIAI_CHI_T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8" customWidth="1" min="4" max="4"/>
    <col width="55" customWidth="1" min="5" max="5"/>
  </cols>
  <sheetData>
    <row r="1">
      <c r="A1" s="1" t="inlineStr">
        <is>
          <t>BÓC TÁCH KHỐI LƯỢNG CỐNG HỘP TUYẾN A5 (OLP_SD_KC_HT_CH_06..22)</t>
        </is>
      </c>
    </row>
    <row r="2">
      <c r="A2" t="inlineStr">
        <is>
          <t>⚠ MẪU: 1 đốt/loại, kích thước từ OCR bản vẽ — cần đối chiếu bản gốc và nhập số đốt thật vào ô vàng.</t>
        </is>
      </c>
    </row>
    <row r="3">
      <c r="A3" t="inlineStr">
        <is>
          <t>Ô vàng = đầu vào. Giả định (không có trên bản vẽ OCR) ghi rõ ở cột Ghi chú.</t>
        </is>
      </c>
    </row>
    <row r="4"/>
    <row r="5">
      <c r="A5" s="2" t="inlineStr">
        <is>
          <t>Hạng mục</t>
        </is>
      </c>
      <c r="B5" s="2" t="inlineStr">
        <is>
          <t>Công thức</t>
        </is>
      </c>
      <c r="C5" s="2" t="inlineStr">
        <is>
          <t>Giá trị</t>
        </is>
      </c>
      <c r="D5" s="2" t="inlineStr">
        <is>
          <t>ĐV</t>
        </is>
      </c>
      <c r="E5" s="2" t="inlineStr">
        <is>
          <t>Ghi chú</t>
        </is>
      </c>
    </row>
    <row r="6">
      <c r="A6" t="inlineStr">
        <is>
          <t>Số đốt cống 2.0x2.0</t>
        </is>
      </c>
      <c r="B6" t="inlineStr">
        <is>
          <t>nhập</t>
        </is>
      </c>
      <c r="C6" s="3" t="n">
        <v>1</v>
      </c>
      <c r="D6" t="inlineStr">
        <is>
          <t>đốt</t>
        </is>
      </c>
      <c r="E6" t="inlineStr">
        <is>
          <t>MẪU — chưa có tổng chiều dài tuyến</t>
        </is>
      </c>
    </row>
    <row r="7">
      <c r="A7" t="inlineStr">
        <is>
          <t>Số đốt cống 3.0x3.0</t>
        </is>
      </c>
      <c r="B7" t="inlineStr">
        <is>
          <t>nhập</t>
        </is>
      </c>
      <c r="C7" s="3" t="n">
        <v>1</v>
      </c>
      <c r="D7" t="inlineStr">
        <is>
          <t>đốt</t>
        </is>
      </c>
      <c r="E7" t="inlineStr">
        <is>
          <t>MẪU — chưa có tổng chiều dài tuyến</t>
        </is>
      </c>
    </row>
    <row r="8">
      <c r="A8" t="inlineStr">
        <is>
          <t>Chiều dài 1 đốt</t>
        </is>
      </c>
      <c r="B8" t="inlineStr">
        <is>
          <t>bản vẽ</t>
        </is>
      </c>
      <c r="C8" s="3" t="n">
        <v>11.3</v>
      </c>
      <c r="D8" t="inlineStr">
        <is>
          <t>m</t>
        </is>
      </c>
      <c r="E8" t="inlineStr">
        <is>
          <t>OCR: L=11300 (khe co giãn mỗi 11,7 m)</t>
        </is>
      </c>
    </row>
    <row r="9">
      <c r="A9" t="inlineStr">
        <is>
          <t>Kích thước ngoài 2x2</t>
        </is>
      </c>
      <c r="B9" t="inlineStr">
        <is>
          <t>bản vẽ</t>
        </is>
      </c>
      <c r="C9" s="3" t="n">
        <v>2.5</v>
      </c>
      <c r="D9" t="inlineStr">
        <is>
          <t>m</t>
        </is>
      </c>
      <c r="E9" t="inlineStr">
        <is>
          <t>OCR: 2500</t>
        </is>
      </c>
    </row>
    <row r="10">
      <c r="A10" t="inlineStr">
        <is>
          <t>Kích thước trong 2x2</t>
        </is>
      </c>
      <c r="B10" t="inlineStr">
        <is>
          <t>bản vẽ</t>
        </is>
      </c>
      <c r="C10" s="3" t="n">
        <v>2</v>
      </c>
      <c r="D10" t="inlineStr">
        <is>
          <t>m</t>
        </is>
      </c>
      <c r="E10" t="inlineStr">
        <is>
          <t>OCR: 2000</t>
        </is>
      </c>
    </row>
    <row r="11">
      <c r="A11" t="inlineStr">
        <is>
          <t>Kích thước ngoài 3x3</t>
        </is>
      </c>
      <c r="B11" t="inlineStr">
        <is>
          <t>bản vẽ</t>
        </is>
      </c>
      <c r="C11" s="3" t="n">
        <v>3.6</v>
      </c>
      <c r="D11" t="inlineStr">
        <is>
          <t>m</t>
        </is>
      </c>
      <c r="E11" t="inlineStr">
        <is>
          <t>OCR: 3600 / 3520 — cần đối chiếu</t>
        </is>
      </c>
    </row>
    <row r="12">
      <c r="A12" t="inlineStr">
        <is>
          <t>Kích thước trong 3x3</t>
        </is>
      </c>
      <c r="B12" t="inlineStr">
        <is>
          <t>bản vẽ</t>
        </is>
      </c>
      <c r="C12" s="3" t="n">
        <v>3</v>
      </c>
      <c r="D12" t="inlineStr">
        <is>
          <t>m</t>
        </is>
      </c>
      <c r="E12" t="inlineStr">
        <is>
          <t>OCR: 3000</t>
        </is>
      </c>
    </row>
    <row r="13">
      <c r="A13" t="inlineStr">
        <is>
          <t>Dày bê tông lót M100</t>
        </is>
      </c>
      <c r="B13" t="inlineStr">
        <is>
          <t>bản vẽ</t>
        </is>
      </c>
      <c r="C13" s="3" t="n">
        <v>0.05</v>
      </c>
      <c r="D13" t="inlineStr">
        <is>
          <t>m</t>
        </is>
      </c>
      <c r="E13" t="inlineStr">
        <is>
          <t>Ghi chú bản vẽ: lót dày 50 mm</t>
        </is>
      </c>
    </row>
    <row r="14">
      <c r="A14" t="inlineStr">
        <is>
          <t>Lót mở rộng mỗi bên</t>
        </is>
      </c>
      <c r="B14" t="inlineStr">
        <is>
          <t>GIẢ ĐỊNH</t>
        </is>
      </c>
      <c r="C14" s="3" t="n">
        <v>0.1</v>
      </c>
      <c r="D14" t="inlineStr">
        <is>
          <t>m</t>
        </is>
      </c>
      <c r="E14" t="inlineStr">
        <is>
          <t>Không đọc được từ OCR</t>
        </is>
      </c>
    </row>
    <row r="15">
      <c r="A15" t="inlineStr">
        <is>
          <t>Dày lớp thay cát đầm chặt</t>
        </is>
      </c>
      <c r="B15" t="inlineStr">
        <is>
          <t>bản vẽ</t>
        </is>
      </c>
      <c r="C15" s="3" t="n">
        <v>0.3</v>
      </c>
      <c r="D15" t="inlineStr">
        <is>
          <t>m</t>
        </is>
      </c>
      <c r="E15" t="inlineStr">
        <is>
          <t>Ghi chú: thay 30 cm bằng cát đầm chặt K0.9</t>
        </is>
      </c>
    </row>
    <row r="16">
      <c r="A16" t="inlineStr">
        <is>
          <t>Mở rộng nền mỗi bên</t>
        </is>
      </c>
      <c r="B16" t="inlineStr">
        <is>
          <t>bản vẽ</t>
        </is>
      </c>
      <c r="C16" s="3" t="n">
        <v>0.3</v>
      </c>
      <c r="D16" t="inlineStr">
        <is>
          <t>m</t>
        </is>
      </c>
      <c r="E16" t="inlineStr">
        <is>
          <t>Ghi chú: phạm vi = bề rộng móng + 300 mm mỗi phía</t>
        </is>
      </c>
    </row>
    <row r="17">
      <c r="A17" s="4" t="inlineStr">
        <is>
          <t>KẾT QUẢ (công thức sống)</t>
        </is>
      </c>
    </row>
    <row r="18">
      <c r="A18" t="inlineStr">
        <is>
          <t>BT B20 (M250) cống 2x2</t>
        </is>
      </c>
      <c r="B18" t="inlineStr">
        <is>
          <t>(B²−b²)·L·N</t>
        </is>
      </c>
      <c r="C18">
        <f>(C9*C9-C10*C10)*C8*C6</f>
        <v/>
      </c>
      <c r="D18" t="inlineStr">
        <is>
          <t>m3</t>
        </is>
      </c>
    </row>
    <row r="19">
      <c r="A19" t="inlineStr">
        <is>
          <t>BT B20 (M250) cống 3x3</t>
        </is>
      </c>
      <c r="B19" t="inlineStr">
        <is>
          <t>(B²−b²)·L·N</t>
        </is>
      </c>
      <c r="C19">
        <f>(C11*C11-C12*C12)*C8*C7</f>
        <v/>
      </c>
      <c r="D19" t="inlineStr">
        <is>
          <t>m3</t>
        </is>
      </c>
    </row>
    <row r="20">
      <c r="A20" s="4" t="inlineStr">
        <is>
          <t>TỔNG BT B20</t>
        </is>
      </c>
      <c r="B20" s="4" t="n"/>
      <c r="C20" s="4">
        <f>C18+C19</f>
        <v/>
      </c>
      <c r="D20" t="inlineStr">
        <is>
          <t>m3</t>
        </is>
      </c>
    </row>
    <row r="21">
      <c r="A21" t="inlineStr">
        <is>
          <t>Ván khuôn cống 2x2</t>
        </is>
      </c>
      <c r="B21" t="inlineStr">
        <is>
          <t>(4B+4b)·L·N</t>
        </is>
      </c>
      <c r="C21">
        <f>(4*C9+4*C10)*C8*C6</f>
        <v/>
      </c>
      <c r="D21" t="inlineStr">
        <is>
          <t>m2</t>
        </is>
      </c>
      <c r="E21" t="inlineStr">
        <is>
          <t>chưa tính mặt đầu đốt</t>
        </is>
      </c>
    </row>
    <row r="22">
      <c r="A22" t="inlineStr">
        <is>
          <t>Ván khuôn cống 3x3</t>
        </is>
      </c>
      <c r="B22" t="inlineStr">
        <is>
          <t>(4B+4b)·L·N</t>
        </is>
      </c>
      <c r="C22">
        <f>(4*C11+4*C12)*C8*C7</f>
        <v/>
      </c>
      <c r="D22" t="inlineStr">
        <is>
          <t>m2</t>
        </is>
      </c>
      <c r="E22" t="inlineStr">
        <is>
          <t>chưa tính mặt đầu đốt</t>
        </is>
      </c>
    </row>
    <row r="23">
      <c r="A23" s="4" t="inlineStr">
        <is>
          <t>TỔNG VÁN KHUÔN</t>
        </is>
      </c>
      <c r="B23" s="4" t="n"/>
      <c r="C23" s="4">
        <f>C21+C22</f>
        <v/>
      </c>
      <c r="D23" t="inlineStr">
        <is>
          <t>m2</t>
        </is>
      </c>
    </row>
    <row r="24">
      <c r="A24" t="inlineStr">
        <is>
          <t>BT lót M100 cống 2x2</t>
        </is>
      </c>
      <c r="B24" t="inlineStr">
        <is>
          <t>(B+2e)·t·L·N</t>
        </is>
      </c>
      <c r="C24">
        <f>(C9+2*C14)*C13*C8*C6</f>
        <v/>
      </c>
      <c r="D24" t="inlineStr">
        <is>
          <t>m3</t>
        </is>
      </c>
    </row>
    <row r="25">
      <c r="A25" t="inlineStr">
        <is>
          <t>BT lót M100 cống 3x3</t>
        </is>
      </c>
      <c r="B25" t="inlineStr">
        <is>
          <t>(B+2e)·t·L·N</t>
        </is>
      </c>
      <c r="C25">
        <f>(C11+2*C14)*C13*C8*C7</f>
        <v/>
      </c>
      <c r="D25" t="inlineStr">
        <is>
          <t>m3</t>
        </is>
      </c>
    </row>
    <row r="26">
      <c r="A26" s="4" t="inlineStr">
        <is>
          <t>TỔNG BT LÓT</t>
        </is>
      </c>
      <c r="B26" s="4" t="n"/>
      <c r="C26" s="4">
        <f>C24+C25</f>
        <v/>
      </c>
      <c r="D26" t="inlineStr">
        <is>
          <t>m3</t>
        </is>
      </c>
    </row>
    <row r="27">
      <c r="A27" t="inlineStr">
        <is>
          <t>Cát thay nền cống 2x2</t>
        </is>
      </c>
      <c r="B27" t="inlineStr">
        <is>
          <t>(B+2w)·h·L·N</t>
        </is>
      </c>
      <c r="C27">
        <f>(C9+2*C16)*C15*C8*C6</f>
        <v/>
      </c>
      <c r="D27" t="inlineStr">
        <is>
          <t>m3</t>
        </is>
      </c>
    </row>
    <row r="28">
      <c r="A28" t="inlineStr">
        <is>
          <t>Cát thay nền cống 3x3</t>
        </is>
      </c>
      <c r="B28" t="inlineStr">
        <is>
          <t>(B+2w)·h·L·N</t>
        </is>
      </c>
      <c r="C28">
        <f>(C11+2*C16)*C15*C8*C7</f>
        <v/>
      </c>
      <c r="D28" t="inlineStr">
        <is>
          <t>m3</t>
        </is>
      </c>
    </row>
    <row r="29">
      <c r="A29" s="4" t="inlineStr">
        <is>
          <t>TỔNG CÁT THAY NỀN</t>
        </is>
      </c>
      <c r="B29" s="4" t="n"/>
      <c r="C29" s="4">
        <f>C27+C28</f>
        <v/>
      </c>
      <c r="D29" t="inlineStr">
        <is>
          <t>m3</t>
        </is>
      </c>
    </row>
    <row r="30">
      <c r="A30" t="inlineStr">
        <is>
          <t>Tổng chiều dài cống</t>
        </is>
      </c>
      <c r="B30" t="inlineStr">
        <is>
          <t>L·(N2+N3)</t>
        </is>
      </c>
      <c r="C30">
        <f>C8*(C6+C7)</f>
        <v/>
      </c>
      <c r="D30" t="inlineStr">
        <is>
          <t>m</t>
        </is>
      </c>
    </row>
    <row r="31">
      <c r="A31" t="inlineStr">
        <is>
          <t>Số khe co giãn (ước)</t>
        </is>
      </c>
      <c r="B31" t="inlineStr">
        <is>
          <t>N2+N3</t>
        </is>
      </c>
      <c r="C31">
        <f>C6+C7</f>
        <v/>
      </c>
      <c r="D31" t="inlineStr">
        <is>
          <t>khe</t>
        </is>
      </c>
      <c r="E31" t="inlineStr">
        <is>
          <t>mỗi đốt 1 khe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2026-10-03T10:27:32Z</dcterms:created>
  <dcterms:modified xmlns:dcterms="http://purl.org/dc/terms/" xmlns:xsi="http://www.w3.org/2001/XMLSchema-instance" xsi:type="dcterms:W3CDTF">2026-10-03T10:27:32Z</dcterms:modified>
</cp:coreProperties>
</file>