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" sheetId="4" state="visible" r:id="rId4"/>
    <sheet xmlns:r="http://schemas.openxmlformats.org/officeDocument/2006/relationships" name="05_DoiChieu_BocTa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"/>
    <numFmt numFmtId="165" formatCode="yyyy-mm-dd h:mm:ss"/>
    <numFmt numFmtId="166" formatCode="DD/MM/YYYY"/>
    <numFmt numFmtId="167" formatCode="0.0"/>
    <numFmt numFmtId="168" formatCode="#,##0.0"/>
    <numFmt numFmtId="169" formatCode="#,##0.000"/>
  </numFmts>
  <fonts count="8">
    <font>
      <name val="Calibri"/>
      <family val="2"/>
      <color theme="1"/>
      <sz val="11"/>
      <scheme val="minor"/>
    </font>
    <font>
      <b val="1"/>
      <color rgb="001F497D"/>
      <sz val="13"/>
    </font>
    <font>
      <b val="1"/>
      <sz val="12"/>
    </font>
    <font>
      <b val="1"/>
      <color rgb="00C00000"/>
      <sz val="10"/>
    </font>
    <font>
      <b val="1"/>
    </font>
    <font>
      <b val="1"/>
      <color rgb="00FFFFFF"/>
    </font>
    <font>
      <b val="1"/>
      <sz val="8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wrapText="1"/>
    </xf>
    <xf numFmtId="164" fontId="5" fillId="2" borderId="0" applyAlignment="1" pivotButton="0" quotePrefix="0" xfId="0">
      <alignment horizontal="center" textRotation="90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7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8" fontId="0" fillId="3" borderId="0" pivotButton="0" quotePrefix="0" xfId="0"/>
    <xf numFmtId="169" fontId="4" fillId="0" borderId="0" pivotButton="0" quotePrefix="0" xfId="0"/>
    <xf numFmtId="168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8" customWidth="1" min="4" max="4"/>
    <col width="12" customWidth="1" min="5" max="5"/>
    <col width="14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5" customWidth="1" min="14" max="14"/>
    <col width="10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</cols>
  <sheetData>
    <row r="1">
      <c r="A1" s="1" t="inlineStr">
        <is>
          <t>DỰ ÁN: CONG HOP A5</t>
        </is>
      </c>
    </row>
    <row r="2">
      <c r="A2" s="2" t="inlineStr">
        <is>
          <t>BẢNG TÍNH TOÁN CA XE, CA MÁY &amp; TIẾN ĐỘ THI CÔNG CHI TIẾT</t>
        </is>
      </c>
    </row>
    <row r="3">
      <c r="A3" s="3" t="inlineStr">
        <is>
          <t>MỐC TIẾN ĐỘ: TỪ 05/09/2026 ĐẾN 18/10/2026 (44 NGÀY) — 1-2 CA/NGÀY — ĐƯỜNG GĂNG CPM CHÍNH XÁC</t>
        </is>
      </c>
    </row>
    <row r="4">
      <c r="B4" s="4" t="inlineStr">
        <is>
          <t>Chế độ ca:</t>
        </is>
      </c>
      <c r="C4" t="inlineStr">
        <is>
          <t>1-2 ca/ngày (tăng ca mũi xung yếu)</t>
        </is>
      </c>
      <c r="F4" s="4" t="inlineStr">
        <is>
          <t>Phân đoạn:</t>
        </is>
      </c>
      <c r="G4" t="inlineStr">
        <is>
          <t>Thi công cống hộp &amp; hoàn trả mặt bằng</t>
        </is>
      </c>
      <c r="K4" s="4" t="inlineStr">
        <is>
          <t>Định mức áp dụng:</t>
        </is>
      </c>
      <c r="L4" t="inlineStr">
        <is>
          <t>Vincons_ĐMGK_02-01 &amp; Thông tư 12/2021/TT-BXD</t>
        </is>
      </c>
    </row>
    <row r="5">
      <c r="P5" s="5" t="inlineStr">
        <is>
          <t>T1</t>
        </is>
      </c>
      <c r="Q5" s="5" t="inlineStr">
        <is>
          <t>T2</t>
        </is>
      </c>
      <c r="R5" s="5" t="inlineStr">
        <is>
          <t>T3</t>
        </is>
      </c>
      <c r="S5" s="5" t="inlineStr">
        <is>
          <t>T4</t>
        </is>
      </c>
      <c r="T5" s="5" t="inlineStr">
        <is>
          <t>T5</t>
        </is>
      </c>
      <c r="U5" s="5" t="inlineStr">
        <is>
          <t>T6</t>
        </is>
      </c>
      <c r="V5" s="5" t="inlineStr">
        <is>
          <t>T7</t>
        </is>
      </c>
    </row>
    <row r="6">
      <c r="A6" s="6" t="inlineStr">
        <is>
          <t>STT</t>
        </is>
      </c>
      <c r="B6" s="6" t="inlineStr">
        <is>
          <t>Mã WBS</t>
        </is>
      </c>
      <c r="C6" s="6" t="inlineStr">
        <is>
          <t>Nội dung công việc thi công cống hộp</t>
        </is>
      </c>
      <c r="D6" s="6" t="inlineStr">
        <is>
          <t>ĐVT</t>
        </is>
      </c>
      <c r="E6" s="6" t="inlineStr">
        <is>
          <t>Khối lượng thiết kế</t>
        </is>
      </c>
      <c r="F6" s="6" t="inlineStr">
        <is>
          <t>Định mức Vincons (ĐVT/ca)</t>
        </is>
      </c>
      <c r="G6" s="6" t="inlineStr">
        <is>
          <t>Tổng số ca máy (ca)</t>
        </is>
      </c>
      <c r="H6" s="6" t="inlineStr">
        <is>
          <t>Năng xuất ngày</t>
        </is>
      </c>
      <c r="I6" s="6" t="inlineStr">
        <is>
          <t>Thời gian (ngày)</t>
        </is>
      </c>
      <c r="J6" s="6" t="inlineStr">
        <is>
          <t>Ngày BĐ</t>
        </is>
      </c>
      <c r="K6" s="6" t="inlineStr">
        <is>
          <t>Ngày KT</t>
        </is>
      </c>
      <c r="L6" s="6" t="inlineStr">
        <is>
          <t>Số ca/ngày</t>
        </is>
      </c>
      <c r="M6" s="6" t="inlineStr">
        <is>
          <t>Số máy huy động/ngày</t>
        </is>
      </c>
      <c r="N6" s="6" t="inlineStr">
        <is>
          <t>Chủng loại MMTB &amp; Ghi chú</t>
        </is>
      </c>
      <c r="O6" s="6" t="inlineStr">
        <is>
          <t>NC bố trí (người)</t>
        </is>
      </c>
      <c r="P6" s="7">
        <f>$J$7+7*0</f>
        <v/>
      </c>
      <c r="Q6" s="7">
        <f>$J$7+7*1</f>
        <v/>
      </c>
      <c r="R6" s="7">
        <f>$J$7+7*2</f>
        <v/>
      </c>
      <c r="S6" s="7">
        <f>$J$7+7*3</f>
        <v/>
      </c>
      <c r="T6" s="7">
        <f>$J$7+7*4</f>
        <v/>
      </c>
      <c r="U6" s="7">
        <f>$J$7+7*5</f>
        <v/>
      </c>
      <c r="V6" s="7">
        <f>$J$7+7*6</f>
        <v/>
      </c>
    </row>
    <row r="7">
      <c r="A7" s="8" t="n">
        <v>1</v>
      </c>
      <c r="B7" s="8" t="inlineStr">
        <is>
          <t>1.1</t>
        </is>
      </c>
      <c r="C7" t="inlineStr">
        <is>
          <t>Định vị tuyến, rào chắn, lắp dựng ĐD</t>
        </is>
      </c>
      <c r="D7" s="8" t="inlineStr">
        <is>
          <t>m</t>
        </is>
      </c>
      <c r="E7" s="9" t="n">
        <v>22.6</v>
      </c>
      <c r="F7" s="9" t="n">
        <v>0</v>
      </c>
      <c r="G7" s="9" t="n">
        <v>0</v>
      </c>
      <c r="H7" s="9" t="n">
        <v>0</v>
      </c>
      <c r="I7" s="10" t="n">
        <v>1</v>
      </c>
      <c r="J7" s="11" t="n">
        <v>46270</v>
      </c>
      <c r="K7" s="11" t="n">
        <v>46270</v>
      </c>
      <c r="L7" s="8" t="n">
        <v>1</v>
      </c>
      <c r="M7" s="8" t="n">
        <v>0</v>
      </c>
      <c r="N7" t="inlineStr">
        <is>
          <t>Chưa có định mức học được cho công tác này — không suy luận máy</t>
        </is>
      </c>
      <c r="O7" s="8" t="n">
        <v>4</v>
      </c>
      <c r="P7" s="8">
        <f>IF(AND($J7&lt;=P$6+6,$K7&gt;=P$6),IF($M7&gt;0,$M7,1),"")</f>
        <v/>
      </c>
      <c r="Q7" s="8">
        <f>IF(AND($J7&lt;=Q$6+6,$K7&gt;=Q$6),IF($M7&gt;0,$M7,1),"")</f>
        <v/>
      </c>
      <c r="R7" s="8">
        <f>IF(AND($J7&lt;=R$6+6,$K7&gt;=R$6),IF($M7&gt;0,$M7,1),"")</f>
        <v/>
      </c>
      <c r="S7" s="8">
        <f>IF(AND($J7&lt;=S$6+6,$K7&gt;=S$6),IF($M7&gt;0,$M7,1),"")</f>
        <v/>
      </c>
      <c r="T7" s="8">
        <f>IF(AND($J7&lt;=T$6+6,$K7&gt;=T$6),IF($M7&gt;0,$M7,1),"")</f>
        <v/>
      </c>
      <c r="U7" s="8">
        <f>IF(AND($J7&lt;=U$6+6,$K7&gt;=U$6),IF($M7&gt;0,$M7,1),"")</f>
        <v/>
      </c>
      <c r="V7" s="8">
        <f>IF(AND($J7&lt;=V$6+6,$K7&gt;=V$6),IF($M7&gt;0,$M7,1),"")</f>
        <v/>
      </c>
    </row>
    <row r="8">
      <c r="A8" s="8" t="n">
        <v>2</v>
      </c>
      <c r="B8" s="8" t="inlineStr">
        <is>
          <t>2.1</t>
        </is>
      </c>
      <c r="C8" t="inlineStr">
        <is>
          <t>Đào bóc 30 cm nền hiện trạng</t>
        </is>
      </c>
      <c r="D8" s="8" t="inlineStr">
        <is>
          <t>m3</t>
        </is>
      </c>
      <c r="E8" s="9" t="n">
        <v>24.747</v>
      </c>
      <c r="F8" s="9" t="n">
        <v>510.2</v>
      </c>
      <c r="G8" s="9">
        <f>IF(F8&gt;0,ROUND(E8/F8,2),0)</f>
        <v/>
      </c>
      <c r="H8" s="9">
        <f>IF(AND(F8&gt;0,L8&gt;0),ROUND(F8*L8*M8,2),0)</f>
        <v/>
      </c>
      <c r="I8" s="10" t="n">
        <v>2</v>
      </c>
      <c r="J8" s="11" t="n">
        <v>46271</v>
      </c>
      <c r="K8" s="11" t="n">
        <v>46272</v>
      </c>
      <c r="L8" s="8" t="n">
        <v>2</v>
      </c>
      <c r="M8" s="12">
        <f>IF(AND(G8&gt;0,I8&gt;0,L8&gt;0),ROUNDUP(G8/(I8*L8),1),0)</f>
        <v/>
      </c>
      <c r="N8" t="inlineStr">
        <is>
          <t>Máy xúc PC200 - PC300 + Máy ủi D3 - D5</t>
        </is>
      </c>
      <c r="O8" s="8" t="n">
        <v>2</v>
      </c>
      <c r="P8" s="8">
        <f>IF(AND($J8&lt;=P$6+6,$K8&gt;=P$6),IF($M8&gt;0,$M8,1),"")</f>
        <v/>
      </c>
      <c r="Q8" s="8">
        <f>IF(AND($J8&lt;=Q$6+6,$K8&gt;=Q$6),IF($M8&gt;0,$M8,1),"")</f>
        <v/>
      </c>
      <c r="R8" s="8">
        <f>IF(AND($J8&lt;=R$6+6,$K8&gt;=R$6),IF($M8&gt;0,$M8,1),"")</f>
        <v/>
      </c>
      <c r="S8" s="8">
        <f>IF(AND($J8&lt;=S$6+6,$K8&gt;=S$6),IF($M8&gt;0,$M8,1),"")</f>
        <v/>
      </c>
      <c r="T8" s="8">
        <f>IF(AND($J8&lt;=T$6+6,$K8&gt;=T$6),IF($M8&gt;0,$M8,1),"")</f>
        <v/>
      </c>
      <c r="U8" s="8">
        <f>IF(AND($J8&lt;=U$6+6,$K8&gt;=U$6),IF($M8&gt;0,$M8,1),"")</f>
        <v/>
      </c>
      <c r="V8" s="8">
        <f>IF(AND($J8&lt;=V$6+6,$K8&gt;=V$6),IF($M8&gt;0,$M8,1),"")</f>
        <v/>
      </c>
    </row>
    <row r="9">
      <c r="A9" s="8" t="n">
        <v>3</v>
      </c>
      <c r="B9" s="8" t="inlineStr">
        <is>
          <t>2.2</t>
        </is>
      </c>
      <c r="C9" t="inlineStr">
        <is>
          <t>Đệm cát đầm chặt K0.9</t>
        </is>
      </c>
      <c r="D9" s="8" t="inlineStr">
        <is>
          <t>m3</t>
        </is>
      </c>
      <c r="E9" s="9" t="n">
        <v>24.747</v>
      </c>
      <c r="F9" s="9" t="n">
        <v>900.9</v>
      </c>
      <c r="G9" s="9">
        <f>IF(F9&gt;0,ROUND(E9/F9,2),0)</f>
        <v/>
      </c>
      <c r="H9" s="9">
        <f>IF(AND(F9&gt;0,L9&gt;0),ROUND(F9*L9*M9,2),0)</f>
        <v/>
      </c>
      <c r="I9" s="10" t="n">
        <v>2</v>
      </c>
      <c r="J9" s="11" t="n">
        <v>46273</v>
      </c>
      <c r="K9" s="11" t="n">
        <v>46274</v>
      </c>
      <c r="L9" s="8" t="n">
        <v>1</v>
      </c>
      <c r="M9" s="12">
        <f>IF(AND(G9&gt;0,I9&gt;0,L9&gt;0),ROUNDUP(G9/(I9*L9),1),0)</f>
        <v/>
      </c>
      <c r="N9" t="inlineStr">
        <is>
          <t>Máy ủi D3 - D5 + Máy lu 12T - 16T</t>
        </is>
      </c>
      <c r="O9" s="8" t="n">
        <v>21</v>
      </c>
      <c r="P9" s="8">
        <f>IF(AND($J9&lt;=P$6+6,$K9&gt;=P$6),IF($M9&gt;0,$M9,1),"")</f>
        <v/>
      </c>
      <c r="Q9" s="8">
        <f>IF(AND($J9&lt;=Q$6+6,$K9&gt;=Q$6),IF($M9&gt;0,$M9,1),"")</f>
        <v/>
      </c>
      <c r="R9" s="8">
        <f>IF(AND($J9&lt;=R$6+6,$K9&gt;=R$6),IF($M9&gt;0,$M9,1),"")</f>
        <v/>
      </c>
      <c r="S9" s="8">
        <f>IF(AND($J9&lt;=S$6+6,$K9&gt;=S$6),IF($M9&gt;0,$M9,1),"")</f>
        <v/>
      </c>
      <c r="T9" s="8">
        <f>IF(AND($J9&lt;=T$6+6,$K9&gt;=T$6),IF($M9&gt;0,$M9,1),"")</f>
        <v/>
      </c>
      <c r="U9" s="8">
        <f>IF(AND($J9&lt;=U$6+6,$K9&gt;=U$6),IF($M9&gt;0,$M9,1),"")</f>
        <v/>
      </c>
      <c r="V9" s="8">
        <f>IF(AND($J9&lt;=V$6+6,$K9&gt;=V$6),IF($M9&gt;0,$M9,1),"")</f>
        <v/>
      </c>
    </row>
    <row r="10">
      <c r="A10" s="8" t="n">
        <v>4</v>
      </c>
      <c r="B10" s="8" t="inlineStr">
        <is>
          <t>2.3</t>
        </is>
      </c>
      <c r="C10" t="inlineStr">
        <is>
          <t>Bê tông lót M100 dày 50</t>
        </is>
      </c>
      <c r="D10" s="8" t="inlineStr">
        <is>
          <t>m3</t>
        </is>
      </c>
      <c r="E10" s="9" t="n">
        <v>3.672500000000001</v>
      </c>
      <c r="F10" s="9" t="n">
        <v>10.53</v>
      </c>
      <c r="G10" s="9">
        <f>IF(F10&gt;0,ROUND(E10/F10,2),0)</f>
        <v/>
      </c>
      <c r="H10" s="9">
        <f>IF(AND(F10&gt;0,L10&gt;0),ROUND(F10*L10*M10,2),0)</f>
        <v/>
      </c>
      <c r="I10" s="10" t="n">
        <v>1</v>
      </c>
      <c r="J10" s="11" t="n">
        <v>46275</v>
      </c>
      <c r="K10" s="11" t="n">
        <v>46275</v>
      </c>
      <c r="L10" s="8" t="n">
        <v>2</v>
      </c>
      <c r="M10" s="12">
        <f>IF(AND(G10&gt;0,I10&gt;0,L10&gt;0),ROUNDUP(G10/(I10*L10),1),0)</f>
        <v/>
      </c>
      <c r="N10" t="inlineStr">
        <is>
          <t>Máy trộn bê tông - dung tích 250 lít + Máy đầm bê tông, đầm bàn, công suất 1,0 kW</t>
        </is>
      </c>
      <c r="O10" s="8" t="n">
        <v>10</v>
      </c>
      <c r="P10" s="8">
        <f>IF(AND($J10&lt;=P$6+6,$K10&gt;=P$6),IF($M10&gt;0,$M10,1),"")</f>
        <v/>
      </c>
      <c r="Q10" s="8">
        <f>IF(AND($J10&lt;=Q$6+6,$K10&gt;=Q$6),IF($M10&gt;0,$M10,1),"")</f>
        <v/>
      </c>
      <c r="R10" s="8">
        <f>IF(AND($J10&lt;=R$6+6,$K10&gt;=R$6),IF($M10&gt;0,$M10,1),"")</f>
        <v/>
      </c>
      <c r="S10" s="8">
        <f>IF(AND($J10&lt;=S$6+6,$K10&gt;=S$6),IF($M10&gt;0,$M10,1),"")</f>
        <v/>
      </c>
      <c r="T10" s="8">
        <f>IF(AND($J10&lt;=T$6+6,$K10&gt;=T$6),IF($M10&gt;0,$M10,1),"")</f>
        <v/>
      </c>
      <c r="U10" s="8">
        <f>IF(AND($J10&lt;=U$6+6,$K10&gt;=U$6),IF($M10&gt;0,$M10,1),"")</f>
        <v/>
      </c>
      <c r="V10" s="8">
        <f>IF(AND($J10&lt;=V$6+6,$K10&gt;=V$6),IF($M10&gt;0,$M10,1),"")</f>
        <v/>
      </c>
    </row>
    <row r="11">
      <c r="A11" s="8" t="n">
        <v>5</v>
      </c>
      <c r="B11" s="8" t="inlineStr">
        <is>
          <t>3.1</t>
        </is>
      </c>
      <c r="C11" t="inlineStr">
        <is>
          <t>Gia công, lắp dựng cốt thép</t>
        </is>
      </c>
      <c r="D11" s="8" t="inlineStr">
        <is>
          <t>m3 BT</t>
        </is>
      </c>
      <c r="E11" s="9" t="n">
        <v>70.17300000000002</v>
      </c>
      <c r="F11" s="9" t="n">
        <v>0</v>
      </c>
      <c r="G11" s="9" t="n">
        <v>0</v>
      </c>
      <c r="H11" s="9" t="n">
        <v>0</v>
      </c>
      <c r="I11" s="10" t="n">
        <v>22</v>
      </c>
      <c r="J11" s="11" t="n">
        <v>46276</v>
      </c>
      <c r="K11" s="11" t="n">
        <v>46297</v>
      </c>
      <c r="L11" s="8" t="n">
        <v>1</v>
      </c>
      <c r="M11" s="8" t="n">
        <v>0</v>
      </c>
      <c r="N11" t="inlineStr">
        <is>
          <t>Cần khối lượng cốt thép (tấn) từ bảng thống kê thép — hiện KL theo m³ bê tông nên chưa áp ĐM</t>
        </is>
      </c>
      <c r="O11" s="8" t="n">
        <v>8</v>
      </c>
      <c r="P11" s="8">
        <f>IF(AND($J11&lt;=P$6+6,$K11&gt;=P$6),IF($M11&gt;0,$M11,1),"")</f>
        <v/>
      </c>
      <c r="Q11" s="8">
        <f>IF(AND($J11&lt;=Q$6+6,$K11&gt;=Q$6),IF($M11&gt;0,$M11,1),"")</f>
        <v/>
      </c>
      <c r="R11" s="8">
        <f>IF(AND($J11&lt;=R$6+6,$K11&gt;=R$6),IF($M11&gt;0,$M11,1),"")</f>
        <v/>
      </c>
      <c r="S11" s="8">
        <f>IF(AND($J11&lt;=S$6+6,$K11&gt;=S$6),IF($M11&gt;0,$M11,1),"")</f>
        <v/>
      </c>
      <c r="T11" s="8">
        <f>IF(AND($J11&lt;=T$6+6,$K11&gt;=T$6),IF($M11&gt;0,$M11,1),"")</f>
        <v/>
      </c>
      <c r="U11" s="8">
        <f>IF(AND($J11&lt;=U$6+6,$K11&gt;=U$6),IF($M11&gt;0,$M11,1),"")</f>
        <v/>
      </c>
      <c r="V11" s="8">
        <f>IF(AND($J11&lt;=V$6+6,$K11&gt;=V$6),IF($M11&gt;0,$M11,1),"")</f>
        <v/>
      </c>
    </row>
    <row r="12">
      <c r="A12" s="8" t="n">
        <v>6</v>
      </c>
      <c r="B12" s="8" t="inlineStr">
        <is>
          <t>3.2</t>
        </is>
      </c>
      <c r="C12" t="inlineStr">
        <is>
          <t>Lắp dựng ván khuôn</t>
        </is>
      </c>
      <c r="D12" s="8" t="inlineStr">
        <is>
          <t>m2</t>
        </is>
      </c>
      <c r="E12" s="9" t="n">
        <v>501.72</v>
      </c>
      <c r="F12" s="9" t="n">
        <v>66.67</v>
      </c>
      <c r="G12" s="9">
        <f>IF(F12&gt;0,ROUND(E12/F12,2),0)</f>
        <v/>
      </c>
      <c r="H12" s="9">
        <f>IF(AND(F12&gt;0,L12&gt;0),ROUND(F12*L12*M12,2),0)</f>
        <v/>
      </c>
      <c r="I12" s="10" t="n">
        <v>19</v>
      </c>
      <c r="J12" s="11" t="n">
        <v>46278</v>
      </c>
      <c r="K12" s="11" t="n">
        <v>46296</v>
      </c>
      <c r="L12" s="8" t="n">
        <v>2</v>
      </c>
      <c r="M12" s="12">
        <f>IF(AND(G12&gt;0,I12&gt;0,L12&gt;0),ROUNDUP(G12/(I12*L12),1),0)</f>
        <v/>
      </c>
      <c r="N12" t="inlineStr">
        <is>
          <t>Máy hàn xoay chiều công suất 23,0 kW + Máy vận thăng lồng - sức nâng 3,0 T + Cần trục tháp - sức nâng 25 T</t>
        </is>
      </c>
      <c r="O12" s="8" t="n">
        <v>19</v>
      </c>
      <c r="P12" s="8">
        <f>IF(AND($J12&lt;=P$6+6,$K12&gt;=P$6),IF($M12&gt;0,$M12,1),"")</f>
        <v/>
      </c>
      <c r="Q12" s="8">
        <f>IF(AND($J12&lt;=Q$6+6,$K12&gt;=Q$6),IF($M12&gt;0,$M12,1),"")</f>
        <v/>
      </c>
      <c r="R12" s="8">
        <f>IF(AND($J12&lt;=R$6+6,$K12&gt;=R$6),IF($M12&gt;0,$M12,1),"")</f>
        <v/>
      </c>
      <c r="S12" s="8">
        <f>IF(AND($J12&lt;=S$6+6,$K12&gt;=S$6),IF($M12&gt;0,$M12,1),"")</f>
        <v/>
      </c>
      <c r="T12" s="8">
        <f>IF(AND($J12&lt;=T$6+6,$K12&gt;=T$6),IF($M12&gt;0,$M12,1),"")</f>
        <v/>
      </c>
      <c r="U12" s="8">
        <f>IF(AND($J12&lt;=U$6+6,$K12&gt;=U$6),IF($M12&gt;0,$M12,1),"")</f>
        <v/>
      </c>
      <c r="V12" s="8">
        <f>IF(AND($J12&lt;=V$6+6,$K12&gt;=V$6),IF($M12&gt;0,$M12,1),"")</f>
        <v/>
      </c>
    </row>
    <row r="13">
      <c r="A13" s="8" t="n">
        <v>7</v>
      </c>
      <c r="B13" s="8" t="inlineStr">
        <is>
          <t>3.3</t>
        </is>
      </c>
      <c r="C13" t="inlineStr">
        <is>
          <t>Đổ bê tông B20 thân cống</t>
        </is>
      </c>
      <c r="D13" s="8" t="inlineStr">
        <is>
          <t>m3</t>
        </is>
      </c>
      <c r="E13" s="9" t="n">
        <v>70.17300000000002</v>
      </c>
      <c r="F13" s="9" t="n">
        <v>10.53</v>
      </c>
      <c r="G13" s="9">
        <f>IF(F13&gt;0,ROUND(E13/F13,2),0)</f>
        <v/>
      </c>
      <c r="H13" s="9">
        <f>IF(AND(F13&gt;0,L13&gt;0),ROUND(F13*L13*M13,2),0)</f>
        <v/>
      </c>
      <c r="I13" s="10" t="n">
        <v>5</v>
      </c>
      <c r="J13" s="11" t="n">
        <v>46297</v>
      </c>
      <c r="K13" s="11" t="n">
        <v>46301</v>
      </c>
      <c r="L13" s="8" t="n">
        <v>2</v>
      </c>
      <c r="M13" s="12">
        <f>IF(AND(G13&gt;0,I13&gt;0,L13&gt;0),ROUNDUP(G13/(I13*L13),1),0)</f>
        <v/>
      </c>
      <c r="N13" t="inlineStr">
        <is>
          <t>Máy trộn bê tông - dung tích 250 lít + Máy đầm bê tông, đầm dùi, công suất 1,5 kW</t>
        </is>
      </c>
      <c r="O13" s="8" t="n">
        <v>26</v>
      </c>
      <c r="P13" s="8">
        <f>IF(AND($J13&lt;=P$6+6,$K13&gt;=P$6),IF($M13&gt;0,$M13,1),"")</f>
        <v/>
      </c>
      <c r="Q13" s="8">
        <f>IF(AND($J13&lt;=Q$6+6,$K13&gt;=Q$6),IF($M13&gt;0,$M13,1),"")</f>
        <v/>
      </c>
      <c r="R13" s="8">
        <f>IF(AND($J13&lt;=R$6+6,$K13&gt;=R$6),IF($M13&gt;0,$M13,1),"")</f>
        <v/>
      </c>
      <c r="S13" s="8">
        <f>IF(AND($J13&lt;=S$6+6,$K13&gt;=S$6),IF($M13&gt;0,$M13,1),"")</f>
        <v/>
      </c>
      <c r="T13" s="8">
        <f>IF(AND($J13&lt;=T$6+6,$K13&gt;=T$6),IF($M13&gt;0,$M13,1),"")</f>
        <v/>
      </c>
      <c r="U13" s="8">
        <f>IF(AND($J13&lt;=U$6+6,$K13&gt;=U$6),IF($M13&gt;0,$M13,1),"")</f>
        <v/>
      </c>
      <c r="V13" s="8">
        <f>IF(AND($J13&lt;=V$6+6,$K13&gt;=V$6),IF($M13&gt;0,$M13,1),"")</f>
        <v/>
      </c>
    </row>
    <row r="14">
      <c r="A14" s="8" t="n">
        <v>8</v>
      </c>
      <c r="B14" s="8" t="inlineStr">
        <is>
          <t>3.4</t>
        </is>
      </c>
      <c r="C14" t="inlineStr">
        <is>
          <t>Bảo dưỡng, tháo ván khuôn (7 ngày)</t>
        </is>
      </c>
      <c r="D14" s="8" t="inlineStr">
        <is>
          <t>ngày</t>
        </is>
      </c>
      <c r="E14" s="9" t="n">
        <v>7</v>
      </c>
      <c r="F14" s="9" t="n">
        <v>0</v>
      </c>
      <c r="G14" s="9" t="n">
        <v>0</v>
      </c>
      <c r="H14" s="9" t="n">
        <v>0</v>
      </c>
      <c r="I14" s="10" t="n">
        <v>7</v>
      </c>
      <c r="J14" s="11" t="n">
        <v>46302</v>
      </c>
      <c r="K14" s="11" t="n">
        <v>46308</v>
      </c>
      <c r="L14" s="8" t="n">
        <v>2</v>
      </c>
      <c r="M14" s="8" t="n">
        <v>0</v>
      </c>
      <c r="N14" t="inlineStr">
        <is>
          <t>Chưa có định mức học được cho công tác này — không suy luận máy</t>
        </is>
      </c>
      <c r="O14" s="8" t="n">
        <v>1</v>
      </c>
      <c r="P14" s="8">
        <f>IF(AND($J14&lt;=P$6+6,$K14&gt;=P$6),IF($M14&gt;0,$M14,1),"")</f>
        <v/>
      </c>
      <c r="Q14" s="8">
        <f>IF(AND($J14&lt;=Q$6+6,$K14&gt;=Q$6),IF($M14&gt;0,$M14,1),"")</f>
        <v/>
      </c>
      <c r="R14" s="8">
        <f>IF(AND($J14&lt;=R$6+6,$K14&gt;=R$6),IF($M14&gt;0,$M14,1),"")</f>
        <v/>
      </c>
      <c r="S14" s="8">
        <f>IF(AND($J14&lt;=S$6+6,$K14&gt;=S$6),IF($M14&gt;0,$M14,1),"")</f>
        <v/>
      </c>
      <c r="T14" s="8">
        <f>IF(AND($J14&lt;=T$6+6,$K14&gt;=T$6),IF($M14&gt;0,$M14,1),"")</f>
        <v/>
      </c>
      <c r="U14" s="8">
        <f>IF(AND($J14&lt;=U$6+6,$K14&gt;=U$6),IF($M14&gt;0,$M14,1),"")</f>
        <v/>
      </c>
      <c r="V14" s="8">
        <f>IF(AND($J14&lt;=V$6+6,$K14&gt;=V$6),IF($M14&gt;0,$M14,1),"")</f>
        <v/>
      </c>
    </row>
    <row r="15">
      <c r="A15" s="8" t="n">
        <v>9</v>
      </c>
      <c r="B15" s="8" t="inlineStr">
        <is>
          <t>4.1</t>
        </is>
      </c>
      <c r="C15" t="inlineStr">
        <is>
          <t>Khe co giãn: xốp, bao tải nhựa đường</t>
        </is>
      </c>
      <c r="D15" s="8" t="inlineStr">
        <is>
          <t>khe</t>
        </is>
      </c>
      <c r="E15" s="9" t="n">
        <v>2</v>
      </c>
      <c r="F15" s="9" t="n">
        <v>0</v>
      </c>
      <c r="G15" s="9" t="n">
        <v>0</v>
      </c>
      <c r="H15" s="9" t="n">
        <v>0</v>
      </c>
      <c r="I15" s="10" t="n">
        <v>1</v>
      </c>
      <c r="J15" s="11" t="n">
        <v>46309</v>
      </c>
      <c r="K15" s="11" t="n">
        <v>46309</v>
      </c>
      <c r="L15" s="8" t="n">
        <v>1</v>
      </c>
      <c r="M15" s="8" t="n">
        <v>0</v>
      </c>
      <c r="N15" t="inlineStr">
        <is>
          <t>Chưa có định mức học được cho công tác này — không suy luận máy</t>
        </is>
      </c>
      <c r="O15" s="8" t="n">
        <v>3</v>
      </c>
      <c r="P15" s="8">
        <f>IF(AND($J15&lt;=P$6+6,$K15&gt;=P$6),IF($M15&gt;0,$M15,1),"")</f>
        <v/>
      </c>
      <c r="Q15" s="8">
        <f>IF(AND($J15&lt;=Q$6+6,$K15&gt;=Q$6),IF($M15&gt;0,$M15,1),"")</f>
        <v/>
      </c>
      <c r="R15" s="8">
        <f>IF(AND($J15&lt;=R$6+6,$K15&gt;=R$6),IF($M15&gt;0,$M15,1),"")</f>
        <v/>
      </c>
      <c r="S15" s="8">
        <f>IF(AND($J15&lt;=S$6+6,$K15&gt;=S$6),IF($M15&gt;0,$M15,1),"")</f>
        <v/>
      </c>
      <c r="T15" s="8">
        <f>IF(AND($J15&lt;=T$6+6,$K15&gt;=T$6),IF($M15&gt;0,$M15,1),"")</f>
        <v/>
      </c>
      <c r="U15" s="8">
        <f>IF(AND($J15&lt;=U$6+6,$K15&gt;=U$6),IF($M15&gt;0,$M15,1),"")</f>
        <v/>
      </c>
      <c r="V15" s="8">
        <f>IF(AND($J15&lt;=V$6+6,$K15&gt;=V$6),IF($M15&gt;0,$M15,1),"")</f>
        <v/>
      </c>
    </row>
    <row r="16">
      <c r="A16" s="8" t="n">
        <v>10</v>
      </c>
      <c r="B16" s="8" t="inlineStr">
        <is>
          <t>4.2</t>
        </is>
      </c>
      <c r="C16" t="inlineStr">
        <is>
          <t>Đắp cát hai bên, hoàn trả</t>
        </is>
      </c>
      <c r="D16" s="8" t="inlineStr">
        <is>
          <t>m3</t>
        </is>
      </c>
      <c r="E16" s="9" t="n">
        <v>24.747</v>
      </c>
      <c r="F16" s="9" t="n">
        <v>372.02</v>
      </c>
      <c r="G16" s="9">
        <f>IF(F16&gt;0,ROUND(E16/F16,2),0)</f>
        <v/>
      </c>
      <c r="H16" s="9">
        <f>IF(AND(F16&gt;0,L16&gt;0),ROUND(F16*L16*M16,2),0)</f>
        <v/>
      </c>
      <c r="I16" s="10" t="n">
        <v>2</v>
      </c>
      <c r="J16" s="11" t="n">
        <v>46310</v>
      </c>
      <c r="K16" s="11" t="n">
        <v>46311</v>
      </c>
      <c r="L16" s="8" t="n">
        <v>1</v>
      </c>
      <c r="M16" s="12">
        <f>IF(AND(G16&gt;0,I16&gt;0,L16&gt;0),ROUNDUP(G16/(I16*L16),1),0)</f>
        <v/>
      </c>
      <c r="N16" t="inlineStr">
        <is>
          <t>Máy xúc PC200 - PC300</t>
        </is>
      </c>
      <c r="O16" s="8" t="n">
        <v>7</v>
      </c>
      <c r="P16" s="8">
        <f>IF(AND($J16&lt;=P$6+6,$K16&gt;=P$6),IF($M16&gt;0,$M16,1),"")</f>
        <v/>
      </c>
      <c r="Q16" s="8">
        <f>IF(AND($J16&lt;=Q$6+6,$K16&gt;=Q$6),IF($M16&gt;0,$M16,1),"")</f>
        <v/>
      </c>
      <c r="R16" s="8">
        <f>IF(AND($J16&lt;=R$6+6,$K16&gt;=R$6),IF($M16&gt;0,$M16,1),"")</f>
        <v/>
      </c>
      <c r="S16" s="8">
        <f>IF(AND($J16&lt;=S$6+6,$K16&gt;=S$6),IF($M16&gt;0,$M16,1),"")</f>
        <v/>
      </c>
      <c r="T16" s="8">
        <f>IF(AND($J16&lt;=T$6+6,$K16&gt;=T$6),IF($M16&gt;0,$M16,1),"")</f>
        <v/>
      </c>
      <c r="U16" s="8">
        <f>IF(AND($J16&lt;=U$6+6,$K16&gt;=U$6),IF($M16&gt;0,$M16,1),"")</f>
        <v/>
      </c>
      <c r="V16" s="8">
        <f>IF(AND($J16&lt;=V$6+6,$K16&gt;=V$6),IF($M16&gt;0,$M16,1),"")</f>
        <v/>
      </c>
    </row>
    <row r="17">
      <c r="A17" s="8" t="n">
        <v>11</v>
      </c>
      <c r="B17" s="8" t="inlineStr">
        <is>
          <t>5.1</t>
        </is>
      </c>
      <c r="C17" t="inlineStr">
        <is>
          <t>Nghiệm thu KCS, hoàn công</t>
        </is>
      </c>
      <c r="D17" s="8" t="inlineStr">
        <is>
          <t>hồ sơ</t>
        </is>
      </c>
      <c r="E17" s="9" t="n">
        <v>1</v>
      </c>
      <c r="F17" s="9" t="n">
        <v>0</v>
      </c>
      <c r="G17" s="9" t="n">
        <v>0</v>
      </c>
      <c r="H17" s="9" t="n">
        <v>0</v>
      </c>
      <c r="I17" s="10" t="n">
        <v>2</v>
      </c>
      <c r="J17" s="11" t="n">
        <v>46312</v>
      </c>
      <c r="K17" s="11" t="n">
        <v>46313</v>
      </c>
      <c r="L17" s="8" t="n">
        <v>1</v>
      </c>
      <c r="M17" s="8" t="n">
        <v>0</v>
      </c>
      <c r="N17" t="inlineStr">
        <is>
          <t>Chưa có định mức học được cho công tác này — không suy luận máy</t>
        </is>
      </c>
      <c r="O17" s="8" t="n">
        <v>1</v>
      </c>
      <c r="P17" s="8">
        <f>IF(AND($J17&lt;=P$6+6,$K17&gt;=P$6),IF($M17&gt;0,$M17,1),"")</f>
        <v/>
      </c>
      <c r="Q17" s="8">
        <f>IF(AND($J17&lt;=Q$6+6,$K17&gt;=Q$6),IF($M17&gt;0,$M17,1),"")</f>
        <v/>
      </c>
      <c r="R17" s="8">
        <f>IF(AND($J17&lt;=R$6+6,$K17&gt;=R$6),IF($M17&gt;0,$M17,1),"")</f>
        <v/>
      </c>
      <c r="S17" s="8">
        <f>IF(AND($J17&lt;=S$6+6,$K17&gt;=S$6),IF($M17&gt;0,$M17,1),"")</f>
        <v/>
      </c>
      <c r="T17" s="8">
        <f>IF(AND($J17&lt;=T$6+6,$K17&gt;=T$6),IF($M17&gt;0,$M17,1),"")</f>
        <v/>
      </c>
      <c r="U17" s="8">
        <f>IF(AND($J17&lt;=U$6+6,$K17&gt;=U$6),IF($M17&gt;0,$M17,1),"")</f>
        <v/>
      </c>
      <c r="V17" s="8">
        <f>IF(AND($J17&lt;=V$6+6,$K17&gt;=V$6),IF($M17&gt;0,$M17,1),"")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8" customWidth="1" min="4" max="4"/>
    <col width="10" customWidth="1" min="5" max="5"/>
    <col width="14" customWidth="1" min="6" max="6"/>
    <col width="14" customWidth="1" min="7" max="7"/>
    <col width="12" customWidth="1" min="8" max="8"/>
    <col width="14" customWidth="1" min="9" max="9"/>
    <col width="38" customWidth="1" min="10" max="10"/>
  </cols>
  <sheetData>
    <row r="1">
      <c r="A1" s="13" t="inlineStr">
        <is>
          <t>TỔNG HỢP CA MÁY &amp; NHIÊN LIỆU — CONG HOP A5</t>
        </is>
      </c>
    </row>
    <row r="2">
      <c r="A2" t="inlineStr">
        <is>
          <t>Dữ liệu tính toán từ tiến độ và định mức năng suất máy</t>
        </is>
      </c>
    </row>
    <row r="3">
      <c r="A3" s="6" t="inlineStr">
        <is>
          <t>STT</t>
        </is>
      </c>
      <c r="B3" s="6" t="inlineStr">
        <is>
          <t>Mã máy</t>
        </is>
      </c>
      <c r="C3" s="6" t="inlineStr">
        <is>
          <t>Thiết bị thi công</t>
        </is>
      </c>
      <c r="D3" s="6" t="inlineStr">
        <is>
          <t>ĐVT</t>
        </is>
      </c>
      <c r="E3" s="6" t="inlineStr">
        <is>
          <t>Nhiên liệu</t>
        </is>
      </c>
      <c r="F3" s="6" t="inlineStr">
        <is>
          <t>Định mức dầu (lít/ca)</t>
        </is>
      </c>
      <c r="G3" s="6" t="inlineStr">
        <is>
          <t>Tổng số ca máy (ca)</t>
        </is>
      </c>
      <c r="H3" s="6" t="inlineStr">
        <is>
          <t>Số máy cao điểm</t>
        </is>
      </c>
      <c r="I3" s="6" t="inlineStr">
        <is>
          <t>Tổng lít dầu (lít)</t>
        </is>
      </c>
      <c r="J3" s="6" t="inlineStr">
        <is>
          <t>Thành phần thợ lái máy</t>
        </is>
      </c>
    </row>
    <row r="4">
      <c r="A4" s="8" t="n">
        <v>1</v>
      </c>
      <c r="B4" s="8" t="inlineStr">
        <is>
          <t>M102.0406</t>
        </is>
      </c>
      <c r="C4" t="inlineStr">
        <is>
          <t>Cần trục tháp - sức nâng 25 T</t>
        </is>
      </c>
      <c r="D4" s="8" t="inlineStr">
        <is>
          <t>máy</t>
        </is>
      </c>
      <c r="E4" s="8" t="inlineStr">
        <is>
          <t>kwh</t>
        </is>
      </c>
      <c r="F4" s="14" t="n"/>
      <c r="G4" s="15">
        <f>ROUND('01_TienDo_CaMay_Master'!E12/100.0*0.12,3)</f>
        <v/>
      </c>
      <c r="H4" s="8" t="n">
        <v>1</v>
      </c>
      <c r="I4" s="14">
        <f>IF(F4&gt;0,ROUND(G4*F4,1),0)</f>
        <v/>
      </c>
      <c r="J4" t="inlineStr">
        <is>
          <t>1x3/7+1x6/7</t>
        </is>
      </c>
    </row>
    <row r="5">
      <c r="A5" s="8" t="n">
        <v>2</v>
      </c>
      <c r="B5" s="8" t="inlineStr">
        <is>
          <t>M102.1001</t>
        </is>
      </c>
      <c r="C5" t="inlineStr">
        <is>
          <t>Máy vận thăng lồng - sức nâng 3,0 T</t>
        </is>
      </c>
      <c r="D5" s="8" t="inlineStr">
        <is>
          <t>máy</t>
        </is>
      </c>
      <c r="E5" s="8" t="inlineStr">
        <is>
          <t>kwh</t>
        </is>
      </c>
      <c r="F5" s="14" t="n"/>
      <c r="G5" s="15">
        <f>ROUND('01_TienDo_CaMay_Master'!E12/100.0*0.12,3)</f>
        <v/>
      </c>
      <c r="H5" s="8" t="n">
        <v>1</v>
      </c>
      <c r="I5" s="14">
        <f>IF(F5&gt;0,ROUND(G5*F5,1),0)</f>
        <v/>
      </c>
      <c r="J5" t="inlineStr">
        <is>
          <t>1x3/7</t>
        </is>
      </c>
    </row>
    <row r="6">
      <c r="A6" s="8" t="n">
        <v>3</v>
      </c>
      <c r="B6" s="8" t="inlineStr">
        <is>
          <t>M104.0102</t>
        </is>
      </c>
      <c r="C6" t="inlineStr">
        <is>
          <t>Máy trộn bê tông - dung tích 250 lít</t>
        </is>
      </c>
      <c r="D6" s="8" t="inlineStr">
        <is>
          <t>máy</t>
        </is>
      </c>
      <c r="E6" s="8" t="inlineStr">
        <is>
          <t>kwh</t>
        </is>
      </c>
      <c r="F6" s="14" t="n"/>
      <c r="G6" s="15">
        <f>ROUND('01_TienDo_CaMay_Master'!E10/1.0*0.095+'01_TienDo_CaMay_Master'!E13/1.0*0.095,3)</f>
        <v/>
      </c>
      <c r="H6" s="8" t="n">
        <v>1</v>
      </c>
      <c r="I6" s="14">
        <f>IF(F6&gt;0,ROUND(G6*F6,1),0)</f>
        <v/>
      </c>
      <c r="J6" t="inlineStr">
        <is>
          <t>1x3/7</t>
        </is>
      </c>
    </row>
    <row r="7">
      <c r="A7" s="8" t="n">
        <v>4</v>
      </c>
      <c r="B7" s="8" t="inlineStr">
        <is>
          <t>M112.1101</t>
        </is>
      </c>
      <c r="C7" t="inlineStr">
        <is>
          <t>Máy đầm bê tông, đầm bàn, công suất 1,0 kW</t>
        </is>
      </c>
      <c r="D7" s="8" t="inlineStr">
        <is>
          <t>máy</t>
        </is>
      </c>
      <c r="E7" s="8" t="inlineStr">
        <is>
          <t>kwh</t>
        </is>
      </c>
      <c r="F7" s="14" t="n"/>
      <c r="G7" s="15">
        <f>ROUND('01_TienDo_CaMay_Master'!E10/1.0*0.089,3)</f>
        <v/>
      </c>
      <c r="H7" s="8" t="n">
        <v>1</v>
      </c>
      <c r="I7" s="14">
        <f>IF(F7&gt;0,ROUND(G7*F7,1),0)</f>
        <v/>
      </c>
      <c r="J7" t="inlineStr">
        <is>
          <t>1x3/7</t>
        </is>
      </c>
    </row>
    <row r="8">
      <c r="A8" s="8" t="n">
        <v>5</v>
      </c>
      <c r="B8" s="8" t="inlineStr">
        <is>
          <t>M112.1301</t>
        </is>
      </c>
      <c r="C8" t="inlineStr">
        <is>
          <t>Máy đầm bê tông, đầm dùi, công suất 1,5 kW</t>
        </is>
      </c>
      <c r="D8" s="8" t="inlineStr">
        <is>
          <t>máy</t>
        </is>
      </c>
      <c r="E8" s="8" t="inlineStr">
        <is>
          <t>kwh</t>
        </is>
      </c>
      <c r="F8" s="14" t="n"/>
      <c r="G8" s="15">
        <f>ROUND('01_TienDo_CaMay_Master'!E13/1.0*0.18,3)</f>
        <v/>
      </c>
      <c r="H8" s="8" t="n">
        <v>1</v>
      </c>
      <c r="I8" s="14">
        <f>IF(F8&gt;0,ROUND(G8*F8,1),0)</f>
        <v/>
      </c>
      <c r="J8" t="inlineStr">
        <is>
          <t>1x3/7</t>
        </is>
      </c>
    </row>
    <row r="9">
      <c r="A9" s="8" t="n">
        <v>6</v>
      </c>
      <c r="B9" s="8" t="inlineStr">
        <is>
          <t>M112.4003</t>
        </is>
      </c>
      <c r="C9" t="inlineStr">
        <is>
          <t>Máy hàn xoay chiều công suất 23,0 kW</t>
        </is>
      </c>
      <c r="D9" s="8" t="inlineStr">
        <is>
          <t>máy</t>
        </is>
      </c>
      <c r="E9" s="8" t="inlineStr">
        <is>
          <t>kwh</t>
        </is>
      </c>
      <c r="F9" s="14" t="n"/>
      <c r="G9" s="15">
        <f>ROUND('01_TienDo_CaMay_Master'!E12/100.0*1.5,3)</f>
        <v/>
      </c>
      <c r="H9" s="8" t="n">
        <v>1</v>
      </c>
      <c r="I9" s="14">
        <f>IF(F9&gt;0,ROUND(G9*F9,1),0)</f>
        <v/>
      </c>
      <c r="J9" t="inlineStr">
        <is>
          <t>1x4/7</t>
        </is>
      </c>
    </row>
    <row r="10">
      <c r="A10" s="8" t="n">
        <v>7</v>
      </c>
      <c r="B10" s="8" t="inlineStr">
        <is>
          <t>VC.M1</t>
        </is>
      </c>
      <c r="C10" t="inlineStr">
        <is>
          <t>Máy xúc PC200 - PC300</t>
        </is>
      </c>
      <c r="D10" s="8" t="inlineStr">
        <is>
          <t>máy</t>
        </is>
      </c>
      <c r="E10" s="8" t="inlineStr">
        <is>
          <t>diezel</t>
        </is>
      </c>
      <c r="F10" s="16" t="n">
        <v>89.60000000000001</v>
      </c>
      <c r="G10" s="15">
        <f>ROUND('01_TienDo_CaMay_Master'!E8/1.0*0.00196+'01_TienDo_CaMay_Master'!E16/1.0*0.002688,3)</f>
        <v/>
      </c>
      <c r="H10" s="8" t="n">
        <v>1</v>
      </c>
      <c r="I10" s="14">
        <f>IF(F10&gt;0,ROUND(G10*F10,1),0)</f>
        <v/>
      </c>
      <c r="J10" t="inlineStr">
        <is>
          <t>1 thợ lái máy (theo ĐM Vincons sheet May)</t>
        </is>
      </c>
    </row>
    <row r="11">
      <c r="A11" s="8" t="n">
        <v>8</v>
      </c>
      <c r="B11" s="8" t="inlineStr">
        <is>
          <t>VC.M3</t>
        </is>
      </c>
      <c r="C11" t="inlineStr">
        <is>
          <t>Máy ủi D3 - D5</t>
        </is>
      </c>
      <c r="D11" s="8" t="inlineStr">
        <is>
          <t>máy</t>
        </is>
      </c>
      <c r="E11" s="8" t="inlineStr">
        <is>
          <t>diezel</t>
        </is>
      </c>
      <c r="F11" s="16" t="n">
        <v>124</v>
      </c>
      <c r="G11" s="15">
        <f>ROUND('01_TienDo_CaMay_Master'!E8/1.0*0.0003+'01_TienDo_CaMay_Master'!E9/1.0*0.00111,3)</f>
        <v/>
      </c>
      <c r="H11" s="8" t="n">
        <v>1</v>
      </c>
      <c r="I11" s="14">
        <f>IF(F11&gt;0,ROUND(G11*F11,1),0)</f>
        <v/>
      </c>
      <c r="J11" t="inlineStr">
        <is>
          <t>1 thợ lái máy (theo ĐM Vincons sheet May)</t>
        </is>
      </c>
    </row>
    <row r="12">
      <c r="A12" s="8" t="n">
        <v>9</v>
      </c>
      <c r="B12" s="8" t="inlineStr">
        <is>
          <t>VC.M5</t>
        </is>
      </c>
      <c r="C12" t="inlineStr">
        <is>
          <t>Máy lu 12T - 16T</t>
        </is>
      </c>
      <c r="D12" s="8" t="inlineStr">
        <is>
          <t>máy</t>
        </is>
      </c>
      <c r="E12" s="8" t="inlineStr">
        <is>
          <t>diezel</t>
        </is>
      </c>
      <c r="F12" s="16" t="n">
        <v>44</v>
      </c>
      <c r="G12" s="15">
        <f>ROUND('01_TienDo_CaMay_Master'!E9/1.0*0.00223,3)</f>
        <v/>
      </c>
      <c r="H12" s="8" t="n">
        <v>1</v>
      </c>
      <c r="I12" s="14">
        <f>IF(F12&gt;0,ROUND(G12*F12,1),0)</f>
        <v/>
      </c>
      <c r="J12" t="inlineStr">
        <is>
          <t>1 thợ lái máy (theo ĐM Vincons sheet May)</t>
        </is>
      </c>
    </row>
    <row r="13">
      <c r="C13" s="4" t="inlineStr">
        <is>
          <t>TỔNG CỘNG</t>
        </is>
      </c>
      <c r="G13" s="17">
        <f>SUM(G4:G12)</f>
        <v/>
      </c>
      <c r="I13" s="18">
        <f>SUM(I4:I12)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2" customWidth="1" min="4" max="4"/>
    <col width="14" customWidth="1" min="5" max="5"/>
  </cols>
  <sheetData>
    <row r="1">
      <c r="A1" s="13" t="inlineStr">
        <is>
          <t>KẾ HOẠCH DẦU DIEZEL — CONG HOP A5</t>
        </is>
      </c>
    </row>
    <row r="2">
      <c r="A2" t="inlineStr">
        <is>
          <t>Chỉ tổng hợp máy dùng diezel; máy dùng xăng/điện không tính lít dầu.</t>
        </is>
      </c>
    </row>
    <row r="3">
      <c r="A3" s="6" t="inlineStr">
        <is>
          <t>STT</t>
        </is>
      </c>
      <c r="B3" s="6" t="inlineStr">
        <is>
          <t>Thiết bị</t>
        </is>
      </c>
      <c r="C3" s="6" t="inlineStr">
        <is>
          <t>Định mức (lít/ca)</t>
        </is>
      </c>
      <c r="D3" s="6" t="inlineStr">
        <is>
          <t>Tổng ca</t>
        </is>
      </c>
      <c r="E3" s="6" t="inlineStr">
        <is>
          <t>Tổng dầu (lít)</t>
        </is>
      </c>
    </row>
    <row r="4">
      <c r="A4" s="8" t="n">
        <v>1</v>
      </c>
      <c r="B4">
        <f>'02_TongHop_CaXe_CaMay_MMTB'!C4</f>
        <v/>
      </c>
      <c r="C4" s="14">
        <f>'02_TongHop_CaXe_CaMay_MMTB'!F4</f>
        <v/>
      </c>
      <c r="D4" s="15">
        <f>'02_TongHop_CaXe_CaMay_MMTB'!G4</f>
        <v/>
      </c>
      <c r="E4" s="14">
        <f>IF(C4="",0,ROUND(C4*D4,1))</f>
        <v/>
      </c>
    </row>
    <row r="5">
      <c r="A5" s="8" t="n">
        <v>2</v>
      </c>
      <c r="B5">
        <f>'02_TongHop_CaXe_CaMay_MMTB'!C5</f>
        <v/>
      </c>
      <c r="C5" s="14">
        <f>'02_TongHop_CaXe_CaMay_MMTB'!F5</f>
        <v/>
      </c>
      <c r="D5" s="15">
        <f>'02_TongHop_CaXe_CaMay_MMTB'!G5</f>
        <v/>
      </c>
      <c r="E5" s="14">
        <f>IF(C5="",0,ROUND(C5*D5,1))</f>
        <v/>
      </c>
    </row>
    <row r="6">
      <c r="A6" s="8" t="n">
        <v>3</v>
      </c>
      <c r="B6">
        <f>'02_TongHop_CaXe_CaMay_MMTB'!C6</f>
        <v/>
      </c>
      <c r="C6" s="14">
        <f>'02_TongHop_CaXe_CaMay_MMTB'!F6</f>
        <v/>
      </c>
      <c r="D6" s="15">
        <f>'02_TongHop_CaXe_CaMay_MMTB'!G6</f>
        <v/>
      </c>
      <c r="E6" s="14">
        <f>IF(C6="",0,ROUND(C6*D6,1))</f>
        <v/>
      </c>
    </row>
    <row r="7">
      <c r="A7" s="8" t="n">
        <v>4</v>
      </c>
      <c r="B7">
        <f>'02_TongHop_CaXe_CaMay_MMTB'!C7</f>
        <v/>
      </c>
      <c r="C7" s="14">
        <f>'02_TongHop_CaXe_CaMay_MMTB'!F7</f>
        <v/>
      </c>
      <c r="D7" s="15">
        <f>'02_TongHop_CaXe_CaMay_MMTB'!G7</f>
        <v/>
      </c>
      <c r="E7" s="14">
        <f>IF(C7="",0,ROUND(C7*D7,1))</f>
        <v/>
      </c>
    </row>
    <row r="8">
      <c r="A8" s="8" t="n">
        <v>5</v>
      </c>
      <c r="B8">
        <f>'02_TongHop_CaXe_CaMay_MMTB'!C8</f>
        <v/>
      </c>
      <c r="C8" s="14">
        <f>'02_TongHop_CaXe_CaMay_MMTB'!F8</f>
        <v/>
      </c>
      <c r="D8" s="15">
        <f>'02_TongHop_CaXe_CaMay_MMTB'!G8</f>
        <v/>
      </c>
      <c r="E8" s="14">
        <f>IF(C8="",0,ROUND(C8*D8,1))</f>
        <v/>
      </c>
    </row>
    <row r="9">
      <c r="A9" s="8" t="n">
        <v>6</v>
      </c>
      <c r="B9">
        <f>'02_TongHop_CaXe_CaMay_MMTB'!C9</f>
        <v/>
      </c>
      <c r="C9" s="14">
        <f>'02_TongHop_CaXe_CaMay_MMTB'!F9</f>
        <v/>
      </c>
      <c r="D9" s="15">
        <f>'02_TongHop_CaXe_CaMay_MMTB'!G9</f>
        <v/>
      </c>
      <c r="E9" s="14">
        <f>IF(C9="",0,ROUND(C9*D9,1))</f>
        <v/>
      </c>
    </row>
    <row r="10">
      <c r="A10" s="8" t="n">
        <v>7</v>
      </c>
      <c r="B10">
        <f>'02_TongHop_CaXe_CaMay_MMTB'!C10</f>
        <v/>
      </c>
      <c r="C10" s="14">
        <f>'02_TongHop_CaXe_CaMay_MMTB'!F10</f>
        <v/>
      </c>
      <c r="D10" s="15">
        <f>'02_TongHop_CaXe_CaMay_MMTB'!G10</f>
        <v/>
      </c>
      <c r="E10" s="14">
        <f>IF(C10="",0,ROUND(C10*D10,1))</f>
        <v/>
      </c>
    </row>
    <row r="11">
      <c r="A11" s="8" t="n">
        <v>8</v>
      </c>
      <c r="B11">
        <f>'02_TongHop_CaXe_CaMay_MMTB'!C11</f>
        <v/>
      </c>
      <c r="C11" s="14">
        <f>'02_TongHop_CaXe_CaMay_MMTB'!F11</f>
        <v/>
      </c>
      <c r="D11" s="15">
        <f>'02_TongHop_CaXe_CaMay_MMTB'!G11</f>
        <v/>
      </c>
      <c r="E11" s="14">
        <f>IF(C11="",0,ROUND(C11*D11,1))</f>
        <v/>
      </c>
    </row>
    <row r="12">
      <c r="A12" s="8" t="n">
        <v>9</v>
      </c>
      <c r="B12">
        <f>'02_TongHop_CaXe_CaMay_MMTB'!C12</f>
        <v/>
      </c>
      <c r="C12" s="14">
        <f>'02_TongHop_CaXe_CaMay_MMTB'!F12</f>
        <v/>
      </c>
      <c r="D12" s="15">
        <f>'02_TongHop_CaXe_CaMay_MMTB'!G12</f>
        <v/>
      </c>
      <c r="E12" s="14">
        <f>IF(C12="",0,ROUND(C12*D12,1))</f>
        <v/>
      </c>
    </row>
    <row r="13">
      <c r="B13" s="4" t="inlineStr">
        <is>
          <t>TỔNG CỘNG</t>
        </is>
      </c>
      <c r="E13" s="18">
        <f>SUM(E4:E12)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4" customWidth="1" min="3" max="3"/>
    <col width="12" customWidth="1" min="4" max="4"/>
    <col width="10" customWidth="1" min="5" max="5"/>
    <col width="14" customWidth="1" min="6" max="6"/>
    <col width="18" customWidth="1" min="7" max="7"/>
  </cols>
  <sheetData>
    <row r="1">
      <c r="A1" s="13" t="inlineStr">
        <is>
          <t>NHÂN LỰC THEO HẠNG MỤC — CONG HOP A5</t>
        </is>
      </c>
    </row>
    <row r="2">
      <c r="A2" t="inlineStr">
        <is>
          <t>Nhân lực bố trí theo tiến độ và công tổ đội.</t>
        </is>
      </c>
    </row>
    <row r="3">
      <c r="A3" s="6" t="inlineStr">
        <is>
          <t>STT</t>
        </is>
      </c>
      <c r="B3" s="6" t="inlineStr">
        <is>
          <t>WBS</t>
        </is>
      </c>
      <c r="C3" s="6" t="inlineStr">
        <is>
          <t>Hạng mục</t>
        </is>
      </c>
      <c r="D3" s="6" t="inlineStr">
        <is>
          <t>Thời gian (ngày)</t>
        </is>
      </c>
      <c r="E3" s="6" t="inlineStr">
        <is>
          <t>Số ca/ngày</t>
        </is>
      </c>
      <c r="F3" s="6" t="inlineStr">
        <is>
          <t>Nhân lực/tổ (người)</t>
        </is>
      </c>
      <c r="G3" s="6" t="inlineStr">
        <is>
          <t>Tổng công (người-ngày)</t>
        </is>
      </c>
    </row>
    <row r="4">
      <c r="A4" s="8" t="n">
        <v>1</v>
      </c>
      <c r="B4" s="8" t="inlineStr">
        <is>
          <t>1.1</t>
        </is>
      </c>
      <c r="C4" t="inlineStr">
        <is>
          <t>Định vị tuyến, rào chắn, lắp dựng ĐD</t>
        </is>
      </c>
      <c r="D4" s="8">
        <f>'01_TienDo_CaMay_Master'!I7</f>
        <v/>
      </c>
      <c r="E4" s="8">
        <f>'01_TienDo_CaMay_Master'!L7</f>
        <v/>
      </c>
      <c r="F4" s="8">
        <f>'01_TienDo_CaMay_Master'!O7</f>
        <v/>
      </c>
      <c r="G4" s="14">
        <f>D4*E4*F4</f>
        <v/>
      </c>
    </row>
    <row r="5">
      <c r="A5" s="8" t="n">
        <v>2</v>
      </c>
      <c r="B5" s="8" t="inlineStr">
        <is>
          <t>2.1</t>
        </is>
      </c>
      <c r="C5" t="inlineStr">
        <is>
          <t>Đào bóc 30 cm nền hiện trạng</t>
        </is>
      </c>
      <c r="D5" s="8">
        <f>'01_TienDo_CaMay_Master'!I8</f>
        <v/>
      </c>
      <c r="E5" s="8">
        <f>'01_TienDo_CaMay_Master'!L8</f>
        <v/>
      </c>
      <c r="F5" s="8">
        <f>'01_TienDo_CaMay_Master'!O8</f>
        <v/>
      </c>
      <c r="G5" s="14">
        <f>D5*E5*F5</f>
        <v/>
      </c>
    </row>
    <row r="6">
      <c r="A6" s="8" t="n">
        <v>3</v>
      </c>
      <c r="B6" s="8" t="inlineStr">
        <is>
          <t>2.2</t>
        </is>
      </c>
      <c r="C6" t="inlineStr">
        <is>
          <t>Đệm cát đầm chặt K0.9</t>
        </is>
      </c>
      <c r="D6" s="8">
        <f>'01_TienDo_CaMay_Master'!I9</f>
        <v/>
      </c>
      <c r="E6" s="8">
        <f>'01_TienDo_CaMay_Master'!L9</f>
        <v/>
      </c>
      <c r="F6" s="8">
        <f>'01_TienDo_CaMay_Master'!O9</f>
        <v/>
      </c>
      <c r="G6" s="14">
        <f>D6*E6*F6</f>
        <v/>
      </c>
    </row>
    <row r="7">
      <c r="A7" s="8" t="n">
        <v>4</v>
      </c>
      <c r="B7" s="8" t="inlineStr">
        <is>
          <t>2.3</t>
        </is>
      </c>
      <c r="C7" t="inlineStr">
        <is>
          <t>Bê tông lót M100 dày 50</t>
        </is>
      </c>
      <c r="D7" s="8">
        <f>'01_TienDo_CaMay_Master'!I10</f>
        <v/>
      </c>
      <c r="E7" s="8">
        <f>'01_TienDo_CaMay_Master'!L10</f>
        <v/>
      </c>
      <c r="F7" s="8">
        <f>'01_TienDo_CaMay_Master'!O10</f>
        <v/>
      </c>
      <c r="G7" s="14">
        <f>D7*E7*F7</f>
        <v/>
      </c>
    </row>
    <row r="8">
      <c r="A8" s="8" t="n">
        <v>5</v>
      </c>
      <c r="B8" s="8" t="inlineStr">
        <is>
          <t>3.1</t>
        </is>
      </c>
      <c r="C8" t="inlineStr">
        <is>
          <t>Gia công, lắp dựng cốt thép</t>
        </is>
      </c>
      <c r="D8" s="8">
        <f>'01_TienDo_CaMay_Master'!I11</f>
        <v/>
      </c>
      <c r="E8" s="8">
        <f>'01_TienDo_CaMay_Master'!L11</f>
        <v/>
      </c>
      <c r="F8" s="8">
        <f>'01_TienDo_CaMay_Master'!O11</f>
        <v/>
      </c>
      <c r="G8" s="14">
        <f>D8*E8*F8</f>
        <v/>
      </c>
    </row>
    <row r="9">
      <c r="A9" s="8" t="n">
        <v>6</v>
      </c>
      <c r="B9" s="8" t="inlineStr">
        <is>
          <t>3.2</t>
        </is>
      </c>
      <c r="C9" t="inlineStr">
        <is>
          <t>Lắp dựng ván khuôn</t>
        </is>
      </c>
      <c r="D9" s="8">
        <f>'01_TienDo_CaMay_Master'!I12</f>
        <v/>
      </c>
      <c r="E9" s="8">
        <f>'01_TienDo_CaMay_Master'!L12</f>
        <v/>
      </c>
      <c r="F9" s="8">
        <f>'01_TienDo_CaMay_Master'!O12</f>
        <v/>
      </c>
      <c r="G9" s="14">
        <f>D9*E9*F9</f>
        <v/>
      </c>
    </row>
    <row r="10">
      <c r="A10" s="8" t="n">
        <v>7</v>
      </c>
      <c r="B10" s="8" t="inlineStr">
        <is>
          <t>3.3</t>
        </is>
      </c>
      <c r="C10" t="inlineStr">
        <is>
          <t>Đổ bê tông B20 thân cống</t>
        </is>
      </c>
      <c r="D10" s="8">
        <f>'01_TienDo_CaMay_Master'!I13</f>
        <v/>
      </c>
      <c r="E10" s="8">
        <f>'01_TienDo_CaMay_Master'!L13</f>
        <v/>
      </c>
      <c r="F10" s="8">
        <f>'01_TienDo_CaMay_Master'!O13</f>
        <v/>
      </c>
      <c r="G10" s="14">
        <f>D10*E10*F10</f>
        <v/>
      </c>
    </row>
    <row r="11">
      <c r="A11" s="8" t="n">
        <v>8</v>
      </c>
      <c r="B11" s="8" t="inlineStr">
        <is>
          <t>3.4</t>
        </is>
      </c>
      <c r="C11" t="inlineStr">
        <is>
          <t>Bảo dưỡng, tháo ván khuôn (7 ngày)</t>
        </is>
      </c>
      <c r="D11" s="8">
        <f>'01_TienDo_CaMay_Master'!I14</f>
        <v/>
      </c>
      <c r="E11" s="8">
        <f>'01_TienDo_CaMay_Master'!L14</f>
        <v/>
      </c>
      <c r="F11" s="8">
        <f>'01_TienDo_CaMay_Master'!O14</f>
        <v/>
      </c>
      <c r="G11" s="14">
        <f>D11*E11*F11</f>
        <v/>
      </c>
    </row>
    <row r="12">
      <c r="A12" s="8" t="n">
        <v>9</v>
      </c>
      <c r="B12" s="8" t="inlineStr">
        <is>
          <t>4.1</t>
        </is>
      </c>
      <c r="C12" t="inlineStr">
        <is>
          <t>Khe co giãn: xốp, bao tải nhựa đường</t>
        </is>
      </c>
      <c r="D12" s="8">
        <f>'01_TienDo_CaMay_Master'!I15</f>
        <v/>
      </c>
      <c r="E12" s="8">
        <f>'01_TienDo_CaMay_Master'!L15</f>
        <v/>
      </c>
      <c r="F12" s="8">
        <f>'01_TienDo_CaMay_Master'!O15</f>
        <v/>
      </c>
      <c r="G12" s="14">
        <f>D12*E12*F12</f>
        <v/>
      </c>
    </row>
    <row r="13">
      <c r="A13" s="8" t="n">
        <v>10</v>
      </c>
      <c r="B13" s="8" t="inlineStr">
        <is>
          <t>4.2</t>
        </is>
      </c>
      <c r="C13" t="inlineStr">
        <is>
          <t>Đắp cát hai bên, hoàn trả</t>
        </is>
      </c>
      <c r="D13" s="8">
        <f>'01_TienDo_CaMay_Master'!I16</f>
        <v/>
      </c>
      <c r="E13" s="8">
        <f>'01_TienDo_CaMay_Master'!L16</f>
        <v/>
      </c>
      <c r="F13" s="8">
        <f>'01_TienDo_CaMay_Master'!O16</f>
        <v/>
      </c>
      <c r="G13" s="14">
        <f>D13*E13*F13</f>
        <v/>
      </c>
    </row>
    <row r="14">
      <c r="A14" s="8" t="n">
        <v>11</v>
      </c>
      <c r="B14" s="8" t="inlineStr">
        <is>
          <t>5.1</t>
        </is>
      </c>
      <c r="C14" t="inlineStr">
        <is>
          <t>Nghiệm thu KCS, hoàn công</t>
        </is>
      </c>
      <c r="D14" s="8">
        <f>'01_TienDo_CaMay_Master'!I17</f>
        <v/>
      </c>
      <c r="E14" s="8">
        <f>'01_TienDo_CaMay_Master'!L17</f>
        <v/>
      </c>
      <c r="F14" s="8">
        <f>'01_TienDo_CaMay_Master'!O17</f>
        <v/>
      </c>
      <c r="G14" s="14">
        <f>D14*E14*F14</f>
        <v/>
      </c>
    </row>
    <row r="15">
      <c r="C15" s="4" t="inlineStr">
        <is>
          <t>TỔNG CỘNG</t>
        </is>
      </c>
      <c r="G15" s="18">
        <f>SUM(G4:G14)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  <col width="35" customWidth="1" min="4" max="4"/>
    <col width="14" customWidth="1" min="5" max="5"/>
    <col width="30" customWidth="1" min="6" max="6"/>
    <col width="12" customWidth="1" min="7" max="7"/>
    <col width="50" customWidth="1" min="8" max="8"/>
  </cols>
  <sheetData>
    <row r="1">
      <c r="A1" s="13" t="inlineStr">
        <is>
          <t>NGUỒN GỐC ĐỊNH MỨC &amp; CĂN CỨ SUY LUẬN CA MÁY</t>
        </is>
      </c>
    </row>
    <row r="2">
      <c r="A2" t="inlineStr">
        <is>
          <t>Bảng ma trận đối chiếu chi tiết các căn cứ kỹ thuật phục vụ kỹ sư kiểm toán, nghiệm thu.</t>
        </is>
      </c>
    </row>
    <row r="4">
      <c r="A4" t="inlineStr">
        <is>
          <t>Định mức nội bộ Vincons (MHT, VC, May): Sân vận động Olympic - Cụm B9 (ĐMGK Vincons) (media_1791020840571.xlsx, sha a7f6dab758bbdb48; sheet MHT, VC, May)</t>
        </is>
      </c>
    </row>
    <row r="5">
      <c r="A5" t="inlineStr">
        <is>
          <t>Thư viện ĐM dự toán: Cầu Tân Quang (dự toán cao tốc Tuyên Quang–Hà Giang) (2.GDX phan cau vs1.xlsm, sha 14f33b89ad7f7245; sheet Don gia XD, Gia ca may XD)</t>
        </is>
      </c>
    </row>
    <row r="6">
      <c r="A6" t="inlineStr">
        <is>
          <t>Bảng ca máy dự án: Cầu Km19+529.080 (260920_TDTC_CaXe_CaMay_DauDiezel_Cau_Km19+529.080.xlsx, sha 821f449a2ba87869)</t>
        </is>
      </c>
    </row>
    <row r="7">
      <c r="A7" t="inlineStr">
        <is>
          <t>Quy tắc: (1) ĐM nội bộ nhà thầu Vincons; (2) ĐM dự toán xây dựng; (3) Năng suất trung vị công trình tương tự.</t>
        </is>
      </c>
    </row>
    <row r="8">
      <c r="A8" t="inlineStr">
        <is>
          <t>Trạng thái tri thức: PENDING_APPROVAL — cần kỹ sư xác nhận trước khi dùng điều phối thật.</t>
        </is>
      </c>
    </row>
    <row r="10">
      <c r="A10" s="6" t="inlineStr">
        <is>
          <t>WBS</t>
        </is>
      </c>
      <c r="B10" s="6" t="inlineStr">
        <is>
          <t>Hạng mục</t>
        </is>
      </c>
      <c r="C10" s="6" t="inlineStr">
        <is>
          <t>Nguồn định mức</t>
        </is>
      </c>
      <c r="D10" s="6" t="inlineStr">
        <is>
          <t>Mã hiệu / Công tác đối chiếu</t>
        </is>
      </c>
      <c r="E10" s="6" t="inlineStr">
        <is>
          <t>Đơn vị ĐM (hệ số)</t>
        </is>
      </c>
      <c r="F10" s="6" t="inlineStr">
        <is>
          <t>Máy (ca/đơn vị)</t>
        </is>
      </c>
      <c r="G10" s="6" t="inlineStr">
        <is>
          <t>Công/đơn vị</t>
        </is>
      </c>
      <c r="H10" s="6" t="inlineStr">
        <is>
          <t>Độ tin cậy &amp; Thẩm định</t>
        </is>
      </c>
    </row>
    <row r="11">
      <c r="A11" s="8" t="inlineStr">
        <is>
          <t>1.1</t>
        </is>
      </c>
      <c r="B11" t="inlineStr">
        <is>
          <t>Định vị tuyến, rào chắn, lắp dựng ĐD</t>
        </is>
      </c>
      <c r="C11" t="inlineStr">
        <is>
          <t>Chưa áp định mức</t>
        </is>
      </c>
      <c r="D11" t="inlineStr">
        <is>
          <t>Chưa có định mức học được cho công tác này — không suy luận máy</t>
        </is>
      </c>
    </row>
    <row r="12">
      <c r="A12" s="8" t="inlineStr">
        <is>
          <t>2.1</t>
        </is>
      </c>
      <c r="B12" t="inlineStr">
        <is>
          <t>Đào bóc 30 cm nền hiện trạng</t>
        </is>
      </c>
      <c r="C12" t="inlineStr">
        <is>
          <t>ĐM NỘI BỘ VINCONS (MHT)</t>
        </is>
      </c>
      <c r="D12" t="inlineStr">
        <is>
          <t>Đào hữu cơ</t>
        </is>
      </c>
      <c r="E12" s="8" t="n">
        <v>1</v>
      </c>
      <c r="F12" t="inlineStr">
        <is>
          <t>VC.M1=0.00196; VC.M3=0.0003</t>
        </is>
      </c>
      <c r="G12" t="n">
        <v>0.00392</v>
      </c>
      <c r="H12" t="inlineStr">
        <is>
          <t>ĐM nội bộ Vincons (MHT), 1 công tác; năng suất: VC.M1:510.2–510.2, VC.M3:3333.33–3333.33; Vincons ĐMGK: máy đào PC200-300 M1 (510 m³/ca) + máy ủi D3-D5 M3 (3.333 m³/ca)</t>
        </is>
      </c>
    </row>
    <row r="13">
      <c r="A13" s="8" t="inlineStr">
        <is>
          <t>2.2</t>
        </is>
      </c>
      <c r="B13" t="inlineStr">
        <is>
          <t>Đệm cát đầm chặt K0.9</t>
        </is>
      </c>
      <c r="C13" t="inlineStr">
        <is>
          <t>ĐM NỘI BỘ VINCONS (MHT)</t>
        </is>
      </c>
      <c r="D13" t="inlineStr">
        <is>
          <t>Đắp cát K90</t>
        </is>
      </c>
      <c r="E13" s="8" t="n">
        <v>1</v>
      </c>
      <c r="F13" t="inlineStr">
        <is>
          <t>VC.M3=0.00111; VC.M5=0.00223</t>
        </is>
      </c>
      <c r="G13" t="n">
        <v>0.0236</v>
      </c>
      <c r="H13" t="inlineStr">
        <is>
          <t>ĐM nội bộ Vincons (MHT), 1 công tác; năng suất: VC.M3:900.901–900.901, VC.M5:448.43–448.43; tương tự: định mức đắp cát K90 Vincons (máy ủi M3: 901 m³/ca + lu rung M5: 448 m³/ca)</t>
        </is>
      </c>
    </row>
    <row r="14">
      <c r="A14" s="8" t="inlineStr">
        <is>
          <t>2.3</t>
        </is>
      </c>
      <c r="B14" t="inlineStr">
        <is>
          <t>Bê tông lót M100 dày 50</t>
        </is>
      </c>
      <c r="C14" t="inlineStr">
        <is>
          <t>ĐM DỰ TOÁN</t>
        </is>
      </c>
      <c r="D14" t="inlineStr">
        <is>
          <t>AF.11110, AF.11120 — Bê tông lót móng C10, đá 4x6 đổ tại chỗ</t>
        </is>
      </c>
      <c r="E14" s="8" t="n">
        <v>1</v>
      </c>
      <c r="F14" t="inlineStr">
        <is>
          <t>M104.0102=0.095; M112.1101=0.089</t>
        </is>
      </c>
      <c r="G14" t="n">
        <v>0.98</v>
      </c>
      <c r="H14" t="inlineStr">
        <is>
          <t>ĐM dự toán, trung vị 2 công tác</t>
        </is>
      </c>
    </row>
    <row r="15">
      <c r="A15" s="8" t="inlineStr">
        <is>
          <t>3.1</t>
        </is>
      </c>
      <c r="B15" t="inlineStr">
        <is>
          <t>Gia công, lắp dựng cốt thép</t>
        </is>
      </c>
      <c r="C15" t="inlineStr">
        <is>
          <t>Chưa áp định mức</t>
        </is>
      </c>
      <c r="D15" t="inlineStr">
        <is>
          <t>Cần khối lượng cốt thép (tấn) từ bảng thống kê thép — hiện KL theo m³ bê tông nên chưa áp ĐM</t>
        </is>
      </c>
    </row>
    <row r="16">
      <c r="A16" s="8" t="inlineStr">
        <is>
          <t>3.2</t>
        </is>
      </c>
      <c r="B16" t="inlineStr">
        <is>
          <t>Lắp dựng ván khuôn</t>
        </is>
      </c>
      <c r="C16" t="inlineStr">
        <is>
          <t>ĐM DỰ TOÁN</t>
        </is>
      </c>
      <c r="D16" t="inlineStr">
        <is>
          <t>AF.86211 — Ván khuôn thép bt tường</t>
        </is>
      </c>
      <c r="E16" s="8" t="n">
        <v>100</v>
      </c>
      <c r="F16" t="inlineStr">
        <is>
          <t>M112.4003=1.5; M102.1001=0.12; M102.0406=0.12</t>
        </is>
      </c>
      <c r="G16" t="n">
        <v>28.5</v>
      </c>
      <c r="H16" t="inlineStr">
        <is>
          <t>ĐM dự toán, trung vị 1 công tác</t>
        </is>
      </c>
    </row>
    <row r="17">
      <c r="A17" s="8" t="inlineStr">
        <is>
          <t>3.3</t>
        </is>
      </c>
      <c r="B17" t="inlineStr">
        <is>
          <t>Đổ bê tông B20 thân cống</t>
        </is>
      </c>
      <c r="C17" t="inlineStr">
        <is>
          <t>ĐM DỰ TOÁN</t>
        </is>
      </c>
      <c r="D17" t="inlineStr">
        <is>
          <t>AF.11310, AF.12110 — Bê tông C25, đá 1x2 đổ tại chỗ; Bê tông tường C16</t>
        </is>
      </c>
      <c r="E17" s="8" t="n">
        <v>1</v>
      </c>
      <c r="F17" t="inlineStr">
        <is>
          <t>M104.0102=0.095; M112.1301=0.18</t>
        </is>
      </c>
      <c r="G17" t="n">
        <v>2.49</v>
      </c>
      <c r="H17" t="inlineStr">
        <is>
          <t>ĐM dự toán, trung vị 3 công tác</t>
        </is>
      </c>
    </row>
    <row r="18">
      <c r="A18" s="8" t="inlineStr">
        <is>
          <t>3.4</t>
        </is>
      </c>
      <c r="B18" t="inlineStr">
        <is>
          <t>Bảo dưỡng, tháo ván khuôn (7 ngày)</t>
        </is>
      </c>
      <c r="C18" t="inlineStr">
        <is>
          <t>Chưa áp định mức</t>
        </is>
      </c>
      <c r="D18" t="inlineStr">
        <is>
          <t>Chưa có định mức học được cho công tác này — không suy luận máy</t>
        </is>
      </c>
    </row>
    <row r="19">
      <c r="A19" s="8" t="inlineStr">
        <is>
          <t>4.1</t>
        </is>
      </c>
      <c r="B19" t="inlineStr">
        <is>
          <t>Khe co giãn: xốp, bao tải nhựa đường</t>
        </is>
      </c>
      <c r="C19" t="inlineStr">
        <is>
          <t>Chưa áp định mức</t>
        </is>
      </c>
      <c r="D19" t="inlineStr">
        <is>
          <t>Chưa có định mức học được cho công tác này — không suy luận máy</t>
        </is>
      </c>
    </row>
    <row r="20">
      <c r="A20" s="8" t="inlineStr">
        <is>
          <t>4.2</t>
        </is>
      </c>
      <c r="B20" t="inlineStr">
        <is>
          <t>Đắp cát hai bên, hoàn trả</t>
        </is>
      </c>
      <c r="C20" t="inlineStr">
        <is>
          <t>ĐM NỘI BỘ VINCONS (MHT)</t>
        </is>
      </c>
      <c r="D20" t="inlineStr">
        <is>
          <t>Đắp cống, ga</t>
        </is>
      </c>
      <c r="E20" s="8" t="n">
        <v>1</v>
      </c>
      <c r="F20" t="inlineStr">
        <is>
          <t>VC.M1=0.002688</t>
        </is>
      </c>
      <c r="G20" t="n">
        <v>0.018</v>
      </c>
      <c r="H20" t="inlineStr">
        <is>
          <t>ĐM nội bộ Vincons (MHT), 1 công tác; năng suất: VC.M1:372–372; Vincons ĐMGK: máy đào M1 đắp hoàn trả cống/ga (372 m³/ca)</t>
        </is>
      </c>
    </row>
    <row r="21">
      <c r="A21" s="8" t="inlineStr">
        <is>
          <t>5.1</t>
        </is>
      </c>
      <c r="B21" t="inlineStr">
        <is>
          <t>Nghiệm thu KCS, hoàn công</t>
        </is>
      </c>
      <c r="C21" t="inlineStr">
        <is>
          <t>Chưa áp định mức</t>
        </is>
      </c>
      <c r="D21" t="inlineStr">
        <is>
          <t>Chưa có định mức học được cho công tác này — không suy luận máy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2026-10-03T10:13:26Z</dcterms:created>
  <dcterms:modified xmlns:dcterms="http://purl.org/dc/terms/" xmlns:xsi="http://www.w3.org/2001/XMLSchema-instance" xsi:type="dcterms:W3CDTF">2026-10-03T10:13:26Z</dcterms:modified>
</cp:coreProperties>
</file>