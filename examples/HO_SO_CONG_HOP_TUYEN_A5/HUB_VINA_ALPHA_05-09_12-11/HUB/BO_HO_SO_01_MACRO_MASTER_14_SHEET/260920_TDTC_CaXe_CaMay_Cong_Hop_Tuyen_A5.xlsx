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\23HG-multiagent-system-main\23HG-multiagent-system-main\examples\HO_SO_CONG_HOP_TUYEN_A5\HO_SO_THUC_CHIEN_HUB_AND_SPOKE_CONG_A5\GOI_A_CO_GIOI_VA_DAU_DIEZEL\"/>
    </mc:Choice>
  </mc:AlternateContent>
  <xr:revisionPtr revIDLastSave="0" documentId="11_EF4B541B35786CFCA60B1A5B91FE628E99C9C68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TienDo_CaMay_Master" sheetId="1" r:id="rId1"/>
    <sheet name="02_TongHop_CaXe_CaMay_MMTB" sheetId="2" r:id="rId2"/>
    <sheet name="03_KeHoach_Dau_Diezel" sheetId="3" r:id="rId3"/>
    <sheet name="04_KeHoach_NhanLuc_3_Mui" sheetId="4" r:id="rId4"/>
    <sheet name="05_DoiChieu_BocTach_A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G7" i="5"/>
  <c r="F7" i="5"/>
  <c r="E7" i="5"/>
  <c r="D7" i="5"/>
  <c r="F15" i="4"/>
  <c r="E15" i="4"/>
  <c r="D15" i="4"/>
  <c r="C15" i="4"/>
  <c r="G14" i="4"/>
  <c r="G13" i="4"/>
  <c r="G12" i="4"/>
  <c r="G11" i="4"/>
  <c r="G10" i="4"/>
  <c r="G9" i="4"/>
  <c r="G8" i="4"/>
  <c r="G7" i="4"/>
  <c r="G6" i="4"/>
  <c r="G5" i="4"/>
  <c r="G4" i="4"/>
  <c r="F15" i="2"/>
  <c r="G14" i="2"/>
  <c r="G7" i="2"/>
  <c r="P54" i="1"/>
  <c r="P52" i="1"/>
  <c r="P50" i="1"/>
  <c r="P49" i="1"/>
  <c r="P45" i="1"/>
  <c r="P40" i="1"/>
  <c r="P39" i="1"/>
  <c r="P53" i="1" s="1"/>
  <c r="P38" i="1"/>
  <c r="P37" i="1"/>
  <c r="P51" i="1" s="1"/>
  <c r="P36" i="1"/>
  <c r="P35" i="1"/>
  <c r="P34" i="1"/>
  <c r="P48" i="1" s="1"/>
  <c r="P33" i="1"/>
  <c r="P47" i="1" s="1"/>
  <c r="P32" i="1"/>
  <c r="P46" i="1" s="1"/>
  <c r="P31" i="1"/>
  <c r="P30" i="1"/>
  <c r="P44" i="1" s="1"/>
  <c r="P29" i="1"/>
  <c r="P26" i="1"/>
  <c r="I24" i="1"/>
  <c r="H24" i="1"/>
  <c r="G24" i="1"/>
  <c r="M24" i="1" s="1"/>
  <c r="P24" i="1" s="1"/>
  <c r="I23" i="1"/>
  <c r="H23" i="1"/>
  <c r="G23" i="1"/>
  <c r="P22" i="1"/>
  <c r="I22" i="1"/>
  <c r="H22" i="1"/>
  <c r="G22" i="1"/>
  <c r="P21" i="1"/>
  <c r="M21" i="1"/>
  <c r="I21" i="1"/>
  <c r="H21" i="1" s="1"/>
  <c r="G21" i="1"/>
  <c r="Q20" i="1"/>
  <c r="P20" i="1"/>
  <c r="I20" i="1"/>
  <c r="H20" i="1"/>
  <c r="G20" i="1"/>
  <c r="M20" i="1" s="1"/>
  <c r="Q19" i="1"/>
  <c r="P19" i="1"/>
  <c r="I19" i="1"/>
  <c r="H19" i="1"/>
  <c r="G19" i="1"/>
  <c r="P18" i="1"/>
  <c r="M18" i="1"/>
  <c r="I18" i="1"/>
  <c r="H18" i="1"/>
  <c r="G18" i="1"/>
  <c r="Q17" i="1"/>
  <c r="P17" i="1"/>
  <c r="I17" i="1"/>
  <c r="H17" i="1"/>
  <c r="G17" i="1"/>
  <c r="G10" i="2" s="1"/>
  <c r="Q16" i="1"/>
  <c r="P16" i="1"/>
  <c r="I16" i="1"/>
  <c r="H16" i="1"/>
  <c r="G16" i="1"/>
  <c r="G9" i="2" s="1"/>
  <c r="Q15" i="1"/>
  <c r="P15" i="1"/>
  <c r="I15" i="1"/>
  <c r="H15" i="1"/>
  <c r="G15" i="1"/>
  <c r="M15" i="1" s="1"/>
  <c r="P14" i="1"/>
  <c r="I14" i="1"/>
  <c r="H14" i="1"/>
  <c r="G14" i="1"/>
  <c r="Q13" i="1"/>
  <c r="P13" i="1"/>
  <c r="I13" i="1"/>
  <c r="M13" i="1" s="1"/>
  <c r="G13" i="1"/>
  <c r="Q12" i="1"/>
  <c r="P12" i="1"/>
  <c r="I12" i="1"/>
  <c r="H12" i="1"/>
  <c r="G12" i="1"/>
  <c r="M12" i="1" s="1"/>
  <c r="I11" i="1"/>
  <c r="H11" i="1" s="1"/>
  <c r="G11" i="1"/>
  <c r="I10" i="1"/>
  <c r="M10" i="1" s="1"/>
  <c r="G10" i="1"/>
  <c r="G5" i="2" s="1"/>
  <c r="P9" i="1"/>
  <c r="I9" i="1"/>
  <c r="H9" i="1" s="1"/>
  <c r="G9" i="1"/>
  <c r="M9" i="1" s="1"/>
  <c r="I8" i="1"/>
  <c r="M8" i="1" s="1"/>
  <c r="P8" i="1" s="1"/>
  <c r="H8" i="1"/>
  <c r="G8" i="1"/>
  <c r="Q6" i="1"/>
  <c r="Q30" i="1" s="1"/>
  <c r="Q44" i="1" s="1"/>
  <c r="D10" i="3" l="1"/>
  <c r="E10" i="3" s="1"/>
  <c r="I10" i="2"/>
  <c r="G12" i="2"/>
  <c r="M11" i="1"/>
  <c r="P11" i="1" s="1"/>
  <c r="D9" i="3"/>
  <c r="E9" i="3" s="1"/>
  <c r="I9" i="2"/>
  <c r="M17" i="1"/>
  <c r="M16" i="1"/>
  <c r="D14" i="3"/>
  <c r="E14" i="3" s="1"/>
  <c r="I14" i="2"/>
  <c r="Q10" i="1"/>
  <c r="P10" i="1"/>
  <c r="M19" i="1"/>
  <c r="G11" i="2"/>
  <c r="G6" i="2"/>
  <c r="M22" i="1"/>
  <c r="D7" i="3"/>
  <c r="E7" i="3" s="1"/>
  <c r="I7" i="2"/>
  <c r="H13" i="1"/>
  <c r="G13" i="2"/>
  <c r="M23" i="1"/>
  <c r="P23" i="1" s="1"/>
  <c r="H10" i="1"/>
  <c r="Q18" i="1"/>
  <c r="M14" i="1"/>
  <c r="G8" i="2"/>
  <c r="Q32" i="1"/>
  <c r="Q46" i="1" s="1"/>
  <c r="P43" i="1"/>
  <c r="Q36" i="1"/>
  <c r="Q50" i="1" s="1"/>
  <c r="Q21" i="1"/>
  <c r="Q40" i="1"/>
  <c r="Q54" i="1" s="1"/>
  <c r="Q24" i="1"/>
  <c r="Q29" i="1"/>
  <c r="Q35" i="1"/>
  <c r="Q49" i="1" s="1"/>
  <c r="Q39" i="1"/>
  <c r="Q53" i="1" s="1"/>
  <c r="Q34" i="1"/>
  <c r="Q48" i="1" s="1"/>
  <c r="Q37" i="1"/>
  <c r="Q51" i="1" s="1"/>
  <c r="Q9" i="1"/>
  <c r="Q26" i="1"/>
  <c r="Q33" i="1"/>
  <c r="Q47" i="1" s="1"/>
  <c r="Q38" i="1"/>
  <c r="Q52" i="1" s="1"/>
  <c r="Q8" i="1"/>
  <c r="R6" i="1"/>
  <c r="Q22" i="1"/>
  <c r="Q14" i="1"/>
  <c r="Q31" i="1"/>
  <c r="Q45" i="1" s="1"/>
  <c r="Q43" i="1" s="1"/>
  <c r="D5" i="3"/>
  <c r="E5" i="3" s="1"/>
  <c r="I5" i="2"/>
  <c r="G15" i="4"/>
  <c r="G4" i="2"/>
  <c r="I12" i="2" l="1"/>
  <c r="D12" i="3"/>
  <c r="E12" i="3" s="1"/>
  <c r="I10" i="3"/>
  <c r="H10" i="3"/>
  <c r="G10" i="3"/>
  <c r="F10" i="3"/>
  <c r="H7" i="3"/>
  <c r="I7" i="3"/>
  <c r="G7" i="3"/>
  <c r="F7" i="3"/>
  <c r="I8" i="2"/>
  <c r="D8" i="3"/>
  <c r="E8" i="3" s="1"/>
  <c r="I4" i="2"/>
  <c r="I15" i="2" s="1"/>
  <c r="D4" i="3"/>
  <c r="G15" i="2"/>
  <c r="I9" i="3"/>
  <c r="H9" i="3"/>
  <c r="F9" i="3"/>
  <c r="G9" i="3"/>
  <c r="G5" i="3"/>
  <c r="F5" i="3"/>
  <c r="I5" i="3"/>
  <c r="H5" i="3"/>
  <c r="D13" i="3"/>
  <c r="E13" i="3" s="1"/>
  <c r="I13" i="2"/>
  <c r="Q23" i="1"/>
  <c r="R38" i="1"/>
  <c r="R52" i="1" s="1"/>
  <c r="R40" i="1"/>
  <c r="R54" i="1" s="1"/>
  <c r="R24" i="1"/>
  <c r="R29" i="1"/>
  <c r="R31" i="1"/>
  <c r="R45" i="1" s="1"/>
  <c r="R33" i="1"/>
  <c r="R47" i="1" s="1"/>
  <c r="R39" i="1"/>
  <c r="R53" i="1" s="1"/>
  <c r="R35" i="1"/>
  <c r="R49" i="1" s="1"/>
  <c r="R26" i="1"/>
  <c r="R32" i="1"/>
  <c r="R46" i="1" s="1"/>
  <c r="R17" i="1"/>
  <c r="S6" i="1"/>
  <c r="R30" i="1"/>
  <c r="R44" i="1" s="1"/>
  <c r="R18" i="1"/>
  <c r="R10" i="1"/>
  <c r="R9" i="1"/>
  <c r="R8" i="1"/>
  <c r="R37" i="1"/>
  <c r="R51" i="1" s="1"/>
  <c r="R15" i="1"/>
  <c r="R22" i="1"/>
  <c r="R23" i="1"/>
  <c r="R34" i="1"/>
  <c r="R48" i="1" s="1"/>
  <c r="R21" i="1"/>
  <c r="R19" i="1"/>
  <c r="R20" i="1"/>
  <c r="R36" i="1"/>
  <c r="R50" i="1" s="1"/>
  <c r="R16" i="1"/>
  <c r="R12" i="1"/>
  <c r="R14" i="1"/>
  <c r="R11" i="1"/>
  <c r="R13" i="1"/>
  <c r="I6" i="2"/>
  <c r="D6" i="3"/>
  <c r="E6" i="3" s="1"/>
  <c r="I11" i="2"/>
  <c r="D11" i="3"/>
  <c r="E11" i="3" s="1"/>
  <c r="G14" i="3"/>
  <c r="F14" i="3"/>
  <c r="I14" i="3"/>
  <c r="H14" i="3"/>
  <c r="Q11" i="1"/>
  <c r="I13" i="3" l="1"/>
  <c r="H13" i="3"/>
  <c r="G13" i="3"/>
  <c r="F13" i="3"/>
  <c r="E4" i="3"/>
  <c r="D15" i="3"/>
  <c r="S38" i="1"/>
  <c r="S52" i="1" s="1"/>
  <c r="S24" i="1"/>
  <c r="S19" i="1"/>
  <c r="S29" i="1"/>
  <c r="S31" i="1"/>
  <c r="S45" i="1" s="1"/>
  <c r="S37" i="1"/>
  <c r="S51" i="1" s="1"/>
  <c r="S39" i="1"/>
  <c r="S53" i="1" s="1"/>
  <c r="S35" i="1"/>
  <c r="S49" i="1" s="1"/>
  <c r="S26" i="1"/>
  <c r="S32" i="1"/>
  <c r="S46" i="1" s="1"/>
  <c r="S17" i="1"/>
  <c r="S33" i="1"/>
  <c r="S47" i="1" s="1"/>
  <c r="S15" i="1"/>
  <c r="S36" i="1"/>
  <c r="S50" i="1" s="1"/>
  <c r="S34" i="1"/>
  <c r="S48" i="1" s="1"/>
  <c r="S30" i="1"/>
  <c r="S44" i="1" s="1"/>
  <c r="S43" i="1" s="1"/>
  <c r="S40" i="1"/>
  <c r="S54" i="1" s="1"/>
  <c r="S10" i="1"/>
  <c r="S9" i="1"/>
  <c r="S8" i="1"/>
  <c r="S23" i="1"/>
  <c r="S22" i="1"/>
  <c r="S18" i="1"/>
  <c r="S21" i="1"/>
  <c r="S20" i="1"/>
  <c r="S16" i="1"/>
  <c r="S11" i="1"/>
  <c r="S12" i="1"/>
  <c r="S14" i="1"/>
  <c r="T6" i="1"/>
  <c r="S13" i="1"/>
  <c r="I8" i="3"/>
  <c r="H8" i="3"/>
  <c r="G8" i="3"/>
  <c r="F8" i="3"/>
  <c r="R43" i="1"/>
  <c r="I11" i="3"/>
  <c r="H11" i="3"/>
  <c r="F11" i="3"/>
  <c r="G11" i="3"/>
  <c r="G6" i="3"/>
  <c r="I6" i="3"/>
  <c r="H6" i="3"/>
  <c r="F6" i="3"/>
  <c r="I12" i="3"/>
  <c r="F12" i="3"/>
  <c r="H12" i="3"/>
  <c r="G12" i="3"/>
  <c r="T40" i="1" l="1"/>
  <c r="T54" i="1" s="1"/>
  <c r="T19" i="1"/>
  <c r="T29" i="1"/>
  <c r="T31" i="1"/>
  <c r="T45" i="1" s="1"/>
  <c r="T33" i="1"/>
  <c r="T47" i="1" s="1"/>
  <c r="T22" i="1"/>
  <c r="T35" i="1"/>
  <c r="T49" i="1" s="1"/>
  <c r="T37" i="1"/>
  <c r="T51" i="1" s="1"/>
  <c r="T24" i="1"/>
  <c r="T39" i="1"/>
  <c r="T53" i="1" s="1"/>
  <c r="T14" i="1"/>
  <c r="T32" i="1"/>
  <c r="T46" i="1" s="1"/>
  <c r="T17" i="1"/>
  <c r="T12" i="1"/>
  <c r="U6" i="1"/>
  <c r="T15" i="1"/>
  <c r="T20" i="1"/>
  <c r="T30" i="1"/>
  <c r="T44" i="1" s="1"/>
  <c r="T36" i="1"/>
  <c r="T50" i="1" s="1"/>
  <c r="T23" i="1"/>
  <c r="T26" i="1"/>
  <c r="T10" i="1"/>
  <c r="T9" i="1"/>
  <c r="T8" i="1"/>
  <c r="T18" i="1"/>
  <c r="T11" i="1"/>
  <c r="T38" i="1"/>
  <c r="T52" i="1" s="1"/>
  <c r="T21" i="1"/>
  <c r="T34" i="1"/>
  <c r="T48" i="1" s="1"/>
  <c r="T13" i="1"/>
  <c r="T16" i="1"/>
  <c r="H4" i="3"/>
  <c r="H15" i="3" s="1"/>
  <c r="G4" i="3"/>
  <c r="G15" i="3" s="1"/>
  <c r="F4" i="3"/>
  <c r="F15" i="3" s="1"/>
  <c r="I4" i="3"/>
  <c r="I15" i="3" s="1"/>
  <c r="E15" i="3"/>
  <c r="T43" i="1" l="1"/>
  <c r="U40" i="1"/>
  <c r="U54" i="1" s="1"/>
  <c r="U24" i="1"/>
  <c r="U29" i="1"/>
  <c r="U31" i="1"/>
  <c r="U45" i="1" s="1"/>
  <c r="U33" i="1"/>
  <c r="U47" i="1" s="1"/>
  <c r="U22" i="1"/>
  <c r="U39" i="1"/>
  <c r="U53" i="1" s="1"/>
  <c r="U9" i="1"/>
  <c r="U17" i="1"/>
  <c r="U12" i="1"/>
  <c r="V6" i="1"/>
  <c r="U20" i="1"/>
  <c r="U10" i="1"/>
  <c r="U23" i="1"/>
  <c r="U35" i="1"/>
  <c r="U49" i="1" s="1"/>
  <c r="U34" i="1"/>
  <c r="U48" i="1" s="1"/>
  <c r="U26" i="1"/>
  <c r="U36" i="1"/>
  <c r="U50" i="1" s="1"/>
  <c r="U14" i="1"/>
  <c r="U37" i="1"/>
  <c r="U51" i="1" s="1"/>
  <c r="U18" i="1"/>
  <c r="U15" i="1"/>
  <c r="U32" i="1"/>
  <c r="U46" i="1" s="1"/>
  <c r="U11" i="1"/>
  <c r="U16" i="1"/>
  <c r="U8" i="1"/>
  <c r="U38" i="1"/>
  <c r="U52" i="1" s="1"/>
  <c r="U19" i="1"/>
  <c r="U30" i="1"/>
  <c r="U44" i="1" s="1"/>
  <c r="U21" i="1"/>
  <c r="U13" i="1"/>
  <c r="V24" i="1" l="1"/>
  <c r="V19" i="1"/>
  <c r="V31" i="1"/>
  <c r="V45" i="1" s="1"/>
  <c r="V33" i="1"/>
  <c r="V47" i="1" s="1"/>
  <c r="V22" i="1"/>
  <c r="V35" i="1"/>
  <c r="V49" i="1" s="1"/>
  <c r="V37" i="1"/>
  <c r="V51" i="1" s="1"/>
  <c r="V14" i="1"/>
  <c r="V26" i="1"/>
  <c r="V12" i="1"/>
  <c r="W6" i="1"/>
  <c r="V38" i="1"/>
  <c r="V52" i="1" s="1"/>
  <c r="V36" i="1"/>
  <c r="V50" i="1" s="1"/>
  <c r="V29" i="1"/>
  <c r="V34" i="1"/>
  <c r="V48" i="1" s="1"/>
  <c r="V20" i="1"/>
  <c r="V40" i="1"/>
  <c r="V54" i="1" s="1"/>
  <c r="V32" i="1"/>
  <c r="V46" i="1" s="1"/>
  <c r="V18" i="1"/>
  <c r="V23" i="1"/>
  <c r="V15" i="1"/>
  <c r="V11" i="1"/>
  <c r="V9" i="1"/>
  <c r="V39" i="1"/>
  <c r="V53" i="1" s="1"/>
  <c r="V8" i="1"/>
  <c r="V16" i="1"/>
  <c r="V30" i="1"/>
  <c r="V44" i="1" s="1"/>
  <c r="V43" i="1" s="1"/>
  <c r="V21" i="1"/>
  <c r="V13" i="1"/>
  <c r="V17" i="1"/>
  <c r="V10" i="1"/>
  <c r="U43" i="1"/>
  <c r="W19" i="1" l="1"/>
  <c r="W29" i="1"/>
  <c r="W31" i="1"/>
  <c r="W45" i="1" s="1"/>
  <c r="W33" i="1"/>
  <c r="W47" i="1" s="1"/>
  <c r="W22" i="1"/>
  <c r="W35" i="1"/>
  <c r="W49" i="1" s="1"/>
  <c r="W39" i="1"/>
  <c r="W53" i="1" s="1"/>
  <c r="W9" i="1"/>
  <c r="W26" i="1"/>
  <c r="W32" i="1"/>
  <c r="W46" i="1" s="1"/>
  <c r="W38" i="1"/>
  <c r="W52" i="1" s="1"/>
  <c r="W34" i="1"/>
  <c r="W48" i="1" s="1"/>
  <c r="W20" i="1"/>
  <c r="W36" i="1"/>
  <c r="W50" i="1" s="1"/>
  <c r="W14" i="1"/>
  <c r="W30" i="1"/>
  <c r="W44" i="1" s="1"/>
  <c r="W8" i="1"/>
  <c r="W15" i="1"/>
  <c r="W11" i="1"/>
  <c r="W40" i="1"/>
  <c r="W54" i="1" s="1"/>
  <c r="W37" i="1"/>
  <c r="W51" i="1" s="1"/>
  <c r="W23" i="1"/>
  <c r="W18" i="1"/>
  <c r="W21" i="1"/>
  <c r="W16" i="1"/>
  <c r="W10" i="1"/>
  <c r="W12" i="1"/>
  <c r="W17" i="1"/>
  <c r="X6" i="1"/>
  <c r="W13" i="1"/>
  <c r="W24" i="1"/>
  <c r="X29" i="1" l="1"/>
  <c r="X33" i="1"/>
  <c r="X47" i="1" s="1"/>
  <c r="X22" i="1"/>
  <c r="X35" i="1"/>
  <c r="X49" i="1" s="1"/>
  <c r="X37" i="1"/>
  <c r="X51" i="1" s="1"/>
  <c r="X39" i="1"/>
  <c r="X53" i="1" s="1"/>
  <c r="X32" i="1"/>
  <c r="X46" i="1" s="1"/>
  <c r="X38" i="1"/>
  <c r="X52" i="1" s="1"/>
  <c r="X19" i="1"/>
  <c r="X30" i="1"/>
  <c r="X44" i="1" s="1"/>
  <c r="X21" i="1"/>
  <c r="X20" i="1"/>
  <c r="X40" i="1"/>
  <c r="X54" i="1" s="1"/>
  <c r="X26" i="1"/>
  <c r="X8" i="1"/>
  <c r="X10" i="1"/>
  <c r="X15" i="1"/>
  <c r="X23" i="1"/>
  <c r="X18" i="1"/>
  <c r="X11" i="1"/>
  <c r="X16" i="1"/>
  <c r="X34" i="1"/>
  <c r="X48" i="1" s="1"/>
  <c r="X12" i="1"/>
  <c r="X31" i="1"/>
  <c r="X45" i="1" s="1"/>
  <c r="X36" i="1"/>
  <c r="X50" i="1" s="1"/>
  <c r="X17" i="1"/>
  <c r="X14" i="1"/>
  <c r="Y6" i="1"/>
  <c r="X13" i="1"/>
  <c r="X9" i="1"/>
  <c r="X24" i="1"/>
  <c r="W43" i="1"/>
  <c r="Y31" i="1" l="1"/>
  <c r="Y45" i="1" s="1"/>
  <c r="Y33" i="1"/>
  <c r="Y47" i="1" s="1"/>
  <c r="Y22" i="1"/>
  <c r="Y35" i="1"/>
  <c r="Y49" i="1" s="1"/>
  <c r="Y37" i="1"/>
  <c r="Y51" i="1" s="1"/>
  <c r="Y39" i="1"/>
  <c r="Y53" i="1" s="1"/>
  <c r="Y26" i="1"/>
  <c r="Y17" i="1"/>
  <c r="Y15" i="1"/>
  <c r="Y30" i="1"/>
  <c r="Y44" i="1" s="1"/>
  <c r="Y21" i="1"/>
  <c r="Y19" i="1"/>
  <c r="Y36" i="1"/>
  <c r="Y50" i="1" s="1"/>
  <c r="Y40" i="1"/>
  <c r="Y54" i="1" s="1"/>
  <c r="Y10" i="1"/>
  <c r="Z6" i="1"/>
  <c r="Y24" i="1"/>
  <c r="Y9" i="1"/>
  <c r="Y23" i="1"/>
  <c r="Y18" i="1"/>
  <c r="Y11" i="1"/>
  <c r="Y32" i="1"/>
  <c r="Y46" i="1" s="1"/>
  <c r="Y38" i="1"/>
  <c r="Y52" i="1" s="1"/>
  <c r="Y16" i="1"/>
  <c r="Y29" i="1"/>
  <c r="Y20" i="1"/>
  <c r="Y8" i="1"/>
  <c r="Y14" i="1"/>
  <c r="Y13" i="1"/>
  <c r="Y12" i="1"/>
  <c r="Y34" i="1"/>
  <c r="Y48" i="1" s="1"/>
  <c r="X43" i="1"/>
  <c r="Z31" i="1" l="1"/>
  <c r="Z45" i="1" s="1"/>
  <c r="Z35" i="1"/>
  <c r="Z49" i="1" s="1"/>
  <c r="Z37" i="1"/>
  <c r="Z51" i="1" s="1"/>
  <c r="Z39" i="1"/>
  <c r="Z53" i="1" s="1"/>
  <c r="Z20" i="1"/>
  <c r="Z32" i="1"/>
  <c r="Z46" i="1" s="1"/>
  <c r="Z12" i="1"/>
  <c r="AA6" i="1"/>
  <c r="Z15" i="1"/>
  <c r="Z10" i="1"/>
  <c r="Z13" i="1"/>
  <c r="Z36" i="1"/>
  <c r="Z50" i="1" s="1"/>
  <c r="Z40" i="1"/>
  <c r="Z54" i="1" s="1"/>
  <c r="Z34" i="1"/>
  <c r="Z48" i="1" s="1"/>
  <c r="Z26" i="1"/>
  <c r="Z30" i="1"/>
  <c r="Z44" i="1" s="1"/>
  <c r="Z24" i="1"/>
  <c r="Z9" i="1"/>
  <c r="Z29" i="1"/>
  <c r="Z22" i="1"/>
  <c r="Z16" i="1"/>
  <c r="Z11" i="1"/>
  <c r="Z33" i="1"/>
  <c r="Z47" i="1" s="1"/>
  <c r="Z21" i="1"/>
  <c r="Z38" i="1"/>
  <c r="Z52" i="1" s="1"/>
  <c r="Z8" i="1"/>
  <c r="Z23" i="1"/>
  <c r="Z17" i="1"/>
  <c r="Z14" i="1"/>
  <c r="Z18" i="1"/>
  <c r="Z19" i="1"/>
  <c r="Y43" i="1"/>
  <c r="AA33" i="1" l="1"/>
  <c r="AA47" i="1" s="1"/>
  <c r="AA22" i="1"/>
  <c r="AA35" i="1"/>
  <c r="AA49" i="1" s="1"/>
  <c r="AA37" i="1"/>
  <c r="AA51" i="1" s="1"/>
  <c r="AA39" i="1"/>
  <c r="AA53" i="1" s="1"/>
  <c r="AA20" i="1"/>
  <c r="AA17" i="1"/>
  <c r="AA15" i="1"/>
  <c r="AA10" i="1"/>
  <c r="AA29" i="1"/>
  <c r="AA36" i="1"/>
  <c r="AA50" i="1" s="1"/>
  <c r="AA8" i="1"/>
  <c r="AA40" i="1"/>
  <c r="AA54" i="1" s="1"/>
  <c r="AA34" i="1"/>
  <c r="AA48" i="1" s="1"/>
  <c r="AA26" i="1"/>
  <c r="AA16" i="1"/>
  <c r="AA32" i="1"/>
  <c r="AA46" i="1" s="1"/>
  <c r="AA11" i="1"/>
  <c r="AA21" i="1"/>
  <c r="AA38" i="1"/>
  <c r="AA52" i="1" s="1"/>
  <c r="AA9" i="1"/>
  <c r="AA31" i="1"/>
  <c r="AA45" i="1" s="1"/>
  <c r="AA23" i="1"/>
  <c r="AA14" i="1"/>
  <c r="AB6" i="1"/>
  <c r="AA30" i="1"/>
  <c r="AA44" i="1" s="1"/>
  <c r="AA13" i="1"/>
  <c r="AA12" i="1"/>
  <c r="AA24" i="1"/>
  <c r="AA18" i="1"/>
  <c r="AA19" i="1"/>
  <c r="Z43" i="1"/>
  <c r="AB33" i="1" l="1"/>
  <c r="AB47" i="1" s="1"/>
  <c r="AB22" i="1"/>
  <c r="AB37" i="1"/>
  <c r="AB51" i="1" s="1"/>
  <c r="AB39" i="1"/>
  <c r="AB53" i="1" s="1"/>
  <c r="AB20" i="1"/>
  <c r="AB12" i="1"/>
  <c r="AC6" i="1"/>
  <c r="AB10" i="1"/>
  <c r="AB29" i="1"/>
  <c r="AB18" i="1"/>
  <c r="AB35" i="1"/>
  <c r="AB49" i="1" s="1"/>
  <c r="AB34" i="1"/>
  <c r="AB48" i="1" s="1"/>
  <c r="AB40" i="1"/>
  <c r="AB54" i="1" s="1"/>
  <c r="AB16" i="1"/>
  <c r="AB24" i="1"/>
  <c r="AB31" i="1"/>
  <c r="AB45" i="1" s="1"/>
  <c r="AB23" i="1"/>
  <c r="AB32" i="1"/>
  <c r="AB46" i="1" s="1"/>
  <c r="AB11" i="1"/>
  <c r="AB38" i="1"/>
  <c r="AB52" i="1" s="1"/>
  <c r="AB21" i="1"/>
  <c r="AB9" i="1"/>
  <c r="AB8" i="1"/>
  <c r="AB36" i="1"/>
  <c r="AB50" i="1" s="1"/>
  <c r="AB26" i="1"/>
  <c r="AB14" i="1"/>
  <c r="AB30" i="1"/>
  <c r="AB44" i="1" s="1"/>
  <c r="AB17" i="1"/>
  <c r="AB15" i="1"/>
  <c r="AB13" i="1"/>
  <c r="AB19" i="1"/>
  <c r="AA43" i="1"/>
  <c r="AB43" i="1" l="1"/>
  <c r="AC35" i="1"/>
  <c r="AC49" i="1" s="1"/>
  <c r="AC37" i="1"/>
  <c r="AC51" i="1" s="1"/>
  <c r="AC39" i="1"/>
  <c r="AC53" i="1" s="1"/>
  <c r="AC20" i="1"/>
  <c r="AC26" i="1"/>
  <c r="AC29" i="1"/>
  <c r="AC38" i="1"/>
  <c r="AC52" i="1" s="1"/>
  <c r="AC18" i="1"/>
  <c r="AC16" i="1"/>
  <c r="AC33" i="1"/>
  <c r="AC47" i="1" s="1"/>
  <c r="AC17" i="1"/>
  <c r="AC32" i="1"/>
  <c r="AC46" i="1" s="1"/>
  <c r="AC31" i="1"/>
  <c r="AC45" i="1" s="1"/>
  <c r="AC23" i="1"/>
  <c r="AC40" i="1"/>
  <c r="AC54" i="1" s="1"/>
  <c r="AC22" i="1"/>
  <c r="AC21" i="1"/>
  <c r="AC12" i="1"/>
  <c r="AC34" i="1"/>
  <c r="AC48" i="1" s="1"/>
  <c r="AC36" i="1"/>
  <c r="AC50" i="1" s="1"/>
  <c r="AC8" i="1"/>
  <c r="AC14" i="1"/>
  <c r="AC30" i="1"/>
  <c r="AC44" i="1" s="1"/>
  <c r="AC15" i="1"/>
  <c r="AC24" i="1"/>
  <c r="AC13" i="1"/>
  <c r="AD6" i="1"/>
  <c r="AC11" i="1"/>
  <c r="AC19" i="1"/>
  <c r="AC10" i="1"/>
  <c r="AC9" i="1"/>
  <c r="AD35" i="1" l="1"/>
  <c r="AD49" i="1" s="1"/>
  <c r="AD39" i="1"/>
  <c r="AD53" i="1" s="1"/>
  <c r="AD20" i="1"/>
  <c r="AD26" i="1"/>
  <c r="AD34" i="1"/>
  <c r="AD48" i="1" s="1"/>
  <c r="AD38" i="1"/>
  <c r="AD52" i="1" s="1"/>
  <c r="AD30" i="1"/>
  <c r="AD44" i="1" s="1"/>
  <c r="AD21" i="1"/>
  <c r="AD19" i="1"/>
  <c r="AD16" i="1"/>
  <c r="AD23" i="1"/>
  <c r="AD40" i="1"/>
  <c r="AD54" i="1" s="1"/>
  <c r="AD33" i="1"/>
  <c r="AD47" i="1" s="1"/>
  <c r="AD17" i="1"/>
  <c r="AD18" i="1"/>
  <c r="AD15" i="1"/>
  <c r="AD14" i="1"/>
  <c r="AD31" i="1"/>
  <c r="AD45" i="1" s="1"/>
  <c r="AD29" i="1"/>
  <c r="AD37" i="1"/>
  <c r="AD51" i="1" s="1"/>
  <c r="AD22" i="1"/>
  <c r="AD12" i="1"/>
  <c r="AD13" i="1"/>
  <c r="AD8" i="1"/>
  <c r="AD36" i="1"/>
  <c r="AD50" i="1" s="1"/>
  <c r="AE6" i="1"/>
  <c r="AD9" i="1"/>
  <c r="AD11" i="1"/>
  <c r="AD32" i="1"/>
  <c r="AD46" i="1" s="1"/>
  <c r="AD24" i="1"/>
  <c r="AD10" i="1"/>
  <c r="AC43" i="1"/>
  <c r="AD43" i="1" l="1"/>
  <c r="AE37" i="1"/>
  <c r="AE51" i="1" s="1"/>
  <c r="AE39" i="1"/>
  <c r="AE53" i="1" s="1"/>
  <c r="AE20" i="1"/>
  <c r="AE26" i="1"/>
  <c r="AE30" i="1"/>
  <c r="AE44" i="1" s="1"/>
  <c r="AE23" i="1"/>
  <c r="AE32" i="1"/>
  <c r="AE46" i="1" s="1"/>
  <c r="AE38" i="1"/>
  <c r="AE52" i="1" s="1"/>
  <c r="AE15" i="1"/>
  <c r="AE35" i="1"/>
  <c r="AE49" i="1" s="1"/>
  <c r="AE21" i="1"/>
  <c r="AE19" i="1"/>
  <c r="AE13" i="1"/>
  <c r="AE16" i="1"/>
  <c r="AE40" i="1"/>
  <c r="AE54" i="1" s="1"/>
  <c r="AE22" i="1"/>
  <c r="AE31" i="1"/>
  <c r="AE45" i="1" s="1"/>
  <c r="AE33" i="1"/>
  <c r="AE47" i="1" s="1"/>
  <c r="AE17" i="1"/>
  <c r="AE18" i="1"/>
  <c r="AE14" i="1"/>
  <c r="AE11" i="1"/>
  <c r="AE12" i="1"/>
  <c r="AE34" i="1"/>
  <c r="AE48" i="1" s="1"/>
  <c r="AE29" i="1"/>
  <c r="AE8" i="1"/>
  <c r="AE36" i="1"/>
  <c r="AE50" i="1" s="1"/>
  <c r="AF6" i="1"/>
  <c r="AE10" i="1"/>
  <c r="AE24" i="1"/>
  <c r="AE9" i="1"/>
  <c r="AF37" i="1" l="1"/>
  <c r="AF51" i="1" s="1"/>
  <c r="AF26" i="1"/>
  <c r="AF30" i="1"/>
  <c r="AF44" i="1" s="1"/>
  <c r="AF23" i="1"/>
  <c r="AF36" i="1"/>
  <c r="AF50" i="1" s="1"/>
  <c r="AF40" i="1"/>
  <c r="AF54" i="1" s="1"/>
  <c r="AF35" i="1"/>
  <c r="AF49" i="1" s="1"/>
  <c r="AF10" i="1"/>
  <c r="AF29" i="1"/>
  <c r="AF21" i="1"/>
  <c r="AF19" i="1"/>
  <c r="AF38" i="1"/>
  <c r="AF52" i="1" s="1"/>
  <c r="AF13" i="1"/>
  <c r="AF33" i="1"/>
  <c r="AF47" i="1" s="1"/>
  <c r="AF20" i="1"/>
  <c r="AF8" i="1"/>
  <c r="AF22" i="1"/>
  <c r="AF11" i="1"/>
  <c r="AF34" i="1"/>
  <c r="AF48" i="1" s="1"/>
  <c r="AF39" i="1"/>
  <c r="AF53" i="1" s="1"/>
  <c r="AF18" i="1"/>
  <c r="AF14" i="1"/>
  <c r="AF15" i="1"/>
  <c r="AF32" i="1"/>
  <c r="AF46" i="1" s="1"/>
  <c r="AF16" i="1"/>
  <c r="AF12" i="1"/>
  <c r="AF31" i="1"/>
  <c r="AF45" i="1" s="1"/>
  <c r="AG6" i="1"/>
  <c r="AF17" i="1"/>
  <c r="AF24" i="1"/>
  <c r="AF9" i="1"/>
  <c r="AE43" i="1"/>
  <c r="AF43" i="1" l="1"/>
  <c r="AG39" i="1"/>
  <c r="AG53" i="1" s="1"/>
  <c r="AG20" i="1"/>
  <c r="AG26" i="1"/>
  <c r="AG30" i="1"/>
  <c r="AG44" i="1" s="1"/>
  <c r="AG23" i="1"/>
  <c r="AG32" i="1"/>
  <c r="AG46" i="1" s="1"/>
  <c r="AG34" i="1"/>
  <c r="AG48" i="1" s="1"/>
  <c r="AG40" i="1"/>
  <c r="AG54" i="1" s="1"/>
  <c r="AG15" i="1"/>
  <c r="AG29" i="1"/>
  <c r="AG38" i="1"/>
  <c r="AG52" i="1" s="1"/>
  <c r="AG13" i="1"/>
  <c r="AG33" i="1"/>
  <c r="AG47" i="1" s="1"/>
  <c r="AG8" i="1"/>
  <c r="AG36" i="1"/>
  <c r="AG50" i="1" s="1"/>
  <c r="AG22" i="1"/>
  <c r="AG11" i="1"/>
  <c r="AG18" i="1"/>
  <c r="AG37" i="1"/>
  <c r="AG51" i="1" s="1"/>
  <c r="AG21" i="1"/>
  <c r="AG16" i="1"/>
  <c r="AG12" i="1"/>
  <c r="AG31" i="1"/>
  <c r="AG45" i="1" s="1"/>
  <c r="AG17" i="1"/>
  <c r="AH6" i="1"/>
  <c r="AG14" i="1"/>
  <c r="AG9" i="1"/>
  <c r="AG35" i="1"/>
  <c r="AG49" i="1" s="1"/>
  <c r="AG24" i="1"/>
  <c r="AG10" i="1"/>
  <c r="AG19" i="1"/>
  <c r="AG43" i="1" l="1"/>
  <c r="AH39" i="1"/>
  <c r="AH53" i="1" s="1"/>
  <c r="AH20" i="1"/>
  <c r="AH26" i="1"/>
  <c r="AH30" i="1"/>
  <c r="AH44" i="1" s="1"/>
  <c r="AH23" i="1"/>
  <c r="AH32" i="1"/>
  <c r="AH46" i="1" s="1"/>
  <c r="AH38" i="1"/>
  <c r="AH52" i="1" s="1"/>
  <c r="AH35" i="1"/>
  <c r="AH49" i="1" s="1"/>
  <c r="AH10" i="1"/>
  <c r="AH33" i="1"/>
  <c r="AH47" i="1" s="1"/>
  <c r="AH8" i="1"/>
  <c r="AH36" i="1"/>
  <c r="AH50" i="1" s="1"/>
  <c r="AH18" i="1"/>
  <c r="AH40" i="1"/>
  <c r="AH54" i="1" s="1"/>
  <c r="AH34" i="1"/>
  <c r="AH48" i="1" s="1"/>
  <c r="AH15" i="1"/>
  <c r="AH22" i="1"/>
  <c r="AH24" i="1"/>
  <c r="AH16" i="1"/>
  <c r="AH12" i="1"/>
  <c r="AH21" i="1"/>
  <c r="AH17" i="1"/>
  <c r="AH31" i="1"/>
  <c r="AH45" i="1" s="1"/>
  <c r="AH14" i="1"/>
  <c r="AI6" i="1"/>
  <c r="AH13" i="1"/>
  <c r="AH19" i="1"/>
  <c r="AH11" i="1"/>
  <c r="AH9" i="1"/>
  <c r="AH29" i="1"/>
  <c r="AH37" i="1"/>
  <c r="AH51" i="1" s="1"/>
  <c r="AI30" i="1" l="1"/>
  <c r="AI44" i="1" s="1"/>
  <c r="AI23" i="1"/>
  <c r="AI32" i="1"/>
  <c r="AI46" i="1" s="1"/>
  <c r="AI34" i="1"/>
  <c r="AI48" i="1" s="1"/>
  <c r="AI36" i="1"/>
  <c r="AI50" i="1" s="1"/>
  <c r="AI29" i="1"/>
  <c r="AI20" i="1"/>
  <c r="AI18" i="1"/>
  <c r="AI31" i="1"/>
  <c r="AI45" i="1" s="1"/>
  <c r="AI39" i="1"/>
  <c r="AI53" i="1" s="1"/>
  <c r="AI17" i="1"/>
  <c r="AI16" i="1"/>
  <c r="AI22" i="1"/>
  <c r="AI24" i="1"/>
  <c r="AI13" i="1"/>
  <c r="AI35" i="1"/>
  <c r="AI49" i="1" s="1"/>
  <c r="AI15" i="1"/>
  <c r="AI40" i="1"/>
  <c r="AI54" i="1" s="1"/>
  <c r="AI21" i="1"/>
  <c r="AI12" i="1"/>
  <c r="AI33" i="1"/>
  <c r="AI47" i="1" s="1"/>
  <c r="AI38" i="1"/>
  <c r="AI52" i="1" s="1"/>
  <c r="AJ6" i="1"/>
  <c r="AI26" i="1"/>
  <c r="AI14" i="1"/>
  <c r="AI19" i="1"/>
  <c r="AI11" i="1"/>
  <c r="AI10" i="1"/>
  <c r="AI9" i="1"/>
  <c r="AI8" i="1"/>
  <c r="AI37" i="1"/>
  <c r="AI51" i="1" s="1"/>
  <c r="AH43" i="1"/>
  <c r="AJ26" i="1" l="1"/>
  <c r="AJ30" i="1"/>
  <c r="AJ44" i="1" s="1"/>
  <c r="AJ43" i="1" s="1"/>
  <c r="AJ23" i="1"/>
  <c r="AJ18" i="1"/>
  <c r="AJ32" i="1"/>
  <c r="AJ46" i="1" s="1"/>
  <c r="AJ34" i="1"/>
  <c r="AJ48" i="1" s="1"/>
  <c r="AJ40" i="1"/>
  <c r="AJ54" i="1" s="1"/>
  <c r="AJ21" i="1"/>
  <c r="AJ19" i="1"/>
  <c r="AJ36" i="1"/>
  <c r="AJ50" i="1" s="1"/>
  <c r="AJ20" i="1"/>
  <c r="AJ16" i="1"/>
  <c r="AJ31" i="1"/>
  <c r="AJ45" i="1" s="1"/>
  <c r="AJ24" i="1"/>
  <c r="AJ14" i="1"/>
  <c r="AJ13" i="1"/>
  <c r="AJ12" i="1"/>
  <c r="AJ11" i="1"/>
  <c r="AJ15" i="1"/>
  <c r="AJ37" i="1"/>
  <c r="AJ51" i="1" s="1"/>
  <c r="AJ22" i="1"/>
  <c r="AJ33" i="1"/>
  <c r="AJ47" i="1" s="1"/>
  <c r="AJ38" i="1"/>
  <c r="AJ52" i="1" s="1"/>
  <c r="AJ8" i="1"/>
  <c r="AJ39" i="1"/>
  <c r="AJ53" i="1" s="1"/>
  <c r="AJ17" i="1"/>
  <c r="AK6" i="1"/>
  <c r="AJ35" i="1"/>
  <c r="AJ49" i="1" s="1"/>
  <c r="AJ9" i="1"/>
  <c r="AJ10" i="1"/>
  <c r="AJ29" i="1"/>
  <c r="AI43" i="1"/>
  <c r="AK26" i="1" l="1"/>
  <c r="AK18" i="1"/>
  <c r="AK32" i="1"/>
  <c r="AK46" i="1" s="1"/>
  <c r="AK34" i="1"/>
  <c r="AK48" i="1" s="1"/>
  <c r="AK36" i="1"/>
  <c r="AK50" i="1" s="1"/>
  <c r="AK21" i="1"/>
  <c r="AK38" i="1"/>
  <c r="AK52" i="1" s="1"/>
  <c r="AK13" i="1"/>
  <c r="AK33" i="1"/>
  <c r="AK47" i="1" s="1"/>
  <c r="AK30" i="1"/>
  <c r="AK44" i="1" s="1"/>
  <c r="AK16" i="1"/>
  <c r="AK22" i="1"/>
  <c r="AK11" i="1"/>
  <c r="AK24" i="1"/>
  <c r="AK23" i="1"/>
  <c r="AK14" i="1"/>
  <c r="AK40" i="1"/>
  <c r="AK54" i="1" s="1"/>
  <c r="AK12" i="1"/>
  <c r="AK31" i="1"/>
  <c r="AK45" i="1" s="1"/>
  <c r="AK37" i="1"/>
  <c r="AK51" i="1" s="1"/>
  <c r="AK20" i="1"/>
  <c r="AK17" i="1"/>
  <c r="AK19" i="1"/>
  <c r="AK8" i="1"/>
  <c r="AK39" i="1"/>
  <c r="AK53" i="1" s="1"/>
  <c r="AK35" i="1"/>
  <c r="AK49" i="1" s="1"/>
  <c r="AK15" i="1"/>
  <c r="AL6" i="1"/>
  <c r="AK10" i="1"/>
  <c r="AK9" i="1"/>
  <c r="AK29" i="1"/>
  <c r="AL30" i="1" l="1"/>
  <c r="AL44" i="1" s="1"/>
  <c r="AL23" i="1"/>
  <c r="AL32" i="1"/>
  <c r="AL46" i="1" s="1"/>
  <c r="AL34" i="1"/>
  <c r="AL48" i="1" s="1"/>
  <c r="AL36" i="1"/>
  <c r="AL50" i="1" s="1"/>
  <c r="AL21" i="1"/>
  <c r="AL19" i="1"/>
  <c r="AL33" i="1"/>
  <c r="AL47" i="1" s="1"/>
  <c r="AL8" i="1"/>
  <c r="AL38" i="1"/>
  <c r="AL52" i="1" s="1"/>
  <c r="AL18" i="1"/>
  <c r="AL16" i="1"/>
  <c r="AL22" i="1"/>
  <c r="AL11" i="1"/>
  <c r="AL9" i="1"/>
  <c r="AL40" i="1"/>
  <c r="AL54" i="1" s="1"/>
  <c r="AL15" i="1"/>
  <c r="AL26" i="1"/>
  <c r="AL20" i="1"/>
  <c r="AL24" i="1"/>
  <c r="AL13" i="1"/>
  <c r="AL12" i="1"/>
  <c r="AL35" i="1"/>
  <c r="AL49" i="1" s="1"/>
  <c r="AL39" i="1"/>
  <c r="AL53" i="1" s="1"/>
  <c r="AM6" i="1"/>
  <c r="AL14" i="1"/>
  <c r="AL17" i="1"/>
  <c r="AL10" i="1"/>
  <c r="AL37" i="1"/>
  <c r="AL51" i="1" s="1"/>
  <c r="AL29" i="1"/>
  <c r="AL31" i="1"/>
  <c r="AL45" i="1" s="1"/>
  <c r="AK43" i="1"/>
  <c r="AL43" i="1" l="1"/>
  <c r="AM30" i="1"/>
  <c r="AM44" i="1" s="1"/>
  <c r="AM23" i="1"/>
  <c r="AM18" i="1"/>
  <c r="AM34" i="1"/>
  <c r="AM48" i="1" s="1"/>
  <c r="AM36" i="1"/>
  <c r="AM50" i="1" s="1"/>
  <c r="AM21" i="1"/>
  <c r="AM38" i="1"/>
  <c r="AM52" i="1" s="1"/>
  <c r="AM40" i="1"/>
  <c r="AM54" i="1" s="1"/>
  <c r="AM13" i="1"/>
  <c r="AM22" i="1"/>
  <c r="AM11" i="1"/>
  <c r="AM37" i="1"/>
  <c r="AM51" i="1" s="1"/>
  <c r="AM26" i="1"/>
  <c r="AM20" i="1"/>
  <c r="AM33" i="1"/>
  <c r="AM47" i="1" s="1"/>
  <c r="AM32" i="1"/>
  <c r="AM46" i="1" s="1"/>
  <c r="AM31" i="1"/>
  <c r="AM45" i="1" s="1"/>
  <c r="AM19" i="1"/>
  <c r="AM39" i="1"/>
  <c r="AM53" i="1" s="1"/>
  <c r="AM12" i="1"/>
  <c r="AM16" i="1"/>
  <c r="AM35" i="1"/>
  <c r="AM49" i="1" s="1"/>
  <c r="AM14" i="1"/>
  <c r="AM17" i="1"/>
  <c r="AM15" i="1"/>
  <c r="AM10" i="1"/>
  <c r="AM24" i="1"/>
  <c r="AM9" i="1"/>
  <c r="AM29" i="1"/>
  <c r="AM8" i="1"/>
  <c r="AN6" i="1"/>
  <c r="AN18" i="1" l="1"/>
  <c r="AN32" i="1"/>
  <c r="AN46" i="1" s="1"/>
  <c r="AN34" i="1"/>
  <c r="AN48" i="1" s="1"/>
  <c r="AN36" i="1"/>
  <c r="AN50" i="1" s="1"/>
  <c r="AN21" i="1"/>
  <c r="AN38" i="1"/>
  <c r="AN52" i="1" s="1"/>
  <c r="AN40" i="1"/>
  <c r="AN54" i="1" s="1"/>
  <c r="AN33" i="1"/>
  <c r="AN47" i="1" s="1"/>
  <c r="AN8" i="1"/>
  <c r="AN20" i="1"/>
  <c r="AN30" i="1"/>
  <c r="AN44" i="1" s="1"/>
  <c r="AN31" i="1"/>
  <c r="AN45" i="1" s="1"/>
  <c r="AN11" i="1"/>
  <c r="AN24" i="1"/>
  <c r="AN12" i="1"/>
  <c r="AN16" i="1"/>
  <c r="AN17" i="1"/>
  <c r="AN35" i="1"/>
  <c r="AN49" i="1" s="1"/>
  <c r="AN9" i="1"/>
  <c r="AO6" i="1"/>
  <c r="AN22" i="1"/>
  <c r="AN39" i="1"/>
  <c r="AN53" i="1" s="1"/>
  <c r="AN15" i="1"/>
  <c r="AN13" i="1"/>
  <c r="AN14" i="1"/>
  <c r="AN26" i="1"/>
  <c r="AN23" i="1"/>
  <c r="AN10" i="1"/>
  <c r="AN19" i="1"/>
  <c r="AN37" i="1"/>
  <c r="AN51" i="1" s="1"/>
  <c r="AN29" i="1"/>
  <c r="AM43" i="1"/>
  <c r="AO32" i="1" l="1"/>
  <c r="AO46" i="1" s="1"/>
  <c r="AO36" i="1"/>
  <c r="AO50" i="1" s="1"/>
  <c r="AO21" i="1"/>
  <c r="AO38" i="1"/>
  <c r="AO52" i="1" s="1"/>
  <c r="AO40" i="1"/>
  <c r="AO54" i="1" s="1"/>
  <c r="AO31" i="1"/>
  <c r="AO45" i="1" s="1"/>
  <c r="AO17" i="1"/>
  <c r="AO33" i="1"/>
  <c r="AO47" i="1" s="1"/>
  <c r="AO24" i="1"/>
  <c r="AO22" i="1"/>
  <c r="AO11" i="1"/>
  <c r="AO10" i="1"/>
  <c r="AO29" i="1"/>
  <c r="AO18" i="1"/>
  <c r="AO16" i="1"/>
  <c r="AO34" i="1"/>
  <c r="AO48" i="1" s="1"/>
  <c r="AO13" i="1"/>
  <c r="AO19" i="1"/>
  <c r="AO14" i="1"/>
  <c r="AO39" i="1"/>
  <c r="AO53" i="1" s="1"/>
  <c r="AO20" i="1"/>
  <c r="AP6" i="1"/>
  <c r="AO26" i="1"/>
  <c r="AO35" i="1"/>
  <c r="AO49" i="1" s="1"/>
  <c r="AO15" i="1"/>
  <c r="AO23" i="1"/>
  <c r="AO30" i="1"/>
  <c r="AO44" i="1" s="1"/>
  <c r="AO37" i="1"/>
  <c r="AO51" i="1" s="1"/>
  <c r="AO12" i="1"/>
  <c r="AO9" i="1"/>
  <c r="AO8" i="1"/>
  <c r="AN43" i="1"/>
  <c r="AO43" i="1" l="1"/>
  <c r="AP34" i="1"/>
  <c r="AP48" i="1" s="1"/>
  <c r="AP36" i="1"/>
  <c r="AP50" i="1" s="1"/>
  <c r="AP21" i="1"/>
  <c r="AP38" i="1"/>
  <c r="AP52" i="1" s="1"/>
  <c r="AP40" i="1"/>
  <c r="AP54" i="1" s="1"/>
  <c r="AP24" i="1"/>
  <c r="AP20" i="1"/>
  <c r="AP16" i="1"/>
  <c r="AP31" i="1"/>
  <c r="AP45" i="1" s="1"/>
  <c r="AP14" i="1"/>
  <c r="AP17" i="1"/>
  <c r="AP37" i="1"/>
  <c r="AP51" i="1" s="1"/>
  <c r="AP39" i="1"/>
  <c r="AP53" i="1" s="1"/>
  <c r="AP22" i="1"/>
  <c r="AP12" i="1"/>
  <c r="AP32" i="1"/>
  <c r="AP46" i="1" s="1"/>
  <c r="AP10" i="1"/>
  <c r="AP33" i="1"/>
  <c r="AP47" i="1" s="1"/>
  <c r="AP13" i="1"/>
  <c r="AP35" i="1"/>
  <c r="AP49" i="1" s="1"/>
  <c r="AQ6" i="1"/>
  <c r="AP30" i="1"/>
  <c r="AP44" i="1" s="1"/>
  <c r="AP43" i="1" s="1"/>
  <c r="AP26" i="1"/>
  <c r="AP15" i="1"/>
  <c r="AP23" i="1"/>
  <c r="AP9" i="1"/>
  <c r="AP18" i="1"/>
  <c r="AP11" i="1"/>
  <c r="AP19" i="1"/>
  <c r="AP29" i="1"/>
  <c r="AP8" i="1"/>
  <c r="AQ34" i="1" l="1"/>
  <c r="AQ48" i="1" s="1"/>
  <c r="AQ38" i="1"/>
  <c r="AQ52" i="1" s="1"/>
  <c r="AQ40" i="1"/>
  <c r="AQ54" i="1" s="1"/>
  <c r="AQ24" i="1"/>
  <c r="AQ19" i="1"/>
  <c r="AQ22" i="1"/>
  <c r="AQ11" i="1"/>
  <c r="AQ31" i="1"/>
  <c r="AQ45" i="1" s="1"/>
  <c r="AQ14" i="1"/>
  <c r="AQ9" i="1"/>
  <c r="AQ12" i="1"/>
  <c r="AR6" i="1"/>
  <c r="AQ37" i="1"/>
  <c r="AQ51" i="1" s="1"/>
  <c r="AQ39" i="1"/>
  <c r="AQ53" i="1" s="1"/>
  <c r="AQ18" i="1"/>
  <c r="AQ13" i="1"/>
  <c r="AQ21" i="1"/>
  <c r="AQ33" i="1"/>
  <c r="AQ47" i="1" s="1"/>
  <c r="AQ17" i="1"/>
  <c r="AQ35" i="1"/>
  <c r="AQ49" i="1" s="1"/>
  <c r="AQ8" i="1"/>
  <c r="AQ20" i="1"/>
  <c r="AQ36" i="1"/>
  <c r="AQ50" i="1" s="1"/>
  <c r="AQ26" i="1"/>
  <c r="AQ15" i="1"/>
  <c r="AQ16" i="1"/>
  <c r="AQ23" i="1"/>
  <c r="AQ30" i="1"/>
  <c r="AQ44" i="1" s="1"/>
  <c r="AQ43" i="1" s="1"/>
  <c r="AQ10" i="1"/>
  <c r="AQ32" i="1"/>
  <c r="AQ46" i="1" s="1"/>
  <c r="AQ29" i="1"/>
  <c r="AR36" i="1" l="1"/>
  <c r="AR50" i="1" s="1"/>
  <c r="AR21" i="1"/>
  <c r="AR38" i="1"/>
  <c r="AR52" i="1" s="1"/>
  <c r="AR40" i="1"/>
  <c r="AR54" i="1" s="1"/>
  <c r="AR24" i="1"/>
  <c r="AR19" i="1"/>
  <c r="AR29" i="1"/>
  <c r="AR31" i="1"/>
  <c r="AR45" i="1" s="1"/>
  <c r="AR37" i="1"/>
  <c r="AR51" i="1" s="1"/>
  <c r="AR16" i="1"/>
  <c r="AR30" i="1"/>
  <c r="AR44" i="1" s="1"/>
  <c r="AR18" i="1"/>
  <c r="AR14" i="1"/>
  <c r="AR9" i="1"/>
  <c r="AR23" i="1"/>
  <c r="AR35" i="1"/>
  <c r="AR49" i="1" s="1"/>
  <c r="AR32" i="1"/>
  <c r="AR46" i="1" s="1"/>
  <c r="AR33" i="1"/>
  <c r="AR47" i="1" s="1"/>
  <c r="AR34" i="1"/>
  <c r="AR48" i="1" s="1"/>
  <c r="AR13" i="1"/>
  <c r="AR17" i="1"/>
  <c r="AR20" i="1"/>
  <c r="AS6" i="1"/>
  <c r="AR39" i="1"/>
  <c r="AR53" i="1" s="1"/>
  <c r="AR26" i="1"/>
  <c r="AR15" i="1"/>
  <c r="AR10" i="1"/>
  <c r="AR11" i="1"/>
  <c r="AR12" i="1"/>
  <c r="AR8" i="1"/>
  <c r="AR22" i="1"/>
  <c r="AS36" i="1" l="1"/>
  <c r="AS50" i="1" s="1"/>
  <c r="AS21" i="1"/>
  <c r="AS40" i="1"/>
  <c r="AS54" i="1" s="1"/>
  <c r="AS24" i="1"/>
  <c r="AS29" i="1"/>
  <c r="AS35" i="1"/>
  <c r="AS49" i="1" s="1"/>
  <c r="AS39" i="1"/>
  <c r="AS53" i="1" s="1"/>
  <c r="AS22" i="1"/>
  <c r="AS11" i="1"/>
  <c r="AS38" i="1"/>
  <c r="AS52" i="1" s="1"/>
  <c r="AS9" i="1"/>
  <c r="AS23" i="1"/>
  <c r="AS37" i="1"/>
  <c r="AS51" i="1" s="1"/>
  <c r="AS32" i="1"/>
  <c r="AS46" i="1" s="1"/>
  <c r="AS31" i="1"/>
  <c r="AS45" i="1" s="1"/>
  <c r="AS30" i="1"/>
  <c r="AS44" i="1" s="1"/>
  <c r="AS26" i="1"/>
  <c r="AS12" i="1"/>
  <c r="AS34" i="1"/>
  <c r="AS48" i="1" s="1"/>
  <c r="AS17" i="1"/>
  <c r="AS13" i="1"/>
  <c r="AS20" i="1"/>
  <c r="AT6" i="1"/>
  <c r="AS10" i="1"/>
  <c r="AS15" i="1"/>
  <c r="AS33" i="1"/>
  <c r="AS47" i="1" s="1"/>
  <c r="AS14" i="1"/>
  <c r="AS16" i="1"/>
  <c r="AS8" i="1"/>
  <c r="AS18" i="1"/>
  <c r="AS19" i="1"/>
  <c r="AR43" i="1"/>
  <c r="AT38" i="1" l="1"/>
  <c r="AT52" i="1" s="1"/>
  <c r="AT40" i="1"/>
  <c r="AT54" i="1" s="1"/>
  <c r="AT24" i="1"/>
  <c r="AT29" i="1"/>
  <c r="AT31" i="1"/>
  <c r="AT45" i="1" s="1"/>
  <c r="AT33" i="1"/>
  <c r="AT47" i="1" s="1"/>
  <c r="AT39" i="1"/>
  <c r="AT53" i="1" s="1"/>
  <c r="AT30" i="1"/>
  <c r="AT44" i="1" s="1"/>
  <c r="AT21" i="1"/>
  <c r="AT18" i="1"/>
  <c r="AT23" i="1"/>
  <c r="AT10" i="1"/>
  <c r="AT32" i="1"/>
  <c r="AT46" i="1" s="1"/>
  <c r="AT12" i="1"/>
  <c r="AT22" i="1"/>
  <c r="AT16" i="1"/>
  <c r="AU6" i="1"/>
  <c r="AT34" i="1"/>
  <c r="AT48" i="1" s="1"/>
  <c r="AT17" i="1"/>
  <c r="AT13" i="1"/>
  <c r="AT20" i="1"/>
  <c r="AT35" i="1"/>
  <c r="AT49" i="1" s="1"/>
  <c r="AT19" i="1"/>
  <c r="AT9" i="1"/>
  <c r="AT8" i="1"/>
  <c r="AT36" i="1"/>
  <c r="AT50" i="1" s="1"/>
  <c r="AT15" i="1"/>
  <c r="AT26" i="1"/>
  <c r="AT14" i="1"/>
  <c r="AT11" i="1"/>
  <c r="AT37" i="1"/>
  <c r="AT51" i="1" s="1"/>
  <c r="AS43" i="1"/>
  <c r="AU38" i="1" l="1"/>
  <c r="AU52" i="1" s="1"/>
  <c r="AU24" i="1"/>
  <c r="AU19" i="1"/>
  <c r="AU29" i="1"/>
  <c r="AU31" i="1"/>
  <c r="AU45" i="1" s="1"/>
  <c r="AU37" i="1"/>
  <c r="AU51" i="1" s="1"/>
  <c r="AU36" i="1"/>
  <c r="AU50" i="1" s="1"/>
  <c r="AU34" i="1"/>
  <c r="AU48" i="1" s="1"/>
  <c r="AU17" i="1"/>
  <c r="AU15" i="1"/>
  <c r="AU26" i="1"/>
  <c r="AU32" i="1"/>
  <c r="AU46" i="1" s="1"/>
  <c r="AU11" i="1"/>
  <c r="AU21" i="1"/>
  <c r="AU22" i="1"/>
  <c r="AU16" i="1"/>
  <c r="AU13" i="1"/>
  <c r="AV6" i="1"/>
  <c r="AU20" i="1"/>
  <c r="AU35" i="1"/>
  <c r="AU49" i="1" s="1"/>
  <c r="AU9" i="1"/>
  <c r="AU8" i="1"/>
  <c r="AU14" i="1"/>
  <c r="AU39" i="1"/>
  <c r="AU53" i="1" s="1"/>
  <c r="AU33" i="1"/>
  <c r="AU47" i="1" s="1"/>
  <c r="AU10" i="1"/>
  <c r="AU23" i="1"/>
  <c r="AU30" i="1"/>
  <c r="AU44" i="1" s="1"/>
  <c r="AU43" i="1" s="1"/>
  <c r="AU18" i="1"/>
  <c r="AU12" i="1"/>
  <c r="AU40" i="1"/>
  <c r="AU54" i="1" s="1"/>
  <c r="AT43" i="1"/>
  <c r="AV40" i="1" l="1"/>
  <c r="AV54" i="1" s="1"/>
  <c r="AV19" i="1"/>
  <c r="AV29" i="1"/>
  <c r="AV31" i="1"/>
  <c r="AV45" i="1" s="1"/>
  <c r="AV33" i="1"/>
  <c r="AV47" i="1" s="1"/>
  <c r="AV22" i="1"/>
  <c r="AV35" i="1"/>
  <c r="AV49" i="1" s="1"/>
  <c r="AV36" i="1"/>
  <c r="AV50" i="1" s="1"/>
  <c r="AV14" i="1"/>
  <c r="AV34" i="1"/>
  <c r="AV48" i="1" s="1"/>
  <c r="AV17" i="1"/>
  <c r="AV24" i="1"/>
  <c r="AV12" i="1"/>
  <c r="AW6" i="1"/>
  <c r="AV26" i="1"/>
  <c r="AV15" i="1"/>
  <c r="AV39" i="1"/>
  <c r="AV53" i="1" s="1"/>
  <c r="AV30" i="1"/>
  <c r="AV44" i="1" s="1"/>
  <c r="AV32" i="1"/>
  <c r="AV46" i="1" s="1"/>
  <c r="AV38" i="1"/>
  <c r="AV52" i="1" s="1"/>
  <c r="AV13" i="1"/>
  <c r="AV20" i="1"/>
  <c r="AV9" i="1"/>
  <c r="AV8" i="1"/>
  <c r="AV23" i="1"/>
  <c r="AV16" i="1"/>
  <c r="AV10" i="1"/>
  <c r="AV18" i="1"/>
  <c r="AV11" i="1"/>
  <c r="AV21" i="1"/>
  <c r="AV37" i="1"/>
  <c r="AV51" i="1" s="1"/>
  <c r="AV43" i="1" l="1"/>
  <c r="AW40" i="1"/>
  <c r="AW54" i="1" s="1"/>
  <c r="AW24" i="1"/>
  <c r="AW29" i="1"/>
  <c r="AW31" i="1"/>
  <c r="AW45" i="1" s="1"/>
  <c r="AW33" i="1"/>
  <c r="AW47" i="1" s="1"/>
  <c r="AW22" i="1"/>
  <c r="AW39" i="1"/>
  <c r="AW53" i="1" s="1"/>
  <c r="AW38" i="1"/>
  <c r="AW52" i="1" s="1"/>
  <c r="AW9" i="1"/>
  <c r="AW34" i="1"/>
  <c r="AW48" i="1" s="1"/>
  <c r="AW17" i="1"/>
  <c r="AX6" i="1"/>
  <c r="AW12" i="1"/>
  <c r="AW10" i="1"/>
  <c r="AW32" i="1"/>
  <c r="AW46" i="1" s="1"/>
  <c r="AW19" i="1"/>
  <c r="AW37" i="1"/>
  <c r="AW51" i="1" s="1"/>
  <c r="AW36" i="1"/>
  <c r="AW50" i="1" s="1"/>
  <c r="AW13" i="1"/>
  <c r="AW20" i="1"/>
  <c r="AW8" i="1"/>
  <c r="AW35" i="1"/>
  <c r="AW49" i="1" s="1"/>
  <c r="AW14" i="1"/>
  <c r="AW15" i="1"/>
  <c r="AW26" i="1"/>
  <c r="AW23" i="1"/>
  <c r="AW30" i="1"/>
  <c r="AW44" i="1" s="1"/>
  <c r="AW16" i="1"/>
  <c r="AW18" i="1"/>
  <c r="AW11" i="1"/>
  <c r="AW21" i="1"/>
  <c r="AW43" i="1" l="1"/>
  <c r="AX24" i="1"/>
  <c r="AX19" i="1"/>
  <c r="AX31" i="1"/>
  <c r="AX45" i="1" s="1"/>
  <c r="AX33" i="1"/>
  <c r="AX47" i="1" s="1"/>
  <c r="AX22" i="1"/>
  <c r="AX35" i="1"/>
  <c r="AX49" i="1" s="1"/>
  <c r="AX37" i="1"/>
  <c r="AX51" i="1" s="1"/>
  <c r="AX36" i="1"/>
  <c r="AX50" i="1" s="1"/>
  <c r="AX14" i="1"/>
  <c r="AX23" i="1"/>
  <c r="AX12" i="1"/>
  <c r="AY6" i="1"/>
  <c r="AX40" i="1"/>
  <c r="AX54" i="1" s="1"/>
  <c r="AX32" i="1"/>
  <c r="AX46" i="1" s="1"/>
  <c r="AX39" i="1"/>
  <c r="AX53" i="1" s="1"/>
  <c r="AX9" i="1"/>
  <c r="AX21" i="1"/>
  <c r="AX13" i="1"/>
  <c r="AX17" i="1"/>
  <c r="AX38" i="1"/>
  <c r="AX52" i="1" s="1"/>
  <c r="AX20" i="1"/>
  <c r="AX34" i="1"/>
  <c r="AX48" i="1" s="1"/>
  <c r="AX8" i="1"/>
  <c r="AX10" i="1"/>
  <c r="AX29" i="1"/>
  <c r="AX26" i="1"/>
  <c r="AX15" i="1"/>
  <c r="AX30" i="1"/>
  <c r="AX44" i="1" s="1"/>
  <c r="AX16" i="1"/>
  <c r="AX18" i="1"/>
  <c r="AX11" i="1"/>
  <c r="AY19" i="1" l="1"/>
  <c r="AY29" i="1"/>
  <c r="AY31" i="1"/>
  <c r="AY45" i="1" s="1"/>
  <c r="AY33" i="1"/>
  <c r="AY47" i="1" s="1"/>
  <c r="AY22" i="1"/>
  <c r="AY35" i="1"/>
  <c r="AY49" i="1" s="1"/>
  <c r="AY9" i="1"/>
  <c r="AY40" i="1"/>
  <c r="AY54" i="1" s="1"/>
  <c r="AY24" i="1"/>
  <c r="AY39" i="1"/>
  <c r="AY53" i="1" s="1"/>
  <c r="AY8" i="1"/>
  <c r="AY37" i="1"/>
  <c r="AY51" i="1" s="1"/>
  <c r="AY23" i="1"/>
  <c r="AY21" i="1"/>
  <c r="AY38" i="1"/>
  <c r="AY52" i="1" s="1"/>
  <c r="AY20" i="1"/>
  <c r="AY34" i="1"/>
  <c r="AY48" i="1" s="1"/>
  <c r="AY17" i="1"/>
  <c r="AZ6" i="1"/>
  <c r="AY14" i="1"/>
  <c r="AY10" i="1"/>
  <c r="AY26" i="1"/>
  <c r="AY30" i="1"/>
  <c r="AY44" i="1" s="1"/>
  <c r="AY43" i="1" s="1"/>
  <c r="AY36" i="1"/>
  <c r="AY50" i="1" s="1"/>
  <c r="AY15" i="1"/>
  <c r="AY16" i="1"/>
  <c r="AY18" i="1"/>
  <c r="AY13" i="1"/>
  <c r="AY11" i="1"/>
  <c r="AY12" i="1"/>
  <c r="AY32" i="1"/>
  <c r="AY46" i="1" s="1"/>
  <c r="AX43" i="1"/>
  <c r="AZ29" i="1" l="1"/>
  <c r="AZ33" i="1"/>
  <c r="AZ47" i="1" s="1"/>
  <c r="AZ22" i="1"/>
  <c r="AZ35" i="1"/>
  <c r="AZ49" i="1" s="1"/>
  <c r="AZ37" i="1"/>
  <c r="AZ51" i="1" s="1"/>
  <c r="AZ39" i="1"/>
  <c r="AZ53" i="1" s="1"/>
  <c r="AZ23" i="1"/>
  <c r="AZ34" i="1"/>
  <c r="AZ48" i="1" s="1"/>
  <c r="AZ40" i="1"/>
  <c r="AZ54" i="1" s="1"/>
  <c r="AZ24" i="1"/>
  <c r="AZ19" i="1"/>
  <c r="AZ30" i="1"/>
  <c r="AZ44" i="1" s="1"/>
  <c r="AZ38" i="1"/>
  <c r="AZ52" i="1" s="1"/>
  <c r="AZ20" i="1"/>
  <c r="AZ10" i="1"/>
  <c r="AZ17" i="1"/>
  <c r="AZ8" i="1"/>
  <c r="BA6" i="1"/>
  <c r="AZ9" i="1"/>
  <c r="AZ14" i="1"/>
  <c r="AZ26" i="1"/>
  <c r="AZ15" i="1"/>
  <c r="AZ36" i="1"/>
  <c r="AZ50" i="1" s="1"/>
  <c r="AZ16" i="1"/>
  <c r="AZ11" i="1"/>
  <c r="AZ18" i="1"/>
  <c r="AZ13" i="1"/>
  <c r="AZ21" i="1"/>
  <c r="AZ12" i="1"/>
  <c r="AZ32" i="1"/>
  <c r="AZ46" i="1" s="1"/>
  <c r="AZ31" i="1"/>
  <c r="AZ45" i="1" s="1"/>
  <c r="BA31" i="1" l="1"/>
  <c r="BA45" i="1" s="1"/>
  <c r="BA33" i="1"/>
  <c r="BA47" i="1" s="1"/>
  <c r="BA22" i="1"/>
  <c r="BA35" i="1"/>
  <c r="BA49" i="1" s="1"/>
  <c r="BA37" i="1"/>
  <c r="BA51" i="1" s="1"/>
  <c r="BA39" i="1"/>
  <c r="BA53" i="1" s="1"/>
  <c r="BA34" i="1"/>
  <c r="BA48" i="1" s="1"/>
  <c r="BA17" i="1"/>
  <c r="BA26" i="1"/>
  <c r="BA15" i="1"/>
  <c r="BA29" i="1"/>
  <c r="BA24" i="1"/>
  <c r="BA19" i="1"/>
  <c r="BA30" i="1"/>
  <c r="BA44" i="1" s="1"/>
  <c r="BA21" i="1"/>
  <c r="BA23" i="1"/>
  <c r="BA13" i="1"/>
  <c r="BA10" i="1"/>
  <c r="BA8" i="1"/>
  <c r="BB6" i="1"/>
  <c r="BA14" i="1"/>
  <c r="BA9" i="1"/>
  <c r="BA36" i="1"/>
  <c r="BA50" i="1" s="1"/>
  <c r="BA20" i="1"/>
  <c r="BA16" i="1"/>
  <c r="BA11" i="1"/>
  <c r="BA38" i="1"/>
  <c r="BA52" i="1" s="1"/>
  <c r="BA12" i="1"/>
  <c r="BA18" i="1"/>
  <c r="BA32" i="1"/>
  <c r="BA46" i="1" s="1"/>
  <c r="BA40" i="1"/>
  <c r="BA54" i="1" s="1"/>
  <c r="AZ43" i="1"/>
  <c r="BB31" i="1" l="1"/>
  <c r="BB45" i="1" s="1"/>
  <c r="BB35" i="1"/>
  <c r="BB49" i="1" s="1"/>
  <c r="BB37" i="1"/>
  <c r="BB51" i="1" s="1"/>
  <c r="BB39" i="1"/>
  <c r="BB53" i="1" s="1"/>
  <c r="BB20" i="1"/>
  <c r="BB12" i="1"/>
  <c r="BC6" i="1"/>
  <c r="BB26" i="1"/>
  <c r="BB15" i="1"/>
  <c r="BB10" i="1"/>
  <c r="BB13" i="1"/>
  <c r="BB30" i="1"/>
  <c r="BB44" i="1" s="1"/>
  <c r="BB21" i="1"/>
  <c r="BB40" i="1"/>
  <c r="BB54" i="1" s="1"/>
  <c r="BB33" i="1"/>
  <c r="BB47" i="1" s="1"/>
  <c r="BB17" i="1"/>
  <c r="BB8" i="1"/>
  <c r="BB34" i="1"/>
  <c r="BB48" i="1" s="1"/>
  <c r="BB14" i="1"/>
  <c r="BB9" i="1"/>
  <c r="BB19" i="1"/>
  <c r="BB36" i="1"/>
  <c r="BB50" i="1" s="1"/>
  <c r="BB29" i="1"/>
  <c r="BB23" i="1"/>
  <c r="BB16" i="1"/>
  <c r="BB38" i="1"/>
  <c r="BB52" i="1" s="1"/>
  <c r="BB18" i="1"/>
  <c r="BB11" i="1"/>
  <c r="BB32" i="1"/>
  <c r="BB46" i="1" s="1"/>
  <c r="BB24" i="1"/>
  <c r="BB22" i="1"/>
  <c r="BA43" i="1"/>
  <c r="BB43" i="1" l="1"/>
  <c r="BC33" i="1"/>
  <c r="BC47" i="1" s="1"/>
  <c r="BC22" i="1"/>
  <c r="BC35" i="1"/>
  <c r="BC49" i="1" s="1"/>
  <c r="BC37" i="1"/>
  <c r="BC51" i="1" s="1"/>
  <c r="BC39" i="1"/>
  <c r="BC53" i="1" s="1"/>
  <c r="BC20" i="1"/>
  <c r="BC34" i="1"/>
  <c r="BC48" i="1" s="1"/>
  <c r="BC17" i="1"/>
  <c r="BC40" i="1"/>
  <c r="BC54" i="1" s="1"/>
  <c r="BC31" i="1"/>
  <c r="BC45" i="1" s="1"/>
  <c r="BC24" i="1"/>
  <c r="BC26" i="1"/>
  <c r="BC15" i="1"/>
  <c r="BC10" i="1"/>
  <c r="BC32" i="1"/>
  <c r="BC46" i="1" s="1"/>
  <c r="BC8" i="1"/>
  <c r="BD6" i="1"/>
  <c r="BC21" i="1"/>
  <c r="BC29" i="1"/>
  <c r="BC38" i="1"/>
  <c r="BC52" i="1" s="1"/>
  <c r="BC36" i="1"/>
  <c r="BC50" i="1" s="1"/>
  <c r="BC13" i="1"/>
  <c r="BC14" i="1"/>
  <c r="BC9" i="1"/>
  <c r="BC19" i="1"/>
  <c r="BC11" i="1"/>
  <c r="BC30" i="1"/>
  <c r="BC44" i="1" s="1"/>
  <c r="BC43" i="1" s="1"/>
  <c r="BC18" i="1"/>
  <c r="BC23" i="1"/>
  <c r="BC16" i="1"/>
  <c r="BC12" i="1"/>
  <c r="BD33" i="1" l="1"/>
  <c r="BD47" i="1" s="1"/>
  <c r="BD22" i="1"/>
  <c r="BD17" i="1"/>
  <c r="BD37" i="1"/>
  <c r="BD51" i="1" s="1"/>
  <c r="BD39" i="1"/>
  <c r="BD53" i="1" s="1"/>
  <c r="BD20" i="1"/>
  <c r="BD12" i="1"/>
  <c r="BE6" i="1"/>
  <c r="BD40" i="1"/>
  <c r="BD54" i="1" s="1"/>
  <c r="BD31" i="1"/>
  <c r="BD45" i="1" s="1"/>
  <c r="BD24" i="1"/>
  <c r="BD10" i="1"/>
  <c r="BD32" i="1"/>
  <c r="BD46" i="1" s="1"/>
  <c r="BD35" i="1"/>
  <c r="BD49" i="1" s="1"/>
  <c r="BD30" i="1"/>
  <c r="BD44" i="1" s="1"/>
  <c r="BD19" i="1"/>
  <c r="BD38" i="1"/>
  <c r="BD52" i="1" s="1"/>
  <c r="BD36" i="1"/>
  <c r="BD50" i="1" s="1"/>
  <c r="BD16" i="1"/>
  <c r="BD34" i="1"/>
  <c r="BD48" i="1" s="1"/>
  <c r="BD8" i="1"/>
  <c r="BD9" i="1"/>
  <c r="BD14" i="1"/>
  <c r="BD29" i="1"/>
  <c r="BD23" i="1"/>
  <c r="BD15" i="1"/>
  <c r="BD26" i="1"/>
  <c r="BD21" i="1"/>
  <c r="BD18" i="1"/>
  <c r="BD11" i="1"/>
  <c r="BD13" i="1"/>
  <c r="BD43" i="1" l="1"/>
  <c r="BE35" i="1"/>
  <c r="BE49" i="1" s="1"/>
  <c r="BE37" i="1"/>
  <c r="BE51" i="1" s="1"/>
  <c r="BE39" i="1"/>
  <c r="BE53" i="1" s="1"/>
  <c r="BE20" i="1"/>
  <c r="BE26" i="1"/>
  <c r="BE32" i="1"/>
  <c r="BE46" i="1" s="1"/>
  <c r="BE29" i="1"/>
  <c r="BE19" i="1"/>
  <c r="BE40" i="1"/>
  <c r="BE54" i="1" s="1"/>
  <c r="BE33" i="1"/>
  <c r="BE47" i="1" s="1"/>
  <c r="BE38" i="1"/>
  <c r="BE52" i="1" s="1"/>
  <c r="BE14" i="1"/>
  <c r="BE9" i="1"/>
  <c r="BF6" i="1"/>
  <c r="BE10" i="1"/>
  <c r="BE36" i="1"/>
  <c r="BE50" i="1" s="1"/>
  <c r="BE30" i="1"/>
  <c r="BE44" i="1" s="1"/>
  <c r="BE43" i="1" s="1"/>
  <c r="BE18" i="1"/>
  <c r="BE23" i="1"/>
  <c r="BE15" i="1"/>
  <c r="BE16" i="1"/>
  <c r="BE11" i="1"/>
  <c r="BE17" i="1"/>
  <c r="BE13" i="1"/>
  <c r="BE21" i="1"/>
  <c r="BE12" i="1"/>
  <c r="BE8" i="1"/>
  <c r="BE24" i="1"/>
  <c r="BE34" i="1"/>
  <c r="BE48" i="1" s="1"/>
  <c r="BE31" i="1"/>
  <c r="BE45" i="1" s="1"/>
  <c r="BE22" i="1"/>
  <c r="BF35" i="1" l="1"/>
  <c r="BF49" i="1" s="1"/>
  <c r="BF39" i="1"/>
  <c r="BF53" i="1" s="1"/>
  <c r="BF20" i="1"/>
  <c r="BF26" i="1"/>
  <c r="BF34" i="1"/>
  <c r="BF48" i="1" s="1"/>
  <c r="BF38" i="1"/>
  <c r="BF52" i="1" s="1"/>
  <c r="BF40" i="1"/>
  <c r="BF54" i="1" s="1"/>
  <c r="BF31" i="1"/>
  <c r="BF45" i="1" s="1"/>
  <c r="BF24" i="1"/>
  <c r="BF37" i="1"/>
  <c r="BF51" i="1" s="1"/>
  <c r="BF29" i="1"/>
  <c r="BF16" i="1"/>
  <c r="BF19" i="1"/>
  <c r="BF30" i="1"/>
  <c r="BF44" i="1" s="1"/>
  <c r="BF21" i="1"/>
  <c r="BF23" i="1"/>
  <c r="BG6" i="1"/>
  <c r="BF10" i="1"/>
  <c r="BF15" i="1"/>
  <c r="BF11" i="1"/>
  <c r="BF33" i="1"/>
  <c r="BF47" i="1" s="1"/>
  <c r="BF14" i="1"/>
  <c r="BF18" i="1"/>
  <c r="BF17" i="1"/>
  <c r="BF13" i="1"/>
  <c r="BF12" i="1"/>
  <c r="BF32" i="1"/>
  <c r="BF46" i="1" s="1"/>
  <c r="BF8" i="1"/>
  <c r="BF9" i="1"/>
  <c r="BF36" i="1"/>
  <c r="BF50" i="1" s="1"/>
  <c r="BF22" i="1"/>
  <c r="BG37" i="1" l="1"/>
  <c r="BG51" i="1" s="1"/>
  <c r="BG39" i="1"/>
  <c r="BG53" i="1" s="1"/>
  <c r="BG20" i="1"/>
  <c r="BG26" i="1"/>
  <c r="BG30" i="1"/>
  <c r="BG44" i="1" s="1"/>
  <c r="BG23" i="1"/>
  <c r="BG32" i="1"/>
  <c r="BG46" i="1" s="1"/>
  <c r="BG38" i="1"/>
  <c r="BG52" i="1" s="1"/>
  <c r="BG15" i="1"/>
  <c r="BG13" i="1"/>
  <c r="BG35" i="1"/>
  <c r="BG49" i="1" s="1"/>
  <c r="BG19" i="1"/>
  <c r="BG16" i="1"/>
  <c r="BG33" i="1"/>
  <c r="BG47" i="1" s="1"/>
  <c r="BG21" i="1"/>
  <c r="BG31" i="1"/>
  <c r="BG45" i="1" s="1"/>
  <c r="BG17" i="1"/>
  <c r="BG8" i="1"/>
  <c r="BG36" i="1"/>
  <c r="BG50" i="1" s="1"/>
  <c r="BG10" i="1"/>
  <c r="BG11" i="1"/>
  <c r="BG18" i="1"/>
  <c r="BG24" i="1"/>
  <c r="BG14" i="1"/>
  <c r="BG12" i="1"/>
  <c r="BG9" i="1"/>
  <c r="BG34" i="1"/>
  <c r="BG48" i="1" s="1"/>
  <c r="BG29" i="1"/>
  <c r="BH6" i="1"/>
  <c r="BG22" i="1"/>
  <c r="BG40" i="1"/>
  <c r="BG54" i="1" s="1"/>
  <c r="BF43" i="1"/>
  <c r="BG43" i="1" l="1"/>
  <c r="BH37" i="1"/>
  <c r="BH51" i="1" s="1"/>
  <c r="BH26" i="1"/>
  <c r="BH30" i="1"/>
  <c r="BH44" i="1" s="1"/>
  <c r="BH23" i="1"/>
  <c r="BH36" i="1"/>
  <c r="BH50" i="1" s="1"/>
  <c r="BH40" i="1"/>
  <c r="BH54" i="1" s="1"/>
  <c r="BH10" i="1"/>
  <c r="BH13" i="1"/>
  <c r="BH8" i="1"/>
  <c r="BH11" i="1"/>
  <c r="BH21" i="1"/>
  <c r="BH18" i="1"/>
  <c r="BH38" i="1"/>
  <c r="BH52" i="1" s="1"/>
  <c r="BH31" i="1"/>
  <c r="BH45" i="1" s="1"/>
  <c r="BH34" i="1"/>
  <c r="BH48" i="1" s="1"/>
  <c r="BH17" i="1"/>
  <c r="BH14" i="1"/>
  <c r="BH9" i="1"/>
  <c r="BH35" i="1"/>
  <c r="BH49" i="1" s="1"/>
  <c r="BH19" i="1"/>
  <c r="BH15" i="1"/>
  <c r="BH29" i="1"/>
  <c r="BH39" i="1"/>
  <c r="BH53" i="1" s="1"/>
  <c r="BH24" i="1"/>
  <c r="BH20" i="1"/>
  <c r="BH16" i="1"/>
  <c r="BI6" i="1"/>
  <c r="BH33" i="1"/>
  <c r="BH47" i="1" s="1"/>
  <c r="BH32" i="1"/>
  <c r="BH46" i="1" s="1"/>
  <c r="BH12" i="1"/>
  <c r="BH22" i="1"/>
  <c r="BI39" i="1" l="1"/>
  <c r="BI53" i="1" s="1"/>
  <c r="BI20" i="1"/>
  <c r="BI26" i="1"/>
  <c r="BI30" i="1"/>
  <c r="BI44" i="1" s="1"/>
  <c r="BI23" i="1"/>
  <c r="BI32" i="1"/>
  <c r="BI46" i="1" s="1"/>
  <c r="BI34" i="1"/>
  <c r="BI48" i="1" s="1"/>
  <c r="BI40" i="1"/>
  <c r="BI54" i="1" s="1"/>
  <c r="BI15" i="1"/>
  <c r="BI13" i="1"/>
  <c r="BI8" i="1"/>
  <c r="BI37" i="1"/>
  <c r="BI51" i="1" s="1"/>
  <c r="BI21" i="1"/>
  <c r="BI18" i="1"/>
  <c r="BI38" i="1"/>
  <c r="BI52" i="1" s="1"/>
  <c r="BI36" i="1"/>
  <c r="BI50" i="1" s="1"/>
  <c r="BI35" i="1"/>
  <c r="BI49" i="1" s="1"/>
  <c r="BI17" i="1"/>
  <c r="BI14" i="1"/>
  <c r="BI9" i="1"/>
  <c r="BI10" i="1"/>
  <c r="BI19" i="1"/>
  <c r="BI11" i="1"/>
  <c r="BI29" i="1"/>
  <c r="BI24" i="1"/>
  <c r="BI16" i="1"/>
  <c r="BJ6" i="1"/>
  <c r="BI33" i="1"/>
  <c r="BI47" i="1" s="1"/>
  <c r="BI12" i="1"/>
  <c r="BI31" i="1"/>
  <c r="BI45" i="1" s="1"/>
  <c r="BI22" i="1"/>
  <c r="BH43" i="1"/>
  <c r="BJ39" i="1" l="1"/>
  <c r="BJ53" i="1" s="1"/>
  <c r="BJ20" i="1"/>
  <c r="BJ26" i="1"/>
  <c r="BJ30" i="1"/>
  <c r="BJ44" i="1" s="1"/>
  <c r="BJ23" i="1"/>
  <c r="BJ32" i="1"/>
  <c r="BJ46" i="1" s="1"/>
  <c r="BJ38" i="1"/>
  <c r="BJ52" i="1" s="1"/>
  <c r="BJ10" i="1"/>
  <c r="BJ37" i="1"/>
  <c r="BJ51" i="1" s="1"/>
  <c r="BJ8" i="1"/>
  <c r="BJ36" i="1"/>
  <c r="BJ50" i="1" s="1"/>
  <c r="BJ35" i="1"/>
  <c r="BJ49" i="1" s="1"/>
  <c r="BJ31" i="1"/>
  <c r="BJ45" i="1" s="1"/>
  <c r="BJ34" i="1"/>
  <c r="BJ48" i="1" s="1"/>
  <c r="BK6" i="1"/>
  <c r="BJ19" i="1"/>
  <c r="BJ15" i="1"/>
  <c r="BJ11" i="1"/>
  <c r="BJ29" i="1"/>
  <c r="BJ18" i="1"/>
  <c r="BJ16" i="1"/>
  <c r="BJ33" i="1"/>
  <c r="BJ47" i="1" s="1"/>
  <c r="BJ14" i="1"/>
  <c r="BJ12" i="1"/>
  <c r="BJ17" i="1"/>
  <c r="BJ13" i="1"/>
  <c r="BJ21" i="1"/>
  <c r="BJ9" i="1"/>
  <c r="BJ24" i="1"/>
  <c r="BJ22" i="1"/>
  <c r="BJ40" i="1"/>
  <c r="BJ54" i="1" s="1"/>
  <c r="BI43" i="1"/>
  <c r="BK30" i="1" l="1"/>
  <c r="BK44" i="1" s="1"/>
  <c r="BK23" i="1"/>
  <c r="BK32" i="1"/>
  <c r="BK46" i="1" s="1"/>
  <c r="BK34" i="1"/>
  <c r="BK48" i="1" s="1"/>
  <c r="BK36" i="1"/>
  <c r="BK50" i="1" s="1"/>
  <c r="BK29" i="1"/>
  <c r="BK33" i="1"/>
  <c r="BK47" i="1" s="1"/>
  <c r="BK18" i="1"/>
  <c r="BK22" i="1"/>
  <c r="BK38" i="1"/>
  <c r="BK52" i="1" s="1"/>
  <c r="BK8" i="1"/>
  <c r="BK20" i="1"/>
  <c r="BK10" i="1"/>
  <c r="BK35" i="1"/>
  <c r="BK49" i="1" s="1"/>
  <c r="BK19" i="1"/>
  <c r="BK11" i="1"/>
  <c r="BK15" i="1"/>
  <c r="BK26" i="1"/>
  <c r="BK24" i="1"/>
  <c r="BK16" i="1"/>
  <c r="BK39" i="1"/>
  <c r="BK53" i="1" s="1"/>
  <c r="BK14" i="1"/>
  <c r="BK12" i="1"/>
  <c r="BK17" i="1"/>
  <c r="BK13" i="1"/>
  <c r="BK9" i="1"/>
  <c r="BK21" i="1"/>
  <c r="BK40" i="1"/>
  <c r="BK54" i="1" s="1"/>
  <c r="BK31" i="1"/>
  <c r="BK45" i="1" s="1"/>
  <c r="BL6" i="1"/>
  <c r="BK37" i="1"/>
  <c r="BK51" i="1" s="1"/>
  <c r="BJ43" i="1"/>
  <c r="BL26" i="1" l="1"/>
  <c r="BL30" i="1"/>
  <c r="BL44" i="1" s="1"/>
  <c r="BL23" i="1"/>
  <c r="BL18" i="1"/>
  <c r="BL32" i="1"/>
  <c r="BL46" i="1" s="1"/>
  <c r="BL34" i="1"/>
  <c r="BL48" i="1" s="1"/>
  <c r="BL40" i="1"/>
  <c r="BL54" i="1" s="1"/>
  <c r="BL29" i="1"/>
  <c r="BL35" i="1"/>
  <c r="BL49" i="1" s="1"/>
  <c r="BL19" i="1"/>
  <c r="BL16" i="1"/>
  <c r="BL33" i="1"/>
  <c r="BL47" i="1" s="1"/>
  <c r="BL20" i="1"/>
  <c r="BL14" i="1"/>
  <c r="BL11" i="1"/>
  <c r="BL15" i="1"/>
  <c r="BL36" i="1"/>
  <c r="BL50" i="1" s="1"/>
  <c r="BL24" i="1"/>
  <c r="BL39" i="1"/>
  <c r="BL53" i="1" s="1"/>
  <c r="BL12" i="1"/>
  <c r="BL17" i="1"/>
  <c r="BL13" i="1"/>
  <c r="BL21" i="1"/>
  <c r="BL10" i="1"/>
  <c r="BL38" i="1"/>
  <c r="BL52" i="1" s="1"/>
  <c r="BL9" i="1"/>
  <c r="BL8" i="1"/>
  <c r="BM6" i="1"/>
  <c r="BL37" i="1"/>
  <c r="BL51" i="1" s="1"/>
  <c r="BL22" i="1"/>
  <c r="BL31" i="1"/>
  <c r="BL45" i="1" s="1"/>
  <c r="BK43" i="1"/>
  <c r="BL43" i="1" l="1"/>
  <c r="BM26" i="1"/>
  <c r="BM18" i="1"/>
  <c r="BM32" i="1"/>
  <c r="BM46" i="1" s="1"/>
  <c r="BM34" i="1"/>
  <c r="BM48" i="1" s="1"/>
  <c r="BM36" i="1"/>
  <c r="BM50" i="1" s="1"/>
  <c r="BM21" i="1"/>
  <c r="BM38" i="1"/>
  <c r="BM52" i="1" s="1"/>
  <c r="BM13" i="1"/>
  <c r="BM37" i="1"/>
  <c r="BM51" i="1" s="1"/>
  <c r="BM29" i="1"/>
  <c r="BM35" i="1"/>
  <c r="BM49" i="1" s="1"/>
  <c r="BM19" i="1"/>
  <c r="BM16" i="1"/>
  <c r="BM11" i="1"/>
  <c r="BM20" i="1"/>
  <c r="BM14" i="1"/>
  <c r="BM30" i="1"/>
  <c r="BM44" i="1" s="1"/>
  <c r="BM23" i="1"/>
  <c r="BM17" i="1"/>
  <c r="BM15" i="1"/>
  <c r="BM24" i="1"/>
  <c r="BM39" i="1"/>
  <c r="BM53" i="1" s="1"/>
  <c r="BM31" i="1"/>
  <c r="BM45" i="1" s="1"/>
  <c r="BM33" i="1"/>
  <c r="BM47" i="1" s="1"/>
  <c r="BM12" i="1"/>
  <c r="BM9" i="1"/>
  <c r="BM10" i="1"/>
  <c r="BM22" i="1"/>
  <c r="BM8" i="1"/>
  <c r="BM40" i="1"/>
  <c r="BM54" i="1" s="1"/>
  <c r="BN6" i="1"/>
  <c r="BM43" i="1" l="1"/>
  <c r="BN30" i="1"/>
  <c r="BN44" i="1" s="1"/>
  <c r="BN23" i="1"/>
  <c r="BN32" i="1"/>
  <c r="BN46" i="1" s="1"/>
  <c r="BN34" i="1"/>
  <c r="BN48" i="1" s="1"/>
  <c r="BN36" i="1"/>
  <c r="BN50" i="1" s="1"/>
  <c r="BN21" i="1"/>
  <c r="BN37" i="1"/>
  <c r="BN51" i="1" s="1"/>
  <c r="BN8" i="1"/>
  <c r="BN26" i="1"/>
  <c r="BN35" i="1"/>
  <c r="BN49" i="1" s="1"/>
  <c r="BN19" i="1"/>
  <c r="BN16" i="1"/>
  <c r="BN11" i="1"/>
  <c r="BN39" i="1"/>
  <c r="BN53" i="1" s="1"/>
  <c r="BN9" i="1"/>
  <c r="BN38" i="1"/>
  <c r="BN52" i="1" s="1"/>
  <c r="BN17" i="1"/>
  <c r="BN14" i="1"/>
  <c r="BN29" i="1"/>
  <c r="BN20" i="1"/>
  <c r="BN10" i="1"/>
  <c r="BN15" i="1"/>
  <c r="BN24" i="1"/>
  <c r="BN18" i="1"/>
  <c r="BN31" i="1"/>
  <c r="BN45" i="1" s="1"/>
  <c r="BN22" i="1"/>
  <c r="BN13" i="1"/>
  <c r="BO6" i="1"/>
  <c r="BN33" i="1"/>
  <c r="BN47" i="1" s="1"/>
  <c r="BN40" i="1"/>
  <c r="BN54" i="1" s="1"/>
  <c r="BN12" i="1"/>
  <c r="BN43" i="1" l="1"/>
  <c r="BO30" i="1"/>
  <c r="BO44" i="1" s="1"/>
  <c r="BO23" i="1"/>
  <c r="BO18" i="1"/>
  <c r="BO34" i="1"/>
  <c r="BO48" i="1" s="1"/>
  <c r="BO36" i="1"/>
  <c r="BO50" i="1" s="1"/>
  <c r="BO21" i="1"/>
  <c r="BO38" i="1"/>
  <c r="BO52" i="1" s="1"/>
  <c r="BO40" i="1"/>
  <c r="BO54" i="1" s="1"/>
  <c r="BO13" i="1"/>
  <c r="BO26" i="1"/>
  <c r="BO32" i="1"/>
  <c r="BO46" i="1" s="1"/>
  <c r="BO11" i="1"/>
  <c r="BO39" i="1"/>
  <c r="BO53" i="1" s="1"/>
  <c r="BO22" i="1"/>
  <c r="BO17" i="1"/>
  <c r="BO14" i="1"/>
  <c r="BO29" i="1"/>
  <c r="BO16" i="1"/>
  <c r="BO15" i="1"/>
  <c r="BO20" i="1"/>
  <c r="BO37" i="1"/>
  <c r="BO51" i="1" s="1"/>
  <c r="BO10" i="1"/>
  <c r="BO19" i="1"/>
  <c r="BO35" i="1"/>
  <c r="BO49" i="1" s="1"/>
  <c r="BO24" i="1"/>
  <c r="BO12" i="1"/>
  <c r="BO31" i="1"/>
  <c r="BO45" i="1" s="1"/>
  <c r="BO9" i="1"/>
  <c r="BO8" i="1"/>
  <c r="BP6" i="1"/>
  <c r="BO33" i="1"/>
  <c r="BO47" i="1" s="1"/>
  <c r="BP18" i="1" l="1"/>
  <c r="BP32" i="1"/>
  <c r="BP46" i="1" s="1"/>
  <c r="BP34" i="1"/>
  <c r="BP48" i="1" s="1"/>
  <c r="BP36" i="1"/>
  <c r="BP50" i="1" s="1"/>
  <c r="BP21" i="1"/>
  <c r="BP38" i="1"/>
  <c r="BP52" i="1" s="1"/>
  <c r="BP40" i="1"/>
  <c r="BP54" i="1" s="1"/>
  <c r="BP37" i="1"/>
  <c r="BP51" i="1" s="1"/>
  <c r="BP8" i="1"/>
  <c r="BP29" i="1"/>
  <c r="BP39" i="1"/>
  <c r="BP53" i="1" s="1"/>
  <c r="BP22" i="1"/>
  <c r="BP30" i="1"/>
  <c r="BP44" i="1" s="1"/>
  <c r="BP31" i="1"/>
  <c r="BP45" i="1" s="1"/>
  <c r="BP23" i="1"/>
  <c r="BP16" i="1"/>
  <c r="BP15" i="1"/>
  <c r="BP33" i="1"/>
  <c r="BP47" i="1" s="1"/>
  <c r="BP19" i="1"/>
  <c r="BP35" i="1"/>
  <c r="BP49" i="1" s="1"/>
  <c r="BP11" i="1"/>
  <c r="BP24" i="1"/>
  <c r="BP12" i="1"/>
  <c r="BP26" i="1"/>
  <c r="BP14" i="1"/>
  <c r="BP13" i="1"/>
  <c r="BP17" i="1"/>
  <c r="BP10" i="1"/>
  <c r="BP9" i="1"/>
  <c r="BQ6" i="1"/>
  <c r="BP20" i="1"/>
  <c r="BO43" i="1"/>
  <c r="BQ32" i="1" l="1"/>
  <c r="BQ46" i="1" s="1"/>
  <c r="BQ36" i="1"/>
  <c r="BQ50" i="1" s="1"/>
  <c r="BQ21" i="1"/>
  <c r="BQ38" i="1"/>
  <c r="BQ52" i="1" s="1"/>
  <c r="BQ40" i="1"/>
  <c r="BQ54" i="1" s="1"/>
  <c r="BQ26" i="1"/>
  <c r="BQ29" i="1"/>
  <c r="BQ35" i="1"/>
  <c r="BQ49" i="1" s="1"/>
  <c r="BQ33" i="1"/>
  <c r="BQ47" i="1" s="1"/>
  <c r="BQ30" i="1"/>
  <c r="BQ44" i="1" s="1"/>
  <c r="BQ16" i="1"/>
  <c r="BQ15" i="1"/>
  <c r="BQ37" i="1"/>
  <c r="BQ51" i="1" s="1"/>
  <c r="BQ34" i="1"/>
  <c r="BQ48" i="1" s="1"/>
  <c r="BQ11" i="1"/>
  <c r="BQ24" i="1"/>
  <c r="BQ18" i="1"/>
  <c r="BQ12" i="1"/>
  <c r="BQ39" i="1"/>
  <c r="BQ53" i="1" s="1"/>
  <c r="BQ23" i="1"/>
  <c r="BQ22" i="1"/>
  <c r="BQ13" i="1"/>
  <c r="BQ17" i="1"/>
  <c r="BQ10" i="1"/>
  <c r="BQ9" i="1"/>
  <c r="BQ19" i="1"/>
  <c r="BQ8" i="1"/>
  <c r="BR6" i="1"/>
  <c r="BQ31" i="1"/>
  <c r="BQ45" i="1" s="1"/>
  <c r="BQ14" i="1"/>
  <c r="BQ20" i="1"/>
  <c r="BP43" i="1"/>
  <c r="BQ43" i="1" l="1"/>
  <c r="BR34" i="1"/>
  <c r="BR48" i="1" s="1"/>
  <c r="BR36" i="1"/>
  <c r="BR50" i="1" s="1"/>
  <c r="BR21" i="1"/>
  <c r="BR38" i="1"/>
  <c r="BR52" i="1" s="1"/>
  <c r="BR40" i="1"/>
  <c r="BR54" i="1" s="1"/>
  <c r="BR24" i="1"/>
  <c r="BR35" i="1"/>
  <c r="BR49" i="1" s="1"/>
  <c r="BR32" i="1"/>
  <c r="BR46" i="1" s="1"/>
  <c r="BR19" i="1"/>
  <c r="BR16" i="1"/>
  <c r="BR33" i="1"/>
  <c r="BR47" i="1" s="1"/>
  <c r="BR20" i="1"/>
  <c r="BR18" i="1"/>
  <c r="BR14" i="1"/>
  <c r="BR17" i="1"/>
  <c r="BR29" i="1"/>
  <c r="BR12" i="1"/>
  <c r="BR22" i="1"/>
  <c r="BR11" i="1"/>
  <c r="BR15" i="1"/>
  <c r="BR39" i="1"/>
  <c r="BR53" i="1" s="1"/>
  <c r="BR26" i="1"/>
  <c r="BR31" i="1"/>
  <c r="BR45" i="1" s="1"/>
  <c r="BR13" i="1"/>
  <c r="BR23" i="1"/>
  <c r="BR30" i="1"/>
  <c r="BR44" i="1" s="1"/>
  <c r="BR43" i="1" s="1"/>
  <c r="BR9" i="1"/>
  <c r="BR37" i="1"/>
  <c r="BR51" i="1" s="1"/>
  <c r="BR8" i="1"/>
  <c r="BS6" i="1"/>
  <c r="BR10" i="1"/>
  <c r="BS34" i="1" l="1"/>
  <c r="BS48" i="1" s="1"/>
  <c r="BS38" i="1"/>
  <c r="BS52" i="1" s="1"/>
  <c r="BS40" i="1"/>
  <c r="BS54" i="1" s="1"/>
  <c r="BS24" i="1"/>
  <c r="BS19" i="1"/>
  <c r="BS29" i="1"/>
  <c r="BS11" i="1"/>
  <c r="BS39" i="1"/>
  <c r="BS53" i="1" s="1"/>
  <c r="BS33" i="1"/>
  <c r="BS47" i="1" s="1"/>
  <c r="BS20" i="1"/>
  <c r="BS18" i="1"/>
  <c r="BS14" i="1"/>
  <c r="BS9" i="1"/>
  <c r="BS17" i="1"/>
  <c r="BS12" i="1"/>
  <c r="BT6" i="1"/>
  <c r="BS36" i="1"/>
  <c r="BS50" i="1" s="1"/>
  <c r="BS23" i="1"/>
  <c r="BS37" i="1"/>
  <c r="BS51" i="1" s="1"/>
  <c r="BS13" i="1"/>
  <c r="BS35" i="1"/>
  <c r="BS49" i="1" s="1"/>
  <c r="BS26" i="1"/>
  <c r="BS15" i="1"/>
  <c r="BS31" i="1"/>
  <c r="BS45" i="1" s="1"/>
  <c r="BS30" i="1"/>
  <c r="BS44" i="1" s="1"/>
  <c r="BS22" i="1"/>
  <c r="BS10" i="1"/>
  <c r="BS21" i="1"/>
  <c r="BS32" i="1"/>
  <c r="BS46" i="1" s="1"/>
  <c r="BS8" i="1"/>
  <c r="BS16" i="1"/>
  <c r="BS43" i="1" l="1"/>
  <c r="BT36" i="1"/>
  <c r="BT50" i="1" s="1"/>
  <c r="BT21" i="1"/>
  <c r="BT38" i="1"/>
  <c r="BT52" i="1" s="1"/>
  <c r="BT40" i="1"/>
  <c r="BT54" i="1" s="1"/>
  <c r="BT24" i="1"/>
  <c r="BT19" i="1"/>
  <c r="BT29" i="1"/>
  <c r="BT31" i="1"/>
  <c r="BT45" i="1" s="1"/>
  <c r="BT37" i="1"/>
  <c r="BT51" i="1" s="1"/>
  <c r="BT35" i="1"/>
  <c r="BT49" i="1" s="1"/>
  <c r="BT32" i="1"/>
  <c r="BT46" i="1" s="1"/>
  <c r="BT16" i="1"/>
  <c r="BT39" i="1"/>
  <c r="BT53" i="1" s="1"/>
  <c r="BT20" i="1"/>
  <c r="BT18" i="1"/>
  <c r="BT14" i="1"/>
  <c r="BT9" i="1"/>
  <c r="BT23" i="1"/>
  <c r="BT13" i="1"/>
  <c r="BT12" i="1"/>
  <c r="BT34" i="1"/>
  <c r="BT48" i="1" s="1"/>
  <c r="BT33" i="1"/>
  <c r="BT47" i="1" s="1"/>
  <c r="BT26" i="1"/>
  <c r="BT30" i="1"/>
  <c r="BT44" i="1" s="1"/>
  <c r="BT17" i="1"/>
  <c r="BT10" i="1"/>
  <c r="BT11" i="1"/>
  <c r="BT15" i="1"/>
  <c r="BT8" i="1"/>
  <c r="BT22" i="1"/>
  <c r="BU6" i="1"/>
  <c r="BU36" i="1" l="1"/>
  <c r="BU50" i="1" s="1"/>
  <c r="BU21" i="1"/>
  <c r="BU40" i="1"/>
  <c r="BU54" i="1" s="1"/>
  <c r="BU24" i="1"/>
  <c r="BU29" i="1"/>
  <c r="BU35" i="1"/>
  <c r="BU49" i="1" s="1"/>
  <c r="BU39" i="1"/>
  <c r="BU53" i="1" s="1"/>
  <c r="BU11" i="1"/>
  <c r="BU9" i="1"/>
  <c r="BU22" i="1"/>
  <c r="BU38" i="1"/>
  <c r="BU52" i="1" s="1"/>
  <c r="BU31" i="1"/>
  <c r="BU45" i="1" s="1"/>
  <c r="BU17" i="1"/>
  <c r="BU15" i="1"/>
  <c r="BU13" i="1"/>
  <c r="BU12" i="1"/>
  <c r="BU37" i="1"/>
  <c r="BU51" i="1" s="1"/>
  <c r="BU32" i="1"/>
  <c r="BU46" i="1" s="1"/>
  <c r="BU18" i="1"/>
  <c r="BU26" i="1"/>
  <c r="BU30" i="1"/>
  <c r="BU44" i="1" s="1"/>
  <c r="BU23" i="1"/>
  <c r="BU10" i="1"/>
  <c r="BU8" i="1"/>
  <c r="BU19" i="1"/>
  <c r="BU14" i="1"/>
  <c r="BV6" i="1"/>
  <c r="BU16" i="1"/>
  <c r="BU34" i="1"/>
  <c r="BU48" i="1" s="1"/>
  <c r="BU33" i="1"/>
  <c r="BU47" i="1" s="1"/>
  <c r="BU20" i="1"/>
  <c r="BT43" i="1"/>
  <c r="BU43" i="1" l="1"/>
  <c r="BV38" i="1"/>
  <c r="BV52" i="1" s="1"/>
  <c r="BV40" i="1"/>
  <c r="BV54" i="1" s="1"/>
  <c r="BV24" i="1"/>
  <c r="BV19" i="1"/>
  <c r="BV29" i="1"/>
  <c r="BV31" i="1"/>
  <c r="BV45" i="1" s="1"/>
  <c r="BV33" i="1"/>
  <c r="BV47" i="1" s="1"/>
  <c r="BV39" i="1"/>
  <c r="BV53" i="1" s="1"/>
  <c r="BV22" i="1"/>
  <c r="BV30" i="1"/>
  <c r="BV44" i="1" s="1"/>
  <c r="BV21" i="1"/>
  <c r="BV36" i="1"/>
  <c r="BV50" i="1" s="1"/>
  <c r="BV23" i="1"/>
  <c r="BV14" i="1"/>
  <c r="BV37" i="1"/>
  <c r="BV51" i="1" s="1"/>
  <c r="BV10" i="1"/>
  <c r="BV35" i="1"/>
  <c r="BV49" i="1" s="1"/>
  <c r="BV26" i="1"/>
  <c r="BV18" i="1"/>
  <c r="BV12" i="1"/>
  <c r="BV16" i="1"/>
  <c r="BV17" i="1"/>
  <c r="BV11" i="1"/>
  <c r="BV9" i="1"/>
  <c r="BV32" i="1"/>
  <c r="BV46" i="1" s="1"/>
  <c r="BV8" i="1"/>
  <c r="BV20" i="1"/>
  <c r="BV15" i="1"/>
  <c r="BW6" i="1"/>
  <c r="BV34" i="1"/>
  <c r="BV48" i="1" s="1"/>
  <c r="BV13" i="1"/>
  <c r="BV43" i="1" l="1"/>
  <c r="BW38" i="1"/>
  <c r="BW52" i="1" s="1"/>
  <c r="BW24" i="1"/>
  <c r="BW19" i="1"/>
  <c r="BW29" i="1"/>
  <c r="BW31" i="1"/>
  <c r="BW45" i="1" s="1"/>
  <c r="BW37" i="1"/>
  <c r="BW51" i="1" s="1"/>
  <c r="BW33" i="1"/>
  <c r="BW47" i="1" s="1"/>
  <c r="BW22" i="1"/>
  <c r="BW30" i="1"/>
  <c r="BW44" i="1" s="1"/>
  <c r="BW21" i="1"/>
  <c r="BW36" i="1"/>
  <c r="BW50" i="1" s="1"/>
  <c r="BW23" i="1"/>
  <c r="BW15" i="1"/>
  <c r="BW34" i="1"/>
  <c r="BW48" i="1" s="1"/>
  <c r="BW16" i="1"/>
  <c r="BW10" i="1"/>
  <c r="BW35" i="1"/>
  <c r="BW49" i="1" s="1"/>
  <c r="BW11" i="1"/>
  <c r="BW39" i="1"/>
  <c r="BW53" i="1" s="1"/>
  <c r="BW26" i="1"/>
  <c r="BW18" i="1"/>
  <c r="BW12" i="1"/>
  <c r="BW9" i="1"/>
  <c r="BW8" i="1"/>
  <c r="BW32" i="1"/>
  <c r="BW46" i="1" s="1"/>
  <c r="BX6" i="1"/>
  <c r="BW20" i="1"/>
  <c r="BW13" i="1"/>
  <c r="BW40" i="1"/>
  <c r="BW54" i="1" s="1"/>
  <c r="BW17" i="1"/>
  <c r="BW14" i="1"/>
  <c r="BX40" i="1" l="1"/>
  <c r="BX54" i="1" s="1"/>
  <c r="BX19" i="1"/>
  <c r="BX29" i="1"/>
  <c r="BX31" i="1"/>
  <c r="BX45" i="1" s="1"/>
  <c r="BX33" i="1"/>
  <c r="BX47" i="1" s="1"/>
  <c r="BX22" i="1"/>
  <c r="BX35" i="1"/>
  <c r="BX49" i="1" s="1"/>
  <c r="BX39" i="1"/>
  <c r="BX53" i="1" s="1"/>
  <c r="BX20" i="1"/>
  <c r="BX18" i="1"/>
  <c r="BX14" i="1"/>
  <c r="BX30" i="1"/>
  <c r="BX44" i="1" s="1"/>
  <c r="BX21" i="1"/>
  <c r="BX17" i="1"/>
  <c r="BX12" i="1"/>
  <c r="BY6" i="1"/>
  <c r="BX38" i="1"/>
  <c r="BX52" i="1" s="1"/>
  <c r="BX15" i="1"/>
  <c r="BX10" i="1"/>
  <c r="BX11" i="1"/>
  <c r="BX36" i="1"/>
  <c r="BX50" i="1" s="1"/>
  <c r="BX26" i="1"/>
  <c r="BX24" i="1"/>
  <c r="BX16" i="1"/>
  <c r="BX23" i="1"/>
  <c r="BX13" i="1"/>
  <c r="BX32" i="1"/>
  <c r="BX46" i="1" s="1"/>
  <c r="BX9" i="1"/>
  <c r="BX8" i="1"/>
  <c r="BX37" i="1"/>
  <c r="BX51" i="1" s="1"/>
  <c r="BX34" i="1"/>
  <c r="BX48" i="1" s="1"/>
  <c r="BW43" i="1"/>
  <c r="BY40" i="1" l="1"/>
  <c r="BY54" i="1" s="1"/>
  <c r="BY24" i="1"/>
  <c r="BY29" i="1"/>
  <c r="BY31" i="1"/>
  <c r="BY45" i="1" s="1"/>
  <c r="BY33" i="1"/>
  <c r="BY47" i="1" s="1"/>
  <c r="BY22" i="1"/>
  <c r="BY39" i="1"/>
  <c r="BY53" i="1" s="1"/>
  <c r="BY19" i="1"/>
  <c r="BY9" i="1"/>
  <c r="BZ6" i="1"/>
  <c r="BY17" i="1"/>
  <c r="BY12" i="1"/>
  <c r="BY10" i="1"/>
  <c r="BY13" i="1"/>
  <c r="BY11" i="1"/>
  <c r="BY36" i="1"/>
  <c r="BY50" i="1" s="1"/>
  <c r="BY35" i="1"/>
  <c r="BY49" i="1" s="1"/>
  <c r="BY26" i="1"/>
  <c r="BY20" i="1"/>
  <c r="BY18" i="1"/>
  <c r="BY38" i="1"/>
  <c r="BY52" i="1" s="1"/>
  <c r="BY34" i="1"/>
  <c r="BY48" i="1" s="1"/>
  <c r="BY21" i="1"/>
  <c r="BY15" i="1"/>
  <c r="BY30" i="1"/>
  <c r="BY44" i="1" s="1"/>
  <c r="BY16" i="1"/>
  <c r="BY23" i="1"/>
  <c r="BY32" i="1"/>
  <c r="BY46" i="1" s="1"/>
  <c r="BY37" i="1"/>
  <c r="BY51" i="1" s="1"/>
  <c r="BY8" i="1"/>
  <c r="BY14" i="1"/>
  <c r="BX43" i="1"/>
  <c r="BY43" i="1" l="1"/>
  <c r="BZ24" i="1"/>
  <c r="BZ19" i="1"/>
  <c r="BZ31" i="1"/>
  <c r="BZ45" i="1" s="1"/>
  <c r="BZ33" i="1"/>
  <c r="BZ47" i="1" s="1"/>
  <c r="BZ22" i="1"/>
  <c r="BZ35" i="1"/>
  <c r="BZ49" i="1" s="1"/>
  <c r="BZ37" i="1"/>
  <c r="BZ51" i="1" s="1"/>
  <c r="BZ20" i="1"/>
  <c r="BZ18" i="1"/>
  <c r="BZ14" i="1"/>
  <c r="BZ17" i="1"/>
  <c r="BZ12" i="1"/>
  <c r="CA6" i="1"/>
  <c r="BZ36" i="1"/>
  <c r="BZ50" i="1" s="1"/>
  <c r="BZ26" i="1"/>
  <c r="BZ39" i="1"/>
  <c r="BZ53" i="1" s="1"/>
  <c r="BZ15" i="1"/>
  <c r="BZ11" i="1"/>
  <c r="BZ23" i="1"/>
  <c r="BZ29" i="1"/>
  <c r="BZ16" i="1"/>
  <c r="BZ30" i="1"/>
  <c r="BZ44" i="1" s="1"/>
  <c r="BZ43" i="1" s="1"/>
  <c r="BZ32" i="1"/>
  <c r="BZ46" i="1" s="1"/>
  <c r="BZ8" i="1"/>
  <c r="BZ10" i="1"/>
  <c r="BZ21" i="1"/>
  <c r="BZ9" i="1"/>
  <c r="BZ38" i="1"/>
  <c r="BZ52" i="1" s="1"/>
  <c r="BZ34" i="1"/>
  <c r="BZ48" i="1" s="1"/>
  <c r="BZ40" i="1"/>
  <c r="BZ54" i="1" s="1"/>
  <c r="BZ13" i="1"/>
  <c r="CA19" i="1" l="1"/>
  <c r="CA29" i="1"/>
  <c r="CA31" i="1"/>
  <c r="CA45" i="1" s="1"/>
  <c r="CA33" i="1"/>
  <c r="CA47" i="1" s="1"/>
  <c r="CA22" i="1"/>
  <c r="CA35" i="1"/>
  <c r="CA49" i="1" s="1"/>
  <c r="CA9" i="1"/>
  <c r="CA30" i="1"/>
  <c r="CA44" i="1" s="1"/>
  <c r="CA34" i="1"/>
  <c r="CA48" i="1" s="1"/>
  <c r="CA26" i="1"/>
  <c r="CA37" i="1"/>
  <c r="CA51" i="1" s="1"/>
  <c r="CA20" i="1"/>
  <c r="CA18" i="1"/>
  <c r="CA38" i="1"/>
  <c r="CA52" i="1" s="1"/>
  <c r="CA40" i="1"/>
  <c r="CA54" i="1" s="1"/>
  <c r="CA11" i="1"/>
  <c r="CA24" i="1"/>
  <c r="CA12" i="1"/>
  <c r="CA16" i="1"/>
  <c r="CA23" i="1"/>
  <c r="CA39" i="1"/>
  <c r="CA53" i="1" s="1"/>
  <c r="CA36" i="1"/>
  <c r="CA50" i="1" s="1"/>
  <c r="CB6" i="1"/>
  <c r="CA10" i="1"/>
  <c r="CA21" i="1"/>
  <c r="CA32" i="1"/>
  <c r="CA46" i="1" s="1"/>
  <c r="CA8" i="1"/>
  <c r="CA13" i="1"/>
  <c r="CA14" i="1"/>
  <c r="CA15" i="1"/>
  <c r="CA17" i="1"/>
  <c r="CB29" i="1" l="1"/>
  <c r="CB33" i="1"/>
  <c r="CB47" i="1" s="1"/>
  <c r="CB22" i="1"/>
  <c r="CB35" i="1"/>
  <c r="CB49" i="1" s="1"/>
  <c r="CB37" i="1"/>
  <c r="CB51" i="1" s="1"/>
  <c r="CB39" i="1"/>
  <c r="CB53" i="1" s="1"/>
  <c r="CB30" i="1"/>
  <c r="CB44" i="1" s="1"/>
  <c r="CB21" i="1"/>
  <c r="CB36" i="1"/>
  <c r="CB50" i="1" s="1"/>
  <c r="CB23" i="1"/>
  <c r="CB34" i="1"/>
  <c r="CB48" i="1" s="1"/>
  <c r="CB31" i="1"/>
  <c r="CB45" i="1" s="1"/>
  <c r="CB24" i="1"/>
  <c r="CB40" i="1"/>
  <c r="CB54" i="1" s="1"/>
  <c r="CB12" i="1"/>
  <c r="CB26" i="1"/>
  <c r="CB20" i="1"/>
  <c r="CB18" i="1"/>
  <c r="CB38" i="1"/>
  <c r="CB52" i="1" s="1"/>
  <c r="CB9" i="1"/>
  <c r="CB32" i="1"/>
  <c r="CB46" i="1" s="1"/>
  <c r="CB19" i="1"/>
  <c r="CB16" i="1"/>
  <c r="CB13" i="1"/>
  <c r="CB11" i="1"/>
  <c r="CB8" i="1"/>
  <c r="CC6" i="1"/>
  <c r="CB10" i="1"/>
  <c r="CB14" i="1"/>
  <c r="CB15" i="1"/>
  <c r="CB17" i="1"/>
  <c r="CA43" i="1"/>
  <c r="CC31" i="1" l="1"/>
  <c r="CC45" i="1" s="1"/>
  <c r="CC33" i="1"/>
  <c r="CC47" i="1" s="1"/>
  <c r="CC22" i="1"/>
  <c r="CC17" i="1"/>
  <c r="CC35" i="1"/>
  <c r="CC49" i="1" s="1"/>
  <c r="CC37" i="1"/>
  <c r="CC51" i="1" s="1"/>
  <c r="CC39" i="1"/>
  <c r="CC53" i="1" s="1"/>
  <c r="CC36" i="1"/>
  <c r="CC50" i="1" s="1"/>
  <c r="CC23" i="1"/>
  <c r="CC38" i="1"/>
  <c r="CC52" i="1" s="1"/>
  <c r="CC15" i="1"/>
  <c r="CC24" i="1"/>
  <c r="CC40" i="1"/>
  <c r="CC54" i="1" s="1"/>
  <c r="CC11" i="1"/>
  <c r="CC10" i="1"/>
  <c r="CC9" i="1"/>
  <c r="CC34" i="1"/>
  <c r="CC48" i="1" s="1"/>
  <c r="CC19" i="1"/>
  <c r="CC26" i="1"/>
  <c r="CC18" i="1"/>
  <c r="CC16" i="1"/>
  <c r="CC12" i="1"/>
  <c r="CC30" i="1"/>
  <c r="CC44" i="1" s="1"/>
  <c r="CC29" i="1"/>
  <c r="CC13" i="1"/>
  <c r="CC8" i="1"/>
  <c r="CC32" i="1"/>
  <c r="CC46" i="1" s="1"/>
  <c r="CC21" i="1"/>
  <c r="CD6" i="1"/>
  <c r="CC14" i="1"/>
  <c r="CC20" i="1"/>
  <c r="CB43" i="1"/>
  <c r="CD31" i="1" l="1"/>
  <c r="CD45" i="1" s="1"/>
  <c r="CD17" i="1"/>
  <c r="CD35" i="1"/>
  <c r="CD49" i="1" s="1"/>
  <c r="CD37" i="1"/>
  <c r="CD51" i="1" s="1"/>
  <c r="CD39" i="1"/>
  <c r="CD53" i="1" s="1"/>
  <c r="CD20" i="1"/>
  <c r="CD30" i="1"/>
  <c r="CD44" i="1" s="1"/>
  <c r="CD21" i="1"/>
  <c r="CD33" i="1"/>
  <c r="CD47" i="1" s="1"/>
  <c r="CD12" i="1"/>
  <c r="CE6" i="1"/>
  <c r="CD36" i="1"/>
  <c r="CD50" i="1" s="1"/>
  <c r="CD23" i="1"/>
  <c r="CD38" i="1"/>
  <c r="CD52" i="1" s="1"/>
  <c r="CD15" i="1"/>
  <c r="CD10" i="1"/>
  <c r="CD13" i="1"/>
  <c r="CD32" i="1"/>
  <c r="CD46" i="1" s="1"/>
  <c r="CD29" i="1"/>
  <c r="CD34" i="1"/>
  <c r="CD48" i="1" s="1"/>
  <c r="CD24" i="1"/>
  <c r="CD26" i="1"/>
  <c r="CD18" i="1"/>
  <c r="CD16" i="1"/>
  <c r="CD8" i="1"/>
  <c r="CD22" i="1"/>
  <c r="CD9" i="1"/>
  <c r="CD14" i="1"/>
  <c r="CD11" i="1"/>
  <c r="CD19" i="1"/>
  <c r="CD40" i="1"/>
  <c r="CD54" i="1" s="1"/>
  <c r="CC43" i="1"/>
  <c r="CD43" i="1" l="1"/>
  <c r="CE33" i="1"/>
  <c r="CE47" i="1" s="1"/>
  <c r="CE22" i="1"/>
  <c r="CE35" i="1"/>
  <c r="CE49" i="1" s="1"/>
  <c r="CE37" i="1"/>
  <c r="CE51" i="1" s="1"/>
  <c r="CE39" i="1"/>
  <c r="CE53" i="1" s="1"/>
  <c r="CE20" i="1"/>
  <c r="CE38" i="1"/>
  <c r="CE52" i="1" s="1"/>
  <c r="CE15" i="1"/>
  <c r="CE10" i="1"/>
  <c r="CE8" i="1"/>
  <c r="CE26" i="1"/>
  <c r="CE29" i="1"/>
  <c r="CE34" i="1"/>
  <c r="CE48" i="1" s="1"/>
  <c r="CE24" i="1"/>
  <c r="CE18" i="1"/>
  <c r="CE16" i="1"/>
  <c r="CE12" i="1"/>
  <c r="CE30" i="1"/>
  <c r="CE44" i="1" s="1"/>
  <c r="CE13" i="1"/>
  <c r="CE23" i="1"/>
  <c r="CE36" i="1"/>
  <c r="CE50" i="1" s="1"/>
  <c r="CE31" i="1"/>
  <c r="CE45" i="1" s="1"/>
  <c r="CE32" i="1"/>
  <c r="CE46" i="1" s="1"/>
  <c r="CF6" i="1"/>
  <c r="CE21" i="1"/>
  <c r="CE17" i="1"/>
  <c r="CE11" i="1"/>
  <c r="CE9" i="1"/>
  <c r="CE19" i="1"/>
  <c r="CE40" i="1"/>
  <c r="CE54" i="1" s="1"/>
  <c r="CE14" i="1"/>
  <c r="CF33" i="1" l="1"/>
  <c r="CF47" i="1" s="1"/>
  <c r="CF22" i="1"/>
  <c r="CF17" i="1"/>
  <c r="CF37" i="1"/>
  <c r="CF51" i="1" s="1"/>
  <c r="CF39" i="1"/>
  <c r="CF53" i="1" s="1"/>
  <c r="CF20" i="1"/>
  <c r="CF12" i="1"/>
  <c r="CF10" i="1"/>
  <c r="CF26" i="1"/>
  <c r="CF40" i="1"/>
  <c r="CF54" i="1" s="1"/>
  <c r="CF18" i="1"/>
  <c r="CF36" i="1"/>
  <c r="CF50" i="1" s="1"/>
  <c r="CF38" i="1"/>
  <c r="CF52" i="1" s="1"/>
  <c r="CF35" i="1"/>
  <c r="CF49" i="1" s="1"/>
  <c r="CF23" i="1"/>
  <c r="CF30" i="1"/>
  <c r="CF44" i="1" s="1"/>
  <c r="CF29" i="1"/>
  <c r="CF8" i="1"/>
  <c r="CF13" i="1"/>
  <c r="CF31" i="1"/>
  <c r="CF45" i="1" s="1"/>
  <c r="CF32" i="1"/>
  <c r="CF46" i="1" s="1"/>
  <c r="CF21" i="1"/>
  <c r="CF14" i="1"/>
  <c r="CF11" i="1"/>
  <c r="CF9" i="1"/>
  <c r="CF19" i="1"/>
  <c r="CF24" i="1"/>
  <c r="CF34" i="1"/>
  <c r="CF48" i="1" s="1"/>
  <c r="CF15" i="1"/>
  <c r="CF16" i="1"/>
  <c r="CE43" i="1"/>
  <c r="CF43" i="1" l="1"/>
</calcChain>
</file>

<file path=xl/sharedStrings.xml><?xml version="1.0" encoding="utf-8"?>
<sst xmlns="http://schemas.openxmlformats.org/spreadsheetml/2006/main" count="374" uniqueCount="221">
  <si>
    <t>DỰ ÁN: CỐNG HỘP TUYẾN A5 - KHU ĐÔ THỊ THỂ THAO QUỐC TẾ HÀ NỘI</t>
  </si>
  <si>
    <t>BẢNG TÍNH TOÁN CA XE, CA MÁY &amp; TIẾN ĐỘ THI CÔNG TOÀN TUYẾN A5 (L = 2,170 M - 63 HỐ GA)</t>
  </si>
  <si>
    <t>MỐC TIẾN ĐỘ THI CÔNG TOÀN TUYẾN: TỪ 05/09/2026 ĐẾN 12/11/2026 (69 NGÀY) - 2 CA/NGÀY (20H/NGÀY) - 3 MŨI THI CÔNG ĐỒNG THỜI</t>
  </si>
  <si>
    <t>Chế độ ca:</t>
  </si>
  <si>
    <t>2 ca/ngày (20 giờ/ngày)</t>
  </si>
  <si>
    <t>Phân đoạn thi công:</t>
  </si>
  <si>
    <t>3 mũi song song (Cống 2x2: 385m, Cống 3x3: 560m, Cống đôi 2x(3x3): 1,225m)</t>
  </si>
  <si>
    <t>Định mức áp dụng:</t>
  </si>
  <si>
    <t>Vincons_ĐMGK_02-01 Hạ tầng giao thông</t>
  </si>
  <si>
    <t>STT</t>
  </si>
  <si>
    <t>Mã ĐM</t>
  </si>
  <si>
    <t>Nội dung công việc thi công cống hộp</t>
  </si>
  <si>
    <t>ĐVT</t>
  </si>
  <si>
    <t>Khối lượng thiết kế</t>
  </si>
  <si>
    <t>Định mức Vincons (ĐVT/ca)</t>
  </si>
  <si>
    <t>Tổng số ca máy (ca)</t>
  </si>
  <si>
    <t>Năng xuất ngày</t>
  </si>
  <si>
    <t>Thời gian (ngày)</t>
  </si>
  <si>
    <t>Ngày BĐ</t>
  </si>
  <si>
    <t>Ngày KT</t>
  </si>
  <si>
    <t>Số ca/ngày</t>
  </si>
  <si>
    <t>Số máy huy động/ngày</t>
  </si>
  <si>
    <t>Chủng loại MMTB &amp; Ghi chú</t>
  </si>
  <si>
    <t>NC bố trí (người)</t>
  </si>
  <si>
    <t>T7</t>
  </si>
  <si>
    <t>CN</t>
  </si>
  <si>
    <t>T2</t>
  </si>
  <si>
    <t>T3</t>
  </si>
  <si>
    <t>T4</t>
  </si>
  <si>
    <t>T5</t>
  </si>
  <si>
    <t>T6</t>
  </si>
  <si>
    <t>ĐM-16</t>
  </si>
  <si>
    <t>Đào đất hố móng cống hộp 3 mũi (H_tb = 3.5m)</t>
  </si>
  <si>
    <t>m3</t>
  </si>
  <si>
    <t>Máy xúc PC200 - PC300</t>
  </si>
  <si>
    <t>ĐM-15</t>
  </si>
  <si>
    <t>Đào hố móng 63 hố ga thu nước &amp; đấu nối</t>
  </si>
  <si>
    <t>Máy xúc PC200</t>
  </si>
  <si>
    <t>ĐM-29</t>
  </si>
  <si>
    <t>Vận chuyển đất đào cự ly &lt;5km (bãi thải/đắp)</t>
  </si>
  <si>
    <t>Ô tô tự đổ Howo 18 m3</t>
  </si>
  <si>
    <t>ĐM-BOM</t>
  </si>
  <si>
    <t>Bơm hạ mực nước ngầm &amp; chống ngập móng</t>
  </si>
  <si>
    <t>ca</t>
  </si>
  <si>
    <t>Máy bơm nước d80-d100</t>
  </si>
  <si>
    <t>ĐM-53</t>
  </si>
  <si>
    <t>Đệm cát / đá dăm 4x6 lót móng cống</t>
  </si>
  <si>
    <t>Đầm cóc + đầm bàn</t>
  </si>
  <si>
    <t>ĐM-37</t>
  </si>
  <si>
    <t>Bê tông lót móng M100# dày 50mm</t>
  </si>
  <si>
    <t>Xe bồn + đầm bàn</t>
  </si>
  <si>
    <t>ĐM-CT</t>
  </si>
  <si>
    <t>Gia công &amp; lắp dựng cốt thép cống hộp B20</t>
  </si>
  <si>
    <t>tấn</t>
  </si>
  <si>
    <t>Cần cẩu 25T &amp; Máy uốn cắt</t>
  </si>
  <si>
    <t>ĐM-VK</t>
  </si>
  <si>
    <t>Lắp dựng ván khuôn thép/phủ phim thân cống</t>
  </si>
  <si>
    <t>m2</t>
  </si>
  <si>
    <t>Cần cẩu 15T &amp; Dàn giáo</t>
  </si>
  <si>
    <t>ĐM-BT</t>
  </si>
  <si>
    <t>Đổ bê tông thân cống B20 (đáy, vách, nắp)</t>
  </si>
  <si>
    <t>Máy bơm cần 37-43m + đầm</t>
  </si>
  <si>
    <t>ĐM-VCBT</t>
  </si>
  <si>
    <t>Vận chuyển bê tông thương phẩm B20 trạm trộn</t>
  </si>
  <si>
    <t>Xe bồn 8-10m3 (6 xe)</t>
  </si>
  <si>
    <t>ĐM-46</t>
  </si>
  <si>
    <t>Bê tông &amp; cốt thép 63 hố ga BTCT</t>
  </si>
  <si>
    <t>ĐM-25</t>
  </si>
  <si>
    <t>Máy xúc lốp PC140 cẩu lắp &amp; đầm cóc mang cống</t>
  </si>
  <si>
    <t>md</t>
  </si>
  <si>
    <t>Máy xúc lốp PC140</t>
  </si>
  <si>
    <t>ĐM-17</t>
  </si>
  <si>
    <t>Đắp cát/đất K95 hoàn trả mang cống</t>
  </si>
  <si>
    <t>Đầm cóc + xúc lật mang cống</t>
  </si>
  <si>
    <t>ĐM-ỦI</t>
  </si>
  <si>
    <t>Máy ủi D3-D5 san gạt hoàn trả đỉnh móng</t>
  </si>
  <si>
    <t>Máy ủi bánh xích D3-D5</t>
  </si>
  <si>
    <t>ĐM-LU</t>
  </si>
  <si>
    <t>Máy lu rung 12-16T đầm nén K95 hoàn trả</t>
  </si>
  <si>
    <t>Máy lu rung 12T - 16T</t>
  </si>
  <si>
    <t>ĐM-DAU</t>
  </si>
  <si>
    <t>Xe téc cấp dầu lưu động 9m3 phục vụ máy móc</t>
  </si>
  <si>
    <t>Xe téc cấp dầu 9 m3</t>
  </si>
  <si>
    <t>ĐM-ĐIỆN</t>
  </si>
  <si>
    <t>Máy phát điện 3 pha công nghiệp 25-45kVA</t>
  </si>
  <si>
    <t>Máy phát điện 25-45kVA</t>
  </si>
  <si>
    <t>TỔNG NHÂN CÔNG TRÊN CÔNG TRƯỜNG TUYẾN A5 (Người/ngày)</t>
  </si>
  <si>
    <t>BẢNG TỔNG HỢP CA MÁY &amp; SỐ PHƯƠNG TIỆN HUY ĐỘNG THEO NGÀY (CÔNG TRƯỜNG A5)</t>
  </si>
  <si>
    <t>Mã</t>
  </si>
  <si>
    <t>Chủng loại phương tiện / Thiết bị</t>
  </si>
  <si>
    <t>ĐM dầu (l/ca)</t>
  </si>
  <si>
    <t>Max máy</t>
  </si>
  <si>
    <t>Nhiệm vụ thi công trên tuyến A5</t>
  </si>
  <si>
    <t>M1</t>
  </si>
  <si>
    <t>Máy xúc bánh xích PC200 - PC300</t>
  </si>
  <si>
    <t>cái</t>
  </si>
  <si>
    <t>Đào móng, đào ga, xúc mang cống</t>
  </si>
  <si>
    <t>M7</t>
  </si>
  <si>
    <t>Ô tô tự đổ 18 m3</t>
  </si>
  <si>
    <t>xe</t>
  </si>
  <si>
    <t>Vận chuyển đất đào cự ly &lt;5km</t>
  </si>
  <si>
    <t>M5</t>
  </si>
  <si>
    <t>Đầm nén K95 mang cống và đỉnh cống</t>
  </si>
  <si>
    <t>M3</t>
  </si>
  <si>
    <t>Máy ủi bánh xích D3 - D5</t>
  </si>
  <si>
    <t>San gạt hoàn trả hố móng cống</t>
  </si>
  <si>
    <t>MC</t>
  </si>
  <si>
    <t>Cần cẩu 25T &amp; Cẩu tự hành 15T</t>
  </si>
  <si>
    <t>Hạ ván khuôn, cẩu lắp cốt thép</t>
  </si>
  <si>
    <t>MB</t>
  </si>
  <si>
    <t>Máy bơm bê tông cần 37 - 43m</t>
  </si>
  <si>
    <t>Đổ bê tông thân cống B20 &amp; hố ga</t>
  </si>
  <si>
    <t>XB</t>
  </si>
  <si>
    <t>Xe bồn vận chuyển bê tông 8-10m3</t>
  </si>
  <si>
    <t>Chở bê tông từ trạm trộn về công trường</t>
  </si>
  <si>
    <t>M8</t>
  </si>
  <si>
    <t>Máy xúc bánh lốp PC140</t>
  </si>
  <si>
    <t>Cẩu lắp, đầm cóc mang cống</t>
  </si>
  <si>
    <t>BP</t>
  </si>
  <si>
    <t>Máy bơm nước hố móng d80-d100</t>
  </si>
  <si>
    <t>Bơm hạ mực nước ngầm 24/7</t>
  </si>
  <si>
    <t>MP1</t>
  </si>
  <si>
    <t>Xe téc cấp dầu lưu động 9m3</t>
  </si>
  <si>
    <t>Cấp dầu lưu động 2 ca/ngày</t>
  </si>
  <si>
    <t>MP2</t>
  </si>
  <si>
    <t>Máy phát điện 3 pha 25-45kVA</t>
  </si>
  <si>
    <t>Chiếu sáng ban đêm 2 ca</t>
  </si>
  <si>
    <t>BẢNG TÍNH DẦU DIEZEL TIÊU THỤ THEO TIẾN ĐỘ THI CÔNG TUYẾN A5 (Lít/ngày)</t>
  </si>
  <si>
    <t>TỔNG SỐ LÍT DẦU DIEZEL TIÊU THỤ / NGÀY</t>
  </si>
  <si>
    <t>Nhiên liệu dầu Diezel cho máy M1</t>
  </si>
  <si>
    <t>Lít</t>
  </si>
  <si>
    <t>Nhiên liệu dầu Diezel cho máy M7</t>
  </si>
  <si>
    <t>Nhiên liệu dầu Diezel cho máy M5</t>
  </si>
  <si>
    <t>Nhiên liệu dầu Diezel cho máy M3</t>
  </si>
  <si>
    <t>Nhiên liệu dầu Diezel cho máy MC</t>
  </si>
  <si>
    <t>Nhiên liệu dầu Diezel cho máy MB</t>
  </si>
  <si>
    <t>Nhiên liệu dầu Diezel cho máy XB</t>
  </si>
  <si>
    <t>Nhiên liệu dầu Diezel cho máy M8</t>
  </si>
  <si>
    <t>Nhiên liệu dầu Diezel cho máy BP</t>
  </si>
  <si>
    <t>Nhiên liệu dầu Diezel cho máy MP1</t>
  </si>
  <si>
    <t>Nhiên liệu dầu Diezel cho máy MP2</t>
  </si>
  <si>
    <t>BẢNG TỔNG HỢP CA XE, CA MÁY THI CÔNG TOÀN TUYẾN CỐNG HỘP A5</t>
  </si>
  <si>
    <t>Mã máy</t>
  </si>
  <si>
    <t>Tên phương tiện / Thiết bị thi công</t>
  </si>
  <si>
    <t>Định mức dầu (lít/ca)</t>
  </si>
  <si>
    <t>Số máy huy động Max</t>
  </si>
  <si>
    <t>Số ngày làm việc</t>
  </si>
  <si>
    <t>Tổng lít dầu tiêu thụ (lít)</t>
  </si>
  <si>
    <t>Nhiệm vụ thi công trên công trường A5</t>
  </si>
  <si>
    <t>Đào hố móng cống, đào hố ga, xúc đắp hoàn trả K95</t>
  </si>
  <si>
    <t>Ô tô tự đổ 16 - 18 tấn</t>
  </si>
  <si>
    <t>Vận chuyển đất đào cự ly &lt;5km ra bãi thải/bãi đắp</t>
  </si>
  <si>
    <t>Máy lu rung bánh thép &amp; lốp 12T - 16T</t>
  </si>
  <si>
    <t>Đầm nén cát/đất K95 hoàn trả mang cống và đỉnh cống</t>
  </si>
  <si>
    <t>San gạt đất hoàn trả hố móng cống, tạo mặt bằng</t>
  </si>
  <si>
    <t>Cẩu lắp ván khuôn cống, hạ cốt thép, hỗ trợ đúc cống</t>
  </si>
  <si>
    <t>Bơm bê tông thân cống B20 (đáy, vách, nắp) &amp; hố ga</t>
  </si>
  <si>
    <t>Xe bồn vận chuyển bê tông thương phẩm 8-10m3</t>
  </si>
  <si>
    <t>Chở bê tông từ trạm trộn thương phẩm đến công trường</t>
  </si>
  <si>
    <t>Trung chuyển vật tư, cẩu lắp và đầm cóc mang cống</t>
  </si>
  <si>
    <t>Bơm hút hạ mực nước ngầm, chống ngập hố móng 24/7</t>
  </si>
  <si>
    <t>Cấp phát dầu Diezel trực tiếp cho máy móc 2 ca/ngày</t>
  </si>
  <si>
    <t>Cấp điện thi công ca đêm &amp; vận hành máy đầm, máy bơm</t>
  </si>
  <si>
    <t>TỔNG CỘNG TOÀN CÔNG TRÌNH CỐNG HỘP A5</t>
  </si>
  <si>
    <t>KẾ HOẠCH CẤP DẦU DIEZEL CHO MÁY MÓC THI CÔNG TUYẾN A5 (TỪ 05/09/2026 ĐẾN 12/11/2026)</t>
  </si>
  <si>
    <t>Chủng loại thiết bị</t>
  </si>
  <si>
    <t>Định mức (lít/ca)</t>
  </si>
  <si>
    <t>Tổng số ca máy</t>
  </si>
  <si>
    <t>Tổng nhu cầu dầu (Lít)</t>
  </si>
  <si>
    <t>Kỳ 1 (05/9 - 20/9)</t>
  </si>
  <si>
    <t>Kỳ 2 (21/9 - 10/10)</t>
  </si>
  <si>
    <t>Kỳ 3 (11/10 - 31/10)</t>
  </si>
  <si>
    <t>Kỳ 4 (01/11 - 12/11)</t>
  </si>
  <si>
    <t>Máy bơm nước hố móng</t>
  </si>
  <si>
    <t>TỔNG SỐ LÍT DẦU DIEZEL CẦN CUNG CẤP (LÍT)</t>
  </si>
  <si>
    <t>BẢNG PHÂN BỔ NHÂN LỰC THI CÔNG 3 MŨI CỐNG HỘP TUYẾN A5</t>
  </si>
  <si>
    <t>Tổ đội / Bộ phận thi công</t>
  </si>
  <si>
    <t>Mũi 1 (Cống 2x2, L=385m)</t>
  </si>
  <si>
    <t>Mũi 2 (Cống 3x3, L=560m)</t>
  </si>
  <si>
    <t>Mũi 3 (Cống đôi 2x(3x3), L=1225m)</t>
  </si>
  <si>
    <t>Tổ cơ giới &amp; Phục vụ</t>
  </si>
  <si>
    <t>Tổng nhân lực (người)</t>
  </si>
  <si>
    <t>Ghi chú bố trí ca kíp</t>
  </si>
  <si>
    <t>Thợ gia công &amp; lắp dựng cốt thép CB300/CB400</t>
  </si>
  <si>
    <t>Gia công tại bãi + buộc lồng thép hố móng</t>
  </si>
  <si>
    <t>Thợ lắp dựng &amp; tháo dỡ ván khuôn thép/phim</t>
  </si>
  <si>
    <t>Ghép ván khuôn đáy, vách, bản nắp cống</t>
  </si>
  <si>
    <t>Công nhân đổ bê tông &amp; đầm dùi/đầm bàn B20</t>
  </si>
  <si>
    <t>Đổ bê tông theo từng đốt 11.3m</t>
  </si>
  <si>
    <t>Thợ thi công 63 hố ga thu nước &amp; đấu nối</t>
  </si>
  <si>
    <t>Đúc ga, lắp nắp ga thu nước</t>
  </si>
  <si>
    <t>Công nhân đắp đất/cát hoàn trả mang cống K95</t>
  </si>
  <si>
    <t>Đầm cóc mang cống &amp; lu lèn</t>
  </si>
  <si>
    <t>Lái máy xúc bánh xích PC200 - PC300</t>
  </si>
  <si>
    <t>8 máy xúc x 2 tài/máy (2 ca)</t>
  </si>
  <si>
    <t>Lái ô tô tự đổ 18 m3</t>
  </si>
  <si>
    <t>5 xe x 2 tài/xe</t>
  </si>
  <si>
    <t>Lái máy lu rung 12-16T</t>
  </si>
  <si>
    <t>6 máy lu x 2 tài/máy</t>
  </si>
  <si>
    <t>Lái cần cẩu 25T &amp; Cẩu tự hành 15T</t>
  </si>
  <si>
    <t>3 cẩu x 2 tài/cẩu</t>
  </si>
  <si>
    <t>Lái máy ủi, xúc lốp, xe cấp dầu, máy phát điện</t>
  </si>
  <si>
    <t>Vận hành thiết bị phụ trợ 2 ca</t>
  </si>
  <si>
    <t>Chỉ huy trưởng, kỹ sư hiện trường, KCS/QA/QC</t>
  </si>
  <si>
    <t>Giám sát kỹ thuật 24/7</t>
  </si>
  <si>
    <t>TỔNG NHÂN LỰC TOÀN CÔNG TRƯỜNG A5 (NGƯỜI)</t>
  </si>
  <si>
    <t>BẢNG ĐỐI CHIẾU KHỐI LƯỢNG THỰC TẾ HỒ SƠ CỐNG HỘP TUYẾN A5</t>
  </si>
  <si>
    <t>Hạng mục cống hộp Tuyến A5</t>
  </si>
  <si>
    <t>Quy cách (BxH)</t>
  </si>
  <si>
    <t>Chiều dài L (m)</t>
  </si>
  <si>
    <t>Bê tông thân B20 (m3)</t>
  </si>
  <si>
    <t>Bê tông lót M100 (m3)</t>
  </si>
  <si>
    <t>Ván khuôn tiếp xúc (m2)</t>
  </si>
  <si>
    <t>Cốt thép CB300/CB400 (tấn)</t>
  </si>
  <si>
    <t>Đoạn 1 - Tuyến cống đơn 2.0x2.0m (12 ga)</t>
  </si>
  <si>
    <t>2.0 x 2.0 m</t>
  </si>
  <si>
    <t>Đoạn 2 - Tuyến cống đơn 3.0x3.0m (17 ga)</t>
  </si>
  <si>
    <t>3.0 x 3.0 m</t>
  </si>
  <si>
    <t>Đoạn 3 - Tuyến cống đôi 2x(3.0x3.0m) (37 ga)</t>
  </si>
  <si>
    <t>2 x (3.0 x 3.0) m</t>
  </si>
  <si>
    <t>TỔNG CỘNG TOÀN TUYẾN A5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</si>
</sst>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dd/mm"/>
  </numFmts>
  <fonts count="24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b/>
      <sz val="9.5"/>
      <name val="Arial"/>
    </font>
    <font>
      <i/>
      <sz val="9.5"/>
      <name val="Arial"/>
    </font>
    <font>
      <sz val="9.5"/>
      <color rgb="FF1B365D"/>
      <name val="Arial"/>
    </font>
    <font>
      <sz val="9.5"/>
      <color rgb="FF008000"/>
      <name val="Arial"/>
    </font>
    <font>
      <b/>
      <sz val="8.5"/>
      <color rgb="FFFFFFFF"/>
      <name val="Arial"/>
    </font>
    <font>
      <b/>
      <sz val="8"/>
      <color rgb="FFFFFFFF"/>
      <name val="Arial"/>
    </font>
    <font>
      <b/>
      <sz val="8"/>
      <color rgb="FFC00000"/>
      <name val="Arial"/>
    </font>
    <font>
      <b/>
      <sz val="8"/>
      <color rgb="FF1B365D"/>
      <name val="Arial"/>
    </font>
    <font>
      <sz val="8.5"/>
      <name val="Arial"/>
    </font>
    <font>
      <sz val="8"/>
      <color rgb="FF1B365D"/>
      <name val="Arial"/>
    </font>
    <font>
      <b/>
      <sz val="8.5"/>
      <name val="Arial"/>
    </font>
    <font>
      <b/>
      <sz val="10"/>
      <color rgb="FFFFFFFF"/>
      <name val="Arial"/>
    </font>
    <font>
      <b/>
      <sz val="8.5"/>
      <color rgb="FF002060"/>
      <name val="Arial"/>
    </font>
    <font>
      <sz val="8"/>
      <name val="Arial"/>
    </font>
    <font>
      <sz val="7.5"/>
      <color rgb="FF333333"/>
      <name val="Arial"/>
    </font>
    <font>
      <b/>
      <sz val="8.5"/>
      <color rgb="FFC00000"/>
      <name val="Arial"/>
    </font>
    <font>
      <b/>
      <sz val="9.5"/>
      <color rgb="FFFFFFFF"/>
      <name val="Arial"/>
    </font>
    <font>
      <sz val="9"/>
      <name val="Arial"/>
    </font>
    <font>
      <b/>
      <sz val="8"/>
      <name val="Arial"/>
    </font>
    <font>
      <sz val="7"/>
      <color rgb="FFD9D9D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385723"/>
        <bgColor rgb="FF385723"/>
      </patternFill>
    </fill>
    <fill>
      <patternFill patternType="solid">
        <fgColor rgb="FFFFF2CC"/>
      </patternFill>
    </fill>
    <fill>
      <patternFill patternType="solid">
        <fgColor rgb="FF1B365D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2" fillId="0" borderId="1" xfId="0" applyFont="1" applyBorder="1"/>
    <xf numFmtId="164" fontId="12" fillId="0" borderId="1" xfId="0" applyNumberFormat="1" applyFont="1" applyBorder="1"/>
    <xf numFmtId="4" fontId="12" fillId="0" borderId="1" xfId="0" applyNumberFormat="1" applyFont="1" applyBorder="1"/>
    <xf numFmtId="3" fontId="12" fillId="0" borderId="1" xfId="0" applyNumberFormat="1" applyFont="1" applyBorder="1"/>
    <xf numFmtId="0" fontId="14" fillId="5" borderId="1" xfId="0" applyFont="1" applyFill="1" applyBorder="1"/>
    <xf numFmtId="164" fontId="14" fillId="5" borderId="1" xfId="0" applyNumberFormat="1" applyFont="1" applyFill="1" applyBorder="1"/>
    <xf numFmtId="4" fontId="14" fillId="5" borderId="1" xfId="0" applyNumberFormat="1" applyFont="1" applyFill="1" applyBorder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0" fillId="6" borderId="0" xfId="0" applyFill="1"/>
    <xf numFmtId="3" fontId="0" fillId="6" borderId="0" xfId="0" applyNumberFormat="1" applyFill="1"/>
    <xf numFmtId="0" fontId="17" fillId="0" borderId="1" xfId="0" applyFont="1" applyBorder="1"/>
    <xf numFmtId="164" fontId="17" fillId="0" borderId="1" xfId="0" applyNumberFormat="1" applyFont="1" applyBorder="1"/>
    <xf numFmtId="4" fontId="17" fillId="0" borderId="1" xfId="0" applyNumberFormat="1" applyFont="1" applyBorder="1"/>
    <xf numFmtId="3" fontId="17" fillId="0" borderId="1" xfId="0" applyNumberFormat="1" applyFont="1" applyBorder="1"/>
    <xf numFmtId="0" fontId="20" fillId="2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64" fontId="21" fillId="0" borderId="1" xfId="0" applyNumberFormat="1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 vertical="center"/>
    </xf>
    <xf numFmtId="0" fontId="0" fillId="4" borderId="2" xfId="0" applyFill="1" applyBorder="1"/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3" fillId="13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3" fontId="14" fillId="5" borderId="1" xfId="0" applyNumberFormat="1" applyFont="1" applyFill="1" applyBorder="1" applyAlignment="1">
      <alignment horizontal="center"/>
    </xf>
    <xf numFmtId="14" fontId="14" fillId="5" borderId="1" xfId="0" applyNumberFormat="1" applyFont="1" applyFill="1" applyBorder="1" applyAlignment="1">
      <alignment horizontal="center"/>
    </xf>
    <xf numFmtId="2" fontId="14" fillId="5" borderId="1" xfId="0" applyNumberFormat="1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8" borderId="0" xfId="0" applyFill="1"/>
    <xf numFmtId="0" fontId="15" fillId="8" borderId="0" xfId="0" applyFont="1" applyFill="1"/>
    <xf numFmtId="164" fontId="0" fillId="8" borderId="0" xfId="0" applyNumberFormat="1" applyFill="1"/>
    <xf numFmtId="4" fontId="0" fillId="8" borderId="0" xfId="0" applyNumberFormat="1" applyFill="1"/>
    <xf numFmtId="3" fontId="0" fillId="8" borderId="0" xfId="0" applyNumberFormat="1" applyFill="1"/>
    <xf numFmtId="164" fontId="12" fillId="0" borderId="1" xfId="0" applyNumberFormat="1" applyFont="1" applyBorder="1" applyAlignment="1">
      <alignment horizontal="center"/>
    </xf>
    <xf numFmtId="0" fontId="0" fillId="7" borderId="0" xfId="0" applyFill="1"/>
    <xf numFmtId="0" fontId="3" fillId="7" borderId="0" xfId="0" applyFont="1" applyFill="1"/>
    <xf numFmtId="164" fontId="0" fillId="7" borderId="0" xfId="0" applyNumberFormat="1" applyFill="1"/>
    <xf numFmtId="4" fontId="0" fillId="7" borderId="0" xfId="0" applyNumberFormat="1" applyFill="1"/>
    <xf numFmtId="3" fontId="0" fillId="7" borderId="0" xfId="0" applyNumberFormat="1" applyFill="1"/>
    <xf numFmtId="3" fontId="19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 vertical="center"/>
    </xf>
    <xf numFmtId="166" fontId="9" fillId="8" borderId="1" xfId="0" applyNumberFormat="1" applyFont="1" applyFill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/>
    </xf>
    <xf numFmtId="1" fontId="11" fillId="14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/>
    <xf numFmtId="0" fontId="2" fillId="6" borderId="0" xfId="0" applyFont="1" applyFill="1"/>
    <xf numFmtId="0" fontId="1" fillId="2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5"/>
  <sheetViews>
    <sheetView tabSelected="1" workbookViewId="0">
      <selection activeCell="G16" sqref="G16"/>
    </sheetView>
  </sheetViews>
  <sheetFormatPr defaultRowHeight="14" x14ac:dyDescent="0.3"/>
  <cols>
    <col min="1" max="1" width="6" customWidth="1"/>
    <col min="2" max="2" width="10" customWidth="1"/>
    <col min="3" max="3" width="42" customWidth="1"/>
    <col min="4" max="4" width="8" customWidth="1"/>
    <col min="5" max="8" width="14" customWidth="1"/>
    <col min="9" max="9" width="10" customWidth="1"/>
    <col min="10" max="11" width="12" customWidth="1"/>
    <col min="12" max="12" width="10" customWidth="1"/>
    <col min="13" max="13" width="14" customWidth="1"/>
    <col min="14" max="14" width="30" customWidth="1"/>
    <col min="15" max="15" width="12" customWidth="1"/>
    <col min="16" max="84" width="6.83203125" customWidth="1"/>
  </cols>
  <sheetData>
    <row r="1" spans="1:84" ht="16.5" x14ac:dyDescent="0.3">
      <c r="A1" s="73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84" x14ac:dyDescent="0.3">
      <c r="A2" s="75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84" x14ac:dyDescent="0.3">
      <c r="A3" s="74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84" x14ac:dyDescent="0.3">
      <c r="B4" s="1" t="s">
        <v>3</v>
      </c>
      <c r="C4" s="2" t="s">
        <v>4</v>
      </c>
      <c r="F4" s="1" t="s">
        <v>5</v>
      </c>
      <c r="G4" s="3" t="s">
        <v>6</v>
      </c>
      <c r="K4" s="1" t="s">
        <v>7</v>
      </c>
      <c r="L4" s="4" t="s">
        <v>8</v>
      </c>
    </row>
    <row r="6" spans="1:84" x14ac:dyDescent="0.3">
      <c r="A6" s="70" t="s">
        <v>9</v>
      </c>
      <c r="B6" s="70" t="s">
        <v>10</v>
      </c>
      <c r="C6" s="70" t="s">
        <v>11</v>
      </c>
      <c r="D6" s="70" t="s">
        <v>12</v>
      </c>
      <c r="E6" s="70" t="s">
        <v>13</v>
      </c>
      <c r="F6" s="70" t="s">
        <v>14</v>
      </c>
      <c r="G6" s="70" t="s">
        <v>15</v>
      </c>
      <c r="H6" s="70" t="s">
        <v>16</v>
      </c>
      <c r="I6" s="70" t="s">
        <v>17</v>
      </c>
      <c r="J6" s="70" t="s">
        <v>18</v>
      </c>
      <c r="K6" s="70" t="s">
        <v>19</v>
      </c>
      <c r="L6" s="70" t="s">
        <v>20</v>
      </c>
      <c r="M6" s="70" t="s">
        <v>21</v>
      </c>
      <c r="N6" s="70" t="s">
        <v>22</v>
      </c>
      <c r="O6" s="70" t="s">
        <v>23</v>
      </c>
      <c r="P6" s="63">
        <v>46270</v>
      </c>
      <c r="Q6" s="64">
        <f t="shared" ref="Q6:AV6" si="0">P6+1</f>
        <v>46271</v>
      </c>
      <c r="R6" s="63">
        <f t="shared" si="0"/>
        <v>46272</v>
      </c>
      <c r="S6" s="63">
        <f t="shared" si="0"/>
        <v>46273</v>
      </c>
      <c r="T6" s="63">
        <f t="shared" si="0"/>
        <v>46274</v>
      </c>
      <c r="U6" s="63">
        <f t="shared" si="0"/>
        <v>46275</v>
      </c>
      <c r="V6" s="63">
        <f t="shared" si="0"/>
        <v>46276</v>
      </c>
      <c r="W6" s="63">
        <f t="shared" si="0"/>
        <v>46277</v>
      </c>
      <c r="X6" s="64">
        <f t="shared" si="0"/>
        <v>46278</v>
      </c>
      <c r="Y6" s="63">
        <f t="shared" si="0"/>
        <v>46279</v>
      </c>
      <c r="Z6" s="63">
        <f t="shared" si="0"/>
        <v>46280</v>
      </c>
      <c r="AA6" s="63">
        <f t="shared" si="0"/>
        <v>46281</v>
      </c>
      <c r="AB6" s="63">
        <f t="shared" si="0"/>
        <v>46282</v>
      </c>
      <c r="AC6" s="63">
        <f t="shared" si="0"/>
        <v>46283</v>
      </c>
      <c r="AD6" s="63">
        <f t="shared" si="0"/>
        <v>46284</v>
      </c>
      <c r="AE6" s="64">
        <f t="shared" si="0"/>
        <v>46285</v>
      </c>
      <c r="AF6" s="63">
        <f t="shared" si="0"/>
        <v>46286</v>
      </c>
      <c r="AG6" s="63">
        <f t="shared" si="0"/>
        <v>46287</v>
      </c>
      <c r="AH6" s="63">
        <f t="shared" si="0"/>
        <v>46288</v>
      </c>
      <c r="AI6" s="63">
        <f t="shared" si="0"/>
        <v>46289</v>
      </c>
      <c r="AJ6" s="63">
        <f t="shared" si="0"/>
        <v>46290</v>
      </c>
      <c r="AK6" s="63">
        <f t="shared" si="0"/>
        <v>46291</v>
      </c>
      <c r="AL6" s="64">
        <f t="shared" si="0"/>
        <v>46292</v>
      </c>
      <c r="AM6" s="63">
        <f t="shared" si="0"/>
        <v>46293</v>
      </c>
      <c r="AN6" s="63">
        <f t="shared" si="0"/>
        <v>46294</v>
      </c>
      <c r="AO6" s="63">
        <f t="shared" si="0"/>
        <v>46295</v>
      </c>
      <c r="AP6" s="63">
        <f t="shared" si="0"/>
        <v>46296</v>
      </c>
      <c r="AQ6" s="63">
        <f t="shared" si="0"/>
        <v>46297</v>
      </c>
      <c r="AR6" s="63">
        <f t="shared" si="0"/>
        <v>46298</v>
      </c>
      <c r="AS6" s="64">
        <f t="shared" si="0"/>
        <v>46299</v>
      </c>
      <c r="AT6" s="63">
        <f t="shared" si="0"/>
        <v>46300</v>
      </c>
      <c r="AU6" s="63">
        <f t="shared" si="0"/>
        <v>46301</v>
      </c>
      <c r="AV6" s="63">
        <f t="shared" si="0"/>
        <v>46302</v>
      </c>
      <c r="AW6" s="63">
        <f t="shared" ref="AW6:CF6" si="1">AV6+1</f>
        <v>46303</v>
      </c>
      <c r="AX6" s="63">
        <f t="shared" si="1"/>
        <v>46304</v>
      </c>
      <c r="AY6" s="63">
        <f t="shared" si="1"/>
        <v>46305</v>
      </c>
      <c r="AZ6" s="64">
        <f t="shared" si="1"/>
        <v>46306</v>
      </c>
      <c r="BA6" s="63">
        <f t="shared" si="1"/>
        <v>46307</v>
      </c>
      <c r="BB6" s="63">
        <f t="shared" si="1"/>
        <v>46308</v>
      </c>
      <c r="BC6" s="63">
        <f t="shared" si="1"/>
        <v>46309</v>
      </c>
      <c r="BD6" s="63">
        <f t="shared" si="1"/>
        <v>46310</v>
      </c>
      <c r="BE6" s="63">
        <f t="shared" si="1"/>
        <v>46311</v>
      </c>
      <c r="BF6" s="63">
        <f t="shared" si="1"/>
        <v>46312</v>
      </c>
      <c r="BG6" s="64">
        <f t="shared" si="1"/>
        <v>46313</v>
      </c>
      <c r="BH6" s="63">
        <f t="shared" si="1"/>
        <v>46314</v>
      </c>
      <c r="BI6" s="63">
        <f t="shared" si="1"/>
        <v>46315</v>
      </c>
      <c r="BJ6" s="63">
        <f t="shared" si="1"/>
        <v>46316</v>
      </c>
      <c r="BK6" s="63">
        <f t="shared" si="1"/>
        <v>46317</v>
      </c>
      <c r="BL6" s="63">
        <f t="shared" si="1"/>
        <v>46318</v>
      </c>
      <c r="BM6" s="63">
        <f t="shared" si="1"/>
        <v>46319</v>
      </c>
      <c r="BN6" s="64">
        <f t="shared" si="1"/>
        <v>46320</v>
      </c>
      <c r="BO6" s="63">
        <f t="shared" si="1"/>
        <v>46321</v>
      </c>
      <c r="BP6" s="63">
        <f t="shared" si="1"/>
        <v>46322</v>
      </c>
      <c r="BQ6" s="63">
        <f t="shared" si="1"/>
        <v>46323</v>
      </c>
      <c r="BR6" s="63">
        <f t="shared" si="1"/>
        <v>46324</v>
      </c>
      <c r="BS6" s="63">
        <f t="shared" si="1"/>
        <v>46325</v>
      </c>
      <c r="BT6" s="63">
        <f t="shared" si="1"/>
        <v>46326</v>
      </c>
      <c r="BU6" s="64">
        <f t="shared" si="1"/>
        <v>46327</v>
      </c>
      <c r="BV6" s="63">
        <f t="shared" si="1"/>
        <v>46328</v>
      </c>
      <c r="BW6" s="63">
        <f t="shared" si="1"/>
        <v>46329</v>
      </c>
      <c r="BX6" s="63">
        <f t="shared" si="1"/>
        <v>46330</v>
      </c>
      <c r="BY6" s="63">
        <f t="shared" si="1"/>
        <v>46331</v>
      </c>
      <c r="BZ6" s="63">
        <f t="shared" si="1"/>
        <v>46332</v>
      </c>
      <c r="CA6" s="63">
        <f t="shared" si="1"/>
        <v>46333</v>
      </c>
      <c r="CB6" s="64">
        <f t="shared" si="1"/>
        <v>46334</v>
      </c>
      <c r="CC6" s="63">
        <f t="shared" si="1"/>
        <v>46335</v>
      </c>
      <c r="CD6" s="63">
        <f t="shared" si="1"/>
        <v>46336</v>
      </c>
      <c r="CE6" s="63">
        <f t="shared" si="1"/>
        <v>46337</v>
      </c>
      <c r="CF6" s="63">
        <f t="shared" si="1"/>
        <v>46338</v>
      </c>
    </row>
    <row r="7" spans="1:84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36" t="s">
        <v>24</v>
      </c>
      <c r="Q7" s="37" t="s">
        <v>25</v>
      </c>
      <c r="R7" s="36" t="s">
        <v>26</v>
      </c>
      <c r="S7" s="36" t="s">
        <v>27</v>
      </c>
      <c r="T7" s="36" t="s">
        <v>28</v>
      </c>
      <c r="U7" s="36" t="s">
        <v>29</v>
      </c>
      <c r="V7" s="36" t="s">
        <v>30</v>
      </c>
      <c r="W7" s="36" t="s">
        <v>24</v>
      </c>
      <c r="X7" s="37" t="s">
        <v>25</v>
      </c>
      <c r="Y7" s="36" t="s">
        <v>26</v>
      </c>
      <c r="Z7" s="36" t="s">
        <v>27</v>
      </c>
      <c r="AA7" s="36" t="s">
        <v>28</v>
      </c>
      <c r="AB7" s="36" t="s">
        <v>29</v>
      </c>
      <c r="AC7" s="36" t="s">
        <v>30</v>
      </c>
      <c r="AD7" s="36" t="s">
        <v>24</v>
      </c>
      <c r="AE7" s="37" t="s">
        <v>25</v>
      </c>
      <c r="AF7" s="36" t="s">
        <v>26</v>
      </c>
      <c r="AG7" s="36" t="s">
        <v>27</v>
      </c>
      <c r="AH7" s="36" t="s">
        <v>28</v>
      </c>
      <c r="AI7" s="36" t="s">
        <v>29</v>
      </c>
      <c r="AJ7" s="36" t="s">
        <v>30</v>
      </c>
      <c r="AK7" s="36" t="s">
        <v>24</v>
      </c>
      <c r="AL7" s="37" t="s">
        <v>25</v>
      </c>
      <c r="AM7" s="36" t="s">
        <v>26</v>
      </c>
      <c r="AN7" s="36" t="s">
        <v>27</v>
      </c>
      <c r="AO7" s="36" t="s">
        <v>28</v>
      </c>
      <c r="AP7" s="36" t="s">
        <v>29</v>
      </c>
      <c r="AQ7" s="36" t="s">
        <v>30</v>
      </c>
      <c r="AR7" s="36" t="s">
        <v>24</v>
      </c>
      <c r="AS7" s="37" t="s">
        <v>25</v>
      </c>
      <c r="AT7" s="36" t="s">
        <v>26</v>
      </c>
      <c r="AU7" s="36" t="s">
        <v>27</v>
      </c>
      <c r="AV7" s="36" t="s">
        <v>28</v>
      </c>
      <c r="AW7" s="36" t="s">
        <v>29</v>
      </c>
      <c r="AX7" s="36" t="s">
        <v>30</v>
      </c>
      <c r="AY7" s="36" t="s">
        <v>24</v>
      </c>
      <c r="AZ7" s="37" t="s">
        <v>25</v>
      </c>
      <c r="BA7" s="36" t="s">
        <v>26</v>
      </c>
      <c r="BB7" s="36" t="s">
        <v>27</v>
      </c>
      <c r="BC7" s="36" t="s">
        <v>28</v>
      </c>
      <c r="BD7" s="36" t="s">
        <v>29</v>
      </c>
      <c r="BE7" s="36" t="s">
        <v>30</v>
      </c>
      <c r="BF7" s="36" t="s">
        <v>24</v>
      </c>
      <c r="BG7" s="37" t="s">
        <v>25</v>
      </c>
      <c r="BH7" s="36" t="s">
        <v>26</v>
      </c>
      <c r="BI7" s="36" t="s">
        <v>27</v>
      </c>
      <c r="BJ7" s="36" t="s">
        <v>28</v>
      </c>
      <c r="BK7" s="36" t="s">
        <v>29</v>
      </c>
      <c r="BL7" s="36" t="s">
        <v>30</v>
      </c>
      <c r="BM7" s="36" t="s">
        <v>24</v>
      </c>
      <c r="BN7" s="37" t="s">
        <v>25</v>
      </c>
      <c r="BO7" s="36" t="s">
        <v>26</v>
      </c>
      <c r="BP7" s="36" t="s">
        <v>27</v>
      </c>
      <c r="BQ7" s="36" t="s">
        <v>28</v>
      </c>
      <c r="BR7" s="36" t="s">
        <v>29</v>
      </c>
      <c r="BS7" s="36" t="s">
        <v>30</v>
      </c>
      <c r="BT7" s="36" t="s">
        <v>24</v>
      </c>
      <c r="BU7" s="37" t="s">
        <v>25</v>
      </c>
      <c r="BV7" s="36" t="s">
        <v>26</v>
      </c>
      <c r="BW7" s="36" t="s">
        <v>27</v>
      </c>
      <c r="BX7" s="36" t="s">
        <v>28</v>
      </c>
      <c r="BY7" s="36" t="s">
        <v>29</v>
      </c>
      <c r="BZ7" s="36" t="s">
        <v>30</v>
      </c>
      <c r="CA7" s="36" t="s">
        <v>24</v>
      </c>
      <c r="CB7" s="37" t="s">
        <v>25</v>
      </c>
      <c r="CC7" s="36" t="s">
        <v>26</v>
      </c>
      <c r="CD7" s="36" t="s">
        <v>27</v>
      </c>
      <c r="CE7" s="36" t="s">
        <v>28</v>
      </c>
      <c r="CF7" s="36" t="s">
        <v>29</v>
      </c>
    </row>
    <row r="8" spans="1:84" x14ac:dyDescent="0.3">
      <c r="A8" s="38">
        <v>1</v>
      </c>
      <c r="B8" s="38" t="s">
        <v>31</v>
      </c>
      <c r="C8" s="5" t="s">
        <v>32</v>
      </c>
      <c r="D8" s="38" t="s">
        <v>33</v>
      </c>
      <c r="E8" s="7">
        <v>73800</v>
      </c>
      <c r="F8" s="7">
        <v>401.07</v>
      </c>
      <c r="G8" s="6">
        <f>IF(F8&gt;0,ROUND(E8/F8,1),0)</f>
        <v>184</v>
      </c>
      <c r="H8" s="6">
        <f t="shared" ref="H8:H24" si="2">IF(I8&gt;0,ROUND(E8/I8,1),0)</f>
        <v>2460</v>
      </c>
      <c r="I8" s="39">
        <f t="shared" ref="I8:I24" si="3">K8-J8+1</f>
        <v>30</v>
      </c>
      <c r="J8" s="40">
        <v>46270</v>
      </c>
      <c r="K8" s="40">
        <v>46299</v>
      </c>
      <c r="L8" s="38">
        <v>2</v>
      </c>
      <c r="M8" s="41">
        <f t="shared" ref="M8:M24" si="4">IF(AND(G8&gt;0,I8&gt;0,L8&gt;0),ROUNDUP(G8/(I8*L8),2),0)</f>
        <v>3.07</v>
      </c>
      <c r="N8" s="5" t="s">
        <v>34</v>
      </c>
      <c r="O8" s="39">
        <v>24</v>
      </c>
      <c r="P8" s="42">
        <f t="shared" ref="P8:Y17" si="5">IF(AND($J8&lt;=P$6,$K8&gt;=P$6),$M8,"")</f>
        <v>3.07</v>
      </c>
      <c r="Q8" s="42">
        <f t="shared" si="5"/>
        <v>3.07</v>
      </c>
      <c r="R8" s="42">
        <f t="shared" si="5"/>
        <v>3.07</v>
      </c>
      <c r="S8" s="42">
        <f t="shared" si="5"/>
        <v>3.07</v>
      </c>
      <c r="T8" s="42">
        <f t="shared" si="5"/>
        <v>3.07</v>
      </c>
      <c r="U8" s="42">
        <f t="shared" si="5"/>
        <v>3.07</v>
      </c>
      <c r="V8" s="42">
        <f t="shared" si="5"/>
        <v>3.07</v>
      </c>
      <c r="W8" s="42">
        <f t="shared" si="5"/>
        <v>3.07</v>
      </c>
      <c r="X8" s="42">
        <f t="shared" si="5"/>
        <v>3.07</v>
      </c>
      <c r="Y8" s="42">
        <f t="shared" si="5"/>
        <v>3.07</v>
      </c>
      <c r="Z8" s="42">
        <f t="shared" ref="Z8:AI17" si="6">IF(AND($J8&lt;=Z$6,$K8&gt;=Z$6),$M8,"")</f>
        <v>3.07</v>
      </c>
      <c r="AA8" s="42">
        <f t="shared" si="6"/>
        <v>3.07</v>
      </c>
      <c r="AB8" s="42">
        <f t="shared" si="6"/>
        <v>3.07</v>
      </c>
      <c r="AC8" s="42">
        <f t="shared" si="6"/>
        <v>3.07</v>
      </c>
      <c r="AD8" s="42">
        <f t="shared" si="6"/>
        <v>3.07</v>
      </c>
      <c r="AE8" s="42">
        <f t="shared" si="6"/>
        <v>3.07</v>
      </c>
      <c r="AF8" s="42">
        <f t="shared" si="6"/>
        <v>3.07</v>
      </c>
      <c r="AG8" s="42">
        <f t="shared" si="6"/>
        <v>3.07</v>
      </c>
      <c r="AH8" s="42">
        <f t="shared" si="6"/>
        <v>3.07</v>
      </c>
      <c r="AI8" s="42">
        <f t="shared" si="6"/>
        <v>3.07</v>
      </c>
      <c r="AJ8" s="42">
        <f t="shared" ref="AJ8:AS17" si="7">IF(AND($J8&lt;=AJ$6,$K8&gt;=AJ$6),$M8,"")</f>
        <v>3.07</v>
      </c>
      <c r="AK8" s="42">
        <f t="shared" si="7"/>
        <v>3.07</v>
      </c>
      <c r="AL8" s="42">
        <f t="shared" si="7"/>
        <v>3.07</v>
      </c>
      <c r="AM8" s="42">
        <f t="shared" si="7"/>
        <v>3.07</v>
      </c>
      <c r="AN8" s="42">
        <f t="shared" si="7"/>
        <v>3.07</v>
      </c>
      <c r="AO8" s="42">
        <f t="shared" si="7"/>
        <v>3.07</v>
      </c>
      <c r="AP8" s="42">
        <f t="shared" si="7"/>
        <v>3.07</v>
      </c>
      <c r="AQ8" s="42">
        <f t="shared" si="7"/>
        <v>3.07</v>
      </c>
      <c r="AR8" s="42">
        <f t="shared" si="7"/>
        <v>3.07</v>
      </c>
      <c r="AS8" s="42">
        <f t="shared" si="7"/>
        <v>3.07</v>
      </c>
      <c r="AT8" s="65" t="str">
        <f t="shared" ref="AT8:BC17" si="8">IF(AND($J8&lt;=AT$6,$K8&gt;=AT$6),$M8,"")</f>
        <v/>
      </c>
      <c r="AU8" s="65" t="str">
        <f t="shared" si="8"/>
        <v/>
      </c>
      <c r="AV8" s="65" t="str">
        <f t="shared" si="8"/>
        <v/>
      </c>
      <c r="AW8" s="65" t="str">
        <f t="shared" si="8"/>
        <v/>
      </c>
      <c r="AX8" s="65" t="str">
        <f t="shared" si="8"/>
        <v/>
      </c>
      <c r="AY8" s="65" t="str">
        <f t="shared" si="8"/>
        <v/>
      </c>
      <c r="AZ8" s="65" t="str">
        <f t="shared" si="8"/>
        <v/>
      </c>
      <c r="BA8" s="65" t="str">
        <f t="shared" si="8"/>
        <v/>
      </c>
      <c r="BB8" s="65" t="str">
        <f t="shared" si="8"/>
        <v/>
      </c>
      <c r="BC8" s="65" t="str">
        <f t="shared" si="8"/>
        <v/>
      </c>
      <c r="BD8" s="65" t="str">
        <f t="shared" ref="BD8:BM17" si="9">IF(AND($J8&lt;=BD$6,$K8&gt;=BD$6),$M8,"")</f>
        <v/>
      </c>
      <c r="BE8" s="65" t="str">
        <f t="shared" si="9"/>
        <v/>
      </c>
      <c r="BF8" s="65" t="str">
        <f t="shared" si="9"/>
        <v/>
      </c>
      <c r="BG8" s="65" t="str">
        <f t="shared" si="9"/>
        <v/>
      </c>
      <c r="BH8" s="65" t="str">
        <f t="shared" si="9"/>
        <v/>
      </c>
      <c r="BI8" s="65" t="str">
        <f t="shared" si="9"/>
        <v/>
      </c>
      <c r="BJ8" s="65" t="str">
        <f t="shared" si="9"/>
        <v/>
      </c>
      <c r="BK8" s="65" t="str">
        <f t="shared" si="9"/>
        <v/>
      </c>
      <c r="BL8" s="65" t="str">
        <f t="shared" si="9"/>
        <v/>
      </c>
      <c r="BM8" s="65" t="str">
        <f t="shared" si="9"/>
        <v/>
      </c>
      <c r="BN8" s="65" t="str">
        <f t="shared" ref="BN8:BW17" si="10">IF(AND($J8&lt;=BN$6,$K8&gt;=BN$6),$M8,"")</f>
        <v/>
      </c>
      <c r="BO8" s="65" t="str">
        <f t="shared" si="10"/>
        <v/>
      </c>
      <c r="BP8" s="65" t="str">
        <f t="shared" si="10"/>
        <v/>
      </c>
      <c r="BQ8" s="65" t="str">
        <f t="shared" si="10"/>
        <v/>
      </c>
      <c r="BR8" s="65" t="str">
        <f t="shared" si="10"/>
        <v/>
      </c>
      <c r="BS8" s="65" t="str">
        <f t="shared" si="10"/>
        <v/>
      </c>
      <c r="BT8" s="65" t="str">
        <f t="shared" si="10"/>
        <v/>
      </c>
      <c r="BU8" s="65" t="str">
        <f t="shared" si="10"/>
        <v/>
      </c>
      <c r="BV8" s="65" t="str">
        <f t="shared" si="10"/>
        <v/>
      </c>
      <c r="BW8" s="65" t="str">
        <f t="shared" si="10"/>
        <v/>
      </c>
      <c r="BX8" s="65" t="str">
        <f t="shared" ref="BX8:CF17" si="11">IF(AND($J8&lt;=BX$6,$K8&gt;=BX$6),$M8,"")</f>
        <v/>
      </c>
      <c r="BY8" s="65" t="str">
        <f t="shared" si="11"/>
        <v/>
      </c>
      <c r="BZ8" s="65" t="str">
        <f t="shared" si="11"/>
        <v/>
      </c>
      <c r="CA8" s="65" t="str">
        <f t="shared" si="11"/>
        <v/>
      </c>
      <c r="CB8" s="65" t="str">
        <f t="shared" si="11"/>
        <v/>
      </c>
      <c r="CC8" s="65" t="str">
        <f t="shared" si="11"/>
        <v/>
      </c>
      <c r="CD8" s="65" t="str">
        <f t="shared" si="11"/>
        <v/>
      </c>
      <c r="CE8" s="65" t="str">
        <f t="shared" si="11"/>
        <v/>
      </c>
      <c r="CF8" s="65" t="str">
        <f t="shared" si="11"/>
        <v/>
      </c>
    </row>
    <row r="9" spans="1:84" x14ac:dyDescent="0.3">
      <c r="A9" s="38">
        <v>2</v>
      </c>
      <c r="B9" s="38" t="s">
        <v>35</v>
      </c>
      <c r="C9" s="5" t="s">
        <v>36</v>
      </c>
      <c r="D9" s="38" t="s">
        <v>33</v>
      </c>
      <c r="E9" s="7">
        <v>12650</v>
      </c>
      <c r="F9" s="7">
        <v>313.55</v>
      </c>
      <c r="G9" s="6">
        <f>IF(F9&gt;0,ROUND(E9/F9,1),0)</f>
        <v>40.299999999999997</v>
      </c>
      <c r="H9" s="6">
        <f t="shared" si="2"/>
        <v>550</v>
      </c>
      <c r="I9" s="39">
        <f t="shared" si="3"/>
        <v>23</v>
      </c>
      <c r="J9" s="40">
        <v>46273</v>
      </c>
      <c r="K9" s="40">
        <v>46295</v>
      </c>
      <c r="L9" s="38">
        <v>2</v>
      </c>
      <c r="M9" s="41">
        <f t="shared" si="4"/>
        <v>0.88</v>
      </c>
      <c r="N9" s="5" t="s">
        <v>37</v>
      </c>
      <c r="O9" s="39">
        <v>12</v>
      </c>
      <c r="P9" s="65" t="str">
        <f t="shared" si="5"/>
        <v/>
      </c>
      <c r="Q9" s="65" t="str">
        <f t="shared" si="5"/>
        <v/>
      </c>
      <c r="R9" s="65" t="str">
        <f t="shared" si="5"/>
        <v/>
      </c>
      <c r="S9" s="42">
        <f t="shared" si="5"/>
        <v>0.88</v>
      </c>
      <c r="T9" s="42">
        <f t="shared" si="5"/>
        <v>0.88</v>
      </c>
      <c r="U9" s="42">
        <f t="shared" si="5"/>
        <v>0.88</v>
      </c>
      <c r="V9" s="42">
        <f t="shared" si="5"/>
        <v>0.88</v>
      </c>
      <c r="W9" s="42">
        <f t="shared" si="5"/>
        <v>0.88</v>
      </c>
      <c r="X9" s="42">
        <f t="shared" si="5"/>
        <v>0.88</v>
      </c>
      <c r="Y9" s="42">
        <f t="shared" si="5"/>
        <v>0.88</v>
      </c>
      <c r="Z9" s="42">
        <f t="shared" si="6"/>
        <v>0.88</v>
      </c>
      <c r="AA9" s="42">
        <f t="shared" si="6"/>
        <v>0.88</v>
      </c>
      <c r="AB9" s="42">
        <f t="shared" si="6"/>
        <v>0.88</v>
      </c>
      <c r="AC9" s="42">
        <f t="shared" si="6"/>
        <v>0.88</v>
      </c>
      <c r="AD9" s="42">
        <f t="shared" si="6"/>
        <v>0.88</v>
      </c>
      <c r="AE9" s="42">
        <f t="shared" si="6"/>
        <v>0.88</v>
      </c>
      <c r="AF9" s="42">
        <f t="shared" si="6"/>
        <v>0.88</v>
      </c>
      <c r="AG9" s="42">
        <f t="shared" si="6"/>
        <v>0.88</v>
      </c>
      <c r="AH9" s="42">
        <f t="shared" si="6"/>
        <v>0.88</v>
      </c>
      <c r="AI9" s="42">
        <f t="shared" si="6"/>
        <v>0.88</v>
      </c>
      <c r="AJ9" s="42">
        <f t="shared" si="7"/>
        <v>0.88</v>
      </c>
      <c r="AK9" s="42">
        <f t="shared" si="7"/>
        <v>0.88</v>
      </c>
      <c r="AL9" s="42">
        <f t="shared" si="7"/>
        <v>0.88</v>
      </c>
      <c r="AM9" s="42">
        <f t="shared" si="7"/>
        <v>0.88</v>
      </c>
      <c r="AN9" s="42">
        <f t="shared" si="7"/>
        <v>0.88</v>
      </c>
      <c r="AO9" s="42">
        <f t="shared" si="7"/>
        <v>0.88</v>
      </c>
      <c r="AP9" s="65" t="str">
        <f t="shared" si="7"/>
        <v/>
      </c>
      <c r="AQ9" s="65" t="str">
        <f t="shared" si="7"/>
        <v/>
      </c>
      <c r="AR9" s="65" t="str">
        <f t="shared" si="7"/>
        <v/>
      </c>
      <c r="AS9" s="65" t="str">
        <f t="shared" si="7"/>
        <v/>
      </c>
      <c r="AT9" s="65" t="str">
        <f t="shared" si="8"/>
        <v/>
      </c>
      <c r="AU9" s="65" t="str">
        <f t="shared" si="8"/>
        <v/>
      </c>
      <c r="AV9" s="65" t="str">
        <f t="shared" si="8"/>
        <v/>
      </c>
      <c r="AW9" s="65" t="str">
        <f t="shared" si="8"/>
        <v/>
      </c>
      <c r="AX9" s="65" t="str">
        <f t="shared" si="8"/>
        <v/>
      </c>
      <c r="AY9" s="65" t="str">
        <f t="shared" si="8"/>
        <v/>
      </c>
      <c r="AZ9" s="65" t="str">
        <f t="shared" si="8"/>
        <v/>
      </c>
      <c r="BA9" s="65" t="str">
        <f t="shared" si="8"/>
        <v/>
      </c>
      <c r="BB9" s="65" t="str">
        <f t="shared" si="8"/>
        <v/>
      </c>
      <c r="BC9" s="65" t="str">
        <f t="shared" si="8"/>
        <v/>
      </c>
      <c r="BD9" s="65" t="str">
        <f t="shared" si="9"/>
        <v/>
      </c>
      <c r="BE9" s="65" t="str">
        <f t="shared" si="9"/>
        <v/>
      </c>
      <c r="BF9" s="65" t="str">
        <f t="shared" si="9"/>
        <v/>
      </c>
      <c r="BG9" s="65" t="str">
        <f t="shared" si="9"/>
        <v/>
      </c>
      <c r="BH9" s="65" t="str">
        <f t="shared" si="9"/>
        <v/>
      </c>
      <c r="BI9" s="65" t="str">
        <f t="shared" si="9"/>
        <v/>
      </c>
      <c r="BJ9" s="65" t="str">
        <f t="shared" si="9"/>
        <v/>
      </c>
      <c r="BK9" s="65" t="str">
        <f t="shared" si="9"/>
        <v/>
      </c>
      <c r="BL9" s="65" t="str">
        <f t="shared" si="9"/>
        <v/>
      </c>
      <c r="BM9" s="65" t="str">
        <f t="shared" si="9"/>
        <v/>
      </c>
      <c r="BN9" s="65" t="str">
        <f t="shared" si="10"/>
        <v/>
      </c>
      <c r="BO9" s="65" t="str">
        <f t="shared" si="10"/>
        <v/>
      </c>
      <c r="BP9" s="65" t="str">
        <f t="shared" si="10"/>
        <v/>
      </c>
      <c r="BQ9" s="65" t="str">
        <f t="shared" si="10"/>
        <v/>
      </c>
      <c r="BR9" s="65" t="str">
        <f t="shared" si="10"/>
        <v/>
      </c>
      <c r="BS9" s="65" t="str">
        <f t="shared" si="10"/>
        <v/>
      </c>
      <c r="BT9" s="65" t="str">
        <f t="shared" si="10"/>
        <v/>
      </c>
      <c r="BU9" s="65" t="str">
        <f t="shared" si="10"/>
        <v/>
      </c>
      <c r="BV9" s="65" t="str">
        <f t="shared" si="10"/>
        <v/>
      </c>
      <c r="BW9" s="65" t="str">
        <f t="shared" si="10"/>
        <v/>
      </c>
      <c r="BX9" s="65" t="str">
        <f t="shared" si="11"/>
        <v/>
      </c>
      <c r="BY9" s="65" t="str">
        <f t="shared" si="11"/>
        <v/>
      </c>
      <c r="BZ9" s="65" t="str">
        <f t="shared" si="11"/>
        <v/>
      </c>
      <c r="CA9" s="65" t="str">
        <f t="shared" si="11"/>
        <v/>
      </c>
      <c r="CB9" s="65" t="str">
        <f t="shared" si="11"/>
        <v/>
      </c>
      <c r="CC9" s="65" t="str">
        <f t="shared" si="11"/>
        <v/>
      </c>
      <c r="CD9" s="65" t="str">
        <f t="shared" si="11"/>
        <v/>
      </c>
      <c r="CE9" s="65" t="str">
        <f t="shared" si="11"/>
        <v/>
      </c>
      <c r="CF9" s="65" t="str">
        <f t="shared" si="11"/>
        <v/>
      </c>
    </row>
    <row r="10" spans="1:84" x14ac:dyDescent="0.3">
      <c r="A10" s="38">
        <v>3</v>
      </c>
      <c r="B10" s="38" t="s">
        <v>38</v>
      </c>
      <c r="C10" s="5" t="s">
        <v>39</v>
      </c>
      <c r="D10" s="38" t="s">
        <v>33</v>
      </c>
      <c r="E10" s="7">
        <v>86450</v>
      </c>
      <c r="F10" s="7">
        <v>571.42999999999995</v>
      </c>
      <c r="G10" s="6">
        <f>IF(F10&gt;0,ROUND(E10/F10,1),0)</f>
        <v>151.30000000000001</v>
      </c>
      <c r="H10" s="6">
        <f t="shared" si="2"/>
        <v>2881.7</v>
      </c>
      <c r="I10" s="39">
        <f t="shared" si="3"/>
        <v>30</v>
      </c>
      <c r="J10" s="40">
        <v>46270</v>
      </c>
      <c r="K10" s="40">
        <v>46299</v>
      </c>
      <c r="L10" s="38">
        <v>2</v>
      </c>
      <c r="M10" s="41">
        <f t="shared" si="4"/>
        <v>2.5299999999999998</v>
      </c>
      <c r="N10" s="5" t="s">
        <v>40</v>
      </c>
      <c r="O10" s="39">
        <v>10</v>
      </c>
      <c r="P10" s="42">
        <f t="shared" si="5"/>
        <v>2.5299999999999998</v>
      </c>
      <c r="Q10" s="42">
        <f t="shared" si="5"/>
        <v>2.5299999999999998</v>
      </c>
      <c r="R10" s="42">
        <f t="shared" si="5"/>
        <v>2.5299999999999998</v>
      </c>
      <c r="S10" s="42">
        <f t="shared" si="5"/>
        <v>2.5299999999999998</v>
      </c>
      <c r="T10" s="42">
        <f t="shared" si="5"/>
        <v>2.5299999999999998</v>
      </c>
      <c r="U10" s="42">
        <f t="shared" si="5"/>
        <v>2.5299999999999998</v>
      </c>
      <c r="V10" s="42">
        <f t="shared" si="5"/>
        <v>2.5299999999999998</v>
      </c>
      <c r="W10" s="42">
        <f t="shared" si="5"/>
        <v>2.5299999999999998</v>
      </c>
      <c r="X10" s="42">
        <f t="shared" si="5"/>
        <v>2.5299999999999998</v>
      </c>
      <c r="Y10" s="42">
        <f t="shared" si="5"/>
        <v>2.5299999999999998</v>
      </c>
      <c r="Z10" s="42">
        <f t="shared" si="6"/>
        <v>2.5299999999999998</v>
      </c>
      <c r="AA10" s="42">
        <f t="shared" si="6"/>
        <v>2.5299999999999998</v>
      </c>
      <c r="AB10" s="42">
        <f t="shared" si="6"/>
        <v>2.5299999999999998</v>
      </c>
      <c r="AC10" s="42">
        <f t="shared" si="6"/>
        <v>2.5299999999999998</v>
      </c>
      <c r="AD10" s="42">
        <f t="shared" si="6"/>
        <v>2.5299999999999998</v>
      </c>
      <c r="AE10" s="42">
        <f t="shared" si="6"/>
        <v>2.5299999999999998</v>
      </c>
      <c r="AF10" s="42">
        <f t="shared" si="6"/>
        <v>2.5299999999999998</v>
      </c>
      <c r="AG10" s="42">
        <f t="shared" si="6"/>
        <v>2.5299999999999998</v>
      </c>
      <c r="AH10" s="42">
        <f t="shared" si="6"/>
        <v>2.5299999999999998</v>
      </c>
      <c r="AI10" s="42">
        <f t="shared" si="6"/>
        <v>2.5299999999999998</v>
      </c>
      <c r="AJ10" s="42">
        <f t="shared" si="7"/>
        <v>2.5299999999999998</v>
      </c>
      <c r="AK10" s="42">
        <f t="shared" si="7"/>
        <v>2.5299999999999998</v>
      </c>
      <c r="AL10" s="42">
        <f t="shared" si="7"/>
        <v>2.5299999999999998</v>
      </c>
      <c r="AM10" s="42">
        <f t="shared" si="7"/>
        <v>2.5299999999999998</v>
      </c>
      <c r="AN10" s="42">
        <f t="shared" si="7"/>
        <v>2.5299999999999998</v>
      </c>
      <c r="AO10" s="42">
        <f t="shared" si="7"/>
        <v>2.5299999999999998</v>
      </c>
      <c r="AP10" s="42">
        <f t="shared" si="7"/>
        <v>2.5299999999999998</v>
      </c>
      <c r="AQ10" s="42">
        <f t="shared" si="7"/>
        <v>2.5299999999999998</v>
      </c>
      <c r="AR10" s="42">
        <f t="shared" si="7"/>
        <v>2.5299999999999998</v>
      </c>
      <c r="AS10" s="42">
        <f t="shared" si="7"/>
        <v>2.5299999999999998</v>
      </c>
      <c r="AT10" s="65" t="str">
        <f t="shared" si="8"/>
        <v/>
      </c>
      <c r="AU10" s="65" t="str">
        <f t="shared" si="8"/>
        <v/>
      </c>
      <c r="AV10" s="65" t="str">
        <f t="shared" si="8"/>
        <v/>
      </c>
      <c r="AW10" s="65" t="str">
        <f t="shared" si="8"/>
        <v/>
      </c>
      <c r="AX10" s="65" t="str">
        <f t="shared" si="8"/>
        <v/>
      </c>
      <c r="AY10" s="65" t="str">
        <f t="shared" si="8"/>
        <v/>
      </c>
      <c r="AZ10" s="65" t="str">
        <f t="shared" si="8"/>
        <v/>
      </c>
      <c r="BA10" s="65" t="str">
        <f t="shared" si="8"/>
        <v/>
      </c>
      <c r="BB10" s="65" t="str">
        <f t="shared" si="8"/>
        <v/>
      </c>
      <c r="BC10" s="65" t="str">
        <f t="shared" si="8"/>
        <v/>
      </c>
      <c r="BD10" s="65" t="str">
        <f t="shared" si="9"/>
        <v/>
      </c>
      <c r="BE10" s="65" t="str">
        <f t="shared" si="9"/>
        <v/>
      </c>
      <c r="BF10" s="65" t="str">
        <f t="shared" si="9"/>
        <v/>
      </c>
      <c r="BG10" s="65" t="str">
        <f t="shared" si="9"/>
        <v/>
      </c>
      <c r="BH10" s="65" t="str">
        <f t="shared" si="9"/>
        <v/>
      </c>
      <c r="BI10" s="65" t="str">
        <f t="shared" si="9"/>
        <v/>
      </c>
      <c r="BJ10" s="65" t="str">
        <f t="shared" si="9"/>
        <v/>
      </c>
      <c r="BK10" s="65" t="str">
        <f t="shared" si="9"/>
        <v/>
      </c>
      <c r="BL10" s="65" t="str">
        <f t="shared" si="9"/>
        <v/>
      </c>
      <c r="BM10" s="65" t="str">
        <f t="shared" si="9"/>
        <v/>
      </c>
      <c r="BN10" s="65" t="str">
        <f t="shared" si="10"/>
        <v/>
      </c>
      <c r="BO10" s="65" t="str">
        <f t="shared" si="10"/>
        <v/>
      </c>
      <c r="BP10" s="65" t="str">
        <f t="shared" si="10"/>
        <v/>
      </c>
      <c r="BQ10" s="65" t="str">
        <f t="shared" si="10"/>
        <v/>
      </c>
      <c r="BR10" s="65" t="str">
        <f t="shared" si="10"/>
        <v/>
      </c>
      <c r="BS10" s="65" t="str">
        <f t="shared" si="10"/>
        <v/>
      </c>
      <c r="BT10" s="65" t="str">
        <f t="shared" si="10"/>
        <v/>
      </c>
      <c r="BU10" s="65" t="str">
        <f t="shared" si="10"/>
        <v/>
      </c>
      <c r="BV10" s="65" t="str">
        <f t="shared" si="10"/>
        <v/>
      </c>
      <c r="BW10" s="65" t="str">
        <f t="shared" si="10"/>
        <v/>
      </c>
      <c r="BX10" s="65" t="str">
        <f t="shared" si="11"/>
        <v/>
      </c>
      <c r="BY10" s="65" t="str">
        <f t="shared" si="11"/>
        <v/>
      </c>
      <c r="BZ10" s="65" t="str">
        <f t="shared" si="11"/>
        <v/>
      </c>
      <c r="CA10" s="65" t="str">
        <f t="shared" si="11"/>
        <v/>
      </c>
      <c r="CB10" s="65" t="str">
        <f t="shared" si="11"/>
        <v/>
      </c>
      <c r="CC10" s="65" t="str">
        <f t="shared" si="11"/>
        <v/>
      </c>
      <c r="CD10" s="65" t="str">
        <f t="shared" si="11"/>
        <v/>
      </c>
      <c r="CE10" s="65" t="str">
        <f t="shared" si="11"/>
        <v/>
      </c>
      <c r="CF10" s="65" t="str">
        <f t="shared" si="11"/>
        <v/>
      </c>
    </row>
    <row r="11" spans="1:84" x14ac:dyDescent="0.3">
      <c r="A11" s="38">
        <v>4</v>
      </c>
      <c r="B11" s="38" t="s">
        <v>41</v>
      </c>
      <c r="C11" s="5" t="s">
        <v>42</v>
      </c>
      <c r="D11" s="38" t="s">
        <v>43</v>
      </c>
      <c r="E11" s="7">
        <v>138</v>
      </c>
      <c r="F11" s="7">
        <v>1</v>
      </c>
      <c r="G11" s="6">
        <f>E11</f>
        <v>138</v>
      </c>
      <c r="H11" s="6">
        <f t="shared" si="2"/>
        <v>2</v>
      </c>
      <c r="I11" s="39">
        <f t="shared" si="3"/>
        <v>69</v>
      </c>
      <c r="J11" s="40">
        <v>46270</v>
      </c>
      <c r="K11" s="40">
        <v>46338</v>
      </c>
      <c r="L11" s="38">
        <v>2</v>
      </c>
      <c r="M11" s="41">
        <f t="shared" si="4"/>
        <v>1</v>
      </c>
      <c r="N11" s="5" t="s">
        <v>44</v>
      </c>
      <c r="O11" s="39">
        <v>4</v>
      </c>
      <c r="P11" s="42">
        <f t="shared" si="5"/>
        <v>1</v>
      </c>
      <c r="Q11" s="42">
        <f t="shared" si="5"/>
        <v>1</v>
      </c>
      <c r="R11" s="42">
        <f t="shared" si="5"/>
        <v>1</v>
      </c>
      <c r="S11" s="42">
        <f t="shared" si="5"/>
        <v>1</v>
      </c>
      <c r="T11" s="42">
        <f t="shared" si="5"/>
        <v>1</v>
      </c>
      <c r="U11" s="42">
        <f t="shared" si="5"/>
        <v>1</v>
      </c>
      <c r="V11" s="42">
        <f t="shared" si="5"/>
        <v>1</v>
      </c>
      <c r="W11" s="42">
        <f t="shared" si="5"/>
        <v>1</v>
      </c>
      <c r="X11" s="42">
        <f t="shared" si="5"/>
        <v>1</v>
      </c>
      <c r="Y11" s="42">
        <f t="shared" si="5"/>
        <v>1</v>
      </c>
      <c r="Z11" s="42">
        <f t="shared" si="6"/>
        <v>1</v>
      </c>
      <c r="AA11" s="42">
        <f t="shared" si="6"/>
        <v>1</v>
      </c>
      <c r="AB11" s="42">
        <f t="shared" si="6"/>
        <v>1</v>
      </c>
      <c r="AC11" s="42">
        <f t="shared" si="6"/>
        <v>1</v>
      </c>
      <c r="AD11" s="42">
        <f t="shared" si="6"/>
        <v>1</v>
      </c>
      <c r="AE11" s="42">
        <f t="shared" si="6"/>
        <v>1</v>
      </c>
      <c r="AF11" s="42">
        <f t="shared" si="6"/>
        <v>1</v>
      </c>
      <c r="AG11" s="42">
        <f t="shared" si="6"/>
        <v>1</v>
      </c>
      <c r="AH11" s="42">
        <f t="shared" si="6"/>
        <v>1</v>
      </c>
      <c r="AI11" s="42">
        <f t="shared" si="6"/>
        <v>1</v>
      </c>
      <c r="AJ11" s="42">
        <f t="shared" si="7"/>
        <v>1</v>
      </c>
      <c r="AK11" s="42">
        <f t="shared" si="7"/>
        <v>1</v>
      </c>
      <c r="AL11" s="42">
        <f t="shared" si="7"/>
        <v>1</v>
      </c>
      <c r="AM11" s="42">
        <f t="shared" si="7"/>
        <v>1</v>
      </c>
      <c r="AN11" s="42">
        <f t="shared" si="7"/>
        <v>1</v>
      </c>
      <c r="AO11" s="42">
        <f t="shared" si="7"/>
        <v>1</v>
      </c>
      <c r="AP11" s="42">
        <f t="shared" si="7"/>
        <v>1</v>
      </c>
      <c r="AQ11" s="42">
        <f t="shared" si="7"/>
        <v>1</v>
      </c>
      <c r="AR11" s="42">
        <f t="shared" si="7"/>
        <v>1</v>
      </c>
      <c r="AS11" s="42">
        <f t="shared" si="7"/>
        <v>1</v>
      </c>
      <c r="AT11" s="42">
        <f t="shared" si="8"/>
        <v>1</v>
      </c>
      <c r="AU11" s="42">
        <f t="shared" si="8"/>
        <v>1</v>
      </c>
      <c r="AV11" s="42">
        <f t="shared" si="8"/>
        <v>1</v>
      </c>
      <c r="AW11" s="42">
        <f t="shared" si="8"/>
        <v>1</v>
      </c>
      <c r="AX11" s="42">
        <f t="shared" si="8"/>
        <v>1</v>
      </c>
      <c r="AY11" s="42">
        <f t="shared" si="8"/>
        <v>1</v>
      </c>
      <c r="AZ11" s="42">
        <f t="shared" si="8"/>
        <v>1</v>
      </c>
      <c r="BA11" s="42">
        <f t="shared" si="8"/>
        <v>1</v>
      </c>
      <c r="BB11" s="42">
        <f t="shared" si="8"/>
        <v>1</v>
      </c>
      <c r="BC11" s="42">
        <f t="shared" si="8"/>
        <v>1</v>
      </c>
      <c r="BD11" s="42">
        <f t="shared" si="9"/>
        <v>1</v>
      </c>
      <c r="BE11" s="42">
        <f t="shared" si="9"/>
        <v>1</v>
      </c>
      <c r="BF11" s="42">
        <f t="shared" si="9"/>
        <v>1</v>
      </c>
      <c r="BG11" s="42">
        <f t="shared" si="9"/>
        <v>1</v>
      </c>
      <c r="BH11" s="42">
        <f t="shared" si="9"/>
        <v>1</v>
      </c>
      <c r="BI11" s="42">
        <f t="shared" si="9"/>
        <v>1</v>
      </c>
      <c r="BJ11" s="42">
        <f t="shared" si="9"/>
        <v>1</v>
      </c>
      <c r="BK11" s="42">
        <f t="shared" si="9"/>
        <v>1</v>
      </c>
      <c r="BL11" s="42">
        <f t="shared" si="9"/>
        <v>1</v>
      </c>
      <c r="BM11" s="42">
        <f t="shared" si="9"/>
        <v>1</v>
      </c>
      <c r="BN11" s="42">
        <f t="shared" si="10"/>
        <v>1</v>
      </c>
      <c r="BO11" s="42">
        <f t="shared" si="10"/>
        <v>1</v>
      </c>
      <c r="BP11" s="42">
        <f t="shared" si="10"/>
        <v>1</v>
      </c>
      <c r="BQ11" s="42">
        <f t="shared" si="10"/>
        <v>1</v>
      </c>
      <c r="BR11" s="42">
        <f t="shared" si="10"/>
        <v>1</v>
      </c>
      <c r="BS11" s="42">
        <f t="shared" si="10"/>
        <v>1</v>
      </c>
      <c r="BT11" s="42">
        <f t="shared" si="10"/>
        <v>1</v>
      </c>
      <c r="BU11" s="42">
        <f t="shared" si="10"/>
        <v>1</v>
      </c>
      <c r="BV11" s="42">
        <f t="shared" si="10"/>
        <v>1</v>
      </c>
      <c r="BW11" s="42">
        <f t="shared" si="10"/>
        <v>1</v>
      </c>
      <c r="BX11" s="42">
        <f t="shared" si="11"/>
        <v>1</v>
      </c>
      <c r="BY11" s="42">
        <f t="shared" si="11"/>
        <v>1</v>
      </c>
      <c r="BZ11" s="42">
        <f t="shared" si="11"/>
        <v>1</v>
      </c>
      <c r="CA11" s="42">
        <f t="shared" si="11"/>
        <v>1</v>
      </c>
      <c r="CB11" s="42">
        <f t="shared" si="11"/>
        <v>1</v>
      </c>
      <c r="CC11" s="42">
        <f t="shared" si="11"/>
        <v>1</v>
      </c>
      <c r="CD11" s="42">
        <f t="shared" si="11"/>
        <v>1</v>
      </c>
      <c r="CE11" s="42">
        <f t="shared" si="11"/>
        <v>1</v>
      </c>
      <c r="CF11" s="42">
        <f t="shared" si="11"/>
        <v>1</v>
      </c>
    </row>
    <row r="12" spans="1:84" x14ac:dyDescent="0.3">
      <c r="A12" s="38">
        <v>5</v>
      </c>
      <c r="B12" s="38" t="s">
        <v>45</v>
      </c>
      <c r="C12" s="5" t="s">
        <v>46</v>
      </c>
      <c r="D12" s="38" t="s">
        <v>33</v>
      </c>
      <c r="E12" s="7">
        <v>1250</v>
      </c>
      <c r="F12" s="7">
        <v>150</v>
      </c>
      <c r="G12" s="6">
        <f t="shared" ref="G12:G22" si="12">IF(F12&gt;0,ROUND(E12/F12,1),0)</f>
        <v>8.3000000000000007</v>
      </c>
      <c r="H12" s="6">
        <f t="shared" si="2"/>
        <v>43.1</v>
      </c>
      <c r="I12" s="39">
        <f t="shared" si="3"/>
        <v>29</v>
      </c>
      <c r="J12" s="40">
        <v>46275</v>
      </c>
      <c r="K12" s="40">
        <v>46303</v>
      </c>
      <c r="L12" s="38">
        <v>2</v>
      </c>
      <c r="M12" s="41">
        <f t="shared" si="4"/>
        <v>0.15000000000000002</v>
      </c>
      <c r="N12" s="5" t="s">
        <v>47</v>
      </c>
      <c r="O12" s="39">
        <v>12</v>
      </c>
      <c r="P12" s="65" t="str">
        <f t="shared" si="5"/>
        <v/>
      </c>
      <c r="Q12" s="65" t="str">
        <f t="shared" si="5"/>
        <v/>
      </c>
      <c r="R12" s="65" t="str">
        <f t="shared" si="5"/>
        <v/>
      </c>
      <c r="S12" s="65" t="str">
        <f t="shared" si="5"/>
        <v/>
      </c>
      <c r="T12" s="65" t="str">
        <f t="shared" si="5"/>
        <v/>
      </c>
      <c r="U12" s="42">
        <f t="shared" si="5"/>
        <v>0.15000000000000002</v>
      </c>
      <c r="V12" s="42">
        <f t="shared" si="5"/>
        <v>0.15000000000000002</v>
      </c>
      <c r="W12" s="42">
        <f t="shared" si="5"/>
        <v>0.15000000000000002</v>
      </c>
      <c r="X12" s="42">
        <f t="shared" si="5"/>
        <v>0.15000000000000002</v>
      </c>
      <c r="Y12" s="42">
        <f t="shared" si="5"/>
        <v>0.15000000000000002</v>
      </c>
      <c r="Z12" s="42">
        <f t="shared" si="6"/>
        <v>0.15000000000000002</v>
      </c>
      <c r="AA12" s="42">
        <f t="shared" si="6"/>
        <v>0.15000000000000002</v>
      </c>
      <c r="AB12" s="42">
        <f t="shared" si="6"/>
        <v>0.15000000000000002</v>
      </c>
      <c r="AC12" s="42">
        <f t="shared" si="6"/>
        <v>0.15000000000000002</v>
      </c>
      <c r="AD12" s="42">
        <f t="shared" si="6"/>
        <v>0.15000000000000002</v>
      </c>
      <c r="AE12" s="42">
        <f t="shared" si="6"/>
        <v>0.15000000000000002</v>
      </c>
      <c r="AF12" s="42">
        <f t="shared" si="6"/>
        <v>0.15000000000000002</v>
      </c>
      <c r="AG12" s="42">
        <f t="shared" si="6"/>
        <v>0.15000000000000002</v>
      </c>
      <c r="AH12" s="42">
        <f t="shared" si="6"/>
        <v>0.15000000000000002</v>
      </c>
      <c r="AI12" s="42">
        <f t="shared" si="6"/>
        <v>0.15000000000000002</v>
      </c>
      <c r="AJ12" s="42">
        <f t="shared" si="7"/>
        <v>0.15000000000000002</v>
      </c>
      <c r="AK12" s="42">
        <f t="shared" si="7"/>
        <v>0.15000000000000002</v>
      </c>
      <c r="AL12" s="42">
        <f t="shared" si="7"/>
        <v>0.15000000000000002</v>
      </c>
      <c r="AM12" s="42">
        <f t="shared" si="7"/>
        <v>0.15000000000000002</v>
      </c>
      <c r="AN12" s="42">
        <f t="shared" si="7"/>
        <v>0.15000000000000002</v>
      </c>
      <c r="AO12" s="42">
        <f t="shared" si="7"/>
        <v>0.15000000000000002</v>
      </c>
      <c r="AP12" s="42">
        <f t="shared" si="7"/>
        <v>0.15000000000000002</v>
      </c>
      <c r="AQ12" s="42">
        <f t="shared" si="7"/>
        <v>0.15000000000000002</v>
      </c>
      <c r="AR12" s="42">
        <f t="shared" si="7"/>
        <v>0.15000000000000002</v>
      </c>
      <c r="AS12" s="42">
        <f t="shared" si="7"/>
        <v>0.15000000000000002</v>
      </c>
      <c r="AT12" s="42">
        <f t="shared" si="8"/>
        <v>0.15000000000000002</v>
      </c>
      <c r="AU12" s="42">
        <f t="shared" si="8"/>
        <v>0.15000000000000002</v>
      </c>
      <c r="AV12" s="42">
        <f t="shared" si="8"/>
        <v>0.15000000000000002</v>
      </c>
      <c r="AW12" s="42">
        <f t="shared" si="8"/>
        <v>0.15000000000000002</v>
      </c>
      <c r="AX12" s="65" t="str">
        <f t="shared" si="8"/>
        <v/>
      </c>
      <c r="AY12" s="65" t="str">
        <f t="shared" si="8"/>
        <v/>
      </c>
      <c r="AZ12" s="65" t="str">
        <f t="shared" si="8"/>
        <v/>
      </c>
      <c r="BA12" s="65" t="str">
        <f t="shared" si="8"/>
        <v/>
      </c>
      <c r="BB12" s="65" t="str">
        <f t="shared" si="8"/>
        <v/>
      </c>
      <c r="BC12" s="65" t="str">
        <f t="shared" si="8"/>
        <v/>
      </c>
      <c r="BD12" s="65" t="str">
        <f t="shared" si="9"/>
        <v/>
      </c>
      <c r="BE12" s="65" t="str">
        <f t="shared" si="9"/>
        <v/>
      </c>
      <c r="BF12" s="65" t="str">
        <f t="shared" si="9"/>
        <v/>
      </c>
      <c r="BG12" s="65" t="str">
        <f t="shared" si="9"/>
        <v/>
      </c>
      <c r="BH12" s="65" t="str">
        <f t="shared" si="9"/>
        <v/>
      </c>
      <c r="BI12" s="65" t="str">
        <f t="shared" si="9"/>
        <v/>
      </c>
      <c r="BJ12" s="65" t="str">
        <f t="shared" si="9"/>
        <v/>
      </c>
      <c r="BK12" s="65" t="str">
        <f t="shared" si="9"/>
        <v/>
      </c>
      <c r="BL12" s="65" t="str">
        <f t="shared" si="9"/>
        <v/>
      </c>
      <c r="BM12" s="65" t="str">
        <f t="shared" si="9"/>
        <v/>
      </c>
      <c r="BN12" s="65" t="str">
        <f t="shared" si="10"/>
        <v/>
      </c>
      <c r="BO12" s="65" t="str">
        <f t="shared" si="10"/>
        <v/>
      </c>
      <c r="BP12" s="65" t="str">
        <f t="shared" si="10"/>
        <v/>
      </c>
      <c r="BQ12" s="65" t="str">
        <f t="shared" si="10"/>
        <v/>
      </c>
      <c r="BR12" s="65" t="str">
        <f t="shared" si="10"/>
        <v/>
      </c>
      <c r="BS12" s="65" t="str">
        <f t="shared" si="10"/>
        <v/>
      </c>
      <c r="BT12" s="65" t="str">
        <f t="shared" si="10"/>
        <v/>
      </c>
      <c r="BU12" s="65" t="str">
        <f t="shared" si="10"/>
        <v/>
      </c>
      <c r="BV12" s="65" t="str">
        <f t="shared" si="10"/>
        <v/>
      </c>
      <c r="BW12" s="65" t="str">
        <f t="shared" si="10"/>
        <v/>
      </c>
      <c r="BX12" s="65" t="str">
        <f t="shared" si="11"/>
        <v/>
      </c>
      <c r="BY12" s="65" t="str">
        <f t="shared" si="11"/>
        <v/>
      </c>
      <c r="BZ12" s="65" t="str">
        <f t="shared" si="11"/>
        <v/>
      </c>
      <c r="CA12" s="65" t="str">
        <f t="shared" si="11"/>
        <v/>
      </c>
      <c r="CB12" s="65" t="str">
        <f t="shared" si="11"/>
        <v/>
      </c>
      <c r="CC12" s="65" t="str">
        <f t="shared" si="11"/>
        <v/>
      </c>
      <c r="CD12" s="65" t="str">
        <f t="shared" si="11"/>
        <v/>
      </c>
      <c r="CE12" s="65" t="str">
        <f t="shared" si="11"/>
        <v/>
      </c>
      <c r="CF12" s="65" t="str">
        <f t="shared" si="11"/>
        <v/>
      </c>
    </row>
    <row r="13" spans="1:84" x14ac:dyDescent="0.3">
      <c r="A13" s="38">
        <v>6</v>
      </c>
      <c r="B13" s="38" t="s">
        <v>48</v>
      </c>
      <c r="C13" s="5" t="s">
        <v>49</v>
      </c>
      <c r="D13" s="38" t="s">
        <v>33</v>
      </c>
      <c r="E13" s="7">
        <v>592.4</v>
      </c>
      <c r="F13" s="7">
        <v>45</v>
      </c>
      <c r="G13" s="6">
        <f t="shared" si="12"/>
        <v>13.2</v>
      </c>
      <c r="H13" s="6">
        <f t="shared" si="2"/>
        <v>19.100000000000001</v>
      </c>
      <c r="I13" s="39">
        <f t="shared" si="3"/>
        <v>31</v>
      </c>
      <c r="J13" s="40">
        <v>46277</v>
      </c>
      <c r="K13" s="40">
        <v>46307</v>
      </c>
      <c r="L13" s="38">
        <v>2</v>
      </c>
      <c r="M13" s="41">
        <f t="shared" si="4"/>
        <v>0.22</v>
      </c>
      <c r="N13" s="5" t="s">
        <v>50</v>
      </c>
      <c r="O13" s="39">
        <v>16</v>
      </c>
      <c r="P13" s="65" t="str">
        <f t="shared" si="5"/>
        <v/>
      </c>
      <c r="Q13" s="65" t="str">
        <f t="shared" si="5"/>
        <v/>
      </c>
      <c r="R13" s="65" t="str">
        <f t="shared" si="5"/>
        <v/>
      </c>
      <c r="S13" s="65" t="str">
        <f t="shared" si="5"/>
        <v/>
      </c>
      <c r="T13" s="65" t="str">
        <f t="shared" si="5"/>
        <v/>
      </c>
      <c r="U13" s="65" t="str">
        <f t="shared" si="5"/>
        <v/>
      </c>
      <c r="V13" s="65" t="str">
        <f t="shared" si="5"/>
        <v/>
      </c>
      <c r="W13" s="42">
        <f t="shared" si="5"/>
        <v>0.22</v>
      </c>
      <c r="X13" s="42">
        <f t="shared" si="5"/>
        <v>0.22</v>
      </c>
      <c r="Y13" s="42">
        <f t="shared" si="5"/>
        <v>0.22</v>
      </c>
      <c r="Z13" s="42">
        <f t="shared" si="6"/>
        <v>0.22</v>
      </c>
      <c r="AA13" s="42">
        <f t="shared" si="6"/>
        <v>0.22</v>
      </c>
      <c r="AB13" s="42">
        <f t="shared" si="6"/>
        <v>0.22</v>
      </c>
      <c r="AC13" s="42">
        <f t="shared" si="6"/>
        <v>0.22</v>
      </c>
      <c r="AD13" s="42">
        <f t="shared" si="6"/>
        <v>0.22</v>
      </c>
      <c r="AE13" s="42">
        <f t="shared" si="6"/>
        <v>0.22</v>
      </c>
      <c r="AF13" s="42">
        <f t="shared" si="6"/>
        <v>0.22</v>
      </c>
      <c r="AG13" s="42">
        <f t="shared" si="6"/>
        <v>0.22</v>
      </c>
      <c r="AH13" s="42">
        <f t="shared" si="6"/>
        <v>0.22</v>
      </c>
      <c r="AI13" s="42">
        <f t="shared" si="6"/>
        <v>0.22</v>
      </c>
      <c r="AJ13" s="42">
        <f t="shared" si="7"/>
        <v>0.22</v>
      </c>
      <c r="AK13" s="42">
        <f t="shared" si="7"/>
        <v>0.22</v>
      </c>
      <c r="AL13" s="42">
        <f t="shared" si="7"/>
        <v>0.22</v>
      </c>
      <c r="AM13" s="42">
        <f t="shared" si="7"/>
        <v>0.22</v>
      </c>
      <c r="AN13" s="42">
        <f t="shared" si="7"/>
        <v>0.22</v>
      </c>
      <c r="AO13" s="42">
        <f t="shared" si="7"/>
        <v>0.22</v>
      </c>
      <c r="AP13" s="42">
        <f t="shared" si="7"/>
        <v>0.22</v>
      </c>
      <c r="AQ13" s="42">
        <f t="shared" si="7"/>
        <v>0.22</v>
      </c>
      <c r="AR13" s="42">
        <f t="shared" si="7"/>
        <v>0.22</v>
      </c>
      <c r="AS13" s="42">
        <f t="shared" si="7"/>
        <v>0.22</v>
      </c>
      <c r="AT13" s="42">
        <f t="shared" si="8"/>
        <v>0.22</v>
      </c>
      <c r="AU13" s="42">
        <f t="shared" si="8"/>
        <v>0.22</v>
      </c>
      <c r="AV13" s="42">
        <f t="shared" si="8"/>
        <v>0.22</v>
      </c>
      <c r="AW13" s="42">
        <f t="shared" si="8"/>
        <v>0.22</v>
      </c>
      <c r="AX13" s="42">
        <f t="shared" si="8"/>
        <v>0.22</v>
      </c>
      <c r="AY13" s="42">
        <f t="shared" si="8"/>
        <v>0.22</v>
      </c>
      <c r="AZ13" s="42">
        <f t="shared" si="8"/>
        <v>0.22</v>
      </c>
      <c r="BA13" s="42">
        <f t="shared" si="8"/>
        <v>0.22</v>
      </c>
      <c r="BB13" s="65" t="str">
        <f t="shared" si="8"/>
        <v/>
      </c>
      <c r="BC13" s="65" t="str">
        <f t="shared" si="8"/>
        <v/>
      </c>
      <c r="BD13" s="65" t="str">
        <f t="shared" si="9"/>
        <v/>
      </c>
      <c r="BE13" s="65" t="str">
        <f t="shared" si="9"/>
        <v/>
      </c>
      <c r="BF13" s="65" t="str">
        <f t="shared" si="9"/>
        <v/>
      </c>
      <c r="BG13" s="65" t="str">
        <f t="shared" si="9"/>
        <v/>
      </c>
      <c r="BH13" s="65" t="str">
        <f t="shared" si="9"/>
        <v/>
      </c>
      <c r="BI13" s="65" t="str">
        <f t="shared" si="9"/>
        <v/>
      </c>
      <c r="BJ13" s="65" t="str">
        <f t="shared" si="9"/>
        <v/>
      </c>
      <c r="BK13" s="65" t="str">
        <f t="shared" si="9"/>
        <v/>
      </c>
      <c r="BL13" s="65" t="str">
        <f t="shared" si="9"/>
        <v/>
      </c>
      <c r="BM13" s="65" t="str">
        <f t="shared" si="9"/>
        <v/>
      </c>
      <c r="BN13" s="65" t="str">
        <f t="shared" si="10"/>
        <v/>
      </c>
      <c r="BO13" s="65" t="str">
        <f t="shared" si="10"/>
        <v/>
      </c>
      <c r="BP13" s="65" t="str">
        <f t="shared" si="10"/>
        <v/>
      </c>
      <c r="BQ13" s="65" t="str">
        <f t="shared" si="10"/>
        <v/>
      </c>
      <c r="BR13" s="65" t="str">
        <f t="shared" si="10"/>
        <v/>
      </c>
      <c r="BS13" s="65" t="str">
        <f t="shared" si="10"/>
        <v/>
      </c>
      <c r="BT13" s="65" t="str">
        <f t="shared" si="10"/>
        <v/>
      </c>
      <c r="BU13" s="65" t="str">
        <f t="shared" si="10"/>
        <v/>
      </c>
      <c r="BV13" s="65" t="str">
        <f t="shared" si="10"/>
        <v/>
      </c>
      <c r="BW13" s="65" t="str">
        <f t="shared" si="10"/>
        <v/>
      </c>
      <c r="BX13" s="65" t="str">
        <f t="shared" si="11"/>
        <v/>
      </c>
      <c r="BY13" s="65" t="str">
        <f t="shared" si="11"/>
        <v/>
      </c>
      <c r="BZ13" s="65" t="str">
        <f t="shared" si="11"/>
        <v/>
      </c>
      <c r="CA13" s="65" t="str">
        <f t="shared" si="11"/>
        <v/>
      </c>
      <c r="CB13" s="65" t="str">
        <f t="shared" si="11"/>
        <v/>
      </c>
      <c r="CC13" s="65" t="str">
        <f t="shared" si="11"/>
        <v/>
      </c>
      <c r="CD13" s="65" t="str">
        <f t="shared" si="11"/>
        <v/>
      </c>
      <c r="CE13" s="65" t="str">
        <f t="shared" si="11"/>
        <v/>
      </c>
      <c r="CF13" s="65" t="str">
        <f t="shared" si="11"/>
        <v/>
      </c>
    </row>
    <row r="14" spans="1:84" x14ac:dyDescent="0.3">
      <c r="A14" s="43">
        <v>7</v>
      </c>
      <c r="B14" s="43" t="s">
        <v>51</v>
      </c>
      <c r="C14" s="9" t="s">
        <v>52</v>
      </c>
      <c r="D14" s="43" t="s">
        <v>53</v>
      </c>
      <c r="E14" s="11">
        <v>753.36</v>
      </c>
      <c r="F14" s="11">
        <v>12</v>
      </c>
      <c r="G14" s="10">
        <f t="shared" si="12"/>
        <v>62.8</v>
      </c>
      <c r="H14" s="10">
        <f t="shared" si="2"/>
        <v>18.399999999999999</v>
      </c>
      <c r="I14" s="44">
        <f t="shared" si="3"/>
        <v>41</v>
      </c>
      <c r="J14" s="45">
        <v>46281</v>
      </c>
      <c r="K14" s="45">
        <v>46321</v>
      </c>
      <c r="L14" s="43">
        <v>2</v>
      </c>
      <c r="M14" s="46">
        <f t="shared" si="4"/>
        <v>0.77</v>
      </c>
      <c r="N14" s="9" t="s">
        <v>54</v>
      </c>
      <c r="O14" s="44">
        <v>60</v>
      </c>
      <c r="P14" s="65" t="str">
        <f t="shared" si="5"/>
        <v/>
      </c>
      <c r="Q14" s="65" t="str">
        <f t="shared" si="5"/>
        <v/>
      </c>
      <c r="R14" s="65" t="str">
        <f t="shared" si="5"/>
        <v/>
      </c>
      <c r="S14" s="65" t="str">
        <f t="shared" si="5"/>
        <v/>
      </c>
      <c r="T14" s="65" t="str">
        <f t="shared" si="5"/>
        <v/>
      </c>
      <c r="U14" s="65" t="str">
        <f t="shared" si="5"/>
        <v/>
      </c>
      <c r="V14" s="65" t="str">
        <f t="shared" si="5"/>
        <v/>
      </c>
      <c r="W14" s="65" t="str">
        <f t="shared" si="5"/>
        <v/>
      </c>
      <c r="X14" s="65" t="str">
        <f t="shared" si="5"/>
        <v/>
      </c>
      <c r="Y14" s="65" t="str">
        <f t="shared" si="5"/>
        <v/>
      </c>
      <c r="Z14" s="65" t="str">
        <f t="shared" si="6"/>
        <v/>
      </c>
      <c r="AA14" s="47">
        <f t="shared" si="6"/>
        <v>0.77</v>
      </c>
      <c r="AB14" s="47">
        <f t="shared" si="6"/>
        <v>0.77</v>
      </c>
      <c r="AC14" s="47">
        <f t="shared" si="6"/>
        <v>0.77</v>
      </c>
      <c r="AD14" s="47">
        <f t="shared" si="6"/>
        <v>0.77</v>
      </c>
      <c r="AE14" s="47">
        <f t="shared" si="6"/>
        <v>0.77</v>
      </c>
      <c r="AF14" s="47">
        <f t="shared" si="6"/>
        <v>0.77</v>
      </c>
      <c r="AG14" s="47">
        <f t="shared" si="6"/>
        <v>0.77</v>
      </c>
      <c r="AH14" s="47">
        <f t="shared" si="6"/>
        <v>0.77</v>
      </c>
      <c r="AI14" s="47">
        <f t="shared" si="6"/>
        <v>0.77</v>
      </c>
      <c r="AJ14" s="47">
        <f t="shared" si="7"/>
        <v>0.77</v>
      </c>
      <c r="AK14" s="47">
        <f t="shared" si="7"/>
        <v>0.77</v>
      </c>
      <c r="AL14" s="47">
        <f t="shared" si="7"/>
        <v>0.77</v>
      </c>
      <c r="AM14" s="47">
        <f t="shared" si="7"/>
        <v>0.77</v>
      </c>
      <c r="AN14" s="47">
        <f t="shared" si="7"/>
        <v>0.77</v>
      </c>
      <c r="AO14" s="47">
        <f t="shared" si="7"/>
        <v>0.77</v>
      </c>
      <c r="AP14" s="47">
        <f t="shared" si="7"/>
        <v>0.77</v>
      </c>
      <c r="AQ14" s="47">
        <f t="shared" si="7"/>
        <v>0.77</v>
      </c>
      <c r="AR14" s="47">
        <f t="shared" si="7"/>
        <v>0.77</v>
      </c>
      <c r="AS14" s="47">
        <f t="shared" si="7"/>
        <v>0.77</v>
      </c>
      <c r="AT14" s="47">
        <f t="shared" si="8"/>
        <v>0.77</v>
      </c>
      <c r="AU14" s="47">
        <f t="shared" si="8"/>
        <v>0.77</v>
      </c>
      <c r="AV14" s="47">
        <f t="shared" si="8"/>
        <v>0.77</v>
      </c>
      <c r="AW14" s="47">
        <f t="shared" si="8"/>
        <v>0.77</v>
      </c>
      <c r="AX14" s="47">
        <f t="shared" si="8"/>
        <v>0.77</v>
      </c>
      <c r="AY14" s="47">
        <f t="shared" si="8"/>
        <v>0.77</v>
      </c>
      <c r="AZ14" s="47">
        <f t="shared" si="8"/>
        <v>0.77</v>
      </c>
      <c r="BA14" s="47">
        <f t="shared" si="8"/>
        <v>0.77</v>
      </c>
      <c r="BB14" s="47">
        <f t="shared" si="8"/>
        <v>0.77</v>
      </c>
      <c r="BC14" s="47">
        <f t="shared" si="8"/>
        <v>0.77</v>
      </c>
      <c r="BD14" s="47">
        <f t="shared" si="9"/>
        <v>0.77</v>
      </c>
      <c r="BE14" s="47">
        <f t="shared" si="9"/>
        <v>0.77</v>
      </c>
      <c r="BF14" s="47">
        <f t="shared" si="9"/>
        <v>0.77</v>
      </c>
      <c r="BG14" s="47">
        <f t="shared" si="9"/>
        <v>0.77</v>
      </c>
      <c r="BH14" s="47">
        <f t="shared" si="9"/>
        <v>0.77</v>
      </c>
      <c r="BI14" s="47">
        <f t="shared" si="9"/>
        <v>0.77</v>
      </c>
      <c r="BJ14" s="47">
        <f t="shared" si="9"/>
        <v>0.77</v>
      </c>
      <c r="BK14" s="47">
        <f t="shared" si="9"/>
        <v>0.77</v>
      </c>
      <c r="BL14" s="47">
        <f t="shared" si="9"/>
        <v>0.77</v>
      </c>
      <c r="BM14" s="47">
        <f t="shared" si="9"/>
        <v>0.77</v>
      </c>
      <c r="BN14" s="47">
        <f t="shared" si="10"/>
        <v>0.77</v>
      </c>
      <c r="BO14" s="47">
        <f t="shared" si="10"/>
        <v>0.77</v>
      </c>
      <c r="BP14" s="65" t="str">
        <f t="shared" si="10"/>
        <v/>
      </c>
      <c r="BQ14" s="65" t="str">
        <f t="shared" si="10"/>
        <v/>
      </c>
      <c r="BR14" s="65" t="str">
        <f t="shared" si="10"/>
        <v/>
      </c>
      <c r="BS14" s="65" t="str">
        <f t="shared" si="10"/>
        <v/>
      </c>
      <c r="BT14" s="65" t="str">
        <f t="shared" si="10"/>
        <v/>
      </c>
      <c r="BU14" s="65" t="str">
        <f t="shared" si="10"/>
        <v/>
      </c>
      <c r="BV14" s="65" t="str">
        <f t="shared" si="10"/>
        <v/>
      </c>
      <c r="BW14" s="65" t="str">
        <f t="shared" si="10"/>
        <v/>
      </c>
      <c r="BX14" s="65" t="str">
        <f t="shared" si="11"/>
        <v/>
      </c>
      <c r="BY14" s="65" t="str">
        <f t="shared" si="11"/>
        <v/>
      </c>
      <c r="BZ14" s="65" t="str">
        <f t="shared" si="11"/>
        <v/>
      </c>
      <c r="CA14" s="65" t="str">
        <f t="shared" si="11"/>
        <v/>
      </c>
      <c r="CB14" s="65" t="str">
        <f t="shared" si="11"/>
        <v/>
      </c>
      <c r="CC14" s="65" t="str">
        <f t="shared" si="11"/>
        <v/>
      </c>
      <c r="CD14" s="65" t="str">
        <f t="shared" si="11"/>
        <v/>
      </c>
      <c r="CE14" s="65" t="str">
        <f t="shared" si="11"/>
        <v/>
      </c>
      <c r="CF14" s="65" t="str">
        <f t="shared" si="11"/>
        <v/>
      </c>
    </row>
    <row r="15" spans="1:84" x14ac:dyDescent="0.3">
      <c r="A15" s="38">
        <v>8</v>
      </c>
      <c r="B15" s="38" t="s">
        <v>55</v>
      </c>
      <c r="C15" s="5" t="s">
        <v>56</v>
      </c>
      <c r="D15" s="38" t="s">
        <v>57</v>
      </c>
      <c r="E15" s="7">
        <v>44940.7</v>
      </c>
      <c r="F15" s="7">
        <v>450</v>
      </c>
      <c r="G15" s="6">
        <f t="shared" si="12"/>
        <v>99.9</v>
      </c>
      <c r="H15" s="6">
        <f t="shared" si="2"/>
        <v>1096.0999999999999</v>
      </c>
      <c r="I15" s="39">
        <f t="shared" si="3"/>
        <v>41</v>
      </c>
      <c r="J15" s="40">
        <v>46283</v>
      </c>
      <c r="K15" s="40">
        <v>46323</v>
      </c>
      <c r="L15" s="38">
        <v>2</v>
      </c>
      <c r="M15" s="41">
        <f t="shared" si="4"/>
        <v>1.22</v>
      </c>
      <c r="N15" s="5" t="s">
        <v>58</v>
      </c>
      <c r="O15" s="39">
        <v>70</v>
      </c>
      <c r="P15" s="65" t="str">
        <f t="shared" si="5"/>
        <v/>
      </c>
      <c r="Q15" s="65" t="str">
        <f t="shared" si="5"/>
        <v/>
      </c>
      <c r="R15" s="65" t="str">
        <f t="shared" si="5"/>
        <v/>
      </c>
      <c r="S15" s="65" t="str">
        <f t="shared" si="5"/>
        <v/>
      </c>
      <c r="T15" s="65" t="str">
        <f t="shared" si="5"/>
        <v/>
      </c>
      <c r="U15" s="65" t="str">
        <f t="shared" si="5"/>
        <v/>
      </c>
      <c r="V15" s="65" t="str">
        <f t="shared" si="5"/>
        <v/>
      </c>
      <c r="W15" s="65" t="str">
        <f t="shared" si="5"/>
        <v/>
      </c>
      <c r="X15" s="65" t="str">
        <f t="shared" si="5"/>
        <v/>
      </c>
      <c r="Y15" s="65" t="str">
        <f t="shared" si="5"/>
        <v/>
      </c>
      <c r="Z15" s="65" t="str">
        <f t="shared" si="6"/>
        <v/>
      </c>
      <c r="AA15" s="65" t="str">
        <f t="shared" si="6"/>
        <v/>
      </c>
      <c r="AB15" s="65" t="str">
        <f t="shared" si="6"/>
        <v/>
      </c>
      <c r="AC15" s="47">
        <f t="shared" si="6"/>
        <v>1.22</v>
      </c>
      <c r="AD15" s="47">
        <f t="shared" si="6"/>
        <v>1.22</v>
      </c>
      <c r="AE15" s="47">
        <f t="shared" si="6"/>
        <v>1.22</v>
      </c>
      <c r="AF15" s="47">
        <f t="shared" si="6"/>
        <v>1.22</v>
      </c>
      <c r="AG15" s="47">
        <f t="shared" si="6"/>
        <v>1.22</v>
      </c>
      <c r="AH15" s="47">
        <f t="shared" si="6"/>
        <v>1.22</v>
      </c>
      <c r="AI15" s="47">
        <f t="shared" si="6"/>
        <v>1.22</v>
      </c>
      <c r="AJ15" s="47">
        <f t="shared" si="7"/>
        <v>1.22</v>
      </c>
      <c r="AK15" s="47">
        <f t="shared" si="7"/>
        <v>1.22</v>
      </c>
      <c r="AL15" s="47">
        <f t="shared" si="7"/>
        <v>1.22</v>
      </c>
      <c r="AM15" s="47">
        <f t="shared" si="7"/>
        <v>1.22</v>
      </c>
      <c r="AN15" s="47">
        <f t="shared" si="7"/>
        <v>1.22</v>
      </c>
      <c r="AO15" s="47">
        <f t="shared" si="7"/>
        <v>1.22</v>
      </c>
      <c r="AP15" s="47">
        <f t="shared" si="7"/>
        <v>1.22</v>
      </c>
      <c r="AQ15" s="47">
        <f t="shared" si="7"/>
        <v>1.22</v>
      </c>
      <c r="AR15" s="47">
        <f t="shared" si="7"/>
        <v>1.22</v>
      </c>
      <c r="AS15" s="47">
        <f t="shared" si="7"/>
        <v>1.22</v>
      </c>
      <c r="AT15" s="47">
        <f t="shared" si="8"/>
        <v>1.22</v>
      </c>
      <c r="AU15" s="47">
        <f t="shared" si="8"/>
        <v>1.22</v>
      </c>
      <c r="AV15" s="47">
        <f t="shared" si="8"/>
        <v>1.22</v>
      </c>
      <c r="AW15" s="47">
        <f t="shared" si="8"/>
        <v>1.22</v>
      </c>
      <c r="AX15" s="47">
        <f t="shared" si="8"/>
        <v>1.22</v>
      </c>
      <c r="AY15" s="47">
        <f t="shared" si="8"/>
        <v>1.22</v>
      </c>
      <c r="AZ15" s="47">
        <f t="shared" si="8"/>
        <v>1.22</v>
      </c>
      <c r="BA15" s="47">
        <f t="shared" si="8"/>
        <v>1.22</v>
      </c>
      <c r="BB15" s="47">
        <f t="shared" si="8"/>
        <v>1.22</v>
      </c>
      <c r="BC15" s="47">
        <f t="shared" si="8"/>
        <v>1.22</v>
      </c>
      <c r="BD15" s="47">
        <f t="shared" si="9"/>
        <v>1.22</v>
      </c>
      <c r="BE15" s="47">
        <f t="shared" si="9"/>
        <v>1.22</v>
      </c>
      <c r="BF15" s="47">
        <f t="shared" si="9"/>
        <v>1.22</v>
      </c>
      <c r="BG15" s="47">
        <f t="shared" si="9"/>
        <v>1.22</v>
      </c>
      <c r="BH15" s="47">
        <f t="shared" si="9"/>
        <v>1.22</v>
      </c>
      <c r="BI15" s="47">
        <f t="shared" si="9"/>
        <v>1.22</v>
      </c>
      <c r="BJ15" s="47">
        <f t="shared" si="9"/>
        <v>1.22</v>
      </c>
      <c r="BK15" s="47">
        <f t="shared" si="9"/>
        <v>1.22</v>
      </c>
      <c r="BL15" s="47">
        <f t="shared" si="9"/>
        <v>1.22</v>
      </c>
      <c r="BM15" s="47">
        <f t="shared" si="9"/>
        <v>1.22</v>
      </c>
      <c r="BN15" s="47">
        <f t="shared" si="10"/>
        <v>1.22</v>
      </c>
      <c r="BO15" s="47">
        <f t="shared" si="10"/>
        <v>1.22</v>
      </c>
      <c r="BP15" s="47">
        <f t="shared" si="10"/>
        <v>1.22</v>
      </c>
      <c r="BQ15" s="47">
        <f t="shared" si="10"/>
        <v>1.22</v>
      </c>
      <c r="BR15" s="65" t="str">
        <f t="shared" si="10"/>
        <v/>
      </c>
      <c r="BS15" s="65" t="str">
        <f t="shared" si="10"/>
        <v/>
      </c>
      <c r="BT15" s="65" t="str">
        <f t="shared" si="10"/>
        <v/>
      </c>
      <c r="BU15" s="65" t="str">
        <f t="shared" si="10"/>
        <v/>
      </c>
      <c r="BV15" s="65" t="str">
        <f t="shared" si="10"/>
        <v/>
      </c>
      <c r="BW15" s="65" t="str">
        <f t="shared" si="10"/>
        <v/>
      </c>
      <c r="BX15" s="65" t="str">
        <f t="shared" si="11"/>
        <v/>
      </c>
      <c r="BY15" s="65" t="str">
        <f t="shared" si="11"/>
        <v/>
      </c>
      <c r="BZ15" s="65" t="str">
        <f t="shared" si="11"/>
        <v/>
      </c>
      <c r="CA15" s="65" t="str">
        <f t="shared" si="11"/>
        <v/>
      </c>
      <c r="CB15" s="65" t="str">
        <f t="shared" si="11"/>
        <v/>
      </c>
      <c r="CC15" s="65" t="str">
        <f t="shared" si="11"/>
        <v/>
      </c>
      <c r="CD15" s="65" t="str">
        <f t="shared" si="11"/>
        <v/>
      </c>
      <c r="CE15" s="65" t="str">
        <f t="shared" si="11"/>
        <v/>
      </c>
      <c r="CF15" s="65" t="str">
        <f t="shared" si="11"/>
        <v/>
      </c>
    </row>
    <row r="16" spans="1:84" x14ac:dyDescent="0.3">
      <c r="A16" s="43">
        <v>9</v>
      </c>
      <c r="B16" s="43" t="s">
        <v>59</v>
      </c>
      <c r="C16" s="9" t="s">
        <v>60</v>
      </c>
      <c r="D16" s="43" t="s">
        <v>33</v>
      </c>
      <c r="E16" s="11">
        <v>11870</v>
      </c>
      <c r="F16" s="11">
        <v>150</v>
      </c>
      <c r="G16" s="10">
        <f t="shared" si="12"/>
        <v>79.099999999999994</v>
      </c>
      <c r="H16" s="10">
        <f t="shared" si="2"/>
        <v>282.60000000000002</v>
      </c>
      <c r="I16" s="44">
        <f t="shared" si="3"/>
        <v>42</v>
      </c>
      <c r="J16" s="45">
        <v>46285</v>
      </c>
      <c r="K16" s="45">
        <v>46326</v>
      </c>
      <c r="L16" s="43">
        <v>2</v>
      </c>
      <c r="M16" s="46">
        <f t="shared" si="4"/>
        <v>0.95</v>
      </c>
      <c r="N16" s="9" t="s">
        <v>61</v>
      </c>
      <c r="O16" s="44">
        <v>40</v>
      </c>
      <c r="P16" s="65" t="str">
        <f t="shared" si="5"/>
        <v/>
      </c>
      <c r="Q16" s="65" t="str">
        <f t="shared" si="5"/>
        <v/>
      </c>
      <c r="R16" s="65" t="str">
        <f t="shared" si="5"/>
        <v/>
      </c>
      <c r="S16" s="65" t="str">
        <f t="shared" si="5"/>
        <v/>
      </c>
      <c r="T16" s="65" t="str">
        <f t="shared" si="5"/>
        <v/>
      </c>
      <c r="U16" s="65" t="str">
        <f t="shared" si="5"/>
        <v/>
      </c>
      <c r="V16" s="65" t="str">
        <f t="shared" si="5"/>
        <v/>
      </c>
      <c r="W16" s="65" t="str">
        <f t="shared" si="5"/>
        <v/>
      </c>
      <c r="X16" s="65" t="str">
        <f t="shared" si="5"/>
        <v/>
      </c>
      <c r="Y16" s="65" t="str">
        <f t="shared" si="5"/>
        <v/>
      </c>
      <c r="Z16" s="65" t="str">
        <f t="shared" si="6"/>
        <v/>
      </c>
      <c r="AA16" s="65" t="str">
        <f t="shared" si="6"/>
        <v/>
      </c>
      <c r="AB16" s="65" t="str">
        <f t="shared" si="6"/>
        <v/>
      </c>
      <c r="AC16" s="65" t="str">
        <f t="shared" si="6"/>
        <v/>
      </c>
      <c r="AD16" s="65" t="str">
        <f t="shared" si="6"/>
        <v/>
      </c>
      <c r="AE16" s="47">
        <f t="shared" si="6"/>
        <v>0.95</v>
      </c>
      <c r="AF16" s="47">
        <f t="shared" si="6"/>
        <v>0.95</v>
      </c>
      <c r="AG16" s="47">
        <f t="shared" si="6"/>
        <v>0.95</v>
      </c>
      <c r="AH16" s="47">
        <f t="shared" si="6"/>
        <v>0.95</v>
      </c>
      <c r="AI16" s="47">
        <f t="shared" si="6"/>
        <v>0.95</v>
      </c>
      <c r="AJ16" s="47">
        <f t="shared" si="7"/>
        <v>0.95</v>
      </c>
      <c r="AK16" s="47">
        <f t="shared" si="7"/>
        <v>0.95</v>
      </c>
      <c r="AL16" s="47">
        <f t="shared" si="7"/>
        <v>0.95</v>
      </c>
      <c r="AM16" s="47">
        <f t="shared" si="7"/>
        <v>0.95</v>
      </c>
      <c r="AN16" s="47">
        <f t="shared" si="7"/>
        <v>0.95</v>
      </c>
      <c r="AO16" s="47">
        <f t="shared" si="7"/>
        <v>0.95</v>
      </c>
      <c r="AP16" s="47">
        <f t="shared" si="7"/>
        <v>0.95</v>
      </c>
      <c r="AQ16" s="47">
        <f t="shared" si="7"/>
        <v>0.95</v>
      </c>
      <c r="AR16" s="47">
        <f t="shared" si="7"/>
        <v>0.95</v>
      </c>
      <c r="AS16" s="47">
        <f t="shared" si="7"/>
        <v>0.95</v>
      </c>
      <c r="AT16" s="47">
        <f t="shared" si="8"/>
        <v>0.95</v>
      </c>
      <c r="AU16" s="47">
        <f t="shared" si="8"/>
        <v>0.95</v>
      </c>
      <c r="AV16" s="47">
        <f t="shared" si="8"/>
        <v>0.95</v>
      </c>
      <c r="AW16" s="47">
        <f t="shared" si="8"/>
        <v>0.95</v>
      </c>
      <c r="AX16" s="47">
        <f t="shared" si="8"/>
        <v>0.95</v>
      </c>
      <c r="AY16" s="47">
        <f t="shared" si="8"/>
        <v>0.95</v>
      </c>
      <c r="AZ16" s="47">
        <f t="shared" si="8"/>
        <v>0.95</v>
      </c>
      <c r="BA16" s="47">
        <f t="shared" si="8"/>
        <v>0.95</v>
      </c>
      <c r="BB16" s="47">
        <f t="shared" si="8"/>
        <v>0.95</v>
      </c>
      <c r="BC16" s="47">
        <f t="shared" si="8"/>
        <v>0.95</v>
      </c>
      <c r="BD16" s="47">
        <f t="shared" si="9"/>
        <v>0.95</v>
      </c>
      <c r="BE16" s="47">
        <f t="shared" si="9"/>
        <v>0.95</v>
      </c>
      <c r="BF16" s="47">
        <f t="shared" si="9"/>
        <v>0.95</v>
      </c>
      <c r="BG16" s="47">
        <f t="shared" si="9"/>
        <v>0.95</v>
      </c>
      <c r="BH16" s="47">
        <f t="shared" si="9"/>
        <v>0.95</v>
      </c>
      <c r="BI16" s="47">
        <f t="shared" si="9"/>
        <v>0.95</v>
      </c>
      <c r="BJ16" s="47">
        <f t="shared" si="9"/>
        <v>0.95</v>
      </c>
      <c r="BK16" s="47">
        <f t="shared" si="9"/>
        <v>0.95</v>
      </c>
      <c r="BL16" s="47">
        <f t="shared" si="9"/>
        <v>0.95</v>
      </c>
      <c r="BM16" s="47">
        <f t="shared" si="9"/>
        <v>0.95</v>
      </c>
      <c r="BN16" s="47">
        <f t="shared" si="10"/>
        <v>0.95</v>
      </c>
      <c r="BO16" s="47">
        <f t="shared" si="10"/>
        <v>0.95</v>
      </c>
      <c r="BP16" s="47">
        <f t="shared" si="10"/>
        <v>0.95</v>
      </c>
      <c r="BQ16" s="47">
        <f t="shared" si="10"/>
        <v>0.95</v>
      </c>
      <c r="BR16" s="47">
        <f t="shared" si="10"/>
        <v>0.95</v>
      </c>
      <c r="BS16" s="47">
        <f t="shared" si="10"/>
        <v>0.95</v>
      </c>
      <c r="BT16" s="47">
        <f t="shared" si="10"/>
        <v>0.95</v>
      </c>
      <c r="BU16" s="65" t="str">
        <f t="shared" si="10"/>
        <v/>
      </c>
      <c r="BV16" s="65" t="str">
        <f t="shared" si="10"/>
        <v/>
      </c>
      <c r="BW16" s="65" t="str">
        <f t="shared" si="10"/>
        <v/>
      </c>
      <c r="BX16" s="65" t="str">
        <f t="shared" si="11"/>
        <v/>
      </c>
      <c r="BY16" s="65" t="str">
        <f t="shared" si="11"/>
        <v/>
      </c>
      <c r="BZ16" s="65" t="str">
        <f t="shared" si="11"/>
        <v/>
      </c>
      <c r="CA16" s="65" t="str">
        <f t="shared" si="11"/>
        <v/>
      </c>
      <c r="CB16" s="65" t="str">
        <f t="shared" si="11"/>
        <v/>
      </c>
      <c r="CC16" s="65" t="str">
        <f t="shared" si="11"/>
        <v/>
      </c>
      <c r="CD16" s="65" t="str">
        <f t="shared" si="11"/>
        <v/>
      </c>
      <c r="CE16" s="65" t="str">
        <f t="shared" si="11"/>
        <v/>
      </c>
      <c r="CF16" s="65" t="str">
        <f t="shared" si="11"/>
        <v/>
      </c>
    </row>
    <row r="17" spans="1:84" x14ac:dyDescent="0.3">
      <c r="A17" s="38">
        <v>10</v>
      </c>
      <c r="B17" s="38" t="s">
        <v>62</v>
      </c>
      <c r="C17" s="5" t="s">
        <v>63</v>
      </c>
      <c r="D17" s="38" t="s">
        <v>33</v>
      </c>
      <c r="E17" s="7">
        <v>11870</v>
      </c>
      <c r="F17" s="7">
        <v>45</v>
      </c>
      <c r="G17" s="6">
        <f t="shared" si="12"/>
        <v>263.8</v>
      </c>
      <c r="H17" s="6">
        <f t="shared" si="2"/>
        <v>282.60000000000002</v>
      </c>
      <c r="I17" s="39">
        <f t="shared" si="3"/>
        <v>42</v>
      </c>
      <c r="J17" s="40">
        <v>46285</v>
      </c>
      <c r="K17" s="40">
        <v>46326</v>
      </c>
      <c r="L17" s="38">
        <v>2</v>
      </c>
      <c r="M17" s="41">
        <f t="shared" si="4"/>
        <v>3.15</v>
      </c>
      <c r="N17" s="5" t="s">
        <v>64</v>
      </c>
      <c r="O17" s="39">
        <v>12</v>
      </c>
      <c r="P17" s="65" t="str">
        <f t="shared" si="5"/>
        <v/>
      </c>
      <c r="Q17" s="65" t="str">
        <f t="shared" si="5"/>
        <v/>
      </c>
      <c r="R17" s="65" t="str">
        <f t="shared" si="5"/>
        <v/>
      </c>
      <c r="S17" s="65" t="str">
        <f t="shared" si="5"/>
        <v/>
      </c>
      <c r="T17" s="65" t="str">
        <f t="shared" si="5"/>
        <v/>
      </c>
      <c r="U17" s="65" t="str">
        <f t="shared" si="5"/>
        <v/>
      </c>
      <c r="V17" s="65" t="str">
        <f t="shared" si="5"/>
        <v/>
      </c>
      <c r="W17" s="65" t="str">
        <f t="shared" si="5"/>
        <v/>
      </c>
      <c r="X17" s="65" t="str">
        <f t="shared" si="5"/>
        <v/>
      </c>
      <c r="Y17" s="65" t="str">
        <f t="shared" si="5"/>
        <v/>
      </c>
      <c r="Z17" s="65" t="str">
        <f t="shared" si="6"/>
        <v/>
      </c>
      <c r="AA17" s="65" t="str">
        <f t="shared" si="6"/>
        <v/>
      </c>
      <c r="AB17" s="65" t="str">
        <f t="shared" si="6"/>
        <v/>
      </c>
      <c r="AC17" s="65" t="str">
        <f t="shared" si="6"/>
        <v/>
      </c>
      <c r="AD17" s="65" t="str">
        <f t="shared" si="6"/>
        <v/>
      </c>
      <c r="AE17" s="47">
        <f t="shared" si="6"/>
        <v>3.15</v>
      </c>
      <c r="AF17" s="47">
        <f t="shared" si="6"/>
        <v>3.15</v>
      </c>
      <c r="AG17" s="47">
        <f t="shared" si="6"/>
        <v>3.15</v>
      </c>
      <c r="AH17" s="47">
        <f t="shared" si="6"/>
        <v>3.15</v>
      </c>
      <c r="AI17" s="47">
        <f t="shared" si="6"/>
        <v>3.15</v>
      </c>
      <c r="AJ17" s="47">
        <f t="shared" si="7"/>
        <v>3.15</v>
      </c>
      <c r="AK17" s="47">
        <f t="shared" si="7"/>
        <v>3.15</v>
      </c>
      <c r="AL17" s="47">
        <f t="shared" si="7"/>
        <v>3.15</v>
      </c>
      <c r="AM17" s="47">
        <f t="shared" si="7"/>
        <v>3.15</v>
      </c>
      <c r="AN17" s="47">
        <f t="shared" si="7"/>
        <v>3.15</v>
      </c>
      <c r="AO17" s="47">
        <f t="shared" si="7"/>
        <v>3.15</v>
      </c>
      <c r="AP17" s="47">
        <f t="shared" si="7"/>
        <v>3.15</v>
      </c>
      <c r="AQ17" s="47">
        <f t="shared" si="7"/>
        <v>3.15</v>
      </c>
      <c r="AR17" s="47">
        <f t="shared" si="7"/>
        <v>3.15</v>
      </c>
      <c r="AS17" s="47">
        <f t="shared" si="7"/>
        <v>3.15</v>
      </c>
      <c r="AT17" s="47">
        <f t="shared" si="8"/>
        <v>3.15</v>
      </c>
      <c r="AU17" s="47">
        <f t="shared" si="8"/>
        <v>3.15</v>
      </c>
      <c r="AV17" s="47">
        <f t="shared" si="8"/>
        <v>3.15</v>
      </c>
      <c r="AW17" s="47">
        <f t="shared" si="8"/>
        <v>3.15</v>
      </c>
      <c r="AX17" s="47">
        <f t="shared" si="8"/>
        <v>3.15</v>
      </c>
      <c r="AY17" s="47">
        <f t="shared" si="8"/>
        <v>3.15</v>
      </c>
      <c r="AZ17" s="47">
        <f t="shared" si="8"/>
        <v>3.15</v>
      </c>
      <c r="BA17" s="47">
        <f t="shared" si="8"/>
        <v>3.15</v>
      </c>
      <c r="BB17" s="47">
        <f t="shared" si="8"/>
        <v>3.15</v>
      </c>
      <c r="BC17" s="47">
        <f t="shared" si="8"/>
        <v>3.15</v>
      </c>
      <c r="BD17" s="47">
        <f t="shared" si="9"/>
        <v>3.15</v>
      </c>
      <c r="BE17" s="47">
        <f t="shared" si="9"/>
        <v>3.15</v>
      </c>
      <c r="BF17" s="47">
        <f t="shared" si="9"/>
        <v>3.15</v>
      </c>
      <c r="BG17" s="47">
        <f t="shared" si="9"/>
        <v>3.15</v>
      </c>
      <c r="BH17" s="47">
        <f t="shared" si="9"/>
        <v>3.15</v>
      </c>
      <c r="BI17" s="47">
        <f t="shared" si="9"/>
        <v>3.15</v>
      </c>
      <c r="BJ17" s="47">
        <f t="shared" si="9"/>
        <v>3.15</v>
      </c>
      <c r="BK17" s="47">
        <f t="shared" si="9"/>
        <v>3.15</v>
      </c>
      <c r="BL17" s="47">
        <f t="shared" si="9"/>
        <v>3.15</v>
      </c>
      <c r="BM17" s="47">
        <f t="shared" si="9"/>
        <v>3.15</v>
      </c>
      <c r="BN17" s="47">
        <f t="shared" si="10"/>
        <v>3.15</v>
      </c>
      <c r="BO17" s="47">
        <f t="shared" si="10"/>
        <v>3.15</v>
      </c>
      <c r="BP17" s="47">
        <f t="shared" si="10"/>
        <v>3.15</v>
      </c>
      <c r="BQ17" s="47">
        <f t="shared" si="10"/>
        <v>3.15</v>
      </c>
      <c r="BR17" s="47">
        <f t="shared" si="10"/>
        <v>3.15</v>
      </c>
      <c r="BS17" s="47">
        <f t="shared" si="10"/>
        <v>3.15</v>
      </c>
      <c r="BT17" s="47">
        <f t="shared" si="10"/>
        <v>3.15</v>
      </c>
      <c r="BU17" s="65" t="str">
        <f t="shared" si="10"/>
        <v/>
      </c>
      <c r="BV17" s="65" t="str">
        <f t="shared" si="10"/>
        <v/>
      </c>
      <c r="BW17" s="65" t="str">
        <f t="shared" si="10"/>
        <v/>
      </c>
      <c r="BX17" s="65" t="str">
        <f t="shared" si="11"/>
        <v/>
      </c>
      <c r="BY17" s="65" t="str">
        <f t="shared" si="11"/>
        <v/>
      </c>
      <c r="BZ17" s="65" t="str">
        <f t="shared" si="11"/>
        <v/>
      </c>
      <c r="CA17" s="65" t="str">
        <f t="shared" si="11"/>
        <v/>
      </c>
      <c r="CB17" s="65" t="str">
        <f t="shared" si="11"/>
        <v/>
      </c>
      <c r="CC17" s="65" t="str">
        <f t="shared" si="11"/>
        <v/>
      </c>
      <c r="CD17" s="65" t="str">
        <f t="shared" si="11"/>
        <v/>
      </c>
      <c r="CE17" s="65" t="str">
        <f t="shared" si="11"/>
        <v/>
      </c>
      <c r="CF17" s="65" t="str">
        <f t="shared" si="11"/>
        <v/>
      </c>
    </row>
    <row r="18" spans="1:84" x14ac:dyDescent="0.3">
      <c r="A18" s="43">
        <v>11</v>
      </c>
      <c r="B18" s="43" t="s">
        <v>65</v>
      </c>
      <c r="C18" s="9" t="s">
        <v>66</v>
      </c>
      <c r="D18" s="43" t="s">
        <v>33</v>
      </c>
      <c r="E18" s="11">
        <v>409.5</v>
      </c>
      <c r="F18" s="11">
        <v>25</v>
      </c>
      <c r="G18" s="10">
        <f t="shared" si="12"/>
        <v>16.399999999999999</v>
      </c>
      <c r="H18" s="10">
        <f t="shared" si="2"/>
        <v>13.2</v>
      </c>
      <c r="I18" s="44">
        <f t="shared" si="3"/>
        <v>31</v>
      </c>
      <c r="J18" s="45">
        <v>46290</v>
      </c>
      <c r="K18" s="45">
        <v>46320</v>
      </c>
      <c r="L18" s="43">
        <v>2</v>
      </c>
      <c r="M18" s="46">
        <f t="shared" si="4"/>
        <v>0.27</v>
      </c>
      <c r="N18" s="9" t="s">
        <v>50</v>
      </c>
      <c r="O18" s="44">
        <v>22</v>
      </c>
      <c r="P18" s="65" t="str">
        <f t="shared" ref="P18:Y24" si="13">IF(AND($J18&lt;=P$6,$K18&gt;=P$6),$M18,"")</f>
        <v/>
      </c>
      <c r="Q18" s="65" t="str">
        <f t="shared" si="13"/>
        <v/>
      </c>
      <c r="R18" s="65" t="str">
        <f t="shared" si="13"/>
        <v/>
      </c>
      <c r="S18" s="65" t="str">
        <f t="shared" si="13"/>
        <v/>
      </c>
      <c r="T18" s="65" t="str">
        <f t="shared" si="13"/>
        <v/>
      </c>
      <c r="U18" s="65" t="str">
        <f t="shared" si="13"/>
        <v/>
      </c>
      <c r="V18" s="65" t="str">
        <f t="shared" si="13"/>
        <v/>
      </c>
      <c r="W18" s="65" t="str">
        <f t="shared" si="13"/>
        <v/>
      </c>
      <c r="X18" s="65" t="str">
        <f t="shared" si="13"/>
        <v/>
      </c>
      <c r="Y18" s="65" t="str">
        <f t="shared" si="13"/>
        <v/>
      </c>
      <c r="Z18" s="65" t="str">
        <f t="shared" ref="Z18:AI24" si="14">IF(AND($J18&lt;=Z$6,$K18&gt;=Z$6),$M18,"")</f>
        <v/>
      </c>
      <c r="AA18" s="65" t="str">
        <f t="shared" si="14"/>
        <v/>
      </c>
      <c r="AB18" s="65" t="str">
        <f t="shared" si="14"/>
        <v/>
      </c>
      <c r="AC18" s="65" t="str">
        <f t="shared" si="14"/>
        <v/>
      </c>
      <c r="AD18" s="65" t="str">
        <f t="shared" si="14"/>
        <v/>
      </c>
      <c r="AE18" s="65" t="str">
        <f t="shared" si="14"/>
        <v/>
      </c>
      <c r="AF18" s="65" t="str">
        <f t="shared" si="14"/>
        <v/>
      </c>
      <c r="AG18" s="65" t="str">
        <f t="shared" si="14"/>
        <v/>
      </c>
      <c r="AH18" s="65" t="str">
        <f t="shared" si="14"/>
        <v/>
      </c>
      <c r="AI18" s="65" t="str">
        <f t="shared" si="14"/>
        <v/>
      </c>
      <c r="AJ18" s="42">
        <f t="shared" ref="AJ18:AS24" si="15">IF(AND($J18&lt;=AJ$6,$K18&gt;=AJ$6),$M18,"")</f>
        <v>0.27</v>
      </c>
      <c r="AK18" s="42">
        <f t="shared" si="15"/>
        <v>0.27</v>
      </c>
      <c r="AL18" s="42">
        <f t="shared" si="15"/>
        <v>0.27</v>
      </c>
      <c r="AM18" s="42">
        <f t="shared" si="15"/>
        <v>0.27</v>
      </c>
      <c r="AN18" s="42">
        <f t="shared" si="15"/>
        <v>0.27</v>
      </c>
      <c r="AO18" s="42">
        <f t="shared" si="15"/>
        <v>0.27</v>
      </c>
      <c r="AP18" s="42">
        <f t="shared" si="15"/>
        <v>0.27</v>
      </c>
      <c r="AQ18" s="42">
        <f t="shared" si="15"/>
        <v>0.27</v>
      </c>
      <c r="AR18" s="42">
        <f t="shared" si="15"/>
        <v>0.27</v>
      </c>
      <c r="AS18" s="42">
        <f t="shared" si="15"/>
        <v>0.27</v>
      </c>
      <c r="AT18" s="42">
        <f t="shared" ref="AT18:BC24" si="16">IF(AND($J18&lt;=AT$6,$K18&gt;=AT$6),$M18,"")</f>
        <v>0.27</v>
      </c>
      <c r="AU18" s="42">
        <f t="shared" si="16"/>
        <v>0.27</v>
      </c>
      <c r="AV18" s="42">
        <f t="shared" si="16"/>
        <v>0.27</v>
      </c>
      <c r="AW18" s="42">
        <f t="shared" si="16"/>
        <v>0.27</v>
      </c>
      <c r="AX18" s="42">
        <f t="shared" si="16"/>
        <v>0.27</v>
      </c>
      <c r="AY18" s="42">
        <f t="shared" si="16"/>
        <v>0.27</v>
      </c>
      <c r="AZ18" s="42">
        <f t="shared" si="16"/>
        <v>0.27</v>
      </c>
      <c r="BA18" s="42">
        <f t="shared" si="16"/>
        <v>0.27</v>
      </c>
      <c r="BB18" s="42">
        <f t="shared" si="16"/>
        <v>0.27</v>
      </c>
      <c r="BC18" s="42">
        <f t="shared" si="16"/>
        <v>0.27</v>
      </c>
      <c r="BD18" s="42">
        <f t="shared" ref="BD18:BM24" si="17">IF(AND($J18&lt;=BD$6,$K18&gt;=BD$6),$M18,"")</f>
        <v>0.27</v>
      </c>
      <c r="BE18" s="42">
        <f t="shared" si="17"/>
        <v>0.27</v>
      </c>
      <c r="BF18" s="42">
        <f t="shared" si="17"/>
        <v>0.27</v>
      </c>
      <c r="BG18" s="42">
        <f t="shared" si="17"/>
        <v>0.27</v>
      </c>
      <c r="BH18" s="42">
        <f t="shared" si="17"/>
        <v>0.27</v>
      </c>
      <c r="BI18" s="42">
        <f t="shared" si="17"/>
        <v>0.27</v>
      </c>
      <c r="BJ18" s="42">
        <f t="shared" si="17"/>
        <v>0.27</v>
      </c>
      <c r="BK18" s="42">
        <f t="shared" si="17"/>
        <v>0.27</v>
      </c>
      <c r="BL18" s="42">
        <f t="shared" si="17"/>
        <v>0.27</v>
      </c>
      <c r="BM18" s="42">
        <f t="shared" si="17"/>
        <v>0.27</v>
      </c>
      <c r="BN18" s="42">
        <f t="shared" ref="BN18:BW24" si="18">IF(AND($J18&lt;=BN$6,$K18&gt;=BN$6),$M18,"")</f>
        <v>0.27</v>
      </c>
      <c r="BO18" s="65" t="str">
        <f t="shared" si="18"/>
        <v/>
      </c>
      <c r="BP18" s="65" t="str">
        <f t="shared" si="18"/>
        <v/>
      </c>
      <c r="BQ18" s="65" t="str">
        <f t="shared" si="18"/>
        <v/>
      </c>
      <c r="BR18" s="65" t="str">
        <f t="shared" si="18"/>
        <v/>
      </c>
      <c r="BS18" s="65" t="str">
        <f t="shared" si="18"/>
        <v/>
      </c>
      <c r="BT18" s="65" t="str">
        <f t="shared" si="18"/>
        <v/>
      </c>
      <c r="BU18" s="65" t="str">
        <f t="shared" si="18"/>
        <v/>
      </c>
      <c r="BV18" s="65" t="str">
        <f t="shared" si="18"/>
        <v/>
      </c>
      <c r="BW18" s="65" t="str">
        <f t="shared" si="18"/>
        <v/>
      </c>
      <c r="BX18" s="65" t="str">
        <f t="shared" ref="BX18:CF24" si="19">IF(AND($J18&lt;=BX$6,$K18&gt;=BX$6),$M18,"")</f>
        <v/>
      </c>
      <c r="BY18" s="65" t="str">
        <f t="shared" si="19"/>
        <v/>
      </c>
      <c r="BZ18" s="65" t="str">
        <f t="shared" si="19"/>
        <v/>
      </c>
      <c r="CA18" s="65" t="str">
        <f t="shared" si="19"/>
        <v/>
      </c>
      <c r="CB18" s="65" t="str">
        <f t="shared" si="19"/>
        <v/>
      </c>
      <c r="CC18" s="65" t="str">
        <f t="shared" si="19"/>
        <v/>
      </c>
      <c r="CD18" s="65" t="str">
        <f t="shared" si="19"/>
        <v/>
      </c>
      <c r="CE18" s="65" t="str">
        <f t="shared" si="19"/>
        <v/>
      </c>
      <c r="CF18" s="65" t="str">
        <f t="shared" si="19"/>
        <v/>
      </c>
    </row>
    <row r="19" spans="1:84" x14ac:dyDescent="0.3">
      <c r="A19" s="38">
        <v>12</v>
      </c>
      <c r="B19" s="38" t="s">
        <v>67</v>
      </c>
      <c r="C19" s="5" t="s">
        <v>68</v>
      </c>
      <c r="D19" s="38" t="s">
        <v>69</v>
      </c>
      <c r="E19" s="7">
        <v>2170</v>
      </c>
      <c r="F19" s="7">
        <v>100</v>
      </c>
      <c r="G19" s="6">
        <f t="shared" si="12"/>
        <v>21.7</v>
      </c>
      <c r="H19" s="6">
        <f t="shared" si="2"/>
        <v>51.7</v>
      </c>
      <c r="I19" s="39">
        <f t="shared" si="3"/>
        <v>42</v>
      </c>
      <c r="J19" s="40">
        <v>46285</v>
      </c>
      <c r="K19" s="40">
        <v>46326</v>
      </c>
      <c r="L19" s="38">
        <v>2</v>
      </c>
      <c r="M19" s="41">
        <f t="shared" si="4"/>
        <v>0.26</v>
      </c>
      <c r="N19" s="5" t="s">
        <v>70</v>
      </c>
      <c r="O19" s="39">
        <v>8</v>
      </c>
      <c r="P19" s="65" t="str">
        <f t="shared" si="13"/>
        <v/>
      </c>
      <c r="Q19" s="65" t="str">
        <f t="shared" si="13"/>
        <v/>
      </c>
      <c r="R19" s="65" t="str">
        <f t="shared" si="13"/>
        <v/>
      </c>
      <c r="S19" s="65" t="str">
        <f t="shared" si="13"/>
        <v/>
      </c>
      <c r="T19" s="65" t="str">
        <f t="shared" si="13"/>
        <v/>
      </c>
      <c r="U19" s="65" t="str">
        <f t="shared" si="13"/>
        <v/>
      </c>
      <c r="V19" s="65" t="str">
        <f t="shared" si="13"/>
        <v/>
      </c>
      <c r="W19" s="65" t="str">
        <f t="shared" si="13"/>
        <v/>
      </c>
      <c r="X19" s="65" t="str">
        <f t="shared" si="13"/>
        <v/>
      </c>
      <c r="Y19" s="65" t="str">
        <f t="shared" si="13"/>
        <v/>
      </c>
      <c r="Z19" s="65" t="str">
        <f t="shared" si="14"/>
        <v/>
      </c>
      <c r="AA19" s="65" t="str">
        <f t="shared" si="14"/>
        <v/>
      </c>
      <c r="AB19" s="65" t="str">
        <f t="shared" si="14"/>
        <v/>
      </c>
      <c r="AC19" s="65" t="str">
        <f t="shared" si="14"/>
        <v/>
      </c>
      <c r="AD19" s="65" t="str">
        <f t="shared" si="14"/>
        <v/>
      </c>
      <c r="AE19" s="42">
        <f t="shared" si="14"/>
        <v>0.26</v>
      </c>
      <c r="AF19" s="42">
        <f t="shared" si="14"/>
        <v>0.26</v>
      </c>
      <c r="AG19" s="42">
        <f t="shared" si="14"/>
        <v>0.26</v>
      </c>
      <c r="AH19" s="42">
        <f t="shared" si="14"/>
        <v>0.26</v>
      </c>
      <c r="AI19" s="42">
        <f t="shared" si="14"/>
        <v>0.26</v>
      </c>
      <c r="AJ19" s="42">
        <f t="shared" si="15"/>
        <v>0.26</v>
      </c>
      <c r="AK19" s="42">
        <f t="shared" si="15"/>
        <v>0.26</v>
      </c>
      <c r="AL19" s="42">
        <f t="shared" si="15"/>
        <v>0.26</v>
      </c>
      <c r="AM19" s="42">
        <f t="shared" si="15"/>
        <v>0.26</v>
      </c>
      <c r="AN19" s="42">
        <f t="shared" si="15"/>
        <v>0.26</v>
      </c>
      <c r="AO19" s="42">
        <f t="shared" si="15"/>
        <v>0.26</v>
      </c>
      <c r="AP19" s="42">
        <f t="shared" si="15"/>
        <v>0.26</v>
      </c>
      <c r="AQ19" s="42">
        <f t="shared" si="15"/>
        <v>0.26</v>
      </c>
      <c r="AR19" s="42">
        <f t="shared" si="15"/>
        <v>0.26</v>
      </c>
      <c r="AS19" s="42">
        <f t="shared" si="15"/>
        <v>0.26</v>
      </c>
      <c r="AT19" s="42">
        <f t="shared" si="16"/>
        <v>0.26</v>
      </c>
      <c r="AU19" s="42">
        <f t="shared" si="16"/>
        <v>0.26</v>
      </c>
      <c r="AV19" s="42">
        <f t="shared" si="16"/>
        <v>0.26</v>
      </c>
      <c r="AW19" s="42">
        <f t="shared" si="16"/>
        <v>0.26</v>
      </c>
      <c r="AX19" s="42">
        <f t="shared" si="16"/>
        <v>0.26</v>
      </c>
      <c r="AY19" s="42">
        <f t="shared" si="16"/>
        <v>0.26</v>
      </c>
      <c r="AZ19" s="42">
        <f t="shared" si="16"/>
        <v>0.26</v>
      </c>
      <c r="BA19" s="42">
        <f t="shared" si="16"/>
        <v>0.26</v>
      </c>
      <c r="BB19" s="42">
        <f t="shared" si="16"/>
        <v>0.26</v>
      </c>
      <c r="BC19" s="42">
        <f t="shared" si="16"/>
        <v>0.26</v>
      </c>
      <c r="BD19" s="42">
        <f t="shared" si="17"/>
        <v>0.26</v>
      </c>
      <c r="BE19" s="42">
        <f t="shared" si="17"/>
        <v>0.26</v>
      </c>
      <c r="BF19" s="42">
        <f t="shared" si="17"/>
        <v>0.26</v>
      </c>
      <c r="BG19" s="42">
        <f t="shared" si="17"/>
        <v>0.26</v>
      </c>
      <c r="BH19" s="42">
        <f t="shared" si="17"/>
        <v>0.26</v>
      </c>
      <c r="BI19" s="42">
        <f t="shared" si="17"/>
        <v>0.26</v>
      </c>
      <c r="BJ19" s="42">
        <f t="shared" si="17"/>
        <v>0.26</v>
      </c>
      <c r="BK19" s="42">
        <f t="shared" si="17"/>
        <v>0.26</v>
      </c>
      <c r="BL19" s="42">
        <f t="shared" si="17"/>
        <v>0.26</v>
      </c>
      <c r="BM19" s="42">
        <f t="shared" si="17"/>
        <v>0.26</v>
      </c>
      <c r="BN19" s="42">
        <f t="shared" si="18"/>
        <v>0.26</v>
      </c>
      <c r="BO19" s="42">
        <f t="shared" si="18"/>
        <v>0.26</v>
      </c>
      <c r="BP19" s="42">
        <f t="shared" si="18"/>
        <v>0.26</v>
      </c>
      <c r="BQ19" s="42">
        <f t="shared" si="18"/>
        <v>0.26</v>
      </c>
      <c r="BR19" s="42">
        <f t="shared" si="18"/>
        <v>0.26</v>
      </c>
      <c r="BS19" s="42">
        <f t="shared" si="18"/>
        <v>0.26</v>
      </c>
      <c r="BT19" s="42">
        <f t="shared" si="18"/>
        <v>0.26</v>
      </c>
      <c r="BU19" s="65" t="str">
        <f t="shared" si="18"/>
        <v/>
      </c>
      <c r="BV19" s="65" t="str">
        <f t="shared" si="18"/>
        <v/>
      </c>
      <c r="BW19" s="65" t="str">
        <f t="shared" si="18"/>
        <v/>
      </c>
      <c r="BX19" s="65" t="str">
        <f t="shared" si="19"/>
        <v/>
      </c>
      <c r="BY19" s="65" t="str">
        <f t="shared" si="19"/>
        <v/>
      </c>
      <c r="BZ19" s="65" t="str">
        <f t="shared" si="19"/>
        <v/>
      </c>
      <c r="CA19" s="65" t="str">
        <f t="shared" si="19"/>
        <v/>
      </c>
      <c r="CB19" s="65" t="str">
        <f t="shared" si="19"/>
        <v/>
      </c>
      <c r="CC19" s="65" t="str">
        <f t="shared" si="19"/>
        <v/>
      </c>
      <c r="CD19" s="65" t="str">
        <f t="shared" si="19"/>
        <v/>
      </c>
      <c r="CE19" s="65" t="str">
        <f t="shared" si="19"/>
        <v/>
      </c>
      <c r="CF19" s="65" t="str">
        <f t="shared" si="19"/>
        <v/>
      </c>
    </row>
    <row r="20" spans="1:84" x14ac:dyDescent="0.3">
      <c r="A20" s="38">
        <v>13</v>
      </c>
      <c r="B20" s="38" t="s">
        <v>71</v>
      </c>
      <c r="C20" s="5" t="s">
        <v>72</v>
      </c>
      <c r="D20" s="38" t="s">
        <v>33</v>
      </c>
      <c r="E20" s="7">
        <v>54200</v>
      </c>
      <c r="F20" s="7">
        <v>255</v>
      </c>
      <c r="G20" s="6">
        <f t="shared" si="12"/>
        <v>212.5</v>
      </c>
      <c r="H20" s="6">
        <f t="shared" si="2"/>
        <v>2463.6</v>
      </c>
      <c r="I20" s="39">
        <f t="shared" si="3"/>
        <v>22</v>
      </c>
      <c r="J20" s="40">
        <v>46315</v>
      </c>
      <c r="K20" s="40">
        <v>46336</v>
      </c>
      <c r="L20" s="38">
        <v>2</v>
      </c>
      <c r="M20" s="41">
        <f t="shared" si="4"/>
        <v>4.83</v>
      </c>
      <c r="N20" s="5" t="s">
        <v>73</v>
      </c>
      <c r="O20" s="39">
        <v>28</v>
      </c>
      <c r="P20" s="65" t="str">
        <f t="shared" si="13"/>
        <v/>
      </c>
      <c r="Q20" s="65" t="str">
        <f t="shared" si="13"/>
        <v/>
      </c>
      <c r="R20" s="65" t="str">
        <f t="shared" si="13"/>
        <v/>
      </c>
      <c r="S20" s="65" t="str">
        <f t="shared" si="13"/>
        <v/>
      </c>
      <c r="T20" s="65" t="str">
        <f t="shared" si="13"/>
        <v/>
      </c>
      <c r="U20" s="65" t="str">
        <f t="shared" si="13"/>
        <v/>
      </c>
      <c r="V20" s="65" t="str">
        <f t="shared" si="13"/>
        <v/>
      </c>
      <c r="W20" s="65" t="str">
        <f t="shared" si="13"/>
        <v/>
      </c>
      <c r="X20" s="65" t="str">
        <f t="shared" si="13"/>
        <v/>
      </c>
      <c r="Y20" s="65" t="str">
        <f t="shared" si="13"/>
        <v/>
      </c>
      <c r="Z20" s="65" t="str">
        <f t="shared" si="14"/>
        <v/>
      </c>
      <c r="AA20" s="65" t="str">
        <f t="shared" si="14"/>
        <v/>
      </c>
      <c r="AB20" s="65" t="str">
        <f t="shared" si="14"/>
        <v/>
      </c>
      <c r="AC20" s="65" t="str">
        <f t="shared" si="14"/>
        <v/>
      </c>
      <c r="AD20" s="65" t="str">
        <f t="shared" si="14"/>
        <v/>
      </c>
      <c r="AE20" s="65" t="str">
        <f t="shared" si="14"/>
        <v/>
      </c>
      <c r="AF20" s="65" t="str">
        <f t="shared" si="14"/>
        <v/>
      </c>
      <c r="AG20" s="65" t="str">
        <f t="shared" si="14"/>
        <v/>
      </c>
      <c r="AH20" s="65" t="str">
        <f t="shared" si="14"/>
        <v/>
      </c>
      <c r="AI20" s="65" t="str">
        <f t="shared" si="14"/>
        <v/>
      </c>
      <c r="AJ20" s="65" t="str">
        <f t="shared" si="15"/>
        <v/>
      </c>
      <c r="AK20" s="65" t="str">
        <f t="shared" si="15"/>
        <v/>
      </c>
      <c r="AL20" s="65" t="str">
        <f t="shared" si="15"/>
        <v/>
      </c>
      <c r="AM20" s="65" t="str">
        <f t="shared" si="15"/>
        <v/>
      </c>
      <c r="AN20" s="65" t="str">
        <f t="shared" si="15"/>
        <v/>
      </c>
      <c r="AO20" s="65" t="str">
        <f t="shared" si="15"/>
        <v/>
      </c>
      <c r="AP20" s="65" t="str">
        <f t="shared" si="15"/>
        <v/>
      </c>
      <c r="AQ20" s="65" t="str">
        <f t="shared" si="15"/>
        <v/>
      </c>
      <c r="AR20" s="65" t="str">
        <f t="shared" si="15"/>
        <v/>
      </c>
      <c r="AS20" s="65" t="str">
        <f t="shared" si="15"/>
        <v/>
      </c>
      <c r="AT20" s="65" t="str">
        <f t="shared" si="16"/>
        <v/>
      </c>
      <c r="AU20" s="65" t="str">
        <f t="shared" si="16"/>
        <v/>
      </c>
      <c r="AV20" s="65" t="str">
        <f t="shared" si="16"/>
        <v/>
      </c>
      <c r="AW20" s="65" t="str">
        <f t="shared" si="16"/>
        <v/>
      </c>
      <c r="AX20" s="65" t="str">
        <f t="shared" si="16"/>
        <v/>
      </c>
      <c r="AY20" s="65" t="str">
        <f t="shared" si="16"/>
        <v/>
      </c>
      <c r="AZ20" s="65" t="str">
        <f t="shared" si="16"/>
        <v/>
      </c>
      <c r="BA20" s="65" t="str">
        <f t="shared" si="16"/>
        <v/>
      </c>
      <c r="BB20" s="65" t="str">
        <f t="shared" si="16"/>
        <v/>
      </c>
      <c r="BC20" s="65" t="str">
        <f t="shared" si="16"/>
        <v/>
      </c>
      <c r="BD20" s="65" t="str">
        <f t="shared" si="17"/>
        <v/>
      </c>
      <c r="BE20" s="65" t="str">
        <f t="shared" si="17"/>
        <v/>
      </c>
      <c r="BF20" s="65" t="str">
        <f t="shared" si="17"/>
        <v/>
      </c>
      <c r="BG20" s="65" t="str">
        <f t="shared" si="17"/>
        <v/>
      </c>
      <c r="BH20" s="65" t="str">
        <f t="shared" si="17"/>
        <v/>
      </c>
      <c r="BI20" s="42">
        <f t="shared" si="17"/>
        <v>4.83</v>
      </c>
      <c r="BJ20" s="42">
        <f t="shared" si="17"/>
        <v>4.83</v>
      </c>
      <c r="BK20" s="42">
        <f t="shared" si="17"/>
        <v>4.83</v>
      </c>
      <c r="BL20" s="42">
        <f t="shared" si="17"/>
        <v>4.83</v>
      </c>
      <c r="BM20" s="42">
        <f t="shared" si="17"/>
        <v>4.83</v>
      </c>
      <c r="BN20" s="42">
        <f t="shared" si="18"/>
        <v>4.83</v>
      </c>
      <c r="BO20" s="42">
        <f t="shared" si="18"/>
        <v>4.83</v>
      </c>
      <c r="BP20" s="42">
        <f t="shared" si="18"/>
        <v>4.83</v>
      </c>
      <c r="BQ20" s="42">
        <f t="shared" si="18"/>
        <v>4.83</v>
      </c>
      <c r="BR20" s="42">
        <f t="shared" si="18"/>
        <v>4.83</v>
      </c>
      <c r="BS20" s="42">
        <f t="shared" si="18"/>
        <v>4.83</v>
      </c>
      <c r="BT20" s="42">
        <f t="shared" si="18"/>
        <v>4.83</v>
      </c>
      <c r="BU20" s="42">
        <f t="shared" si="18"/>
        <v>4.83</v>
      </c>
      <c r="BV20" s="42">
        <f t="shared" si="18"/>
        <v>4.83</v>
      </c>
      <c r="BW20" s="42">
        <f t="shared" si="18"/>
        <v>4.83</v>
      </c>
      <c r="BX20" s="42">
        <f t="shared" si="19"/>
        <v>4.83</v>
      </c>
      <c r="BY20" s="42">
        <f t="shared" si="19"/>
        <v>4.83</v>
      </c>
      <c r="BZ20" s="42">
        <f t="shared" si="19"/>
        <v>4.83</v>
      </c>
      <c r="CA20" s="42">
        <f t="shared" si="19"/>
        <v>4.83</v>
      </c>
      <c r="CB20" s="42">
        <f t="shared" si="19"/>
        <v>4.83</v>
      </c>
      <c r="CC20" s="42">
        <f t="shared" si="19"/>
        <v>4.83</v>
      </c>
      <c r="CD20" s="42">
        <f t="shared" si="19"/>
        <v>4.83</v>
      </c>
      <c r="CE20" s="65" t="str">
        <f t="shared" si="19"/>
        <v/>
      </c>
      <c r="CF20" s="65" t="str">
        <f t="shared" si="19"/>
        <v/>
      </c>
    </row>
    <row r="21" spans="1:84" x14ac:dyDescent="0.3">
      <c r="A21" s="38">
        <v>14</v>
      </c>
      <c r="B21" s="38" t="s">
        <v>74</v>
      </c>
      <c r="C21" s="5" t="s">
        <v>75</v>
      </c>
      <c r="D21" s="38" t="s">
        <v>33</v>
      </c>
      <c r="E21" s="7">
        <v>54200</v>
      </c>
      <c r="F21" s="7">
        <v>1425</v>
      </c>
      <c r="G21" s="6">
        <f t="shared" si="12"/>
        <v>38</v>
      </c>
      <c r="H21" s="6">
        <f t="shared" si="2"/>
        <v>2463.6</v>
      </c>
      <c r="I21" s="39">
        <f t="shared" si="3"/>
        <v>22</v>
      </c>
      <c r="J21" s="40">
        <v>46315</v>
      </c>
      <c r="K21" s="40">
        <v>46336</v>
      </c>
      <c r="L21" s="38">
        <v>2</v>
      </c>
      <c r="M21" s="41">
        <f t="shared" si="4"/>
        <v>0.87</v>
      </c>
      <c r="N21" s="5" t="s">
        <v>76</v>
      </c>
      <c r="O21" s="39">
        <v>4</v>
      </c>
      <c r="P21" s="65" t="str">
        <f t="shared" si="13"/>
        <v/>
      </c>
      <c r="Q21" s="65" t="str">
        <f t="shared" si="13"/>
        <v/>
      </c>
      <c r="R21" s="65" t="str">
        <f t="shared" si="13"/>
        <v/>
      </c>
      <c r="S21" s="65" t="str">
        <f t="shared" si="13"/>
        <v/>
      </c>
      <c r="T21" s="65" t="str">
        <f t="shared" si="13"/>
        <v/>
      </c>
      <c r="U21" s="65" t="str">
        <f t="shared" si="13"/>
        <v/>
      </c>
      <c r="V21" s="65" t="str">
        <f t="shared" si="13"/>
        <v/>
      </c>
      <c r="W21" s="65" t="str">
        <f t="shared" si="13"/>
        <v/>
      </c>
      <c r="X21" s="65" t="str">
        <f t="shared" si="13"/>
        <v/>
      </c>
      <c r="Y21" s="65" t="str">
        <f t="shared" si="13"/>
        <v/>
      </c>
      <c r="Z21" s="65" t="str">
        <f t="shared" si="14"/>
        <v/>
      </c>
      <c r="AA21" s="65" t="str">
        <f t="shared" si="14"/>
        <v/>
      </c>
      <c r="AB21" s="65" t="str">
        <f t="shared" si="14"/>
        <v/>
      </c>
      <c r="AC21" s="65" t="str">
        <f t="shared" si="14"/>
        <v/>
      </c>
      <c r="AD21" s="65" t="str">
        <f t="shared" si="14"/>
        <v/>
      </c>
      <c r="AE21" s="65" t="str">
        <f t="shared" si="14"/>
        <v/>
      </c>
      <c r="AF21" s="65" t="str">
        <f t="shared" si="14"/>
        <v/>
      </c>
      <c r="AG21" s="65" t="str">
        <f t="shared" si="14"/>
        <v/>
      </c>
      <c r="AH21" s="65" t="str">
        <f t="shared" si="14"/>
        <v/>
      </c>
      <c r="AI21" s="65" t="str">
        <f t="shared" si="14"/>
        <v/>
      </c>
      <c r="AJ21" s="65" t="str">
        <f t="shared" si="15"/>
        <v/>
      </c>
      <c r="AK21" s="65" t="str">
        <f t="shared" si="15"/>
        <v/>
      </c>
      <c r="AL21" s="65" t="str">
        <f t="shared" si="15"/>
        <v/>
      </c>
      <c r="AM21" s="65" t="str">
        <f t="shared" si="15"/>
        <v/>
      </c>
      <c r="AN21" s="65" t="str">
        <f t="shared" si="15"/>
        <v/>
      </c>
      <c r="AO21" s="65" t="str">
        <f t="shared" si="15"/>
        <v/>
      </c>
      <c r="AP21" s="65" t="str">
        <f t="shared" si="15"/>
        <v/>
      </c>
      <c r="AQ21" s="65" t="str">
        <f t="shared" si="15"/>
        <v/>
      </c>
      <c r="AR21" s="65" t="str">
        <f t="shared" si="15"/>
        <v/>
      </c>
      <c r="AS21" s="65" t="str">
        <f t="shared" si="15"/>
        <v/>
      </c>
      <c r="AT21" s="65" t="str">
        <f t="shared" si="16"/>
        <v/>
      </c>
      <c r="AU21" s="65" t="str">
        <f t="shared" si="16"/>
        <v/>
      </c>
      <c r="AV21" s="65" t="str">
        <f t="shared" si="16"/>
        <v/>
      </c>
      <c r="AW21" s="65" t="str">
        <f t="shared" si="16"/>
        <v/>
      </c>
      <c r="AX21" s="65" t="str">
        <f t="shared" si="16"/>
        <v/>
      </c>
      <c r="AY21" s="65" t="str">
        <f t="shared" si="16"/>
        <v/>
      </c>
      <c r="AZ21" s="65" t="str">
        <f t="shared" si="16"/>
        <v/>
      </c>
      <c r="BA21" s="65" t="str">
        <f t="shared" si="16"/>
        <v/>
      </c>
      <c r="BB21" s="65" t="str">
        <f t="shared" si="16"/>
        <v/>
      </c>
      <c r="BC21" s="65" t="str">
        <f t="shared" si="16"/>
        <v/>
      </c>
      <c r="BD21" s="65" t="str">
        <f t="shared" si="17"/>
        <v/>
      </c>
      <c r="BE21" s="65" t="str">
        <f t="shared" si="17"/>
        <v/>
      </c>
      <c r="BF21" s="65" t="str">
        <f t="shared" si="17"/>
        <v/>
      </c>
      <c r="BG21" s="65" t="str">
        <f t="shared" si="17"/>
        <v/>
      </c>
      <c r="BH21" s="65" t="str">
        <f t="shared" si="17"/>
        <v/>
      </c>
      <c r="BI21" s="42">
        <f t="shared" si="17"/>
        <v>0.87</v>
      </c>
      <c r="BJ21" s="42">
        <f t="shared" si="17"/>
        <v>0.87</v>
      </c>
      <c r="BK21" s="42">
        <f t="shared" si="17"/>
        <v>0.87</v>
      </c>
      <c r="BL21" s="42">
        <f t="shared" si="17"/>
        <v>0.87</v>
      </c>
      <c r="BM21" s="42">
        <f t="shared" si="17"/>
        <v>0.87</v>
      </c>
      <c r="BN21" s="42">
        <f t="shared" si="18"/>
        <v>0.87</v>
      </c>
      <c r="BO21" s="42">
        <f t="shared" si="18"/>
        <v>0.87</v>
      </c>
      <c r="BP21" s="42">
        <f t="shared" si="18"/>
        <v>0.87</v>
      </c>
      <c r="BQ21" s="42">
        <f t="shared" si="18"/>
        <v>0.87</v>
      </c>
      <c r="BR21" s="42">
        <f t="shared" si="18"/>
        <v>0.87</v>
      </c>
      <c r="BS21" s="42">
        <f t="shared" si="18"/>
        <v>0.87</v>
      </c>
      <c r="BT21" s="42">
        <f t="shared" si="18"/>
        <v>0.87</v>
      </c>
      <c r="BU21" s="42">
        <f t="shared" si="18"/>
        <v>0.87</v>
      </c>
      <c r="BV21" s="42">
        <f t="shared" si="18"/>
        <v>0.87</v>
      </c>
      <c r="BW21" s="42">
        <f t="shared" si="18"/>
        <v>0.87</v>
      </c>
      <c r="BX21" s="42">
        <f t="shared" si="19"/>
        <v>0.87</v>
      </c>
      <c r="BY21" s="42">
        <f t="shared" si="19"/>
        <v>0.87</v>
      </c>
      <c r="BZ21" s="42">
        <f t="shared" si="19"/>
        <v>0.87</v>
      </c>
      <c r="CA21" s="42">
        <f t="shared" si="19"/>
        <v>0.87</v>
      </c>
      <c r="CB21" s="42">
        <f t="shared" si="19"/>
        <v>0.87</v>
      </c>
      <c r="CC21" s="42">
        <f t="shared" si="19"/>
        <v>0.87</v>
      </c>
      <c r="CD21" s="42">
        <f t="shared" si="19"/>
        <v>0.87</v>
      </c>
      <c r="CE21" s="65" t="str">
        <f t="shared" si="19"/>
        <v/>
      </c>
      <c r="CF21" s="65" t="str">
        <f t="shared" si="19"/>
        <v/>
      </c>
    </row>
    <row r="22" spans="1:84" x14ac:dyDescent="0.3">
      <c r="A22" s="38">
        <v>15</v>
      </c>
      <c r="B22" s="38" t="s">
        <v>77</v>
      </c>
      <c r="C22" s="5" t="s">
        <v>78</v>
      </c>
      <c r="D22" s="38" t="s">
        <v>33</v>
      </c>
      <c r="E22" s="7">
        <v>54200</v>
      </c>
      <c r="F22" s="7">
        <v>255</v>
      </c>
      <c r="G22" s="6">
        <f t="shared" si="12"/>
        <v>212.5</v>
      </c>
      <c r="H22" s="6">
        <f t="shared" si="2"/>
        <v>2463.6</v>
      </c>
      <c r="I22" s="39">
        <f t="shared" si="3"/>
        <v>22</v>
      </c>
      <c r="J22" s="40">
        <v>46316</v>
      </c>
      <c r="K22" s="40">
        <v>46337</v>
      </c>
      <c r="L22" s="38">
        <v>2</v>
      </c>
      <c r="M22" s="41">
        <f t="shared" si="4"/>
        <v>4.83</v>
      </c>
      <c r="N22" s="5" t="s">
        <v>79</v>
      </c>
      <c r="O22" s="39">
        <v>12</v>
      </c>
      <c r="P22" s="65" t="str">
        <f t="shared" si="13"/>
        <v/>
      </c>
      <c r="Q22" s="65" t="str">
        <f t="shared" si="13"/>
        <v/>
      </c>
      <c r="R22" s="65" t="str">
        <f t="shared" si="13"/>
        <v/>
      </c>
      <c r="S22" s="65" t="str">
        <f t="shared" si="13"/>
        <v/>
      </c>
      <c r="T22" s="65" t="str">
        <f t="shared" si="13"/>
        <v/>
      </c>
      <c r="U22" s="65" t="str">
        <f t="shared" si="13"/>
        <v/>
      </c>
      <c r="V22" s="65" t="str">
        <f t="shared" si="13"/>
        <v/>
      </c>
      <c r="W22" s="65" t="str">
        <f t="shared" si="13"/>
        <v/>
      </c>
      <c r="X22" s="65" t="str">
        <f t="shared" si="13"/>
        <v/>
      </c>
      <c r="Y22" s="65" t="str">
        <f t="shared" si="13"/>
        <v/>
      </c>
      <c r="Z22" s="65" t="str">
        <f t="shared" si="14"/>
        <v/>
      </c>
      <c r="AA22" s="65" t="str">
        <f t="shared" si="14"/>
        <v/>
      </c>
      <c r="AB22" s="65" t="str">
        <f t="shared" si="14"/>
        <v/>
      </c>
      <c r="AC22" s="65" t="str">
        <f t="shared" si="14"/>
        <v/>
      </c>
      <c r="AD22" s="65" t="str">
        <f t="shared" si="14"/>
        <v/>
      </c>
      <c r="AE22" s="65" t="str">
        <f t="shared" si="14"/>
        <v/>
      </c>
      <c r="AF22" s="65" t="str">
        <f t="shared" si="14"/>
        <v/>
      </c>
      <c r="AG22" s="65" t="str">
        <f t="shared" si="14"/>
        <v/>
      </c>
      <c r="AH22" s="65" t="str">
        <f t="shared" si="14"/>
        <v/>
      </c>
      <c r="AI22" s="65" t="str">
        <f t="shared" si="14"/>
        <v/>
      </c>
      <c r="AJ22" s="65" t="str">
        <f t="shared" si="15"/>
        <v/>
      </c>
      <c r="AK22" s="65" t="str">
        <f t="shared" si="15"/>
        <v/>
      </c>
      <c r="AL22" s="65" t="str">
        <f t="shared" si="15"/>
        <v/>
      </c>
      <c r="AM22" s="65" t="str">
        <f t="shared" si="15"/>
        <v/>
      </c>
      <c r="AN22" s="65" t="str">
        <f t="shared" si="15"/>
        <v/>
      </c>
      <c r="AO22" s="65" t="str">
        <f t="shared" si="15"/>
        <v/>
      </c>
      <c r="AP22" s="65" t="str">
        <f t="shared" si="15"/>
        <v/>
      </c>
      <c r="AQ22" s="65" t="str">
        <f t="shared" si="15"/>
        <v/>
      </c>
      <c r="AR22" s="65" t="str">
        <f t="shared" si="15"/>
        <v/>
      </c>
      <c r="AS22" s="65" t="str">
        <f t="shared" si="15"/>
        <v/>
      </c>
      <c r="AT22" s="65" t="str">
        <f t="shared" si="16"/>
        <v/>
      </c>
      <c r="AU22" s="65" t="str">
        <f t="shared" si="16"/>
        <v/>
      </c>
      <c r="AV22" s="65" t="str">
        <f t="shared" si="16"/>
        <v/>
      </c>
      <c r="AW22" s="65" t="str">
        <f t="shared" si="16"/>
        <v/>
      </c>
      <c r="AX22" s="65" t="str">
        <f t="shared" si="16"/>
        <v/>
      </c>
      <c r="AY22" s="65" t="str">
        <f t="shared" si="16"/>
        <v/>
      </c>
      <c r="AZ22" s="65" t="str">
        <f t="shared" si="16"/>
        <v/>
      </c>
      <c r="BA22" s="65" t="str">
        <f t="shared" si="16"/>
        <v/>
      </c>
      <c r="BB22" s="65" t="str">
        <f t="shared" si="16"/>
        <v/>
      </c>
      <c r="BC22" s="65" t="str">
        <f t="shared" si="16"/>
        <v/>
      </c>
      <c r="BD22" s="65" t="str">
        <f t="shared" si="17"/>
        <v/>
      </c>
      <c r="BE22" s="65" t="str">
        <f t="shared" si="17"/>
        <v/>
      </c>
      <c r="BF22" s="65" t="str">
        <f t="shared" si="17"/>
        <v/>
      </c>
      <c r="BG22" s="65" t="str">
        <f t="shared" si="17"/>
        <v/>
      </c>
      <c r="BH22" s="65" t="str">
        <f t="shared" si="17"/>
        <v/>
      </c>
      <c r="BI22" s="65" t="str">
        <f t="shared" si="17"/>
        <v/>
      </c>
      <c r="BJ22" s="42">
        <f t="shared" si="17"/>
        <v>4.83</v>
      </c>
      <c r="BK22" s="42">
        <f t="shared" si="17"/>
        <v>4.83</v>
      </c>
      <c r="BL22" s="42">
        <f t="shared" si="17"/>
        <v>4.83</v>
      </c>
      <c r="BM22" s="42">
        <f t="shared" si="17"/>
        <v>4.83</v>
      </c>
      <c r="BN22" s="42">
        <f t="shared" si="18"/>
        <v>4.83</v>
      </c>
      <c r="BO22" s="42">
        <f t="shared" si="18"/>
        <v>4.83</v>
      </c>
      <c r="BP22" s="42">
        <f t="shared" si="18"/>
        <v>4.83</v>
      </c>
      <c r="BQ22" s="42">
        <f t="shared" si="18"/>
        <v>4.83</v>
      </c>
      <c r="BR22" s="42">
        <f t="shared" si="18"/>
        <v>4.83</v>
      </c>
      <c r="BS22" s="42">
        <f t="shared" si="18"/>
        <v>4.83</v>
      </c>
      <c r="BT22" s="42">
        <f t="shared" si="18"/>
        <v>4.83</v>
      </c>
      <c r="BU22" s="42">
        <f t="shared" si="18"/>
        <v>4.83</v>
      </c>
      <c r="BV22" s="42">
        <f t="shared" si="18"/>
        <v>4.83</v>
      </c>
      <c r="BW22" s="42">
        <f t="shared" si="18"/>
        <v>4.83</v>
      </c>
      <c r="BX22" s="42">
        <f t="shared" si="19"/>
        <v>4.83</v>
      </c>
      <c r="BY22" s="42">
        <f t="shared" si="19"/>
        <v>4.83</v>
      </c>
      <c r="BZ22" s="42">
        <f t="shared" si="19"/>
        <v>4.83</v>
      </c>
      <c r="CA22" s="42">
        <f t="shared" si="19"/>
        <v>4.83</v>
      </c>
      <c r="CB22" s="42">
        <f t="shared" si="19"/>
        <v>4.83</v>
      </c>
      <c r="CC22" s="42">
        <f t="shared" si="19"/>
        <v>4.83</v>
      </c>
      <c r="CD22" s="42">
        <f t="shared" si="19"/>
        <v>4.83</v>
      </c>
      <c r="CE22" s="42">
        <f t="shared" si="19"/>
        <v>4.83</v>
      </c>
      <c r="CF22" s="65" t="str">
        <f t="shared" si="19"/>
        <v/>
      </c>
    </row>
    <row r="23" spans="1:84" x14ac:dyDescent="0.3">
      <c r="A23" s="38">
        <v>16</v>
      </c>
      <c r="B23" s="38" t="s">
        <v>80</v>
      </c>
      <c r="C23" s="5" t="s">
        <v>81</v>
      </c>
      <c r="D23" s="38" t="s">
        <v>43</v>
      </c>
      <c r="E23" s="7">
        <v>138</v>
      </c>
      <c r="F23" s="7">
        <v>1</v>
      </c>
      <c r="G23" s="6">
        <f>E23</f>
        <v>138</v>
      </c>
      <c r="H23" s="6">
        <f t="shared" si="2"/>
        <v>2</v>
      </c>
      <c r="I23" s="39">
        <f t="shared" si="3"/>
        <v>69</v>
      </c>
      <c r="J23" s="40">
        <v>46270</v>
      </c>
      <c r="K23" s="40">
        <v>46338</v>
      </c>
      <c r="L23" s="38">
        <v>2</v>
      </c>
      <c r="M23" s="41">
        <f t="shared" si="4"/>
        <v>1</v>
      </c>
      <c r="N23" s="5" t="s">
        <v>82</v>
      </c>
      <c r="O23" s="39">
        <v>2</v>
      </c>
      <c r="P23" s="42">
        <f t="shared" si="13"/>
        <v>1</v>
      </c>
      <c r="Q23" s="42">
        <f t="shared" si="13"/>
        <v>1</v>
      </c>
      <c r="R23" s="42">
        <f t="shared" si="13"/>
        <v>1</v>
      </c>
      <c r="S23" s="42">
        <f t="shared" si="13"/>
        <v>1</v>
      </c>
      <c r="T23" s="42">
        <f t="shared" si="13"/>
        <v>1</v>
      </c>
      <c r="U23" s="42">
        <f t="shared" si="13"/>
        <v>1</v>
      </c>
      <c r="V23" s="42">
        <f t="shared" si="13"/>
        <v>1</v>
      </c>
      <c r="W23" s="42">
        <f t="shared" si="13"/>
        <v>1</v>
      </c>
      <c r="X23" s="42">
        <f t="shared" si="13"/>
        <v>1</v>
      </c>
      <c r="Y23" s="42">
        <f t="shared" si="13"/>
        <v>1</v>
      </c>
      <c r="Z23" s="42">
        <f t="shared" si="14"/>
        <v>1</v>
      </c>
      <c r="AA23" s="42">
        <f t="shared" si="14"/>
        <v>1</v>
      </c>
      <c r="AB23" s="42">
        <f t="shared" si="14"/>
        <v>1</v>
      </c>
      <c r="AC23" s="42">
        <f t="shared" si="14"/>
        <v>1</v>
      </c>
      <c r="AD23" s="42">
        <f t="shared" si="14"/>
        <v>1</v>
      </c>
      <c r="AE23" s="42">
        <f t="shared" si="14"/>
        <v>1</v>
      </c>
      <c r="AF23" s="42">
        <f t="shared" si="14"/>
        <v>1</v>
      </c>
      <c r="AG23" s="42">
        <f t="shared" si="14"/>
        <v>1</v>
      </c>
      <c r="AH23" s="42">
        <f t="shared" si="14"/>
        <v>1</v>
      </c>
      <c r="AI23" s="42">
        <f t="shared" si="14"/>
        <v>1</v>
      </c>
      <c r="AJ23" s="42">
        <f t="shared" si="15"/>
        <v>1</v>
      </c>
      <c r="AK23" s="42">
        <f t="shared" si="15"/>
        <v>1</v>
      </c>
      <c r="AL23" s="42">
        <f t="shared" si="15"/>
        <v>1</v>
      </c>
      <c r="AM23" s="42">
        <f t="shared" si="15"/>
        <v>1</v>
      </c>
      <c r="AN23" s="42">
        <f t="shared" si="15"/>
        <v>1</v>
      </c>
      <c r="AO23" s="42">
        <f t="shared" si="15"/>
        <v>1</v>
      </c>
      <c r="AP23" s="42">
        <f t="shared" si="15"/>
        <v>1</v>
      </c>
      <c r="AQ23" s="42">
        <f t="shared" si="15"/>
        <v>1</v>
      </c>
      <c r="AR23" s="42">
        <f t="shared" si="15"/>
        <v>1</v>
      </c>
      <c r="AS23" s="42">
        <f t="shared" si="15"/>
        <v>1</v>
      </c>
      <c r="AT23" s="42">
        <f t="shared" si="16"/>
        <v>1</v>
      </c>
      <c r="AU23" s="42">
        <f t="shared" si="16"/>
        <v>1</v>
      </c>
      <c r="AV23" s="42">
        <f t="shared" si="16"/>
        <v>1</v>
      </c>
      <c r="AW23" s="42">
        <f t="shared" si="16"/>
        <v>1</v>
      </c>
      <c r="AX23" s="42">
        <f t="shared" si="16"/>
        <v>1</v>
      </c>
      <c r="AY23" s="42">
        <f t="shared" si="16"/>
        <v>1</v>
      </c>
      <c r="AZ23" s="42">
        <f t="shared" si="16"/>
        <v>1</v>
      </c>
      <c r="BA23" s="42">
        <f t="shared" si="16"/>
        <v>1</v>
      </c>
      <c r="BB23" s="42">
        <f t="shared" si="16"/>
        <v>1</v>
      </c>
      <c r="BC23" s="42">
        <f t="shared" si="16"/>
        <v>1</v>
      </c>
      <c r="BD23" s="42">
        <f t="shared" si="17"/>
        <v>1</v>
      </c>
      <c r="BE23" s="42">
        <f t="shared" si="17"/>
        <v>1</v>
      </c>
      <c r="BF23" s="42">
        <f t="shared" si="17"/>
        <v>1</v>
      </c>
      <c r="BG23" s="42">
        <f t="shared" si="17"/>
        <v>1</v>
      </c>
      <c r="BH23" s="42">
        <f t="shared" si="17"/>
        <v>1</v>
      </c>
      <c r="BI23" s="42">
        <f t="shared" si="17"/>
        <v>1</v>
      </c>
      <c r="BJ23" s="42">
        <f t="shared" si="17"/>
        <v>1</v>
      </c>
      <c r="BK23" s="42">
        <f t="shared" si="17"/>
        <v>1</v>
      </c>
      <c r="BL23" s="42">
        <f t="shared" si="17"/>
        <v>1</v>
      </c>
      <c r="BM23" s="42">
        <f t="shared" si="17"/>
        <v>1</v>
      </c>
      <c r="BN23" s="42">
        <f t="shared" si="18"/>
        <v>1</v>
      </c>
      <c r="BO23" s="42">
        <f t="shared" si="18"/>
        <v>1</v>
      </c>
      <c r="BP23" s="42">
        <f t="shared" si="18"/>
        <v>1</v>
      </c>
      <c r="BQ23" s="42">
        <f t="shared" si="18"/>
        <v>1</v>
      </c>
      <c r="BR23" s="42">
        <f t="shared" si="18"/>
        <v>1</v>
      </c>
      <c r="BS23" s="42">
        <f t="shared" si="18"/>
        <v>1</v>
      </c>
      <c r="BT23" s="42">
        <f t="shared" si="18"/>
        <v>1</v>
      </c>
      <c r="BU23" s="42">
        <f t="shared" si="18"/>
        <v>1</v>
      </c>
      <c r="BV23" s="42">
        <f t="shared" si="18"/>
        <v>1</v>
      </c>
      <c r="BW23" s="42">
        <f t="shared" si="18"/>
        <v>1</v>
      </c>
      <c r="BX23" s="42">
        <f t="shared" si="19"/>
        <v>1</v>
      </c>
      <c r="BY23" s="42">
        <f t="shared" si="19"/>
        <v>1</v>
      </c>
      <c r="BZ23" s="42">
        <f t="shared" si="19"/>
        <v>1</v>
      </c>
      <c r="CA23" s="42">
        <f t="shared" si="19"/>
        <v>1</v>
      </c>
      <c r="CB23" s="42">
        <f t="shared" si="19"/>
        <v>1</v>
      </c>
      <c r="CC23" s="42">
        <f t="shared" si="19"/>
        <v>1</v>
      </c>
      <c r="CD23" s="42">
        <f t="shared" si="19"/>
        <v>1</v>
      </c>
      <c r="CE23" s="42">
        <f t="shared" si="19"/>
        <v>1</v>
      </c>
      <c r="CF23" s="42">
        <f t="shared" si="19"/>
        <v>1</v>
      </c>
    </row>
    <row r="24" spans="1:84" x14ac:dyDescent="0.3">
      <c r="A24" s="38">
        <v>17</v>
      </c>
      <c r="B24" s="38" t="s">
        <v>83</v>
      </c>
      <c r="C24" s="5" t="s">
        <v>84</v>
      </c>
      <c r="D24" s="38" t="s">
        <v>43</v>
      </c>
      <c r="E24" s="7">
        <v>138</v>
      </c>
      <c r="F24" s="7">
        <v>1</v>
      </c>
      <c r="G24" s="6">
        <f>E24</f>
        <v>138</v>
      </c>
      <c r="H24" s="6">
        <f t="shared" si="2"/>
        <v>2</v>
      </c>
      <c r="I24" s="39">
        <f t="shared" si="3"/>
        <v>69</v>
      </c>
      <c r="J24" s="40">
        <v>46270</v>
      </c>
      <c r="K24" s="40">
        <v>46338</v>
      </c>
      <c r="L24" s="38">
        <v>2</v>
      </c>
      <c r="M24" s="41">
        <f t="shared" si="4"/>
        <v>1</v>
      </c>
      <c r="N24" s="5" t="s">
        <v>85</v>
      </c>
      <c r="O24" s="39">
        <v>2</v>
      </c>
      <c r="P24" s="42">
        <f t="shared" si="13"/>
        <v>1</v>
      </c>
      <c r="Q24" s="42">
        <f t="shared" si="13"/>
        <v>1</v>
      </c>
      <c r="R24" s="42">
        <f t="shared" si="13"/>
        <v>1</v>
      </c>
      <c r="S24" s="42">
        <f t="shared" si="13"/>
        <v>1</v>
      </c>
      <c r="T24" s="42">
        <f t="shared" si="13"/>
        <v>1</v>
      </c>
      <c r="U24" s="42">
        <f t="shared" si="13"/>
        <v>1</v>
      </c>
      <c r="V24" s="42">
        <f t="shared" si="13"/>
        <v>1</v>
      </c>
      <c r="W24" s="42">
        <f t="shared" si="13"/>
        <v>1</v>
      </c>
      <c r="X24" s="42">
        <f t="shared" si="13"/>
        <v>1</v>
      </c>
      <c r="Y24" s="42">
        <f t="shared" si="13"/>
        <v>1</v>
      </c>
      <c r="Z24" s="42">
        <f t="shared" si="14"/>
        <v>1</v>
      </c>
      <c r="AA24" s="42">
        <f t="shared" si="14"/>
        <v>1</v>
      </c>
      <c r="AB24" s="42">
        <f t="shared" si="14"/>
        <v>1</v>
      </c>
      <c r="AC24" s="42">
        <f t="shared" si="14"/>
        <v>1</v>
      </c>
      <c r="AD24" s="42">
        <f t="shared" si="14"/>
        <v>1</v>
      </c>
      <c r="AE24" s="42">
        <f t="shared" si="14"/>
        <v>1</v>
      </c>
      <c r="AF24" s="42">
        <f t="shared" si="14"/>
        <v>1</v>
      </c>
      <c r="AG24" s="42">
        <f t="shared" si="14"/>
        <v>1</v>
      </c>
      <c r="AH24" s="42">
        <f t="shared" si="14"/>
        <v>1</v>
      </c>
      <c r="AI24" s="42">
        <f t="shared" si="14"/>
        <v>1</v>
      </c>
      <c r="AJ24" s="42">
        <f t="shared" si="15"/>
        <v>1</v>
      </c>
      <c r="AK24" s="42">
        <f t="shared" si="15"/>
        <v>1</v>
      </c>
      <c r="AL24" s="42">
        <f t="shared" si="15"/>
        <v>1</v>
      </c>
      <c r="AM24" s="42">
        <f t="shared" si="15"/>
        <v>1</v>
      </c>
      <c r="AN24" s="42">
        <f t="shared" si="15"/>
        <v>1</v>
      </c>
      <c r="AO24" s="42">
        <f t="shared" si="15"/>
        <v>1</v>
      </c>
      <c r="AP24" s="42">
        <f t="shared" si="15"/>
        <v>1</v>
      </c>
      <c r="AQ24" s="42">
        <f t="shared" si="15"/>
        <v>1</v>
      </c>
      <c r="AR24" s="42">
        <f t="shared" si="15"/>
        <v>1</v>
      </c>
      <c r="AS24" s="42">
        <f t="shared" si="15"/>
        <v>1</v>
      </c>
      <c r="AT24" s="42">
        <f t="shared" si="16"/>
        <v>1</v>
      </c>
      <c r="AU24" s="42">
        <f t="shared" si="16"/>
        <v>1</v>
      </c>
      <c r="AV24" s="42">
        <f t="shared" si="16"/>
        <v>1</v>
      </c>
      <c r="AW24" s="42">
        <f t="shared" si="16"/>
        <v>1</v>
      </c>
      <c r="AX24" s="42">
        <f t="shared" si="16"/>
        <v>1</v>
      </c>
      <c r="AY24" s="42">
        <f t="shared" si="16"/>
        <v>1</v>
      </c>
      <c r="AZ24" s="42">
        <f t="shared" si="16"/>
        <v>1</v>
      </c>
      <c r="BA24" s="42">
        <f t="shared" si="16"/>
        <v>1</v>
      </c>
      <c r="BB24" s="42">
        <f t="shared" si="16"/>
        <v>1</v>
      </c>
      <c r="BC24" s="42">
        <f t="shared" si="16"/>
        <v>1</v>
      </c>
      <c r="BD24" s="42">
        <f t="shared" si="17"/>
        <v>1</v>
      </c>
      <c r="BE24" s="42">
        <f t="shared" si="17"/>
        <v>1</v>
      </c>
      <c r="BF24" s="42">
        <f t="shared" si="17"/>
        <v>1</v>
      </c>
      <c r="BG24" s="42">
        <f t="shared" si="17"/>
        <v>1</v>
      </c>
      <c r="BH24" s="42">
        <f t="shared" si="17"/>
        <v>1</v>
      </c>
      <c r="BI24" s="42">
        <f t="shared" si="17"/>
        <v>1</v>
      </c>
      <c r="BJ24" s="42">
        <f t="shared" si="17"/>
        <v>1</v>
      </c>
      <c r="BK24" s="42">
        <f t="shared" si="17"/>
        <v>1</v>
      </c>
      <c r="BL24" s="42">
        <f t="shared" si="17"/>
        <v>1</v>
      </c>
      <c r="BM24" s="42">
        <f t="shared" si="17"/>
        <v>1</v>
      </c>
      <c r="BN24" s="42">
        <f t="shared" si="18"/>
        <v>1</v>
      </c>
      <c r="BO24" s="42">
        <f t="shared" si="18"/>
        <v>1</v>
      </c>
      <c r="BP24" s="42">
        <f t="shared" si="18"/>
        <v>1</v>
      </c>
      <c r="BQ24" s="42">
        <f t="shared" si="18"/>
        <v>1</v>
      </c>
      <c r="BR24" s="42">
        <f t="shared" si="18"/>
        <v>1</v>
      </c>
      <c r="BS24" s="42">
        <f t="shared" si="18"/>
        <v>1</v>
      </c>
      <c r="BT24" s="42">
        <f t="shared" si="18"/>
        <v>1</v>
      </c>
      <c r="BU24" s="42">
        <f t="shared" si="18"/>
        <v>1</v>
      </c>
      <c r="BV24" s="42">
        <f t="shared" si="18"/>
        <v>1</v>
      </c>
      <c r="BW24" s="42">
        <f t="shared" si="18"/>
        <v>1</v>
      </c>
      <c r="BX24" s="42">
        <f t="shared" si="19"/>
        <v>1</v>
      </c>
      <c r="BY24" s="42">
        <f t="shared" si="19"/>
        <v>1</v>
      </c>
      <c r="BZ24" s="42">
        <f t="shared" si="19"/>
        <v>1</v>
      </c>
      <c r="CA24" s="42">
        <f t="shared" si="19"/>
        <v>1</v>
      </c>
      <c r="CB24" s="42">
        <f t="shared" si="19"/>
        <v>1</v>
      </c>
      <c r="CC24" s="42">
        <f t="shared" si="19"/>
        <v>1</v>
      </c>
      <c r="CD24" s="42">
        <f t="shared" si="19"/>
        <v>1</v>
      </c>
      <c r="CE24" s="42">
        <f t="shared" si="19"/>
        <v>1</v>
      </c>
      <c r="CF24" s="42">
        <f t="shared" si="19"/>
        <v>1</v>
      </c>
    </row>
    <row r="25" spans="1:84" x14ac:dyDescent="0.3">
      <c r="E25" s="12"/>
      <c r="F25" s="12"/>
      <c r="G25" s="12"/>
      <c r="H25" s="12"/>
      <c r="M25" s="13"/>
      <c r="O25" s="14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</row>
    <row r="26" spans="1:84" x14ac:dyDescent="0.3">
      <c r="A26" s="49"/>
      <c r="B26" s="49"/>
      <c r="C26" s="50" t="s">
        <v>86</v>
      </c>
      <c r="D26" s="49"/>
      <c r="E26" s="51"/>
      <c r="F26" s="51"/>
      <c r="G26" s="51"/>
      <c r="H26" s="51"/>
      <c r="I26" s="49"/>
      <c r="J26" s="49"/>
      <c r="K26" s="49"/>
      <c r="L26" s="49"/>
      <c r="M26" s="52"/>
      <c r="N26" s="49"/>
      <c r="O26" s="53"/>
      <c r="P26" s="66">
        <f t="shared" ref="P26:AU26" si="20">SUMPRODUCT(($J$8:$J$24&lt;=P$6)*($K$8:$K$24&gt;=P$6)*$O$8:$O$24)</f>
        <v>42</v>
      </c>
      <c r="Q26" s="66">
        <f t="shared" si="20"/>
        <v>42</v>
      </c>
      <c r="R26" s="66">
        <f t="shared" si="20"/>
        <v>42</v>
      </c>
      <c r="S26" s="66">
        <f t="shared" si="20"/>
        <v>54</v>
      </c>
      <c r="T26" s="66">
        <f t="shared" si="20"/>
        <v>54</v>
      </c>
      <c r="U26" s="66">
        <f t="shared" si="20"/>
        <v>66</v>
      </c>
      <c r="V26" s="66">
        <f t="shared" si="20"/>
        <v>66</v>
      </c>
      <c r="W26" s="66">
        <f t="shared" si="20"/>
        <v>82</v>
      </c>
      <c r="X26" s="66">
        <f t="shared" si="20"/>
        <v>82</v>
      </c>
      <c r="Y26" s="66">
        <f t="shared" si="20"/>
        <v>82</v>
      </c>
      <c r="Z26" s="66">
        <f t="shared" si="20"/>
        <v>82</v>
      </c>
      <c r="AA26" s="66">
        <f t="shared" si="20"/>
        <v>142</v>
      </c>
      <c r="AB26" s="66">
        <f t="shared" si="20"/>
        <v>142</v>
      </c>
      <c r="AC26" s="66">
        <f t="shared" si="20"/>
        <v>212</v>
      </c>
      <c r="AD26" s="66">
        <f t="shared" si="20"/>
        <v>212</v>
      </c>
      <c r="AE26" s="66">
        <f t="shared" si="20"/>
        <v>272</v>
      </c>
      <c r="AF26" s="66">
        <f t="shared" si="20"/>
        <v>272</v>
      </c>
      <c r="AG26" s="66">
        <f t="shared" si="20"/>
        <v>272</v>
      </c>
      <c r="AH26" s="66">
        <f t="shared" si="20"/>
        <v>272</v>
      </c>
      <c r="AI26" s="66">
        <f t="shared" si="20"/>
        <v>272</v>
      </c>
      <c r="AJ26" s="66">
        <f t="shared" si="20"/>
        <v>294</v>
      </c>
      <c r="AK26" s="66">
        <f t="shared" si="20"/>
        <v>294</v>
      </c>
      <c r="AL26" s="66">
        <f t="shared" si="20"/>
        <v>294</v>
      </c>
      <c r="AM26" s="66">
        <f t="shared" si="20"/>
        <v>294</v>
      </c>
      <c r="AN26" s="66">
        <f t="shared" si="20"/>
        <v>294</v>
      </c>
      <c r="AO26" s="66">
        <f t="shared" si="20"/>
        <v>294</v>
      </c>
      <c r="AP26" s="66">
        <f t="shared" si="20"/>
        <v>282</v>
      </c>
      <c r="AQ26" s="66">
        <f t="shared" si="20"/>
        <v>282</v>
      </c>
      <c r="AR26" s="66">
        <f t="shared" si="20"/>
        <v>282</v>
      </c>
      <c r="AS26" s="66">
        <f t="shared" si="20"/>
        <v>282</v>
      </c>
      <c r="AT26" s="66">
        <f t="shared" si="20"/>
        <v>248</v>
      </c>
      <c r="AU26" s="66">
        <f t="shared" si="20"/>
        <v>248</v>
      </c>
      <c r="AV26" s="66">
        <f t="shared" ref="AV26:CF26" si="21">SUMPRODUCT(($J$8:$J$24&lt;=AV$6)*($K$8:$K$24&gt;=AV$6)*$O$8:$O$24)</f>
        <v>248</v>
      </c>
      <c r="AW26" s="66">
        <f t="shared" si="21"/>
        <v>248</v>
      </c>
      <c r="AX26" s="66">
        <f t="shared" si="21"/>
        <v>236</v>
      </c>
      <c r="AY26" s="66">
        <f t="shared" si="21"/>
        <v>236</v>
      </c>
      <c r="AZ26" s="66">
        <f t="shared" si="21"/>
        <v>236</v>
      </c>
      <c r="BA26" s="66">
        <f t="shared" si="21"/>
        <v>236</v>
      </c>
      <c r="BB26" s="66">
        <f t="shared" si="21"/>
        <v>220</v>
      </c>
      <c r="BC26" s="66">
        <f t="shared" si="21"/>
        <v>220</v>
      </c>
      <c r="BD26" s="66">
        <f t="shared" si="21"/>
        <v>220</v>
      </c>
      <c r="BE26" s="66">
        <f t="shared" si="21"/>
        <v>220</v>
      </c>
      <c r="BF26" s="66">
        <f t="shared" si="21"/>
        <v>220</v>
      </c>
      <c r="BG26" s="66">
        <f t="shared" si="21"/>
        <v>220</v>
      </c>
      <c r="BH26" s="66">
        <f t="shared" si="21"/>
        <v>220</v>
      </c>
      <c r="BI26" s="66">
        <f t="shared" si="21"/>
        <v>252</v>
      </c>
      <c r="BJ26" s="66">
        <f t="shared" si="21"/>
        <v>264</v>
      </c>
      <c r="BK26" s="66">
        <f t="shared" si="21"/>
        <v>264</v>
      </c>
      <c r="BL26" s="66">
        <f t="shared" si="21"/>
        <v>264</v>
      </c>
      <c r="BM26" s="66">
        <f t="shared" si="21"/>
        <v>264</v>
      </c>
      <c r="BN26" s="66">
        <f t="shared" si="21"/>
        <v>264</v>
      </c>
      <c r="BO26" s="66">
        <f t="shared" si="21"/>
        <v>242</v>
      </c>
      <c r="BP26" s="66">
        <f t="shared" si="21"/>
        <v>182</v>
      </c>
      <c r="BQ26" s="66">
        <f t="shared" si="21"/>
        <v>182</v>
      </c>
      <c r="BR26" s="66">
        <f t="shared" si="21"/>
        <v>112</v>
      </c>
      <c r="BS26" s="66">
        <f t="shared" si="21"/>
        <v>112</v>
      </c>
      <c r="BT26" s="66">
        <f t="shared" si="21"/>
        <v>112</v>
      </c>
      <c r="BU26" s="66">
        <f t="shared" si="21"/>
        <v>52</v>
      </c>
      <c r="BV26" s="66">
        <f t="shared" si="21"/>
        <v>52</v>
      </c>
      <c r="BW26" s="66">
        <f t="shared" si="21"/>
        <v>52</v>
      </c>
      <c r="BX26" s="66">
        <f t="shared" si="21"/>
        <v>52</v>
      </c>
      <c r="BY26" s="66">
        <f t="shared" si="21"/>
        <v>52</v>
      </c>
      <c r="BZ26" s="66">
        <f t="shared" si="21"/>
        <v>52</v>
      </c>
      <c r="CA26" s="66">
        <f t="shared" si="21"/>
        <v>52</v>
      </c>
      <c r="CB26" s="66">
        <f t="shared" si="21"/>
        <v>52</v>
      </c>
      <c r="CC26" s="66">
        <f t="shared" si="21"/>
        <v>52</v>
      </c>
      <c r="CD26" s="66">
        <f t="shared" si="21"/>
        <v>52</v>
      </c>
      <c r="CE26" s="66">
        <f t="shared" si="21"/>
        <v>20</v>
      </c>
      <c r="CF26" s="66">
        <f t="shared" si="21"/>
        <v>8</v>
      </c>
    </row>
    <row r="27" spans="1:84" x14ac:dyDescent="0.3">
      <c r="E27" s="12"/>
      <c r="F27" s="12"/>
      <c r="G27" s="12"/>
      <c r="H27" s="12"/>
      <c r="M27" s="13"/>
      <c r="O27" s="14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</row>
    <row r="28" spans="1:84" x14ac:dyDescent="0.3">
      <c r="C28" s="76" t="s">
        <v>87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15"/>
      <c r="O28" s="16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</row>
    <row r="29" spans="1:84" x14ac:dyDescent="0.3">
      <c r="A29" s="17" t="s">
        <v>88</v>
      </c>
      <c r="B29" s="17"/>
      <c r="C29" s="17" t="s">
        <v>89</v>
      </c>
      <c r="D29" s="17" t="s">
        <v>12</v>
      </c>
      <c r="E29" s="18" t="s">
        <v>90</v>
      </c>
      <c r="F29" s="18" t="s">
        <v>91</v>
      </c>
      <c r="G29" s="18" t="s">
        <v>92</v>
      </c>
      <c r="H29" s="18"/>
      <c r="I29" s="17"/>
      <c r="J29" s="17"/>
      <c r="K29" s="17"/>
      <c r="L29" s="17"/>
      <c r="M29" s="19"/>
      <c r="N29" s="17"/>
      <c r="O29" s="20"/>
      <c r="P29" s="67">
        <f t="shared" ref="P29:AU29" si="22">P6</f>
        <v>46270</v>
      </c>
      <c r="Q29" s="67">
        <f t="shared" si="22"/>
        <v>46271</v>
      </c>
      <c r="R29" s="67">
        <f t="shared" si="22"/>
        <v>46272</v>
      </c>
      <c r="S29" s="67">
        <f t="shared" si="22"/>
        <v>46273</v>
      </c>
      <c r="T29" s="67">
        <f t="shared" si="22"/>
        <v>46274</v>
      </c>
      <c r="U29" s="67">
        <f t="shared" si="22"/>
        <v>46275</v>
      </c>
      <c r="V29" s="67">
        <f t="shared" si="22"/>
        <v>46276</v>
      </c>
      <c r="W29" s="67">
        <f t="shared" si="22"/>
        <v>46277</v>
      </c>
      <c r="X29" s="67">
        <f t="shared" si="22"/>
        <v>46278</v>
      </c>
      <c r="Y29" s="67">
        <f t="shared" si="22"/>
        <v>46279</v>
      </c>
      <c r="Z29" s="67">
        <f t="shared" si="22"/>
        <v>46280</v>
      </c>
      <c r="AA29" s="67">
        <f t="shared" si="22"/>
        <v>46281</v>
      </c>
      <c r="AB29" s="67">
        <f t="shared" si="22"/>
        <v>46282</v>
      </c>
      <c r="AC29" s="67">
        <f t="shared" si="22"/>
        <v>46283</v>
      </c>
      <c r="AD29" s="67">
        <f t="shared" si="22"/>
        <v>46284</v>
      </c>
      <c r="AE29" s="67">
        <f t="shared" si="22"/>
        <v>46285</v>
      </c>
      <c r="AF29" s="67">
        <f t="shared" si="22"/>
        <v>46286</v>
      </c>
      <c r="AG29" s="67">
        <f t="shared" si="22"/>
        <v>46287</v>
      </c>
      <c r="AH29" s="67">
        <f t="shared" si="22"/>
        <v>46288</v>
      </c>
      <c r="AI29" s="67">
        <f t="shared" si="22"/>
        <v>46289</v>
      </c>
      <c r="AJ29" s="67">
        <f t="shared" si="22"/>
        <v>46290</v>
      </c>
      <c r="AK29" s="67">
        <f t="shared" si="22"/>
        <v>46291</v>
      </c>
      <c r="AL29" s="67">
        <f t="shared" si="22"/>
        <v>46292</v>
      </c>
      <c r="AM29" s="67">
        <f t="shared" si="22"/>
        <v>46293</v>
      </c>
      <c r="AN29" s="67">
        <f t="shared" si="22"/>
        <v>46294</v>
      </c>
      <c r="AO29" s="67">
        <f t="shared" si="22"/>
        <v>46295</v>
      </c>
      <c r="AP29" s="67">
        <f t="shared" si="22"/>
        <v>46296</v>
      </c>
      <c r="AQ29" s="67">
        <f t="shared" si="22"/>
        <v>46297</v>
      </c>
      <c r="AR29" s="67">
        <f t="shared" si="22"/>
        <v>46298</v>
      </c>
      <c r="AS29" s="67">
        <f t="shared" si="22"/>
        <v>46299</v>
      </c>
      <c r="AT29" s="67">
        <f t="shared" si="22"/>
        <v>46300</v>
      </c>
      <c r="AU29" s="67">
        <f t="shared" si="22"/>
        <v>46301</v>
      </c>
      <c r="AV29" s="67">
        <f t="shared" ref="AV29:CF29" si="23">AV6</f>
        <v>46302</v>
      </c>
      <c r="AW29" s="67">
        <f t="shared" si="23"/>
        <v>46303</v>
      </c>
      <c r="AX29" s="67">
        <f t="shared" si="23"/>
        <v>46304</v>
      </c>
      <c r="AY29" s="67">
        <f t="shared" si="23"/>
        <v>46305</v>
      </c>
      <c r="AZ29" s="67">
        <f t="shared" si="23"/>
        <v>46306</v>
      </c>
      <c r="BA29" s="67">
        <f t="shared" si="23"/>
        <v>46307</v>
      </c>
      <c r="BB29" s="67">
        <f t="shared" si="23"/>
        <v>46308</v>
      </c>
      <c r="BC29" s="67">
        <f t="shared" si="23"/>
        <v>46309</v>
      </c>
      <c r="BD29" s="67">
        <f t="shared" si="23"/>
        <v>46310</v>
      </c>
      <c r="BE29" s="67">
        <f t="shared" si="23"/>
        <v>46311</v>
      </c>
      <c r="BF29" s="67">
        <f t="shared" si="23"/>
        <v>46312</v>
      </c>
      <c r="BG29" s="67">
        <f t="shared" si="23"/>
        <v>46313</v>
      </c>
      <c r="BH29" s="67">
        <f t="shared" si="23"/>
        <v>46314</v>
      </c>
      <c r="BI29" s="67">
        <f t="shared" si="23"/>
        <v>46315</v>
      </c>
      <c r="BJ29" s="67">
        <f t="shared" si="23"/>
        <v>46316</v>
      </c>
      <c r="BK29" s="67">
        <f t="shared" si="23"/>
        <v>46317</v>
      </c>
      <c r="BL29" s="67">
        <f t="shared" si="23"/>
        <v>46318</v>
      </c>
      <c r="BM29" s="67">
        <f t="shared" si="23"/>
        <v>46319</v>
      </c>
      <c r="BN29" s="67">
        <f t="shared" si="23"/>
        <v>46320</v>
      </c>
      <c r="BO29" s="67">
        <f t="shared" si="23"/>
        <v>46321</v>
      </c>
      <c r="BP29" s="67">
        <f t="shared" si="23"/>
        <v>46322</v>
      </c>
      <c r="BQ29" s="67">
        <f t="shared" si="23"/>
        <v>46323</v>
      </c>
      <c r="BR29" s="67">
        <f t="shared" si="23"/>
        <v>46324</v>
      </c>
      <c r="BS29" s="67">
        <f t="shared" si="23"/>
        <v>46325</v>
      </c>
      <c r="BT29" s="67">
        <f t="shared" si="23"/>
        <v>46326</v>
      </c>
      <c r="BU29" s="67">
        <f t="shared" si="23"/>
        <v>46327</v>
      </c>
      <c r="BV29" s="67">
        <f t="shared" si="23"/>
        <v>46328</v>
      </c>
      <c r="BW29" s="67">
        <f t="shared" si="23"/>
        <v>46329</v>
      </c>
      <c r="BX29" s="67">
        <f t="shared" si="23"/>
        <v>46330</v>
      </c>
      <c r="BY29" s="67">
        <f t="shared" si="23"/>
        <v>46331</v>
      </c>
      <c r="BZ29" s="67">
        <f t="shared" si="23"/>
        <v>46332</v>
      </c>
      <c r="CA29" s="67">
        <f t="shared" si="23"/>
        <v>46333</v>
      </c>
      <c r="CB29" s="67">
        <f t="shared" si="23"/>
        <v>46334</v>
      </c>
      <c r="CC29" s="67">
        <f t="shared" si="23"/>
        <v>46335</v>
      </c>
      <c r="CD29" s="67">
        <f t="shared" si="23"/>
        <v>46336</v>
      </c>
      <c r="CE29" s="67">
        <f t="shared" si="23"/>
        <v>46337</v>
      </c>
      <c r="CF29" s="67">
        <f t="shared" si="23"/>
        <v>46338</v>
      </c>
    </row>
    <row r="30" spans="1:84" x14ac:dyDescent="0.3">
      <c r="A30" s="38" t="s">
        <v>93</v>
      </c>
      <c r="B30" s="5"/>
      <c r="C30" s="5" t="s">
        <v>94</v>
      </c>
      <c r="D30" s="38" t="s">
        <v>95</v>
      </c>
      <c r="E30" s="6">
        <v>89.6</v>
      </c>
      <c r="F30" s="54">
        <v>8</v>
      </c>
      <c r="G30" s="6" t="s">
        <v>96</v>
      </c>
      <c r="H30" s="6"/>
      <c r="I30" s="5"/>
      <c r="J30" s="5"/>
      <c r="K30" s="5"/>
      <c r="L30" s="5"/>
      <c r="M30" s="7"/>
      <c r="N30" s="5"/>
      <c r="O30" s="8"/>
      <c r="P30" s="68">
        <f t="shared" ref="P30:AU30" si="24">IF(AND($J$8&lt;=P$6,$K$8&gt;=P$6),8,IF(AND($J$20&lt;=P$6,$K$20&gt;=P$6),4,0))</f>
        <v>8</v>
      </c>
      <c r="Q30" s="68">
        <f t="shared" si="24"/>
        <v>8</v>
      </c>
      <c r="R30" s="68">
        <f t="shared" si="24"/>
        <v>8</v>
      </c>
      <c r="S30" s="68">
        <f t="shared" si="24"/>
        <v>8</v>
      </c>
      <c r="T30" s="68">
        <f t="shared" si="24"/>
        <v>8</v>
      </c>
      <c r="U30" s="68">
        <f t="shared" si="24"/>
        <v>8</v>
      </c>
      <c r="V30" s="68">
        <f t="shared" si="24"/>
        <v>8</v>
      </c>
      <c r="W30" s="68">
        <f t="shared" si="24"/>
        <v>8</v>
      </c>
      <c r="X30" s="68">
        <f t="shared" si="24"/>
        <v>8</v>
      </c>
      <c r="Y30" s="68">
        <f t="shared" si="24"/>
        <v>8</v>
      </c>
      <c r="Z30" s="68">
        <f t="shared" si="24"/>
        <v>8</v>
      </c>
      <c r="AA30" s="68">
        <f t="shared" si="24"/>
        <v>8</v>
      </c>
      <c r="AB30" s="68">
        <f t="shared" si="24"/>
        <v>8</v>
      </c>
      <c r="AC30" s="68">
        <f t="shared" si="24"/>
        <v>8</v>
      </c>
      <c r="AD30" s="68">
        <f t="shared" si="24"/>
        <v>8</v>
      </c>
      <c r="AE30" s="68">
        <f t="shared" si="24"/>
        <v>8</v>
      </c>
      <c r="AF30" s="68">
        <f t="shared" si="24"/>
        <v>8</v>
      </c>
      <c r="AG30" s="68">
        <f t="shared" si="24"/>
        <v>8</v>
      </c>
      <c r="AH30" s="68">
        <f t="shared" si="24"/>
        <v>8</v>
      </c>
      <c r="AI30" s="68">
        <f t="shared" si="24"/>
        <v>8</v>
      </c>
      <c r="AJ30" s="68">
        <f t="shared" si="24"/>
        <v>8</v>
      </c>
      <c r="AK30" s="68">
        <f t="shared" si="24"/>
        <v>8</v>
      </c>
      <c r="AL30" s="68">
        <f t="shared" si="24"/>
        <v>8</v>
      </c>
      <c r="AM30" s="68">
        <f t="shared" si="24"/>
        <v>8</v>
      </c>
      <c r="AN30" s="68">
        <f t="shared" si="24"/>
        <v>8</v>
      </c>
      <c r="AO30" s="68">
        <f t="shared" si="24"/>
        <v>8</v>
      </c>
      <c r="AP30" s="68">
        <f t="shared" si="24"/>
        <v>8</v>
      </c>
      <c r="AQ30" s="68">
        <f t="shared" si="24"/>
        <v>8</v>
      </c>
      <c r="AR30" s="68">
        <f t="shared" si="24"/>
        <v>8</v>
      </c>
      <c r="AS30" s="68">
        <f t="shared" si="24"/>
        <v>8</v>
      </c>
      <c r="AT30" s="69">
        <f t="shared" si="24"/>
        <v>0</v>
      </c>
      <c r="AU30" s="69">
        <f t="shared" si="24"/>
        <v>0</v>
      </c>
      <c r="AV30" s="69">
        <f t="shared" ref="AV30:CF30" si="25">IF(AND($J$8&lt;=AV$6,$K$8&gt;=AV$6),8,IF(AND($J$20&lt;=AV$6,$K$20&gt;=AV$6),4,0))</f>
        <v>0</v>
      </c>
      <c r="AW30" s="69">
        <f t="shared" si="25"/>
        <v>0</v>
      </c>
      <c r="AX30" s="69">
        <f t="shared" si="25"/>
        <v>0</v>
      </c>
      <c r="AY30" s="69">
        <f t="shared" si="25"/>
        <v>0</v>
      </c>
      <c r="AZ30" s="69">
        <f t="shared" si="25"/>
        <v>0</v>
      </c>
      <c r="BA30" s="69">
        <f t="shared" si="25"/>
        <v>0</v>
      </c>
      <c r="BB30" s="69">
        <f t="shared" si="25"/>
        <v>0</v>
      </c>
      <c r="BC30" s="69">
        <f t="shared" si="25"/>
        <v>0</v>
      </c>
      <c r="BD30" s="69">
        <f t="shared" si="25"/>
        <v>0</v>
      </c>
      <c r="BE30" s="69">
        <f t="shared" si="25"/>
        <v>0</v>
      </c>
      <c r="BF30" s="69">
        <f t="shared" si="25"/>
        <v>0</v>
      </c>
      <c r="BG30" s="69">
        <f t="shared" si="25"/>
        <v>0</v>
      </c>
      <c r="BH30" s="69">
        <f t="shared" si="25"/>
        <v>0</v>
      </c>
      <c r="BI30" s="68">
        <f t="shared" si="25"/>
        <v>4</v>
      </c>
      <c r="BJ30" s="68">
        <f t="shared" si="25"/>
        <v>4</v>
      </c>
      <c r="BK30" s="68">
        <f t="shared" si="25"/>
        <v>4</v>
      </c>
      <c r="BL30" s="68">
        <f t="shared" si="25"/>
        <v>4</v>
      </c>
      <c r="BM30" s="68">
        <f t="shared" si="25"/>
        <v>4</v>
      </c>
      <c r="BN30" s="68">
        <f t="shared" si="25"/>
        <v>4</v>
      </c>
      <c r="BO30" s="68">
        <f t="shared" si="25"/>
        <v>4</v>
      </c>
      <c r="BP30" s="68">
        <f t="shared" si="25"/>
        <v>4</v>
      </c>
      <c r="BQ30" s="68">
        <f t="shared" si="25"/>
        <v>4</v>
      </c>
      <c r="BR30" s="68">
        <f t="shared" si="25"/>
        <v>4</v>
      </c>
      <c r="BS30" s="68">
        <f t="shared" si="25"/>
        <v>4</v>
      </c>
      <c r="BT30" s="68">
        <f t="shared" si="25"/>
        <v>4</v>
      </c>
      <c r="BU30" s="68">
        <f t="shared" si="25"/>
        <v>4</v>
      </c>
      <c r="BV30" s="68">
        <f t="shared" si="25"/>
        <v>4</v>
      </c>
      <c r="BW30" s="68">
        <f t="shared" si="25"/>
        <v>4</v>
      </c>
      <c r="BX30" s="68">
        <f t="shared" si="25"/>
        <v>4</v>
      </c>
      <c r="BY30" s="68">
        <f t="shared" si="25"/>
        <v>4</v>
      </c>
      <c r="BZ30" s="68">
        <f t="shared" si="25"/>
        <v>4</v>
      </c>
      <c r="CA30" s="68">
        <f t="shared" si="25"/>
        <v>4</v>
      </c>
      <c r="CB30" s="68">
        <f t="shared" si="25"/>
        <v>4</v>
      </c>
      <c r="CC30" s="68">
        <f t="shared" si="25"/>
        <v>4</v>
      </c>
      <c r="CD30" s="68">
        <f t="shared" si="25"/>
        <v>4</v>
      </c>
      <c r="CE30" s="69">
        <f t="shared" si="25"/>
        <v>0</v>
      </c>
      <c r="CF30" s="69">
        <f t="shared" si="25"/>
        <v>0</v>
      </c>
    </row>
    <row r="31" spans="1:84" x14ac:dyDescent="0.3">
      <c r="A31" s="38" t="s">
        <v>97</v>
      </c>
      <c r="B31" s="5"/>
      <c r="C31" s="5" t="s">
        <v>98</v>
      </c>
      <c r="D31" s="38" t="s">
        <v>99</v>
      </c>
      <c r="E31" s="6">
        <v>26</v>
      </c>
      <c r="F31" s="54">
        <v>5</v>
      </c>
      <c r="G31" s="6" t="s">
        <v>100</v>
      </c>
      <c r="H31" s="6"/>
      <c r="I31" s="5"/>
      <c r="J31" s="5"/>
      <c r="K31" s="5"/>
      <c r="L31" s="5"/>
      <c r="M31" s="7"/>
      <c r="N31" s="5"/>
      <c r="O31" s="8"/>
      <c r="P31" s="68">
        <f t="shared" ref="P31:AU31" si="26">IF(AND($J$10&lt;=P$6,$K$10&gt;=P$6),5,IF(AND($J$20&lt;=P$6,$K$20&gt;=P$6),4,0))</f>
        <v>5</v>
      </c>
      <c r="Q31" s="68">
        <f t="shared" si="26"/>
        <v>5</v>
      </c>
      <c r="R31" s="68">
        <f t="shared" si="26"/>
        <v>5</v>
      </c>
      <c r="S31" s="68">
        <f t="shared" si="26"/>
        <v>5</v>
      </c>
      <c r="T31" s="68">
        <f t="shared" si="26"/>
        <v>5</v>
      </c>
      <c r="U31" s="68">
        <f t="shared" si="26"/>
        <v>5</v>
      </c>
      <c r="V31" s="68">
        <f t="shared" si="26"/>
        <v>5</v>
      </c>
      <c r="W31" s="68">
        <f t="shared" si="26"/>
        <v>5</v>
      </c>
      <c r="X31" s="68">
        <f t="shared" si="26"/>
        <v>5</v>
      </c>
      <c r="Y31" s="68">
        <f t="shared" si="26"/>
        <v>5</v>
      </c>
      <c r="Z31" s="68">
        <f t="shared" si="26"/>
        <v>5</v>
      </c>
      <c r="AA31" s="68">
        <f t="shared" si="26"/>
        <v>5</v>
      </c>
      <c r="AB31" s="68">
        <f t="shared" si="26"/>
        <v>5</v>
      </c>
      <c r="AC31" s="68">
        <f t="shared" si="26"/>
        <v>5</v>
      </c>
      <c r="AD31" s="68">
        <f t="shared" si="26"/>
        <v>5</v>
      </c>
      <c r="AE31" s="68">
        <f t="shared" si="26"/>
        <v>5</v>
      </c>
      <c r="AF31" s="68">
        <f t="shared" si="26"/>
        <v>5</v>
      </c>
      <c r="AG31" s="68">
        <f t="shared" si="26"/>
        <v>5</v>
      </c>
      <c r="AH31" s="68">
        <f t="shared" si="26"/>
        <v>5</v>
      </c>
      <c r="AI31" s="68">
        <f t="shared" si="26"/>
        <v>5</v>
      </c>
      <c r="AJ31" s="68">
        <f t="shared" si="26"/>
        <v>5</v>
      </c>
      <c r="AK31" s="68">
        <f t="shared" si="26"/>
        <v>5</v>
      </c>
      <c r="AL31" s="68">
        <f t="shared" si="26"/>
        <v>5</v>
      </c>
      <c r="AM31" s="68">
        <f t="shared" si="26"/>
        <v>5</v>
      </c>
      <c r="AN31" s="68">
        <f t="shared" si="26"/>
        <v>5</v>
      </c>
      <c r="AO31" s="68">
        <f t="shared" si="26"/>
        <v>5</v>
      </c>
      <c r="AP31" s="68">
        <f t="shared" si="26"/>
        <v>5</v>
      </c>
      <c r="AQ31" s="68">
        <f t="shared" si="26"/>
        <v>5</v>
      </c>
      <c r="AR31" s="68">
        <f t="shared" si="26"/>
        <v>5</v>
      </c>
      <c r="AS31" s="68">
        <f t="shared" si="26"/>
        <v>5</v>
      </c>
      <c r="AT31" s="69">
        <f t="shared" si="26"/>
        <v>0</v>
      </c>
      <c r="AU31" s="69">
        <f t="shared" si="26"/>
        <v>0</v>
      </c>
      <c r="AV31" s="69">
        <f t="shared" ref="AV31:CF31" si="27">IF(AND($J$10&lt;=AV$6,$K$10&gt;=AV$6),5,IF(AND($J$20&lt;=AV$6,$K$20&gt;=AV$6),4,0))</f>
        <v>0</v>
      </c>
      <c r="AW31" s="69">
        <f t="shared" si="27"/>
        <v>0</v>
      </c>
      <c r="AX31" s="69">
        <f t="shared" si="27"/>
        <v>0</v>
      </c>
      <c r="AY31" s="69">
        <f t="shared" si="27"/>
        <v>0</v>
      </c>
      <c r="AZ31" s="69">
        <f t="shared" si="27"/>
        <v>0</v>
      </c>
      <c r="BA31" s="69">
        <f t="shared" si="27"/>
        <v>0</v>
      </c>
      <c r="BB31" s="69">
        <f t="shared" si="27"/>
        <v>0</v>
      </c>
      <c r="BC31" s="69">
        <f t="shared" si="27"/>
        <v>0</v>
      </c>
      <c r="BD31" s="69">
        <f t="shared" si="27"/>
        <v>0</v>
      </c>
      <c r="BE31" s="69">
        <f t="shared" si="27"/>
        <v>0</v>
      </c>
      <c r="BF31" s="69">
        <f t="shared" si="27"/>
        <v>0</v>
      </c>
      <c r="BG31" s="69">
        <f t="shared" si="27"/>
        <v>0</v>
      </c>
      <c r="BH31" s="69">
        <f t="shared" si="27"/>
        <v>0</v>
      </c>
      <c r="BI31" s="68">
        <f t="shared" si="27"/>
        <v>4</v>
      </c>
      <c r="BJ31" s="68">
        <f t="shared" si="27"/>
        <v>4</v>
      </c>
      <c r="BK31" s="68">
        <f t="shared" si="27"/>
        <v>4</v>
      </c>
      <c r="BL31" s="68">
        <f t="shared" si="27"/>
        <v>4</v>
      </c>
      <c r="BM31" s="68">
        <f t="shared" si="27"/>
        <v>4</v>
      </c>
      <c r="BN31" s="68">
        <f t="shared" si="27"/>
        <v>4</v>
      </c>
      <c r="BO31" s="68">
        <f t="shared" si="27"/>
        <v>4</v>
      </c>
      <c r="BP31" s="68">
        <f t="shared" si="27"/>
        <v>4</v>
      </c>
      <c r="BQ31" s="68">
        <f t="shared" si="27"/>
        <v>4</v>
      </c>
      <c r="BR31" s="68">
        <f t="shared" si="27"/>
        <v>4</v>
      </c>
      <c r="BS31" s="68">
        <f t="shared" si="27"/>
        <v>4</v>
      </c>
      <c r="BT31" s="68">
        <f t="shared" si="27"/>
        <v>4</v>
      </c>
      <c r="BU31" s="68">
        <f t="shared" si="27"/>
        <v>4</v>
      </c>
      <c r="BV31" s="68">
        <f t="shared" si="27"/>
        <v>4</v>
      </c>
      <c r="BW31" s="68">
        <f t="shared" si="27"/>
        <v>4</v>
      </c>
      <c r="BX31" s="68">
        <f t="shared" si="27"/>
        <v>4</v>
      </c>
      <c r="BY31" s="68">
        <f t="shared" si="27"/>
        <v>4</v>
      </c>
      <c r="BZ31" s="68">
        <f t="shared" si="27"/>
        <v>4</v>
      </c>
      <c r="CA31" s="68">
        <f t="shared" si="27"/>
        <v>4</v>
      </c>
      <c r="CB31" s="68">
        <f t="shared" si="27"/>
        <v>4</v>
      </c>
      <c r="CC31" s="68">
        <f t="shared" si="27"/>
        <v>4</v>
      </c>
      <c r="CD31" s="68">
        <f t="shared" si="27"/>
        <v>4</v>
      </c>
      <c r="CE31" s="69">
        <f t="shared" si="27"/>
        <v>0</v>
      </c>
      <c r="CF31" s="69">
        <f t="shared" si="27"/>
        <v>0</v>
      </c>
    </row>
    <row r="32" spans="1:84" x14ac:dyDescent="0.3">
      <c r="A32" s="38" t="s">
        <v>101</v>
      </c>
      <c r="B32" s="5"/>
      <c r="C32" s="5" t="s">
        <v>79</v>
      </c>
      <c r="D32" s="38" t="s">
        <v>95</v>
      </c>
      <c r="E32" s="6">
        <v>44</v>
      </c>
      <c r="F32" s="54">
        <v>6</v>
      </c>
      <c r="G32" s="6" t="s">
        <v>102</v>
      </c>
      <c r="H32" s="6"/>
      <c r="I32" s="5"/>
      <c r="J32" s="5"/>
      <c r="K32" s="5"/>
      <c r="L32" s="5"/>
      <c r="M32" s="7"/>
      <c r="N32" s="5"/>
      <c r="O32" s="8"/>
      <c r="P32" s="69">
        <f t="shared" ref="P32:AU32" si="28">IF(AND($J$22&lt;=P$6,$K$22&gt;=P$6),6,0)</f>
        <v>0</v>
      </c>
      <c r="Q32" s="69">
        <f t="shared" si="28"/>
        <v>0</v>
      </c>
      <c r="R32" s="69">
        <f t="shared" si="28"/>
        <v>0</v>
      </c>
      <c r="S32" s="69">
        <f t="shared" si="28"/>
        <v>0</v>
      </c>
      <c r="T32" s="69">
        <f t="shared" si="28"/>
        <v>0</v>
      </c>
      <c r="U32" s="69">
        <f t="shared" si="28"/>
        <v>0</v>
      </c>
      <c r="V32" s="69">
        <f t="shared" si="28"/>
        <v>0</v>
      </c>
      <c r="W32" s="69">
        <f t="shared" si="28"/>
        <v>0</v>
      </c>
      <c r="X32" s="69">
        <f t="shared" si="28"/>
        <v>0</v>
      </c>
      <c r="Y32" s="69">
        <f t="shared" si="28"/>
        <v>0</v>
      </c>
      <c r="Z32" s="69">
        <f t="shared" si="28"/>
        <v>0</v>
      </c>
      <c r="AA32" s="69">
        <f t="shared" si="28"/>
        <v>0</v>
      </c>
      <c r="AB32" s="69">
        <f t="shared" si="28"/>
        <v>0</v>
      </c>
      <c r="AC32" s="69">
        <f t="shared" si="28"/>
        <v>0</v>
      </c>
      <c r="AD32" s="69">
        <f t="shared" si="28"/>
        <v>0</v>
      </c>
      <c r="AE32" s="69">
        <f t="shared" si="28"/>
        <v>0</v>
      </c>
      <c r="AF32" s="69">
        <f t="shared" si="28"/>
        <v>0</v>
      </c>
      <c r="AG32" s="69">
        <f t="shared" si="28"/>
        <v>0</v>
      </c>
      <c r="AH32" s="69">
        <f t="shared" si="28"/>
        <v>0</v>
      </c>
      <c r="AI32" s="69">
        <f t="shared" si="28"/>
        <v>0</v>
      </c>
      <c r="AJ32" s="69">
        <f t="shared" si="28"/>
        <v>0</v>
      </c>
      <c r="AK32" s="69">
        <f t="shared" si="28"/>
        <v>0</v>
      </c>
      <c r="AL32" s="69">
        <f t="shared" si="28"/>
        <v>0</v>
      </c>
      <c r="AM32" s="69">
        <f t="shared" si="28"/>
        <v>0</v>
      </c>
      <c r="AN32" s="69">
        <f t="shared" si="28"/>
        <v>0</v>
      </c>
      <c r="AO32" s="69">
        <f t="shared" si="28"/>
        <v>0</v>
      </c>
      <c r="AP32" s="69">
        <f t="shared" si="28"/>
        <v>0</v>
      </c>
      <c r="AQ32" s="69">
        <f t="shared" si="28"/>
        <v>0</v>
      </c>
      <c r="AR32" s="69">
        <f t="shared" si="28"/>
        <v>0</v>
      </c>
      <c r="AS32" s="69">
        <f t="shared" si="28"/>
        <v>0</v>
      </c>
      <c r="AT32" s="69">
        <f t="shared" si="28"/>
        <v>0</v>
      </c>
      <c r="AU32" s="69">
        <f t="shared" si="28"/>
        <v>0</v>
      </c>
      <c r="AV32" s="69">
        <f t="shared" ref="AV32:CF32" si="29">IF(AND($J$22&lt;=AV$6,$K$22&gt;=AV$6),6,0)</f>
        <v>0</v>
      </c>
      <c r="AW32" s="69">
        <f t="shared" si="29"/>
        <v>0</v>
      </c>
      <c r="AX32" s="69">
        <f t="shared" si="29"/>
        <v>0</v>
      </c>
      <c r="AY32" s="69">
        <f t="shared" si="29"/>
        <v>0</v>
      </c>
      <c r="AZ32" s="69">
        <f t="shared" si="29"/>
        <v>0</v>
      </c>
      <c r="BA32" s="69">
        <f t="shared" si="29"/>
        <v>0</v>
      </c>
      <c r="BB32" s="69">
        <f t="shared" si="29"/>
        <v>0</v>
      </c>
      <c r="BC32" s="69">
        <f t="shared" si="29"/>
        <v>0</v>
      </c>
      <c r="BD32" s="69">
        <f t="shared" si="29"/>
        <v>0</v>
      </c>
      <c r="BE32" s="69">
        <f t="shared" si="29"/>
        <v>0</v>
      </c>
      <c r="BF32" s="69">
        <f t="shared" si="29"/>
        <v>0</v>
      </c>
      <c r="BG32" s="69">
        <f t="shared" si="29"/>
        <v>0</v>
      </c>
      <c r="BH32" s="69">
        <f t="shared" si="29"/>
        <v>0</v>
      </c>
      <c r="BI32" s="69">
        <f t="shared" si="29"/>
        <v>0</v>
      </c>
      <c r="BJ32" s="68">
        <f t="shared" si="29"/>
        <v>6</v>
      </c>
      <c r="BK32" s="68">
        <f t="shared" si="29"/>
        <v>6</v>
      </c>
      <c r="BL32" s="68">
        <f t="shared" si="29"/>
        <v>6</v>
      </c>
      <c r="BM32" s="68">
        <f t="shared" si="29"/>
        <v>6</v>
      </c>
      <c r="BN32" s="68">
        <f t="shared" si="29"/>
        <v>6</v>
      </c>
      <c r="BO32" s="68">
        <f t="shared" si="29"/>
        <v>6</v>
      </c>
      <c r="BP32" s="68">
        <f t="shared" si="29"/>
        <v>6</v>
      </c>
      <c r="BQ32" s="68">
        <f t="shared" si="29"/>
        <v>6</v>
      </c>
      <c r="BR32" s="68">
        <f t="shared" si="29"/>
        <v>6</v>
      </c>
      <c r="BS32" s="68">
        <f t="shared" si="29"/>
        <v>6</v>
      </c>
      <c r="BT32" s="68">
        <f t="shared" si="29"/>
        <v>6</v>
      </c>
      <c r="BU32" s="68">
        <f t="shared" si="29"/>
        <v>6</v>
      </c>
      <c r="BV32" s="68">
        <f t="shared" si="29"/>
        <v>6</v>
      </c>
      <c r="BW32" s="68">
        <f t="shared" si="29"/>
        <v>6</v>
      </c>
      <c r="BX32" s="68">
        <f t="shared" si="29"/>
        <v>6</v>
      </c>
      <c r="BY32" s="68">
        <f t="shared" si="29"/>
        <v>6</v>
      </c>
      <c r="BZ32" s="68">
        <f t="shared" si="29"/>
        <v>6</v>
      </c>
      <c r="CA32" s="68">
        <f t="shared" si="29"/>
        <v>6</v>
      </c>
      <c r="CB32" s="68">
        <f t="shared" si="29"/>
        <v>6</v>
      </c>
      <c r="CC32" s="68">
        <f t="shared" si="29"/>
        <v>6</v>
      </c>
      <c r="CD32" s="68">
        <f t="shared" si="29"/>
        <v>6</v>
      </c>
      <c r="CE32" s="68">
        <f t="shared" si="29"/>
        <v>6</v>
      </c>
      <c r="CF32" s="69">
        <f t="shared" si="29"/>
        <v>0</v>
      </c>
    </row>
    <row r="33" spans="1:84" x14ac:dyDescent="0.3">
      <c r="A33" s="38" t="s">
        <v>103</v>
      </c>
      <c r="B33" s="5"/>
      <c r="C33" s="5" t="s">
        <v>104</v>
      </c>
      <c r="D33" s="38" t="s">
        <v>95</v>
      </c>
      <c r="E33" s="6">
        <v>124</v>
      </c>
      <c r="F33" s="54">
        <v>2</v>
      </c>
      <c r="G33" s="6" t="s">
        <v>105</v>
      </c>
      <c r="H33" s="6"/>
      <c r="I33" s="5"/>
      <c r="J33" s="5"/>
      <c r="K33" s="5"/>
      <c r="L33" s="5"/>
      <c r="M33" s="7"/>
      <c r="N33" s="5"/>
      <c r="O33" s="8"/>
      <c r="P33" s="69">
        <f t="shared" ref="P33:AU33" si="30">IF(AND($J$21&lt;=P$6,$K$21&gt;=P$6),2,0)</f>
        <v>0</v>
      </c>
      <c r="Q33" s="69">
        <f t="shared" si="30"/>
        <v>0</v>
      </c>
      <c r="R33" s="69">
        <f t="shared" si="30"/>
        <v>0</v>
      </c>
      <c r="S33" s="69">
        <f t="shared" si="30"/>
        <v>0</v>
      </c>
      <c r="T33" s="69">
        <f t="shared" si="30"/>
        <v>0</v>
      </c>
      <c r="U33" s="69">
        <f t="shared" si="30"/>
        <v>0</v>
      </c>
      <c r="V33" s="69">
        <f t="shared" si="30"/>
        <v>0</v>
      </c>
      <c r="W33" s="69">
        <f t="shared" si="30"/>
        <v>0</v>
      </c>
      <c r="X33" s="69">
        <f t="shared" si="30"/>
        <v>0</v>
      </c>
      <c r="Y33" s="69">
        <f t="shared" si="30"/>
        <v>0</v>
      </c>
      <c r="Z33" s="69">
        <f t="shared" si="30"/>
        <v>0</v>
      </c>
      <c r="AA33" s="69">
        <f t="shared" si="30"/>
        <v>0</v>
      </c>
      <c r="AB33" s="69">
        <f t="shared" si="30"/>
        <v>0</v>
      </c>
      <c r="AC33" s="69">
        <f t="shared" si="30"/>
        <v>0</v>
      </c>
      <c r="AD33" s="69">
        <f t="shared" si="30"/>
        <v>0</v>
      </c>
      <c r="AE33" s="69">
        <f t="shared" si="30"/>
        <v>0</v>
      </c>
      <c r="AF33" s="69">
        <f t="shared" si="30"/>
        <v>0</v>
      </c>
      <c r="AG33" s="69">
        <f t="shared" si="30"/>
        <v>0</v>
      </c>
      <c r="AH33" s="69">
        <f t="shared" si="30"/>
        <v>0</v>
      </c>
      <c r="AI33" s="69">
        <f t="shared" si="30"/>
        <v>0</v>
      </c>
      <c r="AJ33" s="69">
        <f t="shared" si="30"/>
        <v>0</v>
      </c>
      <c r="AK33" s="69">
        <f t="shared" si="30"/>
        <v>0</v>
      </c>
      <c r="AL33" s="69">
        <f t="shared" si="30"/>
        <v>0</v>
      </c>
      <c r="AM33" s="69">
        <f t="shared" si="30"/>
        <v>0</v>
      </c>
      <c r="AN33" s="69">
        <f t="shared" si="30"/>
        <v>0</v>
      </c>
      <c r="AO33" s="69">
        <f t="shared" si="30"/>
        <v>0</v>
      </c>
      <c r="AP33" s="69">
        <f t="shared" si="30"/>
        <v>0</v>
      </c>
      <c r="AQ33" s="69">
        <f t="shared" si="30"/>
        <v>0</v>
      </c>
      <c r="AR33" s="69">
        <f t="shared" si="30"/>
        <v>0</v>
      </c>
      <c r="AS33" s="69">
        <f t="shared" si="30"/>
        <v>0</v>
      </c>
      <c r="AT33" s="69">
        <f t="shared" si="30"/>
        <v>0</v>
      </c>
      <c r="AU33" s="69">
        <f t="shared" si="30"/>
        <v>0</v>
      </c>
      <c r="AV33" s="69">
        <f t="shared" ref="AV33:CF33" si="31">IF(AND($J$21&lt;=AV$6,$K$21&gt;=AV$6),2,0)</f>
        <v>0</v>
      </c>
      <c r="AW33" s="69">
        <f t="shared" si="31"/>
        <v>0</v>
      </c>
      <c r="AX33" s="69">
        <f t="shared" si="31"/>
        <v>0</v>
      </c>
      <c r="AY33" s="69">
        <f t="shared" si="31"/>
        <v>0</v>
      </c>
      <c r="AZ33" s="69">
        <f t="shared" si="31"/>
        <v>0</v>
      </c>
      <c r="BA33" s="69">
        <f t="shared" si="31"/>
        <v>0</v>
      </c>
      <c r="BB33" s="69">
        <f t="shared" si="31"/>
        <v>0</v>
      </c>
      <c r="BC33" s="69">
        <f t="shared" si="31"/>
        <v>0</v>
      </c>
      <c r="BD33" s="69">
        <f t="shared" si="31"/>
        <v>0</v>
      </c>
      <c r="BE33" s="69">
        <f t="shared" si="31"/>
        <v>0</v>
      </c>
      <c r="BF33" s="69">
        <f t="shared" si="31"/>
        <v>0</v>
      </c>
      <c r="BG33" s="69">
        <f t="shared" si="31"/>
        <v>0</v>
      </c>
      <c r="BH33" s="69">
        <f t="shared" si="31"/>
        <v>0</v>
      </c>
      <c r="BI33" s="68">
        <f t="shared" si="31"/>
        <v>2</v>
      </c>
      <c r="BJ33" s="68">
        <f t="shared" si="31"/>
        <v>2</v>
      </c>
      <c r="BK33" s="68">
        <f t="shared" si="31"/>
        <v>2</v>
      </c>
      <c r="BL33" s="68">
        <f t="shared" si="31"/>
        <v>2</v>
      </c>
      <c r="BM33" s="68">
        <f t="shared" si="31"/>
        <v>2</v>
      </c>
      <c r="BN33" s="68">
        <f t="shared" si="31"/>
        <v>2</v>
      </c>
      <c r="BO33" s="68">
        <f t="shared" si="31"/>
        <v>2</v>
      </c>
      <c r="BP33" s="68">
        <f t="shared" si="31"/>
        <v>2</v>
      </c>
      <c r="BQ33" s="68">
        <f t="shared" si="31"/>
        <v>2</v>
      </c>
      <c r="BR33" s="68">
        <f t="shared" si="31"/>
        <v>2</v>
      </c>
      <c r="BS33" s="68">
        <f t="shared" si="31"/>
        <v>2</v>
      </c>
      <c r="BT33" s="68">
        <f t="shared" si="31"/>
        <v>2</v>
      </c>
      <c r="BU33" s="68">
        <f t="shared" si="31"/>
        <v>2</v>
      </c>
      <c r="BV33" s="68">
        <f t="shared" si="31"/>
        <v>2</v>
      </c>
      <c r="BW33" s="68">
        <f t="shared" si="31"/>
        <v>2</v>
      </c>
      <c r="BX33" s="68">
        <f t="shared" si="31"/>
        <v>2</v>
      </c>
      <c r="BY33" s="68">
        <f t="shared" si="31"/>
        <v>2</v>
      </c>
      <c r="BZ33" s="68">
        <f t="shared" si="31"/>
        <v>2</v>
      </c>
      <c r="CA33" s="68">
        <f t="shared" si="31"/>
        <v>2</v>
      </c>
      <c r="CB33" s="68">
        <f t="shared" si="31"/>
        <v>2</v>
      </c>
      <c r="CC33" s="68">
        <f t="shared" si="31"/>
        <v>2</v>
      </c>
      <c r="CD33" s="68">
        <f t="shared" si="31"/>
        <v>2</v>
      </c>
      <c r="CE33" s="69">
        <f t="shared" si="31"/>
        <v>0</v>
      </c>
      <c r="CF33" s="69">
        <f t="shared" si="31"/>
        <v>0</v>
      </c>
    </row>
    <row r="34" spans="1:84" x14ac:dyDescent="0.3">
      <c r="A34" s="38" t="s">
        <v>106</v>
      </c>
      <c r="B34" s="5"/>
      <c r="C34" s="5" t="s">
        <v>107</v>
      </c>
      <c r="D34" s="38" t="s">
        <v>95</v>
      </c>
      <c r="E34" s="6">
        <v>28</v>
      </c>
      <c r="F34" s="54">
        <v>3</v>
      </c>
      <c r="G34" s="6" t="s">
        <v>108</v>
      </c>
      <c r="H34" s="6"/>
      <c r="I34" s="5"/>
      <c r="J34" s="5"/>
      <c r="K34" s="5"/>
      <c r="L34" s="5"/>
      <c r="M34" s="7"/>
      <c r="N34" s="5"/>
      <c r="O34" s="8"/>
      <c r="P34" s="69">
        <f t="shared" ref="P34:AU34" si="32">IF(OR(AND($J$14&lt;=P$6,$K$14&gt;=P$6),AND($J$15&lt;=P$6,$K$15&gt;=P$6)),3,0)</f>
        <v>0</v>
      </c>
      <c r="Q34" s="69">
        <f t="shared" si="32"/>
        <v>0</v>
      </c>
      <c r="R34" s="69">
        <f t="shared" si="32"/>
        <v>0</v>
      </c>
      <c r="S34" s="69">
        <f t="shared" si="32"/>
        <v>0</v>
      </c>
      <c r="T34" s="69">
        <f t="shared" si="32"/>
        <v>0</v>
      </c>
      <c r="U34" s="69">
        <f t="shared" si="32"/>
        <v>0</v>
      </c>
      <c r="V34" s="69">
        <f t="shared" si="32"/>
        <v>0</v>
      </c>
      <c r="W34" s="69">
        <f t="shared" si="32"/>
        <v>0</v>
      </c>
      <c r="X34" s="69">
        <f t="shared" si="32"/>
        <v>0</v>
      </c>
      <c r="Y34" s="69">
        <f t="shared" si="32"/>
        <v>0</v>
      </c>
      <c r="Z34" s="69">
        <f t="shared" si="32"/>
        <v>0</v>
      </c>
      <c r="AA34" s="68">
        <f t="shared" si="32"/>
        <v>3</v>
      </c>
      <c r="AB34" s="68">
        <f t="shared" si="32"/>
        <v>3</v>
      </c>
      <c r="AC34" s="68">
        <f t="shared" si="32"/>
        <v>3</v>
      </c>
      <c r="AD34" s="68">
        <f t="shared" si="32"/>
        <v>3</v>
      </c>
      <c r="AE34" s="68">
        <f t="shared" si="32"/>
        <v>3</v>
      </c>
      <c r="AF34" s="68">
        <f t="shared" si="32"/>
        <v>3</v>
      </c>
      <c r="AG34" s="68">
        <f t="shared" si="32"/>
        <v>3</v>
      </c>
      <c r="AH34" s="68">
        <f t="shared" si="32"/>
        <v>3</v>
      </c>
      <c r="AI34" s="68">
        <f t="shared" si="32"/>
        <v>3</v>
      </c>
      <c r="AJ34" s="68">
        <f t="shared" si="32"/>
        <v>3</v>
      </c>
      <c r="AK34" s="68">
        <f t="shared" si="32"/>
        <v>3</v>
      </c>
      <c r="AL34" s="68">
        <f t="shared" si="32"/>
        <v>3</v>
      </c>
      <c r="AM34" s="68">
        <f t="shared" si="32"/>
        <v>3</v>
      </c>
      <c r="AN34" s="68">
        <f t="shared" si="32"/>
        <v>3</v>
      </c>
      <c r="AO34" s="68">
        <f t="shared" si="32"/>
        <v>3</v>
      </c>
      <c r="AP34" s="68">
        <f t="shared" si="32"/>
        <v>3</v>
      </c>
      <c r="AQ34" s="68">
        <f t="shared" si="32"/>
        <v>3</v>
      </c>
      <c r="AR34" s="68">
        <f t="shared" si="32"/>
        <v>3</v>
      </c>
      <c r="AS34" s="68">
        <f t="shared" si="32"/>
        <v>3</v>
      </c>
      <c r="AT34" s="68">
        <f t="shared" si="32"/>
        <v>3</v>
      </c>
      <c r="AU34" s="68">
        <f t="shared" si="32"/>
        <v>3</v>
      </c>
      <c r="AV34" s="68">
        <f t="shared" ref="AV34:CF34" si="33">IF(OR(AND($J$14&lt;=AV$6,$K$14&gt;=AV$6),AND($J$15&lt;=AV$6,$K$15&gt;=AV$6)),3,0)</f>
        <v>3</v>
      </c>
      <c r="AW34" s="68">
        <f t="shared" si="33"/>
        <v>3</v>
      </c>
      <c r="AX34" s="68">
        <f t="shared" si="33"/>
        <v>3</v>
      </c>
      <c r="AY34" s="68">
        <f t="shared" si="33"/>
        <v>3</v>
      </c>
      <c r="AZ34" s="68">
        <f t="shared" si="33"/>
        <v>3</v>
      </c>
      <c r="BA34" s="68">
        <f t="shared" si="33"/>
        <v>3</v>
      </c>
      <c r="BB34" s="68">
        <f t="shared" si="33"/>
        <v>3</v>
      </c>
      <c r="BC34" s="68">
        <f t="shared" si="33"/>
        <v>3</v>
      </c>
      <c r="BD34" s="68">
        <f t="shared" si="33"/>
        <v>3</v>
      </c>
      <c r="BE34" s="68">
        <f t="shared" si="33"/>
        <v>3</v>
      </c>
      <c r="BF34" s="68">
        <f t="shared" si="33"/>
        <v>3</v>
      </c>
      <c r="BG34" s="68">
        <f t="shared" si="33"/>
        <v>3</v>
      </c>
      <c r="BH34" s="68">
        <f t="shared" si="33"/>
        <v>3</v>
      </c>
      <c r="BI34" s="68">
        <f t="shared" si="33"/>
        <v>3</v>
      </c>
      <c r="BJ34" s="68">
        <f t="shared" si="33"/>
        <v>3</v>
      </c>
      <c r="BK34" s="68">
        <f t="shared" si="33"/>
        <v>3</v>
      </c>
      <c r="BL34" s="68">
        <f t="shared" si="33"/>
        <v>3</v>
      </c>
      <c r="BM34" s="68">
        <f t="shared" si="33"/>
        <v>3</v>
      </c>
      <c r="BN34" s="68">
        <f t="shared" si="33"/>
        <v>3</v>
      </c>
      <c r="BO34" s="68">
        <f t="shared" si="33"/>
        <v>3</v>
      </c>
      <c r="BP34" s="68">
        <f t="shared" si="33"/>
        <v>3</v>
      </c>
      <c r="BQ34" s="68">
        <f t="shared" si="33"/>
        <v>3</v>
      </c>
      <c r="BR34" s="69">
        <f t="shared" si="33"/>
        <v>0</v>
      </c>
      <c r="BS34" s="69">
        <f t="shared" si="33"/>
        <v>0</v>
      </c>
      <c r="BT34" s="69">
        <f t="shared" si="33"/>
        <v>0</v>
      </c>
      <c r="BU34" s="69">
        <f t="shared" si="33"/>
        <v>0</v>
      </c>
      <c r="BV34" s="69">
        <f t="shared" si="33"/>
        <v>0</v>
      </c>
      <c r="BW34" s="69">
        <f t="shared" si="33"/>
        <v>0</v>
      </c>
      <c r="BX34" s="69">
        <f t="shared" si="33"/>
        <v>0</v>
      </c>
      <c r="BY34" s="69">
        <f t="shared" si="33"/>
        <v>0</v>
      </c>
      <c r="BZ34" s="69">
        <f t="shared" si="33"/>
        <v>0</v>
      </c>
      <c r="CA34" s="69">
        <f t="shared" si="33"/>
        <v>0</v>
      </c>
      <c r="CB34" s="69">
        <f t="shared" si="33"/>
        <v>0</v>
      </c>
      <c r="CC34" s="69">
        <f t="shared" si="33"/>
        <v>0</v>
      </c>
      <c r="CD34" s="69">
        <f t="shared" si="33"/>
        <v>0</v>
      </c>
      <c r="CE34" s="69">
        <f t="shared" si="33"/>
        <v>0</v>
      </c>
      <c r="CF34" s="69">
        <f t="shared" si="33"/>
        <v>0</v>
      </c>
    </row>
    <row r="35" spans="1:84" x14ac:dyDescent="0.3">
      <c r="A35" s="38" t="s">
        <v>109</v>
      </c>
      <c r="B35" s="5"/>
      <c r="C35" s="5" t="s">
        <v>110</v>
      </c>
      <c r="D35" s="38" t="s">
        <v>95</v>
      </c>
      <c r="E35" s="6">
        <v>65</v>
      </c>
      <c r="F35" s="54">
        <v>2</v>
      </c>
      <c r="G35" s="6" t="s">
        <v>111</v>
      </c>
      <c r="H35" s="6"/>
      <c r="I35" s="5"/>
      <c r="J35" s="5"/>
      <c r="K35" s="5"/>
      <c r="L35" s="5"/>
      <c r="M35" s="7"/>
      <c r="N35" s="5"/>
      <c r="O35" s="8"/>
      <c r="P35" s="69">
        <f t="shared" ref="P35:AU35" si="34">IF(AND($J$16&lt;=P$6,$K$16&gt;=P$6),2,0)</f>
        <v>0</v>
      </c>
      <c r="Q35" s="69">
        <f t="shared" si="34"/>
        <v>0</v>
      </c>
      <c r="R35" s="69">
        <f t="shared" si="34"/>
        <v>0</v>
      </c>
      <c r="S35" s="69">
        <f t="shared" si="34"/>
        <v>0</v>
      </c>
      <c r="T35" s="69">
        <f t="shared" si="34"/>
        <v>0</v>
      </c>
      <c r="U35" s="69">
        <f t="shared" si="34"/>
        <v>0</v>
      </c>
      <c r="V35" s="69">
        <f t="shared" si="34"/>
        <v>0</v>
      </c>
      <c r="W35" s="69">
        <f t="shared" si="34"/>
        <v>0</v>
      </c>
      <c r="X35" s="69">
        <f t="shared" si="34"/>
        <v>0</v>
      </c>
      <c r="Y35" s="69">
        <f t="shared" si="34"/>
        <v>0</v>
      </c>
      <c r="Z35" s="69">
        <f t="shared" si="34"/>
        <v>0</v>
      </c>
      <c r="AA35" s="69">
        <f t="shared" si="34"/>
        <v>0</v>
      </c>
      <c r="AB35" s="69">
        <f t="shared" si="34"/>
        <v>0</v>
      </c>
      <c r="AC35" s="69">
        <f t="shared" si="34"/>
        <v>0</v>
      </c>
      <c r="AD35" s="69">
        <f t="shared" si="34"/>
        <v>0</v>
      </c>
      <c r="AE35" s="68">
        <f t="shared" si="34"/>
        <v>2</v>
      </c>
      <c r="AF35" s="68">
        <f t="shared" si="34"/>
        <v>2</v>
      </c>
      <c r="AG35" s="68">
        <f t="shared" si="34"/>
        <v>2</v>
      </c>
      <c r="AH35" s="68">
        <f t="shared" si="34"/>
        <v>2</v>
      </c>
      <c r="AI35" s="68">
        <f t="shared" si="34"/>
        <v>2</v>
      </c>
      <c r="AJ35" s="68">
        <f t="shared" si="34"/>
        <v>2</v>
      </c>
      <c r="AK35" s="68">
        <f t="shared" si="34"/>
        <v>2</v>
      </c>
      <c r="AL35" s="68">
        <f t="shared" si="34"/>
        <v>2</v>
      </c>
      <c r="AM35" s="68">
        <f t="shared" si="34"/>
        <v>2</v>
      </c>
      <c r="AN35" s="68">
        <f t="shared" si="34"/>
        <v>2</v>
      </c>
      <c r="AO35" s="68">
        <f t="shared" si="34"/>
        <v>2</v>
      </c>
      <c r="AP35" s="68">
        <f t="shared" si="34"/>
        <v>2</v>
      </c>
      <c r="AQ35" s="68">
        <f t="shared" si="34"/>
        <v>2</v>
      </c>
      <c r="AR35" s="68">
        <f t="shared" si="34"/>
        <v>2</v>
      </c>
      <c r="AS35" s="68">
        <f t="shared" si="34"/>
        <v>2</v>
      </c>
      <c r="AT35" s="68">
        <f t="shared" si="34"/>
        <v>2</v>
      </c>
      <c r="AU35" s="68">
        <f t="shared" si="34"/>
        <v>2</v>
      </c>
      <c r="AV35" s="68">
        <f t="shared" ref="AV35:CF35" si="35">IF(AND($J$16&lt;=AV$6,$K$16&gt;=AV$6),2,0)</f>
        <v>2</v>
      </c>
      <c r="AW35" s="68">
        <f t="shared" si="35"/>
        <v>2</v>
      </c>
      <c r="AX35" s="68">
        <f t="shared" si="35"/>
        <v>2</v>
      </c>
      <c r="AY35" s="68">
        <f t="shared" si="35"/>
        <v>2</v>
      </c>
      <c r="AZ35" s="68">
        <f t="shared" si="35"/>
        <v>2</v>
      </c>
      <c r="BA35" s="68">
        <f t="shared" si="35"/>
        <v>2</v>
      </c>
      <c r="BB35" s="68">
        <f t="shared" si="35"/>
        <v>2</v>
      </c>
      <c r="BC35" s="68">
        <f t="shared" si="35"/>
        <v>2</v>
      </c>
      <c r="BD35" s="68">
        <f t="shared" si="35"/>
        <v>2</v>
      </c>
      <c r="BE35" s="68">
        <f t="shared" si="35"/>
        <v>2</v>
      </c>
      <c r="BF35" s="68">
        <f t="shared" si="35"/>
        <v>2</v>
      </c>
      <c r="BG35" s="68">
        <f t="shared" si="35"/>
        <v>2</v>
      </c>
      <c r="BH35" s="68">
        <f t="shared" si="35"/>
        <v>2</v>
      </c>
      <c r="BI35" s="68">
        <f t="shared" si="35"/>
        <v>2</v>
      </c>
      <c r="BJ35" s="68">
        <f t="shared" si="35"/>
        <v>2</v>
      </c>
      <c r="BK35" s="68">
        <f t="shared" si="35"/>
        <v>2</v>
      </c>
      <c r="BL35" s="68">
        <f t="shared" si="35"/>
        <v>2</v>
      </c>
      <c r="BM35" s="68">
        <f t="shared" si="35"/>
        <v>2</v>
      </c>
      <c r="BN35" s="68">
        <f t="shared" si="35"/>
        <v>2</v>
      </c>
      <c r="BO35" s="68">
        <f t="shared" si="35"/>
        <v>2</v>
      </c>
      <c r="BP35" s="68">
        <f t="shared" si="35"/>
        <v>2</v>
      </c>
      <c r="BQ35" s="68">
        <f t="shared" si="35"/>
        <v>2</v>
      </c>
      <c r="BR35" s="68">
        <f t="shared" si="35"/>
        <v>2</v>
      </c>
      <c r="BS35" s="68">
        <f t="shared" si="35"/>
        <v>2</v>
      </c>
      <c r="BT35" s="68">
        <f t="shared" si="35"/>
        <v>2</v>
      </c>
      <c r="BU35" s="69">
        <f t="shared" si="35"/>
        <v>0</v>
      </c>
      <c r="BV35" s="69">
        <f t="shared" si="35"/>
        <v>0</v>
      </c>
      <c r="BW35" s="69">
        <f t="shared" si="35"/>
        <v>0</v>
      </c>
      <c r="BX35" s="69">
        <f t="shared" si="35"/>
        <v>0</v>
      </c>
      <c r="BY35" s="69">
        <f t="shared" si="35"/>
        <v>0</v>
      </c>
      <c r="BZ35" s="69">
        <f t="shared" si="35"/>
        <v>0</v>
      </c>
      <c r="CA35" s="69">
        <f t="shared" si="35"/>
        <v>0</v>
      </c>
      <c r="CB35" s="69">
        <f t="shared" si="35"/>
        <v>0</v>
      </c>
      <c r="CC35" s="69">
        <f t="shared" si="35"/>
        <v>0</v>
      </c>
      <c r="CD35" s="69">
        <f t="shared" si="35"/>
        <v>0</v>
      </c>
      <c r="CE35" s="69">
        <f t="shared" si="35"/>
        <v>0</v>
      </c>
      <c r="CF35" s="69">
        <f t="shared" si="35"/>
        <v>0</v>
      </c>
    </row>
    <row r="36" spans="1:84" x14ac:dyDescent="0.3">
      <c r="A36" s="38" t="s">
        <v>112</v>
      </c>
      <c r="B36" s="5"/>
      <c r="C36" s="5" t="s">
        <v>113</v>
      </c>
      <c r="D36" s="38" t="s">
        <v>99</v>
      </c>
      <c r="E36" s="6">
        <v>42</v>
      </c>
      <c r="F36" s="54">
        <v>6</v>
      </c>
      <c r="G36" s="6" t="s">
        <v>114</v>
      </c>
      <c r="H36" s="6"/>
      <c r="I36" s="5"/>
      <c r="J36" s="5"/>
      <c r="K36" s="5"/>
      <c r="L36" s="5"/>
      <c r="M36" s="7"/>
      <c r="N36" s="5"/>
      <c r="O36" s="8"/>
      <c r="P36" s="69">
        <f t="shared" ref="P36:AU36" si="36">IF(AND($J$17&lt;=P$6,$K$17&gt;=P$6),6,0)</f>
        <v>0</v>
      </c>
      <c r="Q36" s="69">
        <f t="shared" si="36"/>
        <v>0</v>
      </c>
      <c r="R36" s="69">
        <f t="shared" si="36"/>
        <v>0</v>
      </c>
      <c r="S36" s="69">
        <f t="shared" si="36"/>
        <v>0</v>
      </c>
      <c r="T36" s="69">
        <f t="shared" si="36"/>
        <v>0</v>
      </c>
      <c r="U36" s="69">
        <f t="shared" si="36"/>
        <v>0</v>
      </c>
      <c r="V36" s="69">
        <f t="shared" si="36"/>
        <v>0</v>
      </c>
      <c r="W36" s="69">
        <f t="shared" si="36"/>
        <v>0</v>
      </c>
      <c r="X36" s="69">
        <f t="shared" si="36"/>
        <v>0</v>
      </c>
      <c r="Y36" s="69">
        <f t="shared" si="36"/>
        <v>0</v>
      </c>
      <c r="Z36" s="69">
        <f t="shared" si="36"/>
        <v>0</v>
      </c>
      <c r="AA36" s="69">
        <f t="shared" si="36"/>
        <v>0</v>
      </c>
      <c r="AB36" s="69">
        <f t="shared" si="36"/>
        <v>0</v>
      </c>
      <c r="AC36" s="69">
        <f t="shared" si="36"/>
        <v>0</v>
      </c>
      <c r="AD36" s="69">
        <f t="shared" si="36"/>
        <v>0</v>
      </c>
      <c r="AE36" s="68">
        <f t="shared" si="36"/>
        <v>6</v>
      </c>
      <c r="AF36" s="68">
        <f t="shared" si="36"/>
        <v>6</v>
      </c>
      <c r="AG36" s="68">
        <f t="shared" si="36"/>
        <v>6</v>
      </c>
      <c r="AH36" s="68">
        <f t="shared" si="36"/>
        <v>6</v>
      </c>
      <c r="AI36" s="68">
        <f t="shared" si="36"/>
        <v>6</v>
      </c>
      <c r="AJ36" s="68">
        <f t="shared" si="36"/>
        <v>6</v>
      </c>
      <c r="AK36" s="68">
        <f t="shared" si="36"/>
        <v>6</v>
      </c>
      <c r="AL36" s="68">
        <f t="shared" si="36"/>
        <v>6</v>
      </c>
      <c r="AM36" s="68">
        <f t="shared" si="36"/>
        <v>6</v>
      </c>
      <c r="AN36" s="68">
        <f t="shared" si="36"/>
        <v>6</v>
      </c>
      <c r="AO36" s="68">
        <f t="shared" si="36"/>
        <v>6</v>
      </c>
      <c r="AP36" s="68">
        <f t="shared" si="36"/>
        <v>6</v>
      </c>
      <c r="AQ36" s="68">
        <f t="shared" si="36"/>
        <v>6</v>
      </c>
      <c r="AR36" s="68">
        <f t="shared" si="36"/>
        <v>6</v>
      </c>
      <c r="AS36" s="68">
        <f t="shared" si="36"/>
        <v>6</v>
      </c>
      <c r="AT36" s="68">
        <f t="shared" si="36"/>
        <v>6</v>
      </c>
      <c r="AU36" s="68">
        <f t="shared" si="36"/>
        <v>6</v>
      </c>
      <c r="AV36" s="68">
        <f t="shared" ref="AV36:CF36" si="37">IF(AND($J$17&lt;=AV$6,$K$17&gt;=AV$6),6,0)</f>
        <v>6</v>
      </c>
      <c r="AW36" s="68">
        <f t="shared" si="37"/>
        <v>6</v>
      </c>
      <c r="AX36" s="68">
        <f t="shared" si="37"/>
        <v>6</v>
      </c>
      <c r="AY36" s="68">
        <f t="shared" si="37"/>
        <v>6</v>
      </c>
      <c r="AZ36" s="68">
        <f t="shared" si="37"/>
        <v>6</v>
      </c>
      <c r="BA36" s="68">
        <f t="shared" si="37"/>
        <v>6</v>
      </c>
      <c r="BB36" s="68">
        <f t="shared" si="37"/>
        <v>6</v>
      </c>
      <c r="BC36" s="68">
        <f t="shared" si="37"/>
        <v>6</v>
      </c>
      <c r="BD36" s="68">
        <f t="shared" si="37"/>
        <v>6</v>
      </c>
      <c r="BE36" s="68">
        <f t="shared" si="37"/>
        <v>6</v>
      </c>
      <c r="BF36" s="68">
        <f t="shared" si="37"/>
        <v>6</v>
      </c>
      <c r="BG36" s="68">
        <f t="shared" si="37"/>
        <v>6</v>
      </c>
      <c r="BH36" s="68">
        <f t="shared" si="37"/>
        <v>6</v>
      </c>
      <c r="BI36" s="68">
        <f t="shared" si="37"/>
        <v>6</v>
      </c>
      <c r="BJ36" s="68">
        <f t="shared" si="37"/>
        <v>6</v>
      </c>
      <c r="BK36" s="68">
        <f t="shared" si="37"/>
        <v>6</v>
      </c>
      <c r="BL36" s="68">
        <f t="shared" si="37"/>
        <v>6</v>
      </c>
      <c r="BM36" s="68">
        <f t="shared" si="37"/>
        <v>6</v>
      </c>
      <c r="BN36" s="68">
        <f t="shared" si="37"/>
        <v>6</v>
      </c>
      <c r="BO36" s="68">
        <f t="shared" si="37"/>
        <v>6</v>
      </c>
      <c r="BP36" s="68">
        <f t="shared" si="37"/>
        <v>6</v>
      </c>
      <c r="BQ36" s="68">
        <f t="shared" si="37"/>
        <v>6</v>
      </c>
      <c r="BR36" s="68">
        <f t="shared" si="37"/>
        <v>6</v>
      </c>
      <c r="BS36" s="68">
        <f t="shared" si="37"/>
        <v>6</v>
      </c>
      <c r="BT36" s="68">
        <f t="shared" si="37"/>
        <v>6</v>
      </c>
      <c r="BU36" s="69">
        <f t="shared" si="37"/>
        <v>0</v>
      </c>
      <c r="BV36" s="69">
        <f t="shared" si="37"/>
        <v>0</v>
      </c>
      <c r="BW36" s="69">
        <f t="shared" si="37"/>
        <v>0</v>
      </c>
      <c r="BX36" s="69">
        <f t="shared" si="37"/>
        <v>0</v>
      </c>
      <c r="BY36" s="69">
        <f t="shared" si="37"/>
        <v>0</v>
      </c>
      <c r="BZ36" s="69">
        <f t="shared" si="37"/>
        <v>0</v>
      </c>
      <c r="CA36" s="69">
        <f t="shared" si="37"/>
        <v>0</v>
      </c>
      <c r="CB36" s="69">
        <f t="shared" si="37"/>
        <v>0</v>
      </c>
      <c r="CC36" s="69">
        <f t="shared" si="37"/>
        <v>0</v>
      </c>
      <c r="CD36" s="69">
        <f t="shared" si="37"/>
        <v>0</v>
      </c>
      <c r="CE36" s="69">
        <f t="shared" si="37"/>
        <v>0</v>
      </c>
      <c r="CF36" s="69">
        <f t="shared" si="37"/>
        <v>0</v>
      </c>
    </row>
    <row r="37" spans="1:84" x14ac:dyDescent="0.3">
      <c r="A37" s="38" t="s">
        <v>115</v>
      </c>
      <c r="B37" s="5"/>
      <c r="C37" s="5" t="s">
        <v>116</v>
      </c>
      <c r="D37" s="38" t="s">
        <v>95</v>
      </c>
      <c r="E37" s="6">
        <v>64</v>
      </c>
      <c r="F37" s="54">
        <v>1</v>
      </c>
      <c r="G37" s="6" t="s">
        <v>117</v>
      </c>
      <c r="H37" s="6"/>
      <c r="I37" s="5"/>
      <c r="J37" s="5"/>
      <c r="K37" s="5"/>
      <c r="L37" s="5"/>
      <c r="M37" s="7"/>
      <c r="N37" s="5"/>
      <c r="O37" s="8"/>
      <c r="P37" s="69">
        <f t="shared" ref="P37:AU37" si="38">IF(AND($J$19&lt;=P$6,$K$19&gt;=P$6),1,0)</f>
        <v>0</v>
      </c>
      <c r="Q37" s="69">
        <f t="shared" si="38"/>
        <v>0</v>
      </c>
      <c r="R37" s="69">
        <f t="shared" si="38"/>
        <v>0</v>
      </c>
      <c r="S37" s="69">
        <f t="shared" si="38"/>
        <v>0</v>
      </c>
      <c r="T37" s="69">
        <f t="shared" si="38"/>
        <v>0</v>
      </c>
      <c r="U37" s="69">
        <f t="shared" si="38"/>
        <v>0</v>
      </c>
      <c r="V37" s="69">
        <f t="shared" si="38"/>
        <v>0</v>
      </c>
      <c r="W37" s="69">
        <f t="shared" si="38"/>
        <v>0</v>
      </c>
      <c r="X37" s="69">
        <f t="shared" si="38"/>
        <v>0</v>
      </c>
      <c r="Y37" s="69">
        <f t="shared" si="38"/>
        <v>0</v>
      </c>
      <c r="Z37" s="69">
        <f t="shared" si="38"/>
        <v>0</v>
      </c>
      <c r="AA37" s="69">
        <f t="shared" si="38"/>
        <v>0</v>
      </c>
      <c r="AB37" s="69">
        <f t="shared" si="38"/>
        <v>0</v>
      </c>
      <c r="AC37" s="69">
        <f t="shared" si="38"/>
        <v>0</v>
      </c>
      <c r="AD37" s="69">
        <f t="shared" si="38"/>
        <v>0</v>
      </c>
      <c r="AE37" s="68">
        <f t="shared" si="38"/>
        <v>1</v>
      </c>
      <c r="AF37" s="68">
        <f t="shared" si="38"/>
        <v>1</v>
      </c>
      <c r="AG37" s="68">
        <f t="shared" si="38"/>
        <v>1</v>
      </c>
      <c r="AH37" s="68">
        <f t="shared" si="38"/>
        <v>1</v>
      </c>
      <c r="AI37" s="68">
        <f t="shared" si="38"/>
        <v>1</v>
      </c>
      <c r="AJ37" s="68">
        <f t="shared" si="38"/>
        <v>1</v>
      </c>
      <c r="AK37" s="68">
        <f t="shared" si="38"/>
        <v>1</v>
      </c>
      <c r="AL37" s="68">
        <f t="shared" si="38"/>
        <v>1</v>
      </c>
      <c r="AM37" s="68">
        <f t="shared" si="38"/>
        <v>1</v>
      </c>
      <c r="AN37" s="68">
        <f t="shared" si="38"/>
        <v>1</v>
      </c>
      <c r="AO37" s="68">
        <f t="shared" si="38"/>
        <v>1</v>
      </c>
      <c r="AP37" s="68">
        <f t="shared" si="38"/>
        <v>1</v>
      </c>
      <c r="AQ37" s="68">
        <f t="shared" si="38"/>
        <v>1</v>
      </c>
      <c r="AR37" s="68">
        <f t="shared" si="38"/>
        <v>1</v>
      </c>
      <c r="AS37" s="68">
        <f t="shared" si="38"/>
        <v>1</v>
      </c>
      <c r="AT37" s="68">
        <f t="shared" si="38"/>
        <v>1</v>
      </c>
      <c r="AU37" s="68">
        <f t="shared" si="38"/>
        <v>1</v>
      </c>
      <c r="AV37" s="68">
        <f t="shared" ref="AV37:CF37" si="39">IF(AND($J$19&lt;=AV$6,$K$19&gt;=AV$6),1,0)</f>
        <v>1</v>
      </c>
      <c r="AW37" s="68">
        <f t="shared" si="39"/>
        <v>1</v>
      </c>
      <c r="AX37" s="68">
        <f t="shared" si="39"/>
        <v>1</v>
      </c>
      <c r="AY37" s="68">
        <f t="shared" si="39"/>
        <v>1</v>
      </c>
      <c r="AZ37" s="68">
        <f t="shared" si="39"/>
        <v>1</v>
      </c>
      <c r="BA37" s="68">
        <f t="shared" si="39"/>
        <v>1</v>
      </c>
      <c r="BB37" s="68">
        <f t="shared" si="39"/>
        <v>1</v>
      </c>
      <c r="BC37" s="68">
        <f t="shared" si="39"/>
        <v>1</v>
      </c>
      <c r="BD37" s="68">
        <f t="shared" si="39"/>
        <v>1</v>
      </c>
      <c r="BE37" s="68">
        <f t="shared" si="39"/>
        <v>1</v>
      </c>
      <c r="BF37" s="68">
        <f t="shared" si="39"/>
        <v>1</v>
      </c>
      <c r="BG37" s="68">
        <f t="shared" si="39"/>
        <v>1</v>
      </c>
      <c r="BH37" s="68">
        <f t="shared" si="39"/>
        <v>1</v>
      </c>
      <c r="BI37" s="68">
        <f t="shared" si="39"/>
        <v>1</v>
      </c>
      <c r="BJ37" s="68">
        <f t="shared" si="39"/>
        <v>1</v>
      </c>
      <c r="BK37" s="68">
        <f t="shared" si="39"/>
        <v>1</v>
      </c>
      <c r="BL37" s="68">
        <f t="shared" si="39"/>
        <v>1</v>
      </c>
      <c r="BM37" s="68">
        <f t="shared" si="39"/>
        <v>1</v>
      </c>
      <c r="BN37" s="68">
        <f t="shared" si="39"/>
        <v>1</v>
      </c>
      <c r="BO37" s="68">
        <f t="shared" si="39"/>
        <v>1</v>
      </c>
      <c r="BP37" s="68">
        <f t="shared" si="39"/>
        <v>1</v>
      </c>
      <c r="BQ37" s="68">
        <f t="shared" si="39"/>
        <v>1</v>
      </c>
      <c r="BR37" s="68">
        <f t="shared" si="39"/>
        <v>1</v>
      </c>
      <c r="BS37" s="68">
        <f t="shared" si="39"/>
        <v>1</v>
      </c>
      <c r="BT37" s="68">
        <f t="shared" si="39"/>
        <v>1</v>
      </c>
      <c r="BU37" s="69">
        <f t="shared" si="39"/>
        <v>0</v>
      </c>
      <c r="BV37" s="69">
        <f t="shared" si="39"/>
        <v>0</v>
      </c>
      <c r="BW37" s="69">
        <f t="shared" si="39"/>
        <v>0</v>
      </c>
      <c r="BX37" s="69">
        <f t="shared" si="39"/>
        <v>0</v>
      </c>
      <c r="BY37" s="69">
        <f t="shared" si="39"/>
        <v>0</v>
      </c>
      <c r="BZ37" s="69">
        <f t="shared" si="39"/>
        <v>0</v>
      </c>
      <c r="CA37" s="69">
        <f t="shared" si="39"/>
        <v>0</v>
      </c>
      <c r="CB37" s="69">
        <f t="shared" si="39"/>
        <v>0</v>
      </c>
      <c r="CC37" s="69">
        <f t="shared" si="39"/>
        <v>0</v>
      </c>
      <c r="CD37" s="69">
        <f t="shared" si="39"/>
        <v>0</v>
      </c>
      <c r="CE37" s="69">
        <f t="shared" si="39"/>
        <v>0</v>
      </c>
      <c r="CF37" s="69">
        <f t="shared" si="39"/>
        <v>0</v>
      </c>
    </row>
    <row r="38" spans="1:84" x14ac:dyDescent="0.3">
      <c r="A38" s="38" t="s">
        <v>118</v>
      </c>
      <c r="B38" s="5"/>
      <c r="C38" s="5" t="s">
        <v>119</v>
      </c>
      <c r="D38" s="38" t="s">
        <v>95</v>
      </c>
      <c r="E38" s="6">
        <v>14</v>
      </c>
      <c r="F38" s="54">
        <v>2</v>
      </c>
      <c r="G38" s="6" t="s">
        <v>120</v>
      </c>
      <c r="H38" s="6"/>
      <c r="I38" s="5"/>
      <c r="J38" s="5"/>
      <c r="K38" s="5"/>
      <c r="L38" s="5"/>
      <c r="M38" s="7"/>
      <c r="N38" s="5"/>
      <c r="O38" s="8"/>
      <c r="P38" s="68">
        <f t="shared" ref="P38:AU38" si="40">IF(AND($J$11&lt;=P$6,$K$11&gt;=P$6),2,0)</f>
        <v>2</v>
      </c>
      <c r="Q38" s="68">
        <f t="shared" si="40"/>
        <v>2</v>
      </c>
      <c r="R38" s="68">
        <f t="shared" si="40"/>
        <v>2</v>
      </c>
      <c r="S38" s="68">
        <f t="shared" si="40"/>
        <v>2</v>
      </c>
      <c r="T38" s="68">
        <f t="shared" si="40"/>
        <v>2</v>
      </c>
      <c r="U38" s="68">
        <f t="shared" si="40"/>
        <v>2</v>
      </c>
      <c r="V38" s="68">
        <f t="shared" si="40"/>
        <v>2</v>
      </c>
      <c r="W38" s="68">
        <f t="shared" si="40"/>
        <v>2</v>
      </c>
      <c r="X38" s="68">
        <f t="shared" si="40"/>
        <v>2</v>
      </c>
      <c r="Y38" s="68">
        <f t="shared" si="40"/>
        <v>2</v>
      </c>
      <c r="Z38" s="68">
        <f t="shared" si="40"/>
        <v>2</v>
      </c>
      <c r="AA38" s="68">
        <f t="shared" si="40"/>
        <v>2</v>
      </c>
      <c r="AB38" s="68">
        <f t="shared" si="40"/>
        <v>2</v>
      </c>
      <c r="AC38" s="68">
        <f t="shared" si="40"/>
        <v>2</v>
      </c>
      <c r="AD38" s="68">
        <f t="shared" si="40"/>
        <v>2</v>
      </c>
      <c r="AE38" s="68">
        <f t="shared" si="40"/>
        <v>2</v>
      </c>
      <c r="AF38" s="68">
        <f t="shared" si="40"/>
        <v>2</v>
      </c>
      <c r="AG38" s="68">
        <f t="shared" si="40"/>
        <v>2</v>
      </c>
      <c r="AH38" s="68">
        <f t="shared" si="40"/>
        <v>2</v>
      </c>
      <c r="AI38" s="68">
        <f t="shared" si="40"/>
        <v>2</v>
      </c>
      <c r="AJ38" s="68">
        <f t="shared" si="40"/>
        <v>2</v>
      </c>
      <c r="AK38" s="68">
        <f t="shared" si="40"/>
        <v>2</v>
      </c>
      <c r="AL38" s="68">
        <f t="shared" si="40"/>
        <v>2</v>
      </c>
      <c r="AM38" s="68">
        <f t="shared" si="40"/>
        <v>2</v>
      </c>
      <c r="AN38" s="68">
        <f t="shared" si="40"/>
        <v>2</v>
      </c>
      <c r="AO38" s="68">
        <f t="shared" si="40"/>
        <v>2</v>
      </c>
      <c r="AP38" s="68">
        <f t="shared" si="40"/>
        <v>2</v>
      </c>
      <c r="AQ38" s="68">
        <f t="shared" si="40"/>
        <v>2</v>
      </c>
      <c r="AR38" s="68">
        <f t="shared" si="40"/>
        <v>2</v>
      </c>
      <c r="AS38" s="68">
        <f t="shared" si="40"/>
        <v>2</v>
      </c>
      <c r="AT38" s="68">
        <f t="shared" si="40"/>
        <v>2</v>
      </c>
      <c r="AU38" s="68">
        <f t="shared" si="40"/>
        <v>2</v>
      </c>
      <c r="AV38" s="68">
        <f t="shared" ref="AV38:CF38" si="41">IF(AND($J$11&lt;=AV$6,$K$11&gt;=AV$6),2,0)</f>
        <v>2</v>
      </c>
      <c r="AW38" s="68">
        <f t="shared" si="41"/>
        <v>2</v>
      </c>
      <c r="AX38" s="68">
        <f t="shared" si="41"/>
        <v>2</v>
      </c>
      <c r="AY38" s="68">
        <f t="shared" si="41"/>
        <v>2</v>
      </c>
      <c r="AZ38" s="68">
        <f t="shared" si="41"/>
        <v>2</v>
      </c>
      <c r="BA38" s="68">
        <f t="shared" si="41"/>
        <v>2</v>
      </c>
      <c r="BB38" s="68">
        <f t="shared" si="41"/>
        <v>2</v>
      </c>
      <c r="BC38" s="68">
        <f t="shared" si="41"/>
        <v>2</v>
      </c>
      <c r="BD38" s="68">
        <f t="shared" si="41"/>
        <v>2</v>
      </c>
      <c r="BE38" s="68">
        <f t="shared" si="41"/>
        <v>2</v>
      </c>
      <c r="BF38" s="68">
        <f t="shared" si="41"/>
        <v>2</v>
      </c>
      <c r="BG38" s="68">
        <f t="shared" si="41"/>
        <v>2</v>
      </c>
      <c r="BH38" s="68">
        <f t="shared" si="41"/>
        <v>2</v>
      </c>
      <c r="BI38" s="68">
        <f t="shared" si="41"/>
        <v>2</v>
      </c>
      <c r="BJ38" s="68">
        <f t="shared" si="41"/>
        <v>2</v>
      </c>
      <c r="BK38" s="68">
        <f t="shared" si="41"/>
        <v>2</v>
      </c>
      <c r="BL38" s="68">
        <f t="shared" si="41"/>
        <v>2</v>
      </c>
      <c r="BM38" s="68">
        <f t="shared" si="41"/>
        <v>2</v>
      </c>
      <c r="BN38" s="68">
        <f t="shared" si="41"/>
        <v>2</v>
      </c>
      <c r="BO38" s="68">
        <f t="shared" si="41"/>
        <v>2</v>
      </c>
      <c r="BP38" s="68">
        <f t="shared" si="41"/>
        <v>2</v>
      </c>
      <c r="BQ38" s="68">
        <f t="shared" si="41"/>
        <v>2</v>
      </c>
      <c r="BR38" s="68">
        <f t="shared" si="41"/>
        <v>2</v>
      </c>
      <c r="BS38" s="68">
        <f t="shared" si="41"/>
        <v>2</v>
      </c>
      <c r="BT38" s="68">
        <f t="shared" si="41"/>
        <v>2</v>
      </c>
      <c r="BU38" s="68">
        <f t="shared" si="41"/>
        <v>2</v>
      </c>
      <c r="BV38" s="68">
        <f t="shared" si="41"/>
        <v>2</v>
      </c>
      <c r="BW38" s="68">
        <f t="shared" si="41"/>
        <v>2</v>
      </c>
      <c r="BX38" s="68">
        <f t="shared" si="41"/>
        <v>2</v>
      </c>
      <c r="BY38" s="68">
        <f t="shared" si="41"/>
        <v>2</v>
      </c>
      <c r="BZ38" s="68">
        <f t="shared" si="41"/>
        <v>2</v>
      </c>
      <c r="CA38" s="68">
        <f t="shared" si="41"/>
        <v>2</v>
      </c>
      <c r="CB38" s="68">
        <f t="shared" si="41"/>
        <v>2</v>
      </c>
      <c r="CC38" s="68">
        <f t="shared" si="41"/>
        <v>2</v>
      </c>
      <c r="CD38" s="68">
        <f t="shared" si="41"/>
        <v>2</v>
      </c>
      <c r="CE38" s="68">
        <f t="shared" si="41"/>
        <v>2</v>
      </c>
      <c r="CF38" s="68">
        <f t="shared" si="41"/>
        <v>2</v>
      </c>
    </row>
    <row r="39" spans="1:84" x14ac:dyDescent="0.3">
      <c r="A39" s="38" t="s">
        <v>121</v>
      </c>
      <c r="B39" s="5"/>
      <c r="C39" s="5" t="s">
        <v>122</v>
      </c>
      <c r="D39" s="38" t="s">
        <v>99</v>
      </c>
      <c r="E39" s="6">
        <v>44</v>
      </c>
      <c r="F39" s="54">
        <v>1</v>
      </c>
      <c r="G39" s="6" t="s">
        <v>123</v>
      </c>
      <c r="H39" s="6"/>
      <c r="I39" s="5"/>
      <c r="J39" s="5"/>
      <c r="K39" s="5"/>
      <c r="L39" s="5"/>
      <c r="M39" s="7"/>
      <c r="N39" s="5"/>
      <c r="O39" s="8"/>
      <c r="P39" s="68">
        <f t="shared" ref="P39:AU39" si="42">IF(AND($J$23&lt;=P$6,$K$23&gt;=P$6),1,0)</f>
        <v>1</v>
      </c>
      <c r="Q39" s="68">
        <f t="shared" si="42"/>
        <v>1</v>
      </c>
      <c r="R39" s="68">
        <f t="shared" si="42"/>
        <v>1</v>
      </c>
      <c r="S39" s="68">
        <f t="shared" si="42"/>
        <v>1</v>
      </c>
      <c r="T39" s="68">
        <f t="shared" si="42"/>
        <v>1</v>
      </c>
      <c r="U39" s="68">
        <f t="shared" si="42"/>
        <v>1</v>
      </c>
      <c r="V39" s="68">
        <f t="shared" si="42"/>
        <v>1</v>
      </c>
      <c r="W39" s="68">
        <f t="shared" si="42"/>
        <v>1</v>
      </c>
      <c r="X39" s="68">
        <f t="shared" si="42"/>
        <v>1</v>
      </c>
      <c r="Y39" s="68">
        <f t="shared" si="42"/>
        <v>1</v>
      </c>
      <c r="Z39" s="68">
        <f t="shared" si="42"/>
        <v>1</v>
      </c>
      <c r="AA39" s="68">
        <f t="shared" si="42"/>
        <v>1</v>
      </c>
      <c r="AB39" s="68">
        <f t="shared" si="42"/>
        <v>1</v>
      </c>
      <c r="AC39" s="68">
        <f t="shared" si="42"/>
        <v>1</v>
      </c>
      <c r="AD39" s="68">
        <f t="shared" si="42"/>
        <v>1</v>
      </c>
      <c r="AE39" s="68">
        <f t="shared" si="42"/>
        <v>1</v>
      </c>
      <c r="AF39" s="68">
        <f t="shared" si="42"/>
        <v>1</v>
      </c>
      <c r="AG39" s="68">
        <f t="shared" si="42"/>
        <v>1</v>
      </c>
      <c r="AH39" s="68">
        <f t="shared" si="42"/>
        <v>1</v>
      </c>
      <c r="AI39" s="68">
        <f t="shared" si="42"/>
        <v>1</v>
      </c>
      <c r="AJ39" s="68">
        <f t="shared" si="42"/>
        <v>1</v>
      </c>
      <c r="AK39" s="68">
        <f t="shared" si="42"/>
        <v>1</v>
      </c>
      <c r="AL39" s="68">
        <f t="shared" si="42"/>
        <v>1</v>
      </c>
      <c r="AM39" s="68">
        <f t="shared" si="42"/>
        <v>1</v>
      </c>
      <c r="AN39" s="68">
        <f t="shared" si="42"/>
        <v>1</v>
      </c>
      <c r="AO39" s="68">
        <f t="shared" si="42"/>
        <v>1</v>
      </c>
      <c r="AP39" s="68">
        <f t="shared" si="42"/>
        <v>1</v>
      </c>
      <c r="AQ39" s="68">
        <f t="shared" si="42"/>
        <v>1</v>
      </c>
      <c r="AR39" s="68">
        <f t="shared" si="42"/>
        <v>1</v>
      </c>
      <c r="AS39" s="68">
        <f t="shared" si="42"/>
        <v>1</v>
      </c>
      <c r="AT39" s="68">
        <f t="shared" si="42"/>
        <v>1</v>
      </c>
      <c r="AU39" s="68">
        <f t="shared" si="42"/>
        <v>1</v>
      </c>
      <c r="AV39" s="68">
        <f t="shared" ref="AV39:CF39" si="43">IF(AND($J$23&lt;=AV$6,$K$23&gt;=AV$6),1,0)</f>
        <v>1</v>
      </c>
      <c r="AW39" s="68">
        <f t="shared" si="43"/>
        <v>1</v>
      </c>
      <c r="AX39" s="68">
        <f t="shared" si="43"/>
        <v>1</v>
      </c>
      <c r="AY39" s="68">
        <f t="shared" si="43"/>
        <v>1</v>
      </c>
      <c r="AZ39" s="68">
        <f t="shared" si="43"/>
        <v>1</v>
      </c>
      <c r="BA39" s="68">
        <f t="shared" si="43"/>
        <v>1</v>
      </c>
      <c r="BB39" s="68">
        <f t="shared" si="43"/>
        <v>1</v>
      </c>
      <c r="BC39" s="68">
        <f t="shared" si="43"/>
        <v>1</v>
      </c>
      <c r="BD39" s="68">
        <f t="shared" si="43"/>
        <v>1</v>
      </c>
      <c r="BE39" s="68">
        <f t="shared" si="43"/>
        <v>1</v>
      </c>
      <c r="BF39" s="68">
        <f t="shared" si="43"/>
        <v>1</v>
      </c>
      <c r="BG39" s="68">
        <f t="shared" si="43"/>
        <v>1</v>
      </c>
      <c r="BH39" s="68">
        <f t="shared" si="43"/>
        <v>1</v>
      </c>
      <c r="BI39" s="68">
        <f t="shared" si="43"/>
        <v>1</v>
      </c>
      <c r="BJ39" s="68">
        <f t="shared" si="43"/>
        <v>1</v>
      </c>
      <c r="BK39" s="68">
        <f t="shared" si="43"/>
        <v>1</v>
      </c>
      <c r="BL39" s="68">
        <f t="shared" si="43"/>
        <v>1</v>
      </c>
      <c r="BM39" s="68">
        <f t="shared" si="43"/>
        <v>1</v>
      </c>
      <c r="BN39" s="68">
        <f t="shared" si="43"/>
        <v>1</v>
      </c>
      <c r="BO39" s="68">
        <f t="shared" si="43"/>
        <v>1</v>
      </c>
      <c r="BP39" s="68">
        <f t="shared" si="43"/>
        <v>1</v>
      </c>
      <c r="BQ39" s="68">
        <f t="shared" si="43"/>
        <v>1</v>
      </c>
      <c r="BR39" s="68">
        <f t="shared" si="43"/>
        <v>1</v>
      </c>
      <c r="BS39" s="68">
        <f t="shared" si="43"/>
        <v>1</v>
      </c>
      <c r="BT39" s="68">
        <f t="shared" si="43"/>
        <v>1</v>
      </c>
      <c r="BU39" s="68">
        <f t="shared" si="43"/>
        <v>1</v>
      </c>
      <c r="BV39" s="68">
        <f t="shared" si="43"/>
        <v>1</v>
      </c>
      <c r="BW39" s="68">
        <f t="shared" si="43"/>
        <v>1</v>
      </c>
      <c r="BX39" s="68">
        <f t="shared" si="43"/>
        <v>1</v>
      </c>
      <c r="BY39" s="68">
        <f t="shared" si="43"/>
        <v>1</v>
      </c>
      <c r="BZ39" s="68">
        <f t="shared" si="43"/>
        <v>1</v>
      </c>
      <c r="CA39" s="68">
        <f t="shared" si="43"/>
        <v>1</v>
      </c>
      <c r="CB39" s="68">
        <f t="shared" si="43"/>
        <v>1</v>
      </c>
      <c r="CC39" s="68">
        <f t="shared" si="43"/>
        <v>1</v>
      </c>
      <c r="CD39" s="68">
        <f t="shared" si="43"/>
        <v>1</v>
      </c>
      <c r="CE39" s="68">
        <f t="shared" si="43"/>
        <v>1</v>
      </c>
      <c r="CF39" s="68">
        <f t="shared" si="43"/>
        <v>1</v>
      </c>
    </row>
    <row r="40" spans="1:84" x14ac:dyDescent="0.3">
      <c r="A40" s="38" t="s">
        <v>124</v>
      </c>
      <c r="B40" s="5"/>
      <c r="C40" s="5" t="s">
        <v>125</v>
      </c>
      <c r="D40" s="38" t="s">
        <v>95</v>
      </c>
      <c r="E40" s="6">
        <v>28</v>
      </c>
      <c r="F40" s="54">
        <v>2</v>
      </c>
      <c r="G40" s="6" t="s">
        <v>126</v>
      </c>
      <c r="H40" s="6"/>
      <c r="I40" s="5"/>
      <c r="J40" s="5"/>
      <c r="K40" s="5"/>
      <c r="L40" s="5"/>
      <c r="M40" s="7"/>
      <c r="N40" s="5"/>
      <c r="O40" s="8"/>
      <c r="P40" s="68">
        <f t="shared" ref="P40:AU40" si="44">IF(AND($J$24&lt;=P$6,$K$24&gt;=P$6),2,0)</f>
        <v>2</v>
      </c>
      <c r="Q40" s="68">
        <f t="shared" si="44"/>
        <v>2</v>
      </c>
      <c r="R40" s="68">
        <f t="shared" si="44"/>
        <v>2</v>
      </c>
      <c r="S40" s="68">
        <f t="shared" si="44"/>
        <v>2</v>
      </c>
      <c r="T40" s="68">
        <f t="shared" si="44"/>
        <v>2</v>
      </c>
      <c r="U40" s="68">
        <f t="shared" si="44"/>
        <v>2</v>
      </c>
      <c r="V40" s="68">
        <f t="shared" si="44"/>
        <v>2</v>
      </c>
      <c r="W40" s="68">
        <f t="shared" si="44"/>
        <v>2</v>
      </c>
      <c r="X40" s="68">
        <f t="shared" si="44"/>
        <v>2</v>
      </c>
      <c r="Y40" s="68">
        <f t="shared" si="44"/>
        <v>2</v>
      </c>
      <c r="Z40" s="68">
        <f t="shared" si="44"/>
        <v>2</v>
      </c>
      <c r="AA40" s="68">
        <f t="shared" si="44"/>
        <v>2</v>
      </c>
      <c r="AB40" s="68">
        <f t="shared" si="44"/>
        <v>2</v>
      </c>
      <c r="AC40" s="68">
        <f t="shared" si="44"/>
        <v>2</v>
      </c>
      <c r="AD40" s="68">
        <f t="shared" si="44"/>
        <v>2</v>
      </c>
      <c r="AE40" s="68">
        <f t="shared" si="44"/>
        <v>2</v>
      </c>
      <c r="AF40" s="68">
        <f t="shared" si="44"/>
        <v>2</v>
      </c>
      <c r="AG40" s="68">
        <f t="shared" si="44"/>
        <v>2</v>
      </c>
      <c r="AH40" s="68">
        <f t="shared" si="44"/>
        <v>2</v>
      </c>
      <c r="AI40" s="68">
        <f t="shared" si="44"/>
        <v>2</v>
      </c>
      <c r="AJ40" s="68">
        <f t="shared" si="44"/>
        <v>2</v>
      </c>
      <c r="AK40" s="68">
        <f t="shared" si="44"/>
        <v>2</v>
      </c>
      <c r="AL40" s="68">
        <f t="shared" si="44"/>
        <v>2</v>
      </c>
      <c r="AM40" s="68">
        <f t="shared" si="44"/>
        <v>2</v>
      </c>
      <c r="AN40" s="68">
        <f t="shared" si="44"/>
        <v>2</v>
      </c>
      <c r="AO40" s="68">
        <f t="shared" si="44"/>
        <v>2</v>
      </c>
      <c r="AP40" s="68">
        <f t="shared" si="44"/>
        <v>2</v>
      </c>
      <c r="AQ40" s="68">
        <f t="shared" si="44"/>
        <v>2</v>
      </c>
      <c r="AR40" s="68">
        <f t="shared" si="44"/>
        <v>2</v>
      </c>
      <c r="AS40" s="68">
        <f t="shared" si="44"/>
        <v>2</v>
      </c>
      <c r="AT40" s="68">
        <f t="shared" si="44"/>
        <v>2</v>
      </c>
      <c r="AU40" s="68">
        <f t="shared" si="44"/>
        <v>2</v>
      </c>
      <c r="AV40" s="68">
        <f t="shared" ref="AV40:CF40" si="45">IF(AND($J$24&lt;=AV$6,$K$24&gt;=AV$6),2,0)</f>
        <v>2</v>
      </c>
      <c r="AW40" s="68">
        <f t="shared" si="45"/>
        <v>2</v>
      </c>
      <c r="AX40" s="68">
        <f t="shared" si="45"/>
        <v>2</v>
      </c>
      <c r="AY40" s="68">
        <f t="shared" si="45"/>
        <v>2</v>
      </c>
      <c r="AZ40" s="68">
        <f t="shared" si="45"/>
        <v>2</v>
      </c>
      <c r="BA40" s="68">
        <f t="shared" si="45"/>
        <v>2</v>
      </c>
      <c r="BB40" s="68">
        <f t="shared" si="45"/>
        <v>2</v>
      </c>
      <c r="BC40" s="68">
        <f t="shared" si="45"/>
        <v>2</v>
      </c>
      <c r="BD40" s="68">
        <f t="shared" si="45"/>
        <v>2</v>
      </c>
      <c r="BE40" s="68">
        <f t="shared" si="45"/>
        <v>2</v>
      </c>
      <c r="BF40" s="68">
        <f t="shared" si="45"/>
        <v>2</v>
      </c>
      <c r="BG40" s="68">
        <f t="shared" si="45"/>
        <v>2</v>
      </c>
      <c r="BH40" s="68">
        <f t="shared" si="45"/>
        <v>2</v>
      </c>
      <c r="BI40" s="68">
        <f t="shared" si="45"/>
        <v>2</v>
      </c>
      <c r="BJ40" s="68">
        <f t="shared" si="45"/>
        <v>2</v>
      </c>
      <c r="BK40" s="68">
        <f t="shared" si="45"/>
        <v>2</v>
      </c>
      <c r="BL40" s="68">
        <f t="shared" si="45"/>
        <v>2</v>
      </c>
      <c r="BM40" s="68">
        <f t="shared" si="45"/>
        <v>2</v>
      </c>
      <c r="BN40" s="68">
        <f t="shared" si="45"/>
        <v>2</v>
      </c>
      <c r="BO40" s="68">
        <f t="shared" si="45"/>
        <v>2</v>
      </c>
      <c r="BP40" s="68">
        <f t="shared" si="45"/>
        <v>2</v>
      </c>
      <c r="BQ40" s="68">
        <f t="shared" si="45"/>
        <v>2</v>
      </c>
      <c r="BR40" s="68">
        <f t="shared" si="45"/>
        <v>2</v>
      </c>
      <c r="BS40" s="68">
        <f t="shared" si="45"/>
        <v>2</v>
      </c>
      <c r="BT40" s="68">
        <f t="shared" si="45"/>
        <v>2</v>
      </c>
      <c r="BU40" s="68">
        <f t="shared" si="45"/>
        <v>2</v>
      </c>
      <c r="BV40" s="68">
        <f t="shared" si="45"/>
        <v>2</v>
      </c>
      <c r="BW40" s="68">
        <f t="shared" si="45"/>
        <v>2</v>
      </c>
      <c r="BX40" s="68">
        <f t="shared" si="45"/>
        <v>2</v>
      </c>
      <c r="BY40" s="68">
        <f t="shared" si="45"/>
        <v>2</v>
      </c>
      <c r="BZ40" s="68">
        <f t="shared" si="45"/>
        <v>2</v>
      </c>
      <c r="CA40" s="68">
        <f t="shared" si="45"/>
        <v>2</v>
      </c>
      <c r="CB40" s="68">
        <f t="shared" si="45"/>
        <v>2</v>
      </c>
      <c r="CC40" s="68">
        <f t="shared" si="45"/>
        <v>2</v>
      </c>
      <c r="CD40" s="68">
        <f t="shared" si="45"/>
        <v>2</v>
      </c>
      <c r="CE40" s="68">
        <f t="shared" si="45"/>
        <v>2</v>
      </c>
      <c r="CF40" s="68">
        <f t="shared" si="45"/>
        <v>2</v>
      </c>
    </row>
    <row r="41" spans="1:84" x14ac:dyDescent="0.3">
      <c r="E41" s="12"/>
      <c r="F41" s="12"/>
      <c r="G41" s="12"/>
      <c r="H41" s="12"/>
      <c r="M41" s="13"/>
      <c r="O41" s="14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</row>
    <row r="42" spans="1:84" x14ac:dyDescent="0.3">
      <c r="C42" s="72" t="s">
        <v>127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1"/>
      <c r="O42" s="22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</row>
    <row r="43" spans="1:84" x14ac:dyDescent="0.3">
      <c r="A43" s="55"/>
      <c r="B43" s="55"/>
      <c r="C43" s="56" t="s">
        <v>128</v>
      </c>
      <c r="D43" s="55"/>
      <c r="E43" s="57"/>
      <c r="F43" s="57"/>
      <c r="G43" s="57"/>
      <c r="H43" s="57"/>
      <c r="I43" s="55"/>
      <c r="J43" s="55"/>
      <c r="K43" s="55"/>
      <c r="L43" s="55"/>
      <c r="M43" s="58"/>
      <c r="N43" s="55"/>
      <c r="O43" s="59"/>
      <c r="P43" s="60">
        <f t="shared" ref="P43:AU43" si="46">SUM(P44:P54)</f>
        <v>1949.6</v>
      </c>
      <c r="Q43" s="60">
        <f t="shared" si="46"/>
        <v>1949.6</v>
      </c>
      <c r="R43" s="60">
        <f t="shared" si="46"/>
        <v>1949.6</v>
      </c>
      <c r="S43" s="60">
        <f t="shared" si="46"/>
        <v>1949.6</v>
      </c>
      <c r="T43" s="60">
        <f t="shared" si="46"/>
        <v>1949.6</v>
      </c>
      <c r="U43" s="60">
        <f t="shared" si="46"/>
        <v>1949.6</v>
      </c>
      <c r="V43" s="60">
        <f t="shared" si="46"/>
        <v>1949.6</v>
      </c>
      <c r="W43" s="60">
        <f t="shared" si="46"/>
        <v>1949.6</v>
      </c>
      <c r="X43" s="60">
        <f t="shared" si="46"/>
        <v>1949.6</v>
      </c>
      <c r="Y43" s="60">
        <f t="shared" si="46"/>
        <v>1949.6</v>
      </c>
      <c r="Z43" s="60">
        <f t="shared" si="46"/>
        <v>1949.6</v>
      </c>
      <c r="AA43" s="60">
        <f t="shared" si="46"/>
        <v>2117.6</v>
      </c>
      <c r="AB43" s="60">
        <f t="shared" si="46"/>
        <v>2117.6</v>
      </c>
      <c r="AC43" s="60">
        <f t="shared" si="46"/>
        <v>2117.6</v>
      </c>
      <c r="AD43" s="60">
        <f t="shared" si="46"/>
        <v>2117.6</v>
      </c>
      <c r="AE43" s="60">
        <f t="shared" si="46"/>
        <v>3009.6</v>
      </c>
      <c r="AF43" s="60">
        <f t="shared" si="46"/>
        <v>3009.6</v>
      </c>
      <c r="AG43" s="60">
        <f t="shared" si="46"/>
        <v>3009.6</v>
      </c>
      <c r="AH43" s="60">
        <f t="shared" si="46"/>
        <v>3009.6</v>
      </c>
      <c r="AI43" s="60">
        <f t="shared" si="46"/>
        <v>3009.6</v>
      </c>
      <c r="AJ43" s="60">
        <f t="shared" si="46"/>
        <v>3009.6</v>
      </c>
      <c r="AK43" s="60">
        <f t="shared" si="46"/>
        <v>3009.6</v>
      </c>
      <c r="AL43" s="60">
        <f t="shared" si="46"/>
        <v>3009.6</v>
      </c>
      <c r="AM43" s="60">
        <f t="shared" si="46"/>
        <v>3009.6</v>
      </c>
      <c r="AN43" s="60">
        <f t="shared" si="46"/>
        <v>3009.6</v>
      </c>
      <c r="AO43" s="60">
        <f t="shared" si="46"/>
        <v>3009.6</v>
      </c>
      <c r="AP43" s="60">
        <f t="shared" si="46"/>
        <v>3009.6</v>
      </c>
      <c r="AQ43" s="60">
        <f t="shared" si="46"/>
        <v>3009.6</v>
      </c>
      <c r="AR43" s="60">
        <f t="shared" si="46"/>
        <v>3009.6</v>
      </c>
      <c r="AS43" s="60">
        <f t="shared" si="46"/>
        <v>3009.6</v>
      </c>
      <c r="AT43" s="60">
        <f t="shared" si="46"/>
        <v>1316</v>
      </c>
      <c r="AU43" s="60">
        <f t="shared" si="46"/>
        <v>1316</v>
      </c>
      <c r="AV43" s="60">
        <f t="shared" ref="AV43:CA43" si="47">SUM(AV44:AV54)</f>
        <v>1316</v>
      </c>
      <c r="AW43" s="60">
        <f t="shared" si="47"/>
        <v>1316</v>
      </c>
      <c r="AX43" s="60">
        <f t="shared" si="47"/>
        <v>1316</v>
      </c>
      <c r="AY43" s="60">
        <f t="shared" si="47"/>
        <v>1316</v>
      </c>
      <c r="AZ43" s="60">
        <f t="shared" si="47"/>
        <v>1316</v>
      </c>
      <c r="BA43" s="60">
        <f t="shared" si="47"/>
        <v>1316</v>
      </c>
      <c r="BB43" s="60">
        <f t="shared" si="47"/>
        <v>1316</v>
      </c>
      <c r="BC43" s="60">
        <f t="shared" si="47"/>
        <v>1316</v>
      </c>
      <c r="BD43" s="60">
        <f t="shared" si="47"/>
        <v>1316</v>
      </c>
      <c r="BE43" s="60">
        <f t="shared" si="47"/>
        <v>1316</v>
      </c>
      <c r="BF43" s="60">
        <f t="shared" si="47"/>
        <v>1316</v>
      </c>
      <c r="BG43" s="60">
        <f t="shared" si="47"/>
        <v>1316</v>
      </c>
      <c r="BH43" s="60">
        <f t="shared" si="47"/>
        <v>1316</v>
      </c>
      <c r="BI43" s="60">
        <f t="shared" si="47"/>
        <v>2736.8</v>
      </c>
      <c r="BJ43" s="60">
        <f t="shared" si="47"/>
        <v>3264.8</v>
      </c>
      <c r="BK43" s="60">
        <f t="shared" si="47"/>
        <v>3264.8</v>
      </c>
      <c r="BL43" s="60">
        <f t="shared" si="47"/>
        <v>3264.8</v>
      </c>
      <c r="BM43" s="60">
        <f t="shared" si="47"/>
        <v>3264.8</v>
      </c>
      <c r="BN43" s="60">
        <f t="shared" si="47"/>
        <v>3264.8</v>
      </c>
      <c r="BO43" s="60">
        <f t="shared" si="47"/>
        <v>3264.8</v>
      </c>
      <c r="BP43" s="60">
        <f t="shared" si="47"/>
        <v>3264.8</v>
      </c>
      <c r="BQ43" s="60">
        <f t="shared" si="47"/>
        <v>3264.8</v>
      </c>
      <c r="BR43" s="60">
        <f t="shared" si="47"/>
        <v>3096.8</v>
      </c>
      <c r="BS43" s="60">
        <f t="shared" si="47"/>
        <v>3096.8</v>
      </c>
      <c r="BT43" s="60">
        <f t="shared" si="47"/>
        <v>3096.8</v>
      </c>
      <c r="BU43" s="60">
        <f t="shared" si="47"/>
        <v>2204.8000000000002</v>
      </c>
      <c r="BV43" s="60">
        <f t="shared" si="47"/>
        <v>2204.8000000000002</v>
      </c>
      <c r="BW43" s="60">
        <f t="shared" si="47"/>
        <v>2204.8000000000002</v>
      </c>
      <c r="BX43" s="60">
        <f t="shared" si="47"/>
        <v>2204.8000000000002</v>
      </c>
      <c r="BY43" s="60">
        <f t="shared" si="47"/>
        <v>2204.8000000000002</v>
      </c>
      <c r="BZ43" s="60">
        <f t="shared" si="47"/>
        <v>2204.8000000000002</v>
      </c>
      <c r="CA43" s="60">
        <f t="shared" si="47"/>
        <v>2204.8000000000002</v>
      </c>
      <c r="CB43" s="60">
        <f t="shared" ref="CB43:DG43" si="48">SUM(CB44:CB54)</f>
        <v>2204.8000000000002</v>
      </c>
      <c r="CC43" s="60">
        <f t="shared" si="48"/>
        <v>2204.8000000000002</v>
      </c>
      <c r="CD43" s="60">
        <f t="shared" si="48"/>
        <v>2204.8000000000002</v>
      </c>
      <c r="CE43" s="60">
        <f t="shared" si="48"/>
        <v>784</v>
      </c>
      <c r="CF43" s="60">
        <f t="shared" si="48"/>
        <v>256</v>
      </c>
    </row>
    <row r="44" spans="1:84" x14ac:dyDescent="0.3">
      <c r="A44" s="61" t="s">
        <v>93</v>
      </c>
      <c r="B44" s="23"/>
      <c r="C44" s="23" t="s">
        <v>129</v>
      </c>
      <c r="D44" s="61" t="s">
        <v>130</v>
      </c>
      <c r="E44" s="24">
        <v>89.6</v>
      </c>
      <c r="F44" s="24"/>
      <c r="G44" s="24"/>
      <c r="H44" s="24"/>
      <c r="I44" s="23"/>
      <c r="J44" s="23"/>
      <c r="K44" s="23"/>
      <c r="L44" s="23"/>
      <c r="M44" s="25"/>
      <c r="N44" s="23"/>
      <c r="O44" s="26"/>
      <c r="P44" s="62">
        <f t="shared" ref="P44:AU44" si="49">P30*$E44*2</f>
        <v>1433.6</v>
      </c>
      <c r="Q44" s="62">
        <f t="shared" si="49"/>
        <v>1433.6</v>
      </c>
      <c r="R44" s="62">
        <f t="shared" si="49"/>
        <v>1433.6</v>
      </c>
      <c r="S44" s="62">
        <f t="shared" si="49"/>
        <v>1433.6</v>
      </c>
      <c r="T44" s="62">
        <f t="shared" si="49"/>
        <v>1433.6</v>
      </c>
      <c r="U44" s="62">
        <f t="shared" si="49"/>
        <v>1433.6</v>
      </c>
      <c r="V44" s="62">
        <f t="shared" si="49"/>
        <v>1433.6</v>
      </c>
      <c r="W44" s="62">
        <f t="shared" si="49"/>
        <v>1433.6</v>
      </c>
      <c r="X44" s="62">
        <f t="shared" si="49"/>
        <v>1433.6</v>
      </c>
      <c r="Y44" s="62">
        <f t="shared" si="49"/>
        <v>1433.6</v>
      </c>
      <c r="Z44" s="62">
        <f t="shared" si="49"/>
        <v>1433.6</v>
      </c>
      <c r="AA44" s="62">
        <f t="shared" si="49"/>
        <v>1433.6</v>
      </c>
      <c r="AB44" s="62">
        <f t="shared" si="49"/>
        <v>1433.6</v>
      </c>
      <c r="AC44" s="62">
        <f t="shared" si="49"/>
        <v>1433.6</v>
      </c>
      <c r="AD44" s="62">
        <f t="shared" si="49"/>
        <v>1433.6</v>
      </c>
      <c r="AE44" s="62">
        <f t="shared" si="49"/>
        <v>1433.6</v>
      </c>
      <c r="AF44" s="62">
        <f t="shared" si="49"/>
        <v>1433.6</v>
      </c>
      <c r="AG44" s="62">
        <f t="shared" si="49"/>
        <v>1433.6</v>
      </c>
      <c r="AH44" s="62">
        <f t="shared" si="49"/>
        <v>1433.6</v>
      </c>
      <c r="AI44" s="62">
        <f t="shared" si="49"/>
        <v>1433.6</v>
      </c>
      <c r="AJ44" s="62">
        <f t="shared" si="49"/>
        <v>1433.6</v>
      </c>
      <c r="AK44" s="62">
        <f t="shared" si="49"/>
        <v>1433.6</v>
      </c>
      <c r="AL44" s="62">
        <f t="shared" si="49"/>
        <v>1433.6</v>
      </c>
      <c r="AM44" s="62">
        <f t="shared" si="49"/>
        <v>1433.6</v>
      </c>
      <c r="AN44" s="62">
        <f t="shared" si="49"/>
        <v>1433.6</v>
      </c>
      <c r="AO44" s="62">
        <f t="shared" si="49"/>
        <v>1433.6</v>
      </c>
      <c r="AP44" s="62">
        <f t="shared" si="49"/>
        <v>1433.6</v>
      </c>
      <c r="AQ44" s="62">
        <f t="shared" si="49"/>
        <v>1433.6</v>
      </c>
      <c r="AR44" s="62">
        <f t="shared" si="49"/>
        <v>1433.6</v>
      </c>
      <c r="AS44" s="62">
        <f t="shared" si="49"/>
        <v>1433.6</v>
      </c>
      <c r="AT44" s="62">
        <f t="shared" si="49"/>
        <v>0</v>
      </c>
      <c r="AU44" s="62">
        <f t="shared" si="49"/>
        <v>0</v>
      </c>
      <c r="AV44" s="62">
        <f t="shared" ref="AV44:CF44" si="50">AV30*$E44*2</f>
        <v>0</v>
      </c>
      <c r="AW44" s="62">
        <f t="shared" si="50"/>
        <v>0</v>
      </c>
      <c r="AX44" s="62">
        <f t="shared" si="50"/>
        <v>0</v>
      </c>
      <c r="AY44" s="62">
        <f t="shared" si="50"/>
        <v>0</v>
      </c>
      <c r="AZ44" s="62">
        <f t="shared" si="50"/>
        <v>0</v>
      </c>
      <c r="BA44" s="62">
        <f t="shared" si="50"/>
        <v>0</v>
      </c>
      <c r="BB44" s="62">
        <f t="shared" si="50"/>
        <v>0</v>
      </c>
      <c r="BC44" s="62">
        <f t="shared" si="50"/>
        <v>0</v>
      </c>
      <c r="BD44" s="62">
        <f t="shared" si="50"/>
        <v>0</v>
      </c>
      <c r="BE44" s="62">
        <f t="shared" si="50"/>
        <v>0</v>
      </c>
      <c r="BF44" s="62">
        <f t="shared" si="50"/>
        <v>0</v>
      </c>
      <c r="BG44" s="62">
        <f t="shared" si="50"/>
        <v>0</v>
      </c>
      <c r="BH44" s="62">
        <f t="shared" si="50"/>
        <v>0</v>
      </c>
      <c r="BI44" s="62">
        <f t="shared" si="50"/>
        <v>716.8</v>
      </c>
      <c r="BJ44" s="62">
        <f t="shared" si="50"/>
        <v>716.8</v>
      </c>
      <c r="BK44" s="62">
        <f t="shared" si="50"/>
        <v>716.8</v>
      </c>
      <c r="BL44" s="62">
        <f t="shared" si="50"/>
        <v>716.8</v>
      </c>
      <c r="BM44" s="62">
        <f t="shared" si="50"/>
        <v>716.8</v>
      </c>
      <c r="BN44" s="62">
        <f t="shared" si="50"/>
        <v>716.8</v>
      </c>
      <c r="BO44" s="62">
        <f t="shared" si="50"/>
        <v>716.8</v>
      </c>
      <c r="BP44" s="62">
        <f t="shared" si="50"/>
        <v>716.8</v>
      </c>
      <c r="BQ44" s="62">
        <f t="shared" si="50"/>
        <v>716.8</v>
      </c>
      <c r="BR44" s="62">
        <f t="shared" si="50"/>
        <v>716.8</v>
      </c>
      <c r="BS44" s="62">
        <f t="shared" si="50"/>
        <v>716.8</v>
      </c>
      <c r="BT44" s="62">
        <f t="shared" si="50"/>
        <v>716.8</v>
      </c>
      <c r="BU44" s="62">
        <f t="shared" si="50"/>
        <v>716.8</v>
      </c>
      <c r="BV44" s="62">
        <f t="shared" si="50"/>
        <v>716.8</v>
      </c>
      <c r="BW44" s="62">
        <f t="shared" si="50"/>
        <v>716.8</v>
      </c>
      <c r="BX44" s="62">
        <f t="shared" si="50"/>
        <v>716.8</v>
      </c>
      <c r="BY44" s="62">
        <f t="shared" si="50"/>
        <v>716.8</v>
      </c>
      <c r="BZ44" s="62">
        <f t="shared" si="50"/>
        <v>716.8</v>
      </c>
      <c r="CA44" s="62">
        <f t="shared" si="50"/>
        <v>716.8</v>
      </c>
      <c r="CB44" s="62">
        <f t="shared" si="50"/>
        <v>716.8</v>
      </c>
      <c r="CC44" s="62">
        <f t="shared" si="50"/>
        <v>716.8</v>
      </c>
      <c r="CD44" s="62">
        <f t="shared" si="50"/>
        <v>716.8</v>
      </c>
      <c r="CE44" s="62">
        <f t="shared" si="50"/>
        <v>0</v>
      </c>
      <c r="CF44" s="62">
        <f t="shared" si="50"/>
        <v>0</v>
      </c>
    </row>
    <row r="45" spans="1:84" x14ac:dyDescent="0.3">
      <c r="A45" s="61" t="s">
        <v>97</v>
      </c>
      <c r="B45" s="23"/>
      <c r="C45" s="23" t="s">
        <v>131</v>
      </c>
      <c r="D45" s="61" t="s">
        <v>130</v>
      </c>
      <c r="E45" s="24">
        <v>26</v>
      </c>
      <c r="F45" s="24"/>
      <c r="G45" s="24"/>
      <c r="H45" s="24"/>
      <c r="I45" s="23"/>
      <c r="J45" s="23"/>
      <c r="K45" s="23"/>
      <c r="L45" s="23"/>
      <c r="M45" s="25"/>
      <c r="N45" s="23"/>
      <c r="O45" s="26"/>
      <c r="P45" s="62">
        <f t="shared" ref="P45:AU45" si="51">P31*$E45*2</f>
        <v>260</v>
      </c>
      <c r="Q45" s="62">
        <f t="shared" si="51"/>
        <v>260</v>
      </c>
      <c r="R45" s="62">
        <f t="shared" si="51"/>
        <v>260</v>
      </c>
      <c r="S45" s="62">
        <f t="shared" si="51"/>
        <v>260</v>
      </c>
      <c r="T45" s="62">
        <f t="shared" si="51"/>
        <v>260</v>
      </c>
      <c r="U45" s="62">
        <f t="shared" si="51"/>
        <v>260</v>
      </c>
      <c r="V45" s="62">
        <f t="shared" si="51"/>
        <v>260</v>
      </c>
      <c r="W45" s="62">
        <f t="shared" si="51"/>
        <v>260</v>
      </c>
      <c r="X45" s="62">
        <f t="shared" si="51"/>
        <v>260</v>
      </c>
      <c r="Y45" s="62">
        <f t="shared" si="51"/>
        <v>260</v>
      </c>
      <c r="Z45" s="62">
        <f t="shared" si="51"/>
        <v>260</v>
      </c>
      <c r="AA45" s="62">
        <f t="shared" si="51"/>
        <v>260</v>
      </c>
      <c r="AB45" s="62">
        <f t="shared" si="51"/>
        <v>260</v>
      </c>
      <c r="AC45" s="62">
        <f t="shared" si="51"/>
        <v>260</v>
      </c>
      <c r="AD45" s="62">
        <f t="shared" si="51"/>
        <v>260</v>
      </c>
      <c r="AE45" s="62">
        <f t="shared" si="51"/>
        <v>260</v>
      </c>
      <c r="AF45" s="62">
        <f t="shared" si="51"/>
        <v>260</v>
      </c>
      <c r="AG45" s="62">
        <f t="shared" si="51"/>
        <v>260</v>
      </c>
      <c r="AH45" s="62">
        <f t="shared" si="51"/>
        <v>260</v>
      </c>
      <c r="AI45" s="62">
        <f t="shared" si="51"/>
        <v>260</v>
      </c>
      <c r="AJ45" s="62">
        <f t="shared" si="51"/>
        <v>260</v>
      </c>
      <c r="AK45" s="62">
        <f t="shared" si="51"/>
        <v>260</v>
      </c>
      <c r="AL45" s="62">
        <f t="shared" si="51"/>
        <v>260</v>
      </c>
      <c r="AM45" s="62">
        <f t="shared" si="51"/>
        <v>260</v>
      </c>
      <c r="AN45" s="62">
        <f t="shared" si="51"/>
        <v>260</v>
      </c>
      <c r="AO45" s="62">
        <f t="shared" si="51"/>
        <v>260</v>
      </c>
      <c r="AP45" s="62">
        <f t="shared" si="51"/>
        <v>260</v>
      </c>
      <c r="AQ45" s="62">
        <f t="shared" si="51"/>
        <v>260</v>
      </c>
      <c r="AR45" s="62">
        <f t="shared" si="51"/>
        <v>260</v>
      </c>
      <c r="AS45" s="62">
        <f t="shared" si="51"/>
        <v>260</v>
      </c>
      <c r="AT45" s="62">
        <f t="shared" si="51"/>
        <v>0</v>
      </c>
      <c r="AU45" s="62">
        <f t="shared" si="51"/>
        <v>0</v>
      </c>
      <c r="AV45" s="62">
        <f t="shared" ref="AV45:CF45" si="52">AV31*$E45*2</f>
        <v>0</v>
      </c>
      <c r="AW45" s="62">
        <f t="shared" si="52"/>
        <v>0</v>
      </c>
      <c r="AX45" s="62">
        <f t="shared" si="52"/>
        <v>0</v>
      </c>
      <c r="AY45" s="62">
        <f t="shared" si="52"/>
        <v>0</v>
      </c>
      <c r="AZ45" s="62">
        <f t="shared" si="52"/>
        <v>0</v>
      </c>
      <c r="BA45" s="62">
        <f t="shared" si="52"/>
        <v>0</v>
      </c>
      <c r="BB45" s="62">
        <f t="shared" si="52"/>
        <v>0</v>
      </c>
      <c r="BC45" s="62">
        <f t="shared" si="52"/>
        <v>0</v>
      </c>
      <c r="BD45" s="62">
        <f t="shared" si="52"/>
        <v>0</v>
      </c>
      <c r="BE45" s="62">
        <f t="shared" si="52"/>
        <v>0</v>
      </c>
      <c r="BF45" s="62">
        <f t="shared" si="52"/>
        <v>0</v>
      </c>
      <c r="BG45" s="62">
        <f t="shared" si="52"/>
        <v>0</v>
      </c>
      <c r="BH45" s="62">
        <f t="shared" si="52"/>
        <v>0</v>
      </c>
      <c r="BI45" s="62">
        <f t="shared" si="52"/>
        <v>208</v>
      </c>
      <c r="BJ45" s="62">
        <f t="shared" si="52"/>
        <v>208</v>
      </c>
      <c r="BK45" s="62">
        <f t="shared" si="52"/>
        <v>208</v>
      </c>
      <c r="BL45" s="62">
        <f t="shared" si="52"/>
        <v>208</v>
      </c>
      <c r="BM45" s="62">
        <f t="shared" si="52"/>
        <v>208</v>
      </c>
      <c r="BN45" s="62">
        <f t="shared" si="52"/>
        <v>208</v>
      </c>
      <c r="BO45" s="62">
        <f t="shared" si="52"/>
        <v>208</v>
      </c>
      <c r="BP45" s="62">
        <f t="shared" si="52"/>
        <v>208</v>
      </c>
      <c r="BQ45" s="62">
        <f t="shared" si="52"/>
        <v>208</v>
      </c>
      <c r="BR45" s="62">
        <f t="shared" si="52"/>
        <v>208</v>
      </c>
      <c r="BS45" s="62">
        <f t="shared" si="52"/>
        <v>208</v>
      </c>
      <c r="BT45" s="62">
        <f t="shared" si="52"/>
        <v>208</v>
      </c>
      <c r="BU45" s="62">
        <f t="shared" si="52"/>
        <v>208</v>
      </c>
      <c r="BV45" s="62">
        <f t="shared" si="52"/>
        <v>208</v>
      </c>
      <c r="BW45" s="62">
        <f t="shared" si="52"/>
        <v>208</v>
      </c>
      <c r="BX45" s="62">
        <f t="shared" si="52"/>
        <v>208</v>
      </c>
      <c r="BY45" s="62">
        <f t="shared" si="52"/>
        <v>208</v>
      </c>
      <c r="BZ45" s="62">
        <f t="shared" si="52"/>
        <v>208</v>
      </c>
      <c r="CA45" s="62">
        <f t="shared" si="52"/>
        <v>208</v>
      </c>
      <c r="CB45" s="62">
        <f t="shared" si="52"/>
        <v>208</v>
      </c>
      <c r="CC45" s="62">
        <f t="shared" si="52"/>
        <v>208</v>
      </c>
      <c r="CD45" s="62">
        <f t="shared" si="52"/>
        <v>208</v>
      </c>
      <c r="CE45" s="62">
        <f t="shared" si="52"/>
        <v>0</v>
      </c>
      <c r="CF45" s="62">
        <f t="shared" si="52"/>
        <v>0</v>
      </c>
    </row>
    <row r="46" spans="1:84" x14ac:dyDescent="0.3">
      <c r="A46" s="61" t="s">
        <v>101</v>
      </c>
      <c r="B46" s="23"/>
      <c r="C46" s="23" t="s">
        <v>132</v>
      </c>
      <c r="D46" s="61" t="s">
        <v>130</v>
      </c>
      <c r="E46" s="24">
        <v>44</v>
      </c>
      <c r="F46" s="24"/>
      <c r="G46" s="24"/>
      <c r="H46" s="24"/>
      <c r="I46" s="23"/>
      <c r="J46" s="23"/>
      <c r="K46" s="23"/>
      <c r="L46" s="23"/>
      <c r="M46" s="25"/>
      <c r="N46" s="23"/>
      <c r="O46" s="26"/>
      <c r="P46" s="62">
        <f t="shared" ref="P46:AU46" si="53">P32*$E46*2</f>
        <v>0</v>
      </c>
      <c r="Q46" s="62">
        <f t="shared" si="53"/>
        <v>0</v>
      </c>
      <c r="R46" s="62">
        <f t="shared" si="53"/>
        <v>0</v>
      </c>
      <c r="S46" s="62">
        <f t="shared" si="53"/>
        <v>0</v>
      </c>
      <c r="T46" s="62">
        <f t="shared" si="53"/>
        <v>0</v>
      </c>
      <c r="U46" s="62">
        <f t="shared" si="53"/>
        <v>0</v>
      </c>
      <c r="V46" s="62">
        <f t="shared" si="53"/>
        <v>0</v>
      </c>
      <c r="W46" s="62">
        <f t="shared" si="53"/>
        <v>0</v>
      </c>
      <c r="X46" s="62">
        <f t="shared" si="53"/>
        <v>0</v>
      </c>
      <c r="Y46" s="62">
        <f t="shared" si="53"/>
        <v>0</v>
      </c>
      <c r="Z46" s="62">
        <f t="shared" si="53"/>
        <v>0</v>
      </c>
      <c r="AA46" s="62">
        <f t="shared" si="53"/>
        <v>0</v>
      </c>
      <c r="AB46" s="62">
        <f t="shared" si="53"/>
        <v>0</v>
      </c>
      <c r="AC46" s="62">
        <f t="shared" si="53"/>
        <v>0</v>
      </c>
      <c r="AD46" s="62">
        <f t="shared" si="53"/>
        <v>0</v>
      </c>
      <c r="AE46" s="62">
        <f t="shared" si="53"/>
        <v>0</v>
      </c>
      <c r="AF46" s="62">
        <f t="shared" si="53"/>
        <v>0</v>
      </c>
      <c r="AG46" s="62">
        <f t="shared" si="53"/>
        <v>0</v>
      </c>
      <c r="AH46" s="62">
        <f t="shared" si="53"/>
        <v>0</v>
      </c>
      <c r="AI46" s="62">
        <f t="shared" si="53"/>
        <v>0</v>
      </c>
      <c r="AJ46" s="62">
        <f t="shared" si="53"/>
        <v>0</v>
      </c>
      <c r="AK46" s="62">
        <f t="shared" si="53"/>
        <v>0</v>
      </c>
      <c r="AL46" s="62">
        <f t="shared" si="53"/>
        <v>0</v>
      </c>
      <c r="AM46" s="62">
        <f t="shared" si="53"/>
        <v>0</v>
      </c>
      <c r="AN46" s="62">
        <f t="shared" si="53"/>
        <v>0</v>
      </c>
      <c r="AO46" s="62">
        <f t="shared" si="53"/>
        <v>0</v>
      </c>
      <c r="AP46" s="62">
        <f t="shared" si="53"/>
        <v>0</v>
      </c>
      <c r="AQ46" s="62">
        <f t="shared" si="53"/>
        <v>0</v>
      </c>
      <c r="AR46" s="62">
        <f t="shared" si="53"/>
        <v>0</v>
      </c>
      <c r="AS46" s="62">
        <f t="shared" si="53"/>
        <v>0</v>
      </c>
      <c r="AT46" s="62">
        <f t="shared" si="53"/>
        <v>0</v>
      </c>
      <c r="AU46" s="62">
        <f t="shared" si="53"/>
        <v>0</v>
      </c>
      <c r="AV46" s="62">
        <f t="shared" ref="AV46:CF46" si="54">AV32*$E46*2</f>
        <v>0</v>
      </c>
      <c r="AW46" s="62">
        <f t="shared" si="54"/>
        <v>0</v>
      </c>
      <c r="AX46" s="62">
        <f t="shared" si="54"/>
        <v>0</v>
      </c>
      <c r="AY46" s="62">
        <f t="shared" si="54"/>
        <v>0</v>
      </c>
      <c r="AZ46" s="62">
        <f t="shared" si="54"/>
        <v>0</v>
      </c>
      <c r="BA46" s="62">
        <f t="shared" si="54"/>
        <v>0</v>
      </c>
      <c r="BB46" s="62">
        <f t="shared" si="54"/>
        <v>0</v>
      </c>
      <c r="BC46" s="62">
        <f t="shared" si="54"/>
        <v>0</v>
      </c>
      <c r="BD46" s="62">
        <f t="shared" si="54"/>
        <v>0</v>
      </c>
      <c r="BE46" s="62">
        <f t="shared" si="54"/>
        <v>0</v>
      </c>
      <c r="BF46" s="62">
        <f t="shared" si="54"/>
        <v>0</v>
      </c>
      <c r="BG46" s="62">
        <f t="shared" si="54"/>
        <v>0</v>
      </c>
      <c r="BH46" s="62">
        <f t="shared" si="54"/>
        <v>0</v>
      </c>
      <c r="BI46" s="62">
        <f t="shared" si="54"/>
        <v>0</v>
      </c>
      <c r="BJ46" s="62">
        <f t="shared" si="54"/>
        <v>528</v>
      </c>
      <c r="BK46" s="62">
        <f t="shared" si="54"/>
        <v>528</v>
      </c>
      <c r="BL46" s="62">
        <f t="shared" si="54"/>
        <v>528</v>
      </c>
      <c r="BM46" s="62">
        <f t="shared" si="54"/>
        <v>528</v>
      </c>
      <c r="BN46" s="62">
        <f t="shared" si="54"/>
        <v>528</v>
      </c>
      <c r="BO46" s="62">
        <f t="shared" si="54"/>
        <v>528</v>
      </c>
      <c r="BP46" s="62">
        <f t="shared" si="54"/>
        <v>528</v>
      </c>
      <c r="BQ46" s="62">
        <f t="shared" si="54"/>
        <v>528</v>
      </c>
      <c r="BR46" s="62">
        <f t="shared" si="54"/>
        <v>528</v>
      </c>
      <c r="BS46" s="62">
        <f t="shared" si="54"/>
        <v>528</v>
      </c>
      <c r="BT46" s="62">
        <f t="shared" si="54"/>
        <v>528</v>
      </c>
      <c r="BU46" s="62">
        <f t="shared" si="54"/>
        <v>528</v>
      </c>
      <c r="BV46" s="62">
        <f t="shared" si="54"/>
        <v>528</v>
      </c>
      <c r="BW46" s="62">
        <f t="shared" si="54"/>
        <v>528</v>
      </c>
      <c r="BX46" s="62">
        <f t="shared" si="54"/>
        <v>528</v>
      </c>
      <c r="BY46" s="62">
        <f t="shared" si="54"/>
        <v>528</v>
      </c>
      <c r="BZ46" s="62">
        <f t="shared" si="54"/>
        <v>528</v>
      </c>
      <c r="CA46" s="62">
        <f t="shared" si="54"/>
        <v>528</v>
      </c>
      <c r="CB46" s="62">
        <f t="shared" si="54"/>
        <v>528</v>
      </c>
      <c r="CC46" s="62">
        <f t="shared" si="54"/>
        <v>528</v>
      </c>
      <c r="CD46" s="62">
        <f t="shared" si="54"/>
        <v>528</v>
      </c>
      <c r="CE46" s="62">
        <f t="shared" si="54"/>
        <v>528</v>
      </c>
      <c r="CF46" s="62">
        <f t="shared" si="54"/>
        <v>0</v>
      </c>
    </row>
    <row r="47" spans="1:84" x14ac:dyDescent="0.3">
      <c r="A47" s="61" t="s">
        <v>103</v>
      </c>
      <c r="B47" s="23"/>
      <c r="C47" s="23" t="s">
        <v>133</v>
      </c>
      <c r="D47" s="61" t="s">
        <v>130</v>
      </c>
      <c r="E47" s="24">
        <v>124</v>
      </c>
      <c r="F47" s="24"/>
      <c r="G47" s="24"/>
      <c r="H47" s="24"/>
      <c r="I47" s="23"/>
      <c r="J47" s="23"/>
      <c r="K47" s="23"/>
      <c r="L47" s="23"/>
      <c r="M47" s="25"/>
      <c r="N47" s="23"/>
      <c r="O47" s="26"/>
      <c r="P47" s="62">
        <f t="shared" ref="P47:AU47" si="55">P33*$E47*2</f>
        <v>0</v>
      </c>
      <c r="Q47" s="62">
        <f t="shared" si="55"/>
        <v>0</v>
      </c>
      <c r="R47" s="62">
        <f t="shared" si="55"/>
        <v>0</v>
      </c>
      <c r="S47" s="62">
        <f t="shared" si="55"/>
        <v>0</v>
      </c>
      <c r="T47" s="62">
        <f t="shared" si="55"/>
        <v>0</v>
      </c>
      <c r="U47" s="62">
        <f t="shared" si="55"/>
        <v>0</v>
      </c>
      <c r="V47" s="62">
        <f t="shared" si="55"/>
        <v>0</v>
      </c>
      <c r="W47" s="62">
        <f t="shared" si="55"/>
        <v>0</v>
      </c>
      <c r="X47" s="62">
        <f t="shared" si="55"/>
        <v>0</v>
      </c>
      <c r="Y47" s="62">
        <f t="shared" si="55"/>
        <v>0</v>
      </c>
      <c r="Z47" s="62">
        <f t="shared" si="55"/>
        <v>0</v>
      </c>
      <c r="AA47" s="62">
        <f t="shared" si="55"/>
        <v>0</v>
      </c>
      <c r="AB47" s="62">
        <f t="shared" si="55"/>
        <v>0</v>
      </c>
      <c r="AC47" s="62">
        <f t="shared" si="55"/>
        <v>0</v>
      </c>
      <c r="AD47" s="62">
        <f t="shared" si="55"/>
        <v>0</v>
      </c>
      <c r="AE47" s="62">
        <f t="shared" si="55"/>
        <v>0</v>
      </c>
      <c r="AF47" s="62">
        <f t="shared" si="55"/>
        <v>0</v>
      </c>
      <c r="AG47" s="62">
        <f t="shared" si="55"/>
        <v>0</v>
      </c>
      <c r="AH47" s="62">
        <f t="shared" si="55"/>
        <v>0</v>
      </c>
      <c r="AI47" s="62">
        <f t="shared" si="55"/>
        <v>0</v>
      </c>
      <c r="AJ47" s="62">
        <f t="shared" si="55"/>
        <v>0</v>
      </c>
      <c r="AK47" s="62">
        <f t="shared" si="55"/>
        <v>0</v>
      </c>
      <c r="AL47" s="62">
        <f t="shared" si="55"/>
        <v>0</v>
      </c>
      <c r="AM47" s="62">
        <f t="shared" si="55"/>
        <v>0</v>
      </c>
      <c r="AN47" s="62">
        <f t="shared" si="55"/>
        <v>0</v>
      </c>
      <c r="AO47" s="62">
        <f t="shared" si="55"/>
        <v>0</v>
      </c>
      <c r="AP47" s="62">
        <f t="shared" si="55"/>
        <v>0</v>
      </c>
      <c r="AQ47" s="62">
        <f t="shared" si="55"/>
        <v>0</v>
      </c>
      <c r="AR47" s="62">
        <f t="shared" si="55"/>
        <v>0</v>
      </c>
      <c r="AS47" s="62">
        <f t="shared" si="55"/>
        <v>0</v>
      </c>
      <c r="AT47" s="62">
        <f t="shared" si="55"/>
        <v>0</v>
      </c>
      <c r="AU47" s="62">
        <f t="shared" si="55"/>
        <v>0</v>
      </c>
      <c r="AV47" s="62">
        <f t="shared" ref="AV47:CF47" si="56">AV33*$E47*2</f>
        <v>0</v>
      </c>
      <c r="AW47" s="62">
        <f t="shared" si="56"/>
        <v>0</v>
      </c>
      <c r="AX47" s="62">
        <f t="shared" si="56"/>
        <v>0</v>
      </c>
      <c r="AY47" s="62">
        <f t="shared" si="56"/>
        <v>0</v>
      </c>
      <c r="AZ47" s="62">
        <f t="shared" si="56"/>
        <v>0</v>
      </c>
      <c r="BA47" s="62">
        <f t="shared" si="56"/>
        <v>0</v>
      </c>
      <c r="BB47" s="62">
        <f t="shared" si="56"/>
        <v>0</v>
      </c>
      <c r="BC47" s="62">
        <f t="shared" si="56"/>
        <v>0</v>
      </c>
      <c r="BD47" s="62">
        <f t="shared" si="56"/>
        <v>0</v>
      </c>
      <c r="BE47" s="62">
        <f t="shared" si="56"/>
        <v>0</v>
      </c>
      <c r="BF47" s="62">
        <f t="shared" si="56"/>
        <v>0</v>
      </c>
      <c r="BG47" s="62">
        <f t="shared" si="56"/>
        <v>0</v>
      </c>
      <c r="BH47" s="62">
        <f t="shared" si="56"/>
        <v>0</v>
      </c>
      <c r="BI47" s="62">
        <f t="shared" si="56"/>
        <v>496</v>
      </c>
      <c r="BJ47" s="62">
        <f t="shared" si="56"/>
        <v>496</v>
      </c>
      <c r="BK47" s="62">
        <f t="shared" si="56"/>
        <v>496</v>
      </c>
      <c r="BL47" s="62">
        <f t="shared" si="56"/>
        <v>496</v>
      </c>
      <c r="BM47" s="62">
        <f t="shared" si="56"/>
        <v>496</v>
      </c>
      <c r="BN47" s="62">
        <f t="shared" si="56"/>
        <v>496</v>
      </c>
      <c r="BO47" s="62">
        <f t="shared" si="56"/>
        <v>496</v>
      </c>
      <c r="BP47" s="62">
        <f t="shared" si="56"/>
        <v>496</v>
      </c>
      <c r="BQ47" s="62">
        <f t="shared" si="56"/>
        <v>496</v>
      </c>
      <c r="BR47" s="62">
        <f t="shared" si="56"/>
        <v>496</v>
      </c>
      <c r="BS47" s="62">
        <f t="shared" si="56"/>
        <v>496</v>
      </c>
      <c r="BT47" s="62">
        <f t="shared" si="56"/>
        <v>496</v>
      </c>
      <c r="BU47" s="62">
        <f t="shared" si="56"/>
        <v>496</v>
      </c>
      <c r="BV47" s="62">
        <f t="shared" si="56"/>
        <v>496</v>
      </c>
      <c r="BW47" s="62">
        <f t="shared" si="56"/>
        <v>496</v>
      </c>
      <c r="BX47" s="62">
        <f t="shared" si="56"/>
        <v>496</v>
      </c>
      <c r="BY47" s="62">
        <f t="shared" si="56"/>
        <v>496</v>
      </c>
      <c r="BZ47" s="62">
        <f t="shared" si="56"/>
        <v>496</v>
      </c>
      <c r="CA47" s="62">
        <f t="shared" si="56"/>
        <v>496</v>
      </c>
      <c r="CB47" s="62">
        <f t="shared" si="56"/>
        <v>496</v>
      </c>
      <c r="CC47" s="62">
        <f t="shared" si="56"/>
        <v>496</v>
      </c>
      <c r="CD47" s="62">
        <f t="shared" si="56"/>
        <v>496</v>
      </c>
      <c r="CE47" s="62">
        <f t="shared" si="56"/>
        <v>0</v>
      </c>
      <c r="CF47" s="62">
        <f t="shared" si="56"/>
        <v>0</v>
      </c>
    </row>
    <row r="48" spans="1:84" x14ac:dyDescent="0.3">
      <c r="A48" s="61" t="s">
        <v>106</v>
      </c>
      <c r="B48" s="23"/>
      <c r="C48" s="23" t="s">
        <v>134</v>
      </c>
      <c r="D48" s="61" t="s">
        <v>130</v>
      </c>
      <c r="E48" s="24">
        <v>28</v>
      </c>
      <c r="F48" s="24"/>
      <c r="G48" s="24"/>
      <c r="H48" s="24"/>
      <c r="I48" s="23"/>
      <c r="J48" s="23"/>
      <c r="K48" s="23"/>
      <c r="L48" s="23"/>
      <c r="M48" s="25"/>
      <c r="N48" s="23"/>
      <c r="O48" s="26"/>
      <c r="P48" s="62">
        <f t="shared" ref="P48:AU48" si="57">P34*$E48*2</f>
        <v>0</v>
      </c>
      <c r="Q48" s="62">
        <f t="shared" si="57"/>
        <v>0</v>
      </c>
      <c r="R48" s="62">
        <f t="shared" si="57"/>
        <v>0</v>
      </c>
      <c r="S48" s="62">
        <f t="shared" si="57"/>
        <v>0</v>
      </c>
      <c r="T48" s="62">
        <f t="shared" si="57"/>
        <v>0</v>
      </c>
      <c r="U48" s="62">
        <f t="shared" si="57"/>
        <v>0</v>
      </c>
      <c r="V48" s="62">
        <f t="shared" si="57"/>
        <v>0</v>
      </c>
      <c r="W48" s="62">
        <f t="shared" si="57"/>
        <v>0</v>
      </c>
      <c r="X48" s="62">
        <f t="shared" si="57"/>
        <v>0</v>
      </c>
      <c r="Y48" s="62">
        <f t="shared" si="57"/>
        <v>0</v>
      </c>
      <c r="Z48" s="62">
        <f t="shared" si="57"/>
        <v>0</v>
      </c>
      <c r="AA48" s="62">
        <f t="shared" si="57"/>
        <v>168</v>
      </c>
      <c r="AB48" s="62">
        <f t="shared" si="57"/>
        <v>168</v>
      </c>
      <c r="AC48" s="62">
        <f t="shared" si="57"/>
        <v>168</v>
      </c>
      <c r="AD48" s="62">
        <f t="shared" si="57"/>
        <v>168</v>
      </c>
      <c r="AE48" s="62">
        <f t="shared" si="57"/>
        <v>168</v>
      </c>
      <c r="AF48" s="62">
        <f t="shared" si="57"/>
        <v>168</v>
      </c>
      <c r="AG48" s="62">
        <f t="shared" si="57"/>
        <v>168</v>
      </c>
      <c r="AH48" s="62">
        <f t="shared" si="57"/>
        <v>168</v>
      </c>
      <c r="AI48" s="62">
        <f t="shared" si="57"/>
        <v>168</v>
      </c>
      <c r="AJ48" s="62">
        <f t="shared" si="57"/>
        <v>168</v>
      </c>
      <c r="AK48" s="62">
        <f t="shared" si="57"/>
        <v>168</v>
      </c>
      <c r="AL48" s="62">
        <f t="shared" si="57"/>
        <v>168</v>
      </c>
      <c r="AM48" s="62">
        <f t="shared" si="57"/>
        <v>168</v>
      </c>
      <c r="AN48" s="62">
        <f t="shared" si="57"/>
        <v>168</v>
      </c>
      <c r="AO48" s="62">
        <f t="shared" si="57"/>
        <v>168</v>
      </c>
      <c r="AP48" s="62">
        <f t="shared" si="57"/>
        <v>168</v>
      </c>
      <c r="AQ48" s="62">
        <f t="shared" si="57"/>
        <v>168</v>
      </c>
      <c r="AR48" s="62">
        <f t="shared" si="57"/>
        <v>168</v>
      </c>
      <c r="AS48" s="62">
        <f t="shared" si="57"/>
        <v>168</v>
      </c>
      <c r="AT48" s="62">
        <f t="shared" si="57"/>
        <v>168</v>
      </c>
      <c r="AU48" s="62">
        <f t="shared" si="57"/>
        <v>168</v>
      </c>
      <c r="AV48" s="62">
        <f t="shared" ref="AV48:CF48" si="58">AV34*$E48*2</f>
        <v>168</v>
      </c>
      <c r="AW48" s="62">
        <f t="shared" si="58"/>
        <v>168</v>
      </c>
      <c r="AX48" s="62">
        <f t="shared" si="58"/>
        <v>168</v>
      </c>
      <c r="AY48" s="62">
        <f t="shared" si="58"/>
        <v>168</v>
      </c>
      <c r="AZ48" s="62">
        <f t="shared" si="58"/>
        <v>168</v>
      </c>
      <c r="BA48" s="62">
        <f t="shared" si="58"/>
        <v>168</v>
      </c>
      <c r="BB48" s="62">
        <f t="shared" si="58"/>
        <v>168</v>
      </c>
      <c r="BC48" s="62">
        <f t="shared" si="58"/>
        <v>168</v>
      </c>
      <c r="BD48" s="62">
        <f t="shared" si="58"/>
        <v>168</v>
      </c>
      <c r="BE48" s="62">
        <f t="shared" si="58"/>
        <v>168</v>
      </c>
      <c r="BF48" s="62">
        <f t="shared" si="58"/>
        <v>168</v>
      </c>
      <c r="BG48" s="62">
        <f t="shared" si="58"/>
        <v>168</v>
      </c>
      <c r="BH48" s="62">
        <f t="shared" si="58"/>
        <v>168</v>
      </c>
      <c r="BI48" s="62">
        <f t="shared" si="58"/>
        <v>168</v>
      </c>
      <c r="BJ48" s="62">
        <f t="shared" si="58"/>
        <v>168</v>
      </c>
      <c r="BK48" s="62">
        <f t="shared" si="58"/>
        <v>168</v>
      </c>
      <c r="BL48" s="62">
        <f t="shared" si="58"/>
        <v>168</v>
      </c>
      <c r="BM48" s="62">
        <f t="shared" si="58"/>
        <v>168</v>
      </c>
      <c r="BN48" s="62">
        <f t="shared" si="58"/>
        <v>168</v>
      </c>
      <c r="BO48" s="62">
        <f t="shared" si="58"/>
        <v>168</v>
      </c>
      <c r="BP48" s="62">
        <f t="shared" si="58"/>
        <v>168</v>
      </c>
      <c r="BQ48" s="62">
        <f t="shared" si="58"/>
        <v>168</v>
      </c>
      <c r="BR48" s="62">
        <f t="shared" si="58"/>
        <v>0</v>
      </c>
      <c r="BS48" s="62">
        <f t="shared" si="58"/>
        <v>0</v>
      </c>
      <c r="BT48" s="62">
        <f t="shared" si="58"/>
        <v>0</v>
      </c>
      <c r="BU48" s="62">
        <f t="shared" si="58"/>
        <v>0</v>
      </c>
      <c r="BV48" s="62">
        <f t="shared" si="58"/>
        <v>0</v>
      </c>
      <c r="BW48" s="62">
        <f t="shared" si="58"/>
        <v>0</v>
      </c>
      <c r="BX48" s="62">
        <f t="shared" si="58"/>
        <v>0</v>
      </c>
      <c r="BY48" s="62">
        <f t="shared" si="58"/>
        <v>0</v>
      </c>
      <c r="BZ48" s="62">
        <f t="shared" si="58"/>
        <v>0</v>
      </c>
      <c r="CA48" s="62">
        <f t="shared" si="58"/>
        <v>0</v>
      </c>
      <c r="CB48" s="62">
        <f t="shared" si="58"/>
        <v>0</v>
      </c>
      <c r="CC48" s="62">
        <f t="shared" si="58"/>
        <v>0</v>
      </c>
      <c r="CD48" s="62">
        <f t="shared" si="58"/>
        <v>0</v>
      </c>
      <c r="CE48" s="62">
        <f t="shared" si="58"/>
        <v>0</v>
      </c>
      <c r="CF48" s="62">
        <f t="shared" si="58"/>
        <v>0</v>
      </c>
    </row>
    <row r="49" spans="1:84" x14ac:dyDescent="0.3">
      <c r="A49" s="61" t="s">
        <v>109</v>
      </c>
      <c r="B49" s="23"/>
      <c r="C49" s="23" t="s">
        <v>135</v>
      </c>
      <c r="D49" s="61" t="s">
        <v>130</v>
      </c>
      <c r="E49" s="24">
        <v>65</v>
      </c>
      <c r="F49" s="24"/>
      <c r="G49" s="24"/>
      <c r="H49" s="24"/>
      <c r="I49" s="23"/>
      <c r="J49" s="23"/>
      <c r="K49" s="23"/>
      <c r="L49" s="23"/>
      <c r="M49" s="25"/>
      <c r="N49" s="23"/>
      <c r="O49" s="26"/>
      <c r="P49" s="62">
        <f t="shared" ref="P49:AU49" si="59">P35*$E49*2</f>
        <v>0</v>
      </c>
      <c r="Q49" s="62">
        <f t="shared" si="59"/>
        <v>0</v>
      </c>
      <c r="R49" s="62">
        <f t="shared" si="59"/>
        <v>0</v>
      </c>
      <c r="S49" s="62">
        <f t="shared" si="59"/>
        <v>0</v>
      </c>
      <c r="T49" s="62">
        <f t="shared" si="59"/>
        <v>0</v>
      </c>
      <c r="U49" s="62">
        <f t="shared" si="59"/>
        <v>0</v>
      </c>
      <c r="V49" s="62">
        <f t="shared" si="59"/>
        <v>0</v>
      </c>
      <c r="W49" s="62">
        <f t="shared" si="59"/>
        <v>0</v>
      </c>
      <c r="X49" s="62">
        <f t="shared" si="59"/>
        <v>0</v>
      </c>
      <c r="Y49" s="62">
        <f t="shared" si="59"/>
        <v>0</v>
      </c>
      <c r="Z49" s="62">
        <f t="shared" si="59"/>
        <v>0</v>
      </c>
      <c r="AA49" s="62">
        <f t="shared" si="59"/>
        <v>0</v>
      </c>
      <c r="AB49" s="62">
        <f t="shared" si="59"/>
        <v>0</v>
      </c>
      <c r="AC49" s="62">
        <f t="shared" si="59"/>
        <v>0</v>
      </c>
      <c r="AD49" s="62">
        <f t="shared" si="59"/>
        <v>0</v>
      </c>
      <c r="AE49" s="62">
        <f t="shared" si="59"/>
        <v>260</v>
      </c>
      <c r="AF49" s="62">
        <f t="shared" si="59"/>
        <v>260</v>
      </c>
      <c r="AG49" s="62">
        <f t="shared" si="59"/>
        <v>260</v>
      </c>
      <c r="AH49" s="62">
        <f t="shared" si="59"/>
        <v>260</v>
      </c>
      <c r="AI49" s="62">
        <f t="shared" si="59"/>
        <v>260</v>
      </c>
      <c r="AJ49" s="62">
        <f t="shared" si="59"/>
        <v>260</v>
      </c>
      <c r="AK49" s="62">
        <f t="shared" si="59"/>
        <v>260</v>
      </c>
      <c r="AL49" s="62">
        <f t="shared" si="59"/>
        <v>260</v>
      </c>
      <c r="AM49" s="62">
        <f t="shared" si="59"/>
        <v>260</v>
      </c>
      <c r="AN49" s="62">
        <f t="shared" si="59"/>
        <v>260</v>
      </c>
      <c r="AO49" s="62">
        <f t="shared" si="59"/>
        <v>260</v>
      </c>
      <c r="AP49" s="62">
        <f t="shared" si="59"/>
        <v>260</v>
      </c>
      <c r="AQ49" s="62">
        <f t="shared" si="59"/>
        <v>260</v>
      </c>
      <c r="AR49" s="62">
        <f t="shared" si="59"/>
        <v>260</v>
      </c>
      <c r="AS49" s="62">
        <f t="shared" si="59"/>
        <v>260</v>
      </c>
      <c r="AT49" s="62">
        <f t="shared" si="59"/>
        <v>260</v>
      </c>
      <c r="AU49" s="62">
        <f t="shared" si="59"/>
        <v>260</v>
      </c>
      <c r="AV49" s="62">
        <f t="shared" ref="AV49:CF49" si="60">AV35*$E49*2</f>
        <v>260</v>
      </c>
      <c r="AW49" s="62">
        <f t="shared" si="60"/>
        <v>260</v>
      </c>
      <c r="AX49" s="62">
        <f t="shared" si="60"/>
        <v>260</v>
      </c>
      <c r="AY49" s="62">
        <f t="shared" si="60"/>
        <v>260</v>
      </c>
      <c r="AZ49" s="62">
        <f t="shared" si="60"/>
        <v>260</v>
      </c>
      <c r="BA49" s="62">
        <f t="shared" si="60"/>
        <v>260</v>
      </c>
      <c r="BB49" s="62">
        <f t="shared" si="60"/>
        <v>260</v>
      </c>
      <c r="BC49" s="62">
        <f t="shared" si="60"/>
        <v>260</v>
      </c>
      <c r="BD49" s="62">
        <f t="shared" si="60"/>
        <v>260</v>
      </c>
      <c r="BE49" s="62">
        <f t="shared" si="60"/>
        <v>260</v>
      </c>
      <c r="BF49" s="62">
        <f t="shared" si="60"/>
        <v>260</v>
      </c>
      <c r="BG49" s="62">
        <f t="shared" si="60"/>
        <v>260</v>
      </c>
      <c r="BH49" s="62">
        <f t="shared" si="60"/>
        <v>260</v>
      </c>
      <c r="BI49" s="62">
        <f t="shared" si="60"/>
        <v>260</v>
      </c>
      <c r="BJ49" s="62">
        <f t="shared" si="60"/>
        <v>260</v>
      </c>
      <c r="BK49" s="62">
        <f t="shared" si="60"/>
        <v>260</v>
      </c>
      <c r="BL49" s="62">
        <f t="shared" si="60"/>
        <v>260</v>
      </c>
      <c r="BM49" s="62">
        <f t="shared" si="60"/>
        <v>260</v>
      </c>
      <c r="BN49" s="62">
        <f t="shared" si="60"/>
        <v>260</v>
      </c>
      <c r="BO49" s="62">
        <f t="shared" si="60"/>
        <v>260</v>
      </c>
      <c r="BP49" s="62">
        <f t="shared" si="60"/>
        <v>260</v>
      </c>
      <c r="BQ49" s="62">
        <f t="shared" si="60"/>
        <v>260</v>
      </c>
      <c r="BR49" s="62">
        <f t="shared" si="60"/>
        <v>260</v>
      </c>
      <c r="BS49" s="62">
        <f t="shared" si="60"/>
        <v>260</v>
      </c>
      <c r="BT49" s="62">
        <f t="shared" si="60"/>
        <v>260</v>
      </c>
      <c r="BU49" s="62">
        <f t="shared" si="60"/>
        <v>0</v>
      </c>
      <c r="BV49" s="62">
        <f t="shared" si="60"/>
        <v>0</v>
      </c>
      <c r="BW49" s="62">
        <f t="shared" si="60"/>
        <v>0</v>
      </c>
      <c r="BX49" s="62">
        <f t="shared" si="60"/>
        <v>0</v>
      </c>
      <c r="BY49" s="62">
        <f t="shared" si="60"/>
        <v>0</v>
      </c>
      <c r="BZ49" s="62">
        <f t="shared" si="60"/>
        <v>0</v>
      </c>
      <c r="CA49" s="62">
        <f t="shared" si="60"/>
        <v>0</v>
      </c>
      <c r="CB49" s="62">
        <f t="shared" si="60"/>
        <v>0</v>
      </c>
      <c r="CC49" s="62">
        <f t="shared" si="60"/>
        <v>0</v>
      </c>
      <c r="CD49" s="62">
        <f t="shared" si="60"/>
        <v>0</v>
      </c>
      <c r="CE49" s="62">
        <f t="shared" si="60"/>
        <v>0</v>
      </c>
      <c r="CF49" s="62">
        <f t="shared" si="60"/>
        <v>0</v>
      </c>
    </row>
    <row r="50" spans="1:84" x14ac:dyDescent="0.3">
      <c r="A50" s="61" t="s">
        <v>112</v>
      </c>
      <c r="B50" s="23"/>
      <c r="C50" s="23" t="s">
        <v>136</v>
      </c>
      <c r="D50" s="61" t="s">
        <v>130</v>
      </c>
      <c r="E50" s="24">
        <v>42</v>
      </c>
      <c r="F50" s="24"/>
      <c r="G50" s="24"/>
      <c r="H50" s="24"/>
      <c r="I50" s="23"/>
      <c r="J50" s="23"/>
      <c r="K50" s="23"/>
      <c r="L50" s="23"/>
      <c r="M50" s="25"/>
      <c r="N50" s="23"/>
      <c r="O50" s="26"/>
      <c r="P50" s="62">
        <f t="shared" ref="P50:AU50" si="61">P36*$E50*2</f>
        <v>0</v>
      </c>
      <c r="Q50" s="62">
        <f t="shared" si="61"/>
        <v>0</v>
      </c>
      <c r="R50" s="62">
        <f t="shared" si="61"/>
        <v>0</v>
      </c>
      <c r="S50" s="62">
        <f t="shared" si="61"/>
        <v>0</v>
      </c>
      <c r="T50" s="62">
        <f t="shared" si="61"/>
        <v>0</v>
      </c>
      <c r="U50" s="62">
        <f t="shared" si="61"/>
        <v>0</v>
      </c>
      <c r="V50" s="62">
        <f t="shared" si="61"/>
        <v>0</v>
      </c>
      <c r="W50" s="62">
        <f t="shared" si="61"/>
        <v>0</v>
      </c>
      <c r="X50" s="62">
        <f t="shared" si="61"/>
        <v>0</v>
      </c>
      <c r="Y50" s="62">
        <f t="shared" si="61"/>
        <v>0</v>
      </c>
      <c r="Z50" s="62">
        <f t="shared" si="61"/>
        <v>0</v>
      </c>
      <c r="AA50" s="62">
        <f t="shared" si="61"/>
        <v>0</v>
      </c>
      <c r="AB50" s="62">
        <f t="shared" si="61"/>
        <v>0</v>
      </c>
      <c r="AC50" s="62">
        <f t="shared" si="61"/>
        <v>0</v>
      </c>
      <c r="AD50" s="62">
        <f t="shared" si="61"/>
        <v>0</v>
      </c>
      <c r="AE50" s="62">
        <f t="shared" si="61"/>
        <v>504</v>
      </c>
      <c r="AF50" s="62">
        <f t="shared" si="61"/>
        <v>504</v>
      </c>
      <c r="AG50" s="62">
        <f t="shared" si="61"/>
        <v>504</v>
      </c>
      <c r="AH50" s="62">
        <f t="shared" si="61"/>
        <v>504</v>
      </c>
      <c r="AI50" s="62">
        <f t="shared" si="61"/>
        <v>504</v>
      </c>
      <c r="AJ50" s="62">
        <f t="shared" si="61"/>
        <v>504</v>
      </c>
      <c r="AK50" s="62">
        <f t="shared" si="61"/>
        <v>504</v>
      </c>
      <c r="AL50" s="62">
        <f t="shared" si="61"/>
        <v>504</v>
      </c>
      <c r="AM50" s="62">
        <f t="shared" si="61"/>
        <v>504</v>
      </c>
      <c r="AN50" s="62">
        <f t="shared" si="61"/>
        <v>504</v>
      </c>
      <c r="AO50" s="62">
        <f t="shared" si="61"/>
        <v>504</v>
      </c>
      <c r="AP50" s="62">
        <f t="shared" si="61"/>
        <v>504</v>
      </c>
      <c r="AQ50" s="62">
        <f t="shared" si="61"/>
        <v>504</v>
      </c>
      <c r="AR50" s="62">
        <f t="shared" si="61"/>
        <v>504</v>
      </c>
      <c r="AS50" s="62">
        <f t="shared" si="61"/>
        <v>504</v>
      </c>
      <c r="AT50" s="62">
        <f t="shared" si="61"/>
        <v>504</v>
      </c>
      <c r="AU50" s="62">
        <f t="shared" si="61"/>
        <v>504</v>
      </c>
      <c r="AV50" s="62">
        <f t="shared" ref="AV50:CF50" si="62">AV36*$E50*2</f>
        <v>504</v>
      </c>
      <c r="AW50" s="62">
        <f t="shared" si="62"/>
        <v>504</v>
      </c>
      <c r="AX50" s="62">
        <f t="shared" si="62"/>
        <v>504</v>
      </c>
      <c r="AY50" s="62">
        <f t="shared" si="62"/>
        <v>504</v>
      </c>
      <c r="AZ50" s="62">
        <f t="shared" si="62"/>
        <v>504</v>
      </c>
      <c r="BA50" s="62">
        <f t="shared" si="62"/>
        <v>504</v>
      </c>
      <c r="BB50" s="62">
        <f t="shared" si="62"/>
        <v>504</v>
      </c>
      <c r="BC50" s="62">
        <f t="shared" si="62"/>
        <v>504</v>
      </c>
      <c r="BD50" s="62">
        <f t="shared" si="62"/>
        <v>504</v>
      </c>
      <c r="BE50" s="62">
        <f t="shared" si="62"/>
        <v>504</v>
      </c>
      <c r="BF50" s="62">
        <f t="shared" si="62"/>
        <v>504</v>
      </c>
      <c r="BG50" s="62">
        <f t="shared" si="62"/>
        <v>504</v>
      </c>
      <c r="BH50" s="62">
        <f t="shared" si="62"/>
        <v>504</v>
      </c>
      <c r="BI50" s="62">
        <f t="shared" si="62"/>
        <v>504</v>
      </c>
      <c r="BJ50" s="62">
        <f t="shared" si="62"/>
        <v>504</v>
      </c>
      <c r="BK50" s="62">
        <f t="shared" si="62"/>
        <v>504</v>
      </c>
      <c r="BL50" s="62">
        <f t="shared" si="62"/>
        <v>504</v>
      </c>
      <c r="BM50" s="62">
        <f t="shared" si="62"/>
        <v>504</v>
      </c>
      <c r="BN50" s="62">
        <f t="shared" si="62"/>
        <v>504</v>
      </c>
      <c r="BO50" s="62">
        <f t="shared" si="62"/>
        <v>504</v>
      </c>
      <c r="BP50" s="62">
        <f t="shared" si="62"/>
        <v>504</v>
      </c>
      <c r="BQ50" s="62">
        <f t="shared" si="62"/>
        <v>504</v>
      </c>
      <c r="BR50" s="62">
        <f t="shared" si="62"/>
        <v>504</v>
      </c>
      <c r="BS50" s="62">
        <f t="shared" si="62"/>
        <v>504</v>
      </c>
      <c r="BT50" s="62">
        <f t="shared" si="62"/>
        <v>504</v>
      </c>
      <c r="BU50" s="62">
        <f t="shared" si="62"/>
        <v>0</v>
      </c>
      <c r="BV50" s="62">
        <f t="shared" si="62"/>
        <v>0</v>
      </c>
      <c r="BW50" s="62">
        <f t="shared" si="62"/>
        <v>0</v>
      </c>
      <c r="BX50" s="62">
        <f t="shared" si="62"/>
        <v>0</v>
      </c>
      <c r="BY50" s="62">
        <f t="shared" si="62"/>
        <v>0</v>
      </c>
      <c r="BZ50" s="62">
        <f t="shared" si="62"/>
        <v>0</v>
      </c>
      <c r="CA50" s="62">
        <f t="shared" si="62"/>
        <v>0</v>
      </c>
      <c r="CB50" s="62">
        <f t="shared" si="62"/>
        <v>0</v>
      </c>
      <c r="CC50" s="62">
        <f t="shared" si="62"/>
        <v>0</v>
      </c>
      <c r="CD50" s="62">
        <f t="shared" si="62"/>
        <v>0</v>
      </c>
      <c r="CE50" s="62">
        <f t="shared" si="62"/>
        <v>0</v>
      </c>
      <c r="CF50" s="62">
        <f t="shared" si="62"/>
        <v>0</v>
      </c>
    </row>
    <row r="51" spans="1:84" x14ac:dyDescent="0.3">
      <c r="A51" s="61" t="s">
        <v>115</v>
      </c>
      <c r="B51" s="23"/>
      <c r="C51" s="23" t="s">
        <v>137</v>
      </c>
      <c r="D51" s="61" t="s">
        <v>130</v>
      </c>
      <c r="E51" s="24">
        <v>64</v>
      </c>
      <c r="F51" s="24"/>
      <c r="G51" s="24"/>
      <c r="H51" s="24"/>
      <c r="I51" s="23"/>
      <c r="J51" s="23"/>
      <c r="K51" s="23"/>
      <c r="L51" s="23"/>
      <c r="M51" s="25"/>
      <c r="N51" s="23"/>
      <c r="O51" s="26"/>
      <c r="P51" s="62">
        <f t="shared" ref="P51:AU51" si="63">P37*$E51*2</f>
        <v>0</v>
      </c>
      <c r="Q51" s="62">
        <f t="shared" si="63"/>
        <v>0</v>
      </c>
      <c r="R51" s="62">
        <f t="shared" si="63"/>
        <v>0</v>
      </c>
      <c r="S51" s="62">
        <f t="shared" si="63"/>
        <v>0</v>
      </c>
      <c r="T51" s="62">
        <f t="shared" si="63"/>
        <v>0</v>
      </c>
      <c r="U51" s="62">
        <f t="shared" si="63"/>
        <v>0</v>
      </c>
      <c r="V51" s="62">
        <f t="shared" si="63"/>
        <v>0</v>
      </c>
      <c r="W51" s="62">
        <f t="shared" si="63"/>
        <v>0</v>
      </c>
      <c r="X51" s="62">
        <f t="shared" si="63"/>
        <v>0</v>
      </c>
      <c r="Y51" s="62">
        <f t="shared" si="63"/>
        <v>0</v>
      </c>
      <c r="Z51" s="62">
        <f t="shared" si="63"/>
        <v>0</v>
      </c>
      <c r="AA51" s="62">
        <f t="shared" si="63"/>
        <v>0</v>
      </c>
      <c r="AB51" s="62">
        <f t="shared" si="63"/>
        <v>0</v>
      </c>
      <c r="AC51" s="62">
        <f t="shared" si="63"/>
        <v>0</v>
      </c>
      <c r="AD51" s="62">
        <f t="shared" si="63"/>
        <v>0</v>
      </c>
      <c r="AE51" s="62">
        <f t="shared" si="63"/>
        <v>128</v>
      </c>
      <c r="AF51" s="62">
        <f t="shared" si="63"/>
        <v>128</v>
      </c>
      <c r="AG51" s="62">
        <f t="shared" si="63"/>
        <v>128</v>
      </c>
      <c r="AH51" s="62">
        <f t="shared" si="63"/>
        <v>128</v>
      </c>
      <c r="AI51" s="62">
        <f t="shared" si="63"/>
        <v>128</v>
      </c>
      <c r="AJ51" s="62">
        <f t="shared" si="63"/>
        <v>128</v>
      </c>
      <c r="AK51" s="62">
        <f t="shared" si="63"/>
        <v>128</v>
      </c>
      <c r="AL51" s="62">
        <f t="shared" si="63"/>
        <v>128</v>
      </c>
      <c r="AM51" s="62">
        <f t="shared" si="63"/>
        <v>128</v>
      </c>
      <c r="AN51" s="62">
        <f t="shared" si="63"/>
        <v>128</v>
      </c>
      <c r="AO51" s="62">
        <f t="shared" si="63"/>
        <v>128</v>
      </c>
      <c r="AP51" s="62">
        <f t="shared" si="63"/>
        <v>128</v>
      </c>
      <c r="AQ51" s="62">
        <f t="shared" si="63"/>
        <v>128</v>
      </c>
      <c r="AR51" s="62">
        <f t="shared" si="63"/>
        <v>128</v>
      </c>
      <c r="AS51" s="62">
        <f t="shared" si="63"/>
        <v>128</v>
      </c>
      <c r="AT51" s="62">
        <f t="shared" si="63"/>
        <v>128</v>
      </c>
      <c r="AU51" s="62">
        <f t="shared" si="63"/>
        <v>128</v>
      </c>
      <c r="AV51" s="62">
        <f t="shared" ref="AV51:CF51" si="64">AV37*$E51*2</f>
        <v>128</v>
      </c>
      <c r="AW51" s="62">
        <f t="shared" si="64"/>
        <v>128</v>
      </c>
      <c r="AX51" s="62">
        <f t="shared" si="64"/>
        <v>128</v>
      </c>
      <c r="AY51" s="62">
        <f t="shared" si="64"/>
        <v>128</v>
      </c>
      <c r="AZ51" s="62">
        <f t="shared" si="64"/>
        <v>128</v>
      </c>
      <c r="BA51" s="62">
        <f t="shared" si="64"/>
        <v>128</v>
      </c>
      <c r="BB51" s="62">
        <f t="shared" si="64"/>
        <v>128</v>
      </c>
      <c r="BC51" s="62">
        <f t="shared" si="64"/>
        <v>128</v>
      </c>
      <c r="BD51" s="62">
        <f t="shared" si="64"/>
        <v>128</v>
      </c>
      <c r="BE51" s="62">
        <f t="shared" si="64"/>
        <v>128</v>
      </c>
      <c r="BF51" s="62">
        <f t="shared" si="64"/>
        <v>128</v>
      </c>
      <c r="BG51" s="62">
        <f t="shared" si="64"/>
        <v>128</v>
      </c>
      <c r="BH51" s="62">
        <f t="shared" si="64"/>
        <v>128</v>
      </c>
      <c r="BI51" s="62">
        <f t="shared" si="64"/>
        <v>128</v>
      </c>
      <c r="BJ51" s="62">
        <f t="shared" si="64"/>
        <v>128</v>
      </c>
      <c r="BK51" s="62">
        <f t="shared" si="64"/>
        <v>128</v>
      </c>
      <c r="BL51" s="62">
        <f t="shared" si="64"/>
        <v>128</v>
      </c>
      <c r="BM51" s="62">
        <f t="shared" si="64"/>
        <v>128</v>
      </c>
      <c r="BN51" s="62">
        <f t="shared" si="64"/>
        <v>128</v>
      </c>
      <c r="BO51" s="62">
        <f t="shared" si="64"/>
        <v>128</v>
      </c>
      <c r="BP51" s="62">
        <f t="shared" si="64"/>
        <v>128</v>
      </c>
      <c r="BQ51" s="62">
        <f t="shared" si="64"/>
        <v>128</v>
      </c>
      <c r="BR51" s="62">
        <f t="shared" si="64"/>
        <v>128</v>
      </c>
      <c r="BS51" s="62">
        <f t="shared" si="64"/>
        <v>128</v>
      </c>
      <c r="BT51" s="62">
        <f t="shared" si="64"/>
        <v>128</v>
      </c>
      <c r="BU51" s="62">
        <f t="shared" si="64"/>
        <v>0</v>
      </c>
      <c r="BV51" s="62">
        <f t="shared" si="64"/>
        <v>0</v>
      </c>
      <c r="BW51" s="62">
        <f t="shared" si="64"/>
        <v>0</v>
      </c>
      <c r="BX51" s="62">
        <f t="shared" si="64"/>
        <v>0</v>
      </c>
      <c r="BY51" s="62">
        <f t="shared" si="64"/>
        <v>0</v>
      </c>
      <c r="BZ51" s="62">
        <f t="shared" si="64"/>
        <v>0</v>
      </c>
      <c r="CA51" s="62">
        <f t="shared" si="64"/>
        <v>0</v>
      </c>
      <c r="CB51" s="62">
        <f t="shared" si="64"/>
        <v>0</v>
      </c>
      <c r="CC51" s="62">
        <f t="shared" si="64"/>
        <v>0</v>
      </c>
      <c r="CD51" s="62">
        <f t="shared" si="64"/>
        <v>0</v>
      </c>
      <c r="CE51" s="62">
        <f t="shared" si="64"/>
        <v>0</v>
      </c>
      <c r="CF51" s="62">
        <f t="shared" si="64"/>
        <v>0</v>
      </c>
    </row>
    <row r="52" spans="1:84" x14ac:dyDescent="0.3">
      <c r="A52" s="61" t="s">
        <v>118</v>
      </c>
      <c r="B52" s="23"/>
      <c r="C52" s="23" t="s">
        <v>138</v>
      </c>
      <c r="D52" s="61" t="s">
        <v>130</v>
      </c>
      <c r="E52" s="24">
        <v>14</v>
      </c>
      <c r="F52" s="24"/>
      <c r="G52" s="24"/>
      <c r="H52" s="24"/>
      <c r="I52" s="23"/>
      <c r="J52" s="23"/>
      <c r="K52" s="23"/>
      <c r="L52" s="23"/>
      <c r="M52" s="25"/>
      <c r="N52" s="23"/>
      <c r="O52" s="26"/>
      <c r="P52" s="62">
        <f t="shared" ref="P52:AU52" si="65">P38*$E52*2</f>
        <v>56</v>
      </c>
      <c r="Q52" s="62">
        <f t="shared" si="65"/>
        <v>56</v>
      </c>
      <c r="R52" s="62">
        <f t="shared" si="65"/>
        <v>56</v>
      </c>
      <c r="S52" s="62">
        <f t="shared" si="65"/>
        <v>56</v>
      </c>
      <c r="T52" s="62">
        <f t="shared" si="65"/>
        <v>56</v>
      </c>
      <c r="U52" s="62">
        <f t="shared" si="65"/>
        <v>56</v>
      </c>
      <c r="V52" s="62">
        <f t="shared" si="65"/>
        <v>56</v>
      </c>
      <c r="W52" s="62">
        <f t="shared" si="65"/>
        <v>56</v>
      </c>
      <c r="X52" s="62">
        <f t="shared" si="65"/>
        <v>56</v>
      </c>
      <c r="Y52" s="62">
        <f t="shared" si="65"/>
        <v>56</v>
      </c>
      <c r="Z52" s="62">
        <f t="shared" si="65"/>
        <v>56</v>
      </c>
      <c r="AA52" s="62">
        <f t="shared" si="65"/>
        <v>56</v>
      </c>
      <c r="AB52" s="62">
        <f t="shared" si="65"/>
        <v>56</v>
      </c>
      <c r="AC52" s="62">
        <f t="shared" si="65"/>
        <v>56</v>
      </c>
      <c r="AD52" s="62">
        <f t="shared" si="65"/>
        <v>56</v>
      </c>
      <c r="AE52" s="62">
        <f t="shared" si="65"/>
        <v>56</v>
      </c>
      <c r="AF52" s="62">
        <f t="shared" si="65"/>
        <v>56</v>
      </c>
      <c r="AG52" s="62">
        <f t="shared" si="65"/>
        <v>56</v>
      </c>
      <c r="AH52" s="62">
        <f t="shared" si="65"/>
        <v>56</v>
      </c>
      <c r="AI52" s="62">
        <f t="shared" si="65"/>
        <v>56</v>
      </c>
      <c r="AJ52" s="62">
        <f t="shared" si="65"/>
        <v>56</v>
      </c>
      <c r="AK52" s="62">
        <f t="shared" si="65"/>
        <v>56</v>
      </c>
      <c r="AL52" s="62">
        <f t="shared" si="65"/>
        <v>56</v>
      </c>
      <c r="AM52" s="62">
        <f t="shared" si="65"/>
        <v>56</v>
      </c>
      <c r="AN52" s="62">
        <f t="shared" si="65"/>
        <v>56</v>
      </c>
      <c r="AO52" s="62">
        <f t="shared" si="65"/>
        <v>56</v>
      </c>
      <c r="AP52" s="62">
        <f t="shared" si="65"/>
        <v>56</v>
      </c>
      <c r="AQ52" s="62">
        <f t="shared" si="65"/>
        <v>56</v>
      </c>
      <c r="AR52" s="62">
        <f t="shared" si="65"/>
        <v>56</v>
      </c>
      <c r="AS52" s="62">
        <f t="shared" si="65"/>
        <v>56</v>
      </c>
      <c r="AT52" s="62">
        <f t="shared" si="65"/>
        <v>56</v>
      </c>
      <c r="AU52" s="62">
        <f t="shared" si="65"/>
        <v>56</v>
      </c>
      <c r="AV52" s="62">
        <f t="shared" ref="AV52:CF52" si="66">AV38*$E52*2</f>
        <v>56</v>
      </c>
      <c r="AW52" s="62">
        <f t="shared" si="66"/>
        <v>56</v>
      </c>
      <c r="AX52" s="62">
        <f t="shared" si="66"/>
        <v>56</v>
      </c>
      <c r="AY52" s="62">
        <f t="shared" si="66"/>
        <v>56</v>
      </c>
      <c r="AZ52" s="62">
        <f t="shared" si="66"/>
        <v>56</v>
      </c>
      <c r="BA52" s="62">
        <f t="shared" si="66"/>
        <v>56</v>
      </c>
      <c r="BB52" s="62">
        <f t="shared" si="66"/>
        <v>56</v>
      </c>
      <c r="BC52" s="62">
        <f t="shared" si="66"/>
        <v>56</v>
      </c>
      <c r="BD52" s="62">
        <f t="shared" si="66"/>
        <v>56</v>
      </c>
      <c r="BE52" s="62">
        <f t="shared" si="66"/>
        <v>56</v>
      </c>
      <c r="BF52" s="62">
        <f t="shared" si="66"/>
        <v>56</v>
      </c>
      <c r="BG52" s="62">
        <f t="shared" si="66"/>
        <v>56</v>
      </c>
      <c r="BH52" s="62">
        <f t="shared" si="66"/>
        <v>56</v>
      </c>
      <c r="BI52" s="62">
        <f t="shared" si="66"/>
        <v>56</v>
      </c>
      <c r="BJ52" s="62">
        <f t="shared" si="66"/>
        <v>56</v>
      </c>
      <c r="BK52" s="62">
        <f t="shared" si="66"/>
        <v>56</v>
      </c>
      <c r="BL52" s="62">
        <f t="shared" si="66"/>
        <v>56</v>
      </c>
      <c r="BM52" s="62">
        <f t="shared" si="66"/>
        <v>56</v>
      </c>
      <c r="BN52" s="62">
        <f t="shared" si="66"/>
        <v>56</v>
      </c>
      <c r="BO52" s="62">
        <f t="shared" si="66"/>
        <v>56</v>
      </c>
      <c r="BP52" s="62">
        <f t="shared" si="66"/>
        <v>56</v>
      </c>
      <c r="BQ52" s="62">
        <f t="shared" si="66"/>
        <v>56</v>
      </c>
      <c r="BR52" s="62">
        <f t="shared" si="66"/>
        <v>56</v>
      </c>
      <c r="BS52" s="62">
        <f t="shared" si="66"/>
        <v>56</v>
      </c>
      <c r="BT52" s="62">
        <f t="shared" si="66"/>
        <v>56</v>
      </c>
      <c r="BU52" s="62">
        <f t="shared" si="66"/>
        <v>56</v>
      </c>
      <c r="BV52" s="62">
        <f t="shared" si="66"/>
        <v>56</v>
      </c>
      <c r="BW52" s="62">
        <f t="shared" si="66"/>
        <v>56</v>
      </c>
      <c r="BX52" s="62">
        <f t="shared" si="66"/>
        <v>56</v>
      </c>
      <c r="BY52" s="62">
        <f t="shared" si="66"/>
        <v>56</v>
      </c>
      <c r="BZ52" s="62">
        <f t="shared" si="66"/>
        <v>56</v>
      </c>
      <c r="CA52" s="62">
        <f t="shared" si="66"/>
        <v>56</v>
      </c>
      <c r="CB52" s="62">
        <f t="shared" si="66"/>
        <v>56</v>
      </c>
      <c r="CC52" s="62">
        <f t="shared" si="66"/>
        <v>56</v>
      </c>
      <c r="CD52" s="62">
        <f t="shared" si="66"/>
        <v>56</v>
      </c>
      <c r="CE52" s="62">
        <f t="shared" si="66"/>
        <v>56</v>
      </c>
      <c r="CF52" s="62">
        <f t="shared" si="66"/>
        <v>56</v>
      </c>
    </row>
    <row r="53" spans="1:84" x14ac:dyDescent="0.3">
      <c r="A53" s="61" t="s">
        <v>121</v>
      </c>
      <c r="B53" s="23"/>
      <c r="C53" s="23" t="s">
        <v>139</v>
      </c>
      <c r="D53" s="61" t="s">
        <v>130</v>
      </c>
      <c r="E53" s="24">
        <v>44</v>
      </c>
      <c r="F53" s="24"/>
      <c r="G53" s="24"/>
      <c r="H53" s="24"/>
      <c r="I53" s="23"/>
      <c r="J53" s="23"/>
      <c r="K53" s="23"/>
      <c r="L53" s="23"/>
      <c r="M53" s="25"/>
      <c r="N53" s="23"/>
      <c r="O53" s="26"/>
      <c r="P53" s="62">
        <f t="shared" ref="P53:AU53" si="67">P39*$E53*2</f>
        <v>88</v>
      </c>
      <c r="Q53" s="62">
        <f t="shared" si="67"/>
        <v>88</v>
      </c>
      <c r="R53" s="62">
        <f t="shared" si="67"/>
        <v>88</v>
      </c>
      <c r="S53" s="62">
        <f t="shared" si="67"/>
        <v>88</v>
      </c>
      <c r="T53" s="62">
        <f t="shared" si="67"/>
        <v>88</v>
      </c>
      <c r="U53" s="62">
        <f t="shared" si="67"/>
        <v>88</v>
      </c>
      <c r="V53" s="62">
        <f t="shared" si="67"/>
        <v>88</v>
      </c>
      <c r="W53" s="62">
        <f t="shared" si="67"/>
        <v>88</v>
      </c>
      <c r="X53" s="62">
        <f t="shared" si="67"/>
        <v>88</v>
      </c>
      <c r="Y53" s="62">
        <f t="shared" si="67"/>
        <v>88</v>
      </c>
      <c r="Z53" s="62">
        <f t="shared" si="67"/>
        <v>88</v>
      </c>
      <c r="AA53" s="62">
        <f t="shared" si="67"/>
        <v>88</v>
      </c>
      <c r="AB53" s="62">
        <f t="shared" si="67"/>
        <v>88</v>
      </c>
      <c r="AC53" s="62">
        <f t="shared" si="67"/>
        <v>88</v>
      </c>
      <c r="AD53" s="62">
        <f t="shared" si="67"/>
        <v>88</v>
      </c>
      <c r="AE53" s="62">
        <f t="shared" si="67"/>
        <v>88</v>
      </c>
      <c r="AF53" s="62">
        <f t="shared" si="67"/>
        <v>88</v>
      </c>
      <c r="AG53" s="62">
        <f t="shared" si="67"/>
        <v>88</v>
      </c>
      <c r="AH53" s="62">
        <f t="shared" si="67"/>
        <v>88</v>
      </c>
      <c r="AI53" s="62">
        <f t="shared" si="67"/>
        <v>88</v>
      </c>
      <c r="AJ53" s="62">
        <f t="shared" si="67"/>
        <v>88</v>
      </c>
      <c r="AK53" s="62">
        <f t="shared" si="67"/>
        <v>88</v>
      </c>
      <c r="AL53" s="62">
        <f t="shared" si="67"/>
        <v>88</v>
      </c>
      <c r="AM53" s="62">
        <f t="shared" si="67"/>
        <v>88</v>
      </c>
      <c r="AN53" s="62">
        <f t="shared" si="67"/>
        <v>88</v>
      </c>
      <c r="AO53" s="62">
        <f t="shared" si="67"/>
        <v>88</v>
      </c>
      <c r="AP53" s="62">
        <f t="shared" si="67"/>
        <v>88</v>
      </c>
      <c r="AQ53" s="62">
        <f t="shared" si="67"/>
        <v>88</v>
      </c>
      <c r="AR53" s="62">
        <f t="shared" si="67"/>
        <v>88</v>
      </c>
      <c r="AS53" s="62">
        <f t="shared" si="67"/>
        <v>88</v>
      </c>
      <c r="AT53" s="62">
        <f t="shared" si="67"/>
        <v>88</v>
      </c>
      <c r="AU53" s="62">
        <f t="shared" si="67"/>
        <v>88</v>
      </c>
      <c r="AV53" s="62">
        <f t="shared" ref="AV53:CF53" si="68">AV39*$E53*2</f>
        <v>88</v>
      </c>
      <c r="AW53" s="62">
        <f t="shared" si="68"/>
        <v>88</v>
      </c>
      <c r="AX53" s="62">
        <f t="shared" si="68"/>
        <v>88</v>
      </c>
      <c r="AY53" s="62">
        <f t="shared" si="68"/>
        <v>88</v>
      </c>
      <c r="AZ53" s="62">
        <f t="shared" si="68"/>
        <v>88</v>
      </c>
      <c r="BA53" s="62">
        <f t="shared" si="68"/>
        <v>88</v>
      </c>
      <c r="BB53" s="62">
        <f t="shared" si="68"/>
        <v>88</v>
      </c>
      <c r="BC53" s="62">
        <f t="shared" si="68"/>
        <v>88</v>
      </c>
      <c r="BD53" s="62">
        <f t="shared" si="68"/>
        <v>88</v>
      </c>
      <c r="BE53" s="62">
        <f t="shared" si="68"/>
        <v>88</v>
      </c>
      <c r="BF53" s="62">
        <f t="shared" si="68"/>
        <v>88</v>
      </c>
      <c r="BG53" s="62">
        <f t="shared" si="68"/>
        <v>88</v>
      </c>
      <c r="BH53" s="62">
        <f t="shared" si="68"/>
        <v>88</v>
      </c>
      <c r="BI53" s="62">
        <f t="shared" si="68"/>
        <v>88</v>
      </c>
      <c r="BJ53" s="62">
        <f t="shared" si="68"/>
        <v>88</v>
      </c>
      <c r="BK53" s="62">
        <f t="shared" si="68"/>
        <v>88</v>
      </c>
      <c r="BL53" s="62">
        <f t="shared" si="68"/>
        <v>88</v>
      </c>
      <c r="BM53" s="62">
        <f t="shared" si="68"/>
        <v>88</v>
      </c>
      <c r="BN53" s="62">
        <f t="shared" si="68"/>
        <v>88</v>
      </c>
      <c r="BO53" s="62">
        <f t="shared" si="68"/>
        <v>88</v>
      </c>
      <c r="BP53" s="62">
        <f t="shared" si="68"/>
        <v>88</v>
      </c>
      <c r="BQ53" s="62">
        <f t="shared" si="68"/>
        <v>88</v>
      </c>
      <c r="BR53" s="62">
        <f t="shared" si="68"/>
        <v>88</v>
      </c>
      <c r="BS53" s="62">
        <f t="shared" si="68"/>
        <v>88</v>
      </c>
      <c r="BT53" s="62">
        <f t="shared" si="68"/>
        <v>88</v>
      </c>
      <c r="BU53" s="62">
        <f t="shared" si="68"/>
        <v>88</v>
      </c>
      <c r="BV53" s="62">
        <f t="shared" si="68"/>
        <v>88</v>
      </c>
      <c r="BW53" s="62">
        <f t="shared" si="68"/>
        <v>88</v>
      </c>
      <c r="BX53" s="62">
        <f t="shared" si="68"/>
        <v>88</v>
      </c>
      <c r="BY53" s="62">
        <f t="shared" si="68"/>
        <v>88</v>
      </c>
      <c r="BZ53" s="62">
        <f t="shared" si="68"/>
        <v>88</v>
      </c>
      <c r="CA53" s="62">
        <f t="shared" si="68"/>
        <v>88</v>
      </c>
      <c r="CB53" s="62">
        <f t="shared" si="68"/>
        <v>88</v>
      </c>
      <c r="CC53" s="62">
        <f t="shared" si="68"/>
        <v>88</v>
      </c>
      <c r="CD53" s="62">
        <f t="shared" si="68"/>
        <v>88</v>
      </c>
      <c r="CE53" s="62">
        <f t="shared" si="68"/>
        <v>88</v>
      </c>
      <c r="CF53" s="62">
        <f t="shared" si="68"/>
        <v>88</v>
      </c>
    </row>
    <row r="54" spans="1:84" x14ac:dyDescent="0.3">
      <c r="A54" s="61" t="s">
        <v>124</v>
      </c>
      <c r="B54" s="23"/>
      <c r="C54" s="23" t="s">
        <v>140</v>
      </c>
      <c r="D54" s="61" t="s">
        <v>130</v>
      </c>
      <c r="E54" s="24">
        <v>28</v>
      </c>
      <c r="F54" s="24"/>
      <c r="G54" s="24"/>
      <c r="H54" s="24"/>
      <c r="I54" s="23"/>
      <c r="J54" s="23"/>
      <c r="K54" s="23"/>
      <c r="L54" s="23"/>
      <c r="M54" s="25"/>
      <c r="N54" s="23"/>
      <c r="O54" s="26"/>
      <c r="P54" s="62">
        <f t="shared" ref="P54:AU54" si="69">P40*$E54*2</f>
        <v>112</v>
      </c>
      <c r="Q54" s="62">
        <f t="shared" si="69"/>
        <v>112</v>
      </c>
      <c r="R54" s="62">
        <f t="shared" si="69"/>
        <v>112</v>
      </c>
      <c r="S54" s="62">
        <f t="shared" si="69"/>
        <v>112</v>
      </c>
      <c r="T54" s="62">
        <f t="shared" si="69"/>
        <v>112</v>
      </c>
      <c r="U54" s="62">
        <f t="shared" si="69"/>
        <v>112</v>
      </c>
      <c r="V54" s="62">
        <f t="shared" si="69"/>
        <v>112</v>
      </c>
      <c r="W54" s="62">
        <f t="shared" si="69"/>
        <v>112</v>
      </c>
      <c r="X54" s="62">
        <f t="shared" si="69"/>
        <v>112</v>
      </c>
      <c r="Y54" s="62">
        <f t="shared" si="69"/>
        <v>112</v>
      </c>
      <c r="Z54" s="62">
        <f t="shared" si="69"/>
        <v>112</v>
      </c>
      <c r="AA54" s="62">
        <f t="shared" si="69"/>
        <v>112</v>
      </c>
      <c r="AB54" s="62">
        <f t="shared" si="69"/>
        <v>112</v>
      </c>
      <c r="AC54" s="62">
        <f t="shared" si="69"/>
        <v>112</v>
      </c>
      <c r="AD54" s="62">
        <f t="shared" si="69"/>
        <v>112</v>
      </c>
      <c r="AE54" s="62">
        <f t="shared" si="69"/>
        <v>112</v>
      </c>
      <c r="AF54" s="62">
        <f t="shared" si="69"/>
        <v>112</v>
      </c>
      <c r="AG54" s="62">
        <f t="shared" si="69"/>
        <v>112</v>
      </c>
      <c r="AH54" s="62">
        <f t="shared" si="69"/>
        <v>112</v>
      </c>
      <c r="AI54" s="62">
        <f t="shared" si="69"/>
        <v>112</v>
      </c>
      <c r="AJ54" s="62">
        <f t="shared" si="69"/>
        <v>112</v>
      </c>
      <c r="AK54" s="62">
        <f t="shared" si="69"/>
        <v>112</v>
      </c>
      <c r="AL54" s="62">
        <f t="shared" si="69"/>
        <v>112</v>
      </c>
      <c r="AM54" s="62">
        <f t="shared" si="69"/>
        <v>112</v>
      </c>
      <c r="AN54" s="62">
        <f t="shared" si="69"/>
        <v>112</v>
      </c>
      <c r="AO54" s="62">
        <f t="shared" si="69"/>
        <v>112</v>
      </c>
      <c r="AP54" s="62">
        <f t="shared" si="69"/>
        <v>112</v>
      </c>
      <c r="AQ54" s="62">
        <f t="shared" si="69"/>
        <v>112</v>
      </c>
      <c r="AR54" s="62">
        <f t="shared" si="69"/>
        <v>112</v>
      </c>
      <c r="AS54" s="62">
        <f t="shared" si="69"/>
        <v>112</v>
      </c>
      <c r="AT54" s="62">
        <f t="shared" si="69"/>
        <v>112</v>
      </c>
      <c r="AU54" s="62">
        <f t="shared" si="69"/>
        <v>112</v>
      </c>
      <c r="AV54" s="62">
        <f t="shared" ref="AV54:CF54" si="70">AV40*$E54*2</f>
        <v>112</v>
      </c>
      <c r="AW54" s="62">
        <f t="shared" si="70"/>
        <v>112</v>
      </c>
      <c r="AX54" s="62">
        <f t="shared" si="70"/>
        <v>112</v>
      </c>
      <c r="AY54" s="62">
        <f t="shared" si="70"/>
        <v>112</v>
      </c>
      <c r="AZ54" s="62">
        <f t="shared" si="70"/>
        <v>112</v>
      </c>
      <c r="BA54" s="62">
        <f t="shared" si="70"/>
        <v>112</v>
      </c>
      <c r="BB54" s="62">
        <f t="shared" si="70"/>
        <v>112</v>
      </c>
      <c r="BC54" s="62">
        <f t="shared" si="70"/>
        <v>112</v>
      </c>
      <c r="BD54" s="62">
        <f t="shared" si="70"/>
        <v>112</v>
      </c>
      <c r="BE54" s="62">
        <f t="shared" si="70"/>
        <v>112</v>
      </c>
      <c r="BF54" s="62">
        <f t="shared" si="70"/>
        <v>112</v>
      </c>
      <c r="BG54" s="62">
        <f t="shared" si="70"/>
        <v>112</v>
      </c>
      <c r="BH54" s="62">
        <f t="shared" si="70"/>
        <v>112</v>
      </c>
      <c r="BI54" s="62">
        <f t="shared" si="70"/>
        <v>112</v>
      </c>
      <c r="BJ54" s="62">
        <f t="shared" si="70"/>
        <v>112</v>
      </c>
      <c r="BK54" s="62">
        <f t="shared" si="70"/>
        <v>112</v>
      </c>
      <c r="BL54" s="62">
        <f t="shared" si="70"/>
        <v>112</v>
      </c>
      <c r="BM54" s="62">
        <f t="shared" si="70"/>
        <v>112</v>
      </c>
      <c r="BN54" s="62">
        <f t="shared" si="70"/>
        <v>112</v>
      </c>
      <c r="BO54" s="62">
        <f t="shared" si="70"/>
        <v>112</v>
      </c>
      <c r="BP54" s="62">
        <f t="shared" si="70"/>
        <v>112</v>
      </c>
      <c r="BQ54" s="62">
        <f t="shared" si="70"/>
        <v>112</v>
      </c>
      <c r="BR54" s="62">
        <f t="shared" si="70"/>
        <v>112</v>
      </c>
      <c r="BS54" s="62">
        <f t="shared" si="70"/>
        <v>112</v>
      </c>
      <c r="BT54" s="62">
        <f t="shared" si="70"/>
        <v>112</v>
      </c>
      <c r="BU54" s="62">
        <f t="shared" si="70"/>
        <v>112</v>
      </c>
      <c r="BV54" s="62">
        <f t="shared" si="70"/>
        <v>112</v>
      </c>
      <c r="BW54" s="62">
        <f t="shared" si="70"/>
        <v>112</v>
      </c>
      <c r="BX54" s="62">
        <f t="shared" si="70"/>
        <v>112</v>
      </c>
      <c r="BY54" s="62">
        <f t="shared" si="70"/>
        <v>112</v>
      </c>
      <c r="BZ54" s="62">
        <f t="shared" si="70"/>
        <v>112</v>
      </c>
      <c r="CA54" s="62">
        <f t="shared" si="70"/>
        <v>112</v>
      </c>
      <c r="CB54" s="62">
        <f t="shared" si="70"/>
        <v>112</v>
      </c>
      <c r="CC54" s="62">
        <f t="shared" si="70"/>
        <v>112</v>
      </c>
      <c r="CD54" s="62">
        <f t="shared" si="70"/>
        <v>112</v>
      </c>
      <c r="CE54" s="62">
        <f t="shared" si="70"/>
        <v>112</v>
      </c>
      <c r="CF54" s="62">
        <f t="shared" si="70"/>
        <v>112</v>
      </c>
    </row>
    <row r="55" spans="1:84" x14ac:dyDescent="0.3"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</row>
  </sheetData>
  <mergeCells count="20">
    <mergeCell ref="C28:M28"/>
    <mergeCell ref="O6:O7"/>
    <mergeCell ref="D6:D7"/>
    <mergeCell ref="F6:F7"/>
    <mergeCell ref="H6:H7"/>
    <mergeCell ref="J6:J7"/>
    <mergeCell ref="C42:M42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I6:I7"/>
    <mergeCell ref="K6:K7"/>
    <mergeCell ref="C6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defaultRowHeight="14" x14ac:dyDescent="0.3"/>
  <cols>
    <col min="1" max="1" width="6" customWidth="1"/>
    <col min="2" max="2" width="10" customWidth="1"/>
    <col min="3" max="3" width="44" customWidth="1"/>
    <col min="4" max="4" width="8" customWidth="1"/>
    <col min="5" max="5" width="16" customWidth="1"/>
    <col min="6" max="7" width="18" customWidth="1"/>
    <col min="8" max="8" width="16" customWidth="1"/>
    <col min="9" max="9" width="22" customWidth="1"/>
    <col min="10" max="10" width="46" customWidth="1"/>
  </cols>
  <sheetData>
    <row r="1" spans="1:10" ht="16.5" x14ac:dyDescent="0.3">
      <c r="A1" s="73" t="s">
        <v>141</v>
      </c>
      <c r="B1" s="71"/>
      <c r="C1" s="71"/>
      <c r="D1" s="71"/>
      <c r="E1" s="71"/>
      <c r="F1" s="71"/>
      <c r="G1" s="71"/>
      <c r="H1" s="71"/>
      <c r="I1" s="71"/>
      <c r="J1" s="71"/>
    </row>
    <row r="3" spans="1:10" x14ac:dyDescent="0.3">
      <c r="A3" s="27" t="s">
        <v>9</v>
      </c>
      <c r="B3" s="27" t="s">
        <v>142</v>
      </c>
      <c r="C3" s="27" t="s">
        <v>143</v>
      </c>
      <c r="D3" s="27" t="s">
        <v>12</v>
      </c>
      <c r="E3" s="27" t="s">
        <v>144</v>
      </c>
      <c r="F3" s="27" t="s">
        <v>15</v>
      </c>
      <c r="G3" s="27" t="s">
        <v>145</v>
      </c>
      <c r="H3" s="27" t="s">
        <v>146</v>
      </c>
      <c r="I3" s="27" t="s">
        <v>147</v>
      </c>
      <c r="J3" s="27" t="s">
        <v>148</v>
      </c>
    </row>
    <row r="4" spans="1:10" x14ac:dyDescent="0.3">
      <c r="A4" s="28">
        <v>1</v>
      </c>
      <c r="B4" s="28" t="s">
        <v>93</v>
      </c>
      <c r="C4" s="29" t="s">
        <v>94</v>
      </c>
      <c r="D4" s="28" t="s">
        <v>95</v>
      </c>
      <c r="E4" s="30">
        <v>89.6</v>
      </c>
      <c r="F4" s="30">
        <v>224.3</v>
      </c>
      <c r="G4" s="30">
        <f>'01_TienDo_CaMay_Master'!G8+'01_TienDo_CaMay_Master'!G9+'01_TienDo_CaMay_Master'!G20</f>
        <v>436.8</v>
      </c>
      <c r="H4" s="31">
        <v>16</v>
      </c>
      <c r="I4" s="30">
        <f t="shared" ref="I4:I14" si="0">ROUND(F4*G4,1)</f>
        <v>97974.2</v>
      </c>
      <c r="J4" s="29" t="s">
        <v>149</v>
      </c>
    </row>
    <row r="5" spans="1:10" x14ac:dyDescent="0.3">
      <c r="A5" s="28">
        <v>2</v>
      </c>
      <c r="B5" s="28" t="s">
        <v>97</v>
      </c>
      <c r="C5" s="29" t="s">
        <v>150</v>
      </c>
      <c r="D5" s="28" t="s">
        <v>99</v>
      </c>
      <c r="E5" s="30">
        <v>26</v>
      </c>
      <c r="F5" s="30">
        <v>151.30000000000001</v>
      </c>
      <c r="G5" s="30">
        <f>'01_TienDo_CaMay_Master'!G10</f>
        <v>151.30000000000001</v>
      </c>
      <c r="H5" s="31">
        <v>16</v>
      </c>
      <c r="I5" s="30">
        <f t="shared" si="0"/>
        <v>22891.7</v>
      </c>
      <c r="J5" s="29" t="s">
        <v>151</v>
      </c>
    </row>
    <row r="6" spans="1:10" x14ac:dyDescent="0.3">
      <c r="A6" s="28">
        <v>3</v>
      </c>
      <c r="B6" s="28" t="s">
        <v>101</v>
      </c>
      <c r="C6" s="29" t="s">
        <v>152</v>
      </c>
      <c r="D6" s="28" t="s">
        <v>95</v>
      </c>
      <c r="E6" s="30">
        <v>44</v>
      </c>
      <c r="F6" s="30">
        <v>212.5</v>
      </c>
      <c r="G6" s="30">
        <f>'01_TienDo_CaMay_Master'!G22</f>
        <v>212.5</v>
      </c>
      <c r="H6" s="31">
        <v>18</v>
      </c>
      <c r="I6" s="30">
        <f t="shared" si="0"/>
        <v>45156.3</v>
      </c>
      <c r="J6" s="29" t="s">
        <v>153</v>
      </c>
    </row>
    <row r="7" spans="1:10" x14ac:dyDescent="0.3">
      <c r="A7" s="28">
        <v>4</v>
      </c>
      <c r="B7" s="28" t="s">
        <v>103</v>
      </c>
      <c r="C7" s="29" t="s">
        <v>104</v>
      </c>
      <c r="D7" s="28" t="s">
        <v>95</v>
      </c>
      <c r="E7" s="30">
        <v>124</v>
      </c>
      <c r="F7" s="30">
        <v>38</v>
      </c>
      <c r="G7" s="30">
        <f>'01_TienDo_CaMay_Master'!G21</f>
        <v>38</v>
      </c>
      <c r="H7" s="31">
        <v>18</v>
      </c>
      <c r="I7" s="30">
        <f t="shared" si="0"/>
        <v>1444</v>
      </c>
      <c r="J7" s="29" t="s">
        <v>154</v>
      </c>
    </row>
    <row r="8" spans="1:10" x14ac:dyDescent="0.3">
      <c r="A8" s="28">
        <v>5</v>
      </c>
      <c r="B8" s="28" t="s">
        <v>106</v>
      </c>
      <c r="C8" s="29" t="s">
        <v>107</v>
      </c>
      <c r="D8" s="28" t="s">
        <v>95</v>
      </c>
      <c r="E8" s="30">
        <v>28</v>
      </c>
      <c r="F8" s="30">
        <v>162.69999999999999</v>
      </c>
      <c r="G8" s="30">
        <f>'01_TienDo_CaMay_Master'!G14+'01_TienDo_CaMay_Master'!G15</f>
        <v>162.69999999999999</v>
      </c>
      <c r="H8" s="31">
        <v>22</v>
      </c>
      <c r="I8" s="30">
        <f t="shared" si="0"/>
        <v>26471.3</v>
      </c>
      <c r="J8" s="29" t="s">
        <v>155</v>
      </c>
    </row>
    <row r="9" spans="1:10" x14ac:dyDescent="0.3">
      <c r="A9" s="28">
        <v>6</v>
      </c>
      <c r="B9" s="28" t="s">
        <v>109</v>
      </c>
      <c r="C9" s="29" t="s">
        <v>110</v>
      </c>
      <c r="D9" s="28" t="s">
        <v>95</v>
      </c>
      <c r="E9" s="30">
        <v>65</v>
      </c>
      <c r="F9" s="30">
        <v>79.599999999999994</v>
      </c>
      <c r="G9" s="30">
        <f>'01_TienDo_CaMay_Master'!G16</f>
        <v>79.099999999999994</v>
      </c>
      <c r="H9" s="31">
        <v>22</v>
      </c>
      <c r="I9" s="30">
        <f t="shared" si="0"/>
        <v>6296.4</v>
      </c>
      <c r="J9" s="29" t="s">
        <v>156</v>
      </c>
    </row>
    <row r="10" spans="1:10" x14ac:dyDescent="0.3">
      <c r="A10" s="28">
        <v>7</v>
      </c>
      <c r="B10" s="28" t="s">
        <v>112</v>
      </c>
      <c r="C10" s="29" t="s">
        <v>157</v>
      </c>
      <c r="D10" s="28" t="s">
        <v>99</v>
      </c>
      <c r="E10" s="30">
        <v>42</v>
      </c>
      <c r="F10" s="30">
        <v>263.8</v>
      </c>
      <c r="G10" s="30">
        <f>'01_TienDo_CaMay_Master'!G17</f>
        <v>263.8</v>
      </c>
      <c r="H10" s="31">
        <v>22</v>
      </c>
      <c r="I10" s="30">
        <f t="shared" si="0"/>
        <v>69590.399999999994</v>
      </c>
      <c r="J10" s="29" t="s">
        <v>158</v>
      </c>
    </row>
    <row r="11" spans="1:10" x14ac:dyDescent="0.3">
      <c r="A11" s="28">
        <v>8</v>
      </c>
      <c r="B11" s="28" t="s">
        <v>115</v>
      </c>
      <c r="C11" s="29" t="s">
        <v>116</v>
      </c>
      <c r="D11" s="28" t="s">
        <v>95</v>
      </c>
      <c r="E11" s="30">
        <v>64</v>
      </c>
      <c r="F11" s="30">
        <v>21.7</v>
      </c>
      <c r="G11" s="30">
        <f>'01_TienDo_CaMay_Master'!G19</f>
        <v>21.7</v>
      </c>
      <c r="H11" s="31">
        <v>22</v>
      </c>
      <c r="I11" s="30">
        <f t="shared" si="0"/>
        <v>470.9</v>
      </c>
      <c r="J11" s="29" t="s">
        <v>159</v>
      </c>
    </row>
    <row r="12" spans="1:10" x14ac:dyDescent="0.3">
      <c r="A12" s="28">
        <v>9</v>
      </c>
      <c r="B12" s="28" t="s">
        <v>118</v>
      </c>
      <c r="C12" s="29" t="s">
        <v>119</v>
      </c>
      <c r="D12" s="28" t="s">
        <v>95</v>
      </c>
      <c r="E12" s="30">
        <v>14</v>
      </c>
      <c r="F12" s="30">
        <v>138</v>
      </c>
      <c r="G12" s="30">
        <f>'01_TienDo_CaMay_Master'!G11</f>
        <v>138</v>
      </c>
      <c r="H12" s="31">
        <v>36</v>
      </c>
      <c r="I12" s="30">
        <f t="shared" si="0"/>
        <v>19044</v>
      </c>
      <c r="J12" s="29" t="s">
        <v>160</v>
      </c>
    </row>
    <row r="13" spans="1:10" x14ac:dyDescent="0.3">
      <c r="A13" s="28">
        <v>10</v>
      </c>
      <c r="B13" s="28" t="s">
        <v>121</v>
      </c>
      <c r="C13" s="29" t="s">
        <v>122</v>
      </c>
      <c r="D13" s="28" t="s">
        <v>99</v>
      </c>
      <c r="E13" s="30">
        <v>44</v>
      </c>
      <c r="F13" s="30">
        <v>138</v>
      </c>
      <c r="G13" s="30">
        <f>'01_TienDo_CaMay_Master'!G23</f>
        <v>138</v>
      </c>
      <c r="H13" s="31">
        <v>36</v>
      </c>
      <c r="I13" s="30">
        <f t="shared" si="0"/>
        <v>19044</v>
      </c>
      <c r="J13" s="29" t="s">
        <v>161</v>
      </c>
    </row>
    <row r="14" spans="1:10" x14ac:dyDescent="0.3">
      <c r="A14" s="28">
        <v>11</v>
      </c>
      <c r="B14" s="28" t="s">
        <v>124</v>
      </c>
      <c r="C14" s="29" t="s">
        <v>84</v>
      </c>
      <c r="D14" s="28" t="s">
        <v>95</v>
      </c>
      <c r="E14" s="30">
        <v>28</v>
      </c>
      <c r="F14" s="30">
        <v>138</v>
      </c>
      <c r="G14" s="30">
        <f>'01_TienDo_CaMay_Master'!G24</f>
        <v>138</v>
      </c>
      <c r="H14" s="31">
        <v>36</v>
      </c>
      <c r="I14" s="30">
        <f t="shared" si="0"/>
        <v>19044</v>
      </c>
      <c r="J14" s="29" t="s">
        <v>162</v>
      </c>
    </row>
    <row r="15" spans="1:10" x14ac:dyDescent="0.3">
      <c r="A15" s="32"/>
      <c r="B15" s="32"/>
      <c r="C15" s="33" t="s">
        <v>163</v>
      </c>
      <c r="D15" s="32"/>
      <c r="E15" s="32"/>
      <c r="F15" s="34">
        <f>SUM(F4:F14)</f>
        <v>1567.9</v>
      </c>
      <c r="G15" s="34">
        <f>SUM(G4:G14)</f>
        <v>1779.8999999999999</v>
      </c>
      <c r="H15" s="32"/>
      <c r="I15" s="34">
        <f>SUM(I4:I14)</f>
        <v>327427.20000000001</v>
      </c>
      <c r="J15" s="32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4" x14ac:dyDescent="0.3"/>
  <cols>
    <col min="1" max="1" width="6" customWidth="1"/>
    <col min="2" max="2" width="44" customWidth="1"/>
    <col min="3" max="4" width="16" customWidth="1"/>
    <col min="5" max="5" width="20" customWidth="1"/>
    <col min="6" max="9" width="18" customWidth="1"/>
  </cols>
  <sheetData>
    <row r="1" spans="1:9" ht="16.5" x14ac:dyDescent="0.3">
      <c r="A1" s="73" t="s">
        <v>164</v>
      </c>
      <c r="B1" s="71"/>
      <c r="C1" s="71"/>
      <c r="D1" s="71"/>
      <c r="E1" s="71"/>
      <c r="F1" s="71"/>
      <c r="G1" s="71"/>
      <c r="H1" s="71"/>
    </row>
    <row r="3" spans="1:9" x14ac:dyDescent="0.3">
      <c r="A3" s="27" t="s">
        <v>9</v>
      </c>
      <c r="B3" s="27" t="s">
        <v>165</v>
      </c>
      <c r="C3" s="27" t="s">
        <v>166</v>
      </c>
      <c r="D3" s="27" t="s">
        <v>167</v>
      </c>
      <c r="E3" s="27" t="s">
        <v>168</v>
      </c>
      <c r="F3" s="27" t="s">
        <v>169</v>
      </c>
      <c r="G3" s="27" t="s">
        <v>170</v>
      </c>
      <c r="H3" s="27" t="s">
        <v>171</v>
      </c>
      <c r="I3" s="27" t="s">
        <v>172</v>
      </c>
    </row>
    <row r="4" spans="1:9" x14ac:dyDescent="0.3">
      <c r="A4" s="28">
        <v>1</v>
      </c>
      <c r="B4" s="29" t="s">
        <v>94</v>
      </c>
      <c r="C4" s="30">
        <v>89.6</v>
      </c>
      <c r="D4" s="30">
        <f>'02_TongHop_CaXe_CaMay_MMTB'!G4</f>
        <v>436.8</v>
      </c>
      <c r="E4" s="30">
        <f t="shared" ref="E4:E14" si="0">ROUND(C4*D4,1)</f>
        <v>39137.300000000003</v>
      </c>
      <c r="F4" s="31">
        <f>E4*0.25</f>
        <v>9784.3250000000007</v>
      </c>
      <c r="G4" s="31">
        <f>E4*0.4</f>
        <v>15654.920000000002</v>
      </c>
      <c r="H4" s="31">
        <f>E4*0.25</f>
        <v>9784.3250000000007</v>
      </c>
      <c r="I4" s="31">
        <f>E4*0.1</f>
        <v>3913.7300000000005</v>
      </c>
    </row>
    <row r="5" spans="1:9" x14ac:dyDescent="0.3">
      <c r="A5" s="28">
        <v>2</v>
      </c>
      <c r="B5" s="29" t="s">
        <v>150</v>
      </c>
      <c r="C5" s="30">
        <v>26</v>
      </c>
      <c r="D5" s="30">
        <f>'02_TongHop_CaXe_CaMay_MMTB'!G5</f>
        <v>151.30000000000001</v>
      </c>
      <c r="E5" s="30">
        <f t="shared" si="0"/>
        <v>3933.8</v>
      </c>
      <c r="F5" s="31">
        <f>E5*0.35</f>
        <v>1376.83</v>
      </c>
      <c r="G5" s="31">
        <f>E5*0.5</f>
        <v>1966.9</v>
      </c>
      <c r="H5" s="31">
        <f>E5*0.15</f>
        <v>590.07000000000005</v>
      </c>
      <c r="I5" s="31">
        <f>E5*0</f>
        <v>0</v>
      </c>
    </row>
    <row r="6" spans="1:9" x14ac:dyDescent="0.3">
      <c r="A6" s="28">
        <v>3</v>
      </c>
      <c r="B6" s="29" t="s">
        <v>79</v>
      </c>
      <c r="C6" s="30">
        <v>44</v>
      </c>
      <c r="D6" s="30">
        <f>'02_TongHop_CaXe_CaMay_MMTB'!G6</f>
        <v>212.5</v>
      </c>
      <c r="E6" s="30">
        <f t="shared" si="0"/>
        <v>9350</v>
      </c>
      <c r="F6" s="31">
        <f>E6*0</f>
        <v>0</v>
      </c>
      <c r="G6" s="31">
        <f>E6*0.1</f>
        <v>935</v>
      </c>
      <c r="H6" s="31">
        <f>E6*0.5</f>
        <v>4675</v>
      </c>
      <c r="I6" s="31">
        <f>E6*0.4</f>
        <v>3740</v>
      </c>
    </row>
    <row r="7" spans="1:9" x14ac:dyDescent="0.3">
      <c r="A7" s="28">
        <v>4</v>
      </c>
      <c r="B7" s="29" t="s">
        <v>104</v>
      </c>
      <c r="C7" s="30">
        <v>124</v>
      </c>
      <c r="D7" s="30">
        <f>'02_TongHop_CaXe_CaMay_MMTB'!G7</f>
        <v>38</v>
      </c>
      <c r="E7" s="30">
        <f t="shared" si="0"/>
        <v>4712</v>
      </c>
      <c r="F7" s="31">
        <f>E7*0</f>
        <v>0</v>
      </c>
      <c r="G7" s="31">
        <f>E7*0.1</f>
        <v>471.20000000000005</v>
      </c>
      <c r="H7" s="31">
        <f>E7*0.5</f>
        <v>2356</v>
      </c>
      <c r="I7" s="31">
        <f>E7*0.4</f>
        <v>1884.8000000000002</v>
      </c>
    </row>
    <row r="8" spans="1:9" x14ac:dyDescent="0.3">
      <c r="A8" s="28">
        <v>5</v>
      </c>
      <c r="B8" s="29" t="s">
        <v>107</v>
      </c>
      <c r="C8" s="30">
        <v>28</v>
      </c>
      <c r="D8" s="30">
        <f>'02_TongHop_CaXe_CaMay_MMTB'!G8</f>
        <v>162.69999999999999</v>
      </c>
      <c r="E8" s="30">
        <f t="shared" si="0"/>
        <v>4555.6000000000004</v>
      </c>
      <c r="F8" s="31">
        <f>E8*0.1</f>
        <v>455.56000000000006</v>
      </c>
      <c r="G8" s="31">
        <f>E8*0.45</f>
        <v>2050.0200000000004</v>
      </c>
      <c r="H8" s="31">
        <f>E8*0.35</f>
        <v>1594.46</v>
      </c>
      <c r="I8" s="31">
        <f>E8*0.1</f>
        <v>455.56000000000006</v>
      </c>
    </row>
    <row r="9" spans="1:9" x14ac:dyDescent="0.3">
      <c r="A9" s="28">
        <v>6</v>
      </c>
      <c r="B9" s="29" t="s">
        <v>110</v>
      </c>
      <c r="C9" s="30">
        <v>65</v>
      </c>
      <c r="D9" s="30">
        <f>'02_TongHop_CaXe_CaMay_MMTB'!G9</f>
        <v>79.099999999999994</v>
      </c>
      <c r="E9" s="30">
        <f t="shared" si="0"/>
        <v>5141.5</v>
      </c>
      <c r="F9" s="31">
        <f>E9*0.05</f>
        <v>257.07499999999999</v>
      </c>
      <c r="G9" s="31">
        <f>E9*0.45</f>
        <v>2313.6750000000002</v>
      </c>
      <c r="H9" s="31">
        <f>E9*0.4</f>
        <v>2056.6</v>
      </c>
      <c r="I9" s="31">
        <f>E9*0.1</f>
        <v>514.15</v>
      </c>
    </row>
    <row r="10" spans="1:9" x14ac:dyDescent="0.3">
      <c r="A10" s="28">
        <v>7</v>
      </c>
      <c r="B10" s="29" t="s">
        <v>113</v>
      </c>
      <c r="C10" s="30">
        <v>42</v>
      </c>
      <c r="D10" s="30">
        <f>'02_TongHop_CaXe_CaMay_MMTB'!G10</f>
        <v>263.8</v>
      </c>
      <c r="E10" s="30">
        <f t="shared" si="0"/>
        <v>11079.6</v>
      </c>
      <c r="F10" s="31">
        <f>E10*0.05</f>
        <v>553.98</v>
      </c>
      <c r="G10" s="31">
        <f>E10*0.45</f>
        <v>4985.8200000000006</v>
      </c>
      <c r="H10" s="31">
        <f>E10*0.4</f>
        <v>4431.84</v>
      </c>
      <c r="I10" s="31">
        <f>E10*0.1</f>
        <v>1107.96</v>
      </c>
    </row>
    <row r="11" spans="1:9" x14ac:dyDescent="0.3">
      <c r="A11" s="28">
        <v>8</v>
      </c>
      <c r="B11" s="29" t="s">
        <v>116</v>
      </c>
      <c r="C11" s="30">
        <v>64</v>
      </c>
      <c r="D11" s="30">
        <f>'02_TongHop_CaXe_CaMay_MMTB'!G11</f>
        <v>21.7</v>
      </c>
      <c r="E11" s="30">
        <f t="shared" si="0"/>
        <v>1388.8</v>
      </c>
      <c r="F11" s="31">
        <f>E11*0</f>
        <v>0</v>
      </c>
      <c r="G11" s="31">
        <f>E11*0.45</f>
        <v>624.96</v>
      </c>
      <c r="H11" s="31">
        <f>E11*0.45</f>
        <v>624.96</v>
      </c>
      <c r="I11" s="31">
        <f>E11*0.1</f>
        <v>138.88</v>
      </c>
    </row>
    <row r="12" spans="1:9" x14ac:dyDescent="0.3">
      <c r="A12" s="28">
        <v>9</v>
      </c>
      <c r="B12" s="29" t="s">
        <v>173</v>
      </c>
      <c r="C12" s="30">
        <v>14</v>
      </c>
      <c r="D12" s="30">
        <f>'02_TongHop_CaXe_CaMay_MMTB'!G12</f>
        <v>138</v>
      </c>
      <c r="E12" s="30">
        <f t="shared" si="0"/>
        <v>1932</v>
      </c>
      <c r="F12" s="31">
        <f>E12*0.2</f>
        <v>386.40000000000003</v>
      </c>
      <c r="G12" s="31">
        <f>E12*0.3</f>
        <v>579.6</v>
      </c>
      <c r="H12" s="31">
        <f>E12*0.3</f>
        <v>579.6</v>
      </c>
      <c r="I12" s="31">
        <f>E12*0.2</f>
        <v>386.40000000000003</v>
      </c>
    </row>
    <row r="13" spans="1:9" x14ac:dyDescent="0.3">
      <c r="A13" s="28">
        <v>10</v>
      </c>
      <c r="B13" s="29" t="s">
        <v>122</v>
      </c>
      <c r="C13" s="30">
        <v>44</v>
      </c>
      <c r="D13" s="30">
        <f>'02_TongHop_CaXe_CaMay_MMTB'!G13</f>
        <v>138</v>
      </c>
      <c r="E13" s="30">
        <f t="shared" si="0"/>
        <v>6072</v>
      </c>
      <c r="F13" s="31">
        <f>E13*0.2</f>
        <v>1214.4000000000001</v>
      </c>
      <c r="G13" s="31">
        <f>E13*0.3</f>
        <v>1821.6</v>
      </c>
      <c r="H13" s="31">
        <f>E13*0.3</f>
        <v>1821.6</v>
      </c>
      <c r="I13" s="31">
        <f>E13*0.2</f>
        <v>1214.4000000000001</v>
      </c>
    </row>
    <row r="14" spans="1:9" x14ac:dyDescent="0.3">
      <c r="A14" s="28">
        <v>11</v>
      </c>
      <c r="B14" s="29" t="s">
        <v>125</v>
      </c>
      <c r="C14" s="30">
        <v>28</v>
      </c>
      <c r="D14" s="30">
        <f>'02_TongHop_CaXe_CaMay_MMTB'!G14</f>
        <v>138</v>
      </c>
      <c r="E14" s="30">
        <f t="shared" si="0"/>
        <v>3864</v>
      </c>
      <c r="F14" s="31">
        <f>E14*0.2</f>
        <v>772.80000000000007</v>
      </c>
      <c r="G14" s="31">
        <f>E14*0.3</f>
        <v>1159.2</v>
      </c>
      <c r="H14" s="31">
        <f>E14*0.3</f>
        <v>1159.2</v>
      </c>
      <c r="I14" s="31">
        <f>E14*0.2</f>
        <v>772.80000000000007</v>
      </c>
    </row>
    <row r="15" spans="1:9" x14ac:dyDescent="0.3">
      <c r="A15" s="32"/>
      <c r="B15" s="33" t="s">
        <v>174</v>
      </c>
      <c r="C15" s="32"/>
      <c r="D15" s="34">
        <f t="shared" ref="D15:I15" si="1">SUM(D4:D14)</f>
        <v>1779.8999999999999</v>
      </c>
      <c r="E15" s="35">
        <f t="shared" si="1"/>
        <v>91166.60000000002</v>
      </c>
      <c r="F15" s="35">
        <f t="shared" si="1"/>
        <v>14801.369999999999</v>
      </c>
      <c r="G15" s="35">
        <f t="shared" si="1"/>
        <v>32562.895</v>
      </c>
      <c r="H15" s="35">
        <f t="shared" si="1"/>
        <v>29673.654999999995</v>
      </c>
      <c r="I15" s="35">
        <f t="shared" si="1"/>
        <v>14128.679999999998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4" x14ac:dyDescent="0.3"/>
  <cols>
    <col min="1" max="1" width="6" customWidth="1"/>
    <col min="2" max="2" width="46" customWidth="1"/>
    <col min="3" max="4" width="22" customWidth="1"/>
    <col min="5" max="5" width="26" customWidth="1"/>
    <col min="6" max="6" width="20" customWidth="1"/>
    <col min="7" max="7" width="22" customWidth="1"/>
    <col min="8" max="8" width="38" customWidth="1"/>
  </cols>
  <sheetData>
    <row r="1" spans="1:8" ht="16.5" x14ac:dyDescent="0.3">
      <c r="A1" s="73" t="s">
        <v>175</v>
      </c>
      <c r="B1" s="71"/>
      <c r="C1" s="71"/>
      <c r="D1" s="71"/>
      <c r="E1" s="71"/>
      <c r="F1" s="71"/>
      <c r="G1" s="71"/>
      <c r="H1" s="71"/>
    </row>
    <row r="3" spans="1:8" x14ac:dyDescent="0.3">
      <c r="A3" s="27" t="s">
        <v>9</v>
      </c>
      <c r="B3" s="27" t="s">
        <v>176</v>
      </c>
      <c r="C3" s="27" t="s">
        <v>177</v>
      </c>
      <c r="D3" s="27" t="s">
        <v>178</v>
      </c>
      <c r="E3" s="27" t="s">
        <v>179</v>
      </c>
      <c r="F3" s="27" t="s">
        <v>180</v>
      </c>
      <c r="G3" s="27" t="s">
        <v>181</v>
      </c>
      <c r="H3" s="27" t="s">
        <v>182</v>
      </c>
    </row>
    <row r="4" spans="1:8" x14ac:dyDescent="0.3">
      <c r="A4" s="28">
        <v>1</v>
      </c>
      <c r="B4" s="29" t="s">
        <v>183</v>
      </c>
      <c r="C4" s="31">
        <v>12</v>
      </c>
      <c r="D4" s="31">
        <v>18</v>
      </c>
      <c r="E4" s="31">
        <v>30</v>
      </c>
      <c r="F4" s="31">
        <v>0</v>
      </c>
      <c r="G4" s="31">
        <f t="shared" ref="G4:G14" si="0">SUM(C4:F4)</f>
        <v>60</v>
      </c>
      <c r="H4" s="29" t="s">
        <v>184</v>
      </c>
    </row>
    <row r="5" spans="1:8" x14ac:dyDescent="0.3">
      <c r="A5" s="28">
        <v>2</v>
      </c>
      <c r="B5" s="29" t="s">
        <v>185</v>
      </c>
      <c r="C5" s="31">
        <v>14</v>
      </c>
      <c r="D5" s="31">
        <v>20</v>
      </c>
      <c r="E5" s="31">
        <v>36</v>
      </c>
      <c r="F5" s="31">
        <v>0</v>
      </c>
      <c r="G5" s="31">
        <f t="shared" si="0"/>
        <v>70</v>
      </c>
      <c r="H5" s="29" t="s">
        <v>186</v>
      </c>
    </row>
    <row r="6" spans="1:8" x14ac:dyDescent="0.3">
      <c r="A6" s="28">
        <v>3</v>
      </c>
      <c r="B6" s="29" t="s">
        <v>187</v>
      </c>
      <c r="C6" s="31">
        <v>8</v>
      </c>
      <c r="D6" s="31">
        <v>12</v>
      </c>
      <c r="E6" s="31">
        <v>20</v>
      </c>
      <c r="F6" s="31">
        <v>0</v>
      </c>
      <c r="G6" s="31">
        <f t="shared" si="0"/>
        <v>40</v>
      </c>
      <c r="H6" s="29" t="s">
        <v>188</v>
      </c>
    </row>
    <row r="7" spans="1:8" x14ac:dyDescent="0.3">
      <c r="A7" s="28">
        <v>4</v>
      </c>
      <c r="B7" s="29" t="s">
        <v>189</v>
      </c>
      <c r="C7" s="31">
        <v>4</v>
      </c>
      <c r="D7" s="31">
        <v>6</v>
      </c>
      <c r="E7" s="31">
        <v>12</v>
      </c>
      <c r="F7" s="31">
        <v>0</v>
      </c>
      <c r="G7" s="31">
        <f t="shared" si="0"/>
        <v>22</v>
      </c>
      <c r="H7" s="29" t="s">
        <v>190</v>
      </c>
    </row>
    <row r="8" spans="1:8" x14ac:dyDescent="0.3">
      <c r="A8" s="28">
        <v>5</v>
      </c>
      <c r="B8" s="29" t="s">
        <v>191</v>
      </c>
      <c r="C8" s="31">
        <v>6</v>
      </c>
      <c r="D8" s="31">
        <v>8</v>
      </c>
      <c r="E8" s="31">
        <v>14</v>
      </c>
      <c r="F8" s="31">
        <v>0</v>
      </c>
      <c r="G8" s="31">
        <f t="shared" si="0"/>
        <v>28</v>
      </c>
      <c r="H8" s="29" t="s">
        <v>192</v>
      </c>
    </row>
    <row r="9" spans="1:8" x14ac:dyDescent="0.3">
      <c r="A9" s="28">
        <v>6</v>
      </c>
      <c r="B9" s="29" t="s">
        <v>193</v>
      </c>
      <c r="C9" s="31">
        <v>0</v>
      </c>
      <c r="D9" s="31">
        <v>0</v>
      </c>
      <c r="E9" s="31">
        <v>0</v>
      </c>
      <c r="F9" s="31">
        <v>16</v>
      </c>
      <c r="G9" s="31">
        <f t="shared" si="0"/>
        <v>16</v>
      </c>
      <c r="H9" s="29" t="s">
        <v>194</v>
      </c>
    </row>
    <row r="10" spans="1:8" x14ac:dyDescent="0.3">
      <c r="A10" s="28">
        <v>7</v>
      </c>
      <c r="B10" s="29" t="s">
        <v>195</v>
      </c>
      <c r="C10" s="31">
        <v>0</v>
      </c>
      <c r="D10" s="31">
        <v>0</v>
      </c>
      <c r="E10" s="31">
        <v>0</v>
      </c>
      <c r="F10" s="31">
        <v>10</v>
      </c>
      <c r="G10" s="31">
        <f t="shared" si="0"/>
        <v>10</v>
      </c>
      <c r="H10" s="29" t="s">
        <v>196</v>
      </c>
    </row>
    <row r="11" spans="1:8" x14ac:dyDescent="0.3">
      <c r="A11" s="28">
        <v>8</v>
      </c>
      <c r="B11" s="29" t="s">
        <v>197</v>
      </c>
      <c r="C11" s="31">
        <v>0</v>
      </c>
      <c r="D11" s="31">
        <v>0</v>
      </c>
      <c r="E11" s="31">
        <v>0</v>
      </c>
      <c r="F11" s="31">
        <v>12</v>
      </c>
      <c r="G11" s="31">
        <f t="shared" si="0"/>
        <v>12</v>
      </c>
      <c r="H11" s="29" t="s">
        <v>198</v>
      </c>
    </row>
    <row r="12" spans="1:8" x14ac:dyDescent="0.3">
      <c r="A12" s="28">
        <v>9</v>
      </c>
      <c r="B12" s="29" t="s">
        <v>199</v>
      </c>
      <c r="C12" s="31">
        <v>0</v>
      </c>
      <c r="D12" s="31">
        <v>0</v>
      </c>
      <c r="E12" s="31">
        <v>0</v>
      </c>
      <c r="F12" s="31">
        <v>6</v>
      </c>
      <c r="G12" s="31">
        <f t="shared" si="0"/>
        <v>6</v>
      </c>
      <c r="H12" s="29" t="s">
        <v>200</v>
      </c>
    </row>
    <row r="13" spans="1:8" x14ac:dyDescent="0.3">
      <c r="A13" s="28">
        <v>10</v>
      </c>
      <c r="B13" s="29" t="s">
        <v>201</v>
      </c>
      <c r="C13" s="31">
        <v>0</v>
      </c>
      <c r="D13" s="31">
        <v>0</v>
      </c>
      <c r="E13" s="31">
        <v>0</v>
      </c>
      <c r="F13" s="31">
        <v>10</v>
      </c>
      <c r="G13" s="31">
        <f t="shared" si="0"/>
        <v>10</v>
      </c>
      <c r="H13" s="29" t="s">
        <v>202</v>
      </c>
    </row>
    <row r="14" spans="1:8" x14ac:dyDescent="0.3">
      <c r="A14" s="28">
        <v>11</v>
      </c>
      <c r="B14" s="29" t="s">
        <v>203</v>
      </c>
      <c r="C14" s="31">
        <v>3</v>
      </c>
      <c r="D14" s="31">
        <v>3</v>
      </c>
      <c r="E14" s="31">
        <v>5</v>
      </c>
      <c r="F14" s="31">
        <v>5</v>
      </c>
      <c r="G14" s="31">
        <f t="shared" si="0"/>
        <v>16</v>
      </c>
      <c r="H14" s="29" t="s">
        <v>204</v>
      </c>
    </row>
    <row r="15" spans="1:8" x14ac:dyDescent="0.3">
      <c r="A15" s="32"/>
      <c r="B15" s="33" t="s">
        <v>205</v>
      </c>
      <c r="C15" s="35">
        <f>SUM(C4:C14)</f>
        <v>47</v>
      </c>
      <c r="D15" s="35">
        <f>SUM(D4:D14)</f>
        <v>67</v>
      </c>
      <c r="E15" s="35">
        <f>SUM(E4:E14)</f>
        <v>117</v>
      </c>
      <c r="F15" s="35">
        <f>SUM(F4:F14)</f>
        <v>59</v>
      </c>
      <c r="G15" s="35">
        <f>SUM(G4:G14)</f>
        <v>290</v>
      </c>
      <c r="H15" s="32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4" x14ac:dyDescent="0.3"/>
  <cols>
    <col min="1" max="1" width="6" customWidth="1"/>
    <col min="2" max="2" width="46" customWidth="1"/>
    <col min="3" max="3" width="22" customWidth="1"/>
    <col min="4" max="4" width="16" customWidth="1"/>
    <col min="5" max="6" width="22" customWidth="1"/>
    <col min="7" max="7" width="24" customWidth="1"/>
    <col min="8" max="8" width="26" customWidth="1"/>
  </cols>
  <sheetData>
    <row r="1" spans="1:8" ht="16.5" x14ac:dyDescent="0.3">
      <c r="A1" s="73" t="s">
        <v>206</v>
      </c>
      <c r="B1" s="71"/>
      <c r="C1" s="71"/>
      <c r="D1" s="71"/>
      <c r="E1" s="71"/>
      <c r="F1" s="71"/>
      <c r="G1" s="71"/>
      <c r="H1" s="71"/>
    </row>
    <row r="3" spans="1:8" x14ac:dyDescent="0.3">
      <c r="A3" s="27" t="s">
        <v>9</v>
      </c>
      <c r="B3" s="27" t="s">
        <v>207</v>
      </c>
      <c r="C3" s="27" t="s">
        <v>208</v>
      </c>
      <c r="D3" s="27" t="s">
        <v>209</v>
      </c>
      <c r="E3" s="27" t="s">
        <v>210</v>
      </c>
      <c r="F3" s="27" t="s">
        <v>211</v>
      </c>
      <c r="G3" s="27" t="s">
        <v>212</v>
      </c>
      <c r="H3" s="27" t="s">
        <v>213</v>
      </c>
    </row>
    <row r="4" spans="1:8" x14ac:dyDescent="0.3">
      <c r="A4" s="28">
        <v>1</v>
      </c>
      <c r="B4" s="29" t="s">
        <v>214</v>
      </c>
      <c r="C4" s="28" t="s">
        <v>215</v>
      </c>
      <c r="D4" s="30">
        <v>385</v>
      </c>
      <c r="E4" s="30">
        <v>897.05</v>
      </c>
      <c r="F4" s="30">
        <v>51.98</v>
      </c>
      <c r="G4" s="30">
        <v>4747.05</v>
      </c>
      <c r="H4" s="30">
        <v>80.73</v>
      </c>
    </row>
    <row r="5" spans="1:8" x14ac:dyDescent="0.3">
      <c r="A5" s="28">
        <v>2</v>
      </c>
      <c r="B5" s="29" t="s">
        <v>216</v>
      </c>
      <c r="C5" s="28" t="s">
        <v>217</v>
      </c>
      <c r="D5" s="30">
        <v>560</v>
      </c>
      <c r="E5" s="30">
        <v>2287.6</v>
      </c>
      <c r="F5" s="30">
        <v>106.4</v>
      </c>
      <c r="G5" s="30">
        <v>9861.6</v>
      </c>
      <c r="H5" s="30">
        <v>154.84</v>
      </c>
    </row>
    <row r="6" spans="1:8" x14ac:dyDescent="0.3">
      <c r="A6" s="28">
        <v>3</v>
      </c>
      <c r="B6" s="29" t="s">
        <v>218</v>
      </c>
      <c r="C6" s="28" t="s">
        <v>219</v>
      </c>
      <c r="D6" s="30">
        <v>1225</v>
      </c>
      <c r="E6" s="30">
        <v>8685.25</v>
      </c>
      <c r="F6" s="30">
        <v>434.88</v>
      </c>
      <c r="G6" s="30">
        <v>30331</v>
      </c>
      <c r="H6" s="30">
        <v>517.79999999999995</v>
      </c>
    </row>
    <row r="7" spans="1:8" x14ac:dyDescent="0.3">
      <c r="A7" s="32"/>
      <c r="B7" s="33" t="s">
        <v>220</v>
      </c>
      <c r="C7" s="32"/>
      <c r="D7" s="34">
        <f>SUM(D4:D6)</f>
        <v>2170</v>
      </c>
      <c r="E7" s="34">
        <f>SUM(E4:E6)</f>
        <v>11869.9</v>
      </c>
      <c r="F7" s="34">
        <f>SUM(F4:F6)</f>
        <v>593.26</v>
      </c>
      <c r="G7" s="34">
        <f>SUM(G4:G6)</f>
        <v>44939.65</v>
      </c>
      <c r="H7" s="34">
        <f>SUM(H4:H6)</f>
        <v>753.36999999999989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01_TienDo_CaMay_Master</vt:lpstr>
      <vt:lpstr>02_TongHop_CaXe_CaMay_MMTB</vt:lpstr>
      <vt:lpstr>03_KeHoach_Dau_Diezel</vt:lpstr>
      <vt:lpstr>04_KeHoach_NhanLuc_3_Mui</vt:lpstr>
      <vt:lpstr>05_DoiChieu_BocTach_A5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2026-09-29T12:37:58Z</dcterms:created>
  <dcterms:modified xsi:type="dcterms:W3CDTF">2026-10-03T10:46:24Z</dcterms:modified>
</cp:coreProperties>
</file>