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KE_THEP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6" customWidth="1" min="3" max="3"/>
    <col width="8" customWidth="1" min="4" max="4"/>
    <col width="8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30" customWidth="1" min="11" max="11"/>
    <col width="16" customWidth="1" min="12" max="12"/>
  </cols>
  <sheetData>
    <row r="1">
      <c r="A1" s="1" t="inlineStr">
        <is>
          <t>THỐNG KÊ THÉP CỐNG HỘP A5 — KÝ HIỆU ĐỌC TỪ OCR</t>
        </is>
      </c>
    </row>
    <row r="2">
      <c r="A2" t="inlineStr">
        <is>
          <t>⚠ OCR sai nhiều ký hiệu thép. Cột 'Số thanh' ĐỂ TRỐNG (nhập sau khi đối chiếu bản vẽ gốc); hệ thống không tự suy số thanh. Thép &lt;Φ10: CB240-T; ≥Φ10: CB500-V (ghi chú bản vẽ).</t>
        </is>
      </c>
    </row>
    <row r="3"/>
    <row r="4"/>
    <row r="5">
      <c r="A5" s="2" t="inlineStr">
        <is>
          <t>Mã</t>
        </is>
      </c>
      <c r="B5" s="2" t="inlineStr">
        <is>
          <t>Trang BV</t>
        </is>
      </c>
      <c r="C5" s="2" t="inlineStr">
        <is>
          <t>Vị trí</t>
        </is>
      </c>
      <c r="D5" s="2" t="inlineStr">
        <is>
          <t>Φ (mm)</t>
        </is>
      </c>
      <c r="E5" s="2" t="inlineStr">
        <is>
          <t>a (mm)</t>
        </is>
      </c>
      <c r="F5" s="2" t="inlineStr">
        <is>
          <t>L 1 thanh (m)</t>
        </is>
      </c>
      <c r="G5" s="2" t="inlineStr">
        <is>
          <t>Số thanh</t>
        </is>
      </c>
      <c r="H5" s="2" t="inlineStr">
        <is>
          <t>KL 1m (kg/m)</t>
        </is>
      </c>
      <c r="I5" s="2" t="inlineStr">
        <is>
          <t>KL 1 thanh (kg)</t>
        </is>
      </c>
      <c r="J5" s="2" t="inlineStr">
        <is>
          <t>Tổng KL (kg)</t>
        </is>
      </c>
      <c r="K5" s="2" t="inlineStr">
        <is>
          <t>Nguồn OCR</t>
        </is>
      </c>
      <c r="L5" s="2" t="inlineStr">
        <is>
          <t>Trạng thái</t>
        </is>
      </c>
    </row>
    <row r="6">
      <c r="A6" t="inlineStr">
        <is>
          <t>T01</t>
        </is>
      </c>
      <c r="B6" t="n">
        <v>2</v>
      </c>
      <c r="C6" t="inlineStr">
        <is>
          <t>Cống 2x2 - thép ôm ngoài</t>
        </is>
      </c>
      <c r="D6" t="n">
        <v>12</v>
      </c>
      <c r="E6" t="n">
        <v>250</v>
      </c>
      <c r="F6" t="n">
        <v>2.92</v>
      </c>
      <c r="G6" s="3" t="n"/>
      <c r="H6" s="4">
        <f>0.00617*D6*D6</f>
        <v/>
      </c>
      <c r="I6" s="5">
        <f>F6*H6</f>
        <v/>
      </c>
      <c r="J6" s="5">
        <f>IF(G6="",0,G6*I6)</f>
        <v/>
      </c>
      <c r="K6" t="inlineStr">
        <is>
          <t>2x450Φ12a250 (OCR)</t>
        </is>
      </c>
      <c r="L6" t="inlineStr">
        <is>
          <t>CẦN ĐỐI CHIẾU</t>
        </is>
      </c>
    </row>
    <row r="7">
      <c r="A7" t="inlineStr">
        <is>
          <t>T02</t>
        </is>
      </c>
      <c r="B7" t="n">
        <v>2</v>
      </c>
      <c r="C7" t="inlineStr">
        <is>
          <t>Cống 2x2 - thép đáy/nắp</t>
        </is>
      </c>
      <c r="D7" t="n">
        <v>12</v>
      </c>
      <c r="E7" t="n">
        <v>100</v>
      </c>
      <c r="F7" t="n">
        <v>2.82</v>
      </c>
      <c r="G7" s="3" t="n"/>
      <c r="H7" s="4">
        <f>0.00617*D7*D7</f>
        <v/>
      </c>
      <c r="I7" s="5">
        <f>F7*H7</f>
        <v/>
      </c>
      <c r="J7" s="5">
        <f>IF(G7="",0,G7*I7)</f>
        <v/>
      </c>
      <c r="K7" t="inlineStr">
        <is>
          <t>2x1130Φ12a100 (OCR)</t>
        </is>
      </c>
      <c r="L7" t="inlineStr">
        <is>
          <t>CẦN ĐỐI CHIẾU</t>
        </is>
      </c>
    </row>
    <row r="8">
      <c r="A8" t="inlineStr">
        <is>
          <t>T03</t>
        </is>
      </c>
      <c r="B8" t="n">
        <v>2</v>
      </c>
      <c r="C8" t="inlineStr">
        <is>
          <t>Cống 2x2 - thép thành</t>
        </is>
      </c>
      <c r="D8" t="n">
        <v>12</v>
      </c>
      <c r="E8" t="n">
        <v>250</v>
      </c>
      <c r="F8" t="n">
        <v>2.84</v>
      </c>
      <c r="G8" s="3" t="n"/>
      <c r="H8" s="4">
        <f>0.00617*D8*D8</f>
        <v/>
      </c>
      <c r="I8" s="5">
        <f>F8*H8</f>
        <v/>
      </c>
      <c r="J8" s="5">
        <f>IF(G8="",0,G8*I8)</f>
        <v/>
      </c>
      <c r="K8" t="inlineStr">
        <is>
          <t>2x450Φ12a250 (OCR)</t>
        </is>
      </c>
      <c r="L8" t="inlineStr">
        <is>
          <t>CẦN ĐỐI CHIẾU</t>
        </is>
      </c>
    </row>
    <row r="9">
      <c r="A9" t="inlineStr">
        <is>
          <t>T04</t>
        </is>
      </c>
      <c r="B9" t="n">
        <v>2</v>
      </c>
      <c r="C9" t="inlineStr">
        <is>
          <t>Cống 2x2 - thép thành dày</t>
        </is>
      </c>
      <c r="D9" t="n">
        <v>12</v>
      </c>
      <c r="E9" t="n">
        <v>125</v>
      </c>
      <c r="F9" t="n">
        <v>2.84</v>
      </c>
      <c r="G9" s="3" t="n"/>
      <c r="H9" s="4">
        <f>0.00617*D9*D9</f>
        <v/>
      </c>
      <c r="I9" s="5">
        <f>F9*H9</f>
        <v/>
      </c>
      <c r="J9" s="5">
        <f>IF(G9="",0,G9*I9)</f>
        <v/>
      </c>
      <c r="K9" t="inlineStr">
        <is>
          <t>2x900Φ12a125 (OCR)</t>
        </is>
      </c>
      <c r="L9" t="inlineStr">
        <is>
          <t>CẦN ĐỐI CHIẾU</t>
        </is>
      </c>
    </row>
    <row r="10">
      <c r="A10" t="inlineStr">
        <is>
          <t>T05</t>
        </is>
      </c>
      <c r="B10" t="n">
        <v>2</v>
      </c>
      <c r="C10" t="inlineStr">
        <is>
          <t>Cống 2x2 - thép gia cường</t>
        </is>
      </c>
      <c r="D10" t="n">
        <v>12</v>
      </c>
      <c r="E10" t="n">
        <v>250</v>
      </c>
      <c r="F10" t="n">
        <v>1.32</v>
      </c>
      <c r="G10" s="3" t="n"/>
      <c r="H10" s="4">
        <f>0.00617*D10*D10</f>
        <v/>
      </c>
      <c r="I10" s="5">
        <f>F10*H10</f>
        <v/>
      </c>
      <c r="J10" s="5">
        <f>IF(G10="",0,G10*I10)</f>
        <v/>
      </c>
      <c r="K10" t="inlineStr">
        <is>
          <t>4x450Φ12a250 (OCR)</t>
        </is>
      </c>
      <c r="L10" t="inlineStr">
        <is>
          <t>CẦN ĐỐI CHIẾU</t>
        </is>
      </c>
    </row>
    <row r="11">
      <c r="A11" t="inlineStr">
        <is>
          <t>T06</t>
        </is>
      </c>
      <c r="B11" t="n">
        <v>2</v>
      </c>
      <c r="C11" t="inlineStr">
        <is>
          <t>Cống 2x2 - thép phân bố dọc</t>
        </is>
      </c>
      <c r="D11" t="n">
        <v>10</v>
      </c>
      <c r="E11" t="n">
        <v>200</v>
      </c>
      <c r="F11" t="n">
        <v>11.7</v>
      </c>
      <c r="G11" s="3" t="n"/>
      <c r="H11" s="4">
        <f>0.00617*D11*D11</f>
        <v/>
      </c>
      <c r="I11" s="5">
        <f>F11*H11</f>
        <v/>
      </c>
      <c r="J11" s="5">
        <f>IF(G11="",0,G11*I11)</f>
        <v/>
      </c>
      <c r="K11" t="inlineStr">
        <is>
          <t>Φ10a200 L=11700 (OCR)</t>
        </is>
      </c>
      <c r="L11" t="inlineStr">
        <is>
          <t>CẦN ĐỐI CHIẾU</t>
        </is>
      </c>
    </row>
    <row r="12">
      <c r="A12" t="inlineStr">
        <is>
          <t>T07</t>
        </is>
      </c>
      <c r="B12" t="n">
        <v>3</v>
      </c>
      <c r="C12" t="inlineStr">
        <is>
          <t>Hố lắng cặn 2x2 - thép sàn</t>
        </is>
      </c>
      <c r="D12" t="n">
        <v>12</v>
      </c>
      <c r="E12" t="n">
        <v>100</v>
      </c>
      <c r="F12" t="n">
        <v>2.94</v>
      </c>
      <c r="G12" s="3" t="n"/>
      <c r="H12" s="4">
        <f>0.00617*D12*D12</f>
        <v/>
      </c>
      <c r="I12" s="5">
        <f>F12*H12</f>
        <v/>
      </c>
      <c r="J12" s="5">
        <f>IF(G12="",0,G12*I12)</f>
        <v/>
      </c>
      <c r="K12" t="inlineStr">
        <is>
          <t>200Φ12a100 (OCR)</t>
        </is>
      </c>
      <c r="L12" t="inlineStr">
        <is>
          <t>CẦN ĐỐI CHIẾU</t>
        </is>
      </c>
    </row>
    <row r="13">
      <c r="A13" t="inlineStr">
        <is>
          <t>T08</t>
        </is>
      </c>
      <c r="B13" t="n">
        <v>3</v>
      </c>
      <c r="C13" t="inlineStr">
        <is>
          <t>Hố lắng cặn 2x2 - thép sàn</t>
        </is>
      </c>
      <c r="D13" t="n">
        <v>12</v>
      </c>
      <c r="E13" t="n">
        <v>250</v>
      </c>
      <c r="F13" t="n">
        <v>2.94</v>
      </c>
      <c r="G13" s="3" t="n"/>
      <c r="H13" s="4">
        <f>0.00617*D13*D13</f>
        <v/>
      </c>
      <c r="I13" s="5">
        <f>F13*H13</f>
        <v/>
      </c>
      <c r="J13" s="5">
        <f>IF(G13="",0,G13*I13)</f>
        <v/>
      </c>
      <c r="K13" t="inlineStr">
        <is>
          <t>160Φ12a250 (OCR)</t>
        </is>
      </c>
      <c r="L13" t="inlineStr">
        <is>
          <t>CẦN ĐỐI CHIẾU</t>
        </is>
      </c>
    </row>
    <row r="14">
      <c r="A14" t="inlineStr">
        <is>
          <t>T09</t>
        </is>
      </c>
      <c r="B14" t="n">
        <v>3</v>
      </c>
      <c r="C14" t="inlineStr">
        <is>
          <t>Hố lắng cặn 2x2 - phân bố</t>
        </is>
      </c>
      <c r="D14" t="n">
        <v>10</v>
      </c>
      <c r="E14" t="n">
        <v>200</v>
      </c>
      <c r="F14" t="n">
        <v>3.9</v>
      </c>
      <c r="G14" s="3" t="n"/>
      <c r="H14" s="4">
        <f>0.00617*D14*D14</f>
        <v/>
      </c>
      <c r="I14" s="5">
        <f>F14*H14</f>
        <v/>
      </c>
      <c r="J14" s="5">
        <f>IF(G14="",0,G14*I14)</f>
        <v/>
      </c>
      <c r="K14" t="inlineStr">
        <is>
          <t>100Φ10a200 L=3900 (OCR)</t>
        </is>
      </c>
      <c r="L14" t="inlineStr">
        <is>
          <t>CẦN ĐỐI CHIẾU</t>
        </is>
      </c>
    </row>
    <row r="15">
      <c r="A15" t="inlineStr">
        <is>
          <t>T10</t>
        </is>
      </c>
      <c r="B15" t="n">
        <v>5</v>
      </c>
      <c r="C15" t="inlineStr">
        <is>
          <t>Cống 3x3 - thép chính</t>
        </is>
      </c>
      <c r="D15" t="n">
        <v>14</v>
      </c>
      <c r="E15" t="n">
        <v>250</v>
      </c>
      <c r="F15" t="n">
        <v>3.9</v>
      </c>
      <c r="G15" s="3" t="n"/>
      <c r="H15" s="4">
        <f>0.00617*D15*D15</f>
        <v/>
      </c>
      <c r="I15" s="5">
        <f>F15*H15</f>
        <v/>
      </c>
      <c r="J15" s="5">
        <f>IF(G15="",0,G15*I15)</f>
        <v/>
      </c>
      <c r="K15" t="inlineStr">
        <is>
          <t>2x450Φ14a250 (OCR)</t>
        </is>
      </c>
      <c r="L15" t="inlineStr">
        <is>
          <t>CẦN ĐỐI CHIẾU</t>
        </is>
      </c>
    </row>
    <row r="16">
      <c r="A16" t="inlineStr">
        <is>
          <t>T11</t>
        </is>
      </c>
      <c r="B16" t="n">
        <v>5</v>
      </c>
      <c r="C16" t="inlineStr">
        <is>
          <t>Cống 3x3 - thép chính dày</t>
        </is>
      </c>
      <c r="D16" t="n">
        <v>14</v>
      </c>
      <c r="E16" t="n">
        <v>125</v>
      </c>
      <c r="F16" t="n">
        <v>3.9</v>
      </c>
      <c r="G16" s="3" t="n"/>
      <c r="H16" s="4">
        <f>0.00617*D16*D16</f>
        <v/>
      </c>
      <c r="I16" s="5">
        <f>F16*H16</f>
        <v/>
      </c>
      <c r="J16" s="5">
        <f>IF(G16="",0,G16*I16)</f>
        <v/>
      </c>
      <c r="K16" t="inlineStr">
        <is>
          <t>2x900Φ14a125 (OCR)</t>
        </is>
      </c>
      <c r="L16" t="inlineStr">
        <is>
          <t>CẦN ĐỐI CHIẾU</t>
        </is>
      </c>
    </row>
    <row r="17">
      <c r="A17" t="inlineStr">
        <is>
          <t>T12</t>
        </is>
      </c>
      <c r="B17" t="n">
        <v>5</v>
      </c>
      <c r="C17" t="inlineStr">
        <is>
          <t>Cống 3x3 - thép gia cường</t>
        </is>
      </c>
      <c r="D17" t="n">
        <v>14</v>
      </c>
      <c r="E17" t="n">
        <v>250</v>
      </c>
      <c r="F17" t="n">
        <v>1.95</v>
      </c>
      <c r="G17" s="3" t="n"/>
      <c r="H17" s="4">
        <f>0.00617*D17*D17</f>
        <v/>
      </c>
      <c r="I17" s="5">
        <f>F17*H17</f>
        <v/>
      </c>
      <c r="J17" s="5">
        <f>IF(G17="",0,G17*I17)</f>
        <v/>
      </c>
      <c r="K17" t="inlineStr">
        <is>
          <t>4x450Φ14a250 (OCR)</t>
        </is>
      </c>
      <c r="L17" t="inlineStr">
        <is>
          <t>CẦN ĐỐI CHIẾU</t>
        </is>
      </c>
    </row>
    <row r="18">
      <c r="A18" t="inlineStr">
        <is>
          <t>T13</t>
        </is>
      </c>
      <c r="B18" t="n">
        <v>5</v>
      </c>
      <c r="C18" t="inlineStr">
        <is>
          <t>Cống 3x3 - thép phân bố dọc</t>
        </is>
      </c>
      <c r="D18" t="n">
        <v>10</v>
      </c>
      <c r="E18" t="n">
        <v>200</v>
      </c>
      <c r="F18" t="n">
        <v>11.7</v>
      </c>
      <c r="G18" s="3" t="n"/>
      <c r="H18" s="4">
        <f>0.00617*D18*D18</f>
        <v/>
      </c>
      <c r="I18" s="5">
        <f>F18*H18</f>
        <v/>
      </c>
      <c r="J18" s="5">
        <f>IF(G18="",0,G18*I18)</f>
        <v/>
      </c>
      <c r="K18" t="inlineStr">
        <is>
          <t>Φ10a200 L=11700 (OCR)</t>
        </is>
      </c>
      <c r="L18" t="inlineStr">
        <is>
          <t>CẦN ĐỐI CHIẾU</t>
        </is>
      </c>
    </row>
    <row r="19">
      <c r="A19" t="inlineStr">
        <is>
          <t>T14</t>
        </is>
      </c>
      <c r="B19" t="n">
        <v>6</v>
      </c>
      <c r="C19" t="inlineStr">
        <is>
          <t>Hố lắng cặn 3x3 - thép chính</t>
        </is>
      </c>
      <c r="D19" t="n">
        <v>14</v>
      </c>
      <c r="E19" t="n">
        <v>250</v>
      </c>
      <c r="F19" t="n">
        <v>4.31</v>
      </c>
      <c r="G19" s="3" t="n"/>
      <c r="H19" s="4">
        <f>0.00617*D19*D19</f>
        <v/>
      </c>
      <c r="I19" s="5">
        <f>F19*H19</f>
        <v/>
      </c>
      <c r="J19" s="5">
        <f>IF(G19="",0,G19*I19)</f>
        <v/>
      </c>
      <c r="K19" t="inlineStr">
        <is>
          <t>2x450Φ14a250 (OCR)</t>
        </is>
      </c>
      <c r="L19" t="inlineStr">
        <is>
          <t>CẦN ĐỐI CHIẾU</t>
        </is>
      </c>
    </row>
    <row r="20">
      <c r="A20" t="inlineStr">
        <is>
          <t>T15</t>
        </is>
      </c>
      <c r="B20" t="n">
        <v>6</v>
      </c>
      <c r="C20" t="inlineStr">
        <is>
          <t>Hố lắng cặn 3x3 - thép chính dày</t>
        </is>
      </c>
      <c r="D20" t="n">
        <v>14</v>
      </c>
      <c r="E20" t="n">
        <v>125</v>
      </c>
      <c r="F20" t="n">
        <v>4.31</v>
      </c>
      <c r="G20" s="3" t="n"/>
      <c r="H20" s="4">
        <f>0.00617*D20*D20</f>
        <v/>
      </c>
      <c r="I20" s="5">
        <f>F20*H20</f>
        <v/>
      </c>
      <c r="J20" s="5">
        <f>IF(G20="",0,G20*I20)</f>
        <v/>
      </c>
      <c r="K20" t="inlineStr">
        <is>
          <t>2x900Φ14a125 (OCR)</t>
        </is>
      </c>
      <c r="L20" t="inlineStr">
        <is>
          <t>CẦN ĐỐI CHIẾU</t>
        </is>
      </c>
    </row>
    <row r="21">
      <c r="A21" t="inlineStr">
        <is>
          <t>T16</t>
        </is>
      </c>
      <c r="B21" t="n">
        <v>6</v>
      </c>
      <c r="C21" t="inlineStr">
        <is>
          <t>Hố lắng cặn 3x3 - gia cường</t>
        </is>
      </c>
      <c r="D21" t="n">
        <v>14</v>
      </c>
      <c r="E21" t="n">
        <v>250</v>
      </c>
      <c r="F21" t="n">
        <v>1.17</v>
      </c>
      <c r="G21" s="3" t="n"/>
      <c r="H21" s="4">
        <f>0.00617*D21*D21</f>
        <v/>
      </c>
      <c r="I21" s="5">
        <f>F21*H21</f>
        <v/>
      </c>
      <c r="J21" s="5">
        <f>IF(G21="",0,G21*I21)</f>
        <v/>
      </c>
      <c r="K21" t="inlineStr">
        <is>
          <t>450Φ14a250 (OCR)</t>
        </is>
      </c>
      <c r="L21" t="inlineStr">
        <is>
          <t>CẦN ĐỐI CHIẾU</t>
        </is>
      </c>
    </row>
    <row r="22">
      <c r="C22" s="6" t="inlineStr">
        <is>
          <t>TỔNG (kg)</t>
        </is>
      </c>
      <c r="J22" s="6">
        <f>SUM(J6:J21)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2026-10-03T10:27:31Z</dcterms:created>
  <dcterms:modified xmlns:dcterms="http://purl.org/dc/terms/" xmlns:xsi="http://www.w3.org/2001/XMLSchema-instance" xsi:type="dcterms:W3CDTF">2026-10-03T10:27:31Z</dcterms:modified>
</cp:coreProperties>
</file>