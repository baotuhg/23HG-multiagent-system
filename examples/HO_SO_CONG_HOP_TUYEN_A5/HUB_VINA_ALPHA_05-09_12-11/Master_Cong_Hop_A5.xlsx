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S_DIEN_GIAI_CHI_TIET" sheetId="1" state="visible" r:id="rId1"/>
    <sheet xmlns:r="http://schemas.openxmlformats.org/officeDocument/2006/relationships" name="THONG_KE_THEP_CHI_TIET" sheetId="2" state="visible" r:id="rId2"/>
    <sheet xmlns:r="http://schemas.openxmlformats.org/officeDocument/2006/relationships" name="TIEN_DO_THI_CONG_WBS" sheetId="3" state="visible" r:id="rId3"/>
    <sheet xmlns:r="http://schemas.openxmlformats.org/officeDocument/2006/relationships" name="HOSO_KCS_NGHIEM_TH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yyyy-mm-dd"/>
    <numFmt numFmtId="166" formatCode="DD/MM/YYYY"/>
    <numFmt numFmtId="167" formatCode="DD/MM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color rgb="00FFFFFF"/>
      <sz val="8"/>
    </font>
    <font>
      <b val="1"/>
      <sz val="8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2CC"/>
      </patternFill>
    </fill>
    <fill>
      <patternFill patternType="solid">
        <fgColor rgb="002440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6" fontId="0" fillId="3" borderId="0" pivotButton="0" quotePrefix="0" xfId="0"/>
    <xf numFmtId="166" fontId="0" fillId="0" borderId="0" pivotButton="0" quotePrefix="0" xfId="0"/>
    <xf numFmtId="0" fontId="5" fillId="0" borderId="0" pivotButton="0" quotePrefix="0" xfId="0"/>
    <xf numFmtId="167" fontId="4" fillId="4" borderId="0" applyAlignment="1" pivotButton="0" quotePrefix="0" xfId="0">
      <alignment horizontal="center" textRotation="90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bgColor rgb="00C00000"/>
        </patternFill>
      </fill>
    </dxf>
    <dxf>
      <fill>
        <patternFill patternType="solid">
          <bgColor rgb="004F81B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8" customWidth="1" min="4" max="4"/>
    <col width="55" customWidth="1" min="5" max="5"/>
  </cols>
  <sheetData>
    <row r="1">
      <c r="A1" s="1" t="inlineStr">
        <is>
          <t>BÓC TÁCH KHỐI LƯỢNG CỐNG HỘP TUYẾN A5 (OLP_SD_KC_HT_CH_06..22)</t>
        </is>
      </c>
    </row>
    <row r="2">
      <c r="A2" t="inlineStr">
        <is>
          <t>⚠ MẪU: 1 đốt/loại, kích thước từ OCR bản vẽ — cần đối chiếu bản gốc và nhập số đốt thật vào ô vàng.</t>
        </is>
      </c>
    </row>
    <row r="3">
      <c r="A3" t="inlineStr">
        <is>
          <t>Ô vàng = đầu vào. Giả định (không có trên bản vẽ OCR) ghi rõ ở cột Ghi chú.</t>
        </is>
      </c>
    </row>
    <row r="5">
      <c r="A5" s="2" t="inlineStr">
        <is>
          <t>Hạng mục</t>
        </is>
      </c>
      <c r="B5" s="2" t="inlineStr">
        <is>
          <t>Công thức</t>
        </is>
      </c>
      <c r="C5" s="2" t="inlineStr">
        <is>
          <t>Giá trị</t>
        </is>
      </c>
      <c r="D5" s="2" t="inlineStr">
        <is>
          <t>ĐV</t>
        </is>
      </c>
      <c r="E5" s="2" t="inlineStr">
        <is>
          <t>Ghi chú</t>
        </is>
      </c>
    </row>
    <row r="6">
      <c r="A6" t="inlineStr">
        <is>
          <t>Số đốt cống 2.0x2.0</t>
        </is>
      </c>
      <c r="B6" t="inlineStr">
        <is>
          <t>nhập</t>
        </is>
      </c>
      <c r="C6" s="3" t="n">
        <v>1</v>
      </c>
      <c r="D6" t="inlineStr">
        <is>
          <t>đốt</t>
        </is>
      </c>
      <c r="E6" t="inlineStr">
        <is>
          <t>MẪU — chưa có tổng chiều dài tuyến</t>
        </is>
      </c>
    </row>
    <row r="7">
      <c r="A7" t="inlineStr">
        <is>
          <t>Số đốt cống 3.0x3.0</t>
        </is>
      </c>
      <c r="B7" t="inlineStr">
        <is>
          <t>nhập</t>
        </is>
      </c>
      <c r="C7" s="3" t="n">
        <v>1</v>
      </c>
      <c r="D7" t="inlineStr">
        <is>
          <t>đốt</t>
        </is>
      </c>
      <c r="E7" t="inlineStr">
        <is>
          <t>MẪU — chưa có tổng chiều dài tuyến</t>
        </is>
      </c>
    </row>
    <row r="8">
      <c r="A8" t="inlineStr">
        <is>
          <t>Chiều dài 1 đốt</t>
        </is>
      </c>
      <c r="B8" t="inlineStr">
        <is>
          <t>bản vẽ</t>
        </is>
      </c>
      <c r="C8" s="3" t="n">
        <v>11.3</v>
      </c>
      <c r="D8" t="inlineStr">
        <is>
          <t>m</t>
        </is>
      </c>
      <c r="E8" t="inlineStr">
        <is>
          <t>OCR: L=11300 (khe co giãn mỗi 11,7 m)</t>
        </is>
      </c>
    </row>
    <row r="9">
      <c r="A9" t="inlineStr">
        <is>
          <t>Kích thước ngoài 2x2</t>
        </is>
      </c>
      <c r="B9" t="inlineStr">
        <is>
          <t>bản vẽ</t>
        </is>
      </c>
      <c r="C9" s="3" t="n">
        <v>2.5</v>
      </c>
      <c r="D9" t="inlineStr">
        <is>
          <t>m</t>
        </is>
      </c>
      <c r="E9" t="inlineStr">
        <is>
          <t>OCR: 2500</t>
        </is>
      </c>
    </row>
    <row r="10">
      <c r="A10" t="inlineStr">
        <is>
          <t>Kích thước trong 2x2</t>
        </is>
      </c>
      <c r="B10" t="inlineStr">
        <is>
          <t>bản vẽ</t>
        </is>
      </c>
      <c r="C10" s="3" t="n">
        <v>2</v>
      </c>
      <c r="D10" t="inlineStr">
        <is>
          <t>m</t>
        </is>
      </c>
      <c r="E10" t="inlineStr">
        <is>
          <t>OCR: 2000</t>
        </is>
      </c>
    </row>
    <row r="11">
      <c r="A11" t="inlineStr">
        <is>
          <t>Kích thước ngoài 3x3</t>
        </is>
      </c>
      <c r="B11" t="inlineStr">
        <is>
          <t>bản vẽ</t>
        </is>
      </c>
      <c r="C11" s="3" t="n">
        <v>3.6</v>
      </c>
      <c r="D11" t="inlineStr">
        <is>
          <t>m</t>
        </is>
      </c>
      <c r="E11" t="inlineStr">
        <is>
          <t>OCR: 3600 / 3520 — cần đối chiếu</t>
        </is>
      </c>
    </row>
    <row r="12">
      <c r="A12" t="inlineStr">
        <is>
          <t>Kích thước trong 3x3</t>
        </is>
      </c>
      <c r="B12" t="inlineStr">
        <is>
          <t>bản vẽ</t>
        </is>
      </c>
      <c r="C12" s="3" t="n">
        <v>3</v>
      </c>
      <c r="D12" t="inlineStr">
        <is>
          <t>m</t>
        </is>
      </c>
      <c r="E12" t="inlineStr">
        <is>
          <t>OCR: 3000</t>
        </is>
      </c>
    </row>
    <row r="13">
      <c r="A13" t="inlineStr">
        <is>
          <t>Dày bê tông lót M100</t>
        </is>
      </c>
      <c r="B13" t="inlineStr">
        <is>
          <t>bản vẽ</t>
        </is>
      </c>
      <c r="C13" s="3" t="n">
        <v>0.05</v>
      </c>
      <c r="D13" t="inlineStr">
        <is>
          <t>m</t>
        </is>
      </c>
      <c r="E13" t="inlineStr">
        <is>
          <t>Ghi chú bản vẽ: lót dày 50 mm</t>
        </is>
      </c>
    </row>
    <row r="14">
      <c r="A14" t="inlineStr">
        <is>
          <t>Lót mở rộng mỗi bên</t>
        </is>
      </c>
      <c r="B14" t="inlineStr">
        <is>
          <t>GIẢ ĐỊNH</t>
        </is>
      </c>
      <c r="C14" s="3" t="n">
        <v>0.1</v>
      </c>
      <c r="D14" t="inlineStr">
        <is>
          <t>m</t>
        </is>
      </c>
      <c r="E14" t="inlineStr">
        <is>
          <t>Không đọc được từ OCR</t>
        </is>
      </c>
    </row>
    <row r="15">
      <c r="A15" t="inlineStr">
        <is>
          <t>Dày lớp thay cát đầm chặt</t>
        </is>
      </c>
      <c r="B15" t="inlineStr">
        <is>
          <t>bản vẽ</t>
        </is>
      </c>
      <c r="C15" s="3" t="n">
        <v>0.3</v>
      </c>
      <c r="D15" t="inlineStr">
        <is>
          <t>m</t>
        </is>
      </c>
      <c r="E15" t="inlineStr">
        <is>
          <t>Ghi chú: thay 30 cm bằng cát đầm chặt K0.9</t>
        </is>
      </c>
    </row>
    <row r="16">
      <c r="A16" t="inlineStr">
        <is>
          <t>Mở rộng nền mỗi bên</t>
        </is>
      </c>
      <c r="B16" t="inlineStr">
        <is>
          <t>bản vẽ</t>
        </is>
      </c>
      <c r="C16" s="3" t="n">
        <v>0.3</v>
      </c>
      <c r="D16" t="inlineStr">
        <is>
          <t>m</t>
        </is>
      </c>
      <c r="E16" t="inlineStr">
        <is>
          <t>Ghi chú: phạm vi = bề rộng móng + 300 mm mỗi phía</t>
        </is>
      </c>
    </row>
    <row r="17">
      <c r="A17" s="4" t="inlineStr">
        <is>
          <t>KẾT QUẢ (công thức sống)</t>
        </is>
      </c>
    </row>
    <row r="18">
      <c r="A18" t="inlineStr">
        <is>
          <t>BT B20 (M250) cống 2x2</t>
        </is>
      </c>
      <c r="B18" t="inlineStr">
        <is>
          <t>(B²−b²)·L·N</t>
        </is>
      </c>
      <c r="C18">
        <f>(C9*C9-C10*C10)*C8*C6</f>
        <v/>
      </c>
      <c r="D18" t="inlineStr">
        <is>
          <t>m3</t>
        </is>
      </c>
    </row>
    <row r="19">
      <c r="A19" t="inlineStr">
        <is>
          <t>BT B20 (M250) cống 3x3</t>
        </is>
      </c>
      <c r="B19" t="inlineStr">
        <is>
          <t>(B²−b²)·L·N</t>
        </is>
      </c>
      <c r="C19">
        <f>(C11*C11-C12*C12)*C8*C7</f>
        <v/>
      </c>
      <c r="D19" t="inlineStr">
        <is>
          <t>m3</t>
        </is>
      </c>
    </row>
    <row r="20">
      <c r="A20" s="4" t="inlineStr">
        <is>
          <t>TỔNG BT B20</t>
        </is>
      </c>
      <c r="B20" s="4" t="inlineStr"/>
      <c r="C20" s="4">
        <f>C18+C19</f>
        <v/>
      </c>
      <c r="D20" t="inlineStr">
        <is>
          <t>m3</t>
        </is>
      </c>
    </row>
    <row r="21">
      <c r="A21" t="inlineStr">
        <is>
          <t>Ván khuôn cống 2x2</t>
        </is>
      </c>
      <c r="B21" t="inlineStr">
        <is>
          <t>(4B+4b)·L·N</t>
        </is>
      </c>
      <c r="C21">
        <f>(4*C9+4*C10)*C8*C6</f>
        <v/>
      </c>
      <c r="D21" t="inlineStr">
        <is>
          <t>m2</t>
        </is>
      </c>
      <c r="E21" t="inlineStr">
        <is>
          <t>chưa tính mặt đầu đốt</t>
        </is>
      </c>
    </row>
    <row r="22">
      <c r="A22" t="inlineStr">
        <is>
          <t>Ván khuôn cống 3x3</t>
        </is>
      </c>
      <c r="B22" t="inlineStr">
        <is>
          <t>(4B+4b)·L·N</t>
        </is>
      </c>
      <c r="C22">
        <f>(4*C11+4*C12)*C8*C7</f>
        <v/>
      </c>
      <c r="D22" t="inlineStr">
        <is>
          <t>m2</t>
        </is>
      </c>
      <c r="E22" t="inlineStr">
        <is>
          <t>chưa tính mặt đầu đốt</t>
        </is>
      </c>
    </row>
    <row r="23">
      <c r="A23" s="4" t="inlineStr">
        <is>
          <t>TỔNG VÁN KHUÔN</t>
        </is>
      </c>
      <c r="B23" s="4" t="inlineStr"/>
      <c r="C23" s="4">
        <f>C21+C22</f>
        <v/>
      </c>
      <c r="D23" t="inlineStr">
        <is>
          <t>m2</t>
        </is>
      </c>
    </row>
    <row r="24">
      <c r="A24" t="inlineStr">
        <is>
          <t>BT lót M100 cống 2x2</t>
        </is>
      </c>
      <c r="B24" t="inlineStr">
        <is>
          <t>(B+2e)·t·L·N</t>
        </is>
      </c>
      <c r="C24">
        <f>(C9+2*C14)*C13*C8*C6</f>
        <v/>
      </c>
      <c r="D24" t="inlineStr">
        <is>
          <t>m3</t>
        </is>
      </c>
    </row>
    <row r="25">
      <c r="A25" t="inlineStr">
        <is>
          <t>BT lót M100 cống 3x3</t>
        </is>
      </c>
      <c r="B25" t="inlineStr">
        <is>
          <t>(B+2e)·t·L·N</t>
        </is>
      </c>
      <c r="C25">
        <f>(C11+2*C14)*C13*C8*C7</f>
        <v/>
      </c>
      <c r="D25" t="inlineStr">
        <is>
          <t>m3</t>
        </is>
      </c>
    </row>
    <row r="26">
      <c r="A26" s="4" t="inlineStr">
        <is>
          <t>TỔNG BT LÓT</t>
        </is>
      </c>
      <c r="B26" s="4" t="inlineStr"/>
      <c r="C26" s="4">
        <f>C24+C25</f>
        <v/>
      </c>
      <c r="D26" t="inlineStr">
        <is>
          <t>m3</t>
        </is>
      </c>
    </row>
    <row r="27">
      <c r="A27" t="inlineStr">
        <is>
          <t>Cát thay nền cống 2x2</t>
        </is>
      </c>
      <c r="B27" t="inlineStr">
        <is>
          <t>(B+2w)·h·L·N</t>
        </is>
      </c>
      <c r="C27">
        <f>(C9+2*C16)*C15*C8*C6</f>
        <v/>
      </c>
      <c r="D27" t="inlineStr">
        <is>
          <t>m3</t>
        </is>
      </c>
    </row>
    <row r="28">
      <c r="A28" t="inlineStr">
        <is>
          <t>Cát thay nền cống 3x3</t>
        </is>
      </c>
      <c r="B28" t="inlineStr">
        <is>
          <t>(B+2w)·h·L·N</t>
        </is>
      </c>
      <c r="C28">
        <f>(C11+2*C16)*C15*C8*C7</f>
        <v/>
      </c>
      <c r="D28" t="inlineStr">
        <is>
          <t>m3</t>
        </is>
      </c>
    </row>
    <row r="29">
      <c r="A29" s="4" t="inlineStr">
        <is>
          <t>TỔNG CÁT THAY NỀN</t>
        </is>
      </c>
      <c r="B29" s="4" t="inlineStr"/>
      <c r="C29" s="4">
        <f>C27+C28</f>
        <v/>
      </c>
      <c r="D29" t="inlineStr">
        <is>
          <t>m3</t>
        </is>
      </c>
    </row>
    <row r="30">
      <c r="A30" t="inlineStr">
        <is>
          <t>Tổng chiều dài cống</t>
        </is>
      </c>
      <c r="B30" t="inlineStr">
        <is>
          <t>L·(N2+N3)</t>
        </is>
      </c>
      <c r="C30">
        <f>C8*(C6+C7)</f>
        <v/>
      </c>
      <c r="D30" t="inlineStr">
        <is>
          <t>m</t>
        </is>
      </c>
    </row>
    <row r="31">
      <c r="A31" t="inlineStr">
        <is>
          <t>Số khe co giãn (ước)</t>
        </is>
      </c>
      <c r="B31" t="inlineStr">
        <is>
          <t>N2+N3</t>
        </is>
      </c>
      <c r="C31">
        <f>C6+C7</f>
        <v/>
      </c>
      <c r="D31" t="inlineStr">
        <is>
          <t>khe</t>
        </is>
      </c>
      <c r="E31" t="inlineStr">
        <is>
          <t>mỗi đốt 1 khe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6" customWidth="1" min="3" max="3"/>
    <col width="8" customWidth="1" min="4" max="4"/>
    <col width="8" customWidth="1" min="5" max="5"/>
    <col width="12" customWidth="1" min="6" max="6"/>
    <col width="10" customWidth="1" min="7" max="7"/>
    <col width="12" customWidth="1" min="8" max="8"/>
    <col width="14" customWidth="1" min="9" max="9"/>
    <col width="14" customWidth="1" min="10" max="10"/>
    <col width="30" customWidth="1" min="11" max="11"/>
    <col width="16" customWidth="1" min="12" max="12"/>
  </cols>
  <sheetData>
    <row r="1">
      <c r="A1" s="1" t="inlineStr">
        <is>
          <t>THỐNG KÊ THÉP CỐNG HỘP A5 — KÝ HIỆU ĐỌC TỪ OCR</t>
        </is>
      </c>
    </row>
    <row r="2">
      <c r="A2" t="inlineStr">
        <is>
          <t>⚠ OCR sai nhiều ký hiệu thép. Cột 'Số thanh' ĐỂ TRỐNG (nhập sau khi đối chiếu bản vẽ gốc); hệ thống không tự suy số thanh. Thép &lt;Φ10: CB240-T; ≥Φ10: CB500-V (ghi chú bản vẽ).</t>
        </is>
      </c>
    </row>
    <row r="5">
      <c r="A5" s="2" t="inlineStr">
        <is>
          <t>Mã</t>
        </is>
      </c>
      <c r="B5" s="2" t="inlineStr">
        <is>
          <t>Trang BV</t>
        </is>
      </c>
      <c r="C5" s="2" t="inlineStr">
        <is>
          <t>Vị trí</t>
        </is>
      </c>
      <c r="D5" s="2" t="inlineStr">
        <is>
          <t>Φ (mm)</t>
        </is>
      </c>
      <c r="E5" s="2" t="inlineStr">
        <is>
          <t>a (mm)</t>
        </is>
      </c>
      <c r="F5" s="2" t="inlineStr">
        <is>
          <t>L 1 thanh (m)</t>
        </is>
      </c>
      <c r="G5" s="2" t="inlineStr">
        <is>
          <t>Số thanh</t>
        </is>
      </c>
      <c r="H5" s="2" t="inlineStr">
        <is>
          <t>KL 1m (kg/m)</t>
        </is>
      </c>
      <c r="I5" s="2" t="inlineStr">
        <is>
          <t>KL 1 thanh (kg)</t>
        </is>
      </c>
      <c r="J5" s="2" t="inlineStr">
        <is>
          <t>Tổng KL (kg)</t>
        </is>
      </c>
      <c r="K5" s="2" t="inlineStr">
        <is>
          <t>Nguồn OCR</t>
        </is>
      </c>
      <c r="L5" s="2" t="inlineStr">
        <is>
          <t>Trạng thái</t>
        </is>
      </c>
    </row>
    <row r="6">
      <c r="A6" t="inlineStr">
        <is>
          <t>T01</t>
        </is>
      </c>
      <c r="B6" t="n">
        <v>2</v>
      </c>
      <c r="C6" t="inlineStr">
        <is>
          <t>Cống 2x2 - thép ôm ngoài</t>
        </is>
      </c>
      <c r="D6" t="n">
        <v>12</v>
      </c>
      <c r="E6" t="n">
        <v>250</v>
      </c>
      <c r="F6" t="n">
        <v>2.92</v>
      </c>
      <c r="G6" s="3" t="n"/>
      <c r="H6" s="5">
        <f>0.00617*D6*D6</f>
        <v/>
      </c>
      <c r="I6" s="6">
        <f>F6*H6</f>
        <v/>
      </c>
      <c r="J6" s="6">
        <f>IF(G6="",0,G6*I6)</f>
        <v/>
      </c>
      <c r="K6" t="inlineStr">
        <is>
          <t>2x450Φ12a250 (OCR)</t>
        </is>
      </c>
      <c r="L6" t="inlineStr">
        <is>
          <t>CẦN ĐỐI CHIẾU</t>
        </is>
      </c>
    </row>
    <row r="7">
      <c r="A7" t="inlineStr">
        <is>
          <t>T02</t>
        </is>
      </c>
      <c r="B7" t="n">
        <v>2</v>
      </c>
      <c r="C7" t="inlineStr">
        <is>
          <t>Cống 2x2 - thép đáy/nắp</t>
        </is>
      </c>
      <c r="D7" t="n">
        <v>12</v>
      </c>
      <c r="E7" t="n">
        <v>100</v>
      </c>
      <c r="F7" t="n">
        <v>2.82</v>
      </c>
      <c r="G7" s="3" t="n"/>
      <c r="H7" s="5">
        <f>0.00617*D7*D7</f>
        <v/>
      </c>
      <c r="I7" s="6">
        <f>F7*H7</f>
        <v/>
      </c>
      <c r="J7" s="6">
        <f>IF(G7="",0,G7*I7)</f>
        <v/>
      </c>
      <c r="K7" t="inlineStr">
        <is>
          <t>2x1130Φ12a100 (OCR)</t>
        </is>
      </c>
      <c r="L7" t="inlineStr">
        <is>
          <t>CẦN ĐỐI CHIẾU</t>
        </is>
      </c>
    </row>
    <row r="8">
      <c r="A8" t="inlineStr">
        <is>
          <t>T03</t>
        </is>
      </c>
      <c r="B8" t="n">
        <v>2</v>
      </c>
      <c r="C8" t="inlineStr">
        <is>
          <t>Cống 2x2 - thép thành</t>
        </is>
      </c>
      <c r="D8" t="n">
        <v>12</v>
      </c>
      <c r="E8" t="n">
        <v>250</v>
      </c>
      <c r="F8" t="n">
        <v>2.84</v>
      </c>
      <c r="G8" s="3" t="n"/>
      <c r="H8" s="5">
        <f>0.00617*D8*D8</f>
        <v/>
      </c>
      <c r="I8" s="6">
        <f>F8*H8</f>
        <v/>
      </c>
      <c r="J8" s="6">
        <f>IF(G8="",0,G8*I8)</f>
        <v/>
      </c>
      <c r="K8" t="inlineStr">
        <is>
          <t>2x450Φ12a250 (OCR)</t>
        </is>
      </c>
      <c r="L8" t="inlineStr">
        <is>
          <t>CẦN ĐỐI CHIẾU</t>
        </is>
      </c>
    </row>
    <row r="9">
      <c r="A9" t="inlineStr">
        <is>
          <t>T04</t>
        </is>
      </c>
      <c r="B9" t="n">
        <v>2</v>
      </c>
      <c r="C9" t="inlineStr">
        <is>
          <t>Cống 2x2 - thép thành dày</t>
        </is>
      </c>
      <c r="D9" t="n">
        <v>12</v>
      </c>
      <c r="E9" t="n">
        <v>125</v>
      </c>
      <c r="F9" t="n">
        <v>2.84</v>
      </c>
      <c r="G9" s="3" t="n"/>
      <c r="H9" s="5">
        <f>0.00617*D9*D9</f>
        <v/>
      </c>
      <c r="I9" s="6">
        <f>F9*H9</f>
        <v/>
      </c>
      <c r="J9" s="6">
        <f>IF(G9="",0,G9*I9)</f>
        <v/>
      </c>
      <c r="K9" t="inlineStr">
        <is>
          <t>2x900Φ12a125 (OCR)</t>
        </is>
      </c>
      <c r="L9" t="inlineStr">
        <is>
          <t>CẦN ĐỐI CHIẾU</t>
        </is>
      </c>
    </row>
    <row r="10">
      <c r="A10" t="inlineStr">
        <is>
          <t>T05</t>
        </is>
      </c>
      <c r="B10" t="n">
        <v>2</v>
      </c>
      <c r="C10" t="inlineStr">
        <is>
          <t>Cống 2x2 - thép gia cường</t>
        </is>
      </c>
      <c r="D10" t="n">
        <v>12</v>
      </c>
      <c r="E10" t="n">
        <v>250</v>
      </c>
      <c r="F10" t="n">
        <v>1.32</v>
      </c>
      <c r="G10" s="3" t="n"/>
      <c r="H10" s="5">
        <f>0.00617*D10*D10</f>
        <v/>
      </c>
      <c r="I10" s="6">
        <f>F10*H10</f>
        <v/>
      </c>
      <c r="J10" s="6">
        <f>IF(G10="",0,G10*I10)</f>
        <v/>
      </c>
      <c r="K10" t="inlineStr">
        <is>
          <t>4x450Φ12a250 (OCR)</t>
        </is>
      </c>
      <c r="L10" t="inlineStr">
        <is>
          <t>CẦN ĐỐI CHIẾU</t>
        </is>
      </c>
    </row>
    <row r="11">
      <c r="A11" t="inlineStr">
        <is>
          <t>T06</t>
        </is>
      </c>
      <c r="B11" t="n">
        <v>2</v>
      </c>
      <c r="C11" t="inlineStr">
        <is>
          <t>Cống 2x2 - thép phân bố dọc</t>
        </is>
      </c>
      <c r="D11" t="n">
        <v>10</v>
      </c>
      <c r="E11" t="n">
        <v>200</v>
      </c>
      <c r="F11" t="n">
        <v>11.7</v>
      </c>
      <c r="G11" s="3" t="n"/>
      <c r="H11" s="5">
        <f>0.00617*D11*D11</f>
        <v/>
      </c>
      <c r="I11" s="6">
        <f>F11*H11</f>
        <v/>
      </c>
      <c r="J11" s="6">
        <f>IF(G11="",0,G11*I11)</f>
        <v/>
      </c>
      <c r="K11" t="inlineStr">
        <is>
          <t>Φ10a200 L=11700 (OCR)</t>
        </is>
      </c>
      <c r="L11" t="inlineStr">
        <is>
          <t>CẦN ĐỐI CHIẾU</t>
        </is>
      </c>
    </row>
    <row r="12">
      <c r="A12" t="inlineStr">
        <is>
          <t>T07</t>
        </is>
      </c>
      <c r="B12" t="n">
        <v>3</v>
      </c>
      <c r="C12" t="inlineStr">
        <is>
          <t>Hố lắng cặn 2x2 - thép sàn</t>
        </is>
      </c>
      <c r="D12" t="n">
        <v>12</v>
      </c>
      <c r="E12" t="n">
        <v>100</v>
      </c>
      <c r="F12" t="n">
        <v>2.94</v>
      </c>
      <c r="G12" s="3" t="n"/>
      <c r="H12" s="5">
        <f>0.00617*D12*D12</f>
        <v/>
      </c>
      <c r="I12" s="6">
        <f>F12*H12</f>
        <v/>
      </c>
      <c r="J12" s="6">
        <f>IF(G12="",0,G12*I12)</f>
        <v/>
      </c>
      <c r="K12" t="inlineStr">
        <is>
          <t>200Φ12a100 (OCR)</t>
        </is>
      </c>
      <c r="L12" t="inlineStr">
        <is>
          <t>CẦN ĐỐI CHIẾU</t>
        </is>
      </c>
    </row>
    <row r="13">
      <c r="A13" t="inlineStr">
        <is>
          <t>T08</t>
        </is>
      </c>
      <c r="B13" t="n">
        <v>3</v>
      </c>
      <c r="C13" t="inlineStr">
        <is>
          <t>Hố lắng cặn 2x2 - thép sàn</t>
        </is>
      </c>
      <c r="D13" t="n">
        <v>12</v>
      </c>
      <c r="E13" t="n">
        <v>250</v>
      </c>
      <c r="F13" t="n">
        <v>2.94</v>
      </c>
      <c r="G13" s="3" t="n"/>
      <c r="H13" s="5">
        <f>0.00617*D13*D13</f>
        <v/>
      </c>
      <c r="I13" s="6">
        <f>F13*H13</f>
        <v/>
      </c>
      <c r="J13" s="6">
        <f>IF(G13="",0,G13*I13)</f>
        <v/>
      </c>
      <c r="K13" t="inlineStr">
        <is>
          <t>160Φ12a250 (OCR)</t>
        </is>
      </c>
      <c r="L13" t="inlineStr">
        <is>
          <t>CẦN ĐỐI CHIẾU</t>
        </is>
      </c>
    </row>
    <row r="14">
      <c r="A14" t="inlineStr">
        <is>
          <t>T09</t>
        </is>
      </c>
      <c r="B14" t="n">
        <v>3</v>
      </c>
      <c r="C14" t="inlineStr">
        <is>
          <t>Hố lắng cặn 2x2 - phân bố</t>
        </is>
      </c>
      <c r="D14" t="n">
        <v>10</v>
      </c>
      <c r="E14" t="n">
        <v>200</v>
      </c>
      <c r="F14" t="n">
        <v>3.9</v>
      </c>
      <c r="G14" s="3" t="n"/>
      <c r="H14" s="5">
        <f>0.00617*D14*D14</f>
        <v/>
      </c>
      <c r="I14" s="6">
        <f>F14*H14</f>
        <v/>
      </c>
      <c r="J14" s="6">
        <f>IF(G14="",0,G14*I14)</f>
        <v/>
      </c>
      <c r="K14" t="inlineStr">
        <is>
          <t>100Φ10a200 L=3900 (OCR)</t>
        </is>
      </c>
      <c r="L14" t="inlineStr">
        <is>
          <t>CẦN ĐỐI CHIẾU</t>
        </is>
      </c>
    </row>
    <row r="15">
      <c r="A15" t="inlineStr">
        <is>
          <t>T10</t>
        </is>
      </c>
      <c r="B15" t="n">
        <v>5</v>
      </c>
      <c r="C15" t="inlineStr">
        <is>
          <t>Cống 3x3 - thép chính</t>
        </is>
      </c>
      <c r="D15" t="n">
        <v>14</v>
      </c>
      <c r="E15" t="n">
        <v>250</v>
      </c>
      <c r="F15" t="n">
        <v>3.9</v>
      </c>
      <c r="G15" s="3" t="n"/>
      <c r="H15" s="5">
        <f>0.00617*D15*D15</f>
        <v/>
      </c>
      <c r="I15" s="6">
        <f>F15*H15</f>
        <v/>
      </c>
      <c r="J15" s="6">
        <f>IF(G15="",0,G15*I15)</f>
        <v/>
      </c>
      <c r="K15" t="inlineStr">
        <is>
          <t>2x450Φ14a250 (OCR)</t>
        </is>
      </c>
      <c r="L15" t="inlineStr">
        <is>
          <t>CẦN ĐỐI CHIẾU</t>
        </is>
      </c>
    </row>
    <row r="16">
      <c r="A16" t="inlineStr">
        <is>
          <t>T11</t>
        </is>
      </c>
      <c r="B16" t="n">
        <v>5</v>
      </c>
      <c r="C16" t="inlineStr">
        <is>
          <t>Cống 3x3 - thép chính dày</t>
        </is>
      </c>
      <c r="D16" t="n">
        <v>14</v>
      </c>
      <c r="E16" t="n">
        <v>125</v>
      </c>
      <c r="F16" t="n">
        <v>3.9</v>
      </c>
      <c r="G16" s="3" t="n"/>
      <c r="H16" s="5">
        <f>0.00617*D16*D16</f>
        <v/>
      </c>
      <c r="I16" s="6">
        <f>F16*H16</f>
        <v/>
      </c>
      <c r="J16" s="6">
        <f>IF(G16="",0,G16*I16)</f>
        <v/>
      </c>
      <c r="K16" t="inlineStr">
        <is>
          <t>2x900Φ14a125 (OCR)</t>
        </is>
      </c>
      <c r="L16" t="inlineStr">
        <is>
          <t>CẦN ĐỐI CHIẾU</t>
        </is>
      </c>
    </row>
    <row r="17">
      <c r="A17" t="inlineStr">
        <is>
          <t>T12</t>
        </is>
      </c>
      <c r="B17" t="n">
        <v>5</v>
      </c>
      <c r="C17" t="inlineStr">
        <is>
          <t>Cống 3x3 - thép gia cường</t>
        </is>
      </c>
      <c r="D17" t="n">
        <v>14</v>
      </c>
      <c r="E17" t="n">
        <v>250</v>
      </c>
      <c r="F17" t="n">
        <v>1.95</v>
      </c>
      <c r="G17" s="3" t="n"/>
      <c r="H17" s="5">
        <f>0.00617*D17*D17</f>
        <v/>
      </c>
      <c r="I17" s="6">
        <f>F17*H17</f>
        <v/>
      </c>
      <c r="J17" s="6">
        <f>IF(G17="",0,G17*I17)</f>
        <v/>
      </c>
      <c r="K17" t="inlineStr">
        <is>
          <t>4x450Φ14a250 (OCR)</t>
        </is>
      </c>
      <c r="L17" t="inlineStr">
        <is>
          <t>CẦN ĐỐI CHIẾU</t>
        </is>
      </c>
    </row>
    <row r="18">
      <c r="A18" t="inlineStr">
        <is>
          <t>T13</t>
        </is>
      </c>
      <c r="B18" t="n">
        <v>5</v>
      </c>
      <c r="C18" t="inlineStr">
        <is>
          <t>Cống 3x3 - thép phân bố dọc</t>
        </is>
      </c>
      <c r="D18" t="n">
        <v>10</v>
      </c>
      <c r="E18" t="n">
        <v>200</v>
      </c>
      <c r="F18" t="n">
        <v>11.7</v>
      </c>
      <c r="G18" s="3" t="n"/>
      <c r="H18" s="5">
        <f>0.00617*D18*D18</f>
        <v/>
      </c>
      <c r="I18" s="6">
        <f>F18*H18</f>
        <v/>
      </c>
      <c r="J18" s="6">
        <f>IF(G18="",0,G18*I18)</f>
        <v/>
      </c>
      <c r="K18" t="inlineStr">
        <is>
          <t>Φ10a200 L=11700 (OCR)</t>
        </is>
      </c>
      <c r="L18" t="inlineStr">
        <is>
          <t>CẦN ĐỐI CHIẾU</t>
        </is>
      </c>
    </row>
    <row r="19">
      <c r="A19" t="inlineStr">
        <is>
          <t>T14</t>
        </is>
      </c>
      <c r="B19" t="n">
        <v>6</v>
      </c>
      <c r="C19" t="inlineStr">
        <is>
          <t>Hố lắng cặn 3x3 - thép chính</t>
        </is>
      </c>
      <c r="D19" t="n">
        <v>14</v>
      </c>
      <c r="E19" t="n">
        <v>250</v>
      </c>
      <c r="F19" t="n">
        <v>4.31</v>
      </c>
      <c r="G19" s="3" t="n"/>
      <c r="H19" s="5">
        <f>0.00617*D19*D19</f>
        <v/>
      </c>
      <c r="I19" s="6">
        <f>F19*H19</f>
        <v/>
      </c>
      <c r="J19" s="6">
        <f>IF(G19="",0,G19*I19)</f>
        <v/>
      </c>
      <c r="K19" t="inlineStr">
        <is>
          <t>2x450Φ14a250 (OCR)</t>
        </is>
      </c>
      <c r="L19" t="inlineStr">
        <is>
          <t>CẦN ĐỐI CHIẾU</t>
        </is>
      </c>
    </row>
    <row r="20">
      <c r="A20" t="inlineStr">
        <is>
          <t>T15</t>
        </is>
      </c>
      <c r="B20" t="n">
        <v>6</v>
      </c>
      <c r="C20" t="inlineStr">
        <is>
          <t>Hố lắng cặn 3x3 - thép chính dày</t>
        </is>
      </c>
      <c r="D20" t="n">
        <v>14</v>
      </c>
      <c r="E20" t="n">
        <v>125</v>
      </c>
      <c r="F20" t="n">
        <v>4.31</v>
      </c>
      <c r="G20" s="3" t="n"/>
      <c r="H20" s="5">
        <f>0.00617*D20*D20</f>
        <v/>
      </c>
      <c r="I20" s="6">
        <f>F20*H20</f>
        <v/>
      </c>
      <c r="J20" s="6">
        <f>IF(G20="",0,G20*I20)</f>
        <v/>
      </c>
      <c r="K20" t="inlineStr">
        <is>
          <t>2x900Φ14a125 (OCR)</t>
        </is>
      </c>
      <c r="L20" t="inlineStr">
        <is>
          <t>CẦN ĐỐI CHIẾU</t>
        </is>
      </c>
    </row>
    <row r="21">
      <c r="A21" t="inlineStr">
        <is>
          <t>T16</t>
        </is>
      </c>
      <c r="B21" t="n">
        <v>6</v>
      </c>
      <c r="C21" t="inlineStr">
        <is>
          <t>Hố lắng cặn 3x3 - gia cường</t>
        </is>
      </c>
      <c r="D21" t="n">
        <v>14</v>
      </c>
      <c r="E21" t="n">
        <v>250</v>
      </c>
      <c r="F21" t="n">
        <v>1.17</v>
      </c>
      <c r="G21" s="3" t="n"/>
      <c r="H21" s="5">
        <f>0.00617*D21*D21</f>
        <v/>
      </c>
      <c r="I21" s="6">
        <f>F21*H21</f>
        <v/>
      </c>
      <c r="J21" s="6">
        <f>IF(G21="",0,G21*I21)</f>
        <v/>
      </c>
      <c r="K21" t="inlineStr">
        <is>
          <t>450Φ14a250 (OCR)</t>
        </is>
      </c>
      <c r="L21" t="inlineStr">
        <is>
          <t>CẦN ĐỐI CHIẾU</t>
        </is>
      </c>
    </row>
    <row r="22">
      <c r="C22" s="4" t="inlineStr">
        <is>
          <t>TỔNG (kg)</t>
        </is>
      </c>
      <c r="J22" s="4">
        <f>SUM(J6:J21)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H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1" customWidth="1" min="3" max="3"/>
    <col width="8" customWidth="1" min="4" max="4"/>
    <col width="9" customWidth="1" min="5" max="5"/>
    <col width="10" customWidth="1" min="6" max="6"/>
    <col width="8" customWidth="1" min="7" max="7"/>
    <col width="9" customWidth="1" min="8" max="8"/>
    <col width="12" customWidth="1" min="9" max="9"/>
    <col width="12" customWidth="1" min="10" max="10"/>
    <col width="12" customWidth="1" min="11" max="11"/>
    <col width="8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</cols>
  <sheetData>
    <row r="2">
      <c r="B2" s="1" t="inlineStr">
        <is>
          <t>TIẾN ĐỘ THI CÔNG CỐNG HỘP TUYẾN A5 — chuẩn Vina Alpha (công thức sống)</t>
        </is>
      </c>
      <c r="N2" s="4" t="inlineStr">
        <is>
          <t>Ngày khởi công</t>
        </is>
      </c>
      <c r="R2" s="7" t="n">
        <v>46270</v>
      </c>
      <c r="V2" s="4" t="inlineStr">
        <is>
          <t>Hoàn thành (tính toán)</t>
        </is>
      </c>
      <c r="Z2" s="8">
        <f>MAX($J$8:$J$22)</f>
        <v/>
      </c>
      <c r="AD2" s="4" t="inlineStr">
        <is>
          <t>Tổng thời gian (ngày)</t>
        </is>
      </c>
      <c r="AH2">
        <f>Z2-$R$2+1</f>
        <v/>
      </c>
    </row>
    <row r="3">
      <c r="B3" t="inlineStr">
        <is>
          <t>⚠ Định mức công/ĐV và tổ đội là GIẢ ĐỊNH để chạy thử — thay bằng định mức thực tế của nhà thầu.</t>
        </is>
      </c>
      <c r="N3" s="4" t="inlineStr">
        <is>
          <t>Hạn hoàn thành (mục tiêu)</t>
        </is>
      </c>
      <c r="R3" s="7" t="n">
        <v>46338</v>
      </c>
      <c r="V3" s="4" t="inlineStr">
        <is>
          <t>Dự phòng so với hạn (ngày)</t>
        </is>
      </c>
      <c r="Z3">
        <f>$R$3-Z2</f>
        <v/>
      </c>
      <c r="AD3" s="4" t="inlineStr">
        <is>
          <t>Trạng thái</t>
        </is>
      </c>
      <c r="AH3">
        <f>IF(Z2&lt;=$R$3,"ĐẠT","TRỄ")</f>
        <v/>
      </c>
    </row>
    <row r="4">
      <c r="N4" s="4" t="inlineStr">
        <is>
          <t>Gantt: 1=thanh 2=nhân công 3=ca</t>
        </is>
      </c>
      <c r="R4" s="3" t="n">
        <v>1</v>
      </c>
    </row>
    <row r="5">
      <c r="M5" s="9">
        <f>"T"&amp;1</f>
        <v/>
      </c>
      <c r="N5" s="9">
        <f>"T"&amp;2</f>
        <v/>
      </c>
      <c r="O5" s="9">
        <f>"T"&amp;3</f>
        <v/>
      </c>
      <c r="P5" s="9">
        <f>"T"&amp;4</f>
        <v/>
      </c>
      <c r="Q5" s="9">
        <f>"T"&amp;5</f>
        <v/>
      </c>
      <c r="R5" s="9">
        <f>"T"&amp;6</f>
        <v/>
      </c>
      <c r="S5" s="9">
        <f>"T"&amp;7</f>
        <v/>
      </c>
      <c r="T5" s="9">
        <f>"T"&amp;8</f>
        <v/>
      </c>
      <c r="U5" s="9">
        <f>"T"&amp;9</f>
        <v/>
      </c>
      <c r="V5" s="9">
        <f>"T"&amp;10</f>
        <v/>
      </c>
      <c r="W5" s="9">
        <f>"T"&amp;11</f>
        <v/>
      </c>
      <c r="X5" s="9">
        <f>"T"&amp;12</f>
        <v/>
      </c>
      <c r="Y5" s="9">
        <f>"T"&amp;13</f>
        <v/>
      </c>
      <c r="Z5" s="9">
        <f>"T"&amp;14</f>
        <v/>
      </c>
      <c r="AA5" s="9">
        <f>"T"&amp;15</f>
        <v/>
      </c>
      <c r="AB5" s="9">
        <f>"T"&amp;16</f>
        <v/>
      </c>
      <c r="AC5" s="9">
        <f>"T"&amp;17</f>
        <v/>
      </c>
      <c r="AD5" s="9">
        <f>"T"&amp;18</f>
        <v/>
      </c>
      <c r="AE5" s="9">
        <f>"T"&amp;19</f>
        <v/>
      </c>
      <c r="AF5" s="9">
        <f>"T"&amp;20</f>
        <v/>
      </c>
      <c r="AG5" s="9">
        <f>"T"&amp;21</f>
        <v/>
      </c>
      <c r="AH5" s="9">
        <f>"T"&amp;22</f>
        <v/>
      </c>
      <c r="AI5" s="9">
        <f>"T"&amp;23</f>
        <v/>
      </c>
      <c r="AJ5" s="9">
        <f>"T"&amp;24</f>
        <v/>
      </c>
      <c r="AK5" s="9">
        <f>"T"&amp;25</f>
        <v/>
      </c>
      <c r="AL5" s="9">
        <f>"T"&amp;26</f>
        <v/>
      </c>
      <c r="AM5" s="9">
        <f>"T"&amp;27</f>
        <v/>
      </c>
      <c r="AN5" s="9">
        <f>"T"&amp;28</f>
        <v/>
      </c>
      <c r="AO5" s="9">
        <f>"T"&amp;29</f>
        <v/>
      </c>
      <c r="AP5" s="9">
        <f>"T"&amp;30</f>
        <v/>
      </c>
      <c r="AQ5" s="9">
        <f>"T"&amp;31</f>
        <v/>
      </c>
      <c r="AR5" s="9">
        <f>"T"&amp;32</f>
        <v/>
      </c>
      <c r="AS5" s="9">
        <f>"T"&amp;33</f>
        <v/>
      </c>
      <c r="AT5" s="9">
        <f>"T"&amp;34</f>
        <v/>
      </c>
      <c r="AU5" s="9">
        <f>"T"&amp;35</f>
        <v/>
      </c>
      <c r="AV5" s="9">
        <f>"T"&amp;36</f>
        <v/>
      </c>
      <c r="AW5" s="9">
        <f>"T"&amp;37</f>
        <v/>
      </c>
      <c r="AX5" s="9">
        <f>"T"&amp;38</f>
        <v/>
      </c>
      <c r="AY5" s="9">
        <f>"T"&amp;39</f>
        <v/>
      </c>
      <c r="AZ5" s="9">
        <f>"T"&amp;40</f>
        <v/>
      </c>
      <c r="BA5" s="9">
        <f>"T"&amp;41</f>
        <v/>
      </c>
      <c r="BB5" s="9">
        <f>"T"&amp;42</f>
        <v/>
      </c>
      <c r="BC5" s="9">
        <f>"T"&amp;43</f>
        <v/>
      </c>
      <c r="BD5" s="9">
        <f>"T"&amp;44</f>
        <v/>
      </c>
      <c r="BF5" s="4" t="inlineStr">
        <is>
          <t>Đường găng (công thức)</t>
        </is>
      </c>
    </row>
    <row r="6" ht="38" customHeight="1">
      <c r="A6" s="2" t="inlineStr">
        <is>
          <t>WBS</t>
        </is>
      </c>
      <c r="B6" s="2" t="inlineStr">
        <is>
          <t>Hạng mục</t>
        </is>
      </c>
      <c r="C6" s="2" t="inlineStr">
        <is>
          <t>Khối lượng</t>
        </is>
      </c>
      <c r="D6" s="2" t="inlineStr">
        <is>
          <t>ĐV</t>
        </is>
      </c>
      <c r="E6" s="2" t="inlineStr">
        <is>
          <t>Định mức</t>
        </is>
      </c>
      <c r="F6" s="2" t="inlineStr">
        <is>
          <t>Tổng công</t>
        </is>
      </c>
      <c r="G6" s="2" t="inlineStr">
        <is>
          <t>Tổ đội</t>
        </is>
      </c>
      <c r="H6" s="2" t="inlineStr">
        <is>
          <t>Số ngày</t>
        </is>
      </c>
      <c r="I6" s="2" t="inlineStr">
        <is>
          <t>Bắt đầu</t>
        </is>
      </c>
      <c r="J6" s="2" t="inlineStr">
        <is>
          <t>Kết thúc</t>
        </is>
      </c>
      <c r="K6" s="2" t="inlineStr">
        <is>
          <t>Tiền nhiệm</t>
        </is>
      </c>
      <c r="L6" s="2" t="inlineStr">
        <is>
          <t>Găng</t>
        </is>
      </c>
      <c r="M6" s="10">
        <f>$R$2+7*0</f>
        <v/>
      </c>
      <c r="N6" s="10">
        <f>$R$2+7*1</f>
        <v/>
      </c>
      <c r="O6" s="10">
        <f>$R$2+7*2</f>
        <v/>
      </c>
      <c r="P6" s="10">
        <f>$R$2+7*3</f>
        <v/>
      </c>
      <c r="Q6" s="10">
        <f>$R$2+7*4</f>
        <v/>
      </c>
      <c r="R6" s="10">
        <f>$R$2+7*5</f>
        <v/>
      </c>
      <c r="S6" s="10">
        <f>$R$2+7*6</f>
        <v/>
      </c>
      <c r="T6" s="10">
        <f>$R$2+7*7</f>
        <v/>
      </c>
      <c r="U6" s="10">
        <f>$R$2+7*8</f>
        <v/>
      </c>
      <c r="V6" s="10">
        <f>$R$2+7*9</f>
        <v/>
      </c>
      <c r="W6" s="10">
        <f>$R$2+7*10</f>
        <v/>
      </c>
      <c r="X6" s="10">
        <f>$R$2+7*11</f>
        <v/>
      </c>
      <c r="Y6" s="10">
        <f>$R$2+7*12</f>
        <v/>
      </c>
      <c r="Z6" s="10">
        <f>$R$2+7*13</f>
        <v/>
      </c>
      <c r="AA6" s="10">
        <f>$R$2+7*14</f>
        <v/>
      </c>
      <c r="AB6" s="10">
        <f>$R$2+7*15</f>
        <v/>
      </c>
      <c r="AC6" s="10">
        <f>$R$2+7*16</f>
        <v/>
      </c>
      <c r="AD6" s="10">
        <f>$R$2+7*17</f>
        <v/>
      </c>
      <c r="AE6" s="10">
        <f>$R$2+7*18</f>
        <v/>
      </c>
      <c r="AF6" s="10">
        <f>$R$2+7*19</f>
        <v/>
      </c>
      <c r="AG6" s="10">
        <f>$R$2+7*20</f>
        <v/>
      </c>
      <c r="AH6" s="10">
        <f>$R$2+7*21</f>
        <v/>
      </c>
      <c r="AI6" s="10">
        <f>$R$2+7*22</f>
        <v/>
      </c>
      <c r="AJ6" s="10">
        <f>$R$2+7*23</f>
        <v/>
      </c>
      <c r="AK6" s="10">
        <f>$R$2+7*24</f>
        <v/>
      </c>
      <c r="AL6" s="10">
        <f>$R$2+7*25</f>
        <v/>
      </c>
      <c r="AM6" s="10">
        <f>$R$2+7*26</f>
        <v/>
      </c>
      <c r="AN6" s="10">
        <f>$R$2+7*27</f>
        <v/>
      </c>
      <c r="AO6" s="10">
        <f>$R$2+7*28</f>
        <v/>
      </c>
      <c r="AP6" s="10">
        <f>$R$2+7*29</f>
        <v/>
      </c>
      <c r="AQ6" s="10">
        <f>$R$2+7*30</f>
        <v/>
      </c>
      <c r="AR6" s="10">
        <f>$R$2+7*31</f>
        <v/>
      </c>
      <c r="AS6" s="10">
        <f>$R$2+7*32</f>
        <v/>
      </c>
      <c r="AT6" s="10">
        <f>$R$2+7*33</f>
        <v/>
      </c>
      <c r="AU6" s="10">
        <f>$R$2+7*34</f>
        <v/>
      </c>
      <c r="AV6" s="10">
        <f>$R$2+7*35</f>
        <v/>
      </c>
      <c r="AW6" s="10">
        <f>$R$2+7*36</f>
        <v/>
      </c>
      <c r="AX6" s="10">
        <f>$R$2+7*37</f>
        <v/>
      </c>
      <c r="AY6" s="10">
        <f>$R$2+7*38</f>
        <v/>
      </c>
      <c r="AZ6" s="10">
        <f>$R$2+7*39</f>
        <v/>
      </c>
      <c r="BA6" s="10">
        <f>$R$2+7*40</f>
        <v/>
      </c>
      <c r="BB6" s="10">
        <f>$R$2+7*41</f>
        <v/>
      </c>
      <c r="BC6" s="10">
        <f>$R$2+7*42</f>
        <v/>
      </c>
      <c r="BD6" s="10">
        <f>$R$2+7*43</f>
        <v/>
      </c>
      <c r="BF6" s="4" t="inlineStr">
        <is>
          <t>LF</t>
        </is>
      </c>
      <c r="BG6" s="4" t="inlineStr">
        <is>
          <t>LS</t>
        </is>
      </c>
      <c r="BH6" s="4" t="inlineStr">
        <is>
          <t>TF</t>
        </is>
      </c>
    </row>
    <row r="7">
      <c r="A7" t="inlineStr">
        <is>
          <t>1</t>
        </is>
      </c>
      <c r="B7" s="4" t="inlineStr">
        <is>
          <t>CHUẨN BỊ</t>
        </is>
      </c>
    </row>
    <row r="8">
      <c r="A8" t="inlineStr">
        <is>
          <t>1.1</t>
        </is>
      </c>
      <c r="B8" t="inlineStr">
        <is>
          <t>Định vị tuyến, rào chắn, lắp dựng ĐD</t>
        </is>
      </c>
      <c r="C8">
        <f>QS_DIEN_GIAI_CHI_TIET!C30</f>
        <v/>
      </c>
      <c r="D8" t="inlineStr">
        <is>
          <t>m</t>
        </is>
      </c>
      <c r="E8" t="n">
        <v>0.15</v>
      </c>
      <c r="F8">
        <f>C8*E8</f>
        <v/>
      </c>
      <c r="G8" t="n">
        <v>4</v>
      </c>
      <c r="H8">
        <f>MAX(1,ROUNDUP(F8/G8,0))</f>
        <v/>
      </c>
      <c r="I8" s="8">
        <f>$R$2</f>
        <v/>
      </c>
      <c r="J8" s="8">
        <f>I8+H8-1</f>
        <v/>
      </c>
      <c r="K8" t="inlineStr">
        <is>
          <t>-</t>
        </is>
      </c>
      <c r="L8">
        <f>IF(BH8=0,"YES","NO")</f>
        <v/>
      </c>
      <c r="M8" s="11">
        <f>IF(AND($I8&lt;=M$6+6,$J8&gt;=M$6),IF($R$4=1,"█",IF($R$4=2,$G8,$G8*2)),"")</f>
        <v/>
      </c>
      <c r="N8" s="11">
        <f>IF(AND($I8&lt;=N$6+6,$J8&gt;=N$6),IF($R$4=1,"█",IF($R$4=2,$G8,$G8*2)),"")</f>
        <v/>
      </c>
      <c r="O8" s="11">
        <f>IF(AND($I8&lt;=O$6+6,$J8&gt;=O$6),IF($R$4=1,"█",IF($R$4=2,$G8,$G8*2)),"")</f>
        <v/>
      </c>
      <c r="P8" s="11">
        <f>IF(AND($I8&lt;=P$6+6,$J8&gt;=P$6),IF($R$4=1,"█",IF($R$4=2,$G8,$G8*2)),"")</f>
        <v/>
      </c>
      <c r="Q8" s="11">
        <f>IF(AND($I8&lt;=Q$6+6,$J8&gt;=Q$6),IF($R$4=1,"█",IF($R$4=2,$G8,$G8*2)),"")</f>
        <v/>
      </c>
      <c r="R8" s="11">
        <f>IF(AND($I8&lt;=R$6+6,$J8&gt;=R$6),IF($R$4=1,"█",IF($R$4=2,$G8,$G8*2)),"")</f>
        <v/>
      </c>
      <c r="S8" s="11">
        <f>IF(AND($I8&lt;=S$6+6,$J8&gt;=S$6),IF($R$4=1,"█",IF($R$4=2,$G8,$G8*2)),"")</f>
        <v/>
      </c>
      <c r="T8" s="11">
        <f>IF(AND($I8&lt;=T$6+6,$J8&gt;=T$6),IF($R$4=1,"█",IF($R$4=2,$G8,$G8*2)),"")</f>
        <v/>
      </c>
      <c r="U8" s="11">
        <f>IF(AND($I8&lt;=U$6+6,$J8&gt;=U$6),IF($R$4=1,"█",IF($R$4=2,$G8,$G8*2)),"")</f>
        <v/>
      </c>
      <c r="V8" s="11">
        <f>IF(AND($I8&lt;=V$6+6,$J8&gt;=V$6),IF($R$4=1,"█",IF($R$4=2,$G8,$G8*2)),"")</f>
        <v/>
      </c>
      <c r="W8" s="11">
        <f>IF(AND($I8&lt;=W$6+6,$J8&gt;=W$6),IF($R$4=1,"█",IF($R$4=2,$G8,$G8*2)),"")</f>
        <v/>
      </c>
      <c r="X8" s="11">
        <f>IF(AND($I8&lt;=X$6+6,$J8&gt;=X$6),IF($R$4=1,"█",IF($R$4=2,$G8,$G8*2)),"")</f>
        <v/>
      </c>
      <c r="Y8" s="11">
        <f>IF(AND($I8&lt;=Y$6+6,$J8&gt;=Y$6),IF($R$4=1,"█",IF($R$4=2,$G8,$G8*2)),"")</f>
        <v/>
      </c>
      <c r="Z8" s="11">
        <f>IF(AND($I8&lt;=Z$6+6,$J8&gt;=Z$6),IF($R$4=1,"█",IF($R$4=2,$G8,$G8*2)),"")</f>
        <v/>
      </c>
      <c r="AA8" s="11">
        <f>IF(AND($I8&lt;=AA$6+6,$J8&gt;=AA$6),IF($R$4=1,"█",IF($R$4=2,$G8,$G8*2)),"")</f>
        <v/>
      </c>
      <c r="AB8" s="11">
        <f>IF(AND($I8&lt;=AB$6+6,$J8&gt;=AB$6),IF($R$4=1,"█",IF($R$4=2,$G8,$G8*2)),"")</f>
        <v/>
      </c>
      <c r="AC8" s="11">
        <f>IF(AND($I8&lt;=AC$6+6,$J8&gt;=AC$6),IF($R$4=1,"█",IF($R$4=2,$G8,$G8*2)),"")</f>
        <v/>
      </c>
      <c r="AD8" s="11">
        <f>IF(AND($I8&lt;=AD$6+6,$J8&gt;=AD$6),IF($R$4=1,"█",IF($R$4=2,$G8,$G8*2)),"")</f>
        <v/>
      </c>
      <c r="AE8" s="11">
        <f>IF(AND($I8&lt;=AE$6+6,$J8&gt;=AE$6),IF($R$4=1,"█",IF($R$4=2,$G8,$G8*2)),"")</f>
        <v/>
      </c>
      <c r="AF8" s="11">
        <f>IF(AND($I8&lt;=AF$6+6,$J8&gt;=AF$6),IF($R$4=1,"█",IF($R$4=2,$G8,$G8*2)),"")</f>
        <v/>
      </c>
      <c r="AG8" s="11">
        <f>IF(AND($I8&lt;=AG$6+6,$J8&gt;=AG$6),IF($R$4=1,"█",IF($R$4=2,$G8,$G8*2)),"")</f>
        <v/>
      </c>
      <c r="AH8" s="11">
        <f>IF(AND($I8&lt;=AH$6+6,$J8&gt;=AH$6),IF($R$4=1,"█",IF($R$4=2,$G8,$G8*2)),"")</f>
        <v/>
      </c>
      <c r="AI8" s="11">
        <f>IF(AND($I8&lt;=AI$6+6,$J8&gt;=AI$6),IF($R$4=1,"█",IF($R$4=2,$G8,$G8*2)),"")</f>
        <v/>
      </c>
      <c r="AJ8" s="11">
        <f>IF(AND($I8&lt;=AJ$6+6,$J8&gt;=AJ$6),IF($R$4=1,"█",IF($R$4=2,$G8,$G8*2)),"")</f>
        <v/>
      </c>
      <c r="AK8" s="11">
        <f>IF(AND($I8&lt;=AK$6+6,$J8&gt;=AK$6),IF($R$4=1,"█",IF($R$4=2,$G8,$G8*2)),"")</f>
        <v/>
      </c>
      <c r="AL8" s="11">
        <f>IF(AND($I8&lt;=AL$6+6,$J8&gt;=AL$6),IF($R$4=1,"█",IF($R$4=2,$G8,$G8*2)),"")</f>
        <v/>
      </c>
      <c r="AM8" s="11">
        <f>IF(AND($I8&lt;=AM$6+6,$J8&gt;=AM$6),IF($R$4=1,"█",IF($R$4=2,$G8,$G8*2)),"")</f>
        <v/>
      </c>
      <c r="AN8" s="11">
        <f>IF(AND($I8&lt;=AN$6+6,$J8&gt;=AN$6),IF($R$4=1,"█",IF($R$4=2,$G8,$G8*2)),"")</f>
        <v/>
      </c>
      <c r="AO8" s="11">
        <f>IF(AND($I8&lt;=AO$6+6,$J8&gt;=AO$6),IF($R$4=1,"█",IF($R$4=2,$G8,$G8*2)),"")</f>
        <v/>
      </c>
      <c r="AP8" s="11">
        <f>IF(AND($I8&lt;=AP$6+6,$J8&gt;=AP$6),IF($R$4=1,"█",IF($R$4=2,$G8,$G8*2)),"")</f>
        <v/>
      </c>
      <c r="AQ8" s="11">
        <f>IF(AND($I8&lt;=AQ$6+6,$J8&gt;=AQ$6),IF($R$4=1,"█",IF($R$4=2,$G8,$G8*2)),"")</f>
        <v/>
      </c>
      <c r="AR8" s="11">
        <f>IF(AND($I8&lt;=AR$6+6,$J8&gt;=AR$6),IF($R$4=1,"█",IF($R$4=2,$G8,$G8*2)),"")</f>
        <v/>
      </c>
      <c r="AS8" s="11">
        <f>IF(AND($I8&lt;=AS$6+6,$J8&gt;=AS$6),IF($R$4=1,"█",IF($R$4=2,$G8,$G8*2)),"")</f>
        <v/>
      </c>
      <c r="AT8" s="11">
        <f>IF(AND($I8&lt;=AT$6+6,$J8&gt;=AT$6),IF($R$4=1,"█",IF($R$4=2,$G8,$G8*2)),"")</f>
        <v/>
      </c>
      <c r="AU8" s="11">
        <f>IF(AND($I8&lt;=AU$6+6,$J8&gt;=AU$6),IF($R$4=1,"█",IF($R$4=2,$G8,$G8*2)),"")</f>
        <v/>
      </c>
      <c r="AV8" s="11">
        <f>IF(AND($I8&lt;=AV$6+6,$J8&gt;=AV$6),IF($R$4=1,"█",IF($R$4=2,$G8,$G8*2)),"")</f>
        <v/>
      </c>
      <c r="AW8" s="11">
        <f>IF(AND($I8&lt;=AW$6+6,$J8&gt;=AW$6),IF($R$4=1,"█",IF($R$4=2,$G8,$G8*2)),"")</f>
        <v/>
      </c>
      <c r="AX8" s="11">
        <f>IF(AND($I8&lt;=AX$6+6,$J8&gt;=AX$6),IF($R$4=1,"█",IF($R$4=2,$G8,$G8*2)),"")</f>
        <v/>
      </c>
      <c r="AY8" s="11">
        <f>IF(AND($I8&lt;=AY$6+6,$J8&gt;=AY$6),IF($R$4=1,"█",IF($R$4=2,$G8,$G8*2)),"")</f>
        <v/>
      </c>
      <c r="AZ8" s="11">
        <f>IF(AND($I8&lt;=AZ$6+6,$J8&gt;=AZ$6),IF($R$4=1,"█",IF($R$4=2,$G8,$G8*2)),"")</f>
        <v/>
      </c>
      <c r="BA8" s="11">
        <f>IF(AND($I8&lt;=BA$6+6,$J8&gt;=BA$6),IF($R$4=1,"█",IF($R$4=2,$G8,$G8*2)),"")</f>
        <v/>
      </c>
      <c r="BB8" s="11">
        <f>IF(AND($I8&lt;=BB$6+6,$J8&gt;=BB$6),IF($R$4=1,"█",IF($R$4=2,$G8,$G8*2)),"")</f>
        <v/>
      </c>
      <c r="BC8" s="11">
        <f>IF(AND($I8&lt;=BC$6+6,$J8&gt;=BC$6),IF($R$4=1,"█",IF($R$4=2,$G8,$G8*2)),"")</f>
        <v/>
      </c>
      <c r="BD8" s="11">
        <f>IF(AND($I8&lt;=BD$6+6,$J8&gt;=BD$6),IF($R$4=1,"█",IF($R$4=2,$G8,$G8*2)),"")</f>
        <v/>
      </c>
      <c r="BF8" s="8">
        <f>BG10-1-0</f>
        <v/>
      </c>
      <c r="BG8" s="8">
        <f>BF8-H8+1</f>
        <v/>
      </c>
      <c r="BH8">
        <f>BG8-I8</f>
        <v/>
      </c>
    </row>
    <row r="9">
      <c r="A9" t="inlineStr">
        <is>
          <t>2</t>
        </is>
      </c>
      <c r="B9" s="4" t="inlineStr">
        <is>
          <t>NỀN MÓNG</t>
        </is>
      </c>
    </row>
    <row r="10">
      <c r="A10" t="inlineStr">
        <is>
          <t>2.1</t>
        </is>
      </c>
      <c r="B10" t="inlineStr">
        <is>
          <t>Đào bóc 30 cm nền hiện trạng</t>
        </is>
      </c>
      <c r="C10">
        <f>QS_DIEN_GIAI_CHI_TIET!C29</f>
        <v/>
      </c>
      <c r="D10" t="inlineStr">
        <is>
          <t>m3</t>
        </is>
      </c>
      <c r="E10" t="n">
        <v>0.3</v>
      </c>
      <c r="F10">
        <f>C10*E10</f>
        <v/>
      </c>
      <c r="G10" t="n">
        <v>6</v>
      </c>
      <c r="H10">
        <f>MAX(1,ROUNDUP(F10/G10,0))</f>
        <v/>
      </c>
      <c r="I10" s="8">
        <f>J8+1+0</f>
        <v/>
      </c>
      <c r="J10" s="8">
        <f>I10+H10-1</f>
        <v/>
      </c>
      <c r="K10" t="inlineStr">
        <is>
          <t>1.1FS</t>
        </is>
      </c>
      <c r="L10">
        <f>IF(BH10=0,"YES","NO")</f>
        <v/>
      </c>
      <c r="M10" s="11">
        <f>IF(AND($I10&lt;=M$6+6,$J10&gt;=M$6),IF($R$4=1,"█",IF($R$4=2,$G10,$G10*2)),"")</f>
        <v/>
      </c>
      <c r="N10" s="11">
        <f>IF(AND($I10&lt;=N$6+6,$J10&gt;=N$6),IF($R$4=1,"█",IF($R$4=2,$G10,$G10*2)),"")</f>
        <v/>
      </c>
      <c r="O10" s="11">
        <f>IF(AND($I10&lt;=O$6+6,$J10&gt;=O$6),IF($R$4=1,"█",IF($R$4=2,$G10,$G10*2)),"")</f>
        <v/>
      </c>
      <c r="P10" s="11">
        <f>IF(AND($I10&lt;=P$6+6,$J10&gt;=P$6),IF($R$4=1,"█",IF($R$4=2,$G10,$G10*2)),"")</f>
        <v/>
      </c>
      <c r="Q10" s="11">
        <f>IF(AND($I10&lt;=Q$6+6,$J10&gt;=Q$6),IF($R$4=1,"█",IF($R$4=2,$G10,$G10*2)),"")</f>
        <v/>
      </c>
      <c r="R10" s="11">
        <f>IF(AND($I10&lt;=R$6+6,$J10&gt;=R$6),IF($R$4=1,"█",IF($R$4=2,$G10,$G10*2)),"")</f>
        <v/>
      </c>
      <c r="S10" s="11">
        <f>IF(AND($I10&lt;=S$6+6,$J10&gt;=S$6),IF($R$4=1,"█",IF($R$4=2,$G10,$G10*2)),"")</f>
        <v/>
      </c>
      <c r="T10" s="11">
        <f>IF(AND($I10&lt;=T$6+6,$J10&gt;=T$6),IF($R$4=1,"█",IF($R$4=2,$G10,$G10*2)),"")</f>
        <v/>
      </c>
      <c r="U10" s="11">
        <f>IF(AND($I10&lt;=U$6+6,$J10&gt;=U$6),IF($R$4=1,"█",IF($R$4=2,$G10,$G10*2)),"")</f>
        <v/>
      </c>
      <c r="V10" s="11">
        <f>IF(AND($I10&lt;=V$6+6,$J10&gt;=V$6),IF($R$4=1,"█",IF($R$4=2,$G10,$G10*2)),"")</f>
        <v/>
      </c>
      <c r="W10" s="11">
        <f>IF(AND($I10&lt;=W$6+6,$J10&gt;=W$6),IF($R$4=1,"█",IF($R$4=2,$G10,$G10*2)),"")</f>
        <v/>
      </c>
      <c r="X10" s="11">
        <f>IF(AND($I10&lt;=X$6+6,$J10&gt;=X$6),IF($R$4=1,"█",IF($R$4=2,$G10,$G10*2)),"")</f>
        <v/>
      </c>
      <c r="Y10" s="11">
        <f>IF(AND($I10&lt;=Y$6+6,$J10&gt;=Y$6),IF($R$4=1,"█",IF($R$4=2,$G10,$G10*2)),"")</f>
        <v/>
      </c>
      <c r="Z10" s="11">
        <f>IF(AND($I10&lt;=Z$6+6,$J10&gt;=Z$6),IF($R$4=1,"█",IF($R$4=2,$G10,$G10*2)),"")</f>
        <v/>
      </c>
      <c r="AA10" s="11">
        <f>IF(AND($I10&lt;=AA$6+6,$J10&gt;=AA$6),IF($R$4=1,"█",IF($R$4=2,$G10,$G10*2)),"")</f>
        <v/>
      </c>
      <c r="AB10" s="11">
        <f>IF(AND($I10&lt;=AB$6+6,$J10&gt;=AB$6),IF($R$4=1,"█",IF($R$4=2,$G10,$G10*2)),"")</f>
        <v/>
      </c>
      <c r="AC10" s="11">
        <f>IF(AND($I10&lt;=AC$6+6,$J10&gt;=AC$6),IF($R$4=1,"█",IF($R$4=2,$G10,$G10*2)),"")</f>
        <v/>
      </c>
      <c r="AD10" s="11">
        <f>IF(AND($I10&lt;=AD$6+6,$J10&gt;=AD$6),IF($R$4=1,"█",IF($R$4=2,$G10,$G10*2)),"")</f>
        <v/>
      </c>
      <c r="AE10" s="11">
        <f>IF(AND($I10&lt;=AE$6+6,$J10&gt;=AE$6),IF($R$4=1,"█",IF($R$4=2,$G10,$G10*2)),"")</f>
        <v/>
      </c>
      <c r="AF10" s="11">
        <f>IF(AND($I10&lt;=AF$6+6,$J10&gt;=AF$6),IF($R$4=1,"█",IF($R$4=2,$G10,$G10*2)),"")</f>
        <v/>
      </c>
      <c r="AG10" s="11">
        <f>IF(AND($I10&lt;=AG$6+6,$J10&gt;=AG$6),IF($R$4=1,"█",IF($R$4=2,$G10,$G10*2)),"")</f>
        <v/>
      </c>
      <c r="AH10" s="11">
        <f>IF(AND($I10&lt;=AH$6+6,$J10&gt;=AH$6),IF($R$4=1,"█",IF($R$4=2,$G10,$G10*2)),"")</f>
        <v/>
      </c>
      <c r="AI10" s="11">
        <f>IF(AND($I10&lt;=AI$6+6,$J10&gt;=AI$6),IF($R$4=1,"█",IF($R$4=2,$G10,$G10*2)),"")</f>
        <v/>
      </c>
      <c r="AJ10" s="11">
        <f>IF(AND($I10&lt;=AJ$6+6,$J10&gt;=AJ$6),IF($R$4=1,"█",IF($R$4=2,$G10,$G10*2)),"")</f>
        <v/>
      </c>
      <c r="AK10" s="11">
        <f>IF(AND($I10&lt;=AK$6+6,$J10&gt;=AK$6),IF($R$4=1,"█",IF($R$4=2,$G10,$G10*2)),"")</f>
        <v/>
      </c>
      <c r="AL10" s="11">
        <f>IF(AND($I10&lt;=AL$6+6,$J10&gt;=AL$6),IF($R$4=1,"█",IF($R$4=2,$G10,$G10*2)),"")</f>
        <v/>
      </c>
      <c r="AM10" s="11">
        <f>IF(AND($I10&lt;=AM$6+6,$J10&gt;=AM$6),IF($R$4=1,"█",IF($R$4=2,$G10,$G10*2)),"")</f>
        <v/>
      </c>
      <c r="AN10" s="11">
        <f>IF(AND($I10&lt;=AN$6+6,$J10&gt;=AN$6),IF($R$4=1,"█",IF($R$4=2,$G10,$G10*2)),"")</f>
        <v/>
      </c>
      <c r="AO10" s="11">
        <f>IF(AND($I10&lt;=AO$6+6,$J10&gt;=AO$6),IF($R$4=1,"█",IF($R$4=2,$G10,$G10*2)),"")</f>
        <v/>
      </c>
      <c r="AP10" s="11">
        <f>IF(AND($I10&lt;=AP$6+6,$J10&gt;=AP$6),IF($R$4=1,"█",IF($R$4=2,$G10,$G10*2)),"")</f>
        <v/>
      </c>
      <c r="AQ10" s="11">
        <f>IF(AND($I10&lt;=AQ$6+6,$J10&gt;=AQ$6),IF($R$4=1,"█",IF($R$4=2,$G10,$G10*2)),"")</f>
        <v/>
      </c>
      <c r="AR10" s="11">
        <f>IF(AND($I10&lt;=AR$6+6,$J10&gt;=AR$6),IF($R$4=1,"█",IF($R$4=2,$G10,$G10*2)),"")</f>
        <v/>
      </c>
      <c r="AS10" s="11">
        <f>IF(AND($I10&lt;=AS$6+6,$J10&gt;=AS$6),IF($R$4=1,"█",IF($R$4=2,$G10,$G10*2)),"")</f>
        <v/>
      </c>
      <c r="AT10" s="11">
        <f>IF(AND($I10&lt;=AT$6+6,$J10&gt;=AT$6),IF($R$4=1,"█",IF($R$4=2,$G10,$G10*2)),"")</f>
        <v/>
      </c>
      <c r="AU10" s="11">
        <f>IF(AND($I10&lt;=AU$6+6,$J10&gt;=AU$6),IF($R$4=1,"█",IF($R$4=2,$G10,$G10*2)),"")</f>
        <v/>
      </c>
      <c r="AV10" s="11">
        <f>IF(AND($I10&lt;=AV$6+6,$J10&gt;=AV$6),IF($R$4=1,"█",IF($R$4=2,$G10,$G10*2)),"")</f>
        <v/>
      </c>
      <c r="AW10" s="11">
        <f>IF(AND($I10&lt;=AW$6+6,$J10&gt;=AW$6),IF($R$4=1,"█",IF($R$4=2,$G10,$G10*2)),"")</f>
        <v/>
      </c>
      <c r="AX10" s="11">
        <f>IF(AND($I10&lt;=AX$6+6,$J10&gt;=AX$6),IF($R$4=1,"█",IF($R$4=2,$G10,$G10*2)),"")</f>
        <v/>
      </c>
      <c r="AY10" s="11">
        <f>IF(AND($I10&lt;=AY$6+6,$J10&gt;=AY$6),IF($R$4=1,"█",IF($R$4=2,$G10,$G10*2)),"")</f>
        <v/>
      </c>
      <c r="AZ10" s="11">
        <f>IF(AND($I10&lt;=AZ$6+6,$J10&gt;=AZ$6),IF($R$4=1,"█",IF($R$4=2,$G10,$G10*2)),"")</f>
        <v/>
      </c>
      <c r="BA10" s="11">
        <f>IF(AND($I10&lt;=BA$6+6,$J10&gt;=BA$6),IF($R$4=1,"█",IF($R$4=2,$G10,$G10*2)),"")</f>
        <v/>
      </c>
      <c r="BB10" s="11">
        <f>IF(AND($I10&lt;=BB$6+6,$J10&gt;=BB$6),IF($R$4=1,"█",IF($R$4=2,$G10,$G10*2)),"")</f>
        <v/>
      </c>
      <c r="BC10" s="11">
        <f>IF(AND($I10&lt;=BC$6+6,$J10&gt;=BC$6),IF($R$4=1,"█",IF($R$4=2,$G10,$G10*2)),"")</f>
        <v/>
      </c>
      <c r="BD10" s="11">
        <f>IF(AND($I10&lt;=BD$6+6,$J10&gt;=BD$6),IF($R$4=1,"█",IF($R$4=2,$G10,$G10*2)),"")</f>
        <v/>
      </c>
      <c r="BF10" s="8">
        <f>BG11-1-0</f>
        <v/>
      </c>
      <c r="BG10" s="8">
        <f>BF10-H10+1</f>
        <v/>
      </c>
      <c r="BH10">
        <f>BG10-I10</f>
        <v/>
      </c>
    </row>
    <row r="11">
      <c r="A11" t="inlineStr">
        <is>
          <t>2.2</t>
        </is>
      </c>
      <c r="B11" t="inlineStr">
        <is>
          <t>Đệm cát đầm chặt K0.9</t>
        </is>
      </c>
      <c r="C11">
        <f>QS_DIEN_GIAI_CHI_TIET!C29</f>
        <v/>
      </c>
      <c r="D11" t="inlineStr">
        <is>
          <t>m3</t>
        </is>
      </c>
      <c r="E11" t="n">
        <v>0.4</v>
      </c>
      <c r="F11">
        <f>C11*E11</f>
        <v/>
      </c>
      <c r="G11" t="n">
        <v>6</v>
      </c>
      <c r="H11">
        <f>MAX(1,ROUNDUP(F11/G11,0))</f>
        <v/>
      </c>
      <c r="I11" s="8">
        <f>J10+1+0</f>
        <v/>
      </c>
      <c r="J11" s="8">
        <f>I11+H11-1</f>
        <v/>
      </c>
      <c r="K11" t="inlineStr">
        <is>
          <t>2.1FS</t>
        </is>
      </c>
      <c r="L11">
        <f>IF(BH11=0,"YES","NO")</f>
        <v/>
      </c>
      <c r="M11" s="11">
        <f>IF(AND($I11&lt;=M$6+6,$J11&gt;=M$6),IF($R$4=1,"█",IF($R$4=2,$G11,$G11*2)),"")</f>
        <v/>
      </c>
      <c r="N11" s="11">
        <f>IF(AND($I11&lt;=N$6+6,$J11&gt;=N$6),IF($R$4=1,"█",IF($R$4=2,$G11,$G11*2)),"")</f>
        <v/>
      </c>
      <c r="O11" s="11">
        <f>IF(AND($I11&lt;=O$6+6,$J11&gt;=O$6),IF($R$4=1,"█",IF($R$4=2,$G11,$G11*2)),"")</f>
        <v/>
      </c>
      <c r="P11" s="11">
        <f>IF(AND($I11&lt;=P$6+6,$J11&gt;=P$6),IF($R$4=1,"█",IF($R$4=2,$G11,$G11*2)),"")</f>
        <v/>
      </c>
      <c r="Q11" s="11">
        <f>IF(AND($I11&lt;=Q$6+6,$J11&gt;=Q$6),IF($R$4=1,"█",IF($R$4=2,$G11,$G11*2)),"")</f>
        <v/>
      </c>
      <c r="R11" s="11">
        <f>IF(AND($I11&lt;=R$6+6,$J11&gt;=R$6),IF($R$4=1,"█",IF($R$4=2,$G11,$G11*2)),"")</f>
        <v/>
      </c>
      <c r="S11" s="11">
        <f>IF(AND($I11&lt;=S$6+6,$J11&gt;=S$6),IF($R$4=1,"█",IF($R$4=2,$G11,$G11*2)),"")</f>
        <v/>
      </c>
      <c r="T11" s="11">
        <f>IF(AND($I11&lt;=T$6+6,$J11&gt;=T$6),IF($R$4=1,"█",IF($R$4=2,$G11,$G11*2)),"")</f>
        <v/>
      </c>
      <c r="U11" s="11">
        <f>IF(AND($I11&lt;=U$6+6,$J11&gt;=U$6),IF($R$4=1,"█",IF($R$4=2,$G11,$G11*2)),"")</f>
        <v/>
      </c>
      <c r="V11" s="11">
        <f>IF(AND($I11&lt;=V$6+6,$J11&gt;=V$6),IF($R$4=1,"█",IF($R$4=2,$G11,$G11*2)),"")</f>
        <v/>
      </c>
      <c r="W11" s="11">
        <f>IF(AND($I11&lt;=W$6+6,$J11&gt;=W$6),IF($R$4=1,"█",IF($R$4=2,$G11,$G11*2)),"")</f>
        <v/>
      </c>
      <c r="X11" s="11">
        <f>IF(AND($I11&lt;=X$6+6,$J11&gt;=X$6),IF($R$4=1,"█",IF($R$4=2,$G11,$G11*2)),"")</f>
        <v/>
      </c>
      <c r="Y11" s="11">
        <f>IF(AND($I11&lt;=Y$6+6,$J11&gt;=Y$6),IF($R$4=1,"█",IF($R$4=2,$G11,$G11*2)),"")</f>
        <v/>
      </c>
      <c r="Z11" s="11">
        <f>IF(AND($I11&lt;=Z$6+6,$J11&gt;=Z$6),IF($R$4=1,"█",IF($R$4=2,$G11,$G11*2)),"")</f>
        <v/>
      </c>
      <c r="AA11" s="11">
        <f>IF(AND($I11&lt;=AA$6+6,$J11&gt;=AA$6),IF($R$4=1,"█",IF($R$4=2,$G11,$G11*2)),"")</f>
        <v/>
      </c>
      <c r="AB11" s="11">
        <f>IF(AND($I11&lt;=AB$6+6,$J11&gt;=AB$6),IF($R$4=1,"█",IF($R$4=2,$G11,$G11*2)),"")</f>
        <v/>
      </c>
      <c r="AC11" s="11">
        <f>IF(AND($I11&lt;=AC$6+6,$J11&gt;=AC$6),IF($R$4=1,"█",IF($R$4=2,$G11,$G11*2)),"")</f>
        <v/>
      </c>
      <c r="AD11" s="11">
        <f>IF(AND($I11&lt;=AD$6+6,$J11&gt;=AD$6),IF($R$4=1,"█",IF($R$4=2,$G11,$G11*2)),"")</f>
        <v/>
      </c>
      <c r="AE11" s="11">
        <f>IF(AND($I11&lt;=AE$6+6,$J11&gt;=AE$6),IF($R$4=1,"█",IF($R$4=2,$G11,$G11*2)),"")</f>
        <v/>
      </c>
      <c r="AF11" s="11">
        <f>IF(AND($I11&lt;=AF$6+6,$J11&gt;=AF$6),IF($R$4=1,"█",IF($R$4=2,$G11,$G11*2)),"")</f>
        <v/>
      </c>
      <c r="AG11" s="11">
        <f>IF(AND($I11&lt;=AG$6+6,$J11&gt;=AG$6),IF($R$4=1,"█",IF($R$4=2,$G11,$G11*2)),"")</f>
        <v/>
      </c>
      <c r="AH11" s="11">
        <f>IF(AND($I11&lt;=AH$6+6,$J11&gt;=AH$6),IF($R$4=1,"█",IF($R$4=2,$G11,$G11*2)),"")</f>
        <v/>
      </c>
      <c r="AI11" s="11">
        <f>IF(AND($I11&lt;=AI$6+6,$J11&gt;=AI$6),IF($R$4=1,"█",IF($R$4=2,$G11,$G11*2)),"")</f>
        <v/>
      </c>
      <c r="AJ11" s="11">
        <f>IF(AND($I11&lt;=AJ$6+6,$J11&gt;=AJ$6),IF($R$4=1,"█",IF($R$4=2,$G11,$G11*2)),"")</f>
        <v/>
      </c>
      <c r="AK11" s="11">
        <f>IF(AND($I11&lt;=AK$6+6,$J11&gt;=AK$6),IF($R$4=1,"█",IF($R$4=2,$G11,$G11*2)),"")</f>
        <v/>
      </c>
      <c r="AL11" s="11">
        <f>IF(AND($I11&lt;=AL$6+6,$J11&gt;=AL$6),IF($R$4=1,"█",IF($R$4=2,$G11,$G11*2)),"")</f>
        <v/>
      </c>
      <c r="AM11" s="11">
        <f>IF(AND($I11&lt;=AM$6+6,$J11&gt;=AM$6),IF($R$4=1,"█",IF($R$4=2,$G11,$G11*2)),"")</f>
        <v/>
      </c>
      <c r="AN11" s="11">
        <f>IF(AND($I11&lt;=AN$6+6,$J11&gt;=AN$6),IF($R$4=1,"█",IF($R$4=2,$G11,$G11*2)),"")</f>
        <v/>
      </c>
      <c r="AO11" s="11">
        <f>IF(AND($I11&lt;=AO$6+6,$J11&gt;=AO$6),IF($R$4=1,"█",IF($R$4=2,$G11,$G11*2)),"")</f>
        <v/>
      </c>
      <c r="AP11" s="11">
        <f>IF(AND($I11&lt;=AP$6+6,$J11&gt;=AP$6),IF($R$4=1,"█",IF($R$4=2,$G11,$G11*2)),"")</f>
        <v/>
      </c>
      <c r="AQ11" s="11">
        <f>IF(AND($I11&lt;=AQ$6+6,$J11&gt;=AQ$6),IF($R$4=1,"█",IF($R$4=2,$G11,$G11*2)),"")</f>
        <v/>
      </c>
      <c r="AR11" s="11">
        <f>IF(AND($I11&lt;=AR$6+6,$J11&gt;=AR$6),IF($R$4=1,"█",IF($R$4=2,$G11,$G11*2)),"")</f>
        <v/>
      </c>
      <c r="AS11" s="11">
        <f>IF(AND($I11&lt;=AS$6+6,$J11&gt;=AS$6),IF($R$4=1,"█",IF($R$4=2,$G11,$G11*2)),"")</f>
        <v/>
      </c>
      <c r="AT11" s="11">
        <f>IF(AND($I11&lt;=AT$6+6,$J11&gt;=AT$6),IF($R$4=1,"█",IF($R$4=2,$G11,$G11*2)),"")</f>
        <v/>
      </c>
      <c r="AU11" s="11">
        <f>IF(AND($I11&lt;=AU$6+6,$J11&gt;=AU$6),IF($R$4=1,"█",IF($R$4=2,$G11,$G11*2)),"")</f>
        <v/>
      </c>
      <c r="AV11" s="11">
        <f>IF(AND($I11&lt;=AV$6+6,$J11&gt;=AV$6),IF($R$4=1,"█",IF($R$4=2,$G11,$G11*2)),"")</f>
        <v/>
      </c>
      <c r="AW11" s="11">
        <f>IF(AND($I11&lt;=AW$6+6,$J11&gt;=AW$6),IF($R$4=1,"█",IF($R$4=2,$G11,$G11*2)),"")</f>
        <v/>
      </c>
      <c r="AX11" s="11">
        <f>IF(AND($I11&lt;=AX$6+6,$J11&gt;=AX$6),IF($R$4=1,"█",IF($R$4=2,$G11,$G11*2)),"")</f>
        <v/>
      </c>
      <c r="AY11" s="11">
        <f>IF(AND($I11&lt;=AY$6+6,$J11&gt;=AY$6),IF($R$4=1,"█",IF($R$4=2,$G11,$G11*2)),"")</f>
        <v/>
      </c>
      <c r="AZ11" s="11">
        <f>IF(AND($I11&lt;=AZ$6+6,$J11&gt;=AZ$6),IF($R$4=1,"█",IF($R$4=2,$G11,$G11*2)),"")</f>
        <v/>
      </c>
      <c r="BA11" s="11">
        <f>IF(AND($I11&lt;=BA$6+6,$J11&gt;=BA$6),IF($R$4=1,"█",IF($R$4=2,$G11,$G11*2)),"")</f>
        <v/>
      </c>
      <c r="BB11" s="11">
        <f>IF(AND($I11&lt;=BB$6+6,$J11&gt;=BB$6),IF($R$4=1,"█",IF($R$4=2,$G11,$G11*2)),"")</f>
        <v/>
      </c>
      <c r="BC11" s="11">
        <f>IF(AND($I11&lt;=BC$6+6,$J11&gt;=BC$6),IF($R$4=1,"█",IF($R$4=2,$G11,$G11*2)),"")</f>
        <v/>
      </c>
      <c r="BD11" s="11">
        <f>IF(AND($I11&lt;=BD$6+6,$J11&gt;=BD$6),IF($R$4=1,"█",IF($R$4=2,$G11,$G11*2)),"")</f>
        <v/>
      </c>
      <c r="BF11" s="8">
        <f>BG12-1-0</f>
        <v/>
      </c>
      <c r="BG11" s="8">
        <f>BF11-H11+1</f>
        <v/>
      </c>
      <c r="BH11">
        <f>BG11-I11</f>
        <v/>
      </c>
    </row>
    <row r="12">
      <c r="A12" t="inlineStr">
        <is>
          <t>2.3</t>
        </is>
      </c>
      <c r="B12" t="inlineStr">
        <is>
          <t>Bê tông lót M100 dày 50</t>
        </is>
      </c>
      <c r="C12">
        <f>QS_DIEN_GIAI_CHI_TIET!C26</f>
        <v/>
      </c>
      <c r="D12" t="inlineStr">
        <is>
          <t>m3</t>
        </is>
      </c>
      <c r="E12" t="n">
        <v>1.5</v>
      </c>
      <c r="F12">
        <f>C12*E12</f>
        <v/>
      </c>
      <c r="G12" t="n">
        <v>6</v>
      </c>
      <c r="H12">
        <f>MAX(1,ROUNDUP(F12/G12,0))</f>
        <v/>
      </c>
      <c r="I12" s="8">
        <f>J11+1+0</f>
        <v/>
      </c>
      <c r="J12" s="8">
        <f>I12+H12-1</f>
        <v/>
      </c>
      <c r="K12" t="inlineStr">
        <is>
          <t>2.2FS</t>
        </is>
      </c>
      <c r="L12">
        <f>IF(BH12=0,"YES","NO")</f>
        <v/>
      </c>
      <c r="M12" s="11">
        <f>IF(AND($I12&lt;=M$6+6,$J12&gt;=M$6),IF($R$4=1,"█",IF($R$4=2,$G12,$G12*2)),"")</f>
        <v/>
      </c>
      <c r="N12" s="11">
        <f>IF(AND($I12&lt;=N$6+6,$J12&gt;=N$6),IF($R$4=1,"█",IF($R$4=2,$G12,$G12*2)),"")</f>
        <v/>
      </c>
      <c r="O12" s="11">
        <f>IF(AND($I12&lt;=O$6+6,$J12&gt;=O$6),IF($R$4=1,"█",IF($R$4=2,$G12,$G12*2)),"")</f>
        <v/>
      </c>
      <c r="P12" s="11">
        <f>IF(AND($I12&lt;=P$6+6,$J12&gt;=P$6),IF($R$4=1,"█",IF($R$4=2,$G12,$G12*2)),"")</f>
        <v/>
      </c>
      <c r="Q12" s="11">
        <f>IF(AND($I12&lt;=Q$6+6,$J12&gt;=Q$6),IF($R$4=1,"█",IF($R$4=2,$G12,$G12*2)),"")</f>
        <v/>
      </c>
      <c r="R12" s="11">
        <f>IF(AND($I12&lt;=R$6+6,$J12&gt;=R$6),IF($R$4=1,"█",IF($R$4=2,$G12,$G12*2)),"")</f>
        <v/>
      </c>
      <c r="S12" s="11">
        <f>IF(AND($I12&lt;=S$6+6,$J12&gt;=S$6),IF($R$4=1,"█",IF($R$4=2,$G12,$G12*2)),"")</f>
        <v/>
      </c>
      <c r="T12" s="11">
        <f>IF(AND($I12&lt;=T$6+6,$J12&gt;=T$6),IF($R$4=1,"█",IF($R$4=2,$G12,$G12*2)),"")</f>
        <v/>
      </c>
      <c r="U12" s="11">
        <f>IF(AND($I12&lt;=U$6+6,$J12&gt;=U$6),IF($R$4=1,"█",IF($R$4=2,$G12,$G12*2)),"")</f>
        <v/>
      </c>
      <c r="V12" s="11">
        <f>IF(AND($I12&lt;=V$6+6,$J12&gt;=V$6),IF($R$4=1,"█",IF($R$4=2,$G12,$G12*2)),"")</f>
        <v/>
      </c>
      <c r="W12" s="11">
        <f>IF(AND($I12&lt;=W$6+6,$J12&gt;=W$6),IF($R$4=1,"█",IF($R$4=2,$G12,$G12*2)),"")</f>
        <v/>
      </c>
      <c r="X12" s="11">
        <f>IF(AND($I12&lt;=X$6+6,$J12&gt;=X$6),IF($R$4=1,"█",IF($R$4=2,$G12,$G12*2)),"")</f>
        <v/>
      </c>
      <c r="Y12" s="11">
        <f>IF(AND($I12&lt;=Y$6+6,$J12&gt;=Y$6),IF($R$4=1,"█",IF($R$4=2,$G12,$G12*2)),"")</f>
        <v/>
      </c>
      <c r="Z12" s="11">
        <f>IF(AND($I12&lt;=Z$6+6,$J12&gt;=Z$6),IF($R$4=1,"█",IF($R$4=2,$G12,$G12*2)),"")</f>
        <v/>
      </c>
      <c r="AA12" s="11">
        <f>IF(AND($I12&lt;=AA$6+6,$J12&gt;=AA$6),IF($R$4=1,"█",IF($R$4=2,$G12,$G12*2)),"")</f>
        <v/>
      </c>
      <c r="AB12" s="11">
        <f>IF(AND($I12&lt;=AB$6+6,$J12&gt;=AB$6),IF($R$4=1,"█",IF($R$4=2,$G12,$G12*2)),"")</f>
        <v/>
      </c>
      <c r="AC12" s="11">
        <f>IF(AND($I12&lt;=AC$6+6,$J12&gt;=AC$6),IF($R$4=1,"█",IF($R$4=2,$G12,$G12*2)),"")</f>
        <v/>
      </c>
      <c r="AD12" s="11">
        <f>IF(AND($I12&lt;=AD$6+6,$J12&gt;=AD$6),IF($R$4=1,"█",IF($R$4=2,$G12,$G12*2)),"")</f>
        <v/>
      </c>
      <c r="AE12" s="11">
        <f>IF(AND($I12&lt;=AE$6+6,$J12&gt;=AE$6),IF($R$4=1,"█",IF($R$4=2,$G12,$G12*2)),"")</f>
        <v/>
      </c>
      <c r="AF12" s="11">
        <f>IF(AND($I12&lt;=AF$6+6,$J12&gt;=AF$6),IF($R$4=1,"█",IF($R$4=2,$G12,$G12*2)),"")</f>
        <v/>
      </c>
      <c r="AG12" s="11">
        <f>IF(AND($I12&lt;=AG$6+6,$J12&gt;=AG$6),IF($R$4=1,"█",IF($R$4=2,$G12,$G12*2)),"")</f>
        <v/>
      </c>
      <c r="AH12" s="11">
        <f>IF(AND($I12&lt;=AH$6+6,$J12&gt;=AH$6),IF($R$4=1,"█",IF($R$4=2,$G12,$G12*2)),"")</f>
        <v/>
      </c>
      <c r="AI12" s="11">
        <f>IF(AND($I12&lt;=AI$6+6,$J12&gt;=AI$6),IF($R$4=1,"█",IF($R$4=2,$G12,$G12*2)),"")</f>
        <v/>
      </c>
      <c r="AJ12" s="11">
        <f>IF(AND($I12&lt;=AJ$6+6,$J12&gt;=AJ$6),IF($R$4=1,"█",IF($R$4=2,$G12,$G12*2)),"")</f>
        <v/>
      </c>
      <c r="AK12" s="11">
        <f>IF(AND($I12&lt;=AK$6+6,$J12&gt;=AK$6),IF($R$4=1,"█",IF($R$4=2,$G12,$G12*2)),"")</f>
        <v/>
      </c>
      <c r="AL12" s="11">
        <f>IF(AND($I12&lt;=AL$6+6,$J12&gt;=AL$6),IF($R$4=1,"█",IF($R$4=2,$G12,$G12*2)),"")</f>
        <v/>
      </c>
      <c r="AM12" s="11">
        <f>IF(AND($I12&lt;=AM$6+6,$J12&gt;=AM$6),IF($R$4=1,"█",IF($R$4=2,$G12,$G12*2)),"")</f>
        <v/>
      </c>
      <c r="AN12" s="11">
        <f>IF(AND($I12&lt;=AN$6+6,$J12&gt;=AN$6),IF($R$4=1,"█",IF($R$4=2,$G12,$G12*2)),"")</f>
        <v/>
      </c>
      <c r="AO12" s="11">
        <f>IF(AND($I12&lt;=AO$6+6,$J12&gt;=AO$6),IF($R$4=1,"█",IF($R$4=2,$G12,$G12*2)),"")</f>
        <v/>
      </c>
      <c r="AP12" s="11">
        <f>IF(AND($I12&lt;=AP$6+6,$J12&gt;=AP$6),IF($R$4=1,"█",IF($R$4=2,$G12,$G12*2)),"")</f>
        <v/>
      </c>
      <c r="AQ12" s="11">
        <f>IF(AND($I12&lt;=AQ$6+6,$J12&gt;=AQ$6),IF($R$4=1,"█",IF($R$4=2,$G12,$G12*2)),"")</f>
        <v/>
      </c>
      <c r="AR12" s="11">
        <f>IF(AND($I12&lt;=AR$6+6,$J12&gt;=AR$6),IF($R$4=1,"█",IF($R$4=2,$G12,$G12*2)),"")</f>
        <v/>
      </c>
      <c r="AS12" s="11">
        <f>IF(AND($I12&lt;=AS$6+6,$J12&gt;=AS$6),IF($R$4=1,"█",IF($R$4=2,$G12,$G12*2)),"")</f>
        <v/>
      </c>
      <c r="AT12" s="11">
        <f>IF(AND($I12&lt;=AT$6+6,$J12&gt;=AT$6),IF($R$4=1,"█",IF($R$4=2,$G12,$G12*2)),"")</f>
        <v/>
      </c>
      <c r="AU12" s="11">
        <f>IF(AND($I12&lt;=AU$6+6,$J12&gt;=AU$6),IF($R$4=1,"█",IF($R$4=2,$G12,$G12*2)),"")</f>
        <v/>
      </c>
      <c r="AV12" s="11">
        <f>IF(AND($I12&lt;=AV$6+6,$J12&gt;=AV$6),IF($R$4=1,"█",IF($R$4=2,$G12,$G12*2)),"")</f>
        <v/>
      </c>
      <c r="AW12" s="11">
        <f>IF(AND($I12&lt;=AW$6+6,$J12&gt;=AW$6),IF($R$4=1,"█",IF($R$4=2,$G12,$G12*2)),"")</f>
        <v/>
      </c>
      <c r="AX12" s="11">
        <f>IF(AND($I12&lt;=AX$6+6,$J12&gt;=AX$6),IF($R$4=1,"█",IF($R$4=2,$G12,$G12*2)),"")</f>
        <v/>
      </c>
      <c r="AY12" s="11">
        <f>IF(AND($I12&lt;=AY$6+6,$J12&gt;=AY$6),IF($R$4=1,"█",IF($R$4=2,$G12,$G12*2)),"")</f>
        <v/>
      </c>
      <c r="AZ12" s="11">
        <f>IF(AND($I12&lt;=AZ$6+6,$J12&gt;=AZ$6),IF($R$4=1,"█",IF($R$4=2,$G12,$G12*2)),"")</f>
        <v/>
      </c>
      <c r="BA12" s="11">
        <f>IF(AND($I12&lt;=BA$6+6,$J12&gt;=BA$6),IF($R$4=1,"█",IF($R$4=2,$G12,$G12*2)),"")</f>
        <v/>
      </c>
      <c r="BB12" s="11">
        <f>IF(AND($I12&lt;=BB$6+6,$J12&gt;=BB$6),IF($R$4=1,"█",IF($R$4=2,$G12,$G12*2)),"")</f>
        <v/>
      </c>
      <c r="BC12" s="11">
        <f>IF(AND($I12&lt;=BC$6+6,$J12&gt;=BC$6),IF($R$4=1,"█",IF($R$4=2,$G12,$G12*2)),"")</f>
        <v/>
      </c>
      <c r="BD12" s="11">
        <f>IF(AND($I12&lt;=BD$6+6,$J12&gt;=BD$6),IF($R$4=1,"█",IF($R$4=2,$G12,$G12*2)),"")</f>
        <v/>
      </c>
      <c r="BF12" s="8">
        <f>BG14-1-0</f>
        <v/>
      </c>
      <c r="BG12" s="8">
        <f>BF12-H12+1</f>
        <v/>
      </c>
      <c r="BH12">
        <f>BG12-I12</f>
        <v/>
      </c>
    </row>
    <row r="13">
      <c r="A13" t="inlineStr">
        <is>
          <t>3</t>
        </is>
      </c>
      <c r="B13" s="4" t="inlineStr">
        <is>
          <t>THÂN CỐNG</t>
        </is>
      </c>
    </row>
    <row r="14">
      <c r="A14" t="inlineStr">
        <is>
          <t>3.1</t>
        </is>
      </c>
      <c r="B14" t="inlineStr">
        <is>
          <t>Gia công, lắp dựng cốt thép</t>
        </is>
      </c>
      <c r="C14">
        <f>QS_DIEN_GIAI_CHI_TIET!C20</f>
        <v/>
      </c>
      <c r="D14" t="inlineStr">
        <is>
          <t>m3 BT</t>
        </is>
      </c>
      <c r="E14" t="n">
        <v>2.5</v>
      </c>
      <c r="F14">
        <f>C14*E14</f>
        <v/>
      </c>
      <c r="G14" t="n">
        <v>8</v>
      </c>
      <c r="H14">
        <f>MAX(1,ROUNDUP(F14/G14,0))</f>
        <v/>
      </c>
      <c r="I14" s="8">
        <f>J12+1+0</f>
        <v/>
      </c>
      <c r="J14" s="8">
        <f>I14+H14-1</f>
        <v/>
      </c>
      <c r="K14" t="inlineStr">
        <is>
          <t>2.3FS</t>
        </is>
      </c>
      <c r="L14">
        <f>IF(BH14=0,"YES","NO")</f>
        <v/>
      </c>
      <c r="M14" s="11">
        <f>IF(AND($I14&lt;=M$6+6,$J14&gt;=M$6),IF($R$4=1,"█",IF($R$4=2,$G14,$G14*2)),"")</f>
        <v/>
      </c>
      <c r="N14" s="11">
        <f>IF(AND($I14&lt;=N$6+6,$J14&gt;=N$6),IF($R$4=1,"█",IF($R$4=2,$G14,$G14*2)),"")</f>
        <v/>
      </c>
      <c r="O14" s="11">
        <f>IF(AND($I14&lt;=O$6+6,$J14&gt;=O$6),IF($R$4=1,"█",IF($R$4=2,$G14,$G14*2)),"")</f>
        <v/>
      </c>
      <c r="P14" s="11">
        <f>IF(AND($I14&lt;=P$6+6,$J14&gt;=P$6),IF($R$4=1,"█",IF($R$4=2,$G14,$G14*2)),"")</f>
        <v/>
      </c>
      <c r="Q14" s="11">
        <f>IF(AND($I14&lt;=Q$6+6,$J14&gt;=Q$6),IF($R$4=1,"█",IF($R$4=2,$G14,$G14*2)),"")</f>
        <v/>
      </c>
      <c r="R14" s="11">
        <f>IF(AND($I14&lt;=R$6+6,$J14&gt;=R$6),IF($R$4=1,"█",IF($R$4=2,$G14,$G14*2)),"")</f>
        <v/>
      </c>
      <c r="S14" s="11">
        <f>IF(AND($I14&lt;=S$6+6,$J14&gt;=S$6),IF($R$4=1,"█",IF($R$4=2,$G14,$G14*2)),"")</f>
        <v/>
      </c>
      <c r="T14" s="11">
        <f>IF(AND($I14&lt;=T$6+6,$J14&gt;=T$6),IF($R$4=1,"█",IF($R$4=2,$G14,$G14*2)),"")</f>
        <v/>
      </c>
      <c r="U14" s="11">
        <f>IF(AND($I14&lt;=U$6+6,$J14&gt;=U$6),IF($R$4=1,"█",IF($R$4=2,$G14,$G14*2)),"")</f>
        <v/>
      </c>
      <c r="V14" s="11">
        <f>IF(AND($I14&lt;=V$6+6,$J14&gt;=V$6),IF($R$4=1,"█",IF($R$4=2,$G14,$G14*2)),"")</f>
        <v/>
      </c>
      <c r="W14" s="11">
        <f>IF(AND($I14&lt;=W$6+6,$J14&gt;=W$6),IF($R$4=1,"█",IF($R$4=2,$G14,$G14*2)),"")</f>
        <v/>
      </c>
      <c r="X14" s="11">
        <f>IF(AND($I14&lt;=X$6+6,$J14&gt;=X$6),IF($R$4=1,"█",IF($R$4=2,$G14,$G14*2)),"")</f>
        <v/>
      </c>
      <c r="Y14" s="11">
        <f>IF(AND($I14&lt;=Y$6+6,$J14&gt;=Y$6),IF($R$4=1,"█",IF($R$4=2,$G14,$G14*2)),"")</f>
        <v/>
      </c>
      <c r="Z14" s="11">
        <f>IF(AND($I14&lt;=Z$6+6,$J14&gt;=Z$6),IF($R$4=1,"█",IF($R$4=2,$G14,$G14*2)),"")</f>
        <v/>
      </c>
      <c r="AA14" s="11">
        <f>IF(AND($I14&lt;=AA$6+6,$J14&gt;=AA$6),IF($R$4=1,"█",IF($R$4=2,$G14,$G14*2)),"")</f>
        <v/>
      </c>
      <c r="AB14" s="11">
        <f>IF(AND($I14&lt;=AB$6+6,$J14&gt;=AB$6),IF($R$4=1,"█",IF($R$4=2,$G14,$G14*2)),"")</f>
        <v/>
      </c>
      <c r="AC14" s="11">
        <f>IF(AND($I14&lt;=AC$6+6,$J14&gt;=AC$6),IF($R$4=1,"█",IF($R$4=2,$G14,$G14*2)),"")</f>
        <v/>
      </c>
      <c r="AD14" s="11">
        <f>IF(AND($I14&lt;=AD$6+6,$J14&gt;=AD$6),IF($R$4=1,"█",IF($R$4=2,$G14,$G14*2)),"")</f>
        <v/>
      </c>
      <c r="AE14" s="11">
        <f>IF(AND($I14&lt;=AE$6+6,$J14&gt;=AE$6),IF($R$4=1,"█",IF($R$4=2,$G14,$G14*2)),"")</f>
        <v/>
      </c>
      <c r="AF14" s="11">
        <f>IF(AND($I14&lt;=AF$6+6,$J14&gt;=AF$6),IF($R$4=1,"█",IF($R$4=2,$G14,$G14*2)),"")</f>
        <v/>
      </c>
      <c r="AG14" s="11">
        <f>IF(AND($I14&lt;=AG$6+6,$J14&gt;=AG$6),IF($R$4=1,"█",IF($R$4=2,$G14,$G14*2)),"")</f>
        <v/>
      </c>
      <c r="AH14" s="11">
        <f>IF(AND($I14&lt;=AH$6+6,$J14&gt;=AH$6),IF($R$4=1,"█",IF($R$4=2,$G14,$G14*2)),"")</f>
        <v/>
      </c>
      <c r="AI14" s="11">
        <f>IF(AND($I14&lt;=AI$6+6,$J14&gt;=AI$6),IF($R$4=1,"█",IF($R$4=2,$G14,$G14*2)),"")</f>
        <v/>
      </c>
      <c r="AJ14" s="11">
        <f>IF(AND($I14&lt;=AJ$6+6,$J14&gt;=AJ$6),IF($R$4=1,"█",IF($R$4=2,$G14,$G14*2)),"")</f>
        <v/>
      </c>
      <c r="AK14" s="11">
        <f>IF(AND($I14&lt;=AK$6+6,$J14&gt;=AK$6),IF($R$4=1,"█",IF($R$4=2,$G14,$G14*2)),"")</f>
        <v/>
      </c>
      <c r="AL14" s="11">
        <f>IF(AND($I14&lt;=AL$6+6,$J14&gt;=AL$6),IF($R$4=1,"█",IF($R$4=2,$G14,$G14*2)),"")</f>
        <v/>
      </c>
      <c r="AM14" s="11">
        <f>IF(AND($I14&lt;=AM$6+6,$J14&gt;=AM$6),IF($R$4=1,"█",IF($R$4=2,$G14,$G14*2)),"")</f>
        <v/>
      </c>
      <c r="AN14" s="11">
        <f>IF(AND($I14&lt;=AN$6+6,$J14&gt;=AN$6),IF($R$4=1,"█",IF($R$4=2,$G14,$G14*2)),"")</f>
        <v/>
      </c>
      <c r="AO14" s="11">
        <f>IF(AND($I14&lt;=AO$6+6,$J14&gt;=AO$6),IF($R$4=1,"█",IF($R$4=2,$G14,$G14*2)),"")</f>
        <v/>
      </c>
      <c r="AP14" s="11">
        <f>IF(AND($I14&lt;=AP$6+6,$J14&gt;=AP$6),IF($R$4=1,"█",IF($R$4=2,$G14,$G14*2)),"")</f>
        <v/>
      </c>
      <c r="AQ14" s="11">
        <f>IF(AND($I14&lt;=AQ$6+6,$J14&gt;=AQ$6),IF($R$4=1,"█",IF($R$4=2,$G14,$G14*2)),"")</f>
        <v/>
      </c>
      <c r="AR14" s="11">
        <f>IF(AND($I14&lt;=AR$6+6,$J14&gt;=AR$6),IF($R$4=1,"█",IF($R$4=2,$G14,$G14*2)),"")</f>
        <v/>
      </c>
      <c r="AS14" s="11">
        <f>IF(AND($I14&lt;=AS$6+6,$J14&gt;=AS$6),IF($R$4=1,"█",IF($R$4=2,$G14,$G14*2)),"")</f>
        <v/>
      </c>
      <c r="AT14" s="11">
        <f>IF(AND($I14&lt;=AT$6+6,$J14&gt;=AT$6),IF($R$4=1,"█",IF($R$4=2,$G14,$G14*2)),"")</f>
        <v/>
      </c>
      <c r="AU14" s="11">
        <f>IF(AND($I14&lt;=AU$6+6,$J14&gt;=AU$6),IF($R$4=1,"█",IF($R$4=2,$G14,$G14*2)),"")</f>
        <v/>
      </c>
      <c r="AV14" s="11">
        <f>IF(AND($I14&lt;=AV$6+6,$J14&gt;=AV$6),IF($R$4=1,"█",IF($R$4=2,$G14,$G14*2)),"")</f>
        <v/>
      </c>
      <c r="AW14" s="11">
        <f>IF(AND($I14&lt;=AW$6+6,$J14&gt;=AW$6),IF($R$4=1,"█",IF($R$4=2,$G14,$G14*2)),"")</f>
        <v/>
      </c>
      <c r="AX14" s="11">
        <f>IF(AND($I14&lt;=AX$6+6,$J14&gt;=AX$6),IF($R$4=1,"█",IF($R$4=2,$G14,$G14*2)),"")</f>
        <v/>
      </c>
      <c r="AY14" s="11">
        <f>IF(AND($I14&lt;=AY$6+6,$J14&gt;=AY$6),IF($R$4=1,"█",IF($R$4=2,$G14,$G14*2)),"")</f>
        <v/>
      </c>
      <c r="AZ14" s="11">
        <f>IF(AND($I14&lt;=AZ$6+6,$J14&gt;=AZ$6),IF($R$4=1,"█",IF($R$4=2,$G14,$G14*2)),"")</f>
        <v/>
      </c>
      <c r="BA14" s="11">
        <f>IF(AND($I14&lt;=BA$6+6,$J14&gt;=BA$6),IF($R$4=1,"█",IF($R$4=2,$G14,$G14*2)),"")</f>
        <v/>
      </c>
      <c r="BB14" s="11">
        <f>IF(AND($I14&lt;=BB$6+6,$J14&gt;=BB$6),IF($R$4=1,"█",IF($R$4=2,$G14,$G14*2)),"")</f>
        <v/>
      </c>
      <c r="BC14" s="11">
        <f>IF(AND($I14&lt;=BC$6+6,$J14&gt;=BC$6),IF($R$4=1,"█",IF($R$4=2,$G14,$G14*2)),"")</f>
        <v/>
      </c>
      <c r="BD14" s="11">
        <f>IF(AND($I14&lt;=BD$6+6,$J14&gt;=BD$6),IF($R$4=1,"█",IF($R$4=2,$G14,$G14*2)),"")</f>
        <v/>
      </c>
      <c r="BF14" s="8">
        <f>BG15-(2)+H14-1</f>
        <v/>
      </c>
      <c r="BG14" s="8">
        <f>BF14-H14+1</f>
        <v/>
      </c>
      <c r="BH14">
        <f>BG14-I14</f>
        <v/>
      </c>
    </row>
    <row r="15">
      <c r="A15" t="inlineStr">
        <is>
          <t>3.2</t>
        </is>
      </c>
      <c r="B15" t="inlineStr">
        <is>
          <t>Lắp dựng ván khuôn</t>
        </is>
      </c>
      <c r="C15">
        <f>QS_DIEN_GIAI_CHI_TIET!C23</f>
        <v/>
      </c>
      <c r="D15" t="inlineStr">
        <is>
          <t>m2</t>
        </is>
      </c>
      <c r="E15" t="n">
        <v>0.3</v>
      </c>
      <c r="F15">
        <f>C15*E15</f>
        <v/>
      </c>
      <c r="G15" t="n">
        <v>8</v>
      </c>
      <c r="H15">
        <f>MAX(1,ROUNDUP(F15/G15,0))</f>
        <v/>
      </c>
      <c r="I15" s="8">
        <f>I14+2</f>
        <v/>
      </c>
      <c r="J15" s="8">
        <f>I15+H15-1</f>
        <v/>
      </c>
      <c r="K15" t="inlineStr">
        <is>
          <t>3.1SS+2d</t>
        </is>
      </c>
      <c r="L15">
        <f>IF(BH15=0,"YES","NO")</f>
        <v/>
      </c>
      <c r="M15" s="11">
        <f>IF(AND($I15&lt;=M$6+6,$J15&gt;=M$6),IF($R$4=1,"█",IF($R$4=2,$G15,$G15*2)),"")</f>
        <v/>
      </c>
      <c r="N15" s="11">
        <f>IF(AND($I15&lt;=N$6+6,$J15&gt;=N$6),IF($R$4=1,"█",IF($R$4=2,$G15,$G15*2)),"")</f>
        <v/>
      </c>
      <c r="O15" s="11">
        <f>IF(AND($I15&lt;=O$6+6,$J15&gt;=O$6),IF($R$4=1,"█",IF($R$4=2,$G15,$G15*2)),"")</f>
        <v/>
      </c>
      <c r="P15" s="11">
        <f>IF(AND($I15&lt;=P$6+6,$J15&gt;=P$6),IF($R$4=1,"█",IF($R$4=2,$G15,$G15*2)),"")</f>
        <v/>
      </c>
      <c r="Q15" s="11">
        <f>IF(AND($I15&lt;=Q$6+6,$J15&gt;=Q$6),IF($R$4=1,"█",IF($R$4=2,$G15,$G15*2)),"")</f>
        <v/>
      </c>
      <c r="R15" s="11">
        <f>IF(AND($I15&lt;=R$6+6,$J15&gt;=R$6),IF($R$4=1,"█",IF($R$4=2,$G15,$G15*2)),"")</f>
        <v/>
      </c>
      <c r="S15" s="11">
        <f>IF(AND($I15&lt;=S$6+6,$J15&gt;=S$6),IF($R$4=1,"█",IF($R$4=2,$G15,$G15*2)),"")</f>
        <v/>
      </c>
      <c r="T15" s="11">
        <f>IF(AND($I15&lt;=T$6+6,$J15&gt;=T$6),IF($R$4=1,"█",IF($R$4=2,$G15,$G15*2)),"")</f>
        <v/>
      </c>
      <c r="U15" s="11">
        <f>IF(AND($I15&lt;=U$6+6,$J15&gt;=U$6),IF($R$4=1,"█",IF($R$4=2,$G15,$G15*2)),"")</f>
        <v/>
      </c>
      <c r="V15" s="11">
        <f>IF(AND($I15&lt;=V$6+6,$J15&gt;=V$6),IF($R$4=1,"█",IF($R$4=2,$G15,$G15*2)),"")</f>
        <v/>
      </c>
      <c r="W15" s="11">
        <f>IF(AND($I15&lt;=W$6+6,$J15&gt;=W$6),IF($R$4=1,"█",IF($R$4=2,$G15,$G15*2)),"")</f>
        <v/>
      </c>
      <c r="X15" s="11">
        <f>IF(AND($I15&lt;=X$6+6,$J15&gt;=X$6),IF($R$4=1,"█",IF($R$4=2,$G15,$G15*2)),"")</f>
        <v/>
      </c>
      <c r="Y15" s="11">
        <f>IF(AND($I15&lt;=Y$6+6,$J15&gt;=Y$6),IF($R$4=1,"█",IF($R$4=2,$G15,$G15*2)),"")</f>
        <v/>
      </c>
      <c r="Z15" s="11">
        <f>IF(AND($I15&lt;=Z$6+6,$J15&gt;=Z$6),IF($R$4=1,"█",IF($R$4=2,$G15,$G15*2)),"")</f>
        <v/>
      </c>
      <c r="AA15" s="11">
        <f>IF(AND($I15&lt;=AA$6+6,$J15&gt;=AA$6),IF($R$4=1,"█",IF($R$4=2,$G15,$G15*2)),"")</f>
        <v/>
      </c>
      <c r="AB15" s="11">
        <f>IF(AND($I15&lt;=AB$6+6,$J15&gt;=AB$6),IF($R$4=1,"█",IF($R$4=2,$G15,$G15*2)),"")</f>
        <v/>
      </c>
      <c r="AC15" s="11">
        <f>IF(AND($I15&lt;=AC$6+6,$J15&gt;=AC$6),IF($R$4=1,"█",IF($R$4=2,$G15,$G15*2)),"")</f>
        <v/>
      </c>
      <c r="AD15" s="11">
        <f>IF(AND($I15&lt;=AD$6+6,$J15&gt;=AD$6),IF($R$4=1,"█",IF($R$4=2,$G15,$G15*2)),"")</f>
        <v/>
      </c>
      <c r="AE15" s="11">
        <f>IF(AND($I15&lt;=AE$6+6,$J15&gt;=AE$6),IF($R$4=1,"█",IF($R$4=2,$G15,$G15*2)),"")</f>
        <v/>
      </c>
      <c r="AF15" s="11">
        <f>IF(AND($I15&lt;=AF$6+6,$J15&gt;=AF$6),IF($R$4=1,"█",IF($R$4=2,$G15,$G15*2)),"")</f>
        <v/>
      </c>
      <c r="AG15" s="11">
        <f>IF(AND($I15&lt;=AG$6+6,$J15&gt;=AG$6),IF($R$4=1,"█",IF($R$4=2,$G15,$G15*2)),"")</f>
        <v/>
      </c>
      <c r="AH15" s="11">
        <f>IF(AND($I15&lt;=AH$6+6,$J15&gt;=AH$6),IF($R$4=1,"█",IF($R$4=2,$G15,$G15*2)),"")</f>
        <v/>
      </c>
      <c r="AI15" s="11">
        <f>IF(AND($I15&lt;=AI$6+6,$J15&gt;=AI$6),IF($R$4=1,"█",IF($R$4=2,$G15,$G15*2)),"")</f>
        <v/>
      </c>
      <c r="AJ15" s="11">
        <f>IF(AND($I15&lt;=AJ$6+6,$J15&gt;=AJ$6),IF($R$4=1,"█",IF($R$4=2,$G15,$G15*2)),"")</f>
        <v/>
      </c>
      <c r="AK15" s="11">
        <f>IF(AND($I15&lt;=AK$6+6,$J15&gt;=AK$6),IF($R$4=1,"█",IF($R$4=2,$G15,$G15*2)),"")</f>
        <v/>
      </c>
      <c r="AL15" s="11">
        <f>IF(AND($I15&lt;=AL$6+6,$J15&gt;=AL$6),IF($R$4=1,"█",IF($R$4=2,$G15,$G15*2)),"")</f>
        <v/>
      </c>
      <c r="AM15" s="11">
        <f>IF(AND($I15&lt;=AM$6+6,$J15&gt;=AM$6),IF($R$4=1,"█",IF($R$4=2,$G15,$G15*2)),"")</f>
        <v/>
      </c>
      <c r="AN15" s="11">
        <f>IF(AND($I15&lt;=AN$6+6,$J15&gt;=AN$6),IF($R$4=1,"█",IF($R$4=2,$G15,$G15*2)),"")</f>
        <v/>
      </c>
      <c r="AO15" s="11">
        <f>IF(AND($I15&lt;=AO$6+6,$J15&gt;=AO$6),IF($R$4=1,"█",IF($R$4=2,$G15,$G15*2)),"")</f>
        <v/>
      </c>
      <c r="AP15" s="11">
        <f>IF(AND($I15&lt;=AP$6+6,$J15&gt;=AP$6),IF($R$4=1,"█",IF($R$4=2,$G15,$G15*2)),"")</f>
        <v/>
      </c>
      <c r="AQ15" s="11">
        <f>IF(AND($I15&lt;=AQ$6+6,$J15&gt;=AQ$6),IF($R$4=1,"█",IF($R$4=2,$G15,$G15*2)),"")</f>
        <v/>
      </c>
      <c r="AR15" s="11">
        <f>IF(AND($I15&lt;=AR$6+6,$J15&gt;=AR$6),IF($R$4=1,"█",IF($R$4=2,$G15,$G15*2)),"")</f>
        <v/>
      </c>
      <c r="AS15" s="11">
        <f>IF(AND($I15&lt;=AS$6+6,$J15&gt;=AS$6),IF($R$4=1,"█",IF($R$4=2,$G15,$G15*2)),"")</f>
        <v/>
      </c>
      <c r="AT15" s="11">
        <f>IF(AND($I15&lt;=AT$6+6,$J15&gt;=AT$6),IF($R$4=1,"█",IF($R$4=2,$G15,$G15*2)),"")</f>
        <v/>
      </c>
      <c r="AU15" s="11">
        <f>IF(AND($I15&lt;=AU$6+6,$J15&gt;=AU$6),IF($R$4=1,"█",IF($R$4=2,$G15,$G15*2)),"")</f>
        <v/>
      </c>
      <c r="AV15" s="11">
        <f>IF(AND($I15&lt;=AV$6+6,$J15&gt;=AV$6),IF($R$4=1,"█",IF($R$4=2,$G15,$G15*2)),"")</f>
        <v/>
      </c>
      <c r="AW15" s="11">
        <f>IF(AND($I15&lt;=AW$6+6,$J15&gt;=AW$6),IF($R$4=1,"█",IF($R$4=2,$G15,$G15*2)),"")</f>
        <v/>
      </c>
      <c r="AX15" s="11">
        <f>IF(AND($I15&lt;=AX$6+6,$J15&gt;=AX$6),IF($R$4=1,"█",IF($R$4=2,$G15,$G15*2)),"")</f>
        <v/>
      </c>
      <c r="AY15" s="11">
        <f>IF(AND($I15&lt;=AY$6+6,$J15&gt;=AY$6),IF($R$4=1,"█",IF($R$4=2,$G15,$G15*2)),"")</f>
        <v/>
      </c>
      <c r="AZ15" s="11">
        <f>IF(AND($I15&lt;=AZ$6+6,$J15&gt;=AZ$6),IF($R$4=1,"█",IF($R$4=2,$G15,$G15*2)),"")</f>
        <v/>
      </c>
      <c r="BA15" s="11">
        <f>IF(AND($I15&lt;=BA$6+6,$J15&gt;=BA$6),IF($R$4=1,"█",IF($R$4=2,$G15,$G15*2)),"")</f>
        <v/>
      </c>
      <c r="BB15" s="11">
        <f>IF(AND($I15&lt;=BB$6+6,$J15&gt;=BB$6),IF($R$4=1,"█",IF($R$4=2,$G15,$G15*2)),"")</f>
        <v/>
      </c>
      <c r="BC15" s="11">
        <f>IF(AND($I15&lt;=BC$6+6,$J15&gt;=BC$6),IF($R$4=1,"█",IF($R$4=2,$G15,$G15*2)),"")</f>
        <v/>
      </c>
      <c r="BD15" s="11">
        <f>IF(AND($I15&lt;=BD$6+6,$J15&gt;=BD$6),IF($R$4=1,"█",IF($R$4=2,$G15,$G15*2)),"")</f>
        <v/>
      </c>
      <c r="BF15" s="8">
        <f>BG16-1-0</f>
        <v/>
      </c>
      <c r="BG15" s="8">
        <f>BF15-H15+1</f>
        <v/>
      </c>
      <c r="BH15">
        <f>BG15-I15</f>
        <v/>
      </c>
    </row>
    <row r="16">
      <c r="A16" t="inlineStr">
        <is>
          <t>3.3</t>
        </is>
      </c>
      <c r="B16" t="inlineStr">
        <is>
          <t>Đổ bê tông B20 thân cống</t>
        </is>
      </c>
      <c r="C16">
        <f>QS_DIEN_GIAI_CHI_TIET!C20</f>
        <v/>
      </c>
      <c r="D16" t="inlineStr">
        <is>
          <t>m3</t>
        </is>
      </c>
      <c r="E16" t="n">
        <v>0.6</v>
      </c>
      <c r="F16">
        <f>C16*E16</f>
        <v/>
      </c>
      <c r="G16" t="n">
        <v>10</v>
      </c>
      <c r="H16">
        <f>MAX(1,ROUNDUP(F16/G16,0))</f>
        <v/>
      </c>
      <c r="I16" s="8">
        <f>J15+1+0</f>
        <v/>
      </c>
      <c r="J16" s="8">
        <f>I16+H16-1</f>
        <v/>
      </c>
      <c r="K16" t="inlineStr">
        <is>
          <t>3.2FS</t>
        </is>
      </c>
      <c r="L16">
        <f>IF(BH16=0,"YES","NO")</f>
        <v/>
      </c>
      <c r="M16" s="11">
        <f>IF(AND($I16&lt;=M$6+6,$J16&gt;=M$6),IF($R$4=1,"█",IF($R$4=2,$G16,$G16*2)),"")</f>
        <v/>
      </c>
      <c r="N16" s="11">
        <f>IF(AND($I16&lt;=N$6+6,$J16&gt;=N$6),IF($R$4=1,"█",IF($R$4=2,$G16,$G16*2)),"")</f>
        <v/>
      </c>
      <c r="O16" s="11">
        <f>IF(AND($I16&lt;=O$6+6,$J16&gt;=O$6),IF($R$4=1,"█",IF($R$4=2,$G16,$G16*2)),"")</f>
        <v/>
      </c>
      <c r="P16" s="11">
        <f>IF(AND($I16&lt;=P$6+6,$J16&gt;=P$6),IF($R$4=1,"█",IF($R$4=2,$G16,$G16*2)),"")</f>
        <v/>
      </c>
      <c r="Q16" s="11">
        <f>IF(AND($I16&lt;=Q$6+6,$J16&gt;=Q$6),IF($R$4=1,"█",IF($R$4=2,$G16,$G16*2)),"")</f>
        <v/>
      </c>
      <c r="R16" s="11">
        <f>IF(AND($I16&lt;=R$6+6,$J16&gt;=R$6),IF($R$4=1,"█",IF($R$4=2,$G16,$G16*2)),"")</f>
        <v/>
      </c>
      <c r="S16" s="11">
        <f>IF(AND($I16&lt;=S$6+6,$J16&gt;=S$6),IF($R$4=1,"█",IF($R$4=2,$G16,$G16*2)),"")</f>
        <v/>
      </c>
      <c r="T16" s="11">
        <f>IF(AND($I16&lt;=T$6+6,$J16&gt;=T$6),IF($R$4=1,"█",IF($R$4=2,$G16,$G16*2)),"")</f>
        <v/>
      </c>
      <c r="U16" s="11">
        <f>IF(AND($I16&lt;=U$6+6,$J16&gt;=U$6),IF($R$4=1,"█",IF($R$4=2,$G16,$G16*2)),"")</f>
        <v/>
      </c>
      <c r="V16" s="11">
        <f>IF(AND($I16&lt;=V$6+6,$J16&gt;=V$6),IF($R$4=1,"█",IF($R$4=2,$G16,$G16*2)),"")</f>
        <v/>
      </c>
      <c r="W16" s="11">
        <f>IF(AND($I16&lt;=W$6+6,$J16&gt;=W$6),IF($R$4=1,"█",IF($R$4=2,$G16,$G16*2)),"")</f>
        <v/>
      </c>
      <c r="X16" s="11">
        <f>IF(AND($I16&lt;=X$6+6,$J16&gt;=X$6),IF($R$4=1,"█",IF($R$4=2,$G16,$G16*2)),"")</f>
        <v/>
      </c>
      <c r="Y16" s="11">
        <f>IF(AND($I16&lt;=Y$6+6,$J16&gt;=Y$6),IF($R$4=1,"█",IF($R$4=2,$G16,$G16*2)),"")</f>
        <v/>
      </c>
      <c r="Z16" s="11">
        <f>IF(AND($I16&lt;=Z$6+6,$J16&gt;=Z$6),IF($R$4=1,"█",IF($R$4=2,$G16,$G16*2)),"")</f>
        <v/>
      </c>
      <c r="AA16" s="11">
        <f>IF(AND($I16&lt;=AA$6+6,$J16&gt;=AA$6),IF($R$4=1,"█",IF($R$4=2,$G16,$G16*2)),"")</f>
        <v/>
      </c>
      <c r="AB16" s="11">
        <f>IF(AND($I16&lt;=AB$6+6,$J16&gt;=AB$6),IF($R$4=1,"█",IF($R$4=2,$G16,$G16*2)),"")</f>
        <v/>
      </c>
      <c r="AC16" s="11">
        <f>IF(AND($I16&lt;=AC$6+6,$J16&gt;=AC$6),IF($R$4=1,"█",IF($R$4=2,$G16,$G16*2)),"")</f>
        <v/>
      </c>
      <c r="AD16" s="11">
        <f>IF(AND($I16&lt;=AD$6+6,$J16&gt;=AD$6),IF($R$4=1,"█",IF($R$4=2,$G16,$G16*2)),"")</f>
        <v/>
      </c>
      <c r="AE16" s="11">
        <f>IF(AND($I16&lt;=AE$6+6,$J16&gt;=AE$6),IF($R$4=1,"█",IF($R$4=2,$G16,$G16*2)),"")</f>
        <v/>
      </c>
      <c r="AF16" s="11">
        <f>IF(AND($I16&lt;=AF$6+6,$J16&gt;=AF$6),IF($R$4=1,"█",IF($R$4=2,$G16,$G16*2)),"")</f>
        <v/>
      </c>
      <c r="AG16" s="11">
        <f>IF(AND($I16&lt;=AG$6+6,$J16&gt;=AG$6),IF($R$4=1,"█",IF($R$4=2,$G16,$G16*2)),"")</f>
        <v/>
      </c>
      <c r="AH16" s="11">
        <f>IF(AND($I16&lt;=AH$6+6,$J16&gt;=AH$6),IF($R$4=1,"█",IF($R$4=2,$G16,$G16*2)),"")</f>
        <v/>
      </c>
      <c r="AI16" s="11">
        <f>IF(AND($I16&lt;=AI$6+6,$J16&gt;=AI$6),IF($R$4=1,"█",IF($R$4=2,$G16,$G16*2)),"")</f>
        <v/>
      </c>
      <c r="AJ16" s="11">
        <f>IF(AND($I16&lt;=AJ$6+6,$J16&gt;=AJ$6),IF($R$4=1,"█",IF($R$4=2,$G16,$G16*2)),"")</f>
        <v/>
      </c>
      <c r="AK16" s="11">
        <f>IF(AND($I16&lt;=AK$6+6,$J16&gt;=AK$6),IF($R$4=1,"█",IF($R$4=2,$G16,$G16*2)),"")</f>
        <v/>
      </c>
      <c r="AL16" s="11">
        <f>IF(AND($I16&lt;=AL$6+6,$J16&gt;=AL$6),IF($R$4=1,"█",IF($R$4=2,$G16,$G16*2)),"")</f>
        <v/>
      </c>
      <c r="AM16" s="11">
        <f>IF(AND($I16&lt;=AM$6+6,$J16&gt;=AM$6),IF($R$4=1,"█",IF($R$4=2,$G16,$G16*2)),"")</f>
        <v/>
      </c>
      <c r="AN16" s="11">
        <f>IF(AND($I16&lt;=AN$6+6,$J16&gt;=AN$6),IF($R$4=1,"█",IF($R$4=2,$G16,$G16*2)),"")</f>
        <v/>
      </c>
      <c r="AO16" s="11">
        <f>IF(AND($I16&lt;=AO$6+6,$J16&gt;=AO$6),IF($R$4=1,"█",IF($R$4=2,$G16,$G16*2)),"")</f>
        <v/>
      </c>
      <c r="AP16" s="11">
        <f>IF(AND($I16&lt;=AP$6+6,$J16&gt;=AP$6),IF($R$4=1,"█",IF($R$4=2,$G16,$G16*2)),"")</f>
        <v/>
      </c>
      <c r="AQ16" s="11">
        <f>IF(AND($I16&lt;=AQ$6+6,$J16&gt;=AQ$6),IF($R$4=1,"█",IF($R$4=2,$G16,$G16*2)),"")</f>
        <v/>
      </c>
      <c r="AR16" s="11">
        <f>IF(AND($I16&lt;=AR$6+6,$J16&gt;=AR$6),IF($R$4=1,"█",IF($R$4=2,$G16,$G16*2)),"")</f>
        <v/>
      </c>
      <c r="AS16" s="11">
        <f>IF(AND($I16&lt;=AS$6+6,$J16&gt;=AS$6),IF($R$4=1,"█",IF($R$4=2,$G16,$G16*2)),"")</f>
        <v/>
      </c>
      <c r="AT16" s="11">
        <f>IF(AND($I16&lt;=AT$6+6,$J16&gt;=AT$6),IF($R$4=1,"█",IF($R$4=2,$G16,$G16*2)),"")</f>
        <v/>
      </c>
      <c r="AU16" s="11">
        <f>IF(AND($I16&lt;=AU$6+6,$J16&gt;=AU$6),IF($R$4=1,"█",IF($R$4=2,$G16,$G16*2)),"")</f>
        <v/>
      </c>
      <c r="AV16" s="11">
        <f>IF(AND($I16&lt;=AV$6+6,$J16&gt;=AV$6),IF($R$4=1,"█",IF($R$4=2,$G16,$G16*2)),"")</f>
        <v/>
      </c>
      <c r="AW16" s="11">
        <f>IF(AND($I16&lt;=AW$6+6,$J16&gt;=AW$6),IF($R$4=1,"█",IF($R$4=2,$G16,$G16*2)),"")</f>
        <v/>
      </c>
      <c r="AX16" s="11">
        <f>IF(AND($I16&lt;=AX$6+6,$J16&gt;=AX$6),IF($R$4=1,"█",IF($R$4=2,$G16,$G16*2)),"")</f>
        <v/>
      </c>
      <c r="AY16" s="11">
        <f>IF(AND($I16&lt;=AY$6+6,$J16&gt;=AY$6),IF($R$4=1,"█",IF($R$4=2,$G16,$G16*2)),"")</f>
        <v/>
      </c>
      <c r="AZ16" s="11">
        <f>IF(AND($I16&lt;=AZ$6+6,$J16&gt;=AZ$6),IF($R$4=1,"█",IF($R$4=2,$G16,$G16*2)),"")</f>
        <v/>
      </c>
      <c r="BA16" s="11">
        <f>IF(AND($I16&lt;=BA$6+6,$J16&gt;=BA$6),IF($R$4=1,"█",IF($R$4=2,$G16,$G16*2)),"")</f>
        <v/>
      </c>
      <c r="BB16" s="11">
        <f>IF(AND($I16&lt;=BB$6+6,$J16&gt;=BB$6),IF($R$4=1,"█",IF($R$4=2,$G16,$G16*2)),"")</f>
        <v/>
      </c>
      <c r="BC16" s="11">
        <f>IF(AND($I16&lt;=BC$6+6,$J16&gt;=BC$6),IF($R$4=1,"█",IF($R$4=2,$G16,$G16*2)),"")</f>
        <v/>
      </c>
      <c r="BD16" s="11">
        <f>IF(AND($I16&lt;=BD$6+6,$J16&gt;=BD$6),IF($R$4=1,"█",IF($R$4=2,$G16,$G16*2)),"")</f>
        <v/>
      </c>
      <c r="BF16" s="8">
        <f>BG17-1-0</f>
        <v/>
      </c>
      <c r="BG16" s="8">
        <f>BF16-H16+1</f>
        <v/>
      </c>
      <c r="BH16">
        <f>BG16-I16</f>
        <v/>
      </c>
    </row>
    <row r="17">
      <c r="A17" t="inlineStr">
        <is>
          <t>3.4</t>
        </is>
      </c>
      <c r="B17" t="inlineStr">
        <is>
          <t>Bảo dưỡng, tháo ván khuôn (7 ngày)</t>
        </is>
      </c>
      <c r="C17" t="n">
        <v>7</v>
      </c>
      <c r="D17" t="inlineStr">
        <is>
          <t>ngày</t>
        </is>
      </c>
      <c r="E17" t="n">
        <v>1</v>
      </c>
      <c r="F17">
        <f>C17*E17</f>
        <v/>
      </c>
      <c r="G17" t="n">
        <v>1</v>
      </c>
      <c r="H17">
        <f>MAX(1,ROUNDUP(F17/G17,0))</f>
        <v/>
      </c>
      <c r="I17" s="8">
        <f>J16+1+0</f>
        <v/>
      </c>
      <c r="J17" s="8">
        <f>I17+H17-1</f>
        <v/>
      </c>
      <c r="K17" t="inlineStr">
        <is>
          <t>3.3FS</t>
        </is>
      </c>
      <c r="L17">
        <f>IF(BH17=0,"YES","NO")</f>
        <v/>
      </c>
      <c r="M17" s="11">
        <f>IF(AND($I17&lt;=M$6+6,$J17&gt;=M$6),IF($R$4=1,"█",IF($R$4=2,$G17,$G17*2)),"")</f>
        <v/>
      </c>
      <c r="N17" s="11">
        <f>IF(AND($I17&lt;=N$6+6,$J17&gt;=N$6),IF($R$4=1,"█",IF($R$4=2,$G17,$G17*2)),"")</f>
        <v/>
      </c>
      <c r="O17" s="11">
        <f>IF(AND($I17&lt;=O$6+6,$J17&gt;=O$6),IF($R$4=1,"█",IF($R$4=2,$G17,$G17*2)),"")</f>
        <v/>
      </c>
      <c r="P17" s="11">
        <f>IF(AND($I17&lt;=P$6+6,$J17&gt;=P$6),IF($R$4=1,"█",IF($R$4=2,$G17,$G17*2)),"")</f>
        <v/>
      </c>
      <c r="Q17" s="11">
        <f>IF(AND($I17&lt;=Q$6+6,$J17&gt;=Q$6),IF($R$4=1,"█",IF($R$4=2,$G17,$G17*2)),"")</f>
        <v/>
      </c>
      <c r="R17" s="11">
        <f>IF(AND($I17&lt;=R$6+6,$J17&gt;=R$6),IF($R$4=1,"█",IF($R$4=2,$G17,$G17*2)),"")</f>
        <v/>
      </c>
      <c r="S17" s="11">
        <f>IF(AND($I17&lt;=S$6+6,$J17&gt;=S$6),IF($R$4=1,"█",IF($R$4=2,$G17,$G17*2)),"")</f>
        <v/>
      </c>
      <c r="T17" s="11">
        <f>IF(AND($I17&lt;=T$6+6,$J17&gt;=T$6),IF($R$4=1,"█",IF($R$4=2,$G17,$G17*2)),"")</f>
        <v/>
      </c>
      <c r="U17" s="11">
        <f>IF(AND($I17&lt;=U$6+6,$J17&gt;=U$6),IF($R$4=1,"█",IF($R$4=2,$G17,$G17*2)),"")</f>
        <v/>
      </c>
      <c r="V17" s="11">
        <f>IF(AND($I17&lt;=V$6+6,$J17&gt;=V$6),IF($R$4=1,"█",IF($R$4=2,$G17,$G17*2)),"")</f>
        <v/>
      </c>
      <c r="W17" s="11">
        <f>IF(AND($I17&lt;=W$6+6,$J17&gt;=W$6),IF($R$4=1,"█",IF($R$4=2,$G17,$G17*2)),"")</f>
        <v/>
      </c>
      <c r="X17" s="11">
        <f>IF(AND($I17&lt;=X$6+6,$J17&gt;=X$6),IF($R$4=1,"█",IF($R$4=2,$G17,$G17*2)),"")</f>
        <v/>
      </c>
      <c r="Y17" s="11">
        <f>IF(AND($I17&lt;=Y$6+6,$J17&gt;=Y$6),IF($R$4=1,"█",IF($R$4=2,$G17,$G17*2)),"")</f>
        <v/>
      </c>
      <c r="Z17" s="11">
        <f>IF(AND($I17&lt;=Z$6+6,$J17&gt;=Z$6),IF($R$4=1,"█",IF($R$4=2,$G17,$G17*2)),"")</f>
        <v/>
      </c>
      <c r="AA17" s="11">
        <f>IF(AND($I17&lt;=AA$6+6,$J17&gt;=AA$6),IF($R$4=1,"█",IF($R$4=2,$G17,$G17*2)),"")</f>
        <v/>
      </c>
      <c r="AB17" s="11">
        <f>IF(AND($I17&lt;=AB$6+6,$J17&gt;=AB$6),IF($R$4=1,"█",IF($R$4=2,$G17,$G17*2)),"")</f>
        <v/>
      </c>
      <c r="AC17" s="11">
        <f>IF(AND($I17&lt;=AC$6+6,$J17&gt;=AC$6),IF($R$4=1,"█",IF($R$4=2,$G17,$G17*2)),"")</f>
        <v/>
      </c>
      <c r="AD17" s="11">
        <f>IF(AND($I17&lt;=AD$6+6,$J17&gt;=AD$6),IF($R$4=1,"█",IF($R$4=2,$G17,$G17*2)),"")</f>
        <v/>
      </c>
      <c r="AE17" s="11">
        <f>IF(AND($I17&lt;=AE$6+6,$J17&gt;=AE$6),IF($R$4=1,"█",IF($R$4=2,$G17,$G17*2)),"")</f>
        <v/>
      </c>
      <c r="AF17" s="11">
        <f>IF(AND($I17&lt;=AF$6+6,$J17&gt;=AF$6),IF($R$4=1,"█",IF($R$4=2,$G17,$G17*2)),"")</f>
        <v/>
      </c>
      <c r="AG17" s="11">
        <f>IF(AND($I17&lt;=AG$6+6,$J17&gt;=AG$6),IF($R$4=1,"█",IF($R$4=2,$G17,$G17*2)),"")</f>
        <v/>
      </c>
      <c r="AH17" s="11">
        <f>IF(AND($I17&lt;=AH$6+6,$J17&gt;=AH$6),IF($R$4=1,"█",IF($R$4=2,$G17,$G17*2)),"")</f>
        <v/>
      </c>
      <c r="AI17" s="11">
        <f>IF(AND($I17&lt;=AI$6+6,$J17&gt;=AI$6),IF($R$4=1,"█",IF($R$4=2,$G17,$G17*2)),"")</f>
        <v/>
      </c>
      <c r="AJ17" s="11">
        <f>IF(AND($I17&lt;=AJ$6+6,$J17&gt;=AJ$6),IF($R$4=1,"█",IF($R$4=2,$G17,$G17*2)),"")</f>
        <v/>
      </c>
      <c r="AK17" s="11">
        <f>IF(AND($I17&lt;=AK$6+6,$J17&gt;=AK$6),IF($R$4=1,"█",IF($R$4=2,$G17,$G17*2)),"")</f>
        <v/>
      </c>
      <c r="AL17" s="11">
        <f>IF(AND($I17&lt;=AL$6+6,$J17&gt;=AL$6),IF($R$4=1,"█",IF($R$4=2,$G17,$G17*2)),"")</f>
        <v/>
      </c>
      <c r="AM17" s="11">
        <f>IF(AND($I17&lt;=AM$6+6,$J17&gt;=AM$6),IF($R$4=1,"█",IF($R$4=2,$G17,$G17*2)),"")</f>
        <v/>
      </c>
      <c r="AN17" s="11">
        <f>IF(AND($I17&lt;=AN$6+6,$J17&gt;=AN$6),IF($R$4=1,"█",IF($R$4=2,$G17,$G17*2)),"")</f>
        <v/>
      </c>
      <c r="AO17" s="11">
        <f>IF(AND($I17&lt;=AO$6+6,$J17&gt;=AO$6),IF($R$4=1,"█",IF($R$4=2,$G17,$G17*2)),"")</f>
        <v/>
      </c>
      <c r="AP17" s="11">
        <f>IF(AND($I17&lt;=AP$6+6,$J17&gt;=AP$6),IF($R$4=1,"█",IF($R$4=2,$G17,$G17*2)),"")</f>
        <v/>
      </c>
      <c r="AQ17" s="11">
        <f>IF(AND($I17&lt;=AQ$6+6,$J17&gt;=AQ$6),IF($R$4=1,"█",IF($R$4=2,$G17,$G17*2)),"")</f>
        <v/>
      </c>
      <c r="AR17" s="11">
        <f>IF(AND($I17&lt;=AR$6+6,$J17&gt;=AR$6),IF($R$4=1,"█",IF($R$4=2,$G17,$G17*2)),"")</f>
        <v/>
      </c>
      <c r="AS17" s="11">
        <f>IF(AND($I17&lt;=AS$6+6,$J17&gt;=AS$6),IF($R$4=1,"█",IF($R$4=2,$G17,$G17*2)),"")</f>
        <v/>
      </c>
      <c r="AT17" s="11">
        <f>IF(AND($I17&lt;=AT$6+6,$J17&gt;=AT$6),IF($R$4=1,"█",IF($R$4=2,$G17,$G17*2)),"")</f>
        <v/>
      </c>
      <c r="AU17" s="11">
        <f>IF(AND($I17&lt;=AU$6+6,$J17&gt;=AU$6),IF($R$4=1,"█",IF($R$4=2,$G17,$G17*2)),"")</f>
        <v/>
      </c>
      <c r="AV17" s="11">
        <f>IF(AND($I17&lt;=AV$6+6,$J17&gt;=AV$6),IF($R$4=1,"█",IF($R$4=2,$G17,$G17*2)),"")</f>
        <v/>
      </c>
      <c r="AW17" s="11">
        <f>IF(AND($I17&lt;=AW$6+6,$J17&gt;=AW$6),IF($R$4=1,"█",IF($R$4=2,$G17,$G17*2)),"")</f>
        <v/>
      </c>
      <c r="AX17" s="11">
        <f>IF(AND($I17&lt;=AX$6+6,$J17&gt;=AX$6),IF($R$4=1,"█",IF($R$4=2,$G17,$G17*2)),"")</f>
        <v/>
      </c>
      <c r="AY17" s="11">
        <f>IF(AND($I17&lt;=AY$6+6,$J17&gt;=AY$6),IF($R$4=1,"█",IF($R$4=2,$G17,$G17*2)),"")</f>
        <v/>
      </c>
      <c r="AZ17" s="11">
        <f>IF(AND($I17&lt;=AZ$6+6,$J17&gt;=AZ$6),IF($R$4=1,"█",IF($R$4=2,$G17,$G17*2)),"")</f>
        <v/>
      </c>
      <c r="BA17" s="11">
        <f>IF(AND($I17&lt;=BA$6+6,$J17&gt;=BA$6),IF($R$4=1,"█",IF($R$4=2,$G17,$G17*2)),"")</f>
        <v/>
      </c>
      <c r="BB17" s="11">
        <f>IF(AND($I17&lt;=BB$6+6,$J17&gt;=BB$6),IF($R$4=1,"█",IF($R$4=2,$G17,$G17*2)),"")</f>
        <v/>
      </c>
      <c r="BC17" s="11">
        <f>IF(AND($I17&lt;=BC$6+6,$J17&gt;=BC$6),IF($R$4=1,"█",IF($R$4=2,$G17,$G17*2)),"")</f>
        <v/>
      </c>
      <c r="BD17" s="11">
        <f>IF(AND($I17&lt;=BD$6+6,$J17&gt;=BD$6),IF($R$4=1,"█",IF($R$4=2,$G17,$G17*2)),"")</f>
        <v/>
      </c>
      <c r="BF17" s="8">
        <f>BG19-1-0</f>
        <v/>
      </c>
      <c r="BG17" s="8">
        <f>BF17-H17+1</f>
        <v/>
      </c>
      <c r="BH17">
        <f>BG17-I17</f>
        <v/>
      </c>
    </row>
    <row r="18">
      <c r="A18" t="inlineStr">
        <is>
          <t>4</t>
        </is>
      </c>
      <c r="B18" s="4" t="inlineStr">
        <is>
          <t>HOÀN THIỆN</t>
        </is>
      </c>
    </row>
    <row r="19">
      <c r="A19" t="inlineStr">
        <is>
          <t>4.1</t>
        </is>
      </c>
      <c r="B19" t="inlineStr">
        <is>
          <t>Khe co giãn: xốp, bao tải nhựa đường</t>
        </is>
      </c>
      <c r="C19">
        <f>QS_DIEN_GIAI_CHI_TIET!C31</f>
        <v/>
      </c>
      <c r="D19" t="inlineStr">
        <is>
          <t>khe</t>
        </is>
      </c>
      <c r="E19" t="n">
        <v>1</v>
      </c>
      <c r="F19">
        <f>C19*E19</f>
        <v/>
      </c>
      <c r="G19" t="n">
        <v>3</v>
      </c>
      <c r="H19">
        <f>MAX(1,ROUNDUP(F19/G19,0))</f>
        <v/>
      </c>
      <c r="I19" s="8">
        <f>J17+1+0</f>
        <v/>
      </c>
      <c r="J19" s="8">
        <f>I19+H19-1</f>
        <v/>
      </c>
      <c r="K19" t="inlineStr">
        <is>
          <t>3.4FS</t>
        </is>
      </c>
      <c r="L19">
        <f>IF(BH19=0,"YES","NO")</f>
        <v/>
      </c>
      <c r="M19" s="11">
        <f>IF(AND($I19&lt;=M$6+6,$J19&gt;=M$6),IF($R$4=1,"█",IF($R$4=2,$G19,$G19*2)),"")</f>
        <v/>
      </c>
      <c r="N19" s="11">
        <f>IF(AND($I19&lt;=N$6+6,$J19&gt;=N$6),IF($R$4=1,"█",IF($R$4=2,$G19,$G19*2)),"")</f>
        <v/>
      </c>
      <c r="O19" s="11">
        <f>IF(AND($I19&lt;=O$6+6,$J19&gt;=O$6),IF($R$4=1,"█",IF($R$4=2,$G19,$G19*2)),"")</f>
        <v/>
      </c>
      <c r="P19" s="11">
        <f>IF(AND($I19&lt;=P$6+6,$J19&gt;=P$6),IF($R$4=1,"█",IF($R$4=2,$G19,$G19*2)),"")</f>
        <v/>
      </c>
      <c r="Q19" s="11">
        <f>IF(AND($I19&lt;=Q$6+6,$J19&gt;=Q$6),IF($R$4=1,"█",IF($R$4=2,$G19,$G19*2)),"")</f>
        <v/>
      </c>
      <c r="R19" s="11">
        <f>IF(AND($I19&lt;=R$6+6,$J19&gt;=R$6),IF($R$4=1,"█",IF($R$4=2,$G19,$G19*2)),"")</f>
        <v/>
      </c>
      <c r="S19" s="11">
        <f>IF(AND($I19&lt;=S$6+6,$J19&gt;=S$6),IF($R$4=1,"█",IF($R$4=2,$G19,$G19*2)),"")</f>
        <v/>
      </c>
      <c r="T19" s="11">
        <f>IF(AND($I19&lt;=T$6+6,$J19&gt;=T$6),IF($R$4=1,"█",IF($R$4=2,$G19,$G19*2)),"")</f>
        <v/>
      </c>
      <c r="U19" s="11">
        <f>IF(AND($I19&lt;=U$6+6,$J19&gt;=U$6),IF($R$4=1,"█",IF($R$4=2,$G19,$G19*2)),"")</f>
        <v/>
      </c>
      <c r="V19" s="11">
        <f>IF(AND($I19&lt;=V$6+6,$J19&gt;=V$6),IF($R$4=1,"█",IF($R$4=2,$G19,$G19*2)),"")</f>
        <v/>
      </c>
      <c r="W19" s="11">
        <f>IF(AND($I19&lt;=W$6+6,$J19&gt;=W$6),IF($R$4=1,"█",IF($R$4=2,$G19,$G19*2)),"")</f>
        <v/>
      </c>
      <c r="X19" s="11">
        <f>IF(AND($I19&lt;=X$6+6,$J19&gt;=X$6),IF($R$4=1,"█",IF($R$4=2,$G19,$G19*2)),"")</f>
        <v/>
      </c>
      <c r="Y19" s="11">
        <f>IF(AND($I19&lt;=Y$6+6,$J19&gt;=Y$6),IF($R$4=1,"█",IF($R$4=2,$G19,$G19*2)),"")</f>
        <v/>
      </c>
      <c r="Z19" s="11">
        <f>IF(AND($I19&lt;=Z$6+6,$J19&gt;=Z$6),IF($R$4=1,"█",IF($R$4=2,$G19,$G19*2)),"")</f>
        <v/>
      </c>
      <c r="AA19" s="11">
        <f>IF(AND($I19&lt;=AA$6+6,$J19&gt;=AA$6),IF($R$4=1,"█",IF($R$4=2,$G19,$G19*2)),"")</f>
        <v/>
      </c>
      <c r="AB19" s="11">
        <f>IF(AND($I19&lt;=AB$6+6,$J19&gt;=AB$6),IF($R$4=1,"█",IF($R$4=2,$G19,$G19*2)),"")</f>
        <v/>
      </c>
      <c r="AC19" s="11">
        <f>IF(AND($I19&lt;=AC$6+6,$J19&gt;=AC$6),IF($R$4=1,"█",IF($R$4=2,$G19,$G19*2)),"")</f>
        <v/>
      </c>
      <c r="AD19" s="11">
        <f>IF(AND($I19&lt;=AD$6+6,$J19&gt;=AD$6),IF($R$4=1,"█",IF($R$4=2,$G19,$G19*2)),"")</f>
        <v/>
      </c>
      <c r="AE19" s="11">
        <f>IF(AND($I19&lt;=AE$6+6,$J19&gt;=AE$6),IF($R$4=1,"█",IF($R$4=2,$G19,$G19*2)),"")</f>
        <v/>
      </c>
      <c r="AF19" s="11">
        <f>IF(AND($I19&lt;=AF$6+6,$J19&gt;=AF$6),IF($R$4=1,"█",IF($R$4=2,$G19,$G19*2)),"")</f>
        <v/>
      </c>
      <c r="AG19" s="11">
        <f>IF(AND($I19&lt;=AG$6+6,$J19&gt;=AG$6),IF($R$4=1,"█",IF($R$4=2,$G19,$G19*2)),"")</f>
        <v/>
      </c>
      <c r="AH19" s="11">
        <f>IF(AND($I19&lt;=AH$6+6,$J19&gt;=AH$6),IF($R$4=1,"█",IF($R$4=2,$G19,$G19*2)),"")</f>
        <v/>
      </c>
      <c r="AI19" s="11">
        <f>IF(AND($I19&lt;=AI$6+6,$J19&gt;=AI$6),IF($R$4=1,"█",IF($R$4=2,$G19,$G19*2)),"")</f>
        <v/>
      </c>
      <c r="AJ19" s="11">
        <f>IF(AND($I19&lt;=AJ$6+6,$J19&gt;=AJ$6),IF($R$4=1,"█",IF($R$4=2,$G19,$G19*2)),"")</f>
        <v/>
      </c>
      <c r="AK19" s="11">
        <f>IF(AND($I19&lt;=AK$6+6,$J19&gt;=AK$6),IF($R$4=1,"█",IF($R$4=2,$G19,$G19*2)),"")</f>
        <v/>
      </c>
      <c r="AL19" s="11">
        <f>IF(AND($I19&lt;=AL$6+6,$J19&gt;=AL$6),IF($R$4=1,"█",IF($R$4=2,$G19,$G19*2)),"")</f>
        <v/>
      </c>
      <c r="AM19" s="11">
        <f>IF(AND($I19&lt;=AM$6+6,$J19&gt;=AM$6),IF($R$4=1,"█",IF($R$4=2,$G19,$G19*2)),"")</f>
        <v/>
      </c>
      <c r="AN19" s="11">
        <f>IF(AND($I19&lt;=AN$6+6,$J19&gt;=AN$6),IF($R$4=1,"█",IF($R$4=2,$G19,$G19*2)),"")</f>
        <v/>
      </c>
      <c r="AO19" s="11">
        <f>IF(AND($I19&lt;=AO$6+6,$J19&gt;=AO$6),IF($R$4=1,"█",IF($R$4=2,$G19,$G19*2)),"")</f>
        <v/>
      </c>
      <c r="AP19" s="11">
        <f>IF(AND($I19&lt;=AP$6+6,$J19&gt;=AP$6),IF($R$4=1,"█",IF($R$4=2,$G19,$G19*2)),"")</f>
        <v/>
      </c>
      <c r="AQ19" s="11">
        <f>IF(AND($I19&lt;=AQ$6+6,$J19&gt;=AQ$6),IF($R$4=1,"█",IF($R$4=2,$G19,$G19*2)),"")</f>
        <v/>
      </c>
      <c r="AR19" s="11">
        <f>IF(AND($I19&lt;=AR$6+6,$J19&gt;=AR$6),IF($R$4=1,"█",IF($R$4=2,$G19,$G19*2)),"")</f>
        <v/>
      </c>
      <c r="AS19" s="11">
        <f>IF(AND($I19&lt;=AS$6+6,$J19&gt;=AS$6),IF($R$4=1,"█",IF($R$4=2,$G19,$G19*2)),"")</f>
        <v/>
      </c>
      <c r="AT19" s="11">
        <f>IF(AND($I19&lt;=AT$6+6,$J19&gt;=AT$6),IF($R$4=1,"█",IF($R$4=2,$G19,$G19*2)),"")</f>
        <v/>
      </c>
      <c r="AU19" s="11">
        <f>IF(AND($I19&lt;=AU$6+6,$J19&gt;=AU$6),IF($R$4=1,"█",IF($R$4=2,$G19,$G19*2)),"")</f>
        <v/>
      </c>
      <c r="AV19" s="11">
        <f>IF(AND($I19&lt;=AV$6+6,$J19&gt;=AV$6),IF($R$4=1,"█",IF($R$4=2,$G19,$G19*2)),"")</f>
        <v/>
      </c>
      <c r="AW19" s="11">
        <f>IF(AND($I19&lt;=AW$6+6,$J19&gt;=AW$6),IF($R$4=1,"█",IF($R$4=2,$G19,$G19*2)),"")</f>
        <v/>
      </c>
      <c r="AX19" s="11">
        <f>IF(AND($I19&lt;=AX$6+6,$J19&gt;=AX$6),IF($R$4=1,"█",IF($R$4=2,$G19,$G19*2)),"")</f>
        <v/>
      </c>
      <c r="AY19" s="11">
        <f>IF(AND($I19&lt;=AY$6+6,$J19&gt;=AY$6),IF($R$4=1,"█",IF($R$4=2,$G19,$G19*2)),"")</f>
        <v/>
      </c>
      <c r="AZ19" s="11">
        <f>IF(AND($I19&lt;=AZ$6+6,$J19&gt;=AZ$6),IF($R$4=1,"█",IF($R$4=2,$G19,$G19*2)),"")</f>
        <v/>
      </c>
      <c r="BA19" s="11">
        <f>IF(AND($I19&lt;=BA$6+6,$J19&gt;=BA$6),IF($R$4=1,"█",IF($R$4=2,$G19,$G19*2)),"")</f>
        <v/>
      </c>
      <c r="BB19" s="11">
        <f>IF(AND($I19&lt;=BB$6+6,$J19&gt;=BB$6),IF($R$4=1,"█",IF($R$4=2,$G19,$G19*2)),"")</f>
        <v/>
      </c>
      <c r="BC19" s="11">
        <f>IF(AND($I19&lt;=BC$6+6,$J19&gt;=BC$6),IF($R$4=1,"█",IF($R$4=2,$G19,$G19*2)),"")</f>
        <v/>
      </c>
      <c r="BD19" s="11">
        <f>IF(AND($I19&lt;=BD$6+6,$J19&gt;=BD$6),IF($R$4=1,"█",IF($R$4=2,$G19,$G19*2)),"")</f>
        <v/>
      </c>
      <c r="BF19" s="8">
        <f>BG20-1-0</f>
        <v/>
      </c>
      <c r="BG19" s="8">
        <f>BF19-H19+1</f>
        <v/>
      </c>
      <c r="BH19">
        <f>BG19-I19</f>
        <v/>
      </c>
    </row>
    <row r="20">
      <c r="A20" t="inlineStr">
        <is>
          <t>4.2</t>
        </is>
      </c>
      <c r="B20" t="inlineStr">
        <is>
          <t>Đắp cát hai bên, hoàn trả</t>
        </is>
      </c>
      <c r="C20">
        <f>QS_DIEN_GIAI_CHI_TIET!C29</f>
        <v/>
      </c>
      <c r="D20" t="inlineStr">
        <is>
          <t>m3</t>
        </is>
      </c>
      <c r="E20" t="n">
        <v>0.3</v>
      </c>
      <c r="F20">
        <f>C20*E20</f>
        <v/>
      </c>
      <c r="G20" t="n">
        <v>6</v>
      </c>
      <c r="H20">
        <f>MAX(1,ROUNDUP(F20/G20,0))</f>
        <v/>
      </c>
      <c r="I20" s="8">
        <f>J19+1+0</f>
        <v/>
      </c>
      <c r="J20" s="8">
        <f>I20+H20-1</f>
        <v/>
      </c>
      <c r="K20" t="inlineStr">
        <is>
          <t>4.1FS</t>
        </is>
      </c>
      <c r="L20">
        <f>IF(BH20=0,"YES","NO")</f>
        <v/>
      </c>
      <c r="M20" s="11">
        <f>IF(AND($I20&lt;=M$6+6,$J20&gt;=M$6),IF($R$4=1,"█",IF($R$4=2,$G20,$G20*2)),"")</f>
        <v/>
      </c>
      <c r="N20" s="11">
        <f>IF(AND($I20&lt;=N$6+6,$J20&gt;=N$6),IF($R$4=1,"█",IF($R$4=2,$G20,$G20*2)),"")</f>
        <v/>
      </c>
      <c r="O20" s="11">
        <f>IF(AND($I20&lt;=O$6+6,$J20&gt;=O$6),IF($R$4=1,"█",IF($R$4=2,$G20,$G20*2)),"")</f>
        <v/>
      </c>
      <c r="P20" s="11">
        <f>IF(AND($I20&lt;=P$6+6,$J20&gt;=P$6),IF($R$4=1,"█",IF($R$4=2,$G20,$G20*2)),"")</f>
        <v/>
      </c>
      <c r="Q20" s="11">
        <f>IF(AND($I20&lt;=Q$6+6,$J20&gt;=Q$6),IF($R$4=1,"█",IF($R$4=2,$G20,$G20*2)),"")</f>
        <v/>
      </c>
      <c r="R20" s="11">
        <f>IF(AND($I20&lt;=R$6+6,$J20&gt;=R$6),IF($R$4=1,"█",IF($R$4=2,$G20,$G20*2)),"")</f>
        <v/>
      </c>
      <c r="S20" s="11">
        <f>IF(AND($I20&lt;=S$6+6,$J20&gt;=S$6),IF($R$4=1,"█",IF($R$4=2,$G20,$G20*2)),"")</f>
        <v/>
      </c>
      <c r="T20" s="11">
        <f>IF(AND($I20&lt;=T$6+6,$J20&gt;=T$6),IF($R$4=1,"█",IF($R$4=2,$G20,$G20*2)),"")</f>
        <v/>
      </c>
      <c r="U20" s="11">
        <f>IF(AND($I20&lt;=U$6+6,$J20&gt;=U$6),IF($R$4=1,"█",IF($R$4=2,$G20,$G20*2)),"")</f>
        <v/>
      </c>
      <c r="V20" s="11">
        <f>IF(AND($I20&lt;=V$6+6,$J20&gt;=V$6),IF($R$4=1,"█",IF($R$4=2,$G20,$G20*2)),"")</f>
        <v/>
      </c>
      <c r="W20" s="11">
        <f>IF(AND($I20&lt;=W$6+6,$J20&gt;=W$6),IF($R$4=1,"█",IF($R$4=2,$G20,$G20*2)),"")</f>
        <v/>
      </c>
      <c r="X20" s="11">
        <f>IF(AND($I20&lt;=X$6+6,$J20&gt;=X$6),IF($R$4=1,"█",IF($R$4=2,$G20,$G20*2)),"")</f>
        <v/>
      </c>
      <c r="Y20" s="11">
        <f>IF(AND($I20&lt;=Y$6+6,$J20&gt;=Y$6),IF($R$4=1,"█",IF($R$4=2,$G20,$G20*2)),"")</f>
        <v/>
      </c>
      <c r="Z20" s="11">
        <f>IF(AND($I20&lt;=Z$6+6,$J20&gt;=Z$6),IF($R$4=1,"█",IF($R$4=2,$G20,$G20*2)),"")</f>
        <v/>
      </c>
      <c r="AA20" s="11">
        <f>IF(AND($I20&lt;=AA$6+6,$J20&gt;=AA$6),IF($R$4=1,"█",IF($R$4=2,$G20,$G20*2)),"")</f>
        <v/>
      </c>
      <c r="AB20" s="11">
        <f>IF(AND($I20&lt;=AB$6+6,$J20&gt;=AB$6),IF($R$4=1,"█",IF($R$4=2,$G20,$G20*2)),"")</f>
        <v/>
      </c>
      <c r="AC20" s="11">
        <f>IF(AND($I20&lt;=AC$6+6,$J20&gt;=AC$6),IF($R$4=1,"█",IF($R$4=2,$G20,$G20*2)),"")</f>
        <v/>
      </c>
      <c r="AD20" s="11">
        <f>IF(AND($I20&lt;=AD$6+6,$J20&gt;=AD$6),IF($R$4=1,"█",IF($R$4=2,$G20,$G20*2)),"")</f>
        <v/>
      </c>
      <c r="AE20" s="11">
        <f>IF(AND($I20&lt;=AE$6+6,$J20&gt;=AE$6),IF($R$4=1,"█",IF($R$4=2,$G20,$G20*2)),"")</f>
        <v/>
      </c>
      <c r="AF20" s="11">
        <f>IF(AND($I20&lt;=AF$6+6,$J20&gt;=AF$6),IF($R$4=1,"█",IF($R$4=2,$G20,$G20*2)),"")</f>
        <v/>
      </c>
      <c r="AG20" s="11">
        <f>IF(AND($I20&lt;=AG$6+6,$J20&gt;=AG$6),IF($R$4=1,"█",IF($R$4=2,$G20,$G20*2)),"")</f>
        <v/>
      </c>
      <c r="AH20" s="11">
        <f>IF(AND($I20&lt;=AH$6+6,$J20&gt;=AH$6),IF($R$4=1,"█",IF($R$4=2,$G20,$G20*2)),"")</f>
        <v/>
      </c>
      <c r="AI20" s="11">
        <f>IF(AND($I20&lt;=AI$6+6,$J20&gt;=AI$6),IF($R$4=1,"█",IF($R$4=2,$G20,$G20*2)),"")</f>
        <v/>
      </c>
      <c r="AJ20" s="11">
        <f>IF(AND($I20&lt;=AJ$6+6,$J20&gt;=AJ$6),IF($R$4=1,"█",IF($R$4=2,$G20,$G20*2)),"")</f>
        <v/>
      </c>
      <c r="AK20" s="11">
        <f>IF(AND($I20&lt;=AK$6+6,$J20&gt;=AK$6),IF($R$4=1,"█",IF($R$4=2,$G20,$G20*2)),"")</f>
        <v/>
      </c>
      <c r="AL20" s="11">
        <f>IF(AND($I20&lt;=AL$6+6,$J20&gt;=AL$6),IF($R$4=1,"█",IF($R$4=2,$G20,$G20*2)),"")</f>
        <v/>
      </c>
      <c r="AM20" s="11">
        <f>IF(AND($I20&lt;=AM$6+6,$J20&gt;=AM$6),IF($R$4=1,"█",IF($R$4=2,$G20,$G20*2)),"")</f>
        <v/>
      </c>
      <c r="AN20" s="11">
        <f>IF(AND($I20&lt;=AN$6+6,$J20&gt;=AN$6),IF($R$4=1,"█",IF($R$4=2,$G20,$G20*2)),"")</f>
        <v/>
      </c>
      <c r="AO20" s="11">
        <f>IF(AND($I20&lt;=AO$6+6,$J20&gt;=AO$6),IF($R$4=1,"█",IF($R$4=2,$G20,$G20*2)),"")</f>
        <v/>
      </c>
      <c r="AP20" s="11">
        <f>IF(AND($I20&lt;=AP$6+6,$J20&gt;=AP$6),IF($R$4=1,"█",IF($R$4=2,$G20,$G20*2)),"")</f>
        <v/>
      </c>
      <c r="AQ20" s="11">
        <f>IF(AND($I20&lt;=AQ$6+6,$J20&gt;=AQ$6),IF($R$4=1,"█",IF($R$4=2,$G20,$G20*2)),"")</f>
        <v/>
      </c>
      <c r="AR20" s="11">
        <f>IF(AND($I20&lt;=AR$6+6,$J20&gt;=AR$6),IF($R$4=1,"█",IF($R$4=2,$G20,$G20*2)),"")</f>
        <v/>
      </c>
      <c r="AS20" s="11">
        <f>IF(AND($I20&lt;=AS$6+6,$J20&gt;=AS$6),IF($R$4=1,"█",IF($R$4=2,$G20,$G20*2)),"")</f>
        <v/>
      </c>
      <c r="AT20" s="11">
        <f>IF(AND($I20&lt;=AT$6+6,$J20&gt;=AT$6),IF($R$4=1,"█",IF($R$4=2,$G20,$G20*2)),"")</f>
        <v/>
      </c>
      <c r="AU20" s="11">
        <f>IF(AND($I20&lt;=AU$6+6,$J20&gt;=AU$6),IF($R$4=1,"█",IF($R$4=2,$G20,$G20*2)),"")</f>
        <v/>
      </c>
      <c r="AV20" s="11">
        <f>IF(AND($I20&lt;=AV$6+6,$J20&gt;=AV$6),IF($R$4=1,"█",IF($R$4=2,$G20,$G20*2)),"")</f>
        <v/>
      </c>
      <c r="AW20" s="11">
        <f>IF(AND($I20&lt;=AW$6+6,$J20&gt;=AW$6),IF($R$4=1,"█",IF($R$4=2,$G20,$G20*2)),"")</f>
        <v/>
      </c>
      <c r="AX20" s="11">
        <f>IF(AND($I20&lt;=AX$6+6,$J20&gt;=AX$6),IF($R$4=1,"█",IF($R$4=2,$G20,$G20*2)),"")</f>
        <v/>
      </c>
      <c r="AY20" s="11">
        <f>IF(AND($I20&lt;=AY$6+6,$J20&gt;=AY$6),IF($R$4=1,"█",IF($R$4=2,$G20,$G20*2)),"")</f>
        <v/>
      </c>
      <c r="AZ20" s="11">
        <f>IF(AND($I20&lt;=AZ$6+6,$J20&gt;=AZ$6),IF($R$4=1,"█",IF($R$4=2,$G20,$G20*2)),"")</f>
        <v/>
      </c>
      <c r="BA20" s="11">
        <f>IF(AND($I20&lt;=BA$6+6,$J20&gt;=BA$6),IF($R$4=1,"█",IF($R$4=2,$G20,$G20*2)),"")</f>
        <v/>
      </c>
      <c r="BB20" s="11">
        <f>IF(AND($I20&lt;=BB$6+6,$J20&gt;=BB$6),IF($R$4=1,"█",IF($R$4=2,$G20,$G20*2)),"")</f>
        <v/>
      </c>
      <c r="BC20" s="11">
        <f>IF(AND($I20&lt;=BC$6+6,$J20&gt;=BC$6),IF($R$4=1,"█",IF($R$4=2,$G20,$G20*2)),"")</f>
        <v/>
      </c>
      <c r="BD20" s="11">
        <f>IF(AND($I20&lt;=BD$6+6,$J20&gt;=BD$6),IF($R$4=1,"█",IF($R$4=2,$G20,$G20*2)),"")</f>
        <v/>
      </c>
      <c r="BF20" s="8">
        <f>BG22-1-0</f>
        <v/>
      </c>
      <c r="BG20" s="8">
        <f>BF20-H20+1</f>
        <v/>
      </c>
      <c r="BH20">
        <f>BG20-I20</f>
        <v/>
      </c>
    </row>
    <row r="21">
      <c r="A21" t="inlineStr">
        <is>
          <t>5</t>
        </is>
      </c>
      <c r="B21" s="4" t="inlineStr">
        <is>
          <t>NGHIỆM THU</t>
        </is>
      </c>
    </row>
    <row r="22">
      <c r="A22" t="inlineStr">
        <is>
          <t>5.1</t>
        </is>
      </c>
      <c r="B22" t="inlineStr">
        <is>
          <t>Nghiệm thu KCS, hoàn công</t>
        </is>
      </c>
      <c r="C22" t="n">
        <v>1</v>
      </c>
      <c r="D22" t="inlineStr">
        <is>
          <t>hồ sơ</t>
        </is>
      </c>
      <c r="E22" t="n">
        <v>2</v>
      </c>
      <c r="F22">
        <f>C22*E22</f>
        <v/>
      </c>
      <c r="G22" t="n">
        <v>1</v>
      </c>
      <c r="H22">
        <f>MAX(1,ROUNDUP(F22/G22,0))</f>
        <v/>
      </c>
      <c r="I22" s="8">
        <f>J20+1+0</f>
        <v/>
      </c>
      <c r="J22" s="8">
        <f>I22+H22-1</f>
        <v/>
      </c>
      <c r="K22" t="inlineStr">
        <is>
          <t>4.2FS</t>
        </is>
      </c>
      <c r="L22">
        <f>IF(BH22=0,"YES","NO")</f>
        <v/>
      </c>
      <c r="M22" s="11">
        <f>IF(AND($I22&lt;=M$6+6,$J22&gt;=M$6),IF($R$4=1,"█",IF($R$4=2,$G22,$G22*2)),"")</f>
        <v/>
      </c>
      <c r="N22" s="11">
        <f>IF(AND($I22&lt;=N$6+6,$J22&gt;=N$6),IF($R$4=1,"█",IF($R$4=2,$G22,$G22*2)),"")</f>
        <v/>
      </c>
      <c r="O22" s="11">
        <f>IF(AND($I22&lt;=O$6+6,$J22&gt;=O$6),IF($R$4=1,"█",IF($R$4=2,$G22,$G22*2)),"")</f>
        <v/>
      </c>
      <c r="P22" s="11">
        <f>IF(AND($I22&lt;=P$6+6,$J22&gt;=P$6),IF($R$4=1,"█",IF($R$4=2,$G22,$G22*2)),"")</f>
        <v/>
      </c>
      <c r="Q22" s="11">
        <f>IF(AND($I22&lt;=Q$6+6,$J22&gt;=Q$6),IF($R$4=1,"█",IF($R$4=2,$G22,$G22*2)),"")</f>
        <v/>
      </c>
      <c r="R22" s="11">
        <f>IF(AND($I22&lt;=R$6+6,$J22&gt;=R$6),IF($R$4=1,"█",IF($R$4=2,$G22,$G22*2)),"")</f>
        <v/>
      </c>
      <c r="S22" s="11">
        <f>IF(AND($I22&lt;=S$6+6,$J22&gt;=S$6),IF($R$4=1,"█",IF($R$4=2,$G22,$G22*2)),"")</f>
        <v/>
      </c>
      <c r="T22" s="11">
        <f>IF(AND($I22&lt;=T$6+6,$J22&gt;=T$6),IF($R$4=1,"█",IF($R$4=2,$G22,$G22*2)),"")</f>
        <v/>
      </c>
      <c r="U22" s="11">
        <f>IF(AND($I22&lt;=U$6+6,$J22&gt;=U$6),IF($R$4=1,"█",IF($R$4=2,$G22,$G22*2)),"")</f>
        <v/>
      </c>
      <c r="V22" s="11">
        <f>IF(AND($I22&lt;=V$6+6,$J22&gt;=V$6),IF($R$4=1,"█",IF($R$4=2,$G22,$G22*2)),"")</f>
        <v/>
      </c>
      <c r="W22" s="11">
        <f>IF(AND($I22&lt;=W$6+6,$J22&gt;=W$6),IF($R$4=1,"█",IF($R$4=2,$G22,$G22*2)),"")</f>
        <v/>
      </c>
      <c r="X22" s="11">
        <f>IF(AND($I22&lt;=X$6+6,$J22&gt;=X$6),IF($R$4=1,"█",IF($R$4=2,$G22,$G22*2)),"")</f>
        <v/>
      </c>
      <c r="Y22" s="11">
        <f>IF(AND($I22&lt;=Y$6+6,$J22&gt;=Y$6),IF($R$4=1,"█",IF($R$4=2,$G22,$G22*2)),"")</f>
        <v/>
      </c>
      <c r="Z22" s="11">
        <f>IF(AND($I22&lt;=Z$6+6,$J22&gt;=Z$6),IF($R$4=1,"█",IF($R$4=2,$G22,$G22*2)),"")</f>
        <v/>
      </c>
      <c r="AA22" s="11">
        <f>IF(AND($I22&lt;=AA$6+6,$J22&gt;=AA$6),IF($R$4=1,"█",IF($R$4=2,$G22,$G22*2)),"")</f>
        <v/>
      </c>
      <c r="AB22" s="11">
        <f>IF(AND($I22&lt;=AB$6+6,$J22&gt;=AB$6),IF($R$4=1,"█",IF($R$4=2,$G22,$G22*2)),"")</f>
        <v/>
      </c>
      <c r="AC22" s="11">
        <f>IF(AND($I22&lt;=AC$6+6,$J22&gt;=AC$6),IF($R$4=1,"█",IF($R$4=2,$G22,$G22*2)),"")</f>
        <v/>
      </c>
      <c r="AD22" s="11">
        <f>IF(AND($I22&lt;=AD$6+6,$J22&gt;=AD$6),IF($R$4=1,"█",IF($R$4=2,$G22,$G22*2)),"")</f>
        <v/>
      </c>
      <c r="AE22" s="11">
        <f>IF(AND($I22&lt;=AE$6+6,$J22&gt;=AE$6),IF($R$4=1,"█",IF($R$4=2,$G22,$G22*2)),"")</f>
        <v/>
      </c>
      <c r="AF22" s="11">
        <f>IF(AND($I22&lt;=AF$6+6,$J22&gt;=AF$6),IF($R$4=1,"█",IF($R$4=2,$G22,$G22*2)),"")</f>
        <v/>
      </c>
      <c r="AG22" s="11">
        <f>IF(AND($I22&lt;=AG$6+6,$J22&gt;=AG$6),IF($R$4=1,"█",IF($R$4=2,$G22,$G22*2)),"")</f>
        <v/>
      </c>
      <c r="AH22" s="11">
        <f>IF(AND($I22&lt;=AH$6+6,$J22&gt;=AH$6),IF($R$4=1,"█",IF($R$4=2,$G22,$G22*2)),"")</f>
        <v/>
      </c>
      <c r="AI22" s="11">
        <f>IF(AND($I22&lt;=AI$6+6,$J22&gt;=AI$6),IF($R$4=1,"█",IF($R$4=2,$G22,$G22*2)),"")</f>
        <v/>
      </c>
      <c r="AJ22" s="11">
        <f>IF(AND($I22&lt;=AJ$6+6,$J22&gt;=AJ$6),IF($R$4=1,"█",IF($R$4=2,$G22,$G22*2)),"")</f>
        <v/>
      </c>
      <c r="AK22" s="11">
        <f>IF(AND($I22&lt;=AK$6+6,$J22&gt;=AK$6),IF($R$4=1,"█",IF($R$4=2,$G22,$G22*2)),"")</f>
        <v/>
      </c>
      <c r="AL22" s="11">
        <f>IF(AND($I22&lt;=AL$6+6,$J22&gt;=AL$6),IF($R$4=1,"█",IF($R$4=2,$G22,$G22*2)),"")</f>
        <v/>
      </c>
      <c r="AM22" s="11">
        <f>IF(AND($I22&lt;=AM$6+6,$J22&gt;=AM$6),IF($R$4=1,"█",IF($R$4=2,$G22,$G22*2)),"")</f>
        <v/>
      </c>
      <c r="AN22" s="11">
        <f>IF(AND($I22&lt;=AN$6+6,$J22&gt;=AN$6),IF($R$4=1,"█",IF($R$4=2,$G22,$G22*2)),"")</f>
        <v/>
      </c>
      <c r="AO22" s="11">
        <f>IF(AND($I22&lt;=AO$6+6,$J22&gt;=AO$6),IF($R$4=1,"█",IF($R$4=2,$G22,$G22*2)),"")</f>
        <v/>
      </c>
      <c r="AP22" s="11">
        <f>IF(AND($I22&lt;=AP$6+6,$J22&gt;=AP$6),IF($R$4=1,"█",IF($R$4=2,$G22,$G22*2)),"")</f>
        <v/>
      </c>
      <c r="AQ22" s="11">
        <f>IF(AND($I22&lt;=AQ$6+6,$J22&gt;=AQ$6),IF($R$4=1,"█",IF($R$4=2,$G22,$G22*2)),"")</f>
        <v/>
      </c>
      <c r="AR22" s="11">
        <f>IF(AND($I22&lt;=AR$6+6,$J22&gt;=AR$6),IF($R$4=1,"█",IF($R$4=2,$G22,$G22*2)),"")</f>
        <v/>
      </c>
      <c r="AS22" s="11">
        <f>IF(AND($I22&lt;=AS$6+6,$J22&gt;=AS$6),IF($R$4=1,"█",IF($R$4=2,$G22,$G22*2)),"")</f>
        <v/>
      </c>
      <c r="AT22" s="11">
        <f>IF(AND($I22&lt;=AT$6+6,$J22&gt;=AT$6),IF($R$4=1,"█",IF($R$4=2,$G22,$G22*2)),"")</f>
        <v/>
      </c>
      <c r="AU22" s="11">
        <f>IF(AND($I22&lt;=AU$6+6,$J22&gt;=AU$6),IF($R$4=1,"█",IF($R$4=2,$G22,$G22*2)),"")</f>
        <v/>
      </c>
      <c r="AV22" s="11">
        <f>IF(AND($I22&lt;=AV$6+6,$J22&gt;=AV$6),IF($R$4=1,"█",IF($R$4=2,$G22,$G22*2)),"")</f>
        <v/>
      </c>
      <c r="AW22" s="11">
        <f>IF(AND($I22&lt;=AW$6+6,$J22&gt;=AW$6),IF($R$4=1,"█",IF($R$4=2,$G22,$G22*2)),"")</f>
        <v/>
      </c>
      <c r="AX22" s="11">
        <f>IF(AND($I22&lt;=AX$6+6,$J22&gt;=AX$6),IF($R$4=1,"█",IF($R$4=2,$G22,$G22*2)),"")</f>
        <v/>
      </c>
      <c r="AY22" s="11">
        <f>IF(AND($I22&lt;=AY$6+6,$J22&gt;=AY$6),IF($R$4=1,"█",IF($R$4=2,$G22,$G22*2)),"")</f>
        <v/>
      </c>
      <c r="AZ22" s="11">
        <f>IF(AND($I22&lt;=AZ$6+6,$J22&gt;=AZ$6),IF($R$4=1,"█",IF($R$4=2,$G22,$G22*2)),"")</f>
        <v/>
      </c>
      <c r="BA22" s="11">
        <f>IF(AND($I22&lt;=BA$6+6,$J22&gt;=BA$6),IF($R$4=1,"█",IF($R$4=2,$G22,$G22*2)),"")</f>
        <v/>
      </c>
      <c r="BB22" s="11">
        <f>IF(AND($I22&lt;=BB$6+6,$J22&gt;=BB$6),IF($R$4=1,"█",IF($R$4=2,$G22,$G22*2)),"")</f>
        <v/>
      </c>
      <c r="BC22" s="11">
        <f>IF(AND($I22&lt;=BC$6+6,$J22&gt;=BC$6),IF($R$4=1,"█",IF($R$4=2,$G22,$G22*2)),"")</f>
        <v/>
      </c>
      <c r="BD22" s="11">
        <f>IF(AND($I22&lt;=BD$6+6,$J22&gt;=BD$6),IF($R$4=1,"█",IF($R$4=2,$G22,$G22*2)),"")</f>
        <v/>
      </c>
      <c r="BF22" s="8">
        <f>MAX($J$8:$J$22)</f>
        <v/>
      </c>
      <c r="BG22" s="8">
        <f>BF22-H22+1</f>
        <v/>
      </c>
      <c r="BH22">
        <f>BG22-I22</f>
        <v/>
      </c>
    </row>
  </sheetData>
  <conditionalFormatting sqref="M8:BD22">
    <cfRule type="expression" priority="1" dxfId="0">
      <formula>AND(M8&lt;&gt;"",$L8="YES")</formula>
    </cfRule>
    <cfRule type="expression" priority="2" dxfId="1">
      <formula>AND(M8&lt;&gt;"",$L8="NO")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DANH MỤC NGHIỆM THU KCS — CỐNG HỘP A5 (ngày lấy từ tiến độ)</t>
        </is>
      </c>
    </row>
    <row r="2"/>
    <row r="3"/>
    <row r="4"/>
    <row r="5">
      <c r="A5" s="2" t="inlineStr">
        <is>
          <t>STT</t>
        </is>
      </c>
      <c r="B5" s="2" t="inlineStr">
        <is>
          <t>Công việc nghiệm thu</t>
        </is>
      </c>
      <c r="C5" s="2" t="inlineStr">
        <is>
          <t>Biên bản</t>
        </is>
      </c>
      <c r="D5" s="2" t="inlineStr">
        <is>
          <t>Trạng thái</t>
        </is>
      </c>
      <c r="E5" s="2" t="inlineStr">
        <is>
          <t>Ngày bắt đầu</t>
        </is>
      </c>
      <c r="F5" s="2" t="inlineStr">
        <is>
          <t>Ngày kết thúc</t>
        </is>
      </c>
    </row>
    <row r="6">
      <c r="A6" t="n">
        <v>1</v>
      </c>
      <c r="B6" t="inlineStr">
        <is>
          <t>Nghiệm thu nền móng, đệm cát</t>
        </is>
      </c>
      <c r="C6" t="inlineStr">
        <is>
          <t>BB-01</t>
        </is>
      </c>
      <c r="D6" t="inlineStr">
        <is>
          <t>Chờ lập biên bản</t>
        </is>
      </c>
      <c r="E6" s="8">
        <f>TIEN_DO_THI_CONG_WBS!I11</f>
        <v/>
      </c>
      <c r="F6" s="8">
        <f>TIEN_DO_THI_CONG_WBS!J11</f>
        <v/>
      </c>
    </row>
    <row r="7">
      <c r="A7" t="n">
        <v>2</v>
      </c>
      <c r="B7" t="inlineStr">
        <is>
          <t>Nghiệm thu BT lót</t>
        </is>
      </c>
      <c r="C7" t="inlineStr">
        <is>
          <t>BB-02</t>
        </is>
      </c>
      <c r="D7" t="inlineStr">
        <is>
          <t>Chờ lập biên bản</t>
        </is>
      </c>
      <c r="E7" s="8">
        <f>TIEN_DO_THI_CONG_WBS!I12</f>
        <v/>
      </c>
      <c r="F7" s="8">
        <f>TIEN_DO_THI_CONG_WBS!J12</f>
        <v/>
      </c>
    </row>
    <row r="8">
      <c r="A8" t="n">
        <v>3</v>
      </c>
      <c r="B8" t="inlineStr">
        <is>
          <t>Nghiệm thu cốt thép</t>
        </is>
      </c>
      <c r="C8" t="inlineStr">
        <is>
          <t>BB-03</t>
        </is>
      </c>
      <c r="D8" t="inlineStr">
        <is>
          <t>Chờ lập biên bản</t>
        </is>
      </c>
      <c r="E8" s="8">
        <f>TIEN_DO_THI_CONG_WBS!I14</f>
        <v/>
      </c>
      <c r="F8" s="8">
        <f>TIEN_DO_THI_CONG_WBS!J14</f>
        <v/>
      </c>
    </row>
    <row r="9">
      <c r="A9" t="n">
        <v>4</v>
      </c>
      <c r="B9" t="inlineStr">
        <is>
          <t>Nghiệm thu ván khuôn</t>
        </is>
      </c>
      <c r="C9" t="inlineStr">
        <is>
          <t>BB-04</t>
        </is>
      </c>
      <c r="D9" t="inlineStr">
        <is>
          <t>Chờ lập biên bản</t>
        </is>
      </c>
      <c r="E9" s="8">
        <f>TIEN_DO_THI_CONG_WBS!I15</f>
        <v/>
      </c>
      <c r="F9" s="8">
        <f>TIEN_DO_THI_CONG_WBS!J15</f>
        <v/>
      </c>
    </row>
    <row r="10">
      <c r="A10" t="n">
        <v>5</v>
      </c>
      <c r="B10" t="inlineStr">
        <is>
          <t>Nghiệm thu đổ bê tông thân cống</t>
        </is>
      </c>
      <c r="C10" t="inlineStr">
        <is>
          <t>BB-05</t>
        </is>
      </c>
      <c r="D10" t="inlineStr">
        <is>
          <t>Chờ lập biên bản</t>
        </is>
      </c>
      <c r="E10" s="8">
        <f>TIEN_DO_THI_CONG_WBS!I16</f>
        <v/>
      </c>
      <c r="F10" s="8">
        <f>TIEN_DO_THI_CONG_WBS!J16</f>
        <v/>
      </c>
    </row>
    <row r="11">
      <c r="A11" t="n">
        <v>6</v>
      </c>
      <c r="B11" t="inlineStr">
        <is>
          <t>Nghiệm thu khe co giãn</t>
        </is>
      </c>
      <c r="C11" t="inlineStr">
        <is>
          <t>BB-06</t>
        </is>
      </c>
      <c r="D11" t="inlineStr">
        <is>
          <t>Chờ lập biên bản</t>
        </is>
      </c>
      <c r="E11" s="8">
        <f>TIEN_DO_THI_CONG_WBS!I19</f>
        <v/>
      </c>
      <c r="F11" s="8">
        <f>TIEN_DO_THI_CONG_WBS!J19</f>
        <v/>
      </c>
    </row>
    <row r="12">
      <c r="A12" t="n">
        <v>7</v>
      </c>
      <c r="B12" t="inlineStr">
        <is>
          <t>Nghiệm thu hoàn thành hạng mục</t>
        </is>
      </c>
      <c r="C12" t="inlineStr">
        <is>
          <t>BB-07</t>
        </is>
      </c>
      <c r="D12" t="inlineStr">
        <is>
          <t>Chờ lập biên bản</t>
        </is>
      </c>
      <c r="E12" s="8">
        <f>TIEN_DO_THI_CONG_WBS!I22</f>
        <v/>
      </c>
      <c r="F12" s="8">
        <f>TIEN_DO_THI_CONG_WBS!J22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2026-10-03T09:10:37Z</dcterms:created>
  <dcterms:modified xmlns:dcterms="http://purl.org/dc/terms/" xmlns:xsi="http://www.w3.org/2001/XMLSchema-instance" xsi:type="dcterms:W3CDTF">2026-10-03T09:10:37Z</dcterms:modified>
</cp:coreProperties>
</file>