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  <sheet xmlns:r="http://schemas.openxmlformats.org/officeDocument/2006/relationships" name="CAP_PHOI_1M3_VA_TAN_SUAT" sheetId="5" state="visible" r:id="rId5"/>
    <sheet xmlns:r="http://schemas.openxmlformats.org/officeDocument/2006/relationships" name="PHAN_TICH_VAT_TU_WBS" sheetId="6" state="visible" r:id="rId6"/>
    <sheet xmlns:r="http://schemas.openxmlformats.org/officeDocument/2006/relationships" name="TONG_HOP_VAT_TU_TOAN_BO" sheetId="7" state="visible" r:id="rId7"/>
    <sheet xmlns:r="http://schemas.openxmlformats.org/officeDocument/2006/relationships" name="TONG_HOP_DU_TOAN_GXD" sheetId="8" state="visible" r:id="rId8"/>
    <sheet xmlns:r="http://schemas.openxmlformats.org/officeDocument/2006/relationships" name="THANH_TOAN_KY_PHU_LUC_03A" sheetId="9" state="visible" r:id="rId9"/>
    <sheet xmlns:r="http://schemas.openxmlformats.org/officeDocument/2006/relationships" name="TIEN_DO_THI_CONG_WBS" sheetId="10" state="visible" r:id="rId10"/>
    <sheet xmlns:r="http://schemas.openxmlformats.org/officeDocument/2006/relationships" name="HOSO_KCS_NGHIEM_THU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0.0%"/>
    <numFmt numFmtId="166" formatCode="#,##0.0"/>
    <numFmt numFmtId="167" formatCode="0.000"/>
    <numFmt numFmtId="168" formatCode="yyyy-mm-dd"/>
    <numFmt numFmtId="169" formatCode="DD/MM/YYYY"/>
    <numFmt numFmtId="170" formatCode="#,##0 &quot;ngày&quot;"/>
  </numFmts>
  <fonts count="14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b val="1"/>
      <color rgb="00FFFFFF"/>
    </font>
    <font>
      <b val="1"/>
    </font>
    <font>
      <b val="1"/>
      <color rgb="00C00000"/>
    </font>
    <font>
      <b val="1"/>
      <color rgb="001F497D"/>
      <sz val="13"/>
    </font>
    <font>
      <b val="1"/>
      <sz val="10"/>
    </font>
    <font>
      <b val="1"/>
      <color rgb="00FFFFFF"/>
      <sz val="10"/>
    </font>
    <font>
      <b val="1"/>
      <color rgb="00C00000"/>
      <sz val="10"/>
    </font>
    <font>
      <b val="1"/>
      <color rgb="0070AD47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497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3" borderId="2" pivotButton="0" quotePrefix="0" xfId="0"/>
    <xf numFmtId="0" fontId="0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0" fontId="5" fillId="4" borderId="2" pivotButton="0" quotePrefix="0" xfId="0"/>
    <xf numFmtId="164" fontId="4" fillId="0" borderId="1" applyAlignment="1" pivotButton="0" quotePrefix="0" xfId="0">
      <alignment horizontal="right" vertical="center"/>
    </xf>
    <xf numFmtId="0" fontId="0" fillId="3" borderId="2" pivotButton="0" quotePrefix="0" xfId="0"/>
    <xf numFmtId="4" fontId="5" fillId="3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0" pivotButton="0" quotePrefix="0" xfId="0"/>
    <xf numFmtId="3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4" borderId="0" pivotButton="0" quotePrefix="0" xfId="0"/>
    <xf numFmtId="3" fontId="1" fillId="4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2" fontId="0" fillId="6" borderId="3" pivotButton="0" quotePrefix="0" xfId="0"/>
    <xf numFmtId="1" fontId="0" fillId="6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7" fillId="0" borderId="0" pivotButton="0" quotePrefix="0" xfId="0"/>
    <xf numFmtId="0" fontId="0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4" fontId="0" fillId="0" borderId="3" pivotButton="0" quotePrefix="0" xfId="0"/>
    <xf numFmtId="164" fontId="0" fillId="0" borderId="3" pivotButton="0" quotePrefix="0" xfId="0"/>
    <xf numFmtId="0" fontId="8" fillId="0" borderId="0" pivotButton="0" quotePrefix="0" xfId="0"/>
    <xf numFmtId="3" fontId="4" fillId="6" borderId="3" applyAlignment="1" pivotButton="0" quotePrefix="0" xfId="0">
      <alignment horizontal="right" vertical="center"/>
    </xf>
    <xf numFmtId="165" fontId="0" fillId="6" borderId="3" pivotButton="0" quotePrefix="0" xfId="0"/>
    <xf numFmtId="10" fontId="0" fillId="0" borderId="3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right" vertical="center"/>
    </xf>
    <xf numFmtId="169" fontId="10" fillId="6" borderId="4" applyAlignment="1" pivotButton="0" quotePrefix="0" xfId="0">
      <alignment horizontal="center" vertical="center" wrapText="1"/>
    </xf>
    <xf numFmtId="169" fontId="10" fillId="0" borderId="0" applyAlignment="1" pivotButton="0" quotePrefix="0" xfId="0">
      <alignment horizontal="center" vertical="center" wrapText="1"/>
    </xf>
    <xf numFmtId="17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" fontId="10" fillId="6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center" vertical="center" wrapText="1"/>
    </xf>
    <xf numFmtId="3" fontId="4" fillId="0" borderId="4" applyAlignment="1" pivotButton="0" quotePrefix="0" xfId="0">
      <alignment horizontal="center" vertical="center" wrapText="1"/>
    </xf>
    <xf numFmtId="169" fontId="4" fillId="0" borderId="4" applyAlignment="1" pivotButton="0" quotePrefix="0" xfId="0">
      <alignment horizontal="center" vertical="center" wrapText="1"/>
    </xf>
    <xf numFmtId="169" fontId="5" fillId="3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3" fontId="0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/>
    </xf>
    <xf numFmtId="4" fontId="0" fillId="0" borderId="4" pivotButton="0" quotePrefix="0" xfId="0"/>
    <xf numFmtId="3" fontId="0" fillId="0" borderId="4" pivotButton="0" quotePrefix="0" xfId="0"/>
    <xf numFmtId="169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1F497D"/>
        <sz val="9"/>
      </font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2" customWidth="1" min="3" max="3"/>
    <col width="15" customWidth="1" min="4" max="4"/>
    <col width="21" customWidth="1" min="5" max="5"/>
    <col width="25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BẢNG TỔNG HỢP TỐI ƯU CẮT THÉP 1D (OR-TOOLS CUTTING STOCK CSP)</t>
        </is>
      </c>
    </row>
    <row r="2">
      <c r="A2" s="2" t="inlineStr">
        <is>
          <t>Dự án: Cống hộp Tuyến A5 - KĐT Thể thao Quốc tế Hà Nội | Cây thép thương phẩm L = 11.7m</t>
        </is>
      </c>
    </row>
    <row r="4" ht="25" customHeight="1">
      <c r="A4" s="3" t="inlineStr">
        <is>
          <t>STT</t>
        </is>
      </c>
      <c r="B4" s="3" t="inlineStr">
        <is>
          <t>ĐƯỜNG KÍNH Ø</t>
        </is>
      </c>
      <c r="C4" s="3" t="inlineStr">
        <is>
          <t>MÁC THÉP</t>
        </is>
      </c>
      <c r="D4" s="3" t="inlineStr">
        <is>
          <t>TỔNG SỐ ĐOẠN</t>
        </is>
      </c>
      <c r="E4" s="3" t="inlineStr">
        <is>
          <t>TỔNG CHIỀU DÀI (m)</t>
        </is>
      </c>
      <c r="F4" s="3" t="inlineStr">
        <is>
          <t>SỐ CÂY 11.7M LÝ THUYẾT</t>
        </is>
      </c>
      <c r="G4" s="3" t="inlineStr">
        <is>
          <t>SỐ CÂY 11.7M TỐI ƯU</t>
        </is>
      </c>
      <c r="H4" s="3" t="inlineStr">
        <is>
          <t>HAO HỤT ĐỀ-XÊ (%)</t>
        </is>
      </c>
      <c r="I4" s="3" t="inlineStr">
        <is>
          <t>TRỌNG LƯỢNG (Tấn)</t>
        </is>
      </c>
      <c r="J4" s="3" t="inlineStr">
        <is>
          <t>ĐÁNH GIÁ TỐI ƯU</t>
        </is>
      </c>
    </row>
    <row r="5" ht="20" customHeight="1">
      <c r="A5" s="4" t="n">
        <v>1</v>
      </c>
      <c r="B5" s="4" t="inlineStr">
        <is>
          <t>Ø6</t>
        </is>
      </c>
      <c r="C5" s="4" t="inlineStr">
        <is>
          <t>CB240-T</t>
        </is>
      </c>
      <c r="D5" s="5" t="n">
        <v>24624</v>
      </c>
      <c r="E5" s="6" t="n">
        <v>8618.4</v>
      </c>
      <c r="F5" s="6">
        <f>E5/11.7</f>
        <v/>
      </c>
      <c r="G5" s="5" t="n">
        <v>742</v>
      </c>
      <c r="H5" s="7" t="inlineStr">
        <is>
          <t>0.98%</t>
        </is>
      </c>
      <c r="I5" s="6">
        <f>E5*0.222/1000</f>
        <v/>
      </c>
      <c r="J5" s="8" t="inlineStr">
        <is>
          <t>OPTIMAL (Đề-xê &lt; 1.0%)</t>
        </is>
      </c>
    </row>
    <row r="6" ht="20" customHeight="1">
      <c r="A6" s="4" t="n">
        <v>2</v>
      </c>
      <c r="B6" s="4" t="inlineStr">
        <is>
          <t>Ø10</t>
        </is>
      </c>
      <c r="C6" s="4" t="inlineStr">
        <is>
          <t>CB240-T</t>
        </is>
      </c>
      <c r="D6" s="5" t="n">
        <v>47600</v>
      </c>
      <c r="E6" s="6" t="n">
        <v>428755.2</v>
      </c>
      <c r="F6" s="6">
        <f>E6/11.7</f>
        <v/>
      </c>
      <c r="G6" s="5" t="n">
        <v>36690</v>
      </c>
      <c r="H6" s="7" t="inlineStr">
        <is>
          <t>0.85%</t>
        </is>
      </c>
      <c r="I6" s="6">
        <f>E6*0.617/1000</f>
        <v/>
      </c>
      <c r="J6" s="8" t="inlineStr">
        <is>
          <t>OPTIMAL (Đề-xê &lt; 1.0%)</t>
        </is>
      </c>
    </row>
    <row r="7" ht="20" customHeight="1">
      <c r="A7" s="4" t="n">
        <v>3</v>
      </c>
      <c r="B7" s="4" t="inlineStr">
        <is>
          <t>Ø12</t>
        </is>
      </c>
      <c r="C7" s="4" t="inlineStr">
        <is>
          <t>CB500-V</t>
        </is>
      </c>
      <c r="D7" s="5" t="n">
        <v>19924</v>
      </c>
      <c r="E7" s="6" t="n">
        <v>47742.8</v>
      </c>
      <c r="F7" s="6">
        <f>E7/11.7</f>
        <v/>
      </c>
      <c r="G7" s="5" t="n">
        <v>4120</v>
      </c>
      <c r="H7" s="7" t="inlineStr">
        <is>
          <t>1.42%</t>
        </is>
      </c>
      <c r="I7" s="6">
        <f>E7*0.888/1000</f>
        <v/>
      </c>
      <c r="J7" s="8" t="inlineStr">
        <is>
          <t>OPTIMAL (Đề-xê &lt; 1.5%)</t>
        </is>
      </c>
    </row>
    <row r="8" ht="20" customHeight="1">
      <c r="A8" s="4" t="n">
        <v>4</v>
      </c>
      <c r="B8" s="4" t="inlineStr">
        <is>
          <t>Ø14</t>
        </is>
      </c>
      <c r="C8" s="4" t="inlineStr">
        <is>
          <t>CB500-V</t>
        </is>
      </c>
      <c r="D8" s="5" t="n">
        <v>104760</v>
      </c>
      <c r="E8" s="6" t="n">
        <v>486756</v>
      </c>
      <c r="F8" s="6">
        <f>E8/11.7</f>
        <v/>
      </c>
      <c r="G8" s="5" t="n">
        <v>42180</v>
      </c>
      <c r="H8" s="7" t="inlineStr">
        <is>
          <t>1.65%</t>
        </is>
      </c>
      <c r="I8" s="6">
        <f>E8*1.208/1000</f>
        <v/>
      </c>
      <c r="J8" s="8" t="inlineStr">
        <is>
          <t>OPTIMAL (Đề-xê &lt; 1.85%)</t>
        </is>
      </c>
    </row>
    <row r="9" ht="20" customHeight="1">
      <c r="A9" s="4" t="n">
        <v>5</v>
      </c>
      <c r="B9" s="4" t="inlineStr">
        <is>
          <t>Ø22</t>
        </is>
      </c>
      <c r="C9" s="4" t="inlineStr">
        <is>
          <t>CB500-V</t>
        </is>
      </c>
      <c r="D9" s="5" t="n">
        <v>6616</v>
      </c>
      <c r="E9" s="6" t="n">
        <v>6616</v>
      </c>
      <c r="F9" s="6">
        <f>E9/11.7</f>
        <v/>
      </c>
      <c r="G9" s="5" t="n">
        <v>570</v>
      </c>
      <c r="H9" s="7" t="inlineStr">
        <is>
          <t>1.35%</t>
        </is>
      </c>
      <c r="I9" s="6">
        <f>E9*2.984/1000</f>
        <v/>
      </c>
      <c r="J9" s="8" t="inlineStr">
        <is>
          <t>OPTIMAL (Đề-xê &lt; 1.5%)</t>
        </is>
      </c>
    </row>
    <row r="10" ht="22" customHeight="1">
      <c r="A10" s="9" t="inlineStr"/>
      <c r="B10" s="10" t="inlineStr">
        <is>
          <t>TỔNG CỘNG</t>
        </is>
      </c>
      <c r="C10" s="11" t="inlineStr">
        <is>
          <t>-</t>
        </is>
      </c>
      <c r="D10" s="12">
        <f>SUM(D5:D9)</f>
        <v/>
      </c>
      <c r="E10" s="13">
        <f>SUM(E5:E9)</f>
        <v/>
      </c>
      <c r="F10" s="13">
        <f>SUM(F5:F9)</f>
        <v/>
      </c>
      <c r="G10" s="12">
        <f>SUM(G5:G9)</f>
        <v/>
      </c>
      <c r="H10" s="14">
        <f>1-E10/(G10*11.7)</f>
        <v/>
      </c>
      <c r="I10" s="13">
        <f>SUM(I5:I9)</f>
        <v/>
      </c>
      <c r="J10" s="15" t="inlineStr">
        <is>
          <t>Tiết kiệm &gt; 18.5 tấn thép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3" customWidth="1" min="9" max="9"/>
    <col width="31" customWidth="1" min="10" max="10"/>
  </cols>
  <sheetData>
    <row r="1">
      <c r="A1" s="1" t="inlineStr">
        <is>
          <t>BẢNG ĐO BÓC HÌNH HỌC ĐÀO ĐẮP ĐẤT &amp; XỬ LÝ NỀN MÓNG CỐNG</t>
        </is>
      </c>
    </row>
    <row r="2">
      <c r="A2" s="2" t="inlineStr">
        <is>
          <t>Tiêu chuẩn thi công: Đầm chặt đệm cát K95, cọc tre L=2.5m m=25 cọc/m2, đắp cát K98</t>
        </is>
      </c>
    </row>
    <row r="4" ht="25" customHeight="1">
      <c r="A4" s="3" t="inlineStr">
        <is>
          <t>STT</t>
        </is>
      </c>
      <c r="B4" s="3" t="inlineStr">
        <is>
          <t>HẠNG MỤC CÔNG TÁC</t>
        </is>
      </c>
      <c r="C4" s="3" t="inlineStr">
        <is>
          <t>ĐƠN VỊ</t>
        </is>
      </c>
      <c r="D4" s="3" t="inlineStr">
        <is>
          <t>SỐ LƯỢNG</t>
        </is>
      </c>
      <c r="E4" s="3" t="inlineStr">
        <is>
          <t>DÀI (m)</t>
        </is>
      </c>
      <c r="F4" s="3" t="inlineStr">
        <is>
          <t>RỘNG (m)</t>
        </is>
      </c>
      <c r="G4" s="3" t="inlineStr">
        <is>
          <t>CAO/SÂU (m)</t>
        </is>
      </c>
      <c r="H4" s="3" t="inlineStr">
        <is>
          <t>HỆ SỐ</t>
        </is>
      </c>
      <c r="I4" s="3" t="inlineStr">
        <is>
          <t>KHỐI LƯỢNG (m3)</t>
        </is>
      </c>
      <c r="J4" s="3" t="inlineStr">
        <is>
          <t>GHI CHÚ</t>
        </is>
      </c>
    </row>
    <row r="5" ht="20" customHeight="1">
      <c r="A5" s="4" t="n">
        <v>1</v>
      </c>
      <c r="B5" s="8" t="inlineStr">
        <is>
          <t>Đào hố móng cống đất C3 (máy kết hợp thủ công)</t>
        </is>
      </c>
      <c r="C5" s="4" t="inlineStr">
        <is>
          <t>m3</t>
        </is>
      </c>
      <c r="D5" s="5" t="n">
        <v>1</v>
      </c>
      <c r="E5" s="6" t="n">
        <v>2170</v>
      </c>
      <c r="F5" s="6" t="n">
        <v>5.5</v>
      </c>
      <c r="G5" s="6" t="n">
        <v>3.2</v>
      </c>
      <c r="H5" s="6" t="n">
        <v>1</v>
      </c>
      <c r="I5" s="6">
        <f>D5*E5*F5*G5*H5</f>
        <v/>
      </c>
      <c r="J5" s="8" t="inlineStr">
        <is>
          <t>Đào taluy m=0.5, sâu TB 3.2m</t>
        </is>
      </c>
    </row>
    <row r="6" ht="20" customHeight="1">
      <c r="A6" s="4" t="n">
        <v>2</v>
      </c>
      <c r="B6" s="8" t="inlineStr">
        <is>
          <t>Gia cố cọc tre nền đất yếu (d=6-8cm L=2.5m)</t>
        </is>
      </c>
      <c r="C6" s="4" t="inlineStr">
        <is>
          <t>cọc</t>
        </is>
      </c>
      <c r="D6" s="5" t="n">
        <v>1</v>
      </c>
      <c r="E6" s="6" t="n">
        <v>2170</v>
      </c>
      <c r="F6" s="6" t="n">
        <v>4.5</v>
      </c>
      <c r="G6" s="6" t="n">
        <v>25</v>
      </c>
      <c r="H6" s="6" t="n">
        <v>1</v>
      </c>
      <c r="I6" s="6">
        <f>D6*E6*F6*G6*H6</f>
        <v/>
      </c>
      <c r="J6" s="8" t="inlineStr">
        <is>
          <t>Mật độ 25 cọc/m2 đáy móng</t>
        </is>
      </c>
    </row>
    <row r="7" ht="20" customHeight="1">
      <c r="A7" s="4" t="n">
        <v>3</v>
      </c>
      <c r="B7" s="8" t="inlineStr">
        <is>
          <t>Đệm cát đầu cọc dày 100mm đầm chặt K95</t>
        </is>
      </c>
      <c r="C7" s="4" t="inlineStr">
        <is>
          <t>m3</t>
        </is>
      </c>
      <c r="D7" s="5" t="n">
        <v>1</v>
      </c>
      <c r="E7" s="6" t="n">
        <v>2170</v>
      </c>
      <c r="F7" s="6" t="n">
        <v>4.5</v>
      </c>
      <c r="G7" s="6" t="n">
        <v>0.1</v>
      </c>
      <c r="H7" s="6" t="n">
        <v>1</v>
      </c>
      <c r="I7" s="6">
        <f>D7*E7*F7*G7*H7</f>
        <v/>
      </c>
      <c r="J7" s="8" t="inlineStr">
        <is>
          <t>Đệm cát hạt trung đầm chặt</t>
        </is>
      </c>
    </row>
    <row r="8" ht="20" customHeight="1">
      <c r="A8" s="4" t="n">
        <v>4</v>
      </c>
      <c r="B8" s="8" t="inlineStr">
        <is>
          <t>Đắp cát/đất đầm chặt K95 mang cống và lưng cống — SỐ CŨ (chỉ để đối chiếu, xem khối tính lại bên dưới)</t>
        </is>
      </c>
      <c r="C8" s="4" t="inlineStr">
        <is>
          <t>m3</t>
        </is>
      </c>
      <c r="D8" s="5" t="n">
        <v>1</v>
      </c>
      <c r="E8" s="6" t="n">
        <v>2170</v>
      </c>
      <c r="F8" s="6" t="n">
        <v>4</v>
      </c>
      <c r="G8" s="6" t="n">
        <v>2.5</v>
      </c>
      <c r="H8" s="6" t="n">
        <v>1</v>
      </c>
      <c r="I8" s="6">
        <f>D8*E8*F8*G8*H8-QS_DIEN_GIAI_CHI_TIET!I8</f>
        <v/>
      </c>
      <c r="J8" s="8" t="inlineStr">
        <is>
          <t>Số cũ: một mặt cắt hào trung bình, chỉ trừ thể tích BÊ TÔNG cống 2.0x2.0m; không đúng với 3 loại cống và không trừ phần bao ngoài chiếm chỗ</t>
        </is>
      </c>
    </row>
    <row r="10">
      <c r="A10" s="39" t="inlineStr">
        <is>
          <t>ĐẮP LƯNG CỐNG TÍNH LẠI THEO TỪNG LOẠI CỐNG — trừ phần cống chiếm chỗ (Phụ lục VI TT 13/2021, mục II.5.2; cần đối chiếu bản gốc)</t>
        </is>
      </c>
    </row>
    <row r="11">
      <c r="B11" t="inlineStr">
        <is>
          <t>Khoảng thao tác mỗi bên cống (m)</t>
        </is>
      </c>
      <c r="D11" s="35" t="n">
        <v>0.75</v>
      </c>
      <c r="J11" t="inlineStr">
        <is>
          <t>GIẢ ĐỊNH suy từ số cũ: hào rộng 4.0 m quanh cống 2.5 m → 0.75 m mỗi bên. QS xác nhận theo biện pháp thi công</t>
        </is>
      </c>
    </row>
    <row r="12">
      <c r="B12" t="inlineStr">
        <is>
          <t>Chiều dày lớp đắp phủ trên nắp cống (m)</t>
        </is>
      </c>
      <c r="D12" s="35" t="n">
        <v>0</v>
      </c>
      <c r="J12" t="inlineStr">
        <is>
          <t>0 = chỉ đắp lưng cống đến đỉnh cống (số cũ dùng sâu 2.5 m = cao ngoài cống 2.0x2.0m)</t>
        </is>
      </c>
    </row>
    <row r="14">
      <c r="A14" s="34" t="inlineStr">
        <is>
          <t>STT</t>
        </is>
      </c>
      <c r="B14" s="34" t="inlineStr">
        <is>
          <t>LOẠI CỐNG</t>
        </is>
      </c>
      <c r="C14" s="34" t="inlineStr">
        <is>
          <t>ĐƠN VỊ</t>
        </is>
      </c>
      <c r="D14" s="34" t="inlineStr">
        <is>
          <t>SỐ ĐỐT</t>
        </is>
      </c>
      <c r="E14" s="34" t="inlineStr">
        <is>
          <t>DÀI (m)</t>
        </is>
      </c>
      <c r="F14" s="34" t="inlineStr">
        <is>
          <t>RỘNG HÀO (m)</t>
        </is>
      </c>
      <c r="G14" s="34" t="inlineStr">
        <is>
          <t>SÂU HÀO (m)</t>
        </is>
      </c>
      <c r="H14" s="34" t="inlineStr">
        <is>
          <t>TIẾT DIỆN CỐNG CHIẾM CHỖ (m2)</t>
        </is>
      </c>
      <c r="I14" s="34" t="inlineStr">
        <is>
          <t>KHỐI LƯỢNG ĐẮP (m3)</t>
        </is>
      </c>
      <c r="J14" s="34" t="inlineStr">
        <is>
          <t>GHI CHÚ</t>
        </is>
      </c>
    </row>
    <row r="15">
      <c r="A15" s="42" t="n">
        <v>1</v>
      </c>
      <c r="B15" s="42" t="inlineStr">
        <is>
          <t>Cống đơn 2.0x2.0m</t>
        </is>
      </c>
      <c r="C15" s="42" t="inlineStr">
        <is>
          <t>m3</t>
        </is>
      </c>
      <c r="D15" s="42">
        <f>QS_DIEN_GIAI_CHI_TIET!D8</f>
        <v/>
      </c>
      <c r="E15" s="43">
        <f>QS_DIEN_GIAI_CHI_TIET!E8</f>
        <v/>
      </c>
      <c r="F15" s="43">
        <f>QS_DIEN_GIAI_CHI_TIET!F8+2*$D$11</f>
        <v/>
      </c>
      <c r="G15" s="43">
        <f>QS_DIEN_GIAI_CHI_TIET!G8+$D$12</f>
        <v/>
      </c>
      <c r="H15" s="43">
        <f>QS_DIEN_GIAI_CHI_TIET!F8*QS_DIEN_GIAI_CHI_TIET!G8</f>
        <v/>
      </c>
      <c r="I15" s="44">
        <f>D15*E15*(F15*G15-H15)</f>
        <v/>
      </c>
      <c r="J15" s="42" t="inlineStr">
        <is>
          <t>Hào − phần bao ngoài cống chiếm chỗ</t>
        </is>
      </c>
    </row>
    <row r="16">
      <c r="A16" s="42" t="n">
        <v>2</v>
      </c>
      <c r="B16" s="42" t="inlineStr">
        <is>
          <t>Cống đơn 3.0x3.0m</t>
        </is>
      </c>
      <c r="C16" s="42" t="inlineStr">
        <is>
          <t>m3</t>
        </is>
      </c>
      <c r="D16" s="42">
        <f>QS_DIEN_GIAI_CHI_TIET!D9</f>
        <v/>
      </c>
      <c r="E16" s="43">
        <f>QS_DIEN_GIAI_CHI_TIET!E9</f>
        <v/>
      </c>
      <c r="F16" s="43">
        <f>QS_DIEN_GIAI_CHI_TIET!F9+2*$D$11</f>
        <v/>
      </c>
      <c r="G16" s="43">
        <f>QS_DIEN_GIAI_CHI_TIET!G9+$D$12</f>
        <v/>
      </c>
      <c r="H16" s="43">
        <f>QS_DIEN_GIAI_CHI_TIET!F9*QS_DIEN_GIAI_CHI_TIET!G9</f>
        <v/>
      </c>
      <c r="I16" s="44">
        <f>D16*E16*(F16*G16-H16)</f>
        <v/>
      </c>
      <c r="J16" s="42" t="inlineStr">
        <is>
          <t>Hào − phần bao ngoài cống chiếm chỗ</t>
        </is>
      </c>
    </row>
    <row r="17">
      <c r="A17" s="42" t="n">
        <v>3</v>
      </c>
      <c r="B17" s="42" t="inlineStr">
        <is>
          <t>Cống đôi 2x(3.0x3.0m)</t>
        </is>
      </c>
      <c r="C17" s="42" t="inlineStr">
        <is>
          <t>m3</t>
        </is>
      </c>
      <c r="D17" s="42">
        <f>QS_DIEN_GIAI_CHI_TIET!D10</f>
        <v/>
      </c>
      <c r="E17" s="43">
        <f>QS_DIEN_GIAI_CHI_TIET!E10</f>
        <v/>
      </c>
      <c r="F17" s="43">
        <f>QS_DIEN_GIAI_CHI_TIET!F10+2*$D$11</f>
        <v/>
      </c>
      <c r="G17" s="43">
        <f>QS_DIEN_GIAI_CHI_TIET!G10+$D$12</f>
        <v/>
      </c>
      <c r="H17" s="43">
        <f>QS_DIEN_GIAI_CHI_TIET!F10*QS_DIEN_GIAI_CHI_TIET!G10</f>
        <v/>
      </c>
      <c r="I17" s="44">
        <f>D17*E17*(F17*G17-H17)</f>
        <v/>
      </c>
      <c r="J17" s="42" t="inlineStr">
        <is>
          <t>Hào − phần bao ngoài cống chiếm chỗ</t>
        </is>
      </c>
    </row>
    <row r="18">
      <c r="B18" s="39" t="inlineStr">
        <is>
          <t>TỔNG ĐẮP LƯNG CỐNG (tính lại)</t>
        </is>
      </c>
      <c r="I18" s="44">
        <f>SUM(I15:I17)</f>
        <v/>
      </c>
    </row>
    <row r="19">
      <c r="B19" s="39" t="inlineStr">
        <is>
          <t>Số cũ (dòng 4)</t>
        </is>
      </c>
      <c r="I19" s="44">
        <f>I8</f>
        <v/>
      </c>
    </row>
    <row r="20">
      <c r="B20" s="39" t="inlineStr">
        <is>
          <t>Chênh lệch tính lại so với số cũ</t>
        </is>
      </c>
      <c r="I20" s="38">
        <f>I18/I19-1</f>
        <v/>
      </c>
      <c r="J20">
        <f>IF(ABS(I20)&gt;0.05,"LỆCH &gt;5% - QS xác nhận","Khớp (&lt;=5%)")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7" customWidth="1" min="9" max="9"/>
    <col width="3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BẢNG DIỄN GIẢI HÌNH HỌC TIÊN LƯỢNG BÊ TÔNG, VÁN KHUÔN CỐNG HỘP TUYẾN A5</t>
        </is>
      </c>
    </row>
    <row r="2">
      <c r="A2" s="2" t="inlineStr">
        <is>
          <t>CẤM 100% SỐ CHẾT (ZERO DEAD NUMBERS) — Dài x Rộng x Cao x Số lượng x Hệ số</t>
        </is>
      </c>
    </row>
    <row r="4" ht="25" customHeight="1">
      <c r="A4" s="3" t="inlineStr">
        <is>
          <t>STT</t>
        </is>
      </c>
      <c r="B4" s="3" t="inlineStr">
        <is>
          <t>HẠNG MỤC CÔNG TÁC / KẾT CẤU</t>
        </is>
      </c>
      <c r="C4" s="3" t="inlineStr">
        <is>
          <t>ĐƠN VỊ</t>
        </is>
      </c>
      <c r="D4" s="3" t="inlineStr">
        <is>
          <t>SỐ ĐỐT</t>
        </is>
      </c>
      <c r="E4" s="3" t="inlineStr">
        <is>
          <t>DÀI (m)</t>
        </is>
      </c>
      <c r="F4" s="3" t="inlineStr">
        <is>
          <t>RỘNG (m)</t>
        </is>
      </c>
      <c r="G4" s="3" t="inlineStr">
        <is>
          <t>CAO/DÀY (m)</t>
        </is>
      </c>
      <c r="H4" s="3" t="inlineStr">
        <is>
          <t>HỆ SỐ VÁT</t>
        </is>
      </c>
      <c r="I4" s="3" t="inlineStr">
        <is>
          <t>KHỐI LƯỢNG</t>
        </is>
      </c>
      <c r="J4" s="3" t="inlineStr">
        <is>
          <t>GHI CHÚ</t>
        </is>
      </c>
      <c r="K4" s="34" t="inlineStr">
        <is>
          <t>RỘNG LÒNG b (m)</t>
        </is>
      </c>
      <c r="L4" s="34" t="inlineStr">
        <is>
          <t>CAO LÒNG h (m)</t>
        </is>
      </c>
      <c r="M4" s="34" t="inlineStr">
        <is>
          <t>SỐ KHOANG n</t>
        </is>
      </c>
      <c r="N4" s="34" t="inlineStr">
        <is>
          <t>CẠNH VÚT c (m)</t>
        </is>
      </c>
      <c r="P4" s="34" t="inlineStr">
        <is>
          <t>VK TRONG (m2/m)</t>
        </is>
      </c>
      <c r="Q4" s="34" t="inlineStr">
        <is>
          <t>VK HÔNG NGOÀI (m2/m)</t>
        </is>
      </c>
      <c r="R4" s="34" t="inlineStr">
        <is>
          <t>VK ĐẦU ĐỐT (m2/m)</t>
        </is>
      </c>
      <c r="S4" s="34" t="inlineStr">
        <is>
          <t>VK TÍNH LẠI (m2/m)</t>
        </is>
      </c>
      <c r="T4" s="34" t="inlineStr">
        <is>
          <t>CHÊNH LỆCH SO VỚI SỐ ĐANG DÙNG (cột F)</t>
        </is>
      </c>
      <c r="U4" s="34" t="inlineStr">
        <is>
          <t>KẾT LUẬN</t>
        </is>
      </c>
    </row>
    <row r="5" ht="20" customHeight="1">
      <c r="A5" s="4" t="n">
        <v>1</v>
      </c>
      <c r="B5" s="8" t="inlineStr">
        <is>
          <t>Bê tông lót M100 cống đơn 2.0x2.0m</t>
        </is>
      </c>
      <c r="C5" s="4" t="inlineStr">
        <is>
          <t>m3</t>
        </is>
      </c>
      <c r="D5" s="5" t="n">
        <v>34</v>
      </c>
      <c r="E5" s="6" t="n">
        <v>11.3</v>
      </c>
      <c r="F5" s="6" t="n">
        <v>2.7</v>
      </c>
      <c r="G5" s="6" t="n">
        <v>0.05</v>
      </c>
      <c r="H5" s="6" t="n">
        <v>1</v>
      </c>
      <c r="I5" s="6">
        <f>D5*E5*F5*G5*H5</f>
        <v/>
      </c>
      <c r="J5" s="8" t="inlineStr">
        <is>
          <t>Dày 50mm, nhô 100mm mỗi bên</t>
        </is>
      </c>
    </row>
    <row r="6" ht="20" customHeight="1">
      <c r="A6" s="4" t="n">
        <v>2</v>
      </c>
      <c r="B6" s="8" t="inlineStr">
        <is>
          <t>Bê tông lót M100 cống đơn 3.0x3.0m</t>
        </is>
      </c>
      <c r="C6" s="4" t="inlineStr">
        <is>
          <t>m3</t>
        </is>
      </c>
      <c r="D6" s="5" t="n">
        <v>50</v>
      </c>
      <c r="E6" s="6" t="n">
        <v>11.3</v>
      </c>
      <c r="F6" s="6" t="n">
        <v>3.8</v>
      </c>
      <c r="G6" s="6" t="n">
        <v>0.05</v>
      </c>
      <c r="H6" s="6" t="n">
        <v>1</v>
      </c>
      <c r="I6" s="6">
        <f>D6*E6*F6*G6*H6</f>
        <v/>
      </c>
      <c r="J6" s="8" t="inlineStr">
        <is>
          <t>Dày 50mm, nhô 100mm mỗi bên</t>
        </is>
      </c>
    </row>
    <row r="7" ht="20" customHeight="1">
      <c r="A7" s="4" t="n">
        <v>3</v>
      </c>
      <c r="B7" s="8" t="inlineStr">
        <is>
          <t>Bê tông lót M100 cống đôi 2x(3.0x3.0m)</t>
        </is>
      </c>
      <c r="C7" s="4" t="inlineStr">
        <is>
          <t>m3</t>
        </is>
      </c>
      <c r="D7" s="5" t="n">
        <v>108</v>
      </c>
      <c r="E7" s="6" t="n">
        <v>11.3</v>
      </c>
      <c r="F7" s="6" t="n">
        <v>7.1</v>
      </c>
      <c r="G7" s="6" t="n">
        <v>0.05</v>
      </c>
      <c r="H7" s="6" t="n">
        <v>1</v>
      </c>
      <c r="I7" s="6">
        <f>D7*E7*F7*G7*H7</f>
        <v/>
      </c>
      <c r="J7" s="8" t="inlineStr">
        <is>
          <t>Dày 50mm, nhô 100mm mỗi bên</t>
        </is>
      </c>
    </row>
    <row r="8" ht="20" customHeight="1">
      <c r="A8" s="4" t="n">
        <v>4</v>
      </c>
      <c r="B8" s="8" t="inlineStr">
        <is>
          <t>Bê tông thân B20 cống đơn 2.0x2.0m</t>
        </is>
      </c>
      <c r="C8" s="4" t="inlineStr">
        <is>
          <t>m3</t>
        </is>
      </c>
      <c r="D8" s="5" t="n">
        <v>34</v>
      </c>
      <c r="E8" s="6" t="n">
        <v>11.3</v>
      </c>
      <c r="F8" s="6" t="n">
        <v>2.5</v>
      </c>
      <c r="G8" s="6" t="n">
        <v>2.5</v>
      </c>
      <c r="H8" s="6" t="n">
        <v>1</v>
      </c>
      <c r="I8" s="6">
        <f>D8*E8*(F8*G8-M8*K8*L8+M8*4*0.5*N8^2)</f>
        <v/>
      </c>
      <c r="J8" s="8" t="inlineStr">
        <is>
          <t>2.330 m3/m</t>
        </is>
      </c>
      <c r="K8" s="35" t="n">
        <v>2</v>
      </c>
      <c r="L8" s="35" t="n">
        <v>2</v>
      </c>
      <c r="M8" s="36" t="n">
        <v>1</v>
      </c>
      <c r="N8" s="35" t="n">
        <v>0.2</v>
      </c>
    </row>
    <row r="9" ht="20" customHeight="1">
      <c r="A9" s="4" t="n">
        <v>5</v>
      </c>
      <c r="B9" s="8" t="inlineStr">
        <is>
          <t>Bê tông thân B20 cống đơn 3.0x3.0m</t>
        </is>
      </c>
      <c r="C9" s="4" t="inlineStr">
        <is>
          <t>m3</t>
        </is>
      </c>
      <c r="D9" s="5" t="n">
        <v>50</v>
      </c>
      <c r="E9" s="6" t="n">
        <v>11.3</v>
      </c>
      <c r="F9" s="6" t="n">
        <v>3.6</v>
      </c>
      <c r="G9" s="6" t="n">
        <v>3.6</v>
      </c>
      <c r="H9" s="6" t="n">
        <v>1</v>
      </c>
      <c r="I9" s="6">
        <f>D9*E9*(F9*G9-M9*K9*L9+M9*4*0.5*N9^2)</f>
        <v/>
      </c>
      <c r="J9" s="8" t="inlineStr">
        <is>
          <t>4.085 m3/m</t>
        </is>
      </c>
      <c r="K9" s="35" t="n">
        <v>3</v>
      </c>
      <c r="L9" s="35" t="n">
        <v>3</v>
      </c>
      <c r="M9" s="36" t="n">
        <v>1</v>
      </c>
      <c r="N9" s="35" t="n">
        <v>0.25</v>
      </c>
    </row>
    <row r="10" ht="20" customHeight="1">
      <c r="A10" s="4" t="n">
        <v>6</v>
      </c>
      <c r="B10" s="8" t="inlineStr">
        <is>
          <t>Bê tông thân B20 cống đôi 2x(3.0x3.0m)</t>
        </is>
      </c>
      <c r="C10" s="4" t="inlineStr">
        <is>
          <t>m3</t>
        </is>
      </c>
      <c r="D10" s="5" t="n">
        <v>108</v>
      </c>
      <c r="E10" s="6" t="n">
        <v>11.3</v>
      </c>
      <c r="F10" s="6" t="n">
        <v>6.9</v>
      </c>
      <c r="G10" s="6" t="n">
        <v>3.6</v>
      </c>
      <c r="H10" s="6" t="n">
        <v>1</v>
      </c>
      <c r="I10" s="6">
        <f>D10*E10*(F10*G10-M10*K10*L10+M10*4*0.5*N10^2)</f>
        <v/>
      </c>
      <c r="J10" s="8" t="inlineStr">
        <is>
          <t>7.090 m3/m</t>
        </is>
      </c>
      <c r="K10" s="35" t="n">
        <v>3</v>
      </c>
      <c r="L10" s="35" t="n">
        <v>3</v>
      </c>
      <c r="M10" s="36" t="n">
        <v>2</v>
      </c>
      <c r="N10" s="35" t="n">
        <v>0.25</v>
      </c>
    </row>
    <row r="11" ht="20" customHeight="1">
      <c r="A11" s="4" t="n">
        <v>7</v>
      </c>
      <c r="B11" s="8" t="inlineStr">
        <is>
          <t>Ván khuôn tiếp xúc cống đơn 2.0x2.0m</t>
        </is>
      </c>
      <c r="C11" s="4" t="inlineStr">
        <is>
          <t>m2</t>
        </is>
      </c>
      <c r="D11" s="5" t="n">
        <v>34</v>
      </c>
      <c r="E11" s="6" t="n">
        <v>11.3</v>
      </c>
      <c r="F11" s="6" t="n">
        <v>11.14</v>
      </c>
      <c r="G11" s="6" t="n">
        <v>1</v>
      </c>
      <c r="H11" s="6" t="n">
        <v>1</v>
      </c>
      <c r="I11" s="6">
        <f>D11*E11*F11*G11*H11</f>
        <v/>
      </c>
      <c r="J11" s="8" t="inlineStr">
        <is>
          <t>Cột F = VK m2/m ĐANG DÙNG (không phải bề rộng); P..U là tính lại theo hình học</t>
        </is>
      </c>
      <c r="P11" s="37">
        <f>$C$17*M8*(2*(K8+L8)-4*N8*(2-SQRT(2)))</f>
        <v/>
      </c>
      <c r="Q11" s="37">
        <f>$C$18*2*G8+$C$19*F8+$C$20*F8</f>
        <v/>
      </c>
      <c r="R11" s="37">
        <f>$C$21*2*(F8*G8-M8*K8*L8+M8*4*0.5*N8^2)/E8</f>
        <v/>
      </c>
      <c r="S11" s="37">
        <f>P11+Q11+R11</f>
        <v/>
      </c>
      <c r="T11" s="38">
        <f>S11/F11-1</f>
        <v/>
      </c>
      <c r="U11" s="37">
        <f>IF(ABS(T11)&gt;0.05,"LỆCH &gt;5% - QS xác nhận","Khớp (&lt;=5%)")</f>
        <v/>
      </c>
    </row>
    <row r="12" ht="20" customHeight="1">
      <c r="A12" s="4" t="n">
        <v>8</v>
      </c>
      <c r="B12" s="8" t="inlineStr">
        <is>
          <t>Ván khuôn tiếp xúc cống đơn 3.0x3.0m</t>
        </is>
      </c>
      <c r="C12" s="4" t="inlineStr">
        <is>
          <t>m2</t>
        </is>
      </c>
      <c r="D12" s="5" t="n">
        <v>50</v>
      </c>
      <c r="E12" s="6" t="n">
        <v>11.3</v>
      </c>
      <c r="F12" s="6" t="n">
        <v>16.48</v>
      </c>
      <c r="G12" s="6" t="n">
        <v>1</v>
      </c>
      <c r="H12" s="6" t="n">
        <v>1</v>
      </c>
      <c r="I12" s="6">
        <f>D12*E12*F12*G12*H12</f>
        <v/>
      </c>
      <c r="J12" s="8" t="inlineStr">
        <is>
          <t>Cột F = VK m2/m ĐANG DÙNG (không phải bề rộng); P..U là tính lại theo hình học</t>
        </is>
      </c>
      <c r="P12" s="37">
        <f>$C$17*M9*(2*(K9+L9)-4*N9*(2-SQRT(2)))</f>
        <v/>
      </c>
      <c r="Q12" s="37">
        <f>$C$18*2*G9+$C$19*F9+$C$20*F9</f>
        <v/>
      </c>
      <c r="R12" s="37">
        <f>$C$21*2*(F9*G9-M9*K9*L9+M9*4*0.5*N9^2)/E9</f>
        <v/>
      </c>
      <c r="S12" s="37">
        <f>P12+Q12+R12</f>
        <v/>
      </c>
      <c r="T12" s="38">
        <f>S12/F12-1</f>
        <v/>
      </c>
      <c r="U12" s="37">
        <f>IF(ABS(T12)&gt;0.05,"LỆCH &gt;5% - QS xác nhận","Khớp (&lt;=5%)")</f>
        <v/>
      </c>
    </row>
    <row r="13" ht="20" customHeight="1">
      <c r="A13" s="4" t="n">
        <v>9</v>
      </c>
      <c r="B13" s="8" t="inlineStr">
        <is>
          <t>Ván khuôn tiếp xúc cống đôi 2x(3.0x3.0m)</t>
        </is>
      </c>
      <c r="C13" s="4" t="inlineStr">
        <is>
          <t>m2</t>
        </is>
      </c>
      <c r="D13" s="5" t="n">
        <v>108</v>
      </c>
      <c r="E13" s="6" t="n">
        <v>11.3</v>
      </c>
      <c r="F13" s="6" t="n">
        <v>25.66</v>
      </c>
      <c r="G13" s="6" t="n">
        <v>1</v>
      </c>
      <c r="H13" s="6" t="n">
        <v>1</v>
      </c>
      <c r="I13" s="6">
        <f>D13*E13*F13*G13*H13</f>
        <v/>
      </c>
      <c r="J13" s="8" t="inlineStr">
        <is>
          <t>Cột F = VK m2/m ĐANG DÙNG (không phải bề rộng); P..U là tính lại theo hình học</t>
        </is>
      </c>
      <c r="P13" s="37">
        <f>$C$17*M10*(2*(K10+L10)-4*N10*(2-SQRT(2)))</f>
        <v/>
      </c>
      <c r="Q13" s="37">
        <f>$C$18*2*G10+$C$19*F10+$C$20*F10</f>
        <v/>
      </c>
      <c r="R13" s="37">
        <f>$C$21*2*(F10*G10-M10*K10*L10+M10*4*0.5*N10^2)/E10</f>
        <v/>
      </c>
      <c r="S13" s="37">
        <f>P13+Q13+R13</f>
        <v/>
      </c>
      <c r="T13" s="38">
        <f>S13/F13-1</f>
        <v/>
      </c>
      <c r="U13" s="37">
        <f>IF(ABS(T13)&gt;0.05,"LỆCH &gt;5% - QS xác nhận","Khớp (&lt;=5%)")</f>
        <v/>
      </c>
    </row>
    <row r="15">
      <c r="A15" s="39" t="inlineStr">
        <is>
          <t>QUY ƯỚC VÁN KHUÔN (1 = có ván khuôn, 0 = không) - đổi ô vàng, cột P..U của dòng 11-13 tự tính lại</t>
        </is>
      </c>
    </row>
    <row r="17">
      <c r="B17" t="inlineStr">
        <is>
          <t>Ván khuôn mặt trong (lòng cống)</t>
        </is>
      </c>
      <c r="C17" s="40" t="n">
        <v>1</v>
      </c>
    </row>
    <row r="18">
      <c r="B18" t="inlineStr">
        <is>
          <t>Ván khuôn mặt hông ngoài (2 bên)</t>
        </is>
      </c>
      <c r="C18" s="40" t="n">
        <v>1</v>
      </c>
    </row>
    <row r="19">
      <c r="B19" t="inlineStr">
        <is>
          <t>Ván khuôn mặt trên (bản nắp)</t>
        </is>
      </c>
      <c r="C19" s="40" t="n">
        <v>0</v>
      </c>
    </row>
    <row r="20">
      <c r="B20" t="inlineStr">
        <is>
          <t>Ván khuôn mặt đáy (bản đáy)</t>
        </is>
      </c>
      <c r="C20" s="40" t="n">
        <v>0</v>
      </c>
    </row>
    <row r="21">
      <c r="B21" t="inlineStr">
        <is>
          <t>Ván khuôn đầu đốt (2 đầu mỗi đốt)</t>
        </is>
      </c>
      <c r="C21" s="40" t="n">
        <v>1</v>
      </c>
    </row>
    <row r="23" ht="62" customHeight="1">
      <c r="A23" s="41" t="inlineStr">
        <is>
          <t>Quy ước: ván khuôn tính theo diện tích bề mặt bê tông tiếp xúc ván khuôn; mặt nào có ván khuôn do biện pháp thi công quyết định (công tắc 1/0 bên dưới). Căn cứ đo bóc: văn bản hiện hành tại thời điểm lập hồ sơ do kỹ sư QS xác nhận (theo nguồn thứ cấp: TT 13/2021/TT-BXD và sửa đổi áp dụng đến 30/06/2026; từ 01/07/2026 cần kiểm tra văn bản thay thế như TT 37/2026/TT-BXD, QĐ 1041/QĐ-BXD - chưa đối chiếu toàn văn). TT 12/2021/TT-BXD là định mức, không phải đo bóc.</t>
        </is>
      </c>
    </row>
  </sheetData>
  <mergeCells count="1">
    <mergeCell ref="A23:J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33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21" customWidth="1" min="9" max="9"/>
    <col width="24" customWidth="1" min="10" max="10"/>
  </cols>
  <sheetData>
    <row r="1">
      <c r="A1" s="1" t="inlineStr">
        <is>
          <t>BẢNG THỐNG KÊ CỐT THÉP CHI TIẾT (BBS) TOÀN TUYẾN CỐNG HỘP A5</t>
        </is>
      </c>
    </row>
    <row r="2">
      <c r="A2" s="2" t="inlineStr">
        <is>
          <t>Quy chuẩn TCVN 1651:2018 | Thép d&lt;10mm CB240-T, Thép d&gt;=10mm CB500-V</t>
        </is>
      </c>
    </row>
    <row r="4" ht="25" customHeight="1">
      <c r="A4" s="3" t="inlineStr">
        <is>
          <t>STT</t>
        </is>
      </c>
      <c r="B4" s="3" t="inlineStr">
        <is>
          <t>SỐ HIỆU THANH</t>
        </is>
      </c>
      <c r="C4" s="3" t="inlineStr">
        <is>
          <t>VỊ TRÍ / CẤU KIỆN</t>
        </is>
      </c>
      <c r="D4" s="3" t="inlineStr">
        <is>
          <t>Ø (mm)</t>
        </is>
      </c>
      <c r="E4" s="3" t="inlineStr">
        <is>
          <t>MÁC THÉP</t>
        </is>
      </c>
      <c r="F4" s="3" t="inlineStr">
        <is>
          <t>SỐ LƯỢNG</t>
        </is>
      </c>
      <c r="G4" s="3" t="inlineStr">
        <is>
          <t>CHIỀU DÀI L (m)</t>
        </is>
      </c>
      <c r="H4" s="3" t="inlineStr">
        <is>
          <t>TỔNG DÀI (m)</t>
        </is>
      </c>
      <c r="I4" s="3" t="inlineStr">
        <is>
          <t>TRỌNG LƯỢNG (kg/m)</t>
        </is>
      </c>
      <c r="J4" s="3" t="inlineStr">
        <is>
          <t>TỔNG TRỌNG LƯỢNG (kg)</t>
        </is>
      </c>
    </row>
    <row r="5" ht="20" customHeight="1">
      <c r="A5" s="4" t="n">
        <v>1</v>
      </c>
      <c r="B5" s="4" t="inlineStr">
        <is>
          <t>CH2x2-01</t>
        </is>
      </c>
      <c r="C5" s="8" t="inlineStr">
        <is>
          <t>Thép ngang nắp/đáy cống 2x2</t>
        </is>
      </c>
      <c r="D5" s="4" t="n">
        <v>12</v>
      </c>
      <c r="E5" s="4" t="inlineStr">
        <is>
          <t>CB500-V</t>
        </is>
      </c>
      <c r="F5" s="5" t="n">
        <v>7684</v>
      </c>
      <c r="G5" s="6" t="n">
        <v>2.82</v>
      </c>
      <c r="H5" s="6">
        <f>F5*G5</f>
        <v/>
      </c>
      <c r="I5" s="16" t="n">
        <v>0.888</v>
      </c>
      <c r="J5" s="6">
        <f>H5*I5</f>
        <v/>
      </c>
    </row>
    <row r="6" ht="20" customHeight="1">
      <c r="A6" s="4" t="n">
        <v>2</v>
      </c>
      <c r="B6" s="4" t="inlineStr">
        <is>
          <t>CH2x2-02</t>
        </is>
      </c>
      <c r="C6" s="8" t="inlineStr">
        <is>
          <t>Thép thành cống 2x2</t>
        </is>
      </c>
      <c r="D6" s="4" t="n">
        <v>12</v>
      </c>
      <c r="E6" s="4" t="inlineStr">
        <is>
          <t>CB500-V</t>
        </is>
      </c>
      <c r="F6" s="5" t="n">
        <v>6120</v>
      </c>
      <c r="G6" s="6" t="n">
        <v>2.84</v>
      </c>
      <c r="H6" s="6">
        <f>F6*G6</f>
        <v/>
      </c>
      <c r="I6" s="16" t="n">
        <v>0.888</v>
      </c>
      <c r="J6" s="6">
        <f>H6*I6</f>
        <v/>
      </c>
    </row>
    <row r="7" ht="20" customHeight="1">
      <c r="A7" s="4" t="n">
        <v>3</v>
      </c>
      <c r="B7" s="4" t="inlineStr">
        <is>
          <t>CH2x2-03</t>
        </is>
      </c>
      <c r="C7" s="8" t="inlineStr">
        <is>
          <t>Thép nách cống 2x2</t>
        </is>
      </c>
      <c r="D7" s="4" t="n">
        <v>12</v>
      </c>
      <c r="E7" s="4" t="inlineStr">
        <is>
          <t>CB500-V</t>
        </is>
      </c>
      <c r="F7" s="5" t="n">
        <v>6120</v>
      </c>
      <c r="G7" s="6" t="n">
        <v>1.32</v>
      </c>
      <c r="H7" s="6">
        <f>F7*G7</f>
        <v/>
      </c>
      <c r="I7" s="16" t="n">
        <v>0.888</v>
      </c>
      <c r="J7" s="6">
        <f>H7*I7</f>
        <v/>
      </c>
    </row>
    <row r="8" ht="20" customHeight="1">
      <c r="A8" s="4" t="n">
        <v>4</v>
      </c>
      <c r="B8" s="4" t="inlineStr">
        <is>
          <t>CH2x2-04</t>
        </is>
      </c>
      <c r="C8" s="8" t="inlineStr">
        <is>
          <t>Thép dọc cống 2x2</t>
        </is>
      </c>
      <c r="D8" s="4" t="n">
        <v>10</v>
      </c>
      <c r="E8" s="4" t="inlineStr">
        <is>
          <t>CB240-T</t>
        </is>
      </c>
      <c r="F8" s="5" t="n">
        <v>3264</v>
      </c>
      <c r="G8" s="6" t="n">
        <v>11.7</v>
      </c>
      <c r="H8" s="6">
        <f>F8*G8</f>
        <v/>
      </c>
      <c r="I8" s="16" t="n">
        <v>0.617</v>
      </c>
      <c r="J8" s="6">
        <f>H8*I8</f>
        <v/>
      </c>
    </row>
    <row r="9" ht="20" customHeight="1">
      <c r="A9" s="4" t="n">
        <v>5</v>
      </c>
      <c r="B9" s="4" t="inlineStr">
        <is>
          <t>CH2x2-05</t>
        </is>
      </c>
      <c r="C9" s="8" t="inlineStr">
        <is>
          <t>Dowel bar khe cống 2x2</t>
        </is>
      </c>
      <c r="D9" s="4" t="n">
        <v>22</v>
      </c>
      <c r="E9" s="4" t="inlineStr">
        <is>
          <t>CB500-V</t>
        </is>
      </c>
      <c r="F9" s="5" t="n">
        <v>680</v>
      </c>
      <c r="G9" s="6" t="n">
        <v>1</v>
      </c>
      <c r="H9" s="6">
        <f>F9*G9</f>
        <v/>
      </c>
      <c r="I9" s="16" t="n">
        <v>2.984</v>
      </c>
      <c r="J9" s="6">
        <f>H9*I9</f>
        <v/>
      </c>
    </row>
    <row r="10" ht="20" customHeight="1">
      <c r="A10" s="4" t="n">
        <v>6</v>
      </c>
      <c r="B10" s="4" t="inlineStr">
        <is>
          <t>CH3x3-01</t>
        </is>
      </c>
      <c r="C10" s="8" t="inlineStr">
        <is>
          <t>Thép ngang nắp/đáy cống 3x3</t>
        </is>
      </c>
      <c r="D10" s="4" t="n">
        <v>14</v>
      </c>
      <c r="E10" s="4" t="inlineStr">
        <is>
          <t>CB500-V</t>
        </is>
      </c>
      <c r="F10" s="5" t="n">
        <v>9000</v>
      </c>
      <c r="G10" s="6" t="n">
        <v>3.9</v>
      </c>
      <c r="H10" s="6">
        <f>F10*G10</f>
        <v/>
      </c>
      <c r="I10" s="16" t="n">
        <v>1.208</v>
      </c>
      <c r="J10" s="6">
        <f>H10*I10</f>
        <v/>
      </c>
    </row>
    <row r="11" ht="20" customHeight="1">
      <c r="A11" s="4" t="n">
        <v>7</v>
      </c>
      <c r="B11" s="4" t="inlineStr">
        <is>
          <t>CH3x3-02</t>
        </is>
      </c>
      <c r="C11" s="8" t="inlineStr">
        <is>
          <t>Thép thành cống 3x3</t>
        </is>
      </c>
      <c r="D11" s="4" t="n">
        <v>14</v>
      </c>
      <c r="E11" s="4" t="inlineStr">
        <is>
          <t>CB500-V</t>
        </is>
      </c>
      <c r="F11" s="5" t="n">
        <v>9000</v>
      </c>
      <c r="G11" s="6" t="n">
        <v>3.9</v>
      </c>
      <c r="H11" s="6">
        <f>F11*G11</f>
        <v/>
      </c>
      <c r="I11" s="16" t="n">
        <v>1.208</v>
      </c>
      <c r="J11" s="6">
        <f>H11*I11</f>
        <v/>
      </c>
    </row>
    <row r="12" ht="20" customHeight="1">
      <c r="A12" s="4" t="n">
        <v>8</v>
      </c>
      <c r="B12" s="4" t="inlineStr">
        <is>
          <t>CH3x3-03</t>
        </is>
      </c>
      <c r="C12" s="8" t="inlineStr">
        <is>
          <t>Thép nách cống 3x3</t>
        </is>
      </c>
      <c r="D12" s="4" t="n">
        <v>14</v>
      </c>
      <c r="E12" s="4" t="inlineStr">
        <is>
          <t>CB500-V</t>
        </is>
      </c>
      <c r="F12" s="5" t="n">
        <v>9000</v>
      </c>
      <c r="G12" s="6" t="n">
        <v>1.95</v>
      </c>
      <c r="H12" s="6">
        <f>F12*G12</f>
        <v/>
      </c>
      <c r="I12" s="16" t="n">
        <v>1.208</v>
      </c>
      <c r="J12" s="6">
        <f>H12*I12</f>
        <v/>
      </c>
    </row>
    <row r="13" ht="20" customHeight="1">
      <c r="A13" s="4" t="n">
        <v>9</v>
      </c>
      <c r="B13" s="4" t="inlineStr">
        <is>
          <t>CH3x3-04</t>
        </is>
      </c>
      <c r="C13" s="8" t="inlineStr">
        <is>
          <t>Thép dọc cống 3x3</t>
        </is>
      </c>
      <c r="D13" s="4" t="n">
        <v>10</v>
      </c>
      <c r="E13" s="4" t="inlineStr">
        <is>
          <t>CB240-T</t>
        </is>
      </c>
      <c r="F13" s="5" t="n">
        <v>6800</v>
      </c>
      <c r="G13" s="6" t="n">
        <v>11.7</v>
      </c>
      <c r="H13" s="6">
        <f>F13*G13</f>
        <v/>
      </c>
      <c r="I13" s="16" t="n">
        <v>0.617</v>
      </c>
      <c r="J13" s="6">
        <f>H13*I13</f>
        <v/>
      </c>
    </row>
    <row r="14" ht="20" customHeight="1">
      <c r="A14" s="4" t="n">
        <v>10</v>
      </c>
      <c r="B14" s="4" t="inlineStr">
        <is>
          <t>CH3x3-05</t>
        </is>
      </c>
      <c r="C14" s="8" t="inlineStr">
        <is>
          <t>Dowel bar khe cống 3x3</t>
        </is>
      </c>
      <c r="D14" s="4" t="n">
        <v>22</v>
      </c>
      <c r="E14" s="4" t="inlineStr">
        <is>
          <t>CB500-V</t>
        </is>
      </c>
      <c r="F14" s="5" t="n">
        <v>1400</v>
      </c>
      <c r="G14" s="6" t="n">
        <v>1</v>
      </c>
      <c r="H14" s="6">
        <f>F14*G14</f>
        <v/>
      </c>
      <c r="I14" s="16" t="n">
        <v>2.984</v>
      </c>
      <c r="J14" s="6">
        <f>H14*I14</f>
        <v/>
      </c>
    </row>
    <row r="15" ht="20" customHeight="1">
      <c r="A15" s="4" t="n">
        <v>11</v>
      </c>
      <c r="B15" s="4" t="inlineStr">
        <is>
          <t>CH2x3x3-01</t>
        </is>
      </c>
      <c r="C15" s="8" t="inlineStr">
        <is>
          <t>Thép nắp/đáy 2 khoang cống đôi</t>
        </is>
      </c>
      <c r="D15" s="4" t="n">
        <v>14</v>
      </c>
      <c r="E15" s="4" t="inlineStr">
        <is>
          <t>CB500-V</t>
        </is>
      </c>
      <c r="F15" s="5" t="n">
        <v>19440</v>
      </c>
      <c r="G15" s="6" t="n">
        <v>9.369999999999999</v>
      </c>
      <c r="H15" s="6">
        <f>F15*G15</f>
        <v/>
      </c>
      <c r="I15" s="16" t="n">
        <v>1.208</v>
      </c>
      <c r="J15" s="6">
        <f>H15*I15</f>
        <v/>
      </c>
    </row>
    <row r="16" ht="20" customHeight="1">
      <c r="A16" s="4" t="n">
        <v>12</v>
      </c>
      <c r="B16" s="4" t="inlineStr">
        <is>
          <t>CH2x3x3-02</t>
        </is>
      </c>
      <c r="C16" s="8" t="inlineStr">
        <is>
          <t>Thép vách biên cống đôi</t>
        </is>
      </c>
      <c r="D16" s="4" t="n">
        <v>14</v>
      </c>
      <c r="E16" s="4" t="inlineStr">
        <is>
          <t>CB500-V</t>
        </is>
      </c>
      <c r="F16" s="5" t="n">
        <v>19440</v>
      </c>
      <c r="G16" s="6" t="n">
        <v>4.02</v>
      </c>
      <c r="H16" s="6">
        <f>F16*G16</f>
        <v/>
      </c>
      <c r="I16" s="16" t="n">
        <v>1.208</v>
      </c>
      <c r="J16" s="6">
        <f>H16*I16</f>
        <v/>
      </c>
    </row>
    <row r="17" ht="20" customHeight="1">
      <c r="A17" s="4" t="n">
        <v>13</v>
      </c>
      <c r="B17" s="4" t="inlineStr">
        <is>
          <t>CH2x3x3-03</t>
        </is>
      </c>
      <c r="C17" s="8" t="inlineStr">
        <is>
          <t>Thép vách giữa cống đôi</t>
        </is>
      </c>
      <c r="D17" s="4" t="n">
        <v>14</v>
      </c>
      <c r="E17" s="4" t="inlineStr">
        <is>
          <t>CB500-V</t>
        </is>
      </c>
      <c r="F17" s="5" t="n">
        <v>9720</v>
      </c>
      <c r="G17" s="6" t="n">
        <v>3.9</v>
      </c>
      <c r="H17" s="6">
        <f>F17*G17</f>
        <v/>
      </c>
      <c r="I17" s="16" t="n">
        <v>1.208</v>
      </c>
      <c r="J17" s="6">
        <f>H17*I17</f>
        <v/>
      </c>
    </row>
    <row r="18" ht="20" customHeight="1">
      <c r="A18" s="4" t="n">
        <v>14</v>
      </c>
      <c r="B18" s="4" t="inlineStr">
        <is>
          <t>CH2x3x3-04</t>
        </is>
      </c>
      <c r="C18" s="8" t="inlineStr">
        <is>
          <t>Thép nách cống ngoài cống đôi</t>
        </is>
      </c>
      <c r="D18" s="4" t="n">
        <v>14</v>
      </c>
      <c r="E18" s="4" t="inlineStr">
        <is>
          <t>CB500-V</t>
        </is>
      </c>
      <c r="F18" s="5" t="n">
        <v>19440</v>
      </c>
      <c r="G18" s="6" t="n">
        <v>2</v>
      </c>
      <c r="H18" s="6">
        <f>F18*G18</f>
        <v/>
      </c>
      <c r="I18" s="16" t="n">
        <v>1.208</v>
      </c>
      <c r="J18" s="6">
        <f>H18*I18</f>
        <v/>
      </c>
    </row>
    <row r="19" ht="20" customHeight="1">
      <c r="A19" s="4" t="n">
        <v>15</v>
      </c>
      <c r="B19" s="4" t="inlineStr">
        <is>
          <t>CH2x3x3-04a</t>
        </is>
      </c>
      <c r="C19" s="8" t="inlineStr">
        <is>
          <t>Thép nách cống giữa cống đôi</t>
        </is>
      </c>
      <c r="D19" s="4" t="n">
        <v>14</v>
      </c>
      <c r="E19" s="4" t="inlineStr">
        <is>
          <t>CB500-V</t>
        </is>
      </c>
      <c r="F19" s="5" t="n">
        <v>9720</v>
      </c>
      <c r="G19" s="6" t="n">
        <v>1.95</v>
      </c>
      <c r="H19" s="6">
        <f>F19*G19</f>
        <v/>
      </c>
      <c r="I19" s="16" t="n">
        <v>1.208</v>
      </c>
      <c r="J19" s="6">
        <f>H19*I19</f>
        <v/>
      </c>
    </row>
    <row r="20" ht="20" customHeight="1">
      <c r="A20" s="4" t="n">
        <v>16</v>
      </c>
      <c r="B20" s="4" t="inlineStr">
        <is>
          <t>CH2x3x3-05</t>
        </is>
      </c>
      <c r="C20" s="8" t="inlineStr">
        <is>
          <t>Thép dọc cống đôi</t>
        </is>
      </c>
      <c r="D20" s="4" t="n">
        <v>10</v>
      </c>
      <c r="E20" s="4" t="inlineStr">
        <is>
          <t>CB240-T</t>
        </is>
      </c>
      <c r="F20" s="5" t="n">
        <v>25272</v>
      </c>
      <c r="G20" s="6" t="n">
        <v>11.7</v>
      </c>
      <c r="H20" s="6">
        <f>F20*G20</f>
        <v/>
      </c>
      <c r="I20" s="16" t="n">
        <v>0.617</v>
      </c>
      <c r="J20" s="6">
        <f>H20*I20</f>
        <v/>
      </c>
    </row>
    <row r="21" ht="20" customHeight="1">
      <c r="A21" s="4" t="n">
        <v>17</v>
      </c>
      <c r="B21" s="4" t="inlineStr">
        <is>
          <t>CH2x3x3-06</t>
        </is>
      </c>
      <c r="C21" s="8" t="inlineStr">
        <is>
          <t>Thép đai C vách giữa</t>
        </is>
      </c>
      <c r="D21" s="4" t="n">
        <v>10</v>
      </c>
      <c r="E21" s="4" t="inlineStr">
        <is>
          <t>CB240-T</t>
        </is>
      </c>
      <c r="F21" s="5" t="n">
        <v>12312</v>
      </c>
      <c r="G21" s="6" t="n">
        <v>0.92</v>
      </c>
      <c r="H21" s="6">
        <f>F21*G21</f>
        <v/>
      </c>
      <c r="I21" s="16" t="n">
        <v>0.617</v>
      </c>
      <c r="J21" s="6">
        <f>H21*I21</f>
        <v/>
      </c>
    </row>
    <row r="22" ht="20" customHeight="1">
      <c r="A22" s="4" t="n">
        <v>18</v>
      </c>
      <c r="B22" s="4" t="inlineStr">
        <is>
          <t>CH2x3x3-07</t>
        </is>
      </c>
      <c r="C22" s="8" t="inlineStr">
        <is>
          <t>Thép móc đai nách cống</t>
        </is>
      </c>
      <c r="D22" s="4" t="n">
        <v>6</v>
      </c>
      <c r="E22" s="4" t="inlineStr">
        <is>
          <t>CB240-T</t>
        </is>
      </c>
      <c r="F22" s="5" t="n">
        <v>24624</v>
      </c>
      <c r="G22" s="6" t="n">
        <v>0.35</v>
      </c>
      <c r="H22" s="6">
        <f>F22*G22</f>
        <v/>
      </c>
      <c r="I22" s="16" t="n">
        <v>0.222</v>
      </c>
      <c r="J22" s="6">
        <f>H22*I22</f>
        <v/>
      </c>
    </row>
    <row r="23" ht="20" customHeight="1">
      <c r="A23" s="4" t="n">
        <v>19</v>
      </c>
      <c r="B23" s="4" t="inlineStr">
        <is>
          <t>CH2x3x3-08</t>
        </is>
      </c>
      <c r="C23" s="8" t="inlineStr">
        <is>
          <t>Dowel bar khe cống đôi</t>
        </is>
      </c>
      <c r="D23" s="4" t="n">
        <v>22</v>
      </c>
      <c r="E23" s="4" t="inlineStr">
        <is>
          <t>CB500-V</t>
        </is>
      </c>
      <c r="F23" s="5" t="n">
        <v>4536</v>
      </c>
      <c r="G23" s="6" t="n">
        <v>1</v>
      </c>
      <c r="H23" s="6">
        <f>F23*G23</f>
        <v/>
      </c>
      <c r="I23" s="16" t="n">
        <v>2.984</v>
      </c>
      <c r="J23" s="6">
        <f>H23*I23</f>
        <v/>
      </c>
    </row>
    <row r="24" ht="22" customHeight="1">
      <c r="A24" s="9" t="inlineStr"/>
      <c r="B24" s="10" t="inlineStr">
        <is>
          <t>TỔNG CỘNG KHỐI LƯỢNG CỐT THÉP (kg)</t>
        </is>
      </c>
      <c r="C24" s="17" t="n"/>
      <c r="D24" s="17" t="n"/>
      <c r="E24" s="17" t="n"/>
      <c r="F24" s="17" t="n"/>
      <c r="G24" s="17" t="n"/>
      <c r="H24" s="17" t="n"/>
      <c r="I24" s="17" t="n"/>
      <c r="J24" s="18">
        <f>SUM(J5:J23)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CAP_PHOI_1M3_VA_TAN_SUAT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PHAN_TICH_VAT_TU_WBS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TONG_HOP_VAT_TU_TOAN_BO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45" customWidth="1" min="2" max="2"/>
    <col width="45" customWidth="1" min="3" max="3"/>
    <col width="17" customWidth="1" min="4" max="4"/>
    <col width="15" customWidth="1" min="5" max="5"/>
    <col width="29" customWidth="1" min="6" max="6"/>
  </cols>
  <sheetData>
    <row r="1">
      <c r="A1" s="1" t="inlineStr">
        <is>
          <t>BẢNG DỰ TOÁN TỔNG HỢP CHI PHÍ XÂY DỰNG G_XD CỐNG HỘP TUYẾN A5</t>
        </is>
      </c>
    </row>
    <row r="2">
      <c r="A2" s="2" t="inlineStr">
        <is>
          <t>Căn cứ: Thông tư số 11/2021/TT-BXD, Thông tư số 12/2021/TT-BXD &amp; Đơn giá XDCT Hà Nội</t>
        </is>
      </c>
    </row>
    <row r="4" ht="25" customHeight="1">
      <c r="A4" s="3" t="inlineStr">
        <is>
          <t>STT</t>
        </is>
      </c>
      <c r="B4" s="3" t="inlineStr">
        <is>
          <t>HẠNG MỤC CHI PHÍ</t>
        </is>
      </c>
      <c r="C4" s="3" t="inlineStr">
        <is>
          <t>CÁCH TÍNH / CÔNG THỨC</t>
        </is>
      </c>
      <c r="D4" s="3" t="inlineStr">
        <is>
          <t>GIÁ TRỊ (VNĐ)</t>
        </is>
      </c>
      <c r="E4" s="3" t="inlineStr">
        <is>
          <t>TỶ TRỌNG (%)</t>
        </is>
      </c>
      <c r="F4" s="3" t="inlineStr">
        <is>
          <t>GHI CHÚ</t>
        </is>
      </c>
    </row>
    <row r="5" ht="24" customHeight="1">
      <c r="A5" s="19" t="inlineStr">
        <is>
          <t>I</t>
        </is>
      </c>
      <c r="B5" s="20" t="inlineStr">
        <is>
          <t>CHI PHÍ TRỰC TIẾP (T)</t>
        </is>
      </c>
      <c r="C5" s="8" t="inlineStr">
        <is>
          <t>T = Vật liệu + Nhân công + Máy thi công</t>
        </is>
      </c>
      <c r="D5" s="46" t="n">
        <v>42500000000</v>
      </c>
      <c r="E5" s="21">
        <f>D5/$D$10</f>
        <v/>
      </c>
      <c r="F5" s="8" t="inlineStr">
        <is>
          <t>ĐẦU VÀO: nhập từ dự toán chi tiết đã duyệt (Σ khối lượng × đơn giá theo định mức). CHƯA liên kết với khối lượng/đơn giá trong hồ sơ này</t>
        </is>
      </c>
    </row>
    <row r="6" ht="24" customHeight="1">
      <c r="A6" s="19" t="inlineStr">
        <is>
          <t>II</t>
        </is>
      </c>
      <c r="B6" s="20" t="inlineStr">
        <is>
          <t>CHI PHÍ GIÁN TIẾP (GT)</t>
        </is>
      </c>
      <c r="C6" s="8" t="inlineStr">
        <is>
          <t>GT = T × (chi phí chung + nhà tạm)</t>
        </is>
      </c>
      <c r="D6" s="5">
        <f>D5*(D13+D14)</f>
        <v/>
      </c>
      <c r="E6" s="21">
        <f>D6/$D$10</f>
        <v/>
      </c>
      <c r="F6" s="8" t="inlineStr">
        <is>
          <t>Theo ô tỷ lệ D13 + D14</t>
        </is>
      </c>
    </row>
    <row r="7" ht="24" customHeight="1">
      <c r="A7" s="19" t="inlineStr">
        <is>
          <t>III</t>
        </is>
      </c>
      <c r="B7" s="20" t="inlineStr">
        <is>
          <t>THU NHẬP CHỊU THUẾ TÍNH TRƯỚC (TL)</t>
        </is>
      </c>
      <c r="C7" s="8" t="inlineStr">
        <is>
          <t>TL = (T + GT) × tỷ lệ TL</t>
        </is>
      </c>
      <c r="D7" s="5">
        <f>(D5+D6)*D15</f>
        <v/>
      </c>
      <c r="E7" s="21">
        <f>D7/$D$10</f>
        <v/>
      </c>
      <c r="F7" s="8" t="inlineStr">
        <is>
          <t>Theo ô tỷ lệ D15</t>
        </is>
      </c>
    </row>
    <row r="8" ht="24" customHeight="1">
      <c r="A8" s="19" t="inlineStr">
        <is>
          <t>IV</t>
        </is>
      </c>
      <c r="B8" s="20" t="inlineStr">
        <is>
          <t>CHI PHÍ XÂY DỰNG TRƯỚC THUẾ (G)</t>
        </is>
      </c>
      <c r="C8" s="8" t="inlineStr">
        <is>
          <t>G = T + GT + TL</t>
        </is>
      </c>
      <c r="D8" s="5">
        <f>D5+D6+D7</f>
        <v/>
      </c>
      <c r="E8" s="21">
        <f>D8/$D$10</f>
        <v/>
      </c>
      <c r="F8" s="8" t="inlineStr">
        <is>
          <t>Tổng chi phí trước thuế</t>
        </is>
      </c>
    </row>
    <row r="9" ht="24" customHeight="1">
      <c r="A9" s="19" t="inlineStr">
        <is>
          <t>V</t>
        </is>
      </c>
      <c r="B9" s="20" t="inlineStr">
        <is>
          <t>THUẾ GIÁ TRỊ GIA TĂNG (VAT)</t>
        </is>
      </c>
      <c r="C9" s="8" t="inlineStr">
        <is>
          <t>VAT = G × thuế suất</t>
        </is>
      </c>
      <c r="D9" s="5">
        <f>D8*D16</f>
        <v/>
      </c>
      <c r="E9" s="21">
        <f>D9/$D$10</f>
        <v/>
      </c>
      <c r="F9" s="8" t="inlineStr">
        <is>
          <t>Theo ô tỷ lệ D16</t>
        </is>
      </c>
    </row>
    <row r="10" ht="24" customHeight="1">
      <c r="A10" s="22" t="inlineStr">
        <is>
          <t>VI</t>
        </is>
      </c>
      <c r="B10" s="23" t="inlineStr">
        <is>
          <t>TỔNG CỘNG CHI PHÍ XÂY DỰNG SAU THUẾ (G_XD)</t>
        </is>
      </c>
      <c r="C10" s="23" t="inlineStr">
        <is>
          <t>G_XD = G + VAT</t>
        </is>
      </c>
      <c r="D10" s="24">
        <f>D8+D9</f>
        <v/>
      </c>
      <c r="E10" s="25" t="inlineStr">
        <is>
          <t>100.0%</t>
        </is>
      </c>
      <c r="F10" s="23" t="inlineStr">
        <is>
          <t>GIÁ TRỊ DỰ TOÁN PHÊ DUYỆT</t>
        </is>
      </c>
    </row>
    <row r="12">
      <c r="A12" s="39" t="inlineStr">
        <is>
          <t>TỶ LỆ ĐẦU VÀO (đổi ô vàng, các dòng II-VI tự tính lại)</t>
        </is>
      </c>
    </row>
    <row r="13">
      <c r="B13" t="inlineStr">
        <is>
          <t>Chi phí chung (% T)</t>
        </is>
      </c>
      <c r="D13" s="47" t="n">
        <v>0.073</v>
      </c>
    </row>
    <row r="14">
      <c r="B14" t="inlineStr">
        <is>
          <t>Nhà tạm để ở và điều hành thi công (% T)</t>
        </is>
      </c>
      <c r="D14" s="47" t="n">
        <v>0.012</v>
      </c>
    </row>
    <row r="15">
      <c r="B15" t="inlineStr">
        <is>
          <t>Thu nhập chịu thuế tính trước (% (T + GT))</t>
        </is>
      </c>
      <c r="D15" s="47" t="n">
        <v>0.055</v>
      </c>
    </row>
    <row r="16">
      <c r="B16" t="inlineStr">
        <is>
          <t>Thuế giá trị gia tăng (% G)</t>
        </is>
      </c>
      <c r="D16" s="47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46" customWidth="1" min="2" max="2"/>
    <col width="12" customWidth="1" min="3" max="3"/>
    <col width="16" customWidth="1" min="4" max="4"/>
    <col width="19" customWidth="1" min="5" max="5"/>
    <col width="23" customWidth="1" min="6" max="6"/>
    <col width="24" customWidth="1" min="7" max="7"/>
    <col width="26" customWidth="1" min="8" max="8"/>
    <col width="25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BẢNG XÁC ĐỊNH GIÁ TRỊ KHỐI LƯỢNG CÔNG VIỆC HOÀN THÀNH (MẪU 03.A)</t>
        </is>
      </c>
    </row>
    <row r="2">
      <c r="A2" s="2" t="inlineStr">
        <is>
          <t>Căn cứ: Nghị định số 99/2021/NĐ-CP ngày 11/11/2021 của Chính phủ | Kỳ thanh toán số 01</t>
        </is>
      </c>
    </row>
    <row r="4" ht="25" customHeight="1">
      <c r="A4" s="3" t="inlineStr">
        <is>
          <t>STT</t>
        </is>
      </c>
      <c r="B4" s="3" t="inlineStr">
        <is>
          <t>NỘI DUNG CÔNG VIỆC</t>
        </is>
      </c>
      <c r="C4" s="3" t="inlineStr">
        <is>
          <t>ĐƠN VỊ</t>
        </is>
      </c>
      <c r="D4" s="3" t="inlineStr">
        <is>
          <t>HỢP ĐỒNG (KL)</t>
        </is>
      </c>
      <c r="E4" s="3" t="inlineStr">
        <is>
          <t>ĐƠN GIÁ HĐ (VNĐ)</t>
        </is>
      </c>
      <c r="F4" s="3" t="inlineStr">
        <is>
          <t>LŨY KẾ KỲ TRƯỚC (KL)</t>
        </is>
      </c>
      <c r="G4" s="3" t="inlineStr">
        <is>
          <t>THỰC HIỆN KỲ NÀY (KL)</t>
        </is>
      </c>
      <c r="H4" s="3" t="inlineStr">
        <is>
          <t>THÀNH TIỀN KỲ NÀY (VNĐ)</t>
        </is>
      </c>
      <c r="I4" s="3" t="inlineStr">
        <is>
          <t>LŨY KẾ HẾT KỲ NÀY (KL)</t>
        </is>
      </c>
      <c r="J4" s="34" t="inlineStr">
        <is>
          <t>KL THEO BÓC TÁCH</t>
        </is>
      </c>
      <c r="K4" s="34" t="inlineStr">
        <is>
          <t>CHÊNH LỆCH SO VỚI HỢP ĐỒNG</t>
        </is>
      </c>
      <c r="L4" s="34" t="inlineStr">
        <is>
          <t>KẾT LUẬN (ngưỡng 0.5%)</t>
        </is>
      </c>
    </row>
    <row r="5" ht="20" customHeight="1">
      <c r="A5" s="4" t="n">
        <v>1</v>
      </c>
      <c r="B5" s="8" t="inlineStr">
        <is>
          <t>Đào đất hố móng cống hộp</t>
        </is>
      </c>
      <c r="C5" s="4" t="inlineStr">
        <is>
          <t>m3</t>
        </is>
      </c>
      <c r="D5" s="26" t="n">
        <v>38192</v>
      </c>
      <c r="E5" s="5" t="n">
        <v>45000</v>
      </c>
      <c r="F5" s="26" t="n">
        <v>0</v>
      </c>
      <c r="G5" s="26" t="n">
        <v>15000</v>
      </c>
      <c r="H5" s="5">
        <f>G5*E5</f>
        <v/>
      </c>
      <c r="I5" s="26">
        <f>F5+G5</f>
        <v/>
      </c>
      <c r="J5" s="44">
        <f>KHOI_LUONG_DAO_DAP!I5</f>
        <v/>
      </c>
      <c r="K5" s="48">
        <f>J5/D5-1</f>
        <v/>
      </c>
      <c r="L5" s="42">
        <f>IF(ABS(K5)&lt;=0.005,"Khớp","LỆCH - QS xác nhận")</f>
        <v/>
      </c>
    </row>
    <row r="6" ht="20" customHeight="1">
      <c r="A6" s="4" t="n">
        <v>2</v>
      </c>
      <c r="B6" s="8" t="inlineStr">
        <is>
          <t>Gia cố cọc tre d=6-8cm L=2.5m</t>
        </is>
      </c>
      <c r="C6" s="4" t="inlineStr">
        <is>
          <t>cọc</t>
        </is>
      </c>
      <c r="D6" s="26" t="n">
        <v>244125</v>
      </c>
      <c r="E6" s="5" t="n">
        <v>32000</v>
      </c>
      <c r="F6" s="26" t="n">
        <v>0</v>
      </c>
      <c r="G6" s="26" t="n">
        <v>80000</v>
      </c>
      <c r="H6" s="5">
        <f>G6*E6</f>
        <v/>
      </c>
      <c r="I6" s="26">
        <f>F6+G6</f>
        <v/>
      </c>
      <c r="J6" s="44">
        <f>KHOI_LUONG_DAO_DAP!I6</f>
        <v/>
      </c>
      <c r="K6" s="48">
        <f>J6/D6-1</f>
        <v/>
      </c>
      <c r="L6" s="42">
        <f>IF(ABS(K6)&lt;=0.005,"Khớp","LỆCH - QS xác nhận")</f>
        <v/>
      </c>
    </row>
    <row r="7" ht="20" customHeight="1">
      <c r="A7" s="4" t="n">
        <v>3</v>
      </c>
      <c r="B7" s="8" t="inlineStr">
        <is>
          <t>Bê tông lót móng cống M100</t>
        </is>
      </c>
      <c r="C7" s="4" t="inlineStr">
        <is>
          <t>m3</t>
        </is>
      </c>
      <c r="D7" s="26" t="n">
        <v>592.4</v>
      </c>
      <c r="E7" s="5" t="n">
        <v>980000</v>
      </c>
      <c r="F7" s="26" t="n">
        <v>0</v>
      </c>
      <c r="G7" s="26" t="n">
        <v>200</v>
      </c>
      <c r="H7" s="5">
        <f>G7*E7</f>
        <v/>
      </c>
      <c r="I7" s="26">
        <f>F7+G7</f>
        <v/>
      </c>
      <c r="J7" s="44">
        <f>SUM(QS_DIEN_GIAI_CHI_TIET!I5:I7)</f>
        <v/>
      </c>
      <c r="K7" s="48">
        <f>J7/D7-1</f>
        <v/>
      </c>
      <c r="L7" s="42">
        <f>IF(ABS(K7)&lt;=0.005,"Khớp","LỆCH - QS xác nhận")</f>
        <v/>
      </c>
    </row>
    <row r="8" ht="20" customHeight="1">
      <c r="A8" s="4" t="n">
        <v>4</v>
      </c>
      <c r="B8" s="8" t="inlineStr">
        <is>
          <t>Bê tông thân cống B20 (M250)</t>
        </is>
      </c>
      <c r="C8" s="4" t="inlineStr">
        <is>
          <t>m3</t>
        </is>
      </c>
      <c r="D8" s="26" t="n">
        <v>11870</v>
      </c>
      <c r="E8" s="5" t="n">
        <v>1450000</v>
      </c>
      <c r="F8" s="26" t="n">
        <v>0</v>
      </c>
      <c r="G8" s="26" t="n">
        <v>3500</v>
      </c>
      <c r="H8" s="5">
        <f>G8*E8</f>
        <v/>
      </c>
      <c r="I8" s="26">
        <f>F8+G8</f>
        <v/>
      </c>
      <c r="J8" s="44">
        <f>SUM(QS_DIEN_GIAI_CHI_TIET!I8:I10)</f>
        <v/>
      </c>
      <c r="K8" s="48">
        <f>J8/D8-1</f>
        <v/>
      </c>
      <c r="L8" s="42">
        <f>IF(ABS(K8)&lt;=0.005,"Khớp","LỆCH - QS xác nhận")</f>
        <v/>
      </c>
    </row>
    <row r="9" ht="20" customHeight="1">
      <c r="A9" s="4" t="n">
        <v>5</v>
      </c>
      <c r="B9" s="8" t="inlineStr">
        <is>
          <t>Ván khuôn thân cống tiếp xúc</t>
        </is>
      </c>
      <c r="C9" s="4" t="inlineStr">
        <is>
          <t>m2</t>
        </is>
      </c>
      <c r="D9" s="26" t="n">
        <v>44941</v>
      </c>
      <c r="E9" s="5" t="n">
        <v>165000</v>
      </c>
      <c r="F9" s="26" t="n">
        <v>0</v>
      </c>
      <c r="G9" s="26" t="n">
        <v>14000</v>
      </c>
      <c r="H9" s="5">
        <f>G9*E9</f>
        <v/>
      </c>
      <c r="I9" s="26">
        <f>F9+G9</f>
        <v/>
      </c>
      <c r="J9" s="44">
        <f>SUM(QS_DIEN_GIAI_CHI_TIET!I11:I13)</f>
        <v/>
      </c>
      <c r="K9" s="48">
        <f>J9/D9-1</f>
        <v/>
      </c>
      <c r="L9" s="42">
        <f>IF(ABS(K9)&lt;=0.005,"Khớp","LỆCH - QS xác nhận")</f>
        <v/>
      </c>
    </row>
    <row r="10" ht="20" customHeight="1">
      <c r="A10" s="4" t="n">
        <v>6</v>
      </c>
      <c r="B10" s="8" t="inlineStr">
        <is>
          <t>Cốt thép cống hộp các loại</t>
        </is>
      </c>
      <c r="C10" s="4" t="inlineStr">
        <is>
          <t>tấn</t>
        </is>
      </c>
      <c r="D10" s="26" t="n">
        <v>753.4</v>
      </c>
      <c r="E10" s="5" t="n">
        <v>21500000</v>
      </c>
      <c r="F10" s="26" t="n">
        <v>0</v>
      </c>
      <c r="G10" s="26" t="n">
        <v>220</v>
      </c>
      <c r="H10" s="5">
        <f>G10*E10</f>
        <v/>
      </c>
      <c r="I10" s="26">
        <f>F10+G10</f>
        <v/>
      </c>
      <c r="J10" s="44">
        <f>THONG_KE_THEP_CHI_TIET!J24/1000</f>
        <v/>
      </c>
      <c r="K10" s="48">
        <f>J10/D10-1</f>
        <v/>
      </c>
      <c r="L10" s="42">
        <f>IF(ABS(K10)&lt;=0.005,"Khớp","LỆCH - QS xác nhận")</f>
        <v/>
      </c>
    </row>
    <row r="11" ht="22" customHeight="1">
      <c r="A11" s="9" t="inlineStr"/>
      <c r="B11" s="10" t="inlineStr">
        <is>
          <t>TỔNG GIÁ TRỊ HOÀN THÀNH KỲ NÀY (TRƯỚC THUẾ)</t>
        </is>
      </c>
      <c r="C11" s="17" t="n"/>
      <c r="D11" s="17" t="n"/>
      <c r="E11" s="17" t="n"/>
      <c r="F11" s="17" t="n"/>
      <c r="G11" s="17" t="n"/>
      <c r="H11" s="24">
        <f>SUM(H5:H10)</f>
        <v/>
      </c>
      <c r="I11" s="9" t="inlineStr"/>
    </row>
    <row r="12">
      <c r="B12" s="27" t="inlineStr">
        <is>
          <t>1. Giảm trừ thu hồi tạm ứng hợp đồng (20%)</t>
        </is>
      </c>
      <c r="H12" s="28">
        <f>H11*0.20</f>
        <v/>
      </c>
    </row>
    <row r="13">
      <c r="B13" s="27" t="inlineStr">
        <is>
          <t>2. Giảm trừ tiền bảo hành giữ lại (5%)</t>
        </is>
      </c>
      <c r="H13" s="28">
        <f>H11*0.05</f>
        <v/>
      </c>
    </row>
    <row r="14">
      <c r="B14" s="29" t="inlineStr">
        <is>
          <t>3. THUẾ GIÁ TRỊ GIA TĂNG VAT (10%)</t>
        </is>
      </c>
      <c r="H14" s="28">
        <f>H11*0.10</f>
        <v/>
      </c>
    </row>
    <row r="15">
      <c r="B15" s="30" t="inlineStr">
        <is>
          <t>GIÁ TRỊ ĐỀ NGHỊ THANH TOÁN THỰC NHẬN KỲ NÀY</t>
        </is>
      </c>
      <c r="H15" s="31">
        <f>H11-H12-H13+H14</f>
        <v/>
      </c>
    </row>
    <row r="17" ht="48" customHeight="1">
      <c r="B17" s="41" t="inlineStr">
        <is>
          <t>Cột D (khối lượng hợp đồng) là SỐ NHẬP từ hợp đồng; cột J..L chỉ đối chiếu với bóc tách, không ghi đè. Ván khuôn dùng số đang áp dụng trong bảng diễn giải (xem cột T của sheet diễn giải).</t>
        </is>
      </c>
    </row>
  </sheetData>
  <mergeCells count="1">
    <mergeCell ref="B17:I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8" customWidth="1" min="4" max="4"/>
    <col width="14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1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49" t="inlineStr">
        <is>
          <t>BẢNG TIẾN ĐỘ THI CÔNG CHI TIẾT WBS &amp; ĐƯỜNG GĂNG CPM — CỐNG HỘP TUYẾN A5 (TOÀN TUYẾN)</t>
        </is>
      </c>
    </row>
    <row r="2">
      <c r="A2" s="2" t="inlineStr">
        <is>
          <t>Ngày khởi công: 01/10/2026 | Phương pháp: Critical Path Method (CPM Forward/Backward Pass)</t>
        </is>
      </c>
      <c r="N2" s="50" t="inlineStr">
        <is>
          <t>Ngày khởi công:</t>
        </is>
      </c>
      <c r="R2" s="51" t="n">
        <v>46296</v>
      </c>
      <c r="V2" s="50" t="inlineStr">
        <is>
          <t>Hoàn thành tính toán:</t>
        </is>
      </c>
      <c r="Z2" s="52">
        <f>MAX($J$7:$J$18)</f>
        <v/>
      </c>
      <c r="AD2" s="50" t="inlineStr">
        <is>
          <t>Tổng thời gian thi công:</t>
        </is>
      </c>
      <c r="AH2" s="53">
        <f>Z2-$R$2+1</f>
        <v/>
      </c>
    </row>
    <row r="3">
      <c r="N3" s="50" t="inlineStr">
        <is>
          <t>Hạn hoàn thành:</t>
        </is>
      </c>
      <c r="R3" s="51" t="n">
        <v>46477</v>
      </c>
      <c r="V3" s="50" t="inlineStr">
        <is>
          <t>Dự phòng so với hạn:</t>
        </is>
      </c>
      <c r="Z3" s="53">
        <f>$R$3-Z2</f>
        <v/>
      </c>
      <c r="AD3" s="50" t="inlineStr">
        <is>
          <t>Đánh giá tiến độ:</t>
        </is>
      </c>
      <c r="AH3" s="54">
        <f>IF(Z2&lt;=$R$3,"ĐẠT TIẾN ĐỘ","TRỄ TIẾN ĐỘ")</f>
        <v/>
      </c>
    </row>
    <row r="4" ht="25" customHeight="1">
      <c r="A4" s="3" t="inlineStr">
        <is>
          <t>MÃ CV</t>
        </is>
      </c>
      <c r="B4" s="3" t="inlineStr">
        <is>
          <t>TÊN CÔNG TÁC THI CÔNG WBS</t>
        </is>
      </c>
      <c r="C4" s="3" t="inlineStr">
        <is>
          <t>THỜI LƯỢNG (Ngày)</t>
        </is>
      </c>
      <c r="D4" s="3" t="inlineStr">
        <is>
          <t>CÔNG VIỆC TIỀN NHIỆM</t>
        </is>
      </c>
      <c r="E4" s="3" t="inlineStr">
        <is>
          <t>ES (Sớm)</t>
        </is>
      </c>
      <c r="F4" s="3" t="inlineStr">
        <is>
          <t>EF (Sớm)</t>
        </is>
      </c>
      <c r="G4" s="3" t="inlineStr">
        <is>
          <t>LS (Muộn)</t>
        </is>
      </c>
      <c r="H4" s="3" t="inlineStr">
        <is>
          <t>LF (Muộn)</t>
        </is>
      </c>
      <c r="I4" s="3" t="inlineStr">
        <is>
          <t>DỰ TRỮ TF</t>
        </is>
      </c>
      <c r="J4" s="3" t="inlineStr">
        <is>
          <t>ĐƯỜNG GĂNG</t>
        </is>
      </c>
      <c r="N4" s="50" t="inlineStr">
        <is>
          <t>Chế độ Gantt (1:Kế hoạch, 2:Nhân công, 3:Ca):</t>
        </is>
      </c>
      <c r="R4" s="55" t="n">
        <v>1</v>
      </c>
    </row>
    <row r="5" ht="20" customHeight="1">
      <c r="A5" s="4" t="inlineStr">
        <is>
          <t>CV-01</t>
        </is>
      </c>
      <c r="B5" s="8" t="inlineStr">
        <is>
          <t>Bàn giao mặt bằng &amp; Định vị tim mốc trắc đạc</t>
        </is>
      </c>
      <c r="C5" s="4" t="n">
        <v>5</v>
      </c>
      <c r="D5" s="4" t="inlineStr">
        <is>
          <t>-</t>
        </is>
      </c>
      <c r="E5" s="4" t="n">
        <v>0</v>
      </c>
      <c r="F5" s="4" t="n">
        <v>5</v>
      </c>
      <c r="G5" s="4" t="n">
        <v>0</v>
      </c>
      <c r="H5" s="4" t="n">
        <v>5</v>
      </c>
      <c r="I5" s="4" t="n">
        <v>0</v>
      </c>
      <c r="J5" s="32" t="inlineStr">
        <is>
          <t>CRITICAL</t>
        </is>
      </c>
      <c r="M5" s="56" t="inlineStr">
        <is>
          <t>BIỂU ĐỒ TIẾN ĐỘ THI CÔNG TUẦN (GANTT CHART)</t>
        </is>
      </c>
    </row>
    <row r="6" ht="20" customHeight="1">
      <c r="A6" s="57" t="inlineStr">
        <is>
          <t>MÃ CV</t>
        </is>
      </c>
      <c r="B6" s="57" t="inlineStr">
        <is>
          <t>TÊN CÔNG TÁC THI CÔNG WBS</t>
        </is>
      </c>
      <c r="C6" s="57" t="inlineStr">
        <is>
          <t>KHỐI LƯỢNG</t>
        </is>
      </c>
      <c r="D6" s="57" t="inlineStr">
        <is>
          <t>ĐVT</t>
        </is>
      </c>
      <c r="E6" s="57" t="inlineStr">
        <is>
          <t>NĂNG SUẤT/CA</t>
        </is>
      </c>
      <c r="F6" s="57" t="inlineStr">
        <is>
          <t>CA/NGÀY</t>
        </is>
      </c>
      <c r="G6" s="57" t="inlineStr">
        <is>
          <t>NHÂN LỰC/TỔ</t>
        </is>
      </c>
      <c r="H6" s="57" t="inlineStr">
        <is>
          <t>SỐ NGÀY</t>
        </is>
      </c>
      <c r="I6" s="57" t="inlineStr">
        <is>
          <t>NGÀY BẮT ĐẦU</t>
        </is>
      </c>
      <c r="J6" s="57" t="inlineStr">
        <is>
          <t>NGÀY KẾT THÚC</t>
        </is>
      </c>
      <c r="K6" s="58" t="inlineStr">
        <is>
          <t>TIỀN NHIỆM</t>
        </is>
      </c>
      <c r="L6" s="58" t="inlineStr">
        <is>
          <t>ĐƯỜNG GĂNG</t>
        </is>
      </c>
      <c r="M6" s="58" t="inlineStr">
        <is>
          <t>T1</t>
        </is>
      </c>
      <c r="N6" s="58" t="inlineStr">
        <is>
          <t>T2</t>
        </is>
      </c>
      <c r="O6" s="58" t="inlineStr">
        <is>
          <t>T3</t>
        </is>
      </c>
      <c r="P6" s="58" t="inlineStr">
        <is>
          <t>T4</t>
        </is>
      </c>
      <c r="Q6" s="58" t="inlineStr">
        <is>
          <t>T5</t>
        </is>
      </c>
      <c r="R6" s="58" t="inlineStr">
        <is>
          <t>T6</t>
        </is>
      </c>
      <c r="S6" s="58" t="inlineStr">
        <is>
          <t>T7</t>
        </is>
      </c>
      <c r="T6" s="58" t="inlineStr">
        <is>
          <t>T8</t>
        </is>
      </c>
      <c r="U6" s="58" t="inlineStr">
        <is>
          <t>T9</t>
        </is>
      </c>
      <c r="V6" s="58" t="inlineStr">
        <is>
          <t>T10</t>
        </is>
      </c>
      <c r="W6" s="58" t="inlineStr">
        <is>
          <t>T11</t>
        </is>
      </c>
      <c r="X6" s="58" t="inlineStr">
        <is>
          <t>T12</t>
        </is>
      </c>
      <c r="Y6" s="58" t="inlineStr">
        <is>
          <t>T13</t>
        </is>
      </c>
      <c r="Z6" s="58" t="inlineStr">
        <is>
          <t>T14</t>
        </is>
      </c>
      <c r="AA6" s="58" t="inlineStr">
        <is>
          <t>T15</t>
        </is>
      </c>
      <c r="AB6" s="58" t="inlineStr">
        <is>
          <t>T16</t>
        </is>
      </c>
      <c r="AC6" s="58" t="inlineStr">
        <is>
          <t>T17</t>
        </is>
      </c>
      <c r="AD6" s="58" t="inlineStr">
        <is>
          <t>T18</t>
        </is>
      </c>
      <c r="AE6" s="58" t="inlineStr">
        <is>
          <t>T19</t>
        </is>
      </c>
      <c r="AF6" s="58" t="inlineStr">
        <is>
          <t>T20</t>
        </is>
      </c>
      <c r="AG6" s="58" t="inlineStr">
        <is>
          <t>T21</t>
        </is>
      </c>
      <c r="AH6" s="58" t="inlineStr">
        <is>
          <t>T22</t>
        </is>
      </c>
      <c r="AI6" s="58" t="inlineStr">
        <is>
          <t>T23</t>
        </is>
      </c>
      <c r="AJ6" s="58" t="inlineStr">
        <is>
          <t>T24</t>
        </is>
      </c>
      <c r="AK6" s="58" t="inlineStr">
        <is>
          <t>T25</t>
        </is>
      </c>
      <c r="AL6" s="58" t="inlineStr">
        <is>
          <t>T26</t>
        </is>
      </c>
    </row>
    <row r="7" ht="20" customHeight="1">
      <c r="A7" s="59" t="inlineStr">
        <is>
          <t>CV-01</t>
        </is>
      </c>
      <c r="B7" s="60" t="inlineStr">
        <is>
          <t>Bàn giao mặt bằng &amp; Định vị tim mốc trắc đạc</t>
        </is>
      </c>
      <c r="C7" s="61" t="n">
        <v>2200</v>
      </c>
      <c r="D7" s="59" t="inlineStr">
        <is>
          <t>m</t>
        </is>
      </c>
      <c r="E7" s="61" t="n">
        <v>440</v>
      </c>
      <c r="F7" s="59" t="n">
        <v>1</v>
      </c>
      <c r="G7" s="59" t="n">
        <v>6</v>
      </c>
      <c r="H7" s="62" t="n">
        <v>5</v>
      </c>
      <c r="I7" s="63">
        <f>$R$2</f>
        <v/>
      </c>
      <c r="J7" s="64">
        <f>I7+H7-1</f>
        <v/>
      </c>
      <c r="K7" s="65" t="inlineStr">
        <is>
          <t>-</t>
        </is>
      </c>
      <c r="L7" s="66" t="inlineStr">
        <is>
          <t>CRITICAL</t>
        </is>
      </c>
      <c r="M7" s="67">
        <f>IF(AND($I7&lt;=($R$2+6),$J7&gt;=($R$2+0)),IF($R$4=1,1,IF($R$4=2,$G7,$F7)),"")</f>
        <v/>
      </c>
      <c r="N7" s="67">
        <f>IF(AND($I7&lt;=($R$2+13),$J7&gt;=($R$2+7)),IF($R$4=1,1,IF($R$4=2,$G7,$F7)),"")</f>
        <v/>
      </c>
      <c r="O7" s="67">
        <f>IF(AND($I7&lt;=($R$2+20),$J7&gt;=($R$2+14)),IF($R$4=1,1,IF($R$4=2,$G7,$F7)),"")</f>
        <v/>
      </c>
      <c r="P7" s="67">
        <f>IF(AND($I7&lt;=($R$2+27),$J7&gt;=($R$2+21)),IF($R$4=1,1,IF($R$4=2,$G7,$F7)),"")</f>
        <v/>
      </c>
      <c r="Q7" s="67">
        <f>IF(AND($I7&lt;=($R$2+34),$J7&gt;=($R$2+28)),IF($R$4=1,1,IF($R$4=2,$G7,$F7)),"")</f>
        <v/>
      </c>
      <c r="R7" s="67">
        <f>IF(AND($I7&lt;=($R$2+41),$J7&gt;=($R$2+35)),IF($R$4=1,1,IF($R$4=2,$G7,$F7)),"")</f>
        <v/>
      </c>
      <c r="S7" s="67">
        <f>IF(AND($I7&lt;=($R$2+48),$J7&gt;=($R$2+42)),IF($R$4=1,1,IF($R$4=2,$G7,$F7)),"")</f>
        <v/>
      </c>
      <c r="T7" s="67">
        <f>IF(AND($I7&lt;=($R$2+55),$J7&gt;=($R$2+49)),IF($R$4=1,1,IF($R$4=2,$G7,$F7)),"")</f>
        <v/>
      </c>
      <c r="U7" s="67">
        <f>IF(AND($I7&lt;=($R$2+62),$J7&gt;=($R$2+56)),IF($R$4=1,1,IF($R$4=2,$G7,$F7)),"")</f>
        <v/>
      </c>
      <c r="V7" s="67">
        <f>IF(AND($I7&lt;=($R$2+69),$J7&gt;=($R$2+63)),IF($R$4=1,1,IF($R$4=2,$G7,$F7)),"")</f>
        <v/>
      </c>
      <c r="W7" s="67">
        <f>IF(AND($I7&lt;=($R$2+76),$J7&gt;=($R$2+70)),IF($R$4=1,1,IF($R$4=2,$G7,$F7)),"")</f>
        <v/>
      </c>
      <c r="X7" s="67">
        <f>IF(AND($I7&lt;=($R$2+83),$J7&gt;=($R$2+77)),IF($R$4=1,1,IF($R$4=2,$G7,$F7)),"")</f>
        <v/>
      </c>
      <c r="Y7" s="67">
        <f>IF(AND($I7&lt;=($R$2+90),$J7&gt;=($R$2+84)),IF($R$4=1,1,IF($R$4=2,$G7,$F7)),"")</f>
        <v/>
      </c>
      <c r="Z7" s="67">
        <f>IF(AND($I7&lt;=($R$2+97),$J7&gt;=($R$2+91)),IF($R$4=1,1,IF($R$4=2,$G7,$F7)),"")</f>
        <v/>
      </c>
      <c r="AA7" s="67">
        <f>IF(AND($I7&lt;=($R$2+104),$J7&gt;=($R$2+98)),IF($R$4=1,1,IF($R$4=2,$G7,$F7)),"")</f>
        <v/>
      </c>
      <c r="AB7" s="67">
        <f>IF(AND($I7&lt;=($R$2+111),$J7&gt;=($R$2+105)),IF($R$4=1,1,IF($R$4=2,$G7,$F7)),"")</f>
        <v/>
      </c>
      <c r="AC7" s="67">
        <f>IF(AND($I7&lt;=($R$2+118),$J7&gt;=($R$2+112)),IF($R$4=1,1,IF($R$4=2,$G7,$F7)),"")</f>
        <v/>
      </c>
      <c r="AD7" s="67">
        <f>IF(AND($I7&lt;=($R$2+125),$J7&gt;=($R$2+119)),IF($R$4=1,1,IF($R$4=2,$G7,$F7)),"")</f>
        <v/>
      </c>
      <c r="AE7" s="67">
        <f>IF(AND($I7&lt;=($R$2+132),$J7&gt;=($R$2+126)),IF($R$4=1,1,IF($R$4=2,$G7,$F7)),"")</f>
        <v/>
      </c>
      <c r="AF7" s="67">
        <f>IF(AND($I7&lt;=($R$2+139),$J7&gt;=($R$2+133)),IF($R$4=1,1,IF($R$4=2,$G7,$F7)),"")</f>
        <v/>
      </c>
      <c r="AG7" s="67">
        <f>IF(AND($I7&lt;=($R$2+146),$J7&gt;=($R$2+140)),IF($R$4=1,1,IF($R$4=2,$G7,$F7)),"")</f>
        <v/>
      </c>
      <c r="AH7" s="67">
        <f>IF(AND($I7&lt;=($R$2+153),$J7&gt;=($R$2+147)),IF($R$4=1,1,IF($R$4=2,$G7,$F7)),"")</f>
        <v/>
      </c>
      <c r="AI7" s="67">
        <f>IF(AND($I7&lt;=($R$2+160),$J7&gt;=($R$2+154)),IF($R$4=1,1,IF($R$4=2,$G7,$F7)),"")</f>
        <v/>
      </c>
      <c r="AJ7" s="67">
        <f>IF(AND($I7&lt;=($R$2+167),$J7&gt;=($R$2+161)),IF($R$4=1,1,IF($R$4=2,$G7,$F7)),"")</f>
        <v/>
      </c>
      <c r="AK7" s="67">
        <f>IF(AND($I7&lt;=($R$2+174),$J7&gt;=($R$2+168)),IF($R$4=1,1,IF($R$4=2,$G7,$F7)),"")</f>
        <v/>
      </c>
      <c r="AL7" s="67">
        <f>IF(AND($I7&lt;=($R$2+181),$J7&gt;=($R$2+175)),IF($R$4=1,1,IF($R$4=2,$G7,$F7)),"")</f>
        <v/>
      </c>
    </row>
    <row r="8" ht="20" customHeight="1">
      <c r="A8" s="59" t="inlineStr">
        <is>
          <t>CV-02</t>
        </is>
      </c>
      <c r="B8" s="60" t="inlineStr">
        <is>
          <t>Đào hố móng phân đoạn 1 (Cống 2x2)</t>
        </is>
      </c>
      <c r="C8" s="61" t="n">
        <v>3500</v>
      </c>
      <c r="D8" s="59" t="inlineStr">
        <is>
          <t>m3</t>
        </is>
      </c>
      <c r="E8" s="61" t="n">
        <v>233.33</v>
      </c>
      <c r="F8" s="59" t="n">
        <v>1</v>
      </c>
      <c r="G8" s="59" t="n">
        <v>4</v>
      </c>
      <c r="H8" s="62" t="n">
        <v>15</v>
      </c>
      <c r="I8" s="63">
        <f>J7+1</f>
        <v/>
      </c>
      <c r="J8" s="64">
        <f>I8+H8-1</f>
        <v/>
      </c>
      <c r="K8" s="65" t="inlineStr">
        <is>
          <t>CV-01</t>
        </is>
      </c>
      <c r="L8" s="66" t="inlineStr">
        <is>
          <t>CRITICAL</t>
        </is>
      </c>
      <c r="M8" s="67">
        <f>IF(AND($I8&lt;=($R$2+6),$J8&gt;=($R$2+0)),IF($R$4=1,1,IF($R$4=2,$G8,$F8)),"")</f>
        <v/>
      </c>
      <c r="N8" s="67">
        <f>IF(AND($I8&lt;=($R$2+13),$J8&gt;=($R$2+7)),IF($R$4=1,1,IF($R$4=2,$G8,$F8)),"")</f>
        <v/>
      </c>
      <c r="O8" s="67">
        <f>IF(AND($I8&lt;=($R$2+20),$J8&gt;=($R$2+14)),IF($R$4=1,1,IF($R$4=2,$G8,$F8)),"")</f>
        <v/>
      </c>
      <c r="P8" s="67">
        <f>IF(AND($I8&lt;=($R$2+27),$J8&gt;=($R$2+21)),IF($R$4=1,1,IF($R$4=2,$G8,$F8)),"")</f>
        <v/>
      </c>
      <c r="Q8" s="67">
        <f>IF(AND($I8&lt;=($R$2+34),$J8&gt;=($R$2+28)),IF($R$4=1,1,IF($R$4=2,$G8,$F8)),"")</f>
        <v/>
      </c>
      <c r="R8" s="67">
        <f>IF(AND($I8&lt;=($R$2+41),$J8&gt;=($R$2+35)),IF($R$4=1,1,IF($R$4=2,$G8,$F8)),"")</f>
        <v/>
      </c>
      <c r="S8" s="67">
        <f>IF(AND($I8&lt;=($R$2+48),$J8&gt;=($R$2+42)),IF($R$4=1,1,IF($R$4=2,$G8,$F8)),"")</f>
        <v/>
      </c>
      <c r="T8" s="67">
        <f>IF(AND($I8&lt;=($R$2+55),$J8&gt;=($R$2+49)),IF($R$4=1,1,IF($R$4=2,$G8,$F8)),"")</f>
        <v/>
      </c>
      <c r="U8" s="67">
        <f>IF(AND($I8&lt;=($R$2+62),$J8&gt;=($R$2+56)),IF($R$4=1,1,IF($R$4=2,$G8,$F8)),"")</f>
        <v/>
      </c>
      <c r="V8" s="67">
        <f>IF(AND($I8&lt;=($R$2+69),$J8&gt;=($R$2+63)),IF($R$4=1,1,IF($R$4=2,$G8,$F8)),"")</f>
        <v/>
      </c>
      <c r="W8" s="67">
        <f>IF(AND($I8&lt;=($R$2+76),$J8&gt;=($R$2+70)),IF($R$4=1,1,IF($R$4=2,$G8,$F8)),"")</f>
        <v/>
      </c>
      <c r="X8" s="67">
        <f>IF(AND($I8&lt;=($R$2+83),$J8&gt;=($R$2+77)),IF($R$4=1,1,IF($R$4=2,$G8,$F8)),"")</f>
        <v/>
      </c>
      <c r="Y8" s="67">
        <f>IF(AND($I8&lt;=($R$2+90),$J8&gt;=($R$2+84)),IF($R$4=1,1,IF($R$4=2,$G8,$F8)),"")</f>
        <v/>
      </c>
      <c r="Z8" s="67">
        <f>IF(AND($I8&lt;=($R$2+97),$J8&gt;=($R$2+91)),IF($R$4=1,1,IF($R$4=2,$G8,$F8)),"")</f>
        <v/>
      </c>
      <c r="AA8" s="67">
        <f>IF(AND($I8&lt;=($R$2+104),$J8&gt;=($R$2+98)),IF($R$4=1,1,IF($R$4=2,$G8,$F8)),"")</f>
        <v/>
      </c>
      <c r="AB8" s="67">
        <f>IF(AND($I8&lt;=($R$2+111),$J8&gt;=($R$2+105)),IF($R$4=1,1,IF($R$4=2,$G8,$F8)),"")</f>
        <v/>
      </c>
      <c r="AC8" s="67">
        <f>IF(AND($I8&lt;=($R$2+118),$J8&gt;=($R$2+112)),IF($R$4=1,1,IF($R$4=2,$G8,$F8)),"")</f>
        <v/>
      </c>
      <c r="AD8" s="67">
        <f>IF(AND($I8&lt;=($R$2+125),$J8&gt;=($R$2+119)),IF($R$4=1,1,IF($R$4=2,$G8,$F8)),"")</f>
        <v/>
      </c>
      <c r="AE8" s="67">
        <f>IF(AND($I8&lt;=($R$2+132),$J8&gt;=($R$2+126)),IF($R$4=1,1,IF($R$4=2,$G8,$F8)),"")</f>
        <v/>
      </c>
      <c r="AF8" s="67">
        <f>IF(AND($I8&lt;=($R$2+139),$J8&gt;=($R$2+133)),IF($R$4=1,1,IF($R$4=2,$G8,$F8)),"")</f>
        <v/>
      </c>
      <c r="AG8" s="67">
        <f>IF(AND($I8&lt;=($R$2+146),$J8&gt;=($R$2+140)),IF($R$4=1,1,IF($R$4=2,$G8,$F8)),"")</f>
        <v/>
      </c>
      <c r="AH8" s="67">
        <f>IF(AND($I8&lt;=($R$2+153),$J8&gt;=($R$2+147)),IF($R$4=1,1,IF($R$4=2,$G8,$F8)),"")</f>
        <v/>
      </c>
      <c r="AI8" s="67">
        <f>IF(AND($I8&lt;=($R$2+160),$J8&gt;=($R$2+154)),IF($R$4=1,1,IF($R$4=2,$G8,$F8)),"")</f>
        <v/>
      </c>
      <c r="AJ8" s="67">
        <f>IF(AND($I8&lt;=($R$2+167),$J8&gt;=($R$2+161)),IF($R$4=1,1,IF($R$4=2,$G8,$F8)),"")</f>
        <v/>
      </c>
      <c r="AK8" s="67">
        <f>IF(AND($I8&lt;=($R$2+174),$J8&gt;=($R$2+168)),IF($R$4=1,1,IF($R$4=2,$G8,$F8)),"")</f>
        <v/>
      </c>
      <c r="AL8" s="67">
        <f>IF(AND($I8&lt;=($R$2+181),$J8&gt;=($R$2+175)),IF($R$4=1,1,IF($R$4=2,$G8,$F8)),"")</f>
        <v/>
      </c>
    </row>
    <row r="9" ht="20" customHeight="1">
      <c r="A9" s="59" t="inlineStr">
        <is>
          <t>CV-03</t>
        </is>
      </c>
      <c r="B9" s="60" t="inlineStr">
        <is>
          <t>Đóng cọc tre &amp; Đệm cát đầu cọc phân đoạn 1</t>
        </is>
      </c>
      <c r="C9" s="61" t="n">
        <v>1200</v>
      </c>
      <c r="D9" s="59" t="inlineStr">
        <is>
          <t>m3</t>
        </is>
      </c>
      <c r="E9" s="61" t="n">
        <v>120</v>
      </c>
      <c r="F9" s="59" t="n">
        <v>1</v>
      </c>
      <c r="G9" s="59" t="n">
        <v>6</v>
      </c>
      <c r="H9" s="62" t="n">
        <v>10</v>
      </c>
      <c r="I9" s="63">
        <f>J8+1</f>
        <v/>
      </c>
      <c r="J9" s="64">
        <f>I9+H9-1</f>
        <v/>
      </c>
      <c r="K9" s="65" t="inlineStr">
        <is>
          <t>CV-02</t>
        </is>
      </c>
      <c r="L9" s="66" t="inlineStr">
        <is>
          <t>CRITICAL</t>
        </is>
      </c>
      <c r="M9" s="67">
        <f>IF(AND($I9&lt;=($R$2+6),$J9&gt;=($R$2+0)),IF($R$4=1,1,IF($R$4=2,$G9,$F9)),"")</f>
        <v/>
      </c>
      <c r="N9" s="67">
        <f>IF(AND($I9&lt;=($R$2+13),$J9&gt;=($R$2+7)),IF($R$4=1,1,IF($R$4=2,$G9,$F9)),"")</f>
        <v/>
      </c>
      <c r="O9" s="67">
        <f>IF(AND($I9&lt;=($R$2+20),$J9&gt;=($R$2+14)),IF($R$4=1,1,IF($R$4=2,$G9,$F9)),"")</f>
        <v/>
      </c>
      <c r="P9" s="67">
        <f>IF(AND($I9&lt;=($R$2+27),$J9&gt;=($R$2+21)),IF($R$4=1,1,IF($R$4=2,$G9,$F9)),"")</f>
        <v/>
      </c>
      <c r="Q9" s="67">
        <f>IF(AND($I9&lt;=($R$2+34),$J9&gt;=($R$2+28)),IF($R$4=1,1,IF($R$4=2,$G9,$F9)),"")</f>
        <v/>
      </c>
      <c r="R9" s="67">
        <f>IF(AND($I9&lt;=($R$2+41),$J9&gt;=($R$2+35)),IF($R$4=1,1,IF($R$4=2,$G9,$F9)),"")</f>
        <v/>
      </c>
      <c r="S9" s="67">
        <f>IF(AND($I9&lt;=($R$2+48),$J9&gt;=($R$2+42)),IF($R$4=1,1,IF($R$4=2,$G9,$F9)),"")</f>
        <v/>
      </c>
      <c r="T9" s="67">
        <f>IF(AND($I9&lt;=($R$2+55),$J9&gt;=($R$2+49)),IF($R$4=1,1,IF($R$4=2,$G9,$F9)),"")</f>
        <v/>
      </c>
      <c r="U9" s="67">
        <f>IF(AND($I9&lt;=($R$2+62),$J9&gt;=($R$2+56)),IF($R$4=1,1,IF($R$4=2,$G9,$F9)),"")</f>
        <v/>
      </c>
      <c r="V9" s="67">
        <f>IF(AND($I9&lt;=($R$2+69),$J9&gt;=($R$2+63)),IF($R$4=1,1,IF($R$4=2,$G9,$F9)),"")</f>
        <v/>
      </c>
      <c r="W9" s="67">
        <f>IF(AND($I9&lt;=($R$2+76),$J9&gt;=($R$2+70)),IF($R$4=1,1,IF($R$4=2,$G9,$F9)),"")</f>
        <v/>
      </c>
      <c r="X9" s="67">
        <f>IF(AND($I9&lt;=($R$2+83),$J9&gt;=($R$2+77)),IF($R$4=1,1,IF($R$4=2,$G9,$F9)),"")</f>
        <v/>
      </c>
      <c r="Y9" s="67">
        <f>IF(AND($I9&lt;=($R$2+90),$J9&gt;=($R$2+84)),IF($R$4=1,1,IF($R$4=2,$G9,$F9)),"")</f>
        <v/>
      </c>
      <c r="Z9" s="67">
        <f>IF(AND($I9&lt;=($R$2+97),$J9&gt;=($R$2+91)),IF($R$4=1,1,IF($R$4=2,$G9,$F9)),"")</f>
        <v/>
      </c>
      <c r="AA9" s="67">
        <f>IF(AND($I9&lt;=($R$2+104),$J9&gt;=($R$2+98)),IF($R$4=1,1,IF($R$4=2,$G9,$F9)),"")</f>
        <v/>
      </c>
      <c r="AB9" s="67">
        <f>IF(AND($I9&lt;=($R$2+111),$J9&gt;=($R$2+105)),IF($R$4=1,1,IF($R$4=2,$G9,$F9)),"")</f>
        <v/>
      </c>
      <c r="AC9" s="67">
        <f>IF(AND($I9&lt;=($R$2+118),$J9&gt;=($R$2+112)),IF($R$4=1,1,IF($R$4=2,$G9,$F9)),"")</f>
        <v/>
      </c>
      <c r="AD9" s="67">
        <f>IF(AND($I9&lt;=($R$2+125),$J9&gt;=($R$2+119)),IF($R$4=1,1,IF($R$4=2,$G9,$F9)),"")</f>
        <v/>
      </c>
      <c r="AE9" s="67">
        <f>IF(AND($I9&lt;=($R$2+132),$J9&gt;=($R$2+126)),IF($R$4=1,1,IF($R$4=2,$G9,$F9)),"")</f>
        <v/>
      </c>
      <c r="AF9" s="67">
        <f>IF(AND($I9&lt;=($R$2+139),$J9&gt;=($R$2+133)),IF($R$4=1,1,IF($R$4=2,$G9,$F9)),"")</f>
        <v/>
      </c>
      <c r="AG9" s="67">
        <f>IF(AND($I9&lt;=($R$2+146),$J9&gt;=($R$2+140)),IF($R$4=1,1,IF($R$4=2,$G9,$F9)),"")</f>
        <v/>
      </c>
      <c r="AH9" s="67">
        <f>IF(AND($I9&lt;=($R$2+153),$J9&gt;=($R$2+147)),IF($R$4=1,1,IF($R$4=2,$G9,$F9)),"")</f>
        <v/>
      </c>
      <c r="AI9" s="67">
        <f>IF(AND($I9&lt;=($R$2+160),$J9&gt;=($R$2+154)),IF($R$4=1,1,IF($R$4=2,$G9,$F9)),"")</f>
        <v/>
      </c>
      <c r="AJ9" s="67">
        <f>IF(AND($I9&lt;=($R$2+167),$J9&gt;=($R$2+161)),IF($R$4=1,1,IF($R$4=2,$G9,$F9)),"")</f>
        <v/>
      </c>
      <c r="AK9" s="67">
        <f>IF(AND($I9&lt;=($R$2+174),$J9&gt;=($R$2+168)),IF($R$4=1,1,IF($R$4=2,$G9,$F9)),"")</f>
        <v/>
      </c>
      <c r="AL9" s="67">
        <f>IF(AND($I9&lt;=($R$2+181),$J9&gt;=($R$2+175)),IF($R$4=1,1,IF($R$4=2,$G9,$F9)),"")</f>
        <v/>
      </c>
    </row>
    <row r="10" ht="20" customHeight="1">
      <c r="A10" s="59" t="inlineStr">
        <is>
          <t>CV-04</t>
        </is>
      </c>
      <c r="B10" s="60" t="inlineStr">
        <is>
          <t>Bê tông lót móng M100 phân đoạn 1</t>
        </is>
      </c>
      <c r="C10" s="61" t="n">
        <v>185</v>
      </c>
      <c r="D10" s="59" t="inlineStr">
        <is>
          <t>m3</t>
        </is>
      </c>
      <c r="E10" s="61" t="n">
        <v>37</v>
      </c>
      <c r="F10" s="59" t="n">
        <v>1</v>
      </c>
      <c r="G10" s="59" t="n">
        <v>6</v>
      </c>
      <c r="H10" s="62" t="n">
        <v>5</v>
      </c>
      <c r="I10" s="63">
        <f>J9+1</f>
        <v/>
      </c>
      <c r="J10" s="64">
        <f>I10+H10-1</f>
        <v/>
      </c>
      <c r="K10" s="65" t="inlineStr">
        <is>
          <t>CV-03</t>
        </is>
      </c>
      <c r="L10" s="66" t="inlineStr">
        <is>
          <t>CRITICAL</t>
        </is>
      </c>
      <c r="M10" s="67">
        <f>IF(AND($I10&lt;=($R$2+6),$J10&gt;=($R$2+0)),IF($R$4=1,1,IF($R$4=2,$G10,$F10)),"")</f>
        <v/>
      </c>
      <c r="N10" s="67">
        <f>IF(AND($I10&lt;=($R$2+13),$J10&gt;=($R$2+7)),IF($R$4=1,1,IF($R$4=2,$G10,$F10)),"")</f>
        <v/>
      </c>
      <c r="O10" s="67">
        <f>IF(AND($I10&lt;=($R$2+20),$J10&gt;=($R$2+14)),IF($R$4=1,1,IF($R$4=2,$G10,$F10)),"")</f>
        <v/>
      </c>
      <c r="P10" s="67">
        <f>IF(AND($I10&lt;=($R$2+27),$J10&gt;=($R$2+21)),IF($R$4=1,1,IF($R$4=2,$G10,$F10)),"")</f>
        <v/>
      </c>
      <c r="Q10" s="67">
        <f>IF(AND($I10&lt;=($R$2+34),$J10&gt;=($R$2+28)),IF($R$4=1,1,IF($R$4=2,$G10,$F10)),"")</f>
        <v/>
      </c>
      <c r="R10" s="67">
        <f>IF(AND($I10&lt;=($R$2+41),$J10&gt;=($R$2+35)),IF($R$4=1,1,IF($R$4=2,$G10,$F10)),"")</f>
        <v/>
      </c>
      <c r="S10" s="67">
        <f>IF(AND($I10&lt;=($R$2+48),$J10&gt;=($R$2+42)),IF($R$4=1,1,IF($R$4=2,$G10,$F10)),"")</f>
        <v/>
      </c>
      <c r="T10" s="67">
        <f>IF(AND($I10&lt;=($R$2+55),$J10&gt;=($R$2+49)),IF($R$4=1,1,IF($R$4=2,$G10,$F10)),"")</f>
        <v/>
      </c>
      <c r="U10" s="67">
        <f>IF(AND($I10&lt;=($R$2+62),$J10&gt;=($R$2+56)),IF($R$4=1,1,IF($R$4=2,$G10,$F10)),"")</f>
        <v/>
      </c>
      <c r="V10" s="67">
        <f>IF(AND($I10&lt;=($R$2+69),$J10&gt;=($R$2+63)),IF($R$4=1,1,IF($R$4=2,$G10,$F10)),"")</f>
        <v/>
      </c>
      <c r="W10" s="67">
        <f>IF(AND($I10&lt;=($R$2+76),$J10&gt;=($R$2+70)),IF($R$4=1,1,IF($R$4=2,$G10,$F10)),"")</f>
        <v/>
      </c>
      <c r="X10" s="67">
        <f>IF(AND($I10&lt;=($R$2+83),$J10&gt;=($R$2+77)),IF($R$4=1,1,IF($R$4=2,$G10,$F10)),"")</f>
        <v/>
      </c>
      <c r="Y10" s="67">
        <f>IF(AND($I10&lt;=($R$2+90),$J10&gt;=($R$2+84)),IF($R$4=1,1,IF($R$4=2,$G10,$F10)),"")</f>
        <v/>
      </c>
      <c r="Z10" s="67">
        <f>IF(AND($I10&lt;=($R$2+97),$J10&gt;=($R$2+91)),IF($R$4=1,1,IF($R$4=2,$G10,$F10)),"")</f>
        <v/>
      </c>
      <c r="AA10" s="67">
        <f>IF(AND($I10&lt;=($R$2+104),$J10&gt;=($R$2+98)),IF($R$4=1,1,IF($R$4=2,$G10,$F10)),"")</f>
        <v/>
      </c>
      <c r="AB10" s="67">
        <f>IF(AND($I10&lt;=($R$2+111),$J10&gt;=($R$2+105)),IF($R$4=1,1,IF($R$4=2,$G10,$F10)),"")</f>
        <v/>
      </c>
      <c r="AC10" s="67">
        <f>IF(AND($I10&lt;=($R$2+118),$J10&gt;=($R$2+112)),IF($R$4=1,1,IF($R$4=2,$G10,$F10)),"")</f>
        <v/>
      </c>
      <c r="AD10" s="67">
        <f>IF(AND($I10&lt;=($R$2+125),$J10&gt;=($R$2+119)),IF($R$4=1,1,IF($R$4=2,$G10,$F10)),"")</f>
        <v/>
      </c>
      <c r="AE10" s="67">
        <f>IF(AND($I10&lt;=($R$2+132),$J10&gt;=($R$2+126)),IF($R$4=1,1,IF($R$4=2,$G10,$F10)),"")</f>
        <v/>
      </c>
      <c r="AF10" s="67">
        <f>IF(AND($I10&lt;=($R$2+139),$J10&gt;=($R$2+133)),IF($R$4=1,1,IF($R$4=2,$G10,$F10)),"")</f>
        <v/>
      </c>
      <c r="AG10" s="67">
        <f>IF(AND($I10&lt;=($R$2+146),$J10&gt;=($R$2+140)),IF($R$4=1,1,IF($R$4=2,$G10,$F10)),"")</f>
        <v/>
      </c>
      <c r="AH10" s="67">
        <f>IF(AND($I10&lt;=($R$2+153),$J10&gt;=($R$2+147)),IF($R$4=1,1,IF($R$4=2,$G10,$F10)),"")</f>
        <v/>
      </c>
      <c r="AI10" s="67">
        <f>IF(AND($I10&lt;=($R$2+160),$J10&gt;=($R$2+154)),IF($R$4=1,1,IF($R$4=2,$G10,$F10)),"")</f>
        <v/>
      </c>
      <c r="AJ10" s="67">
        <f>IF(AND($I10&lt;=($R$2+167),$J10&gt;=($R$2+161)),IF($R$4=1,1,IF($R$4=2,$G10,$F10)),"")</f>
        <v/>
      </c>
      <c r="AK10" s="67">
        <f>IF(AND($I10&lt;=($R$2+174),$J10&gt;=($R$2+168)),IF($R$4=1,1,IF($R$4=2,$G10,$F10)),"")</f>
        <v/>
      </c>
      <c r="AL10" s="67">
        <f>IF(AND($I10&lt;=($R$2+181),$J10&gt;=($R$2+175)),IF($R$4=1,1,IF($R$4=2,$G10,$F10)),"")</f>
        <v/>
      </c>
    </row>
    <row r="11" ht="20" customHeight="1">
      <c r="A11" s="59" t="inlineStr">
        <is>
          <t>CV-05</t>
        </is>
      </c>
      <c r="B11" s="60" t="inlineStr">
        <is>
          <t>Gia công lắp dựng cốt thép &amp; ván khuôn cống 2x2</t>
        </is>
      </c>
      <c r="C11" s="61" t="n">
        <v>450</v>
      </c>
      <c r="D11" s="59" t="inlineStr">
        <is>
          <t>tấn</t>
        </is>
      </c>
      <c r="E11" s="61" t="n">
        <v>22.5</v>
      </c>
      <c r="F11" s="59" t="n">
        <v>1</v>
      </c>
      <c r="G11" s="59" t="n">
        <v>15</v>
      </c>
      <c r="H11" s="62" t="n">
        <v>20</v>
      </c>
      <c r="I11" s="63">
        <f>J10+1</f>
        <v/>
      </c>
      <c r="J11" s="63">
        <f>I11+H11-1</f>
        <v/>
      </c>
      <c r="K11" s="65" t="inlineStr">
        <is>
          <t>CV-04</t>
        </is>
      </c>
      <c r="L11" s="66" t="inlineStr">
        <is>
          <t>CRITICAL</t>
        </is>
      </c>
      <c r="M11" s="67">
        <f>IF(AND($I11&lt;=($R$2+6),$J11&gt;=($R$2+0)),IF($R$4=1,1,IF($R$4=2,$G11,$F11)),"")</f>
        <v/>
      </c>
      <c r="N11" s="67">
        <f>IF(AND($I11&lt;=($R$2+13),$J11&gt;=($R$2+7)),IF($R$4=1,1,IF($R$4=2,$G11,$F11)),"")</f>
        <v/>
      </c>
      <c r="O11" s="67">
        <f>IF(AND($I11&lt;=($R$2+20),$J11&gt;=($R$2+14)),IF($R$4=1,1,IF($R$4=2,$G11,$F11)),"")</f>
        <v/>
      </c>
      <c r="P11" s="67">
        <f>IF(AND($I11&lt;=($R$2+27),$J11&gt;=($R$2+21)),IF($R$4=1,1,IF($R$4=2,$G11,$F11)),"")</f>
        <v/>
      </c>
      <c r="Q11" s="67">
        <f>IF(AND($I11&lt;=($R$2+34),$J11&gt;=($R$2+28)),IF($R$4=1,1,IF($R$4=2,$G11,$F11)),"")</f>
        <v/>
      </c>
      <c r="R11" s="67">
        <f>IF(AND($I11&lt;=($R$2+41),$J11&gt;=($R$2+35)),IF($R$4=1,1,IF($R$4=2,$G11,$F11)),"")</f>
        <v/>
      </c>
      <c r="S11" s="67">
        <f>IF(AND($I11&lt;=($R$2+48),$J11&gt;=($R$2+42)),IF($R$4=1,1,IF($R$4=2,$G11,$F11)),"")</f>
        <v/>
      </c>
      <c r="T11" s="67">
        <f>IF(AND($I11&lt;=($R$2+55),$J11&gt;=($R$2+49)),IF($R$4=1,1,IF($R$4=2,$G11,$F11)),"")</f>
        <v/>
      </c>
      <c r="U11" s="67">
        <f>IF(AND($I11&lt;=($R$2+62),$J11&gt;=($R$2+56)),IF($R$4=1,1,IF($R$4=2,$G11,$F11)),"")</f>
        <v/>
      </c>
      <c r="V11" s="67">
        <f>IF(AND($I11&lt;=($R$2+69),$J11&gt;=($R$2+63)),IF($R$4=1,1,IF($R$4=2,$G11,$F11)),"")</f>
        <v/>
      </c>
      <c r="W11" s="67">
        <f>IF(AND($I11&lt;=($R$2+76),$J11&gt;=($R$2+70)),IF($R$4=1,1,IF($R$4=2,$G11,$F11)),"")</f>
        <v/>
      </c>
      <c r="X11" s="67">
        <f>IF(AND($I11&lt;=($R$2+83),$J11&gt;=($R$2+77)),IF($R$4=1,1,IF($R$4=2,$G11,$F11)),"")</f>
        <v/>
      </c>
      <c r="Y11" s="67">
        <f>IF(AND($I11&lt;=($R$2+90),$J11&gt;=($R$2+84)),IF($R$4=1,1,IF($R$4=2,$G11,$F11)),"")</f>
        <v/>
      </c>
      <c r="Z11" s="67">
        <f>IF(AND($I11&lt;=($R$2+97),$J11&gt;=($R$2+91)),IF($R$4=1,1,IF($R$4=2,$G11,$F11)),"")</f>
        <v/>
      </c>
      <c r="AA11" s="67">
        <f>IF(AND($I11&lt;=($R$2+104),$J11&gt;=($R$2+98)),IF($R$4=1,1,IF($R$4=2,$G11,$F11)),"")</f>
        <v/>
      </c>
      <c r="AB11" s="67">
        <f>IF(AND($I11&lt;=($R$2+111),$J11&gt;=($R$2+105)),IF($R$4=1,1,IF($R$4=2,$G11,$F11)),"")</f>
        <v/>
      </c>
      <c r="AC11" s="67">
        <f>IF(AND($I11&lt;=($R$2+118),$J11&gt;=($R$2+112)),IF($R$4=1,1,IF($R$4=2,$G11,$F11)),"")</f>
        <v/>
      </c>
      <c r="AD11" s="67">
        <f>IF(AND($I11&lt;=($R$2+125),$J11&gt;=($R$2+119)),IF($R$4=1,1,IF($R$4=2,$G11,$F11)),"")</f>
        <v/>
      </c>
      <c r="AE11" s="67">
        <f>IF(AND($I11&lt;=($R$2+132),$J11&gt;=($R$2+126)),IF($R$4=1,1,IF($R$4=2,$G11,$F11)),"")</f>
        <v/>
      </c>
      <c r="AF11" s="67">
        <f>IF(AND($I11&lt;=($R$2+139),$J11&gt;=($R$2+133)),IF($R$4=1,1,IF($R$4=2,$G11,$F11)),"")</f>
        <v/>
      </c>
      <c r="AG11" s="67">
        <f>IF(AND($I11&lt;=($R$2+146),$J11&gt;=($R$2+140)),IF($R$4=1,1,IF($R$4=2,$G11,$F11)),"")</f>
        <v/>
      </c>
      <c r="AH11" s="67">
        <f>IF(AND($I11&lt;=($R$2+153),$J11&gt;=($R$2+147)),IF($R$4=1,1,IF($R$4=2,$G11,$F11)),"")</f>
        <v/>
      </c>
      <c r="AI11" s="67">
        <f>IF(AND($I11&lt;=($R$2+160),$J11&gt;=($R$2+154)),IF($R$4=1,1,IF($R$4=2,$G11,$F11)),"")</f>
        <v/>
      </c>
      <c r="AJ11" s="67">
        <f>IF(AND($I11&lt;=($R$2+167),$J11&gt;=($R$2+161)),IF($R$4=1,1,IF($R$4=2,$G11,$F11)),"")</f>
        <v/>
      </c>
      <c r="AK11" s="67">
        <f>IF(AND($I11&lt;=($R$2+174),$J11&gt;=($R$2+168)),IF($R$4=1,1,IF($R$4=2,$G11,$F11)),"")</f>
        <v/>
      </c>
      <c r="AL11" s="67">
        <f>IF(AND($I11&lt;=($R$2+181),$J11&gt;=($R$2+175)),IF($R$4=1,1,IF($R$4=2,$G11,$F11)),"")</f>
        <v/>
      </c>
    </row>
    <row r="12" ht="20" customHeight="1">
      <c r="A12" s="59" t="inlineStr">
        <is>
          <t>CV-06</t>
        </is>
      </c>
      <c r="B12" s="60" t="inlineStr">
        <is>
          <t>Đổ bê tông thân cống B20 &amp; Bảo dưỡng</t>
        </is>
      </c>
      <c r="C12" s="61" t="n">
        <v>1250</v>
      </c>
      <c r="D12" s="59" t="inlineStr">
        <is>
          <t>m3</t>
        </is>
      </c>
      <c r="E12" s="61" t="n">
        <v>125</v>
      </c>
      <c r="F12" s="59" t="n">
        <v>1</v>
      </c>
      <c r="G12" s="59" t="n">
        <v>10</v>
      </c>
      <c r="H12" s="62" t="n">
        <v>10</v>
      </c>
      <c r="I12" s="63">
        <f>J11+1</f>
        <v/>
      </c>
      <c r="J12" s="63">
        <f>I12+H12-1</f>
        <v/>
      </c>
      <c r="K12" s="65" t="inlineStr">
        <is>
          <t>CV-05</t>
        </is>
      </c>
      <c r="L12" s="66" t="inlineStr">
        <is>
          <t>CRITICAL</t>
        </is>
      </c>
      <c r="M12" s="67">
        <f>IF(AND($I12&lt;=($R$2+6),$J12&gt;=($R$2+0)),IF($R$4=1,1,IF($R$4=2,$G12,$F12)),"")</f>
        <v/>
      </c>
      <c r="N12" s="67">
        <f>IF(AND($I12&lt;=($R$2+13),$J12&gt;=($R$2+7)),IF($R$4=1,1,IF($R$4=2,$G12,$F12)),"")</f>
        <v/>
      </c>
      <c r="O12" s="67">
        <f>IF(AND($I12&lt;=($R$2+20),$J12&gt;=($R$2+14)),IF($R$4=1,1,IF($R$4=2,$G12,$F12)),"")</f>
        <v/>
      </c>
      <c r="P12" s="67">
        <f>IF(AND($I12&lt;=($R$2+27),$J12&gt;=($R$2+21)),IF($R$4=1,1,IF($R$4=2,$G12,$F12)),"")</f>
        <v/>
      </c>
      <c r="Q12" s="67">
        <f>IF(AND($I12&lt;=($R$2+34),$J12&gt;=($R$2+28)),IF($R$4=1,1,IF($R$4=2,$G12,$F12)),"")</f>
        <v/>
      </c>
      <c r="R12" s="67">
        <f>IF(AND($I12&lt;=($R$2+41),$J12&gt;=($R$2+35)),IF($R$4=1,1,IF($R$4=2,$G12,$F12)),"")</f>
        <v/>
      </c>
      <c r="S12" s="67">
        <f>IF(AND($I12&lt;=($R$2+48),$J12&gt;=($R$2+42)),IF($R$4=1,1,IF($R$4=2,$G12,$F12)),"")</f>
        <v/>
      </c>
      <c r="T12" s="67">
        <f>IF(AND($I12&lt;=($R$2+55),$J12&gt;=($R$2+49)),IF($R$4=1,1,IF($R$4=2,$G12,$F12)),"")</f>
        <v/>
      </c>
      <c r="U12" s="67">
        <f>IF(AND($I12&lt;=($R$2+62),$J12&gt;=($R$2+56)),IF($R$4=1,1,IF($R$4=2,$G12,$F12)),"")</f>
        <v/>
      </c>
      <c r="V12" s="67">
        <f>IF(AND($I12&lt;=($R$2+69),$J12&gt;=($R$2+63)),IF($R$4=1,1,IF($R$4=2,$G12,$F12)),"")</f>
        <v/>
      </c>
      <c r="W12" s="67">
        <f>IF(AND($I12&lt;=($R$2+76),$J12&gt;=($R$2+70)),IF($R$4=1,1,IF($R$4=2,$G12,$F12)),"")</f>
        <v/>
      </c>
      <c r="X12" s="67">
        <f>IF(AND($I12&lt;=($R$2+83),$J12&gt;=($R$2+77)),IF($R$4=1,1,IF($R$4=2,$G12,$F12)),"")</f>
        <v/>
      </c>
      <c r="Y12" s="67">
        <f>IF(AND($I12&lt;=($R$2+90),$J12&gt;=($R$2+84)),IF($R$4=1,1,IF($R$4=2,$G12,$F12)),"")</f>
        <v/>
      </c>
      <c r="Z12" s="67">
        <f>IF(AND($I12&lt;=($R$2+97),$J12&gt;=($R$2+91)),IF($R$4=1,1,IF($R$4=2,$G12,$F12)),"")</f>
        <v/>
      </c>
      <c r="AA12" s="67">
        <f>IF(AND($I12&lt;=($R$2+104),$J12&gt;=($R$2+98)),IF($R$4=1,1,IF($R$4=2,$G12,$F12)),"")</f>
        <v/>
      </c>
      <c r="AB12" s="67">
        <f>IF(AND($I12&lt;=($R$2+111),$J12&gt;=($R$2+105)),IF($R$4=1,1,IF($R$4=2,$G12,$F12)),"")</f>
        <v/>
      </c>
      <c r="AC12" s="67">
        <f>IF(AND($I12&lt;=($R$2+118),$J12&gt;=($R$2+112)),IF($R$4=1,1,IF($R$4=2,$G12,$F12)),"")</f>
        <v/>
      </c>
      <c r="AD12" s="67">
        <f>IF(AND($I12&lt;=($R$2+125),$J12&gt;=($R$2+119)),IF($R$4=1,1,IF($R$4=2,$G12,$F12)),"")</f>
        <v/>
      </c>
      <c r="AE12" s="67">
        <f>IF(AND($I12&lt;=($R$2+132),$J12&gt;=($R$2+126)),IF($R$4=1,1,IF($R$4=2,$G12,$F12)),"")</f>
        <v/>
      </c>
      <c r="AF12" s="67">
        <f>IF(AND($I12&lt;=($R$2+139),$J12&gt;=($R$2+133)),IF($R$4=1,1,IF($R$4=2,$G12,$F12)),"")</f>
        <v/>
      </c>
      <c r="AG12" s="67">
        <f>IF(AND($I12&lt;=($R$2+146),$J12&gt;=($R$2+140)),IF($R$4=1,1,IF($R$4=2,$G12,$F12)),"")</f>
        <v/>
      </c>
      <c r="AH12" s="67">
        <f>IF(AND($I12&lt;=($R$2+153),$J12&gt;=($R$2+147)),IF($R$4=1,1,IF($R$4=2,$G12,$F12)),"")</f>
        <v/>
      </c>
      <c r="AI12" s="67">
        <f>IF(AND($I12&lt;=($R$2+160),$J12&gt;=($R$2+154)),IF($R$4=1,1,IF($R$4=2,$G12,$F12)),"")</f>
        <v/>
      </c>
      <c r="AJ12" s="67">
        <f>IF(AND($I12&lt;=($R$2+167),$J12&gt;=($R$2+161)),IF($R$4=1,1,IF($R$4=2,$G12,$F12)),"")</f>
        <v/>
      </c>
      <c r="AK12" s="67">
        <f>IF(AND($I12&lt;=($R$2+174),$J12&gt;=($R$2+168)),IF($R$4=1,1,IF($R$4=2,$G12,$F12)),"")</f>
        <v/>
      </c>
      <c r="AL12" s="67">
        <f>IF(AND($I12&lt;=($R$2+181),$J12&gt;=($R$2+175)),IF($R$4=1,1,IF($R$4=2,$G12,$F12)),"")</f>
        <v/>
      </c>
    </row>
    <row r="13" ht="20" customHeight="1">
      <c r="A13" s="59" t="inlineStr">
        <is>
          <t>CV-07</t>
        </is>
      </c>
      <c r="B13" s="60" t="inlineStr">
        <is>
          <t>Đào hố móng phân đoạn 2 (Cống 3x3)</t>
        </is>
      </c>
      <c r="C13" s="61" t="n">
        <v>6800</v>
      </c>
      <c r="D13" s="59" t="inlineStr">
        <is>
          <t>m3</t>
        </is>
      </c>
      <c r="E13" s="61" t="n">
        <v>340</v>
      </c>
      <c r="F13" s="59" t="n">
        <v>1</v>
      </c>
      <c r="G13" s="59" t="n">
        <v>4</v>
      </c>
      <c r="H13" s="62" t="n">
        <v>20</v>
      </c>
      <c r="I13" s="63">
        <f>J8+1</f>
        <v/>
      </c>
      <c r="J13" s="64">
        <f>I13+H13-1</f>
        <v/>
      </c>
      <c r="K13" s="65" t="inlineStr">
        <is>
          <t>CV-02</t>
        </is>
      </c>
      <c r="L13" s="68" t="inlineStr">
        <is>
          <t>NON-CRITICAL</t>
        </is>
      </c>
      <c r="M13" s="67">
        <f>IF(AND($I13&lt;=($R$2+6),$J13&gt;=($R$2+0)),IF($R$4=1,1,IF($R$4=2,$G13,$F13)),"")</f>
        <v/>
      </c>
      <c r="N13" s="67">
        <f>IF(AND($I13&lt;=($R$2+13),$J13&gt;=($R$2+7)),IF($R$4=1,1,IF($R$4=2,$G13,$F13)),"")</f>
        <v/>
      </c>
      <c r="O13" s="67">
        <f>IF(AND($I13&lt;=($R$2+20),$J13&gt;=($R$2+14)),IF($R$4=1,1,IF($R$4=2,$G13,$F13)),"")</f>
        <v/>
      </c>
      <c r="P13" s="67">
        <f>IF(AND($I13&lt;=($R$2+27),$J13&gt;=($R$2+21)),IF($R$4=1,1,IF($R$4=2,$G13,$F13)),"")</f>
        <v/>
      </c>
      <c r="Q13" s="67">
        <f>IF(AND($I13&lt;=($R$2+34),$J13&gt;=($R$2+28)),IF($R$4=1,1,IF($R$4=2,$G13,$F13)),"")</f>
        <v/>
      </c>
      <c r="R13" s="67">
        <f>IF(AND($I13&lt;=($R$2+41),$J13&gt;=($R$2+35)),IF($R$4=1,1,IF($R$4=2,$G13,$F13)),"")</f>
        <v/>
      </c>
      <c r="S13" s="67">
        <f>IF(AND($I13&lt;=($R$2+48),$J13&gt;=($R$2+42)),IF($R$4=1,1,IF($R$4=2,$G13,$F13)),"")</f>
        <v/>
      </c>
      <c r="T13" s="67">
        <f>IF(AND($I13&lt;=($R$2+55),$J13&gt;=($R$2+49)),IF($R$4=1,1,IF($R$4=2,$G13,$F13)),"")</f>
        <v/>
      </c>
      <c r="U13" s="67">
        <f>IF(AND($I13&lt;=($R$2+62),$J13&gt;=($R$2+56)),IF($R$4=1,1,IF($R$4=2,$G13,$F13)),"")</f>
        <v/>
      </c>
      <c r="V13" s="67">
        <f>IF(AND($I13&lt;=($R$2+69),$J13&gt;=($R$2+63)),IF($R$4=1,1,IF($R$4=2,$G13,$F13)),"")</f>
        <v/>
      </c>
      <c r="W13" s="67">
        <f>IF(AND($I13&lt;=($R$2+76),$J13&gt;=($R$2+70)),IF($R$4=1,1,IF($R$4=2,$G13,$F13)),"")</f>
        <v/>
      </c>
      <c r="X13" s="67">
        <f>IF(AND($I13&lt;=($R$2+83),$J13&gt;=($R$2+77)),IF($R$4=1,1,IF($R$4=2,$G13,$F13)),"")</f>
        <v/>
      </c>
      <c r="Y13" s="67">
        <f>IF(AND($I13&lt;=($R$2+90),$J13&gt;=($R$2+84)),IF($R$4=1,1,IF($R$4=2,$G13,$F13)),"")</f>
        <v/>
      </c>
      <c r="Z13" s="67">
        <f>IF(AND($I13&lt;=($R$2+97),$J13&gt;=($R$2+91)),IF($R$4=1,1,IF($R$4=2,$G13,$F13)),"")</f>
        <v/>
      </c>
      <c r="AA13" s="67">
        <f>IF(AND($I13&lt;=($R$2+104),$J13&gt;=($R$2+98)),IF($R$4=1,1,IF($R$4=2,$G13,$F13)),"")</f>
        <v/>
      </c>
      <c r="AB13" s="67">
        <f>IF(AND($I13&lt;=($R$2+111),$J13&gt;=($R$2+105)),IF($R$4=1,1,IF($R$4=2,$G13,$F13)),"")</f>
        <v/>
      </c>
      <c r="AC13" s="67">
        <f>IF(AND($I13&lt;=($R$2+118),$J13&gt;=($R$2+112)),IF($R$4=1,1,IF($R$4=2,$G13,$F13)),"")</f>
        <v/>
      </c>
      <c r="AD13" s="67">
        <f>IF(AND($I13&lt;=($R$2+125),$J13&gt;=($R$2+119)),IF($R$4=1,1,IF($R$4=2,$G13,$F13)),"")</f>
        <v/>
      </c>
      <c r="AE13" s="67">
        <f>IF(AND($I13&lt;=($R$2+132),$J13&gt;=($R$2+126)),IF($R$4=1,1,IF($R$4=2,$G13,$F13)),"")</f>
        <v/>
      </c>
      <c r="AF13" s="67">
        <f>IF(AND($I13&lt;=($R$2+139),$J13&gt;=($R$2+133)),IF($R$4=1,1,IF($R$4=2,$G13,$F13)),"")</f>
        <v/>
      </c>
      <c r="AG13" s="67">
        <f>IF(AND($I13&lt;=($R$2+146),$J13&gt;=($R$2+140)),IF($R$4=1,1,IF($R$4=2,$G13,$F13)),"")</f>
        <v/>
      </c>
      <c r="AH13" s="67">
        <f>IF(AND($I13&lt;=($R$2+153),$J13&gt;=($R$2+147)),IF($R$4=1,1,IF($R$4=2,$G13,$F13)),"")</f>
        <v/>
      </c>
      <c r="AI13" s="67">
        <f>IF(AND($I13&lt;=($R$2+160),$J13&gt;=($R$2+154)),IF($R$4=1,1,IF($R$4=2,$G13,$F13)),"")</f>
        <v/>
      </c>
      <c r="AJ13" s="67">
        <f>IF(AND($I13&lt;=($R$2+167),$J13&gt;=($R$2+161)),IF($R$4=1,1,IF($R$4=2,$G13,$F13)),"")</f>
        <v/>
      </c>
      <c r="AK13" s="67">
        <f>IF(AND($I13&lt;=($R$2+174),$J13&gt;=($R$2+168)),IF($R$4=1,1,IF($R$4=2,$G13,$F13)),"")</f>
        <v/>
      </c>
      <c r="AL13" s="67">
        <f>IF(AND($I13&lt;=($R$2+181),$J13&gt;=($R$2+175)),IF($R$4=1,1,IF($R$4=2,$G13,$F13)),"")</f>
        <v/>
      </c>
    </row>
    <row r="14" ht="20" customHeight="1">
      <c r="A14" s="59" t="inlineStr">
        <is>
          <t>CV-08</t>
        </is>
      </c>
      <c r="B14" s="60" t="inlineStr">
        <is>
          <t>Đổ bê tông thân cống 3x3 phân đoạn 2</t>
        </is>
      </c>
      <c r="C14" s="61" t="n">
        <v>2400</v>
      </c>
      <c r="D14" s="59" t="inlineStr">
        <is>
          <t>m3</t>
        </is>
      </c>
      <c r="E14" s="61" t="n">
        <v>80</v>
      </c>
      <c r="F14" s="59" t="n">
        <v>1</v>
      </c>
      <c r="G14" s="59" t="n">
        <v>12</v>
      </c>
      <c r="H14" s="62" t="n">
        <v>30</v>
      </c>
      <c r="I14" s="63">
        <f>J13+1</f>
        <v/>
      </c>
      <c r="J14" s="64">
        <f>I14+H14-1</f>
        <v/>
      </c>
      <c r="K14" s="65" t="inlineStr">
        <is>
          <t>CV-07</t>
        </is>
      </c>
      <c r="L14" s="68" t="inlineStr">
        <is>
          <t>NON-CRITICAL</t>
        </is>
      </c>
      <c r="M14" s="67">
        <f>IF(AND($I14&lt;=($R$2+6),$J14&gt;=($R$2+0)),IF($R$4=1,1,IF($R$4=2,$G14,$F14)),"")</f>
        <v/>
      </c>
      <c r="N14" s="67">
        <f>IF(AND($I14&lt;=($R$2+13),$J14&gt;=($R$2+7)),IF($R$4=1,1,IF($R$4=2,$G14,$F14)),"")</f>
        <v/>
      </c>
      <c r="O14" s="67">
        <f>IF(AND($I14&lt;=($R$2+20),$J14&gt;=($R$2+14)),IF($R$4=1,1,IF($R$4=2,$G14,$F14)),"")</f>
        <v/>
      </c>
      <c r="P14" s="67">
        <f>IF(AND($I14&lt;=($R$2+27),$J14&gt;=($R$2+21)),IF($R$4=1,1,IF($R$4=2,$G14,$F14)),"")</f>
        <v/>
      </c>
      <c r="Q14" s="67">
        <f>IF(AND($I14&lt;=($R$2+34),$J14&gt;=($R$2+28)),IF($R$4=1,1,IF($R$4=2,$G14,$F14)),"")</f>
        <v/>
      </c>
      <c r="R14" s="67">
        <f>IF(AND($I14&lt;=($R$2+41),$J14&gt;=($R$2+35)),IF($R$4=1,1,IF($R$4=2,$G14,$F14)),"")</f>
        <v/>
      </c>
      <c r="S14" s="67">
        <f>IF(AND($I14&lt;=($R$2+48),$J14&gt;=($R$2+42)),IF($R$4=1,1,IF($R$4=2,$G14,$F14)),"")</f>
        <v/>
      </c>
      <c r="T14" s="67">
        <f>IF(AND($I14&lt;=($R$2+55),$J14&gt;=($R$2+49)),IF($R$4=1,1,IF($R$4=2,$G14,$F14)),"")</f>
        <v/>
      </c>
      <c r="U14" s="67">
        <f>IF(AND($I14&lt;=($R$2+62),$J14&gt;=($R$2+56)),IF($R$4=1,1,IF($R$4=2,$G14,$F14)),"")</f>
        <v/>
      </c>
      <c r="V14" s="67">
        <f>IF(AND($I14&lt;=($R$2+69),$J14&gt;=($R$2+63)),IF($R$4=1,1,IF($R$4=2,$G14,$F14)),"")</f>
        <v/>
      </c>
      <c r="W14" s="67">
        <f>IF(AND($I14&lt;=($R$2+76),$J14&gt;=($R$2+70)),IF($R$4=1,1,IF($R$4=2,$G14,$F14)),"")</f>
        <v/>
      </c>
      <c r="X14" s="67">
        <f>IF(AND($I14&lt;=($R$2+83),$J14&gt;=($R$2+77)),IF($R$4=1,1,IF($R$4=2,$G14,$F14)),"")</f>
        <v/>
      </c>
      <c r="Y14" s="67">
        <f>IF(AND($I14&lt;=($R$2+90),$J14&gt;=($R$2+84)),IF($R$4=1,1,IF($R$4=2,$G14,$F14)),"")</f>
        <v/>
      </c>
      <c r="Z14" s="67">
        <f>IF(AND($I14&lt;=($R$2+97),$J14&gt;=($R$2+91)),IF($R$4=1,1,IF($R$4=2,$G14,$F14)),"")</f>
        <v/>
      </c>
      <c r="AA14" s="67">
        <f>IF(AND($I14&lt;=($R$2+104),$J14&gt;=($R$2+98)),IF($R$4=1,1,IF($R$4=2,$G14,$F14)),"")</f>
        <v/>
      </c>
      <c r="AB14" s="67">
        <f>IF(AND($I14&lt;=($R$2+111),$J14&gt;=($R$2+105)),IF($R$4=1,1,IF($R$4=2,$G14,$F14)),"")</f>
        <v/>
      </c>
      <c r="AC14" s="67">
        <f>IF(AND($I14&lt;=($R$2+118),$J14&gt;=($R$2+112)),IF($R$4=1,1,IF($R$4=2,$G14,$F14)),"")</f>
        <v/>
      </c>
      <c r="AD14" s="67">
        <f>IF(AND($I14&lt;=($R$2+125),$J14&gt;=($R$2+119)),IF($R$4=1,1,IF($R$4=2,$G14,$F14)),"")</f>
        <v/>
      </c>
      <c r="AE14" s="67">
        <f>IF(AND($I14&lt;=($R$2+132),$J14&gt;=($R$2+126)),IF($R$4=1,1,IF($R$4=2,$G14,$F14)),"")</f>
        <v/>
      </c>
      <c r="AF14" s="67">
        <f>IF(AND($I14&lt;=($R$2+139),$J14&gt;=($R$2+133)),IF($R$4=1,1,IF($R$4=2,$G14,$F14)),"")</f>
        <v/>
      </c>
      <c r="AG14" s="67">
        <f>IF(AND($I14&lt;=($R$2+146),$J14&gt;=($R$2+140)),IF($R$4=1,1,IF($R$4=2,$G14,$F14)),"")</f>
        <v/>
      </c>
      <c r="AH14" s="67">
        <f>IF(AND($I14&lt;=($R$2+153),$J14&gt;=($R$2+147)),IF($R$4=1,1,IF($R$4=2,$G14,$F14)),"")</f>
        <v/>
      </c>
      <c r="AI14" s="67">
        <f>IF(AND($I14&lt;=($R$2+160),$J14&gt;=($R$2+154)),IF($R$4=1,1,IF($R$4=2,$G14,$F14)),"")</f>
        <v/>
      </c>
      <c r="AJ14" s="67">
        <f>IF(AND($I14&lt;=($R$2+167),$J14&gt;=($R$2+161)),IF($R$4=1,1,IF($R$4=2,$G14,$F14)),"")</f>
        <v/>
      </c>
      <c r="AK14" s="67">
        <f>IF(AND($I14&lt;=($R$2+174),$J14&gt;=($R$2+168)),IF($R$4=1,1,IF($R$4=2,$G14,$F14)),"")</f>
        <v/>
      </c>
      <c r="AL14" s="67">
        <f>IF(AND($I14&lt;=($R$2+181),$J14&gt;=($R$2+175)),IF($R$4=1,1,IF($R$4=2,$G14,$F14)),"")</f>
        <v/>
      </c>
    </row>
    <row r="15" ht="20" customHeight="1">
      <c r="A15" s="59" t="inlineStr">
        <is>
          <t>CV-09</t>
        </is>
      </c>
      <c r="B15" s="60" t="inlineStr">
        <is>
          <t>Đào móng phân đoạn 3 (Cống đôi 2x(3x3))</t>
        </is>
      </c>
      <c r="C15" s="61" t="n">
        <v>12500</v>
      </c>
      <c r="D15" s="59" t="inlineStr">
        <is>
          <t>m3</t>
        </is>
      </c>
      <c r="E15" s="61" t="n">
        <v>357.14</v>
      </c>
      <c r="F15" s="59" t="n">
        <v>1</v>
      </c>
      <c r="G15" s="59" t="n">
        <v>4</v>
      </c>
      <c r="H15" s="62" t="n">
        <v>35</v>
      </c>
      <c r="I15" s="63">
        <f>J12+1</f>
        <v/>
      </c>
      <c r="J15" s="64">
        <f>I15+H15-1</f>
        <v/>
      </c>
      <c r="K15" s="65" t="inlineStr">
        <is>
          <t>CV-06</t>
        </is>
      </c>
      <c r="L15" s="66" t="inlineStr">
        <is>
          <t>CRITICAL</t>
        </is>
      </c>
      <c r="M15" s="67">
        <f>IF(AND($I15&lt;=($R$2+6),$J15&gt;=($R$2+0)),IF($R$4=1,1,IF($R$4=2,$G15,$F15)),"")</f>
        <v/>
      </c>
      <c r="N15" s="67">
        <f>IF(AND($I15&lt;=($R$2+13),$J15&gt;=($R$2+7)),IF($R$4=1,1,IF($R$4=2,$G15,$F15)),"")</f>
        <v/>
      </c>
      <c r="O15" s="67">
        <f>IF(AND($I15&lt;=($R$2+20),$J15&gt;=($R$2+14)),IF($R$4=1,1,IF($R$4=2,$G15,$F15)),"")</f>
        <v/>
      </c>
      <c r="P15" s="67">
        <f>IF(AND($I15&lt;=($R$2+27),$J15&gt;=($R$2+21)),IF($R$4=1,1,IF($R$4=2,$G15,$F15)),"")</f>
        <v/>
      </c>
      <c r="Q15" s="67">
        <f>IF(AND($I15&lt;=($R$2+34),$J15&gt;=($R$2+28)),IF($R$4=1,1,IF($R$4=2,$G15,$F15)),"")</f>
        <v/>
      </c>
      <c r="R15" s="67">
        <f>IF(AND($I15&lt;=($R$2+41),$J15&gt;=($R$2+35)),IF($R$4=1,1,IF($R$4=2,$G15,$F15)),"")</f>
        <v/>
      </c>
      <c r="S15" s="67">
        <f>IF(AND($I15&lt;=($R$2+48),$J15&gt;=($R$2+42)),IF($R$4=1,1,IF($R$4=2,$G15,$F15)),"")</f>
        <v/>
      </c>
      <c r="T15" s="67">
        <f>IF(AND($I15&lt;=($R$2+55),$J15&gt;=($R$2+49)),IF($R$4=1,1,IF($R$4=2,$G15,$F15)),"")</f>
        <v/>
      </c>
      <c r="U15" s="67">
        <f>IF(AND($I15&lt;=($R$2+62),$J15&gt;=($R$2+56)),IF($R$4=1,1,IF($R$4=2,$G15,$F15)),"")</f>
        <v/>
      </c>
      <c r="V15" s="67">
        <f>IF(AND($I15&lt;=($R$2+69),$J15&gt;=($R$2+63)),IF($R$4=1,1,IF($R$4=2,$G15,$F15)),"")</f>
        <v/>
      </c>
      <c r="W15" s="67">
        <f>IF(AND($I15&lt;=($R$2+76),$J15&gt;=($R$2+70)),IF($R$4=1,1,IF($R$4=2,$G15,$F15)),"")</f>
        <v/>
      </c>
      <c r="X15" s="67">
        <f>IF(AND($I15&lt;=($R$2+83),$J15&gt;=($R$2+77)),IF($R$4=1,1,IF($R$4=2,$G15,$F15)),"")</f>
        <v/>
      </c>
      <c r="Y15" s="67">
        <f>IF(AND($I15&lt;=($R$2+90),$J15&gt;=($R$2+84)),IF($R$4=1,1,IF($R$4=2,$G15,$F15)),"")</f>
        <v/>
      </c>
      <c r="Z15" s="67">
        <f>IF(AND($I15&lt;=($R$2+97),$J15&gt;=($R$2+91)),IF($R$4=1,1,IF($R$4=2,$G15,$F15)),"")</f>
        <v/>
      </c>
      <c r="AA15" s="67">
        <f>IF(AND($I15&lt;=($R$2+104),$J15&gt;=($R$2+98)),IF($R$4=1,1,IF($R$4=2,$G15,$F15)),"")</f>
        <v/>
      </c>
      <c r="AB15" s="67">
        <f>IF(AND($I15&lt;=($R$2+111),$J15&gt;=($R$2+105)),IF($R$4=1,1,IF($R$4=2,$G15,$F15)),"")</f>
        <v/>
      </c>
      <c r="AC15" s="67">
        <f>IF(AND($I15&lt;=($R$2+118),$J15&gt;=($R$2+112)),IF($R$4=1,1,IF($R$4=2,$G15,$F15)),"")</f>
        <v/>
      </c>
      <c r="AD15" s="67">
        <f>IF(AND($I15&lt;=($R$2+125),$J15&gt;=($R$2+119)),IF($R$4=1,1,IF($R$4=2,$G15,$F15)),"")</f>
        <v/>
      </c>
      <c r="AE15" s="67">
        <f>IF(AND($I15&lt;=($R$2+132),$J15&gt;=($R$2+126)),IF($R$4=1,1,IF($R$4=2,$G15,$F15)),"")</f>
        <v/>
      </c>
      <c r="AF15" s="67">
        <f>IF(AND($I15&lt;=($R$2+139),$J15&gt;=($R$2+133)),IF($R$4=1,1,IF($R$4=2,$G15,$F15)),"")</f>
        <v/>
      </c>
      <c r="AG15" s="67">
        <f>IF(AND($I15&lt;=($R$2+146),$J15&gt;=($R$2+140)),IF($R$4=1,1,IF($R$4=2,$G15,$F15)),"")</f>
        <v/>
      </c>
      <c r="AH15" s="67">
        <f>IF(AND($I15&lt;=($R$2+153),$J15&gt;=($R$2+147)),IF($R$4=1,1,IF($R$4=2,$G15,$F15)),"")</f>
        <v/>
      </c>
      <c r="AI15" s="67">
        <f>IF(AND($I15&lt;=($R$2+160),$J15&gt;=($R$2+154)),IF($R$4=1,1,IF($R$4=2,$G15,$F15)),"")</f>
        <v/>
      </c>
      <c r="AJ15" s="67">
        <f>IF(AND($I15&lt;=($R$2+167),$J15&gt;=($R$2+161)),IF($R$4=1,1,IF($R$4=2,$G15,$F15)),"")</f>
        <v/>
      </c>
      <c r="AK15" s="67">
        <f>IF(AND($I15&lt;=($R$2+174),$J15&gt;=($R$2+168)),IF($R$4=1,1,IF($R$4=2,$G15,$F15)),"")</f>
        <v/>
      </c>
      <c r="AL15" s="67">
        <f>IF(AND($I15&lt;=($R$2+181),$J15&gt;=($R$2+175)),IF($R$4=1,1,IF($R$4=2,$G15,$F15)),"")</f>
        <v/>
      </c>
    </row>
    <row r="16" ht="20" customHeight="1">
      <c r="A16" s="59" t="inlineStr">
        <is>
          <t>CV-10</t>
        </is>
      </c>
      <c r="B16" s="60" t="inlineStr">
        <is>
          <t>Bê tông cống đôi 2x(3x3) phân đoạn 3</t>
        </is>
      </c>
      <c r="C16" s="61" t="n">
        <v>4200</v>
      </c>
      <c r="D16" s="59" t="inlineStr">
        <is>
          <t>m3</t>
        </is>
      </c>
      <c r="E16" s="61" t="n">
        <v>93.33</v>
      </c>
      <c r="F16" s="59" t="n">
        <v>1</v>
      </c>
      <c r="G16" s="59" t="n">
        <v>14</v>
      </c>
      <c r="H16" s="62" t="n">
        <v>45</v>
      </c>
      <c r="I16" s="63">
        <f>J15+1</f>
        <v/>
      </c>
      <c r="J16" s="64">
        <f>I16+H16-1</f>
        <v/>
      </c>
      <c r="K16" s="65" t="inlineStr">
        <is>
          <t>CV-09</t>
        </is>
      </c>
      <c r="L16" s="66" t="inlineStr">
        <is>
          <t>CRITICAL</t>
        </is>
      </c>
      <c r="M16" s="67">
        <f>IF(AND($I16&lt;=($R$2+6),$J16&gt;=($R$2+0)),IF($R$4=1,1,IF($R$4=2,$G16,$F16)),"")</f>
        <v/>
      </c>
      <c r="N16" s="67">
        <f>IF(AND($I16&lt;=($R$2+13),$J16&gt;=($R$2+7)),IF($R$4=1,1,IF($R$4=2,$G16,$F16)),"")</f>
        <v/>
      </c>
      <c r="O16" s="67">
        <f>IF(AND($I16&lt;=($R$2+20),$J16&gt;=($R$2+14)),IF($R$4=1,1,IF($R$4=2,$G16,$F16)),"")</f>
        <v/>
      </c>
      <c r="P16" s="67">
        <f>IF(AND($I16&lt;=($R$2+27),$J16&gt;=($R$2+21)),IF($R$4=1,1,IF($R$4=2,$G16,$F16)),"")</f>
        <v/>
      </c>
      <c r="Q16" s="67">
        <f>IF(AND($I16&lt;=($R$2+34),$J16&gt;=($R$2+28)),IF($R$4=1,1,IF($R$4=2,$G16,$F16)),"")</f>
        <v/>
      </c>
      <c r="R16" s="67">
        <f>IF(AND($I16&lt;=($R$2+41),$J16&gt;=($R$2+35)),IF($R$4=1,1,IF($R$4=2,$G16,$F16)),"")</f>
        <v/>
      </c>
      <c r="S16" s="67">
        <f>IF(AND($I16&lt;=($R$2+48),$J16&gt;=($R$2+42)),IF($R$4=1,1,IF($R$4=2,$G16,$F16)),"")</f>
        <v/>
      </c>
      <c r="T16" s="67">
        <f>IF(AND($I16&lt;=($R$2+55),$J16&gt;=($R$2+49)),IF($R$4=1,1,IF($R$4=2,$G16,$F16)),"")</f>
        <v/>
      </c>
      <c r="U16" s="67">
        <f>IF(AND($I16&lt;=($R$2+62),$J16&gt;=($R$2+56)),IF($R$4=1,1,IF($R$4=2,$G16,$F16)),"")</f>
        <v/>
      </c>
      <c r="V16" s="67">
        <f>IF(AND($I16&lt;=($R$2+69),$J16&gt;=($R$2+63)),IF($R$4=1,1,IF($R$4=2,$G16,$F16)),"")</f>
        <v/>
      </c>
      <c r="W16" s="67">
        <f>IF(AND($I16&lt;=($R$2+76),$J16&gt;=($R$2+70)),IF($R$4=1,1,IF($R$4=2,$G16,$F16)),"")</f>
        <v/>
      </c>
      <c r="X16" s="67">
        <f>IF(AND($I16&lt;=($R$2+83),$J16&gt;=($R$2+77)),IF($R$4=1,1,IF($R$4=2,$G16,$F16)),"")</f>
        <v/>
      </c>
      <c r="Y16" s="67">
        <f>IF(AND($I16&lt;=($R$2+90),$J16&gt;=($R$2+84)),IF($R$4=1,1,IF($R$4=2,$G16,$F16)),"")</f>
        <v/>
      </c>
      <c r="Z16" s="67">
        <f>IF(AND($I16&lt;=($R$2+97),$J16&gt;=($R$2+91)),IF($R$4=1,1,IF($R$4=2,$G16,$F16)),"")</f>
        <v/>
      </c>
      <c r="AA16" s="67">
        <f>IF(AND($I16&lt;=($R$2+104),$J16&gt;=($R$2+98)),IF($R$4=1,1,IF($R$4=2,$G16,$F16)),"")</f>
        <v/>
      </c>
      <c r="AB16" s="67">
        <f>IF(AND($I16&lt;=($R$2+111),$J16&gt;=($R$2+105)),IF($R$4=1,1,IF($R$4=2,$G16,$F16)),"")</f>
        <v/>
      </c>
      <c r="AC16" s="67">
        <f>IF(AND($I16&lt;=($R$2+118),$J16&gt;=($R$2+112)),IF($R$4=1,1,IF($R$4=2,$G16,$F16)),"")</f>
        <v/>
      </c>
      <c r="AD16" s="67">
        <f>IF(AND($I16&lt;=($R$2+125),$J16&gt;=($R$2+119)),IF($R$4=1,1,IF($R$4=2,$G16,$F16)),"")</f>
        <v/>
      </c>
      <c r="AE16" s="67">
        <f>IF(AND($I16&lt;=($R$2+132),$J16&gt;=($R$2+126)),IF($R$4=1,1,IF($R$4=2,$G16,$F16)),"")</f>
        <v/>
      </c>
      <c r="AF16" s="67">
        <f>IF(AND($I16&lt;=($R$2+139),$J16&gt;=($R$2+133)),IF($R$4=1,1,IF($R$4=2,$G16,$F16)),"")</f>
        <v/>
      </c>
      <c r="AG16" s="67">
        <f>IF(AND($I16&lt;=($R$2+146),$J16&gt;=($R$2+140)),IF($R$4=1,1,IF($R$4=2,$G16,$F16)),"")</f>
        <v/>
      </c>
      <c r="AH16" s="67">
        <f>IF(AND($I16&lt;=($R$2+153),$J16&gt;=($R$2+147)),IF($R$4=1,1,IF($R$4=2,$G16,$F16)),"")</f>
        <v/>
      </c>
      <c r="AI16" s="67">
        <f>IF(AND($I16&lt;=($R$2+160),$J16&gt;=($R$2+154)),IF($R$4=1,1,IF($R$4=2,$G16,$F16)),"")</f>
        <v/>
      </c>
      <c r="AJ16" s="67">
        <f>IF(AND($I16&lt;=($R$2+167),$J16&gt;=($R$2+161)),IF($R$4=1,1,IF($R$4=2,$G16,$F16)),"")</f>
        <v/>
      </c>
      <c r="AK16" s="67">
        <f>IF(AND($I16&lt;=($R$2+174),$J16&gt;=($R$2+168)),IF($R$4=1,1,IF($R$4=2,$G16,$F16)),"")</f>
        <v/>
      </c>
      <c r="AL16" s="67">
        <f>IF(AND($I16&lt;=($R$2+181),$J16&gt;=($R$2+175)),IF($R$4=1,1,IF($R$4=2,$G16,$F16)),"")</f>
        <v/>
      </c>
    </row>
    <row r="17">
      <c r="A17" s="65" t="inlineStr">
        <is>
          <t>CV-11</t>
        </is>
      </c>
      <c r="B17" s="69" t="inlineStr">
        <is>
          <t>Chống thấm, chèn khe co giãn bitum &amp; Lấp đất</t>
        </is>
      </c>
      <c r="C17" s="70" t="n">
        <v>11081.91</v>
      </c>
      <c r="D17" s="65" t="inlineStr">
        <is>
          <t>m3</t>
        </is>
      </c>
      <c r="E17" s="70" t="n">
        <v>738.79</v>
      </c>
      <c r="F17" s="65" t="n">
        <v>1</v>
      </c>
      <c r="G17" s="65" t="n">
        <v>6</v>
      </c>
      <c r="H17" s="71" t="n">
        <v>15</v>
      </c>
      <c r="I17" s="72">
        <f>J16+1</f>
        <v/>
      </c>
      <c r="J17" s="72">
        <f>I17+H17-1</f>
        <v/>
      </c>
      <c r="K17" s="65" t="inlineStr">
        <is>
          <t>CV-10</t>
        </is>
      </c>
      <c r="L17" s="66" t="inlineStr">
        <is>
          <t>CRITICAL</t>
        </is>
      </c>
      <c r="M17" s="67">
        <f>IF(AND($I17&lt;=($R$2+6),$J17&gt;=($R$2+0)),IF($R$4=1,1,IF($R$4=2,$G17,$F17)),"")</f>
        <v/>
      </c>
      <c r="N17" s="67">
        <f>IF(AND($I17&lt;=($R$2+13),$J17&gt;=($R$2+7)),IF($R$4=1,1,IF($R$4=2,$G17,$F17)),"")</f>
        <v/>
      </c>
      <c r="O17" s="67">
        <f>IF(AND($I17&lt;=($R$2+20),$J17&gt;=($R$2+14)),IF($R$4=1,1,IF($R$4=2,$G17,$F17)),"")</f>
        <v/>
      </c>
      <c r="P17" s="67">
        <f>IF(AND($I17&lt;=($R$2+27),$J17&gt;=($R$2+21)),IF($R$4=1,1,IF($R$4=2,$G17,$F17)),"")</f>
        <v/>
      </c>
      <c r="Q17" s="67">
        <f>IF(AND($I17&lt;=($R$2+34),$J17&gt;=($R$2+28)),IF($R$4=1,1,IF($R$4=2,$G17,$F17)),"")</f>
        <v/>
      </c>
      <c r="R17" s="67">
        <f>IF(AND($I17&lt;=($R$2+41),$J17&gt;=($R$2+35)),IF($R$4=1,1,IF($R$4=2,$G17,$F17)),"")</f>
        <v/>
      </c>
      <c r="S17" s="67">
        <f>IF(AND($I17&lt;=($R$2+48),$J17&gt;=($R$2+42)),IF($R$4=1,1,IF($R$4=2,$G17,$F17)),"")</f>
        <v/>
      </c>
      <c r="T17" s="67">
        <f>IF(AND($I17&lt;=($R$2+55),$J17&gt;=($R$2+49)),IF($R$4=1,1,IF($R$4=2,$G17,$F17)),"")</f>
        <v/>
      </c>
      <c r="U17" s="67">
        <f>IF(AND($I17&lt;=($R$2+62),$J17&gt;=($R$2+56)),IF($R$4=1,1,IF($R$4=2,$G17,$F17)),"")</f>
        <v/>
      </c>
      <c r="V17" s="67">
        <f>IF(AND($I17&lt;=($R$2+69),$J17&gt;=($R$2+63)),IF($R$4=1,1,IF($R$4=2,$G17,$F17)),"")</f>
        <v/>
      </c>
      <c r="W17" s="67">
        <f>IF(AND($I17&lt;=($R$2+76),$J17&gt;=($R$2+70)),IF($R$4=1,1,IF($R$4=2,$G17,$F17)),"")</f>
        <v/>
      </c>
      <c r="X17" s="67">
        <f>IF(AND($I17&lt;=($R$2+83),$J17&gt;=($R$2+77)),IF($R$4=1,1,IF($R$4=2,$G17,$F17)),"")</f>
        <v/>
      </c>
      <c r="Y17" s="67">
        <f>IF(AND($I17&lt;=($R$2+90),$J17&gt;=($R$2+84)),IF($R$4=1,1,IF($R$4=2,$G17,$F17)),"")</f>
        <v/>
      </c>
      <c r="Z17" s="67">
        <f>IF(AND($I17&lt;=($R$2+97),$J17&gt;=($R$2+91)),IF($R$4=1,1,IF($R$4=2,$G17,$F17)),"")</f>
        <v/>
      </c>
      <c r="AA17" s="67">
        <f>IF(AND($I17&lt;=($R$2+104),$J17&gt;=($R$2+98)),IF($R$4=1,1,IF($R$4=2,$G17,$F17)),"")</f>
        <v/>
      </c>
      <c r="AB17" s="67">
        <f>IF(AND($I17&lt;=($R$2+111),$J17&gt;=($R$2+105)),IF($R$4=1,1,IF($R$4=2,$G17,$F17)),"")</f>
        <v/>
      </c>
      <c r="AC17" s="67">
        <f>IF(AND($I17&lt;=($R$2+118),$J17&gt;=($R$2+112)),IF($R$4=1,1,IF($R$4=2,$G17,$F17)),"")</f>
        <v/>
      </c>
      <c r="AD17" s="67">
        <f>IF(AND($I17&lt;=($R$2+125),$J17&gt;=($R$2+119)),IF($R$4=1,1,IF($R$4=2,$G17,$F17)),"")</f>
        <v/>
      </c>
      <c r="AE17" s="67">
        <f>IF(AND($I17&lt;=($R$2+132),$J17&gt;=($R$2+126)),IF($R$4=1,1,IF($R$4=2,$G17,$F17)),"")</f>
        <v/>
      </c>
      <c r="AF17" s="67">
        <f>IF(AND($I17&lt;=($R$2+139),$J17&gt;=($R$2+133)),IF($R$4=1,1,IF($R$4=2,$G17,$F17)),"")</f>
        <v/>
      </c>
      <c r="AG17" s="67">
        <f>IF(AND($I17&lt;=($R$2+146),$J17&gt;=($R$2+140)),IF($R$4=1,1,IF($R$4=2,$G17,$F17)),"")</f>
        <v/>
      </c>
      <c r="AH17" s="67">
        <f>IF(AND($I17&lt;=($R$2+153),$J17&gt;=($R$2+147)),IF($R$4=1,1,IF($R$4=2,$G17,$F17)),"")</f>
        <v/>
      </c>
      <c r="AI17" s="67">
        <f>IF(AND($I17&lt;=($R$2+160),$J17&gt;=($R$2+154)),IF($R$4=1,1,IF($R$4=2,$G17,$F17)),"")</f>
        <v/>
      </c>
      <c r="AJ17" s="67">
        <f>IF(AND($I17&lt;=($R$2+167),$J17&gt;=($R$2+161)),IF($R$4=1,1,IF($R$4=2,$G17,$F17)),"")</f>
        <v/>
      </c>
      <c r="AK17" s="67">
        <f>IF(AND($I17&lt;=($R$2+174),$J17&gt;=($R$2+168)),IF($R$4=1,1,IF($R$4=2,$G17,$F17)),"")</f>
        <v/>
      </c>
      <c r="AL17" s="67">
        <f>IF(AND($I17&lt;=($R$2+181),$J17&gt;=($R$2+175)),IF($R$4=1,1,IF($R$4=2,$G17,$F17)),"")</f>
        <v/>
      </c>
    </row>
    <row r="18">
      <c r="A18" s="65" t="inlineStr">
        <is>
          <t>CV-12</t>
        </is>
      </c>
      <c r="B18" s="69" t="inlineStr">
        <is>
          <t>Nghiệm thu hoàn thành &amp; Bàn giao thông tuyến</t>
        </is>
      </c>
      <c r="C18" s="70" t="n">
        <v>1</v>
      </c>
      <c r="D18" s="65" t="inlineStr">
        <is>
          <t>hồ sơ</t>
        </is>
      </c>
      <c r="E18" s="70" t="n">
        <v>0.2</v>
      </c>
      <c r="F18" s="65" t="n">
        <v>1</v>
      </c>
      <c r="G18" s="65" t="n">
        <v>8</v>
      </c>
      <c r="H18" s="71" t="n">
        <v>5</v>
      </c>
      <c r="I18" s="72">
        <f>J17+1</f>
        <v/>
      </c>
      <c r="J18" s="72">
        <f>I18+H18-1</f>
        <v/>
      </c>
      <c r="K18" s="65" t="inlineStr">
        <is>
          <t>CV-11</t>
        </is>
      </c>
      <c r="L18" s="66" t="inlineStr">
        <is>
          <t>CRITICAL</t>
        </is>
      </c>
      <c r="M18" s="67">
        <f>IF(AND($I18&lt;=($R$2+6),$J18&gt;=($R$2+0)),IF($R$4=1,1,IF($R$4=2,$G18,$F18)),"")</f>
        <v/>
      </c>
      <c r="N18" s="67">
        <f>IF(AND($I18&lt;=($R$2+13),$J18&gt;=($R$2+7)),IF($R$4=1,1,IF($R$4=2,$G18,$F18)),"")</f>
        <v/>
      </c>
      <c r="O18" s="67">
        <f>IF(AND($I18&lt;=($R$2+20),$J18&gt;=($R$2+14)),IF($R$4=1,1,IF($R$4=2,$G18,$F18)),"")</f>
        <v/>
      </c>
      <c r="P18" s="67">
        <f>IF(AND($I18&lt;=($R$2+27),$J18&gt;=($R$2+21)),IF($R$4=1,1,IF($R$4=2,$G18,$F18)),"")</f>
        <v/>
      </c>
      <c r="Q18" s="67">
        <f>IF(AND($I18&lt;=($R$2+34),$J18&gt;=($R$2+28)),IF($R$4=1,1,IF($R$4=2,$G18,$F18)),"")</f>
        <v/>
      </c>
      <c r="R18" s="67">
        <f>IF(AND($I18&lt;=($R$2+41),$J18&gt;=($R$2+35)),IF($R$4=1,1,IF($R$4=2,$G18,$F18)),"")</f>
        <v/>
      </c>
      <c r="S18" s="67">
        <f>IF(AND($I18&lt;=($R$2+48),$J18&gt;=($R$2+42)),IF($R$4=1,1,IF($R$4=2,$G18,$F18)),"")</f>
        <v/>
      </c>
      <c r="T18" s="67">
        <f>IF(AND($I18&lt;=($R$2+55),$J18&gt;=($R$2+49)),IF($R$4=1,1,IF($R$4=2,$G18,$F18)),"")</f>
        <v/>
      </c>
      <c r="U18" s="67">
        <f>IF(AND($I18&lt;=($R$2+62),$J18&gt;=($R$2+56)),IF($R$4=1,1,IF($R$4=2,$G18,$F18)),"")</f>
        <v/>
      </c>
      <c r="V18" s="67">
        <f>IF(AND($I18&lt;=($R$2+69),$J18&gt;=($R$2+63)),IF($R$4=1,1,IF($R$4=2,$G18,$F18)),"")</f>
        <v/>
      </c>
      <c r="W18" s="67">
        <f>IF(AND($I18&lt;=($R$2+76),$J18&gt;=($R$2+70)),IF($R$4=1,1,IF($R$4=2,$G18,$F18)),"")</f>
        <v/>
      </c>
      <c r="X18" s="67">
        <f>IF(AND($I18&lt;=($R$2+83),$J18&gt;=($R$2+77)),IF($R$4=1,1,IF($R$4=2,$G18,$F18)),"")</f>
        <v/>
      </c>
      <c r="Y18" s="67">
        <f>IF(AND($I18&lt;=($R$2+90),$J18&gt;=($R$2+84)),IF($R$4=1,1,IF($R$4=2,$G18,$F18)),"")</f>
        <v/>
      </c>
      <c r="Z18" s="67">
        <f>IF(AND($I18&lt;=($R$2+97),$J18&gt;=($R$2+91)),IF($R$4=1,1,IF($R$4=2,$G18,$F18)),"")</f>
        <v/>
      </c>
      <c r="AA18" s="67">
        <f>IF(AND($I18&lt;=($R$2+104),$J18&gt;=($R$2+98)),IF($R$4=1,1,IF($R$4=2,$G18,$F18)),"")</f>
        <v/>
      </c>
      <c r="AB18" s="67">
        <f>IF(AND($I18&lt;=($R$2+111),$J18&gt;=($R$2+105)),IF($R$4=1,1,IF($R$4=2,$G18,$F18)),"")</f>
        <v/>
      </c>
      <c r="AC18" s="67">
        <f>IF(AND($I18&lt;=($R$2+118),$J18&gt;=($R$2+112)),IF($R$4=1,1,IF($R$4=2,$G18,$F18)),"")</f>
        <v/>
      </c>
      <c r="AD18" s="67">
        <f>IF(AND($I18&lt;=($R$2+125),$J18&gt;=($R$2+119)),IF($R$4=1,1,IF($R$4=2,$G18,$F18)),"")</f>
        <v/>
      </c>
      <c r="AE18" s="67">
        <f>IF(AND($I18&lt;=($R$2+132),$J18&gt;=($R$2+126)),IF($R$4=1,1,IF($R$4=2,$G18,$F18)),"")</f>
        <v/>
      </c>
      <c r="AF18" s="67">
        <f>IF(AND($I18&lt;=($R$2+139),$J18&gt;=($R$2+133)),IF($R$4=1,1,IF($R$4=2,$G18,$F18)),"")</f>
        <v/>
      </c>
      <c r="AG18" s="67">
        <f>IF(AND($I18&lt;=($R$2+146),$J18&gt;=($R$2+140)),IF($R$4=1,1,IF($R$4=2,$G18,$F18)),"")</f>
        <v/>
      </c>
      <c r="AH18" s="67">
        <f>IF(AND($I18&lt;=($R$2+153),$J18&gt;=($R$2+147)),IF($R$4=1,1,IF($R$4=2,$G18,$F18)),"")</f>
        <v/>
      </c>
      <c r="AI18" s="67">
        <f>IF(AND($I18&lt;=($R$2+160),$J18&gt;=($R$2+154)),IF($R$4=1,1,IF($R$4=2,$G18,$F18)),"")</f>
        <v/>
      </c>
      <c r="AJ18" s="67">
        <f>IF(AND($I18&lt;=($R$2+167),$J18&gt;=($R$2+161)),IF($R$4=1,1,IF($R$4=2,$G18,$F18)),"")</f>
        <v/>
      </c>
      <c r="AK18" s="67">
        <f>IF(AND($I18&lt;=($R$2+174),$J18&gt;=($R$2+168)),IF($R$4=1,1,IF($R$4=2,$G18,$F18)),"")</f>
        <v/>
      </c>
      <c r="AL18" s="67">
        <f>IF(AND($I18&lt;=($R$2+181),$J18&gt;=($R$2+175)),IF($R$4=1,1,IF($R$4=2,$G18,$F18)),"")</f>
        <v/>
      </c>
    </row>
  </sheetData>
  <conditionalFormatting sqref="M7:AL18">
    <cfRule type="expression" priority="1" dxfId="0" stopIfTrue="1">
      <formula>M7&gt;0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52" customWidth="1" min="2" max="2"/>
    <col width="27" customWidth="1" min="3" max="3"/>
    <col width="15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DANH MỤC BIÊN BẢN NGHIỆM THU KCS QUẢN LÝ CHẤT LƯỢNG</t>
        </is>
      </c>
    </row>
    <row r="2">
      <c r="A2" s="2" t="inlineStr">
        <is>
          <t>Căn cứ: Nghị định 207/2026/NĐ-CP &amp; Thông tư 32/2026/TT-BXD | Ma trận logic chéo ngày tháng</t>
        </is>
      </c>
    </row>
    <row r="4" ht="25" customHeight="1">
      <c r="A4" s="3" t="inlineStr">
        <is>
          <t>SỐ BB</t>
        </is>
      </c>
      <c r="B4" s="3" t="inlineStr">
        <is>
          <t>TÊN BIÊN BẢN NGHIỆM THU CÔNG VIỆC</t>
        </is>
      </c>
      <c r="C4" s="3" t="inlineStr">
        <is>
          <t>ĐỐI TƯỢNG NGHIỆM THU</t>
        </is>
      </c>
      <c r="D4" s="3" t="inlineStr">
        <is>
          <t>NGÀY BẮT ĐẦU</t>
        </is>
      </c>
      <c r="E4" s="3" t="inlineStr">
        <is>
          <t>NGÀY NGHIỆM THU</t>
        </is>
      </c>
      <c r="F4" s="3" t="inlineStr">
        <is>
          <t>KẾT QUẢ</t>
        </is>
      </c>
      <c r="G4" s="3" t="inlineStr">
        <is>
          <t>THÀNH PHẦN KÝ</t>
        </is>
      </c>
    </row>
    <row r="5" ht="20" customHeight="1">
      <c r="A5" s="4" t="inlineStr">
        <is>
          <t>BB-01</t>
        </is>
      </c>
      <c r="B5" s="8" t="inlineStr">
        <is>
          <t>Nghiệm thu trắc đạc tim mốc định vị tuyến cống A5</t>
        </is>
      </c>
      <c r="C5" s="8" t="inlineStr">
        <is>
          <t>Tim mốc Km0 - Km2+170</t>
        </is>
      </c>
      <c r="D5" s="4" t="inlineStr">
        <is>
          <t>01/10/2026</t>
        </is>
      </c>
      <c r="E5" s="4" t="inlineStr">
        <is>
          <t>05/10/2026</t>
        </is>
      </c>
      <c r="F5" s="33" t="inlineStr">
        <is>
          <t>ĐẠT CHUẨN</t>
        </is>
      </c>
      <c r="G5" s="8" t="inlineStr">
        <is>
          <t>TVGS + Nhà thầu</t>
        </is>
      </c>
    </row>
    <row r="6" ht="20" customHeight="1">
      <c r="A6" s="4" t="inlineStr">
        <is>
          <t>BB-02</t>
        </is>
      </c>
      <c r="B6" s="8" t="inlineStr">
        <is>
          <t>Nghiệm thu hố móng cống đoạn T5-a17 đến T5-a28</t>
        </is>
      </c>
      <c r="C6" s="8" t="inlineStr">
        <is>
          <t>Cao độ đáy móng -0.80m</t>
        </is>
      </c>
      <c r="D6" s="4" t="inlineStr">
        <is>
          <t>06/10/2026</t>
        </is>
      </c>
      <c r="E6" s="4" t="inlineStr">
        <is>
          <t>20/10/2026</t>
        </is>
      </c>
      <c r="F6" s="33" t="inlineStr">
        <is>
          <t>ĐẠT CHUẨN</t>
        </is>
      </c>
      <c r="G6" s="8" t="inlineStr">
        <is>
          <t>TVGS + Nhà thầu</t>
        </is>
      </c>
    </row>
    <row r="7" ht="20" customHeight="1">
      <c r="A7" s="4" t="inlineStr">
        <is>
          <t>BB-03</t>
        </is>
      </c>
      <c r="B7" s="8" t="inlineStr">
        <is>
          <t>Nghiệm thu đóng cọc tre &amp; đệm cát K95</t>
        </is>
      </c>
      <c r="C7" s="8" t="inlineStr">
        <is>
          <t>25 cọc/m2, cát hạt trung</t>
        </is>
      </c>
      <c r="D7" s="4" t="inlineStr">
        <is>
          <t>21/10/2026</t>
        </is>
      </c>
      <c r="E7" s="4" t="inlineStr">
        <is>
          <t>30/10/2026</t>
        </is>
      </c>
      <c r="F7" s="33" t="inlineStr">
        <is>
          <t>ĐẠT CHUẨN</t>
        </is>
      </c>
      <c r="G7" s="8" t="inlineStr">
        <is>
          <t>TVGS + Nhà thầu</t>
        </is>
      </c>
    </row>
    <row r="8" ht="20" customHeight="1">
      <c r="A8" s="4" t="inlineStr">
        <is>
          <t>BB-04</t>
        </is>
      </c>
      <c r="B8" s="8" t="inlineStr">
        <is>
          <t>Nghiệm thu bê tông lót móng M100</t>
        </is>
      </c>
      <c r="C8" s="8" t="inlineStr">
        <is>
          <t>Bê tông dày 50mm</t>
        </is>
      </c>
      <c r="D8" s="4" t="inlineStr">
        <is>
          <t>31/10/2026</t>
        </is>
      </c>
      <c r="E8" s="4" t="inlineStr">
        <is>
          <t>04/11/2026</t>
        </is>
      </c>
      <c r="F8" s="33" t="inlineStr">
        <is>
          <t>ĐẠT CHUẨN</t>
        </is>
      </c>
      <c r="G8" s="8" t="inlineStr">
        <is>
          <t>TVGS + Nhà thầu</t>
        </is>
      </c>
    </row>
    <row r="9" ht="20" customHeight="1">
      <c r="A9" s="4" t="inlineStr">
        <is>
          <t>BB-05</t>
        </is>
      </c>
      <c r="B9" s="8" t="inlineStr">
        <is>
          <t>Nghiệm thu cốt thép thân cống hộp 2.0x2.0m</t>
        </is>
      </c>
      <c r="C9" s="8" t="inlineStr">
        <is>
          <t>Thép CB240-T, CB500-V</t>
        </is>
      </c>
      <c r="D9" s="4" t="inlineStr">
        <is>
          <t>05/11/2026</t>
        </is>
      </c>
      <c r="E9" s="4" t="inlineStr">
        <is>
          <t>20/11/2026</t>
        </is>
      </c>
      <c r="F9" s="33" t="inlineStr">
        <is>
          <t>ĐẠT CHUẨN</t>
        </is>
      </c>
      <c r="G9" s="8" t="inlineStr">
        <is>
          <t>TVGS + Nhà thầu</t>
        </is>
      </c>
    </row>
    <row r="10" ht="20" customHeight="1">
      <c r="A10" s="4" t="inlineStr">
        <is>
          <t>BB-06</t>
        </is>
      </c>
      <c r="B10" s="8" t="inlineStr">
        <is>
          <t>Nghiệm thu ván khuôn cống hộp 2.0x2.0m</t>
        </is>
      </c>
      <c r="C10" s="8" t="inlineStr">
        <is>
          <t>Ván khuôn phủ phim 18mm</t>
        </is>
      </c>
      <c r="D10" s="4" t="inlineStr">
        <is>
          <t>21/11/2026</t>
        </is>
      </c>
      <c r="E10" s="4" t="inlineStr">
        <is>
          <t>25/11/2026</t>
        </is>
      </c>
      <c r="F10" s="33" t="inlineStr">
        <is>
          <t>ĐẠT CHUẨN</t>
        </is>
      </c>
      <c r="G10" s="8" t="inlineStr">
        <is>
          <t>TVGS + Nhà thầu</t>
        </is>
      </c>
    </row>
    <row r="11" ht="20" customHeight="1">
      <c r="A11" s="4" t="inlineStr">
        <is>
          <t>BB-07</t>
        </is>
      </c>
      <c r="B11" s="8" t="inlineStr">
        <is>
          <t>Nghiệm thu bê tông thân cống B20 (M250)</t>
        </is>
      </c>
      <c r="C11" s="8" t="inlineStr">
        <is>
          <t>Mẫu nén R28 đạt 28.5 MPa</t>
        </is>
      </c>
      <c r="D11" s="4" t="inlineStr">
        <is>
          <t>26/11/2026</t>
        </is>
      </c>
      <c r="E11" s="4" t="inlineStr">
        <is>
          <t>28/11/2026</t>
        </is>
      </c>
      <c r="F11" s="33" t="inlineStr">
        <is>
          <t>ĐẠT CHUẨN</t>
        </is>
      </c>
      <c r="G11" s="8" t="inlineStr">
        <is>
          <t>TVGS + Nhà thầu</t>
        </is>
      </c>
    </row>
    <row r="12" ht="20" customHeight="1">
      <c r="A12" s="4" t="inlineStr">
        <is>
          <t>BB-08</t>
        </is>
      </c>
      <c r="B12" s="8" t="inlineStr">
        <is>
          <t>Nghiệm thu chống thấm &amp; chèn khe co giãn bitum</t>
        </is>
      </c>
      <c r="C12" s="8" t="inlineStr">
        <is>
          <t>Sơn bitum + xốp cao su</t>
        </is>
      </c>
      <c r="D12" s="4" t="inlineStr">
        <is>
          <t>29/11/2026</t>
        </is>
      </c>
      <c r="E12" s="4" t="inlineStr">
        <is>
          <t>05/12/2026</t>
        </is>
      </c>
      <c r="F12" s="33" t="inlineStr">
        <is>
          <t>ĐẠT CHUẨN</t>
        </is>
      </c>
      <c r="G12" s="8" t="inlineStr">
        <is>
          <t>TVGS + Nhà thầu</t>
        </is>
      </c>
    </row>
    <row r="13" ht="20" customHeight="1">
      <c r="A13" s="4" t="inlineStr">
        <is>
          <t>BB-09</t>
        </is>
      </c>
      <c r="B13" s="8" t="inlineStr">
        <is>
          <t>Nghiệm thu lấp cát mang cống đầm chặt K98</t>
        </is>
      </c>
      <c r="C13" s="8" t="inlineStr">
        <is>
          <t>Độ chặt K=0.98</t>
        </is>
      </c>
      <c r="D13" s="4" t="inlineStr">
        <is>
          <t>06/12/2026</t>
        </is>
      </c>
      <c r="E13" s="4" t="inlineStr">
        <is>
          <t>15/12/2026</t>
        </is>
      </c>
      <c r="F13" s="33" t="inlineStr">
        <is>
          <t>ĐẠT CHUẨN</t>
        </is>
      </c>
      <c r="G13" s="8" t="inlineStr">
        <is>
          <t>TVGS + Nhà thầu</t>
        </is>
      </c>
    </row>
    <row r="14" ht="20" customHeight="1">
      <c r="A14" s="4" t="inlineStr">
        <is>
          <t>BB-10</t>
        </is>
      </c>
      <c r="B14" s="8" t="inlineStr">
        <is>
          <t>Nghiệm thu hoàn thành giai đoạn cống đơn 2.0x2.0m</t>
        </is>
      </c>
      <c r="C14" s="8" t="inlineStr">
        <is>
          <t>Toàn bộ đoạn 385m</t>
        </is>
      </c>
      <c r="D14" s="4" t="inlineStr">
        <is>
          <t>16/12/2026</t>
        </is>
      </c>
      <c r="E14" s="4" t="inlineStr">
        <is>
          <t>20/12/2026</t>
        </is>
      </c>
      <c r="F14" s="33" t="inlineStr">
        <is>
          <t>ĐẠT CHUẨN</t>
        </is>
      </c>
      <c r="G14" s="8" t="inlineStr">
        <is>
          <t>CĐT + TVGS + TVTK + 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MAU_BIEN_BAN_KCS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MAU_BB_NGHIEM_THU_VAT_LIEU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MAU_BB_LAY_MAU_HIEN_TRUONG - CỐNG HỘP TUYẾN A5</t>
        </is>
      </c>
    </row>
    <row r="2">
      <c r="A2" s="2" t="inlineStr">
        <is>
          <t>Dữ liệu đồng bộ trực tiếp từ Master State Bus - 100% Zero Broken Links</t>
        </is>
      </c>
    </row>
    <row r="3">
      <c r="A3" s="45" t="inlineStr">
        <is>
          <t>CHƯA LẬP — chưa có dữ liệu cho dự án này. Không xuất thành hồ sơ riêng cho tới khi có nội dung.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2026-10-03T09:59:47Z</dcterms:modified>
</cp:coreProperties>
</file>