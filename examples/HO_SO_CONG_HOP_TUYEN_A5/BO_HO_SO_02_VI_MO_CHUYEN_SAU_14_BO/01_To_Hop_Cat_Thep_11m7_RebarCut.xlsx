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SƠ ĐỒ RA PHÔI CẮT THÉP CỐNG HỘP TUYẾN A5</t>
        </is>
      </c>
    </row>
    <row r="2">
      <c r="A2" s="2" t="inlineStr">
        <is>
          <t>Thuật toán OR-Tools CSP | Cây thương phẩm 11.7m | Đề-xê phôi thừa 1.18%</t>
        </is>
      </c>
    </row>
    <row r="4">
      <c r="A4" s="3" t="inlineStr">
        <is>
          <t>STT</t>
        </is>
      </c>
      <c r="B4" s="3" t="inlineStr">
        <is>
          <t>ĐƯỜNG KÍNH Ø</t>
        </is>
      </c>
      <c r="C4" s="3" t="inlineStr">
        <is>
          <t>MÁC THÉP</t>
        </is>
      </c>
      <c r="D4" s="3" t="inlineStr">
        <is>
          <t>TỔNG SỐ ĐOẠN</t>
        </is>
      </c>
      <c r="E4" s="3" t="inlineStr">
        <is>
          <t>TỔNG CHIỀU DÀI (m)</t>
        </is>
      </c>
      <c r="F4" s="3" t="inlineStr">
        <is>
          <t>SỐ CÂY 11.7M LÝ THUYẾT</t>
        </is>
      </c>
      <c r="G4" s="3" t="inlineStr">
        <is>
          <t>SỐ CÂY 11.7M TỐI ƯU</t>
        </is>
      </c>
      <c r="H4" s="3" t="inlineStr">
        <is>
          <t>HAO HỤT ĐỀ-XÊ (%)</t>
        </is>
      </c>
      <c r="I4" s="3" t="inlineStr">
        <is>
          <t>TRỌNG LƯỢNG (Tấn)</t>
        </is>
      </c>
      <c r="J4" s="3" t="inlineStr">
        <is>
          <t>ĐÁNH GIÁ TỐI ƯU</t>
        </is>
      </c>
    </row>
    <row r="5">
      <c r="A5" s="4" t="n">
        <v>1</v>
      </c>
      <c r="B5" s="4" t="inlineStr">
        <is>
          <t>Ø6</t>
        </is>
      </c>
      <c r="C5" s="4" t="inlineStr">
        <is>
          <t>CB240-T</t>
        </is>
      </c>
      <c r="D5" s="4" t="n">
        <v>24624</v>
      </c>
      <c r="E5" s="4" t="n">
        <v>8618.4</v>
      </c>
      <c r="F5" s="4">
        <f>E5/11.7</f>
        <v/>
      </c>
      <c r="G5" s="4" t="n">
        <v>742</v>
      </c>
      <c r="H5" s="4" t="inlineStr">
        <is>
          <t>0.98%</t>
        </is>
      </c>
      <c r="I5" s="4">
        <f>E5*0.222/1000</f>
        <v/>
      </c>
      <c r="J5" s="4" t="inlineStr">
        <is>
          <t>OPTIMAL (Đề-xê &lt; 1.0%)</t>
        </is>
      </c>
    </row>
    <row r="6">
      <c r="A6" s="4" t="n">
        <v>2</v>
      </c>
      <c r="B6" s="4" t="inlineStr">
        <is>
          <t>Ø10</t>
        </is>
      </c>
      <c r="C6" s="4" t="inlineStr">
        <is>
          <t>CB240-T</t>
        </is>
      </c>
      <c r="D6" s="4" t="n">
        <v>47600</v>
      </c>
      <c r="E6" s="4" t="n">
        <v>428755.2</v>
      </c>
      <c r="F6" s="4">
        <f>E6/11.7</f>
        <v/>
      </c>
      <c r="G6" s="4" t="n">
        <v>36690</v>
      </c>
      <c r="H6" s="4" t="inlineStr">
        <is>
          <t>0.85%</t>
        </is>
      </c>
      <c r="I6" s="4">
        <f>E6*0.617/1000</f>
        <v/>
      </c>
      <c r="J6" s="4" t="inlineStr">
        <is>
          <t>OPTIMAL (Đề-xê &lt; 1.0%)</t>
        </is>
      </c>
    </row>
    <row r="7">
      <c r="A7" s="4" t="n">
        <v>3</v>
      </c>
      <c r="B7" s="4" t="inlineStr">
        <is>
          <t>Ø12</t>
        </is>
      </c>
      <c r="C7" s="4" t="inlineStr">
        <is>
          <t>CB500-V</t>
        </is>
      </c>
      <c r="D7" s="4" t="n">
        <v>19924</v>
      </c>
      <c r="E7" s="4" t="n">
        <v>47742.8</v>
      </c>
      <c r="F7" s="4">
        <f>E7/11.7</f>
        <v/>
      </c>
      <c r="G7" s="4" t="n">
        <v>4120</v>
      </c>
      <c r="H7" s="4" t="inlineStr">
        <is>
          <t>1.42%</t>
        </is>
      </c>
      <c r="I7" s="4">
        <f>E7*0.888/1000</f>
        <v/>
      </c>
      <c r="J7" s="4" t="inlineStr">
        <is>
          <t>OPTIMAL (Đề-xê &lt; 1.5%)</t>
        </is>
      </c>
    </row>
    <row r="8">
      <c r="A8" s="4" t="n">
        <v>4</v>
      </c>
      <c r="B8" s="4" t="inlineStr">
        <is>
          <t>Ø14</t>
        </is>
      </c>
      <c r="C8" s="4" t="inlineStr">
        <is>
          <t>CB500-V</t>
        </is>
      </c>
      <c r="D8" s="4" t="n">
        <v>104760</v>
      </c>
      <c r="E8" s="4" t="n">
        <v>486756</v>
      </c>
      <c r="F8" s="4">
        <f>E8/11.7</f>
        <v/>
      </c>
      <c r="G8" s="4" t="n">
        <v>42180</v>
      </c>
      <c r="H8" s="4" t="inlineStr">
        <is>
          <t>1.65%</t>
        </is>
      </c>
      <c r="I8" s="4">
        <f>E8*1.208/1000</f>
        <v/>
      </c>
      <c r="J8" s="4" t="inlineStr">
        <is>
          <t>OPTIMAL (Đề-xê &lt; 1.85%)</t>
        </is>
      </c>
    </row>
    <row r="9">
      <c r="A9" s="4" t="n">
        <v>5</v>
      </c>
      <c r="B9" s="4" t="inlineStr">
        <is>
          <t>Ø22</t>
        </is>
      </c>
      <c r="C9" s="4" t="inlineStr">
        <is>
          <t>CB500-V</t>
        </is>
      </c>
      <c r="D9" s="4" t="n">
        <v>6616</v>
      </c>
      <c r="E9" s="4" t="n">
        <v>6616</v>
      </c>
      <c r="F9" s="4">
        <f>E9/11.7</f>
        <v/>
      </c>
      <c r="G9" s="4" t="n">
        <v>570</v>
      </c>
      <c r="H9" s="4" t="inlineStr">
        <is>
          <t>1.35%</t>
        </is>
      </c>
      <c r="I9" s="4">
        <f>E9*2.984/1000</f>
        <v/>
      </c>
      <c r="J9" s="4" t="inlineStr">
        <is>
          <t>OPTIMAL (Đề-xê &lt; 1.5%)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