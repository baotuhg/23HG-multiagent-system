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_LUC_03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THANH TOÁN KHỐI LƯỢNG KỲ 01 (MẪU 03.A NĐ 99/2021)</t>
        </is>
      </c>
    </row>
    <row r="4">
      <c r="A4" s="2" t="inlineStr">
        <is>
          <t>STT</t>
        </is>
      </c>
      <c r="B4" s="2" t="inlineStr">
        <is>
          <t>NỘI DUNG CÔNG VIỆC</t>
        </is>
      </c>
      <c r="C4" s="2" t="inlineStr">
        <is>
          <t>ĐƠN VỊ</t>
        </is>
      </c>
      <c r="D4" s="2" t="inlineStr">
        <is>
          <t>HỢP ĐỒNG (KL)</t>
        </is>
      </c>
      <c r="E4" s="2" t="inlineStr">
        <is>
          <t>ĐƠN GIÁ HĐ (VNĐ)</t>
        </is>
      </c>
      <c r="F4" s="2" t="inlineStr">
        <is>
          <t>LŨY KẾ KỲ TRƯỚC (KL)</t>
        </is>
      </c>
      <c r="G4" s="2" t="inlineStr">
        <is>
          <t>THỰC HIỆN KỲ NÀY (KL)</t>
        </is>
      </c>
      <c r="H4" s="2" t="inlineStr">
        <is>
          <t>THÀNH TIỀN KỲ NÀY (VNĐ)</t>
        </is>
      </c>
      <c r="I4" s="2" t="inlineStr">
        <is>
          <t>LŨY KẾ HẾT KỲ NÀY (KL)</t>
        </is>
      </c>
    </row>
    <row r="5">
      <c r="A5" s="3" t="n">
        <v>1</v>
      </c>
      <c r="B5" s="3" t="inlineStr">
        <is>
          <t>Đào đất hố móng cống hộp</t>
        </is>
      </c>
      <c r="C5" s="3" t="inlineStr">
        <is>
          <t>m3</t>
        </is>
      </c>
      <c r="D5" s="3" t="n">
        <v>38192</v>
      </c>
      <c r="E5" s="3" t="n">
        <v>45000</v>
      </c>
      <c r="F5" s="3" t="n">
        <v>0</v>
      </c>
      <c r="G5" s="3" t="n">
        <v>15000</v>
      </c>
      <c r="H5" s="3">
        <f>G5*E5</f>
        <v/>
      </c>
      <c r="I5" s="3">
        <f>F5+G5</f>
        <v/>
      </c>
    </row>
    <row r="6">
      <c r="A6" s="3" t="n">
        <v>2</v>
      </c>
      <c r="B6" s="3" t="inlineStr">
        <is>
          <t>Gia cố cọc tre d=6-8cm L=2.5m</t>
        </is>
      </c>
      <c r="C6" s="3" t="inlineStr">
        <is>
          <t>cọc</t>
        </is>
      </c>
      <c r="D6" s="3" t="n">
        <v>244125</v>
      </c>
      <c r="E6" s="3" t="n">
        <v>32000</v>
      </c>
      <c r="F6" s="3" t="n">
        <v>0</v>
      </c>
      <c r="G6" s="3" t="n">
        <v>80000</v>
      </c>
      <c r="H6" s="3">
        <f>G6*E6</f>
        <v/>
      </c>
      <c r="I6" s="3">
        <f>F6+G6</f>
        <v/>
      </c>
    </row>
    <row r="7">
      <c r="A7" s="3" t="n">
        <v>3</v>
      </c>
      <c r="B7" s="3" t="inlineStr">
        <is>
          <t>Bê tông lót móng cống M100</t>
        </is>
      </c>
      <c r="C7" s="3" t="inlineStr">
        <is>
          <t>m3</t>
        </is>
      </c>
      <c r="D7" s="3" t="n">
        <v>592.4</v>
      </c>
      <c r="E7" s="3" t="n">
        <v>980000</v>
      </c>
      <c r="F7" s="3" t="n">
        <v>0</v>
      </c>
      <c r="G7" s="3" t="n">
        <v>200</v>
      </c>
      <c r="H7" s="3">
        <f>G7*E7</f>
        <v/>
      </c>
      <c r="I7" s="3">
        <f>F7+G7</f>
        <v/>
      </c>
    </row>
    <row r="8">
      <c r="A8" s="3" t="n">
        <v>4</v>
      </c>
      <c r="B8" s="3" t="inlineStr">
        <is>
          <t>Bê tông thân cống B20 (M250)</t>
        </is>
      </c>
      <c r="C8" s="3" t="inlineStr">
        <is>
          <t>m3</t>
        </is>
      </c>
      <c r="D8" s="3" t="n">
        <v>11870</v>
      </c>
      <c r="E8" s="3" t="n">
        <v>1450000</v>
      </c>
      <c r="F8" s="3" t="n">
        <v>0</v>
      </c>
      <c r="G8" s="3" t="n">
        <v>3500</v>
      </c>
      <c r="H8" s="3">
        <f>G8*E8</f>
        <v/>
      </c>
      <c r="I8" s="3">
        <f>F8+G8</f>
        <v/>
      </c>
    </row>
    <row r="9">
      <c r="A9" s="3" t="n">
        <v>5</v>
      </c>
      <c r="B9" s="3" t="inlineStr">
        <is>
          <t>Ván khuôn thân cống tiếp xúc</t>
        </is>
      </c>
      <c r="C9" s="3" t="inlineStr">
        <is>
          <t>m2</t>
        </is>
      </c>
      <c r="D9" s="3" t="n">
        <v>44941</v>
      </c>
      <c r="E9" s="3" t="n">
        <v>165000</v>
      </c>
      <c r="F9" s="3" t="n">
        <v>0</v>
      </c>
      <c r="G9" s="3" t="n">
        <v>14000</v>
      </c>
      <c r="H9" s="3">
        <f>G9*E9</f>
        <v/>
      </c>
      <c r="I9" s="3">
        <f>F9+G9</f>
        <v/>
      </c>
    </row>
    <row r="10">
      <c r="A10" s="3" t="n">
        <v>6</v>
      </c>
      <c r="B10" s="3" t="inlineStr">
        <is>
          <t>Cốt thép cống hộp các loại</t>
        </is>
      </c>
      <c r="C10" s="3" t="inlineStr">
        <is>
          <t>tấn</t>
        </is>
      </c>
      <c r="D10" s="3" t="n">
        <v>753.4</v>
      </c>
      <c r="E10" s="3" t="n">
        <v>21500000</v>
      </c>
      <c r="F10" s="3" t="n">
        <v>0</v>
      </c>
      <c r="G10" s="3" t="n">
        <v>220</v>
      </c>
      <c r="H10" s="3">
        <f>G10*E10</f>
        <v/>
      </c>
      <c r="I10" s="3">
        <f>F10+G10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