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O_D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BÓC TÁCH ĐÀO ĐẮP &amp; XỬ LÝ NỀN MÓNG CỐNG HỘP TUYẾN A5</t>
        </is>
      </c>
    </row>
    <row r="4">
      <c r="A4" s="2" t="inlineStr">
        <is>
          <t>STT</t>
        </is>
      </c>
      <c r="B4" s="2" t="inlineStr">
        <is>
          <t>HẠNG MỤC CÔNG TÁC</t>
        </is>
      </c>
      <c r="C4" s="2" t="inlineStr">
        <is>
          <t>ĐƠN VỊ</t>
        </is>
      </c>
      <c r="D4" s="2" t="inlineStr">
        <is>
          <t>SỐ LƯỢNG</t>
        </is>
      </c>
      <c r="E4" s="2" t="inlineStr">
        <is>
          <t>DÀI (m)</t>
        </is>
      </c>
      <c r="F4" s="2" t="inlineStr">
        <is>
          <t>RỘNG (m)</t>
        </is>
      </c>
      <c r="G4" s="2" t="inlineStr">
        <is>
          <t>CAO/SÂU (m)</t>
        </is>
      </c>
      <c r="H4" s="2" t="inlineStr">
        <is>
          <t>HỆ SỐ</t>
        </is>
      </c>
      <c r="I4" s="2" t="inlineStr">
        <is>
          <t>KHỐI LƯỢNG (m3)</t>
        </is>
      </c>
      <c r="J4" s="2" t="inlineStr">
        <is>
          <t>GHI CHÚ</t>
        </is>
      </c>
    </row>
    <row r="5">
      <c r="A5" s="3" t="n">
        <v>1</v>
      </c>
      <c r="B5" s="3" t="inlineStr">
        <is>
          <t>Đào hố móng cống đất C3 (máy kết hợp thủ công)</t>
        </is>
      </c>
      <c r="C5" s="3" t="inlineStr">
        <is>
          <t>m3</t>
        </is>
      </c>
      <c r="D5" s="3" t="n">
        <v>1</v>
      </c>
      <c r="E5" s="3" t="n">
        <v>2170</v>
      </c>
      <c r="F5" s="3" t="n">
        <v>5.5</v>
      </c>
      <c r="G5" s="3" t="n">
        <v>3.2</v>
      </c>
      <c r="H5" s="3" t="n">
        <v>1</v>
      </c>
      <c r="I5" s="3">
        <f>D5*E5*F5*G5*H5</f>
        <v/>
      </c>
      <c r="J5" s="3" t="inlineStr">
        <is>
          <t>Đào taluy m=0.5, sâu TB 3.2m</t>
        </is>
      </c>
    </row>
    <row r="6">
      <c r="A6" s="3" t="n">
        <v>2</v>
      </c>
      <c r="B6" s="3" t="inlineStr">
        <is>
          <t>Gia cố cọc tre nền đất yếu (d=6-8cm L=2.5m)</t>
        </is>
      </c>
      <c r="C6" s="3" t="inlineStr">
        <is>
          <t>cọc</t>
        </is>
      </c>
      <c r="D6" s="3" t="n">
        <v>1</v>
      </c>
      <c r="E6" s="3" t="n">
        <v>2170</v>
      </c>
      <c r="F6" s="3" t="n">
        <v>4.5</v>
      </c>
      <c r="G6" s="3" t="n">
        <v>25</v>
      </c>
      <c r="H6" s="3" t="n">
        <v>1</v>
      </c>
      <c r="I6" s="3">
        <f>D6*E6*F6*G6*H6</f>
        <v/>
      </c>
      <c r="J6" s="3" t="inlineStr">
        <is>
          <t>Mật độ 25 cọc/m2 đáy móng</t>
        </is>
      </c>
    </row>
    <row r="7">
      <c r="A7" s="3" t="n">
        <v>3</v>
      </c>
      <c r="B7" s="3" t="inlineStr">
        <is>
          <t>Đệm cát đầu cọc dày 100mm đầm chặt K95</t>
        </is>
      </c>
      <c r="C7" s="3" t="inlineStr">
        <is>
          <t>m3</t>
        </is>
      </c>
      <c r="D7" s="3" t="n">
        <v>1</v>
      </c>
      <c r="E7" s="3" t="n">
        <v>2170</v>
      </c>
      <c r="F7" s="3" t="n">
        <v>4.5</v>
      </c>
      <c r="G7" s="3" t="n">
        <v>0.1</v>
      </c>
      <c r="H7" s="3" t="n">
        <v>1</v>
      </c>
      <c r="I7" s="3">
        <f>D7*E7*F7*G7*H7</f>
        <v/>
      </c>
      <c r="J7" s="3" t="inlineStr">
        <is>
          <t>Đệm cát hạt trung đầm chặt</t>
        </is>
      </c>
    </row>
    <row r="8">
      <c r="A8" s="3" t="n">
        <v>4</v>
      </c>
      <c r="B8" s="3" t="inlineStr">
        <is>
          <t>Đắp cát/đất đầm chặt K95 mang cống và lưng cống</t>
        </is>
      </c>
      <c r="C8" s="3" t="inlineStr">
        <is>
          <t>m3</t>
        </is>
      </c>
      <c r="D8" s="3" t="n">
        <v>1</v>
      </c>
      <c r="E8" s="3" t="n">
        <v>2170</v>
      </c>
      <c r="F8" s="3" t="n">
        <v>4</v>
      </c>
      <c r="G8" s="3" t="n">
        <v>2.5</v>
      </c>
      <c r="H8" s="3" t="n">
        <v>1</v>
      </c>
      <c r="I8" s="3">
        <f>D8*E8*F8*G8*H8-QS_DIEN_GIAI_CHI_TIET!I8</f>
        <v/>
      </c>
      <c r="J8" s="3" t="inlineStr">
        <is>
          <t>Đầm cóc phân lớp &lt;=20cm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