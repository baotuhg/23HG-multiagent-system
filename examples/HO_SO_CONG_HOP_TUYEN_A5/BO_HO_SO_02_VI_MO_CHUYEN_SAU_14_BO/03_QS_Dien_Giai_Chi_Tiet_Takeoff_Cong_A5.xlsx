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TAKE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BÓC TÁCH DIỄN GIẢI HÌNH HỌC BÊ TÔNG, VÁN KHUÔN</t>
        </is>
      </c>
    </row>
    <row r="4">
      <c r="A4" s="2" t="inlineStr">
        <is>
          <t>STT</t>
        </is>
      </c>
      <c r="B4" s="2" t="inlineStr">
        <is>
          <t>HẠNG MỤC CÔNG TÁC / KẾT CẤU</t>
        </is>
      </c>
      <c r="C4" s="2" t="inlineStr">
        <is>
          <t>ĐƠN VỊ</t>
        </is>
      </c>
      <c r="D4" s="2" t="inlineStr">
        <is>
          <t>SỐ ĐỐT</t>
        </is>
      </c>
      <c r="E4" s="2" t="inlineStr">
        <is>
          <t>DÀI (m)</t>
        </is>
      </c>
      <c r="F4" s="2" t="inlineStr">
        <is>
          <t>RỘNG (m)</t>
        </is>
      </c>
      <c r="G4" s="2" t="inlineStr">
        <is>
          <t>CAO/DÀY (m)</t>
        </is>
      </c>
      <c r="H4" s="2" t="inlineStr">
        <is>
          <t>HỆ SỐ VÁT</t>
        </is>
      </c>
      <c r="I4" s="2" t="inlineStr">
        <is>
          <t>KHỐI LƯỢNG</t>
        </is>
      </c>
      <c r="J4" s="2" t="inlineStr">
        <is>
          <t>GHI CHÚ</t>
        </is>
      </c>
    </row>
    <row r="5">
      <c r="A5" s="3" t="n">
        <v>1</v>
      </c>
      <c r="B5" s="3" t="inlineStr">
        <is>
          <t>Bê tông lót M100 cống đơn 2.0x2.0m</t>
        </is>
      </c>
      <c r="C5" s="3" t="inlineStr">
        <is>
          <t>m3</t>
        </is>
      </c>
      <c r="D5" s="3" t="n">
        <v>34</v>
      </c>
      <c r="E5" s="3" t="n">
        <v>11.3</v>
      </c>
      <c r="F5" s="3" t="n">
        <v>2.7</v>
      </c>
      <c r="G5" s="3" t="n">
        <v>0.05</v>
      </c>
      <c r="H5" s="3" t="n">
        <v>1</v>
      </c>
      <c r="I5" s="3">
        <f>D5*E5*F5*G5*H5</f>
        <v/>
      </c>
      <c r="J5" s="3" t="inlineStr">
        <is>
          <t>Dày 50mm, nhô 100mm mỗi bên</t>
        </is>
      </c>
    </row>
    <row r="6">
      <c r="A6" s="3" t="n">
        <v>2</v>
      </c>
      <c r="B6" s="3" t="inlineStr">
        <is>
          <t>Bê tông lót M100 cống đơn 3.0x3.0m</t>
        </is>
      </c>
      <c r="C6" s="3" t="inlineStr">
        <is>
          <t>m3</t>
        </is>
      </c>
      <c r="D6" s="3" t="n">
        <v>50</v>
      </c>
      <c r="E6" s="3" t="n">
        <v>11.3</v>
      </c>
      <c r="F6" s="3" t="n">
        <v>3.8</v>
      </c>
      <c r="G6" s="3" t="n">
        <v>0.05</v>
      </c>
      <c r="H6" s="3" t="n">
        <v>1</v>
      </c>
      <c r="I6" s="3">
        <f>D6*E6*F6*G6*H6</f>
        <v/>
      </c>
      <c r="J6" s="3" t="inlineStr">
        <is>
          <t>Dày 50mm, nhô 100mm mỗi bên</t>
        </is>
      </c>
    </row>
    <row r="7">
      <c r="A7" s="3" t="n">
        <v>3</v>
      </c>
      <c r="B7" s="3" t="inlineStr">
        <is>
          <t>Bê tông lót M100 cống đôi 2x(3.0x3.0m)</t>
        </is>
      </c>
      <c r="C7" s="3" t="inlineStr">
        <is>
          <t>m3</t>
        </is>
      </c>
      <c r="D7" s="3" t="n">
        <v>108</v>
      </c>
      <c r="E7" s="3" t="n">
        <v>11.3</v>
      </c>
      <c r="F7" s="3" t="n">
        <v>7.1</v>
      </c>
      <c r="G7" s="3" t="n">
        <v>0.05</v>
      </c>
      <c r="H7" s="3" t="n">
        <v>1</v>
      </c>
      <c r="I7" s="3">
        <f>D7*E7*F7*G7*H7</f>
        <v/>
      </c>
      <c r="J7" s="3" t="inlineStr">
        <is>
          <t>Dày 50mm, nhô 100mm mỗi bên</t>
        </is>
      </c>
    </row>
    <row r="8">
      <c r="A8" s="3" t="n">
        <v>4</v>
      </c>
      <c r="B8" s="3" t="inlineStr">
        <is>
          <t>Bê tông thân B20 cống đơn 2.0x2.0m</t>
        </is>
      </c>
      <c r="C8" s="3" t="inlineStr">
        <is>
          <t>m3</t>
        </is>
      </c>
      <c r="D8" s="3" t="n">
        <v>34</v>
      </c>
      <c r="E8" s="3" t="n">
        <v>11.3</v>
      </c>
      <c r="F8" s="3" t="n">
        <v>2.5</v>
      </c>
      <c r="G8" s="3" t="n">
        <v>2.5</v>
      </c>
      <c r="H8" s="3" t="n">
        <v>1</v>
      </c>
      <c r="I8" s="3">
        <f>D8*E8*(F8*G8-2.0*2.0+4*0.5*0.2*0.2)</f>
        <v/>
      </c>
      <c r="J8" s="3" t="inlineStr">
        <is>
          <t>2.330 m3/m</t>
        </is>
      </c>
    </row>
    <row r="9">
      <c r="A9" s="3" t="n">
        <v>5</v>
      </c>
      <c r="B9" s="3" t="inlineStr">
        <is>
          <t>Bê tông thân B20 cống đơn 3.0x3.0m</t>
        </is>
      </c>
      <c r="C9" s="3" t="inlineStr">
        <is>
          <t>m3</t>
        </is>
      </c>
      <c r="D9" s="3" t="n">
        <v>50</v>
      </c>
      <c r="E9" s="3" t="n">
        <v>11.3</v>
      </c>
      <c r="F9" s="3" t="n">
        <v>3.6</v>
      </c>
      <c r="G9" s="3" t="n">
        <v>3.6</v>
      </c>
      <c r="H9" s="3" t="n">
        <v>1</v>
      </c>
      <c r="I9" s="3">
        <f>D9*E9*(F9*G9-3.0*3.0+4*0.5*0.25*0.25)</f>
        <v/>
      </c>
      <c r="J9" s="3" t="inlineStr">
        <is>
          <t>4.085 m3/m</t>
        </is>
      </c>
    </row>
    <row r="10">
      <c r="A10" s="3" t="n">
        <v>6</v>
      </c>
      <c r="B10" s="3" t="inlineStr">
        <is>
          <t>Bê tông thân B20 cống đôi 2x(3.0x3.0m)</t>
        </is>
      </c>
      <c r="C10" s="3" t="inlineStr">
        <is>
          <t>m3</t>
        </is>
      </c>
      <c r="D10" s="3" t="n">
        <v>108</v>
      </c>
      <c r="E10" s="3" t="n">
        <v>11.3</v>
      </c>
      <c r="F10" s="3" t="n">
        <v>6.9</v>
      </c>
      <c r="G10" s="3" t="n">
        <v>3.6</v>
      </c>
      <c r="H10" s="3" t="n">
        <v>1</v>
      </c>
      <c r="I10" s="3">
        <f>D10*E10*(F10*G10-2*3.0*3.0+8*0.5*0.25*0.25)</f>
        <v/>
      </c>
      <c r="J10" s="3" t="inlineStr">
        <is>
          <t>7.090 m3/m</t>
        </is>
      </c>
    </row>
    <row r="11">
      <c r="A11" s="3" t="n">
        <v>7</v>
      </c>
      <c r="B11" s="3" t="inlineStr">
        <is>
          <t>Ván khuôn tiếp xúc cống đơn 2.0x2.0m</t>
        </is>
      </c>
      <c r="C11" s="3" t="inlineStr">
        <is>
          <t>m2</t>
        </is>
      </c>
      <c r="D11" s="3" t="n">
        <v>34</v>
      </c>
      <c r="E11" s="3" t="n">
        <v>11.3</v>
      </c>
      <c r="F11" s="3" t="n">
        <v>11.14</v>
      </c>
      <c r="G11" s="3" t="n">
        <v>1</v>
      </c>
      <c r="H11" s="3" t="n">
        <v>1</v>
      </c>
      <c r="I11" s="3">
        <f>D11*E11*F11*G11*H11</f>
        <v/>
      </c>
      <c r="J11" s="3" t="inlineStr">
        <is>
          <t>Trong + ngoài + đầu đốt</t>
        </is>
      </c>
    </row>
    <row r="12">
      <c r="A12" s="3" t="n">
        <v>8</v>
      </c>
      <c r="B12" s="3" t="inlineStr">
        <is>
          <t>Ván khuôn tiếp xúc cống đơn 3.0x3.0m</t>
        </is>
      </c>
      <c r="C12" s="3" t="inlineStr">
        <is>
          <t>m2</t>
        </is>
      </c>
      <c r="D12" s="3" t="n">
        <v>50</v>
      </c>
      <c r="E12" s="3" t="n">
        <v>11.3</v>
      </c>
      <c r="F12" s="3" t="n">
        <v>16.48</v>
      </c>
      <c r="G12" s="3" t="n">
        <v>1</v>
      </c>
      <c r="H12" s="3" t="n">
        <v>1</v>
      </c>
      <c r="I12" s="3">
        <f>D12*E12*F12*G12*H12</f>
        <v/>
      </c>
      <c r="J12" s="3" t="inlineStr">
        <is>
          <t>Trong + ngoài + đầu đốt</t>
        </is>
      </c>
    </row>
    <row r="13">
      <c r="A13" s="3" t="n">
        <v>9</v>
      </c>
      <c r="B13" s="3" t="inlineStr">
        <is>
          <t>Ván khuôn tiếp xúc cống đôi 2x(3.0x3.0m)</t>
        </is>
      </c>
      <c r="C13" s="3" t="inlineStr">
        <is>
          <t>m2</t>
        </is>
      </c>
      <c r="D13" s="3" t="n">
        <v>108</v>
      </c>
      <c r="E13" s="3" t="n">
        <v>11.3</v>
      </c>
      <c r="F13" s="3" t="n">
        <v>25.66</v>
      </c>
      <c r="G13" s="3" t="n">
        <v>1</v>
      </c>
      <c r="H13" s="3" t="n">
        <v>1</v>
      </c>
      <c r="I13" s="3">
        <f>D13*E13*F13*G13*H13</f>
        <v/>
      </c>
      <c r="J13" s="3" t="inlineStr">
        <is>
          <t>Trong + ngoài + đầu đốt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