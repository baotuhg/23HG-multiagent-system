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_1M" sheetId="1" state="visible" r:id="rId1"/>
    <sheet xmlns:r="http://schemas.openxmlformats.org/officeDocument/2006/relationships" name="CONG_DON_2X2" sheetId="2" state="visible" r:id="rId2"/>
    <sheet xmlns:r="http://schemas.openxmlformats.org/officeDocument/2006/relationships" name="CONG_DON_3X3" sheetId="3" state="visible" r:id="rId3"/>
    <sheet xmlns:r="http://schemas.openxmlformats.org/officeDocument/2006/relationships" name="CONG_DOI_2X3X3" sheetId="4" state="visible" r:id="rId4"/>
    <sheet xmlns:r="http://schemas.openxmlformats.org/officeDocument/2006/relationships" name="THONG_KE_TUYEN_A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2060"/>
      <sz val="11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497D"/>
        <bgColor rgb="001F497D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5" fillId="3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164" fontId="5" fillId="3" borderId="3" applyAlignment="1" pivotButton="0" quotePrefix="0" xfId="0">
      <alignment horizontal="right" vertical="center"/>
    </xf>
    <xf numFmtId="4" fontId="5" fillId="3" borderId="3" applyAlignment="1" pivotButton="0" quotePrefix="0" xfId="0">
      <alignment horizontal="right" vertical="center"/>
    </xf>
    <xf numFmtId="0" fontId="5" fillId="3" borderId="3" pivotButton="0" quotePrefix="0" xfId="0"/>
    <xf numFmtId="0" fontId="5" fillId="4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/>
    </xf>
    <xf numFmtId="0" fontId="0" fillId="4" borderId="3" applyAlignment="1" pivotButton="0" quotePrefix="0" xfId="0">
      <alignment horizontal="center" vertical="center" wrapText="1"/>
    </xf>
    <xf numFmtId="164" fontId="5" fillId="4" borderId="3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0" fontId="5" fillId="4" borderId="3" pivotButton="0" quotePrefix="0" xfId="0"/>
    <xf numFmtId="0" fontId="6" fillId="0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6" fillId="6" borderId="3" pivotButton="0" quotePrefix="0" xfId="0"/>
    <xf numFmtId="0" fontId="0" fillId="6" borderId="3" pivotButton="0" quotePrefix="0" xfId="0"/>
    <xf numFmtId="164" fontId="6" fillId="6" borderId="3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applyAlignment="1" pivotButton="0" quotePrefix="0" xfId="0">
      <alignment horizontal="right" vertical="center"/>
    </xf>
    <xf numFmtId="0" fontId="4" fillId="0" borderId="0" pivotButton="0" quotePrefix="0" xfId="0"/>
    <xf numFmtId="4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5" fillId="4" borderId="0" pivotButton="0" quotePrefix="0" xfId="0"/>
    <xf numFmtId="164" fontId="5" fillId="4" borderId="0" applyAlignment="1" pivotButton="0" quotePrefix="0" xfId="0">
      <alignment horizontal="right" vertical="center"/>
    </xf>
    <xf numFmtId="0" fontId="0" fillId="4" borderId="3" pivotButton="0" quotePrefix="0" xfId="0"/>
    <xf numFmtId="3" fontId="4" fillId="0" borderId="2" applyAlignment="1" pivotButton="0" quotePrefix="0" xfId="0">
      <alignment horizontal="right" vertical="center"/>
    </xf>
    <xf numFmtId="4" fontId="6" fillId="6" borderId="3" applyAlignment="1" pivotButton="0" quotePrefix="0" xfId="0">
      <alignment horizontal="right" vertical="center"/>
    </xf>
    <xf numFmtId="0" fontId="5" fillId="0" borderId="0" pivotButton="0" quotePrefix="0" xfId="0"/>
    <xf numFmtId="4" fontId="5" fillId="0" borderId="0" pivotButton="0" quotePrefix="0" xfId="0"/>
    <xf numFmtId="165" fontId="4" fillId="0" borderId="2" applyAlignment="1" pivotButton="0" quotePrefix="0" xfId="0">
      <alignment horizontal="right" vertical="center"/>
    </xf>
    <xf numFmtId="3" fontId="5" fillId="3" borderId="3" applyAlignment="1" pivotButton="0" quotePrefix="0" xfId="0">
      <alignment horizontal="center" vertical="center" wrapText="1"/>
    </xf>
    <xf numFmtId="3" fontId="5" fillId="3" borderId="3" applyAlignment="1" pivotButton="0" quotePrefix="0" xfId="0">
      <alignment horizontal="right" vertical="center"/>
    </xf>
    <xf numFmtId="165" fontId="5" fillId="3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35" customWidth="1" min="12" max="12"/>
  </cols>
  <sheetData>
    <row r="1">
      <c r="A1" s="1" t="inlineStr">
        <is>
          <t>BẢNG TỔNG HỢP KHỐI LƯỢNG BÊ TÔNG, VÁN KHUÔN, CỐT THÉP CHO 1M DÀI CỐNG HỘP</t>
        </is>
      </c>
    </row>
    <row r="2">
      <c r="A2" s="2" t="inlineStr">
        <is>
          <t>Dự án: Tuyến A5 - Khu đô thị Thể thao Quốc tế Hà Nội | Đơn vị thi công: Vincons</t>
        </is>
      </c>
    </row>
    <row r="3">
      <c r="A3" s="2" t="inlineStr">
        <is>
          <t>Tiêu chuẩn tính toán: TCVN 1651:2018 | Hồ sơ bản vẽ: OLP_SD_KC_HT_CH_06 đến CH_26</t>
        </is>
      </c>
    </row>
    <row r="5" ht="28" customHeight="1">
      <c r="A5" s="3" t="inlineStr">
        <is>
          <t>STT</t>
        </is>
      </c>
      <c r="B5" s="3" t="inlineStr">
        <is>
          <t>HẠNG MỤC / QUY CÁCH CỐNG</t>
        </is>
      </c>
      <c r="C5" s="3" t="inlineStr">
        <is>
          <t>THÔNG THỦY (BxH) (m)</t>
        </is>
      </c>
      <c r="D5" s="3" t="inlineStr">
        <is>
          <t>PHỦ BÌ (BxH) (m)</t>
        </is>
      </c>
      <c r="E5" s="3" t="inlineStr">
        <is>
          <t>BÊ TÔNG THÂN B20 (m3/m)</t>
        </is>
      </c>
      <c r="F5" s="3" t="inlineStr">
        <is>
          <t>BÊ TÔNG LÓT M100 (m3/m)</t>
        </is>
      </c>
      <c r="G5" s="3" t="inlineStr">
        <is>
          <t>VÁN KHUÔN TIẾP XÚC (m2/m)</t>
        </is>
      </c>
      <c r="H5" s="3" t="inlineStr">
        <is>
          <t>THÉP DƯỚI ĐƯỜNG (kg/m)</t>
        </is>
      </c>
      <c r="I5" s="3" t="inlineStr">
        <is>
          <t>THÉP VỈA HÈ (kg/m)</t>
        </is>
      </c>
      <c r="J5" s="3" t="inlineStr">
        <is>
          <t>THÉP TRUNG BÌNH (kg/m)</t>
        </is>
      </c>
      <c r="K5" s="3" t="inlineStr">
        <is>
          <t>HÀM LƯỢNG THÉP (kg/m3 BT)</t>
        </is>
      </c>
      <c r="L5" s="3" t="inlineStr">
        <is>
          <t>GHI CHÚ</t>
        </is>
      </c>
    </row>
    <row r="6" ht="24" customHeight="1">
      <c r="A6" s="4" t="n">
        <v>1</v>
      </c>
      <c r="B6" s="5" t="inlineStr">
        <is>
          <t>Cống hộp đơn 2.0x2.0m</t>
        </is>
      </c>
      <c r="C6" s="4" t="inlineStr">
        <is>
          <t>2.0 x 2.0</t>
        </is>
      </c>
      <c r="D6" s="4" t="inlineStr">
        <is>
          <t>2.5 x 2.5</t>
        </is>
      </c>
      <c r="E6" s="6">
        <f>CONG_DON_2X2!H15</f>
        <v/>
      </c>
      <c r="F6" s="6">
        <f>CONG_DON_2X2!H18</f>
        <v/>
      </c>
      <c r="G6" s="7">
        <f>CONG_DON_2X2!H28</f>
        <v/>
      </c>
      <c r="H6" s="7">
        <f>CONG_DON_2X2!H44</f>
        <v/>
      </c>
      <c r="I6" s="7">
        <f>CONG_DON_2X2!H45</f>
        <v/>
      </c>
      <c r="J6" s="7">
        <f>AVERAGE(H6:I6)</f>
        <v/>
      </c>
      <c r="K6" s="7">
        <f>J6/E6</f>
        <v/>
      </c>
      <c r="L6" s="5" t="inlineStr">
        <is>
          <t>Bản vẽ CH_06-08 (11 đoạn)</t>
        </is>
      </c>
    </row>
    <row r="7" ht="24" customHeight="1">
      <c r="A7" s="4" t="n">
        <v>2</v>
      </c>
      <c r="B7" s="5" t="inlineStr">
        <is>
          <t>Cống hộp đơn 3.0x3.0m</t>
        </is>
      </c>
      <c r="C7" s="4" t="inlineStr">
        <is>
          <t>3.0 x 3.0</t>
        </is>
      </c>
      <c r="D7" s="4" t="inlineStr">
        <is>
          <t>3.6 x 3.6</t>
        </is>
      </c>
      <c r="E7" s="6">
        <f>CONG_DON_3X3!H15</f>
        <v/>
      </c>
      <c r="F7" s="6">
        <f>CONG_DON_3X3!H18</f>
        <v/>
      </c>
      <c r="G7" s="7">
        <f>CONG_DON_3X3!H28</f>
        <v/>
      </c>
      <c r="H7" s="7">
        <f>CONG_DON_3X3!H44</f>
        <v/>
      </c>
      <c r="I7" s="7">
        <f>CONG_DON_3X3!H45</f>
        <v/>
      </c>
      <c r="J7" s="7">
        <f>AVERAGE(H7:I7)</f>
        <v/>
      </c>
      <c r="K7" s="7">
        <f>J7/E7</f>
        <v/>
      </c>
      <c r="L7" s="5" t="inlineStr">
        <is>
          <t>Bản vẽ CH_10-12 (16 đoạn)</t>
        </is>
      </c>
    </row>
    <row r="8" ht="24" customHeight="1">
      <c r="A8" s="4" t="n">
        <v>3</v>
      </c>
      <c r="B8" s="5" t="inlineStr">
        <is>
          <t>Cống hộp đôi 2x(3.0x3.0m)</t>
        </is>
      </c>
      <c r="C8" s="4" t="inlineStr">
        <is>
          <t>2 x (3.0 x 3.0)</t>
        </is>
      </c>
      <c r="D8" s="4" t="inlineStr">
        <is>
          <t>6.9 x 3.6</t>
        </is>
      </c>
      <c r="E8" s="6">
        <f>CONG_DOI_2X3X3!H15</f>
        <v/>
      </c>
      <c r="F8" s="6">
        <f>CONG_DOI_2X3X3!H18</f>
        <v/>
      </c>
      <c r="G8" s="7">
        <f>CONG_DOI_2X3X3!H28</f>
        <v/>
      </c>
      <c r="H8" s="7">
        <f>CONG_DOI_2X3X3!H48</f>
        <v/>
      </c>
      <c r="I8" s="7">
        <f>CONG_DOI_2X3X3!H49</f>
        <v/>
      </c>
      <c r="J8" s="7">
        <f>AVERAGE(H8:I8)</f>
        <v/>
      </c>
      <c r="K8" s="7">
        <f>J8/E8</f>
        <v/>
      </c>
      <c r="L8" s="5" t="inlineStr">
        <is>
          <t>Bản vẽ CH_13-15 (35 đoạn)</t>
        </is>
      </c>
    </row>
    <row r="9" ht="25" customHeight="1">
      <c r="A9" s="8" t="inlineStr"/>
      <c r="B9" s="9" t="inlineStr">
        <is>
          <t>GIÁ TRỊ TRUNG BÌNH CỘNG (3 LOẠI)</t>
        </is>
      </c>
      <c r="C9" s="10" t="inlineStr">
        <is>
          <t>-</t>
        </is>
      </c>
      <c r="D9" s="10" t="inlineStr">
        <is>
          <t>-</t>
        </is>
      </c>
      <c r="E9" s="11">
        <f>AVERAGE(E6:E8)</f>
        <v/>
      </c>
      <c r="F9" s="11">
        <f>AVERAGE(F6:F8)</f>
        <v/>
      </c>
      <c r="G9" s="12">
        <f>AVERAGE(G6:G8)</f>
        <v/>
      </c>
      <c r="H9" s="12">
        <f>AVERAGE(H6:H8)</f>
        <v/>
      </c>
      <c r="I9" s="12">
        <f>AVERAGE(I6:I8)</f>
        <v/>
      </c>
      <c r="J9" s="12">
        <f>AVERAGE(J6:J8)</f>
        <v/>
      </c>
      <c r="K9" s="12">
        <f>J9/E9</f>
        <v/>
      </c>
      <c r="L9" s="13" t="inlineStr">
        <is>
          <t>Trung bình số học đơn giản</t>
        </is>
      </c>
    </row>
    <row r="10" ht="26" customHeight="1">
      <c r="A10" s="14" t="inlineStr">
        <is>
          <t>★</t>
        </is>
      </c>
      <c r="B10" s="15" t="inlineStr">
        <is>
          <t>TRUNG BÌNH TRỌNG SỐ TOÀN TUYẾN A5 (THEO CHIỀU DÀI)</t>
        </is>
      </c>
      <c r="C10" s="16" t="inlineStr">
        <is>
          <t>L_tong = 2,170m</t>
        </is>
      </c>
      <c r="D10" s="16" t="inlineStr">
        <is>
          <t>100%</t>
        </is>
      </c>
      <c r="E10" s="17">
        <f>(385*E6 + 560*E7 + 1225*E8)/2170</f>
        <v/>
      </c>
      <c r="F10" s="17">
        <f>(385*F6 + 560*F7 + 1225*F8)/2170</f>
        <v/>
      </c>
      <c r="G10" s="18">
        <f>(385*G6 + 560*G7 + 1225*G8)/2170</f>
        <v/>
      </c>
      <c r="H10" s="18">
        <f>(385*H6 + 560*H7 + 1225*H8)/2170</f>
        <v/>
      </c>
      <c r="I10" s="18">
        <f>(385*I6 + 560*I7 + 1225*I8)/2170</f>
        <v/>
      </c>
      <c r="J10" s="18">
        <f>(385*J6 + 560*J7 + 1225*J8)/2170</f>
        <v/>
      </c>
      <c r="K10" s="18">
        <f>J10/E10</f>
        <v/>
      </c>
      <c r="L10" s="19" t="inlineStr">
        <is>
          <t>Tỷ trọng: 2x2 (18%), 3x3 (26%), 2x(3x3) (56%)</t>
        </is>
      </c>
    </row>
    <row r="12">
      <c r="B12" s="20" t="inlineStr">
        <is>
          <t>GHI CHÚ KỸ THUẬT &amp; QUY ƯỚC ĐO BÓC:</t>
        </is>
      </c>
    </row>
    <row r="13">
      <c r="B13" s="2" t="inlineStr">
        <is>
          <t>1. Bê tông thân cống: Cấp độ bền B20 (tương đương Mác 250# theo TCVN 5574:2018). Thể tích tính bao gồm cả 4 nách vát góc tăng cường.</t>
        </is>
      </c>
    </row>
    <row r="14">
      <c r="B14" s="2" t="inlineStr">
        <is>
          <t>2. Bê tông lót móng: Chiều dày 50mm, Mác 100#, mở rộng mỗi bên 100mm so với mép ngoài đáy cống.</t>
        </is>
      </c>
    </row>
    <row r="15">
      <c r="B15" s="2" t="inlineStr">
        <is>
          <t>3. Ván khuôn: Diện tích bề mặt tiếp xúc thực tế của 2 vách ngoài, 2 vách trong, đáy bản nắp trong, các nách vát và ván khuôn đầu đốt cống chặn khe co giãn.</t>
        </is>
      </c>
    </row>
    <row r="16">
      <c r="B16" s="2" t="inlineStr">
        <is>
          <t>4. Cốt thép: Thép d &lt; 10mm dùng CB240-T, thép d &gt;= 10mm dùng CB500-V. Trọng lượng tính toán theo TCVN 1651:2018.</t>
        </is>
      </c>
    </row>
    <row r="17">
      <c r="B17" s="2" t="inlineStr">
        <is>
          <t>5. Tải trọng: Bản vẽ phân biệt 2 cấp tải trọng nắp cống: Dưới đường (400kN / HL93, cốt thép dày a100-a125) và Trên vỉa hè (125kN, cốt thép a250).</t>
        </is>
      </c>
    </row>
    <row r="18">
      <c r="B18" s="2" t="inlineStr">
        <is>
          <t>6. Thép khe co giãn: Dowel bar d22 L=1000mm bọc ống PVC bôi mỡ bitum tại các vị trí khe co giãn (chu kỳ 11.7m) đã được phân bổ bình quân cho 1m dài.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25" customWidth="1" min="10" max="10"/>
  </cols>
  <sheetData>
    <row r="1">
      <c r="A1" s="1" t="inlineStr">
        <is>
          <t>BÓC TÁCH KHỐI LƯỢNG CỐNG HỘP ĐƠN 2.0x2.0M</t>
        </is>
      </c>
    </row>
    <row r="2">
      <c r="A2" s="2" t="inlineStr">
        <is>
          <t>Hồ sơ bản vẽ: OLP_SD_KC_HT_CH_06 &amp; CH_07 | Chiều dài đốt cống điển hình L = 11.3m</t>
        </is>
      </c>
    </row>
    <row r="4">
      <c r="A4" s="21" t="inlineStr">
        <is>
          <t>I. KÍCH THƯỚC HÌNH HỌC &amp; ĐO BÓC BÊ TÔNG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A5" s="3" t="inlineStr">
        <is>
          <t>STT</t>
        </is>
      </c>
      <c r="B5" s="3" t="inlineStr">
        <is>
          <t>CẤU KIỆN / THÀNH PHẦN</t>
        </is>
      </c>
      <c r="C5" s="3" t="inlineStr">
        <is>
          <t>SỐ LƯỢNG</t>
        </is>
      </c>
      <c r="D5" s="3" t="inlineStr">
        <is>
          <t>DÀI (m)</t>
        </is>
      </c>
      <c r="E5" s="3" t="inlineStr">
        <is>
          <t>RỘNG (m)</t>
        </is>
      </c>
      <c r="F5" s="3" t="inlineStr">
        <is>
          <t>CAO/DÀY (m)</t>
        </is>
      </c>
      <c r="G5" s="3" t="inlineStr">
        <is>
          <t>HỆ SỐ VÁT</t>
        </is>
      </c>
      <c r="H5" s="3" t="inlineStr">
        <is>
          <t>THỂ TÍCH (m3)</t>
        </is>
      </c>
    </row>
    <row r="6" ht="20" customHeight="1">
      <c r="A6" s="4" t="n">
        <v>1</v>
      </c>
      <c r="B6" s="5" t="inlineStr">
        <is>
          <t>Hình hộp ngoại vi cống (phủ bì)</t>
        </is>
      </c>
      <c r="C6" s="4" t="n">
        <v>1</v>
      </c>
      <c r="D6" s="6" t="n">
        <v>1</v>
      </c>
      <c r="E6" s="6" t="n">
        <v>2.5</v>
      </c>
      <c r="F6" s="6" t="n">
        <v>2.5</v>
      </c>
      <c r="G6" s="6" t="n">
        <v>1</v>
      </c>
      <c r="H6" s="6">
        <f>C6*D6*E6*F6*G6</f>
        <v/>
      </c>
    </row>
    <row r="7" ht="20" customHeight="1">
      <c r="A7" s="4" t="n">
        <v>2</v>
      </c>
      <c r="B7" s="5" t="inlineStr">
        <is>
          <t>Trừ khoang thông thủy (1 khoang)</t>
        </is>
      </c>
      <c r="C7" s="4" t="n">
        <v>1</v>
      </c>
      <c r="D7" s="6" t="n">
        <v>1</v>
      </c>
      <c r="E7" s="6" t="n">
        <v>2</v>
      </c>
      <c r="F7" s="6" t="n">
        <v>2</v>
      </c>
      <c r="G7" s="6" t="n">
        <v>-1</v>
      </c>
      <c r="H7" s="6">
        <f>C7*D7*E7*F7*G7</f>
        <v/>
      </c>
    </row>
    <row r="8" ht="20" customHeight="1">
      <c r="A8" s="4" t="n">
        <v>3</v>
      </c>
      <c r="B8" s="5" t="inlineStr">
        <is>
          <t>Cộng nách vát góc (4 nách)</t>
        </is>
      </c>
      <c r="C8" s="4" t="n">
        <v>4</v>
      </c>
      <c r="D8" s="6" t="n">
        <v>1</v>
      </c>
      <c r="E8" s="6" t="n">
        <v>0.2</v>
      </c>
      <c r="F8" s="6" t="n">
        <v>0.2</v>
      </c>
      <c r="G8" s="6" t="n">
        <v>0.5</v>
      </c>
      <c r="H8" s="6">
        <f>C8*D8*E8*F8*G8</f>
        <v/>
      </c>
    </row>
    <row r="9" ht="22" customHeight="1">
      <c r="A9" s="8" t="inlineStr"/>
      <c r="B9" s="23" t="inlineStr">
        <is>
          <t>TỔNG THỂ TÍCH BÊ TÔNG THÂN CỐNG B20 (1M DÀI)</t>
        </is>
      </c>
      <c r="C9" s="24" t="n"/>
      <c r="D9" s="24" t="n"/>
      <c r="E9" s="24" t="n"/>
      <c r="F9" s="24" t="n"/>
      <c r="G9" s="24" t="n"/>
      <c r="H9" s="25">
        <f>SUM(H6:H8)</f>
        <v/>
      </c>
    </row>
    <row r="10">
      <c r="A10" s="26" t="n">
        <v>4</v>
      </c>
      <c r="B10" s="27" t="inlineStr">
        <is>
          <t>Bê tông lót M100 dày 50mm (nhô 100mm mỗi bên)</t>
        </is>
      </c>
      <c r="C10" s="26" t="n">
        <v>1</v>
      </c>
      <c r="D10" s="28" t="n">
        <v>1</v>
      </c>
      <c r="E10" s="28" t="n">
        <v>2.7</v>
      </c>
      <c r="F10" s="28" t="n">
        <v>0.05</v>
      </c>
      <c r="G10" s="28" t="n">
        <v>1</v>
      </c>
      <c r="H10" s="28">
        <f>C10*D10*E10*F10*G10</f>
        <v/>
      </c>
    </row>
    <row r="12">
      <c r="B12" s="20" t="inlineStr">
        <is>
          <t>QUY ĐỔI KHỐI LƯỢNG CHO ĐỐT CỐNG &amp; 1M DÀI:</t>
        </is>
      </c>
    </row>
    <row r="13">
      <c r="B13" s="29" t="inlineStr">
        <is>
          <t>- Chiều dài đốt cống điển hình L (m):</t>
        </is>
      </c>
      <c r="E13" s="30" t="n">
        <v>11.3</v>
      </c>
    </row>
    <row r="14">
      <c r="B14" s="29" t="inlineStr">
        <is>
          <t>- Thể tích bê tông thân cho 01 đốt cống 11.3m (m3):</t>
        </is>
      </c>
      <c r="E14" s="31">
        <f>H9*E13</f>
        <v/>
      </c>
    </row>
    <row r="15">
      <c r="B15" s="32" t="inlineStr">
        <is>
          <t>- BÊ TÔNG THÂN CỐNG B20 CHO 1M DÀI (m3/m):</t>
        </is>
      </c>
      <c r="H15" s="33">
        <f>H9</f>
        <v/>
      </c>
    </row>
    <row r="16">
      <c r="B16" s="29" t="inlineStr">
        <is>
          <t>- Thể tích bê tông lót cho 01 đốt cống 11.3m (m3):</t>
        </is>
      </c>
      <c r="E16" s="31">
        <f>H10*E13</f>
        <v/>
      </c>
    </row>
    <row r="18">
      <c r="B18" s="32" t="inlineStr">
        <is>
          <t>- BÊ TÔNG LÓT M100 CHO 1M DÀI (m3/m):</t>
        </is>
      </c>
      <c r="H18" s="33">
        <f>H10</f>
        <v/>
      </c>
    </row>
    <row r="20">
      <c r="A20" s="21" t="inlineStr">
        <is>
          <t>II. ĐO BÓC VÁN KHUÔN TIẾP XÚC (m2)</t>
        </is>
      </c>
      <c r="B20" s="22" t="n"/>
      <c r="C20" s="22" t="n"/>
      <c r="D20" s="22" t="n"/>
      <c r="E20" s="22" t="n"/>
      <c r="F20" s="22" t="n"/>
      <c r="G20" s="22" t="n"/>
      <c r="H20" s="22" t="n"/>
    </row>
    <row r="21">
      <c r="A21" s="3" t="inlineStr">
        <is>
          <t>STT</t>
        </is>
      </c>
      <c r="B21" s="3" t="inlineStr">
        <is>
          <t>VỊ TRÍ VÁN KHUÔN</t>
        </is>
      </c>
      <c r="C21" s="3" t="inlineStr">
        <is>
          <t>SỐ LƯỢNG</t>
        </is>
      </c>
      <c r="D21" s="3" t="inlineStr">
        <is>
          <t>DÀI (m)</t>
        </is>
      </c>
      <c r="E21" s="3" t="inlineStr">
        <is>
          <t>RỘNG/CAO (m)</t>
        </is>
      </c>
      <c r="F21" s="3" t="inlineStr">
        <is>
          <t>HỆ SỐ</t>
        </is>
      </c>
      <c r="G21" s="3" t="inlineStr">
        <is>
          <t>GHI CHÚ</t>
        </is>
      </c>
      <c r="H21" s="3" t="inlineStr">
        <is>
          <t>DIỆN TÍCH (m2)</t>
        </is>
      </c>
    </row>
    <row r="22" ht="20" customHeight="1">
      <c r="A22" s="4" t="n">
        <v>1</v>
      </c>
      <c r="B22" s="5" t="inlineStr">
        <is>
          <t>Vách ngoài 2 bên cống</t>
        </is>
      </c>
      <c r="C22" s="4" t="n">
        <v>2</v>
      </c>
      <c r="D22" s="7" t="n">
        <v>1</v>
      </c>
      <c r="E22" s="6" t="n">
        <v>2.5</v>
      </c>
      <c r="F22" s="7" t="n">
        <v>1</v>
      </c>
      <c r="G22" s="5" t="inlineStr">
        <is>
          <t>2 mặt thành biên ngoài</t>
        </is>
      </c>
      <c r="H22" s="7">
        <f>C22*D22*E22*F22</f>
        <v/>
      </c>
    </row>
    <row r="23" ht="20" customHeight="1">
      <c r="A23" s="4" t="n">
        <v>2</v>
      </c>
      <c r="B23" s="5" t="inlineStr">
        <is>
          <t>Vách trong khoang cống (1 khoang)</t>
        </is>
      </c>
      <c r="C23" s="4" t="n">
        <v>2</v>
      </c>
      <c r="D23" s="7" t="n">
        <v>1</v>
      </c>
      <c r="E23" s="6" t="n">
        <v>1.6</v>
      </c>
      <c r="F23" s="7" t="n">
        <v>1</v>
      </c>
      <c r="G23" s="5" t="inlineStr">
        <is>
          <t>Thành bên trong (phần phẳng)</t>
        </is>
      </c>
      <c r="H23" s="7">
        <f>C23*D23*E23*F23</f>
        <v/>
      </c>
    </row>
    <row r="24" ht="20" customHeight="1">
      <c r="A24" s="4" t="n">
        <v>3</v>
      </c>
      <c r="B24" s="5" t="inlineStr">
        <is>
          <t>Đáy bản nắp trong (1 khoang)</t>
        </is>
      </c>
      <c r="C24" s="4" t="n">
        <v>1</v>
      </c>
      <c r="D24" s="7" t="n">
        <v>1</v>
      </c>
      <c r="E24" s="6" t="n">
        <v>1.6</v>
      </c>
      <c r="F24" s="7" t="n">
        <v>1</v>
      </c>
      <c r="G24" s="5" t="inlineStr">
        <is>
          <t>Đáy nắp phẳng trong khoang</t>
        </is>
      </c>
      <c r="H24" s="7">
        <f>C24*D24*E24*F24</f>
        <v/>
      </c>
    </row>
    <row r="25" ht="20" customHeight="1">
      <c r="A25" s="4" t="n">
        <v>4</v>
      </c>
      <c r="B25" s="5" t="inlineStr">
        <is>
          <t>Vát nách cống (4 nách)</t>
        </is>
      </c>
      <c r="C25" s="4" t="n">
        <v>4</v>
      </c>
      <c r="D25" s="7" t="n">
        <v>1</v>
      </c>
      <c r="E25" s="6" t="n">
        <v>0.2828427124746191</v>
      </c>
      <c r="F25" s="7" t="n">
        <v>1</v>
      </c>
      <c r="G25" s="5" t="inlineStr">
        <is>
          <t>Mặt nghiêng nách cống</t>
        </is>
      </c>
      <c r="H25" s="7">
        <f>C25*D25*E25*F25</f>
        <v/>
      </c>
    </row>
    <row r="26" ht="20" customHeight="1">
      <c r="A26" s="4" t="n">
        <v>5</v>
      </c>
      <c r="B26" s="5" t="inlineStr">
        <is>
          <t>Đầu đốt cống chặn khe co giãn (phân bổ)</t>
        </is>
      </c>
      <c r="C26" s="4" t="n">
        <v>1</v>
      </c>
      <c r="D26" s="7" t="n">
        <v>1</v>
      </c>
      <c r="E26" s="6">
        <f>H9/11.3</f>
        <v/>
      </c>
      <c r="F26" s="7" t="n">
        <v>1</v>
      </c>
      <c r="G26" s="5" t="inlineStr">
        <is>
          <t>Phân bổ trên đốt 11.3m</t>
        </is>
      </c>
      <c r="H26" s="7">
        <f>C26*D26*E26*F26</f>
        <v/>
      </c>
    </row>
    <row r="28" ht="24" customHeight="1">
      <c r="A28" s="8" t="inlineStr"/>
      <c r="B28" s="19" t="inlineStr">
        <is>
          <t>TỔNG DIỆN TÍCH VÁN KHUÔN CHO 1M DÀI CỐNG (m2/m)</t>
        </is>
      </c>
      <c r="C28" s="34" t="n"/>
      <c r="D28" s="34" t="n"/>
      <c r="E28" s="34" t="n"/>
      <c r="F28" s="34" t="n"/>
      <c r="G28" s="34" t="n"/>
      <c r="H28" s="18">
        <f>SUM(H22:H26)</f>
        <v/>
      </c>
    </row>
    <row r="30">
      <c r="A30" s="21" t="inlineStr">
        <is>
          <t>III. BẢNG THỐNG KÊ CỐT THÉP CHI TIẾT (BBS) &amp; QUY ĐỔI 1M DÀI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  <row r="31">
      <c r="A31" s="3" t="inlineStr">
        <is>
          <t>SỐ HIỆU</t>
        </is>
      </c>
      <c r="B31" s="3" t="inlineStr">
        <is>
          <t>LOẠI THÉP / VỊ TRÍ</t>
        </is>
      </c>
      <c r="C31" s="3" t="inlineStr">
        <is>
          <t>ĐƯỜNG KÍNH (mm)</t>
        </is>
      </c>
      <c r="D31" s="3" t="inlineStr">
        <is>
          <t>SỐ LƯỢNG (thanh)</t>
        </is>
      </c>
      <c r="E31" s="3" t="inlineStr">
        <is>
          <t>DÀI 1 THANH (m)</t>
        </is>
      </c>
      <c r="F31" s="3" t="inlineStr">
        <is>
          <t>TỔNG DÀI ĐỐT (m)</t>
        </is>
      </c>
      <c r="G31" s="3" t="inlineStr">
        <is>
          <t>TRỌNG LƯỢNG ĐƠN VỊ (kg/m)</t>
        </is>
      </c>
      <c r="H31" s="3" t="inlineStr">
        <is>
          <t>TỔNG TRỌNG LƯỢNG ĐỐT (kg)</t>
        </is>
      </c>
      <c r="I31" s="3" t="inlineStr">
        <is>
          <t>QUY ĐỔI 1M DÀI (kg/m)</t>
        </is>
      </c>
      <c r="J31" s="3" t="inlineStr">
        <is>
          <t>GHI CHÚ</t>
        </is>
      </c>
    </row>
    <row r="32" ht="20" customHeight="1">
      <c r="A32" s="4" t="inlineStr">
        <is>
          <t>1</t>
        </is>
      </c>
      <c r="B32" s="5" t="inlineStr">
        <is>
          <t>Thép ngang nắp/đáy (Dưới đường a100)</t>
        </is>
      </c>
      <c r="C32" s="4" t="n">
        <v>12</v>
      </c>
      <c r="D32" s="35" t="n">
        <v>226</v>
      </c>
      <c r="E32" s="7" t="n">
        <v>2.82</v>
      </c>
      <c r="F32" s="7">
        <f>D32*E32</f>
        <v/>
      </c>
      <c r="G32" s="6" t="n">
        <v>0.888</v>
      </c>
      <c r="H32" s="7">
        <f>F32*G32</f>
        <v/>
      </c>
      <c r="I32" s="7">
        <f>H32/11.3</f>
        <v/>
      </c>
      <c r="J32" s="5" t="inlineStr">
        <is>
          <t>Dưới đường (2x113 thanh)</t>
        </is>
      </c>
    </row>
    <row r="33" ht="20" customHeight="1">
      <c r="A33" s="4" t="inlineStr">
        <is>
          <t>1a</t>
        </is>
      </c>
      <c r="B33" s="5" t="inlineStr">
        <is>
          <t>Thép ngang nắp/đáy (Vỉa hè a250)</t>
        </is>
      </c>
      <c r="C33" s="4" t="n">
        <v>12</v>
      </c>
      <c r="D33" s="35" t="n">
        <v>90</v>
      </c>
      <c r="E33" s="7" t="n">
        <v>2.92</v>
      </c>
      <c r="F33" s="7">
        <f>D33*E33</f>
        <v/>
      </c>
      <c r="G33" s="6" t="n">
        <v>0.888</v>
      </c>
      <c r="H33" s="7">
        <f>F33*G33</f>
        <v/>
      </c>
      <c r="I33" s="7">
        <f>H33/11.3</f>
        <v/>
      </c>
      <c r="J33" s="5" t="inlineStr">
        <is>
          <t>Vỉa hè (2x45 thanh)</t>
        </is>
      </c>
    </row>
    <row r="34" ht="20" customHeight="1">
      <c r="A34" s="4" t="inlineStr">
        <is>
          <t>2</t>
        </is>
      </c>
      <c r="B34" s="5" t="inlineStr">
        <is>
          <t>Thép thành biên (Dưới đường a125)</t>
        </is>
      </c>
      <c r="C34" s="4" t="n">
        <v>12</v>
      </c>
      <c r="D34" s="35" t="n">
        <v>180</v>
      </c>
      <c r="E34" s="7" t="n">
        <v>2.84</v>
      </c>
      <c r="F34" s="7">
        <f>D34*E34</f>
        <v/>
      </c>
      <c r="G34" s="6" t="n">
        <v>0.888</v>
      </c>
      <c r="H34" s="7">
        <f>F34*G34</f>
        <v/>
      </c>
      <c r="I34" s="7">
        <f>H34/11.3</f>
        <v/>
      </c>
      <c r="J34" s="5" t="inlineStr">
        <is>
          <t>Dưới đường (2x90 thanh)</t>
        </is>
      </c>
    </row>
    <row r="35" ht="20" customHeight="1">
      <c r="A35" s="4" t="inlineStr">
        <is>
          <t>2a</t>
        </is>
      </c>
      <c r="B35" s="5" t="inlineStr">
        <is>
          <t>Thép thành biên (Vỉa hè a250)</t>
        </is>
      </c>
      <c r="C35" s="4" t="n">
        <v>12</v>
      </c>
      <c r="D35" s="35" t="n">
        <v>90</v>
      </c>
      <c r="E35" s="7" t="n">
        <v>2.84</v>
      </c>
      <c r="F35" s="7">
        <f>D35*E35</f>
        <v/>
      </c>
      <c r="G35" s="6" t="n">
        <v>0.888</v>
      </c>
      <c r="H35" s="7">
        <f>F35*G35</f>
        <v/>
      </c>
      <c r="I35" s="7">
        <f>H35/11.3</f>
        <v/>
      </c>
      <c r="J35" s="5" t="inlineStr">
        <is>
          <t>Vỉa hè (2x45 thanh)</t>
        </is>
      </c>
    </row>
    <row r="36" ht="20" customHeight="1">
      <c r="A36" s="4" t="inlineStr">
        <is>
          <t>3</t>
        </is>
      </c>
      <c r="B36" s="5" t="inlineStr">
        <is>
          <t>Thép gia cường 4 nách vát góc</t>
        </is>
      </c>
      <c r="C36" s="4" t="n">
        <v>12</v>
      </c>
      <c r="D36" s="35" t="n">
        <v>180</v>
      </c>
      <c r="E36" s="7" t="n">
        <v>1.32</v>
      </c>
      <c r="F36" s="7">
        <f>D36*E36</f>
        <v/>
      </c>
      <c r="G36" s="6" t="n">
        <v>0.888</v>
      </c>
      <c r="H36" s="7">
        <f>F36*G36</f>
        <v/>
      </c>
      <c r="I36" s="7">
        <f>H36/11.3</f>
        <v/>
      </c>
      <c r="J36" s="5" t="inlineStr">
        <is>
          <t>Dùng chung (4x45 thanh a250)</t>
        </is>
      </c>
    </row>
    <row r="37" ht="20" customHeight="1">
      <c r="A37" s="4" t="inlineStr">
        <is>
          <t>4</t>
        </is>
      </c>
      <c r="B37" s="5" t="inlineStr">
        <is>
          <t>Thép dọc cống phân bố a200</t>
        </is>
      </c>
      <c r="C37" s="4" t="n">
        <v>10</v>
      </c>
      <c r="D37" s="35" t="n">
        <v>96</v>
      </c>
      <c r="E37" s="7" t="n">
        <v>11.7</v>
      </c>
      <c r="F37" s="7">
        <f>D37*E37</f>
        <v/>
      </c>
      <c r="G37" s="6" t="n">
        <v>0.617</v>
      </c>
      <c r="H37" s="7">
        <f>F37*G37</f>
        <v/>
      </c>
      <c r="I37" s="7">
        <f>H37/11.3</f>
        <v/>
      </c>
      <c r="J37" s="5" t="inlineStr">
        <is>
          <t>Dùng chung (96 thanh suốt đốt)</t>
        </is>
      </c>
    </row>
    <row r="38" ht="20" customHeight="1">
      <c r="A38" s="4" t="inlineStr">
        <is>
          <t>5</t>
        </is>
      </c>
      <c r="B38" s="5" t="inlineStr">
        <is>
          <t>Thép dowel bar khe co giãn</t>
        </is>
      </c>
      <c r="C38" s="4" t="n">
        <v>22</v>
      </c>
      <c r="D38" s="35" t="n">
        <v>20</v>
      </c>
      <c r="E38" s="7" t="n">
        <v>1</v>
      </c>
      <c r="F38" s="7">
        <f>D38*E38</f>
        <v/>
      </c>
      <c r="G38" s="6" t="n">
        <v>2.984</v>
      </c>
      <c r="H38" s="7">
        <f>F38*G38</f>
        <v/>
      </c>
      <c r="I38" s="7">
        <f>H38/11.3</f>
        <v/>
      </c>
      <c r="J38" s="5" t="inlineStr">
        <is>
          <t>Dùng chung (bọc PVC bôi mỡ)</t>
        </is>
      </c>
    </row>
    <row r="40" ht="24" customHeight="1">
      <c r="A40" s="8" t="inlineStr"/>
      <c r="B40" s="23" t="inlineStr">
        <is>
          <t>TỔNG KHỐI LƯỢNG THÉP - KỊCH BẢN DƯỚI ĐƯỜNG (HL93)</t>
        </is>
      </c>
      <c r="C40" s="24" t="n"/>
      <c r="D40" s="24" t="n"/>
      <c r="E40" s="24" t="n"/>
      <c r="F40" s="24" t="n"/>
      <c r="G40" s="24" t="n"/>
      <c r="H40" s="36">
        <f>SUMIF(J32:J38, "&lt;&gt;*Vỉa hè*", H32:H38)</f>
        <v/>
      </c>
      <c r="I40" s="36">
        <f>H40/11.3</f>
        <v/>
      </c>
      <c r="J40" s="23" t="inlineStr">
        <is>
          <t>kg/m dài cống dưới đường</t>
        </is>
      </c>
    </row>
    <row r="41" ht="24" customHeight="1">
      <c r="A41" s="8" t="inlineStr"/>
      <c r="B41" s="23" t="inlineStr">
        <is>
          <t>TỔNG KHỐI LƯỢNG THÉP - KỊCH BẢN TRÊN VỈA HÈ (125kN)</t>
        </is>
      </c>
      <c r="C41" s="24" t="n"/>
      <c r="D41" s="24" t="n"/>
      <c r="E41" s="24" t="n"/>
      <c r="F41" s="24" t="n"/>
      <c r="G41" s="24" t="n"/>
      <c r="H41" s="36">
        <f>SUMIF(J32:J38, "&lt;&gt;*Dưới đường*", H32:H38)</f>
        <v/>
      </c>
      <c r="I41" s="36">
        <f>H41/11.3</f>
        <v/>
      </c>
      <c r="J41" s="23" t="inlineStr">
        <is>
          <t>kg/m dài cống trên vỉa hè</t>
        </is>
      </c>
    </row>
    <row r="43">
      <c r="B43" s="20" t="inlineStr">
        <is>
          <t>GIÁ TRỊ QUY ĐỔI 1M DÀI PHỤC VỤ LINK SHEET TỔNG HỢP:</t>
        </is>
      </c>
    </row>
    <row r="44">
      <c r="B44" s="37" t="inlineStr">
        <is>
          <t>THÉP DƯỚI ĐƯỜNG (kg/m):</t>
        </is>
      </c>
      <c r="H44" s="38">
        <f>I40</f>
        <v/>
      </c>
    </row>
    <row r="45">
      <c r="B45" s="37" t="inlineStr">
        <is>
          <t>THÉP TRÊN VỈA HÈ (kg/m):</t>
        </is>
      </c>
      <c r="H45" s="38">
        <f>I41</f>
        <v/>
      </c>
    </row>
  </sheetData>
  <mergeCells count="3">
    <mergeCell ref="A4:H4"/>
    <mergeCell ref="A20:H20"/>
    <mergeCell ref="A30:J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25" customWidth="1" min="10" max="10"/>
  </cols>
  <sheetData>
    <row r="1">
      <c r="A1" s="1" t="inlineStr">
        <is>
          <t>BÓC TÁCH KHỐI LƯỢNG CỐNG HỘP ĐƠN 3.0x3.0M</t>
        </is>
      </c>
    </row>
    <row r="2">
      <c r="A2" s="2" t="inlineStr">
        <is>
          <t>Hồ sơ bản vẽ: OLP_SD_KC_HT_CH_10 &amp; CH_11 | Chiều dài đốt cống điển hình L = 11.3m</t>
        </is>
      </c>
    </row>
    <row r="4">
      <c r="A4" s="21" t="inlineStr">
        <is>
          <t>I. KÍCH THƯỚC HÌNH HỌC &amp; ĐO BÓC BÊ TÔNG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A5" s="3" t="inlineStr">
        <is>
          <t>STT</t>
        </is>
      </c>
      <c r="B5" s="3" t="inlineStr">
        <is>
          <t>CẤU KIỆN / THÀNH PHẦN</t>
        </is>
      </c>
      <c r="C5" s="3" t="inlineStr">
        <is>
          <t>SỐ LƯỢNG</t>
        </is>
      </c>
      <c r="D5" s="3" t="inlineStr">
        <is>
          <t>DÀI (m)</t>
        </is>
      </c>
      <c r="E5" s="3" t="inlineStr">
        <is>
          <t>RỘNG (m)</t>
        </is>
      </c>
      <c r="F5" s="3" t="inlineStr">
        <is>
          <t>CAO/DÀY (m)</t>
        </is>
      </c>
      <c r="G5" s="3" t="inlineStr">
        <is>
          <t>HỆ SỐ VÁT</t>
        </is>
      </c>
      <c r="H5" s="3" t="inlineStr">
        <is>
          <t>THỂ TÍCH (m3)</t>
        </is>
      </c>
    </row>
    <row r="6" ht="20" customHeight="1">
      <c r="A6" s="4" t="n">
        <v>1</v>
      </c>
      <c r="B6" s="5" t="inlineStr">
        <is>
          <t>Hình hộp ngoại vi cống (phủ bì)</t>
        </is>
      </c>
      <c r="C6" s="4" t="n">
        <v>1</v>
      </c>
      <c r="D6" s="6" t="n">
        <v>1</v>
      </c>
      <c r="E6" s="6" t="n">
        <v>3.6</v>
      </c>
      <c r="F6" s="6" t="n">
        <v>3.6</v>
      </c>
      <c r="G6" s="6" t="n">
        <v>1</v>
      </c>
      <c r="H6" s="6">
        <f>C6*D6*E6*F6*G6</f>
        <v/>
      </c>
    </row>
    <row r="7" ht="20" customHeight="1">
      <c r="A7" s="4" t="n">
        <v>2</v>
      </c>
      <c r="B7" s="5" t="inlineStr">
        <is>
          <t>Trừ khoang thông thủy (1 khoang)</t>
        </is>
      </c>
      <c r="C7" s="4" t="n">
        <v>1</v>
      </c>
      <c r="D7" s="6" t="n">
        <v>1</v>
      </c>
      <c r="E7" s="6" t="n">
        <v>3</v>
      </c>
      <c r="F7" s="6" t="n">
        <v>3</v>
      </c>
      <c r="G7" s="6" t="n">
        <v>-1</v>
      </c>
      <c r="H7" s="6">
        <f>C7*D7*E7*F7*G7</f>
        <v/>
      </c>
    </row>
    <row r="8" ht="20" customHeight="1">
      <c r="A8" s="4" t="n">
        <v>3</v>
      </c>
      <c r="B8" s="5" t="inlineStr">
        <is>
          <t>Cộng nách vát góc (4 nách)</t>
        </is>
      </c>
      <c r="C8" s="4" t="n">
        <v>4</v>
      </c>
      <c r="D8" s="6" t="n">
        <v>1</v>
      </c>
      <c r="E8" s="6" t="n">
        <v>0.25</v>
      </c>
      <c r="F8" s="6" t="n">
        <v>0.25</v>
      </c>
      <c r="G8" s="6" t="n">
        <v>0.5</v>
      </c>
      <c r="H8" s="6">
        <f>C8*D8*E8*F8*G8</f>
        <v/>
      </c>
    </row>
    <row r="9" ht="22" customHeight="1">
      <c r="A9" s="8" t="inlineStr"/>
      <c r="B9" s="23" t="inlineStr">
        <is>
          <t>TỔNG THỂ TÍCH BÊ TÔNG THÂN CỐNG B20 (1M DÀI)</t>
        </is>
      </c>
      <c r="C9" s="24" t="n"/>
      <c r="D9" s="24" t="n"/>
      <c r="E9" s="24" t="n"/>
      <c r="F9" s="24" t="n"/>
      <c r="G9" s="24" t="n"/>
      <c r="H9" s="25">
        <f>SUM(H6:H8)</f>
        <v/>
      </c>
    </row>
    <row r="10">
      <c r="A10" s="26" t="n">
        <v>4</v>
      </c>
      <c r="B10" s="27" t="inlineStr">
        <is>
          <t>Bê tông lót M100 dày 50mm (nhô 100mm mỗi bên)</t>
        </is>
      </c>
      <c r="C10" s="26" t="n">
        <v>1</v>
      </c>
      <c r="D10" s="28" t="n">
        <v>1</v>
      </c>
      <c r="E10" s="28" t="n">
        <v>3.8</v>
      </c>
      <c r="F10" s="28" t="n">
        <v>0.05</v>
      </c>
      <c r="G10" s="28" t="n">
        <v>1</v>
      </c>
      <c r="H10" s="28">
        <f>C10*D10*E10*F10*G10</f>
        <v/>
      </c>
    </row>
    <row r="12">
      <c r="B12" s="20" t="inlineStr">
        <is>
          <t>QUY ĐỔI KHỐI LƯỢNG CHO ĐỐT CỐNG &amp; 1M DÀI:</t>
        </is>
      </c>
    </row>
    <row r="13">
      <c r="B13" s="29" t="inlineStr">
        <is>
          <t>- Chiều dài đốt cống điển hình L (m):</t>
        </is>
      </c>
      <c r="E13" s="30" t="n">
        <v>11.3</v>
      </c>
    </row>
    <row r="14">
      <c r="B14" s="29" t="inlineStr">
        <is>
          <t>- Thể tích bê tông thân cho 01 đốt cống 11.3m (m3):</t>
        </is>
      </c>
      <c r="E14" s="31">
        <f>H9*E13</f>
        <v/>
      </c>
    </row>
    <row r="15">
      <c r="B15" s="32" t="inlineStr">
        <is>
          <t>- BÊ TÔNG THÂN CỐNG B20 CHO 1M DÀI (m3/m):</t>
        </is>
      </c>
      <c r="H15" s="33">
        <f>H9</f>
        <v/>
      </c>
    </row>
    <row r="16">
      <c r="B16" s="29" t="inlineStr">
        <is>
          <t>- Thể tích bê tông lót cho 01 đốt cống 11.3m (m3):</t>
        </is>
      </c>
      <c r="E16" s="31">
        <f>H10*E13</f>
        <v/>
      </c>
    </row>
    <row r="18">
      <c r="B18" s="32" t="inlineStr">
        <is>
          <t>- BÊ TÔNG LÓT M100 CHO 1M DÀI (m3/m):</t>
        </is>
      </c>
      <c r="H18" s="33">
        <f>H10</f>
        <v/>
      </c>
    </row>
    <row r="20">
      <c r="A20" s="21" t="inlineStr">
        <is>
          <t>II. ĐO BÓC VÁN KHUÔN TIẾP XÚC (m2)</t>
        </is>
      </c>
      <c r="B20" s="22" t="n"/>
      <c r="C20" s="22" t="n"/>
      <c r="D20" s="22" t="n"/>
      <c r="E20" s="22" t="n"/>
      <c r="F20" s="22" t="n"/>
      <c r="G20" s="22" t="n"/>
      <c r="H20" s="22" t="n"/>
    </row>
    <row r="21">
      <c r="A21" s="3" t="inlineStr">
        <is>
          <t>STT</t>
        </is>
      </c>
      <c r="B21" s="3" t="inlineStr">
        <is>
          <t>VỊ TRÍ VÁN KHUÔN</t>
        </is>
      </c>
      <c r="C21" s="3" t="inlineStr">
        <is>
          <t>SỐ LƯỢNG</t>
        </is>
      </c>
      <c r="D21" s="3" t="inlineStr">
        <is>
          <t>DÀI (m)</t>
        </is>
      </c>
      <c r="E21" s="3" t="inlineStr">
        <is>
          <t>RỘNG/CAO (m)</t>
        </is>
      </c>
      <c r="F21" s="3" t="inlineStr">
        <is>
          <t>HỆ SỐ</t>
        </is>
      </c>
      <c r="G21" s="3" t="inlineStr">
        <is>
          <t>GHI CHÚ</t>
        </is>
      </c>
      <c r="H21" s="3" t="inlineStr">
        <is>
          <t>DIỆN TÍCH (m2)</t>
        </is>
      </c>
    </row>
    <row r="22" ht="20" customHeight="1">
      <c r="A22" s="4" t="n">
        <v>1</v>
      </c>
      <c r="B22" s="5" t="inlineStr">
        <is>
          <t>Vách ngoài 2 bên cống</t>
        </is>
      </c>
      <c r="C22" s="4" t="n">
        <v>2</v>
      </c>
      <c r="D22" s="7" t="n">
        <v>1</v>
      </c>
      <c r="E22" s="6" t="n">
        <v>3.6</v>
      </c>
      <c r="F22" s="7" t="n">
        <v>1</v>
      </c>
      <c r="G22" s="5" t="inlineStr">
        <is>
          <t>2 mặt thành biên ngoài</t>
        </is>
      </c>
      <c r="H22" s="7">
        <f>C22*D22*E22*F22</f>
        <v/>
      </c>
    </row>
    <row r="23" ht="20" customHeight="1">
      <c r="A23" s="4" t="n">
        <v>2</v>
      </c>
      <c r="B23" s="5" t="inlineStr">
        <is>
          <t>Vách trong khoang cống (1 khoang)</t>
        </is>
      </c>
      <c r="C23" s="4" t="n">
        <v>2</v>
      </c>
      <c r="D23" s="7" t="n">
        <v>1</v>
      </c>
      <c r="E23" s="6" t="n">
        <v>2.5</v>
      </c>
      <c r="F23" s="7" t="n">
        <v>1</v>
      </c>
      <c r="G23" s="5" t="inlineStr">
        <is>
          <t>Thành bên trong (phần phẳng)</t>
        </is>
      </c>
      <c r="H23" s="7">
        <f>C23*D23*E23*F23</f>
        <v/>
      </c>
    </row>
    <row r="24" ht="20" customHeight="1">
      <c r="A24" s="4" t="n">
        <v>3</v>
      </c>
      <c r="B24" s="5" t="inlineStr">
        <is>
          <t>Đáy bản nắp trong (1 khoang)</t>
        </is>
      </c>
      <c r="C24" s="4" t="n">
        <v>1</v>
      </c>
      <c r="D24" s="7" t="n">
        <v>1</v>
      </c>
      <c r="E24" s="6" t="n">
        <v>2.5</v>
      </c>
      <c r="F24" s="7" t="n">
        <v>1</v>
      </c>
      <c r="G24" s="5" t="inlineStr">
        <is>
          <t>Đáy nắp phẳng trong khoang</t>
        </is>
      </c>
      <c r="H24" s="7">
        <f>C24*D24*E24*F24</f>
        <v/>
      </c>
    </row>
    <row r="25" ht="20" customHeight="1">
      <c r="A25" s="4" t="n">
        <v>4</v>
      </c>
      <c r="B25" s="5" t="inlineStr">
        <is>
          <t>Vát nách cống (4 nách)</t>
        </is>
      </c>
      <c r="C25" s="4" t="n">
        <v>4</v>
      </c>
      <c r="D25" s="7" t="n">
        <v>1</v>
      </c>
      <c r="E25" s="6" t="n">
        <v>0.3535533905932738</v>
      </c>
      <c r="F25" s="7" t="n">
        <v>1</v>
      </c>
      <c r="G25" s="5" t="inlineStr">
        <is>
          <t>Mặt nghiêng nách cống</t>
        </is>
      </c>
      <c r="H25" s="7">
        <f>C25*D25*E25*F25</f>
        <v/>
      </c>
    </row>
    <row r="26" ht="20" customHeight="1">
      <c r="A26" s="4" t="n">
        <v>5</v>
      </c>
      <c r="B26" s="5" t="inlineStr">
        <is>
          <t>Đầu đốt cống chặn khe co giãn (phân bổ)</t>
        </is>
      </c>
      <c r="C26" s="4" t="n">
        <v>1</v>
      </c>
      <c r="D26" s="7" t="n">
        <v>1</v>
      </c>
      <c r="E26" s="6">
        <f>H9/11.3</f>
        <v/>
      </c>
      <c r="F26" s="7" t="n">
        <v>1</v>
      </c>
      <c r="G26" s="5" t="inlineStr">
        <is>
          <t>Phân bổ trên đốt 11.3m</t>
        </is>
      </c>
      <c r="H26" s="7">
        <f>C26*D26*E26*F26</f>
        <v/>
      </c>
    </row>
    <row r="28" ht="24" customHeight="1">
      <c r="A28" s="8" t="inlineStr"/>
      <c r="B28" s="19" t="inlineStr">
        <is>
          <t>TỔNG DIỆN TÍCH VÁN KHUÔN CHO 1M DÀI CỐNG (m2/m)</t>
        </is>
      </c>
      <c r="C28" s="34" t="n"/>
      <c r="D28" s="34" t="n"/>
      <c r="E28" s="34" t="n"/>
      <c r="F28" s="34" t="n"/>
      <c r="G28" s="34" t="n"/>
      <c r="H28" s="18">
        <f>SUM(H22:H26)</f>
        <v/>
      </c>
    </row>
    <row r="30">
      <c r="A30" s="21" t="inlineStr">
        <is>
          <t>III. BẢNG THỐNG KÊ CỐT THÉP CHI TIẾT (BBS) &amp; QUY ĐỔI 1M DÀI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  <row r="31">
      <c r="A31" s="3" t="inlineStr">
        <is>
          <t>SỐ HIỆU</t>
        </is>
      </c>
      <c r="B31" s="3" t="inlineStr">
        <is>
          <t>LOẠI THÉP / VỊ TRÍ</t>
        </is>
      </c>
      <c r="C31" s="3" t="inlineStr">
        <is>
          <t>ĐƯỜNG KÍNH (mm)</t>
        </is>
      </c>
      <c r="D31" s="3" t="inlineStr">
        <is>
          <t>SỐ LƯỢNG (thanh)</t>
        </is>
      </c>
      <c r="E31" s="3" t="inlineStr">
        <is>
          <t>DÀI 1 THANH (m)</t>
        </is>
      </c>
      <c r="F31" s="3" t="inlineStr">
        <is>
          <t>TỔNG DÀI ĐỐT (m)</t>
        </is>
      </c>
      <c r="G31" s="3" t="inlineStr">
        <is>
          <t>TRỌNG LƯỢNG ĐƠN VỊ (kg/m)</t>
        </is>
      </c>
      <c r="H31" s="3" t="inlineStr">
        <is>
          <t>TỔNG TRỌNG LƯỢNG ĐỐT (kg)</t>
        </is>
      </c>
      <c r="I31" s="3" t="inlineStr">
        <is>
          <t>QUY ĐỔI 1M DÀI (kg/m)</t>
        </is>
      </c>
      <c r="J31" s="3" t="inlineStr">
        <is>
          <t>GHI CHÚ</t>
        </is>
      </c>
    </row>
    <row r="32" ht="20" customHeight="1">
      <c r="A32" s="4" t="inlineStr">
        <is>
          <t>1</t>
        </is>
      </c>
      <c r="B32" s="5" t="inlineStr">
        <is>
          <t>Thép ngang nắp/đáy (Dưới đường a125)</t>
        </is>
      </c>
      <c r="C32" s="4" t="n">
        <v>14</v>
      </c>
      <c r="D32" s="35" t="n">
        <v>180</v>
      </c>
      <c r="E32" s="7" t="n">
        <v>3.9</v>
      </c>
      <c r="F32" s="7">
        <f>D32*E32</f>
        <v/>
      </c>
      <c r="G32" s="6" t="n">
        <v>1.208</v>
      </c>
      <c r="H32" s="7">
        <f>F32*G32</f>
        <v/>
      </c>
      <c r="I32" s="7">
        <f>H32/11.3</f>
        <v/>
      </c>
      <c r="J32" s="5" t="inlineStr">
        <is>
          <t>Dưới đường (2x90 thanh)</t>
        </is>
      </c>
    </row>
    <row r="33" ht="20" customHeight="1">
      <c r="A33" s="4" t="inlineStr">
        <is>
          <t>1a</t>
        </is>
      </c>
      <c r="B33" s="5" t="inlineStr">
        <is>
          <t>Thép ngang nắp/đáy (Vỉa hè a250)</t>
        </is>
      </c>
      <c r="C33" s="4" t="n">
        <v>14</v>
      </c>
      <c r="D33" s="35" t="n">
        <v>90</v>
      </c>
      <c r="E33" s="7" t="n">
        <v>3.9</v>
      </c>
      <c r="F33" s="7">
        <f>D33*E33</f>
        <v/>
      </c>
      <c r="G33" s="6" t="n">
        <v>1.208</v>
      </c>
      <c r="H33" s="7">
        <f>F33*G33</f>
        <v/>
      </c>
      <c r="I33" s="7">
        <f>H33/11.3</f>
        <v/>
      </c>
      <c r="J33" s="5" t="inlineStr">
        <is>
          <t>Vỉa hè (2x45 thanh)</t>
        </is>
      </c>
    </row>
    <row r="34" ht="20" customHeight="1">
      <c r="A34" s="4" t="inlineStr">
        <is>
          <t>2</t>
        </is>
      </c>
      <c r="B34" s="5" t="inlineStr">
        <is>
          <t>Thép thành biên (Dưới đường a125)</t>
        </is>
      </c>
      <c r="C34" s="4" t="n">
        <v>14</v>
      </c>
      <c r="D34" s="35" t="n">
        <v>180</v>
      </c>
      <c r="E34" s="7" t="n">
        <v>3.9</v>
      </c>
      <c r="F34" s="7">
        <f>D34*E34</f>
        <v/>
      </c>
      <c r="G34" s="6" t="n">
        <v>1.208</v>
      </c>
      <c r="H34" s="7">
        <f>F34*G34</f>
        <v/>
      </c>
      <c r="I34" s="7">
        <f>H34/11.3</f>
        <v/>
      </c>
      <c r="J34" s="5" t="inlineStr">
        <is>
          <t>Dưới đường (2x90 thanh)</t>
        </is>
      </c>
    </row>
    <row r="35" ht="20" customHeight="1">
      <c r="A35" s="4" t="inlineStr">
        <is>
          <t>2a</t>
        </is>
      </c>
      <c r="B35" s="5" t="inlineStr">
        <is>
          <t>Thép thành biên (Vỉa hè a250)</t>
        </is>
      </c>
      <c r="C35" s="4" t="n">
        <v>14</v>
      </c>
      <c r="D35" s="35" t="n">
        <v>90</v>
      </c>
      <c r="E35" s="7" t="n">
        <v>3.9</v>
      </c>
      <c r="F35" s="7">
        <f>D35*E35</f>
        <v/>
      </c>
      <c r="G35" s="6" t="n">
        <v>1.208</v>
      </c>
      <c r="H35" s="7">
        <f>F35*G35</f>
        <v/>
      </c>
      <c r="I35" s="7">
        <f>H35/11.3</f>
        <v/>
      </c>
      <c r="J35" s="5" t="inlineStr">
        <is>
          <t>Vỉa hè (2x45 thanh)</t>
        </is>
      </c>
    </row>
    <row r="36" ht="20" customHeight="1">
      <c r="A36" s="4" t="inlineStr">
        <is>
          <t>3</t>
        </is>
      </c>
      <c r="B36" s="5" t="inlineStr">
        <is>
          <t>Thép gia cường 4 nách vát góc</t>
        </is>
      </c>
      <c r="C36" s="4" t="n">
        <v>14</v>
      </c>
      <c r="D36" s="35" t="n">
        <v>180</v>
      </c>
      <c r="E36" s="7" t="n">
        <v>1.95</v>
      </c>
      <c r="F36" s="7">
        <f>D36*E36</f>
        <v/>
      </c>
      <c r="G36" s="6" t="n">
        <v>1.208</v>
      </c>
      <c r="H36" s="7">
        <f>F36*G36</f>
        <v/>
      </c>
      <c r="I36" s="7">
        <f>H36/11.3</f>
        <v/>
      </c>
      <c r="J36" s="5" t="inlineStr">
        <is>
          <t>Dùng chung (4x45 thanh a250)</t>
        </is>
      </c>
    </row>
    <row r="37" ht="20" customHeight="1">
      <c r="A37" s="4" t="inlineStr">
        <is>
          <t>4</t>
        </is>
      </c>
      <c r="B37" s="5" t="inlineStr">
        <is>
          <t>Thép dọc cống phân bố a200</t>
        </is>
      </c>
      <c r="C37" s="4" t="n">
        <v>10</v>
      </c>
      <c r="D37" s="35" t="n">
        <v>136</v>
      </c>
      <c r="E37" s="7" t="n">
        <v>11.7</v>
      </c>
      <c r="F37" s="7">
        <f>D37*E37</f>
        <v/>
      </c>
      <c r="G37" s="6" t="n">
        <v>0.617</v>
      </c>
      <c r="H37" s="7">
        <f>F37*G37</f>
        <v/>
      </c>
      <c r="I37" s="7">
        <f>H37/11.3</f>
        <v/>
      </c>
      <c r="J37" s="5" t="inlineStr">
        <is>
          <t>Dùng chung (136 thanh suốt đốt)</t>
        </is>
      </c>
    </row>
    <row r="38" ht="20" customHeight="1">
      <c r="A38" s="4" t="inlineStr">
        <is>
          <t>5</t>
        </is>
      </c>
      <c r="B38" s="5" t="inlineStr">
        <is>
          <t>Thép dowel bar khe co giãn</t>
        </is>
      </c>
      <c r="C38" s="4" t="n">
        <v>22</v>
      </c>
      <c r="D38" s="35" t="n">
        <v>28</v>
      </c>
      <c r="E38" s="7" t="n">
        <v>1</v>
      </c>
      <c r="F38" s="7">
        <f>D38*E38</f>
        <v/>
      </c>
      <c r="G38" s="6" t="n">
        <v>2.984</v>
      </c>
      <c r="H38" s="7">
        <f>F38*G38</f>
        <v/>
      </c>
      <c r="I38" s="7">
        <f>H38/11.3</f>
        <v/>
      </c>
      <c r="J38" s="5" t="inlineStr">
        <is>
          <t>Dùng chung (bọc PVC bôi mỡ)</t>
        </is>
      </c>
    </row>
    <row r="40" ht="24" customHeight="1">
      <c r="A40" s="8" t="inlineStr"/>
      <c r="B40" s="23" t="inlineStr">
        <is>
          <t>TỔNG KHỐI LƯỢNG THÉP - KỊCH BẢN DƯỚI ĐƯỜNG (HL93)</t>
        </is>
      </c>
      <c r="C40" s="24" t="n"/>
      <c r="D40" s="24" t="n"/>
      <c r="E40" s="24" t="n"/>
      <c r="F40" s="24" t="n"/>
      <c r="G40" s="24" t="n"/>
      <c r="H40" s="36">
        <f>SUMIF(J32:J38, "&lt;&gt;*Vỉa hè*", H32:H38)</f>
        <v/>
      </c>
      <c r="I40" s="36">
        <f>H40/11.3</f>
        <v/>
      </c>
      <c r="J40" s="23" t="inlineStr">
        <is>
          <t>kg/m dài cống dưới đường</t>
        </is>
      </c>
    </row>
    <row r="41" ht="24" customHeight="1">
      <c r="A41" s="8" t="inlineStr"/>
      <c r="B41" s="23" t="inlineStr">
        <is>
          <t>TỔNG KHỐI LƯỢNG THÉP - KỊCH BẢN TRÊN VỈA HÈ (125kN)</t>
        </is>
      </c>
      <c r="C41" s="24" t="n"/>
      <c r="D41" s="24" t="n"/>
      <c r="E41" s="24" t="n"/>
      <c r="F41" s="24" t="n"/>
      <c r="G41" s="24" t="n"/>
      <c r="H41" s="36">
        <f>SUMIF(J32:J38, "&lt;&gt;*Dưới đường*", H32:H38)</f>
        <v/>
      </c>
      <c r="I41" s="36">
        <f>H41/11.3</f>
        <v/>
      </c>
      <c r="J41" s="23" t="inlineStr">
        <is>
          <t>kg/m dài cống trên vỉa hè</t>
        </is>
      </c>
    </row>
    <row r="43">
      <c r="B43" s="20" t="inlineStr">
        <is>
          <t>GIÁ TRỊ QUY ĐỔI 1M DÀI PHỤC VỤ LINK SHEET TỔNG HỢP:</t>
        </is>
      </c>
    </row>
    <row r="44">
      <c r="B44" s="37" t="inlineStr">
        <is>
          <t>THÉP DƯỚI ĐƯỜNG (kg/m):</t>
        </is>
      </c>
      <c r="H44" s="38">
        <f>I40</f>
        <v/>
      </c>
    </row>
    <row r="45">
      <c r="B45" s="37" t="inlineStr">
        <is>
          <t>THÉP TRÊN VỈA HÈ (kg/m):</t>
        </is>
      </c>
      <c r="H45" s="38">
        <f>I41</f>
        <v/>
      </c>
    </row>
  </sheetData>
  <mergeCells count="3">
    <mergeCell ref="A4:H4"/>
    <mergeCell ref="A20:H20"/>
    <mergeCell ref="A30:J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25" customWidth="1" min="10" max="10"/>
  </cols>
  <sheetData>
    <row r="1">
      <c r="A1" s="1" t="inlineStr">
        <is>
          <t>BÓC TÁCH KHỐI LƯỢNG CỐNG HỘP ĐÔI 2x(3.0x3.0M)</t>
        </is>
      </c>
    </row>
    <row r="2">
      <c r="A2" s="2" t="inlineStr">
        <is>
          <t>Hồ sơ bản vẽ: OLP_SD_KC_HT_CH_13, 14 &amp; CH_15 | Chiều dài đốt cống điển hình L = 11.3m</t>
        </is>
      </c>
    </row>
    <row r="4">
      <c r="A4" s="21" t="inlineStr">
        <is>
          <t>I. KÍCH THƯỚC HÌNH HỌC &amp; ĐO BÓC BÊ TÔNG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A5" s="3" t="inlineStr">
        <is>
          <t>STT</t>
        </is>
      </c>
      <c r="B5" s="3" t="inlineStr">
        <is>
          <t>CẤU KIỆN / THÀNH PHẦN</t>
        </is>
      </c>
      <c r="C5" s="3" t="inlineStr">
        <is>
          <t>SỐ LƯỢNG</t>
        </is>
      </c>
      <c r="D5" s="3" t="inlineStr">
        <is>
          <t>DÀI (m)</t>
        </is>
      </c>
      <c r="E5" s="3" t="inlineStr">
        <is>
          <t>RỘNG (m)</t>
        </is>
      </c>
      <c r="F5" s="3" t="inlineStr">
        <is>
          <t>CAO/DÀY (m)</t>
        </is>
      </c>
      <c r="G5" s="3" t="inlineStr">
        <is>
          <t>HỆ SỐ VÁT</t>
        </is>
      </c>
      <c r="H5" s="3" t="inlineStr">
        <is>
          <t>THỂ TÍCH (m3)</t>
        </is>
      </c>
    </row>
    <row r="6" ht="20" customHeight="1">
      <c r="A6" s="4" t="n">
        <v>1</v>
      </c>
      <c r="B6" s="5" t="inlineStr">
        <is>
          <t>Hình hộp ngoại vi cống (phủ bì)</t>
        </is>
      </c>
      <c r="C6" s="4" t="n">
        <v>1</v>
      </c>
      <c r="D6" s="6" t="n">
        <v>1</v>
      </c>
      <c r="E6" s="6" t="n">
        <v>6.9</v>
      </c>
      <c r="F6" s="6" t="n">
        <v>3.6</v>
      </c>
      <c r="G6" s="6" t="n">
        <v>1</v>
      </c>
      <c r="H6" s="6">
        <f>C6*D6*E6*F6*G6</f>
        <v/>
      </c>
    </row>
    <row r="7" ht="20" customHeight="1">
      <c r="A7" s="4" t="n">
        <v>2</v>
      </c>
      <c r="B7" s="5" t="inlineStr">
        <is>
          <t>Trừ khoang thông thủy (2 khoang)</t>
        </is>
      </c>
      <c r="C7" s="4" t="n">
        <v>2</v>
      </c>
      <c r="D7" s="6" t="n">
        <v>1</v>
      </c>
      <c r="E7" s="6" t="n">
        <v>3</v>
      </c>
      <c r="F7" s="6" t="n">
        <v>3</v>
      </c>
      <c r="G7" s="6" t="n">
        <v>-1</v>
      </c>
      <c r="H7" s="6">
        <f>C7*D7*E7*F7*G7</f>
        <v/>
      </c>
    </row>
    <row r="8" ht="20" customHeight="1">
      <c r="A8" s="4" t="n">
        <v>3</v>
      </c>
      <c r="B8" s="5" t="inlineStr">
        <is>
          <t>Cộng nách vát góc (8 nách)</t>
        </is>
      </c>
      <c r="C8" s="4" t="n">
        <v>8</v>
      </c>
      <c r="D8" s="6" t="n">
        <v>1</v>
      </c>
      <c r="E8" s="6" t="n">
        <v>0.25</v>
      </c>
      <c r="F8" s="6" t="n">
        <v>0.25</v>
      </c>
      <c r="G8" s="6" t="n">
        <v>0.5</v>
      </c>
      <c r="H8" s="6">
        <f>C8*D8*E8*F8*G8</f>
        <v/>
      </c>
    </row>
    <row r="9" ht="22" customHeight="1">
      <c r="A9" s="8" t="inlineStr"/>
      <c r="B9" s="23" t="inlineStr">
        <is>
          <t>TỔNG THỂ TÍCH BÊ TÔNG THÂN CỐNG B20 (1M DÀI)</t>
        </is>
      </c>
      <c r="C9" s="24" t="n"/>
      <c r="D9" s="24" t="n"/>
      <c r="E9" s="24" t="n"/>
      <c r="F9" s="24" t="n"/>
      <c r="G9" s="24" t="n"/>
      <c r="H9" s="25">
        <f>SUM(H6:H8)</f>
        <v/>
      </c>
    </row>
    <row r="10">
      <c r="A10" s="26" t="n">
        <v>4</v>
      </c>
      <c r="B10" s="27" t="inlineStr">
        <is>
          <t>Bê tông lót M100 dày 50mm (nhô 100mm mỗi bên)</t>
        </is>
      </c>
      <c r="C10" s="26" t="n">
        <v>1</v>
      </c>
      <c r="D10" s="28" t="n">
        <v>1</v>
      </c>
      <c r="E10" s="28" t="n">
        <v>7.100000000000001</v>
      </c>
      <c r="F10" s="28" t="n">
        <v>0.05</v>
      </c>
      <c r="G10" s="28" t="n">
        <v>1</v>
      </c>
      <c r="H10" s="28">
        <f>C10*D10*E10*F10*G10</f>
        <v/>
      </c>
    </row>
    <row r="12">
      <c r="B12" s="20" t="inlineStr">
        <is>
          <t>QUY ĐỔI KHỐI LƯỢNG CHO ĐỐT CỐNG &amp; 1M DÀI:</t>
        </is>
      </c>
    </row>
    <row r="13">
      <c r="B13" s="29" t="inlineStr">
        <is>
          <t>- Chiều dài đốt cống điển hình L (m):</t>
        </is>
      </c>
      <c r="E13" s="30" t="n">
        <v>11.3</v>
      </c>
    </row>
    <row r="14">
      <c r="B14" s="29" t="inlineStr">
        <is>
          <t>- Thể tích bê tông thân cho 01 đốt cống 11.3m (m3):</t>
        </is>
      </c>
      <c r="E14" s="31">
        <f>H9*E13</f>
        <v/>
      </c>
    </row>
    <row r="15">
      <c r="B15" s="32" t="inlineStr">
        <is>
          <t>- BÊ TÔNG THÂN CỐNG B20 CHO 1M DÀI (m3/m):</t>
        </is>
      </c>
      <c r="H15" s="33">
        <f>H9</f>
        <v/>
      </c>
    </row>
    <row r="16">
      <c r="B16" s="29" t="inlineStr">
        <is>
          <t>- Thể tích bê tông lót cho 01 đốt cống 11.3m (m3):</t>
        </is>
      </c>
      <c r="E16" s="31">
        <f>H10*E13</f>
        <v/>
      </c>
    </row>
    <row r="18">
      <c r="B18" s="32" t="inlineStr">
        <is>
          <t>- BÊ TÔNG LÓT M100 CHO 1M DÀI (m3/m):</t>
        </is>
      </c>
      <c r="H18" s="33">
        <f>H10</f>
        <v/>
      </c>
    </row>
    <row r="20">
      <c r="A20" s="21" t="inlineStr">
        <is>
          <t>II. ĐO BÓC VÁN KHUÔN TIẾP XÚC (m2)</t>
        </is>
      </c>
      <c r="B20" s="22" t="n"/>
      <c r="C20" s="22" t="n"/>
      <c r="D20" s="22" t="n"/>
      <c r="E20" s="22" t="n"/>
      <c r="F20" s="22" t="n"/>
      <c r="G20" s="22" t="n"/>
      <c r="H20" s="22" t="n"/>
    </row>
    <row r="21">
      <c r="A21" s="3" t="inlineStr">
        <is>
          <t>STT</t>
        </is>
      </c>
      <c r="B21" s="3" t="inlineStr">
        <is>
          <t>VỊ TRÍ VÁN KHUÔN</t>
        </is>
      </c>
      <c r="C21" s="3" t="inlineStr">
        <is>
          <t>SỐ LƯỢNG</t>
        </is>
      </c>
      <c r="D21" s="3" t="inlineStr">
        <is>
          <t>DÀI (m)</t>
        </is>
      </c>
      <c r="E21" s="3" t="inlineStr">
        <is>
          <t>RỘNG/CAO (m)</t>
        </is>
      </c>
      <c r="F21" s="3" t="inlineStr">
        <is>
          <t>HỆ SỐ</t>
        </is>
      </c>
      <c r="G21" s="3" t="inlineStr">
        <is>
          <t>GHI CHÚ</t>
        </is>
      </c>
      <c r="H21" s="3" t="inlineStr">
        <is>
          <t>DIỆN TÍCH (m2)</t>
        </is>
      </c>
    </row>
    <row r="22" ht="20" customHeight="1">
      <c r="A22" s="4" t="n">
        <v>1</v>
      </c>
      <c r="B22" s="5" t="inlineStr">
        <is>
          <t>Vách ngoài 2 bên cống</t>
        </is>
      </c>
      <c r="C22" s="4" t="n">
        <v>2</v>
      </c>
      <c r="D22" s="7" t="n">
        <v>1</v>
      </c>
      <c r="E22" s="6" t="n">
        <v>3.6</v>
      </c>
      <c r="F22" s="7" t="n">
        <v>1</v>
      </c>
      <c r="G22" s="5" t="inlineStr">
        <is>
          <t>2 mặt thành biên ngoài</t>
        </is>
      </c>
      <c r="H22" s="7">
        <f>C22*D22*E22*F22</f>
        <v/>
      </c>
    </row>
    <row r="23" ht="20" customHeight="1">
      <c r="A23" s="4" t="n">
        <v>2</v>
      </c>
      <c r="B23" s="5" t="inlineStr">
        <is>
          <t>Vách trong khoang cống (2 khoang)</t>
        </is>
      </c>
      <c r="C23" s="4" t="n">
        <v>4</v>
      </c>
      <c r="D23" s="7" t="n">
        <v>1</v>
      </c>
      <c r="E23" s="6" t="n">
        <v>2.5</v>
      </c>
      <c r="F23" s="7" t="n">
        <v>1</v>
      </c>
      <c r="G23" s="5" t="inlineStr">
        <is>
          <t>Thành bên trong (phần phẳng)</t>
        </is>
      </c>
      <c r="H23" s="7">
        <f>C23*D23*E23*F23</f>
        <v/>
      </c>
    </row>
    <row r="24" ht="20" customHeight="1">
      <c r="A24" s="4" t="n">
        <v>3</v>
      </c>
      <c r="B24" s="5" t="inlineStr">
        <is>
          <t>Đáy bản nắp trong (2 khoang)</t>
        </is>
      </c>
      <c r="C24" s="4" t="n">
        <v>2</v>
      </c>
      <c r="D24" s="7" t="n">
        <v>1</v>
      </c>
      <c r="E24" s="6" t="n">
        <v>2.5</v>
      </c>
      <c r="F24" s="7" t="n">
        <v>1</v>
      </c>
      <c r="G24" s="5" t="inlineStr">
        <is>
          <t>Đáy nắp phẳng trong khoang</t>
        </is>
      </c>
      <c r="H24" s="7">
        <f>C24*D24*E24*F24</f>
        <v/>
      </c>
    </row>
    <row r="25" ht="20" customHeight="1">
      <c r="A25" s="4" t="n">
        <v>4</v>
      </c>
      <c r="B25" s="5" t="inlineStr">
        <is>
          <t>Vát nách cống (8 nách)</t>
        </is>
      </c>
      <c r="C25" s="4" t="n">
        <v>8</v>
      </c>
      <c r="D25" s="7" t="n">
        <v>1</v>
      </c>
      <c r="E25" s="6" t="n">
        <v>0.3535533905932738</v>
      </c>
      <c r="F25" s="7" t="n">
        <v>1</v>
      </c>
      <c r="G25" s="5" t="inlineStr">
        <is>
          <t>Mặt nghiêng nách cống</t>
        </is>
      </c>
      <c r="H25" s="7">
        <f>C25*D25*E25*F25</f>
        <v/>
      </c>
    </row>
    <row r="26" ht="20" customHeight="1">
      <c r="A26" s="4" t="n">
        <v>5</v>
      </c>
      <c r="B26" s="5" t="inlineStr">
        <is>
          <t>Đầu đốt cống chặn khe co giãn (phân bổ)</t>
        </is>
      </c>
      <c r="C26" s="4" t="n">
        <v>1</v>
      </c>
      <c r="D26" s="7" t="n">
        <v>1</v>
      </c>
      <c r="E26" s="6">
        <f>H9/11.3</f>
        <v/>
      </c>
      <c r="F26" s="7" t="n">
        <v>1</v>
      </c>
      <c r="G26" s="5" t="inlineStr">
        <is>
          <t>Phân bổ trên đốt 11.3m</t>
        </is>
      </c>
      <c r="H26" s="7">
        <f>C26*D26*E26*F26</f>
        <v/>
      </c>
    </row>
    <row r="28" ht="24" customHeight="1">
      <c r="A28" s="8" t="inlineStr"/>
      <c r="B28" s="19" t="inlineStr">
        <is>
          <t>TỔNG DIỆN TÍCH VÁN KHUÔN CHO 1M DÀI CỐNG (m2/m)</t>
        </is>
      </c>
      <c r="C28" s="34" t="n"/>
      <c r="D28" s="34" t="n"/>
      <c r="E28" s="34" t="n"/>
      <c r="F28" s="34" t="n"/>
      <c r="G28" s="34" t="n"/>
      <c r="H28" s="18">
        <f>SUM(H22:H26)</f>
        <v/>
      </c>
    </row>
    <row r="30">
      <c r="A30" s="21" t="inlineStr">
        <is>
          <t>III. BẢNG THỐNG KÊ CỐT THÉP CHI TIẾT (BBS) &amp; QUY ĐỔI 1M DÀI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  <row r="31">
      <c r="A31" s="3" t="inlineStr">
        <is>
          <t>SỐ HIỆU</t>
        </is>
      </c>
      <c r="B31" s="3" t="inlineStr">
        <is>
          <t>LOẠI THÉP / VỊ TRÍ</t>
        </is>
      </c>
      <c r="C31" s="3" t="inlineStr">
        <is>
          <t>ĐƯỜNG KÍNH (mm)</t>
        </is>
      </c>
      <c r="D31" s="3" t="inlineStr">
        <is>
          <t>SỐ LƯỢNG (thanh)</t>
        </is>
      </c>
      <c r="E31" s="3" t="inlineStr">
        <is>
          <t>DÀI 1 THANH (m)</t>
        </is>
      </c>
      <c r="F31" s="3" t="inlineStr">
        <is>
          <t>TỔNG DÀI ĐỐT (m)</t>
        </is>
      </c>
      <c r="G31" s="3" t="inlineStr">
        <is>
          <t>TRỌNG LƯỢNG ĐƠN VỊ (kg/m)</t>
        </is>
      </c>
      <c r="H31" s="3" t="inlineStr">
        <is>
          <t>TỔNG TRỌNG LƯỢNG ĐỐT (kg)</t>
        </is>
      </c>
      <c r="I31" s="3" t="inlineStr">
        <is>
          <t>QUY ĐỔI 1M DÀI (kg/m)</t>
        </is>
      </c>
      <c r="J31" s="3" t="inlineStr">
        <is>
          <t>GHI CHÚ</t>
        </is>
      </c>
    </row>
    <row r="32" ht="20" customHeight="1">
      <c r="A32" s="4" t="inlineStr">
        <is>
          <t>1</t>
        </is>
      </c>
      <c r="B32" s="5" t="inlineStr">
        <is>
          <t>Thép ngang nắp/đáy 2 khoang (Dưới đường a125)</t>
        </is>
      </c>
      <c r="C32" s="4" t="n">
        <v>14</v>
      </c>
      <c r="D32" s="35" t="n">
        <v>180</v>
      </c>
      <c r="E32" s="7" t="n">
        <v>9.369999999999999</v>
      </c>
      <c r="F32" s="7">
        <f>D32*E32</f>
        <v/>
      </c>
      <c r="G32" s="6" t="n">
        <v>1.208</v>
      </c>
      <c r="H32" s="7">
        <f>F32*G32</f>
        <v/>
      </c>
      <c r="I32" s="7">
        <f>H32/11.3</f>
        <v/>
      </c>
      <c r="J32" s="5" t="inlineStr">
        <is>
          <t>Dưới đường (2x90 thanh)</t>
        </is>
      </c>
    </row>
    <row r="33" ht="20" customHeight="1">
      <c r="A33" s="4" t="inlineStr">
        <is>
          <t>1a</t>
        </is>
      </c>
      <c r="B33" s="5" t="inlineStr">
        <is>
          <t>Thép ngang nắp/đáy 2 khoang (Vỉa hè a250)</t>
        </is>
      </c>
      <c r="C33" s="4" t="n">
        <v>14</v>
      </c>
      <c r="D33" s="35" t="n">
        <v>90</v>
      </c>
      <c r="E33" s="7" t="n">
        <v>9.369999999999999</v>
      </c>
      <c r="F33" s="7">
        <f>D33*E33</f>
        <v/>
      </c>
      <c r="G33" s="6" t="n">
        <v>1.208</v>
      </c>
      <c r="H33" s="7">
        <f>F33*G33</f>
        <v/>
      </c>
      <c r="I33" s="7">
        <f>H33/11.3</f>
        <v/>
      </c>
      <c r="J33" s="5" t="inlineStr">
        <is>
          <t>Vỉa hè (2x45 thanh)</t>
        </is>
      </c>
    </row>
    <row r="34" ht="20" customHeight="1">
      <c r="A34" s="4" t="inlineStr">
        <is>
          <t>2</t>
        </is>
      </c>
      <c r="B34" s="5" t="inlineStr">
        <is>
          <t>Thép vách biên ngoài (Dưới đường a125)</t>
        </is>
      </c>
      <c r="C34" s="4" t="n">
        <v>14</v>
      </c>
      <c r="D34" s="35" t="n">
        <v>180</v>
      </c>
      <c r="E34" s="7" t="n">
        <v>4.02</v>
      </c>
      <c r="F34" s="7">
        <f>D34*E34</f>
        <v/>
      </c>
      <c r="G34" s="6" t="n">
        <v>1.208</v>
      </c>
      <c r="H34" s="7">
        <f>F34*G34</f>
        <v/>
      </c>
      <c r="I34" s="7">
        <f>H34/11.3</f>
        <v/>
      </c>
      <c r="J34" s="5" t="inlineStr">
        <is>
          <t>Dưới đường (2x90 thanh)</t>
        </is>
      </c>
    </row>
    <row r="35" ht="20" customHeight="1">
      <c r="A35" s="4" t="inlineStr">
        <is>
          <t>2a</t>
        </is>
      </c>
      <c r="B35" s="5" t="inlineStr">
        <is>
          <t>Thép vách biên ngoài (Vỉa hè a250)</t>
        </is>
      </c>
      <c r="C35" s="4" t="n">
        <v>14</v>
      </c>
      <c r="D35" s="35" t="n">
        <v>90</v>
      </c>
      <c r="E35" s="7" t="n">
        <v>4.02</v>
      </c>
      <c r="F35" s="7">
        <f>D35*E35</f>
        <v/>
      </c>
      <c r="G35" s="6" t="n">
        <v>1.208</v>
      </c>
      <c r="H35" s="7">
        <f>F35*G35</f>
        <v/>
      </c>
      <c r="I35" s="7">
        <f>H35/11.3</f>
        <v/>
      </c>
      <c r="J35" s="5" t="inlineStr">
        <is>
          <t>Vỉa hè (2x45 thanh)</t>
        </is>
      </c>
    </row>
    <row r="36" ht="20" customHeight="1">
      <c r="A36" s="4" t="inlineStr">
        <is>
          <t>3</t>
        </is>
      </c>
      <c r="B36" s="5" t="inlineStr">
        <is>
          <t>Thép vách giữa ngăn đôi</t>
        </is>
      </c>
      <c r="C36" s="4" t="n">
        <v>14</v>
      </c>
      <c r="D36" s="35" t="n">
        <v>90</v>
      </c>
      <c r="E36" s="7" t="n">
        <v>3.9</v>
      </c>
      <c r="F36" s="7">
        <f>D36*E36</f>
        <v/>
      </c>
      <c r="G36" s="6" t="n">
        <v>1.208</v>
      </c>
      <c r="H36" s="7">
        <f>F36*G36</f>
        <v/>
      </c>
      <c r="I36" s="7">
        <f>H36/11.3</f>
        <v/>
      </c>
      <c r="J36" s="5" t="inlineStr">
        <is>
          <t>Dùng chung (2x45 thanh a250)</t>
        </is>
      </c>
    </row>
    <row r="37" ht="20" customHeight="1">
      <c r="A37" s="4" t="inlineStr">
        <is>
          <t>4</t>
        </is>
      </c>
      <c r="B37" s="5" t="inlineStr">
        <is>
          <t>Thép nách vát góc ngoài</t>
        </is>
      </c>
      <c r="C37" s="4" t="n">
        <v>14</v>
      </c>
      <c r="D37" s="35" t="n">
        <v>180</v>
      </c>
      <c r="E37" s="7" t="n">
        <v>2</v>
      </c>
      <c r="F37" s="7">
        <f>D37*E37</f>
        <v/>
      </c>
      <c r="G37" s="6" t="n">
        <v>1.208</v>
      </c>
      <c r="H37" s="7">
        <f>F37*G37</f>
        <v/>
      </c>
      <c r="I37" s="7">
        <f>H37/11.3</f>
        <v/>
      </c>
      <c r="J37" s="5" t="inlineStr">
        <is>
          <t>Dùng chung (4x45 thanh a250)</t>
        </is>
      </c>
    </row>
    <row r="38" ht="20" customHeight="1">
      <c r="A38" s="4" t="inlineStr">
        <is>
          <t>4a</t>
        </is>
      </c>
      <c r="B38" s="5" t="inlineStr">
        <is>
          <t>Thép nách vát góc trong vách giữa</t>
        </is>
      </c>
      <c r="C38" s="4" t="n">
        <v>14</v>
      </c>
      <c r="D38" s="35" t="n">
        <v>90</v>
      </c>
      <c r="E38" s="7" t="n">
        <v>1.95</v>
      </c>
      <c r="F38" s="7">
        <f>D38*E38</f>
        <v/>
      </c>
      <c r="G38" s="6" t="n">
        <v>1.208</v>
      </c>
      <c r="H38" s="7">
        <f>F38*G38</f>
        <v/>
      </c>
      <c r="I38" s="7">
        <f>H38/11.3</f>
        <v/>
      </c>
      <c r="J38" s="5" t="inlineStr">
        <is>
          <t>Dùng chung (2x45 thanh a250)</t>
        </is>
      </c>
    </row>
    <row r="39" ht="20" customHeight="1">
      <c r="A39" s="4" t="inlineStr">
        <is>
          <t>5</t>
        </is>
      </c>
      <c r="B39" s="5" t="inlineStr">
        <is>
          <t>Thép dọc cống phân bố a200</t>
        </is>
      </c>
      <c r="C39" s="4" t="n">
        <v>10</v>
      </c>
      <c r="D39" s="35" t="n">
        <v>234</v>
      </c>
      <c r="E39" s="7" t="n">
        <v>11.7</v>
      </c>
      <c r="F39" s="7">
        <f>D39*E39</f>
        <v/>
      </c>
      <c r="G39" s="6" t="n">
        <v>0.617</v>
      </c>
      <c r="H39" s="7">
        <f>F39*G39</f>
        <v/>
      </c>
      <c r="I39" s="7">
        <f>H39/11.3</f>
        <v/>
      </c>
      <c r="J39" s="5" t="inlineStr">
        <is>
          <t>Dùng chung (234 thanh suốt đốt)</t>
        </is>
      </c>
    </row>
    <row r="40" ht="20" customHeight="1">
      <c r="A40" s="4" t="inlineStr">
        <is>
          <t>6</t>
        </is>
      </c>
      <c r="B40" s="5" t="inlineStr">
        <is>
          <t>Thép đai C liên kết vách giữa</t>
        </is>
      </c>
      <c r="C40" s="4" t="n">
        <v>10</v>
      </c>
      <c r="D40" s="35" t="n">
        <v>114</v>
      </c>
      <c r="E40" s="7" t="n">
        <v>0.92</v>
      </c>
      <c r="F40" s="7">
        <f>D40*E40</f>
        <v/>
      </c>
      <c r="G40" s="6" t="n">
        <v>0.617</v>
      </c>
      <c r="H40" s="7">
        <f>F40*G40</f>
        <v/>
      </c>
      <c r="I40" s="7">
        <f>H40/11.3</f>
        <v/>
      </c>
      <c r="J40" s="5" t="inlineStr">
        <is>
          <t>Dùng chung (114 thanh a600)</t>
        </is>
      </c>
    </row>
    <row r="41" ht="20" customHeight="1">
      <c r="A41" s="4" t="inlineStr">
        <is>
          <t>7</t>
        </is>
      </c>
      <c r="B41" s="5" t="inlineStr">
        <is>
          <t>Thép móc đai nách</t>
        </is>
      </c>
      <c r="C41" s="4" t="n">
        <v>6</v>
      </c>
      <c r="D41" s="35" t="n">
        <v>228</v>
      </c>
      <c r="E41" s="7" t="n">
        <v>0.35</v>
      </c>
      <c r="F41" s="7">
        <f>D41*E41</f>
        <v/>
      </c>
      <c r="G41" s="6" t="n">
        <v>0.222</v>
      </c>
      <c r="H41" s="7">
        <f>F41*G41</f>
        <v/>
      </c>
      <c r="I41" s="7">
        <f>H41/11.3</f>
        <v/>
      </c>
      <c r="J41" s="5" t="inlineStr">
        <is>
          <t>Dùng chung (3x76 thanh a600)</t>
        </is>
      </c>
    </row>
    <row r="42" ht="20" customHeight="1">
      <c r="A42" s="4" t="inlineStr">
        <is>
          <t>8</t>
        </is>
      </c>
      <c r="B42" s="5" t="inlineStr">
        <is>
          <t>Thép dowel bar khe co giãn</t>
        </is>
      </c>
      <c r="C42" s="4" t="n">
        <v>22</v>
      </c>
      <c r="D42" s="35" t="n">
        <v>42</v>
      </c>
      <c r="E42" s="7" t="n">
        <v>1</v>
      </c>
      <c r="F42" s="7">
        <f>D42*E42</f>
        <v/>
      </c>
      <c r="G42" s="6" t="n">
        <v>2.984</v>
      </c>
      <c r="H42" s="7">
        <f>F42*G42</f>
        <v/>
      </c>
      <c r="I42" s="7">
        <f>H42/11.3</f>
        <v/>
      </c>
      <c r="J42" s="5" t="inlineStr">
        <is>
          <t>Dùng chung (bọc PVC bôi mỡ)</t>
        </is>
      </c>
    </row>
    <row r="44" ht="24" customHeight="1">
      <c r="A44" s="8" t="inlineStr"/>
      <c r="B44" s="23" t="inlineStr">
        <is>
          <t>TỔNG KHỐI LƯỢNG THÉP - KỊCH BẢN DƯỚI ĐƯỜNG (HL93)</t>
        </is>
      </c>
      <c r="C44" s="24" t="n"/>
      <c r="D44" s="24" t="n"/>
      <c r="E44" s="24" t="n"/>
      <c r="F44" s="24" t="n"/>
      <c r="G44" s="24" t="n"/>
      <c r="H44" s="36">
        <f>SUMIF(J32:J42, "&lt;&gt;*Vỉa hè*", H32:H42)</f>
        <v/>
      </c>
      <c r="I44" s="36">
        <f>H44/11.3</f>
        <v/>
      </c>
      <c r="J44" s="23" t="inlineStr">
        <is>
          <t>kg/m dài cống dưới đường</t>
        </is>
      </c>
    </row>
    <row r="45" ht="24" customHeight="1">
      <c r="A45" s="8" t="inlineStr"/>
      <c r="B45" s="23" t="inlineStr">
        <is>
          <t>TỔNG KHỐI LƯỢNG THÉP - KỊCH BẢN TRÊN VỈA HÈ (125kN)</t>
        </is>
      </c>
      <c r="C45" s="24" t="n"/>
      <c r="D45" s="24" t="n"/>
      <c r="E45" s="24" t="n"/>
      <c r="F45" s="24" t="n"/>
      <c r="G45" s="24" t="n"/>
      <c r="H45" s="36">
        <f>SUMIF(J32:J42, "&lt;&gt;*Dưới đường*", H32:H42)</f>
        <v/>
      </c>
      <c r="I45" s="36">
        <f>H45/11.3</f>
        <v/>
      </c>
      <c r="J45" s="23" t="inlineStr">
        <is>
          <t>kg/m dài cống trên vỉa hè</t>
        </is>
      </c>
    </row>
    <row r="47">
      <c r="B47" s="20" t="inlineStr">
        <is>
          <t>GIÁ TRỊ QUY ĐỔI 1M DÀI PHỤC VỤ LINK SHEET TỔNG HỢP:</t>
        </is>
      </c>
    </row>
    <row r="48">
      <c r="B48" s="37" t="inlineStr">
        <is>
          <t>THÉP DƯỚI ĐƯỜNG (kg/m):</t>
        </is>
      </c>
      <c r="H48" s="38">
        <f>I44</f>
        <v/>
      </c>
    </row>
    <row r="49">
      <c r="B49" s="37" t="inlineStr">
        <is>
          <t>THÉP TRÊN VỈA HÈ (kg/m):</t>
        </is>
      </c>
      <c r="H49" s="38">
        <f>I45</f>
        <v/>
      </c>
    </row>
  </sheetData>
  <mergeCells count="3">
    <mergeCell ref="A4:H4"/>
    <mergeCell ref="A20:H20"/>
    <mergeCell ref="A30:J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6" customWidth="1" min="4" max="4"/>
    <col width="22" customWidth="1" min="5" max="5"/>
    <col width="22" customWidth="1" min="6" max="6"/>
    <col width="16" customWidth="1" min="7" max="7"/>
    <col width="25" customWidth="1" min="8" max="8"/>
    <col width="30" customWidth="1" min="9" max="9"/>
  </cols>
  <sheetData>
    <row r="1">
      <c r="A1" s="1" t="inlineStr">
        <is>
          <t>BẢNG THỐNG KÊ PHÂN ĐOẠN CỐNG HỘP &amp; CHIỀU CAO CỔ GA TUYẾN A5</t>
        </is>
      </c>
    </row>
    <row r="2">
      <c r="A2" s="2" t="inlineStr">
        <is>
          <t>Trích xuất từ các bản vẽ: OLP_SD_KC_HT_CH_23, CH_24, CH_25, CH_26</t>
        </is>
      </c>
    </row>
    <row r="4" ht="25" customHeight="1">
      <c r="A4" s="3" t="inlineStr">
        <is>
          <t>STT</t>
        </is>
      </c>
      <c r="B4" s="3" t="inlineStr">
        <is>
          <t>PHẠM VI ĐOẠN TUYẾN</t>
        </is>
      </c>
      <c r="C4" s="3" t="inlineStr">
        <is>
          <t>SỐ HIỆU GA BẮT ĐẦU - KẾT THÚC</t>
        </is>
      </c>
      <c r="D4" s="3" t="inlineStr">
        <is>
          <t>SỐ LƯỢNG GA</t>
        </is>
      </c>
      <c r="E4" s="3" t="inlineStr">
        <is>
          <t>QUY CÁCH CỐNG (BxH)</t>
        </is>
      </c>
      <c r="F4" s="3" t="inlineStr">
        <is>
          <t>CHIỀU DÀI DỰ KIẾN (m)</t>
        </is>
      </c>
      <c r="G4" s="3" t="inlineStr">
        <is>
          <t>TỶ TRỌNG (%)</t>
        </is>
      </c>
      <c r="H4" s="3" t="inlineStr">
        <is>
          <t>CAO ĐỘ ĐÁY THAY ĐỔI (m)</t>
        </is>
      </c>
      <c r="I4" s="3" t="inlineStr">
        <is>
          <t>BẢN VẼ CHI TIẾT</t>
        </is>
      </c>
    </row>
    <row r="5" ht="22" customHeight="1">
      <c r="A5" s="4" t="n">
        <v>1</v>
      </c>
      <c r="B5" s="5" t="inlineStr">
        <is>
          <t>Đoạn 1 - Tuyến cống đơn 2x2</t>
        </is>
      </c>
      <c r="C5" s="4" t="inlineStr">
        <is>
          <t>T5-a17 đến T5-a28</t>
        </is>
      </c>
      <c r="D5" s="4" t="n">
        <v>12</v>
      </c>
      <c r="E5" s="4" t="inlineStr">
        <is>
          <t>2.0 x 2.0 m</t>
        </is>
      </c>
      <c r="F5" s="35" t="n">
        <v>385</v>
      </c>
      <c r="G5" s="39">
        <f>F5/$F$8</f>
        <v/>
      </c>
      <c r="H5" s="5" t="inlineStr">
        <is>
          <t>+3.58m đến +3.47m</t>
        </is>
      </c>
      <c r="I5" s="5" t="inlineStr">
        <is>
          <t>CH_06 đến CH_08, CH_23</t>
        </is>
      </c>
    </row>
    <row r="6" ht="22" customHeight="1">
      <c r="A6" s="4" t="n">
        <v>2</v>
      </c>
      <c r="B6" s="5" t="inlineStr">
        <is>
          <t>Đoạn 2 - Tuyến cống đơn 3x3</t>
        </is>
      </c>
      <c r="C6" s="4" t="inlineStr">
        <is>
          <t>T5-a1 đến T5-a16, T5-a54</t>
        </is>
      </c>
      <c r="D6" s="4" t="n">
        <v>17</v>
      </c>
      <c r="E6" s="4" t="inlineStr">
        <is>
          <t>3.0 x 3.0 m</t>
        </is>
      </c>
      <c r="F6" s="35" t="n">
        <v>560</v>
      </c>
      <c r="G6" s="39">
        <f>F6/$F$8</f>
        <v/>
      </c>
      <c r="H6" s="5" t="inlineStr">
        <is>
          <t>+4.67m đến +4.58m</t>
        </is>
      </c>
      <c r="I6" s="5" t="inlineStr">
        <is>
          <t>CH_10 đến CH_12, CH_24</t>
        </is>
      </c>
    </row>
    <row r="7" ht="22" customHeight="1">
      <c r="A7" s="4" t="n">
        <v>3</v>
      </c>
      <c r="B7" s="5" t="inlineStr">
        <is>
          <t>Đoạn 3 - Tuyến cống đôi 2x(3x3)</t>
        </is>
      </c>
      <c r="C7" s="4" t="inlineStr">
        <is>
          <t>T5-a53.1 đến T5-a90, T5-a119</t>
        </is>
      </c>
      <c r="D7" s="4" t="n">
        <v>37</v>
      </c>
      <c r="E7" s="4" t="inlineStr">
        <is>
          <t>2x(3.0 x 3.0) m</t>
        </is>
      </c>
      <c r="F7" s="35" t="n">
        <v>1225</v>
      </c>
      <c r="G7" s="39">
        <f>F7/$F$8</f>
        <v/>
      </c>
      <c r="H7" s="5" t="inlineStr">
        <is>
          <t>+5.11m đến +4.07m</t>
        </is>
      </c>
      <c r="I7" s="5" t="inlineStr">
        <is>
          <t>CH_13 đến CH_15, CH_25-26</t>
        </is>
      </c>
    </row>
    <row r="8" ht="24" customHeight="1">
      <c r="A8" s="8" t="inlineStr"/>
      <c r="B8" s="13" t="inlineStr">
        <is>
          <t>TỔNG CỘNG TOÀN TUYẾN A5</t>
        </is>
      </c>
      <c r="C8" s="10" t="inlineStr">
        <is>
          <t>-</t>
        </is>
      </c>
      <c r="D8" s="40">
        <f>SUM(D5:D7)</f>
        <v/>
      </c>
      <c r="E8" s="10" t="inlineStr">
        <is>
          <t>-</t>
        </is>
      </c>
      <c r="F8" s="41">
        <f>SUM(F5:F7)</f>
        <v/>
      </c>
      <c r="G8" s="42">
        <f>SUM(G5:G7)</f>
        <v/>
      </c>
      <c r="H8" s="10" t="inlineStr">
        <is>
          <t>-</t>
        </is>
      </c>
      <c r="I8" s="13" t="inlineStr">
        <is>
          <t>Hồ sơ Shop Drawing Tuyến 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2026-09-29T11:41:14Z</dcterms:created>
  <dcterms:modified xmlns:dcterms="http://purl.org/dc/terms/" xmlns:xsi="http://www.w3.org/2001/XMLSchema-instance" xsi:type="dcterms:W3CDTF">2026-09-29T11:41:14Z</dcterms:modified>
</cp:coreProperties>
</file>