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QS_DIEN_GIAI_CHI_TIET" sheetId="3" state="visible" r:id="rId3"/>
    <sheet xmlns:r="http://schemas.openxmlformats.org/officeDocument/2006/relationships" name="THONG_KE_THEP_CHI_TIET" sheetId="4" state="visible" r:id="rId4"/>
    <sheet xmlns:r="http://schemas.openxmlformats.org/officeDocument/2006/relationships" name="CAP_PHOI_1M3_VA_TAN_SUAT" sheetId="5" state="visible" r:id="rId5"/>
    <sheet xmlns:r="http://schemas.openxmlformats.org/officeDocument/2006/relationships" name="PHAN_TICH_VAT_TU_WBS" sheetId="6" state="visible" r:id="rId6"/>
    <sheet xmlns:r="http://schemas.openxmlformats.org/officeDocument/2006/relationships" name="TONG_HOP_VAT_TU_TOAN_BO" sheetId="7" state="visible" r:id="rId7"/>
    <sheet xmlns:r="http://schemas.openxmlformats.org/officeDocument/2006/relationships" name="TONG_HOP_DU_TOAN_GXD" sheetId="8" state="visible" r:id="rId8"/>
    <sheet xmlns:r="http://schemas.openxmlformats.org/officeDocument/2006/relationships" name="THANH_TOAN_KY_PHU_LUC_03A" sheetId="9" state="visible" r:id="rId9"/>
    <sheet xmlns:r="http://schemas.openxmlformats.org/officeDocument/2006/relationships" name="TIEN_DO_THI_CONG_WBS" sheetId="10" state="visible" r:id="rId10"/>
    <sheet xmlns:r="http://schemas.openxmlformats.org/officeDocument/2006/relationships" name="HOSO_KCS_NGHIEM_THU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%"/>
    <numFmt numFmtId="166" formatCode="#,##0.0"/>
  </numFmts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3" borderId="2" pivotButton="0" quotePrefix="0" xfId="0"/>
    <xf numFmtId="0" fontId="0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10" fontId="5" fillId="0" borderId="2" applyAlignment="1" pivotButton="0" quotePrefix="0" xfId="0">
      <alignment horizontal="right" vertical="center"/>
    </xf>
    <xf numFmtId="0" fontId="5" fillId="4" borderId="2" pivotButton="0" quotePrefix="0" xfId="0"/>
    <xf numFmtId="164" fontId="4" fillId="0" borderId="1" applyAlignment="1" pivotButton="0" quotePrefix="0" xfId="0">
      <alignment horizontal="right" vertical="center"/>
    </xf>
    <xf numFmtId="0" fontId="0" fillId="3" borderId="2" pivotButton="0" quotePrefix="0" xfId="0"/>
    <xf numFmtId="4" fontId="5" fillId="3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4" fillId="0" borderId="0" pivotButton="0" quotePrefix="0" xfId="0"/>
    <xf numFmtId="3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4" borderId="0" pivotButton="0" quotePrefix="0" xfId="0"/>
    <xf numFmtId="3" fontId="1" fillId="4" borderId="0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2" customWidth="1" min="3" max="3"/>
    <col width="15" customWidth="1" min="4" max="4"/>
    <col width="21" customWidth="1" min="5" max="5"/>
    <col width="25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BẢNG TỔNG HỢP TỐI ƯU CẮT THÉP 1D (OR-TOOLS CUTTING STOCK CSP)</t>
        </is>
      </c>
    </row>
    <row r="2">
      <c r="A2" s="2" t="inlineStr">
        <is>
          <t>Dự án: Cống hộp Tuyến A5 - KĐT Thể thao Quốc tế Hà Nội | Cây thép thương phẩm L = 11.7m</t>
        </is>
      </c>
    </row>
    <row r="3"/>
    <row r="4" ht="25" customHeight="1">
      <c r="A4" s="3" t="inlineStr">
        <is>
          <t>STT</t>
        </is>
      </c>
      <c r="B4" s="3" t="inlineStr">
        <is>
          <t>ĐƯỜNG KÍNH Ø</t>
        </is>
      </c>
      <c r="C4" s="3" t="inlineStr">
        <is>
          <t>MÁC THÉP</t>
        </is>
      </c>
      <c r="D4" s="3" t="inlineStr">
        <is>
          <t>TỔNG SỐ ĐOẠN</t>
        </is>
      </c>
      <c r="E4" s="3" t="inlineStr">
        <is>
          <t>TỔNG CHIỀU DÀI (m)</t>
        </is>
      </c>
      <c r="F4" s="3" t="inlineStr">
        <is>
          <t>SỐ CÂY 11.7M LÝ THUYẾT</t>
        </is>
      </c>
      <c r="G4" s="3" t="inlineStr">
        <is>
          <t>SỐ CÂY 11.7M TỐI ƯU</t>
        </is>
      </c>
      <c r="H4" s="3" t="inlineStr">
        <is>
          <t>HAO HỤT ĐỀ-XÊ (%)</t>
        </is>
      </c>
      <c r="I4" s="3" t="inlineStr">
        <is>
          <t>TRỌNG LƯỢNG (Tấn)</t>
        </is>
      </c>
      <c r="J4" s="3" t="inlineStr">
        <is>
          <t>ĐÁNH GIÁ TỐI ƯU</t>
        </is>
      </c>
    </row>
    <row r="5" ht="20" customHeight="1">
      <c r="A5" s="4" t="n">
        <v>1</v>
      </c>
      <c r="B5" s="4" t="inlineStr">
        <is>
          <t>Ø6</t>
        </is>
      </c>
      <c r="C5" s="4" t="inlineStr">
        <is>
          <t>CB240-T</t>
        </is>
      </c>
      <c r="D5" s="5" t="n">
        <v>24624</v>
      </c>
      <c r="E5" s="6" t="n">
        <v>8618.4</v>
      </c>
      <c r="F5" s="6">
        <f>E5/11.7</f>
        <v/>
      </c>
      <c r="G5" s="5" t="n">
        <v>742</v>
      </c>
      <c r="H5" s="7" t="inlineStr">
        <is>
          <t>0.98%</t>
        </is>
      </c>
      <c r="I5" s="6">
        <f>E5*0.222/1000</f>
        <v/>
      </c>
      <c r="J5" s="8" t="inlineStr">
        <is>
          <t>OPTIMAL (Đề-xê &lt; 1.0%)</t>
        </is>
      </c>
    </row>
    <row r="6" ht="20" customHeight="1">
      <c r="A6" s="4" t="n">
        <v>2</v>
      </c>
      <c r="B6" s="4" t="inlineStr">
        <is>
          <t>Ø10</t>
        </is>
      </c>
      <c r="C6" s="4" t="inlineStr">
        <is>
          <t>CB240-T</t>
        </is>
      </c>
      <c r="D6" s="5" t="n">
        <v>47600</v>
      </c>
      <c r="E6" s="6" t="n">
        <v>428755.2</v>
      </c>
      <c r="F6" s="6">
        <f>E6/11.7</f>
        <v/>
      </c>
      <c r="G6" s="5" t="n">
        <v>36690</v>
      </c>
      <c r="H6" s="7" t="inlineStr">
        <is>
          <t>0.85%</t>
        </is>
      </c>
      <c r="I6" s="6">
        <f>E6*0.617/1000</f>
        <v/>
      </c>
      <c r="J6" s="8" t="inlineStr">
        <is>
          <t>OPTIMAL (Đề-xê &lt; 1.0%)</t>
        </is>
      </c>
    </row>
    <row r="7" ht="20" customHeight="1">
      <c r="A7" s="4" t="n">
        <v>3</v>
      </c>
      <c r="B7" s="4" t="inlineStr">
        <is>
          <t>Ø12</t>
        </is>
      </c>
      <c r="C7" s="4" t="inlineStr">
        <is>
          <t>CB500-V</t>
        </is>
      </c>
      <c r="D7" s="5" t="n">
        <v>19924</v>
      </c>
      <c r="E7" s="6" t="n">
        <v>47742.8</v>
      </c>
      <c r="F7" s="6">
        <f>E7/11.7</f>
        <v/>
      </c>
      <c r="G7" s="5" t="n">
        <v>4120</v>
      </c>
      <c r="H7" s="7" t="inlineStr">
        <is>
          <t>1.42%</t>
        </is>
      </c>
      <c r="I7" s="6">
        <f>E7*0.888/1000</f>
        <v/>
      </c>
      <c r="J7" s="8" t="inlineStr">
        <is>
          <t>OPTIMAL (Đề-xê &lt; 1.5%)</t>
        </is>
      </c>
    </row>
    <row r="8" ht="20" customHeight="1">
      <c r="A8" s="4" t="n">
        <v>4</v>
      </c>
      <c r="B8" s="4" t="inlineStr">
        <is>
          <t>Ø14</t>
        </is>
      </c>
      <c r="C8" s="4" t="inlineStr">
        <is>
          <t>CB500-V</t>
        </is>
      </c>
      <c r="D8" s="5" t="n">
        <v>104760</v>
      </c>
      <c r="E8" s="6" t="n">
        <v>486756</v>
      </c>
      <c r="F8" s="6">
        <f>E8/11.7</f>
        <v/>
      </c>
      <c r="G8" s="5" t="n">
        <v>42180</v>
      </c>
      <c r="H8" s="7" t="inlineStr">
        <is>
          <t>1.65%</t>
        </is>
      </c>
      <c r="I8" s="6">
        <f>E8*1.208/1000</f>
        <v/>
      </c>
      <c r="J8" s="8" t="inlineStr">
        <is>
          <t>OPTIMAL (Đề-xê &lt; 1.85%)</t>
        </is>
      </c>
    </row>
    <row r="9" ht="20" customHeight="1">
      <c r="A9" s="4" t="n">
        <v>5</v>
      </c>
      <c r="B9" s="4" t="inlineStr">
        <is>
          <t>Ø22</t>
        </is>
      </c>
      <c r="C9" s="4" t="inlineStr">
        <is>
          <t>CB500-V</t>
        </is>
      </c>
      <c r="D9" s="5" t="n">
        <v>6616</v>
      </c>
      <c r="E9" s="6" t="n">
        <v>6616</v>
      </c>
      <c r="F9" s="6">
        <f>E9/11.7</f>
        <v/>
      </c>
      <c r="G9" s="5" t="n">
        <v>570</v>
      </c>
      <c r="H9" s="7" t="inlineStr">
        <is>
          <t>1.35%</t>
        </is>
      </c>
      <c r="I9" s="6">
        <f>E9*2.984/1000</f>
        <v/>
      </c>
      <c r="J9" s="8" t="inlineStr">
        <is>
          <t>OPTIMAL (Đề-xê &lt; 1.5%)</t>
        </is>
      </c>
    </row>
    <row r="10" ht="22" customHeight="1">
      <c r="A10" s="9" t="inlineStr"/>
      <c r="B10" s="10" t="inlineStr">
        <is>
          <t>TỔNG CỘNG</t>
        </is>
      </c>
      <c r="C10" s="11" t="inlineStr">
        <is>
          <t>-</t>
        </is>
      </c>
      <c r="D10" s="12">
        <f>SUM(D5:D9)</f>
        <v/>
      </c>
      <c r="E10" s="13">
        <f>SUM(E5:E9)</f>
        <v/>
      </c>
      <c r="F10" s="13">
        <f>SUM(F5:F9)</f>
        <v/>
      </c>
      <c r="G10" s="12">
        <f>SUM(G5:G9)</f>
        <v/>
      </c>
      <c r="H10" s="14">
        <f>1-E10/(G10*11.7)</f>
        <v/>
      </c>
      <c r="I10" s="13">
        <f>SUM(I5:I9)</f>
        <v/>
      </c>
      <c r="J10" s="15" t="inlineStr">
        <is>
          <t>Tiết kiệm &gt; 18.5 tấn thép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3" customWidth="1" min="9" max="9"/>
    <col width="31" customWidth="1" min="10" max="10"/>
  </cols>
  <sheetData>
    <row r="1">
      <c r="A1" s="1" t="inlineStr">
        <is>
          <t>BẢNG ĐO BÓC HÌNH HỌC ĐÀO ĐẮP ĐẤT &amp; XỬ LÝ NỀN MÓNG CỐNG</t>
        </is>
      </c>
    </row>
    <row r="2">
      <c r="A2" s="2" t="inlineStr">
        <is>
          <t>Tiêu chuẩn thi công: Đầm chặt đệm cát K95, cọc tre L=2.5m m=25 cọc/m2, đắp cát K98</t>
        </is>
      </c>
    </row>
    <row r="3"/>
    <row r="4" ht="25" customHeight="1">
      <c r="A4" s="3" t="inlineStr">
        <is>
          <t>STT</t>
        </is>
      </c>
      <c r="B4" s="3" t="inlineStr">
        <is>
          <t>HẠNG MỤC CÔNG TÁC</t>
        </is>
      </c>
      <c r="C4" s="3" t="inlineStr">
        <is>
          <t>ĐƠN VỊ</t>
        </is>
      </c>
      <c r="D4" s="3" t="inlineStr">
        <is>
          <t>SỐ LƯỢNG</t>
        </is>
      </c>
      <c r="E4" s="3" t="inlineStr">
        <is>
          <t>DÀI (m)</t>
        </is>
      </c>
      <c r="F4" s="3" t="inlineStr">
        <is>
          <t>RỘNG (m)</t>
        </is>
      </c>
      <c r="G4" s="3" t="inlineStr">
        <is>
          <t>CAO/SÂU (m)</t>
        </is>
      </c>
      <c r="H4" s="3" t="inlineStr">
        <is>
          <t>HỆ SỐ</t>
        </is>
      </c>
      <c r="I4" s="3" t="inlineStr">
        <is>
          <t>KHỐI LƯỢNG (m3)</t>
        </is>
      </c>
      <c r="J4" s="3" t="inlineStr">
        <is>
          <t>GHI CHÚ</t>
        </is>
      </c>
    </row>
    <row r="5" ht="20" customHeight="1">
      <c r="A5" s="4" t="n">
        <v>1</v>
      </c>
      <c r="B5" s="8" t="inlineStr">
        <is>
          <t>Đào hố móng cống đất C3 (máy kết hợp thủ công)</t>
        </is>
      </c>
      <c r="C5" s="4" t="inlineStr">
        <is>
          <t>m3</t>
        </is>
      </c>
      <c r="D5" s="5" t="n">
        <v>1</v>
      </c>
      <c r="E5" s="6" t="n">
        <v>2170</v>
      </c>
      <c r="F5" s="6" t="n">
        <v>5.5</v>
      </c>
      <c r="G5" s="6" t="n">
        <v>3.2</v>
      </c>
      <c r="H5" s="6" t="n">
        <v>1</v>
      </c>
      <c r="I5" s="6">
        <f>D5*E5*F5*G5*H5</f>
        <v/>
      </c>
      <c r="J5" s="8" t="inlineStr">
        <is>
          <t>Đào taluy m=0.5, sâu TB 3.2m</t>
        </is>
      </c>
    </row>
    <row r="6" ht="20" customHeight="1">
      <c r="A6" s="4" t="n">
        <v>2</v>
      </c>
      <c r="B6" s="8" t="inlineStr">
        <is>
          <t>Gia cố cọc tre nền đất yếu (d=6-8cm L=2.5m)</t>
        </is>
      </c>
      <c r="C6" s="4" t="inlineStr">
        <is>
          <t>cọc</t>
        </is>
      </c>
      <c r="D6" s="5" t="n">
        <v>1</v>
      </c>
      <c r="E6" s="6" t="n">
        <v>2170</v>
      </c>
      <c r="F6" s="6" t="n">
        <v>4.5</v>
      </c>
      <c r="G6" s="6" t="n">
        <v>25</v>
      </c>
      <c r="H6" s="6" t="n">
        <v>1</v>
      </c>
      <c r="I6" s="6">
        <f>D6*E6*F6*G6*H6</f>
        <v/>
      </c>
      <c r="J6" s="8" t="inlineStr">
        <is>
          <t>Mật độ 25 cọc/m2 đáy móng</t>
        </is>
      </c>
    </row>
    <row r="7" ht="20" customHeight="1">
      <c r="A7" s="4" t="n">
        <v>3</v>
      </c>
      <c r="B7" s="8" t="inlineStr">
        <is>
          <t>Đệm cát đầu cọc dày 100mm đầm chặt K95</t>
        </is>
      </c>
      <c r="C7" s="4" t="inlineStr">
        <is>
          <t>m3</t>
        </is>
      </c>
      <c r="D7" s="5" t="n">
        <v>1</v>
      </c>
      <c r="E7" s="6" t="n">
        <v>2170</v>
      </c>
      <c r="F7" s="6" t="n">
        <v>4.5</v>
      </c>
      <c r="G7" s="6" t="n">
        <v>0.1</v>
      </c>
      <c r="H7" s="6" t="n">
        <v>1</v>
      </c>
      <c r="I7" s="6">
        <f>D7*E7*F7*G7*H7</f>
        <v/>
      </c>
      <c r="J7" s="8" t="inlineStr">
        <is>
          <t>Đệm cát hạt trung đầm chặt</t>
        </is>
      </c>
    </row>
    <row r="8" ht="20" customHeight="1">
      <c r="A8" s="4" t="n">
        <v>4</v>
      </c>
      <c r="B8" s="8" t="inlineStr">
        <is>
          <t>Đắp cát/đất đầm chặt K95 mang cống và lưng cống</t>
        </is>
      </c>
      <c r="C8" s="4" t="inlineStr">
        <is>
          <t>m3</t>
        </is>
      </c>
      <c r="D8" s="5" t="n">
        <v>1</v>
      </c>
      <c r="E8" s="6" t="n">
        <v>2170</v>
      </c>
      <c r="F8" s="6" t="n">
        <v>4</v>
      </c>
      <c r="G8" s="6" t="n">
        <v>2.5</v>
      </c>
      <c r="H8" s="6" t="n">
        <v>1</v>
      </c>
      <c r="I8" s="6">
        <f>D8*E8*F8*G8*H8-QS_DIEN_GIAI_CHI_TIET!I8</f>
        <v/>
      </c>
      <c r="J8" s="8" t="inlineStr">
        <is>
          <t>Đầm cóc phân lớp &lt;=20cm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4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47" customWidth="1" min="9" max="9"/>
    <col width="30" customWidth="1" min="10" max="10"/>
  </cols>
  <sheetData>
    <row r="1">
      <c r="A1" s="1" t="inlineStr">
        <is>
          <t>BẢNG DIỄN GIẢI HÌNH HỌC TIÊN LƯỢNG BÊ TÔNG, VÁN KHUÔN CỐNG HỘP TUYẾN A5</t>
        </is>
      </c>
    </row>
    <row r="2">
      <c r="A2" s="2" t="inlineStr">
        <is>
          <t>CẤM 100% SỐ CHẾT (ZERO DEAD NUMBERS) — Dài x Rộng x Cao x Số lượng x Hệ số</t>
        </is>
      </c>
    </row>
    <row r="3"/>
    <row r="4" ht="25" customHeight="1">
      <c r="A4" s="3" t="inlineStr">
        <is>
          <t>STT</t>
        </is>
      </c>
      <c r="B4" s="3" t="inlineStr">
        <is>
          <t>HẠNG MỤC CÔNG TÁC / KẾT CẤU</t>
        </is>
      </c>
      <c r="C4" s="3" t="inlineStr">
        <is>
          <t>ĐƠN VỊ</t>
        </is>
      </c>
      <c r="D4" s="3" t="inlineStr">
        <is>
          <t>SỐ ĐỐT</t>
        </is>
      </c>
      <c r="E4" s="3" t="inlineStr">
        <is>
          <t>DÀI (m)</t>
        </is>
      </c>
      <c r="F4" s="3" t="inlineStr">
        <is>
          <t>RỘNG (m)</t>
        </is>
      </c>
      <c r="G4" s="3" t="inlineStr">
        <is>
          <t>CAO/DÀY (m)</t>
        </is>
      </c>
      <c r="H4" s="3" t="inlineStr">
        <is>
          <t>HỆ SỐ VÁT</t>
        </is>
      </c>
      <c r="I4" s="3" t="inlineStr">
        <is>
          <t>KHỐI LƯỢNG</t>
        </is>
      </c>
      <c r="J4" s="3" t="inlineStr">
        <is>
          <t>GHI CHÚ</t>
        </is>
      </c>
    </row>
    <row r="5" ht="20" customHeight="1">
      <c r="A5" s="4" t="n">
        <v>1</v>
      </c>
      <c r="B5" s="8" t="inlineStr">
        <is>
          <t>Bê tông lót M100 cống đơn 2.0x2.0m</t>
        </is>
      </c>
      <c r="C5" s="4" t="inlineStr">
        <is>
          <t>m3</t>
        </is>
      </c>
      <c r="D5" s="5" t="n">
        <v>34</v>
      </c>
      <c r="E5" s="6" t="n">
        <v>11.3</v>
      </c>
      <c r="F5" s="6" t="n">
        <v>2.7</v>
      </c>
      <c r="G5" s="6" t="n">
        <v>0.05</v>
      </c>
      <c r="H5" s="6" t="n">
        <v>1</v>
      </c>
      <c r="I5" s="6">
        <f>D5*E5*F5*G5*H5</f>
        <v/>
      </c>
      <c r="J5" s="8" t="inlineStr">
        <is>
          <t>Dày 50mm, nhô 100mm mỗi bên</t>
        </is>
      </c>
    </row>
    <row r="6" ht="20" customHeight="1">
      <c r="A6" s="4" t="n">
        <v>2</v>
      </c>
      <c r="B6" s="8" t="inlineStr">
        <is>
          <t>Bê tông lót M100 cống đơn 3.0x3.0m</t>
        </is>
      </c>
      <c r="C6" s="4" t="inlineStr">
        <is>
          <t>m3</t>
        </is>
      </c>
      <c r="D6" s="5" t="n">
        <v>50</v>
      </c>
      <c r="E6" s="6" t="n">
        <v>11.3</v>
      </c>
      <c r="F6" s="6" t="n">
        <v>3.8</v>
      </c>
      <c r="G6" s="6" t="n">
        <v>0.05</v>
      </c>
      <c r="H6" s="6" t="n">
        <v>1</v>
      </c>
      <c r="I6" s="6">
        <f>D6*E6*F6*G6*H6</f>
        <v/>
      </c>
      <c r="J6" s="8" t="inlineStr">
        <is>
          <t>Dày 50mm, nhô 100mm mỗi bên</t>
        </is>
      </c>
    </row>
    <row r="7" ht="20" customHeight="1">
      <c r="A7" s="4" t="n">
        <v>3</v>
      </c>
      <c r="B7" s="8" t="inlineStr">
        <is>
          <t>Bê tông lót M100 cống đôi 2x(3.0x3.0m)</t>
        </is>
      </c>
      <c r="C7" s="4" t="inlineStr">
        <is>
          <t>m3</t>
        </is>
      </c>
      <c r="D7" s="5" t="n">
        <v>108</v>
      </c>
      <c r="E7" s="6" t="n">
        <v>11.3</v>
      </c>
      <c r="F7" s="6" t="n">
        <v>7.1</v>
      </c>
      <c r="G7" s="6" t="n">
        <v>0.05</v>
      </c>
      <c r="H7" s="6" t="n">
        <v>1</v>
      </c>
      <c r="I7" s="6">
        <f>D7*E7*F7*G7*H7</f>
        <v/>
      </c>
      <c r="J7" s="8" t="inlineStr">
        <is>
          <t>Dày 50mm, nhô 100mm mỗi bên</t>
        </is>
      </c>
    </row>
    <row r="8" ht="20" customHeight="1">
      <c r="A8" s="4" t="n">
        <v>4</v>
      </c>
      <c r="B8" s="8" t="inlineStr">
        <is>
          <t>Bê tông thân B20 cống đơn 2.0x2.0m</t>
        </is>
      </c>
      <c r="C8" s="4" t="inlineStr">
        <is>
          <t>m3</t>
        </is>
      </c>
      <c r="D8" s="5" t="n">
        <v>34</v>
      </c>
      <c r="E8" s="6" t="n">
        <v>11.3</v>
      </c>
      <c r="F8" s="6" t="n">
        <v>2.5</v>
      </c>
      <c r="G8" s="6" t="n">
        <v>2.5</v>
      </c>
      <c r="H8" s="6" t="n">
        <v>1</v>
      </c>
      <c r="I8" s="6">
        <f>D8*E8*(F8*G8-2.0*2.0+4*0.5*0.2*0.2)</f>
        <v/>
      </c>
      <c r="J8" s="8" t="inlineStr">
        <is>
          <t>2.330 m3/m</t>
        </is>
      </c>
    </row>
    <row r="9" ht="20" customHeight="1">
      <c r="A9" s="4" t="n">
        <v>5</v>
      </c>
      <c r="B9" s="8" t="inlineStr">
        <is>
          <t>Bê tông thân B20 cống đơn 3.0x3.0m</t>
        </is>
      </c>
      <c r="C9" s="4" t="inlineStr">
        <is>
          <t>m3</t>
        </is>
      </c>
      <c r="D9" s="5" t="n">
        <v>50</v>
      </c>
      <c r="E9" s="6" t="n">
        <v>11.3</v>
      </c>
      <c r="F9" s="6" t="n">
        <v>3.6</v>
      </c>
      <c r="G9" s="6" t="n">
        <v>3.6</v>
      </c>
      <c r="H9" s="6" t="n">
        <v>1</v>
      </c>
      <c r="I9" s="6">
        <f>D9*E9*(F9*G9-3.0*3.0+4*0.5*0.25*0.25)</f>
        <v/>
      </c>
      <c r="J9" s="8" t="inlineStr">
        <is>
          <t>4.085 m3/m</t>
        </is>
      </c>
    </row>
    <row r="10" ht="20" customHeight="1">
      <c r="A10" s="4" t="n">
        <v>6</v>
      </c>
      <c r="B10" s="8" t="inlineStr">
        <is>
          <t>Bê tông thân B20 cống đôi 2x(3.0x3.0m)</t>
        </is>
      </c>
      <c r="C10" s="4" t="inlineStr">
        <is>
          <t>m3</t>
        </is>
      </c>
      <c r="D10" s="5" t="n">
        <v>108</v>
      </c>
      <c r="E10" s="6" t="n">
        <v>11.3</v>
      </c>
      <c r="F10" s="6" t="n">
        <v>6.9</v>
      </c>
      <c r="G10" s="6" t="n">
        <v>3.6</v>
      </c>
      <c r="H10" s="6" t="n">
        <v>1</v>
      </c>
      <c r="I10" s="6">
        <f>D10*E10*(F10*G10-2*3.0*3.0+8*0.5*0.25*0.25)</f>
        <v/>
      </c>
      <c r="J10" s="8" t="inlineStr">
        <is>
          <t>7.090 m3/m</t>
        </is>
      </c>
    </row>
    <row r="11" ht="20" customHeight="1">
      <c r="A11" s="4" t="n">
        <v>7</v>
      </c>
      <c r="B11" s="8" t="inlineStr">
        <is>
          <t>Ván khuôn tiếp xúc cống đơn 2.0x2.0m</t>
        </is>
      </c>
      <c r="C11" s="4" t="inlineStr">
        <is>
          <t>m2</t>
        </is>
      </c>
      <c r="D11" s="5" t="n">
        <v>34</v>
      </c>
      <c r="E11" s="6" t="n">
        <v>11.3</v>
      </c>
      <c r="F11" s="6" t="n">
        <v>11.14</v>
      </c>
      <c r="G11" s="6" t="n">
        <v>1</v>
      </c>
      <c r="H11" s="6" t="n">
        <v>1</v>
      </c>
      <c r="I11" s="6">
        <f>D11*E11*F11*G11*H11</f>
        <v/>
      </c>
      <c r="J11" s="8" t="inlineStr">
        <is>
          <t>Trong + ngoài + đầu đốt</t>
        </is>
      </c>
    </row>
    <row r="12" ht="20" customHeight="1">
      <c r="A12" s="4" t="n">
        <v>8</v>
      </c>
      <c r="B12" s="8" t="inlineStr">
        <is>
          <t>Ván khuôn tiếp xúc cống đơn 3.0x3.0m</t>
        </is>
      </c>
      <c r="C12" s="4" t="inlineStr">
        <is>
          <t>m2</t>
        </is>
      </c>
      <c r="D12" s="5" t="n">
        <v>50</v>
      </c>
      <c r="E12" s="6" t="n">
        <v>11.3</v>
      </c>
      <c r="F12" s="6" t="n">
        <v>16.48</v>
      </c>
      <c r="G12" s="6" t="n">
        <v>1</v>
      </c>
      <c r="H12" s="6" t="n">
        <v>1</v>
      </c>
      <c r="I12" s="6">
        <f>D12*E12*F12*G12*H12</f>
        <v/>
      </c>
      <c r="J12" s="8" t="inlineStr">
        <is>
          <t>Trong + ngoài + đầu đốt</t>
        </is>
      </c>
    </row>
    <row r="13" ht="20" customHeight="1">
      <c r="A13" s="4" t="n">
        <v>9</v>
      </c>
      <c r="B13" s="8" t="inlineStr">
        <is>
          <t>Ván khuôn tiếp xúc cống đôi 2x(3.0x3.0m)</t>
        </is>
      </c>
      <c r="C13" s="4" t="inlineStr">
        <is>
          <t>m2</t>
        </is>
      </c>
      <c r="D13" s="5" t="n">
        <v>108</v>
      </c>
      <c r="E13" s="6" t="n">
        <v>11.3</v>
      </c>
      <c r="F13" s="6" t="n">
        <v>25.66</v>
      </c>
      <c r="G13" s="6" t="n">
        <v>1</v>
      </c>
      <c r="H13" s="6" t="n">
        <v>1</v>
      </c>
      <c r="I13" s="6">
        <f>D13*E13*F13*G13*H13</f>
        <v/>
      </c>
      <c r="J13" s="8" t="inlineStr">
        <is>
          <t>Trong + ngoài + đầu đốt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33" customWidth="1" min="3" max="3"/>
    <col width="12" customWidth="1" min="4" max="4"/>
    <col width="12" customWidth="1" min="5" max="5"/>
    <col width="12" customWidth="1" min="6" max="6"/>
    <col width="18" customWidth="1" min="7" max="7"/>
    <col width="15" customWidth="1" min="8" max="8"/>
    <col width="21" customWidth="1" min="9" max="9"/>
    <col width="24" customWidth="1" min="10" max="10"/>
  </cols>
  <sheetData>
    <row r="1">
      <c r="A1" s="1" t="inlineStr">
        <is>
          <t>BẢNG THỐNG KÊ CỐT THÉP CHI TIẾT (BBS) TOÀN TUYẾN CỐNG HỘP A5</t>
        </is>
      </c>
    </row>
    <row r="2">
      <c r="A2" s="2" t="inlineStr">
        <is>
          <t>Quy chuẩn TCVN 1651:2018 | Thép d&lt;10mm CB240-T, Thép d&gt;=10mm CB500-V</t>
        </is>
      </c>
    </row>
    <row r="3"/>
    <row r="4" ht="25" customHeight="1">
      <c r="A4" s="3" t="inlineStr">
        <is>
          <t>STT</t>
        </is>
      </c>
      <c r="B4" s="3" t="inlineStr">
        <is>
          <t>SỐ HIỆU THANH</t>
        </is>
      </c>
      <c r="C4" s="3" t="inlineStr">
        <is>
          <t>VỊ TRÍ / CẤU KIỆN</t>
        </is>
      </c>
      <c r="D4" s="3" t="inlineStr">
        <is>
          <t>Ø (mm)</t>
        </is>
      </c>
      <c r="E4" s="3" t="inlineStr">
        <is>
          <t>MÁC THÉP</t>
        </is>
      </c>
      <c r="F4" s="3" t="inlineStr">
        <is>
          <t>SỐ LƯỢNG</t>
        </is>
      </c>
      <c r="G4" s="3" t="inlineStr">
        <is>
          <t>CHIỀU DÀI L (m)</t>
        </is>
      </c>
      <c r="H4" s="3" t="inlineStr">
        <is>
          <t>TỔNG DÀI (m)</t>
        </is>
      </c>
      <c r="I4" s="3" t="inlineStr">
        <is>
          <t>TRỌNG LƯỢNG (kg/m)</t>
        </is>
      </c>
      <c r="J4" s="3" t="inlineStr">
        <is>
          <t>TỔNG TRỌNG LƯỢNG (kg)</t>
        </is>
      </c>
    </row>
    <row r="5" ht="20" customHeight="1">
      <c r="A5" s="4" t="n">
        <v>1</v>
      </c>
      <c r="B5" s="4" t="inlineStr">
        <is>
          <t>CH2x2-01</t>
        </is>
      </c>
      <c r="C5" s="8" t="inlineStr">
        <is>
          <t>Thép ngang nắp/đáy cống 2x2</t>
        </is>
      </c>
      <c r="D5" s="4" t="n">
        <v>12</v>
      </c>
      <c r="E5" s="4" t="inlineStr">
        <is>
          <t>CB500-V</t>
        </is>
      </c>
      <c r="F5" s="5" t="n">
        <v>7684</v>
      </c>
      <c r="G5" s="6" t="n">
        <v>2.82</v>
      </c>
      <c r="H5" s="6">
        <f>F5*G5</f>
        <v/>
      </c>
      <c r="I5" s="16" t="n">
        <v>0.888</v>
      </c>
      <c r="J5" s="6">
        <f>H5*I5</f>
        <v/>
      </c>
    </row>
    <row r="6" ht="20" customHeight="1">
      <c r="A6" s="4" t="n">
        <v>2</v>
      </c>
      <c r="B6" s="4" t="inlineStr">
        <is>
          <t>CH2x2-02</t>
        </is>
      </c>
      <c r="C6" s="8" t="inlineStr">
        <is>
          <t>Thép thành cống 2x2</t>
        </is>
      </c>
      <c r="D6" s="4" t="n">
        <v>12</v>
      </c>
      <c r="E6" s="4" t="inlineStr">
        <is>
          <t>CB500-V</t>
        </is>
      </c>
      <c r="F6" s="5" t="n">
        <v>6120</v>
      </c>
      <c r="G6" s="6" t="n">
        <v>2.84</v>
      </c>
      <c r="H6" s="6">
        <f>F6*G6</f>
        <v/>
      </c>
      <c r="I6" s="16" t="n">
        <v>0.888</v>
      </c>
      <c r="J6" s="6">
        <f>H6*I6</f>
        <v/>
      </c>
    </row>
    <row r="7" ht="20" customHeight="1">
      <c r="A7" s="4" t="n">
        <v>3</v>
      </c>
      <c r="B7" s="4" t="inlineStr">
        <is>
          <t>CH2x2-03</t>
        </is>
      </c>
      <c r="C7" s="8" t="inlineStr">
        <is>
          <t>Thép nách cống 2x2</t>
        </is>
      </c>
      <c r="D7" s="4" t="n">
        <v>12</v>
      </c>
      <c r="E7" s="4" t="inlineStr">
        <is>
          <t>CB500-V</t>
        </is>
      </c>
      <c r="F7" s="5" t="n">
        <v>6120</v>
      </c>
      <c r="G7" s="6" t="n">
        <v>1.32</v>
      </c>
      <c r="H7" s="6">
        <f>F7*G7</f>
        <v/>
      </c>
      <c r="I7" s="16" t="n">
        <v>0.888</v>
      </c>
      <c r="J7" s="6">
        <f>H7*I7</f>
        <v/>
      </c>
    </row>
    <row r="8" ht="20" customHeight="1">
      <c r="A8" s="4" t="n">
        <v>4</v>
      </c>
      <c r="B8" s="4" t="inlineStr">
        <is>
          <t>CH2x2-04</t>
        </is>
      </c>
      <c r="C8" s="8" t="inlineStr">
        <is>
          <t>Thép dọc cống 2x2</t>
        </is>
      </c>
      <c r="D8" s="4" t="n">
        <v>10</v>
      </c>
      <c r="E8" s="4" t="inlineStr">
        <is>
          <t>CB240-T</t>
        </is>
      </c>
      <c r="F8" s="5" t="n">
        <v>3264</v>
      </c>
      <c r="G8" s="6" t="n">
        <v>11.7</v>
      </c>
      <c r="H8" s="6">
        <f>F8*G8</f>
        <v/>
      </c>
      <c r="I8" s="16" t="n">
        <v>0.617</v>
      </c>
      <c r="J8" s="6">
        <f>H8*I8</f>
        <v/>
      </c>
    </row>
    <row r="9" ht="20" customHeight="1">
      <c r="A9" s="4" t="n">
        <v>5</v>
      </c>
      <c r="B9" s="4" t="inlineStr">
        <is>
          <t>CH2x2-05</t>
        </is>
      </c>
      <c r="C9" s="8" t="inlineStr">
        <is>
          <t>Dowel bar khe cống 2x2</t>
        </is>
      </c>
      <c r="D9" s="4" t="n">
        <v>22</v>
      </c>
      <c r="E9" s="4" t="inlineStr">
        <is>
          <t>CB500-V</t>
        </is>
      </c>
      <c r="F9" s="5" t="n">
        <v>680</v>
      </c>
      <c r="G9" s="6" t="n">
        <v>1</v>
      </c>
      <c r="H9" s="6">
        <f>F9*G9</f>
        <v/>
      </c>
      <c r="I9" s="16" t="n">
        <v>2.984</v>
      </c>
      <c r="J9" s="6">
        <f>H9*I9</f>
        <v/>
      </c>
    </row>
    <row r="10" ht="20" customHeight="1">
      <c r="A10" s="4" t="n">
        <v>6</v>
      </c>
      <c r="B10" s="4" t="inlineStr">
        <is>
          <t>CH3x3-01</t>
        </is>
      </c>
      <c r="C10" s="8" t="inlineStr">
        <is>
          <t>Thép ngang nắp/đáy cống 3x3</t>
        </is>
      </c>
      <c r="D10" s="4" t="n">
        <v>14</v>
      </c>
      <c r="E10" s="4" t="inlineStr">
        <is>
          <t>CB500-V</t>
        </is>
      </c>
      <c r="F10" s="5" t="n">
        <v>9000</v>
      </c>
      <c r="G10" s="6" t="n">
        <v>3.9</v>
      </c>
      <c r="H10" s="6">
        <f>F10*G10</f>
        <v/>
      </c>
      <c r="I10" s="16" t="n">
        <v>1.208</v>
      </c>
      <c r="J10" s="6">
        <f>H10*I10</f>
        <v/>
      </c>
    </row>
    <row r="11" ht="20" customHeight="1">
      <c r="A11" s="4" t="n">
        <v>7</v>
      </c>
      <c r="B11" s="4" t="inlineStr">
        <is>
          <t>CH3x3-02</t>
        </is>
      </c>
      <c r="C11" s="8" t="inlineStr">
        <is>
          <t>Thép thành cống 3x3</t>
        </is>
      </c>
      <c r="D11" s="4" t="n">
        <v>14</v>
      </c>
      <c r="E11" s="4" t="inlineStr">
        <is>
          <t>CB500-V</t>
        </is>
      </c>
      <c r="F11" s="5" t="n">
        <v>9000</v>
      </c>
      <c r="G11" s="6" t="n">
        <v>3.9</v>
      </c>
      <c r="H11" s="6">
        <f>F11*G11</f>
        <v/>
      </c>
      <c r="I11" s="16" t="n">
        <v>1.208</v>
      </c>
      <c r="J11" s="6">
        <f>H11*I11</f>
        <v/>
      </c>
    </row>
    <row r="12" ht="20" customHeight="1">
      <c r="A12" s="4" t="n">
        <v>8</v>
      </c>
      <c r="B12" s="4" t="inlineStr">
        <is>
          <t>CH3x3-03</t>
        </is>
      </c>
      <c r="C12" s="8" t="inlineStr">
        <is>
          <t>Thép nách cống 3x3</t>
        </is>
      </c>
      <c r="D12" s="4" t="n">
        <v>14</v>
      </c>
      <c r="E12" s="4" t="inlineStr">
        <is>
          <t>CB500-V</t>
        </is>
      </c>
      <c r="F12" s="5" t="n">
        <v>9000</v>
      </c>
      <c r="G12" s="6" t="n">
        <v>1.95</v>
      </c>
      <c r="H12" s="6">
        <f>F12*G12</f>
        <v/>
      </c>
      <c r="I12" s="16" t="n">
        <v>1.208</v>
      </c>
      <c r="J12" s="6">
        <f>H12*I12</f>
        <v/>
      </c>
    </row>
    <row r="13" ht="20" customHeight="1">
      <c r="A13" s="4" t="n">
        <v>9</v>
      </c>
      <c r="B13" s="4" t="inlineStr">
        <is>
          <t>CH3x3-04</t>
        </is>
      </c>
      <c r="C13" s="8" t="inlineStr">
        <is>
          <t>Thép dọc cống 3x3</t>
        </is>
      </c>
      <c r="D13" s="4" t="n">
        <v>10</v>
      </c>
      <c r="E13" s="4" t="inlineStr">
        <is>
          <t>CB240-T</t>
        </is>
      </c>
      <c r="F13" s="5" t="n">
        <v>6800</v>
      </c>
      <c r="G13" s="6" t="n">
        <v>11.7</v>
      </c>
      <c r="H13" s="6">
        <f>F13*G13</f>
        <v/>
      </c>
      <c r="I13" s="16" t="n">
        <v>0.617</v>
      </c>
      <c r="J13" s="6">
        <f>H13*I13</f>
        <v/>
      </c>
    </row>
    <row r="14" ht="20" customHeight="1">
      <c r="A14" s="4" t="n">
        <v>10</v>
      </c>
      <c r="B14" s="4" t="inlineStr">
        <is>
          <t>CH3x3-05</t>
        </is>
      </c>
      <c r="C14" s="8" t="inlineStr">
        <is>
          <t>Dowel bar khe cống 3x3</t>
        </is>
      </c>
      <c r="D14" s="4" t="n">
        <v>22</v>
      </c>
      <c r="E14" s="4" t="inlineStr">
        <is>
          <t>CB500-V</t>
        </is>
      </c>
      <c r="F14" s="5" t="n">
        <v>1400</v>
      </c>
      <c r="G14" s="6" t="n">
        <v>1</v>
      </c>
      <c r="H14" s="6">
        <f>F14*G14</f>
        <v/>
      </c>
      <c r="I14" s="16" t="n">
        <v>2.984</v>
      </c>
      <c r="J14" s="6">
        <f>H14*I14</f>
        <v/>
      </c>
    </row>
    <row r="15" ht="20" customHeight="1">
      <c r="A15" s="4" t="n">
        <v>11</v>
      </c>
      <c r="B15" s="4" t="inlineStr">
        <is>
          <t>CH2x3x3-01</t>
        </is>
      </c>
      <c r="C15" s="8" t="inlineStr">
        <is>
          <t>Thép nắp/đáy 2 khoang cống đôi</t>
        </is>
      </c>
      <c r="D15" s="4" t="n">
        <v>14</v>
      </c>
      <c r="E15" s="4" t="inlineStr">
        <is>
          <t>CB500-V</t>
        </is>
      </c>
      <c r="F15" s="5" t="n">
        <v>19440</v>
      </c>
      <c r="G15" s="6" t="n">
        <v>9.369999999999999</v>
      </c>
      <c r="H15" s="6">
        <f>F15*G15</f>
        <v/>
      </c>
      <c r="I15" s="16" t="n">
        <v>1.208</v>
      </c>
      <c r="J15" s="6">
        <f>H15*I15</f>
        <v/>
      </c>
    </row>
    <row r="16" ht="20" customHeight="1">
      <c r="A16" s="4" t="n">
        <v>12</v>
      </c>
      <c r="B16" s="4" t="inlineStr">
        <is>
          <t>CH2x3x3-02</t>
        </is>
      </c>
      <c r="C16" s="8" t="inlineStr">
        <is>
          <t>Thép vách biên cống đôi</t>
        </is>
      </c>
      <c r="D16" s="4" t="n">
        <v>14</v>
      </c>
      <c r="E16" s="4" t="inlineStr">
        <is>
          <t>CB500-V</t>
        </is>
      </c>
      <c r="F16" s="5" t="n">
        <v>19440</v>
      </c>
      <c r="G16" s="6" t="n">
        <v>4.02</v>
      </c>
      <c r="H16" s="6">
        <f>F16*G16</f>
        <v/>
      </c>
      <c r="I16" s="16" t="n">
        <v>1.208</v>
      </c>
      <c r="J16" s="6">
        <f>H16*I16</f>
        <v/>
      </c>
    </row>
    <row r="17" ht="20" customHeight="1">
      <c r="A17" s="4" t="n">
        <v>13</v>
      </c>
      <c r="B17" s="4" t="inlineStr">
        <is>
          <t>CH2x3x3-03</t>
        </is>
      </c>
      <c r="C17" s="8" t="inlineStr">
        <is>
          <t>Thép vách giữa cống đôi</t>
        </is>
      </c>
      <c r="D17" s="4" t="n">
        <v>14</v>
      </c>
      <c r="E17" s="4" t="inlineStr">
        <is>
          <t>CB500-V</t>
        </is>
      </c>
      <c r="F17" s="5" t="n">
        <v>9720</v>
      </c>
      <c r="G17" s="6" t="n">
        <v>3.9</v>
      </c>
      <c r="H17" s="6">
        <f>F17*G17</f>
        <v/>
      </c>
      <c r="I17" s="16" t="n">
        <v>1.208</v>
      </c>
      <c r="J17" s="6">
        <f>H17*I17</f>
        <v/>
      </c>
    </row>
    <row r="18" ht="20" customHeight="1">
      <c r="A18" s="4" t="n">
        <v>14</v>
      </c>
      <c r="B18" s="4" t="inlineStr">
        <is>
          <t>CH2x3x3-04</t>
        </is>
      </c>
      <c r="C18" s="8" t="inlineStr">
        <is>
          <t>Thép nách cống ngoài cống đôi</t>
        </is>
      </c>
      <c r="D18" s="4" t="n">
        <v>14</v>
      </c>
      <c r="E18" s="4" t="inlineStr">
        <is>
          <t>CB500-V</t>
        </is>
      </c>
      <c r="F18" s="5" t="n">
        <v>19440</v>
      </c>
      <c r="G18" s="6" t="n">
        <v>2</v>
      </c>
      <c r="H18" s="6">
        <f>F18*G18</f>
        <v/>
      </c>
      <c r="I18" s="16" t="n">
        <v>1.208</v>
      </c>
      <c r="J18" s="6">
        <f>H18*I18</f>
        <v/>
      </c>
    </row>
    <row r="19" ht="20" customHeight="1">
      <c r="A19" s="4" t="n">
        <v>15</v>
      </c>
      <c r="B19" s="4" t="inlineStr">
        <is>
          <t>CH2x3x3-04a</t>
        </is>
      </c>
      <c r="C19" s="8" t="inlineStr">
        <is>
          <t>Thép nách cống giữa cống đôi</t>
        </is>
      </c>
      <c r="D19" s="4" t="n">
        <v>14</v>
      </c>
      <c r="E19" s="4" t="inlineStr">
        <is>
          <t>CB500-V</t>
        </is>
      </c>
      <c r="F19" s="5" t="n">
        <v>9720</v>
      </c>
      <c r="G19" s="6" t="n">
        <v>1.95</v>
      </c>
      <c r="H19" s="6">
        <f>F19*G19</f>
        <v/>
      </c>
      <c r="I19" s="16" t="n">
        <v>1.208</v>
      </c>
      <c r="J19" s="6">
        <f>H19*I19</f>
        <v/>
      </c>
    </row>
    <row r="20" ht="20" customHeight="1">
      <c r="A20" s="4" t="n">
        <v>16</v>
      </c>
      <c r="B20" s="4" t="inlineStr">
        <is>
          <t>CH2x3x3-05</t>
        </is>
      </c>
      <c r="C20" s="8" t="inlineStr">
        <is>
          <t>Thép dọc cống đôi</t>
        </is>
      </c>
      <c r="D20" s="4" t="n">
        <v>10</v>
      </c>
      <c r="E20" s="4" t="inlineStr">
        <is>
          <t>CB240-T</t>
        </is>
      </c>
      <c r="F20" s="5" t="n">
        <v>25272</v>
      </c>
      <c r="G20" s="6" t="n">
        <v>11.7</v>
      </c>
      <c r="H20" s="6">
        <f>F20*G20</f>
        <v/>
      </c>
      <c r="I20" s="16" t="n">
        <v>0.617</v>
      </c>
      <c r="J20" s="6">
        <f>H20*I20</f>
        <v/>
      </c>
    </row>
    <row r="21" ht="20" customHeight="1">
      <c r="A21" s="4" t="n">
        <v>17</v>
      </c>
      <c r="B21" s="4" t="inlineStr">
        <is>
          <t>CH2x3x3-06</t>
        </is>
      </c>
      <c r="C21" s="8" t="inlineStr">
        <is>
          <t>Thép đai C vách giữa</t>
        </is>
      </c>
      <c r="D21" s="4" t="n">
        <v>10</v>
      </c>
      <c r="E21" s="4" t="inlineStr">
        <is>
          <t>CB240-T</t>
        </is>
      </c>
      <c r="F21" s="5" t="n">
        <v>12312</v>
      </c>
      <c r="G21" s="6" t="n">
        <v>0.92</v>
      </c>
      <c r="H21" s="6">
        <f>F21*G21</f>
        <v/>
      </c>
      <c r="I21" s="16" t="n">
        <v>0.617</v>
      </c>
      <c r="J21" s="6">
        <f>H21*I21</f>
        <v/>
      </c>
    </row>
    <row r="22" ht="20" customHeight="1">
      <c r="A22" s="4" t="n">
        <v>18</v>
      </c>
      <c r="B22" s="4" t="inlineStr">
        <is>
          <t>CH2x3x3-07</t>
        </is>
      </c>
      <c r="C22" s="8" t="inlineStr">
        <is>
          <t>Thép móc đai nách cống</t>
        </is>
      </c>
      <c r="D22" s="4" t="n">
        <v>6</v>
      </c>
      <c r="E22" s="4" t="inlineStr">
        <is>
          <t>CB240-T</t>
        </is>
      </c>
      <c r="F22" s="5" t="n">
        <v>24624</v>
      </c>
      <c r="G22" s="6" t="n">
        <v>0.35</v>
      </c>
      <c r="H22" s="6">
        <f>F22*G22</f>
        <v/>
      </c>
      <c r="I22" s="16" t="n">
        <v>0.222</v>
      </c>
      <c r="J22" s="6">
        <f>H22*I22</f>
        <v/>
      </c>
    </row>
    <row r="23" ht="20" customHeight="1">
      <c r="A23" s="4" t="n">
        <v>19</v>
      </c>
      <c r="B23" s="4" t="inlineStr">
        <is>
          <t>CH2x3x3-08</t>
        </is>
      </c>
      <c r="C23" s="8" t="inlineStr">
        <is>
          <t>Dowel bar khe cống đôi</t>
        </is>
      </c>
      <c r="D23" s="4" t="n">
        <v>22</v>
      </c>
      <c r="E23" s="4" t="inlineStr">
        <is>
          <t>CB500-V</t>
        </is>
      </c>
      <c r="F23" s="5" t="n">
        <v>4536</v>
      </c>
      <c r="G23" s="6" t="n">
        <v>1</v>
      </c>
      <c r="H23" s="6">
        <f>F23*G23</f>
        <v/>
      </c>
      <c r="I23" s="16" t="n">
        <v>2.984</v>
      </c>
      <c r="J23" s="6">
        <f>H23*I23</f>
        <v/>
      </c>
    </row>
    <row r="24" ht="22" customHeight="1">
      <c r="A24" s="9" t="inlineStr"/>
      <c r="B24" s="10" t="inlineStr">
        <is>
          <t>TỔNG CỘNG KHỐI LƯỢNG CỐT THÉP (kg)</t>
        </is>
      </c>
      <c r="C24" s="17" t="n"/>
      <c r="D24" s="17" t="n"/>
      <c r="E24" s="17" t="n"/>
      <c r="F24" s="17" t="n"/>
      <c r="G24" s="17" t="n"/>
      <c r="H24" s="17" t="n"/>
      <c r="I24" s="17" t="n"/>
      <c r="J24" s="18">
        <f>SUM(J5:J23)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CAP_PHOI_1M3_VA_TAN_SUAT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PHAN_TICH_VAT_TU_WBS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TONG_HOP_VAT_TU_TOAN_BO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45" customWidth="1" min="2" max="2"/>
    <col width="45" customWidth="1" min="3" max="3"/>
    <col width="17" customWidth="1" min="4" max="4"/>
    <col width="15" customWidth="1" min="5" max="5"/>
    <col width="29" customWidth="1" min="6" max="6"/>
  </cols>
  <sheetData>
    <row r="1">
      <c r="A1" s="1" t="inlineStr">
        <is>
          <t>BẢNG DỰ TOÁN TỔNG HỢP CHI PHÍ XÂY DỰNG G_XD CỐNG HỘP TUYẾN A5</t>
        </is>
      </c>
    </row>
    <row r="2">
      <c r="A2" s="2" t="inlineStr">
        <is>
          <t>Căn cứ: Thông tư số 11/2021/TT-BXD, Thông tư số 12/2021/TT-BXD &amp; Đơn giá XDCT Hà Nội</t>
        </is>
      </c>
    </row>
    <row r="3"/>
    <row r="4" ht="25" customHeight="1">
      <c r="A4" s="3" t="inlineStr">
        <is>
          <t>STT</t>
        </is>
      </c>
      <c r="B4" s="3" t="inlineStr">
        <is>
          <t>HẠNG MỤC CHI PHÍ</t>
        </is>
      </c>
      <c r="C4" s="3" t="inlineStr">
        <is>
          <t>CÁCH TÍNH / CÔNG THỨC</t>
        </is>
      </c>
      <c r="D4" s="3" t="inlineStr">
        <is>
          <t>GIÁ TRỊ (VNĐ)</t>
        </is>
      </c>
      <c r="E4" s="3" t="inlineStr">
        <is>
          <t>TỶ TRỌNG (%)</t>
        </is>
      </c>
      <c r="F4" s="3" t="inlineStr">
        <is>
          <t>GHI CHÚ</t>
        </is>
      </c>
    </row>
    <row r="5" ht="24" customHeight="1">
      <c r="A5" s="19" t="inlineStr">
        <is>
          <t>I</t>
        </is>
      </c>
      <c r="B5" s="20" t="inlineStr">
        <is>
          <t>CHI PHÍ TRỰC TIẾP (T)</t>
        </is>
      </c>
      <c r="C5" s="8" t="inlineStr">
        <is>
          <t>T = Vật liệu + Nhân công + Máy thi công</t>
        </is>
      </c>
      <c r="D5" s="5">
        <f>42500000000</f>
        <v/>
      </c>
      <c r="E5" s="21">
        <f>D5/$D$10</f>
        <v/>
      </c>
      <c r="F5" s="8" t="inlineStr">
        <is>
          <t>Khối lượng x Đơn giá TT 12</t>
        </is>
      </c>
    </row>
    <row r="6" ht="24" customHeight="1">
      <c r="A6" s="19" t="inlineStr">
        <is>
          <t>II</t>
        </is>
      </c>
      <c r="B6" s="20" t="inlineStr">
        <is>
          <t>CHI PHÍ GIÁN TIẾP (GT)</t>
        </is>
      </c>
      <c r="C6" s="8" t="inlineStr">
        <is>
          <t>GT = Chi phí chung (7.3%) + Nhà tạm (1.2%)</t>
        </is>
      </c>
      <c r="D6" s="5">
        <f>D5*0.085</f>
        <v/>
      </c>
      <c r="E6" s="21">
        <f>D6/$D$10</f>
        <v/>
      </c>
      <c r="F6" s="8" t="inlineStr">
        <is>
          <t>8.5% x Chi phí trực tiếp T</t>
        </is>
      </c>
    </row>
    <row r="7" ht="24" customHeight="1">
      <c r="A7" s="19" t="inlineStr">
        <is>
          <t>III</t>
        </is>
      </c>
      <c r="B7" s="20" t="inlineStr">
        <is>
          <t>THU NHẬP CHỊU THUẾ TÍNH TRƯỚC (TL)</t>
        </is>
      </c>
      <c r="C7" s="8" t="inlineStr">
        <is>
          <t>TL = 5.5% x (T + GT)</t>
        </is>
      </c>
      <c r="D7" s="5">
        <f>(D5+D6)*0.055</f>
        <v/>
      </c>
      <c r="E7" s="21">
        <f>D7/$D$10</f>
        <v/>
      </c>
      <c r="F7" s="8" t="inlineStr">
        <is>
          <t>5.5% x (T + GT)</t>
        </is>
      </c>
    </row>
    <row r="8" ht="24" customHeight="1">
      <c r="A8" s="19" t="inlineStr">
        <is>
          <t>IV</t>
        </is>
      </c>
      <c r="B8" s="20" t="inlineStr">
        <is>
          <t>CHI PHÍ XÂY DỰNG TRƯỚC THUẾ (G)</t>
        </is>
      </c>
      <c r="C8" s="8" t="inlineStr">
        <is>
          <t>G = T + GT + TL</t>
        </is>
      </c>
      <c r="D8" s="5">
        <f>D5+D6+D7</f>
        <v/>
      </c>
      <c r="E8" s="21">
        <f>D8/$D$10</f>
        <v/>
      </c>
      <c r="F8" s="8" t="inlineStr">
        <is>
          <t>Tổng chi phí trước thuế</t>
        </is>
      </c>
    </row>
    <row r="9" ht="24" customHeight="1">
      <c r="A9" s="19" t="inlineStr">
        <is>
          <t>V</t>
        </is>
      </c>
      <c r="B9" s="20" t="inlineStr">
        <is>
          <t>THUẾ GIÁ TRỊ GIA TĂNG (VAT)</t>
        </is>
      </c>
      <c r="C9" s="8" t="inlineStr">
        <is>
          <t>VAT = 10% x G</t>
        </is>
      </c>
      <c r="D9" s="5">
        <f>D8*0.10</f>
        <v/>
      </c>
      <c r="E9" s="21">
        <f>D9/$D$10</f>
        <v/>
      </c>
      <c r="F9" s="8" t="inlineStr">
        <is>
          <t>Thuế suất VAT 10%</t>
        </is>
      </c>
    </row>
    <row r="10" ht="24" customHeight="1">
      <c r="A10" s="22" t="inlineStr">
        <is>
          <t>VI</t>
        </is>
      </c>
      <c r="B10" s="23" t="inlineStr">
        <is>
          <t>TỔNG CỘNG CHI PHÍ XÂY DỰNG SAU THUẾ (G_XD)</t>
        </is>
      </c>
      <c r="C10" s="23" t="inlineStr">
        <is>
          <t>G_XD = G + VAT</t>
        </is>
      </c>
      <c r="D10" s="24">
        <f>D8+D9</f>
        <v/>
      </c>
      <c r="E10" s="25" t="inlineStr">
        <is>
          <t>100.0%</t>
        </is>
      </c>
      <c r="F10" s="23" t="inlineStr">
        <is>
          <t>GIÁ TRỊ DỰ TOÁN PHÊ DUYỆT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46" customWidth="1" min="2" max="2"/>
    <col width="12" customWidth="1" min="3" max="3"/>
    <col width="16" customWidth="1" min="4" max="4"/>
    <col width="19" customWidth="1" min="5" max="5"/>
    <col width="23" customWidth="1" min="6" max="6"/>
    <col width="24" customWidth="1" min="7" max="7"/>
    <col width="26" customWidth="1" min="8" max="8"/>
    <col width="25" customWidth="1" min="9" max="9"/>
  </cols>
  <sheetData>
    <row r="1">
      <c r="A1" s="1" t="inlineStr">
        <is>
          <t>BẢNG XÁC ĐỊNH GIÁ TRỊ KHỐI LƯỢNG CÔNG VIỆC HOÀN THÀNH (MẪU 03.A)</t>
        </is>
      </c>
    </row>
    <row r="2">
      <c r="A2" s="2" t="inlineStr">
        <is>
          <t>Căn cứ: Nghị định số 99/2021/NĐ-CP ngày 11/11/2021 của Chính phủ | Kỳ thanh toán số 01</t>
        </is>
      </c>
    </row>
    <row r="3"/>
    <row r="4" ht="25" customHeight="1">
      <c r="A4" s="3" t="inlineStr">
        <is>
          <t>STT</t>
        </is>
      </c>
      <c r="B4" s="3" t="inlineStr">
        <is>
          <t>NỘI DUNG CÔNG VIỆC</t>
        </is>
      </c>
      <c r="C4" s="3" t="inlineStr">
        <is>
          <t>ĐƠN VỊ</t>
        </is>
      </c>
      <c r="D4" s="3" t="inlineStr">
        <is>
          <t>HỢP ĐỒNG (KL)</t>
        </is>
      </c>
      <c r="E4" s="3" t="inlineStr">
        <is>
          <t>ĐƠN GIÁ HĐ (VNĐ)</t>
        </is>
      </c>
      <c r="F4" s="3" t="inlineStr">
        <is>
          <t>LŨY KẾ KỲ TRƯỚC (KL)</t>
        </is>
      </c>
      <c r="G4" s="3" t="inlineStr">
        <is>
          <t>THỰC HIỆN KỲ NÀY (KL)</t>
        </is>
      </c>
      <c r="H4" s="3" t="inlineStr">
        <is>
          <t>THÀNH TIỀN KỲ NÀY (VNĐ)</t>
        </is>
      </c>
      <c r="I4" s="3" t="inlineStr">
        <is>
          <t>LŨY KẾ HẾT KỲ NÀY (KL)</t>
        </is>
      </c>
    </row>
    <row r="5" ht="20" customHeight="1">
      <c r="A5" s="4" t="n">
        <v>1</v>
      </c>
      <c r="B5" s="8" t="inlineStr">
        <is>
          <t>Đào đất hố móng cống hộp</t>
        </is>
      </c>
      <c r="C5" s="4" t="inlineStr">
        <is>
          <t>m3</t>
        </is>
      </c>
      <c r="D5" s="26" t="n">
        <v>38192</v>
      </c>
      <c r="E5" s="5" t="n">
        <v>45000</v>
      </c>
      <c r="F5" s="26" t="n">
        <v>0</v>
      </c>
      <c r="G5" s="26" t="n">
        <v>15000</v>
      </c>
      <c r="H5" s="5">
        <f>G5*E5</f>
        <v/>
      </c>
      <c r="I5" s="26">
        <f>F5+G5</f>
        <v/>
      </c>
    </row>
    <row r="6" ht="20" customHeight="1">
      <c r="A6" s="4" t="n">
        <v>2</v>
      </c>
      <c r="B6" s="8" t="inlineStr">
        <is>
          <t>Gia cố cọc tre d=6-8cm L=2.5m</t>
        </is>
      </c>
      <c r="C6" s="4" t="inlineStr">
        <is>
          <t>cọc</t>
        </is>
      </c>
      <c r="D6" s="26" t="n">
        <v>244125</v>
      </c>
      <c r="E6" s="5" t="n">
        <v>32000</v>
      </c>
      <c r="F6" s="26" t="n">
        <v>0</v>
      </c>
      <c r="G6" s="26" t="n">
        <v>80000</v>
      </c>
      <c r="H6" s="5">
        <f>G6*E6</f>
        <v/>
      </c>
      <c r="I6" s="26">
        <f>F6+G6</f>
        <v/>
      </c>
    </row>
    <row r="7" ht="20" customHeight="1">
      <c r="A7" s="4" t="n">
        <v>3</v>
      </c>
      <c r="B7" s="8" t="inlineStr">
        <is>
          <t>Bê tông lót móng cống M100</t>
        </is>
      </c>
      <c r="C7" s="4" t="inlineStr">
        <is>
          <t>m3</t>
        </is>
      </c>
      <c r="D7" s="26" t="n">
        <v>592.4</v>
      </c>
      <c r="E7" s="5" t="n">
        <v>980000</v>
      </c>
      <c r="F7" s="26" t="n">
        <v>0</v>
      </c>
      <c r="G7" s="26" t="n">
        <v>200</v>
      </c>
      <c r="H7" s="5">
        <f>G7*E7</f>
        <v/>
      </c>
      <c r="I7" s="26">
        <f>F7+G7</f>
        <v/>
      </c>
    </row>
    <row r="8" ht="20" customHeight="1">
      <c r="A8" s="4" t="n">
        <v>4</v>
      </c>
      <c r="B8" s="8" t="inlineStr">
        <is>
          <t>Bê tông thân cống B20 (M250)</t>
        </is>
      </c>
      <c r="C8" s="4" t="inlineStr">
        <is>
          <t>m3</t>
        </is>
      </c>
      <c r="D8" s="26" t="n">
        <v>11870</v>
      </c>
      <c r="E8" s="5" t="n">
        <v>1450000</v>
      </c>
      <c r="F8" s="26" t="n">
        <v>0</v>
      </c>
      <c r="G8" s="26" t="n">
        <v>3500</v>
      </c>
      <c r="H8" s="5">
        <f>G8*E8</f>
        <v/>
      </c>
      <c r="I8" s="26">
        <f>F8+G8</f>
        <v/>
      </c>
    </row>
    <row r="9" ht="20" customHeight="1">
      <c r="A9" s="4" t="n">
        <v>5</v>
      </c>
      <c r="B9" s="8" t="inlineStr">
        <is>
          <t>Ván khuôn thân cống tiếp xúc</t>
        </is>
      </c>
      <c r="C9" s="4" t="inlineStr">
        <is>
          <t>m2</t>
        </is>
      </c>
      <c r="D9" s="26" t="n">
        <v>44941</v>
      </c>
      <c r="E9" s="5" t="n">
        <v>165000</v>
      </c>
      <c r="F9" s="26" t="n">
        <v>0</v>
      </c>
      <c r="G9" s="26" t="n">
        <v>14000</v>
      </c>
      <c r="H9" s="5">
        <f>G9*E9</f>
        <v/>
      </c>
      <c r="I9" s="26">
        <f>F9+G9</f>
        <v/>
      </c>
    </row>
    <row r="10" ht="20" customHeight="1">
      <c r="A10" s="4" t="n">
        <v>6</v>
      </c>
      <c r="B10" s="8" t="inlineStr">
        <is>
          <t>Cốt thép cống hộp các loại</t>
        </is>
      </c>
      <c r="C10" s="4" t="inlineStr">
        <is>
          <t>tấn</t>
        </is>
      </c>
      <c r="D10" s="26" t="n">
        <v>753.4</v>
      </c>
      <c r="E10" s="5" t="n">
        <v>21500000</v>
      </c>
      <c r="F10" s="26" t="n">
        <v>0</v>
      </c>
      <c r="G10" s="26" t="n">
        <v>220</v>
      </c>
      <c r="H10" s="5">
        <f>G10*E10</f>
        <v/>
      </c>
      <c r="I10" s="26">
        <f>F10+G10</f>
        <v/>
      </c>
    </row>
    <row r="11" ht="22" customHeight="1">
      <c r="A11" s="9" t="inlineStr"/>
      <c r="B11" s="10" t="inlineStr">
        <is>
          <t>TỔNG GIÁ TRỊ HOÀN THÀNH KỲ NÀY (TRƯỚC THUẾ)</t>
        </is>
      </c>
      <c r="C11" s="17" t="n"/>
      <c r="D11" s="17" t="n"/>
      <c r="E11" s="17" t="n"/>
      <c r="F11" s="17" t="n"/>
      <c r="G11" s="17" t="n"/>
      <c r="H11" s="24">
        <f>SUM(H5:H10)</f>
        <v/>
      </c>
      <c r="I11" s="9" t="inlineStr"/>
    </row>
    <row r="12">
      <c r="B12" s="27" t="inlineStr">
        <is>
          <t>1. Giảm trừ thu hồi tạm ứng hợp đồng (20%)</t>
        </is>
      </c>
      <c r="H12" s="28">
        <f>H11*0.20</f>
        <v/>
      </c>
    </row>
    <row r="13">
      <c r="B13" s="27" t="inlineStr">
        <is>
          <t>2. Giảm trừ tiền bảo hành giữ lại (5%)</t>
        </is>
      </c>
      <c r="H13" s="28">
        <f>H11*0.05</f>
        <v/>
      </c>
    </row>
    <row r="14">
      <c r="B14" s="29" t="inlineStr">
        <is>
          <t>3. THUẾ GIÁ TRỊ GIA TĂNG VAT (10%)</t>
        </is>
      </c>
      <c r="H14" s="28">
        <f>H11*0.10</f>
        <v/>
      </c>
    </row>
    <row r="15">
      <c r="B15" s="30" t="inlineStr">
        <is>
          <t>GIÁ TRỊ ĐỀ NGHỊ THANH TOÁN THỰC NHẬN KỲ NÀY</t>
        </is>
      </c>
      <c r="H15" s="31">
        <f>H11-H12-H13+H14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50" customWidth="1" min="2" max="2"/>
    <col width="20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>
      <c r="A1" s="1" t="inlineStr">
        <is>
          <t>BẢNG TIẾN ĐỘ THI CÔNG CPM &amp; ĐƯỜNG GĂNG (CRITICAL PATH)</t>
        </is>
      </c>
    </row>
    <row r="2">
      <c r="A2" s="2" t="inlineStr">
        <is>
          <t>Ngày khởi công: 01/10/2026 | Phương pháp: Critical Path Method (CPM Forward/Backward Pass)</t>
        </is>
      </c>
    </row>
    <row r="3"/>
    <row r="4" ht="25" customHeight="1">
      <c r="A4" s="3" t="inlineStr">
        <is>
          <t>MÃ CV</t>
        </is>
      </c>
      <c r="B4" s="3" t="inlineStr">
        <is>
          <t>TÊN CÔNG TÁC THI CÔNG WBS</t>
        </is>
      </c>
      <c r="C4" s="3" t="inlineStr">
        <is>
          <t>THỜI LƯỢNG (Ngày)</t>
        </is>
      </c>
      <c r="D4" s="3" t="inlineStr">
        <is>
          <t>CÔNG VIỆC TIỀN NHIỆM</t>
        </is>
      </c>
      <c r="E4" s="3" t="inlineStr">
        <is>
          <t>ES (Sớm)</t>
        </is>
      </c>
      <c r="F4" s="3" t="inlineStr">
        <is>
          <t>EF (Sớm)</t>
        </is>
      </c>
      <c r="G4" s="3" t="inlineStr">
        <is>
          <t>LS (Muộn)</t>
        </is>
      </c>
      <c r="H4" s="3" t="inlineStr">
        <is>
          <t>LF (Muộn)</t>
        </is>
      </c>
      <c r="I4" s="3" t="inlineStr">
        <is>
          <t>DỰ TRỮ TF</t>
        </is>
      </c>
      <c r="J4" s="3" t="inlineStr">
        <is>
          <t>ĐƯỜNG GĂNG</t>
        </is>
      </c>
    </row>
    <row r="5" ht="20" customHeight="1">
      <c r="A5" s="4" t="inlineStr">
        <is>
          <t>CV-01</t>
        </is>
      </c>
      <c r="B5" s="8" t="inlineStr">
        <is>
          <t>Bàn giao mặt bằng &amp; Định vị tim mốc trắc đạc</t>
        </is>
      </c>
      <c r="C5" s="4" t="n">
        <v>5</v>
      </c>
      <c r="D5" s="4" t="inlineStr">
        <is>
          <t>-</t>
        </is>
      </c>
      <c r="E5" s="4" t="n">
        <v>0</v>
      </c>
      <c r="F5" s="4" t="n">
        <v>5</v>
      </c>
      <c r="G5" s="4" t="n">
        <v>0</v>
      </c>
      <c r="H5" s="4" t="n">
        <v>5</v>
      </c>
      <c r="I5" s="4" t="n">
        <v>0</v>
      </c>
      <c r="J5" s="32" t="inlineStr">
        <is>
          <t>CRITICAL</t>
        </is>
      </c>
    </row>
    <row r="6" ht="20" customHeight="1">
      <c r="A6" s="4" t="inlineStr">
        <is>
          <t>CV-02</t>
        </is>
      </c>
      <c r="B6" s="8" t="inlineStr">
        <is>
          <t>Đào hố móng phân đoạn 1 (Cống 2x2)</t>
        </is>
      </c>
      <c r="C6" s="4" t="n">
        <v>15</v>
      </c>
      <c r="D6" s="4" t="inlineStr">
        <is>
          <t>CV-01</t>
        </is>
      </c>
      <c r="E6" s="4" t="n">
        <v>5</v>
      </c>
      <c r="F6" s="4" t="n">
        <v>20</v>
      </c>
      <c r="G6" s="4" t="n">
        <v>5</v>
      </c>
      <c r="H6" s="4" t="n">
        <v>20</v>
      </c>
      <c r="I6" s="4" t="n">
        <v>0</v>
      </c>
      <c r="J6" s="32" t="inlineStr">
        <is>
          <t>CRITICAL</t>
        </is>
      </c>
    </row>
    <row r="7" ht="20" customHeight="1">
      <c r="A7" s="4" t="inlineStr">
        <is>
          <t>CV-03</t>
        </is>
      </c>
      <c r="B7" s="8" t="inlineStr">
        <is>
          <t>Đóng cọc tre &amp; Đệm cát đầu cọc phân đoạn 1</t>
        </is>
      </c>
      <c r="C7" s="4" t="n">
        <v>10</v>
      </c>
      <c r="D7" s="4" t="inlineStr">
        <is>
          <t>CV-02</t>
        </is>
      </c>
      <c r="E7" s="4" t="n">
        <v>20</v>
      </c>
      <c r="F7" s="4" t="n">
        <v>30</v>
      </c>
      <c r="G7" s="4" t="n">
        <v>20</v>
      </c>
      <c r="H7" s="4" t="n">
        <v>30</v>
      </c>
      <c r="I7" s="4" t="n">
        <v>0</v>
      </c>
      <c r="J7" s="32" t="inlineStr">
        <is>
          <t>CRITICAL</t>
        </is>
      </c>
    </row>
    <row r="8" ht="20" customHeight="1">
      <c r="A8" s="4" t="inlineStr">
        <is>
          <t>CV-04</t>
        </is>
      </c>
      <c r="B8" s="8" t="inlineStr">
        <is>
          <t>Bê tông lót móng M100 phân đoạn 1</t>
        </is>
      </c>
      <c r="C8" s="4" t="n">
        <v>5</v>
      </c>
      <c r="D8" s="4" t="inlineStr">
        <is>
          <t>CV-03</t>
        </is>
      </c>
      <c r="E8" s="4" t="n">
        <v>30</v>
      </c>
      <c r="F8" s="4" t="n">
        <v>35</v>
      </c>
      <c r="G8" s="4" t="n">
        <v>30</v>
      </c>
      <c r="H8" s="4" t="n">
        <v>35</v>
      </c>
      <c r="I8" s="4" t="n">
        <v>0</v>
      </c>
      <c r="J8" s="32" t="inlineStr">
        <is>
          <t>CRITICAL</t>
        </is>
      </c>
    </row>
    <row r="9" ht="20" customHeight="1">
      <c r="A9" s="4" t="inlineStr">
        <is>
          <t>CV-05</t>
        </is>
      </c>
      <c r="B9" s="8" t="inlineStr">
        <is>
          <t>Gia công lắp dựng cốt thép &amp; ván khuôn cống 2x2</t>
        </is>
      </c>
      <c r="C9" s="4" t="n">
        <v>20</v>
      </c>
      <c r="D9" s="4" t="inlineStr">
        <is>
          <t>CV-04</t>
        </is>
      </c>
      <c r="E9" s="4" t="n">
        <v>35</v>
      </c>
      <c r="F9" s="4" t="n">
        <v>55</v>
      </c>
      <c r="G9" s="4" t="n">
        <v>35</v>
      </c>
      <c r="H9" s="4" t="n">
        <v>55</v>
      </c>
      <c r="I9" s="4" t="n">
        <v>0</v>
      </c>
      <c r="J9" s="32" t="inlineStr">
        <is>
          <t>CRITICAL</t>
        </is>
      </c>
    </row>
    <row r="10" ht="20" customHeight="1">
      <c r="A10" s="4" t="inlineStr">
        <is>
          <t>CV-06</t>
        </is>
      </c>
      <c r="B10" s="8" t="inlineStr">
        <is>
          <t>Đổ bê tông thân cống B20 &amp; Bảo dưỡng</t>
        </is>
      </c>
      <c r="C10" s="4" t="n">
        <v>10</v>
      </c>
      <c r="D10" s="4" t="inlineStr">
        <is>
          <t>CV-05</t>
        </is>
      </c>
      <c r="E10" s="4" t="n">
        <v>55</v>
      </c>
      <c r="F10" s="4" t="n">
        <v>65</v>
      </c>
      <c r="G10" s="4" t="n">
        <v>55</v>
      </c>
      <c r="H10" s="4" t="n">
        <v>65</v>
      </c>
      <c r="I10" s="4" t="n">
        <v>0</v>
      </c>
      <c r="J10" s="32" t="inlineStr">
        <is>
          <t>CRITICAL</t>
        </is>
      </c>
    </row>
    <row r="11" ht="20" customHeight="1">
      <c r="A11" s="4" t="inlineStr">
        <is>
          <t>CV-07</t>
        </is>
      </c>
      <c r="B11" s="8" t="inlineStr">
        <is>
          <t>Đào hố móng phân đoạn 2 (Cống 3x3)</t>
        </is>
      </c>
      <c r="C11" s="4" t="n">
        <v>20</v>
      </c>
      <c r="D11" s="4" t="inlineStr">
        <is>
          <t>CV-02</t>
        </is>
      </c>
      <c r="E11" s="4" t="n">
        <v>20</v>
      </c>
      <c r="F11" s="4" t="n">
        <v>40</v>
      </c>
      <c r="G11" s="4" t="n">
        <v>25</v>
      </c>
      <c r="H11" s="4" t="n">
        <v>45</v>
      </c>
      <c r="I11" s="4" t="n">
        <v>5</v>
      </c>
      <c r="J11" s="4" t="inlineStr">
        <is>
          <t>NON-CRITICAL</t>
        </is>
      </c>
    </row>
    <row r="12" ht="20" customHeight="1">
      <c r="A12" s="4" t="inlineStr">
        <is>
          <t>CV-08</t>
        </is>
      </c>
      <c r="B12" s="8" t="inlineStr">
        <is>
          <t>Đổ bê tông thân cống 3x3 phân đoạn 2</t>
        </is>
      </c>
      <c r="C12" s="4" t="n">
        <v>30</v>
      </c>
      <c r="D12" s="4" t="inlineStr">
        <is>
          <t>CV-07</t>
        </is>
      </c>
      <c r="E12" s="4" t="n">
        <v>40</v>
      </c>
      <c r="F12" s="4" t="n">
        <v>70</v>
      </c>
      <c r="G12" s="4" t="n">
        <v>45</v>
      </c>
      <c r="H12" s="4" t="n">
        <v>75</v>
      </c>
      <c r="I12" s="4" t="n">
        <v>5</v>
      </c>
      <c r="J12" s="4" t="inlineStr">
        <is>
          <t>NON-CRITICAL</t>
        </is>
      </c>
    </row>
    <row r="13" ht="20" customHeight="1">
      <c r="A13" s="4" t="inlineStr">
        <is>
          <t>CV-09</t>
        </is>
      </c>
      <c r="B13" s="8" t="inlineStr">
        <is>
          <t>Đào móng phân đoạn 3 (Cống đôi 2x(3x3))</t>
        </is>
      </c>
      <c r="C13" s="4" t="n">
        <v>35</v>
      </c>
      <c r="D13" s="4" t="inlineStr">
        <is>
          <t>CV-06</t>
        </is>
      </c>
      <c r="E13" s="4" t="n">
        <v>65</v>
      </c>
      <c r="F13" s="4" t="n">
        <v>100</v>
      </c>
      <c r="G13" s="4" t="n">
        <v>65</v>
      </c>
      <c r="H13" s="4" t="n">
        <v>100</v>
      </c>
      <c r="I13" s="4" t="n">
        <v>0</v>
      </c>
      <c r="J13" s="32" t="inlineStr">
        <is>
          <t>CRITICAL</t>
        </is>
      </c>
    </row>
    <row r="14" ht="20" customHeight="1">
      <c r="A14" s="4" t="inlineStr">
        <is>
          <t>CV-10</t>
        </is>
      </c>
      <c r="B14" s="8" t="inlineStr">
        <is>
          <t>Bê tông cống đôi 2x(3x3) phân đoạn 3</t>
        </is>
      </c>
      <c r="C14" s="4" t="n">
        <v>45</v>
      </c>
      <c r="D14" s="4" t="inlineStr">
        <is>
          <t>CV-09</t>
        </is>
      </c>
      <c r="E14" s="4" t="n">
        <v>100</v>
      </c>
      <c r="F14" s="4" t="n">
        <v>145</v>
      </c>
      <c r="G14" s="4" t="n">
        <v>100</v>
      </c>
      <c r="H14" s="4" t="n">
        <v>145</v>
      </c>
      <c r="I14" s="4" t="n">
        <v>0</v>
      </c>
      <c r="J14" s="32" t="inlineStr">
        <is>
          <t>CRITICAL</t>
        </is>
      </c>
    </row>
    <row r="15" ht="20" customHeight="1">
      <c r="A15" s="4" t="inlineStr">
        <is>
          <t>CV-11</t>
        </is>
      </c>
      <c r="B15" s="8" t="inlineStr">
        <is>
          <t>Chống thấm, chèn khe co giãn bitum &amp; Lấp đất</t>
        </is>
      </c>
      <c r="C15" s="4" t="n">
        <v>15</v>
      </c>
      <c r="D15" s="4" t="inlineStr">
        <is>
          <t>CV-10</t>
        </is>
      </c>
      <c r="E15" s="4" t="n">
        <v>145</v>
      </c>
      <c r="F15" s="4" t="n">
        <v>160</v>
      </c>
      <c r="G15" s="4" t="n">
        <v>145</v>
      </c>
      <c r="H15" s="4" t="n">
        <v>160</v>
      </c>
      <c r="I15" s="4" t="n">
        <v>0</v>
      </c>
      <c r="J15" s="32" t="inlineStr">
        <is>
          <t>CRITICAL</t>
        </is>
      </c>
    </row>
    <row r="16" ht="20" customHeight="1">
      <c r="A16" s="4" t="inlineStr">
        <is>
          <t>CV-12</t>
        </is>
      </c>
      <c r="B16" s="8" t="inlineStr">
        <is>
          <t>Nghiệm thu hoàn thành &amp; Bàn giao thông tuyến</t>
        </is>
      </c>
      <c r="C16" s="4" t="n">
        <v>5</v>
      </c>
      <c r="D16" s="4" t="inlineStr">
        <is>
          <t>CV-11</t>
        </is>
      </c>
      <c r="E16" s="4" t="n">
        <v>160</v>
      </c>
      <c r="F16" s="4" t="n">
        <v>165</v>
      </c>
      <c r="G16" s="4" t="n">
        <v>160</v>
      </c>
      <c r="H16" s="4" t="n">
        <v>165</v>
      </c>
      <c r="I16" s="4" t="n">
        <v>0</v>
      </c>
      <c r="J16" s="32" t="inlineStr">
        <is>
          <t>CRITICAL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52" customWidth="1" min="2" max="2"/>
    <col width="27" customWidth="1" min="3" max="3"/>
    <col width="15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DANH MỤC BIÊN BẢN NGHIỆM THU KCS QUẢN LÝ CHẤT LƯỢNG</t>
        </is>
      </c>
    </row>
    <row r="2">
      <c r="A2" s="2" t="inlineStr">
        <is>
          <t>Căn cứ: Nghị định 207/2026/NĐ-CP &amp; Thông tư 32/2026/TT-BXD | Ma trận logic chéo ngày tháng</t>
        </is>
      </c>
    </row>
    <row r="3"/>
    <row r="4" ht="25" customHeight="1">
      <c r="A4" s="3" t="inlineStr">
        <is>
          <t>SỐ BB</t>
        </is>
      </c>
      <c r="B4" s="3" t="inlineStr">
        <is>
          <t>TÊN BIÊN BẢN NGHIỆM THU CÔNG VIỆC</t>
        </is>
      </c>
      <c r="C4" s="3" t="inlineStr">
        <is>
          <t>ĐỐI TƯỢNG NGHIỆM THU</t>
        </is>
      </c>
      <c r="D4" s="3" t="inlineStr">
        <is>
          <t>NGÀY BẮT ĐẦU</t>
        </is>
      </c>
      <c r="E4" s="3" t="inlineStr">
        <is>
          <t>NGÀY NGHIỆM THU</t>
        </is>
      </c>
      <c r="F4" s="3" t="inlineStr">
        <is>
          <t>KẾT QUẢ</t>
        </is>
      </c>
      <c r="G4" s="3" t="inlineStr">
        <is>
          <t>THÀNH PHẦN KÝ</t>
        </is>
      </c>
    </row>
    <row r="5" ht="20" customHeight="1">
      <c r="A5" s="4" t="inlineStr">
        <is>
          <t>BB-01</t>
        </is>
      </c>
      <c r="B5" s="8" t="inlineStr">
        <is>
          <t>Nghiệm thu trắc đạc tim mốc định vị tuyến cống A5</t>
        </is>
      </c>
      <c r="C5" s="8" t="inlineStr">
        <is>
          <t>Tim mốc Km0 - Km2+170</t>
        </is>
      </c>
      <c r="D5" s="4" t="inlineStr">
        <is>
          <t>01/10/2026</t>
        </is>
      </c>
      <c r="E5" s="4" t="inlineStr">
        <is>
          <t>05/10/2026</t>
        </is>
      </c>
      <c r="F5" s="33" t="inlineStr">
        <is>
          <t>ĐẠT CHUẨN</t>
        </is>
      </c>
      <c r="G5" s="8" t="inlineStr">
        <is>
          <t>TVGS + Nhà thầu</t>
        </is>
      </c>
    </row>
    <row r="6" ht="20" customHeight="1">
      <c r="A6" s="4" t="inlineStr">
        <is>
          <t>BB-02</t>
        </is>
      </c>
      <c r="B6" s="8" t="inlineStr">
        <is>
          <t>Nghiệm thu hố móng cống đoạn T5-a17 đến T5-a28</t>
        </is>
      </c>
      <c r="C6" s="8" t="inlineStr">
        <is>
          <t>Cao độ đáy móng -0.80m</t>
        </is>
      </c>
      <c r="D6" s="4" t="inlineStr">
        <is>
          <t>06/10/2026</t>
        </is>
      </c>
      <c r="E6" s="4" t="inlineStr">
        <is>
          <t>20/10/2026</t>
        </is>
      </c>
      <c r="F6" s="33" t="inlineStr">
        <is>
          <t>ĐẠT CHUẨN</t>
        </is>
      </c>
      <c r="G6" s="8" t="inlineStr">
        <is>
          <t>TVGS + Nhà thầu</t>
        </is>
      </c>
    </row>
    <row r="7" ht="20" customHeight="1">
      <c r="A7" s="4" t="inlineStr">
        <is>
          <t>BB-03</t>
        </is>
      </c>
      <c r="B7" s="8" t="inlineStr">
        <is>
          <t>Nghiệm thu đóng cọc tre &amp; đệm cát K95</t>
        </is>
      </c>
      <c r="C7" s="8" t="inlineStr">
        <is>
          <t>25 cọc/m2, cát hạt trung</t>
        </is>
      </c>
      <c r="D7" s="4" t="inlineStr">
        <is>
          <t>21/10/2026</t>
        </is>
      </c>
      <c r="E7" s="4" t="inlineStr">
        <is>
          <t>30/10/2026</t>
        </is>
      </c>
      <c r="F7" s="33" t="inlineStr">
        <is>
          <t>ĐẠT CHUẨN</t>
        </is>
      </c>
      <c r="G7" s="8" t="inlineStr">
        <is>
          <t>TVGS + Nhà thầu</t>
        </is>
      </c>
    </row>
    <row r="8" ht="20" customHeight="1">
      <c r="A8" s="4" t="inlineStr">
        <is>
          <t>BB-04</t>
        </is>
      </c>
      <c r="B8" s="8" t="inlineStr">
        <is>
          <t>Nghiệm thu bê tông lót móng M100</t>
        </is>
      </c>
      <c r="C8" s="8" t="inlineStr">
        <is>
          <t>Bê tông dày 50mm</t>
        </is>
      </c>
      <c r="D8" s="4" t="inlineStr">
        <is>
          <t>31/10/2026</t>
        </is>
      </c>
      <c r="E8" s="4" t="inlineStr">
        <is>
          <t>04/11/2026</t>
        </is>
      </c>
      <c r="F8" s="33" t="inlineStr">
        <is>
          <t>ĐẠT CHUẨN</t>
        </is>
      </c>
      <c r="G8" s="8" t="inlineStr">
        <is>
          <t>TVGS + Nhà thầu</t>
        </is>
      </c>
    </row>
    <row r="9" ht="20" customHeight="1">
      <c r="A9" s="4" t="inlineStr">
        <is>
          <t>BB-05</t>
        </is>
      </c>
      <c r="B9" s="8" t="inlineStr">
        <is>
          <t>Nghiệm thu cốt thép thân cống hộp 2.0x2.0m</t>
        </is>
      </c>
      <c r="C9" s="8" t="inlineStr">
        <is>
          <t>Thép CB240-T, CB500-V</t>
        </is>
      </c>
      <c r="D9" s="4" t="inlineStr">
        <is>
          <t>05/11/2026</t>
        </is>
      </c>
      <c r="E9" s="4" t="inlineStr">
        <is>
          <t>20/11/2026</t>
        </is>
      </c>
      <c r="F9" s="33" t="inlineStr">
        <is>
          <t>ĐẠT CHUẨN</t>
        </is>
      </c>
      <c r="G9" s="8" t="inlineStr">
        <is>
          <t>TVGS + Nhà thầu</t>
        </is>
      </c>
    </row>
    <row r="10" ht="20" customHeight="1">
      <c r="A10" s="4" t="inlineStr">
        <is>
          <t>BB-06</t>
        </is>
      </c>
      <c r="B10" s="8" t="inlineStr">
        <is>
          <t>Nghiệm thu ván khuôn cống hộp 2.0x2.0m</t>
        </is>
      </c>
      <c r="C10" s="8" t="inlineStr">
        <is>
          <t>Ván khuôn phủ phim 18mm</t>
        </is>
      </c>
      <c r="D10" s="4" t="inlineStr">
        <is>
          <t>21/11/2026</t>
        </is>
      </c>
      <c r="E10" s="4" t="inlineStr">
        <is>
          <t>25/11/2026</t>
        </is>
      </c>
      <c r="F10" s="33" t="inlineStr">
        <is>
          <t>ĐẠT CHUẨN</t>
        </is>
      </c>
      <c r="G10" s="8" t="inlineStr">
        <is>
          <t>TVGS + Nhà thầu</t>
        </is>
      </c>
    </row>
    <row r="11" ht="20" customHeight="1">
      <c r="A11" s="4" t="inlineStr">
        <is>
          <t>BB-07</t>
        </is>
      </c>
      <c r="B11" s="8" t="inlineStr">
        <is>
          <t>Nghiệm thu bê tông thân cống B20 (M250)</t>
        </is>
      </c>
      <c r="C11" s="8" t="inlineStr">
        <is>
          <t>Mẫu nén R28 đạt 28.5 MPa</t>
        </is>
      </c>
      <c r="D11" s="4" t="inlineStr">
        <is>
          <t>26/11/2026</t>
        </is>
      </c>
      <c r="E11" s="4" t="inlineStr">
        <is>
          <t>28/11/2026</t>
        </is>
      </c>
      <c r="F11" s="33" t="inlineStr">
        <is>
          <t>ĐẠT CHUẨN</t>
        </is>
      </c>
      <c r="G11" s="8" t="inlineStr">
        <is>
          <t>TVGS + Nhà thầu</t>
        </is>
      </c>
    </row>
    <row r="12" ht="20" customHeight="1">
      <c r="A12" s="4" t="inlineStr">
        <is>
          <t>BB-08</t>
        </is>
      </c>
      <c r="B12" s="8" t="inlineStr">
        <is>
          <t>Nghiệm thu chống thấm &amp; chèn khe co giãn bitum</t>
        </is>
      </c>
      <c r="C12" s="8" t="inlineStr">
        <is>
          <t>Sơn bitum + xốp cao su</t>
        </is>
      </c>
      <c r="D12" s="4" t="inlineStr">
        <is>
          <t>29/11/2026</t>
        </is>
      </c>
      <c r="E12" s="4" t="inlineStr">
        <is>
          <t>05/12/2026</t>
        </is>
      </c>
      <c r="F12" s="33" t="inlineStr">
        <is>
          <t>ĐẠT CHUẨN</t>
        </is>
      </c>
      <c r="G12" s="8" t="inlineStr">
        <is>
          <t>TVGS + Nhà thầu</t>
        </is>
      </c>
    </row>
    <row r="13" ht="20" customHeight="1">
      <c r="A13" s="4" t="inlineStr">
        <is>
          <t>BB-09</t>
        </is>
      </c>
      <c r="B13" s="8" t="inlineStr">
        <is>
          <t>Nghiệm thu lấp cát mang cống đầm chặt K98</t>
        </is>
      </c>
      <c r="C13" s="8" t="inlineStr">
        <is>
          <t>Độ chặt K=0.98</t>
        </is>
      </c>
      <c r="D13" s="4" t="inlineStr">
        <is>
          <t>06/12/2026</t>
        </is>
      </c>
      <c r="E13" s="4" t="inlineStr">
        <is>
          <t>15/12/2026</t>
        </is>
      </c>
      <c r="F13" s="33" t="inlineStr">
        <is>
          <t>ĐẠT CHUẨN</t>
        </is>
      </c>
      <c r="G13" s="8" t="inlineStr">
        <is>
          <t>TVGS + Nhà thầu</t>
        </is>
      </c>
    </row>
    <row r="14" ht="20" customHeight="1">
      <c r="A14" s="4" t="inlineStr">
        <is>
          <t>BB-10</t>
        </is>
      </c>
      <c r="B14" s="8" t="inlineStr">
        <is>
          <t>Nghiệm thu hoàn thành giai đoạn cống đơn 2.0x2.0m</t>
        </is>
      </c>
      <c r="C14" s="8" t="inlineStr">
        <is>
          <t>Toàn bộ đoạn 385m</t>
        </is>
      </c>
      <c r="D14" s="4" t="inlineStr">
        <is>
          <t>16/12/2026</t>
        </is>
      </c>
      <c r="E14" s="4" t="inlineStr">
        <is>
          <t>20/12/2026</t>
        </is>
      </c>
      <c r="F14" s="33" t="inlineStr">
        <is>
          <t>ĐẠT CHUẨN</t>
        </is>
      </c>
      <c r="G14" s="8" t="inlineStr">
        <is>
          <t>CĐT + TVGS + TVTK + 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MAU_BIEN_BAN_KCS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MAU_BB_NGHIEM_THU_VAT_LIEU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selection activeCell="A1" sqref="A1"/>
    </sheetView>
  </sheetViews>
  <sheetFormatPr baseColWidth="8" defaultRowHeight="15"/>
  <cols>
    <col width="73" customWidth="1" min="1" max="1"/>
  </cols>
  <sheetData>
    <row r="1">
      <c r="A1" s="1" t="inlineStr">
        <is>
          <t>HỒ SƠ MAU_BB_LAY_MAU_HIEN_TRUONG - CỐNG HỘP TUYẾN A5</t>
        </is>
      </c>
    </row>
    <row r="2">
      <c r="A2" s="2" t="inlineStr">
        <is>
          <t>Dữ liệu đồng bộ trực tiếp từ Master State Bus - 100% Zero Broken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2026-09-29T12:04:24Z</dcterms:created>
  <dcterms:modified xmlns:dcterms="http://purl.org/dc/terms/" xmlns:xsi="http://www.w3.org/2001/XMLSchema-instance" xsi:type="dcterms:W3CDTF">2026-09-29T12:04:24Z</dcterms:modified>
</cp:coreProperties>
</file>