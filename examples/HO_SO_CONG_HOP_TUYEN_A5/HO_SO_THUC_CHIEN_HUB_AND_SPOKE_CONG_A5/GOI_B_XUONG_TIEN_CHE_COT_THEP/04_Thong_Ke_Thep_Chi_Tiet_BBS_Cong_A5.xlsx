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S_TH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THỐNG KÊ CỐT THÉP CHI TIẾT (BBS) 19 MÃ HIỆU</t>
        </is>
      </c>
    </row>
    <row r="4">
      <c r="A4" s="2" t="inlineStr">
        <is>
          <t>STT</t>
        </is>
      </c>
      <c r="B4" s="2" t="inlineStr">
        <is>
          <t>SỐ HIỆU THANH</t>
        </is>
      </c>
      <c r="C4" s="2" t="inlineStr">
        <is>
          <t>VỊ TRÍ / CẤU KIỆN</t>
        </is>
      </c>
      <c r="D4" s="2" t="inlineStr">
        <is>
          <t>Ø (mm)</t>
        </is>
      </c>
      <c r="E4" s="2" t="inlineStr">
        <is>
          <t>MÁC THÉP</t>
        </is>
      </c>
      <c r="F4" s="2" t="inlineStr">
        <is>
          <t>SỐ LƯỢNG</t>
        </is>
      </c>
      <c r="G4" s="2" t="inlineStr">
        <is>
          <t>CHIỀU DÀI L (m)</t>
        </is>
      </c>
      <c r="H4" s="2" t="inlineStr">
        <is>
          <t>TỔNG DÀI (m)</t>
        </is>
      </c>
      <c r="I4" s="2" t="inlineStr">
        <is>
          <t>TRỌNG LƯỢNG (kg/m)</t>
        </is>
      </c>
      <c r="J4" s="2" t="inlineStr">
        <is>
          <t>TỔNG TRỌNG LƯỢNG (kg)</t>
        </is>
      </c>
    </row>
    <row r="5">
      <c r="A5" s="3" t="n">
        <v>1</v>
      </c>
      <c r="B5" s="3" t="inlineStr">
        <is>
          <t>CH2x2-01</t>
        </is>
      </c>
      <c r="C5" s="3" t="inlineStr">
        <is>
          <t>Thép ngang nắp/đáy cống 2x2</t>
        </is>
      </c>
      <c r="D5" s="3" t="n">
        <v>12</v>
      </c>
      <c r="E5" s="3" t="inlineStr">
        <is>
          <t>CB500-V</t>
        </is>
      </c>
      <c r="F5" s="3" t="n">
        <v>7684</v>
      </c>
      <c r="G5" s="3" t="n">
        <v>2.82</v>
      </c>
      <c r="H5" s="3">
        <f>F5*G5</f>
        <v/>
      </c>
      <c r="I5" s="3" t="n">
        <v>0.888</v>
      </c>
      <c r="J5" s="3">
        <f>H5*I5</f>
        <v/>
      </c>
    </row>
    <row r="6">
      <c r="A6" s="3" t="n">
        <v>2</v>
      </c>
      <c r="B6" s="3" t="inlineStr">
        <is>
          <t>CH2x2-02</t>
        </is>
      </c>
      <c r="C6" s="3" t="inlineStr">
        <is>
          <t>Thép thành cống 2x2</t>
        </is>
      </c>
      <c r="D6" s="3" t="n">
        <v>12</v>
      </c>
      <c r="E6" s="3" t="inlineStr">
        <is>
          <t>CB500-V</t>
        </is>
      </c>
      <c r="F6" s="3" t="n">
        <v>6120</v>
      </c>
      <c r="G6" s="3" t="n">
        <v>2.84</v>
      </c>
      <c r="H6" s="3">
        <f>F6*G6</f>
        <v/>
      </c>
      <c r="I6" s="3" t="n">
        <v>0.888</v>
      </c>
      <c r="J6" s="3">
        <f>H6*I6</f>
        <v/>
      </c>
    </row>
    <row r="7">
      <c r="A7" s="3" t="n">
        <v>3</v>
      </c>
      <c r="B7" s="3" t="inlineStr">
        <is>
          <t>CH2x2-03</t>
        </is>
      </c>
      <c r="C7" s="3" t="inlineStr">
        <is>
          <t>Thép nách cống 2x2</t>
        </is>
      </c>
      <c r="D7" s="3" t="n">
        <v>12</v>
      </c>
      <c r="E7" s="3" t="inlineStr">
        <is>
          <t>CB500-V</t>
        </is>
      </c>
      <c r="F7" s="3" t="n">
        <v>6120</v>
      </c>
      <c r="G7" s="3" t="n">
        <v>1.32</v>
      </c>
      <c r="H7" s="3">
        <f>F7*G7</f>
        <v/>
      </c>
      <c r="I7" s="3" t="n">
        <v>0.888</v>
      </c>
      <c r="J7" s="3">
        <f>H7*I7</f>
        <v/>
      </c>
    </row>
    <row r="8">
      <c r="A8" s="3" t="n">
        <v>4</v>
      </c>
      <c r="B8" s="3" t="inlineStr">
        <is>
          <t>CH2x2-04</t>
        </is>
      </c>
      <c r="C8" s="3" t="inlineStr">
        <is>
          <t>Thép dọc cống 2x2</t>
        </is>
      </c>
      <c r="D8" s="3" t="n">
        <v>10</v>
      </c>
      <c r="E8" s="3" t="inlineStr">
        <is>
          <t>CB240-T</t>
        </is>
      </c>
      <c r="F8" s="3" t="n">
        <v>3264</v>
      </c>
      <c r="G8" s="3" t="n">
        <v>11.7</v>
      </c>
      <c r="H8" s="3">
        <f>F8*G8</f>
        <v/>
      </c>
      <c r="I8" s="3" t="n">
        <v>0.617</v>
      </c>
      <c r="J8" s="3">
        <f>H8*I8</f>
        <v/>
      </c>
    </row>
    <row r="9">
      <c r="A9" s="3" t="n">
        <v>5</v>
      </c>
      <c r="B9" s="3" t="inlineStr">
        <is>
          <t>CH2x2-05</t>
        </is>
      </c>
      <c r="C9" s="3" t="inlineStr">
        <is>
          <t>Dowel bar khe cống 2x2</t>
        </is>
      </c>
      <c r="D9" s="3" t="n">
        <v>22</v>
      </c>
      <c r="E9" s="3" t="inlineStr">
        <is>
          <t>CB500-V</t>
        </is>
      </c>
      <c r="F9" s="3" t="n">
        <v>680</v>
      </c>
      <c r="G9" s="3" t="n">
        <v>1</v>
      </c>
      <c r="H9" s="3">
        <f>F9*G9</f>
        <v/>
      </c>
      <c r="I9" s="3" t="n">
        <v>2.984</v>
      </c>
      <c r="J9" s="3">
        <f>H9*I9</f>
        <v/>
      </c>
    </row>
    <row r="10">
      <c r="A10" s="3" t="n">
        <v>6</v>
      </c>
      <c r="B10" s="3" t="inlineStr">
        <is>
          <t>CH3x3-01</t>
        </is>
      </c>
      <c r="C10" s="3" t="inlineStr">
        <is>
          <t>Thép ngang nắp/đáy cống 3x3</t>
        </is>
      </c>
      <c r="D10" s="3" t="n">
        <v>14</v>
      </c>
      <c r="E10" s="3" t="inlineStr">
        <is>
          <t>CB500-V</t>
        </is>
      </c>
      <c r="F10" s="3" t="n">
        <v>9000</v>
      </c>
      <c r="G10" s="3" t="n">
        <v>3.9</v>
      </c>
      <c r="H10" s="3">
        <f>F10*G10</f>
        <v/>
      </c>
      <c r="I10" s="3" t="n">
        <v>1.208</v>
      </c>
      <c r="J10" s="3">
        <f>H10*I10</f>
        <v/>
      </c>
    </row>
    <row r="11">
      <c r="A11" s="3" t="n">
        <v>7</v>
      </c>
      <c r="B11" s="3" t="inlineStr">
        <is>
          <t>CH3x3-02</t>
        </is>
      </c>
      <c r="C11" s="3" t="inlineStr">
        <is>
          <t>Thép thành cống 3x3</t>
        </is>
      </c>
      <c r="D11" s="3" t="n">
        <v>14</v>
      </c>
      <c r="E11" s="3" t="inlineStr">
        <is>
          <t>CB500-V</t>
        </is>
      </c>
      <c r="F11" s="3" t="n">
        <v>9000</v>
      </c>
      <c r="G11" s="3" t="n">
        <v>3.9</v>
      </c>
      <c r="H11" s="3">
        <f>F11*G11</f>
        <v/>
      </c>
      <c r="I11" s="3" t="n">
        <v>1.208</v>
      </c>
      <c r="J11" s="3">
        <f>H11*I11</f>
        <v/>
      </c>
    </row>
    <row r="12">
      <c r="A12" s="3" t="n">
        <v>8</v>
      </c>
      <c r="B12" s="3" t="inlineStr">
        <is>
          <t>CH3x3-03</t>
        </is>
      </c>
      <c r="C12" s="3" t="inlineStr">
        <is>
          <t>Thép nách cống 3x3</t>
        </is>
      </c>
      <c r="D12" s="3" t="n">
        <v>14</v>
      </c>
      <c r="E12" s="3" t="inlineStr">
        <is>
          <t>CB500-V</t>
        </is>
      </c>
      <c r="F12" s="3" t="n">
        <v>9000</v>
      </c>
      <c r="G12" s="3" t="n">
        <v>1.95</v>
      </c>
      <c r="H12" s="3">
        <f>F12*G12</f>
        <v/>
      </c>
      <c r="I12" s="3" t="n">
        <v>1.208</v>
      </c>
      <c r="J12" s="3">
        <f>H12*I12</f>
        <v/>
      </c>
    </row>
    <row r="13">
      <c r="A13" s="3" t="n">
        <v>9</v>
      </c>
      <c r="B13" s="3" t="inlineStr">
        <is>
          <t>CH3x3-04</t>
        </is>
      </c>
      <c r="C13" s="3" t="inlineStr">
        <is>
          <t>Thép dọc cống 3x3</t>
        </is>
      </c>
      <c r="D13" s="3" t="n">
        <v>10</v>
      </c>
      <c r="E13" s="3" t="inlineStr">
        <is>
          <t>CB240-T</t>
        </is>
      </c>
      <c r="F13" s="3" t="n">
        <v>6800</v>
      </c>
      <c r="G13" s="3" t="n">
        <v>11.7</v>
      </c>
      <c r="H13" s="3">
        <f>F13*G13</f>
        <v/>
      </c>
      <c r="I13" s="3" t="n">
        <v>0.617</v>
      </c>
      <c r="J13" s="3">
        <f>H13*I13</f>
        <v/>
      </c>
    </row>
    <row r="14">
      <c r="A14" s="3" t="n">
        <v>10</v>
      </c>
      <c r="B14" s="3" t="inlineStr">
        <is>
          <t>CH3x3-05</t>
        </is>
      </c>
      <c r="C14" s="3" t="inlineStr">
        <is>
          <t>Dowel bar khe cống 3x3</t>
        </is>
      </c>
      <c r="D14" s="3" t="n">
        <v>22</v>
      </c>
      <c r="E14" s="3" t="inlineStr">
        <is>
          <t>CB500-V</t>
        </is>
      </c>
      <c r="F14" s="3" t="n">
        <v>1400</v>
      </c>
      <c r="G14" s="3" t="n">
        <v>1</v>
      </c>
      <c r="H14" s="3">
        <f>F14*G14</f>
        <v/>
      </c>
      <c r="I14" s="3" t="n">
        <v>2.984</v>
      </c>
      <c r="J14" s="3">
        <f>H14*I14</f>
        <v/>
      </c>
    </row>
    <row r="15">
      <c r="A15" s="3" t="n">
        <v>11</v>
      </c>
      <c r="B15" s="3" t="inlineStr">
        <is>
          <t>CH2x3x3-01</t>
        </is>
      </c>
      <c r="C15" s="3" t="inlineStr">
        <is>
          <t>Thép nắp/đáy 2 khoang cống đôi</t>
        </is>
      </c>
      <c r="D15" s="3" t="n">
        <v>14</v>
      </c>
      <c r="E15" s="3" t="inlineStr">
        <is>
          <t>CB500-V</t>
        </is>
      </c>
      <c r="F15" s="3" t="n">
        <v>19440</v>
      </c>
      <c r="G15" s="3" t="n">
        <v>9.369999999999999</v>
      </c>
      <c r="H15" s="3">
        <f>F15*G15</f>
        <v/>
      </c>
      <c r="I15" s="3" t="n">
        <v>1.208</v>
      </c>
      <c r="J15" s="3">
        <f>H15*I15</f>
        <v/>
      </c>
    </row>
    <row r="16">
      <c r="A16" s="3" t="n">
        <v>12</v>
      </c>
      <c r="B16" s="3" t="inlineStr">
        <is>
          <t>CH2x3x3-02</t>
        </is>
      </c>
      <c r="C16" s="3" t="inlineStr">
        <is>
          <t>Thép vách biên cống đôi</t>
        </is>
      </c>
      <c r="D16" s="3" t="n">
        <v>14</v>
      </c>
      <c r="E16" s="3" t="inlineStr">
        <is>
          <t>CB500-V</t>
        </is>
      </c>
      <c r="F16" s="3" t="n">
        <v>19440</v>
      </c>
      <c r="G16" s="3" t="n">
        <v>4.02</v>
      </c>
      <c r="H16" s="3">
        <f>F16*G16</f>
        <v/>
      </c>
      <c r="I16" s="3" t="n">
        <v>1.208</v>
      </c>
      <c r="J16" s="3">
        <f>H16*I16</f>
        <v/>
      </c>
    </row>
    <row r="17">
      <c r="A17" s="3" t="n">
        <v>13</v>
      </c>
      <c r="B17" s="3" t="inlineStr">
        <is>
          <t>CH2x3x3-03</t>
        </is>
      </c>
      <c r="C17" s="3" t="inlineStr">
        <is>
          <t>Thép vách giữa cống đôi</t>
        </is>
      </c>
      <c r="D17" s="3" t="n">
        <v>14</v>
      </c>
      <c r="E17" s="3" t="inlineStr">
        <is>
          <t>CB500-V</t>
        </is>
      </c>
      <c r="F17" s="3" t="n">
        <v>9720</v>
      </c>
      <c r="G17" s="3" t="n">
        <v>3.9</v>
      </c>
      <c r="H17" s="3">
        <f>F17*G17</f>
        <v/>
      </c>
      <c r="I17" s="3" t="n">
        <v>1.208</v>
      </c>
      <c r="J17" s="3">
        <f>H17*I17</f>
        <v/>
      </c>
    </row>
    <row r="18">
      <c r="A18" s="3" t="n">
        <v>14</v>
      </c>
      <c r="B18" s="3" t="inlineStr">
        <is>
          <t>CH2x3x3-04</t>
        </is>
      </c>
      <c r="C18" s="3" t="inlineStr">
        <is>
          <t>Thép nách cống ngoài cống đôi</t>
        </is>
      </c>
      <c r="D18" s="3" t="n">
        <v>14</v>
      </c>
      <c r="E18" s="3" t="inlineStr">
        <is>
          <t>CB500-V</t>
        </is>
      </c>
      <c r="F18" s="3" t="n">
        <v>19440</v>
      </c>
      <c r="G18" s="3" t="n">
        <v>2</v>
      </c>
      <c r="H18" s="3">
        <f>F18*G18</f>
        <v/>
      </c>
      <c r="I18" s="3" t="n">
        <v>1.208</v>
      </c>
      <c r="J18" s="3">
        <f>H18*I18</f>
        <v/>
      </c>
    </row>
    <row r="19">
      <c r="A19" s="3" t="n">
        <v>15</v>
      </c>
      <c r="B19" s="3" t="inlineStr">
        <is>
          <t>CH2x3x3-04a</t>
        </is>
      </c>
      <c r="C19" s="3" t="inlineStr">
        <is>
          <t>Thép nách cống giữa cống đôi</t>
        </is>
      </c>
      <c r="D19" s="3" t="n">
        <v>14</v>
      </c>
      <c r="E19" s="3" t="inlineStr">
        <is>
          <t>CB500-V</t>
        </is>
      </c>
      <c r="F19" s="3" t="n">
        <v>9720</v>
      </c>
      <c r="G19" s="3" t="n">
        <v>1.95</v>
      </c>
      <c r="H19" s="3">
        <f>F19*G19</f>
        <v/>
      </c>
      <c r="I19" s="3" t="n">
        <v>1.208</v>
      </c>
      <c r="J19" s="3">
        <f>H19*I19</f>
        <v/>
      </c>
    </row>
    <row r="20">
      <c r="A20" s="3" t="n">
        <v>16</v>
      </c>
      <c r="B20" s="3" t="inlineStr">
        <is>
          <t>CH2x3x3-05</t>
        </is>
      </c>
      <c r="C20" s="3" t="inlineStr">
        <is>
          <t>Thép dọc cống đôi</t>
        </is>
      </c>
      <c r="D20" s="3" t="n">
        <v>10</v>
      </c>
      <c r="E20" s="3" t="inlineStr">
        <is>
          <t>CB240-T</t>
        </is>
      </c>
      <c r="F20" s="3" t="n">
        <v>25272</v>
      </c>
      <c r="G20" s="3" t="n">
        <v>11.7</v>
      </c>
      <c r="H20" s="3">
        <f>F20*G20</f>
        <v/>
      </c>
      <c r="I20" s="3" t="n">
        <v>0.617</v>
      </c>
      <c r="J20" s="3">
        <f>H20*I20</f>
        <v/>
      </c>
    </row>
    <row r="21">
      <c r="A21" s="3" t="n">
        <v>17</v>
      </c>
      <c r="B21" s="3" t="inlineStr">
        <is>
          <t>CH2x3x3-06</t>
        </is>
      </c>
      <c r="C21" s="3" t="inlineStr">
        <is>
          <t>Thép đai C vách giữa</t>
        </is>
      </c>
      <c r="D21" s="3" t="n">
        <v>10</v>
      </c>
      <c r="E21" s="3" t="inlineStr">
        <is>
          <t>CB240-T</t>
        </is>
      </c>
      <c r="F21" s="3" t="n">
        <v>12312</v>
      </c>
      <c r="G21" s="3" t="n">
        <v>0.92</v>
      </c>
      <c r="H21" s="3">
        <f>F21*G21</f>
        <v/>
      </c>
      <c r="I21" s="3" t="n">
        <v>0.617</v>
      </c>
      <c r="J21" s="3">
        <f>H21*I21</f>
        <v/>
      </c>
    </row>
    <row r="22">
      <c r="A22" s="3" t="n">
        <v>18</v>
      </c>
      <c r="B22" s="3" t="inlineStr">
        <is>
          <t>CH2x3x3-07</t>
        </is>
      </c>
      <c r="C22" s="3" t="inlineStr">
        <is>
          <t>Thép móc đai nách cống</t>
        </is>
      </c>
      <c r="D22" s="3" t="n">
        <v>6</v>
      </c>
      <c r="E22" s="3" t="inlineStr">
        <is>
          <t>CB240-T</t>
        </is>
      </c>
      <c r="F22" s="3" t="n">
        <v>24624</v>
      </c>
      <c r="G22" s="3" t="n">
        <v>0.35</v>
      </c>
      <c r="H22" s="3">
        <f>F22*G22</f>
        <v/>
      </c>
      <c r="I22" s="3" t="n">
        <v>0.222</v>
      </c>
      <c r="J22" s="3">
        <f>H22*I22</f>
        <v/>
      </c>
    </row>
    <row r="23">
      <c r="A23" s="3" t="n">
        <v>19</v>
      </c>
      <c r="B23" s="3" t="inlineStr">
        <is>
          <t>CH2x3x3-08</t>
        </is>
      </c>
      <c r="C23" s="3" t="inlineStr">
        <is>
          <t>Dowel bar khe cống đôi</t>
        </is>
      </c>
      <c r="D23" s="3" t="n">
        <v>22</v>
      </c>
      <c r="E23" s="3" t="inlineStr">
        <is>
          <t>CB500-V</t>
        </is>
      </c>
      <c r="F23" s="3" t="n">
        <v>4536</v>
      </c>
      <c r="G23" s="3" t="n">
        <v>1</v>
      </c>
      <c r="H23" s="3">
        <f>F23*G23</f>
        <v/>
      </c>
      <c r="I23" s="3" t="n">
        <v>2.984</v>
      </c>
      <c r="J23" s="3">
        <f>H23*I23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