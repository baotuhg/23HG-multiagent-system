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TOAN_GX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3" fontId="3" fillId="3" borderId="2" pivotButton="0" quotePrefix="0" xfId="0"/>
    <xf numFmtId="0" fontId="5" fillId="0" borderId="0" pivotButton="0" quotePrefix="0" xfId="0"/>
    <xf numFmtId="164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DỰ TOÁN CHI PHÍ XÂY DỰNG G_XD CỐNG HỘP TUYẾN A5</t>
        </is>
      </c>
    </row>
    <row r="4">
      <c r="A4" s="2" t="inlineStr">
        <is>
          <t>STT</t>
        </is>
      </c>
      <c r="B4" s="2" t="inlineStr">
        <is>
          <t>HẠNG MỤC CHI PHÍ</t>
        </is>
      </c>
      <c r="C4" s="2" t="inlineStr">
        <is>
          <t>CÁCH TÍNH / CÔNG THỨC</t>
        </is>
      </c>
      <c r="D4" s="2" t="inlineStr">
        <is>
          <t>GIÁ TRỊ (VNĐ)</t>
        </is>
      </c>
      <c r="E4" s="2" t="inlineStr">
        <is>
          <t>TỶ TRỌNG (%)</t>
        </is>
      </c>
      <c r="F4" s="2" t="inlineStr">
        <is>
          <t>GHI CHÚ</t>
        </is>
      </c>
    </row>
    <row r="5">
      <c r="A5" s="3" t="inlineStr">
        <is>
          <t>I</t>
        </is>
      </c>
      <c r="B5" s="3" t="inlineStr">
        <is>
          <t>CHI PHÍ TRỰC TIẾP (T)</t>
        </is>
      </c>
      <c r="C5" s="3" t="inlineStr">
        <is>
          <t>T = Vật liệu + Nhân công + Máy thi công</t>
        </is>
      </c>
      <c r="D5" s="5" t="n">
        <v>42500000000</v>
      </c>
      <c r="E5" s="3">
        <f>D5/$D$10</f>
        <v/>
      </c>
      <c r="F5" s="3" t="inlineStr">
        <is>
          <t>ĐẦU VÀO: nhập từ dự toán chi tiết đã duyệt (Σ khối lượng × đơn giá theo định mức). CHƯA liên kết với khối lượng/đơn giá trong hồ sơ này</t>
        </is>
      </c>
    </row>
    <row r="6">
      <c r="A6" s="3" t="inlineStr">
        <is>
          <t>II</t>
        </is>
      </c>
      <c r="B6" s="3" t="inlineStr">
        <is>
          <t>CHI PHÍ GIÁN TIẾP (GT)</t>
        </is>
      </c>
      <c r="C6" s="3" t="inlineStr">
        <is>
          <t>GT = T × (chi phí chung + nhà tạm)</t>
        </is>
      </c>
      <c r="D6" s="3">
        <f>D5*(D13+D14)</f>
        <v/>
      </c>
      <c r="E6" s="3">
        <f>D6/$D$10</f>
        <v/>
      </c>
      <c r="F6" s="3" t="inlineStr">
        <is>
          <t>Theo ô tỷ lệ D13 + D14</t>
        </is>
      </c>
    </row>
    <row r="7">
      <c r="A7" s="3" t="inlineStr">
        <is>
          <t>III</t>
        </is>
      </c>
      <c r="B7" s="3" t="inlineStr">
        <is>
          <t>THU NHẬP CHỊU THUẾ TÍNH TRƯỚC (TL)</t>
        </is>
      </c>
      <c r="C7" s="3" t="inlineStr">
        <is>
          <t>TL = (T + GT) × tỷ lệ TL</t>
        </is>
      </c>
      <c r="D7" s="3">
        <f>(D5+D6)*D15</f>
        <v/>
      </c>
      <c r="E7" s="3">
        <f>D7/$D$10</f>
        <v/>
      </c>
      <c r="F7" s="3" t="inlineStr">
        <is>
          <t>Theo ô tỷ lệ D15</t>
        </is>
      </c>
    </row>
    <row r="8">
      <c r="A8" s="3" t="inlineStr">
        <is>
          <t>IV</t>
        </is>
      </c>
      <c r="B8" s="3" t="inlineStr">
        <is>
          <t>CHI PHÍ XÂY DỰNG TRƯỚC THUẾ (G)</t>
        </is>
      </c>
      <c r="C8" s="3" t="inlineStr">
        <is>
          <t>G = T + GT + TL</t>
        </is>
      </c>
      <c r="D8" s="3">
        <f>D5+D6+D7</f>
        <v/>
      </c>
      <c r="E8" s="3">
        <f>D8/$D$10</f>
        <v/>
      </c>
      <c r="F8" s="3" t="inlineStr">
        <is>
          <t>Tổng chi phí trước thuế</t>
        </is>
      </c>
    </row>
    <row r="9">
      <c r="A9" s="3" t="inlineStr">
        <is>
          <t>V</t>
        </is>
      </c>
      <c r="B9" s="3" t="inlineStr">
        <is>
          <t>THUẾ GIÁ TRỊ GIA TĂNG (VAT)</t>
        </is>
      </c>
      <c r="C9" s="3" t="inlineStr">
        <is>
          <t>VAT = G × thuế suất</t>
        </is>
      </c>
      <c r="D9" s="3">
        <f>D8*D16</f>
        <v/>
      </c>
      <c r="E9" s="3">
        <f>D9/$D$10</f>
        <v/>
      </c>
      <c r="F9" s="3" t="inlineStr">
        <is>
          <t>Theo ô tỷ lệ D16</t>
        </is>
      </c>
    </row>
    <row r="10">
      <c r="A10" s="4" t="inlineStr">
        <is>
          <t>VI</t>
        </is>
      </c>
      <c r="B10" s="4" t="inlineStr">
        <is>
          <t>TỔNG CỘNG CHI PHÍ XÂY DỰNG SAU THUẾ (G_XD)</t>
        </is>
      </c>
      <c r="C10" s="4" t="inlineStr">
        <is>
          <t>G_XD = G + VAT</t>
        </is>
      </c>
      <c r="D10" s="4">
        <f>D8+D9</f>
        <v/>
      </c>
      <c r="E10" s="4" t="inlineStr">
        <is>
          <t>100.0%</t>
        </is>
      </c>
      <c r="F10" s="4" t="inlineStr">
        <is>
          <t>GIÁ TRỊ DỰ TOÁN PHÊ DUYỆT</t>
        </is>
      </c>
    </row>
    <row r="12">
      <c r="A12" s="6" t="inlineStr">
        <is>
          <t>TỶ LỆ ĐẦU VÀO (đổi ô vàng, các dòng II-VI tự tính lại)</t>
        </is>
      </c>
    </row>
    <row r="13">
      <c r="B13" t="inlineStr">
        <is>
          <t>Chi phí chung (% T)</t>
        </is>
      </c>
      <c r="D13" s="7" t="n">
        <v>0.073</v>
      </c>
    </row>
    <row r="14">
      <c r="B14" t="inlineStr">
        <is>
          <t>Nhà tạm để ở và điều hành thi công (% T)</t>
        </is>
      </c>
      <c r="D14" s="7" t="n">
        <v>0.012</v>
      </c>
    </row>
    <row r="15">
      <c r="B15" t="inlineStr">
        <is>
          <t>Thu nhập chịu thuế tính trước (% (T + GT))</t>
        </is>
      </c>
      <c r="D15" s="7" t="n">
        <v>0.055</v>
      </c>
    </row>
    <row r="16">
      <c r="B16" t="inlineStr">
        <is>
          <t>Thuế giá trị gia tăng (% G)</t>
        </is>
      </c>
      <c r="D16" s="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2026-10-02T12:23:02Z</dcterms:modified>
</cp:coreProperties>
</file>