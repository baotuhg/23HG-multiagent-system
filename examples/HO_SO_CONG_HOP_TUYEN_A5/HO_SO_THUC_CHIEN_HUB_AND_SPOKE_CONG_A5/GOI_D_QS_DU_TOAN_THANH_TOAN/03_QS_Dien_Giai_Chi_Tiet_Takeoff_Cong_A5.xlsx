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S_TAKEO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6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FFFFFF"/>
      <sz val="9"/>
    </font>
    <font>
      <name val="Times New Roman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3" borderId="2" applyAlignment="1" pivotButton="0" quotePrefix="0" xfId="0">
      <alignment horizontal="center" vertical="center" wrapText="1"/>
    </xf>
    <xf numFmtId="2" fontId="0" fillId="4" borderId="2" pivotButton="0" quotePrefix="0" xfId="0"/>
    <xf numFmtId="1" fontId="0" fillId="4" borderId="2" pivotButton="0" quotePrefix="0" xfId="0"/>
    <xf numFmtId="164" fontId="0" fillId="0" borderId="2" pivotButton="0" quotePrefix="0" xfId="0"/>
    <xf numFmtId="165" fontId="0" fillId="0" borderId="2" pivotButton="0" quotePrefix="0" xfId="0"/>
    <xf numFmtId="0" fontId="5" fillId="0" borderId="0" pivotButton="0" quotePrefix="0" xfId="0"/>
    <xf numFmtId="0" fontId="0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8" customWidth="1" min="11" max="11"/>
    <col width="18" customWidth="1" min="12" max="12"/>
    <col width="18" customWidth="1" min="13" max="13"/>
    <col width="18" customWidth="1" min="14" max="14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BÓC TÁCH DIỄN GIẢI HÌNH HỌC BÊ TÔNG, VÁN KHUÔN</t>
        </is>
      </c>
    </row>
    <row r="4">
      <c r="A4" s="2" t="inlineStr">
        <is>
          <t>STT</t>
        </is>
      </c>
      <c r="B4" s="2" t="inlineStr">
        <is>
          <t>HẠNG MỤC CÔNG TÁC / KẾT CẤU</t>
        </is>
      </c>
      <c r="C4" s="2" t="inlineStr">
        <is>
          <t>ĐƠN VỊ</t>
        </is>
      </c>
      <c r="D4" s="2" t="inlineStr">
        <is>
          <t>SỐ ĐỐT</t>
        </is>
      </c>
      <c r="E4" s="2" t="inlineStr">
        <is>
          <t>DÀI (m)</t>
        </is>
      </c>
      <c r="F4" s="2" t="inlineStr">
        <is>
          <t>RỘNG (m)</t>
        </is>
      </c>
      <c r="G4" s="2" t="inlineStr">
        <is>
          <t>CAO/DÀY (m)</t>
        </is>
      </c>
      <c r="H4" s="2" t="inlineStr">
        <is>
          <t>HỆ SỐ VÁT</t>
        </is>
      </c>
      <c r="I4" s="2" t="inlineStr">
        <is>
          <t>KHỐI LƯỢNG</t>
        </is>
      </c>
      <c r="J4" s="2" t="inlineStr">
        <is>
          <t>GHI CHÚ</t>
        </is>
      </c>
      <c r="K4" s="4" t="inlineStr">
        <is>
          <t>RỘNG LÒNG b (m)</t>
        </is>
      </c>
      <c r="L4" s="4" t="inlineStr">
        <is>
          <t>CAO LÒNG h (m)</t>
        </is>
      </c>
      <c r="M4" s="4" t="inlineStr">
        <is>
          <t>SỐ KHOANG n</t>
        </is>
      </c>
      <c r="N4" s="4" t="inlineStr">
        <is>
          <t>CẠNH VÚT c (m)</t>
        </is>
      </c>
      <c r="P4" s="4" t="inlineStr">
        <is>
          <t>VK TRONG (m2/m)</t>
        </is>
      </c>
      <c r="Q4" s="4" t="inlineStr">
        <is>
          <t>VK HÔNG NGOÀI (m2/m)</t>
        </is>
      </c>
      <c r="R4" s="4" t="inlineStr">
        <is>
          <t>VK ĐẦU ĐỐT (m2/m)</t>
        </is>
      </c>
      <c r="S4" s="4" t="inlineStr">
        <is>
          <t>VK TÍNH LẠI (m2/m)</t>
        </is>
      </c>
      <c r="T4" s="4" t="inlineStr">
        <is>
          <t>CHÊNH LỆCH SO VỚI SỐ ĐANG DÙNG (cột F)</t>
        </is>
      </c>
      <c r="U4" s="4" t="inlineStr">
        <is>
          <t>KẾT LUẬN</t>
        </is>
      </c>
    </row>
    <row r="5">
      <c r="A5" s="3" t="n">
        <v>1</v>
      </c>
      <c r="B5" s="3" t="inlineStr">
        <is>
          <t>Bê tông lót M100 cống đơn 2.0x2.0m</t>
        </is>
      </c>
      <c r="C5" s="3" t="inlineStr">
        <is>
          <t>m3</t>
        </is>
      </c>
      <c r="D5" s="3" t="n">
        <v>34</v>
      </c>
      <c r="E5" s="3" t="n">
        <v>11.3</v>
      </c>
      <c r="F5" s="3" t="n">
        <v>2.7</v>
      </c>
      <c r="G5" s="3" t="n">
        <v>0.05</v>
      </c>
      <c r="H5" s="3" t="n">
        <v>1</v>
      </c>
      <c r="I5" s="3">
        <f>D5*E5*F5*G5*H5</f>
        <v/>
      </c>
      <c r="J5" s="3" t="inlineStr">
        <is>
          <t>Dày 50mm, nhô 100mm mỗi bên</t>
        </is>
      </c>
    </row>
    <row r="6">
      <c r="A6" s="3" t="n">
        <v>2</v>
      </c>
      <c r="B6" s="3" t="inlineStr">
        <is>
          <t>Bê tông lót M100 cống đơn 3.0x3.0m</t>
        </is>
      </c>
      <c r="C6" s="3" t="inlineStr">
        <is>
          <t>m3</t>
        </is>
      </c>
      <c r="D6" s="3" t="n">
        <v>50</v>
      </c>
      <c r="E6" s="3" t="n">
        <v>11.3</v>
      </c>
      <c r="F6" s="3" t="n">
        <v>3.8</v>
      </c>
      <c r="G6" s="3" t="n">
        <v>0.05</v>
      </c>
      <c r="H6" s="3" t="n">
        <v>1</v>
      </c>
      <c r="I6" s="3">
        <f>D6*E6*F6*G6*H6</f>
        <v/>
      </c>
      <c r="J6" s="3" t="inlineStr">
        <is>
          <t>Dày 50mm, nhô 100mm mỗi bên</t>
        </is>
      </c>
    </row>
    <row r="7">
      <c r="A7" s="3" t="n">
        <v>3</v>
      </c>
      <c r="B7" s="3" t="inlineStr">
        <is>
          <t>Bê tông lót M100 cống đôi 2x(3.0x3.0m)</t>
        </is>
      </c>
      <c r="C7" s="3" t="inlineStr">
        <is>
          <t>m3</t>
        </is>
      </c>
      <c r="D7" s="3" t="n">
        <v>108</v>
      </c>
      <c r="E7" s="3" t="n">
        <v>11.3</v>
      </c>
      <c r="F7" s="3" t="n">
        <v>7.1</v>
      </c>
      <c r="G7" s="3" t="n">
        <v>0.05</v>
      </c>
      <c r="H7" s="3" t="n">
        <v>1</v>
      </c>
      <c r="I7" s="3">
        <f>D7*E7*F7*G7*H7</f>
        <v/>
      </c>
      <c r="J7" s="3" t="inlineStr">
        <is>
          <t>Dày 50mm, nhô 100mm mỗi bên</t>
        </is>
      </c>
    </row>
    <row r="8">
      <c r="A8" s="3" t="n">
        <v>4</v>
      </c>
      <c r="B8" s="3" t="inlineStr">
        <is>
          <t>Bê tông thân B20 cống đơn 2.0x2.0m</t>
        </is>
      </c>
      <c r="C8" s="3" t="inlineStr">
        <is>
          <t>m3</t>
        </is>
      </c>
      <c r="D8" s="3" t="n">
        <v>34</v>
      </c>
      <c r="E8" s="3" t="n">
        <v>11.3</v>
      </c>
      <c r="F8" s="3" t="n">
        <v>2.5</v>
      </c>
      <c r="G8" s="3" t="n">
        <v>2.5</v>
      </c>
      <c r="H8" s="3" t="n">
        <v>1</v>
      </c>
      <c r="I8" s="3">
        <f>D8*E8*(F8*G8-M8*K8*L8+M8*4*0.5*N8^2)</f>
        <v/>
      </c>
      <c r="J8" s="3" t="inlineStr">
        <is>
          <t>2.330 m3/m</t>
        </is>
      </c>
      <c r="K8" s="5" t="n">
        <v>2</v>
      </c>
      <c r="L8" s="5" t="n">
        <v>2</v>
      </c>
      <c r="M8" s="6" t="n">
        <v>1</v>
      </c>
      <c r="N8" s="5" t="n">
        <v>0.2</v>
      </c>
    </row>
    <row r="9">
      <c r="A9" s="3" t="n">
        <v>5</v>
      </c>
      <c r="B9" s="3" t="inlineStr">
        <is>
          <t>Bê tông thân B20 cống đơn 3.0x3.0m</t>
        </is>
      </c>
      <c r="C9" s="3" t="inlineStr">
        <is>
          <t>m3</t>
        </is>
      </c>
      <c r="D9" s="3" t="n">
        <v>50</v>
      </c>
      <c r="E9" s="3" t="n">
        <v>11.3</v>
      </c>
      <c r="F9" s="3" t="n">
        <v>3.6</v>
      </c>
      <c r="G9" s="3" t="n">
        <v>3.6</v>
      </c>
      <c r="H9" s="3" t="n">
        <v>1</v>
      </c>
      <c r="I9" s="3">
        <f>D9*E9*(F9*G9-M9*K9*L9+M9*4*0.5*N9^2)</f>
        <v/>
      </c>
      <c r="J9" s="3" t="inlineStr">
        <is>
          <t>4.085 m3/m</t>
        </is>
      </c>
      <c r="K9" s="5" t="n">
        <v>3</v>
      </c>
      <c r="L9" s="5" t="n">
        <v>3</v>
      </c>
      <c r="M9" s="6" t="n">
        <v>1</v>
      </c>
      <c r="N9" s="5" t="n">
        <v>0.25</v>
      </c>
    </row>
    <row r="10">
      <c r="A10" s="3" t="n">
        <v>6</v>
      </c>
      <c r="B10" s="3" t="inlineStr">
        <is>
          <t>Bê tông thân B20 cống đôi 2x(3.0x3.0m)</t>
        </is>
      </c>
      <c r="C10" s="3" t="inlineStr">
        <is>
          <t>m3</t>
        </is>
      </c>
      <c r="D10" s="3" t="n">
        <v>108</v>
      </c>
      <c r="E10" s="3" t="n">
        <v>11.3</v>
      </c>
      <c r="F10" s="3" t="n">
        <v>6.9</v>
      </c>
      <c r="G10" s="3" t="n">
        <v>3.6</v>
      </c>
      <c r="H10" s="3" t="n">
        <v>1</v>
      </c>
      <c r="I10" s="3">
        <f>D10*E10*(F10*G10-M10*K10*L10+M10*4*0.5*N10^2)</f>
        <v/>
      </c>
      <c r="J10" s="3" t="inlineStr">
        <is>
          <t>7.090 m3/m</t>
        </is>
      </c>
      <c r="K10" s="5" t="n">
        <v>3</v>
      </c>
      <c r="L10" s="5" t="n">
        <v>3</v>
      </c>
      <c r="M10" s="6" t="n">
        <v>2</v>
      </c>
      <c r="N10" s="5" t="n">
        <v>0.25</v>
      </c>
    </row>
    <row r="11">
      <c r="A11" s="3" t="n">
        <v>7</v>
      </c>
      <c r="B11" s="3" t="inlineStr">
        <is>
          <t>Ván khuôn tiếp xúc cống đơn 2.0x2.0m</t>
        </is>
      </c>
      <c r="C11" s="3" t="inlineStr">
        <is>
          <t>m2</t>
        </is>
      </c>
      <c r="D11" s="3" t="n">
        <v>34</v>
      </c>
      <c r="E11" s="3" t="n">
        <v>11.3</v>
      </c>
      <c r="F11" s="3" t="n">
        <v>11.14</v>
      </c>
      <c r="G11" s="3" t="n">
        <v>1</v>
      </c>
      <c r="H11" s="3" t="n">
        <v>1</v>
      </c>
      <c r="I11" s="3">
        <f>D11*E11*F11*G11*H11</f>
        <v/>
      </c>
      <c r="J11" s="3" t="inlineStr">
        <is>
          <t>Cột F = VK m2/m ĐANG DÙNG (không phải bề rộng); P..U là tính lại theo hình học</t>
        </is>
      </c>
      <c r="P11" s="7">
        <f>$C$17*M8*(2*(K8+L8)-4*N8*(2-SQRT(2)))</f>
        <v/>
      </c>
      <c r="Q11" s="7">
        <f>$C$18*2*G8+$C$19*F8+$C$20*F8</f>
        <v/>
      </c>
      <c r="R11" s="7">
        <f>$C$21*2*(F8*G8-M8*K8*L8+M8*4*0.5*N8^2)/E8</f>
        <v/>
      </c>
      <c r="S11" s="7">
        <f>P11+Q11+R11</f>
        <v/>
      </c>
      <c r="T11" s="8">
        <f>S11/F11-1</f>
        <v/>
      </c>
      <c r="U11" s="7">
        <f>IF(ABS(T11)&gt;0.05,"LỆCH &gt;5% - QS xác nhận","Khớp (&lt;=5%)")</f>
        <v/>
      </c>
    </row>
    <row r="12">
      <c r="A12" s="3" t="n">
        <v>8</v>
      </c>
      <c r="B12" s="3" t="inlineStr">
        <is>
          <t>Ván khuôn tiếp xúc cống đơn 3.0x3.0m</t>
        </is>
      </c>
      <c r="C12" s="3" t="inlineStr">
        <is>
          <t>m2</t>
        </is>
      </c>
      <c r="D12" s="3" t="n">
        <v>50</v>
      </c>
      <c r="E12" s="3" t="n">
        <v>11.3</v>
      </c>
      <c r="F12" s="3" t="n">
        <v>16.48</v>
      </c>
      <c r="G12" s="3" t="n">
        <v>1</v>
      </c>
      <c r="H12" s="3" t="n">
        <v>1</v>
      </c>
      <c r="I12" s="3">
        <f>D12*E12*F12*G12*H12</f>
        <v/>
      </c>
      <c r="J12" s="3" t="inlineStr">
        <is>
          <t>Cột F = VK m2/m ĐANG DÙNG (không phải bề rộng); P..U là tính lại theo hình học</t>
        </is>
      </c>
      <c r="P12" s="7">
        <f>$C$17*M9*(2*(K9+L9)-4*N9*(2-SQRT(2)))</f>
        <v/>
      </c>
      <c r="Q12" s="7">
        <f>$C$18*2*G9+$C$19*F9+$C$20*F9</f>
        <v/>
      </c>
      <c r="R12" s="7">
        <f>$C$21*2*(F9*G9-M9*K9*L9+M9*4*0.5*N9^2)/E9</f>
        <v/>
      </c>
      <c r="S12" s="7">
        <f>P12+Q12+R12</f>
        <v/>
      </c>
      <c r="T12" s="8">
        <f>S12/F12-1</f>
        <v/>
      </c>
      <c r="U12" s="7">
        <f>IF(ABS(T12)&gt;0.05,"LỆCH &gt;5% - QS xác nhận","Khớp (&lt;=5%)")</f>
        <v/>
      </c>
    </row>
    <row r="13">
      <c r="A13" s="3" t="n">
        <v>9</v>
      </c>
      <c r="B13" s="3" t="inlineStr">
        <is>
          <t>Ván khuôn tiếp xúc cống đôi 2x(3.0x3.0m)</t>
        </is>
      </c>
      <c r="C13" s="3" t="inlineStr">
        <is>
          <t>m2</t>
        </is>
      </c>
      <c r="D13" s="3" t="n">
        <v>108</v>
      </c>
      <c r="E13" s="3" t="n">
        <v>11.3</v>
      </c>
      <c r="F13" s="3" t="n">
        <v>25.66</v>
      </c>
      <c r="G13" s="3" t="n">
        <v>1</v>
      </c>
      <c r="H13" s="3" t="n">
        <v>1</v>
      </c>
      <c r="I13" s="3">
        <f>D13*E13*F13*G13*H13</f>
        <v/>
      </c>
      <c r="J13" s="3" t="inlineStr">
        <is>
          <t>Cột F = VK m2/m ĐANG DÙNG (không phải bề rộng); P..U là tính lại theo hình học</t>
        </is>
      </c>
      <c r="P13" s="7">
        <f>$C$17*M10*(2*(K10+L10)-4*N10*(2-SQRT(2)))</f>
        <v/>
      </c>
      <c r="Q13" s="7">
        <f>$C$18*2*G10+$C$19*F10+$C$20*F10</f>
        <v/>
      </c>
      <c r="R13" s="7">
        <f>$C$21*2*(F10*G10-M10*K10*L10+M10*4*0.5*N10^2)/E10</f>
        <v/>
      </c>
      <c r="S13" s="7">
        <f>P13+Q13+R13</f>
        <v/>
      </c>
      <c r="T13" s="8">
        <f>S13/F13-1</f>
        <v/>
      </c>
      <c r="U13" s="7">
        <f>IF(ABS(T13)&gt;0.05,"LỆCH &gt;5% - QS xác nhận","Khớp (&lt;=5%)")</f>
        <v/>
      </c>
    </row>
    <row r="15">
      <c r="A15" s="9" t="inlineStr">
        <is>
          <t>QUY ƯỚC VÁN KHUÔN (1 = có ván khuôn, 0 = không) - đổi ô vàng, cột P..U của dòng 11-13 tự tính lại</t>
        </is>
      </c>
    </row>
    <row r="17">
      <c r="B17" t="inlineStr">
        <is>
          <t>Ván khuôn mặt trong (lòng cống)</t>
        </is>
      </c>
      <c r="C17" s="10" t="n">
        <v>1</v>
      </c>
    </row>
    <row r="18">
      <c r="B18" t="inlineStr">
        <is>
          <t>Ván khuôn mặt hông ngoài (2 bên)</t>
        </is>
      </c>
      <c r="C18" s="10" t="n">
        <v>1</v>
      </c>
    </row>
    <row r="19">
      <c r="B19" t="inlineStr">
        <is>
          <t>Ván khuôn mặt trên (bản nắp)</t>
        </is>
      </c>
      <c r="C19" s="10" t="n">
        <v>0</v>
      </c>
    </row>
    <row r="20">
      <c r="B20" t="inlineStr">
        <is>
          <t>Ván khuôn mặt đáy (bản đáy)</t>
        </is>
      </c>
      <c r="C20" s="10" t="n">
        <v>0</v>
      </c>
    </row>
    <row r="21">
      <c r="B21" t="inlineStr">
        <is>
          <t>Ván khuôn đầu đốt (2 đầu mỗi đốt)</t>
        </is>
      </c>
      <c r="C21" s="10" t="n">
        <v>1</v>
      </c>
    </row>
    <row r="23" ht="62" customHeight="1">
      <c r="A23" s="11" t="inlineStr">
        <is>
          <t>Quy ước: ván khuôn tính theo diện tích bề mặt bê tông tiếp xúc ván khuôn; mặt nào có ván khuôn do biện pháp thi công quyết định (công tắc 1/0 bên dưới). Nguyên tắc đo bóc theo Thông tư 17/2019/TT-BXD (cần đối chiếu điều khoản cụ thể); Thông tư 12/2021/TT-BXD là định mức, không phải đo bóc.</t>
        </is>
      </c>
    </row>
  </sheetData>
  <mergeCells count="1">
    <mergeCell ref="A23:J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2026-09-29T12:04:24Z</dcterms:created>
  <dcterms:modified xmlns:dcterms="http://purl.org/dc/terms/" xmlns:xsi="http://www.w3.org/2001/XMLSchema-instance" xsi:type="dcterms:W3CDTF">2026-10-02T11:34:54Z</dcterms:modified>
</cp:coreProperties>
</file>