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_LUC_03A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i val="1"/>
      <color rgb="00595959"/>
      <sz val="10"/>
    </font>
    <font>
      <b val="1"/>
    </font>
    <font>
      <b val="1"/>
      <color rgb="00FFFFFF"/>
    </font>
    <font>
      <name val="Times New Roman"/>
      <b val="1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4" borderId="2" applyAlignment="1" pivotButton="0" quotePrefix="0" xfId="0">
      <alignment horizontal="center" vertical="center" wrapText="1"/>
    </xf>
    <xf numFmtId="164" fontId="0" fillId="0" borderId="2" pivotButton="0" quotePrefix="0" xfId="0"/>
    <xf numFmtId="10" fontId="0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0" fillId="3" borderId="2" pivotButton="0" quotePrefix="0" xfId="0"/>
    <xf numFmtId="4" fontId="0" fillId="0" borderId="2" pivotButton="0" quotePrefix="0" xfId="0"/>
    <xf numFmtId="165" fontId="0" fillId="0" borderId="2" pivotButton="0" quotePrefix="0" xfId="0"/>
    <xf numFmtId="1" fontId="0" fillId="3" borderId="2" pivotButton="0" quotePrefix="0" xfId="0"/>
    <xf numFmtId="166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7" fillId="5" borderId="3" pivotButton="0" quotePrefix="0" xfId="0"/>
    <xf numFmtId="0" fontId="0" fillId="5" borderId="3" pivotButton="0" quotePrefix="0" xfId="0"/>
    <xf numFmtId="4" fontId="7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min="10" max="10"/>
    <col width="24" customWidth="1" min="11" max="11"/>
    <col width="24" customWidth="1" min="12" max="12"/>
  </cols>
  <sheetData>
    <row r="1">
      <c r="A1" s="1" t="inlineStr">
        <is>
          <t>BẢNG THANH TOÁN KHỐI LƯỢNG KỲ 01 (MẪU 03.A NĐ 99/2021)</t>
        </is>
      </c>
    </row>
    <row r="4">
      <c r="A4" s="2" t="inlineStr">
        <is>
          <t>STT</t>
        </is>
      </c>
      <c r="B4" s="2" t="inlineStr">
        <is>
          <t>NỘI DUNG CÔNG VIỆC</t>
        </is>
      </c>
      <c r="C4" s="2" t="inlineStr">
        <is>
          <t>ĐƠN VỊ</t>
        </is>
      </c>
      <c r="D4" s="2" t="inlineStr">
        <is>
          <t>HỢP ĐỒNG (KL)</t>
        </is>
      </c>
      <c r="E4" s="2" t="inlineStr">
        <is>
          <t>ĐƠN GIÁ HĐ (VNĐ)</t>
        </is>
      </c>
      <c r="F4" s="2" t="inlineStr">
        <is>
          <t>LŨY KẾ KỲ TRƯỚC (KL)</t>
        </is>
      </c>
      <c r="G4" s="2" t="inlineStr">
        <is>
          <t>THỰC HIỆN KỲ NÀY (KL)</t>
        </is>
      </c>
      <c r="H4" s="2" t="inlineStr">
        <is>
          <t>THÀNH TIỀN KỲ NÀY (VNĐ)</t>
        </is>
      </c>
      <c r="I4" s="2" t="inlineStr">
        <is>
          <t>LŨY KẾ HẾT KỲ NÀY (KL)</t>
        </is>
      </c>
      <c r="J4" s="4" t="inlineStr">
        <is>
          <t>KL THEO BÓC TÁCH</t>
        </is>
      </c>
      <c r="K4" s="4" t="inlineStr">
        <is>
          <t>CHÊNH LỆCH SO VỚI HỢP ĐỒNG</t>
        </is>
      </c>
      <c r="L4" s="4" t="inlineStr">
        <is>
          <t>KẾT LUẬN (ngưỡng 0.5%)</t>
        </is>
      </c>
    </row>
    <row r="5">
      <c r="A5" s="3" t="n">
        <v>1</v>
      </c>
      <c r="B5" s="3" t="inlineStr">
        <is>
          <t>Đào đất hố móng cống hộp</t>
        </is>
      </c>
      <c r="C5" s="3" t="inlineStr">
        <is>
          <t>m3</t>
        </is>
      </c>
      <c r="D5" s="3" t="n">
        <v>38192</v>
      </c>
      <c r="E5" s="3" t="n">
        <v>45000</v>
      </c>
      <c r="F5" s="3" t="n">
        <v>0</v>
      </c>
      <c r="G5" s="3" t="n">
        <v>15000</v>
      </c>
      <c r="H5" s="3">
        <f>G5*E5</f>
        <v/>
      </c>
      <c r="I5" s="3">
        <f>F5+G5</f>
        <v/>
      </c>
      <c r="J5" s="5">
        <f>KHOI_LUONG_DAO_DAP!I5</f>
        <v/>
      </c>
      <c r="K5" s="6">
        <f>J5/D5-1</f>
        <v/>
      </c>
      <c r="L5" s="7">
        <f>IF(ABS(K5)&lt;=0.005,"Khớp","LỆCH - QS xác nhận")</f>
        <v/>
      </c>
    </row>
    <row r="6">
      <c r="A6" s="3" t="n">
        <v>2</v>
      </c>
      <c r="B6" s="3" t="inlineStr">
        <is>
          <t>Gia cố cọc tre d=6-8cm L=2.5m</t>
        </is>
      </c>
      <c r="C6" s="3" t="inlineStr">
        <is>
          <t>cọc</t>
        </is>
      </c>
      <c r="D6" s="3" t="n">
        <v>244125</v>
      </c>
      <c r="E6" s="3" t="n">
        <v>32000</v>
      </c>
      <c r="F6" s="3" t="n">
        <v>0</v>
      </c>
      <c r="G6" s="3" t="n">
        <v>80000</v>
      </c>
      <c r="H6" s="3">
        <f>G6*E6</f>
        <v/>
      </c>
      <c r="I6" s="3">
        <f>F6+G6</f>
        <v/>
      </c>
      <c r="J6" s="5">
        <f>KHOI_LUONG_DAO_DAP!I6</f>
        <v/>
      </c>
      <c r="K6" s="6">
        <f>J6/D6-1</f>
        <v/>
      </c>
      <c r="L6" s="7">
        <f>IF(ABS(K6)&lt;=0.005,"Khớp","LỆCH - QS xác nhận")</f>
        <v/>
      </c>
    </row>
    <row r="7">
      <c r="A7" s="3" t="n">
        <v>3</v>
      </c>
      <c r="B7" s="3" t="inlineStr">
        <is>
          <t>Bê tông lót móng cống M100</t>
        </is>
      </c>
      <c r="C7" s="3" t="inlineStr">
        <is>
          <t>m3</t>
        </is>
      </c>
      <c r="D7" s="3" t="n">
        <v>592.4</v>
      </c>
      <c r="E7" s="3" t="n">
        <v>980000</v>
      </c>
      <c r="F7" s="3" t="n">
        <v>0</v>
      </c>
      <c r="G7" s="3" t="n">
        <v>200</v>
      </c>
      <c r="H7" s="3">
        <f>G7*E7</f>
        <v/>
      </c>
      <c r="I7" s="3">
        <f>F7+G7</f>
        <v/>
      </c>
      <c r="J7" s="5">
        <f>SUM(QS_DIEN_GIAI_CHI_TIET!I5:I7)</f>
        <v/>
      </c>
      <c r="K7" s="6">
        <f>J7/D7-1</f>
        <v/>
      </c>
      <c r="L7" s="7">
        <f>IF(ABS(K7)&lt;=0.005,"Khớp","LỆCH - QS xác nhận")</f>
        <v/>
      </c>
    </row>
    <row r="8">
      <c r="A8" s="3" t="n">
        <v>4</v>
      </c>
      <c r="B8" s="3" t="inlineStr">
        <is>
          <t>Bê tông thân cống B20 (M250)</t>
        </is>
      </c>
      <c r="C8" s="3" t="inlineStr">
        <is>
          <t>m3</t>
        </is>
      </c>
      <c r="D8" s="3" t="n">
        <v>11870</v>
      </c>
      <c r="E8" s="3" t="n">
        <v>1450000</v>
      </c>
      <c r="F8" s="3" t="n">
        <v>0</v>
      </c>
      <c r="G8" s="3" t="n">
        <v>3500</v>
      </c>
      <c r="H8" s="3">
        <f>G8*E8</f>
        <v/>
      </c>
      <c r="I8" s="3">
        <f>F8+G8</f>
        <v/>
      </c>
      <c r="J8" s="5">
        <f>SUM(QS_DIEN_GIAI_CHI_TIET!I8:I10)</f>
        <v/>
      </c>
      <c r="K8" s="6">
        <f>J8/D8-1</f>
        <v/>
      </c>
      <c r="L8" s="7">
        <f>IF(ABS(K8)&lt;=0.005,"Khớp","LỆCH - QS xác nhận")</f>
        <v/>
      </c>
    </row>
    <row r="9">
      <c r="A9" s="3" t="n">
        <v>5</v>
      </c>
      <c r="B9" s="3" t="inlineStr">
        <is>
          <t>Ván khuôn thân cống tiếp xúc</t>
        </is>
      </c>
      <c r="C9" s="3" t="inlineStr">
        <is>
          <t>m2</t>
        </is>
      </c>
      <c r="D9" s="3" t="n">
        <v>44941</v>
      </c>
      <c r="E9" s="3" t="n">
        <v>165000</v>
      </c>
      <c r="F9" s="3" t="n">
        <v>0</v>
      </c>
      <c r="G9" s="3" t="n">
        <v>14000</v>
      </c>
      <c r="H9" s="3">
        <f>G9*E9</f>
        <v/>
      </c>
      <c r="I9" s="3">
        <f>F9+G9</f>
        <v/>
      </c>
      <c r="J9" s="5">
        <f>SUM(QS_DIEN_GIAI_CHI_TIET!I11:I13)</f>
        <v/>
      </c>
      <c r="K9" s="6">
        <f>J9/D9-1</f>
        <v/>
      </c>
      <c r="L9" s="7">
        <f>IF(ABS(K9)&lt;=0.005,"Khớp","LỆCH - QS xác nhận")</f>
        <v/>
      </c>
    </row>
    <row r="10">
      <c r="A10" s="3" t="n">
        <v>6</v>
      </c>
      <c r="B10" s="3" t="inlineStr">
        <is>
          <t>Cốt thép cống hộp các loại</t>
        </is>
      </c>
      <c r="C10" s="3" t="inlineStr">
        <is>
          <t>tấn</t>
        </is>
      </c>
      <c r="D10" s="3" t="n">
        <v>753.4</v>
      </c>
      <c r="E10" s="3" t="n">
        <v>21500000</v>
      </c>
      <c r="F10" s="3" t="n">
        <v>0</v>
      </c>
      <c r="G10" s="3" t="n">
        <v>220</v>
      </c>
      <c r="H10" s="3">
        <f>G10*E10</f>
        <v/>
      </c>
      <c r="I10" s="3">
        <f>F10+G10</f>
        <v/>
      </c>
      <c r="J10" s="5">
        <f>THONG_KE_THEP_CHI_TIET!J24/1000</f>
        <v/>
      </c>
      <c r="K10" s="6">
        <f>J10/D10-1</f>
        <v/>
      </c>
      <c r="L10" s="7">
        <f>IF(ABS(K10)&lt;=0.005,"Khớp","LỆCH - QS xác nhận")</f>
        <v/>
      </c>
    </row>
    <row r="17" ht="48" customHeight="1">
      <c r="B17" s="8" t="inlineStr">
        <is>
          <t>Cột D (khối lượng hợp đồng) là SỐ NHẬP từ hợp đồng; cột J..L chỉ đối chiếu với bóc tách, không ghi đè. Ván khuôn dùng số đang áp dụng trong bảng diễn giải (xem cột T của sheet diễn giải).</t>
        </is>
      </c>
    </row>
  </sheetData>
  <mergeCells count="1"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3" customWidth="1" min="9" max="9"/>
    <col width="31" customWidth="1" min="10" max="10"/>
  </cols>
  <sheetData>
    <row r="1">
      <c r="A1" s="1" t="inlineStr">
        <is>
          <t>BẢNG ĐO BÓC HÌNH HỌC ĐÀO ĐẮP ĐẤT &amp; XỬ LÝ NỀN MÓNG CỐNG</t>
        </is>
      </c>
    </row>
    <row r="2">
      <c r="A2" s="9" t="inlineStr">
        <is>
          <t>Tiêu chuẩn thi công: Đầm chặt đệm cát K95, cọc tre L=2.5m m=25 cọc/m2, đắp cát K98</t>
        </is>
      </c>
    </row>
    <row r="3"/>
    <row r="4" ht="25" customHeight="1">
      <c r="A4" s="2" t="inlineStr">
        <is>
          <t>STT</t>
        </is>
      </c>
      <c r="B4" s="2" t="inlineStr">
        <is>
          <t>HẠNG MỤC CÔNG TÁC</t>
        </is>
      </c>
      <c r="C4" s="2" t="inlineStr">
        <is>
          <t>ĐƠN VỊ</t>
        </is>
      </c>
      <c r="D4" s="2" t="inlineStr">
        <is>
          <t>SỐ LƯỢNG</t>
        </is>
      </c>
      <c r="E4" s="2" t="inlineStr">
        <is>
          <t>DÀI (m)</t>
        </is>
      </c>
      <c r="F4" s="2" t="inlineStr">
        <is>
          <t>RỘNG (m)</t>
        </is>
      </c>
      <c r="G4" s="2" t="inlineStr">
        <is>
          <t>CAO/SÂU (m)</t>
        </is>
      </c>
      <c r="H4" s="2" t="inlineStr">
        <is>
          <t>HỆ SỐ</t>
        </is>
      </c>
      <c r="I4" s="2" t="inlineStr">
        <is>
          <t>KHỐI LƯỢNG (m3)</t>
        </is>
      </c>
      <c r="J4" s="2" t="inlineStr">
        <is>
          <t>GHI CHÚ</t>
        </is>
      </c>
    </row>
    <row r="5" ht="20" customHeight="1">
      <c r="A5" s="10" t="n">
        <v>1</v>
      </c>
      <c r="B5" s="11" t="inlineStr">
        <is>
          <t>Đào hố móng cống đất C3 (máy kết hợp thủ công)</t>
        </is>
      </c>
      <c r="C5" s="10" t="inlineStr">
        <is>
          <t>m3</t>
        </is>
      </c>
      <c r="D5" s="12" t="n">
        <v>1</v>
      </c>
      <c r="E5" s="13" t="n">
        <v>2170</v>
      </c>
      <c r="F5" s="13" t="n">
        <v>5.5</v>
      </c>
      <c r="G5" s="13" t="n">
        <v>3.2</v>
      </c>
      <c r="H5" s="13" t="n">
        <v>1</v>
      </c>
      <c r="I5" s="13">
        <f>D5*E5*F5*G5*H5</f>
        <v/>
      </c>
      <c r="J5" s="11" t="inlineStr">
        <is>
          <t>Đào taluy m=0.5, sâu TB 3.2m</t>
        </is>
      </c>
    </row>
    <row r="6" ht="20" customHeight="1">
      <c r="A6" s="10" t="n">
        <v>2</v>
      </c>
      <c r="B6" s="11" t="inlineStr">
        <is>
          <t>Gia cố cọc tre nền đất yếu (d=6-8cm L=2.5m)</t>
        </is>
      </c>
      <c r="C6" s="10" t="inlineStr">
        <is>
          <t>cọc</t>
        </is>
      </c>
      <c r="D6" s="12" t="n">
        <v>1</v>
      </c>
      <c r="E6" s="13" t="n">
        <v>2170</v>
      </c>
      <c r="F6" s="13" t="n">
        <v>4.5</v>
      </c>
      <c r="G6" s="13" t="n">
        <v>25</v>
      </c>
      <c r="H6" s="13" t="n">
        <v>1</v>
      </c>
      <c r="I6" s="13">
        <f>D6*E6*F6*G6*H6</f>
        <v/>
      </c>
      <c r="J6" s="11" t="inlineStr">
        <is>
          <t>Mật độ 25 cọc/m2 đáy móng</t>
        </is>
      </c>
    </row>
    <row r="7" ht="20" customHeight="1">
      <c r="A7" s="10" t="n">
        <v>3</v>
      </c>
      <c r="B7" s="11" t="inlineStr">
        <is>
          <t>Đệm cát đầu cọc dày 100mm đầm chặt K95</t>
        </is>
      </c>
      <c r="C7" s="10" t="inlineStr">
        <is>
          <t>m3</t>
        </is>
      </c>
      <c r="D7" s="12" t="n">
        <v>1</v>
      </c>
      <c r="E7" s="13" t="n">
        <v>2170</v>
      </c>
      <c r="F7" s="13" t="n">
        <v>4.5</v>
      </c>
      <c r="G7" s="13" t="n">
        <v>0.1</v>
      </c>
      <c r="H7" s="13" t="n">
        <v>1</v>
      </c>
      <c r="I7" s="13">
        <f>D7*E7*F7*G7*H7</f>
        <v/>
      </c>
      <c r="J7" s="11" t="inlineStr">
        <is>
          <t>Đệm cát hạt trung đầm chặt</t>
        </is>
      </c>
    </row>
    <row r="8" ht="20" customHeight="1">
      <c r="A8" s="10" t="n">
        <v>4</v>
      </c>
      <c r="B8" s="11" t="inlineStr">
        <is>
          <t>Đắp cát/đất đầm chặt K95 mang cống và lưng cống — SỐ CŨ (chỉ để đối chiếu, xem khối tính lại bên dưới)</t>
        </is>
      </c>
      <c r="C8" s="10" t="inlineStr">
        <is>
          <t>m3</t>
        </is>
      </c>
      <c r="D8" s="12" t="n">
        <v>1</v>
      </c>
      <c r="E8" s="13" t="n">
        <v>2170</v>
      </c>
      <c r="F8" s="13" t="n">
        <v>4</v>
      </c>
      <c r="G8" s="13" t="n">
        <v>2.5</v>
      </c>
      <c r="H8" s="13" t="n">
        <v>1</v>
      </c>
      <c r="I8" s="13">
        <f>D8*E8*F8*G8*H8-QS_DIEN_GIAI_CHI_TIET!I8</f>
        <v/>
      </c>
      <c r="J8" s="11" t="inlineStr">
        <is>
          <t>Số cũ: một mặt cắt hào trung bình, chỉ trừ thể tích BÊ TÔNG cống 2.0x2.0m; không đúng với 3 loại cống và không trừ phần bao ngoài chiếm chỗ</t>
        </is>
      </c>
    </row>
    <row r="9"/>
    <row r="10">
      <c r="A10" s="14" t="inlineStr">
        <is>
          <t>ĐẮP LƯNG CỐNG TÍNH LẠI THEO TỪNG LOẠI CỐNG — trừ phần cống chiếm chỗ (Phụ lục VI TT 13/2021, mục II.5.2; cần đối chiếu bản gốc)</t>
        </is>
      </c>
    </row>
    <row r="11">
      <c r="B11" t="inlineStr">
        <is>
          <t>Khoảng thao tác mỗi bên cống (m)</t>
        </is>
      </c>
      <c r="D11" s="15" t="n">
        <v>0.75</v>
      </c>
      <c r="J11" t="inlineStr">
        <is>
          <t>GIẢ ĐỊNH suy từ số cũ: hào rộng 4.0 m quanh cống 2.5 m → 0.75 m mỗi bên. QS xác nhận theo biện pháp thi công</t>
        </is>
      </c>
    </row>
    <row r="12">
      <c r="B12" t="inlineStr">
        <is>
          <t>Chiều dày lớp đắp phủ trên nắp cống (m)</t>
        </is>
      </c>
      <c r="D12" s="15" t="n">
        <v>0</v>
      </c>
      <c r="J12" t="inlineStr">
        <is>
          <t>0 = chỉ đắp lưng cống đến đỉnh cống (số cũ dùng sâu 2.5 m = cao ngoài cống 2.0x2.0m)</t>
        </is>
      </c>
    </row>
    <row r="13"/>
    <row r="14">
      <c r="A14" s="4" t="inlineStr">
        <is>
          <t>STT</t>
        </is>
      </c>
      <c r="B14" s="4" t="inlineStr">
        <is>
          <t>LOẠI CỐNG</t>
        </is>
      </c>
      <c r="C14" s="4" t="inlineStr">
        <is>
          <t>ĐƠN VỊ</t>
        </is>
      </c>
      <c r="D14" s="4" t="inlineStr">
        <is>
          <t>SỐ ĐỐT</t>
        </is>
      </c>
      <c r="E14" s="4" t="inlineStr">
        <is>
          <t>DÀI (m)</t>
        </is>
      </c>
      <c r="F14" s="4" t="inlineStr">
        <is>
          <t>RỘNG HÀO (m)</t>
        </is>
      </c>
      <c r="G14" s="4" t="inlineStr">
        <is>
          <t>SÂU HÀO (m)</t>
        </is>
      </c>
      <c r="H14" s="4" t="inlineStr">
        <is>
          <t>TIẾT DIỆN CỐNG CHIẾM CHỖ (m2)</t>
        </is>
      </c>
      <c r="I14" s="4" t="inlineStr">
        <is>
          <t>KHỐI LƯỢNG ĐẮP (m3)</t>
        </is>
      </c>
      <c r="J14" s="4" t="inlineStr">
        <is>
          <t>GHI CHÚ</t>
        </is>
      </c>
    </row>
    <row r="15">
      <c r="A15" s="7" t="n">
        <v>1</v>
      </c>
      <c r="B15" s="7" t="inlineStr">
        <is>
          <t>Cống đơn 2.0x2.0m</t>
        </is>
      </c>
      <c r="C15" s="7" t="inlineStr">
        <is>
          <t>m3</t>
        </is>
      </c>
      <c r="D15" s="7">
        <f>QS_DIEN_GIAI_CHI_TIET!D8</f>
        <v/>
      </c>
      <c r="E15" s="16">
        <f>QS_DIEN_GIAI_CHI_TIET!E8</f>
        <v/>
      </c>
      <c r="F15" s="16">
        <f>QS_DIEN_GIAI_CHI_TIET!F8+2*$D$11</f>
        <v/>
      </c>
      <c r="G15" s="16">
        <f>QS_DIEN_GIAI_CHI_TIET!G8+$D$12</f>
        <v/>
      </c>
      <c r="H15" s="16">
        <f>QS_DIEN_GIAI_CHI_TIET!F8*QS_DIEN_GIAI_CHI_TIET!G8</f>
        <v/>
      </c>
      <c r="I15" s="5">
        <f>D15*E15*(F15*G15-H15)</f>
        <v/>
      </c>
      <c r="J15" s="7" t="inlineStr">
        <is>
          <t>Hào − phần bao ngoài cống chiếm chỗ</t>
        </is>
      </c>
    </row>
    <row r="16">
      <c r="A16" s="7" t="n">
        <v>2</v>
      </c>
      <c r="B16" s="7" t="inlineStr">
        <is>
          <t>Cống đơn 3.0x3.0m</t>
        </is>
      </c>
      <c r="C16" s="7" t="inlineStr">
        <is>
          <t>m3</t>
        </is>
      </c>
      <c r="D16" s="7">
        <f>QS_DIEN_GIAI_CHI_TIET!D9</f>
        <v/>
      </c>
      <c r="E16" s="16">
        <f>QS_DIEN_GIAI_CHI_TIET!E9</f>
        <v/>
      </c>
      <c r="F16" s="16">
        <f>QS_DIEN_GIAI_CHI_TIET!F9+2*$D$11</f>
        <v/>
      </c>
      <c r="G16" s="16">
        <f>QS_DIEN_GIAI_CHI_TIET!G9+$D$12</f>
        <v/>
      </c>
      <c r="H16" s="16">
        <f>QS_DIEN_GIAI_CHI_TIET!F9*QS_DIEN_GIAI_CHI_TIET!G9</f>
        <v/>
      </c>
      <c r="I16" s="5">
        <f>D16*E16*(F16*G16-H16)</f>
        <v/>
      </c>
      <c r="J16" s="7" t="inlineStr">
        <is>
          <t>Hào − phần bao ngoài cống chiếm chỗ</t>
        </is>
      </c>
    </row>
    <row r="17">
      <c r="A17" s="7" t="n">
        <v>3</v>
      </c>
      <c r="B17" s="7" t="inlineStr">
        <is>
          <t>Cống đôi 2x(3.0x3.0m)</t>
        </is>
      </c>
      <c r="C17" s="7" t="inlineStr">
        <is>
          <t>m3</t>
        </is>
      </c>
      <c r="D17" s="7">
        <f>QS_DIEN_GIAI_CHI_TIET!D10</f>
        <v/>
      </c>
      <c r="E17" s="16">
        <f>QS_DIEN_GIAI_CHI_TIET!E10</f>
        <v/>
      </c>
      <c r="F17" s="16">
        <f>QS_DIEN_GIAI_CHI_TIET!F10+2*$D$11</f>
        <v/>
      </c>
      <c r="G17" s="16">
        <f>QS_DIEN_GIAI_CHI_TIET!G10+$D$12</f>
        <v/>
      </c>
      <c r="H17" s="16">
        <f>QS_DIEN_GIAI_CHI_TIET!F10*QS_DIEN_GIAI_CHI_TIET!G10</f>
        <v/>
      </c>
      <c r="I17" s="5">
        <f>D17*E17*(F17*G17-H17)</f>
        <v/>
      </c>
      <c r="J17" s="7" t="inlineStr">
        <is>
          <t>Hào − phần bao ngoài cống chiếm chỗ</t>
        </is>
      </c>
    </row>
    <row r="18">
      <c r="B18" s="14" t="inlineStr">
        <is>
          <t>TỔNG ĐẮP LƯNG CỐNG (tính lại)</t>
        </is>
      </c>
      <c r="I18" s="5">
        <f>SUM(I15:I17)</f>
        <v/>
      </c>
    </row>
    <row r="19">
      <c r="B19" s="14" t="inlineStr">
        <is>
          <t>Số cũ (dòng 4)</t>
        </is>
      </c>
      <c r="I19" s="5">
        <f>I8</f>
        <v/>
      </c>
    </row>
    <row r="20">
      <c r="B20" s="14" t="inlineStr">
        <is>
          <t>Chênh lệch tính lại so với số cũ</t>
        </is>
      </c>
      <c r="I20" s="17">
        <f>I18/I19-1</f>
        <v/>
      </c>
      <c r="J20">
        <f>IF(ABS(I20)&gt;0.05,"LỆCH &gt;5% - QS xác nhận","Khớp (&lt;=5%)")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7" customWidth="1" min="9" max="9"/>
    <col width="3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BẢNG DIỄN GIẢI HÌNH HỌC TIÊN LƯỢNG BÊ TÔNG, VÁN KHUÔN CỐNG HỘP TUYẾN A5</t>
        </is>
      </c>
    </row>
    <row r="2">
      <c r="A2" s="9" t="inlineStr">
        <is>
          <t>CẤM 100% SỐ CHẾT (ZERO DEAD NUMBERS) — Dài x Rộng x Cao x Số lượng x Hệ số</t>
        </is>
      </c>
    </row>
    <row r="3"/>
    <row r="4" ht="25" customHeight="1">
      <c r="A4" s="2" t="inlineStr">
        <is>
          <t>STT</t>
        </is>
      </c>
      <c r="B4" s="2" t="inlineStr">
        <is>
          <t>HẠNG MỤC CÔNG TÁC / KẾT CẤU</t>
        </is>
      </c>
      <c r="C4" s="2" t="inlineStr">
        <is>
          <t>ĐƠN VỊ</t>
        </is>
      </c>
      <c r="D4" s="2" t="inlineStr">
        <is>
          <t>SỐ ĐỐT</t>
        </is>
      </c>
      <c r="E4" s="2" t="inlineStr">
        <is>
          <t>DÀI (m)</t>
        </is>
      </c>
      <c r="F4" s="2" t="inlineStr">
        <is>
          <t>RỘNG (m)</t>
        </is>
      </c>
      <c r="G4" s="2" t="inlineStr">
        <is>
          <t>CAO/DÀY (m)</t>
        </is>
      </c>
      <c r="H4" s="2" t="inlineStr">
        <is>
          <t>HỆ SỐ VÁT</t>
        </is>
      </c>
      <c r="I4" s="2" t="inlineStr">
        <is>
          <t>KHỐI LƯỢNG</t>
        </is>
      </c>
      <c r="J4" s="2" t="inlineStr">
        <is>
          <t>GHI CHÚ</t>
        </is>
      </c>
      <c r="K4" s="4" t="inlineStr">
        <is>
          <t>RỘNG LÒNG b (m)</t>
        </is>
      </c>
      <c r="L4" s="4" t="inlineStr">
        <is>
          <t>CAO LÒNG h (m)</t>
        </is>
      </c>
      <c r="M4" s="4" t="inlineStr">
        <is>
          <t>SỐ KHOANG n</t>
        </is>
      </c>
      <c r="N4" s="4" t="inlineStr">
        <is>
          <t>CẠNH VÚT c (m)</t>
        </is>
      </c>
      <c r="P4" s="4" t="inlineStr">
        <is>
          <t>VK TRONG (m2/m)</t>
        </is>
      </c>
      <c r="Q4" s="4" t="inlineStr">
        <is>
          <t>VK HÔNG NGOÀI (m2/m)</t>
        </is>
      </c>
      <c r="R4" s="4" t="inlineStr">
        <is>
          <t>VK ĐẦU ĐỐT (m2/m)</t>
        </is>
      </c>
      <c r="S4" s="4" t="inlineStr">
        <is>
          <t>VK TÍNH LẠI (m2/m)</t>
        </is>
      </c>
      <c r="T4" s="4" t="inlineStr">
        <is>
          <t>CHÊNH LỆCH SO VỚI SỐ ĐANG DÙNG (cột F)</t>
        </is>
      </c>
      <c r="U4" s="4" t="inlineStr">
        <is>
          <t>KẾT LUẬN</t>
        </is>
      </c>
    </row>
    <row r="5" ht="20" customHeight="1">
      <c r="A5" s="10" t="n">
        <v>1</v>
      </c>
      <c r="B5" s="11" t="inlineStr">
        <is>
          <t>Bê tông lót M100 cống đơn 2.0x2.0m</t>
        </is>
      </c>
      <c r="C5" s="10" t="inlineStr">
        <is>
          <t>m3</t>
        </is>
      </c>
      <c r="D5" s="12" t="n">
        <v>34</v>
      </c>
      <c r="E5" s="13" t="n">
        <v>11.3</v>
      </c>
      <c r="F5" s="13" t="n">
        <v>2.7</v>
      </c>
      <c r="G5" s="13" t="n">
        <v>0.05</v>
      </c>
      <c r="H5" s="13" t="n">
        <v>1</v>
      </c>
      <c r="I5" s="13">
        <f>D5*E5*F5*G5*H5</f>
        <v/>
      </c>
      <c r="J5" s="11" t="inlineStr">
        <is>
          <t>Dày 50mm, nhô 100mm mỗi bên</t>
        </is>
      </c>
    </row>
    <row r="6" ht="20" customHeight="1">
      <c r="A6" s="10" t="n">
        <v>2</v>
      </c>
      <c r="B6" s="11" t="inlineStr">
        <is>
          <t>Bê tông lót M100 cống đơn 3.0x3.0m</t>
        </is>
      </c>
      <c r="C6" s="10" t="inlineStr">
        <is>
          <t>m3</t>
        </is>
      </c>
      <c r="D6" s="12" t="n">
        <v>50</v>
      </c>
      <c r="E6" s="13" t="n">
        <v>11.3</v>
      </c>
      <c r="F6" s="13" t="n">
        <v>3.8</v>
      </c>
      <c r="G6" s="13" t="n">
        <v>0.05</v>
      </c>
      <c r="H6" s="13" t="n">
        <v>1</v>
      </c>
      <c r="I6" s="13">
        <f>D6*E6*F6*G6*H6</f>
        <v/>
      </c>
      <c r="J6" s="11" t="inlineStr">
        <is>
          <t>Dày 50mm, nhô 100mm mỗi bên</t>
        </is>
      </c>
    </row>
    <row r="7" ht="20" customHeight="1">
      <c r="A7" s="10" t="n">
        <v>3</v>
      </c>
      <c r="B7" s="11" t="inlineStr">
        <is>
          <t>Bê tông lót M100 cống đôi 2x(3.0x3.0m)</t>
        </is>
      </c>
      <c r="C7" s="10" t="inlineStr">
        <is>
          <t>m3</t>
        </is>
      </c>
      <c r="D7" s="12" t="n">
        <v>108</v>
      </c>
      <c r="E7" s="13" t="n">
        <v>11.3</v>
      </c>
      <c r="F7" s="13" t="n">
        <v>7.1</v>
      </c>
      <c r="G7" s="13" t="n">
        <v>0.05</v>
      </c>
      <c r="H7" s="13" t="n">
        <v>1</v>
      </c>
      <c r="I7" s="13">
        <f>D7*E7*F7*G7*H7</f>
        <v/>
      </c>
      <c r="J7" s="11" t="inlineStr">
        <is>
          <t>Dày 50mm, nhô 100mm mỗi bên</t>
        </is>
      </c>
    </row>
    <row r="8" ht="20" customHeight="1">
      <c r="A8" s="10" t="n">
        <v>4</v>
      </c>
      <c r="B8" s="11" t="inlineStr">
        <is>
          <t>Bê tông thân B20 cống đơn 2.0x2.0m</t>
        </is>
      </c>
      <c r="C8" s="10" t="inlineStr">
        <is>
          <t>m3</t>
        </is>
      </c>
      <c r="D8" s="12" t="n">
        <v>34</v>
      </c>
      <c r="E8" s="13" t="n">
        <v>11.3</v>
      </c>
      <c r="F8" s="13" t="n">
        <v>2.5</v>
      </c>
      <c r="G8" s="13" t="n">
        <v>2.5</v>
      </c>
      <c r="H8" s="13" t="n">
        <v>1</v>
      </c>
      <c r="I8" s="13">
        <f>D8*E8*(F8*G8-M8*K8*L8+M8*4*0.5*N8^2)</f>
        <v/>
      </c>
      <c r="J8" s="11" t="inlineStr">
        <is>
          <t>2.330 m3/m</t>
        </is>
      </c>
      <c r="K8" s="15" t="n">
        <v>2</v>
      </c>
      <c r="L8" s="15" t="n">
        <v>2</v>
      </c>
      <c r="M8" s="18" t="n">
        <v>1</v>
      </c>
      <c r="N8" s="15" t="n">
        <v>0.2</v>
      </c>
    </row>
    <row r="9" ht="20" customHeight="1">
      <c r="A9" s="10" t="n">
        <v>5</v>
      </c>
      <c r="B9" s="11" t="inlineStr">
        <is>
          <t>Bê tông thân B20 cống đơn 3.0x3.0m</t>
        </is>
      </c>
      <c r="C9" s="10" t="inlineStr">
        <is>
          <t>m3</t>
        </is>
      </c>
      <c r="D9" s="12" t="n">
        <v>50</v>
      </c>
      <c r="E9" s="13" t="n">
        <v>11.3</v>
      </c>
      <c r="F9" s="13" t="n">
        <v>3.6</v>
      </c>
      <c r="G9" s="13" t="n">
        <v>3.6</v>
      </c>
      <c r="H9" s="13" t="n">
        <v>1</v>
      </c>
      <c r="I9" s="13">
        <f>D9*E9*(F9*G9-M9*K9*L9+M9*4*0.5*N9^2)</f>
        <v/>
      </c>
      <c r="J9" s="11" t="inlineStr">
        <is>
          <t>4.085 m3/m</t>
        </is>
      </c>
      <c r="K9" s="15" t="n">
        <v>3</v>
      </c>
      <c r="L9" s="15" t="n">
        <v>3</v>
      </c>
      <c r="M9" s="18" t="n">
        <v>1</v>
      </c>
      <c r="N9" s="15" t="n">
        <v>0.25</v>
      </c>
    </row>
    <row r="10" ht="20" customHeight="1">
      <c r="A10" s="10" t="n">
        <v>6</v>
      </c>
      <c r="B10" s="11" t="inlineStr">
        <is>
          <t>Bê tông thân B20 cống đôi 2x(3.0x3.0m)</t>
        </is>
      </c>
      <c r="C10" s="10" t="inlineStr">
        <is>
          <t>m3</t>
        </is>
      </c>
      <c r="D10" s="12" t="n">
        <v>108</v>
      </c>
      <c r="E10" s="13" t="n">
        <v>11.3</v>
      </c>
      <c r="F10" s="13" t="n">
        <v>6.9</v>
      </c>
      <c r="G10" s="13" t="n">
        <v>3.6</v>
      </c>
      <c r="H10" s="13" t="n">
        <v>1</v>
      </c>
      <c r="I10" s="13">
        <f>D10*E10*(F10*G10-M10*K10*L10+M10*4*0.5*N10^2)</f>
        <v/>
      </c>
      <c r="J10" s="11" t="inlineStr">
        <is>
          <t>7.090 m3/m</t>
        </is>
      </c>
      <c r="K10" s="15" t="n">
        <v>3</v>
      </c>
      <c r="L10" s="15" t="n">
        <v>3</v>
      </c>
      <c r="M10" s="18" t="n">
        <v>2</v>
      </c>
      <c r="N10" s="15" t="n">
        <v>0.25</v>
      </c>
    </row>
    <row r="11" ht="20" customHeight="1">
      <c r="A11" s="10" t="n">
        <v>7</v>
      </c>
      <c r="B11" s="11" t="inlineStr">
        <is>
          <t>Ván khuôn tiếp xúc cống đơn 2.0x2.0m</t>
        </is>
      </c>
      <c r="C11" s="10" t="inlineStr">
        <is>
          <t>m2</t>
        </is>
      </c>
      <c r="D11" s="12" t="n">
        <v>34</v>
      </c>
      <c r="E11" s="13" t="n">
        <v>11.3</v>
      </c>
      <c r="F11" s="13" t="n">
        <v>11.14</v>
      </c>
      <c r="G11" s="13" t="n">
        <v>1</v>
      </c>
      <c r="H11" s="13" t="n">
        <v>1</v>
      </c>
      <c r="I11" s="13">
        <f>D11*E11*F11*G11*H11</f>
        <v/>
      </c>
      <c r="J11" s="11" t="inlineStr">
        <is>
          <t>Cột F = VK m2/m ĐANG DÙNG (không phải bề rộng); P..U là tính lại theo hình học</t>
        </is>
      </c>
      <c r="P11" s="19">
        <f>$C$17*M8*(2*(K8+L8)-4*N8*(2-SQRT(2)))</f>
        <v/>
      </c>
      <c r="Q11" s="19">
        <f>$C$18*2*G8+$C$19*F8+$C$20*F8</f>
        <v/>
      </c>
      <c r="R11" s="19">
        <f>$C$21*2*(F8*G8-M8*K8*L8+M8*4*0.5*N8^2)/E8</f>
        <v/>
      </c>
      <c r="S11" s="19">
        <f>P11+Q11+R11</f>
        <v/>
      </c>
      <c r="T11" s="17">
        <f>S11/F11-1</f>
        <v/>
      </c>
      <c r="U11" s="19">
        <f>IF(ABS(T11)&gt;0.05,"LỆCH &gt;5% - QS xác nhận","Khớp (&lt;=5%)")</f>
        <v/>
      </c>
    </row>
    <row r="12" ht="20" customHeight="1">
      <c r="A12" s="10" t="n">
        <v>8</v>
      </c>
      <c r="B12" s="11" t="inlineStr">
        <is>
          <t>Ván khuôn tiếp xúc cống đơn 3.0x3.0m</t>
        </is>
      </c>
      <c r="C12" s="10" t="inlineStr">
        <is>
          <t>m2</t>
        </is>
      </c>
      <c r="D12" s="12" t="n">
        <v>50</v>
      </c>
      <c r="E12" s="13" t="n">
        <v>11.3</v>
      </c>
      <c r="F12" s="13" t="n">
        <v>16.48</v>
      </c>
      <c r="G12" s="13" t="n">
        <v>1</v>
      </c>
      <c r="H12" s="13" t="n">
        <v>1</v>
      </c>
      <c r="I12" s="13">
        <f>D12*E12*F12*G12*H12</f>
        <v/>
      </c>
      <c r="J12" s="11" t="inlineStr">
        <is>
          <t>Cột F = VK m2/m ĐANG DÙNG (không phải bề rộng); P..U là tính lại theo hình học</t>
        </is>
      </c>
      <c r="P12" s="19">
        <f>$C$17*M9*(2*(K9+L9)-4*N9*(2-SQRT(2)))</f>
        <v/>
      </c>
      <c r="Q12" s="19">
        <f>$C$18*2*G9+$C$19*F9+$C$20*F9</f>
        <v/>
      </c>
      <c r="R12" s="19">
        <f>$C$21*2*(F9*G9-M9*K9*L9+M9*4*0.5*N9^2)/E9</f>
        <v/>
      </c>
      <c r="S12" s="19">
        <f>P12+Q12+R12</f>
        <v/>
      </c>
      <c r="T12" s="17">
        <f>S12/F12-1</f>
        <v/>
      </c>
      <c r="U12" s="19">
        <f>IF(ABS(T12)&gt;0.05,"LỆCH &gt;5% - QS xác nhận","Khớp (&lt;=5%)")</f>
        <v/>
      </c>
    </row>
    <row r="13" ht="20" customHeight="1">
      <c r="A13" s="10" t="n">
        <v>9</v>
      </c>
      <c r="B13" s="11" t="inlineStr">
        <is>
          <t>Ván khuôn tiếp xúc cống đôi 2x(3.0x3.0m)</t>
        </is>
      </c>
      <c r="C13" s="10" t="inlineStr">
        <is>
          <t>m2</t>
        </is>
      </c>
      <c r="D13" s="12" t="n">
        <v>108</v>
      </c>
      <c r="E13" s="13" t="n">
        <v>11.3</v>
      </c>
      <c r="F13" s="13" t="n">
        <v>25.66</v>
      </c>
      <c r="G13" s="13" t="n">
        <v>1</v>
      </c>
      <c r="H13" s="13" t="n">
        <v>1</v>
      </c>
      <c r="I13" s="13">
        <f>D13*E13*F13*G13*H13</f>
        <v/>
      </c>
      <c r="J13" s="11" t="inlineStr">
        <is>
          <t>Cột F = VK m2/m ĐANG DÙNG (không phải bề rộng); P..U là tính lại theo hình học</t>
        </is>
      </c>
      <c r="P13" s="19">
        <f>$C$17*M10*(2*(K10+L10)-4*N10*(2-SQRT(2)))</f>
        <v/>
      </c>
      <c r="Q13" s="19">
        <f>$C$18*2*G10+$C$19*F10+$C$20*F10</f>
        <v/>
      </c>
      <c r="R13" s="19">
        <f>$C$21*2*(F10*G10-M10*K10*L10+M10*4*0.5*N10^2)/E10</f>
        <v/>
      </c>
      <c r="S13" s="19">
        <f>P13+Q13+R13</f>
        <v/>
      </c>
      <c r="T13" s="17">
        <f>S13/F13-1</f>
        <v/>
      </c>
      <c r="U13" s="19">
        <f>IF(ABS(T13)&gt;0.05,"LỆCH &gt;5% - QS xác nhận","Khớp (&lt;=5%)")</f>
        <v/>
      </c>
    </row>
    <row r="14"/>
    <row r="15">
      <c r="A15" s="14" t="inlineStr">
        <is>
          <t>QUY ƯỚC VÁN KHUÔN (1 = có ván khuôn, 0 = không) - đổi ô vàng, cột P..U của dòng 11-13 tự tính lại</t>
        </is>
      </c>
    </row>
    <row r="16"/>
    <row r="17">
      <c r="B17" t="inlineStr">
        <is>
          <t>Ván khuôn mặt trong (lòng cống)</t>
        </is>
      </c>
      <c r="C17" s="20" t="n">
        <v>1</v>
      </c>
    </row>
    <row r="18">
      <c r="B18" t="inlineStr">
        <is>
          <t>Ván khuôn mặt hông ngoài (2 bên)</t>
        </is>
      </c>
      <c r="C18" s="20" t="n">
        <v>1</v>
      </c>
    </row>
    <row r="19">
      <c r="B19" t="inlineStr">
        <is>
          <t>Ván khuôn mặt trên (bản nắp)</t>
        </is>
      </c>
      <c r="C19" s="20" t="n">
        <v>0</v>
      </c>
    </row>
    <row r="20">
      <c r="B20" t="inlineStr">
        <is>
          <t>Ván khuôn mặt đáy (bản đáy)</t>
        </is>
      </c>
      <c r="C20" s="20" t="n">
        <v>0</v>
      </c>
    </row>
    <row r="21">
      <c r="B21" t="inlineStr">
        <is>
          <t>Ván khuôn đầu đốt (2 đầu mỗi đốt)</t>
        </is>
      </c>
      <c r="C21" s="20" t="n">
        <v>1</v>
      </c>
    </row>
    <row r="22"/>
    <row r="23" ht="62" customHeight="1">
      <c r="A23" s="8" t="inlineStr">
        <is>
          <t>Quy ước: ván khuôn tính theo diện tích bề mặt bê tông tiếp xúc ván khuôn; mặt nào có ván khuôn do biện pháp thi công quyết định (công tắc 1/0 bên dưới). Căn cứ đo bóc: văn bản hiện hành tại thời điểm lập hồ sơ do kỹ sư QS xác nhận (theo nguồn thứ cấp: TT 13/2021/TT-BXD và sửa đổi áp dụng đến 30/06/2026; từ 01/07/2026 cần kiểm tra văn bản thay thế như TT 37/2026/TT-BXD, QĐ 1041/QĐ-BXD - chưa đối chiếu toàn văn). TT 12/2021/TT-BXD là định mức, không phải đo bóc.</t>
        </is>
      </c>
    </row>
  </sheetData>
  <mergeCells count="1">
    <mergeCell ref="A23:J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33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21" customWidth="1" min="9" max="9"/>
    <col width="24" customWidth="1" min="10" max="10"/>
  </cols>
  <sheetData>
    <row r="1">
      <c r="A1" s="1" t="inlineStr">
        <is>
          <t>BẢNG THỐNG KÊ CỐT THÉP CHI TIẾT (BBS) TOÀN TUYẾN CỐNG HỘP A5</t>
        </is>
      </c>
    </row>
    <row r="2">
      <c r="A2" s="9" t="inlineStr">
        <is>
          <t>Quy chuẩn TCVN 1651:2018 | Thép d&lt;10mm CB240-T, Thép d&gt;=10mm CB500-V</t>
        </is>
      </c>
    </row>
    <row r="3"/>
    <row r="4" ht="25" customHeight="1">
      <c r="A4" s="2" t="inlineStr">
        <is>
          <t>STT</t>
        </is>
      </c>
      <c r="B4" s="2" t="inlineStr">
        <is>
          <t>SỐ HIỆU THANH</t>
        </is>
      </c>
      <c r="C4" s="2" t="inlineStr">
        <is>
          <t>VỊ TRÍ / CẤU KIỆN</t>
        </is>
      </c>
      <c r="D4" s="2" t="inlineStr">
        <is>
          <t>Ø (mm)</t>
        </is>
      </c>
      <c r="E4" s="2" t="inlineStr">
        <is>
          <t>MÁC THÉP</t>
        </is>
      </c>
      <c r="F4" s="2" t="inlineStr">
        <is>
          <t>SỐ LƯỢNG</t>
        </is>
      </c>
      <c r="G4" s="2" t="inlineStr">
        <is>
          <t>CHIỀU DÀI L (m)</t>
        </is>
      </c>
      <c r="H4" s="2" t="inlineStr">
        <is>
          <t>TỔNG DÀI (m)</t>
        </is>
      </c>
      <c r="I4" s="2" t="inlineStr">
        <is>
          <t>TRỌNG LƯỢNG (kg/m)</t>
        </is>
      </c>
      <c r="J4" s="2" t="inlineStr">
        <is>
          <t>TỔNG TRỌNG LƯỢNG (kg)</t>
        </is>
      </c>
    </row>
    <row r="5" ht="20" customHeight="1">
      <c r="A5" s="10" t="n">
        <v>1</v>
      </c>
      <c r="B5" s="10" t="inlineStr">
        <is>
          <t>CH2x2-01</t>
        </is>
      </c>
      <c r="C5" s="11" t="inlineStr">
        <is>
          <t>Thép ngang nắp/đáy cống 2x2</t>
        </is>
      </c>
      <c r="D5" s="10" t="n">
        <v>12</v>
      </c>
      <c r="E5" s="10" t="inlineStr">
        <is>
          <t>CB500-V</t>
        </is>
      </c>
      <c r="F5" s="12" t="n">
        <v>7684</v>
      </c>
      <c r="G5" s="13" t="n">
        <v>2.82</v>
      </c>
      <c r="H5" s="13">
        <f>F5*G5</f>
        <v/>
      </c>
      <c r="I5" s="21" t="n">
        <v>0.888</v>
      </c>
      <c r="J5" s="13">
        <f>H5*I5</f>
        <v/>
      </c>
    </row>
    <row r="6" ht="20" customHeight="1">
      <c r="A6" s="10" t="n">
        <v>2</v>
      </c>
      <c r="B6" s="10" t="inlineStr">
        <is>
          <t>CH2x2-02</t>
        </is>
      </c>
      <c r="C6" s="11" t="inlineStr">
        <is>
          <t>Thép thành cống 2x2</t>
        </is>
      </c>
      <c r="D6" s="10" t="n">
        <v>12</v>
      </c>
      <c r="E6" s="10" t="inlineStr">
        <is>
          <t>CB500-V</t>
        </is>
      </c>
      <c r="F6" s="12" t="n">
        <v>6120</v>
      </c>
      <c r="G6" s="13" t="n">
        <v>2.84</v>
      </c>
      <c r="H6" s="13">
        <f>F6*G6</f>
        <v/>
      </c>
      <c r="I6" s="21" t="n">
        <v>0.888</v>
      </c>
      <c r="J6" s="13">
        <f>H6*I6</f>
        <v/>
      </c>
    </row>
    <row r="7" ht="20" customHeight="1">
      <c r="A7" s="10" t="n">
        <v>3</v>
      </c>
      <c r="B7" s="10" t="inlineStr">
        <is>
          <t>CH2x2-03</t>
        </is>
      </c>
      <c r="C7" s="11" t="inlineStr">
        <is>
          <t>Thép nách cống 2x2</t>
        </is>
      </c>
      <c r="D7" s="10" t="n">
        <v>12</v>
      </c>
      <c r="E7" s="10" t="inlineStr">
        <is>
          <t>CB500-V</t>
        </is>
      </c>
      <c r="F7" s="12" t="n">
        <v>6120</v>
      </c>
      <c r="G7" s="13" t="n">
        <v>1.32</v>
      </c>
      <c r="H7" s="13">
        <f>F7*G7</f>
        <v/>
      </c>
      <c r="I7" s="21" t="n">
        <v>0.888</v>
      </c>
      <c r="J7" s="13">
        <f>H7*I7</f>
        <v/>
      </c>
    </row>
    <row r="8" ht="20" customHeight="1">
      <c r="A8" s="10" t="n">
        <v>4</v>
      </c>
      <c r="B8" s="10" t="inlineStr">
        <is>
          <t>CH2x2-04</t>
        </is>
      </c>
      <c r="C8" s="11" t="inlineStr">
        <is>
          <t>Thép dọc cống 2x2</t>
        </is>
      </c>
      <c r="D8" s="10" t="n">
        <v>10</v>
      </c>
      <c r="E8" s="10" t="inlineStr">
        <is>
          <t>CB240-T</t>
        </is>
      </c>
      <c r="F8" s="12" t="n">
        <v>3264</v>
      </c>
      <c r="G8" s="13" t="n">
        <v>11.7</v>
      </c>
      <c r="H8" s="13">
        <f>F8*G8</f>
        <v/>
      </c>
      <c r="I8" s="21" t="n">
        <v>0.617</v>
      </c>
      <c r="J8" s="13">
        <f>H8*I8</f>
        <v/>
      </c>
    </row>
    <row r="9" ht="20" customHeight="1">
      <c r="A9" s="10" t="n">
        <v>5</v>
      </c>
      <c r="B9" s="10" t="inlineStr">
        <is>
          <t>CH2x2-05</t>
        </is>
      </c>
      <c r="C9" s="11" t="inlineStr">
        <is>
          <t>Dowel bar khe cống 2x2</t>
        </is>
      </c>
      <c r="D9" s="10" t="n">
        <v>22</v>
      </c>
      <c r="E9" s="10" t="inlineStr">
        <is>
          <t>CB500-V</t>
        </is>
      </c>
      <c r="F9" s="12" t="n">
        <v>680</v>
      </c>
      <c r="G9" s="13" t="n">
        <v>1</v>
      </c>
      <c r="H9" s="13">
        <f>F9*G9</f>
        <v/>
      </c>
      <c r="I9" s="21" t="n">
        <v>2.984</v>
      </c>
      <c r="J9" s="13">
        <f>H9*I9</f>
        <v/>
      </c>
    </row>
    <row r="10" ht="20" customHeight="1">
      <c r="A10" s="10" t="n">
        <v>6</v>
      </c>
      <c r="B10" s="10" t="inlineStr">
        <is>
          <t>CH3x3-01</t>
        </is>
      </c>
      <c r="C10" s="11" t="inlineStr">
        <is>
          <t>Thép ngang nắp/đáy cống 3x3</t>
        </is>
      </c>
      <c r="D10" s="10" t="n">
        <v>14</v>
      </c>
      <c r="E10" s="10" t="inlineStr">
        <is>
          <t>CB500-V</t>
        </is>
      </c>
      <c r="F10" s="12" t="n">
        <v>9000</v>
      </c>
      <c r="G10" s="13" t="n">
        <v>3.9</v>
      </c>
      <c r="H10" s="13">
        <f>F10*G10</f>
        <v/>
      </c>
      <c r="I10" s="21" t="n">
        <v>1.208</v>
      </c>
      <c r="J10" s="13">
        <f>H10*I10</f>
        <v/>
      </c>
    </row>
    <row r="11" ht="20" customHeight="1">
      <c r="A11" s="10" t="n">
        <v>7</v>
      </c>
      <c r="B11" s="10" t="inlineStr">
        <is>
          <t>CH3x3-02</t>
        </is>
      </c>
      <c r="C11" s="11" t="inlineStr">
        <is>
          <t>Thép thành cống 3x3</t>
        </is>
      </c>
      <c r="D11" s="10" t="n">
        <v>14</v>
      </c>
      <c r="E11" s="10" t="inlineStr">
        <is>
          <t>CB500-V</t>
        </is>
      </c>
      <c r="F11" s="12" t="n">
        <v>9000</v>
      </c>
      <c r="G11" s="13" t="n">
        <v>3.9</v>
      </c>
      <c r="H11" s="13">
        <f>F11*G11</f>
        <v/>
      </c>
      <c r="I11" s="21" t="n">
        <v>1.208</v>
      </c>
      <c r="J11" s="13">
        <f>H11*I11</f>
        <v/>
      </c>
    </row>
    <row r="12" ht="20" customHeight="1">
      <c r="A12" s="10" t="n">
        <v>8</v>
      </c>
      <c r="B12" s="10" t="inlineStr">
        <is>
          <t>CH3x3-03</t>
        </is>
      </c>
      <c r="C12" s="11" t="inlineStr">
        <is>
          <t>Thép nách cống 3x3</t>
        </is>
      </c>
      <c r="D12" s="10" t="n">
        <v>14</v>
      </c>
      <c r="E12" s="10" t="inlineStr">
        <is>
          <t>CB500-V</t>
        </is>
      </c>
      <c r="F12" s="12" t="n">
        <v>9000</v>
      </c>
      <c r="G12" s="13" t="n">
        <v>1.95</v>
      </c>
      <c r="H12" s="13">
        <f>F12*G12</f>
        <v/>
      </c>
      <c r="I12" s="21" t="n">
        <v>1.208</v>
      </c>
      <c r="J12" s="13">
        <f>H12*I12</f>
        <v/>
      </c>
    </row>
    <row r="13" ht="20" customHeight="1">
      <c r="A13" s="10" t="n">
        <v>9</v>
      </c>
      <c r="B13" s="10" t="inlineStr">
        <is>
          <t>CH3x3-04</t>
        </is>
      </c>
      <c r="C13" s="11" t="inlineStr">
        <is>
          <t>Thép dọc cống 3x3</t>
        </is>
      </c>
      <c r="D13" s="10" t="n">
        <v>10</v>
      </c>
      <c r="E13" s="10" t="inlineStr">
        <is>
          <t>CB240-T</t>
        </is>
      </c>
      <c r="F13" s="12" t="n">
        <v>6800</v>
      </c>
      <c r="G13" s="13" t="n">
        <v>11.7</v>
      </c>
      <c r="H13" s="13">
        <f>F13*G13</f>
        <v/>
      </c>
      <c r="I13" s="21" t="n">
        <v>0.617</v>
      </c>
      <c r="J13" s="13">
        <f>H13*I13</f>
        <v/>
      </c>
    </row>
    <row r="14" ht="20" customHeight="1">
      <c r="A14" s="10" t="n">
        <v>10</v>
      </c>
      <c r="B14" s="10" t="inlineStr">
        <is>
          <t>CH3x3-05</t>
        </is>
      </c>
      <c r="C14" s="11" t="inlineStr">
        <is>
          <t>Dowel bar khe cống 3x3</t>
        </is>
      </c>
      <c r="D14" s="10" t="n">
        <v>22</v>
      </c>
      <c r="E14" s="10" t="inlineStr">
        <is>
          <t>CB500-V</t>
        </is>
      </c>
      <c r="F14" s="12" t="n">
        <v>1400</v>
      </c>
      <c r="G14" s="13" t="n">
        <v>1</v>
      </c>
      <c r="H14" s="13">
        <f>F14*G14</f>
        <v/>
      </c>
      <c r="I14" s="21" t="n">
        <v>2.984</v>
      </c>
      <c r="J14" s="13">
        <f>H14*I14</f>
        <v/>
      </c>
    </row>
    <row r="15" ht="20" customHeight="1">
      <c r="A15" s="10" t="n">
        <v>11</v>
      </c>
      <c r="B15" s="10" t="inlineStr">
        <is>
          <t>CH2x3x3-01</t>
        </is>
      </c>
      <c r="C15" s="11" t="inlineStr">
        <is>
          <t>Thép nắp/đáy 2 khoang cống đôi</t>
        </is>
      </c>
      <c r="D15" s="10" t="n">
        <v>14</v>
      </c>
      <c r="E15" s="10" t="inlineStr">
        <is>
          <t>CB500-V</t>
        </is>
      </c>
      <c r="F15" s="12" t="n">
        <v>19440</v>
      </c>
      <c r="G15" s="13" t="n">
        <v>9.369999999999999</v>
      </c>
      <c r="H15" s="13">
        <f>F15*G15</f>
        <v/>
      </c>
      <c r="I15" s="21" t="n">
        <v>1.208</v>
      </c>
      <c r="J15" s="13">
        <f>H15*I15</f>
        <v/>
      </c>
    </row>
    <row r="16" ht="20" customHeight="1">
      <c r="A16" s="10" t="n">
        <v>12</v>
      </c>
      <c r="B16" s="10" t="inlineStr">
        <is>
          <t>CH2x3x3-02</t>
        </is>
      </c>
      <c r="C16" s="11" t="inlineStr">
        <is>
          <t>Thép vách biên cống đôi</t>
        </is>
      </c>
      <c r="D16" s="10" t="n">
        <v>14</v>
      </c>
      <c r="E16" s="10" t="inlineStr">
        <is>
          <t>CB500-V</t>
        </is>
      </c>
      <c r="F16" s="12" t="n">
        <v>19440</v>
      </c>
      <c r="G16" s="13" t="n">
        <v>4.02</v>
      </c>
      <c r="H16" s="13">
        <f>F16*G16</f>
        <v/>
      </c>
      <c r="I16" s="21" t="n">
        <v>1.208</v>
      </c>
      <c r="J16" s="13">
        <f>H16*I16</f>
        <v/>
      </c>
    </row>
    <row r="17" ht="20" customHeight="1">
      <c r="A17" s="10" t="n">
        <v>13</v>
      </c>
      <c r="B17" s="10" t="inlineStr">
        <is>
          <t>CH2x3x3-03</t>
        </is>
      </c>
      <c r="C17" s="11" t="inlineStr">
        <is>
          <t>Thép vách giữa cống đôi</t>
        </is>
      </c>
      <c r="D17" s="10" t="n">
        <v>14</v>
      </c>
      <c r="E17" s="10" t="inlineStr">
        <is>
          <t>CB500-V</t>
        </is>
      </c>
      <c r="F17" s="12" t="n">
        <v>9720</v>
      </c>
      <c r="G17" s="13" t="n">
        <v>3.9</v>
      </c>
      <c r="H17" s="13">
        <f>F17*G17</f>
        <v/>
      </c>
      <c r="I17" s="21" t="n">
        <v>1.208</v>
      </c>
      <c r="J17" s="13">
        <f>H17*I17</f>
        <v/>
      </c>
    </row>
    <row r="18" ht="20" customHeight="1">
      <c r="A18" s="10" t="n">
        <v>14</v>
      </c>
      <c r="B18" s="10" t="inlineStr">
        <is>
          <t>CH2x3x3-04</t>
        </is>
      </c>
      <c r="C18" s="11" t="inlineStr">
        <is>
          <t>Thép nách cống ngoài cống đôi</t>
        </is>
      </c>
      <c r="D18" s="10" t="n">
        <v>14</v>
      </c>
      <c r="E18" s="10" t="inlineStr">
        <is>
          <t>CB500-V</t>
        </is>
      </c>
      <c r="F18" s="12" t="n">
        <v>19440</v>
      </c>
      <c r="G18" s="13" t="n">
        <v>2</v>
      </c>
      <c r="H18" s="13">
        <f>F18*G18</f>
        <v/>
      </c>
      <c r="I18" s="21" t="n">
        <v>1.208</v>
      </c>
      <c r="J18" s="13">
        <f>H18*I18</f>
        <v/>
      </c>
    </row>
    <row r="19" ht="20" customHeight="1">
      <c r="A19" s="10" t="n">
        <v>15</v>
      </c>
      <c r="B19" s="10" t="inlineStr">
        <is>
          <t>CH2x3x3-04a</t>
        </is>
      </c>
      <c r="C19" s="11" t="inlineStr">
        <is>
          <t>Thép nách cống giữa cống đôi</t>
        </is>
      </c>
      <c r="D19" s="10" t="n">
        <v>14</v>
      </c>
      <c r="E19" s="10" t="inlineStr">
        <is>
          <t>CB500-V</t>
        </is>
      </c>
      <c r="F19" s="12" t="n">
        <v>9720</v>
      </c>
      <c r="G19" s="13" t="n">
        <v>1.95</v>
      </c>
      <c r="H19" s="13">
        <f>F19*G19</f>
        <v/>
      </c>
      <c r="I19" s="21" t="n">
        <v>1.208</v>
      </c>
      <c r="J19" s="13">
        <f>H19*I19</f>
        <v/>
      </c>
    </row>
    <row r="20" ht="20" customHeight="1">
      <c r="A20" s="10" t="n">
        <v>16</v>
      </c>
      <c r="B20" s="10" t="inlineStr">
        <is>
          <t>CH2x3x3-05</t>
        </is>
      </c>
      <c r="C20" s="11" t="inlineStr">
        <is>
          <t>Thép dọc cống đôi</t>
        </is>
      </c>
      <c r="D20" s="10" t="n">
        <v>10</v>
      </c>
      <c r="E20" s="10" t="inlineStr">
        <is>
          <t>CB240-T</t>
        </is>
      </c>
      <c r="F20" s="12" t="n">
        <v>25272</v>
      </c>
      <c r="G20" s="13" t="n">
        <v>11.7</v>
      </c>
      <c r="H20" s="13">
        <f>F20*G20</f>
        <v/>
      </c>
      <c r="I20" s="21" t="n">
        <v>0.617</v>
      </c>
      <c r="J20" s="13">
        <f>H20*I20</f>
        <v/>
      </c>
    </row>
    <row r="21" ht="20" customHeight="1">
      <c r="A21" s="10" t="n">
        <v>17</v>
      </c>
      <c r="B21" s="10" t="inlineStr">
        <is>
          <t>CH2x3x3-06</t>
        </is>
      </c>
      <c r="C21" s="11" t="inlineStr">
        <is>
          <t>Thép đai C vách giữa</t>
        </is>
      </c>
      <c r="D21" s="10" t="n">
        <v>10</v>
      </c>
      <c r="E21" s="10" t="inlineStr">
        <is>
          <t>CB240-T</t>
        </is>
      </c>
      <c r="F21" s="12" t="n">
        <v>12312</v>
      </c>
      <c r="G21" s="13" t="n">
        <v>0.92</v>
      </c>
      <c r="H21" s="13">
        <f>F21*G21</f>
        <v/>
      </c>
      <c r="I21" s="21" t="n">
        <v>0.617</v>
      </c>
      <c r="J21" s="13">
        <f>H21*I21</f>
        <v/>
      </c>
    </row>
    <row r="22" ht="20" customHeight="1">
      <c r="A22" s="10" t="n">
        <v>18</v>
      </c>
      <c r="B22" s="10" t="inlineStr">
        <is>
          <t>CH2x3x3-07</t>
        </is>
      </c>
      <c r="C22" s="11" t="inlineStr">
        <is>
          <t>Thép móc đai nách cống</t>
        </is>
      </c>
      <c r="D22" s="10" t="n">
        <v>6</v>
      </c>
      <c r="E22" s="10" t="inlineStr">
        <is>
          <t>CB240-T</t>
        </is>
      </c>
      <c r="F22" s="12" t="n">
        <v>24624</v>
      </c>
      <c r="G22" s="13" t="n">
        <v>0.35</v>
      </c>
      <c r="H22" s="13">
        <f>F22*G22</f>
        <v/>
      </c>
      <c r="I22" s="21" t="n">
        <v>0.222</v>
      </c>
      <c r="J22" s="13">
        <f>H22*I22</f>
        <v/>
      </c>
    </row>
    <row r="23" ht="20" customHeight="1">
      <c r="A23" s="10" t="n">
        <v>19</v>
      </c>
      <c r="B23" s="10" t="inlineStr">
        <is>
          <t>CH2x3x3-08</t>
        </is>
      </c>
      <c r="C23" s="11" t="inlineStr">
        <is>
          <t>Dowel bar khe cống đôi</t>
        </is>
      </c>
      <c r="D23" s="10" t="n">
        <v>22</v>
      </c>
      <c r="E23" s="10" t="inlineStr">
        <is>
          <t>CB500-V</t>
        </is>
      </c>
      <c r="F23" s="12" t="n">
        <v>4536</v>
      </c>
      <c r="G23" s="13" t="n">
        <v>1</v>
      </c>
      <c r="H23" s="13">
        <f>F23*G23</f>
        <v/>
      </c>
      <c r="I23" s="21" t="n">
        <v>2.984</v>
      </c>
      <c r="J23" s="13">
        <f>H23*I23</f>
        <v/>
      </c>
    </row>
    <row r="24" ht="22" customHeight="1">
      <c r="A24" s="22" t="n"/>
      <c r="B24" s="23" t="inlineStr">
        <is>
          <t>TỔNG CỘNG KHỐI LƯỢNG CỐT THÉP (kg)</t>
        </is>
      </c>
      <c r="C24" s="24" t="n"/>
      <c r="D24" s="24" t="n"/>
      <c r="E24" s="24" t="n"/>
      <c r="F24" s="24" t="n"/>
      <c r="G24" s="24" t="n"/>
      <c r="H24" s="24" t="n"/>
      <c r="I24" s="24" t="n"/>
      <c r="J24" s="25">
        <f>SUM(J5:J23)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2026-10-02T12:23:02Z</dcterms:modified>
</cp:coreProperties>
</file>