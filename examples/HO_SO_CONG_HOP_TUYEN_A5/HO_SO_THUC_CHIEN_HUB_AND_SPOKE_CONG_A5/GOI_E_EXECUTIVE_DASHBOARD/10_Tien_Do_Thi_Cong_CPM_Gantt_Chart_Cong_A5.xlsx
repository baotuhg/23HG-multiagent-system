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ngày&quot;"/>
  </numFmts>
  <fonts count="6">
    <font>
      <name val="Calibri"/>
      <family val="2"/>
      <color theme="1"/>
      <sz val="11"/>
      <scheme val="minor"/>
    </font>
    <font>
      <b val="1"/>
      <color rgb="001F497D"/>
      <sz val="13"/>
    </font>
    <font>
      <b val="1"/>
      <sz val="10"/>
    </font>
    <font>
      <b val="1"/>
      <color rgb="00FFFFFF"/>
      <sz val="10"/>
    </font>
    <font>
      <b val="1"/>
      <color rgb="00C00000"/>
      <sz val="10"/>
    </font>
    <font>
      <b val="1"/>
      <color rgb="0070AD47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165" fontId="2" fillId="2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3" fontId="0" fillId="0" borderId="1" pivotButton="0" quotePrefix="0" xfId="0"/>
    <xf numFmtId="165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b val="1"/>
        <color rgb="001F497D"/>
        <sz val="9"/>
      </font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8" customWidth="1" min="4" max="4"/>
    <col width="14" customWidth="1" min="5" max="5"/>
    <col width="10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1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s="1" t="inlineStr">
        <is>
          <t>BẢNG TIẾN ĐỘ THI CÔNG CHI TIẾT WBS &amp; ĐƯỜNG GĂNG CPM — CỐNG HỘP TUYẾN A5 (TOÀN TUYẾN)</t>
        </is>
      </c>
    </row>
    <row r="2">
      <c r="N2" s="2" t="inlineStr">
        <is>
          <t>Ngày khởi công:</t>
        </is>
      </c>
      <c r="R2" s="3" t="n">
        <v>46296</v>
      </c>
      <c r="V2" s="2" t="inlineStr">
        <is>
          <t>Hoàn thành tính toán:</t>
        </is>
      </c>
      <c r="Z2" s="4">
        <f>MAX($J$7:$J$18)</f>
        <v/>
      </c>
      <c r="AD2" s="2" t="inlineStr">
        <is>
          <t>Tổng thời gian thi công:</t>
        </is>
      </c>
      <c r="AH2" s="5">
        <f>Z2-$R$2+1</f>
        <v/>
      </c>
    </row>
    <row r="3">
      <c r="N3" s="2" t="inlineStr">
        <is>
          <t>Hạn hoàn thành:</t>
        </is>
      </c>
      <c r="R3" s="3" t="n">
        <v>46477</v>
      </c>
      <c r="V3" s="2" t="inlineStr">
        <is>
          <t>Dự phòng so với hạn:</t>
        </is>
      </c>
      <c r="Z3" s="5">
        <f>$R$3-Z2</f>
        <v/>
      </c>
      <c r="AD3" s="2" t="inlineStr">
        <is>
          <t>Đánh giá tiến độ:</t>
        </is>
      </c>
      <c r="AH3" s="6">
        <f>IF(Z2&lt;=$R$3,"ĐẠT TIẾN ĐỘ","TRỄ TIẾN ĐỘ")</f>
        <v/>
      </c>
    </row>
    <row r="4">
      <c r="N4" s="2" t="inlineStr">
        <is>
          <t>Chế độ Gantt (1:Kế hoạch, 2:Nhân công, 3:Ca):</t>
        </is>
      </c>
      <c r="R4" s="7" t="n">
        <v>1</v>
      </c>
    </row>
    <row r="5">
      <c r="M5" s="8" t="inlineStr">
        <is>
          <t>BIỂU ĐỒ TIẾN ĐỘ THI CÔNG TUẦN (GANTT CHART)</t>
        </is>
      </c>
    </row>
    <row r="6">
      <c r="A6" s="9" t="inlineStr">
        <is>
          <t>MÃ CV</t>
        </is>
      </c>
      <c r="B6" s="9" t="inlineStr">
        <is>
          <t>TÊN CÔNG TÁC THI CÔNG WBS</t>
        </is>
      </c>
      <c r="C6" s="9" t="inlineStr">
        <is>
          <t>KHỐI LƯỢNG</t>
        </is>
      </c>
      <c r="D6" s="9" t="inlineStr">
        <is>
          <t>ĐVT</t>
        </is>
      </c>
      <c r="E6" s="9" t="inlineStr">
        <is>
          <t>NĂNG SUẤT/CA</t>
        </is>
      </c>
      <c r="F6" s="9" t="inlineStr">
        <is>
          <t>CA/NGÀY</t>
        </is>
      </c>
      <c r="G6" s="9" t="inlineStr">
        <is>
          <t>NHÂN LỰC/TỔ</t>
        </is>
      </c>
      <c r="H6" s="9" t="inlineStr">
        <is>
          <t>SỐ NGÀY</t>
        </is>
      </c>
      <c r="I6" s="9" t="inlineStr">
        <is>
          <t>NGÀY BẮT ĐẦU</t>
        </is>
      </c>
      <c r="J6" s="9" t="inlineStr">
        <is>
          <t>NGÀY KẾT THÚC</t>
        </is>
      </c>
      <c r="K6" s="9" t="inlineStr">
        <is>
          <t>TIỀN NHIỆM</t>
        </is>
      </c>
      <c r="L6" s="9" t="inlineStr">
        <is>
          <t>ĐƯỜNG GĂNG</t>
        </is>
      </c>
      <c r="M6" s="9" t="inlineStr">
        <is>
          <t>T1</t>
        </is>
      </c>
      <c r="N6" s="9" t="inlineStr">
        <is>
          <t>T2</t>
        </is>
      </c>
      <c r="O6" s="9" t="inlineStr">
        <is>
          <t>T3</t>
        </is>
      </c>
      <c r="P6" s="9" t="inlineStr">
        <is>
          <t>T4</t>
        </is>
      </c>
      <c r="Q6" s="9" t="inlineStr">
        <is>
          <t>T5</t>
        </is>
      </c>
      <c r="R6" s="9" t="inlineStr">
        <is>
          <t>T6</t>
        </is>
      </c>
      <c r="S6" s="9" t="inlineStr">
        <is>
          <t>T7</t>
        </is>
      </c>
      <c r="T6" s="9" t="inlineStr">
        <is>
          <t>T8</t>
        </is>
      </c>
      <c r="U6" s="9" t="inlineStr">
        <is>
          <t>T9</t>
        </is>
      </c>
      <c r="V6" s="9" t="inlineStr">
        <is>
          <t>T10</t>
        </is>
      </c>
      <c r="W6" s="9" t="inlineStr">
        <is>
          <t>T11</t>
        </is>
      </c>
      <c r="X6" s="9" t="inlineStr">
        <is>
          <t>T12</t>
        </is>
      </c>
      <c r="Y6" s="9" t="inlineStr">
        <is>
          <t>T13</t>
        </is>
      </c>
      <c r="Z6" s="9" t="inlineStr">
        <is>
          <t>T14</t>
        </is>
      </c>
      <c r="AA6" s="9" t="inlineStr">
        <is>
          <t>T15</t>
        </is>
      </c>
      <c r="AB6" s="9" t="inlineStr">
        <is>
          <t>T16</t>
        </is>
      </c>
      <c r="AC6" s="9" t="inlineStr">
        <is>
          <t>T17</t>
        </is>
      </c>
      <c r="AD6" s="9" t="inlineStr">
        <is>
          <t>T18</t>
        </is>
      </c>
      <c r="AE6" s="9" t="inlineStr">
        <is>
          <t>T19</t>
        </is>
      </c>
      <c r="AF6" s="9" t="inlineStr">
        <is>
          <t>T20</t>
        </is>
      </c>
      <c r="AG6" s="9" t="inlineStr">
        <is>
          <t>T21</t>
        </is>
      </c>
      <c r="AH6" s="9" t="inlineStr">
        <is>
          <t>T22</t>
        </is>
      </c>
      <c r="AI6" s="9" t="inlineStr">
        <is>
          <t>T23</t>
        </is>
      </c>
      <c r="AJ6" s="9" t="inlineStr">
        <is>
          <t>T24</t>
        </is>
      </c>
      <c r="AK6" s="9" t="inlineStr">
        <is>
          <t>T25</t>
        </is>
      </c>
      <c r="AL6" s="9" t="inlineStr">
        <is>
          <t>T26</t>
        </is>
      </c>
    </row>
    <row r="7">
      <c r="A7" s="10" t="inlineStr">
        <is>
          <t>CV-01</t>
        </is>
      </c>
      <c r="B7" s="11" t="inlineStr">
        <is>
          <t>Bàn giao mặt bằng &amp; Định vị tim mốc trắc đạc</t>
        </is>
      </c>
      <c r="C7" s="12" t="n">
        <v>2200</v>
      </c>
      <c r="D7" s="10" t="inlineStr">
        <is>
          <t>m</t>
        </is>
      </c>
      <c r="E7" s="12" t="n">
        <v>440</v>
      </c>
      <c r="F7" s="10" t="n">
        <v>1</v>
      </c>
      <c r="G7" s="10" t="n">
        <v>6</v>
      </c>
      <c r="H7" s="13" t="n">
        <v>5</v>
      </c>
      <c r="I7" s="14">
        <f>$R$2</f>
        <v/>
      </c>
      <c r="J7" s="14">
        <f>I7+H7-1</f>
        <v/>
      </c>
      <c r="K7" s="10" t="inlineStr">
        <is>
          <t>-</t>
        </is>
      </c>
      <c r="L7" s="15" t="inlineStr">
        <is>
          <t>CRITICAL</t>
        </is>
      </c>
      <c r="M7" s="16">
        <f>IF(AND($I7&lt;=($R$2+6),$J7&gt;=($R$2+0)),IF($R$4=1,1,IF($R$4=2,$G7,$F7)),"")</f>
        <v/>
      </c>
      <c r="N7" s="16">
        <f>IF(AND($I7&lt;=($R$2+13),$J7&gt;=($R$2+7)),IF($R$4=1,1,IF($R$4=2,$G7,$F7)),"")</f>
        <v/>
      </c>
      <c r="O7" s="16">
        <f>IF(AND($I7&lt;=($R$2+20),$J7&gt;=($R$2+14)),IF($R$4=1,1,IF($R$4=2,$G7,$F7)),"")</f>
        <v/>
      </c>
      <c r="P7" s="16">
        <f>IF(AND($I7&lt;=($R$2+27),$J7&gt;=($R$2+21)),IF($R$4=1,1,IF($R$4=2,$G7,$F7)),"")</f>
        <v/>
      </c>
      <c r="Q7" s="16">
        <f>IF(AND($I7&lt;=($R$2+34),$J7&gt;=($R$2+28)),IF($R$4=1,1,IF($R$4=2,$G7,$F7)),"")</f>
        <v/>
      </c>
      <c r="R7" s="16">
        <f>IF(AND($I7&lt;=($R$2+41),$J7&gt;=($R$2+35)),IF($R$4=1,1,IF($R$4=2,$G7,$F7)),"")</f>
        <v/>
      </c>
      <c r="S7" s="16">
        <f>IF(AND($I7&lt;=($R$2+48),$J7&gt;=($R$2+42)),IF($R$4=1,1,IF($R$4=2,$G7,$F7)),"")</f>
        <v/>
      </c>
      <c r="T7" s="16">
        <f>IF(AND($I7&lt;=($R$2+55),$J7&gt;=($R$2+49)),IF($R$4=1,1,IF($R$4=2,$G7,$F7)),"")</f>
        <v/>
      </c>
      <c r="U7" s="16">
        <f>IF(AND($I7&lt;=($R$2+62),$J7&gt;=($R$2+56)),IF($R$4=1,1,IF($R$4=2,$G7,$F7)),"")</f>
        <v/>
      </c>
      <c r="V7" s="16">
        <f>IF(AND($I7&lt;=($R$2+69),$J7&gt;=($R$2+63)),IF($R$4=1,1,IF($R$4=2,$G7,$F7)),"")</f>
        <v/>
      </c>
      <c r="W7" s="16">
        <f>IF(AND($I7&lt;=($R$2+76),$J7&gt;=($R$2+70)),IF($R$4=1,1,IF($R$4=2,$G7,$F7)),"")</f>
        <v/>
      </c>
      <c r="X7" s="16">
        <f>IF(AND($I7&lt;=($R$2+83),$J7&gt;=($R$2+77)),IF($R$4=1,1,IF($R$4=2,$G7,$F7)),"")</f>
        <v/>
      </c>
      <c r="Y7" s="16">
        <f>IF(AND($I7&lt;=($R$2+90),$J7&gt;=($R$2+84)),IF($R$4=1,1,IF($R$4=2,$G7,$F7)),"")</f>
        <v/>
      </c>
      <c r="Z7" s="16">
        <f>IF(AND($I7&lt;=($R$2+97),$J7&gt;=($R$2+91)),IF($R$4=1,1,IF($R$4=2,$G7,$F7)),"")</f>
        <v/>
      </c>
      <c r="AA7" s="16">
        <f>IF(AND($I7&lt;=($R$2+104),$J7&gt;=($R$2+98)),IF($R$4=1,1,IF($R$4=2,$G7,$F7)),"")</f>
        <v/>
      </c>
      <c r="AB7" s="16">
        <f>IF(AND($I7&lt;=($R$2+111),$J7&gt;=($R$2+105)),IF($R$4=1,1,IF($R$4=2,$G7,$F7)),"")</f>
        <v/>
      </c>
      <c r="AC7" s="16">
        <f>IF(AND($I7&lt;=($R$2+118),$J7&gt;=($R$2+112)),IF($R$4=1,1,IF($R$4=2,$G7,$F7)),"")</f>
        <v/>
      </c>
      <c r="AD7" s="16">
        <f>IF(AND($I7&lt;=($R$2+125),$J7&gt;=($R$2+119)),IF($R$4=1,1,IF($R$4=2,$G7,$F7)),"")</f>
        <v/>
      </c>
      <c r="AE7" s="16">
        <f>IF(AND($I7&lt;=($R$2+132),$J7&gt;=($R$2+126)),IF($R$4=1,1,IF($R$4=2,$G7,$F7)),"")</f>
        <v/>
      </c>
      <c r="AF7" s="16">
        <f>IF(AND($I7&lt;=($R$2+139),$J7&gt;=($R$2+133)),IF($R$4=1,1,IF($R$4=2,$G7,$F7)),"")</f>
        <v/>
      </c>
      <c r="AG7" s="16">
        <f>IF(AND($I7&lt;=($R$2+146),$J7&gt;=($R$2+140)),IF($R$4=1,1,IF($R$4=2,$G7,$F7)),"")</f>
        <v/>
      </c>
      <c r="AH7" s="16">
        <f>IF(AND($I7&lt;=($R$2+153),$J7&gt;=($R$2+147)),IF($R$4=1,1,IF($R$4=2,$G7,$F7)),"")</f>
        <v/>
      </c>
      <c r="AI7" s="16">
        <f>IF(AND($I7&lt;=($R$2+160),$J7&gt;=($R$2+154)),IF($R$4=1,1,IF($R$4=2,$G7,$F7)),"")</f>
        <v/>
      </c>
      <c r="AJ7" s="16">
        <f>IF(AND($I7&lt;=($R$2+167),$J7&gt;=($R$2+161)),IF($R$4=1,1,IF($R$4=2,$G7,$F7)),"")</f>
        <v/>
      </c>
      <c r="AK7" s="16">
        <f>IF(AND($I7&lt;=($R$2+174),$J7&gt;=($R$2+168)),IF($R$4=1,1,IF($R$4=2,$G7,$F7)),"")</f>
        <v/>
      </c>
      <c r="AL7" s="16">
        <f>IF(AND($I7&lt;=($R$2+181),$J7&gt;=($R$2+175)),IF($R$4=1,1,IF($R$4=2,$G7,$F7)),"")</f>
        <v/>
      </c>
    </row>
    <row r="8">
      <c r="A8" s="10" t="inlineStr">
        <is>
          <t>CV-02</t>
        </is>
      </c>
      <c r="B8" s="11" t="inlineStr">
        <is>
          <t>Đào hố móng phân đoạn 1 (Cống 2x2)</t>
        </is>
      </c>
      <c r="C8" s="12" t="n">
        <v>3500</v>
      </c>
      <c r="D8" s="10" t="inlineStr">
        <is>
          <t>m3</t>
        </is>
      </c>
      <c r="E8" s="12" t="n">
        <v>233.33</v>
      </c>
      <c r="F8" s="10" t="n">
        <v>1</v>
      </c>
      <c r="G8" s="10" t="n">
        <v>4</v>
      </c>
      <c r="H8" s="13" t="n">
        <v>15</v>
      </c>
      <c r="I8" s="14">
        <f>J7+1</f>
        <v/>
      </c>
      <c r="J8" s="14">
        <f>I8+H8-1</f>
        <v/>
      </c>
      <c r="K8" s="10" t="inlineStr">
        <is>
          <t>CV-01</t>
        </is>
      </c>
      <c r="L8" s="15" t="inlineStr">
        <is>
          <t>CRITICAL</t>
        </is>
      </c>
      <c r="M8" s="16">
        <f>IF(AND($I8&lt;=($R$2+6),$J8&gt;=($R$2+0)),IF($R$4=1,1,IF($R$4=2,$G8,$F8)),"")</f>
        <v/>
      </c>
      <c r="N8" s="16">
        <f>IF(AND($I8&lt;=($R$2+13),$J8&gt;=($R$2+7)),IF($R$4=1,1,IF($R$4=2,$G8,$F8)),"")</f>
        <v/>
      </c>
      <c r="O8" s="16">
        <f>IF(AND($I8&lt;=($R$2+20),$J8&gt;=($R$2+14)),IF($R$4=1,1,IF($R$4=2,$G8,$F8)),"")</f>
        <v/>
      </c>
      <c r="P8" s="16">
        <f>IF(AND($I8&lt;=($R$2+27),$J8&gt;=($R$2+21)),IF($R$4=1,1,IF($R$4=2,$G8,$F8)),"")</f>
        <v/>
      </c>
      <c r="Q8" s="16">
        <f>IF(AND($I8&lt;=($R$2+34),$J8&gt;=($R$2+28)),IF($R$4=1,1,IF($R$4=2,$G8,$F8)),"")</f>
        <v/>
      </c>
      <c r="R8" s="16">
        <f>IF(AND($I8&lt;=($R$2+41),$J8&gt;=($R$2+35)),IF($R$4=1,1,IF($R$4=2,$G8,$F8)),"")</f>
        <v/>
      </c>
      <c r="S8" s="16">
        <f>IF(AND($I8&lt;=($R$2+48),$J8&gt;=($R$2+42)),IF($R$4=1,1,IF($R$4=2,$G8,$F8)),"")</f>
        <v/>
      </c>
      <c r="T8" s="16">
        <f>IF(AND($I8&lt;=($R$2+55),$J8&gt;=($R$2+49)),IF($R$4=1,1,IF($R$4=2,$G8,$F8)),"")</f>
        <v/>
      </c>
      <c r="U8" s="16">
        <f>IF(AND($I8&lt;=($R$2+62),$J8&gt;=($R$2+56)),IF($R$4=1,1,IF($R$4=2,$G8,$F8)),"")</f>
        <v/>
      </c>
      <c r="V8" s="16">
        <f>IF(AND($I8&lt;=($R$2+69),$J8&gt;=($R$2+63)),IF($R$4=1,1,IF($R$4=2,$G8,$F8)),"")</f>
        <v/>
      </c>
      <c r="W8" s="16">
        <f>IF(AND($I8&lt;=($R$2+76),$J8&gt;=($R$2+70)),IF($R$4=1,1,IF($R$4=2,$G8,$F8)),"")</f>
        <v/>
      </c>
      <c r="X8" s="16">
        <f>IF(AND($I8&lt;=($R$2+83),$J8&gt;=($R$2+77)),IF($R$4=1,1,IF($R$4=2,$G8,$F8)),"")</f>
        <v/>
      </c>
      <c r="Y8" s="16">
        <f>IF(AND($I8&lt;=($R$2+90),$J8&gt;=($R$2+84)),IF($R$4=1,1,IF($R$4=2,$G8,$F8)),"")</f>
        <v/>
      </c>
      <c r="Z8" s="16">
        <f>IF(AND($I8&lt;=($R$2+97),$J8&gt;=($R$2+91)),IF($R$4=1,1,IF($R$4=2,$G8,$F8)),"")</f>
        <v/>
      </c>
      <c r="AA8" s="16">
        <f>IF(AND($I8&lt;=($R$2+104),$J8&gt;=($R$2+98)),IF($R$4=1,1,IF($R$4=2,$G8,$F8)),"")</f>
        <v/>
      </c>
      <c r="AB8" s="16">
        <f>IF(AND($I8&lt;=($R$2+111),$J8&gt;=($R$2+105)),IF($R$4=1,1,IF($R$4=2,$G8,$F8)),"")</f>
        <v/>
      </c>
      <c r="AC8" s="16">
        <f>IF(AND($I8&lt;=($R$2+118),$J8&gt;=($R$2+112)),IF($R$4=1,1,IF($R$4=2,$G8,$F8)),"")</f>
        <v/>
      </c>
      <c r="AD8" s="16">
        <f>IF(AND($I8&lt;=($R$2+125),$J8&gt;=($R$2+119)),IF($R$4=1,1,IF($R$4=2,$G8,$F8)),"")</f>
        <v/>
      </c>
      <c r="AE8" s="16">
        <f>IF(AND($I8&lt;=($R$2+132),$J8&gt;=($R$2+126)),IF($R$4=1,1,IF($R$4=2,$G8,$F8)),"")</f>
        <v/>
      </c>
      <c r="AF8" s="16">
        <f>IF(AND($I8&lt;=($R$2+139),$J8&gt;=($R$2+133)),IF($R$4=1,1,IF($R$4=2,$G8,$F8)),"")</f>
        <v/>
      </c>
      <c r="AG8" s="16">
        <f>IF(AND($I8&lt;=($R$2+146),$J8&gt;=($R$2+140)),IF($R$4=1,1,IF($R$4=2,$G8,$F8)),"")</f>
        <v/>
      </c>
      <c r="AH8" s="16">
        <f>IF(AND($I8&lt;=($R$2+153),$J8&gt;=($R$2+147)),IF($R$4=1,1,IF($R$4=2,$G8,$F8)),"")</f>
        <v/>
      </c>
      <c r="AI8" s="16">
        <f>IF(AND($I8&lt;=($R$2+160),$J8&gt;=($R$2+154)),IF($R$4=1,1,IF($R$4=2,$G8,$F8)),"")</f>
        <v/>
      </c>
      <c r="AJ8" s="16">
        <f>IF(AND($I8&lt;=($R$2+167),$J8&gt;=($R$2+161)),IF($R$4=1,1,IF($R$4=2,$G8,$F8)),"")</f>
        <v/>
      </c>
      <c r="AK8" s="16">
        <f>IF(AND($I8&lt;=($R$2+174),$J8&gt;=($R$2+168)),IF($R$4=1,1,IF($R$4=2,$G8,$F8)),"")</f>
        <v/>
      </c>
      <c r="AL8" s="16">
        <f>IF(AND($I8&lt;=($R$2+181),$J8&gt;=($R$2+175)),IF($R$4=1,1,IF($R$4=2,$G8,$F8)),"")</f>
        <v/>
      </c>
    </row>
    <row r="9">
      <c r="A9" s="10" t="inlineStr">
        <is>
          <t>CV-03</t>
        </is>
      </c>
      <c r="B9" s="11" t="inlineStr">
        <is>
          <t>Đóng cọc tre &amp; Đệm cát đầu cọc phân đoạn 1</t>
        </is>
      </c>
      <c r="C9" s="12" t="n">
        <v>1200</v>
      </c>
      <c r="D9" s="10" t="inlineStr">
        <is>
          <t>m3</t>
        </is>
      </c>
      <c r="E9" s="12" t="n">
        <v>120</v>
      </c>
      <c r="F9" s="10" t="n">
        <v>1</v>
      </c>
      <c r="G9" s="10" t="n">
        <v>6</v>
      </c>
      <c r="H9" s="13" t="n">
        <v>10</v>
      </c>
      <c r="I9" s="14">
        <f>J8+1</f>
        <v/>
      </c>
      <c r="J9" s="14">
        <f>I9+H9-1</f>
        <v/>
      </c>
      <c r="K9" s="10" t="inlineStr">
        <is>
          <t>CV-02</t>
        </is>
      </c>
      <c r="L9" s="15" t="inlineStr">
        <is>
          <t>CRITICAL</t>
        </is>
      </c>
      <c r="M9" s="16">
        <f>IF(AND($I9&lt;=($R$2+6),$J9&gt;=($R$2+0)),IF($R$4=1,1,IF($R$4=2,$G9,$F9)),"")</f>
        <v/>
      </c>
      <c r="N9" s="16">
        <f>IF(AND($I9&lt;=($R$2+13),$J9&gt;=($R$2+7)),IF($R$4=1,1,IF($R$4=2,$G9,$F9)),"")</f>
        <v/>
      </c>
      <c r="O9" s="16">
        <f>IF(AND($I9&lt;=($R$2+20),$J9&gt;=($R$2+14)),IF($R$4=1,1,IF($R$4=2,$G9,$F9)),"")</f>
        <v/>
      </c>
      <c r="P9" s="16">
        <f>IF(AND($I9&lt;=($R$2+27),$J9&gt;=($R$2+21)),IF($R$4=1,1,IF($R$4=2,$G9,$F9)),"")</f>
        <v/>
      </c>
      <c r="Q9" s="16">
        <f>IF(AND($I9&lt;=($R$2+34),$J9&gt;=($R$2+28)),IF($R$4=1,1,IF($R$4=2,$G9,$F9)),"")</f>
        <v/>
      </c>
      <c r="R9" s="16">
        <f>IF(AND($I9&lt;=($R$2+41),$J9&gt;=($R$2+35)),IF($R$4=1,1,IF($R$4=2,$G9,$F9)),"")</f>
        <v/>
      </c>
      <c r="S9" s="16">
        <f>IF(AND($I9&lt;=($R$2+48),$J9&gt;=($R$2+42)),IF($R$4=1,1,IF($R$4=2,$G9,$F9)),"")</f>
        <v/>
      </c>
      <c r="T9" s="16">
        <f>IF(AND($I9&lt;=($R$2+55),$J9&gt;=($R$2+49)),IF($R$4=1,1,IF($R$4=2,$G9,$F9)),"")</f>
        <v/>
      </c>
      <c r="U9" s="16">
        <f>IF(AND($I9&lt;=($R$2+62),$J9&gt;=($R$2+56)),IF($R$4=1,1,IF($R$4=2,$G9,$F9)),"")</f>
        <v/>
      </c>
      <c r="V9" s="16">
        <f>IF(AND($I9&lt;=($R$2+69),$J9&gt;=($R$2+63)),IF($R$4=1,1,IF($R$4=2,$G9,$F9)),"")</f>
        <v/>
      </c>
      <c r="W9" s="16">
        <f>IF(AND($I9&lt;=($R$2+76),$J9&gt;=($R$2+70)),IF($R$4=1,1,IF($R$4=2,$G9,$F9)),"")</f>
        <v/>
      </c>
      <c r="X9" s="16">
        <f>IF(AND($I9&lt;=($R$2+83),$J9&gt;=($R$2+77)),IF($R$4=1,1,IF($R$4=2,$G9,$F9)),"")</f>
        <v/>
      </c>
      <c r="Y9" s="16">
        <f>IF(AND($I9&lt;=($R$2+90),$J9&gt;=($R$2+84)),IF($R$4=1,1,IF($R$4=2,$G9,$F9)),"")</f>
        <v/>
      </c>
      <c r="Z9" s="16">
        <f>IF(AND($I9&lt;=($R$2+97),$J9&gt;=($R$2+91)),IF($R$4=1,1,IF($R$4=2,$G9,$F9)),"")</f>
        <v/>
      </c>
      <c r="AA9" s="16">
        <f>IF(AND($I9&lt;=($R$2+104),$J9&gt;=($R$2+98)),IF($R$4=1,1,IF($R$4=2,$G9,$F9)),"")</f>
        <v/>
      </c>
      <c r="AB9" s="16">
        <f>IF(AND($I9&lt;=($R$2+111),$J9&gt;=($R$2+105)),IF($R$4=1,1,IF($R$4=2,$G9,$F9)),"")</f>
        <v/>
      </c>
      <c r="AC9" s="16">
        <f>IF(AND($I9&lt;=($R$2+118),$J9&gt;=($R$2+112)),IF($R$4=1,1,IF($R$4=2,$G9,$F9)),"")</f>
        <v/>
      </c>
      <c r="AD9" s="16">
        <f>IF(AND($I9&lt;=($R$2+125),$J9&gt;=($R$2+119)),IF($R$4=1,1,IF($R$4=2,$G9,$F9)),"")</f>
        <v/>
      </c>
      <c r="AE9" s="16">
        <f>IF(AND($I9&lt;=($R$2+132),$J9&gt;=($R$2+126)),IF($R$4=1,1,IF($R$4=2,$G9,$F9)),"")</f>
        <v/>
      </c>
      <c r="AF9" s="16">
        <f>IF(AND($I9&lt;=($R$2+139),$J9&gt;=($R$2+133)),IF($R$4=1,1,IF($R$4=2,$G9,$F9)),"")</f>
        <v/>
      </c>
      <c r="AG9" s="16">
        <f>IF(AND($I9&lt;=($R$2+146),$J9&gt;=($R$2+140)),IF($R$4=1,1,IF($R$4=2,$G9,$F9)),"")</f>
        <v/>
      </c>
      <c r="AH9" s="16">
        <f>IF(AND($I9&lt;=($R$2+153),$J9&gt;=($R$2+147)),IF($R$4=1,1,IF($R$4=2,$G9,$F9)),"")</f>
        <v/>
      </c>
      <c r="AI9" s="16">
        <f>IF(AND($I9&lt;=($R$2+160),$J9&gt;=($R$2+154)),IF($R$4=1,1,IF($R$4=2,$G9,$F9)),"")</f>
        <v/>
      </c>
      <c r="AJ9" s="16">
        <f>IF(AND($I9&lt;=($R$2+167),$J9&gt;=($R$2+161)),IF($R$4=1,1,IF($R$4=2,$G9,$F9)),"")</f>
        <v/>
      </c>
      <c r="AK9" s="16">
        <f>IF(AND($I9&lt;=($R$2+174),$J9&gt;=($R$2+168)),IF($R$4=1,1,IF($R$4=2,$G9,$F9)),"")</f>
        <v/>
      </c>
      <c r="AL9" s="16">
        <f>IF(AND($I9&lt;=($R$2+181),$J9&gt;=($R$2+175)),IF($R$4=1,1,IF($R$4=2,$G9,$F9)),"")</f>
        <v/>
      </c>
    </row>
    <row r="10">
      <c r="A10" s="10" t="inlineStr">
        <is>
          <t>CV-04</t>
        </is>
      </c>
      <c r="B10" s="11" t="inlineStr">
        <is>
          <t>Bê tông lót móng M100 phân đoạn 1</t>
        </is>
      </c>
      <c r="C10" s="12" t="n">
        <v>185</v>
      </c>
      <c r="D10" s="10" t="inlineStr">
        <is>
          <t>m3</t>
        </is>
      </c>
      <c r="E10" s="12" t="n">
        <v>37</v>
      </c>
      <c r="F10" s="10" t="n">
        <v>1</v>
      </c>
      <c r="G10" s="10" t="n">
        <v>6</v>
      </c>
      <c r="H10" s="13" t="n">
        <v>5</v>
      </c>
      <c r="I10" s="14">
        <f>J9+1</f>
        <v/>
      </c>
      <c r="J10" s="14">
        <f>I10+H10-1</f>
        <v/>
      </c>
      <c r="K10" s="10" t="inlineStr">
        <is>
          <t>CV-03</t>
        </is>
      </c>
      <c r="L10" s="15" t="inlineStr">
        <is>
          <t>CRITICAL</t>
        </is>
      </c>
      <c r="M10" s="16">
        <f>IF(AND($I10&lt;=($R$2+6),$J10&gt;=($R$2+0)),IF($R$4=1,1,IF($R$4=2,$G10,$F10)),"")</f>
        <v/>
      </c>
      <c r="N10" s="16">
        <f>IF(AND($I10&lt;=($R$2+13),$J10&gt;=($R$2+7)),IF($R$4=1,1,IF($R$4=2,$G10,$F10)),"")</f>
        <v/>
      </c>
      <c r="O10" s="16">
        <f>IF(AND($I10&lt;=($R$2+20),$J10&gt;=($R$2+14)),IF($R$4=1,1,IF($R$4=2,$G10,$F10)),"")</f>
        <v/>
      </c>
      <c r="P10" s="16">
        <f>IF(AND($I10&lt;=($R$2+27),$J10&gt;=($R$2+21)),IF($R$4=1,1,IF($R$4=2,$G10,$F10)),"")</f>
        <v/>
      </c>
      <c r="Q10" s="16">
        <f>IF(AND($I10&lt;=($R$2+34),$J10&gt;=($R$2+28)),IF($R$4=1,1,IF($R$4=2,$G10,$F10)),"")</f>
        <v/>
      </c>
      <c r="R10" s="16">
        <f>IF(AND($I10&lt;=($R$2+41),$J10&gt;=($R$2+35)),IF($R$4=1,1,IF($R$4=2,$G10,$F10)),"")</f>
        <v/>
      </c>
      <c r="S10" s="16">
        <f>IF(AND($I10&lt;=($R$2+48),$J10&gt;=($R$2+42)),IF($R$4=1,1,IF($R$4=2,$G10,$F10)),"")</f>
        <v/>
      </c>
      <c r="T10" s="16">
        <f>IF(AND($I10&lt;=($R$2+55),$J10&gt;=($R$2+49)),IF($R$4=1,1,IF($R$4=2,$G10,$F10)),"")</f>
        <v/>
      </c>
      <c r="U10" s="16">
        <f>IF(AND($I10&lt;=($R$2+62),$J10&gt;=($R$2+56)),IF($R$4=1,1,IF($R$4=2,$G10,$F10)),"")</f>
        <v/>
      </c>
      <c r="V10" s="16">
        <f>IF(AND($I10&lt;=($R$2+69),$J10&gt;=($R$2+63)),IF($R$4=1,1,IF($R$4=2,$G10,$F10)),"")</f>
        <v/>
      </c>
      <c r="W10" s="16">
        <f>IF(AND($I10&lt;=($R$2+76),$J10&gt;=($R$2+70)),IF($R$4=1,1,IF($R$4=2,$G10,$F10)),"")</f>
        <v/>
      </c>
      <c r="X10" s="16">
        <f>IF(AND($I10&lt;=($R$2+83),$J10&gt;=($R$2+77)),IF($R$4=1,1,IF($R$4=2,$G10,$F10)),"")</f>
        <v/>
      </c>
      <c r="Y10" s="16">
        <f>IF(AND($I10&lt;=($R$2+90),$J10&gt;=($R$2+84)),IF($R$4=1,1,IF($R$4=2,$G10,$F10)),"")</f>
        <v/>
      </c>
      <c r="Z10" s="16">
        <f>IF(AND($I10&lt;=($R$2+97),$J10&gt;=($R$2+91)),IF($R$4=1,1,IF($R$4=2,$G10,$F10)),"")</f>
        <v/>
      </c>
      <c r="AA10" s="16">
        <f>IF(AND($I10&lt;=($R$2+104),$J10&gt;=($R$2+98)),IF($R$4=1,1,IF($R$4=2,$G10,$F10)),"")</f>
        <v/>
      </c>
      <c r="AB10" s="16">
        <f>IF(AND($I10&lt;=($R$2+111),$J10&gt;=($R$2+105)),IF($R$4=1,1,IF($R$4=2,$G10,$F10)),"")</f>
        <v/>
      </c>
      <c r="AC10" s="16">
        <f>IF(AND($I10&lt;=($R$2+118),$J10&gt;=($R$2+112)),IF($R$4=1,1,IF($R$4=2,$G10,$F10)),"")</f>
        <v/>
      </c>
      <c r="AD10" s="16">
        <f>IF(AND($I10&lt;=($R$2+125),$J10&gt;=($R$2+119)),IF($R$4=1,1,IF($R$4=2,$G10,$F10)),"")</f>
        <v/>
      </c>
      <c r="AE10" s="16">
        <f>IF(AND($I10&lt;=($R$2+132),$J10&gt;=($R$2+126)),IF($R$4=1,1,IF($R$4=2,$G10,$F10)),"")</f>
        <v/>
      </c>
      <c r="AF10" s="16">
        <f>IF(AND($I10&lt;=($R$2+139),$J10&gt;=($R$2+133)),IF($R$4=1,1,IF($R$4=2,$G10,$F10)),"")</f>
        <v/>
      </c>
      <c r="AG10" s="16">
        <f>IF(AND($I10&lt;=($R$2+146),$J10&gt;=($R$2+140)),IF($R$4=1,1,IF($R$4=2,$G10,$F10)),"")</f>
        <v/>
      </c>
      <c r="AH10" s="16">
        <f>IF(AND($I10&lt;=($R$2+153),$J10&gt;=($R$2+147)),IF($R$4=1,1,IF($R$4=2,$G10,$F10)),"")</f>
        <v/>
      </c>
      <c r="AI10" s="16">
        <f>IF(AND($I10&lt;=($R$2+160),$J10&gt;=($R$2+154)),IF($R$4=1,1,IF($R$4=2,$G10,$F10)),"")</f>
        <v/>
      </c>
      <c r="AJ10" s="16">
        <f>IF(AND($I10&lt;=($R$2+167),$J10&gt;=($R$2+161)),IF($R$4=1,1,IF($R$4=2,$G10,$F10)),"")</f>
        <v/>
      </c>
      <c r="AK10" s="16">
        <f>IF(AND($I10&lt;=($R$2+174),$J10&gt;=($R$2+168)),IF($R$4=1,1,IF($R$4=2,$G10,$F10)),"")</f>
        <v/>
      </c>
      <c r="AL10" s="16">
        <f>IF(AND($I10&lt;=($R$2+181),$J10&gt;=($R$2+175)),IF($R$4=1,1,IF($R$4=2,$G10,$F10)),"")</f>
        <v/>
      </c>
    </row>
    <row r="11">
      <c r="A11" s="10" t="inlineStr">
        <is>
          <t>CV-05</t>
        </is>
      </c>
      <c r="B11" s="11" t="inlineStr">
        <is>
          <t>Gia công lắp dựng cốt thép &amp; ván khuôn cống 2x2</t>
        </is>
      </c>
      <c r="C11" s="12" t="n">
        <v>450</v>
      </c>
      <c r="D11" s="10" t="inlineStr">
        <is>
          <t>tấn</t>
        </is>
      </c>
      <c r="E11" s="12" t="n">
        <v>22.5</v>
      </c>
      <c r="F11" s="10" t="n">
        <v>1</v>
      </c>
      <c r="G11" s="10" t="n">
        <v>15</v>
      </c>
      <c r="H11" s="13" t="n">
        <v>20</v>
      </c>
      <c r="I11" s="14">
        <f>J10+1</f>
        <v/>
      </c>
      <c r="J11" s="14">
        <f>I11+H11-1</f>
        <v/>
      </c>
      <c r="K11" s="10" t="inlineStr">
        <is>
          <t>CV-04</t>
        </is>
      </c>
      <c r="L11" s="15" t="inlineStr">
        <is>
          <t>CRITICAL</t>
        </is>
      </c>
      <c r="M11" s="16">
        <f>IF(AND($I11&lt;=($R$2+6),$J11&gt;=($R$2+0)),IF($R$4=1,1,IF($R$4=2,$G11,$F11)),"")</f>
        <v/>
      </c>
      <c r="N11" s="16">
        <f>IF(AND($I11&lt;=($R$2+13),$J11&gt;=($R$2+7)),IF($R$4=1,1,IF($R$4=2,$G11,$F11)),"")</f>
        <v/>
      </c>
      <c r="O11" s="16">
        <f>IF(AND($I11&lt;=($R$2+20),$J11&gt;=($R$2+14)),IF($R$4=1,1,IF($R$4=2,$G11,$F11)),"")</f>
        <v/>
      </c>
      <c r="P11" s="16">
        <f>IF(AND($I11&lt;=($R$2+27),$J11&gt;=($R$2+21)),IF($R$4=1,1,IF($R$4=2,$G11,$F11)),"")</f>
        <v/>
      </c>
      <c r="Q11" s="16">
        <f>IF(AND($I11&lt;=($R$2+34),$J11&gt;=($R$2+28)),IF($R$4=1,1,IF($R$4=2,$G11,$F11)),"")</f>
        <v/>
      </c>
      <c r="R11" s="16">
        <f>IF(AND($I11&lt;=($R$2+41),$J11&gt;=($R$2+35)),IF($R$4=1,1,IF($R$4=2,$G11,$F11)),"")</f>
        <v/>
      </c>
      <c r="S11" s="16">
        <f>IF(AND($I11&lt;=($R$2+48),$J11&gt;=($R$2+42)),IF($R$4=1,1,IF($R$4=2,$G11,$F11)),"")</f>
        <v/>
      </c>
      <c r="T11" s="16">
        <f>IF(AND($I11&lt;=($R$2+55),$J11&gt;=($R$2+49)),IF($R$4=1,1,IF($R$4=2,$G11,$F11)),"")</f>
        <v/>
      </c>
      <c r="U11" s="16">
        <f>IF(AND($I11&lt;=($R$2+62),$J11&gt;=($R$2+56)),IF($R$4=1,1,IF($R$4=2,$G11,$F11)),"")</f>
        <v/>
      </c>
      <c r="V11" s="16">
        <f>IF(AND($I11&lt;=($R$2+69),$J11&gt;=($R$2+63)),IF($R$4=1,1,IF($R$4=2,$G11,$F11)),"")</f>
        <v/>
      </c>
      <c r="W11" s="16">
        <f>IF(AND($I11&lt;=($R$2+76),$J11&gt;=($R$2+70)),IF($R$4=1,1,IF($R$4=2,$G11,$F11)),"")</f>
        <v/>
      </c>
      <c r="X11" s="16">
        <f>IF(AND($I11&lt;=($R$2+83),$J11&gt;=($R$2+77)),IF($R$4=1,1,IF($R$4=2,$G11,$F11)),"")</f>
        <v/>
      </c>
      <c r="Y11" s="16">
        <f>IF(AND($I11&lt;=($R$2+90),$J11&gt;=($R$2+84)),IF($R$4=1,1,IF($R$4=2,$G11,$F11)),"")</f>
        <v/>
      </c>
      <c r="Z11" s="16">
        <f>IF(AND($I11&lt;=($R$2+97),$J11&gt;=($R$2+91)),IF($R$4=1,1,IF($R$4=2,$G11,$F11)),"")</f>
        <v/>
      </c>
      <c r="AA11" s="16">
        <f>IF(AND($I11&lt;=($R$2+104),$J11&gt;=($R$2+98)),IF($R$4=1,1,IF($R$4=2,$G11,$F11)),"")</f>
        <v/>
      </c>
      <c r="AB11" s="16">
        <f>IF(AND($I11&lt;=($R$2+111),$J11&gt;=($R$2+105)),IF($R$4=1,1,IF($R$4=2,$G11,$F11)),"")</f>
        <v/>
      </c>
      <c r="AC11" s="16">
        <f>IF(AND($I11&lt;=($R$2+118),$J11&gt;=($R$2+112)),IF($R$4=1,1,IF($R$4=2,$G11,$F11)),"")</f>
        <v/>
      </c>
      <c r="AD11" s="16">
        <f>IF(AND($I11&lt;=($R$2+125),$J11&gt;=($R$2+119)),IF($R$4=1,1,IF($R$4=2,$G11,$F11)),"")</f>
        <v/>
      </c>
      <c r="AE11" s="16">
        <f>IF(AND($I11&lt;=($R$2+132),$J11&gt;=($R$2+126)),IF($R$4=1,1,IF($R$4=2,$G11,$F11)),"")</f>
        <v/>
      </c>
      <c r="AF11" s="16">
        <f>IF(AND($I11&lt;=($R$2+139),$J11&gt;=($R$2+133)),IF($R$4=1,1,IF($R$4=2,$G11,$F11)),"")</f>
        <v/>
      </c>
      <c r="AG11" s="16">
        <f>IF(AND($I11&lt;=($R$2+146),$J11&gt;=($R$2+140)),IF($R$4=1,1,IF($R$4=2,$G11,$F11)),"")</f>
        <v/>
      </c>
      <c r="AH11" s="16">
        <f>IF(AND($I11&lt;=($R$2+153),$J11&gt;=($R$2+147)),IF($R$4=1,1,IF($R$4=2,$G11,$F11)),"")</f>
        <v/>
      </c>
      <c r="AI11" s="16">
        <f>IF(AND($I11&lt;=($R$2+160),$J11&gt;=($R$2+154)),IF($R$4=1,1,IF($R$4=2,$G11,$F11)),"")</f>
        <v/>
      </c>
      <c r="AJ11" s="16">
        <f>IF(AND($I11&lt;=($R$2+167),$J11&gt;=($R$2+161)),IF($R$4=1,1,IF($R$4=2,$G11,$F11)),"")</f>
        <v/>
      </c>
      <c r="AK11" s="16">
        <f>IF(AND($I11&lt;=($R$2+174),$J11&gt;=($R$2+168)),IF($R$4=1,1,IF($R$4=2,$G11,$F11)),"")</f>
        <v/>
      </c>
      <c r="AL11" s="16">
        <f>IF(AND($I11&lt;=($R$2+181),$J11&gt;=($R$2+175)),IF($R$4=1,1,IF($R$4=2,$G11,$F11)),"")</f>
        <v/>
      </c>
    </row>
    <row r="12">
      <c r="A12" s="10" t="inlineStr">
        <is>
          <t>CV-06</t>
        </is>
      </c>
      <c r="B12" s="11" t="inlineStr">
        <is>
          <t>Đổ bê tông thân cống B20 &amp; Bảo dưỡng</t>
        </is>
      </c>
      <c r="C12" s="12" t="n">
        <v>1250</v>
      </c>
      <c r="D12" s="10" t="inlineStr">
        <is>
          <t>m3</t>
        </is>
      </c>
      <c r="E12" s="12" t="n">
        <v>125</v>
      </c>
      <c r="F12" s="10" t="n">
        <v>1</v>
      </c>
      <c r="G12" s="10" t="n">
        <v>10</v>
      </c>
      <c r="H12" s="13" t="n">
        <v>10</v>
      </c>
      <c r="I12" s="14">
        <f>J11+1</f>
        <v/>
      </c>
      <c r="J12" s="14">
        <f>I12+H12-1</f>
        <v/>
      </c>
      <c r="K12" s="10" t="inlineStr">
        <is>
          <t>CV-05</t>
        </is>
      </c>
      <c r="L12" s="15" t="inlineStr">
        <is>
          <t>CRITICAL</t>
        </is>
      </c>
      <c r="M12" s="16">
        <f>IF(AND($I12&lt;=($R$2+6),$J12&gt;=($R$2+0)),IF($R$4=1,1,IF($R$4=2,$G12,$F12)),"")</f>
        <v/>
      </c>
      <c r="N12" s="16">
        <f>IF(AND($I12&lt;=($R$2+13),$J12&gt;=($R$2+7)),IF($R$4=1,1,IF($R$4=2,$G12,$F12)),"")</f>
        <v/>
      </c>
      <c r="O12" s="16">
        <f>IF(AND($I12&lt;=($R$2+20),$J12&gt;=($R$2+14)),IF($R$4=1,1,IF($R$4=2,$G12,$F12)),"")</f>
        <v/>
      </c>
      <c r="P12" s="16">
        <f>IF(AND($I12&lt;=($R$2+27),$J12&gt;=($R$2+21)),IF($R$4=1,1,IF($R$4=2,$G12,$F12)),"")</f>
        <v/>
      </c>
      <c r="Q12" s="16">
        <f>IF(AND($I12&lt;=($R$2+34),$J12&gt;=($R$2+28)),IF($R$4=1,1,IF($R$4=2,$G12,$F12)),"")</f>
        <v/>
      </c>
      <c r="R12" s="16">
        <f>IF(AND($I12&lt;=($R$2+41),$J12&gt;=($R$2+35)),IF($R$4=1,1,IF($R$4=2,$G12,$F12)),"")</f>
        <v/>
      </c>
      <c r="S12" s="16">
        <f>IF(AND($I12&lt;=($R$2+48),$J12&gt;=($R$2+42)),IF($R$4=1,1,IF($R$4=2,$G12,$F12)),"")</f>
        <v/>
      </c>
      <c r="T12" s="16">
        <f>IF(AND($I12&lt;=($R$2+55),$J12&gt;=($R$2+49)),IF($R$4=1,1,IF($R$4=2,$G12,$F12)),"")</f>
        <v/>
      </c>
      <c r="U12" s="16">
        <f>IF(AND($I12&lt;=($R$2+62),$J12&gt;=($R$2+56)),IF($R$4=1,1,IF($R$4=2,$G12,$F12)),"")</f>
        <v/>
      </c>
      <c r="V12" s="16">
        <f>IF(AND($I12&lt;=($R$2+69),$J12&gt;=($R$2+63)),IF($R$4=1,1,IF($R$4=2,$G12,$F12)),"")</f>
        <v/>
      </c>
      <c r="W12" s="16">
        <f>IF(AND($I12&lt;=($R$2+76),$J12&gt;=($R$2+70)),IF($R$4=1,1,IF($R$4=2,$G12,$F12)),"")</f>
        <v/>
      </c>
      <c r="X12" s="16">
        <f>IF(AND($I12&lt;=($R$2+83),$J12&gt;=($R$2+77)),IF($R$4=1,1,IF($R$4=2,$G12,$F12)),"")</f>
        <v/>
      </c>
      <c r="Y12" s="16">
        <f>IF(AND($I12&lt;=($R$2+90),$J12&gt;=($R$2+84)),IF($R$4=1,1,IF($R$4=2,$G12,$F12)),"")</f>
        <v/>
      </c>
      <c r="Z12" s="16">
        <f>IF(AND($I12&lt;=($R$2+97),$J12&gt;=($R$2+91)),IF($R$4=1,1,IF($R$4=2,$G12,$F12)),"")</f>
        <v/>
      </c>
      <c r="AA12" s="16">
        <f>IF(AND($I12&lt;=($R$2+104),$J12&gt;=($R$2+98)),IF($R$4=1,1,IF($R$4=2,$G12,$F12)),"")</f>
        <v/>
      </c>
      <c r="AB12" s="16">
        <f>IF(AND($I12&lt;=($R$2+111),$J12&gt;=($R$2+105)),IF($R$4=1,1,IF($R$4=2,$G12,$F12)),"")</f>
        <v/>
      </c>
      <c r="AC12" s="16">
        <f>IF(AND($I12&lt;=($R$2+118),$J12&gt;=($R$2+112)),IF($R$4=1,1,IF($R$4=2,$G12,$F12)),"")</f>
        <v/>
      </c>
      <c r="AD12" s="16">
        <f>IF(AND($I12&lt;=($R$2+125),$J12&gt;=($R$2+119)),IF($R$4=1,1,IF($R$4=2,$G12,$F12)),"")</f>
        <v/>
      </c>
      <c r="AE12" s="16">
        <f>IF(AND($I12&lt;=($R$2+132),$J12&gt;=($R$2+126)),IF($R$4=1,1,IF($R$4=2,$G12,$F12)),"")</f>
        <v/>
      </c>
      <c r="AF12" s="16">
        <f>IF(AND($I12&lt;=($R$2+139),$J12&gt;=($R$2+133)),IF($R$4=1,1,IF($R$4=2,$G12,$F12)),"")</f>
        <v/>
      </c>
      <c r="AG12" s="16">
        <f>IF(AND($I12&lt;=($R$2+146),$J12&gt;=($R$2+140)),IF($R$4=1,1,IF($R$4=2,$G12,$F12)),"")</f>
        <v/>
      </c>
      <c r="AH12" s="16">
        <f>IF(AND($I12&lt;=($R$2+153),$J12&gt;=($R$2+147)),IF($R$4=1,1,IF($R$4=2,$G12,$F12)),"")</f>
        <v/>
      </c>
      <c r="AI12" s="16">
        <f>IF(AND($I12&lt;=($R$2+160),$J12&gt;=($R$2+154)),IF($R$4=1,1,IF($R$4=2,$G12,$F12)),"")</f>
        <v/>
      </c>
      <c r="AJ12" s="16">
        <f>IF(AND($I12&lt;=($R$2+167),$J12&gt;=($R$2+161)),IF($R$4=1,1,IF($R$4=2,$G12,$F12)),"")</f>
        <v/>
      </c>
      <c r="AK12" s="16">
        <f>IF(AND($I12&lt;=($R$2+174),$J12&gt;=($R$2+168)),IF($R$4=1,1,IF($R$4=2,$G12,$F12)),"")</f>
        <v/>
      </c>
      <c r="AL12" s="16">
        <f>IF(AND($I12&lt;=($R$2+181),$J12&gt;=($R$2+175)),IF($R$4=1,1,IF($R$4=2,$G12,$F12)),"")</f>
        <v/>
      </c>
    </row>
    <row r="13">
      <c r="A13" s="10" t="inlineStr">
        <is>
          <t>CV-07</t>
        </is>
      </c>
      <c r="B13" s="11" t="inlineStr">
        <is>
          <t>Đào hố móng phân đoạn 2 (Cống 3x3)</t>
        </is>
      </c>
      <c r="C13" s="12" t="n">
        <v>6800</v>
      </c>
      <c r="D13" s="10" t="inlineStr">
        <is>
          <t>m3</t>
        </is>
      </c>
      <c r="E13" s="12" t="n">
        <v>340</v>
      </c>
      <c r="F13" s="10" t="n">
        <v>1</v>
      </c>
      <c r="G13" s="10" t="n">
        <v>4</v>
      </c>
      <c r="H13" s="13" t="n">
        <v>20</v>
      </c>
      <c r="I13" s="14">
        <f>J8+1</f>
        <v/>
      </c>
      <c r="J13" s="14">
        <f>I13+H13-1</f>
        <v/>
      </c>
      <c r="K13" s="10" t="inlineStr">
        <is>
          <t>CV-02</t>
        </is>
      </c>
      <c r="L13" s="17" t="inlineStr">
        <is>
          <t>NON-CRITICAL</t>
        </is>
      </c>
      <c r="M13" s="16">
        <f>IF(AND($I13&lt;=($R$2+6),$J13&gt;=($R$2+0)),IF($R$4=1,1,IF($R$4=2,$G13,$F13)),"")</f>
        <v/>
      </c>
      <c r="N13" s="16">
        <f>IF(AND($I13&lt;=($R$2+13),$J13&gt;=($R$2+7)),IF($R$4=1,1,IF($R$4=2,$G13,$F13)),"")</f>
        <v/>
      </c>
      <c r="O13" s="16">
        <f>IF(AND($I13&lt;=($R$2+20),$J13&gt;=($R$2+14)),IF($R$4=1,1,IF($R$4=2,$G13,$F13)),"")</f>
        <v/>
      </c>
      <c r="P13" s="16">
        <f>IF(AND($I13&lt;=($R$2+27),$J13&gt;=($R$2+21)),IF($R$4=1,1,IF($R$4=2,$G13,$F13)),"")</f>
        <v/>
      </c>
      <c r="Q13" s="16">
        <f>IF(AND($I13&lt;=($R$2+34),$J13&gt;=($R$2+28)),IF($R$4=1,1,IF($R$4=2,$G13,$F13)),"")</f>
        <v/>
      </c>
      <c r="R13" s="16">
        <f>IF(AND($I13&lt;=($R$2+41),$J13&gt;=($R$2+35)),IF($R$4=1,1,IF($R$4=2,$G13,$F13)),"")</f>
        <v/>
      </c>
      <c r="S13" s="16">
        <f>IF(AND($I13&lt;=($R$2+48),$J13&gt;=($R$2+42)),IF($R$4=1,1,IF($R$4=2,$G13,$F13)),"")</f>
        <v/>
      </c>
      <c r="T13" s="16">
        <f>IF(AND($I13&lt;=($R$2+55),$J13&gt;=($R$2+49)),IF($R$4=1,1,IF($R$4=2,$G13,$F13)),"")</f>
        <v/>
      </c>
      <c r="U13" s="16">
        <f>IF(AND($I13&lt;=($R$2+62),$J13&gt;=($R$2+56)),IF($R$4=1,1,IF($R$4=2,$G13,$F13)),"")</f>
        <v/>
      </c>
      <c r="V13" s="16">
        <f>IF(AND($I13&lt;=($R$2+69),$J13&gt;=($R$2+63)),IF($R$4=1,1,IF($R$4=2,$G13,$F13)),"")</f>
        <v/>
      </c>
      <c r="W13" s="16">
        <f>IF(AND($I13&lt;=($R$2+76),$J13&gt;=($R$2+70)),IF($R$4=1,1,IF($R$4=2,$G13,$F13)),"")</f>
        <v/>
      </c>
      <c r="X13" s="16">
        <f>IF(AND($I13&lt;=($R$2+83),$J13&gt;=($R$2+77)),IF($R$4=1,1,IF($R$4=2,$G13,$F13)),"")</f>
        <v/>
      </c>
      <c r="Y13" s="16">
        <f>IF(AND($I13&lt;=($R$2+90),$J13&gt;=($R$2+84)),IF($R$4=1,1,IF($R$4=2,$G13,$F13)),"")</f>
        <v/>
      </c>
      <c r="Z13" s="16">
        <f>IF(AND($I13&lt;=($R$2+97),$J13&gt;=($R$2+91)),IF($R$4=1,1,IF($R$4=2,$G13,$F13)),"")</f>
        <v/>
      </c>
      <c r="AA13" s="16">
        <f>IF(AND($I13&lt;=($R$2+104),$J13&gt;=($R$2+98)),IF($R$4=1,1,IF($R$4=2,$G13,$F13)),"")</f>
        <v/>
      </c>
      <c r="AB13" s="16">
        <f>IF(AND($I13&lt;=($R$2+111),$J13&gt;=($R$2+105)),IF($R$4=1,1,IF($R$4=2,$G13,$F13)),"")</f>
        <v/>
      </c>
      <c r="AC13" s="16">
        <f>IF(AND($I13&lt;=($R$2+118),$J13&gt;=($R$2+112)),IF($R$4=1,1,IF($R$4=2,$G13,$F13)),"")</f>
        <v/>
      </c>
      <c r="AD13" s="16">
        <f>IF(AND($I13&lt;=($R$2+125),$J13&gt;=($R$2+119)),IF($R$4=1,1,IF($R$4=2,$G13,$F13)),"")</f>
        <v/>
      </c>
      <c r="AE13" s="16">
        <f>IF(AND($I13&lt;=($R$2+132),$J13&gt;=($R$2+126)),IF($R$4=1,1,IF($R$4=2,$G13,$F13)),"")</f>
        <v/>
      </c>
      <c r="AF13" s="16">
        <f>IF(AND($I13&lt;=($R$2+139),$J13&gt;=($R$2+133)),IF($R$4=1,1,IF($R$4=2,$G13,$F13)),"")</f>
        <v/>
      </c>
      <c r="AG13" s="16">
        <f>IF(AND($I13&lt;=($R$2+146),$J13&gt;=($R$2+140)),IF($R$4=1,1,IF($R$4=2,$G13,$F13)),"")</f>
        <v/>
      </c>
      <c r="AH13" s="16">
        <f>IF(AND($I13&lt;=($R$2+153),$J13&gt;=($R$2+147)),IF($R$4=1,1,IF($R$4=2,$G13,$F13)),"")</f>
        <v/>
      </c>
      <c r="AI13" s="16">
        <f>IF(AND($I13&lt;=($R$2+160),$J13&gt;=($R$2+154)),IF($R$4=1,1,IF($R$4=2,$G13,$F13)),"")</f>
        <v/>
      </c>
      <c r="AJ13" s="16">
        <f>IF(AND($I13&lt;=($R$2+167),$J13&gt;=($R$2+161)),IF($R$4=1,1,IF($R$4=2,$G13,$F13)),"")</f>
        <v/>
      </c>
      <c r="AK13" s="16">
        <f>IF(AND($I13&lt;=($R$2+174),$J13&gt;=($R$2+168)),IF($R$4=1,1,IF($R$4=2,$G13,$F13)),"")</f>
        <v/>
      </c>
      <c r="AL13" s="16">
        <f>IF(AND($I13&lt;=($R$2+181),$J13&gt;=($R$2+175)),IF($R$4=1,1,IF($R$4=2,$G13,$F13)),"")</f>
        <v/>
      </c>
    </row>
    <row r="14">
      <c r="A14" s="10" t="inlineStr">
        <is>
          <t>CV-08</t>
        </is>
      </c>
      <c r="B14" s="11" t="inlineStr">
        <is>
          <t>Đổ bê tông thân cống 3x3 phân đoạn 2</t>
        </is>
      </c>
      <c r="C14" s="12" t="n">
        <v>2400</v>
      </c>
      <c r="D14" s="10" t="inlineStr">
        <is>
          <t>m3</t>
        </is>
      </c>
      <c r="E14" s="12" t="n">
        <v>80</v>
      </c>
      <c r="F14" s="10" t="n">
        <v>1</v>
      </c>
      <c r="G14" s="10" t="n">
        <v>12</v>
      </c>
      <c r="H14" s="13" t="n">
        <v>30</v>
      </c>
      <c r="I14" s="14">
        <f>J13+1</f>
        <v/>
      </c>
      <c r="J14" s="14">
        <f>I14+H14-1</f>
        <v/>
      </c>
      <c r="K14" s="10" t="inlineStr">
        <is>
          <t>CV-07</t>
        </is>
      </c>
      <c r="L14" s="17" t="inlineStr">
        <is>
          <t>NON-CRITICAL</t>
        </is>
      </c>
      <c r="M14" s="16">
        <f>IF(AND($I14&lt;=($R$2+6),$J14&gt;=($R$2+0)),IF($R$4=1,1,IF($R$4=2,$G14,$F14)),"")</f>
        <v/>
      </c>
      <c r="N14" s="16">
        <f>IF(AND($I14&lt;=($R$2+13),$J14&gt;=($R$2+7)),IF($R$4=1,1,IF($R$4=2,$G14,$F14)),"")</f>
        <v/>
      </c>
      <c r="O14" s="16">
        <f>IF(AND($I14&lt;=($R$2+20),$J14&gt;=($R$2+14)),IF($R$4=1,1,IF($R$4=2,$G14,$F14)),"")</f>
        <v/>
      </c>
      <c r="P14" s="16">
        <f>IF(AND($I14&lt;=($R$2+27),$J14&gt;=($R$2+21)),IF($R$4=1,1,IF($R$4=2,$G14,$F14)),"")</f>
        <v/>
      </c>
      <c r="Q14" s="16">
        <f>IF(AND($I14&lt;=($R$2+34),$J14&gt;=($R$2+28)),IF($R$4=1,1,IF($R$4=2,$G14,$F14)),"")</f>
        <v/>
      </c>
      <c r="R14" s="16">
        <f>IF(AND($I14&lt;=($R$2+41),$J14&gt;=($R$2+35)),IF($R$4=1,1,IF($R$4=2,$G14,$F14)),"")</f>
        <v/>
      </c>
      <c r="S14" s="16">
        <f>IF(AND($I14&lt;=($R$2+48),$J14&gt;=($R$2+42)),IF($R$4=1,1,IF($R$4=2,$G14,$F14)),"")</f>
        <v/>
      </c>
      <c r="T14" s="16">
        <f>IF(AND($I14&lt;=($R$2+55),$J14&gt;=($R$2+49)),IF($R$4=1,1,IF($R$4=2,$G14,$F14)),"")</f>
        <v/>
      </c>
      <c r="U14" s="16">
        <f>IF(AND($I14&lt;=($R$2+62),$J14&gt;=($R$2+56)),IF($R$4=1,1,IF($R$4=2,$G14,$F14)),"")</f>
        <v/>
      </c>
      <c r="V14" s="16">
        <f>IF(AND($I14&lt;=($R$2+69),$J14&gt;=($R$2+63)),IF($R$4=1,1,IF($R$4=2,$G14,$F14)),"")</f>
        <v/>
      </c>
      <c r="W14" s="16">
        <f>IF(AND($I14&lt;=($R$2+76),$J14&gt;=($R$2+70)),IF($R$4=1,1,IF($R$4=2,$G14,$F14)),"")</f>
        <v/>
      </c>
      <c r="X14" s="16">
        <f>IF(AND($I14&lt;=($R$2+83),$J14&gt;=($R$2+77)),IF($R$4=1,1,IF($R$4=2,$G14,$F14)),"")</f>
        <v/>
      </c>
      <c r="Y14" s="16">
        <f>IF(AND($I14&lt;=($R$2+90),$J14&gt;=($R$2+84)),IF($R$4=1,1,IF($R$4=2,$G14,$F14)),"")</f>
        <v/>
      </c>
      <c r="Z14" s="16">
        <f>IF(AND($I14&lt;=($R$2+97),$J14&gt;=($R$2+91)),IF($R$4=1,1,IF($R$4=2,$G14,$F14)),"")</f>
        <v/>
      </c>
      <c r="AA14" s="16">
        <f>IF(AND($I14&lt;=($R$2+104),$J14&gt;=($R$2+98)),IF($R$4=1,1,IF($R$4=2,$G14,$F14)),"")</f>
        <v/>
      </c>
      <c r="AB14" s="16">
        <f>IF(AND($I14&lt;=($R$2+111),$J14&gt;=($R$2+105)),IF($R$4=1,1,IF($R$4=2,$G14,$F14)),"")</f>
        <v/>
      </c>
      <c r="AC14" s="16">
        <f>IF(AND($I14&lt;=($R$2+118),$J14&gt;=($R$2+112)),IF($R$4=1,1,IF($R$4=2,$G14,$F14)),"")</f>
        <v/>
      </c>
      <c r="AD14" s="16">
        <f>IF(AND($I14&lt;=($R$2+125),$J14&gt;=($R$2+119)),IF($R$4=1,1,IF($R$4=2,$G14,$F14)),"")</f>
        <v/>
      </c>
      <c r="AE14" s="16">
        <f>IF(AND($I14&lt;=($R$2+132),$J14&gt;=($R$2+126)),IF($R$4=1,1,IF($R$4=2,$G14,$F14)),"")</f>
        <v/>
      </c>
      <c r="AF14" s="16">
        <f>IF(AND($I14&lt;=($R$2+139),$J14&gt;=($R$2+133)),IF($R$4=1,1,IF($R$4=2,$G14,$F14)),"")</f>
        <v/>
      </c>
      <c r="AG14" s="16">
        <f>IF(AND($I14&lt;=($R$2+146),$J14&gt;=($R$2+140)),IF($R$4=1,1,IF($R$4=2,$G14,$F14)),"")</f>
        <v/>
      </c>
      <c r="AH14" s="16">
        <f>IF(AND($I14&lt;=($R$2+153),$J14&gt;=($R$2+147)),IF($R$4=1,1,IF($R$4=2,$G14,$F14)),"")</f>
        <v/>
      </c>
      <c r="AI14" s="16">
        <f>IF(AND($I14&lt;=($R$2+160),$J14&gt;=($R$2+154)),IF($R$4=1,1,IF($R$4=2,$G14,$F14)),"")</f>
        <v/>
      </c>
      <c r="AJ14" s="16">
        <f>IF(AND($I14&lt;=($R$2+167),$J14&gt;=($R$2+161)),IF($R$4=1,1,IF($R$4=2,$G14,$F14)),"")</f>
        <v/>
      </c>
      <c r="AK14" s="16">
        <f>IF(AND($I14&lt;=($R$2+174),$J14&gt;=($R$2+168)),IF($R$4=1,1,IF($R$4=2,$G14,$F14)),"")</f>
        <v/>
      </c>
      <c r="AL14" s="16">
        <f>IF(AND($I14&lt;=($R$2+181),$J14&gt;=($R$2+175)),IF($R$4=1,1,IF($R$4=2,$G14,$F14)),"")</f>
        <v/>
      </c>
    </row>
    <row r="15">
      <c r="A15" s="10" t="inlineStr">
        <is>
          <t>CV-09</t>
        </is>
      </c>
      <c r="B15" s="11" t="inlineStr">
        <is>
          <t>Đào móng phân đoạn 3 (Cống đôi 2x(3x3))</t>
        </is>
      </c>
      <c r="C15" s="12" t="n">
        <v>12500</v>
      </c>
      <c r="D15" s="10" t="inlineStr">
        <is>
          <t>m3</t>
        </is>
      </c>
      <c r="E15" s="12" t="n">
        <v>357.14</v>
      </c>
      <c r="F15" s="10" t="n">
        <v>1</v>
      </c>
      <c r="G15" s="10" t="n">
        <v>4</v>
      </c>
      <c r="H15" s="13" t="n">
        <v>35</v>
      </c>
      <c r="I15" s="14">
        <f>J12+1</f>
        <v/>
      </c>
      <c r="J15" s="14">
        <f>I15+H15-1</f>
        <v/>
      </c>
      <c r="K15" s="10" t="inlineStr">
        <is>
          <t>CV-06</t>
        </is>
      </c>
      <c r="L15" s="15" t="inlineStr">
        <is>
          <t>CRITICAL</t>
        </is>
      </c>
      <c r="M15" s="16">
        <f>IF(AND($I15&lt;=($R$2+6),$J15&gt;=($R$2+0)),IF($R$4=1,1,IF($R$4=2,$G15,$F15)),"")</f>
        <v/>
      </c>
      <c r="N15" s="16">
        <f>IF(AND($I15&lt;=($R$2+13),$J15&gt;=($R$2+7)),IF($R$4=1,1,IF($R$4=2,$G15,$F15)),"")</f>
        <v/>
      </c>
      <c r="O15" s="16">
        <f>IF(AND($I15&lt;=($R$2+20),$J15&gt;=($R$2+14)),IF($R$4=1,1,IF($R$4=2,$G15,$F15)),"")</f>
        <v/>
      </c>
      <c r="P15" s="16">
        <f>IF(AND($I15&lt;=($R$2+27),$J15&gt;=($R$2+21)),IF($R$4=1,1,IF($R$4=2,$G15,$F15)),"")</f>
        <v/>
      </c>
      <c r="Q15" s="16">
        <f>IF(AND($I15&lt;=($R$2+34),$J15&gt;=($R$2+28)),IF($R$4=1,1,IF($R$4=2,$G15,$F15)),"")</f>
        <v/>
      </c>
      <c r="R15" s="16">
        <f>IF(AND($I15&lt;=($R$2+41),$J15&gt;=($R$2+35)),IF($R$4=1,1,IF($R$4=2,$G15,$F15)),"")</f>
        <v/>
      </c>
      <c r="S15" s="16">
        <f>IF(AND($I15&lt;=($R$2+48),$J15&gt;=($R$2+42)),IF($R$4=1,1,IF($R$4=2,$G15,$F15)),"")</f>
        <v/>
      </c>
      <c r="T15" s="16">
        <f>IF(AND($I15&lt;=($R$2+55),$J15&gt;=($R$2+49)),IF($R$4=1,1,IF($R$4=2,$G15,$F15)),"")</f>
        <v/>
      </c>
      <c r="U15" s="16">
        <f>IF(AND($I15&lt;=($R$2+62),$J15&gt;=($R$2+56)),IF($R$4=1,1,IF($R$4=2,$G15,$F15)),"")</f>
        <v/>
      </c>
      <c r="V15" s="16">
        <f>IF(AND($I15&lt;=($R$2+69),$J15&gt;=($R$2+63)),IF($R$4=1,1,IF($R$4=2,$G15,$F15)),"")</f>
        <v/>
      </c>
      <c r="W15" s="16">
        <f>IF(AND($I15&lt;=($R$2+76),$J15&gt;=($R$2+70)),IF($R$4=1,1,IF($R$4=2,$G15,$F15)),"")</f>
        <v/>
      </c>
      <c r="X15" s="16">
        <f>IF(AND($I15&lt;=($R$2+83),$J15&gt;=($R$2+77)),IF($R$4=1,1,IF($R$4=2,$G15,$F15)),"")</f>
        <v/>
      </c>
      <c r="Y15" s="16">
        <f>IF(AND($I15&lt;=($R$2+90),$J15&gt;=($R$2+84)),IF($R$4=1,1,IF($R$4=2,$G15,$F15)),"")</f>
        <v/>
      </c>
      <c r="Z15" s="16">
        <f>IF(AND($I15&lt;=($R$2+97),$J15&gt;=($R$2+91)),IF($R$4=1,1,IF($R$4=2,$G15,$F15)),"")</f>
        <v/>
      </c>
      <c r="AA15" s="16">
        <f>IF(AND($I15&lt;=($R$2+104),$J15&gt;=($R$2+98)),IF($R$4=1,1,IF($R$4=2,$G15,$F15)),"")</f>
        <v/>
      </c>
      <c r="AB15" s="16">
        <f>IF(AND($I15&lt;=($R$2+111),$J15&gt;=($R$2+105)),IF($R$4=1,1,IF($R$4=2,$G15,$F15)),"")</f>
        <v/>
      </c>
      <c r="AC15" s="16">
        <f>IF(AND($I15&lt;=($R$2+118),$J15&gt;=($R$2+112)),IF($R$4=1,1,IF($R$4=2,$G15,$F15)),"")</f>
        <v/>
      </c>
      <c r="AD15" s="16">
        <f>IF(AND($I15&lt;=($R$2+125),$J15&gt;=($R$2+119)),IF($R$4=1,1,IF($R$4=2,$G15,$F15)),"")</f>
        <v/>
      </c>
      <c r="AE15" s="16">
        <f>IF(AND($I15&lt;=($R$2+132),$J15&gt;=($R$2+126)),IF($R$4=1,1,IF($R$4=2,$G15,$F15)),"")</f>
        <v/>
      </c>
      <c r="AF15" s="16">
        <f>IF(AND($I15&lt;=($R$2+139),$J15&gt;=($R$2+133)),IF($R$4=1,1,IF($R$4=2,$G15,$F15)),"")</f>
        <v/>
      </c>
      <c r="AG15" s="16">
        <f>IF(AND($I15&lt;=($R$2+146),$J15&gt;=($R$2+140)),IF($R$4=1,1,IF($R$4=2,$G15,$F15)),"")</f>
        <v/>
      </c>
      <c r="AH15" s="16">
        <f>IF(AND($I15&lt;=($R$2+153),$J15&gt;=($R$2+147)),IF($R$4=1,1,IF($R$4=2,$G15,$F15)),"")</f>
        <v/>
      </c>
      <c r="AI15" s="16">
        <f>IF(AND($I15&lt;=($R$2+160),$J15&gt;=($R$2+154)),IF($R$4=1,1,IF($R$4=2,$G15,$F15)),"")</f>
        <v/>
      </c>
      <c r="AJ15" s="16">
        <f>IF(AND($I15&lt;=($R$2+167),$J15&gt;=($R$2+161)),IF($R$4=1,1,IF($R$4=2,$G15,$F15)),"")</f>
        <v/>
      </c>
      <c r="AK15" s="16">
        <f>IF(AND($I15&lt;=($R$2+174),$J15&gt;=($R$2+168)),IF($R$4=1,1,IF($R$4=2,$G15,$F15)),"")</f>
        <v/>
      </c>
      <c r="AL15" s="16">
        <f>IF(AND($I15&lt;=($R$2+181),$J15&gt;=($R$2+175)),IF($R$4=1,1,IF($R$4=2,$G15,$F15)),"")</f>
        <v/>
      </c>
    </row>
    <row r="16">
      <c r="A16" s="10" t="inlineStr">
        <is>
          <t>CV-10</t>
        </is>
      </c>
      <c r="B16" s="11" t="inlineStr">
        <is>
          <t>Bê tông cống đôi 2x(3x3) phân đoạn 3</t>
        </is>
      </c>
      <c r="C16" s="12" t="n">
        <v>4200</v>
      </c>
      <c r="D16" s="10" t="inlineStr">
        <is>
          <t>m3</t>
        </is>
      </c>
      <c r="E16" s="12" t="n">
        <v>93.33</v>
      </c>
      <c r="F16" s="10" t="n">
        <v>1</v>
      </c>
      <c r="G16" s="10" t="n">
        <v>14</v>
      </c>
      <c r="H16" s="13" t="n">
        <v>45</v>
      </c>
      <c r="I16" s="14">
        <f>J15+1</f>
        <v/>
      </c>
      <c r="J16" s="14">
        <f>I16+H16-1</f>
        <v/>
      </c>
      <c r="K16" s="10" t="inlineStr">
        <is>
          <t>CV-09</t>
        </is>
      </c>
      <c r="L16" s="15" t="inlineStr">
        <is>
          <t>CRITICAL</t>
        </is>
      </c>
      <c r="M16" s="16">
        <f>IF(AND($I16&lt;=($R$2+6),$J16&gt;=($R$2+0)),IF($R$4=1,1,IF($R$4=2,$G16,$F16)),"")</f>
        <v/>
      </c>
      <c r="N16" s="16">
        <f>IF(AND($I16&lt;=($R$2+13),$J16&gt;=($R$2+7)),IF($R$4=1,1,IF($R$4=2,$G16,$F16)),"")</f>
        <v/>
      </c>
      <c r="O16" s="16">
        <f>IF(AND($I16&lt;=($R$2+20),$J16&gt;=($R$2+14)),IF($R$4=1,1,IF($R$4=2,$G16,$F16)),"")</f>
        <v/>
      </c>
      <c r="P16" s="16">
        <f>IF(AND($I16&lt;=($R$2+27),$J16&gt;=($R$2+21)),IF($R$4=1,1,IF($R$4=2,$G16,$F16)),"")</f>
        <v/>
      </c>
      <c r="Q16" s="16">
        <f>IF(AND($I16&lt;=($R$2+34),$J16&gt;=($R$2+28)),IF($R$4=1,1,IF($R$4=2,$G16,$F16)),"")</f>
        <v/>
      </c>
      <c r="R16" s="16">
        <f>IF(AND($I16&lt;=($R$2+41),$J16&gt;=($R$2+35)),IF($R$4=1,1,IF($R$4=2,$G16,$F16)),"")</f>
        <v/>
      </c>
      <c r="S16" s="16">
        <f>IF(AND($I16&lt;=($R$2+48),$J16&gt;=($R$2+42)),IF($R$4=1,1,IF($R$4=2,$G16,$F16)),"")</f>
        <v/>
      </c>
      <c r="T16" s="16">
        <f>IF(AND($I16&lt;=($R$2+55),$J16&gt;=($R$2+49)),IF($R$4=1,1,IF($R$4=2,$G16,$F16)),"")</f>
        <v/>
      </c>
      <c r="U16" s="16">
        <f>IF(AND($I16&lt;=($R$2+62),$J16&gt;=($R$2+56)),IF($R$4=1,1,IF($R$4=2,$G16,$F16)),"")</f>
        <v/>
      </c>
      <c r="V16" s="16">
        <f>IF(AND($I16&lt;=($R$2+69),$J16&gt;=($R$2+63)),IF($R$4=1,1,IF($R$4=2,$G16,$F16)),"")</f>
        <v/>
      </c>
      <c r="W16" s="16">
        <f>IF(AND($I16&lt;=($R$2+76),$J16&gt;=($R$2+70)),IF($R$4=1,1,IF($R$4=2,$G16,$F16)),"")</f>
        <v/>
      </c>
      <c r="X16" s="16">
        <f>IF(AND($I16&lt;=($R$2+83),$J16&gt;=($R$2+77)),IF($R$4=1,1,IF($R$4=2,$G16,$F16)),"")</f>
        <v/>
      </c>
      <c r="Y16" s="16">
        <f>IF(AND($I16&lt;=($R$2+90),$J16&gt;=($R$2+84)),IF($R$4=1,1,IF($R$4=2,$G16,$F16)),"")</f>
        <v/>
      </c>
      <c r="Z16" s="16">
        <f>IF(AND($I16&lt;=($R$2+97),$J16&gt;=($R$2+91)),IF($R$4=1,1,IF($R$4=2,$G16,$F16)),"")</f>
        <v/>
      </c>
      <c r="AA16" s="16">
        <f>IF(AND($I16&lt;=($R$2+104),$J16&gt;=($R$2+98)),IF($R$4=1,1,IF($R$4=2,$G16,$F16)),"")</f>
        <v/>
      </c>
      <c r="AB16" s="16">
        <f>IF(AND($I16&lt;=($R$2+111),$J16&gt;=($R$2+105)),IF($R$4=1,1,IF($R$4=2,$G16,$F16)),"")</f>
        <v/>
      </c>
      <c r="AC16" s="16">
        <f>IF(AND($I16&lt;=($R$2+118),$J16&gt;=($R$2+112)),IF($R$4=1,1,IF($R$4=2,$G16,$F16)),"")</f>
        <v/>
      </c>
      <c r="AD16" s="16">
        <f>IF(AND($I16&lt;=($R$2+125),$J16&gt;=($R$2+119)),IF($R$4=1,1,IF($R$4=2,$G16,$F16)),"")</f>
        <v/>
      </c>
      <c r="AE16" s="16">
        <f>IF(AND($I16&lt;=($R$2+132),$J16&gt;=($R$2+126)),IF($R$4=1,1,IF($R$4=2,$G16,$F16)),"")</f>
        <v/>
      </c>
      <c r="AF16" s="16">
        <f>IF(AND($I16&lt;=($R$2+139),$J16&gt;=($R$2+133)),IF($R$4=1,1,IF($R$4=2,$G16,$F16)),"")</f>
        <v/>
      </c>
      <c r="AG16" s="16">
        <f>IF(AND($I16&lt;=($R$2+146),$J16&gt;=($R$2+140)),IF($R$4=1,1,IF($R$4=2,$G16,$F16)),"")</f>
        <v/>
      </c>
      <c r="AH16" s="16">
        <f>IF(AND($I16&lt;=($R$2+153),$J16&gt;=($R$2+147)),IF($R$4=1,1,IF($R$4=2,$G16,$F16)),"")</f>
        <v/>
      </c>
      <c r="AI16" s="16">
        <f>IF(AND($I16&lt;=($R$2+160),$J16&gt;=($R$2+154)),IF($R$4=1,1,IF($R$4=2,$G16,$F16)),"")</f>
        <v/>
      </c>
      <c r="AJ16" s="16">
        <f>IF(AND($I16&lt;=($R$2+167),$J16&gt;=($R$2+161)),IF($R$4=1,1,IF($R$4=2,$G16,$F16)),"")</f>
        <v/>
      </c>
      <c r="AK16" s="16">
        <f>IF(AND($I16&lt;=($R$2+174),$J16&gt;=($R$2+168)),IF($R$4=1,1,IF($R$4=2,$G16,$F16)),"")</f>
        <v/>
      </c>
      <c r="AL16" s="16">
        <f>IF(AND($I16&lt;=($R$2+181),$J16&gt;=($R$2+175)),IF($R$4=1,1,IF($R$4=2,$G16,$F16)),"")</f>
        <v/>
      </c>
    </row>
    <row r="17">
      <c r="A17" s="10" t="inlineStr">
        <is>
          <t>CV-11</t>
        </is>
      </c>
      <c r="B17" s="11" t="inlineStr">
        <is>
          <t>Chống thấm, chèn khe co giãn bitum &amp; Lấp đất</t>
        </is>
      </c>
      <c r="C17" s="12" t="n">
        <v>11081.91</v>
      </c>
      <c r="D17" s="10" t="inlineStr">
        <is>
          <t>m3</t>
        </is>
      </c>
      <c r="E17" s="12" t="n">
        <v>738.79</v>
      </c>
      <c r="F17" s="10" t="n">
        <v>1</v>
      </c>
      <c r="G17" s="10" t="n">
        <v>6</v>
      </c>
      <c r="H17" s="13" t="n">
        <v>15</v>
      </c>
      <c r="I17" s="14">
        <f>J16+1</f>
        <v/>
      </c>
      <c r="J17" s="14">
        <f>I17+H17-1</f>
        <v/>
      </c>
      <c r="K17" s="10" t="inlineStr">
        <is>
          <t>CV-10</t>
        </is>
      </c>
      <c r="L17" s="15" t="inlineStr">
        <is>
          <t>CRITICAL</t>
        </is>
      </c>
      <c r="M17" s="16">
        <f>IF(AND($I17&lt;=($R$2+6),$J17&gt;=($R$2+0)),IF($R$4=1,1,IF($R$4=2,$G17,$F17)),"")</f>
        <v/>
      </c>
      <c r="N17" s="16">
        <f>IF(AND($I17&lt;=($R$2+13),$J17&gt;=($R$2+7)),IF($R$4=1,1,IF($R$4=2,$G17,$F17)),"")</f>
        <v/>
      </c>
      <c r="O17" s="16">
        <f>IF(AND($I17&lt;=($R$2+20),$J17&gt;=($R$2+14)),IF($R$4=1,1,IF($R$4=2,$G17,$F17)),"")</f>
        <v/>
      </c>
      <c r="P17" s="16">
        <f>IF(AND($I17&lt;=($R$2+27),$J17&gt;=($R$2+21)),IF($R$4=1,1,IF($R$4=2,$G17,$F17)),"")</f>
        <v/>
      </c>
      <c r="Q17" s="16">
        <f>IF(AND($I17&lt;=($R$2+34),$J17&gt;=($R$2+28)),IF($R$4=1,1,IF($R$4=2,$G17,$F17)),"")</f>
        <v/>
      </c>
      <c r="R17" s="16">
        <f>IF(AND($I17&lt;=($R$2+41),$J17&gt;=($R$2+35)),IF($R$4=1,1,IF($R$4=2,$G17,$F17)),"")</f>
        <v/>
      </c>
      <c r="S17" s="16">
        <f>IF(AND($I17&lt;=($R$2+48),$J17&gt;=($R$2+42)),IF($R$4=1,1,IF($R$4=2,$G17,$F17)),"")</f>
        <v/>
      </c>
      <c r="T17" s="16">
        <f>IF(AND($I17&lt;=($R$2+55),$J17&gt;=($R$2+49)),IF($R$4=1,1,IF($R$4=2,$G17,$F17)),"")</f>
        <v/>
      </c>
      <c r="U17" s="16">
        <f>IF(AND($I17&lt;=($R$2+62),$J17&gt;=($R$2+56)),IF($R$4=1,1,IF($R$4=2,$G17,$F17)),"")</f>
        <v/>
      </c>
      <c r="V17" s="16">
        <f>IF(AND($I17&lt;=($R$2+69),$J17&gt;=($R$2+63)),IF($R$4=1,1,IF($R$4=2,$G17,$F17)),"")</f>
        <v/>
      </c>
      <c r="W17" s="16">
        <f>IF(AND($I17&lt;=($R$2+76),$J17&gt;=($R$2+70)),IF($R$4=1,1,IF($R$4=2,$G17,$F17)),"")</f>
        <v/>
      </c>
      <c r="X17" s="16">
        <f>IF(AND($I17&lt;=($R$2+83),$J17&gt;=($R$2+77)),IF($R$4=1,1,IF($R$4=2,$G17,$F17)),"")</f>
        <v/>
      </c>
      <c r="Y17" s="16">
        <f>IF(AND($I17&lt;=($R$2+90),$J17&gt;=($R$2+84)),IF($R$4=1,1,IF($R$4=2,$G17,$F17)),"")</f>
        <v/>
      </c>
      <c r="Z17" s="16">
        <f>IF(AND($I17&lt;=($R$2+97),$J17&gt;=($R$2+91)),IF($R$4=1,1,IF($R$4=2,$G17,$F17)),"")</f>
        <v/>
      </c>
      <c r="AA17" s="16">
        <f>IF(AND($I17&lt;=($R$2+104),$J17&gt;=($R$2+98)),IF($R$4=1,1,IF($R$4=2,$G17,$F17)),"")</f>
        <v/>
      </c>
      <c r="AB17" s="16">
        <f>IF(AND($I17&lt;=($R$2+111),$J17&gt;=($R$2+105)),IF($R$4=1,1,IF($R$4=2,$G17,$F17)),"")</f>
        <v/>
      </c>
      <c r="AC17" s="16">
        <f>IF(AND($I17&lt;=($R$2+118),$J17&gt;=($R$2+112)),IF($R$4=1,1,IF($R$4=2,$G17,$F17)),"")</f>
        <v/>
      </c>
      <c r="AD17" s="16">
        <f>IF(AND($I17&lt;=($R$2+125),$J17&gt;=($R$2+119)),IF($R$4=1,1,IF($R$4=2,$G17,$F17)),"")</f>
        <v/>
      </c>
      <c r="AE17" s="16">
        <f>IF(AND($I17&lt;=($R$2+132),$J17&gt;=($R$2+126)),IF($R$4=1,1,IF($R$4=2,$G17,$F17)),"")</f>
        <v/>
      </c>
      <c r="AF17" s="16">
        <f>IF(AND($I17&lt;=($R$2+139),$J17&gt;=($R$2+133)),IF($R$4=1,1,IF($R$4=2,$G17,$F17)),"")</f>
        <v/>
      </c>
      <c r="AG17" s="16">
        <f>IF(AND($I17&lt;=($R$2+146),$J17&gt;=($R$2+140)),IF($R$4=1,1,IF($R$4=2,$G17,$F17)),"")</f>
        <v/>
      </c>
      <c r="AH17" s="16">
        <f>IF(AND($I17&lt;=($R$2+153),$J17&gt;=($R$2+147)),IF($R$4=1,1,IF($R$4=2,$G17,$F17)),"")</f>
        <v/>
      </c>
      <c r="AI17" s="16">
        <f>IF(AND($I17&lt;=($R$2+160),$J17&gt;=($R$2+154)),IF($R$4=1,1,IF($R$4=2,$G17,$F17)),"")</f>
        <v/>
      </c>
      <c r="AJ17" s="16">
        <f>IF(AND($I17&lt;=($R$2+167),$J17&gt;=($R$2+161)),IF($R$4=1,1,IF($R$4=2,$G17,$F17)),"")</f>
        <v/>
      </c>
      <c r="AK17" s="16">
        <f>IF(AND($I17&lt;=($R$2+174),$J17&gt;=($R$2+168)),IF($R$4=1,1,IF($R$4=2,$G17,$F17)),"")</f>
        <v/>
      </c>
      <c r="AL17" s="16">
        <f>IF(AND($I17&lt;=($R$2+181),$J17&gt;=($R$2+175)),IF($R$4=1,1,IF($R$4=2,$G17,$F17)),"")</f>
        <v/>
      </c>
    </row>
    <row r="18">
      <c r="A18" s="10" t="inlineStr">
        <is>
          <t>CV-12</t>
        </is>
      </c>
      <c r="B18" s="11" t="inlineStr">
        <is>
          <t>Nghiệm thu hoàn thành &amp; Bàn giao thông tuyến</t>
        </is>
      </c>
      <c r="C18" s="12" t="n">
        <v>1</v>
      </c>
      <c r="D18" s="10" t="inlineStr">
        <is>
          <t>hồ sơ</t>
        </is>
      </c>
      <c r="E18" s="12" t="n">
        <v>0.2</v>
      </c>
      <c r="F18" s="10" t="n">
        <v>1</v>
      </c>
      <c r="G18" s="10" t="n">
        <v>8</v>
      </c>
      <c r="H18" s="13" t="n">
        <v>5</v>
      </c>
      <c r="I18" s="14">
        <f>J17+1</f>
        <v/>
      </c>
      <c r="J18" s="14">
        <f>I18+H18-1</f>
        <v/>
      </c>
      <c r="K18" s="10" t="inlineStr">
        <is>
          <t>CV-11</t>
        </is>
      </c>
      <c r="L18" s="15" t="inlineStr">
        <is>
          <t>CRITICAL</t>
        </is>
      </c>
      <c r="M18" s="16">
        <f>IF(AND($I18&lt;=($R$2+6),$J18&gt;=($R$2+0)),IF($R$4=1,1,IF($R$4=2,$G18,$F18)),"")</f>
        <v/>
      </c>
      <c r="N18" s="16">
        <f>IF(AND($I18&lt;=($R$2+13),$J18&gt;=($R$2+7)),IF($R$4=1,1,IF($R$4=2,$G18,$F18)),"")</f>
        <v/>
      </c>
      <c r="O18" s="16">
        <f>IF(AND($I18&lt;=($R$2+20),$J18&gt;=($R$2+14)),IF($R$4=1,1,IF($R$4=2,$G18,$F18)),"")</f>
        <v/>
      </c>
      <c r="P18" s="16">
        <f>IF(AND($I18&lt;=($R$2+27),$J18&gt;=($R$2+21)),IF($R$4=1,1,IF($R$4=2,$G18,$F18)),"")</f>
        <v/>
      </c>
      <c r="Q18" s="16">
        <f>IF(AND($I18&lt;=($R$2+34),$J18&gt;=($R$2+28)),IF($R$4=1,1,IF($R$4=2,$G18,$F18)),"")</f>
        <v/>
      </c>
      <c r="R18" s="16">
        <f>IF(AND($I18&lt;=($R$2+41),$J18&gt;=($R$2+35)),IF($R$4=1,1,IF($R$4=2,$G18,$F18)),"")</f>
        <v/>
      </c>
      <c r="S18" s="16">
        <f>IF(AND($I18&lt;=($R$2+48),$J18&gt;=($R$2+42)),IF($R$4=1,1,IF($R$4=2,$G18,$F18)),"")</f>
        <v/>
      </c>
      <c r="T18" s="16">
        <f>IF(AND($I18&lt;=($R$2+55),$J18&gt;=($R$2+49)),IF($R$4=1,1,IF($R$4=2,$G18,$F18)),"")</f>
        <v/>
      </c>
      <c r="U18" s="16">
        <f>IF(AND($I18&lt;=($R$2+62),$J18&gt;=($R$2+56)),IF($R$4=1,1,IF($R$4=2,$G18,$F18)),"")</f>
        <v/>
      </c>
      <c r="V18" s="16">
        <f>IF(AND($I18&lt;=($R$2+69),$J18&gt;=($R$2+63)),IF($R$4=1,1,IF($R$4=2,$G18,$F18)),"")</f>
        <v/>
      </c>
      <c r="W18" s="16">
        <f>IF(AND($I18&lt;=($R$2+76),$J18&gt;=($R$2+70)),IF($R$4=1,1,IF($R$4=2,$G18,$F18)),"")</f>
        <v/>
      </c>
      <c r="X18" s="16">
        <f>IF(AND($I18&lt;=($R$2+83),$J18&gt;=($R$2+77)),IF($R$4=1,1,IF($R$4=2,$G18,$F18)),"")</f>
        <v/>
      </c>
      <c r="Y18" s="16">
        <f>IF(AND($I18&lt;=($R$2+90),$J18&gt;=($R$2+84)),IF($R$4=1,1,IF($R$4=2,$G18,$F18)),"")</f>
        <v/>
      </c>
      <c r="Z18" s="16">
        <f>IF(AND($I18&lt;=($R$2+97),$J18&gt;=($R$2+91)),IF($R$4=1,1,IF($R$4=2,$G18,$F18)),"")</f>
        <v/>
      </c>
      <c r="AA18" s="16">
        <f>IF(AND($I18&lt;=($R$2+104),$J18&gt;=($R$2+98)),IF($R$4=1,1,IF($R$4=2,$G18,$F18)),"")</f>
        <v/>
      </c>
      <c r="AB18" s="16">
        <f>IF(AND($I18&lt;=($R$2+111),$J18&gt;=($R$2+105)),IF($R$4=1,1,IF($R$4=2,$G18,$F18)),"")</f>
        <v/>
      </c>
      <c r="AC18" s="16">
        <f>IF(AND($I18&lt;=($R$2+118),$J18&gt;=($R$2+112)),IF($R$4=1,1,IF($R$4=2,$G18,$F18)),"")</f>
        <v/>
      </c>
      <c r="AD18" s="16">
        <f>IF(AND($I18&lt;=($R$2+125),$J18&gt;=($R$2+119)),IF($R$4=1,1,IF($R$4=2,$G18,$F18)),"")</f>
        <v/>
      </c>
      <c r="AE18" s="16">
        <f>IF(AND($I18&lt;=($R$2+132),$J18&gt;=($R$2+126)),IF($R$4=1,1,IF($R$4=2,$G18,$F18)),"")</f>
        <v/>
      </c>
      <c r="AF18" s="16">
        <f>IF(AND($I18&lt;=($R$2+139),$J18&gt;=($R$2+133)),IF($R$4=1,1,IF($R$4=2,$G18,$F18)),"")</f>
        <v/>
      </c>
      <c r="AG18" s="16">
        <f>IF(AND($I18&lt;=($R$2+146),$J18&gt;=($R$2+140)),IF($R$4=1,1,IF($R$4=2,$G18,$F18)),"")</f>
        <v/>
      </c>
      <c r="AH18" s="16">
        <f>IF(AND($I18&lt;=($R$2+153),$J18&gt;=($R$2+147)),IF($R$4=1,1,IF($R$4=2,$G18,$F18)),"")</f>
        <v/>
      </c>
      <c r="AI18" s="16">
        <f>IF(AND($I18&lt;=($R$2+160),$J18&gt;=($R$2+154)),IF($R$4=1,1,IF($R$4=2,$G18,$F18)),"")</f>
        <v/>
      </c>
      <c r="AJ18" s="16">
        <f>IF(AND($I18&lt;=($R$2+167),$J18&gt;=($R$2+161)),IF($R$4=1,1,IF($R$4=2,$G18,$F18)),"")</f>
        <v/>
      </c>
      <c r="AK18" s="16">
        <f>IF(AND($I18&lt;=($R$2+174),$J18&gt;=($R$2+168)),IF($R$4=1,1,IF($R$4=2,$G18,$F18)),"")</f>
        <v/>
      </c>
      <c r="AL18" s="16">
        <f>IF(AND($I18&lt;=($R$2+181),$J18&gt;=($R$2+175)),IF($R$4=1,1,IF($R$4=2,$G18,$F18)),"")</f>
        <v/>
      </c>
    </row>
  </sheetData>
  <conditionalFormatting sqref="M7:AL18">
    <cfRule type="expression" priority="1" dxfId="0" stopIfTrue="1">
      <formula>M7&gt;0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2026-10-03T09:59:47Z</dcterms:created>
  <dcterms:modified xmlns:dcterms="http://purl.org/dc/terms/" xmlns:xsi="http://www.w3.org/2001/XMLSchema-instance" xsi:type="dcterms:W3CDTF">2026-10-03T09:59:47Z</dcterms:modified>
</cp:coreProperties>
</file>