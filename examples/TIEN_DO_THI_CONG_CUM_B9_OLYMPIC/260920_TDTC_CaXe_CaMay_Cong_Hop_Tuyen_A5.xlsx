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aotu\Downloads\TIEN_DO_THI_CONG_CUM_B9_OLYMPIC\"/>
    </mc:Choice>
  </mc:AlternateContent>
  <xr:revisionPtr revIDLastSave="0" documentId="11_4B2D517D8F59AD5A835FD6F384898D94422193B1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01_TienDo_CaMay_Master" sheetId="1" r:id="rId1"/>
    <sheet name="02_TongHop_CaXe_CaMay_MMTB" sheetId="2" r:id="rId2"/>
    <sheet name="03_KeHoach_Dau_Diezel" sheetId="3" r:id="rId3"/>
    <sheet name="04_KeHoach_NhanLuc_3_Mui" sheetId="4" r:id="rId4"/>
    <sheet name="05_DoiChieu_BocTach_A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5" l="1"/>
  <c r="G7" i="5"/>
  <c r="F7" i="5"/>
  <c r="E7" i="5"/>
  <c r="D7" i="5"/>
  <c r="F15" i="4"/>
  <c r="E15" i="4"/>
  <c r="D15" i="4"/>
  <c r="C15" i="4"/>
  <c r="G14" i="4"/>
  <c r="G13" i="4"/>
  <c r="G12" i="4"/>
  <c r="G11" i="4"/>
  <c r="G10" i="4"/>
  <c r="G9" i="4"/>
  <c r="G8" i="4"/>
  <c r="G7" i="4"/>
  <c r="G6" i="4"/>
  <c r="G5" i="4"/>
  <c r="G4" i="4"/>
  <c r="G15" i="4" s="1"/>
  <c r="D15" i="3"/>
  <c r="I14" i="3"/>
  <c r="G14" i="3"/>
  <c r="F14" i="3"/>
  <c r="E14" i="3"/>
  <c r="H14" i="3" s="1"/>
  <c r="E13" i="3"/>
  <c r="H13" i="3" s="1"/>
  <c r="E12" i="3"/>
  <c r="I12" i="3" s="1"/>
  <c r="E11" i="3"/>
  <c r="I11" i="3" s="1"/>
  <c r="E10" i="3"/>
  <c r="I10" i="3" s="1"/>
  <c r="I9" i="3"/>
  <c r="H9" i="3"/>
  <c r="G9" i="3"/>
  <c r="F9" i="3"/>
  <c r="E9" i="3"/>
  <c r="E8" i="3"/>
  <c r="I8" i="3" s="1"/>
  <c r="E7" i="3"/>
  <c r="F7" i="3" s="1"/>
  <c r="E6" i="3"/>
  <c r="I6" i="3" s="1"/>
  <c r="E5" i="3"/>
  <c r="G5" i="3" s="1"/>
  <c r="E4" i="3"/>
  <c r="I4" i="3" s="1"/>
  <c r="I15" i="2"/>
  <c r="G15" i="2"/>
  <c r="F15" i="2"/>
  <c r="I14" i="2"/>
  <c r="I13" i="2"/>
  <c r="I12" i="2"/>
  <c r="I11" i="2"/>
  <c r="I10" i="2"/>
  <c r="I9" i="2"/>
  <c r="I8" i="2"/>
  <c r="I7" i="2"/>
  <c r="I6" i="2"/>
  <c r="I5" i="2"/>
  <c r="I4" i="2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AY46" i="1"/>
  <c r="AY43" i="1" s="1"/>
  <c r="AX46" i="1"/>
  <c r="AX43" i="1" s="1"/>
  <c r="AW46" i="1"/>
  <c r="AW43" i="1" s="1"/>
  <c r="AV46" i="1"/>
  <c r="AV43" i="1" s="1"/>
  <c r="AU46" i="1"/>
  <c r="AU43" i="1" s="1"/>
  <c r="AT46" i="1"/>
  <c r="AT43" i="1" s="1"/>
  <c r="AS46" i="1"/>
  <c r="AS43" i="1" s="1"/>
  <c r="AR46" i="1"/>
  <c r="AR43" i="1" s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W43" i="1" s="1"/>
  <c r="V46" i="1"/>
  <c r="V43" i="1" s="1"/>
  <c r="U46" i="1"/>
  <c r="U43" i="1" s="1"/>
  <c r="T46" i="1"/>
  <c r="T43" i="1" s="1"/>
  <c r="S46" i="1"/>
  <c r="S43" i="1" s="1"/>
  <c r="R46" i="1"/>
  <c r="R43" i="1" s="1"/>
  <c r="Q46" i="1"/>
  <c r="Q43" i="1" s="1"/>
  <c r="P46" i="1"/>
  <c r="P43" i="1" s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E43" i="1" s="1"/>
  <c r="AD45" i="1"/>
  <c r="AD43" i="1" s="1"/>
  <c r="AC45" i="1"/>
  <c r="AC43" i="1" s="1"/>
  <c r="AB45" i="1"/>
  <c r="AB43" i="1" s="1"/>
  <c r="AA45" i="1"/>
  <c r="AA43" i="1" s="1"/>
  <c r="Z45" i="1"/>
  <c r="Z43" i="1" s="1"/>
  <c r="Y45" i="1"/>
  <c r="Y43" i="1" s="1"/>
  <c r="X45" i="1"/>
  <c r="X43" i="1" s="1"/>
  <c r="W45" i="1"/>
  <c r="V45" i="1"/>
  <c r="U45" i="1"/>
  <c r="T45" i="1"/>
  <c r="S45" i="1"/>
  <c r="R45" i="1"/>
  <c r="Q45" i="1"/>
  <c r="P45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M43" i="1" s="1"/>
  <c r="AL44" i="1"/>
  <c r="AL43" i="1" s="1"/>
  <c r="AK44" i="1"/>
  <c r="AK43" i="1" s="1"/>
  <c r="AJ44" i="1"/>
  <c r="AJ43" i="1" s="1"/>
  <c r="AI44" i="1"/>
  <c r="AI43" i="1" s="1"/>
  <c r="AH44" i="1"/>
  <c r="AH43" i="1" s="1"/>
  <c r="AG44" i="1"/>
  <c r="AG43" i="1" s="1"/>
  <c r="AF44" i="1"/>
  <c r="AF43" i="1" s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AQ43" i="1"/>
  <c r="AP43" i="1"/>
  <c r="AO43" i="1"/>
  <c r="AN43" i="1"/>
  <c r="H24" i="1"/>
  <c r="G24" i="1"/>
  <c r="M24" i="1" s="1"/>
  <c r="M23" i="1"/>
  <c r="H23" i="1"/>
  <c r="G23" i="1"/>
  <c r="H22" i="1"/>
  <c r="G22" i="1"/>
  <c r="M22" i="1" s="1"/>
  <c r="M21" i="1"/>
  <c r="H21" i="1"/>
  <c r="G21" i="1"/>
  <c r="H20" i="1"/>
  <c r="G20" i="1"/>
  <c r="M20" i="1" s="1"/>
  <c r="H19" i="1"/>
  <c r="G19" i="1"/>
  <c r="M19" i="1" s="1"/>
  <c r="H18" i="1"/>
  <c r="G18" i="1"/>
  <c r="M18" i="1" s="1"/>
  <c r="H17" i="1"/>
  <c r="G17" i="1"/>
  <c r="M17" i="1" s="1"/>
  <c r="H16" i="1"/>
  <c r="G16" i="1"/>
  <c r="M16" i="1" s="1"/>
  <c r="H15" i="1"/>
  <c r="G15" i="1"/>
  <c r="M15" i="1" s="1"/>
  <c r="M14" i="1"/>
  <c r="H14" i="1"/>
  <c r="G14" i="1"/>
  <c r="M13" i="1"/>
  <c r="H13" i="1"/>
  <c r="G13" i="1"/>
  <c r="M12" i="1"/>
  <c r="H12" i="1"/>
  <c r="G12" i="1"/>
  <c r="H11" i="1"/>
  <c r="G11" i="1"/>
  <c r="M11" i="1" s="1"/>
  <c r="H10" i="1"/>
  <c r="G10" i="1"/>
  <c r="M10" i="1" s="1"/>
  <c r="H9" i="1"/>
  <c r="G9" i="1"/>
  <c r="M9" i="1" s="1"/>
  <c r="H8" i="1"/>
  <c r="G8" i="1"/>
  <c r="M8" i="1" s="1"/>
  <c r="H4" i="3" l="1"/>
  <c r="G10" i="3"/>
  <c r="H5" i="3"/>
  <c r="H6" i="3"/>
  <c r="G7" i="3"/>
  <c r="H7" i="3"/>
  <c r="F13" i="3"/>
  <c r="I7" i="3"/>
  <c r="G13" i="3"/>
  <c r="E15" i="3"/>
  <c r="F5" i="3"/>
  <c r="G8" i="3"/>
  <c r="F4" i="3"/>
  <c r="I5" i="3"/>
  <c r="I15" i="3" s="1"/>
  <c r="H11" i="3"/>
  <c r="G6" i="3"/>
  <c r="F8" i="3"/>
  <c r="I13" i="3"/>
  <c r="H8" i="3"/>
  <c r="G4" i="3"/>
  <c r="F10" i="3"/>
  <c r="H10" i="3"/>
  <c r="F11" i="3"/>
  <c r="F6" i="3"/>
  <c r="F12" i="3"/>
  <c r="G12" i="3"/>
  <c r="H12" i="3"/>
  <c r="G11" i="3"/>
  <c r="G15" i="3" l="1"/>
  <c r="F15" i="3"/>
  <c r="H15" i="3"/>
</calcChain>
</file>

<file path=xl/sharedStrings.xml><?xml version="1.0" encoding="utf-8"?>
<sst xmlns="http://schemas.openxmlformats.org/spreadsheetml/2006/main" count="447" uniqueCount="274">
  <si>
    <t>DỰ ÁN: CỐNG HỘP TUYẾN A5 - KHU ĐÔ THỊ THỂ THAO QUỐC TẾ HÀ NỘI</t>
  </si>
  <si>
    <t>BẢNG TÍNH TOÁN CA XE, CA MÁY &amp; TIẾN ĐỘ THI CÔNG TOÀN TUYẾN A5 (L = 2,170 M - 63 HỐ GA)</t>
  </si>
  <si>
    <t>MỐC TIẾN ĐỘ THẦN TỐC: TỪ 20/09/2026 ĐẾN 25/10/2026 (36 NGÀY) - 2 CA/NGÀY (20H/NGÀY) - 3 MŨI THI CÔNG ĐỒNG THỜI</t>
  </si>
  <si>
    <t>Chế độ ca:</t>
  </si>
  <si>
    <t>2 ca/ngày (20 giờ/ngày)</t>
  </si>
  <si>
    <t>Phân đoạn thi công:</t>
  </si>
  <si>
    <t>3 mũi song song (Cống 2x2: 385m, Cống 3x3: 560m, Cống đôi 2x(3x3): 1,225m)</t>
  </si>
  <si>
    <t>Định mức áp dụng:</t>
  </si>
  <si>
    <t>Vincons_ĐMGK_02-01 Hạ tầng giao thông</t>
  </si>
  <si>
    <t>STT</t>
  </si>
  <si>
    <t>Mã ĐM</t>
  </si>
  <si>
    <t>Nội dung công việc thi công cống hộp</t>
  </si>
  <si>
    <t>ĐVT</t>
  </si>
  <si>
    <t>Khối lượng thiết kế</t>
  </si>
  <si>
    <t>Định mức Vincons (ĐVT/ca)</t>
  </si>
  <si>
    <t>Tổng số ca máy (ca)</t>
  </si>
  <si>
    <t>Năng xuất ngày</t>
  </si>
  <si>
    <t>Thời gian (ngày)</t>
  </si>
  <si>
    <t>Ngày BĐ</t>
  </si>
  <si>
    <t>Ngày KT</t>
  </si>
  <si>
    <t>Số ca/ngày</t>
  </si>
  <si>
    <t>Số máy huy động/ngày</t>
  </si>
  <si>
    <t>Chủng loại MMTB &amp; Ghi chú</t>
  </si>
  <si>
    <t>NC bố trí (người)</t>
  </si>
  <si>
    <t>20/09</t>
  </si>
  <si>
    <t>21/09</t>
  </si>
  <si>
    <t>22/09</t>
  </si>
  <si>
    <t>23/09</t>
  </si>
  <si>
    <t>24/09</t>
  </si>
  <si>
    <t>25/09</t>
  </si>
  <si>
    <t>26/09</t>
  </si>
  <si>
    <t>27/09</t>
  </si>
  <si>
    <t>28/09</t>
  </si>
  <si>
    <t>29/09</t>
  </si>
  <si>
    <t>30/09</t>
  </si>
  <si>
    <t>01/10</t>
  </si>
  <si>
    <t>02/10</t>
  </si>
  <si>
    <t>03/10</t>
  </si>
  <si>
    <t>04/10</t>
  </si>
  <si>
    <t>05/10</t>
  </si>
  <si>
    <t>06/10</t>
  </si>
  <si>
    <t>07/10</t>
  </si>
  <si>
    <t>08/10</t>
  </si>
  <si>
    <t>09/10</t>
  </si>
  <si>
    <t>10/10</t>
  </si>
  <si>
    <t>11/10</t>
  </si>
  <si>
    <t>12/10</t>
  </si>
  <si>
    <t>13/10</t>
  </si>
  <si>
    <t>14/10</t>
  </si>
  <si>
    <t>15/10</t>
  </si>
  <si>
    <t>16/10</t>
  </si>
  <si>
    <t>17/10</t>
  </si>
  <si>
    <t>18/10</t>
  </si>
  <si>
    <t>19/10</t>
  </si>
  <si>
    <t>20/10</t>
  </si>
  <si>
    <t>21/10</t>
  </si>
  <si>
    <t>22/10</t>
  </si>
  <si>
    <t>23/10</t>
  </si>
  <si>
    <t>24/10</t>
  </si>
  <si>
    <t>25/10</t>
  </si>
  <si>
    <t>CN</t>
  </si>
  <si>
    <t>T2</t>
  </si>
  <si>
    <t>T3</t>
  </si>
  <si>
    <t>T4</t>
  </si>
  <si>
    <t>T5</t>
  </si>
  <si>
    <t>T6</t>
  </si>
  <si>
    <t>T7</t>
  </si>
  <si>
    <t>ĐM-16</t>
  </si>
  <si>
    <t>Đào đất hố móng cống hộp 3 mũi (H_tb = 3.5m)</t>
  </si>
  <si>
    <t>m3</t>
  </si>
  <si>
    <t>2026-09-20</t>
  </si>
  <si>
    <t>2026-10-05</t>
  </si>
  <si>
    <t>Máy xúc PC200 - PC300</t>
  </si>
  <si>
    <t>ĐM-15</t>
  </si>
  <si>
    <t>Đào hố móng 63 hố ga thu nước &amp; đấu nối</t>
  </si>
  <si>
    <t>2026-09-22</t>
  </si>
  <si>
    <t>2026-10-03</t>
  </si>
  <si>
    <t>Máy xúc PC200</t>
  </si>
  <si>
    <t>ĐM-29</t>
  </si>
  <si>
    <t>Vận chuyển đất đào cự ly &lt;5km (bãi thải/đắp)</t>
  </si>
  <si>
    <t>Ô tô tự đổ 18 m3</t>
  </si>
  <si>
    <t>ĐM-BOM</t>
  </si>
  <si>
    <t>Bơm hạ mực nước ngầm &amp; chống ngập móng</t>
  </si>
  <si>
    <t>ca</t>
  </si>
  <si>
    <t>2026-10-25</t>
  </si>
  <si>
    <t>Máy bơm nước d80-d100</t>
  </si>
  <si>
    <t>ĐM-53</t>
  </si>
  <si>
    <t>Đệm cát / đá dăm 4x6 lót móng cống</t>
  </si>
  <si>
    <t>Máy xúc hỗ trợ + Lu cóc</t>
  </si>
  <si>
    <t>ĐM-37</t>
  </si>
  <si>
    <t>Bê tông lót móng M100# dày 50mm</t>
  </si>
  <si>
    <t>2026-09-23</t>
  </si>
  <si>
    <t>2026-10-08</t>
  </si>
  <si>
    <t>Xe bồn xả máng + Đầm bàn</t>
  </si>
  <si>
    <t>ĐM-CT</t>
  </si>
  <si>
    <t>Gia công &amp; lắp dựng cốt thép cống hộp B20</t>
  </si>
  <si>
    <t>tấn</t>
  </si>
  <si>
    <t>2026-09-24</t>
  </si>
  <si>
    <t>2026-10-15</t>
  </si>
  <si>
    <t>Dàn cắt uốn CNC + Cẩu 25T</t>
  </si>
  <si>
    <t>ĐM-VK</t>
  </si>
  <si>
    <t>Lắp dựng ván khuôn thép/phủ phim thân cống</t>
  </si>
  <si>
    <t>m2</t>
  </si>
  <si>
    <t>2026-09-25</t>
  </si>
  <si>
    <t>2026-10-16</t>
  </si>
  <si>
    <t>Cẩu thùng 15-25T cẩu lắp</t>
  </si>
  <si>
    <t>ĐM-BT</t>
  </si>
  <si>
    <t>Đổ bê tông thân cống B20 (đáy, vách, nắp)</t>
  </si>
  <si>
    <t>2026-09-26</t>
  </si>
  <si>
    <t>2026-10-17</t>
  </si>
  <si>
    <t>Máy bơm bê tông cần 37-43m</t>
  </si>
  <si>
    <t>ĐM-VCBT</t>
  </si>
  <si>
    <t>Vận chuyển bê tông thương phẩm B20 trạm trộn</t>
  </si>
  <si>
    <t>Xe bồn vận chuyển 8-10m3</t>
  </si>
  <si>
    <t>ĐM-46</t>
  </si>
  <si>
    <t>Bê tông &amp; cốt thép 63 hố ga BTCT</t>
  </si>
  <si>
    <t>2026-09-28</t>
  </si>
  <si>
    <t>2026-10-12</t>
  </si>
  <si>
    <t>Máy bơm bê tông tĩnh</t>
  </si>
  <si>
    <t>ĐM-25</t>
  </si>
  <si>
    <t>Máy xúc lốp PC140 cẩu lắp &amp; đầm cóc mang cống</t>
  </si>
  <si>
    <t>md</t>
  </si>
  <si>
    <t>Máy xúc lốp PC140</t>
  </si>
  <si>
    <t>ĐM-17</t>
  </si>
  <si>
    <t>Đắp cát/đất K95 hoàn trả mang cống</t>
  </si>
  <si>
    <t>2026-10-22</t>
  </si>
  <si>
    <t>Máy xúc PC200 đắp mang cống</t>
  </si>
  <si>
    <t>ĐM-ỦI</t>
  </si>
  <si>
    <t>Máy ủi D3-D5 san gạt hoàn trả đỉnh móng</t>
  </si>
  <si>
    <t>Máy ủi bánh xích D3-D5</t>
  </si>
  <si>
    <t>ĐM-LU</t>
  </si>
  <si>
    <t>Máy lu rung 12-16T đầm nén K95 hoàn trả</t>
  </si>
  <si>
    <t>Máy lu rung bánh thép 14T</t>
  </si>
  <si>
    <t>ĐM-DAU</t>
  </si>
  <si>
    <t>Xe téc cấp dầu lưu động 9m3 phục vụ máy móc</t>
  </si>
  <si>
    <t>Xe téc cấp dầu 9m3</t>
  </si>
  <si>
    <t>ĐM-ĐIỆN</t>
  </si>
  <si>
    <t>Máy phát điện 3 pha công nghiệp 25-45kVA</t>
  </si>
  <si>
    <t>Máy phát điện 3 pha</t>
  </si>
  <si>
    <t>TỔNG NHÂN CÔNG TRÊN CÔNG TRƯỜNG TUYẾN A5 (Người/ngày)</t>
  </si>
  <si>
    <t>BẢNG TỔNG HỢP CA MÁY &amp; SỐ PHƯƠNG TIỆN HUY ĐỘNG THEO NGÀY (CÔNG TRƯỜNG A5)</t>
  </si>
  <si>
    <t>Mã</t>
  </si>
  <si>
    <t>Chủng loại phương tiện / Thiết bị</t>
  </si>
  <si>
    <t>ĐM dầu (l/ca)</t>
  </si>
  <si>
    <t>Max máy</t>
  </si>
  <si>
    <t>Nhiệm vụ thi công trên tuyến A5</t>
  </si>
  <si>
    <t>M1</t>
  </si>
  <si>
    <t>Máy xúc bánh xích PC200 - PC300</t>
  </si>
  <si>
    <t>cái</t>
  </si>
  <si>
    <t>Đào móng, đào ga, xúc mang cống</t>
  </si>
  <si>
    <t>M7</t>
  </si>
  <si>
    <t>xe</t>
  </si>
  <si>
    <t>Vận chuyển đất đào cự ly &lt;5km</t>
  </si>
  <si>
    <t>M5</t>
  </si>
  <si>
    <t>Máy lu rung 12T - 16T</t>
  </si>
  <si>
    <t>Đầm nén K95 mang cống và đỉnh cống</t>
  </si>
  <si>
    <t>M3</t>
  </si>
  <si>
    <t>Máy ủi bánh xích D3 - D5</t>
  </si>
  <si>
    <t>San gạt hoàn trả hố móng cống</t>
  </si>
  <si>
    <t>MC</t>
  </si>
  <si>
    <t>Cần cẩu 25T &amp; Cẩu tự hành 15T</t>
  </si>
  <si>
    <t>Hạ ván khuôn, cẩu lắp cốt thép</t>
  </si>
  <si>
    <t>MB</t>
  </si>
  <si>
    <t>Máy bơm bê tông cần 37 - 43m</t>
  </si>
  <si>
    <t>Đổ bê tông thân cống B20 &amp; hố ga</t>
  </si>
  <si>
    <t>XB</t>
  </si>
  <si>
    <t>Xe bồn vận chuyển bê tông 8-10m3</t>
  </si>
  <si>
    <t>Chở bê tông từ trạm trộn về công trường</t>
  </si>
  <si>
    <t>M8</t>
  </si>
  <si>
    <t>Máy xúc bánh lốp PC140</t>
  </si>
  <si>
    <t>Cẩu lắp, đầm cóc mang cống</t>
  </si>
  <si>
    <t>BP</t>
  </si>
  <si>
    <t>Máy bơm nước hố móng d80-d100</t>
  </si>
  <si>
    <t>Bơm hạ mực nước ngầm 24/7</t>
  </si>
  <si>
    <t>MP1</t>
  </si>
  <si>
    <t>Xe téc cấp dầu lưu động 9m3</t>
  </si>
  <si>
    <t>Cấp dầu lưu động 2 ca/ngày</t>
  </si>
  <si>
    <t>MP2</t>
  </si>
  <si>
    <t>Máy phát điện 3 pha 25-45kVA</t>
  </si>
  <si>
    <t>Chiếu sáng ban đêm 2 ca</t>
  </si>
  <si>
    <t>BẢNG TÍNH DẦU DIEZEL TIÊU THỤ THEO TIẾN ĐỘ THI CÔNG TUYẾN A5 (Lít/ngày)</t>
  </si>
  <si>
    <t>TỔNG SỐ LÍT DẦU DIEZEL TIÊU THỤ / NGÀY</t>
  </si>
  <si>
    <t>Nhiên liệu dầu Diezel cho máy M1</t>
  </si>
  <si>
    <t>Lít</t>
  </si>
  <si>
    <t>Nhiên liệu dầu Diezel cho máy M7</t>
  </si>
  <si>
    <t>Nhiên liệu dầu Diezel cho máy M5</t>
  </si>
  <si>
    <t>Nhiên liệu dầu Diezel cho máy M3</t>
  </si>
  <si>
    <t>Nhiên liệu dầu Diezel cho máy MC</t>
  </si>
  <si>
    <t>Nhiên liệu dầu Diezel cho máy MB</t>
  </si>
  <si>
    <t>Nhiên liệu dầu Diezel cho máy XB</t>
  </si>
  <si>
    <t>Nhiên liệu dầu Diezel cho máy M8</t>
  </si>
  <si>
    <t>Nhiên liệu dầu Diezel cho máy BP</t>
  </si>
  <si>
    <t>Nhiên liệu dầu Diezel cho máy MP1</t>
  </si>
  <si>
    <t>Nhiên liệu dầu Diezel cho máy MP2</t>
  </si>
  <si>
    <t>BẢNG TỔNG HỢP CA XE, CA MÁY THI CÔNG TOÀN TUYẾN CỐNG HỘP A5</t>
  </si>
  <si>
    <t>Mã máy</t>
  </si>
  <si>
    <t>Tên phương tiện / Thiết bị thi công</t>
  </si>
  <si>
    <t>Định mức dầu (lít/ca)</t>
  </si>
  <si>
    <t>Số máy huy động Max</t>
  </si>
  <si>
    <t>Số ngày làm việc</t>
  </si>
  <si>
    <t>Tổng lít dầu tiêu thụ (lít)</t>
  </si>
  <si>
    <t>Nhiệm vụ thi công trên công trường A5</t>
  </si>
  <si>
    <t>Đào hố móng cống, đào hố ga, xúc đắp hoàn trả K95</t>
  </si>
  <si>
    <t>Ô tô tự đổ 16 - 18 tấn</t>
  </si>
  <si>
    <t>Vận chuyển đất đào cự ly &lt;5km ra bãi thải/bãi đắp</t>
  </si>
  <si>
    <t>Máy lu rung bánh thép &amp; lốp 12T - 16T</t>
  </si>
  <si>
    <t>Đầm nén cát/đất K95 hoàn trả mang cống và đỉnh cống</t>
  </si>
  <si>
    <t>San gạt đất hoàn trả hố móng cống, tạo mặt bằng</t>
  </si>
  <si>
    <t>Cẩu lắp ván khuôn cống, hạ cốt thép, hỗ trợ đúc cống</t>
  </si>
  <si>
    <t>Bơm bê tông thân cống B20 (đáy, vách, nắp) &amp; hố ga</t>
  </si>
  <si>
    <t>Xe bồn vận chuyển bê tông thương phẩm 8-10m3</t>
  </si>
  <si>
    <t>Chở bê tông từ trạm trộn thương phẩm đến công trường</t>
  </si>
  <si>
    <t>Trung chuyển vật tư, cẩu lắp và đầm cóc mang cống</t>
  </si>
  <si>
    <t>Bơm hút hạ mực nước ngầm, chống ngập hố móng 24/7</t>
  </si>
  <si>
    <t>Cấp phát dầu Diezel trực tiếp cho máy móc 2 ca/ngày</t>
  </si>
  <si>
    <t>Cấp điện thi công ca đêm &amp; vận hành máy đầm, máy bơm</t>
  </si>
  <si>
    <t>TỔNG CỘNG TOÀN CÔNG TRÌNH CỐNG HỘP A5</t>
  </si>
  <si>
    <t>KẾ HOẠCH CẤP DẦU DIEZEL CHO MÁY MÓC THI CÔNG TUYẾN A5 (THEO 4 KỲ)</t>
  </si>
  <si>
    <t>Chủng loại thiết bị</t>
  </si>
  <si>
    <t>Định mức (lít/ca)</t>
  </si>
  <si>
    <t>Tổng số ca máy</t>
  </si>
  <si>
    <t>Tổng nhu cầu dầu (Lít)</t>
  </si>
  <si>
    <t>Kỳ 1 (20/9 - 25/9)</t>
  </si>
  <si>
    <t>Kỳ 2 (26/9 - 05/10)</t>
  </si>
  <si>
    <t>Kỳ 3 (06/10 - 15/10)</t>
  </si>
  <si>
    <t>Kỳ 4 (16/10 - 25/10)</t>
  </si>
  <si>
    <t>Máy bơm nước hố móng</t>
  </si>
  <si>
    <t>TỔNG SỐ LÍT DẦU DIEZEL CẦN CUNG CẤP (LÍT)</t>
  </si>
  <si>
    <t>BẢNG PHÂN BỔ NHÂN LỰC THI CÔNG 3 MŨI CỐNG HỘP TUYẾN A5</t>
  </si>
  <si>
    <t>Tổ đội / Bộ phận thi công</t>
  </si>
  <si>
    <t>Mũi 1 (Cống 2x2, L=385m)</t>
  </si>
  <si>
    <t>Mũi 2 (Cống 3x3, L=560m)</t>
  </si>
  <si>
    <t>Mũi 3 (Cống đôi 2x(3x3), L=1225m)</t>
  </si>
  <si>
    <t>Tổ cơ giới &amp; Phục vụ</t>
  </si>
  <si>
    <t>Tổng nhân lực (người)</t>
  </si>
  <si>
    <t>Ghi chú bố trí ca kíp</t>
  </si>
  <si>
    <t>Thợ gia công &amp; lắp dựng cốt thép CB300/CB400</t>
  </si>
  <si>
    <t>Gia công tại bãi + buộc lồng thép hố móng</t>
  </si>
  <si>
    <t>Thợ lắp dựng &amp; tháo dỡ ván khuôn thép/phim</t>
  </si>
  <si>
    <t>Ghép ván khuôn đáy, vách, bản nắp cống</t>
  </si>
  <si>
    <t>Công nhân đổ bê tông &amp; đầm dùi/đầm bàn B20</t>
  </si>
  <si>
    <t>Đổ bê tông theo từng đốt 11.3m</t>
  </si>
  <si>
    <t>Thợ thi công 63 hố ga thu nước &amp; đấu nối</t>
  </si>
  <si>
    <t>Đúc ga, lắp nắp ga thu nước</t>
  </si>
  <si>
    <t>Công nhân đắp đất/cát hoàn trả mang cống K95</t>
  </si>
  <si>
    <t>Đầm cóc mang cống &amp; lu lèn</t>
  </si>
  <si>
    <t>Lái máy xúc bánh xích PC200 - PC300</t>
  </si>
  <si>
    <t>8 máy xúc x 2 tài/máy (2 ca)</t>
  </si>
  <si>
    <t>Lái ô tô tự đổ 18 m3</t>
  </si>
  <si>
    <t>5 xe x 2 tài/xe</t>
  </si>
  <si>
    <t>Lái máy lu rung 12-16T</t>
  </si>
  <si>
    <t>6 máy lu x 2 tài/máy</t>
  </si>
  <si>
    <t>Lái cần cẩu 25T &amp; Cẩu tự hành 15T</t>
  </si>
  <si>
    <t>3 cẩu x 2 tài/cẩu</t>
  </si>
  <si>
    <t>Lái máy ủi, xúc lốp, xe cấp dầu, máy phát điện</t>
  </si>
  <si>
    <t>Vận hành thiết bị phụ trợ 2 ca</t>
  </si>
  <si>
    <t>Chỉ huy trưởng, kỹ sư hiện trường, KCS/QA/QC</t>
  </si>
  <si>
    <t>Giám sát kỹ thuật 24/7</t>
  </si>
  <si>
    <t>TỔNG NHÂN LỰC TOÀN CÔNG TRƯỜNG A5 (NGƯỜI)</t>
  </si>
  <si>
    <t>BẢNG ĐỐI CHIẾU KHỐI LƯỢNG THỰC TẾ HỒ SƠ CỐNG HỘP TUYẾN A5</t>
  </si>
  <si>
    <t>Hạng mục cống hộp Tuyến A5</t>
  </si>
  <si>
    <t>Quy cách (BxH)</t>
  </si>
  <si>
    <t>Chiều dài L (m)</t>
  </si>
  <si>
    <t>Bê tông thân B20 (m3)</t>
  </si>
  <si>
    <t>Bê tông lót M100 (m3)</t>
  </si>
  <si>
    <t>Ván khuôn tiếp xúc (m2)</t>
  </si>
  <si>
    <t>Cốt thép CB300/CB400 (tấn)</t>
  </si>
  <si>
    <t>Đoạn 1 - Tuyến cống đơn 2.0x2.0m (12 ga)</t>
  </si>
  <si>
    <t>2.0 x 2.0 m</t>
  </si>
  <si>
    <t>Đoạn 2 - Tuyến cống đơn 3.0x3.0m (17 ga)</t>
  </si>
  <si>
    <t>3.0 x 3.0 m</t>
  </si>
  <si>
    <t>Đoạn 3 - Tuyến cống đôi 2x(3.0x3.0m) (37 ga)</t>
  </si>
  <si>
    <t>2 x (3.0 x 3.0) m</t>
  </si>
  <si>
    <t>TỔNG CỘNG TOÀN TUYẾN A5 (100%)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</si>
</sst>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4" x14ac:knownFonts="1">
    <font>
      <sz val="11"/>
      <color theme="1"/>
      <name val="Arial"/>
      <family val="2"/>
      <scheme val="minor"/>
    </font>
    <font>
      <b/>
      <sz val="13"/>
      <color rgb="FFFFFFFF"/>
      <name val="Arial"/>
    </font>
    <font>
      <b/>
      <sz val="11"/>
      <color rgb="FFFFFFFF"/>
      <name val="Arial"/>
    </font>
    <font>
      <b/>
      <sz val="10"/>
      <color rgb="FFC00000"/>
      <name val="Arial"/>
    </font>
    <font>
      <b/>
      <sz val="9.5"/>
      <name val="Arial"/>
    </font>
    <font>
      <i/>
      <sz val="9.5"/>
      <name val="Arial"/>
    </font>
    <font>
      <sz val="9.5"/>
      <color rgb="FF1B365D"/>
      <name val="Arial"/>
    </font>
    <font>
      <sz val="9.5"/>
      <color rgb="FF008000"/>
      <name val="Arial"/>
    </font>
    <font>
      <b/>
      <sz val="8.5"/>
      <color rgb="FFFFFFFF"/>
      <name val="Arial"/>
    </font>
    <font>
      <b/>
      <sz val="8"/>
      <color rgb="FFFFFFFF"/>
      <name val="Arial"/>
    </font>
    <font>
      <b/>
      <sz val="8"/>
      <color rgb="FFC00000"/>
      <name val="Arial"/>
    </font>
    <font>
      <b/>
      <sz val="8"/>
      <color rgb="FF1B365D"/>
      <name val="Arial"/>
    </font>
    <font>
      <sz val="8.5"/>
      <name val="Arial"/>
    </font>
    <font>
      <sz val="8"/>
      <color rgb="FF1B365D"/>
      <name val="Arial"/>
    </font>
    <font>
      <sz val="7"/>
      <color rgb="FFBFBFBF"/>
      <name val="Arial"/>
    </font>
    <font>
      <b/>
      <sz val="8.5"/>
      <name val="Arial"/>
    </font>
    <font>
      <b/>
      <sz val="10"/>
      <color rgb="FFFFFFFF"/>
      <name val="Arial"/>
    </font>
    <font>
      <b/>
      <sz val="8.5"/>
      <color rgb="FF002060"/>
      <name val="Arial"/>
    </font>
    <font>
      <sz val="8"/>
      <color rgb="FFBFBFBF"/>
      <name val="Arial"/>
    </font>
    <font>
      <sz val="8"/>
      <name val="Arial"/>
    </font>
    <font>
      <sz val="7.5"/>
      <color rgb="FF333333"/>
      <name val="Arial"/>
    </font>
    <font>
      <b/>
      <sz val="8.5"/>
      <color rgb="FFC00000"/>
      <name val="Arial"/>
    </font>
    <font>
      <b/>
      <sz val="9.5"/>
      <color rgb="FFFFFFFF"/>
      <name val="Arial"/>
    </font>
    <font>
      <sz val="9"/>
      <name val="Arial"/>
    </font>
  </fonts>
  <fills count="12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E75B6"/>
        <bgColor rgb="FF2E75B6"/>
      </patternFill>
    </fill>
    <fill>
      <patternFill patternType="solid">
        <fgColor rgb="FFFFF2CC"/>
        <bgColor rgb="FFFFF2CC"/>
      </patternFill>
    </fill>
    <fill>
      <patternFill patternType="solid">
        <fgColor rgb="FFC00000"/>
        <bgColor rgb="FFC00000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  <fill>
      <patternFill patternType="solid">
        <fgColor rgb="FFF4B084"/>
        <bgColor rgb="FFF4B084"/>
      </patternFill>
    </fill>
    <fill>
      <patternFill patternType="solid">
        <fgColor rgb="FFE2EFDA"/>
        <bgColor rgb="FFE2EFDA"/>
      </patternFill>
    </fill>
    <fill>
      <patternFill patternType="solid">
        <fgColor rgb="FF385723"/>
        <bgColor rgb="FF385723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B365D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5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2" fillId="0" borderId="1" xfId="0" applyFont="1" applyBorder="1"/>
    <xf numFmtId="164" fontId="12" fillId="0" borderId="1" xfId="0" applyNumberFormat="1" applyFont="1" applyBorder="1"/>
    <xf numFmtId="4" fontId="12" fillId="0" borderId="1" xfId="0" applyNumberFormat="1" applyFont="1" applyBorder="1"/>
    <xf numFmtId="3" fontId="12" fillId="0" borderId="1" xfId="0" applyNumberFormat="1" applyFont="1" applyBorder="1"/>
    <xf numFmtId="0" fontId="13" fillId="8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6" borderId="1" xfId="0" applyFont="1" applyFill="1" applyBorder="1"/>
    <xf numFmtId="164" fontId="15" fillId="6" borderId="1" xfId="0" applyNumberFormat="1" applyFont="1" applyFill="1" applyBorder="1"/>
    <xf numFmtId="4" fontId="15" fillId="6" borderId="1" xfId="0" applyNumberFormat="1" applyFont="1" applyFill="1" applyBorder="1"/>
    <xf numFmtId="3" fontId="15" fillId="6" borderId="1" xfId="0" applyNumberFormat="1" applyFont="1" applyFill="1" applyBorder="1"/>
    <xf numFmtId="0" fontId="10" fillId="9" borderId="1" xfId="0" applyFont="1" applyFill="1" applyBorder="1" applyAlignment="1">
      <alignment horizontal="center" vertical="center"/>
    </xf>
    <xf numFmtId="164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2" borderId="0" xfId="0" applyFill="1"/>
    <xf numFmtId="0" fontId="16" fillId="2" borderId="0" xfId="0" applyFont="1" applyFill="1"/>
    <xf numFmtId="164" fontId="0" fillId="2" borderId="0" xfId="0" applyNumberFormat="1" applyFill="1"/>
    <xf numFmtId="4" fontId="0" fillId="2" borderId="0" xfId="0" applyNumberFormat="1" applyFill="1"/>
    <xf numFmtId="3" fontId="0" fillId="2" borderId="0" xfId="0" applyNumberFormat="1" applyFill="1"/>
    <xf numFmtId="0" fontId="17" fillId="4" borderId="2" xfId="0" applyFont="1" applyFill="1" applyBorder="1" applyAlignment="1">
      <alignment horizontal="center" vertical="center"/>
    </xf>
    <xf numFmtId="0" fontId="0" fillId="3" borderId="0" xfId="0" applyFill="1"/>
    <xf numFmtId="3" fontId="0" fillId="3" borderId="0" xfId="0" applyNumberFormat="1" applyFill="1"/>
    <xf numFmtId="0" fontId="8" fillId="2" borderId="0" xfId="0" applyFont="1" applyFill="1" applyAlignment="1">
      <alignment horizontal="center" vertical="center"/>
    </xf>
    <xf numFmtId="164" fontId="8" fillId="2" borderId="0" xfId="0" applyNumberFormat="1" applyFont="1" applyFill="1" applyAlignment="1">
      <alignment horizontal="center" vertical="center"/>
    </xf>
    <xf numFmtId="4" fontId="8" fillId="2" borderId="0" xfId="0" applyNumberFormat="1" applyFont="1" applyFill="1" applyAlignment="1">
      <alignment horizontal="center" vertical="center"/>
    </xf>
    <xf numFmtId="3" fontId="8" fillId="2" borderId="0" xfId="0" applyNumberFormat="1" applyFont="1" applyFill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0" fillId="11" borderId="0" xfId="0" applyFill="1"/>
    <xf numFmtId="3" fontId="0" fillId="11" borderId="0" xfId="0" applyNumberFormat="1" applyFill="1"/>
    <xf numFmtId="0" fontId="0" fillId="4" borderId="0" xfId="0" applyFill="1"/>
    <xf numFmtId="0" fontId="3" fillId="4" borderId="0" xfId="0" applyFont="1" applyFill="1"/>
    <xf numFmtId="164" fontId="0" fillId="4" borderId="0" xfId="0" applyNumberFormat="1" applyFill="1"/>
    <xf numFmtId="4" fontId="0" fillId="4" borderId="0" xfId="0" applyNumberFormat="1" applyFill="1"/>
    <xf numFmtId="3" fontId="0" fillId="4" borderId="0" xfId="0" applyNumberFormat="1" applyFill="1"/>
    <xf numFmtId="3" fontId="21" fillId="4" borderId="2" xfId="0" applyNumberFormat="1" applyFont="1" applyFill="1" applyBorder="1" applyAlignment="1">
      <alignment horizontal="right" vertical="center"/>
    </xf>
    <xf numFmtId="0" fontId="19" fillId="0" borderId="1" xfId="0" applyFont="1" applyBorder="1"/>
    <xf numFmtId="164" fontId="19" fillId="0" borderId="1" xfId="0" applyNumberFormat="1" applyFont="1" applyBorder="1"/>
    <xf numFmtId="4" fontId="19" fillId="0" borderId="1" xfId="0" applyNumberFormat="1" applyFont="1" applyBorder="1"/>
    <xf numFmtId="3" fontId="19" fillId="0" borderId="1" xfId="0" applyNumberFormat="1" applyFont="1" applyBorder="1"/>
    <xf numFmtId="3" fontId="20" fillId="0" borderId="1" xfId="0" applyNumberFormat="1" applyFont="1" applyBorder="1" applyAlignment="1">
      <alignment horizontal="right" vertical="center"/>
    </xf>
    <xf numFmtId="0" fontId="22" fillId="2" borderId="0" xfId="0" applyFont="1" applyFill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164" fontId="23" fillId="0" borderId="1" xfId="0" applyNumberFormat="1" applyFont="1" applyBorder="1" applyAlignment="1">
      <alignment horizontal="right" vertical="center"/>
    </xf>
    <xf numFmtId="3" fontId="23" fillId="0" borderId="1" xfId="0" applyNumberFormat="1" applyFont="1" applyBorder="1" applyAlignment="1">
      <alignment horizontal="right" vertical="center"/>
    </xf>
    <xf numFmtId="0" fontId="0" fillId="4" borderId="2" xfId="0" applyFill="1" applyBorder="1"/>
    <xf numFmtId="0" fontId="3" fillId="4" borderId="2" xfId="0" applyFont="1" applyFill="1" applyBorder="1"/>
    <xf numFmtId="164" fontId="3" fillId="4" borderId="2" xfId="0" applyNumberFormat="1" applyFont="1" applyFill="1" applyBorder="1" applyAlignment="1">
      <alignment horizontal="right" vertical="center"/>
    </xf>
    <xf numFmtId="3" fontId="3" fillId="4" borderId="2" xfId="0" applyNumberFormat="1" applyFont="1" applyFill="1" applyBorder="1" applyAlignment="1">
      <alignment horizontal="right" vertical="center"/>
    </xf>
    <xf numFmtId="0" fontId="8" fillId="2" borderId="0" xfId="0" applyFont="1" applyFill="1" applyAlignment="1">
      <alignment horizontal="center" vertical="center" wrapText="1"/>
    </xf>
    <xf numFmtId="0" fontId="0" fillId="0" borderId="0" xfId="0"/>
    <xf numFmtId="0" fontId="2" fillId="11" borderId="0" xfId="0" applyFont="1" applyFill="1"/>
    <xf numFmtId="0" fontId="0" fillId="11" borderId="0" xfId="0" applyFill="1"/>
    <xf numFmtId="164" fontId="0" fillId="11" borderId="0" xfId="0" applyNumberFormat="1" applyFill="1"/>
    <xf numFmtId="4" fontId="0" fillId="11" borderId="0" xfId="0" applyNumberFormat="1" applyFill="1"/>
    <xf numFmtId="0" fontId="1" fillId="2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2" fillId="3" borderId="0" xfId="0" applyFont="1" applyFill="1"/>
    <xf numFmtId="0" fontId="0" fillId="3" borderId="0" xfId="0" applyFill="1"/>
    <xf numFmtId="164" fontId="0" fillId="3" borderId="0" xfId="0" applyNumberFormat="1" applyFill="1"/>
    <xf numFmtId="4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4"/>
  <sheetViews>
    <sheetView tabSelected="1" workbookViewId="0">
      <selection activeCell="E12" sqref="E12"/>
    </sheetView>
  </sheetViews>
  <sheetFormatPr defaultRowHeight="14" x14ac:dyDescent="0.3"/>
  <cols>
    <col min="1" max="1" width="6" customWidth="1"/>
    <col min="2" max="2" width="10" customWidth="1"/>
    <col min="3" max="3" width="42" customWidth="1"/>
    <col min="4" max="4" width="8" customWidth="1"/>
    <col min="5" max="8" width="14" customWidth="1"/>
    <col min="9" max="9" width="10" customWidth="1"/>
    <col min="10" max="11" width="12" customWidth="1"/>
    <col min="12" max="12" width="10" customWidth="1"/>
    <col min="13" max="13" width="14" customWidth="1"/>
    <col min="14" max="14" width="30" customWidth="1"/>
    <col min="15" max="15" width="12" customWidth="1"/>
    <col min="16" max="51" width="6.83203125" customWidth="1"/>
  </cols>
  <sheetData>
    <row r="1" spans="1:51" ht="16.5" x14ac:dyDescent="0.3">
      <c r="A1" s="65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</row>
    <row r="2" spans="1:51" x14ac:dyDescent="0.3">
      <c r="A2" s="67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</row>
    <row r="3" spans="1:51" x14ac:dyDescent="0.3">
      <c r="A3" s="66" t="s">
        <v>2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</row>
    <row r="4" spans="1:51" x14ac:dyDescent="0.3">
      <c r="B4" s="1" t="s">
        <v>3</v>
      </c>
      <c r="C4" s="2" t="s">
        <v>4</v>
      </c>
      <c r="F4" s="1" t="s">
        <v>5</v>
      </c>
      <c r="G4" s="3" t="s">
        <v>6</v>
      </c>
      <c r="K4" s="1" t="s">
        <v>7</v>
      </c>
      <c r="L4" s="4" t="s">
        <v>8</v>
      </c>
    </row>
    <row r="6" spans="1:51" x14ac:dyDescent="0.3">
      <c r="A6" s="59" t="s">
        <v>9</v>
      </c>
      <c r="B6" s="59" t="s">
        <v>10</v>
      </c>
      <c r="C6" s="59" t="s">
        <v>11</v>
      </c>
      <c r="D6" s="59" t="s">
        <v>12</v>
      </c>
      <c r="E6" s="59" t="s">
        <v>13</v>
      </c>
      <c r="F6" s="59" t="s">
        <v>14</v>
      </c>
      <c r="G6" s="59" t="s">
        <v>15</v>
      </c>
      <c r="H6" s="59" t="s">
        <v>16</v>
      </c>
      <c r="I6" s="59" t="s">
        <v>17</v>
      </c>
      <c r="J6" s="59" t="s">
        <v>18</v>
      </c>
      <c r="K6" s="59" t="s">
        <v>19</v>
      </c>
      <c r="L6" s="59" t="s">
        <v>20</v>
      </c>
      <c r="M6" s="59" t="s">
        <v>21</v>
      </c>
      <c r="N6" s="59" t="s">
        <v>22</v>
      </c>
      <c r="O6" s="59" t="s">
        <v>23</v>
      </c>
      <c r="P6" s="5" t="s">
        <v>24</v>
      </c>
      <c r="Q6" s="6" t="s">
        <v>25</v>
      </c>
      <c r="R6" s="6" t="s">
        <v>26</v>
      </c>
      <c r="S6" s="6" t="s">
        <v>27</v>
      </c>
      <c r="T6" s="6" t="s">
        <v>28</v>
      </c>
      <c r="U6" s="6" t="s">
        <v>29</v>
      </c>
      <c r="V6" s="6" t="s">
        <v>30</v>
      </c>
      <c r="W6" s="5" t="s">
        <v>31</v>
      </c>
      <c r="X6" s="6" t="s">
        <v>32</v>
      </c>
      <c r="Y6" s="6" t="s">
        <v>33</v>
      </c>
      <c r="Z6" s="6" t="s">
        <v>34</v>
      </c>
      <c r="AA6" s="6" t="s">
        <v>35</v>
      </c>
      <c r="AB6" s="6" t="s">
        <v>36</v>
      </c>
      <c r="AC6" s="6" t="s">
        <v>37</v>
      </c>
      <c r="AD6" s="5" t="s">
        <v>38</v>
      </c>
      <c r="AE6" s="6" t="s">
        <v>39</v>
      </c>
      <c r="AF6" s="6" t="s">
        <v>40</v>
      </c>
      <c r="AG6" s="6" t="s">
        <v>41</v>
      </c>
      <c r="AH6" s="6" t="s">
        <v>42</v>
      </c>
      <c r="AI6" s="6" t="s">
        <v>43</v>
      </c>
      <c r="AJ6" s="6" t="s">
        <v>44</v>
      </c>
      <c r="AK6" s="5" t="s">
        <v>45</v>
      </c>
      <c r="AL6" s="6" t="s">
        <v>46</v>
      </c>
      <c r="AM6" s="6" t="s">
        <v>47</v>
      </c>
      <c r="AN6" s="6" t="s">
        <v>48</v>
      </c>
      <c r="AO6" s="6" t="s">
        <v>49</v>
      </c>
      <c r="AP6" s="6" t="s">
        <v>50</v>
      </c>
      <c r="AQ6" s="6" t="s">
        <v>51</v>
      </c>
      <c r="AR6" s="5" t="s">
        <v>52</v>
      </c>
      <c r="AS6" s="6" t="s">
        <v>53</v>
      </c>
      <c r="AT6" s="6" t="s">
        <v>54</v>
      </c>
      <c r="AU6" s="6" t="s">
        <v>55</v>
      </c>
      <c r="AV6" s="6" t="s">
        <v>56</v>
      </c>
      <c r="AW6" s="6" t="s">
        <v>57</v>
      </c>
      <c r="AX6" s="6" t="s">
        <v>58</v>
      </c>
      <c r="AY6" s="5" t="s">
        <v>59</v>
      </c>
    </row>
    <row r="7" spans="1:51" x14ac:dyDescent="0.3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7" t="s">
        <v>60</v>
      </c>
      <c r="Q7" s="8" t="s">
        <v>61</v>
      </c>
      <c r="R7" s="8" t="s">
        <v>62</v>
      </c>
      <c r="S7" s="8" t="s">
        <v>63</v>
      </c>
      <c r="T7" s="8" t="s">
        <v>64</v>
      </c>
      <c r="U7" s="8" t="s">
        <v>65</v>
      </c>
      <c r="V7" s="8" t="s">
        <v>66</v>
      </c>
      <c r="W7" s="7" t="s">
        <v>60</v>
      </c>
      <c r="X7" s="8" t="s">
        <v>61</v>
      </c>
      <c r="Y7" s="8" t="s">
        <v>62</v>
      </c>
      <c r="Z7" s="8" t="s">
        <v>63</v>
      </c>
      <c r="AA7" s="8" t="s">
        <v>64</v>
      </c>
      <c r="AB7" s="8" t="s">
        <v>65</v>
      </c>
      <c r="AC7" s="8" t="s">
        <v>66</v>
      </c>
      <c r="AD7" s="7" t="s">
        <v>60</v>
      </c>
      <c r="AE7" s="8" t="s">
        <v>61</v>
      </c>
      <c r="AF7" s="8" t="s">
        <v>62</v>
      </c>
      <c r="AG7" s="8" t="s">
        <v>63</v>
      </c>
      <c r="AH7" s="8" t="s">
        <v>64</v>
      </c>
      <c r="AI7" s="8" t="s">
        <v>65</v>
      </c>
      <c r="AJ7" s="8" t="s">
        <v>66</v>
      </c>
      <c r="AK7" s="7" t="s">
        <v>60</v>
      </c>
      <c r="AL7" s="8" t="s">
        <v>61</v>
      </c>
      <c r="AM7" s="8" t="s">
        <v>62</v>
      </c>
      <c r="AN7" s="8" t="s">
        <v>63</v>
      </c>
      <c r="AO7" s="8" t="s">
        <v>64</v>
      </c>
      <c r="AP7" s="8" t="s">
        <v>65</v>
      </c>
      <c r="AQ7" s="8" t="s">
        <v>66</v>
      </c>
      <c r="AR7" s="7" t="s">
        <v>60</v>
      </c>
      <c r="AS7" s="8" t="s">
        <v>61</v>
      </c>
      <c r="AT7" s="8" t="s">
        <v>62</v>
      </c>
      <c r="AU7" s="8" t="s">
        <v>63</v>
      </c>
      <c r="AV7" s="8" t="s">
        <v>64</v>
      </c>
      <c r="AW7" s="8" t="s">
        <v>65</v>
      </c>
      <c r="AX7" s="8" t="s">
        <v>66</v>
      </c>
      <c r="AY7" s="7" t="s">
        <v>60</v>
      </c>
    </row>
    <row r="8" spans="1:51" x14ac:dyDescent="0.3">
      <c r="A8" s="9">
        <v>1</v>
      </c>
      <c r="B8" s="9" t="s">
        <v>67</v>
      </c>
      <c r="C8" s="9" t="s">
        <v>68</v>
      </c>
      <c r="D8" s="9" t="s">
        <v>69</v>
      </c>
      <c r="E8" s="10">
        <v>73800</v>
      </c>
      <c r="F8" s="10">
        <v>401.07</v>
      </c>
      <c r="G8" s="10">
        <f t="shared" ref="G8:G24" si="0">E8/F8</f>
        <v>184.00777919066496</v>
      </c>
      <c r="H8" s="10">
        <f t="shared" ref="H8:H24" si="1">E8/I8</f>
        <v>4612.5</v>
      </c>
      <c r="I8" s="9">
        <v>16</v>
      </c>
      <c r="J8" s="9" t="s">
        <v>70</v>
      </c>
      <c r="K8" s="9" t="s">
        <v>71</v>
      </c>
      <c r="L8" s="9">
        <v>2</v>
      </c>
      <c r="M8" s="11">
        <f t="shared" ref="M8:M24" si="2">G8/(I8*L8)</f>
        <v>5.7502430997082801</v>
      </c>
      <c r="N8" s="9" t="s">
        <v>72</v>
      </c>
      <c r="O8" s="12">
        <v>24</v>
      </c>
      <c r="P8" s="13">
        <v>5.75</v>
      </c>
      <c r="Q8" s="13">
        <v>5.75</v>
      </c>
      <c r="R8" s="13">
        <v>5.75</v>
      </c>
      <c r="S8" s="13">
        <v>5.75</v>
      </c>
      <c r="T8" s="13">
        <v>5.75</v>
      </c>
      <c r="U8" s="13">
        <v>5.75</v>
      </c>
      <c r="V8" s="13">
        <v>5.75</v>
      </c>
      <c r="W8" s="13">
        <v>5.75</v>
      </c>
      <c r="X8" s="13">
        <v>5.75</v>
      </c>
      <c r="Y8" s="13">
        <v>5.75</v>
      </c>
      <c r="Z8" s="13">
        <v>5.75</v>
      </c>
      <c r="AA8" s="13">
        <v>5.75</v>
      </c>
      <c r="AB8" s="13">
        <v>5.75</v>
      </c>
      <c r="AC8" s="13">
        <v>5.75</v>
      </c>
      <c r="AD8" s="13">
        <v>5.75</v>
      </c>
      <c r="AE8" s="13">
        <v>5.75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4">
        <v>0</v>
      </c>
      <c r="AT8" s="14">
        <v>0</v>
      </c>
      <c r="AU8" s="14">
        <v>0</v>
      </c>
      <c r="AV8" s="14">
        <v>0</v>
      </c>
      <c r="AW8" s="14">
        <v>0</v>
      </c>
      <c r="AX8" s="14">
        <v>0</v>
      </c>
      <c r="AY8" s="14">
        <v>0</v>
      </c>
    </row>
    <row r="9" spans="1:51" x14ac:dyDescent="0.3">
      <c r="A9" s="9">
        <v>2</v>
      </c>
      <c r="B9" s="9" t="s">
        <v>73</v>
      </c>
      <c r="C9" s="9" t="s">
        <v>74</v>
      </c>
      <c r="D9" s="9" t="s">
        <v>69</v>
      </c>
      <c r="E9" s="10">
        <v>12650</v>
      </c>
      <c r="F9" s="10">
        <v>313.55</v>
      </c>
      <c r="G9" s="10">
        <f t="shared" si="0"/>
        <v>40.344442672619998</v>
      </c>
      <c r="H9" s="10">
        <f t="shared" si="1"/>
        <v>1054.1666666666667</v>
      </c>
      <c r="I9" s="9">
        <v>12</v>
      </c>
      <c r="J9" s="9" t="s">
        <v>75</v>
      </c>
      <c r="K9" s="9" t="s">
        <v>76</v>
      </c>
      <c r="L9" s="9">
        <v>2</v>
      </c>
      <c r="M9" s="11">
        <f t="shared" si="2"/>
        <v>1.6810184446924998</v>
      </c>
      <c r="N9" s="9" t="s">
        <v>77</v>
      </c>
      <c r="O9" s="12">
        <v>8</v>
      </c>
      <c r="P9" s="14">
        <v>0</v>
      </c>
      <c r="Q9" s="14">
        <v>0</v>
      </c>
      <c r="R9" s="13">
        <v>1.68</v>
      </c>
      <c r="S9" s="13">
        <v>1.68</v>
      </c>
      <c r="T9" s="13">
        <v>1.68</v>
      </c>
      <c r="U9" s="13">
        <v>1.68</v>
      </c>
      <c r="V9" s="13">
        <v>1.68</v>
      </c>
      <c r="W9" s="13">
        <v>1.68</v>
      </c>
      <c r="X9" s="13">
        <v>1.68</v>
      </c>
      <c r="Y9" s="13">
        <v>1.68</v>
      </c>
      <c r="Z9" s="13">
        <v>1.68</v>
      </c>
      <c r="AA9" s="13">
        <v>1.68</v>
      </c>
      <c r="AB9" s="13">
        <v>1.68</v>
      </c>
      <c r="AC9" s="13">
        <v>1.68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  <c r="AS9" s="14">
        <v>0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4">
        <v>0</v>
      </c>
    </row>
    <row r="10" spans="1:51" x14ac:dyDescent="0.3">
      <c r="A10" s="9">
        <v>3</v>
      </c>
      <c r="B10" s="9" t="s">
        <v>78</v>
      </c>
      <c r="C10" s="9" t="s">
        <v>79</v>
      </c>
      <c r="D10" s="9" t="s">
        <v>69</v>
      </c>
      <c r="E10" s="10">
        <v>86450</v>
      </c>
      <c r="F10" s="10">
        <v>571.42999999999995</v>
      </c>
      <c r="G10" s="10">
        <f t="shared" si="0"/>
        <v>151.28712178219556</v>
      </c>
      <c r="H10" s="10">
        <f t="shared" si="1"/>
        <v>5403.125</v>
      </c>
      <c r="I10" s="9">
        <v>16</v>
      </c>
      <c r="J10" s="9" t="s">
        <v>70</v>
      </c>
      <c r="K10" s="9" t="s">
        <v>71</v>
      </c>
      <c r="L10" s="9">
        <v>2</v>
      </c>
      <c r="M10" s="11">
        <f t="shared" si="2"/>
        <v>4.7277225556936111</v>
      </c>
      <c r="N10" s="9" t="s">
        <v>80</v>
      </c>
      <c r="O10" s="12">
        <v>10</v>
      </c>
      <c r="P10" s="13">
        <v>4.7300000000000004</v>
      </c>
      <c r="Q10" s="13">
        <v>4.7300000000000004</v>
      </c>
      <c r="R10" s="13">
        <v>4.7300000000000004</v>
      </c>
      <c r="S10" s="13">
        <v>4.7300000000000004</v>
      </c>
      <c r="T10" s="13">
        <v>4.7300000000000004</v>
      </c>
      <c r="U10" s="13">
        <v>4.7300000000000004</v>
      </c>
      <c r="V10" s="13">
        <v>4.7300000000000004</v>
      </c>
      <c r="W10" s="13">
        <v>4.7300000000000004</v>
      </c>
      <c r="X10" s="13">
        <v>4.7300000000000004</v>
      </c>
      <c r="Y10" s="13">
        <v>4.7300000000000004</v>
      </c>
      <c r="Z10" s="13">
        <v>4.7300000000000004</v>
      </c>
      <c r="AA10" s="13">
        <v>4.7300000000000004</v>
      </c>
      <c r="AB10" s="13">
        <v>4.7300000000000004</v>
      </c>
      <c r="AC10" s="13">
        <v>4.7300000000000004</v>
      </c>
      <c r="AD10" s="13">
        <v>4.7300000000000004</v>
      </c>
      <c r="AE10" s="13">
        <v>4.7300000000000004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  <c r="AS10" s="14">
        <v>0</v>
      </c>
      <c r="AT10" s="14">
        <v>0</v>
      </c>
      <c r="AU10" s="14">
        <v>0</v>
      </c>
      <c r="AV10" s="14">
        <v>0</v>
      </c>
      <c r="AW10" s="14">
        <v>0</v>
      </c>
      <c r="AX10" s="14">
        <v>0</v>
      </c>
      <c r="AY10" s="14">
        <v>0</v>
      </c>
    </row>
    <row r="11" spans="1:51" x14ac:dyDescent="0.3">
      <c r="A11" s="9">
        <v>4</v>
      </c>
      <c r="B11" s="9" t="s">
        <v>81</v>
      </c>
      <c r="C11" s="9" t="s">
        <v>82</v>
      </c>
      <c r="D11" s="9" t="s">
        <v>83</v>
      </c>
      <c r="E11" s="10">
        <v>72</v>
      </c>
      <c r="F11" s="10">
        <v>1</v>
      </c>
      <c r="G11" s="10">
        <f t="shared" si="0"/>
        <v>72</v>
      </c>
      <c r="H11" s="10">
        <f t="shared" si="1"/>
        <v>2</v>
      </c>
      <c r="I11" s="9">
        <v>36</v>
      </c>
      <c r="J11" s="9" t="s">
        <v>70</v>
      </c>
      <c r="K11" s="9" t="s">
        <v>84</v>
      </c>
      <c r="L11" s="9">
        <v>2</v>
      </c>
      <c r="M11" s="11">
        <f t="shared" si="2"/>
        <v>1</v>
      </c>
      <c r="N11" s="9" t="s">
        <v>85</v>
      </c>
      <c r="O11" s="12">
        <v>4</v>
      </c>
      <c r="P11" s="13">
        <v>1</v>
      </c>
      <c r="Q11" s="13">
        <v>1</v>
      </c>
      <c r="R11" s="13">
        <v>1</v>
      </c>
      <c r="S11" s="13">
        <v>1</v>
      </c>
      <c r="T11" s="13">
        <v>1</v>
      </c>
      <c r="U11" s="13">
        <v>1</v>
      </c>
      <c r="V11" s="13">
        <v>1</v>
      </c>
      <c r="W11" s="13">
        <v>1</v>
      </c>
      <c r="X11" s="13">
        <v>1</v>
      </c>
      <c r="Y11" s="13">
        <v>1</v>
      </c>
      <c r="Z11" s="13">
        <v>1</v>
      </c>
      <c r="AA11" s="13">
        <v>1</v>
      </c>
      <c r="AB11" s="13">
        <v>1</v>
      </c>
      <c r="AC11" s="13">
        <v>1</v>
      </c>
      <c r="AD11" s="13">
        <v>1</v>
      </c>
      <c r="AE11" s="13">
        <v>1</v>
      </c>
      <c r="AF11" s="13">
        <v>1</v>
      </c>
      <c r="AG11" s="13">
        <v>1</v>
      </c>
      <c r="AH11" s="13">
        <v>1</v>
      </c>
      <c r="AI11" s="13">
        <v>1</v>
      </c>
      <c r="AJ11" s="13">
        <v>1</v>
      </c>
      <c r="AK11" s="13">
        <v>1</v>
      </c>
      <c r="AL11" s="13">
        <v>1</v>
      </c>
      <c r="AM11" s="13">
        <v>1</v>
      </c>
      <c r="AN11" s="13">
        <v>1</v>
      </c>
      <c r="AO11" s="13">
        <v>1</v>
      </c>
      <c r="AP11" s="13">
        <v>1</v>
      </c>
      <c r="AQ11" s="13">
        <v>1</v>
      </c>
      <c r="AR11" s="13">
        <v>1</v>
      </c>
      <c r="AS11" s="13">
        <v>1</v>
      </c>
      <c r="AT11" s="13">
        <v>1</v>
      </c>
      <c r="AU11" s="13">
        <v>1</v>
      </c>
      <c r="AV11" s="13">
        <v>1</v>
      </c>
      <c r="AW11" s="13">
        <v>1</v>
      </c>
      <c r="AX11" s="13">
        <v>1</v>
      </c>
      <c r="AY11" s="13">
        <v>1</v>
      </c>
    </row>
    <row r="12" spans="1:51" x14ac:dyDescent="0.3">
      <c r="A12" s="9">
        <v>5</v>
      </c>
      <c r="B12" s="9" t="s">
        <v>86</v>
      </c>
      <c r="C12" s="9" t="s">
        <v>87</v>
      </c>
      <c r="D12" s="9" t="s">
        <v>69</v>
      </c>
      <c r="E12" s="10">
        <v>1250</v>
      </c>
      <c r="F12" s="10">
        <v>150</v>
      </c>
      <c r="G12" s="10">
        <f t="shared" si="0"/>
        <v>8.3333333333333339</v>
      </c>
      <c r="H12" s="10">
        <f t="shared" si="1"/>
        <v>89.285714285714292</v>
      </c>
      <c r="I12" s="9">
        <v>14</v>
      </c>
      <c r="J12" s="9" t="s">
        <v>75</v>
      </c>
      <c r="K12" s="9" t="s">
        <v>71</v>
      </c>
      <c r="L12" s="9">
        <v>2</v>
      </c>
      <c r="M12" s="11">
        <f t="shared" si="2"/>
        <v>0.29761904761904762</v>
      </c>
      <c r="N12" s="9" t="s">
        <v>88</v>
      </c>
      <c r="O12" s="12">
        <v>12</v>
      </c>
      <c r="P12" s="14">
        <v>0</v>
      </c>
      <c r="Q12" s="14">
        <v>0</v>
      </c>
      <c r="R12" s="13">
        <v>0.3</v>
      </c>
      <c r="S12" s="13">
        <v>0.3</v>
      </c>
      <c r="T12" s="13">
        <v>0.3</v>
      </c>
      <c r="U12" s="13">
        <v>0.3</v>
      </c>
      <c r="V12" s="13">
        <v>0.3</v>
      </c>
      <c r="W12" s="13">
        <v>0.3</v>
      </c>
      <c r="X12" s="13">
        <v>0.3</v>
      </c>
      <c r="Y12" s="13">
        <v>0.3</v>
      </c>
      <c r="Z12" s="13">
        <v>0.3</v>
      </c>
      <c r="AA12" s="13">
        <v>0.3</v>
      </c>
      <c r="AB12" s="13">
        <v>0.3</v>
      </c>
      <c r="AC12" s="13">
        <v>0.3</v>
      </c>
      <c r="AD12" s="13">
        <v>0.3</v>
      </c>
      <c r="AE12" s="13">
        <v>0.3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</row>
    <row r="13" spans="1:51" x14ac:dyDescent="0.3">
      <c r="A13" s="9">
        <v>6</v>
      </c>
      <c r="B13" s="9" t="s">
        <v>89</v>
      </c>
      <c r="C13" s="9" t="s">
        <v>90</v>
      </c>
      <c r="D13" s="9" t="s">
        <v>69</v>
      </c>
      <c r="E13" s="10">
        <v>592.4</v>
      </c>
      <c r="F13" s="10">
        <v>45</v>
      </c>
      <c r="G13" s="10">
        <f t="shared" si="0"/>
        <v>13.164444444444444</v>
      </c>
      <c r="H13" s="10">
        <f t="shared" si="1"/>
        <v>37.024999999999999</v>
      </c>
      <c r="I13" s="9">
        <v>16</v>
      </c>
      <c r="J13" s="9" t="s">
        <v>91</v>
      </c>
      <c r="K13" s="9" t="s">
        <v>92</v>
      </c>
      <c r="L13" s="9">
        <v>2</v>
      </c>
      <c r="M13" s="11">
        <f t="shared" si="2"/>
        <v>0.41138888888888886</v>
      </c>
      <c r="N13" s="9" t="s">
        <v>93</v>
      </c>
      <c r="O13" s="12">
        <v>16</v>
      </c>
      <c r="P13" s="14">
        <v>0</v>
      </c>
      <c r="Q13" s="14">
        <v>0</v>
      </c>
      <c r="R13" s="14">
        <v>0</v>
      </c>
      <c r="S13" s="13">
        <v>0.41</v>
      </c>
      <c r="T13" s="13">
        <v>0.41</v>
      </c>
      <c r="U13" s="13">
        <v>0.41</v>
      </c>
      <c r="V13" s="13">
        <v>0.41</v>
      </c>
      <c r="W13" s="13">
        <v>0.41</v>
      </c>
      <c r="X13" s="13">
        <v>0.41</v>
      </c>
      <c r="Y13" s="13">
        <v>0.41</v>
      </c>
      <c r="Z13" s="13">
        <v>0.41</v>
      </c>
      <c r="AA13" s="13">
        <v>0.41</v>
      </c>
      <c r="AB13" s="13">
        <v>0.41</v>
      </c>
      <c r="AC13" s="13">
        <v>0.41</v>
      </c>
      <c r="AD13" s="13">
        <v>0.41</v>
      </c>
      <c r="AE13" s="13">
        <v>0.41</v>
      </c>
      <c r="AF13" s="13">
        <v>0.41</v>
      </c>
      <c r="AG13" s="13">
        <v>0.41</v>
      </c>
      <c r="AH13" s="13">
        <v>0.41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4">
        <v>0</v>
      </c>
    </row>
    <row r="14" spans="1:51" x14ac:dyDescent="0.3">
      <c r="A14" s="15">
        <v>7</v>
      </c>
      <c r="B14" s="15" t="s">
        <v>94</v>
      </c>
      <c r="C14" s="15" t="s">
        <v>95</v>
      </c>
      <c r="D14" s="15" t="s">
        <v>96</v>
      </c>
      <c r="E14" s="16">
        <v>753.36</v>
      </c>
      <c r="F14" s="16">
        <v>12</v>
      </c>
      <c r="G14" s="16">
        <f t="shared" si="0"/>
        <v>62.78</v>
      </c>
      <c r="H14" s="16">
        <f t="shared" si="1"/>
        <v>34.243636363636362</v>
      </c>
      <c r="I14" s="15">
        <v>22</v>
      </c>
      <c r="J14" s="15" t="s">
        <v>97</v>
      </c>
      <c r="K14" s="15" t="s">
        <v>98</v>
      </c>
      <c r="L14" s="15">
        <v>2</v>
      </c>
      <c r="M14" s="17">
        <f t="shared" si="2"/>
        <v>1.4268181818181818</v>
      </c>
      <c r="N14" s="15" t="s">
        <v>99</v>
      </c>
      <c r="O14" s="18">
        <v>45</v>
      </c>
      <c r="P14" s="14">
        <v>0</v>
      </c>
      <c r="Q14" s="14">
        <v>0</v>
      </c>
      <c r="R14" s="14">
        <v>0</v>
      </c>
      <c r="S14" s="14">
        <v>0</v>
      </c>
      <c r="T14" s="19">
        <v>1.43</v>
      </c>
      <c r="U14" s="19">
        <v>1.43</v>
      </c>
      <c r="V14" s="19">
        <v>1.43</v>
      </c>
      <c r="W14" s="19">
        <v>1.43</v>
      </c>
      <c r="X14" s="19">
        <v>1.43</v>
      </c>
      <c r="Y14" s="19">
        <v>1.43</v>
      </c>
      <c r="Z14" s="19">
        <v>1.43</v>
      </c>
      <c r="AA14" s="19">
        <v>1.43</v>
      </c>
      <c r="AB14" s="19">
        <v>1.43</v>
      </c>
      <c r="AC14" s="19">
        <v>1.43</v>
      </c>
      <c r="AD14" s="19">
        <v>1.43</v>
      </c>
      <c r="AE14" s="19">
        <v>1.43</v>
      </c>
      <c r="AF14" s="19">
        <v>1.43</v>
      </c>
      <c r="AG14" s="19">
        <v>1.43</v>
      </c>
      <c r="AH14" s="19">
        <v>1.43</v>
      </c>
      <c r="AI14" s="19">
        <v>1.43</v>
      </c>
      <c r="AJ14" s="19">
        <v>1.43</v>
      </c>
      <c r="AK14" s="19">
        <v>1.43</v>
      </c>
      <c r="AL14" s="19">
        <v>1.43</v>
      </c>
      <c r="AM14" s="19">
        <v>1.43</v>
      </c>
      <c r="AN14" s="19">
        <v>1.43</v>
      </c>
      <c r="AO14" s="19">
        <v>1.43</v>
      </c>
      <c r="AP14" s="14">
        <v>0</v>
      </c>
      <c r="AQ14" s="14">
        <v>0</v>
      </c>
      <c r="AR14" s="14">
        <v>0</v>
      </c>
      <c r="AS14" s="14">
        <v>0</v>
      </c>
      <c r="AT14" s="14">
        <v>0</v>
      </c>
      <c r="AU14" s="14">
        <v>0</v>
      </c>
      <c r="AV14" s="14">
        <v>0</v>
      </c>
      <c r="AW14" s="14">
        <v>0</v>
      </c>
      <c r="AX14" s="14">
        <v>0</v>
      </c>
      <c r="AY14" s="14">
        <v>0</v>
      </c>
    </row>
    <row r="15" spans="1:51" x14ac:dyDescent="0.3">
      <c r="A15" s="9">
        <v>8</v>
      </c>
      <c r="B15" s="9" t="s">
        <v>100</v>
      </c>
      <c r="C15" s="9" t="s">
        <v>101</v>
      </c>
      <c r="D15" s="9" t="s">
        <v>102</v>
      </c>
      <c r="E15" s="10">
        <v>44940.7</v>
      </c>
      <c r="F15" s="10">
        <v>450</v>
      </c>
      <c r="G15" s="10">
        <f t="shared" si="0"/>
        <v>99.868222222222215</v>
      </c>
      <c r="H15" s="10">
        <f t="shared" si="1"/>
        <v>2042.7590909090907</v>
      </c>
      <c r="I15" s="9">
        <v>22</v>
      </c>
      <c r="J15" s="9" t="s">
        <v>103</v>
      </c>
      <c r="K15" s="9" t="s">
        <v>104</v>
      </c>
      <c r="L15" s="9">
        <v>2</v>
      </c>
      <c r="M15" s="11">
        <f t="shared" si="2"/>
        <v>2.269732323232323</v>
      </c>
      <c r="N15" s="9" t="s">
        <v>105</v>
      </c>
      <c r="O15" s="12">
        <v>60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3">
        <v>2.27</v>
      </c>
      <c r="V15" s="13">
        <v>2.27</v>
      </c>
      <c r="W15" s="13">
        <v>2.27</v>
      </c>
      <c r="X15" s="13">
        <v>2.27</v>
      </c>
      <c r="Y15" s="13">
        <v>2.27</v>
      </c>
      <c r="Z15" s="13">
        <v>2.27</v>
      </c>
      <c r="AA15" s="13">
        <v>2.27</v>
      </c>
      <c r="AB15" s="13">
        <v>2.27</v>
      </c>
      <c r="AC15" s="13">
        <v>2.27</v>
      </c>
      <c r="AD15" s="13">
        <v>2.27</v>
      </c>
      <c r="AE15" s="13">
        <v>2.27</v>
      </c>
      <c r="AF15" s="13">
        <v>2.27</v>
      </c>
      <c r="AG15" s="13">
        <v>2.27</v>
      </c>
      <c r="AH15" s="13">
        <v>2.27</v>
      </c>
      <c r="AI15" s="13">
        <v>2.27</v>
      </c>
      <c r="AJ15" s="13">
        <v>2.27</v>
      </c>
      <c r="AK15" s="13">
        <v>2.27</v>
      </c>
      <c r="AL15" s="13">
        <v>2.27</v>
      </c>
      <c r="AM15" s="13">
        <v>2.27</v>
      </c>
      <c r="AN15" s="13">
        <v>2.27</v>
      </c>
      <c r="AO15" s="13">
        <v>2.27</v>
      </c>
      <c r="AP15" s="13">
        <v>2.27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</row>
    <row r="16" spans="1:51" x14ac:dyDescent="0.3">
      <c r="A16" s="15">
        <v>9</v>
      </c>
      <c r="B16" s="15" t="s">
        <v>106</v>
      </c>
      <c r="C16" s="15" t="s">
        <v>107</v>
      </c>
      <c r="D16" s="15" t="s">
        <v>69</v>
      </c>
      <c r="E16" s="16">
        <v>11870</v>
      </c>
      <c r="F16" s="16">
        <v>180</v>
      </c>
      <c r="G16" s="16">
        <f t="shared" si="0"/>
        <v>65.944444444444443</v>
      </c>
      <c r="H16" s="16">
        <f t="shared" si="1"/>
        <v>539.5454545454545</v>
      </c>
      <c r="I16" s="15">
        <v>22</v>
      </c>
      <c r="J16" s="15" t="s">
        <v>108</v>
      </c>
      <c r="K16" s="15" t="s">
        <v>109</v>
      </c>
      <c r="L16" s="15">
        <v>2</v>
      </c>
      <c r="M16" s="17">
        <f t="shared" si="2"/>
        <v>1.4987373737373737</v>
      </c>
      <c r="N16" s="15" t="s">
        <v>110</v>
      </c>
      <c r="O16" s="18">
        <v>36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9">
        <v>1.5</v>
      </c>
      <c r="W16" s="19">
        <v>1.5</v>
      </c>
      <c r="X16" s="19">
        <v>1.5</v>
      </c>
      <c r="Y16" s="19">
        <v>1.5</v>
      </c>
      <c r="Z16" s="19">
        <v>1.5</v>
      </c>
      <c r="AA16" s="19">
        <v>1.5</v>
      </c>
      <c r="AB16" s="19">
        <v>1.5</v>
      </c>
      <c r="AC16" s="19">
        <v>1.5</v>
      </c>
      <c r="AD16" s="19">
        <v>1.5</v>
      </c>
      <c r="AE16" s="19">
        <v>1.5</v>
      </c>
      <c r="AF16" s="19">
        <v>1.5</v>
      </c>
      <c r="AG16" s="19">
        <v>1.5</v>
      </c>
      <c r="AH16" s="19">
        <v>1.5</v>
      </c>
      <c r="AI16" s="19">
        <v>1.5</v>
      </c>
      <c r="AJ16" s="19">
        <v>1.5</v>
      </c>
      <c r="AK16" s="19">
        <v>1.5</v>
      </c>
      <c r="AL16" s="19">
        <v>1.5</v>
      </c>
      <c r="AM16" s="19">
        <v>1.5</v>
      </c>
      <c r="AN16" s="19">
        <v>1.5</v>
      </c>
      <c r="AO16" s="19">
        <v>1.5</v>
      </c>
      <c r="AP16" s="19">
        <v>1.5</v>
      </c>
      <c r="AQ16" s="19">
        <v>1.5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</row>
    <row r="17" spans="1:51" x14ac:dyDescent="0.3">
      <c r="A17" s="9">
        <v>10</v>
      </c>
      <c r="B17" s="9" t="s">
        <v>111</v>
      </c>
      <c r="C17" s="9" t="s">
        <v>112</v>
      </c>
      <c r="D17" s="9" t="s">
        <v>69</v>
      </c>
      <c r="E17" s="10">
        <v>11870</v>
      </c>
      <c r="F17" s="10">
        <v>45</v>
      </c>
      <c r="G17" s="10">
        <f t="shared" si="0"/>
        <v>263.77777777777777</v>
      </c>
      <c r="H17" s="10">
        <f t="shared" si="1"/>
        <v>539.5454545454545</v>
      </c>
      <c r="I17" s="9">
        <v>22</v>
      </c>
      <c r="J17" s="9" t="s">
        <v>108</v>
      </c>
      <c r="K17" s="9" t="s">
        <v>109</v>
      </c>
      <c r="L17" s="9">
        <v>2</v>
      </c>
      <c r="M17" s="11">
        <f t="shared" si="2"/>
        <v>5.9949494949494948</v>
      </c>
      <c r="N17" s="9" t="s">
        <v>113</v>
      </c>
      <c r="O17" s="12">
        <v>12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3">
        <v>6</v>
      </c>
      <c r="W17" s="13">
        <v>6</v>
      </c>
      <c r="X17" s="13">
        <v>6</v>
      </c>
      <c r="Y17" s="13">
        <v>6</v>
      </c>
      <c r="Z17" s="13">
        <v>6</v>
      </c>
      <c r="AA17" s="13">
        <v>6</v>
      </c>
      <c r="AB17" s="13">
        <v>6</v>
      </c>
      <c r="AC17" s="13">
        <v>6</v>
      </c>
      <c r="AD17" s="13">
        <v>6</v>
      </c>
      <c r="AE17" s="13">
        <v>6</v>
      </c>
      <c r="AF17" s="13">
        <v>6</v>
      </c>
      <c r="AG17" s="13">
        <v>6</v>
      </c>
      <c r="AH17" s="13">
        <v>6</v>
      </c>
      <c r="AI17" s="13">
        <v>6</v>
      </c>
      <c r="AJ17" s="13">
        <v>6</v>
      </c>
      <c r="AK17" s="13">
        <v>6</v>
      </c>
      <c r="AL17" s="13">
        <v>6</v>
      </c>
      <c r="AM17" s="13">
        <v>6</v>
      </c>
      <c r="AN17" s="13">
        <v>6</v>
      </c>
      <c r="AO17" s="13">
        <v>6</v>
      </c>
      <c r="AP17" s="13">
        <v>6</v>
      </c>
      <c r="AQ17" s="13">
        <v>6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0</v>
      </c>
      <c r="AX17" s="14">
        <v>0</v>
      </c>
      <c r="AY17" s="14">
        <v>0</v>
      </c>
    </row>
    <row r="18" spans="1:51" x14ac:dyDescent="0.3">
      <c r="A18" s="15">
        <v>11</v>
      </c>
      <c r="B18" s="15" t="s">
        <v>114</v>
      </c>
      <c r="C18" s="15" t="s">
        <v>115</v>
      </c>
      <c r="D18" s="15" t="s">
        <v>69</v>
      </c>
      <c r="E18" s="16">
        <v>409.5</v>
      </c>
      <c r="F18" s="16">
        <v>30</v>
      </c>
      <c r="G18" s="16">
        <f t="shared" si="0"/>
        <v>13.65</v>
      </c>
      <c r="H18" s="16">
        <f t="shared" si="1"/>
        <v>27.3</v>
      </c>
      <c r="I18" s="15">
        <v>15</v>
      </c>
      <c r="J18" s="15" t="s">
        <v>116</v>
      </c>
      <c r="K18" s="15" t="s">
        <v>117</v>
      </c>
      <c r="L18" s="15">
        <v>2</v>
      </c>
      <c r="M18" s="17">
        <f t="shared" si="2"/>
        <v>0.45500000000000002</v>
      </c>
      <c r="N18" s="15" t="s">
        <v>118</v>
      </c>
      <c r="O18" s="18">
        <v>18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9">
        <v>0.46</v>
      </c>
      <c r="Y18" s="19">
        <v>0.46</v>
      </c>
      <c r="Z18" s="19">
        <v>0.46</v>
      </c>
      <c r="AA18" s="19">
        <v>0.46</v>
      </c>
      <c r="AB18" s="19">
        <v>0.46</v>
      </c>
      <c r="AC18" s="19">
        <v>0.46</v>
      </c>
      <c r="AD18" s="19">
        <v>0.46</v>
      </c>
      <c r="AE18" s="19">
        <v>0.46</v>
      </c>
      <c r="AF18" s="19">
        <v>0.46</v>
      </c>
      <c r="AG18" s="19">
        <v>0.46</v>
      </c>
      <c r="AH18" s="19">
        <v>0.46</v>
      </c>
      <c r="AI18" s="19">
        <v>0.46</v>
      </c>
      <c r="AJ18" s="19">
        <v>0.46</v>
      </c>
      <c r="AK18" s="19">
        <v>0.46</v>
      </c>
      <c r="AL18" s="19">
        <v>0.46</v>
      </c>
      <c r="AM18" s="14">
        <v>0</v>
      </c>
      <c r="AN18" s="14">
        <v>0</v>
      </c>
      <c r="AO18" s="14">
        <v>0</v>
      </c>
      <c r="AP18" s="14">
        <v>0</v>
      </c>
      <c r="AQ18" s="14">
        <v>0</v>
      </c>
      <c r="AR18" s="14">
        <v>0</v>
      </c>
      <c r="AS18" s="14">
        <v>0</v>
      </c>
      <c r="AT18" s="14">
        <v>0</v>
      </c>
      <c r="AU18" s="14">
        <v>0</v>
      </c>
      <c r="AV18" s="14">
        <v>0</v>
      </c>
      <c r="AW18" s="14">
        <v>0</v>
      </c>
      <c r="AX18" s="14">
        <v>0</v>
      </c>
      <c r="AY18" s="14">
        <v>0</v>
      </c>
    </row>
    <row r="19" spans="1:51" x14ac:dyDescent="0.3">
      <c r="A19" s="9">
        <v>12</v>
      </c>
      <c r="B19" s="9" t="s">
        <v>119</v>
      </c>
      <c r="C19" s="9" t="s">
        <v>120</v>
      </c>
      <c r="D19" s="9" t="s">
        <v>121</v>
      </c>
      <c r="E19" s="10">
        <v>2170</v>
      </c>
      <c r="F19" s="10">
        <v>100</v>
      </c>
      <c r="G19" s="10">
        <f t="shared" si="0"/>
        <v>21.7</v>
      </c>
      <c r="H19" s="10">
        <f t="shared" si="1"/>
        <v>98.63636363636364</v>
      </c>
      <c r="I19" s="9">
        <v>22</v>
      </c>
      <c r="J19" s="9" t="s">
        <v>108</v>
      </c>
      <c r="K19" s="9" t="s">
        <v>109</v>
      </c>
      <c r="L19" s="9">
        <v>2</v>
      </c>
      <c r="M19" s="11">
        <f t="shared" si="2"/>
        <v>0.49318181818181817</v>
      </c>
      <c r="N19" s="9" t="s">
        <v>122</v>
      </c>
      <c r="O19" s="12">
        <v>8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3">
        <v>0.49</v>
      </c>
      <c r="W19" s="13">
        <v>0.49</v>
      </c>
      <c r="X19" s="13">
        <v>0.49</v>
      </c>
      <c r="Y19" s="13">
        <v>0.49</v>
      </c>
      <c r="Z19" s="13">
        <v>0.49</v>
      </c>
      <c r="AA19" s="13">
        <v>0.49</v>
      </c>
      <c r="AB19" s="13">
        <v>0.49</v>
      </c>
      <c r="AC19" s="13">
        <v>0.49</v>
      </c>
      <c r="AD19" s="13">
        <v>0.49</v>
      </c>
      <c r="AE19" s="13">
        <v>0.49</v>
      </c>
      <c r="AF19" s="13">
        <v>0.49</v>
      </c>
      <c r="AG19" s="13">
        <v>0.49</v>
      </c>
      <c r="AH19" s="13">
        <v>0.49</v>
      </c>
      <c r="AI19" s="13">
        <v>0.49</v>
      </c>
      <c r="AJ19" s="13">
        <v>0.49</v>
      </c>
      <c r="AK19" s="13">
        <v>0.49</v>
      </c>
      <c r="AL19" s="13">
        <v>0.49</v>
      </c>
      <c r="AM19" s="13">
        <v>0.49</v>
      </c>
      <c r="AN19" s="13">
        <v>0.49</v>
      </c>
      <c r="AO19" s="13">
        <v>0.49</v>
      </c>
      <c r="AP19" s="13">
        <v>0.49</v>
      </c>
      <c r="AQ19" s="13">
        <v>0.49</v>
      </c>
      <c r="AR19" s="14">
        <v>0</v>
      </c>
      <c r="AS19" s="14">
        <v>0</v>
      </c>
      <c r="AT19" s="14">
        <v>0</v>
      </c>
      <c r="AU19" s="14">
        <v>0</v>
      </c>
      <c r="AV19" s="14">
        <v>0</v>
      </c>
      <c r="AW19" s="14">
        <v>0</v>
      </c>
      <c r="AX19" s="14">
        <v>0</v>
      </c>
      <c r="AY19" s="14">
        <v>0</v>
      </c>
    </row>
    <row r="20" spans="1:51" x14ac:dyDescent="0.3">
      <c r="A20" s="9">
        <v>13</v>
      </c>
      <c r="B20" s="9" t="s">
        <v>123</v>
      </c>
      <c r="C20" s="9" t="s">
        <v>124</v>
      </c>
      <c r="D20" s="9" t="s">
        <v>69</v>
      </c>
      <c r="E20" s="10">
        <v>54200</v>
      </c>
      <c r="F20" s="10">
        <v>372</v>
      </c>
      <c r="G20" s="10">
        <f t="shared" si="0"/>
        <v>145.69892473118279</v>
      </c>
      <c r="H20" s="10">
        <f t="shared" si="1"/>
        <v>3011.1111111111113</v>
      </c>
      <c r="I20" s="9">
        <v>18</v>
      </c>
      <c r="J20" s="9" t="s">
        <v>71</v>
      </c>
      <c r="K20" s="9" t="s">
        <v>125</v>
      </c>
      <c r="L20" s="9">
        <v>2</v>
      </c>
      <c r="M20" s="11">
        <f t="shared" si="2"/>
        <v>4.0471923536439665</v>
      </c>
      <c r="N20" s="9" t="s">
        <v>126</v>
      </c>
      <c r="O20" s="12">
        <v>24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3">
        <v>4.05</v>
      </c>
      <c r="AF20" s="13">
        <v>4.05</v>
      </c>
      <c r="AG20" s="13">
        <v>4.05</v>
      </c>
      <c r="AH20" s="13">
        <v>4.05</v>
      </c>
      <c r="AI20" s="13">
        <v>4.05</v>
      </c>
      <c r="AJ20" s="13">
        <v>4.05</v>
      </c>
      <c r="AK20" s="13">
        <v>4.05</v>
      </c>
      <c r="AL20" s="13">
        <v>4.05</v>
      </c>
      <c r="AM20" s="13">
        <v>4.05</v>
      </c>
      <c r="AN20" s="13">
        <v>4.05</v>
      </c>
      <c r="AO20" s="13">
        <v>4.05</v>
      </c>
      <c r="AP20" s="13">
        <v>4.05</v>
      </c>
      <c r="AQ20" s="13">
        <v>4.05</v>
      </c>
      <c r="AR20" s="13">
        <v>4.05</v>
      </c>
      <c r="AS20" s="13">
        <v>4.05</v>
      </c>
      <c r="AT20" s="13">
        <v>4.05</v>
      </c>
      <c r="AU20" s="13">
        <v>4.05</v>
      </c>
      <c r="AV20" s="13">
        <v>4.05</v>
      </c>
      <c r="AW20" s="14">
        <v>0</v>
      </c>
      <c r="AX20" s="14">
        <v>0</v>
      </c>
      <c r="AY20" s="14">
        <v>0</v>
      </c>
    </row>
    <row r="21" spans="1:51" x14ac:dyDescent="0.3">
      <c r="A21" s="9">
        <v>14</v>
      </c>
      <c r="B21" s="9" t="s">
        <v>127</v>
      </c>
      <c r="C21" s="9" t="s">
        <v>128</v>
      </c>
      <c r="D21" s="9" t="s">
        <v>69</v>
      </c>
      <c r="E21" s="10">
        <v>54200</v>
      </c>
      <c r="F21" s="10">
        <v>1428</v>
      </c>
      <c r="G21" s="10">
        <f t="shared" si="0"/>
        <v>37.955182072829132</v>
      </c>
      <c r="H21" s="10">
        <f t="shared" si="1"/>
        <v>3011.1111111111113</v>
      </c>
      <c r="I21" s="9">
        <v>18</v>
      </c>
      <c r="J21" s="9" t="s">
        <v>71</v>
      </c>
      <c r="K21" s="9" t="s">
        <v>125</v>
      </c>
      <c r="L21" s="9">
        <v>2</v>
      </c>
      <c r="M21" s="11">
        <f t="shared" si="2"/>
        <v>1.0543106131341426</v>
      </c>
      <c r="N21" s="9" t="s">
        <v>129</v>
      </c>
      <c r="O21" s="12">
        <v>6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3">
        <v>1.06</v>
      </c>
      <c r="AF21" s="13">
        <v>1.06</v>
      </c>
      <c r="AG21" s="13">
        <v>1.06</v>
      </c>
      <c r="AH21" s="13">
        <v>1.06</v>
      </c>
      <c r="AI21" s="13">
        <v>1.06</v>
      </c>
      <c r="AJ21" s="13">
        <v>1.06</v>
      </c>
      <c r="AK21" s="13">
        <v>1.06</v>
      </c>
      <c r="AL21" s="13">
        <v>1.06</v>
      </c>
      <c r="AM21" s="13">
        <v>1.06</v>
      </c>
      <c r="AN21" s="13">
        <v>1.06</v>
      </c>
      <c r="AO21" s="13">
        <v>1.06</v>
      </c>
      <c r="AP21" s="13">
        <v>1.06</v>
      </c>
      <c r="AQ21" s="13">
        <v>1.06</v>
      </c>
      <c r="AR21" s="13">
        <v>1.06</v>
      </c>
      <c r="AS21" s="13">
        <v>1.06</v>
      </c>
      <c r="AT21" s="13">
        <v>1.06</v>
      </c>
      <c r="AU21" s="13">
        <v>1.06</v>
      </c>
      <c r="AV21" s="13">
        <v>1.06</v>
      </c>
      <c r="AW21" s="14">
        <v>0</v>
      </c>
      <c r="AX21" s="14">
        <v>0</v>
      </c>
      <c r="AY21" s="14">
        <v>0</v>
      </c>
    </row>
    <row r="22" spans="1:51" x14ac:dyDescent="0.3">
      <c r="A22" s="9">
        <v>15</v>
      </c>
      <c r="B22" s="9" t="s">
        <v>130</v>
      </c>
      <c r="C22" s="9" t="s">
        <v>131</v>
      </c>
      <c r="D22" s="9" t="s">
        <v>69</v>
      </c>
      <c r="E22" s="10">
        <v>54200</v>
      </c>
      <c r="F22" s="10">
        <v>255</v>
      </c>
      <c r="G22" s="10">
        <f t="shared" si="0"/>
        <v>212.54901960784315</v>
      </c>
      <c r="H22" s="10">
        <f t="shared" si="1"/>
        <v>3011.1111111111113</v>
      </c>
      <c r="I22" s="9">
        <v>18</v>
      </c>
      <c r="J22" s="9" t="s">
        <v>71</v>
      </c>
      <c r="K22" s="9" t="s">
        <v>125</v>
      </c>
      <c r="L22" s="9">
        <v>2</v>
      </c>
      <c r="M22" s="11">
        <f t="shared" si="2"/>
        <v>5.9041394335511983</v>
      </c>
      <c r="N22" s="9" t="s">
        <v>132</v>
      </c>
      <c r="O22" s="12">
        <v>12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3">
        <v>5.9</v>
      </c>
      <c r="AF22" s="13">
        <v>5.9</v>
      </c>
      <c r="AG22" s="13">
        <v>5.9</v>
      </c>
      <c r="AH22" s="13">
        <v>5.9</v>
      </c>
      <c r="AI22" s="13">
        <v>5.9</v>
      </c>
      <c r="AJ22" s="13">
        <v>5.9</v>
      </c>
      <c r="AK22" s="13">
        <v>5.9</v>
      </c>
      <c r="AL22" s="13">
        <v>5.9</v>
      </c>
      <c r="AM22" s="13">
        <v>5.9</v>
      </c>
      <c r="AN22" s="13">
        <v>5.9</v>
      </c>
      <c r="AO22" s="13">
        <v>5.9</v>
      </c>
      <c r="AP22" s="13">
        <v>5.9</v>
      </c>
      <c r="AQ22" s="13">
        <v>5.9</v>
      </c>
      <c r="AR22" s="13">
        <v>5.9</v>
      </c>
      <c r="AS22" s="13">
        <v>5.9</v>
      </c>
      <c r="AT22" s="13">
        <v>5.9</v>
      </c>
      <c r="AU22" s="13">
        <v>5.9</v>
      </c>
      <c r="AV22" s="13">
        <v>5.9</v>
      </c>
      <c r="AW22" s="14">
        <v>0</v>
      </c>
      <c r="AX22" s="14">
        <v>0</v>
      </c>
      <c r="AY22" s="14">
        <v>0</v>
      </c>
    </row>
    <row r="23" spans="1:51" x14ac:dyDescent="0.3">
      <c r="A23" s="9">
        <v>16</v>
      </c>
      <c r="B23" s="9" t="s">
        <v>133</v>
      </c>
      <c r="C23" s="9" t="s">
        <v>134</v>
      </c>
      <c r="D23" s="9" t="s">
        <v>83</v>
      </c>
      <c r="E23" s="10">
        <v>72</v>
      </c>
      <c r="F23" s="10">
        <v>1</v>
      </c>
      <c r="G23" s="10">
        <f t="shared" si="0"/>
        <v>72</v>
      </c>
      <c r="H23" s="10">
        <f t="shared" si="1"/>
        <v>2</v>
      </c>
      <c r="I23" s="9">
        <v>36</v>
      </c>
      <c r="J23" s="9" t="s">
        <v>70</v>
      </c>
      <c r="K23" s="9" t="s">
        <v>84</v>
      </c>
      <c r="L23" s="9">
        <v>2</v>
      </c>
      <c r="M23" s="11">
        <f t="shared" si="2"/>
        <v>1</v>
      </c>
      <c r="N23" s="9" t="s">
        <v>135</v>
      </c>
      <c r="O23" s="12">
        <v>2</v>
      </c>
      <c r="P23" s="13">
        <v>1</v>
      </c>
      <c r="Q23" s="13">
        <v>1</v>
      </c>
      <c r="R23" s="13">
        <v>1</v>
      </c>
      <c r="S23" s="13">
        <v>1</v>
      </c>
      <c r="T23" s="13">
        <v>1</v>
      </c>
      <c r="U23" s="13">
        <v>1</v>
      </c>
      <c r="V23" s="13">
        <v>1</v>
      </c>
      <c r="W23" s="13">
        <v>1</v>
      </c>
      <c r="X23" s="13">
        <v>1</v>
      </c>
      <c r="Y23" s="13">
        <v>1</v>
      </c>
      <c r="Z23" s="13">
        <v>1</v>
      </c>
      <c r="AA23" s="13">
        <v>1</v>
      </c>
      <c r="AB23" s="13">
        <v>1</v>
      </c>
      <c r="AC23" s="13">
        <v>1</v>
      </c>
      <c r="AD23" s="13">
        <v>1</v>
      </c>
      <c r="AE23" s="13">
        <v>1</v>
      </c>
      <c r="AF23" s="13">
        <v>1</v>
      </c>
      <c r="AG23" s="13">
        <v>1</v>
      </c>
      <c r="AH23" s="13">
        <v>1</v>
      </c>
      <c r="AI23" s="13">
        <v>1</v>
      </c>
      <c r="AJ23" s="13">
        <v>1</v>
      </c>
      <c r="AK23" s="13">
        <v>1</v>
      </c>
      <c r="AL23" s="13">
        <v>1</v>
      </c>
      <c r="AM23" s="13">
        <v>1</v>
      </c>
      <c r="AN23" s="13">
        <v>1</v>
      </c>
      <c r="AO23" s="13">
        <v>1</v>
      </c>
      <c r="AP23" s="13">
        <v>1</v>
      </c>
      <c r="AQ23" s="13">
        <v>1</v>
      </c>
      <c r="AR23" s="13">
        <v>1</v>
      </c>
      <c r="AS23" s="13">
        <v>1</v>
      </c>
      <c r="AT23" s="13">
        <v>1</v>
      </c>
      <c r="AU23" s="13">
        <v>1</v>
      </c>
      <c r="AV23" s="13">
        <v>1</v>
      </c>
      <c r="AW23" s="13">
        <v>1</v>
      </c>
      <c r="AX23" s="13">
        <v>1</v>
      </c>
      <c r="AY23" s="13">
        <v>1</v>
      </c>
    </row>
    <row r="24" spans="1:51" x14ac:dyDescent="0.3">
      <c r="A24" s="9">
        <v>17</v>
      </c>
      <c r="B24" s="9" t="s">
        <v>136</v>
      </c>
      <c r="C24" s="9" t="s">
        <v>137</v>
      </c>
      <c r="D24" s="9" t="s">
        <v>83</v>
      </c>
      <c r="E24" s="10">
        <v>72</v>
      </c>
      <c r="F24" s="10">
        <v>1</v>
      </c>
      <c r="G24" s="10">
        <f t="shared" si="0"/>
        <v>72</v>
      </c>
      <c r="H24" s="10">
        <f t="shared" si="1"/>
        <v>2</v>
      </c>
      <c r="I24" s="9">
        <v>36</v>
      </c>
      <c r="J24" s="9" t="s">
        <v>70</v>
      </c>
      <c r="K24" s="9" t="s">
        <v>84</v>
      </c>
      <c r="L24" s="9">
        <v>2</v>
      </c>
      <c r="M24" s="11">
        <f t="shared" si="2"/>
        <v>1</v>
      </c>
      <c r="N24" s="9" t="s">
        <v>138</v>
      </c>
      <c r="O24" s="12">
        <v>4</v>
      </c>
      <c r="P24" s="13">
        <v>1</v>
      </c>
      <c r="Q24" s="13">
        <v>1</v>
      </c>
      <c r="R24" s="13">
        <v>1</v>
      </c>
      <c r="S24" s="13">
        <v>1</v>
      </c>
      <c r="T24" s="13">
        <v>1</v>
      </c>
      <c r="U24" s="13">
        <v>1</v>
      </c>
      <c r="V24" s="13">
        <v>1</v>
      </c>
      <c r="W24" s="13">
        <v>1</v>
      </c>
      <c r="X24" s="13">
        <v>1</v>
      </c>
      <c r="Y24" s="13">
        <v>1</v>
      </c>
      <c r="Z24" s="13">
        <v>1</v>
      </c>
      <c r="AA24" s="13">
        <v>1</v>
      </c>
      <c r="AB24" s="13">
        <v>1</v>
      </c>
      <c r="AC24" s="13">
        <v>1</v>
      </c>
      <c r="AD24" s="13">
        <v>1</v>
      </c>
      <c r="AE24" s="13">
        <v>1</v>
      </c>
      <c r="AF24" s="13">
        <v>1</v>
      </c>
      <c r="AG24" s="13">
        <v>1</v>
      </c>
      <c r="AH24" s="13">
        <v>1</v>
      </c>
      <c r="AI24" s="13">
        <v>1</v>
      </c>
      <c r="AJ24" s="13">
        <v>1</v>
      </c>
      <c r="AK24" s="13">
        <v>1</v>
      </c>
      <c r="AL24" s="13">
        <v>1</v>
      </c>
      <c r="AM24" s="13">
        <v>1</v>
      </c>
      <c r="AN24" s="13">
        <v>1</v>
      </c>
      <c r="AO24" s="13">
        <v>1</v>
      </c>
      <c r="AP24" s="13">
        <v>1</v>
      </c>
      <c r="AQ24" s="13">
        <v>1</v>
      </c>
      <c r="AR24" s="13">
        <v>1</v>
      </c>
      <c r="AS24" s="13">
        <v>1</v>
      </c>
      <c r="AT24" s="13">
        <v>1</v>
      </c>
      <c r="AU24" s="13">
        <v>1</v>
      </c>
      <c r="AV24" s="13">
        <v>1</v>
      </c>
      <c r="AW24" s="13">
        <v>1</v>
      </c>
      <c r="AX24" s="13">
        <v>1</v>
      </c>
      <c r="AY24" s="13">
        <v>1</v>
      </c>
    </row>
    <row r="25" spans="1:51" x14ac:dyDescent="0.3">
      <c r="E25" s="20"/>
      <c r="F25" s="20"/>
      <c r="G25" s="20"/>
      <c r="H25" s="20"/>
      <c r="M25" s="21"/>
      <c r="O25" s="22"/>
    </row>
    <row r="26" spans="1:51" x14ac:dyDescent="0.3">
      <c r="A26" s="23"/>
      <c r="B26" s="23"/>
      <c r="C26" s="24" t="s">
        <v>139</v>
      </c>
      <c r="D26" s="23"/>
      <c r="E26" s="25"/>
      <c r="F26" s="25"/>
      <c r="G26" s="25"/>
      <c r="H26" s="25"/>
      <c r="I26" s="23"/>
      <c r="J26" s="23"/>
      <c r="K26" s="23"/>
      <c r="L26" s="23"/>
      <c r="M26" s="26"/>
      <c r="N26" s="23"/>
      <c r="O26" s="27"/>
      <c r="P26" s="28">
        <v>44</v>
      </c>
      <c r="Q26" s="28">
        <v>44</v>
      </c>
      <c r="R26" s="28">
        <v>64</v>
      </c>
      <c r="S26" s="28">
        <v>80</v>
      </c>
      <c r="T26" s="28">
        <v>125</v>
      </c>
      <c r="U26" s="28">
        <v>185</v>
      </c>
      <c r="V26" s="28">
        <v>241</v>
      </c>
      <c r="W26" s="28">
        <v>241</v>
      </c>
      <c r="X26" s="28">
        <v>259</v>
      </c>
      <c r="Y26" s="28">
        <v>259</v>
      </c>
      <c r="Z26" s="28">
        <v>259</v>
      </c>
      <c r="AA26" s="28">
        <v>259</v>
      </c>
      <c r="AB26" s="28">
        <v>259</v>
      </c>
      <c r="AC26" s="28">
        <v>259</v>
      </c>
      <c r="AD26" s="28">
        <v>251</v>
      </c>
      <c r="AE26" s="28">
        <v>293</v>
      </c>
      <c r="AF26" s="28">
        <v>247</v>
      </c>
      <c r="AG26" s="28">
        <v>247</v>
      </c>
      <c r="AH26" s="28">
        <v>247</v>
      </c>
      <c r="AI26" s="28">
        <v>231</v>
      </c>
      <c r="AJ26" s="28">
        <v>231</v>
      </c>
      <c r="AK26" s="28">
        <v>231</v>
      </c>
      <c r="AL26" s="28">
        <v>231</v>
      </c>
      <c r="AM26" s="28">
        <v>213</v>
      </c>
      <c r="AN26" s="28">
        <v>213</v>
      </c>
      <c r="AO26" s="28">
        <v>213</v>
      </c>
      <c r="AP26" s="28">
        <v>168</v>
      </c>
      <c r="AQ26" s="28">
        <v>108</v>
      </c>
      <c r="AR26" s="28">
        <v>52</v>
      </c>
      <c r="AS26" s="28">
        <v>52</v>
      </c>
      <c r="AT26" s="28">
        <v>52</v>
      </c>
      <c r="AU26" s="28">
        <v>52</v>
      </c>
      <c r="AV26" s="28">
        <v>52</v>
      </c>
      <c r="AW26" s="28">
        <v>10</v>
      </c>
      <c r="AX26" s="28">
        <v>10</v>
      </c>
      <c r="AY26" s="28">
        <v>10</v>
      </c>
    </row>
    <row r="27" spans="1:51" x14ac:dyDescent="0.3">
      <c r="E27" s="20"/>
      <c r="F27" s="20"/>
      <c r="G27" s="20"/>
      <c r="H27" s="20"/>
      <c r="M27" s="21"/>
      <c r="O27" s="22"/>
    </row>
    <row r="28" spans="1:51" x14ac:dyDescent="0.3">
      <c r="C28" s="68" t="s">
        <v>140</v>
      </c>
      <c r="D28" s="69"/>
      <c r="E28" s="70"/>
      <c r="F28" s="70"/>
      <c r="G28" s="70"/>
      <c r="H28" s="70"/>
      <c r="I28" s="69"/>
      <c r="J28" s="69"/>
      <c r="K28" s="69"/>
      <c r="L28" s="69"/>
      <c r="M28" s="71"/>
      <c r="N28" s="29"/>
      <c r="O28" s="30"/>
    </row>
    <row r="29" spans="1:51" x14ac:dyDescent="0.3">
      <c r="A29" s="31" t="s">
        <v>141</v>
      </c>
      <c r="B29" s="31"/>
      <c r="C29" s="31" t="s">
        <v>142</v>
      </c>
      <c r="D29" s="31" t="s">
        <v>12</v>
      </c>
      <c r="E29" s="32" t="s">
        <v>143</v>
      </c>
      <c r="F29" s="32" t="s">
        <v>144</v>
      </c>
      <c r="G29" s="32" t="s">
        <v>145</v>
      </c>
      <c r="H29" s="32"/>
      <c r="I29" s="31"/>
      <c r="J29" s="31"/>
      <c r="K29" s="31"/>
      <c r="L29" s="31"/>
      <c r="M29" s="33"/>
      <c r="N29" s="31"/>
      <c r="O29" s="34"/>
      <c r="P29" s="6" t="s">
        <v>24</v>
      </c>
      <c r="Q29" s="6" t="s">
        <v>25</v>
      </c>
      <c r="R29" s="6" t="s">
        <v>26</v>
      </c>
      <c r="S29" s="6" t="s">
        <v>27</v>
      </c>
      <c r="T29" s="6" t="s">
        <v>28</v>
      </c>
      <c r="U29" s="6" t="s">
        <v>29</v>
      </c>
      <c r="V29" s="6" t="s">
        <v>30</v>
      </c>
      <c r="W29" s="6" t="s">
        <v>31</v>
      </c>
      <c r="X29" s="6" t="s">
        <v>32</v>
      </c>
      <c r="Y29" s="6" t="s">
        <v>33</v>
      </c>
      <c r="Z29" s="6" t="s">
        <v>34</v>
      </c>
      <c r="AA29" s="6" t="s">
        <v>35</v>
      </c>
      <c r="AB29" s="6" t="s">
        <v>36</v>
      </c>
      <c r="AC29" s="6" t="s">
        <v>37</v>
      </c>
      <c r="AD29" s="6" t="s">
        <v>38</v>
      </c>
      <c r="AE29" s="6" t="s">
        <v>39</v>
      </c>
      <c r="AF29" s="6" t="s">
        <v>40</v>
      </c>
      <c r="AG29" s="6" t="s">
        <v>41</v>
      </c>
      <c r="AH29" s="6" t="s">
        <v>42</v>
      </c>
      <c r="AI29" s="6" t="s">
        <v>43</v>
      </c>
      <c r="AJ29" s="6" t="s">
        <v>44</v>
      </c>
      <c r="AK29" s="6" t="s">
        <v>45</v>
      </c>
      <c r="AL29" s="6" t="s">
        <v>46</v>
      </c>
      <c r="AM29" s="6" t="s">
        <v>47</v>
      </c>
      <c r="AN29" s="6" t="s">
        <v>48</v>
      </c>
      <c r="AO29" s="6" t="s">
        <v>49</v>
      </c>
      <c r="AP29" s="6" t="s">
        <v>50</v>
      </c>
      <c r="AQ29" s="6" t="s">
        <v>51</v>
      </c>
      <c r="AR29" s="6" t="s">
        <v>52</v>
      </c>
      <c r="AS29" s="6" t="s">
        <v>53</v>
      </c>
      <c r="AT29" s="6" t="s">
        <v>54</v>
      </c>
      <c r="AU29" s="6" t="s">
        <v>55</v>
      </c>
      <c r="AV29" s="6" t="s">
        <v>56</v>
      </c>
      <c r="AW29" s="6" t="s">
        <v>57</v>
      </c>
      <c r="AX29" s="6" t="s">
        <v>58</v>
      </c>
      <c r="AY29" s="6" t="s">
        <v>59</v>
      </c>
    </row>
    <row r="30" spans="1:51" x14ac:dyDescent="0.3">
      <c r="A30" s="9" t="s">
        <v>146</v>
      </c>
      <c r="B30" s="9"/>
      <c r="C30" s="9" t="s">
        <v>147</v>
      </c>
      <c r="D30" s="9" t="s">
        <v>148</v>
      </c>
      <c r="E30" s="10">
        <v>89.6</v>
      </c>
      <c r="F30" s="10">
        <v>8</v>
      </c>
      <c r="G30" s="10" t="s">
        <v>149</v>
      </c>
      <c r="H30" s="10"/>
      <c r="I30" s="9"/>
      <c r="J30" s="9"/>
      <c r="K30" s="9"/>
      <c r="L30" s="9"/>
      <c r="M30" s="11"/>
      <c r="N30" s="9"/>
      <c r="O30" s="12"/>
      <c r="P30" s="35">
        <v>8</v>
      </c>
      <c r="Q30" s="35">
        <v>8</v>
      </c>
      <c r="R30" s="35">
        <v>8</v>
      </c>
      <c r="S30" s="35">
        <v>8</v>
      </c>
      <c r="T30" s="35">
        <v>8</v>
      </c>
      <c r="U30" s="35">
        <v>8</v>
      </c>
      <c r="V30" s="35">
        <v>8</v>
      </c>
      <c r="W30" s="35">
        <v>8</v>
      </c>
      <c r="X30" s="35">
        <v>8</v>
      </c>
      <c r="Y30" s="35">
        <v>8</v>
      </c>
      <c r="Z30" s="35">
        <v>8</v>
      </c>
      <c r="AA30" s="35">
        <v>8</v>
      </c>
      <c r="AB30" s="35">
        <v>8</v>
      </c>
      <c r="AC30" s="35">
        <v>8</v>
      </c>
      <c r="AD30" s="35">
        <v>8</v>
      </c>
      <c r="AE30" s="35">
        <v>8</v>
      </c>
      <c r="AF30" s="35">
        <v>4</v>
      </c>
      <c r="AG30" s="35">
        <v>4</v>
      </c>
      <c r="AH30" s="35">
        <v>4</v>
      </c>
      <c r="AI30" s="35">
        <v>4</v>
      </c>
      <c r="AJ30" s="35">
        <v>4</v>
      </c>
      <c r="AK30" s="35">
        <v>4</v>
      </c>
      <c r="AL30" s="35">
        <v>4</v>
      </c>
      <c r="AM30" s="35">
        <v>4</v>
      </c>
      <c r="AN30" s="35">
        <v>4</v>
      </c>
      <c r="AO30" s="35">
        <v>4</v>
      </c>
      <c r="AP30" s="35">
        <v>4</v>
      </c>
      <c r="AQ30" s="35">
        <v>4</v>
      </c>
      <c r="AR30" s="35">
        <v>4</v>
      </c>
      <c r="AS30" s="35">
        <v>4</v>
      </c>
      <c r="AT30" s="35">
        <v>4</v>
      </c>
      <c r="AU30" s="35">
        <v>4</v>
      </c>
      <c r="AV30" s="35">
        <v>4</v>
      </c>
      <c r="AW30" s="36">
        <v>0</v>
      </c>
      <c r="AX30" s="36">
        <v>0</v>
      </c>
      <c r="AY30" s="36">
        <v>0</v>
      </c>
    </row>
    <row r="31" spans="1:51" x14ac:dyDescent="0.3">
      <c r="A31" s="9" t="s">
        <v>150</v>
      </c>
      <c r="B31" s="9"/>
      <c r="C31" s="9" t="s">
        <v>80</v>
      </c>
      <c r="D31" s="9" t="s">
        <v>151</v>
      </c>
      <c r="E31" s="10">
        <v>26</v>
      </c>
      <c r="F31" s="10">
        <v>5</v>
      </c>
      <c r="G31" s="10" t="s">
        <v>152</v>
      </c>
      <c r="H31" s="10"/>
      <c r="I31" s="9"/>
      <c r="J31" s="9"/>
      <c r="K31" s="9"/>
      <c r="L31" s="9"/>
      <c r="M31" s="11"/>
      <c r="N31" s="9"/>
      <c r="O31" s="12"/>
      <c r="P31" s="35">
        <v>5</v>
      </c>
      <c r="Q31" s="35">
        <v>5</v>
      </c>
      <c r="R31" s="35">
        <v>5</v>
      </c>
      <c r="S31" s="35">
        <v>5</v>
      </c>
      <c r="T31" s="35">
        <v>5</v>
      </c>
      <c r="U31" s="35">
        <v>5</v>
      </c>
      <c r="V31" s="35">
        <v>5</v>
      </c>
      <c r="W31" s="35">
        <v>5</v>
      </c>
      <c r="X31" s="35">
        <v>5</v>
      </c>
      <c r="Y31" s="35">
        <v>5</v>
      </c>
      <c r="Z31" s="35">
        <v>5</v>
      </c>
      <c r="AA31" s="35">
        <v>5</v>
      </c>
      <c r="AB31" s="35">
        <v>5</v>
      </c>
      <c r="AC31" s="35">
        <v>5</v>
      </c>
      <c r="AD31" s="35">
        <v>5</v>
      </c>
      <c r="AE31" s="35">
        <v>5</v>
      </c>
      <c r="AF31" s="36">
        <v>0</v>
      </c>
      <c r="AG31" s="36">
        <v>0</v>
      </c>
      <c r="AH31" s="36">
        <v>0</v>
      </c>
      <c r="AI31" s="36">
        <v>0</v>
      </c>
      <c r="AJ31" s="36">
        <v>0</v>
      </c>
      <c r="AK31" s="36">
        <v>0</v>
      </c>
      <c r="AL31" s="36">
        <v>0</v>
      </c>
      <c r="AM31" s="36">
        <v>0</v>
      </c>
      <c r="AN31" s="36">
        <v>0</v>
      </c>
      <c r="AO31" s="36">
        <v>0</v>
      </c>
      <c r="AP31" s="36">
        <v>0</v>
      </c>
      <c r="AQ31" s="36">
        <v>0</v>
      </c>
      <c r="AR31" s="36">
        <v>0</v>
      </c>
      <c r="AS31" s="36">
        <v>0</v>
      </c>
      <c r="AT31" s="36">
        <v>0</v>
      </c>
      <c r="AU31" s="36">
        <v>0</v>
      </c>
      <c r="AV31" s="36">
        <v>0</v>
      </c>
      <c r="AW31" s="36">
        <v>0</v>
      </c>
      <c r="AX31" s="36">
        <v>0</v>
      </c>
      <c r="AY31" s="36">
        <v>0</v>
      </c>
    </row>
    <row r="32" spans="1:51" x14ac:dyDescent="0.3">
      <c r="A32" s="9" t="s">
        <v>153</v>
      </c>
      <c r="B32" s="9"/>
      <c r="C32" s="9" t="s">
        <v>154</v>
      </c>
      <c r="D32" s="9" t="s">
        <v>148</v>
      </c>
      <c r="E32" s="10">
        <v>44</v>
      </c>
      <c r="F32" s="10">
        <v>6</v>
      </c>
      <c r="G32" s="10" t="s">
        <v>155</v>
      </c>
      <c r="H32" s="10"/>
      <c r="I32" s="9"/>
      <c r="J32" s="9"/>
      <c r="K32" s="9"/>
      <c r="L32" s="9"/>
      <c r="M32" s="11"/>
      <c r="N32" s="9"/>
      <c r="O32" s="12"/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  <c r="AD32" s="36">
        <v>0</v>
      </c>
      <c r="AE32" s="35">
        <v>6</v>
      </c>
      <c r="AF32" s="35">
        <v>6</v>
      </c>
      <c r="AG32" s="35">
        <v>6</v>
      </c>
      <c r="AH32" s="35">
        <v>6</v>
      </c>
      <c r="AI32" s="35">
        <v>6</v>
      </c>
      <c r="AJ32" s="35">
        <v>6</v>
      </c>
      <c r="AK32" s="35">
        <v>6</v>
      </c>
      <c r="AL32" s="35">
        <v>6</v>
      </c>
      <c r="AM32" s="35">
        <v>6</v>
      </c>
      <c r="AN32" s="35">
        <v>6</v>
      </c>
      <c r="AO32" s="35">
        <v>6</v>
      </c>
      <c r="AP32" s="35">
        <v>6</v>
      </c>
      <c r="AQ32" s="35">
        <v>6</v>
      </c>
      <c r="AR32" s="35">
        <v>6</v>
      </c>
      <c r="AS32" s="35">
        <v>6</v>
      </c>
      <c r="AT32" s="35">
        <v>6</v>
      </c>
      <c r="AU32" s="35">
        <v>6</v>
      </c>
      <c r="AV32" s="35">
        <v>6</v>
      </c>
      <c r="AW32" s="36">
        <v>0</v>
      </c>
      <c r="AX32" s="36">
        <v>0</v>
      </c>
      <c r="AY32" s="36">
        <v>0</v>
      </c>
    </row>
    <row r="33" spans="1:51" x14ac:dyDescent="0.3">
      <c r="A33" s="9" t="s">
        <v>156</v>
      </c>
      <c r="B33" s="9"/>
      <c r="C33" s="9" t="s">
        <v>157</v>
      </c>
      <c r="D33" s="9" t="s">
        <v>148</v>
      </c>
      <c r="E33" s="10">
        <v>124</v>
      </c>
      <c r="F33" s="10">
        <v>2</v>
      </c>
      <c r="G33" s="10" t="s">
        <v>158</v>
      </c>
      <c r="H33" s="10"/>
      <c r="I33" s="9"/>
      <c r="J33" s="9"/>
      <c r="K33" s="9"/>
      <c r="L33" s="9"/>
      <c r="M33" s="11"/>
      <c r="N33" s="9"/>
      <c r="O33" s="12"/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35">
        <v>2</v>
      </c>
      <c r="AF33" s="35">
        <v>2</v>
      </c>
      <c r="AG33" s="35">
        <v>2</v>
      </c>
      <c r="AH33" s="35">
        <v>2</v>
      </c>
      <c r="AI33" s="35">
        <v>2</v>
      </c>
      <c r="AJ33" s="35">
        <v>2</v>
      </c>
      <c r="AK33" s="35">
        <v>2</v>
      </c>
      <c r="AL33" s="35">
        <v>2</v>
      </c>
      <c r="AM33" s="35">
        <v>2</v>
      </c>
      <c r="AN33" s="35">
        <v>2</v>
      </c>
      <c r="AO33" s="35">
        <v>2</v>
      </c>
      <c r="AP33" s="35">
        <v>2</v>
      </c>
      <c r="AQ33" s="35">
        <v>2</v>
      </c>
      <c r="AR33" s="35">
        <v>2</v>
      </c>
      <c r="AS33" s="35">
        <v>2</v>
      </c>
      <c r="AT33" s="35">
        <v>2</v>
      </c>
      <c r="AU33" s="35">
        <v>2</v>
      </c>
      <c r="AV33" s="35">
        <v>2</v>
      </c>
      <c r="AW33" s="36">
        <v>0</v>
      </c>
      <c r="AX33" s="36">
        <v>0</v>
      </c>
      <c r="AY33" s="36">
        <v>0</v>
      </c>
    </row>
    <row r="34" spans="1:51" x14ac:dyDescent="0.3">
      <c r="A34" s="9" t="s">
        <v>159</v>
      </c>
      <c r="B34" s="9"/>
      <c r="C34" s="9" t="s">
        <v>160</v>
      </c>
      <c r="D34" s="9" t="s">
        <v>148</v>
      </c>
      <c r="E34" s="10">
        <v>28</v>
      </c>
      <c r="F34" s="10">
        <v>3</v>
      </c>
      <c r="G34" s="10" t="s">
        <v>161</v>
      </c>
      <c r="H34" s="10"/>
      <c r="I34" s="9"/>
      <c r="J34" s="9"/>
      <c r="K34" s="9"/>
      <c r="L34" s="9"/>
      <c r="M34" s="11"/>
      <c r="N34" s="9"/>
      <c r="O34" s="12"/>
      <c r="P34" s="36">
        <v>0</v>
      </c>
      <c r="Q34" s="36">
        <v>0</v>
      </c>
      <c r="R34" s="36">
        <v>0</v>
      </c>
      <c r="S34" s="36">
        <v>0</v>
      </c>
      <c r="T34" s="35">
        <v>3</v>
      </c>
      <c r="U34" s="35">
        <v>3</v>
      </c>
      <c r="V34" s="35">
        <v>3</v>
      </c>
      <c r="W34" s="35">
        <v>3</v>
      </c>
      <c r="X34" s="35">
        <v>3</v>
      </c>
      <c r="Y34" s="35">
        <v>3</v>
      </c>
      <c r="Z34" s="35">
        <v>3</v>
      </c>
      <c r="AA34" s="35">
        <v>3</v>
      </c>
      <c r="AB34" s="35">
        <v>3</v>
      </c>
      <c r="AC34" s="35">
        <v>3</v>
      </c>
      <c r="AD34" s="35">
        <v>3</v>
      </c>
      <c r="AE34" s="35">
        <v>3</v>
      </c>
      <c r="AF34" s="35">
        <v>3</v>
      </c>
      <c r="AG34" s="35">
        <v>3</v>
      </c>
      <c r="AH34" s="35">
        <v>3</v>
      </c>
      <c r="AI34" s="35">
        <v>3</v>
      </c>
      <c r="AJ34" s="35">
        <v>3</v>
      </c>
      <c r="AK34" s="35">
        <v>3</v>
      </c>
      <c r="AL34" s="35">
        <v>3</v>
      </c>
      <c r="AM34" s="35">
        <v>3</v>
      </c>
      <c r="AN34" s="35">
        <v>3</v>
      </c>
      <c r="AO34" s="35">
        <v>3</v>
      </c>
      <c r="AP34" s="35">
        <v>3</v>
      </c>
      <c r="AQ34" s="36">
        <v>0</v>
      </c>
      <c r="AR34" s="36">
        <v>0</v>
      </c>
      <c r="AS34" s="36">
        <v>0</v>
      </c>
      <c r="AT34" s="36">
        <v>0</v>
      </c>
      <c r="AU34" s="36">
        <v>0</v>
      </c>
      <c r="AV34" s="36">
        <v>0</v>
      </c>
      <c r="AW34" s="36">
        <v>0</v>
      </c>
      <c r="AX34" s="36">
        <v>0</v>
      </c>
      <c r="AY34" s="36">
        <v>0</v>
      </c>
    </row>
    <row r="35" spans="1:51" x14ac:dyDescent="0.3">
      <c r="A35" s="9" t="s">
        <v>162</v>
      </c>
      <c r="B35" s="9"/>
      <c r="C35" s="9" t="s">
        <v>163</v>
      </c>
      <c r="D35" s="9" t="s">
        <v>148</v>
      </c>
      <c r="E35" s="10">
        <v>65</v>
      </c>
      <c r="F35" s="10">
        <v>2</v>
      </c>
      <c r="G35" s="10" t="s">
        <v>164</v>
      </c>
      <c r="H35" s="10"/>
      <c r="I35" s="9"/>
      <c r="J35" s="9"/>
      <c r="K35" s="9"/>
      <c r="L35" s="9"/>
      <c r="M35" s="11"/>
      <c r="N35" s="9"/>
      <c r="O35" s="12"/>
      <c r="P35" s="36">
        <v>0</v>
      </c>
      <c r="Q35" s="36">
        <v>0</v>
      </c>
      <c r="R35" s="36">
        <v>0</v>
      </c>
      <c r="S35" s="36">
        <v>0</v>
      </c>
      <c r="T35" s="36">
        <v>0</v>
      </c>
      <c r="U35" s="36">
        <v>0</v>
      </c>
      <c r="V35" s="35">
        <v>2</v>
      </c>
      <c r="W35" s="35">
        <v>2</v>
      </c>
      <c r="X35" s="35">
        <v>2</v>
      </c>
      <c r="Y35" s="35">
        <v>2</v>
      </c>
      <c r="Z35" s="35">
        <v>2</v>
      </c>
      <c r="AA35" s="35">
        <v>2</v>
      </c>
      <c r="AB35" s="35">
        <v>2</v>
      </c>
      <c r="AC35" s="35">
        <v>2</v>
      </c>
      <c r="AD35" s="35">
        <v>2</v>
      </c>
      <c r="AE35" s="35">
        <v>2</v>
      </c>
      <c r="AF35" s="35">
        <v>2</v>
      </c>
      <c r="AG35" s="35">
        <v>2</v>
      </c>
      <c r="AH35" s="35">
        <v>2</v>
      </c>
      <c r="AI35" s="35">
        <v>2</v>
      </c>
      <c r="AJ35" s="35">
        <v>2</v>
      </c>
      <c r="AK35" s="35">
        <v>2</v>
      </c>
      <c r="AL35" s="35">
        <v>2</v>
      </c>
      <c r="AM35" s="35">
        <v>2</v>
      </c>
      <c r="AN35" s="35">
        <v>2</v>
      </c>
      <c r="AO35" s="35">
        <v>2</v>
      </c>
      <c r="AP35" s="35">
        <v>2</v>
      </c>
      <c r="AQ35" s="35">
        <v>2</v>
      </c>
      <c r="AR35" s="36">
        <v>0</v>
      </c>
      <c r="AS35" s="36">
        <v>0</v>
      </c>
      <c r="AT35" s="36">
        <v>0</v>
      </c>
      <c r="AU35" s="36">
        <v>0</v>
      </c>
      <c r="AV35" s="36">
        <v>0</v>
      </c>
      <c r="AW35" s="36">
        <v>0</v>
      </c>
      <c r="AX35" s="36">
        <v>0</v>
      </c>
      <c r="AY35" s="36">
        <v>0</v>
      </c>
    </row>
    <row r="36" spans="1:51" x14ac:dyDescent="0.3">
      <c r="A36" s="9" t="s">
        <v>165</v>
      </c>
      <c r="B36" s="9"/>
      <c r="C36" s="9" t="s">
        <v>166</v>
      </c>
      <c r="D36" s="9" t="s">
        <v>151</v>
      </c>
      <c r="E36" s="10">
        <v>42</v>
      </c>
      <c r="F36" s="10">
        <v>6</v>
      </c>
      <c r="G36" s="10" t="s">
        <v>167</v>
      </c>
      <c r="H36" s="10"/>
      <c r="I36" s="9"/>
      <c r="J36" s="9"/>
      <c r="K36" s="9"/>
      <c r="L36" s="9"/>
      <c r="M36" s="11"/>
      <c r="N36" s="9"/>
      <c r="O36" s="12"/>
      <c r="P36" s="36">
        <v>0</v>
      </c>
      <c r="Q36" s="36">
        <v>0</v>
      </c>
      <c r="R36" s="36">
        <v>0</v>
      </c>
      <c r="S36" s="36">
        <v>0</v>
      </c>
      <c r="T36" s="36">
        <v>0</v>
      </c>
      <c r="U36" s="36">
        <v>0</v>
      </c>
      <c r="V36" s="35">
        <v>6</v>
      </c>
      <c r="W36" s="35">
        <v>6</v>
      </c>
      <c r="X36" s="35">
        <v>6</v>
      </c>
      <c r="Y36" s="35">
        <v>6</v>
      </c>
      <c r="Z36" s="35">
        <v>6</v>
      </c>
      <c r="AA36" s="35">
        <v>6</v>
      </c>
      <c r="AB36" s="35">
        <v>6</v>
      </c>
      <c r="AC36" s="35">
        <v>6</v>
      </c>
      <c r="AD36" s="35">
        <v>6</v>
      </c>
      <c r="AE36" s="35">
        <v>6</v>
      </c>
      <c r="AF36" s="35">
        <v>6</v>
      </c>
      <c r="AG36" s="35">
        <v>6</v>
      </c>
      <c r="AH36" s="35">
        <v>6</v>
      </c>
      <c r="AI36" s="35">
        <v>6</v>
      </c>
      <c r="AJ36" s="35">
        <v>6</v>
      </c>
      <c r="AK36" s="35">
        <v>6</v>
      </c>
      <c r="AL36" s="35">
        <v>6</v>
      </c>
      <c r="AM36" s="35">
        <v>6</v>
      </c>
      <c r="AN36" s="35">
        <v>6</v>
      </c>
      <c r="AO36" s="35">
        <v>6</v>
      </c>
      <c r="AP36" s="35">
        <v>6</v>
      </c>
      <c r="AQ36" s="35">
        <v>6</v>
      </c>
      <c r="AR36" s="36">
        <v>0</v>
      </c>
      <c r="AS36" s="36">
        <v>0</v>
      </c>
      <c r="AT36" s="36">
        <v>0</v>
      </c>
      <c r="AU36" s="36">
        <v>0</v>
      </c>
      <c r="AV36" s="36">
        <v>0</v>
      </c>
      <c r="AW36" s="36">
        <v>0</v>
      </c>
      <c r="AX36" s="36">
        <v>0</v>
      </c>
      <c r="AY36" s="36">
        <v>0</v>
      </c>
    </row>
    <row r="37" spans="1:51" x14ac:dyDescent="0.3">
      <c r="A37" s="9" t="s">
        <v>168</v>
      </c>
      <c r="B37" s="9"/>
      <c r="C37" s="9" t="s">
        <v>169</v>
      </c>
      <c r="D37" s="9" t="s">
        <v>148</v>
      </c>
      <c r="E37" s="10">
        <v>64</v>
      </c>
      <c r="F37" s="10">
        <v>1</v>
      </c>
      <c r="G37" s="10" t="s">
        <v>170</v>
      </c>
      <c r="H37" s="10"/>
      <c r="I37" s="9"/>
      <c r="J37" s="9"/>
      <c r="K37" s="9"/>
      <c r="L37" s="9"/>
      <c r="M37" s="11"/>
      <c r="N37" s="9"/>
      <c r="O37" s="12"/>
      <c r="P37" s="36">
        <v>0</v>
      </c>
      <c r="Q37" s="36">
        <v>0</v>
      </c>
      <c r="R37" s="36">
        <v>0</v>
      </c>
      <c r="S37" s="36">
        <v>0</v>
      </c>
      <c r="T37" s="36">
        <v>0</v>
      </c>
      <c r="U37" s="36">
        <v>0</v>
      </c>
      <c r="V37" s="35">
        <v>1</v>
      </c>
      <c r="W37" s="35">
        <v>1</v>
      </c>
      <c r="X37" s="35">
        <v>1</v>
      </c>
      <c r="Y37" s="35">
        <v>1</v>
      </c>
      <c r="Z37" s="35">
        <v>1</v>
      </c>
      <c r="AA37" s="35">
        <v>1</v>
      </c>
      <c r="AB37" s="35">
        <v>1</v>
      </c>
      <c r="AC37" s="35">
        <v>1</v>
      </c>
      <c r="AD37" s="35">
        <v>1</v>
      </c>
      <c r="AE37" s="35">
        <v>1</v>
      </c>
      <c r="AF37" s="35">
        <v>1</v>
      </c>
      <c r="AG37" s="35">
        <v>1</v>
      </c>
      <c r="AH37" s="35">
        <v>1</v>
      </c>
      <c r="AI37" s="35">
        <v>1</v>
      </c>
      <c r="AJ37" s="35">
        <v>1</v>
      </c>
      <c r="AK37" s="35">
        <v>1</v>
      </c>
      <c r="AL37" s="35">
        <v>1</v>
      </c>
      <c r="AM37" s="35">
        <v>1</v>
      </c>
      <c r="AN37" s="35">
        <v>1</v>
      </c>
      <c r="AO37" s="35">
        <v>1</v>
      </c>
      <c r="AP37" s="35">
        <v>1</v>
      </c>
      <c r="AQ37" s="35">
        <v>1</v>
      </c>
      <c r="AR37" s="36">
        <v>0</v>
      </c>
      <c r="AS37" s="36">
        <v>0</v>
      </c>
      <c r="AT37" s="36">
        <v>0</v>
      </c>
      <c r="AU37" s="36">
        <v>0</v>
      </c>
      <c r="AV37" s="36">
        <v>0</v>
      </c>
      <c r="AW37" s="36">
        <v>0</v>
      </c>
      <c r="AX37" s="36">
        <v>0</v>
      </c>
      <c r="AY37" s="36">
        <v>0</v>
      </c>
    </row>
    <row r="38" spans="1:51" x14ac:dyDescent="0.3">
      <c r="A38" s="9" t="s">
        <v>171</v>
      </c>
      <c r="B38" s="9"/>
      <c r="C38" s="9" t="s">
        <v>172</v>
      </c>
      <c r="D38" s="9" t="s">
        <v>148</v>
      </c>
      <c r="E38" s="10">
        <v>14</v>
      </c>
      <c r="F38" s="10">
        <v>2</v>
      </c>
      <c r="G38" s="10" t="s">
        <v>173</v>
      </c>
      <c r="H38" s="10"/>
      <c r="I38" s="9"/>
      <c r="J38" s="9"/>
      <c r="K38" s="9"/>
      <c r="L38" s="9"/>
      <c r="M38" s="11"/>
      <c r="N38" s="9"/>
      <c r="O38" s="12"/>
      <c r="P38" s="35">
        <v>2</v>
      </c>
      <c r="Q38" s="35">
        <v>2</v>
      </c>
      <c r="R38" s="35">
        <v>2</v>
      </c>
      <c r="S38" s="35">
        <v>2</v>
      </c>
      <c r="T38" s="35">
        <v>2</v>
      </c>
      <c r="U38" s="35">
        <v>2</v>
      </c>
      <c r="V38" s="35">
        <v>2</v>
      </c>
      <c r="W38" s="35">
        <v>2</v>
      </c>
      <c r="X38" s="35">
        <v>2</v>
      </c>
      <c r="Y38" s="35">
        <v>2</v>
      </c>
      <c r="Z38" s="35">
        <v>2</v>
      </c>
      <c r="AA38" s="35">
        <v>2</v>
      </c>
      <c r="AB38" s="35">
        <v>2</v>
      </c>
      <c r="AC38" s="35">
        <v>2</v>
      </c>
      <c r="AD38" s="35">
        <v>2</v>
      </c>
      <c r="AE38" s="35">
        <v>2</v>
      </c>
      <c r="AF38" s="35">
        <v>2</v>
      </c>
      <c r="AG38" s="35">
        <v>2</v>
      </c>
      <c r="AH38" s="35">
        <v>2</v>
      </c>
      <c r="AI38" s="35">
        <v>2</v>
      </c>
      <c r="AJ38" s="35">
        <v>2</v>
      </c>
      <c r="AK38" s="35">
        <v>2</v>
      </c>
      <c r="AL38" s="35">
        <v>2</v>
      </c>
      <c r="AM38" s="35">
        <v>2</v>
      </c>
      <c r="AN38" s="35">
        <v>2</v>
      </c>
      <c r="AO38" s="35">
        <v>2</v>
      </c>
      <c r="AP38" s="35">
        <v>2</v>
      </c>
      <c r="AQ38" s="35">
        <v>2</v>
      </c>
      <c r="AR38" s="35">
        <v>2</v>
      </c>
      <c r="AS38" s="35">
        <v>2</v>
      </c>
      <c r="AT38" s="35">
        <v>2</v>
      </c>
      <c r="AU38" s="35">
        <v>2</v>
      </c>
      <c r="AV38" s="35">
        <v>2</v>
      </c>
      <c r="AW38" s="35">
        <v>2</v>
      </c>
      <c r="AX38" s="35">
        <v>2</v>
      </c>
      <c r="AY38" s="35">
        <v>2</v>
      </c>
    </row>
    <row r="39" spans="1:51" x14ac:dyDescent="0.3">
      <c r="A39" s="9" t="s">
        <v>174</v>
      </c>
      <c r="B39" s="9"/>
      <c r="C39" s="9" t="s">
        <v>175</v>
      </c>
      <c r="D39" s="9" t="s">
        <v>151</v>
      </c>
      <c r="E39" s="10">
        <v>44</v>
      </c>
      <c r="F39" s="10">
        <v>1</v>
      </c>
      <c r="G39" s="10" t="s">
        <v>176</v>
      </c>
      <c r="H39" s="10"/>
      <c r="I39" s="9"/>
      <c r="J39" s="9"/>
      <c r="K39" s="9"/>
      <c r="L39" s="9"/>
      <c r="M39" s="11"/>
      <c r="N39" s="9"/>
      <c r="O39" s="12"/>
      <c r="P39" s="35">
        <v>1</v>
      </c>
      <c r="Q39" s="35">
        <v>1</v>
      </c>
      <c r="R39" s="35">
        <v>1</v>
      </c>
      <c r="S39" s="35">
        <v>1</v>
      </c>
      <c r="T39" s="35">
        <v>1</v>
      </c>
      <c r="U39" s="35">
        <v>1</v>
      </c>
      <c r="V39" s="35">
        <v>1</v>
      </c>
      <c r="W39" s="35">
        <v>1</v>
      </c>
      <c r="X39" s="35">
        <v>1</v>
      </c>
      <c r="Y39" s="35">
        <v>1</v>
      </c>
      <c r="Z39" s="35">
        <v>1</v>
      </c>
      <c r="AA39" s="35">
        <v>1</v>
      </c>
      <c r="AB39" s="35">
        <v>1</v>
      </c>
      <c r="AC39" s="35">
        <v>1</v>
      </c>
      <c r="AD39" s="35">
        <v>1</v>
      </c>
      <c r="AE39" s="35">
        <v>1</v>
      </c>
      <c r="AF39" s="35">
        <v>1</v>
      </c>
      <c r="AG39" s="35">
        <v>1</v>
      </c>
      <c r="AH39" s="35">
        <v>1</v>
      </c>
      <c r="AI39" s="35">
        <v>1</v>
      </c>
      <c r="AJ39" s="35">
        <v>1</v>
      </c>
      <c r="AK39" s="35">
        <v>1</v>
      </c>
      <c r="AL39" s="35">
        <v>1</v>
      </c>
      <c r="AM39" s="35">
        <v>1</v>
      </c>
      <c r="AN39" s="35">
        <v>1</v>
      </c>
      <c r="AO39" s="35">
        <v>1</v>
      </c>
      <c r="AP39" s="35">
        <v>1</v>
      </c>
      <c r="AQ39" s="35">
        <v>1</v>
      </c>
      <c r="AR39" s="35">
        <v>1</v>
      </c>
      <c r="AS39" s="35">
        <v>1</v>
      </c>
      <c r="AT39" s="35">
        <v>1</v>
      </c>
      <c r="AU39" s="35">
        <v>1</v>
      </c>
      <c r="AV39" s="35">
        <v>1</v>
      </c>
      <c r="AW39" s="35">
        <v>1</v>
      </c>
      <c r="AX39" s="35">
        <v>1</v>
      </c>
      <c r="AY39" s="35">
        <v>1</v>
      </c>
    </row>
    <row r="40" spans="1:51" x14ac:dyDescent="0.3">
      <c r="A40" s="9" t="s">
        <v>177</v>
      </c>
      <c r="B40" s="9"/>
      <c r="C40" s="9" t="s">
        <v>178</v>
      </c>
      <c r="D40" s="9" t="s">
        <v>148</v>
      </c>
      <c r="E40" s="10">
        <v>28</v>
      </c>
      <c r="F40" s="10">
        <v>2</v>
      </c>
      <c r="G40" s="10" t="s">
        <v>179</v>
      </c>
      <c r="H40" s="10"/>
      <c r="I40" s="9"/>
      <c r="J40" s="9"/>
      <c r="K40" s="9"/>
      <c r="L40" s="9"/>
      <c r="M40" s="11"/>
      <c r="N40" s="9"/>
      <c r="O40" s="12"/>
      <c r="P40" s="35">
        <v>2</v>
      </c>
      <c r="Q40" s="35">
        <v>2</v>
      </c>
      <c r="R40" s="35">
        <v>2</v>
      </c>
      <c r="S40" s="35">
        <v>2</v>
      </c>
      <c r="T40" s="35">
        <v>2</v>
      </c>
      <c r="U40" s="35">
        <v>2</v>
      </c>
      <c r="V40" s="35">
        <v>2</v>
      </c>
      <c r="W40" s="35">
        <v>2</v>
      </c>
      <c r="X40" s="35">
        <v>2</v>
      </c>
      <c r="Y40" s="35">
        <v>2</v>
      </c>
      <c r="Z40" s="35">
        <v>2</v>
      </c>
      <c r="AA40" s="35">
        <v>2</v>
      </c>
      <c r="AB40" s="35">
        <v>2</v>
      </c>
      <c r="AC40" s="35">
        <v>2</v>
      </c>
      <c r="AD40" s="35">
        <v>2</v>
      </c>
      <c r="AE40" s="35">
        <v>2</v>
      </c>
      <c r="AF40" s="35">
        <v>2</v>
      </c>
      <c r="AG40" s="35">
        <v>2</v>
      </c>
      <c r="AH40" s="35">
        <v>2</v>
      </c>
      <c r="AI40" s="35">
        <v>2</v>
      </c>
      <c r="AJ40" s="35">
        <v>2</v>
      </c>
      <c r="AK40" s="35">
        <v>2</v>
      </c>
      <c r="AL40" s="35">
        <v>2</v>
      </c>
      <c r="AM40" s="35">
        <v>2</v>
      </c>
      <c r="AN40" s="35">
        <v>2</v>
      </c>
      <c r="AO40" s="35">
        <v>2</v>
      </c>
      <c r="AP40" s="35">
        <v>2</v>
      </c>
      <c r="AQ40" s="35">
        <v>2</v>
      </c>
      <c r="AR40" s="35">
        <v>2</v>
      </c>
      <c r="AS40" s="35">
        <v>2</v>
      </c>
      <c r="AT40" s="35">
        <v>2</v>
      </c>
      <c r="AU40" s="35">
        <v>2</v>
      </c>
      <c r="AV40" s="35">
        <v>2</v>
      </c>
      <c r="AW40" s="35">
        <v>2</v>
      </c>
      <c r="AX40" s="35">
        <v>2</v>
      </c>
      <c r="AY40" s="35">
        <v>2</v>
      </c>
    </row>
    <row r="41" spans="1:51" x14ac:dyDescent="0.3">
      <c r="E41" s="20"/>
      <c r="F41" s="20"/>
      <c r="G41" s="20"/>
      <c r="H41" s="20"/>
      <c r="M41" s="21"/>
      <c r="O41" s="22"/>
    </row>
    <row r="42" spans="1:51" x14ac:dyDescent="0.3">
      <c r="C42" s="61" t="s">
        <v>180</v>
      </c>
      <c r="D42" s="62"/>
      <c r="E42" s="63"/>
      <c r="F42" s="63"/>
      <c r="G42" s="63"/>
      <c r="H42" s="63"/>
      <c r="I42" s="62"/>
      <c r="J42" s="62"/>
      <c r="K42" s="62"/>
      <c r="L42" s="62"/>
      <c r="M42" s="64"/>
      <c r="N42" s="37"/>
      <c r="O42" s="38"/>
    </row>
    <row r="43" spans="1:51" x14ac:dyDescent="0.3">
      <c r="A43" s="39"/>
      <c r="B43" s="39"/>
      <c r="C43" s="40" t="s">
        <v>181</v>
      </c>
      <c r="D43" s="39"/>
      <c r="E43" s="41"/>
      <c r="F43" s="41"/>
      <c r="G43" s="41"/>
      <c r="H43" s="41"/>
      <c r="I43" s="39"/>
      <c r="J43" s="39"/>
      <c r="K43" s="39"/>
      <c r="L43" s="39"/>
      <c r="M43" s="42"/>
      <c r="N43" s="39"/>
      <c r="O43" s="43"/>
      <c r="P43" s="44">
        <f t="shared" ref="P43:AY43" si="3">SUM(P44:P54)</f>
        <v>1949.6</v>
      </c>
      <c r="Q43" s="44">
        <f t="shared" si="3"/>
        <v>1949.6</v>
      </c>
      <c r="R43" s="44">
        <f t="shared" si="3"/>
        <v>1949.6</v>
      </c>
      <c r="S43" s="44">
        <f t="shared" si="3"/>
        <v>1949.6</v>
      </c>
      <c r="T43" s="44">
        <f t="shared" si="3"/>
        <v>2117.6</v>
      </c>
      <c r="U43" s="44">
        <f t="shared" si="3"/>
        <v>2117.6</v>
      </c>
      <c r="V43" s="44">
        <f t="shared" si="3"/>
        <v>3009.6</v>
      </c>
      <c r="W43" s="44">
        <f t="shared" si="3"/>
        <v>3009.6</v>
      </c>
      <c r="X43" s="44">
        <f t="shared" si="3"/>
        <v>3009.6</v>
      </c>
      <c r="Y43" s="44">
        <f t="shared" si="3"/>
        <v>3009.6</v>
      </c>
      <c r="Z43" s="44">
        <f t="shared" si="3"/>
        <v>3009.6</v>
      </c>
      <c r="AA43" s="44">
        <f t="shared" si="3"/>
        <v>3009.6</v>
      </c>
      <c r="AB43" s="44">
        <f t="shared" si="3"/>
        <v>3009.6</v>
      </c>
      <c r="AC43" s="44">
        <f t="shared" si="3"/>
        <v>3009.6</v>
      </c>
      <c r="AD43" s="44">
        <f t="shared" si="3"/>
        <v>3009.6</v>
      </c>
      <c r="AE43" s="44">
        <f t="shared" si="3"/>
        <v>4033.6</v>
      </c>
      <c r="AF43" s="44">
        <f t="shared" si="3"/>
        <v>3056.8</v>
      </c>
      <c r="AG43" s="44">
        <f t="shared" si="3"/>
        <v>3056.8</v>
      </c>
      <c r="AH43" s="44">
        <f t="shared" si="3"/>
        <v>3056.8</v>
      </c>
      <c r="AI43" s="44">
        <f t="shared" si="3"/>
        <v>3056.8</v>
      </c>
      <c r="AJ43" s="44">
        <f t="shared" si="3"/>
        <v>3056.8</v>
      </c>
      <c r="AK43" s="44">
        <f t="shared" si="3"/>
        <v>3056.8</v>
      </c>
      <c r="AL43" s="44">
        <f t="shared" si="3"/>
        <v>3056.8</v>
      </c>
      <c r="AM43" s="44">
        <f t="shared" si="3"/>
        <v>3056.8</v>
      </c>
      <c r="AN43" s="44">
        <f t="shared" si="3"/>
        <v>3056.8</v>
      </c>
      <c r="AO43" s="44">
        <f t="shared" si="3"/>
        <v>3056.8</v>
      </c>
      <c r="AP43" s="44">
        <f t="shared" si="3"/>
        <v>3056.8</v>
      </c>
      <c r="AQ43" s="44">
        <f t="shared" si="3"/>
        <v>2888.8</v>
      </c>
      <c r="AR43" s="44">
        <f t="shared" si="3"/>
        <v>1996.8</v>
      </c>
      <c r="AS43" s="44">
        <f t="shared" si="3"/>
        <v>1996.8</v>
      </c>
      <c r="AT43" s="44">
        <f t="shared" si="3"/>
        <v>1996.8</v>
      </c>
      <c r="AU43" s="44">
        <f t="shared" si="3"/>
        <v>1996.8</v>
      </c>
      <c r="AV43" s="44">
        <f t="shared" si="3"/>
        <v>1996.8</v>
      </c>
      <c r="AW43" s="44">
        <f t="shared" si="3"/>
        <v>256</v>
      </c>
      <c r="AX43" s="44">
        <f t="shared" si="3"/>
        <v>256</v>
      </c>
      <c r="AY43" s="44">
        <f t="shared" si="3"/>
        <v>256</v>
      </c>
    </row>
    <row r="44" spans="1:51" x14ac:dyDescent="0.3">
      <c r="A44" s="45" t="s">
        <v>146</v>
      </c>
      <c r="B44" s="45"/>
      <c r="C44" s="45" t="s">
        <v>182</v>
      </c>
      <c r="D44" s="45" t="s">
        <v>183</v>
      </c>
      <c r="E44" s="46">
        <v>89.6</v>
      </c>
      <c r="F44" s="46"/>
      <c r="G44" s="46"/>
      <c r="H44" s="46"/>
      <c r="I44" s="45"/>
      <c r="J44" s="45"/>
      <c r="K44" s="45"/>
      <c r="L44" s="45"/>
      <c r="M44" s="47"/>
      <c r="N44" s="45"/>
      <c r="O44" s="48"/>
      <c r="P44" s="49">
        <f t="shared" ref="P44:AY44" si="4">P30*$E44*2</f>
        <v>1433.6</v>
      </c>
      <c r="Q44" s="49">
        <f t="shared" si="4"/>
        <v>1433.6</v>
      </c>
      <c r="R44" s="49">
        <f t="shared" si="4"/>
        <v>1433.6</v>
      </c>
      <c r="S44" s="49">
        <f t="shared" si="4"/>
        <v>1433.6</v>
      </c>
      <c r="T44" s="49">
        <f t="shared" si="4"/>
        <v>1433.6</v>
      </c>
      <c r="U44" s="49">
        <f t="shared" si="4"/>
        <v>1433.6</v>
      </c>
      <c r="V44" s="49">
        <f t="shared" si="4"/>
        <v>1433.6</v>
      </c>
      <c r="W44" s="49">
        <f t="shared" si="4"/>
        <v>1433.6</v>
      </c>
      <c r="X44" s="49">
        <f t="shared" si="4"/>
        <v>1433.6</v>
      </c>
      <c r="Y44" s="49">
        <f t="shared" si="4"/>
        <v>1433.6</v>
      </c>
      <c r="Z44" s="49">
        <f t="shared" si="4"/>
        <v>1433.6</v>
      </c>
      <c r="AA44" s="49">
        <f t="shared" si="4"/>
        <v>1433.6</v>
      </c>
      <c r="AB44" s="49">
        <f t="shared" si="4"/>
        <v>1433.6</v>
      </c>
      <c r="AC44" s="49">
        <f t="shared" si="4"/>
        <v>1433.6</v>
      </c>
      <c r="AD44" s="49">
        <f t="shared" si="4"/>
        <v>1433.6</v>
      </c>
      <c r="AE44" s="49">
        <f t="shared" si="4"/>
        <v>1433.6</v>
      </c>
      <c r="AF44" s="49">
        <f t="shared" si="4"/>
        <v>716.8</v>
      </c>
      <c r="AG44" s="49">
        <f t="shared" si="4"/>
        <v>716.8</v>
      </c>
      <c r="AH44" s="49">
        <f t="shared" si="4"/>
        <v>716.8</v>
      </c>
      <c r="AI44" s="49">
        <f t="shared" si="4"/>
        <v>716.8</v>
      </c>
      <c r="AJ44" s="49">
        <f t="shared" si="4"/>
        <v>716.8</v>
      </c>
      <c r="AK44" s="49">
        <f t="shared" si="4"/>
        <v>716.8</v>
      </c>
      <c r="AL44" s="49">
        <f t="shared" si="4"/>
        <v>716.8</v>
      </c>
      <c r="AM44" s="49">
        <f t="shared" si="4"/>
        <v>716.8</v>
      </c>
      <c r="AN44" s="49">
        <f t="shared" si="4"/>
        <v>716.8</v>
      </c>
      <c r="AO44" s="49">
        <f t="shared" si="4"/>
        <v>716.8</v>
      </c>
      <c r="AP44" s="49">
        <f t="shared" si="4"/>
        <v>716.8</v>
      </c>
      <c r="AQ44" s="49">
        <f t="shared" si="4"/>
        <v>716.8</v>
      </c>
      <c r="AR44" s="49">
        <f t="shared" si="4"/>
        <v>716.8</v>
      </c>
      <c r="AS44" s="49">
        <f t="shared" si="4"/>
        <v>716.8</v>
      </c>
      <c r="AT44" s="49">
        <f t="shared" si="4"/>
        <v>716.8</v>
      </c>
      <c r="AU44" s="49">
        <f t="shared" si="4"/>
        <v>716.8</v>
      </c>
      <c r="AV44" s="49">
        <f t="shared" si="4"/>
        <v>716.8</v>
      </c>
      <c r="AW44" s="49">
        <f t="shared" si="4"/>
        <v>0</v>
      </c>
      <c r="AX44" s="49">
        <f t="shared" si="4"/>
        <v>0</v>
      </c>
      <c r="AY44" s="49">
        <f t="shared" si="4"/>
        <v>0</v>
      </c>
    </row>
    <row r="45" spans="1:51" x14ac:dyDescent="0.3">
      <c r="A45" s="45" t="s">
        <v>150</v>
      </c>
      <c r="B45" s="45"/>
      <c r="C45" s="45" t="s">
        <v>184</v>
      </c>
      <c r="D45" s="45" t="s">
        <v>183</v>
      </c>
      <c r="E45" s="46">
        <v>26</v>
      </c>
      <c r="F45" s="46"/>
      <c r="G45" s="46"/>
      <c r="H45" s="46"/>
      <c r="I45" s="45"/>
      <c r="J45" s="45"/>
      <c r="K45" s="45"/>
      <c r="L45" s="45"/>
      <c r="M45" s="47"/>
      <c r="N45" s="45"/>
      <c r="O45" s="48"/>
      <c r="P45" s="49">
        <f t="shared" ref="P45:AY45" si="5">P31*$E45*2</f>
        <v>260</v>
      </c>
      <c r="Q45" s="49">
        <f t="shared" si="5"/>
        <v>260</v>
      </c>
      <c r="R45" s="49">
        <f t="shared" si="5"/>
        <v>260</v>
      </c>
      <c r="S45" s="49">
        <f t="shared" si="5"/>
        <v>260</v>
      </c>
      <c r="T45" s="49">
        <f t="shared" si="5"/>
        <v>260</v>
      </c>
      <c r="U45" s="49">
        <f t="shared" si="5"/>
        <v>260</v>
      </c>
      <c r="V45" s="49">
        <f t="shared" si="5"/>
        <v>260</v>
      </c>
      <c r="W45" s="49">
        <f t="shared" si="5"/>
        <v>260</v>
      </c>
      <c r="X45" s="49">
        <f t="shared" si="5"/>
        <v>260</v>
      </c>
      <c r="Y45" s="49">
        <f t="shared" si="5"/>
        <v>260</v>
      </c>
      <c r="Z45" s="49">
        <f t="shared" si="5"/>
        <v>260</v>
      </c>
      <c r="AA45" s="49">
        <f t="shared" si="5"/>
        <v>260</v>
      </c>
      <c r="AB45" s="49">
        <f t="shared" si="5"/>
        <v>260</v>
      </c>
      <c r="AC45" s="49">
        <f t="shared" si="5"/>
        <v>260</v>
      </c>
      <c r="AD45" s="49">
        <f t="shared" si="5"/>
        <v>260</v>
      </c>
      <c r="AE45" s="49">
        <f t="shared" si="5"/>
        <v>260</v>
      </c>
      <c r="AF45" s="49">
        <f t="shared" si="5"/>
        <v>0</v>
      </c>
      <c r="AG45" s="49">
        <f t="shared" si="5"/>
        <v>0</v>
      </c>
      <c r="AH45" s="49">
        <f t="shared" si="5"/>
        <v>0</v>
      </c>
      <c r="AI45" s="49">
        <f t="shared" si="5"/>
        <v>0</v>
      </c>
      <c r="AJ45" s="49">
        <f t="shared" si="5"/>
        <v>0</v>
      </c>
      <c r="AK45" s="49">
        <f t="shared" si="5"/>
        <v>0</v>
      </c>
      <c r="AL45" s="49">
        <f t="shared" si="5"/>
        <v>0</v>
      </c>
      <c r="AM45" s="49">
        <f t="shared" si="5"/>
        <v>0</v>
      </c>
      <c r="AN45" s="49">
        <f t="shared" si="5"/>
        <v>0</v>
      </c>
      <c r="AO45" s="49">
        <f t="shared" si="5"/>
        <v>0</v>
      </c>
      <c r="AP45" s="49">
        <f t="shared" si="5"/>
        <v>0</v>
      </c>
      <c r="AQ45" s="49">
        <f t="shared" si="5"/>
        <v>0</v>
      </c>
      <c r="AR45" s="49">
        <f t="shared" si="5"/>
        <v>0</v>
      </c>
      <c r="AS45" s="49">
        <f t="shared" si="5"/>
        <v>0</v>
      </c>
      <c r="AT45" s="49">
        <f t="shared" si="5"/>
        <v>0</v>
      </c>
      <c r="AU45" s="49">
        <f t="shared" si="5"/>
        <v>0</v>
      </c>
      <c r="AV45" s="49">
        <f t="shared" si="5"/>
        <v>0</v>
      </c>
      <c r="AW45" s="49">
        <f t="shared" si="5"/>
        <v>0</v>
      </c>
      <c r="AX45" s="49">
        <f t="shared" si="5"/>
        <v>0</v>
      </c>
      <c r="AY45" s="49">
        <f t="shared" si="5"/>
        <v>0</v>
      </c>
    </row>
    <row r="46" spans="1:51" x14ac:dyDescent="0.3">
      <c r="A46" s="45" t="s">
        <v>153</v>
      </c>
      <c r="B46" s="45"/>
      <c r="C46" s="45" t="s">
        <v>185</v>
      </c>
      <c r="D46" s="45" t="s">
        <v>183</v>
      </c>
      <c r="E46" s="46">
        <v>44</v>
      </c>
      <c r="F46" s="46"/>
      <c r="G46" s="46"/>
      <c r="H46" s="46"/>
      <c r="I46" s="45"/>
      <c r="J46" s="45"/>
      <c r="K46" s="45"/>
      <c r="L46" s="45"/>
      <c r="M46" s="47"/>
      <c r="N46" s="45"/>
      <c r="O46" s="48"/>
      <c r="P46" s="49">
        <f t="shared" ref="P46:AY46" si="6">P32*$E46*2</f>
        <v>0</v>
      </c>
      <c r="Q46" s="49">
        <f t="shared" si="6"/>
        <v>0</v>
      </c>
      <c r="R46" s="49">
        <f t="shared" si="6"/>
        <v>0</v>
      </c>
      <c r="S46" s="49">
        <f t="shared" si="6"/>
        <v>0</v>
      </c>
      <c r="T46" s="49">
        <f t="shared" si="6"/>
        <v>0</v>
      </c>
      <c r="U46" s="49">
        <f t="shared" si="6"/>
        <v>0</v>
      </c>
      <c r="V46" s="49">
        <f t="shared" si="6"/>
        <v>0</v>
      </c>
      <c r="W46" s="49">
        <f t="shared" si="6"/>
        <v>0</v>
      </c>
      <c r="X46" s="49">
        <f t="shared" si="6"/>
        <v>0</v>
      </c>
      <c r="Y46" s="49">
        <f t="shared" si="6"/>
        <v>0</v>
      </c>
      <c r="Z46" s="49">
        <f t="shared" si="6"/>
        <v>0</v>
      </c>
      <c r="AA46" s="49">
        <f t="shared" si="6"/>
        <v>0</v>
      </c>
      <c r="AB46" s="49">
        <f t="shared" si="6"/>
        <v>0</v>
      </c>
      <c r="AC46" s="49">
        <f t="shared" si="6"/>
        <v>0</v>
      </c>
      <c r="AD46" s="49">
        <f t="shared" si="6"/>
        <v>0</v>
      </c>
      <c r="AE46" s="49">
        <f t="shared" si="6"/>
        <v>528</v>
      </c>
      <c r="AF46" s="49">
        <f t="shared" si="6"/>
        <v>528</v>
      </c>
      <c r="AG46" s="49">
        <f t="shared" si="6"/>
        <v>528</v>
      </c>
      <c r="AH46" s="49">
        <f t="shared" si="6"/>
        <v>528</v>
      </c>
      <c r="AI46" s="49">
        <f t="shared" si="6"/>
        <v>528</v>
      </c>
      <c r="AJ46" s="49">
        <f t="shared" si="6"/>
        <v>528</v>
      </c>
      <c r="AK46" s="49">
        <f t="shared" si="6"/>
        <v>528</v>
      </c>
      <c r="AL46" s="49">
        <f t="shared" si="6"/>
        <v>528</v>
      </c>
      <c r="AM46" s="49">
        <f t="shared" si="6"/>
        <v>528</v>
      </c>
      <c r="AN46" s="49">
        <f t="shared" si="6"/>
        <v>528</v>
      </c>
      <c r="AO46" s="49">
        <f t="shared" si="6"/>
        <v>528</v>
      </c>
      <c r="AP46" s="49">
        <f t="shared" si="6"/>
        <v>528</v>
      </c>
      <c r="AQ46" s="49">
        <f t="shared" si="6"/>
        <v>528</v>
      </c>
      <c r="AR46" s="49">
        <f t="shared" si="6"/>
        <v>528</v>
      </c>
      <c r="AS46" s="49">
        <f t="shared" si="6"/>
        <v>528</v>
      </c>
      <c r="AT46" s="49">
        <f t="shared" si="6"/>
        <v>528</v>
      </c>
      <c r="AU46" s="49">
        <f t="shared" si="6"/>
        <v>528</v>
      </c>
      <c r="AV46" s="49">
        <f t="shared" si="6"/>
        <v>528</v>
      </c>
      <c r="AW46" s="49">
        <f t="shared" si="6"/>
        <v>0</v>
      </c>
      <c r="AX46" s="49">
        <f t="shared" si="6"/>
        <v>0</v>
      </c>
      <c r="AY46" s="49">
        <f t="shared" si="6"/>
        <v>0</v>
      </c>
    </row>
    <row r="47" spans="1:51" x14ac:dyDescent="0.3">
      <c r="A47" s="45" t="s">
        <v>156</v>
      </c>
      <c r="B47" s="45"/>
      <c r="C47" s="45" t="s">
        <v>186</v>
      </c>
      <c r="D47" s="45" t="s">
        <v>183</v>
      </c>
      <c r="E47" s="46">
        <v>124</v>
      </c>
      <c r="F47" s="46"/>
      <c r="G47" s="46"/>
      <c r="H47" s="46"/>
      <c r="I47" s="45"/>
      <c r="J47" s="45"/>
      <c r="K47" s="45"/>
      <c r="L47" s="45"/>
      <c r="M47" s="47"/>
      <c r="N47" s="45"/>
      <c r="O47" s="48"/>
      <c r="P47" s="49">
        <f t="shared" ref="P47:AY47" si="7">P33*$E47*2</f>
        <v>0</v>
      </c>
      <c r="Q47" s="49">
        <f t="shared" si="7"/>
        <v>0</v>
      </c>
      <c r="R47" s="49">
        <f t="shared" si="7"/>
        <v>0</v>
      </c>
      <c r="S47" s="49">
        <f t="shared" si="7"/>
        <v>0</v>
      </c>
      <c r="T47" s="49">
        <f t="shared" si="7"/>
        <v>0</v>
      </c>
      <c r="U47" s="49">
        <f t="shared" si="7"/>
        <v>0</v>
      </c>
      <c r="V47" s="49">
        <f t="shared" si="7"/>
        <v>0</v>
      </c>
      <c r="W47" s="49">
        <f t="shared" si="7"/>
        <v>0</v>
      </c>
      <c r="X47" s="49">
        <f t="shared" si="7"/>
        <v>0</v>
      </c>
      <c r="Y47" s="49">
        <f t="shared" si="7"/>
        <v>0</v>
      </c>
      <c r="Z47" s="49">
        <f t="shared" si="7"/>
        <v>0</v>
      </c>
      <c r="AA47" s="49">
        <f t="shared" si="7"/>
        <v>0</v>
      </c>
      <c r="AB47" s="49">
        <f t="shared" si="7"/>
        <v>0</v>
      </c>
      <c r="AC47" s="49">
        <f t="shared" si="7"/>
        <v>0</v>
      </c>
      <c r="AD47" s="49">
        <f t="shared" si="7"/>
        <v>0</v>
      </c>
      <c r="AE47" s="49">
        <f t="shared" si="7"/>
        <v>496</v>
      </c>
      <c r="AF47" s="49">
        <f t="shared" si="7"/>
        <v>496</v>
      </c>
      <c r="AG47" s="49">
        <f t="shared" si="7"/>
        <v>496</v>
      </c>
      <c r="AH47" s="49">
        <f t="shared" si="7"/>
        <v>496</v>
      </c>
      <c r="AI47" s="49">
        <f t="shared" si="7"/>
        <v>496</v>
      </c>
      <c r="AJ47" s="49">
        <f t="shared" si="7"/>
        <v>496</v>
      </c>
      <c r="AK47" s="49">
        <f t="shared" si="7"/>
        <v>496</v>
      </c>
      <c r="AL47" s="49">
        <f t="shared" si="7"/>
        <v>496</v>
      </c>
      <c r="AM47" s="49">
        <f t="shared" si="7"/>
        <v>496</v>
      </c>
      <c r="AN47" s="49">
        <f t="shared" si="7"/>
        <v>496</v>
      </c>
      <c r="AO47" s="49">
        <f t="shared" si="7"/>
        <v>496</v>
      </c>
      <c r="AP47" s="49">
        <f t="shared" si="7"/>
        <v>496</v>
      </c>
      <c r="AQ47" s="49">
        <f t="shared" si="7"/>
        <v>496</v>
      </c>
      <c r="AR47" s="49">
        <f t="shared" si="7"/>
        <v>496</v>
      </c>
      <c r="AS47" s="49">
        <f t="shared" si="7"/>
        <v>496</v>
      </c>
      <c r="AT47" s="49">
        <f t="shared" si="7"/>
        <v>496</v>
      </c>
      <c r="AU47" s="49">
        <f t="shared" si="7"/>
        <v>496</v>
      </c>
      <c r="AV47" s="49">
        <f t="shared" si="7"/>
        <v>496</v>
      </c>
      <c r="AW47" s="49">
        <f t="shared" si="7"/>
        <v>0</v>
      </c>
      <c r="AX47" s="49">
        <f t="shared" si="7"/>
        <v>0</v>
      </c>
      <c r="AY47" s="49">
        <f t="shared" si="7"/>
        <v>0</v>
      </c>
    </row>
    <row r="48" spans="1:51" x14ac:dyDescent="0.3">
      <c r="A48" s="45" t="s">
        <v>159</v>
      </c>
      <c r="B48" s="45"/>
      <c r="C48" s="45" t="s">
        <v>187</v>
      </c>
      <c r="D48" s="45" t="s">
        <v>183</v>
      </c>
      <c r="E48" s="46">
        <v>28</v>
      </c>
      <c r="F48" s="46"/>
      <c r="G48" s="46"/>
      <c r="H48" s="46"/>
      <c r="I48" s="45"/>
      <c r="J48" s="45"/>
      <c r="K48" s="45"/>
      <c r="L48" s="45"/>
      <c r="M48" s="47"/>
      <c r="N48" s="45"/>
      <c r="O48" s="48"/>
      <c r="P48" s="49">
        <f t="shared" ref="P48:AY48" si="8">P34*$E48*2</f>
        <v>0</v>
      </c>
      <c r="Q48" s="49">
        <f t="shared" si="8"/>
        <v>0</v>
      </c>
      <c r="R48" s="49">
        <f t="shared" si="8"/>
        <v>0</v>
      </c>
      <c r="S48" s="49">
        <f t="shared" si="8"/>
        <v>0</v>
      </c>
      <c r="T48" s="49">
        <f t="shared" si="8"/>
        <v>168</v>
      </c>
      <c r="U48" s="49">
        <f t="shared" si="8"/>
        <v>168</v>
      </c>
      <c r="V48" s="49">
        <f t="shared" si="8"/>
        <v>168</v>
      </c>
      <c r="W48" s="49">
        <f t="shared" si="8"/>
        <v>168</v>
      </c>
      <c r="X48" s="49">
        <f t="shared" si="8"/>
        <v>168</v>
      </c>
      <c r="Y48" s="49">
        <f t="shared" si="8"/>
        <v>168</v>
      </c>
      <c r="Z48" s="49">
        <f t="shared" si="8"/>
        <v>168</v>
      </c>
      <c r="AA48" s="49">
        <f t="shared" si="8"/>
        <v>168</v>
      </c>
      <c r="AB48" s="49">
        <f t="shared" si="8"/>
        <v>168</v>
      </c>
      <c r="AC48" s="49">
        <f t="shared" si="8"/>
        <v>168</v>
      </c>
      <c r="AD48" s="49">
        <f t="shared" si="8"/>
        <v>168</v>
      </c>
      <c r="AE48" s="49">
        <f t="shared" si="8"/>
        <v>168</v>
      </c>
      <c r="AF48" s="49">
        <f t="shared" si="8"/>
        <v>168</v>
      </c>
      <c r="AG48" s="49">
        <f t="shared" si="8"/>
        <v>168</v>
      </c>
      <c r="AH48" s="49">
        <f t="shared" si="8"/>
        <v>168</v>
      </c>
      <c r="AI48" s="49">
        <f t="shared" si="8"/>
        <v>168</v>
      </c>
      <c r="AJ48" s="49">
        <f t="shared" si="8"/>
        <v>168</v>
      </c>
      <c r="AK48" s="49">
        <f t="shared" si="8"/>
        <v>168</v>
      </c>
      <c r="AL48" s="49">
        <f t="shared" si="8"/>
        <v>168</v>
      </c>
      <c r="AM48" s="49">
        <f t="shared" si="8"/>
        <v>168</v>
      </c>
      <c r="AN48" s="49">
        <f t="shared" si="8"/>
        <v>168</v>
      </c>
      <c r="AO48" s="49">
        <f t="shared" si="8"/>
        <v>168</v>
      </c>
      <c r="AP48" s="49">
        <f t="shared" si="8"/>
        <v>168</v>
      </c>
      <c r="AQ48" s="49">
        <f t="shared" si="8"/>
        <v>0</v>
      </c>
      <c r="AR48" s="49">
        <f t="shared" si="8"/>
        <v>0</v>
      </c>
      <c r="AS48" s="49">
        <f t="shared" si="8"/>
        <v>0</v>
      </c>
      <c r="AT48" s="49">
        <f t="shared" si="8"/>
        <v>0</v>
      </c>
      <c r="AU48" s="49">
        <f t="shared" si="8"/>
        <v>0</v>
      </c>
      <c r="AV48" s="49">
        <f t="shared" si="8"/>
        <v>0</v>
      </c>
      <c r="AW48" s="49">
        <f t="shared" si="8"/>
        <v>0</v>
      </c>
      <c r="AX48" s="49">
        <f t="shared" si="8"/>
        <v>0</v>
      </c>
      <c r="AY48" s="49">
        <f t="shared" si="8"/>
        <v>0</v>
      </c>
    </row>
    <row r="49" spans="1:51" x14ac:dyDescent="0.3">
      <c r="A49" s="45" t="s">
        <v>162</v>
      </c>
      <c r="B49" s="45"/>
      <c r="C49" s="45" t="s">
        <v>188</v>
      </c>
      <c r="D49" s="45" t="s">
        <v>183</v>
      </c>
      <c r="E49" s="46">
        <v>65</v>
      </c>
      <c r="F49" s="46"/>
      <c r="G49" s="46"/>
      <c r="H49" s="46"/>
      <c r="I49" s="45"/>
      <c r="J49" s="45"/>
      <c r="K49" s="45"/>
      <c r="L49" s="45"/>
      <c r="M49" s="47"/>
      <c r="N49" s="45"/>
      <c r="O49" s="48"/>
      <c r="P49" s="49">
        <f t="shared" ref="P49:AY49" si="9">P35*$E49*2</f>
        <v>0</v>
      </c>
      <c r="Q49" s="49">
        <f t="shared" si="9"/>
        <v>0</v>
      </c>
      <c r="R49" s="49">
        <f t="shared" si="9"/>
        <v>0</v>
      </c>
      <c r="S49" s="49">
        <f t="shared" si="9"/>
        <v>0</v>
      </c>
      <c r="T49" s="49">
        <f t="shared" si="9"/>
        <v>0</v>
      </c>
      <c r="U49" s="49">
        <f t="shared" si="9"/>
        <v>0</v>
      </c>
      <c r="V49" s="49">
        <f t="shared" si="9"/>
        <v>260</v>
      </c>
      <c r="W49" s="49">
        <f t="shared" si="9"/>
        <v>260</v>
      </c>
      <c r="X49" s="49">
        <f t="shared" si="9"/>
        <v>260</v>
      </c>
      <c r="Y49" s="49">
        <f t="shared" si="9"/>
        <v>260</v>
      </c>
      <c r="Z49" s="49">
        <f t="shared" si="9"/>
        <v>260</v>
      </c>
      <c r="AA49" s="49">
        <f t="shared" si="9"/>
        <v>260</v>
      </c>
      <c r="AB49" s="49">
        <f t="shared" si="9"/>
        <v>260</v>
      </c>
      <c r="AC49" s="49">
        <f t="shared" si="9"/>
        <v>260</v>
      </c>
      <c r="AD49" s="49">
        <f t="shared" si="9"/>
        <v>260</v>
      </c>
      <c r="AE49" s="49">
        <f t="shared" si="9"/>
        <v>260</v>
      </c>
      <c r="AF49" s="49">
        <f t="shared" si="9"/>
        <v>260</v>
      </c>
      <c r="AG49" s="49">
        <f t="shared" si="9"/>
        <v>260</v>
      </c>
      <c r="AH49" s="49">
        <f t="shared" si="9"/>
        <v>260</v>
      </c>
      <c r="AI49" s="49">
        <f t="shared" si="9"/>
        <v>260</v>
      </c>
      <c r="AJ49" s="49">
        <f t="shared" si="9"/>
        <v>260</v>
      </c>
      <c r="AK49" s="49">
        <f t="shared" si="9"/>
        <v>260</v>
      </c>
      <c r="AL49" s="49">
        <f t="shared" si="9"/>
        <v>260</v>
      </c>
      <c r="AM49" s="49">
        <f t="shared" si="9"/>
        <v>260</v>
      </c>
      <c r="AN49" s="49">
        <f t="shared" si="9"/>
        <v>260</v>
      </c>
      <c r="AO49" s="49">
        <f t="shared" si="9"/>
        <v>260</v>
      </c>
      <c r="AP49" s="49">
        <f t="shared" si="9"/>
        <v>260</v>
      </c>
      <c r="AQ49" s="49">
        <f t="shared" si="9"/>
        <v>260</v>
      </c>
      <c r="AR49" s="49">
        <f t="shared" si="9"/>
        <v>0</v>
      </c>
      <c r="AS49" s="49">
        <f t="shared" si="9"/>
        <v>0</v>
      </c>
      <c r="AT49" s="49">
        <f t="shared" si="9"/>
        <v>0</v>
      </c>
      <c r="AU49" s="49">
        <f t="shared" si="9"/>
        <v>0</v>
      </c>
      <c r="AV49" s="49">
        <f t="shared" si="9"/>
        <v>0</v>
      </c>
      <c r="AW49" s="49">
        <f t="shared" si="9"/>
        <v>0</v>
      </c>
      <c r="AX49" s="49">
        <f t="shared" si="9"/>
        <v>0</v>
      </c>
      <c r="AY49" s="49">
        <f t="shared" si="9"/>
        <v>0</v>
      </c>
    </row>
    <row r="50" spans="1:51" x14ac:dyDescent="0.3">
      <c r="A50" s="45" t="s">
        <v>165</v>
      </c>
      <c r="B50" s="45"/>
      <c r="C50" s="45" t="s">
        <v>189</v>
      </c>
      <c r="D50" s="45" t="s">
        <v>183</v>
      </c>
      <c r="E50" s="46">
        <v>42</v>
      </c>
      <c r="F50" s="46"/>
      <c r="G50" s="46"/>
      <c r="H50" s="46"/>
      <c r="I50" s="45"/>
      <c r="J50" s="45"/>
      <c r="K50" s="45"/>
      <c r="L50" s="45"/>
      <c r="M50" s="47"/>
      <c r="N50" s="45"/>
      <c r="O50" s="48"/>
      <c r="P50" s="49">
        <f t="shared" ref="P50:AY50" si="10">P36*$E50*2</f>
        <v>0</v>
      </c>
      <c r="Q50" s="49">
        <f t="shared" si="10"/>
        <v>0</v>
      </c>
      <c r="R50" s="49">
        <f t="shared" si="10"/>
        <v>0</v>
      </c>
      <c r="S50" s="49">
        <f t="shared" si="10"/>
        <v>0</v>
      </c>
      <c r="T50" s="49">
        <f t="shared" si="10"/>
        <v>0</v>
      </c>
      <c r="U50" s="49">
        <f t="shared" si="10"/>
        <v>0</v>
      </c>
      <c r="V50" s="49">
        <f t="shared" si="10"/>
        <v>504</v>
      </c>
      <c r="W50" s="49">
        <f t="shared" si="10"/>
        <v>504</v>
      </c>
      <c r="X50" s="49">
        <f t="shared" si="10"/>
        <v>504</v>
      </c>
      <c r="Y50" s="49">
        <f t="shared" si="10"/>
        <v>504</v>
      </c>
      <c r="Z50" s="49">
        <f t="shared" si="10"/>
        <v>504</v>
      </c>
      <c r="AA50" s="49">
        <f t="shared" si="10"/>
        <v>504</v>
      </c>
      <c r="AB50" s="49">
        <f t="shared" si="10"/>
        <v>504</v>
      </c>
      <c r="AC50" s="49">
        <f t="shared" si="10"/>
        <v>504</v>
      </c>
      <c r="AD50" s="49">
        <f t="shared" si="10"/>
        <v>504</v>
      </c>
      <c r="AE50" s="49">
        <f t="shared" si="10"/>
        <v>504</v>
      </c>
      <c r="AF50" s="49">
        <f t="shared" si="10"/>
        <v>504</v>
      </c>
      <c r="AG50" s="49">
        <f t="shared" si="10"/>
        <v>504</v>
      </c>
      <c r="AH50" s="49">
        <f t="shared" si="10"/>
        <v>504</v>
      </c>
      <c r="AI50" s="49">
        <f t="shared" si="10"/>
        <v>504</v>
      </c>
      <c r="AJ50" s="49">
        <f t="shared" si="10"/>
        <v>504</v>
      </c>
      <c r="AK50" s="49">
        <f t="shared" si="10"/>
        <v>504</v>
      </c>
      <c r="AL50" s="49">
        <f t="shared" si="10"/>
        <v>504</v>
      </c>
      <c r="AM50" s="49">
        <f t="shared" si="10"/>
        <v>504</v>
      </c>
      <c r="AN50" s="49">
        <f t="shared" si="10"/>
        <v>504</v>
      </c>
      <c r="AO50" s="49">
        <f t="shared" si="10"/>
        <v>504</v>
      </c>
      <c r="AP50" s="49">
        <f t="shared" si="10"/>
        <v>504</v>
      </c>
      <c r="AQ50" s="49">
        <f t="shared" si="10"/>
        <v>504</v>
      </c>
      <c r="AR50" s="49">
        <f t="shared" si="10"/>
        <v>0</v>
      </c>
      <c r="AS50" s="49">
        <f t="shared" si="10"/>
        <v>0</v>
      </c>
      <c r="AT50" s="49">
        <f t="shared" si="10"/>
        <v>0</v>
      </c>
      <c r="AU50" s="49">
        <f t="shared" si="10"/>
        <v>0</v>
      </c>
      <c r="AV50" s="49">
        <f t="shared" si="10"/>
        <v>0</v>
      </c>
      <c r="AW50" s="49">
        <f t="shared" si="10"/>
        <v>0</v>
      </c>
      <c r="AX50" s="49">
        <f t="shared" si="10"/>
        <v>0</v>
      </c>
      <c r="AY50" s="49">
        <f t="shared" si="10"/>
        <v>0</v>
      </c>
    </row>
    <row r="51" spans="1:51" x14ac:dyDescent="0.3">
      <c r="A51" s="45" t="s">
        <v>168</v>
      </c>
      <c r="B51" s="45"/>
      <c r="C51" s="45" t="s">
        <v>190</v>
      </c>
      <c r="D51" s="45" t="s">
        <v>183</v>
      </c>
      <c r="E51" s="46">
        <v>64</v>
      </c>
      <c r="F51" s="46"/>
      <c r="G51" s="46"/>
      <c r="H51" s="46"/>
      <c r="I51" s="45"/>
      <c r="J51" s="45"/>
      <c r="K51" s="45"/>
      <c r="L51" s="45"/>
      <c r="M51" s="47"/>
      <c r="N51" s="45"/>
      <c r="O51" s="48"/>
      <c r="P51" s="49">
        <f t="shared" ref="P51:AY51" si="11">P37*$E51*2</f>
        <v>0</v>
      </c>
      <c r="Q51" s="49">
        <f t="shared" si="11"/>
        <v>0</v>
      </c>
      <c r="R51" s="49">
        <f t="shared" si="11"/>
        <v>0</v>
      </c>
      <c r="S51" s="49">
        <f t="shared" si="11"/>
        <v>0</v>
      </c>
      <c r="T51" s="49">
        <f t="shared" si="11"/>
        <v>0</v>
      </c>
      <c r="U51" s="49">
        <f t="shared" si="11"/>
        <v>0</v>
      </c>
      <c r="V51" s="49">
        <f t="shared" si="11"/>
        <v>128</v>
      </c>
      <c r="W51" s="49">
        <f t="shared" si="11"/>
        <v>128</v>
      </c>
      <c r="X51" s="49">
        <f t="shared" si="11"/>
        <v>128</v>
      </c>
      <c r="Y51" s="49">
        <f t="shared" si="11"/>
        <v>128</v>
      </c>
      <c r="Z51" s="49">
        <f t="shared" si="11"/>
        <v>128</v>
      </c>
      <c r="AA51" s="49">
        <f t="shared" si="11"/>
        <v>128</v>
      </c>
      <c r="AB51" s="49">
        <f t="shared" si="11"/>
        <v>128</v>
      </c>
      <c r="AC51" s="49">
        <f t="shared" si="11"/>
        <v>128</v>
      </c>
      <c r="AD51" s="49">
        <f t="shared" si="11"/>
        <v>128</v>
      </c>
      <c r="AE51" s="49">
        <f t="shared" si="11"/>
        <v>128</v>
      </c>
      <c r="AF51" s="49">
        <f t="shared" si="11"/>
        <v>128</v>
      </c>
      <c r="AG51" s="49">
        <f t="shared" si="11"/>
        <v>128</v>
      </c>
      <c r="AH51" s="49">
        <f t="shared" si="11"/>
        <v>128</v>
      </c>
      <c r="AI51" s="49">
        <f t="shared" si="11"/>
        <v>128</v>
      </c>
      <c r="AJ51" s="49">
        <f t="shared" si="11"/>
        <v>128</v>
      </c>
      <c r="AK51" s="49">
        <f t="shared" si="11"/>
        <v>128</v>
      </c>
      <c r="AL51" s="49">
        <f t="shared" si="11"/>
        <v>128</v>
      </c>
      <c r="AM51" s="49">
        <f t="shared" si="11"/>
        <v>128</v>
      </c>
      <c r="AN51" s="49">
        <f t="shared" si="11"/>
        <v>128</v>
      </c>
      <c r="AO51" s="49">
        <f t="shared" si="11"/>
        <v>128</v>
      </c>
      <c r="AP51" s="49">
        <f t="shared" si="11"/>
        <v>128</v>
      </c>
      <c r="AQ51" s="49">
        <f t="shared" si="11"/>
        <v>128</v>
      </c>
      <c r="AR51" s="49">
        <f t="shared" si="11"/>
        <v>0</v>
      </c>
      <c r="AS51" s="49">
        <f t="shared" si="11"/>
        <v>0</v>
      </c>
      <c r="AT51" s="49">
        <f t="shared" si="11"/>
        <v>0</v>
      </c>
      <c r="AU51" s="49">
        <f t="shared" si="11"/>
        <v>0</v>
      </c>
      <c r="AV51" s="49">
        <f t="shared" si="11"/>
        <v>0</v>
      </c>
      <c r="AW51" s="49">
        <f t="shared" si="11"/>
        <v>0</v>
      </c>
      <c r="AX51" s="49">
        <f t="shared" si="11"/>
        <v>0</v>
      </c>
      <c r="AY51" s="49">
        <f t="shared" si="11"/>
        <v>0</v>
      </c>
    </row>
    <row r="52" spans="1:51" x14ac:dyDescent="0.3">
      <c r="A52" s="45" t="s">
        <v>171</v>
      </c>
      <c r="B52" s="45"/>
      <c r="C52" s="45" t="s">
        <v>191</v>
      </c>
      <c r="D52" s="45" t="s">
        <v>183</v>
      </c>
      <c r="E52" s="46">
        <v>14</v>
      </c>
      <c r="F52" s="46"/>
      <c r="G52" s="46"/>
      <c r="H52" s="46"/>
      <c r="I52" s="45"/>
      <c r="J52" s="45"/>
      <c r="K52" s="45"/>
      <c r="L52" s="45"/>
      <c r="M52" s="47"/>
      <c r="N52" s="45"/>
      <c r="O52" s="48"/>
      <c r="P52" s="49">
        <f t="shared" ref="P52:AY52" si="12">P38*$E52*2</f>
        <v>56</v>
      </c>
      <c r="Q52" s="49">
        <f t="shared" si="12"/>
        <v>56</v>
      </c>
      <c r="R52" s="49">
        <f t="shared" si="12"/>
        <v>56</v>
      </c>
      <c r="S52" s="49">
        <f t="shared" si="12"/>
        <v>56</v>
      </c>
      <c r="T52" s="49">
        <f t="shared" si="12"/>
        <v>56</v>
      </c>
      <c r="U52" s="49">
        <f t="shared" si="12"/>
        <v>56</v>
      </c>
      <c r="V52" s="49">
        <f t="shared" si="12"/>
        <v>56</v>
      </c>
      <c r="W52" s="49">
        <f t="shared" si="12"/>
        <v>56</v>
      </c>
      <c r="X52" s="49">
        <f t="shared" si="12"/>
        <v>56</v>
      </c>
      <c r="Y52" s="49">
        <f t="shared" si="12"/>
        <v>56</v>
      </c>
      <c r="Z52" s="49">
        <f t="shared" si="12"/>
        <v>56</v>
      </c>
      <c r="AA52" s="49">
        <f t="shared" si="12"/>
        <v>56</v>
      </c>
      <c r="AB52" s="49">
        <f t="shared" si="12"/>
        <v>56</v>
      </c>
      <c r="AC52" s="49">
        <f t="shared" si="12"/>
        <v>56</v>
      </c>
      <c r="AD52" s="49">
        <f t="shared" si="12"/>
        <v>56</v>
      </c>
      <c r="AE52" s="49">
        <f t="shared" si="12"/>
        <v>56</v>
      </c>
      <c r="AF52" s="49">
        <f t="shared" si="12"/>
        <v>56</v>
      </c>
      <c r="AG52" s="49">
        <f t="shared" si="12"/>
        <v>56</v>
      </c>
      <c r="AH52" s="49">
        <f t="shared" si="12"/>
        <v>56</v>
      </c>
      <c r="AI52" s="49">
        <f t="shared" si="12"/>
        <v>56</v>
      </c>
      <c r="AJ52" s="49">
        <f t="shared" si="12"/>
        <v>56</v>
      </c>
      <c r="AK52" s="49">
        <f t="shared" si="12"/>
        <v>56</v>
      </c>
      <c r="AL52" s="49">
        <f t="shared" si="12"/>
        <v>56</v>
      </c>
      <c r="AM52" s="49">
        <f t="shared" si="12"/>
        <v>56</v>
      </c>
      <c r="AN52" s="49">
        <f t="shared" si="12"/>
        <v>56</v>
      </c>
      <c r="AO52" s="49">
        <f t="shared" si="12"/>
        <v>56</v>
      </c>
      <c r="AP52" s="49">
        <f t="shared" si="12"/>
        <v>56</v>
      </c>
      <c r="AQ52" s="49">
        <f t="shared" si="12"/>
        <v>56</v>
      </c>
      <c r="AR52" s="49">
        <f t="shared" si="12"/>
        <v>56</v>
      </c>
      <c r="AS52" s="49">
        <f t="shared" si="12"/>
        <v>56</v>
      </c>
      <c r="AT52" s="49">
        <f t="shared" si="12"/>
        <v>56</v>
      </c>
      <c r="AU52" s="49">
        <f t="shared" si="12"/>
        <v>56</v>
      </c>
      <c r="AV52" s="49">
        <f t="shared" si="12"/>
        <v>56</v>
      </c>
      <c r="AW52" s="49">
        <f t="shared" si="12"/>
        <v>56</v>
      </c>
      <c r="AX52" s="49">
        <f t="shared" si="12"/>
        <v>56</v>
      </c>
      <c r="AY52" s="49">
        <f t="shared" si="12"/>
        <v>56</v>
      </c>
    </row>
    <row r="53" spans="1:51" x14ac:dyDescent="0.3">
      <c r="A53" s="45" t="s">
        <v>174</v>
      </c>
      <c r="B53" s="45"/>
      <c r="C53" s="45" t="s">
        <v>192</v>
      </c>
      <c r="D53" s="45" t="s">
        <v>183</v>
      </c>
      <c r="E53" s="46">
        <v>44</v>
      </c>
      <c r="F53" s="46"/>
      <c r="G53" s="46"/>
      <c r="H53" s="46"/>
      <c r="I53" s="45"/>
      <c r="J53" s="45"/>
      <c r="K53" s="45"/>
      <c r="L53" s="45"/>
      <c r="M53" s="47"/>
      <c r="N53" s="45"/>
      <c r="O53" s="48"/>
      <c r="P53" s="49">
        <f t="shared" ref="P53:AY53" si="13">P39*$E53*2</f>
        <v>88</v>
      </c>
      <c r="Q53" s="49">
        <f t="shared" si="13"/>
        <v>88</v>
      </c>
      <c r="R53" s="49">
        <f t="shared" si="13"/>
        <v>88</v>
      </c>
      <c r="S53" s="49">
        <f t="shared" si="13"/>
        <v>88</v>
      </c>
      <c r="T53" s="49">
        <f t="shared" si="13"/>
        <v>88</v>
      </c>
      <c r="U53" s="49">
        <f t="shared" si="13"/>
        <v>88</v>
      </c>
      <c r="V53" s="49">
        <f t="shared" si="13"/>
        <v>88</v>
      </c>
      <c r="W53" s="49">
        <f t="shared" si="13"/>
        <v>88</v>
      </c>
      <c r="X53" s="49">
        <f t="shared" si="13"/>
        <v>88</v>
      </c>
      <c r="Y53" s="49">
        <f t="shared" si="13"/>
        <v>88</v>
      </c>
      <c r="Z53" s="49">
        <f t="shared" si="13"/>
        <v>88</v>
      </c>
      <c r="AA53" s="49">
        <f t="shared" si="13"/>
        <v>88</v>
      </c>
      <c r="AB53" s="49">
        <f t="shared" si="13"/>
        <v>88</v>
      </c>
      <c r="AC53" s="49">
        <f t="shared" si="13"/>
        <v>88</v>
      </c>
      <c r="AD53" s="49">
        <f t="shared" si="13"/>
        <v>88</v>
      </c>
      <c r="AE53" s="49">
        <f t="shared" si="13"/>
        <v>88</v>
      </c>
      <c r="AF53" s="49">
        <f t="shared" si="13"/>
        <v>88</v>
      </c>
      <c r="AG53" s="49">
        <f t="shared" si="13"/>
        <v>88</v>
      </c>
      <c r="AH53" s="49">
        <f t="shared" si="13"/>
        <v>88</v>
      </c>
      <c r="AI53" s="49">
        <f t="shared" si="13"/>
        <v>88</v>
      </c>
      <c r="AJ53" s="49">
        <f t="shared" si="13"/>
        <v>88</v>
      </c>
      <c r="AK53" s="49">
        <f t="shared" si="13"/>
        <v>88</v>
      </c>
      <c r="AL53" s="49">
        <f t="shared" si="13"/>
        <v>88</v>
      </c>
      <c r="AM53" s="49">
        <f t="shared" si="13"/>
        <v>88</v>
      </c>
      <c r="AN53" s="49">
        <f t="shared" si="13"/>
        <v>88</v>
      </c>
      <c r="AO53" s="49">
        <f t="shared" si="13"/>
        <v>88</v>
      </c>
      <c r="AP53" s="49">
        <f t="shared" si="13"/>
        <v>88</v>
      </c>
      <c r="AQ53" s="49">
        <f t="shared" si="13"/>
        <v>88</v>
      </c>
      <c r="AR53" s="49">
        <f t="shared" si="13"/>
        <v>88</v>
      </c>
      <c r="AS53" s="49">
        <f t="shared" si="13"/>
        <v>88</v>
      </c>
      <c r="AT53" s="49">
        <f t="shared" si="13"/>
        <v>88</v>
      </c>
      <c r="AU53" s="49">
        <f t="shared" si="13"/>
        <v>88</v>
      </c>
      <c r="AV53" s="49">
        <f t="shared" si="13"/>
        <v>88</v>
      </c>
      <c r="AW53" s="49">
        <f t="shared" si="13"/>
        <v>88</v>
      </c>
      <c r="AX53" s="49">
        <f t="shared" si="13"/>
        <v>88</v>
      </c>
      <c r="AY53" s="49">
        <f t="shared" si="13"/>
        <v>88</v>
      </c>
    </row>
    <row r="54" spans="1:51" x14ac:dyDescent="0.3">
      <c r="A54" s="45" t="s">
        <v>177</v>
      </c>
      <c r="B54" s="45"/>
      <c r="C54" s="45" t="s">
        <v>193</v>
      </c>
      <c r="D54" s="45" t="s">
        <v>183</v>
      </c>
      <c r="E54" s="46">
        <v>28</v>
      </c>
      <c r="F54" s="46"/>
      <c r="G54" s="46"/>
      <c r="H54" s="46"/>
      <c r="I54" s="45"/>
      <c r="J54" s="45"/>
      <c r="K54" s="45"/>
      <c r="L54" s="45"/>
      <c r="M54" s="47"/>
      <c r="N54" s="45"/>
      <c r="O54" s="48"/>
      <c r="P54" s="49">
        <f t="shared" ref="P54:AY54" si="14">P40*$E54*2</f>
        <v>112</v>
      </c>
      <c r="Q54" s="49">
        <f t="shared" si="14"/>
        <v>112</v>
      </c>
      <c r="R54" s="49">
        <f t="shared" si="14"/>
        <v>112</v>
      </c>
      <c r="S54" s="49">
        <f t="shared" si="14"/>
        <v>112</v>
      </c>
      <c r="T54" s="49">
        <f t="shared" si="14"/>
        <v>112</v>
      </c>
      <c r="U54" s="49">
        <f t="shared" si="14"/>
        <v>112</v>
      </c>
      <c r="V54" s="49">
        <f t="shared" si="14"/>
        <v>112</v>
      </c>
      <c r="W54" s="49">
        <f t="shared" si="14"/>
        <v>112</v>
      </c>
      <c r="X54" s="49">
        <f t="shared" si="14"/>
        <v>112</v>
      </c>
      <c r="Y54" s="49">
        <f t="shared" si="14"/>
        <v>112</v>
      </c>
      <c r="Z54" s="49">
        <f t="shared" si="14"/>
        <v>112</v>
      </c>
      <c r="AA54" s="49">
        <f t="shared" si="14"/>
        <v>112</v>
      </c>
      <c r="AB54" s="49">
        <f t="shared" si="14"/>
        <v>112</v>
      </c>
      <c r="AC54" s="49">
        <f t="shared" si="14"/>
        <v>112</v>
      </c>
      <c r="AD54" s="49">
        <f t="shared" si="14"/>
        <v>112</v>
      </c>
      <c r="AE54" s="49">
        <f t="shared" si="14"/>
        <v>112</v>
      </c>
      <c r="AF54" s="49">
        <f t="shared" si="14"/>
        <v>112</v>
      </c>
      <c r="AG54" s="49">
        <f t="shared" si="14"/>
        <v>112</v>
      </c>
      <c r="AH54" s="49">
        <f t="shared" si="14"/>
        <v>112</v>
      </c>
      <c r="AI54" s="49">
        <f t="shared" si="14"/>
        <v>112</v>
      </c>
      <c r="AJ54" s="49">
        <f t="shared" si="14"/>
        <v>112</v>
      </c>
      <c r="AK54" s="49">
        <f t="shared" si="14"/>
        <v>112</v>
      </c>
      <c r="AL54" s="49">
        <f t="shared" si="14"/>
        <v>112</v>
      </c>
      <c r="AM54" s="49">
        <f t="shared" si="14"/>
        <v>112</v>
      </c>
      <c r="AN54" s="49">
        <f t="shared" si="14"/>
        <v>112</v>
      </c>
      <c r="AO54" s="49">
        <f t="shared" si="14"/>
        <v>112</v>
      </c>
      <c r="AP54" s="49">
        <f t="shared" si="14"/>
        <v>112</v>
      </c>
      <c r="AQ54" s="49">
        <f t="shared" si="14"/>
        <v>112</v>
      </c>
      <c r="AR54" s="49">
        <f t="shared" si="14"/>
        <v>112</v>
      </c>
      <c r="AS54" s="49">
        <f t="shared" si="14"/>
        <v>112</v>
      </c>
      <c r="AT54" s="49">
        <f t="shared" si="14"/>
        <v>112</v>
      </c>
      <c r="AU54" s="49">
        <f t="shared" si="14"/>
        <v>112</v>
      </c>
      <c r="AV54" s="49">
        <f t="shared" si="14"/>
        <v>112</v>
      </c>
      <c r="AW54" s="49">
        <f t="shared" si="14"/>
        <v>112</v>
      </c>
      <c r="AX54" s="49">
        <f t="shared" si="14"/>
        <v>112</v>
      </c>
      <c r="AY54" s="49">
        <f t="shared" si="14"/>
        <v>112</v>
      </c>
    </row>
  </sheetData>
  <mergeCells count="20">
    <mergeCell ref="C28:M28"/>
    <mergeCell ref="O6:O7"/>
    <mergeCell ref="D6:D7"/>
    <mergeCell ref="F6:F7"/>
    <mergeCell ref="H6:H7"/>
    <mergeCell ref="J6:J7"/>
    <mergeCell ref="C42:M42"/>
    <mergeCell ref="A6:A7"/>
    <mergeCell ref="A1:N1"/>
    <mergeCell ref="G6:G7"/>
    <mergeCell ref="M6:M7"/>
    <mergeCell ref="E6:E7"/>
    <mergeCell ref="B6:B7"/>
    <mergeCell ref="A3:N3"/>
    <mergeCell ref="A2:N2"/>
    <mergeCell ref="L6:L7"/>
    <mergeCell ref="N6:N7"/>
    <mergeCell ref="I6:I7"/>
    <mergeCell ref="K6:K7"/>
    <mergeCell ref="C6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"/>
  <sheetViews>
    <sheetView workbookViewId="0">
      <selection activeCell="F10" sqref="F10"/>
    </sheetView>
  </sheetViews>
  <sheetFormatPr defaultRowHeight="14" x14ac:dyDescent="0.3"/>
  <cols>
    <col min="1" max="1" width="6" customWidth="1"/>
    <col min="2" max="2" width="10" customWidth="1"/>
    <col min="3" max="3" width="44" customWidth="1"/>
    <col min="4" max="4" width="8" customWidth="1"/>
    <col min="5" max="5" width="16" customWidth="1"/>
    <col min="6" max="7" width="18" customWidth="1"/>
    <col min="8" max="8" width="16" customWidth="1"/>
    <col min="9" max="9" width="22" customWidth="1"/>
    <col min="10" max="10" width="46" customWidth="1"/>
  </cols>
  <sheetData>
    <row r="1" spans="1:10" ht="16.5" x14ac:dyDescent="0.3">
      <c r="A1" s="65" t="s">
        <v>194</v>
      </c>
      <c r="B1" s="60"/>
      <c r="C1" s="60"/>
      <c r="D1" s="60"/>
      <c r="E1" s="60"/>
      <c r="F1" s="60"/>
      <c r="G1" s="60"/>
      <c r="H1" s="60"/>
      <c r="I1" s="60"/>
      <c r="J1" s="60"/>
    </row>
    <row r="3" spans="1:10" x14ac:dyDescent="0.3">
      <c r="A3" s="50" t="s">
        <v>9</v>
      </c>
      <c r="B3" s="50" t="s">
        <v>195</v>
      </c>
      <c r="C3" s="50" t="s">
        <v>196</v>
      </c>
      <c r="D3" s="50" t="s">
        <v>12</v>
      </c>
      <c r="E3" s="50" t="s">
        <v>197</v>
      </c>
      <c r="F3" s="50" t="s">
        <v>15</v>
      </c>
      <c r="G3" s="50" t="s">
        <v>198</v>
      </c>
      <c r="H3" s="50" t="s">
        <v>199</v>
      </c>
      <c r="I3" s="50" t="s">
        <v>200</v>
      </c>
      <c r="J3" s="50" t="s">
        <v>201</v>
      </c>
    </row>
    <row r="4" spans="1:10" x14ac:dyDescent="0.3">
      <c r="A4" s="51">
        <v>1</v>
      </c>
      <c r="B4" s="51" t="s">
        <v>146</v>
      </c>
      <c r="C4" s="52" t="s">
        <v>147</v>
      </c>
      <c r="D4" s="51" t="s">
        <v>148</v>
      </c>
      <c r="E4" s="53">
        <v>89.6</v>
      </c>
      <c r="F4" s="53">
        <v>224.3</v>
      </c>
      <c r="G4" s="54">
        <v>8</v>
      </c>
      <c r="H4" s="54">
        <v>16</v>
      </c>
      <c r="I4" s="54">
        <f t="shared" ref="I4:I14" si="0">F4*E4</f>
        <v>20097.28</v>
      </c>
      <c r="J4" s="52" t="s">
        <v>202</v>
      </c>
    </row>
    <row r="5" spans="1:10" x14ac:dyDescent="0.3">
      <c r="A5" s="51">
        <v>2</v>
      </c>
      <c r="B5" s="51" t="s">
        <v>150</v>
      </c>
      <c r="C5" s="52" t="s">
        <v>203</v>
      </c>
      <c r="D5" s="51" t="s">
        <v>151</v>
      </c>
      <c r="E5" s="53">
        <v>26</v>
      </c>
      <c r="F5" s="53">
        <v>151.30000000000001</v>
      </c>
      <c r="G5" s="54">
        <v>5</v>
      </c>
      <c r="H5" s="54">
        <v>16</v>
      </c>
      <c r="I5" s="54">
        <f t="shared" si="0"/>
        <v>3933.8</v>
      </c>
      <c r="J5" s="52" t="s">
        <v>204</v>
      </c>
    </row>
    <row r="6" spans="1:10" x14ac:dyDescent="0.3">
      <c r="A6" s="51">
        <v>3</v>
      </c>
      <c r="B6" s="51" t="s">
        <v>153</v>
      </c>
      <c r="C6" s="52" t="s">
        <v>205</v>
      </c>
      <c r="D6" s="51" t="s">
        <v>148</v>
      </c>
      <c r="E6" s="53">
        <v>44</v>
      </c>
      <c r="F6" s="53">
        <v>212.5</v>
      </c>
      <c r="G6" s="54">
        <v>6</v>
      </c>
      <c r="H6" s="54">
        <v>18</v>
      </c>
      <c r="I6" s="54">
        <f t="shared" si="0"/>
        <v>9350</v>
      </c>
      <c r="J6" s="52" t="s">
        <v>206</v>
      </c>
    </row>
    <row r="7" spans="1:10" x14ac:dyDescent="0.3">
      <c r="A7" s="51">
        <v>4</v>
      </c>
      <c r="B7" s="51" t="s">
        <v>156</v>
      </c>
      <c r="C7" s="52" t="s">
        <v>157</v>
      </c>
      <c r="D7" s="51" t="s">
        <v>148</v>
      </c>
      <c r="E7" s="53">
        <v>124</v>
      </c>
      <c r="F7" s="53">
        <v>38</v>
      </c>
      <c r="G7" s="54">
        <v>2</v>
      </c>
      <c r="H7" s="54">
        <v>18</v>
      </c>
      <c r="I7" s="54">
        <f t="shared" si="0"/>
        <v>4712</v>
      </c>
      <c r="J7" s="52" t="s">
        <v>207</v>
      </c>
    </row>
    <row r="8" spans="1:10" x14ac:dyDescent="0.3">
      <c r="A8" s="51">
        <v>5</v>
      </c>
      <c r="B8" s="51" t="s">
        <v>159</v>
      </c>
      <c r="C8" s="52" t="s">
        <v>160</v>
      </c>
      <c r="D8" s="51" t="s">
        <v>148</v>
      </c>
      <c r="E8" s="53">
        <v>28</v>
      </c>
      <c r="F8" s="53">
        <v>162.69999999999999</v>
      </c>
      <c r="G8" s="54">
        <v>3</v>
      </c>
      <c r="H8" s="54">
        <v>22</v>
      </c>
      <c r="I8" s="54">
        <f t="shared" si="0"/>
        <v>4555.5999999999995</v>
      </c>
      <c r="J8" s="52" t="s">
        <v>208</v>
      </c>
    </row>
    <row r="9" spans="1:10" x14ac:dyDescent="0.3">
      <c r="A9" s="51">
        <v>6</v>
      </c>
      <c r="B9" s="51" t="s">
        <v>162</v>
      </c>
      <c r="C9" s="52" t="s">
        <v>163</v>
      </c>
      <c r="D9" s="51" t="s">
        <v>148</v>
      </c>
      <c r="E9" s="53">
        <v>65</v>
      </c>
      <c r="F9" s="53">
        <v>79.599999999999994</v>
      </c>
      <c r="G9" s="54">
        <v>2</v>
      </c>
      <c r="H9" s="54">
        <v>22</v>
      </c>
      <c r="I9" s="54">
        <f t="shared" si="0"/>
        <v>5174</v>
      </c>
      <c r="J9" s="52" t="s">
        <v>209</v>
      </c>
    </row>
    <row r="10" spans="1:10" x14ac:dyDescent="0.3">
      <c r="A10" s="51">
        <v>7</v>
      </c>
      <c r="B10" s="51" t="s">
        <v>165</v>
      </c>
      <c r="C10" s="52" t="s">
        <v>210</v>
      </c>
      <c r="D10" s="51" t="s">
        <v>151</v>
      </c>
      <c r="E10" s="53">
        <v>42</v>
      </c>
      <c r="F10" s="53">
        <v>263.8</v>
      </c>
      <c r="G10" s="54">
        <v>6</v>
      </c>
      <c r="H10" s="54">
        <v>22</v>
      </c>
      <c r="I10" s="54">
        <f t="shared" si="0"/>
        <v>11079.6</v>
      </c>
      <c r="J10" s="52" t="s">
        <v>211</v>
      </c>
    </row>
    <row r="11" spans="1:10" x14ac:dyDescent="0.3">
      <c r="A11" s="51">
        <v>8</v>
      </c>
      <c r="B11" s="51" t="s">
        <v>168</v>
      </c>
      <c r="C11" s="52" t="s">
        <v>169</v>
      </c>
      <c r="D11" s="51" t="s">
        <v>148</v>
      </c>
      <c r="E11" s="53">
        <v>64</v>
      </c>
      <c r="F11" s="53">
        <v>21.7</v>
      </c>
      <c r="G11" s="54">
        <v>1</v>
      </c>
      <c r="H11" s="54">
        <v>22</v>
      </c>
      <c r="I11" s="54">
        <f t="shared" si="0"/>
        <v>1388.8</v>
      </c>
      <c r="J11" s="52" t="s">
        <v>212</v>
      </c>
    </row>
    <row r="12" spans="1:10" x14ac:dyDescent="0.3">
      <c r="A12" s="51">
        <v>9</v>
      </c>
      <c r="B12" s="51" t="s">
        <v>171</v>
      </c>
      <c r="C12" s="52" t="s">
        <v>172</v>
      </c>
      <c r="D12" s="51" t="s">
        <v>148</v>
      </c>
      <c r="E12" s="53">
        <v>14</v>
      </c>
      <c r="F12" s="53">
        <v>72</v>
      </c>
      <c r="G12" s="54">
        <v>2</v>
      </c>
      <c r="H12" s="54">
        <v>36</v>
      </c>
      <c r="I12" s="54">
        <f t="shared" si="0"/>
        <v>1008</v>
      </c>
      <c r="J12" s="52" t="s">
        <v>213</v>
      </c>
    </row>
    <row r="13" spans="1:10" x14ac:dyDescent="0.3">
      <c r="A13" s="51">
        <v>10</v>
      </c>
      <c r="B13" s="51" t="s">
        <v>174</v>
      </c>
      <c r="C13" s="52" t="s">
        <v>175</v>
      </c>
      <c r="D13" s="51" t="s">
        <v>151</v>
      </c>
      <c r="E13" s="53">
        <v>44</v>
      </c>
      <c r="F13" s="53">
        <v>72</v>
      </c>
      <c r="G13" s="54">
        <v>1</v>
      </c>
      <c r="H13" s="54">
        <v>36</v>
      </c>
      <c r="I13" s="54">
        <f t="shared" si="0"/>
        <v>3168</v>
      </c>
      <c r="J13" s="52" t="s">
        <v>214</v>
      </c>
    </row>
    <row r="14" spans="1:10" x14ac:dyDescent="0.3">
      <c r="A14" s="51">
        <v>11</v>
      </c>
      <c r="B14" s="51" t="s">
        <v>177</v>
      </c>
      <c r="C14" s="52" t="s">
        <v>137</v>
      </c>
      <c r="D14" s="51" t="s">
        <v>148</v>
      </c>
      <c r="E14" s="53">
        <v>28</v>
      </c>
      <c r="F14" s="53">
        <v>72</v>
      </c>
      <c r="G14" s="54">
        <v>2</v>
      </c>
      <c r="H14" s="54">
        <v>36</v>
      </c>
      <c r="I14" s="54">
        <f t="shared" si="0"/>
        <v>2016</v>
      </c>
      <c r="J14" s="52" t="s">
        <v>215</v>
      </c>
    </row>
    <row r="15" spans="1:10" x14ac:dyDescent="0.3">
      <c r="A15" s="55"/>
      <c r="B15" s="55"/>
      <c r="C15" s="56" t="s">
        <v>216</v>
      </c>
      <c r="D15" s="55"/>
      <c r="E15" s="55"/>
      <c r="F15" s="57">
        <f>SUM(F4:F14)</f>
        <v>1369.9</v>
      </c>
      <c r="G15" s="58">
        <f>SUM(G4:G14)</f>
        <v>38</v>
      </c>
      <c r="H15" s="55"/>
      <c r="I15" s="58">
        <f>SUM(I4:I14)</f>
        <v>66483.08</v>
      </c>
      <c r="J15" s="55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"/>
  <sheetViews>
    <sheetView workbookViewId="0">
      <selection sqref="A1:H1"/>
    </sheetView>
  </sheetViews>
  <sheetFormatPr defaultRowHeight="14" x14ac:dyDescent="0.3"/>
  <cols>
    <col min="1" max="1" width="6" customWidth="1"/>
    <col min="2" max="2" width="44" customWidth="1"/>
    <col min="3" max="4" width="16" customWidth="1"/>
    <col min="5" max="5" width="20" customWidth="1"/>
    <col min="6" max="9" width="18" customWidth="1"/>
  </cols>
  <sheetData>
    <row r="1" spans="1:9" ht="16.5" x14ac:dyDescent="0.3">
      <c r="A1" s="65" t="s">
        <v>217</v>
      </c>
      <c r="B1" s="60"/>
      <c r="C1" s="60"/>
      <c r="D1" s="60"/>
      <c r="E1" s="60"/>
      <c r="F1" s="60"/>
      <c r="G1" s="60"/>
      <c r="H1" s="60"/>
    </row>
    <row r="3" spans="1:9" x14ac:dyDescent="0.3">
      <c r="A3" s="50" t="s">
        <v>9</v>
      </c>
      <c r="B3" s="50" t="s">
        <v>218</v>
      </c>
      <c r="C3" s="50" t="s">
        <v>219</v>
      </c>
      <c r="D3" s="50" t="s">
        <v>220</v>
      </c>
      <c r="E3" s="50" t="s">
        <v>221</v>
      </c>
      <c r="F3" s="50" t="s">
        <v>222</v>
      </c>
      <c r="G3" s="50" t="s">
        <v>223</v>
      </c>
      <c r="H3" s="50" t="s">
        <v>224</v>
      </c>
      <c r="I3" s="50" t="s">
        <v>225</v>
      </c>
    </row>
    <row r="4" spans="1:9" x14ac:dyDescent="0.3">
      <c r="A4" s="51">
        <v>1</v>
      </c>
      <c r="B4" s="52" t="s">
        <v>147</v>
      </c>
      <c r="C4" s="53">
        <v>89.6</v>
      </c>
      <c r="D4" s="53">
        <v>224.3</v>
      </c>
      <c r="E4" s="54">
        <f t="shared" ref="E4:E14" si="0">C4*D4</f>
        <v>20097.28</v>
      </c>
      <c r="F4" s="54">
        <f>E4*0.25</f>
        <v>5024.32</v>
      </c>
      <c r="G4" s="54">
        <f>E4*0.4</f>
        <v>8038.9120000000003</v>
      </c>
      <c r="H4" s="54">
        <f>E4*0.25</f>
        <v>5024.32</v>
      </c>
      <c r="I4" s="54">
        <f>E4*0.1</f>
        <v>2009.7280000000001</v>
      </c>
    </row>
    <row r="5" spans="1:9" x14ac:dyDescent="0.3">
      <c r="A5" s="51">
        <v>2</v>
      </c>
      <c r="B5" s="52" t="s">
        <v>203</v>
      </c>
      <c r="C5" s="53">
        <v>26</v>
      </c>
      <c r="D5" s="53">
        <v>151.30000000000001</v>
      </c>
      <c r="E5" s="54">
        <f t="shared" si="0"/>
        <v>3933.8</v>
      </c>
      <c r="F5" s="54">
        <f>E5*0.35</f>
        <v>1376.83</v>
      </c>
      <c r="G5" s="54">
        <f>E5*0.5</f>
        <v>1966.9</v>
      </c>
      <c r="H5" s="54">
        <f>E5*0.15</f>
        <v>590.07000000000005</v>
      </c>
      <c r="I5" s="54">
        <f>E5*0</f>
        <v>0</v>
      </c>
    </row>
    <row r="6" spans="1:9" x14ac:dyDescent="0.3">
      <c r="A6" s="51">
        <v>3</v>
      </c>
      <c r="B6" s="52" t="s">
        <v>154</v>
      </c>
      <c r="C6" s="53">
        <v>44</v>
      </c>
      <c r="D6" s="53">
        <v>212.5</v>
      </c>
      <c r="E6" s="54">
        <f t="shared" si="0"/>
        <v>9350</v>
      </c>
      <c r="F6" s="54">
        <f>E6*0</f>
        <v>0</v>
      </c>
      <c r="G6" s="54">
        <f>E6*0.1</f>
        <v>935</v>
      </c>
      <c r="H6" s="54">
        <f>E6*0.5</f>
        <v>4675</v>
      </c>
      <c r="I6" s="54">
        <f>E6*0.4</f>
        <v>3740</v>
      </c>
    </row>
    <row r="7" spans="1:9" x14ac:dyDescent="0.3">
      <c r="A7" s="51">
        <v>4</v>
      </c>
      <c r="B7" s="52" t="s">
        <v>157</v>
      </c>
      <c r="C7" s="53">
        <v>124</v>
      </c>
      <c r="D7" s="53">
        <v>38</v>
      </c>
      <c r="E7" s="54">
        <f t="shared" si="0"/>
        <v>4712</v>
      </c>
      <c r="F7" s="54">
        <f>E7*0</f>
        <v>0</v>
      </c>
      <c r="G7" s="54">
        <f>E7*0.1</f>
        <v>471.20000000000005</v>
      </c>
      <c r="H7" s="54">
        <f>E7*0.5</f>
        <v>2356</v>
      </c>
      <c r="I7" s="54">
        <f>E7*0.4</f>
        <v>1884.8000000000002</v>
      </c>
    </row>
    <row r="8" spans="1:9" x14ac:dyDescent="0.3">
      <c r="A8" s="51">
        <v>5</v>
      </c>
      <c r="B8" s="52" t="s">
        <v>160</v>
      </c>
      <c r="C8" s="53">
        <v>28</v>
      </c>
      <c r="D8" s="53">
        <v>162.69999999999999</v>
      </c>
      <c r="E8" s="54">
        <f t="shared" si="0"/>
        <v>4555.5999999999995</v>
      </c>
      <c r="F8" s="54">
        <f>E8*0.1</f>
        <v>455.55999999999995</v>
      </c>
      <c r="G8" s="54">
        <f>E8*0.45</f>
        <v>2050.02</v>
      </c>
      <c r="H8" s="54">
        <f>E8*0.35</f>
        <v>1594.4599999999998</v>
      </c>
      <c r="I8" s="54">
        <f>E8*0.1</f>
        <v>455.55999999999995</v>
      </c>
    </row>
    <row r="9" spans="1:9" x14ac:dyDescent="0.3">
      <c r="A9" s="51">
        <v>6</v>
      </c>
      <c r="B9" s="52" t="s">
        <v>163</v>
      </c>
      <c r="C9" s="53">
        <v>65</v>
      </c>
      <c r="D9" s="53">
        <v>79.599999999999994</v>
      </c>
      <c r="E9" s="54">
        <f t="shared" si="0"/>
        <v>5174</v>
      </c>
      <c r="F9" s="54">
        <f>E9*0.05</f>
        <v>258.7</v>
      </c>
      <c r="G9" s="54">
        <f>E9*0.45</f>
        <v>2328.3000000000002</v>
      </c>
      <c r="H9" s="54">
        <f>E9*0.4</f>
        <v>2069.6</v>
      </c>
      <c r="I9" s="54">
        <f>E9*0.1</f>
        <v>517.4</v>
      </c>
    </row>
    <row r="10" spans="1:9" x14ac:dyDescent="0.3">
      <c r="A10" s="51">
        <v>7</v>
      </c>
      <c r="B10" s="52" t="s">
        <v>166</v>
      </c>
      <c r="C10" s="53">
        <v>42</v>
      </c>
      <c r="D10" s="53">
        <v>263.8</v>
      </c>
      <c r="E10" s="54">
        <f t="shared" si="0"/>
        <v>11079.6</v>
      </c>
      <c r="F10" s="54">
        <f>E10*0.05</f>
        <v>553.98</v>
      </c>
      <c r="G10" s="54">
        <f>E10*0.45</f>
        <v>4985.8200000000006</v>
      </c>
      <c r="H10" s="54">
        <f>E10*0.4</f>
        <v>4431.84</v>
      </c>
      <c r="I10" s="54">
        <f>E10*0.1</f>
        <v>1107.96</v>
      </c>
    </row>
    <row r="11" spans="1:9" x14ac:dyDescent="0.3">
      <c r="A11" s="51">
        <v>8</v>
      </c>
      <c r="B11" s="52" t="s">
        <v>169</v>
      </c>
      <c r="C11" s="53">
        <v>64</v>
      </c>
      <c r="D11" s="53">
        <v>21.7</v>
      </c>
      <c r="E11" s="54">
        <f t="shared" si="0"/>
        <v>1388.8</v>
      </c>
      <c r="F11" s="54">
        <f>E11*0</f>
        <v>0</v>
      </c>
      <c r="G11" s="54">
        <f>E11*0.45</f>
        <v>624.96</v>
      </c>
      <c r="H11" s="54">
        <f>E11*0.45</f>
        <v>624.96</v>
      </c>
      <c r="I11" s="54">
        <f>E11*0.1</f>
        <v>138.88</v>
      </c>
    </row>
    <row r="12" spans="1:9" x14ac:dyDescent="0.3">
      <c r="A12" s="51">
        <v>9</v>
      </c>
      <c r="B12" s="52" t="s">
        <v>226</v>
      </c>
      <c r="C12" s="53">
        <v>14</v>
      </c>
      <c r="D12" s="53">
        <v>72</v>
      </c>
      <c r="E12" s="54">
        <f t="shared" si="0"/>
        <v>1008</v>
      </c>
      <c r="F12" s="54">
        <f>E12*0.2</f>
        <v>201.60000000000002</v>
      </c>
      <c r="G12" s="54">
        <f>E12*0.3</f>
        <v>302.39999999999998</v>
      </c>
      <c r="H12" s="54">
        <f>E12*0.3</f>
        <v>302.39999999999998</v>
      </c>
      <c r="I12" s="54">
        <f>E12*0.2</f>
        <v>201.60000000000002</v>
      </c>
    </row>
    <row r="13" spans="1:9" x14ac:dyDescent="0.3">
      <c r="A13" s="51">
        <v>10</v>
      </c>
      <c r="B13" s="52" t="s">
        <v>175</v>
      </c>
      <c r="C13" s="53">
        <v>44</v>
      </c>
      <c r="D13" s="53">
        <v>72</v>
      </c>
      <c r="E13" s="54">
        <f t="shared" si="0"/>
        <v>3168</v>
      </c>
      <c r="F13" s="54">
        <f>E13*0.2</f>
        <v>633.6</v>
      </c>
      <c r="G13" s="54">
        <f>E13*0.3</f>
        <v>950.4</v>
      </c>
      <c r="H13" s="54">
        <f>E13*0.3</f>
        <v>950.4</v>
      </c>
      <c r="I13" s="54">
        <f>E13*0.2</f>
        <v>633.6</v>
      </c>
    </row>
    <row r="14" spans="1:9" x14ac:dyDescent="0.3">
      <c r="A14" s="51">
        <v>11</v>
      </c>
      <c r="B14" s="52" t="s">
        <v>178</v>
      </c>
      <c r="C14" s="53">
        <v>28</v>
      </c>
      <c r="D14" s="53">
        <v>72</v>
      </c>
      <c r="E14" s="54">
        <f t="shared" si="0"/>
        <v>2016</v>
      </c>
      <c r="F14" s="54">
        <f>E14*0.2</f>
        <v>403.20000000000005</v>
      </c>
      <c r="G14" s="54">
        <f>E14*0.3</f>
        <v>604.79999999999995</v>
      </c>
      <c r="H14" s="54">
        <f>E14*0.3</f>
        <v>604.79999999999995</v>
      </c>
      <c r="I14" s="54">
        <f>E14*0.2</f>
        <v>403.20000000000005</v>
      </c>
    </row>
    <row r="15" spans="1:9" x14ac:dyDescent="0.3">
      <c r="A15" s="55"/>
      <c r="B15" s="56" t="s">
        <v>227</v>
      </c>
      <c r="C15" s="55"/>
      <c r="D15" s="57">
        <f t="shared" ref="D15:I15" si="1">SUM(D4:D14)</f>
        <v>1369.9</v>
      </c>
      <c r="E15" s="58">
        <f t="shared" si="1"/>
        <v>66483.08</v>
      </c>
      <c r="F15" s="58">
        <f t="shared" si="1"/>
        <v>8907.7900000000009</v>
      </c>
      <c r="G15" s="58">
        <f t="shared" si="1"/>
        <v>23258.712000000003</v>
      </c>
      <c r="H15" s="58">
        <f t="shared" si="1"/>
        <v>23223.850000000002</v>
      </c>
      <c r="I15" s="58">
        <f t="shared" si="1"/>
        <v>11092.728000000001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workbookViewId="0">
      <selection sqref="A1:H1"/>
    </sheetView>
  </sheetViews>
  <sheetFormatPr defaultRowHeight="14" x14ac:dyDescent="0.3"/>
  <cols>
    <col min="1" max="1" width="6" customWidth="1"/>
    <col min="2" max="2" width="46" customWidth="1"/>
    <col min="3" max="4" width="22" customWidth="1"/>
    <col min="5" max="5" width="26" customWidth="1"/>
    <col min="6" max="6" width="20" customWidth="1"/>
    <col min="7" max="7" width="22" customWidth="1"/>
    <col min="8" max="8" width="38" customWidth="1"/>
  </cols>
  <sheetData>
    <row r="1" spans="1:8" ht="16.5" x14ac:dyDescent="0.3">
      <c r="A1" s="65" t="s">
        <v>228</v>
      </c>
      <c r="B1" s="60"/>
      <c r="C1" s="60"/>
      <c r="D1" s="60"/>
      <c r="E1" s="60"/>
      <c r="F1" s="60"/>
      <c r="G1" s="60"/>
      <c r="H1" s="60"/>
    </row>
    <row r="3" spans="1:8" x14ac:dyDescent="0.3">
      <c r="A3" s="50" t="s">
        <v>9</v>
      </c>
      <c r="B3" s="50" t="s">
        <v>229</v>
      </c>
      <c r="C3" s="50" t="s">
        <v>230</v>
      </c>
      <c r="D3" s="50" t="s">
        <v>231</v>
      </c>
      <c r="E3" s="50" t="s">
        <v>232</v>
      </c>
      <c r="F3" s="50" t="s">
        <v>233</v>
      </c>
      <c r="G3" s="50" t="s">
        <v>234</v>
      </c>
      <c r="H3" s="50" t="s">
        <v>235</v>
      </c>
    </row>
    <row r="4" spans="1:8" x14ac:dyDescent="0.3">
      <c r="A4" s="51">
        <v>1</v>
      </c>
      <c r="B4" s="52" t="s">
        <v>236</v>
      </c>
      <c r="C4" s="54">
        <v>12</v>
      </c>
      <c r="D4" s="54">
        <v>18</v>
      </c>
      <c r="E4" s="54">
        <v>30</v>
      </c>
      <c r="F4" s="54">
        <v>0</v>
      </c>
      <c r="G4" s="54">
        <f t="shared" ref="G4:G14" si="0">SUM(C4:F4)</f>
        <v>60</v>
      </c>
      <c r="H4" s="52" t="s">
        <v>237</v>
      </c>
    </row>
    <row r="5" spans="1:8" x14ac:dyDescent="0.3">
      <c r="A5" s="51">
        <v>2</v>
      </c>
      <c r="B5" s="52" t="s">
        <v>238</v>
      </c>
      <c r="C5" s="54">
        <v>14</v>
      </c>
      <c r="D5" s="54">
        <v>20</v>
      </c>
      <c r="E5" s="54">
        <v>36</v>
      </c>
      <c r="F5" s="54">
        <v>0</v>
      </c>
      <c r="G5" s="54">
        <f t="shared" si="0"/>
        <v>70</v>
      </c>
      <c r="H5" s="52" t="s">
        <v>239</v>
      </c>
    </row>
    <row r="6" spans="1:8" x14ac:dyDescent="0.3">
      <c r="A6" s="51">
        <v>3</v>
      </c>
      <c r="B6" s="52" t="s">
        <v>240</v>
      </c>
      <c r="C6" s="54">
        <v>8</v>
      </c>
      <c r="D6" s="54">
        <v>12</v>
      </c>
      <c r="E6" s="54">
        <v>20</v>
      </c>
      <c r="F6" s="54">
        <v>0</v>
      </c>
      <c r="G6" s="54">
        <f t="shared" si="0"/>
        <v>40</v>
      </c>
      <c r="H6" s="52" t="s">
        <v>241</v>
      </c>
    </row>
    <row r="7" spans="1:8" x14ac:dyDescent="0.3">
      <c r="A7" s="51">
        <v>4</v>
      </c>
      <c r="B7" s="52" t="s">
        <v>242</v>
      </c>
      <c r="C7" s="54">
        <v>4</v>
      </c>
      <c r="D7" s="54">
        <v>6</v>
      </c>
      <c r="E7" s="54">
        <v>12</v>
      </c>
      <c r="F7" s="54">
        <v>0</v>
      </c>
      <c r="G7" s="54">
        <f t="shared" si="0"/>
        <v>22</v>
      </c>
      <c r="H7" s="52" t="s">
        <v>243</v>
      </c>
    </row>
    <row r="8" spans="1:8" x14ac:dyDescent="0.3">
      <c r="A8" s="51">
        <v>5</v>
      </c>
      <c r="B8" s="52" t="s">
        <v>244</v>
      </c>
      <c r="C8" s="54">
        <v>6</v>
      </c>
      <c r="D8" s="54">
        <v>8</v>
      </c>
      <c r="E8" s="54">
        <v>14</v>
      </c>
      <c r="F8" s="54">
        <v>0</v>
      </c>
      <c r="G8" s="54">
        <f t="shared" si="0"/>
        <v>28</v>
      </c>
      <c r="H8" s="52" t="s">
        <v>245</v>
      </c>
    </row>
    <row r="9" spans="1:8" x14ac:dyDescent="0.3">
      <c r="A9" s="51">
        <v>6</v>
      </c>
      <c r="B9" s="52" t="s">
        <v>246</v>
      </c>
      <c r="C9" s="54">
        <v>0</v>
      </c>
      <c r="D9" s="54">
        <v>0</v>
      </c>
      <c r="E9" s="54">
        <v>0</v>
      </c>
      <c r="F9" s="54">
        <v>16</v>
      </c>
      <c r="G9" s="54">
        <f t="shared" si="0"/>
        <v>16</v>
      </c>
      <c r="H9" s="52" t="s">
        <v>247</v>
      </c>
    </row>
    <row r="10" spans="1:8" x14ac:dyDescent="0.3">
      <c r="A10" s="51">
        <v>7</v>
      </c>
      <c r="B10" s="52" t="s">
        <v>248</v>
      </c>
      <c r="C10" s="54">
        <v>0</v>
      </c>
      <c r="D10" s="54">
        <v>0</v>
      </c>
      <c r="E10" s="54">
        <v>0</v>
      </c>
      <c r="F10" s="54">
        <v>10</v>
      </c>
      <c r="G10" s="54">
        <f t="shared" si="0"/>
        <v>10</v>
      </c>
      <c r="H10" s="52" t="s">
        <v>249</v>
      </c>
    </row>
    <row r="11" spans="1:8" x14ac:dyDescent="0.3">
      <c r="A11" s="51">
        <v>8</v>
      </c>
      <c r="B11" s="52" t="s">
        <v>250</v>
      </c>
      <c r="C11" s="54">
        <v>0</v>
      </c>
      <c r="D11" s="54">
        <v>0</v>
      </c>
      <c r="E11" s="54">
        <v>0</v>
      </c>
      <c r="F11" s="54">
        <v>12</v>
      </c>
      <c r="G11" s="54">
        <f t="shared" si="0"/>
        <v>12</v>
      </c>
      <c r="H11" s="52" t="s">
        <v>251</v>
      </c>
    </row>
    <row r="12" spans="1:8" x14ac:dyDescent="0.3">
      <c r="A12" s="51">
        <v>9</v>
      </c>
      <c r="B12" s="52" t="s">
        <v>252</v>
      </c>
      <c r="C12" s="54">
        <v>0</v>
      </c>
      <c r="D12" s="54">
        <v>0</v>
      </c>
      <c r="E12" s="54">
        <v>0</v>
      </c>
      <c r="F12" s="54">
        <v>6</v>
      </c>
      <c r="G12" s="54">
        <f t="shared" si="0"/>
        <v>6</v>
      </c>
      <c r="H12" s="52" t="s">
        <v>253</v>
      </c>
    </row>
    <row r="13" spans="1:8" x14ac:dyDescent="0.3">
      <c r="A13" s="51">
        <v>10</v>
      </c>
      <c r="B13" s="52" t="s">
        <v>254</v>
      </c>
      <c r="C13" s="54">
        <v>0</v>
      </c>
      <c r="D13" s="54">
        <v>0</v>
      </c>
      <c r="E13" s="54">
        <v>0</v>
      </c>
      <c r="F13" s="54">
        <v>10</v>
      </c>
      <c r="G13" s="54">
        <f t="shared" si="0"/>
        <v>10</v>
      </c>
      <c r="H13" s="52" t="s">
        <v>255</v>
      </c>
    </row>
    <row r="14" spans="1:8" x14ac:dyDescent="0.3">
      <c r="A14" s="51">
        <v>11</v>
      </c>
      <c r="B14" s="52" t="s">
        <v>256</v>
      </c>
      <c r="C14" s="54">
        <v>3</v>
      </c>
      <c r="D14" s="54">
        <v>3</v>
      </c>
      <c r="E14" s="54">
        <v>5</v>
      </c>
      <c r="F14" s="54">
        <v>5</v>
      </c>
      <c r="G14" s="54">
        <f t="shared" si="0"/>
        <v>16</v>
      </c>
      <c r="H14" s="52" t="s">
        <v>257</v>
      </c>
    </row>
    <row r="15" spans="1:8" x14ac:dyDescent="0.3">
      <c r="A15" s="55"/>
      <c r="B15" s="56" t="s">
        <v>258</v>
      </c>
      <c r="C15" s="58">
        <f>SUM(C4:C14)</f>
        <v>47</v>
      </c>
      <c r="D15" s="58">
        <f>SUM(D4:D14)</f>
        <v>67</v>
      </c>
      <c r="E15" s="58">
        <f>SUM(E4:E14)</f>
        <v>117</v>
      </c>
      <c r="F15" s="58">
        <f>SUM(F4:F14)</f>
        <v>59</v>
      </c>
      <c r="G15" s="58">
        <f>SUM(G4:G14)</f>
        <v>290</v>
      </c>
      <c r="H15" s="55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"/>
  <sheetViews>
    <sheetView workbookViewId="0">
      <selection activeCell="C6" sqref="C6"/>
    </sheetView>
  </sheetViews>
  <sheetFormatPr defaultRowHeight="14" x14ac:dyDescent="0.3"/>
  <cols>
    <col min="1" max="1" width="6" customWidth="1"/>
    <col min="2" max="2" width="46" customWidth="1"/>
    <col min="3" max="3" width="22" customWidth="1"/>
    <col min="4" max="4" width="16" customWidth="1"/>
    <col min="5" max="6" width="22" customWidth="1"/>
    <col min="7" max="7" width="24" customWidth="1"/>
    <col min="8" max="8" width="26" customWidth="1"/>
  </cols>
  <sheetData>
    <row r="1" spans="1:8" ht="16.5" x14ac:dyDescent="0.3">
      <c r="A1" s="65" t="s">
        <v>259</v>
      </c>
      <c r="B1" s="60"/>
      <c r="C1" s="60"/>
      <c r="D1" s="60"/>
      <c r="E1" s="60"/>
      <c r="F1" s="60"/>
      <c r="G1" s="60"/>
      <c r="H1" s="60"/>
    </row>
    <row r="3" spans="1:8" x14ac:dyDescent="0.3">
      <c r="A3" s="50" t="s">
        <v>9</v>
      </c>
      <c r="B3" s="50" t="s">
        <v>260</v>
      </c>
      <c r="C3" s="50" t="s">
        <v>261</v>
      </c>
      <c r="D3" s="50" t="s">
        <v>262</v>
      </c>
      <c r="E3" s="50" t="s">
        <v>263</v>
      </c>
      <c r="F3" s="50" t="s">
        <v>264</v>
      </c>
      <c r="G3" s="50" t="s">
        <v>265</v>
      </c>
      <c r="H3" s="50" t="s">
        <v>266</v>
      </c>
    </row>
    <row r="4" spans="1:8" x14ac:dyDescent="0.3">
      <c r="A4" s="51">
        <v>1</v>
      </c>
      <c r="B4" s="52" t="s">
        <v>267</v>
      </c>
      <c r="C4" s="51" t="s">
        <v>268</v>
      </c>
      <c r="D4" s="53">
        <v>385</v>
      </c>
      <c r="E4" s="53">
        <v>897.05</v>
      </c>
      <c r="F4" s="53">
        <v>51.98</v>
      </c>
      <c r="G4" s="53">
        <v>4747.05</v>
      </c>
      <c r="H4" s="53">
        <v>80.73</v>
      </c>
    </row>
    <row r="5" spans="1:8" x14ac:dyDescent="0.3">
      <c r="A5" s="51">
        <v>2</v>
      </c>
      <c r="B5" s="52" t="s">
        <v>269</v>
      </c>
      <c r="C5" s="51" t="s">
        <v>270</v>
      </c>
      <c r="D5" s="53">
        <v>560</v>
      </c>
      <c r="E5" s="53">
        <v>2287.6</v>
      </c>
      <c r="F5" s="53">
        <v>106.4</v>
      </c>
      <c r="G5" s="53">
        <v>9861.6</v>
      </c>
      <c r="H5" s="53">
        <v>154.84</v>
      </c>
    </row>
    <row r="6" spans="1:8" x14ac:dyDescent="0.3">
      <c r="A6" s="51">
        <v>3</v>
      </c>
      <c r="B6" s="52" t="s">
        <v>271</v>
      </c>
      <c r="C6" s="51" t="s">
        <v>272</v>
      </c>
      <c r="D6" s="53">
        <v>1225</v>
      </c>
      <c r="E6" s="53">
        <v>8685.25</v>
      </c>
      <c r="F6" s="53">
        <v>434.88</v>
      </c>
      <c r="G6" s="53">
        <v>30331</v>
      </c>
      <c r="H6" s="53">
        <v>517.79999999999995</v>
      </c>
    </row>
    <row r="7" spans="1:8" x14ac:dyDescent="0.3">
      <c r="A7" s="55"/>
      <c r="B7" s="56" t="s">
        <v>273</v>
      </c>
      <c r="C7" s="55"/>
      <c r="D7" s="57">
        <f>SUM(D4:D6)</f>
        <v>2170</v>
      </c>
      <c r="E7" s="57">
        <f>SUM(E4:E6)</f>
        <v>11869.9</v>
      </c>
      <c r="F7" s="57">
        <f>SUM(F4:F6)</f>
        <v>593.26</v>
      </c>
      <c r="G7" s="57">
        <f>SUM(G4:G6)</f>
        <v>44939.65</v>
      </c>
      <c r="H7" s="57">
        <f>SUM(H4:H6)</f>
        <v>753.36999999999989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01_TienDo_CaMay_Master</vt:lpstr>
      <vt:lpstr>02_TongHop_CaXe_CaMay_MMTB</vt:lpstr>
      <vt:lpstr>03_KeHoach_Dau_Diezel</vt:lpstr>
      <vt:lpstr>04_KeHoach_NhanLuc_3_Mui</vt:lpstr>
      <vt:lpstr>05_DoiChieu_BocTach_A5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 nguyen</cp:lastModifiedBy>
  <dcterms:created xsi:type="dcterms:W3CDTF">2026-09-29T12:37:58Z</dcterms:created>
  <dcterms:modified xsi:type="dcterms:W3CDTF">2026-09-29T12:48:18Z</dcterms:modified>
</cp:coreProperties>
</file>