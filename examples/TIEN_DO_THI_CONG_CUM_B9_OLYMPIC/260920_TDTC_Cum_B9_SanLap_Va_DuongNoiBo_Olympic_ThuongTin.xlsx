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_Do_Thi_Cong_Master" sheetId="1" state="visible" r:id="rId1"/>
    <sheet xmlns:r="http://schemas.openxmlformats.org/officeDocument/2006/relationships" name="02_Ke_Hoach_Vat_Tu_BOM" sheetId="2" state="visible" r:id="rId2"/>
    <sheet xmlns:r="http://schemas.openxmlformats.org/officeDocument/2006/relationships" name="03_Ke_Hoach_MMTB_NhanLuc" sheetId="3" state="visible" r:id="rId3"/>
    <sheet xmlns:r="http://schemas.openxmlformats.org/officeDocument/2006/relationships" name="04_Dinh_Muc_Nang_Suat_Vincons" sheetId="4" state="visible" r:id="rId4"/>
    <sheet xmlns:r="http://schemas.openxmlformats.org/officeDocument/2006/relationships" name="05_Bang_Tinh_Khoi_Luong_Chi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C00000"/>
      <sz val="11"/>
    </font>
    <font>
      <name val="Arial"/>
      <b val="1"/>
      <sz val="10"/>
    </font>
    <font>
      <name val="Arial"/>
      <i val="1"/>
      <sz val="10"/>
    </font>
    <font>
      <name val="Arial"/>
      <color rgb="00008000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C00000"/>
      <sz val="8"/>
    </font>
    <font>
      <name val="Arial"/>
      <b val="1"/>
      <color rgb="001B365D"/>
      <sz val="8"/>
    </font>
    <font>
      <name val="Arial"/>
      <sz val="8.5"/>
    </font>
    <font>
      <name val="Arial"/>
      <color rgb="001B365D"/>
      <sz val="8"/>
    </font>
    <font>
      <name val="Arial"/>
      <color rgb="00BFBFBF"/>
      <sz val="7"/>
    </font>
    <font>
      <name val="Arial"/>
      <b val="1"/>
      <sz val="8.5"/>
    </font>
    <font>
      <name val="Arial"/>
      <color rgb="00276A3C"/>
      <sz val="8"/>
    </font>
    <font>
      <name val="Arial"/>
      <b val="1"/>
      <color rgb="00FFFFFF"/>
      <sz val="10"/>
    </font>
    <font>
      <name val="Arial"/>
      <b val="1"/>
      <color rgb="00002060"/>
      <sz val="9"/>
    </font>
    <font>
      <name val="Arial"/>
      <b val="1"/>
      <color rgb="00FFFFFF"/>
      <sz val="11"/>
    </font>
    <font>
      <name val="Arial"/>
      <b val="1"/>
      <color rgb="00FFFFFF"/>
      <sz val="8.5"/>
    </font>
    <font>
      <name val="Arial"/>
      <b val="1"/>
      <color rgb="00C00000"/>
      <sz val="10"/>
    </font>
    <font>
      <name val="Arial"/>
      <sz val="8"/>
    </font>
    <font>
      <name val="Arial"/>
      <color rgb="00333333"/>
      <sz val="7.5"/>
    </font>
    <font>
      <name val="Arial"/>
      <b val="1"/>
      <color rgb="00C00000"/>
      <sz val="8.5"/>
    </font>
    <font>
      <name val="Arial"/>
      <b val="1"/>
      <color rgb="00FFFFFF"/>
      <sz val="13"/>
    </font>
    <font>
      <name val="Arial"/>
      <b val="1"/>
      <color rgb="001B365D"/>
      <sz val="11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  <font>
      <name val="Arial"/>
      <b val="1"/>
      <color rgb="00C00000"/>
      <sz val="9.5"/>
    </font>
    <font>
      <name val="Arial"/>
      <b val="1"/>
      <color rgb="00002060"/>
      <sz val="9.5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385723"/>
        <bgColor rgb="003857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7" fillId="2" borderId="0" pivotButton="0" quotePrefix="0" xfId="0"/>
    <xf numFmtId="164" fontId="7" fillId="2" borderId="0" pivotButton="0" quotePrefix="0" xfId="0"/>
    <xf numFmtId="3" fontId="7" fillId="2" borderId="0" pivotButton="0" quotePrefix="0" xfId="0"/>
    <xf numFmtId="0" fontId="7" fillId="3" borderId="0" pivotButton="0" quotePrefix="0" xfId="0"/>
    <xf numFmtId="164" fontId="7" fillId="3" borderId="0" pivotButton="0" quotePrefix="0" xfId="0"/>
    <xf numFmtId="3" fontId="7" fillId="3" borderId="0" pivotButton="0" quotePrefix="0" xfId="0"/>
    <xf numFmtId="0" fontId="11" fillId="0" borderId="1" pivotButton="0" quotePrefix="0" xfId="0"/>
    <xf numFmtId="164" fontId="11" fillId="0" borderId="1" pivotButton="0" quotePrefix="0" xfId="0"/>
    <xf numFmtId="3" fontId="11" fillId="0" borderId="1" pivotButton="0" quotePrefix="0" xfId="0"/>
    <xf numFmtId="0" fontId="12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6" borderId="1" pivotButton="0" quotePrefix="0" xfId="0"/>
    <xf numFmtId="164" fontId="14" fillId="6" borderId="1" pivotButton="0" quotePrefix="0" xfId="0"/>
    <xf numFmtId="3" fontId="14" fillId="6" borderId="1" pivotButton="0" quotePrefix="0" xfId="0"/>
    <xf numFmtId="0" fontId="9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16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3" fontId="0" fillId="2" borderId="0" pivotButton="0" quotePrefix="0" xfId="0"/>
    <xf numFmtId="0" fontId="17" fillId="4" borderId="2" applyAlignment="1" pivotButton="0" quotePrefix="0" xfId="0">
      <alignment horizontal="center" vertical="center"/>
    </xf>
    <xf numFmtId="0" fontId="18" fillId="2" borderId="0" pivotButton="0" quotePrefix="0" xfId="0"/>
    <xf numFmtId="0" fontId="19" fillId="3" borderId="0" applyAlignment="1" pivotButton="0" quotePrefix="0" xfId="0">
      <alignment horizontal="center" vertical="center"/>
    </xf>
    <xf numFmtId="164" fontId="19" fillId="3" borderId="0" applyAlignment="1" pivotButton="0" quotePrefix="0" xfId="0">
      <alignment horizontal="center" vertical="center"/>
    </xf>
    <xf numFmtId="3" fontId="19" fillId="3" borderId="0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8" fillId="12" borderId="0" pivotButton="0" quotePrefix="0" xfId="0"/>
    <xf numFmtId="0" fontId="0" fillId="12" borderId="0" pivotButton="0" quotePrefix="0" xfId="0"/>
    <xf numFmtId="164" fontId="0" fillId="12" borderId="0" pivotButton="0" quotePrefix="0" xfId="0"/>
    <xf numFmtId="3" fontId="0" fillId="12" borderId="0" pivotButton="0" quotePrefix="0" xfId="0"/>
    <xf numFmtId="0" fontId="0" fillId="4" borderId="0" pivotButton="0" quotePrefix="0" xfId="0"/>
    <xf numFmtId="0" fontId="20" fillId="4" borderId="0" pivotButton="0" quotePrefix="0" xfId="0"/>
    <xf numFmtId="164" fontId="0" fillId="4" borderId="0" pivotButton="0" quotePrefix="0" xfId="0"/>
    <xf numFmtId="3" fontId="0" fillId="4" borderId="0" pivotButton="0" quotePrefix="0" xfId="0"/>
    <xf numFmtId="3" fontId="23" fillId="4" borderId="2" applyAlignment="1" pivotButton="0" quotePrefix="0" xfId="0">
      <alignment horizontal="right" vertical="center"/>
    </xf>
    <xf numFmtId="0" fontId="21" fillId="0" borderId="1" pivotButton="0" quotePrefix="0" xfId="0"/>
    <xf numFmtId="164" fontId="21" fillId="0" borderId="1" pivotButton="0" quotePrefix="0" xfId="0"/>
    <xf numFmtId="3" fontId="21" fillId="0" borderId="1" pivotButton="0" quotePrefix="0" xfId="0"/>
    <xf numFmtId="3" fontId="22" fillId="0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indent="1"/>
    </xf>
    <xf numFmtId="0" fontId="25" fillId="7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/>
    </xf>
    <xf numFmtId="165" fontId="27" fillId="0" borderId="1" applyAlignment="1" pivotButton="0" quotePrefix="0" xfId="0">
      <alignment horizontal="center" vertical="center"/>
    </xf>
    <xf numFmtId="164" fontId="27" fillId="0" borderId="1" applyAlignment="1" pivotButton="0" quotePrefix="0" xfId="0">
      <alignment horizontal="right" vertical="center"/>
    </xf>
    <xf numFmtId="0" fontId="28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left" vertical="center"/>
    </xf>
    <xf numFmtId="165" fontId="28" fillId="6" borderId="1" applyAlignment="1" pivotButton="0" quotePrefix="0" xfId="0">
      <alignment horizontal="center" vertical="center"/>
    </xf>
    <xf numFmtId="164" fontId="28" fillId="6" borderId="1" applyAlignment="1" pivotButton="0" quotePrefix="0" xfId="0">
      <alignment horizontal="right" vertical="center"/>
    </xf>
    <xf numFmtId="0" fontId="25" fillId="0" borderId="0" pivotButton="0" quotePrefix="0" xfId="0"/>
    <xf numFmtId="0" fontId="26" fillId="2" borderId="0" applyAlignment="1" pivotButton="0" quotePrefix="0" xfId="0">
      <alignment horizontal="center" vertical="center"/>
    </xf>
    <xf numFmtId="3" fontId="27" fillId="0" borderId="1" applyAlignment="1" pivotButton="0" quotePrefix="0" xfId="0">
      <alignment horizontal="right" vertical="center"/>
    </xf>
    <xf numFmtId="0" fontId="0" fillId="4" borderId="2" pivotButton="0" quotePrefix="0" xfId="0"/>
    <xf numFmtId="0" fontId="29" fillId="4" borderId="2" pivotButton="0" quotePrefix="0" xfId="0"/>
    <xf numFmtId="3" fontId="29" fillId="4" borderId="2" applyAlignment="1" pivotButton="0" quotePrefix="0" xfId="0">
      <alignment horizontal="right" vertical="center"/>
    </xf>
    <xf numFmtId="0" fontId="0" fillId="11" borderId="2" pivotButton="0" quotePrefix="0" xfId="0"/>
    <xf numFmtId="0" fontId="30" fillId="11" borderId="2" pivotButton="0" quotePrefix="0" xfId="0"/>
    <xf numFmtId="3" fontId="30" fillId="11" borderId="2" applyAlignment="1" pivotButton="0" quotePrefix="0" xfId="0">
      <alignment horizontal="right" vertical="center"/>
    </xf>
    <xf numFmtId="0" fontId="28" fillId="7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left" vertical="center"/>
    </xf>
    <xf numFmtId="0" fontId="31" fillId="6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left" vertical="center"/>
    </xf>
    <xf numFmtId="164" fontId="31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14" customWidth="1" min="9" max="9"/>
    <col width="14" customWidth="1" min="10" max="10"/>
    <col width="9" customWidth="1" min="11" max="11"/>
    <col width="12" customWidth="1" min="12" max="12"/>
    <col width="12" customWidth="1" min="13" max="13"/>
    <col width="9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5" customWidth="1" min="24" max="24"/>
    <col width="12" customWidth="1" min="25" max="25"/>
    <col width="12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  <col width="6.5" customWidth="1" min="52" max="52"/>
    <col width="6.5" customWidth="1" min="53" max="53"/>
    <col width="6.5" customWidth="1" min="54" max="54"/>
    <col width="6.5" customWidth="1" min="55" max="55"/>
    <col width="6.5" customWidth="1" min="56" max="56"/>
    <col width="6.5" customWidth="1" min="57" max="57"/>
    <col width="6.5" customWidth="1" min="58" max="58"/>
    <col width="6.5" customWidth="1" min="59" max="59"/>
    <col width="6.5" customWidth="1" min="60" max="60"/>
    <col width="6.5" customWidth="1" min="61" max="61"/>
    <col width="6.5" customWidth="1" min="62" max="62"/>
  </cols>
  <sheetData>
    <row r="1">
      <c r="A1" s="1" t="inlineStr">
        <is>
          <t>DỰ ÁN: SÂN VẬN ĐỘNG OLYMPIC - THƯỜNG TÍN, HÀ NỘI</t>
        </is>
      </c>
    </row>
    <row r="2">
      <c r="A2" s="2" t="inlineStr">
        <is>
          <t>TIẾN ĐỘ THI CÔNG HẠNG MỤC: HTKT THI CÔNG SAN LẤP CỤM B9 VÀ ĐƯỜNG NỘI BỘ</t>
        </is>
      </c>
    </row>
    <row r="3">
      <c r="A3" s="3" t="inlineStr">
        <is>
          <t>MỐC TIẾN ĐỘ THẦN TỐC: TỪ 20/09/2026 ĐẾN 25/10/2026 (TỔNG 36 NGÀY) - HOÀN THÀNH XONG TỚI THẢM THÔ BTN C19</t>
        </is>
      </c>
    </row>
    <row r="4">
      <c r="B4" s="4" t="inlineStr">
        <is>
          <t>Chế độ làm việc:</t>
        </is>
      </c>
      <c r="C4" s="5" t="inlineStr">
        <is>
          <t>2 ca/ngày (20 giờ/ngày - tăng ca thần tốc)</t>
        </is>
      </c>
      <c r="F4" s="4" t="inlineStr">
        <is>
          <t>Cân đối thiết bị:</t>
        </is>
      </c>
      <c r="G4" s="6" t="inlineStr">
        <is>
          <t>TRUE (Chuẩn ĐM Vincons)</t>
        </is>
      </c>
      <c r="J4" s="4" t="inlineStr">
        <is>
          <t>Cân đối biểu đồ NC:</t>
        </is>
      </c>
      <c r="K4" s="6" t="inlineStr">
        <is>
          <t>TRUE (2 ca liên tục)</t>
        </is>
      </c>
    </row>
    <row r="6">
      <c r="A6" s="7" t="inlineStr">
        <is>
          <t>TT</t>
        </is>
      </c>
      <c r="B6" s="7" t="inlineStr">
        <is>
          <t>Mã ĐM ca máy</t>
        </is>
      </c>
      <c r="C6" s="7" t="inlineStr">
        <is>
          <t>Nội dung công việc</t>
        </is>
      </c>
      <c r="D6" s="7" t="inlineStr">
        <is>
          <t>Đơn vị</t>
        </is>
      </c>
      <c r="E6" s="7" t="inlineStr">
        <is>
          <t>Diễn giải khối lượng</t>
        </is>
      </c>
      <c r="I6" s="7" t="inlineStr">
        <is>
          <t>KL thiết kế</t>
        </is>
      </c>
      <c r="J6" s="7" t="inlineStr">
        <is>
          <t>Năng xuất (KL/ngày)</t>
        </is>
      </c>
      <c r="K6" s="7" t="inlineStr">
        <is>
          <t>Tiến độ thi công</t>
        </is>
      </c>
      <c r="O6" s="7" t="inlineStr">
        <is>
          <t>Máy xúc PC200-300 (m3/ca)</t>
        </is>
      </c>
      <c r="P6" s="7" t="inlineStr">
        <is>
          <t>Máy xúc PC350-450 (m3/ca)</t>
        </is>
      </c>
      <c r="Q6" s="7" t="inlineStr">
        <is>
          <t>Máy ủi D3-D5 (m3/ca)</t>
        </is>
      </c>
      <c r="R6" s="7" t="inlineStr">
        <is>
          <t>Máy ủi CS 230CV (m3/ca)</t>
        </is>
      </c>
      <c r="S6" s="7" t="inlineStr">
        <is>
          <t>Máy lu 12T-16T (m3/ca)</t>
        </is>
      </c>
      <c r="T6" s="7" t="inlineStr">
        <is>
          <t>Máy san (m3/ca)</t>
        </is>
      </c>
      <c r="U6" s="7" t="inlineStr">
        <is>
          <t>Ô tô VC 18m3 (m3/ca)</t>
        </is>
      </c>
      <c r="V6" s="7" t="inlineStr">
        <is>
          <t>Máy xúc lốp PC140 (md/ca)</t>
        </is>
      </c>
      <c r="W6" s="7" t="inlineStr">
        <is>
          <t>Xe téc nước (m3/ca)</t>
        </is>
      </c>
      <c r="X6" s="7" t="inlineStr">
        <is>
          <t>Tổng hợp thiết bị</t>
        </is>
      </c>
      <c r="Y6" s="7" t="inlineStr">
        <is>
          <t>NC định mức (công)</t>
        </is>
      </c>
      <c r="Z6" s="7" t="inlineStr">
        <is>
          <t>NC bố trí (người)</t>
        </is>
      </c>
      <c r="AA6" s="8" t="inlineStr">
        <is>
          <t>20/09</t>
        </is>
      </c>
      <c r="AB6" s="9" t="inlineStr">
        <is>
          <t>21/09</t>
        </is>
      </c>
      <c r="AC6" s="9" t="inlineStr">
        <is>
          <t>22/09</t>
        </is>
      </c>
      <c r="AD6" s="9" t="inlineStr">
        <is>
          <t>23/09</t>
        </is>
      </c>
      <c r="AE6" s="9" t="inlineStr">
        <is>
          <t>24/09</t>
        </is>
      </c>
      <c r="AF6" s="9" t="inlineStr">
        <is>
          <t>25/09</t>
        </is>
      </c>
      <c r="AG6" s="9" t="inlineStr">
        <is>
          <t>26/09</t>
        </is>
      </c>
      <c r="AH6" s="8" t="inlineStr">
        <is>
          <t>27/09</t>
        </is>
      </c>
      <c r="AI6" s="9" t="inlineStr">
        <is>
          <t>28/09</t>
        </is>
      </c>
      <c r="AJ6" s="9" t="inlineStr">
        <is>
          <t>29/09</t>
        </is>
      </c>
      <c r="AK6" s="9" t="inlineStr">
        <is>
          <t>30/09</t>
        </is>
      </c>
      <c r="AL6" s="9" t="inlineStr">
        <is>
          <t>01/10</t>
        </is>
      </c>
      <c r="AM6" s="9" t="inlineStr">
        <is>
          <t>02/10</t>
        </is>
      </c>
      <c r="AN6" s="9" t="inlineStr">
        <is>
          <t>03/10</t>
        </is>
      </c>
      <c r="AO6" s="8" t="inlineStr">
        <is>
          <t>04/10</t>
        </is>
      </c>
      <c r="AP6" s="9" t="inlineStr">
        <is>
          <t>05/10</t>
        </is>
      </c>
      <c r="AQ6" s="9" t="inlineStr">
        <is>
          <t>06/10</t>
        </is>
      </c>
      <c r="AR6" s="9" t="inlineStr">
        <is>
          <t>07/10</t>
        </is>
      </c>
      <c r="AS6" s="9" t="inlineStr">
        <is>
          <t>08/10</t>
        </is>
      </c>
      <c r="AT6" s="9" t="inlineStr">
        <is>
          <t>09/10</t>
        </is>
      </c>
      <c r="AU6" s="9" t="inlineStr">
        <is>
          <t>10/10</t>
        </is>
      </c>
      <c r="AV6" s="8" t="inlineStr">
        <is>
          <t>11/10</t>
        </is>
      </c>
      <c r="AW6" s="9" t="inlineStr">
        <is>
          <t>12/10</t>
        </is>
      </c>
      <c r="AX6" s="9" t="inlineStr">
        <is>
          <t>13/10</t>
        </is>
      </c>
      <c r="AY6" s="9" t="inlineStr">
        <is>
          <t>14/10</t>
        </is>
      </c>
      <c r="AZ6" s="9" t="inlineStr">
        <is>
          <t>15/10</t>
        </is>
      </c>
      <c r="BA6" s="9" t="inlineStr">
        <is>
          <t>16/10</t>
        </is>
      </c>
      <c r="BB6" s="9" t="inlineStr">
        <is>
          <t>17/10</t>
        </is>
      </c>
      <c r="BC6" s="8" t="inlineStr">
        <is>
          <t>18/10</t>
        </is>
      </c>
      <c r="BD6" s="9" t="inlineStr">
        <is>
          <t>19/10</t>
        </is>
      </c>
      <c r="BE6" s="9" t="inlineStr">
        <is>
          <t>20/10</t>
        </is>
      </c>
      <c r="BF6" s="9" t="inlineStr">
        <is>
          <t>21/10</t>
        </is>
      </c>
      <c r="BG6" s="9" t="inlineStr">
        <is>
          <t>22/10</t>
        </is>
      </c>
      <c r="BH6" s="9" t="inlineStr">
        <is>
          <t>23/10</t>
        </is>
      </c>
      <c r="BI6" s="9" t="inlineStr">
        <is>
          <t>24/10</t>
        </is>
      </c>
      <c r="BJ6" s="8" t="inlineStr">
        <is>
          <t>25/10</t>
        </is>
      </c>
    </row>
    <row r="7">
      <c r="E7" s="10" t="inlineStr">
        <is>
          <t>Dài (m)</t>
        </is>
      </c>
      <c r="F7" s="10" t="inlineStr">
        <is>
          <t>Rộng (m)</t>
        </is>
      </c>
      <c r="G7" s="10" t="inlineStr">
        <is>
          <t>Cao (m)</t>
        </is>
      </c>
      <c r="H7" s="10" t="inlineStr">
        <is>
          <t>HS</t>
        </is>
      </c>
      <c r="K7" s="10" t="inlineStr">
        <is>
          <t>Số ngày</t>
        </is>
      </c>
      <c r="L7" s="10" t="inlineStr">
        <is>
          <t>Bắt đầu</t>
        </is>
      </c>
      <c r="M7" s="10" t="inlineStr">
        <is>
          <t>Kết thúc</t>
        </is>
      </c>
      <c r="N7" s="10" t="inlineStr">
        <is>
          <t>Số ca/ngày</t>
        </is>
      </c>
      <c r="AA7" s="11" t="inlineStr">
        <is>
          <t>CN</t>
        </is>
      </c>
      <c r="AB7" s="12" t="inlineStr">
        <is>
          <t>T2</t>
        </is>
      </c>
      <c r="AC7" s="12" t="inlineStr">
        <is>
          <t>T3</t>
        </is>
      </c>
      <c r="AD7" s="12" t="inlineStr">
        <is>
          <t>T4</t>
        </is>
      </c>
      <c r="AE7" s="12" t="inlineStr">
        <is>
          <t>T5</t>
        </is>
      </c>
      <c r="AF7" s="12" t="inlineStr">
        <is>
          <t>T6</t>
        </is>
      </c>
      <c r="AG7" s="12" t="inlineStr">
        <is>
          <t>T7</t>
        </is>
      </c>
      <c r="AH7" s="11" t="inlineStr">
        <is>
          <t>CN</t>
        </is>
      </c>
      <c r="AI7" s="12" t="inlineStr">
        <is>
          <t>T2</t>
        </is>
      </c>
      <c r="AJ7" s="12" t="inlineStr">
        <is>
          <t>T3</t>
        </is>
      </c>
      <c r="AK7" s="12" t="inlineStr">
        <is>
          <t>T4</t>
        </is>
      </c>
      <c r="AL7" s="12" t="inlineStr">
        <is>
          <t>T5</t>
        </is>
      </c>
      <c r="AM7" s="12" t="inlineStr">
        <is>
          <t>T6</t>
        </is>
      </c>
      <c r="AN7" s="12" t="inlineStr">
        <is>
          <t>T7</t>
        </is>
      </c>
      <c r="AO7" s="11" t="inlineStr">
        <is>
          <t>CN</t>
        </is>
      </c>
      <c r="AP7" s="12" t="inlineStr">
        <is>
          <t>T2</t>
        </is>
      </c>
      <c r="AQ7" s="12" t="inlineStr">
        <is>
          <t>T3</t>
        </is>
      </c>
      <c r="AR7" s="12" t="inlineStr">
        <is>
          <t>T4</t>
        </is>
      </c>
      <c r="AS7" s="12" t="inlineStr">
        <is>
          <t>T5</t>
        </is>
      </c>
      <c r="AT7" s="12" t="inlineStr">
        <is>
          <t>T6</t>
        </is>
      </c>
      <c r="AU7" s="12" t="inlineStr">
        <is>
          <t>T7</t>
        </is>
      </c>
      <c r="AV7" s="11" t="inlineStr">
        <is>
          <t>CN</t>
        </is>
      </c>
      <c r="AW7" s="12" t="inlineStr">
        <is>
          <t>T2</t>
        </is>
      </c>
      <c r="AX7" s="12" t="inlineStr">
        <is>
          <t>T3</t>
        </is>
      </c>
      <c r="AY7" s="12" t="inlineStr">
        <is>
          <t>T4</t>
        </is>
      </c>
      <c r="AZ7" s="12" t="inlineStr">
        <is>
          <t>T5</t>
        </is>
      </c>
      <c r="BA7" s="12" t="inlineStr">
        <is>
          <t>T6</t>
        </is>
      </c>
      <c r="BB7" s="12" t="inlineStr">
        <is>
          <t>T7</t>
        </is>
      </c>
      <c r="BC7" s="11" t="inlineStr">
        <is>
          <t>CN</t>
        </is>
      </c>
      <c r="BD7" s="12" t="inlineStr">
        <is>
          <t>T2</t>
        </is>
      </c>
      <c r="BE7" s="12" t="inlineStr">
        <is>
          <t>T3</t>
        </is>
      </c>
      <c r="BF7" s="12" t="inlineStr">
        <is>
          <t>T4</t>
        </is>
      </c>
      <c r="BG7" s="12" t="inlineStr">
        <is>
          <t>T5</t>
        </is>
      </c>
      <c r="BH7" s="12" t="inlineStr">
        <is>
          <t>T6</t>
        </is>
      </c>
      <c r="BI7" s="12" t="inlineStr">
        <is>
          <t>T7</t>
        </is>
      </c>
      <c r="BJ7" s="11" t="inlineStr">
        <is>
          <t>CN</t>
        </is>
      </c>
    </row>
    <row r="8">
      <c r="A8" s="13" t="inlineStr">
        <is>
          <t>A</t>
        </is>
      </c>
      <c r="B8" s="13" t="n"/>
      <c r="C8" s="13" t="inlineStr">
        <is>
          <t>TỔNG TIẾN ĐỘ THI CÔNG CỤM B9 (SAN LẤP &amp; ĐƯỜNG NỘI BỘ)</t>
        </is>
      </c>
      <c r="D8" s="13" t="n"/>
      <c r="E8" s="14" t="n"/>
      <c r="F8" s="14" t="n"/>
      <c r="G8" s="13" t="n"/>
      <c r="H8" s="13" t="n"/>
      <c r="I8" s="14" t="n"/>
      <c r="J8" s="14" t="n"/>
      <c r="K8" s="13" t="n">
        <v>36</v>
      </c>
      <c r="L8" s="13" t="inlineStr">
        <is>
          <t>2026-09-20</t>
        </is>
      </c>
      <c r="M8" s="13" t="inlineStr">
        <is>
          <t>2026-10-25</t>
        </is>
      </c>
      <c r="N8" s="13" t="n">
        <v>2</v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3" t="n"/>
      <c r="Y8" s="14" t="n"/>
      <c r="Z8" s="15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</row>
    <row r="9">
      <c r="A9" s="16" t="inlineStr">
        <is>
          <t>IV</t>
        </is>
      </c>
      <c r="B9" s="16" t="n"/>
      <c r="C9" s="16" t="inlineStr">
        <is>
          <t>Đường nội bộ cụm B9 (L = 18,034 m; Diện tích = 342,646 m2)</t>
        </is>
      </c>
      <c r="D9" s="16" t="inlineStr">
        <is>
          <t>m</t>
        </is>
      </c>
      <c r="E9" s="17" t="n"/>
      <c r="F9" s="17" t="n"/>
      <c r="G9" s="16" t="n"/>
      <c r="H9" s="16" t="n"/>
      <c r="I9" s="17" t="n">
        <v>18034</v>
      </c>
      <c r="J9" s="17" t="n"/>
      <c r="K9" s="16" t="n">
        <v>36</v>
      </c>
      <c r="L9" s="16" t="inlineStr">
        <is>
          <t>2026-09-20</t>
        </is>
      </c>
      <c r="M9" s="16" t="inlineStr">
        <is>
          <t>2026-10-25</t>
        </is>
      </c>
      <c r="N9" s="16" t="n">
        <v>2</v>
      </c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6" t="n"/>
      <c r="Y9" s="17" t="n"/>
      <c r="Z9" s="18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n"/>
    </row>
    <row r="10">
      <c r="A10" s="19" t="inlineStr">
        <is>
          <t>ẩn</t>
        </is>
      </c>
      <c r="B10" s="19" t="inlineStr">
        <is>
          <t>Phát rừng = máy</t>
        </is>
      </c>
      <c r="C10" s="19" t="inlineStr">
        <is>
          <t>Phát quang mặt bằng nền đường</t>
        </is>
      </c>
      <c r="D10" s="19" t="inlineStr">
        <is>
          <t>m2</t>
        </is>
      </c>
      <c r="E10" s="20" t="n">
        <v>342646</v>
      </c>
      <c r="F10" s="20" t="n">
        <v>0</v>
      </c>
      <c r="G10" s="19" t="n">
        <v>0</v>
      </c>
      <c r="H10" s="19" t="n">
        <v>1</v>
      </c>
      <c r="I10" s="20" t="n">
        <v>342646</v>
      </c>
      <c r="J10" s="20">
        <f>I10/K10</f>
        <v/>
      </c>
      <c r="K10" s="19" t="n">
        <v>13</v>
      </c>
      <c r="L10" s="19" t="inlineStr">
        <is>
          <t>2026-09-20</t>
        </is>
      </c>
      <c r="M10" s="19" t="inlineStr">
        <is>
          <t>2026-10-02</t>
        </is>
      </c>
      <c r="N10" s="19" t="n">
        <v>2</v>
      </c>
      <c r="O10" s="20" t="n">
        <v>0</v>
      </c>
      <c r="P10" s="20" t="n">
        <v>0</v>
      </c>
      <c r="Q10" s="20" t="n">
        <v>4.22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19" t="inlineStr">
        <is>
          <t>4,2M3</t>
        </is>
      </c>
      <c r="Y10" s="20" t="n">
        <v>16</v>
      </c>
      <c r="Z10" s="21" t="n">
        <v>16</v>
      </c>
      <c r="AA10" s="22" t="n">
        <v>16</v>
      </c>
      <c r="AB10" s="22" t="n">
        <v>16</v>
      </c>
      <c r="AC10" s="22" t="n">
        <v>16</v>
      </c>
      <c r="AD10" s="22" t="n">
        <v>16</v>
      </c>
      <c r="AE10" s="22" t="n">
        <v>16</v>
      </c>
      <c r="AF10" s="22" t="n">
        <v>16</v>
      </c>
      <c r="AG10" s="22" t="n">
        <v>16</v>
      </c>
      <c r="AH10" s="22" t="n">
        <v>16</v>
      </c>
      <c r="AI10" s="22" t="n">
        <v>16</v>
      </c>
      <c r="AJ10" s="22" t="n">
        <v>16</v>
      </c>
      <c r="AK10" s="22" t="n">
        <v>16</v>
      </c>
      <c r="AL10" s="22" t="n">
        <v>16</v>
      </c>
      <c r="AM10" s="22" t="n">
        <v>16</v>
      </c>
      <c r="AN10" s="23" t="n">
        <v>0</v>
      </c>
      <c r="AO10" s="23" t="n">
        <v>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</row>
    <row r="11">
      <c r="A11" s="19" t="inlineStr">
        <is>
          <t>1.1</t>
        </is>
      </c>
      <c r="B11" s="19" t="inlineStr">
        <is>
          <t>Đào khuôn đường</t>
        </is>
      </c>
      <c r="C11" s="19" t="inlineStr">
        <is>
          <t>Đào khuôn, vét hữu cơ nền đường</t>
        </is>
      </c>
      <c r="D11" s="19" t="inlineStr">
        <is>
          <t>m3</t>
        </is>
      </c>
      <c r="E11" s="20" t="n">
        <v>102793.8</v>
      </c>
      <c r="F11" s="20" t="n">
        <v>0</v>
      </c>
      <c r="G11" s="19" t="n">
        <v>0</v>
      </c>
      <c r="H11" s="19" t="n">
        <v>1</v>
      </c>
      <c r="I11" s="20" t="n">
        <v>102793.8</v>
      </c>
      <c r="J11" s="20">
        <f>I11/K11</f>
        <v/>
      </c>
      <c r="K11" s="19" t="n">
        <v>14</v>
      </c>
      <c r="L11" s="19" t="inlineStr">
        <is>
          <t>2026-09-20</t>
        </is>
      </c>
      <c r="M11" s="19" t="inlineStr">
        <is>
          <t>2026-10-03</t>
        </is>
      </c>
      <c r="N11" s="19" t="n">
        <v>2</v>
      </c>
      <c r="O11" s="20" t="n">
        <v>4.21</v>
      </c>
      <c r="P11" s="20" t="n">
        <v>0</v>
      </c>
      <c r="Q11" s="20" t="n">
        <v>3.36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19" t="inlineStr">
        <is>
          <t>4,2M1; 3,4M3</t>
        </is>
      </c>
      <c r="Y11" s="20" t="n">
        <v>16</v>
      </c>
      <c r="Z11" s="21" t="n">
        <v>16</v>
      </c>
      <c r="AA11" s="22" t="n">
        <v>16</v>
      </c>
      <c r="AB11" s="22" t="n">
        <v>16</v>
      </c>
      <c r="AC11" s="22" t="n">
        <v>16</v>
      </c>
      <c r="AD11" s="22" t="n">
        <v>16</v>
      </c>
      <c r="AE11" s="22" t="n">
        <v>16</v>
      </c>
      <c r="AF11" s="22" t="n">
        <v>16</v>
      </c>
      <c r="AG11" s="22" t="n">
        <v>16</v>
      </c>
      <c r="AH11" s="22" t="n">
        <v>16</v>
      </c>
      <c r="AI11" s="22" t="n">
        <v>16</v>
      </c>
      <c r="AJ11" s="22" t="n">
        <v>16</v>
      </c>
      <c r="AK11" s="22" t="n">
        <v>16</v>
      </c>
      <c r="AL11" s="22" t="n">
        <v>16</v>
      </c>
      <c r="AM11" s="22" t="n">
        <v>16</v>
      </c>
      <c r="AN11" s="22" t="n">
        <v>16</v>
      </c>
      <c r="AO11" s="23" t="n">
        <v>0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0</v>
      </c>
      <c r="AV11" s="23" t="n">
        <v>0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</row>
    <row r="12">
      <c r="A12" s="19" t="inlineStr">
        <is>
          <t>ẩn</t>
        </is>
      </c>
      <c r="B12" s="19" t="inlineStr">
        <is>
          <t>Vận chuyển đất &lt;5km</t>
        </is>
      </c>
      <c r="C12" s="19" t="inlineStr">
        <is>
          <t>Vận chuyển nội bộ đất hữu cơ &lt;5km</t>
        </is>
      </c>
      <c r="D12" s="19" t="inlineStr">
        <is>
          <t>m3</t>
        </is>
      </c>
      <c r="E12" s="20" t="n">
        <v>102793.8</v>
      </c>
      <c r="F12" s="20" t="n">
        <v>0</v>
      </c>
      <c r="G12" s="19" t="n">
        <v>0</v>
      </c>
      <c r="H12" s="19" t="n">
        <v>1</v>
      </c>
      <c r="I12" s="20" t="n">
        <v>102793.8</v>
      </c>
      <c r="J12" s="20">
        <f>I12/K12</f>
        <v/>
      </c>
      <c r="K12" s="19" t="n">
        <v>14</v>
      </c>
      <c r="L12" s="19" t="inlineStr">
        <is>
          <t>2026-09-20</t>
        </is>
      </c>
      <c r="M12" s="19" t="inlineStr">
        <is>
          <t>2026-10-03</t>
        </is>
      </c>
      <c r="N12" s="19" t="n">
        <v>2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6.42</v>
      </c>
      <c r="V12" s="20" t="n">
        <v>0</v>
      </c>
      <c r="W12" s="20" t="n">
        <v>0</v>
      </c>
      <c r="X12" s="19" t="inlineStr">
        <is>
          <t>6,4M7</t>
        </is>
      </c>
      <c r="Y12" s="20" t="n">
        <v>12</v>
      </c>
      <c r="Z12" s="21" t="n">
        <v>12</v>
      </c>
      <c r="AA12" s="22" t="n">
        <v>12</v>
      </c>
      <c r="AB12" s="22" t="n">
        <v>12</v>
      </c>
      <c r="AC12" s="22" t="n">
        <v>12</v>
      </c>
      <c r="AD12" s="22" t="n">
        <v>12</v>
      </c>
      <c r="AE12" s="22" t="n">
        <v>12</v>
      </c>
      <c r="AF12" s="22" t="n">
        <v>12</v>
      </c>
      <c r="AG12" s="22" t="n">
        <v>12</v>
      </c>
      <c r="AH12" s="22" t="n">
        <v>12</v>
      </c>
      <c r="AI12" s="22" t="n">
        <v>12</v>
      </c>
      <c r="AJ12" s="22" t="n">
        <v>12</v>
      </c>
      <c r="AK12" s="22" t="n">
        <v>12</v>
      </c>
      <c r="AL12" s="22" t="n">
        <v>12</v>
      </c>
      <c r="AM12" s="22" t="n">
        <v>12</v>
      </c>
      <c r="AN12" s="22" t="n">
        <v>12</v>
      </c>
      <c r="AO12" s="23" t="n">
        <v>0</v>
      </c>
      <c r="AP12" s="23" t="n">
        <v>0</v>
      </c>
      <c r="AQ12" s="23" t="n">
        <v>0</v>
      </c>
      <c r="AR12" s="23" t="n">
        <v>0</v>
      </c>
      <c r="AS12" s="23" t="n">
        <v>0</v>
      </c>
      <c r="AT12" s="23" t="n">
        <v>0</v>
      </c>
      <c r="AU12" s="23" t="n">
        <v>0</v>
      </c>
      <c r="AV12" s="23" t="n">
        <v>0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</row>
    <row r="13">
      <c r="A13" s="19" t="inlineStr">
        <is>
          <t>1.2</t>
        </is>
      </c>
      <c r="B13" s="19" t="inlineStr">
        <is>
          <t>Đắp cát K90</t>
        </is>
      </c>
      <c r="C13" s="19" t="inlineStr">
        <is>
          <t>Thi công đắp cát K90 nền đường</t>
        </is>
      </c>
      <c r="D13" s="19" t="inlineStr">
        <is>
          <t>m3</t>
        </is>
      </c>
      <c r="E13" s="20" t="n">
        <v>360680</v>
      </c>
      <c r="F13" s="20" t="n">
        <v>0</v>
      </c>
      <c r="G13" s="19" t="n">
        <v>0</v>
      </c>
      <c r="H13" s="19" t="n">
        <v>1</v>
      </c>
      <c r="I13" s="20" t="n">
        <v>360680</v>
      </c>
      <c r="J13" s="20">
        <f>I13/K13</f>
        <v/>
      </c>
      <c r="K13" s="19" t="n">
        <v>16</v>
      </c>
      <c r="L13" s="19" t="inlineStr">
        <is>
          <t>2026-09-22</t>
        </is>
      </c>
      <c r="M13" s="19" t="inlineStr">
        <is>
          <t>2026-10-07</t>
        </is>
      </c>
      <c r="N13" s="19" t="n">
        <v>2</v>
      </c>
      <c r="O13" s="20" t="n">
        <v>0</v>
      </c>
      <c r="P13" s="20" t="n">
        <v>0</v>
      </c>
      <c r="Q13" s="20" t="n">
        <v>7.89</v>
      </c>
      <c r="R13" s="20" t="n">
        <v>0</v>
      </c>
      <c r="S13" s="20" t="n">
        <v>4.72</v>
      </c>
      <c r="T13" s="20" t="n">
        <v>0</v>
      </c>
      <c r="U13" s="20" t="n">
        <v>0</v>
      </c>
      <c r="V13" s="20" t="n">
        <v>0</v>
      </c>
      <c r="W13" s="20" t="n">
        <v>0</v>
      </c>
      <c r="X13" s="19" t="inlineStr">
        <is>
          <t>7,9M3; 4,7M5</t>
        </is>
      </c>
      <c r="Y13" s="20" t="n">
        <v>48</v>
      </c>
      <c r="Z13" s="21" t="n">
        <v>48</v>
      </c>
      <c r="AA13" s="23" t="n">
        <v>0</v>
      </c>
      <c r="AB13" s="23" t="n">
        <v>0</v>
      </c>
      <c r="AC13" s="22" t="n">
        <v>48</v>
      </c>
      <c r="AD13" s="22" t="n">
        <v>48</v>
      </c>
      <c r="AE13" s="22" t="n">
        <v>48</v>
      </c>
      <c r="AF13" s="22" t="n">
        <v>48</v>
      </c>
      <c r="AG13" s="22" t="n">
        <v>48</v>
      </c>
      <c r="AH13" s="22" t="n">
        <v>48</v>
      </c>
      <c r="AI13" s="22" t="n">
        <v>48</v>
      </c>
      <c r="AJ13" s="22" t="n">
        <v>48</v>
      </c>
      <c r="AK13" s="22" t="n">
        <v>48</v>
      </c>
      <c r="AL13" s="22" t="n">
        <v>48</v>
      </c>
      <c r="AM13" s="22" t="n">
        <v>48</v>
      </c>
      <c r="AN13" s="22" t="n">
        <v>48</v>
      </c>
      <c r="AO13" s="22" t="n">
        <v>48</v>
      </c>
      <c r="AP13" s="22" t="n">
        <v>48</v>
      </c>
      <c r="AQ13" s="22" t="n">
        <v>48</v>
      </c>
      <c r="AR13" s="22" t="n">
        <v>48</v>
      </c>
      <c r="AS13" s="23" t="n">
        <v>0</v>
      </c>
      <c r="AT13" s="23" t="n">
        <v>0</v>
      </c>
      <c r="AU13" s="23" t="n">
        <v>0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</row>
    <row r="14">
      <c r="A14" s="19" t="inlineStr">
        <is>
          <t>1.3</t>
        </is>
      </c>
      <c r="B14" s="19" t="inlineStr">
        <is>
          <t>Đắp cát K95 lớp 1</t>
        </is>
      </c>
      <c r="C14" s="19" t="inlineStr">
        <is>
          <t>Thi công đắp cát K95 (Lớp 1)</t>
        </is>
      </c>
      <c r="D14" s="19" t="inlineStr">
        <is>
          <t>m3</t>
        </is>
      </c>
      <c r="E14" s="20" t="n">
        <v>90170</v>
      </c>
      <c r="F14" s="20" t="n">
        <v>0</v>
      </c>
      <c r="G14" s="19" t="n">
        <v>0</v>
      </c>
      <c r="H14" s="19" t="n">
        <v>1</v>
      </c>
      <c r="I14" s="20" t="n">
        <v>90170</v>
      </c>
      <c r="J14" s="20">
        <f>I14/K14</f>
        <v/>
      </c>
      <c r="K14" s="19" t="n">
        <v>15</v>
      </c>
      <c r="L14" s="19" t="inlineStr">
        <is>
          <t>2026-09-25</t>
        </is>
      </c>
      <c r="M14" s="19" t="inlineStr">
        <is>
          <t>2026-10-09</t>
        </is>
      </c>
      <c r="N14" s="19" t="n">
        <v>2</v>
      </c>
      <c r="O14" s="20" t="n">
        <v>0</v>
      </c>
      <c r="P14" s="20" t="n">
        <v>0</v>
      </c>
      <c r="Q14" s="20" t="n">
        <v>2.1</v>
      </c>
      <c r="R14" s="20" t="n">
        <v>0</v>
      </c>
      <c r="S14" s="20" t="n">
        <v>11.79</v>
      </c>
      <c r="T14" s="20" t="n">
        <v>0</v>
      </c>
      <c r="U14" s="20" t="n">
        <v>0</v>
      </c>
      <c r="V14" s="20" t="n">
        <v>0</v>
      </c>
      <c r="W14" s="20" t="n">
        <v>0</v>
      </c>
      <c r="X14" s="19" t="inlineStr">
        <is>
          <t>2,1M3; 11,8M5</t>
        </is>
      </c>
      <c r="Y14" s="20" t="n">
        <v>24</v>
      </c>
      <c r="Z14" s="21" t="n">
        <v>24</v>
      </c>
      <c r="AA14" s="23" t="n">
        <v>0</v>
      </c>
      <c r="AB14" s="23" t="n">
        <v>0</v>
      </c>
      <c r="AC14" s="23" t="n">
        <v>0</v>
      </c>
      <c r="AD14" s="23" t="n">
        <v>0</v>
      </c>
      <c r="AE14" s="23" t="n">
        <v>0</v>
      </c>
      <c r="AF14" s="22" t="n">
        <v>24</v>
      </c>
      <c r="AG14" s="22" t="n">
        <v>24</v>
      </c>
      <c r="AH14" s="22" t="n">
        <v>24</v>
      </c>
      <c r="AI14" s="22" t="n">
        <v>24</v>
      </c>
      <c r="AJ14" s="22" t="n">
        <v>24</v>
      </c>
      <c r="AK14" s="22" t="n">
        <v>24</v>
      </c>
      <c r="AL14" s="22" t="n">
        <v>24</v>
      </c>
      <c r="AM14" s="22" t="n">
        <v>24</v>
      </c>
      <c r="AN14" s="22" t="n">
        <v>24</v>
      </c>
      <c r="AO14" s="22" t="n">
        <v>24</v>
      </c>
      <c r="AP14" s="22" t="n">
        <v>24</v>
      </c>
      <c r="AQ14" s="22" t="n">
        <v>24</v>
      </c>
      <c r="AR14" s="22" t="n">
        <v>24</v>
      </c>
      <c r="AS14" s="22" t="n">
        <v>24</v>
      </c>
      <c r="AT14" s="22" t="n">
        <v>24</v>
      </c>
      <c r="AU14" s="23" t="n">
        <v>0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</row>
    <row r="15">
      <c r="A15" s="19" t="inlineStr">
        <is>
          <t>1.4</t>
        </is>
      </c>
      <c r="B15" s="19" t="inlineStr">
        <is>
          <t>Đắp cát K98 lớp 1</t>
        </is>
      </c>
      <c r="C15" s="19" t="inlineStr">
        <is>
          <t>Thi công đắp cát K98 (Lớp 1)</t>
        </is>
      </c>
      <c r="D15" s="19" t="inlineStr">
        <is>
          <t>m3</t>
        </is>
      </c>
      <c r="E15" s="20" t="n">
        <v>54102</v>
      </c>
      <c r="F15" s="20" t="n">
        <v>0</v>
      </c>
      <c r="G15" s="19" t="n">
        <v>0</v>
      </c>
      <c r="H15" s="19" t="n">
        <v>1</v>
      </c>
      <c r="I15" s="20" t="n">
        <v>54102</v>
      </c>
      <c r="J15" s="20">
        <f>I15/K15</f>
        <v/>
      </c>
      <c r="K15" s="19" t="n">
        <v>14</v>
      </c>
      <c r="L15" s="19" t="inlineStr">
        <is>
          <t>2026-09-28</t>
        </is>
      </c>
      <c r="M15" s="19" t="inlineStr">
        <is>
          <t>2026-10-11</t>
        </is>
      </c>
      <c r="N15" s="19" t="n">
        <v>2</v>
      </c>
      <c r="O15" s="20" t="n">
        <v>0</v>
      </c>
      <c r="P15" s="20" t="n">
        <v>0</v>
      </c>
      <c r="Q15" s="20" t="n">
        <v>0.93</v>
      </c>
      <c r="R15" s="20" t="n">
        <v>0</v>
      </c>
      <c r="S15" s="20" t="n">
        <v>8.26</v>
      </c>
      <c r="T15" s="20" t="n">
        <v>5.11</v>
      </c>
      <c r="U15" s="20" t="n">
        <v>0</v>
      </c>
      <c r="V15" s="20" t="n">
        <v>0</v>
      </c>
      <c r="W15" s="20" t="n">
        <v>0</v>
      </c>
      <c r="X15" s="19" t="inlineStr">
        <is>
          <t>0,9M3; 8,3M5; 5,1M6</t>
        </is>
      </c>
      <c r="Y15" s="20" t="n">
        <v>20</v>
      </c>
      <c r="Z15" s="21" t="n">
        <v>20</v>
      </c>
      <c r="AA15" s="23" t="n">
        <v>0</v>
      </c>
      <c r="AB15" s="23" t="n">
        <v>0</v>
      </c>
      <c r="AC15" s="23" t="n">
        <v>0</v>
      </c>
      <c r="AD15" s="23" t="n">
        <v>0</v>
      </c>
      <c r="AE15" s="23" t="n">
        <v>0</v>
      </c>
      <c r="AF15" s="23" t="n">
        <v>0</v>
      </c>
      <c r="AG15" s="23" t="n">
        <v>0</v>
      </c>
      <c r="AH15" s="23" t="n">
        <v>0</v>
      </c>
      <c r="AI15" s="22" t="n">
        <v>20</v>
      </c>
      <c r="AJ15" s="22" t="n">
        <v>20</v>
      </c>
      <c r="AK15" s="22" t="n">
        <v>20</v>
      </c>
      <c r="AL15" s="22" t="n">
        <v>20</v>
      </c>
      <c r="AM15" s="22" t="n">
        <v>20</v>
      </c>
      <c r="AN15" s="22" t="n">
        <v>20</v>
      </c>
      <c r="AO15" s="22" t="n">
        <v>20</v>
      </c>
      <c r="AP15" s="22" t="n">
        <v>20</v>
      </c>
      <c r="AQ15" s="22" t="n">
        <v>20</v>
      </c>
      <c r="AR15" s="22" t="n">
        <v>20</v>
      </c>
      <c r="AS15" s="22" t="n">
        <v>20</v>
      </c>
      <c r="AT15" s="22" t="n">
        <v>20</v>
      </c>
      <c r="AU15" s="22" t="n">
        <v>20</v>
      </c>
      <c r="AV15" s="22" t="n">
        <v>20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</row>
    <row r="16">
      <c r="A16" s="19" t="inlineStr">
        <is>
          <t>1.5</t>
        </is>
      </c>
      <c r="B16" s="19" t="inlineStr">
        <is>
          <t>Lắp cống D1500</t>
        </is>
      </c>
      <c r="C16" s="19" t="inlineStr">
        <is>
          <t>Thi công Hệ thống thoát nước mưa TNM</t>
        </is>
      </c>
      <c r="D16" s="19" t="inlineStr">
        <is>
          <t>m</t>
        </is>
      </c>
      <c r="E16" s="20" t="n">
        <v>21640.8</v>
      </c>
      <c r="F16" s="20" t="n">
        <v>0</v>
      </c>
      <c r="G16" s="19" t="n">
        <v>0</v>
      </c>
      <c r="H16" s="19" t="n">
        <v>1</v>
      </c>
      <c r="I16" s="20" t="n">
        <v>21640.8</v>
      </c>
      <c r="J16" s="20">
        <f>I16/K16</f>
        <v/>
      </c>
      <c r="K16" s="19" t="n">
        <v>16</v>
      </c>
      <c r="L16" s="19" t="inlineStr">
        <is>
          <t>2026-09-26</t>
        </is>
      </c>
      <c r="M16" s="19" t="inlineStr">
        <is>
          <t>2026-10-11</t>
        </is>
      </c>
      <c r="N16" s="19" t="n">
        <v>2</v>
      </c>
      <c r="O16" s="20" t="n">
        <v>6.57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19" t="inlineStr">
        <is>
          <t>6,6M1</t>
        </is>
      </c>
      <c r="Y16" s="20" t="n">
        <v>40</v>
      </c>
      <c r="Z16" s="21" t="n">
        <v>40</v>
      </c>
      <c r="AA16" s="23" t="n">
        <v>0</v>
      </c>
      <c r="AB16" s="23" t="n">
        <v>0</v>
      </c>
      <c r="AC16" s="23" t="n">
        <v>0</v>
      </c>
      <c r="AD16" s="23" t="n">
        <v>0</v>
      </c>
      <c r="AE16" s="23" t="n">
        <v>0</v>
      </c>
      <c r="AF16" s="23" t="n">
        <v>0</v>
      </c>
      <c r="AG16" s="22" t="n">
        <v>40</v>
      </c>
      <c r="AH16" s="22" t="n">
        <v>40</v>
      </c>
      <c r="AI16" s="22" t="n">
        <v>40</v>
      </c>
      <c r="AJ16" s="22" t="n">
        <v>40</v>
      </c>
      <c r="AK16" s="22" t="n">
        <v>40</v>
      </c>
      <c r="AL16" s="22" t="n">
        <v>40</v>
      </c>
      <c r="AM16" s="22" t="n">
        <v>40</v>
      </c>
      <c r="AN16" s="22" t="n">
        <v>40</v>
      </c>
      <c r="AO16" s="22" t="n">
        <v>40</v>
      </c>
      <c r="AP16" s="22" t="n">
        <v>40</v>
      </c>
      <c r="AQ16" s="22" t="n">
        <v>40</v>
      </c>
      <c r="AR16" s="22" t="n">
        <v>40</v>
      </c>
      <c r="AS16" s="22" t="n">
        <v>40</v>
      </c>
      <c r="AT16" s="22" t="n">
        <v>40</v>
      </c>
      <c r="AU16" s="22" t="n">
        <v>40</v>
      </c>
      <c r="AV16" s="22" t="n">
        <v>40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</row>
    <row r="17">
      <c r="A17" s="19" t="inlineStr">
        <is>
          <t>ẩn</t>
        </is>
      </c>
      <c r="B17" s="19" t="inlineStr">
        <is>
          <t>Máy hỗ trợ cẩu lắp</t>
        </is>
      </c>
      <c r="C17" s="19" t="inlineStr">
        <is>
          <t>Máy xúc lốp hạ cống &amp; đầm cóc TNM</t>
        </is>
      </c>
      <c r="D17" s="19" t="inlineStr">
        <is>
          <t>m</t>
        </is>
      </c>
      <c r="E17" s="20" t="n">
        <v>21640.8</v>
      </c>
      <c r="F17" s="20" t="n">
        <v>0</v>
      </c>
      <c r="G17" s="19" t="n">
        <v>0</v>
      </c>
      <c r="H17" s="19" t="n">
        <v>1</v>
      </c>
      <c r="I17" s="20" t="n">
        <v>21640.8</v>
      </c>
      <c r="J17" s="20">
        <f>I17/K17</f>
        <v/>
      </c>
      <c r="K17" s="19" t="n">
        <v>16</v>
      </c>
      <c r="L17" s="19" t="inlineStr">
        <is>
          <t>2026-09-26</t>
        </is>
      </c>
      <c r="M17" s="19" t="inlineStr">
        <is>
          <t>2026-10-11</t>
        </is>
      </c>
      <c r="N17" s="19" t="n">
        <v>2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6.76</v>
      </c>
      <c r="W17" s="20" t="n">
        <v>0</v>
      </c>
      <c r="X17" s="19" t="inlineStr">
        <is>
          <t>6,8M8</t>
        </is>
      </c>
      <c r="Y17" s="20" t="n">
        <v>20</v>
      </c>
      <c r="Z17" s="21" t="n">
        <v>20</v>
      </c>
      <c r="AA17" s="23" t="n">
        <v>0</v>
      </c>
      <c r="AB17" s="23" t="n">
        <v>0</v>
      </c>
      <c r="AC17" s="23" t="n">
        <v>0</v>
      </c>
      <c r="AD17" s="23" t="n">
        <v>0</v>
      </c>
      <c r="AE17" s="23" t="n">
        <v>0</v>
      </c>
      <c r="AF17" s="23" t="n">
        <v>0</v>
      </c>
      <c r="AG17" s="22" t="n">
        <v>20</v>
      </c>
      <c r="AH17" s="22" t="n">
        <v>20</v>
      </c>
      <c r="AI17" s="22" t="n">
        <v>20</v>
      </c>
      <c r="AJ17" s="22" t="n">
        <v>20</v>
      </c>
      <c r="AK17" s="22" t="n">
        <v>20</v>
      </c>
      <c r="AL17" s="22" t="n">
        <v>20</v>
      </c>
      <c r="AM17" s="22" t="n">
        <v>20</v>
      </c>
      <c r="AN17" s="22" t="n">
        <v>20</v>
      </c>
      <c r="AO17" s="22" t="n">
        <v>20</v>
      </c>
      <c r="AP17" s="22" t="n">
        <v>20</v>
      </c>
      <c r="AQ17" s="22" t="n">
        <v>20</v>
      </c>
      <c r="AR17" s="22" t="n">
        <v>20</v>
      </c>
      <c r="AS17" s="22" t="n">
        <v>20</v>
      </c>
      <c r="AT17" s="22" t="n">
        <v>20</v>
      </c>
      <c r="AU17" s="22" t="n">
        <v>20</v>
      </c>
      <c r="AV17" s="22" t="n">
        <v>20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</row>
    <row r="18">
      <c r="A18" s="19" t="inlineStr">
        <is>
          <t>1.6</t>
        </is>
      </c>
      <c r="B18" s="19" t="inlineStr">
        <is>
          <t>Lắp ống PE.D300, D400</t>
        </is>
      </c>
      <c r="C18" s="19" t="inlineStr">
        <is>
          <t>Thi công Hệ thống thoát nước thải TNT</t>
        </is>
      </c>
      <c r="D18" s="19" t="inlineStr">
        <is>
          <t>m</t>
        </is>
      </c>
      <c r="E18" s="20" t="n">
        <v>21640.8</v>
      </c>
      <c r="F18" s="20" t="n">
        <v>0</v>
      </c>
      <c r="G18" s="19" t="n">
        <v>0</v>
      </c>
      <c r="H18" s="19" t="n">
        <v>1</v>
      </c>
      <c r="I18" s="20" t="n">
        <v>21640.8</v>
      </c>
      <c r="J18" s="20">
        <f>I18/K18</f>
        <v/>
      </c>
      <c r="K18" s="19" t="n">
        <v>16</v>
      </c>
      <c r="L18" s="19" t="inlineStr">
        <is>
          <t>2026-09-28</t>
        </is>
      </c>
      <c r="M18" s="19" t="inlineStr">
        <is>
          <t>2026-10-13</t>
        </is>
      </c>
      <c r="N18" s="19" t="n">
        <v>2</v>
      </c>
      <c r="O18" s="20" t="n">
        <v>4.54</v>
      </c>
      <c r="P18" s="20" t="n">
        <v>0</v>
      </c>
      <c r="Q18" s="20" t="n">
        <v>0</v>
      </c>
      <c r="R18" s="20" t="n">
        <v>0</v>
      </c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19" t="inlineStr">
        <is>
          <t>4,5M1</t>
        </is>
      </c>
      <c r="Y18" s="20" t="n">
        <v>30</v>
      </c>
      <c r="Z18" s="21" t="n">
        <v>30</v>
      </c>
      <c r="AA18" s="23" t="n">
        <v>0</v>
      </c>
      <c r="AB18" s="23" t="n">
        <v>0</v>
      </c>
      <c r="AC18" s="23" t="n">
        <v>0</v>
      </c>
      <c r="AD18" s="23" t="n">
        <v>0</v>
      </c>
      <c r="AE18" s="23" t="n">
        <v>0</v>
      </c>
      <c r="AF18" s="23" t="n">
        <v>0</v>
      </c>
      <c r="AG18" s="23" t="n">
        <v>0</v>
      </c>
      <c r="AH18" s="23" t="n">
        <v>0</v>
      </c>
      <c r="AI18" s="22" t="n">
        <v>30</v>
      </c>
      <c r="AJ18" s="22" t="n">
        <v>30</v>
      </c>
      <c r="AK18" s="22" t="n">
        <v>30</v>
      </c>
      <c r="AL18" s="22" t="n">
        <v>30</v>
      </c>
      <c r="AM18" s="22" t="n">
        <v>30</v>
      </c>
      <c r="AN18" s="22" t="n">
        <v>30</v>
      </c>
      <c r="AO18" s="22" t="n">
        <v>30</v>
      </c>
      <c r="AP18" s="22" t="n">
        <v>30</v>
      </c>
      <c r="AQ18" s="22" t="n">
        <v>30</v>
      </c>
      <c r="AR18" s="22" t="n">
        <v>30</v>
      </c>
      <c r="AS18" s="22" t="n">
        <v>30</v>
      </c>
      <c r="AT18" s="22" t="n">
        <v>30</v>
      </c>
      <c r="AU18" s="22" t="n">
        <v>30</v>
      </c>
      <c r="AV18" s="22" t="n">
        <v>30</v>
      </c>
      <c r="AW18" s="22" t="n">
        <v>30</v>
      </c>
      <c r="AX18" s="22" t="n">
        <v>30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</row>
    <row r="19">
      <c r="A19" s="19" t="inlineStr">
        <is>
          <t>ẩn</t>
        </is>
      </c>
      <c r="B19" s="19" t="inlineStr">
        <is>
          <t>Máy hỗ trợ cẩu lắp</t>
        </is>
      </c>
      <c r="C19" s="19" t="inlineStr">
        <is>
          <t>Máy xúc lốp hạ ống HDPE &amp; đầm TNT</t>
        </is>
      </c>
      <c r="D19" s="19" t="inlineStr">
        <is>
          <t>m</t>
        </is>
      </c>
      <c r="E19" s="20" t="n">
        <v>21640.8</v>
      </c>
      <c r="F19" s="20" t="n">
        <v>0</v>
      </c>
      <c r="G19" s="19" t="n">
        <v>0</v>
      </c>
      <c r="H19" s="19" t="n">
        <v>1</v>
      </c>
      <c r="I19" s="20" t="n">
        <v>21640.8</v>
      </c>
      <c r="J19" s="20">
        <f>I19/K19</f>
        <v/>
      </c>
      <c r="K19" s="19" t="n">
        <v>16</v>
      </c>
      <c r="L19" s="19" t="inlineStr">
        <is>
          <t>2026-09-28</t>
        </is>
      </c>
      <c r="M19" s="19" t="inlineStr">
        <is>
          <t>2026-10-13</t>
        </is>
      </c>
      <c r="N19" s="19" t="n">
        <v>2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0</v>
      </c>
      <c r="V19" s="20" t="n">
        <v>6.76</v>
      </c>
      <c r="W19" s="20" t="n">
        <v>0</v>
      </c>
      <c r="X19" s="19" t="inlineStr">
        <is>
          <t>6,8M8</t>
        </is>
      </c>
      <c r="Y19" s="20" t="n">
        <v>20</v>
      </c>
      <c r="Z19" s="21" t="n">
        <v>20</v>
      </c>
      <c r="AA19" s="23" t="n">
        <v>0</v>
      </c>
      <c r="AB19" s="23" t="n">
        <v>0</v>
      </c>
      <c r="AC19" s="23" t="n">
        <v>0</v>
      </c>
      <c r="AD19" s="23" t="n">
        <v>0</v>
      </c>
      <c r="AE19" s="23" t="n">
        <v>0</v>
      </c>
      <c r="AF19" s="23" t="n">
        <v>0</v>
      </c>
      <c r="AG19" s="23" t="n">
        <v>0</v>
      </c>
      <c r="AH19" s="23" t="n">
        <v>0</v>
      </c>
      <c r="AI19" s="22" t="n">
        <v>20</v>
      </c>
      <c r="AJ19" s="22" t="n">
        <v>20</v>
      </c>
      <c r="AK19" s="22" t="n">
        <v>20</v>
      </c>
      <c r="AL19" s="22" t="n">
        <v>20</v>
      </c>
      <c r="AM19" s="22" t="n">
        <v>20</v>
      </c>
      <c r="AN19" s="22" t="n">
        <v>20</v>
      </c>
      <c r="AO19" s="22" t="n">
        <v>20</v>
      </c>
      <c r="AP19" s="22" t="n">
        <v>20</v>
      </c>
      <c r="AQ19" s="22" t="n">
        <v>20</v>
      </c>
      <c r="AR19" s="22" t="n">
        <v>20</v>
      </c>
      <c r="AS19" s="22" t="n">
        <v>20</v>
      </c>
      <c r="AT19" s="22" t="n">
        <v>20</v>
      </c>
      <c r="AU19" s="22" t="n">
        <v>20</v>
      </c>
      <c r="AV19" s="22" t="n">
        <v>20</v>
      </c>
      <c r="AW19" s="22" t="n">
        <v>20</v>
      </c>
      <c r="AX19" s="22" t="n">
        <v>20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</row>
    <row r="20">
      <c r="A20" s="19" t="inlineStr">
        <is>
          <t>1.7</t>
        </is>
      </c>
      <c r="B20" s="19" t="inlineStr">
        <is>
          <t>CPĐD2 lớp 1</t>
        </is>
      </c>
      <c r="C20" s="19" t="inlineStr">
        <is>
          <t>Thi công lớp móng Base B (CPĐD loại 2)</t>
        </is>
      </c>
      <c r="D20" s="19" t="inlineStr">
        <is>
          <t>m3</t>
        </is>
      </c>
      <c r="E20" s="20" t="n">
        <v>27051</v>
      </c>
      <c r="F20" s="20" t="n">
        <v>0</v>
      </c>
      <c r="G20" s="19" t="n">
        <v>0</v>
      </c>
      <c r="H20" s="19" t="n">
        <v>1</v>
      </c>
      <c r="I20" s="20" t="n">
        <v>27051</v>
      </c>
      <c r="J20" s="20">
        <f>I20/K20</f>
        <v/>
      </c>
      <c r="K20" s="19" t="n">
        <v>12</v>
      </c>
      <c r="L20" s="19" t="inlineStr">
        <is>
          <t>2026-10-06</t>
        </is>
      </c>
      <c r="M20" s="19" t="inlineStr">
        <is>
          <t>2026-10-17</t>
        </is>
      </c>
      <c r="N20" s="19" t="n">
        <v>2</v>
      </c>
      <c r="O20" s="20" t="n">
        <v>1.37</v>
      </c>
      <c r="P20" s="20" t="n">
        <v>0</v>
      </c>
      <c r="Q20" s="20" t="n">
        <v>1.75</v>
      </c>
      <c r="R20" s="20" t="n">
        <v>0</v>
      </c>
      <c r="S20" s="20" t="n">
        <v>9.390000000000001</v>
      </c>
      <c r="T20" s="20" t="n">
        <v>2.01</v>
      </c>
      <c r="U20" s="20" t="n">
        <v>2.98</v>
      </c>
      <c r="V20" s="20" t="n">
        <v>0</v>
      </c>
      <c r="W20" s="20" t="n">
        <v>2.93</v>
      </c>
      <c r="X20" s="19" t="inlineStr">
        <is>
          <t>1,4M1; 1,8M3; 9,4M5; 2M6; 3M7; 3M9</t>
        </is>
      </c>
      <c r="Y20" s="20" t="n">
        <v>20</v>
      </c>
      <c r="Z20" s="21" t="n">
        <v>20</v>
      </c>
      <c r="AA20" s="23" t="n">
        <v>0</v>
      </c>
      <c r="AB20" s="23" t="n">
        <v>0</v>
      </c>
      <c r="AC20" s="23" t="n">
        <v>0</v>
      </c>
      <c r="AD20" s="23" t="n">
        <v>0</v>
      </c>
      <c r="AE20" s="23" t="n">
        <v>0</v>
      </c>
      <c r="AF20" s="23" t="n">
        <v>0</v>
      </c>
      <c r="AG20" s="23" t="n">
        <v>0</v>
      </c>
      <c r="AH20" s="23" t="n">
        <v>0</v>
      </c>
      <c r="AI20" s="23" t="n">
        <v>0</v>
      </c>
      <c r="AJ20" s="23" t="n">
        <v>0</v>
      </c>
      <c r="AK20" s="23" t="n">
        <v>0</v>
      </c>
      <c r="AL20" s="23" t="n">
        <v>0</v>
      </c>
      <c r="AM20" s="23" t="n">
        <v>0</v>
      </c>
      <c r="AN20" s="23" t="n">
        <v>0</v>
      </c>
      <c r="AO20" s="23" t="n">
        <v>0</v>
      </c>
      <c r="AP20" s="23" t="n">
        <v>0</v>
      </c>
      <c r="AQ20" s="22" t="n">
        <v>20</v>
      </c>
      <c r="AR20" s="22" t="n">
        <v>20</v>
      </c>
      <c r="AS20" s="22" t="n">
        <v>20</v>
      </c>
      <c r="AT20" s="22" t="n">
        <v>20</v>
      </c>
      <c r="AU20" s="22" t="n">
        <v>20</v>
      </c>
      <c r="AV20" s="22" t="n">
        <v>20</v>
      </c>
      <c r="AW20" s="22" t="n">
        <v>20</v>
      </c>
      <c r="AX20" s="22" t="n">
        <v>20</v>
      </c>
      <c r="AY20" s="22" t="n">
        <v>20</v>
      </c>
      <c r="AZ20" s="22" t="n">
        <v>20</v>
      </c>
      <c r="BA20" s="22" t="n">
        <v>20</v>
      </c>
      <c r="BB20" s="22" t="n">
        <v>20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</row>
    <row r="21">
      <c r="A21" s="19" t="inlineStr">
        <is>
          <t>1.8</t>
        </is>
      </c>
      <c r="B21" s="19" t="inlineStr">
        <is>
          <t>CPĐD1 lớp 1</t>
        </is>
      </c>
      <c r="C21" s="19" t="inlineStr">
        <is>
          <t>Thi công lớp móng Base A (CPĐD loại 1)</t>
        </is>
      </c>
      <c r="D21" s="19" t="inlineStr">
        <is>
          <t>m3</t>
        </is>
      </c>
      <c r="E21" s="20" t="n">
        <v>21640.8</v>
      </c>
      <c r="F21" s="20" t="n">
        <v>0</v>
      </c>
      <c r="G21" s="19" t="n">
        <v>0</v>
      </c>
      <c r="H21" s="19" t="n">
        <v>1</v>
      </c>
      <c r="I21" s="20" t="n">
        <v>21640.8</v>
      </c>
      <c r="J21" s="20">
        <f>I21/K21</f>
        <v/>
      </c>
      <c r="K21" s="19" t="n">
        <v>11</v>
      </c>
      <c r="L21" s="19" t="inlineStr">
        <is>
          <t>2026-10-10</t>
        </is>
      </c>
      <c r="M21" s="19" t="inlineStr">
        <is>
          <t>2026-10-20</t>
        </is>
      </c>
      <c r="N21" s="19" t="n">
        <v>2</v>
      </c>
      <c r="O21" s="20" t="n">
        <v>1.08</v>
      </c>
      <c r="P21" s="20" t="n">
        <v>0</v>
      </c>
      <c r="Q21" s="20" t="n">
        <v>1.53</v>
      </c>
      <c r="R21" s="20" t="n">
        <v>0</v>
      </c>
      <c r="S21" s="20" t="n">
        <v>8.199999999999999</v>
      </c>
      <c r="T21" s="20" t="n">
        <v>1.76</v>
      </c>
      <c r="U21" s="20" t="n">
        <v>2.6</v>
      </c>
      <c r="V21" s="20" t="n">
        <v>0</v>
      </c>
      <c r="W21" s="20" t="n">
        <v>2.07</v>
      </c>
      <c r="X21" s="19" t="inlineStr">
        <is>
          <t>1,1M1; 1,5M3; 8,2M5; 1,8M6; 2,6M7; 2,1M9</t>
        </is>
      </c>
      <c r="Y21" s="20" t="n">
        <v>18</v>
      </c>
      <c r="Z21" s="21" t="n">
        <v>18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0</v>
      </c>
      <c r="AF21" s="23" t="n">
        <v>0</v>
      </c>
      <c r="AG21" s="23" t="n">
        <v>0</v>
      </c>
      <c r="AH21" s="23" t="n">
        <v>0</v>
      </c>
      <c r="AI21" s="23" t="n">
        <v>0</v>
      </c>
      <c r="AJ21" s="23" t="n">
        <v>0</v>
      </c>
      <c r="AK21" s="23" t="n">
        <v>0</v>
      </c>
      <c r="AL21" s="23" t="n">
        <v>0</v>
      </c>
      <c r="AM21" s="23" t="n">
        <v>0</v>
      </c>
      <c r="AN21" s="23" t="n">
        <v>0</v>
      </c>
      <c r="AO21" s="23" t="n">
        <v>0</v>
      </c>
      <c r="AP21" s="23" t="n">
        <v>0</v>
      </c>
      <c r="AQ21" s="23" t="n">
        <v>0</v>
      </c>
      <c r="AR21" s="23" t="n">
        <v>0</v>
      </c>
      <c r="AS21" s="23" t="n">
        <v>0</v>
      </c>
      <c r="AT21" s="23" t="n">
        <v>0</v>
      </c>
      <c r="AU21" s="22" t="n">
        <v>18</v>
      </c>
      <c r="AV21" s="22" t="n">
        <v>18</v>
      </c>
      <c r="AW21" s="22" t="n">
        <v>18</v>
      </c>
      <c r="AX21" s="22" t="n">
        <v>18</v>
      </c>
      <c r="AY21" s="22" t="n">
        <v>18</v>
      </c>
      <c r="AZ21" s="22" t="n">
        <v>18</v>
      </c>
      <c r="BA21" s="22" t="n">
        <v>18</v>
      </c>
      <c r="BB21" s="22" t="n">
        <v>18</v>
      </c>
      <c r="BC21" s="22" t="n">
        <v>18</v>
      </c>
      <c r="BD21" s="22" t="n">
        <v>18</v>
      </c>
      <c r="BE21" s="22" t="n">
        <v>18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</row>
    <row r="22">
      <c r="A22" s="19" t="inlineStr">
        <is>
          <t>ẩn</t>
        </is>
      </c>
      <c r="B22" s="19" t="inlineStr">
        <is>
          <t>Vận chuyển đất &lt;5km</t>
        </is>
      </c>
      <c r="C22" s="19" t="inlineStr">
        <is>
          <t>Vận chuyển nội bộ đá Base &lt;5km</t>
        </is>
      </c>
      <c r="D22" s="19" t="inlineStr">
        <is>
          <t>m3</t>
        </is>
      </c>
      <c r="E22" s="20" t="n">
        <v>48691.8</v>
      </c>
      <c r="F22" s="20" t="n">
        <v>0</v>
      </c>
      <c r="G22" s="19" t="n">
        <v>0</v>
      </c>
      <c r="H22" s="19" t="n">
        <v>1</v>
      </c>
      <c r="I22" s="20" t="n">
        <v>48691.8</v>
      </c>
      <c r="J22" s="20">
        <f>I22/K22</f>
        <v/>
      </c>
      <c r="K22" s="19" t="n">
        <v>15</v>
      </c>
      <c r="L22" s="19" t="inlineStr">
        <is>
          <t>2026-10-06</t>
        </is>
      </c>
      <c r="M22" s="19" t="inlineStr">
        <is>
          <t>2026-10-20</t>
        </is>
      </c>
      <c r="N22" s="19" t="n">
        <v>2</v>
      </c>
      <c r="O22" s="20" t="n">
        <v>0</v>
      </c>
      <c r="P22" s="20" t="n">
        <v>0</v>
      </c>
      <c r="Q22" s="20" t="n">
        <v>0</v>
      </c>
      <c r="R22" s="20" t="n">
        <v>0</v>
      </c>
      <c r="S22" s="20" t="n">
        <v>0</v>
      </c>
      <c r="T22" s="20" t="n">
        <v>0</v>
      </c>
      <c r="U22" s="20" t="n">
        <v>2.84</v>
      </c>
      <c r="V22" s="20" t="n">
        <v>0</v>
      </c>
      <c r="W22" s="20" t="n">
        <v>0</v>
      </c>
      <c r="X22" s="19" t="inlineStr">
        <is>
          <t>2,8M7</t>
        </is>
      </c>
      <c r="Y22" s="20" t="n">
        <v>8</v>
      </c>
      <c r="Z22" s="21" t="n">
        <v>8</v>
      </c>
      <c r="AA22" s="23" t="n">
        <v>0</v>
      </c>
      <c r="AB22" s="23" t="n">
        <v>0</v>
      </c>
      <c r="AC22" s="23" t="n">
        <v>0</v>
      </c>
      <c r="AD22" s="23" t="n">
        <v>0</v>
      </c>
      <c r="AE22" s="23" t="n">
        <v>0</v>
      </c>
      <c r="AF22" s="23" t="n">
        <v>0</v>
      </c>
      <c r="AG22" s="23" t="n">
        <v>0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2" t="n">
        <v>8</v>
      </c>
      <c r="AR22" s="22" t="n">
        <v>8</v>
      </c>
      <c r="AS22" s="22" t="n">
        <v>8</v>
      </c>
      <c r="AT22" s="22" t="n">
        <v>8</v>
      </c>
      <c r="AU22" s="22" t="n">
        <v>8</v>
      </c>
      <c r="AV22" s="22" t="n">
        <v>8</v>
      </c>
      <c r="AW22" s="22" t="n">
        <v>8</v>
      </c>
      <c r="AX22" s="22" t="n">
        <v>8</v>
      </c>
      <c r="AY22" s="22" t="n">
        <v>8</v>
      </c>
      <c r="AZ22" s="22" t="n">
        <v>8</v>
      </c>
      <c r="BA22" s="22" t="n">
        <v>8</v>
      </c>
      <c r="BB22" s="22" t="n">
        <v>8</v>
      </c>
      <c r="BC22" s="22" t="n">
        <v>8</v>
      </c>
      <c r="BD22" s="22" t="n">
        <v>8</v>
      </c>
      <c r="BE22" s="22" t="n">
        <v>8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</row>
    <row r="23">
      <c r="A23" s="19" t="inlineStr">
        <is>
          <t>1.9</t>
        </is>
      </c>
      <c r="B23" s="19" t="inlineStr">
        <is>
          <t>Tưới thấm bám</t>
        </is>
      </c>
      <c r="C23" s="19" t="inlineStr">
        <is>
          <t>Tưới nhựa thấm bám &amp; vệ sinh mặt đường</t>
        </is>
      </c>
      <c r="D23" s="19" t="inlineStr">
        <is>
          <t>m2</t>
        </is>
      </c>
      <c r="E23" s="20" t="n">
        <v>180340</v>
      </c>
      <c r="F23" s="20" t="n">
        <v>0</v>
      </c>
      <c r="G23" s="19" t="n">
        <v>0</v>
      </c>
      <c r="H23" s="19" t="n">
        <v>1</v>
      </c>
      <c r="I23" s="20" t="n">
        <v>180340</v>
      </c>
      <c r="J23" s="20">
        <f>I23/K23</f>
        <v/>
      </c>
      <c r="K23" s="19" t="n">
        <v>9</v>
      </c>
      <c r="L23" s="19" t="inlineStr">
        <is>
          <t>2026-10-16</t>
        </is>
      </c>
      <c r="M23" s="19" t="inlineStr">
        <is>
          <t>2026-10-24</t>
        </is>
      </c>
      <c r="N23" s="19" t="n">
        <v>2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0</v>
      </c>
      <c r="U23" s="20" t="n">
        <v>0</v>
      </c>
      <c r="V23" s="20" t="n">
        <v>0</v>
      </c>
      <c r="W23" s="20" t="n">
        <v>1</v>
      </c>
      <c r="X23" s="19" t="inlineStr">
        <is>
          <t>1,0M9 (Xe tưới)</t>
        </is>
      </c>
      <c r="Y23" s="20" t="n">
        <v>10</v>
      </c>
      <c r="Z23" s="21" t="n">
        <v>10</v>
      </c>
      <c r="AA23" s="23" t="n">
        <v>0</v>
      </c>
      <c r="AB23" s="23" t="n">
        <v>0</v>
      </c>
      <c r="AC23" s="23" t="n">
        <v>0</v>
      </c>
      <c r="AD23" s="23" t="n">
        <v>0</v>
      </c>
      <c r="AE23" s="23" t="n">
        <v>0</v>
      </c>
      <c r="AF23" s="23" t="n">
        <v>0</v>
      </c>
      <c r="AG23" s="23" t="n">
        <v>0</v>
      </c>
      <c r="AH23" s="23" t="n">
        <v>0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2" t="n">
        <v>10</v>
      </c>
      <c r="BB23" s="22" t="n">
        <v>10</v>
      </c>
      <c r="BC23" s="22" t="n">
        <v>10</v>
      </c>
      <c r="BD23" s="22" t="n">
        <v>10</v>
      </c>
      <c r="BE23" s="22" t="n">
        <v>10</v>
      </c>
      <c r="BF23" s="22" t="n">
        <v>10</v>
      </c>
      <c r="BG23" s="22" t="n">
        <v>10</v>
      </c>
      <c r="BH23" s="22" t="n">
        <v>10</v>
      </c>
      <c r="BI23" s="22" t="n">
        <v>10</v>
      </c>
      <c r="BJ23" s="23" t="n">
        <v>0</v>
      </c>
    </row>
    <row r="24">
      <c r="A24" s="24" t="inlineStr">
        <is>
          <t>1.10</t>
        </is>
      </c>
      <c r="B24" s="24" t="inlineStr">
        <is>
          <t>Thảm BTN.C19</t>
        </is>
      </c>
      <c r="C24" s="24" t="inlineStr">
        <is>
          <t>THI CÔNG LỚP THẢM BTN C19 (THẢM THÔ 6-7CM)</t>
        </is>
      </c>
      <c r="D24" s="24" t="inlineStr">
        <is>
          <t>m2</t>
        </is>
      </c>
      <c r="E24" s="25" t="n">
        <v>180340</v>
      </c>
      <c r="F24" s="25" t="n">
        <v>0</v>
      </c>
      <c r="G24" s="24" t="n">
        <v>0</v>
      </c>
      <c r="H24" s="24" t="n">
        <v>1</v>
      </c>
      <c r="I24" s="25" t="n">
        <v>180340</v>
      </c>
      <c r="J24" s="25">
        <f>I24/K24</f>
        <v/>
      </c>
      <c r="K24" s="24" t="n">
        <v>9</v>
      </c>
      <c r="L24" s="24" t="inlineStr">
        <is>
          <t>2026-10-17</t>
        </is>
      </c>
      <c r="M24" s="24" t="inlineStr">
        <is>
          <t>2026-10-25</t>
        </is>
      </c>
      <c r="N24" s="24" t="n">
        <v>2</v>
      </c>
      <c r="O24" s="25" t="n">
        <v>0</v>
      </c>
      <c r="P24" s="25" t="n">
        <v>0</v>
      </c>
      <c r="Q24" s="25" t="n">
        <v>0</v>
      </c>
      <c r="R24" s="25" t="n">
        <v>0</v>
      </c>
      <c r="S24" s="25" t="n">
        <v>4</v>
      </c>
      <c r="T24" s="25" t="n">
        <v>0</v>
      </c>
      <c r="U24" s="25" t="n">
        <v>12</v>
      </c>
      <c r="V24" s="25" t="n">
        <v>0</v>
      </c>
      <c r="W24" s="25" t="n">
        <v>0</v>
      </c>
      <c r="X24" s="24" t="inlineStr">
        <is>
          <t>2 Mũi rải + 4 Lu rung/lốp + 12 Xe ben BTN</t>
        </is>
      </c>
      <c r="Y24" s="25" t="n">
        <v>36</v>
      </c>
      <c r="Z24" s="26" t="n">
        <v>36</v>
      </c>
      <c r="AA24" s="23" t="n">
        <v>0</v>
      </c>
      <c r="AB24" s="23" t="n">
        <v>0</v>
      </c>
      <c r="AC24" s="23" t="n">
        <v>0</v>
      </c>
      <c r="AD24" s="23" t="n">
        <v>0</v>
      </c>
      <c r="AE24" s="23" t="n">
        <v>0</v>
      </c>
      <c r="AF24" s="23" t="n">
        <v>0</v>
      </c>
      <c r="AG24" s="23" t="n">
        <v>0</v>
      </c>
      <c r="AH24" s="23" t="n">
        <v>0</v>
      </c>
      <c r="AI24" s="23" t="n">
        <v>0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7" t="n">
        <v>36</v>
      </c>
      <c r="BC24" s="27" t="n">
        <v>36</v>
      </c>
      <c r="BD24" s="27" t="n">
        <v>36</v>
      </c>
      <c r="BE24" s="27" t="n">
        <v>36</v>
      </c>
      <c r="BF24" s="27" t="n">
        <v>36</v>
      </c>
      <c r="BG24" s="27" t="n">
        <v>36</v>
      </c>
      <c r="BH24" s="27" t="n">
        <v>36</v>
      </c>
      <c r="BI24" s="27" t="n">
        <v>36</v>
      </c>
      <c r="BJ24" s="27" t="n">
        <v>36</v>
      </c>
    </row>
    <row r="25">
      <c r="A25" s="16" t="inlineStr">
        <is>
          <t>II</t>
        </is>
      </c>
      <c r="B25" s="16" t="n"/>
      <c r="C25" s="16" t="inlineStr">
        <is>
          <t>San lấp cụm B9 (Diện tích = 887,000 m2; Đắp K90 = 1,774,000 m3)</t>
        </is>
      </c>
      <c r="D25" s="16" t="inlineStr">
        <is>
          <t>m2</t>
        </is>
      </c>
      <c r="E25" s="17" t="n"/>
      <c r="F25" s="17" t="n"/>
      <c r="G25" s="16" t="n"/>
      <c r="H25" s="16" t="n"/>
      <c r="I25" s="17" t="n">
        <v>887000</v>
      </c>
      <c r="J25" s="17" t="n"/>
      <c r="K25" s="16" t="n">
        <v>36</v>
      </c>
      <c r="L25" s="16" t="inlineStr">
        <is>
          <t>2026-09-20</t>
        </is>
      </c>
      <c r="M25" s="16" t="inlineStr">
        <is>
          <t>2026-10-25</t>
        </is>
      </c>
      <c r="N25" s="16" t="n">
        <v>2</v>
      </c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6" t="n"/>
      <c r="Y25" s="17" t="n"/>
      <c r="Z25" s="18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</row>
    <row r="26">
      <c r="A26" s="19" t="inlineStr">
        <is>
          <t>ẩn</t>
        </is>
      </c>
      <c r="B26" s="19" t="inlineStr">
        <is>
          <t>Phát rừng = máy</t>
        </is>
      </c>
      <c r="C26" s="19" t="inlineStr">
        <is>
          <t>Phát quang mặt bằng san lấp cụm B9</t>
        </is>
      </c>
      <c r="D26" s="19" t="inlineStr">
        <is>
          <t>m2</t>
        </is>
      </c>
      <c r="E26" s="20" t="n">
        <v>887000</v>
      </c>
      <c r="F26" s="20" t="n">
        <v>0</v>
      </c>
      <c r="G26" s="19" t="n">
        <v>0</v>
      </c>
      <c r="H26" s="19" t="n">
        <v>1</v>
      </c>
      <c r="I26" s="20" t="n">
        <v>887000</v>
      </c>
      <c r="J26" s="20">
        <f>I26/K26</f>
        <v/>
      </c>
      <c r="K26" s="19" t="n">
        <v>15</v>
      </c>
      <c r="L26" s="19" t="inlineStr">
        <is>
          <t>2026-09-20</t>
        </is>
      </c>
      <c r="M26" s="19" t="inlineStr">
        <is>
          <t>2026-10-04</t>
        </is>
      </c>
      <c r="N26" s="19" t="n">
        <v>2</v>
      </c>
      <c r="O26" s="20" t="n">
        <v>0</v>
      </c>
      <c r="P26" s="20" t="n">
        <v>0</v>
      </c>
      <c r="Q26" s="20" t="n">
        <v>9.460000000000001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0</v>
      </c>
      <c r="W26" s="20" t="n">
        <v>0</v>
      </c>
      <c r="X26" s="19" t="inlineStr">
        <is>
          <t>9,5M3</t>
        </is>
      </c>
      <c r="Y26" s="20" t="n">
        <v>24</v>
      </c>
      <c r="Z26" s="21" t="n">
        <v>24</v>
      </c>
      <c r="AA26" s="28" t="n">
        <v>24</v>
      </c>
      <c r="AB26" s="28" t="n">
        <v>24</v>
      </c>
      <c r="AC26" s="28" t="n">
        <v>24</v>
      </c>
      <c r="AD26" s="28" t="n">
        <v>24</v>
      </c>
      <c r="AE26" s="28" t="n">
        <v>24</v>
      </c>
      <c r="AF26" s="28" t="n">
        <v>24</v>
      </c>
      <c r="AG26" s="28" t="n">
        <v>24</v>
      </c>
      <c r="AH26" s="28" t="n">
        <v>24</v>
      </c>
      <c r="AI26" s="28" t="n">
        <v>24</v>
      </c>
      <c r="AJ26" s="28" t="n">
        <v>24</v>
      </c>
      <c r="AK26" s="28" t="n">
        <v>24</v>
      </c>
      <c r="AL26" s="28" t="n">
        <v>24</v>
      </c>
      <c r="AM26" s="28" t="n">
        <v>24</v>
      </c>
      <c r="AN26" s="28" t="n">
        <v>24</v>
      </c>
      <c r="AO26" s="28" t="n">
        <v>24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0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</row>
    <row r="27">
      <c r="A27" s="19" t="inlineStr">
        <is>
          <t>1.1</t>
        </is>
      </c>
      <c r="B27" s="19" t="inlineStr">
        <is>
          <t>Đào khuôn đường</t>
        </is>
      </c>
      <c r="C27" s="19" t="inlineStr">
        <is>
          <t>Đào khuôn, vét hữu cơ nền san lấp</t>
        </is>
      </c>
      <c r="D27" s="19" t="inlineStr">
        <is>
          <t>m3</t>
        </is>
      </c>
      <c r="E27" s="20" t="n">
        <v>88700</v>
      </c>
      <c r="F27" s="20" t="n">
        <v>0</v>
      </c>
      <c r="G27" s="19" t="n">
        <v>0</v>
      </c>
      <c r="H27" s="19" t="n">
        <v>1</v>
      </c>
      <c r="I27" s="20" t="n">
        <v>88700</v>
      </c>
      <c r="J27" s="20">
        <f>I27/K27</f>
        <v/>
      </c>
      <c r="K27" s="19" t="n">
        <v>15</v>
      </c>
      <c r="L27" s="19" t="inlineStr">
        <is>
          <t>2026-09-20</t>
        </is>
      </c>
      <c r="M27" s="19" t="inlineStr">
        <is>
          <t>2026-10-04</t>
        </is>
      </c>
      <c r="N27" s="19" t="n">
        <v>2</v>
      </c>
      <c r="O27" s="20" t="n">
        <v>3.39</v>
      </c>
      <c r="P27" s="20" t="n">
        <v>0</v>
      </c>
      <c r="Q27" s="20" t="n">
        <v>2.71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 t="n">
        <v>0</v>
      </c>
      <c r="X27" s="19" t="inlineStr">
        <is>
          <t>3,4M1; 2,7M3</t>
        </is>
      </c>
      <c r="Y27" s="20" t="n">
        <v>12</v>
      </c>
      <c r="Z27" s="21" t="n">
        <v>12</v>
      </c>
      <c r="AA27" s="28" t="n">
        <v>12</v>
      </c>
      <c r="AB27" s="28" t="n">
        <v>12</v>
      </c>
      <c r="AC27" s="28" t="n">
        <v>12</v>
      </c>
      <c r="AD27" s="28" t="n">
        <v>12</v>
      </c>
      <c r="AE27" s="28" t="n">
        <v>12</v>
      </c>
      <c r="AF27" s="28" t="n">
        <v>12</v>
      </c>
      <c r="AG27" s="28" t="n">
        <v>12</v>
      </c>
      <c r="AH27" s="28" t="n">
        <v>12</v>
      </c>
      <c r="AI27" s="28" t="n">
        <v>12</v>
      </c>
      <c r="AJ27" s="28" t="n">
        <v>12</v>
      </c>
      <c r="AK27" s="28" t="n">
        <v>12</v>
      </c>
      <c r="AL27" s="28" t="n">
        <v>12</v>
      </c>
      <c r="AM27" s="28" t="n">
        <v>12</v>
      </c>
      <c r="AN27" s="28" t="n">
        <v>12</v>
      </c>
      <c r="AO27" s="28" t="n">
        <v>12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0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</row>
    <row r="28">
      <c r="A28" s="19" t="inlineStr">
        <is>
          <t>ẩn</t>
        </is>
      </c>
      <c r="B28" s="19" t="inlineStr">
        <is>
          <t>Vận chuyển đất &lt;5km</t>
        </is>
      </c>
      <c r="C28" s="19" t="inlineStr">
        <is>
          <t>Vận chuyển nội bộ đất hữu cơ san lấp &lt;5km</t>
        </is>
      </c>
      <c r="D28" s="19" t="inlineStr">
        <is>
          <t>m3</t>
        </is>
      </c>
      <c r="E28" s="20" t="n">
        <v>88700</v>
      </c>
      <c r="F28" s="20" t="n">
        <v>0</v>
      </c>
      <c r="G28" s="19" t="n">
        <v>0</v>
      </c>
      <c r="H28" s="19" t="n">
        <v>1</v>
      </c>
      <c r="I28" s="20" t="n">
        <v>88700</v>
      </c>
      <c r="J28" s="20">
        <f>I28/K28</f>
        <v/>
      </c>
      <c r="K28" s="19" t="n">
        <v>15</v>
      </c>
      <c r="L28" s="19" t="inlineStr">
        <is>
          <t>2026-09-20</t>
        </is>
      </c>
      <c r="M28" s="19" t="inlineStr">
        <is>
          <t>2026-10-04</t>
        </is>
      </c>
      <c r="N28" s="19" t="n">
        <v>2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5.17</v>
      </c>
      <c r="V28" s="20" t="n">
        <v>0</v>
      </c>
      <c r="W28" s="20" t="n">
        <v>0</v>
      </c>
      <c r="X28" s="19" t="inlineStr">
        <is>
          <t>5,2M7</t>
        </is>
      </c>
      <c r="Y28" s="20" t="n">
        <v>10</v>
      </c>
      <c r="Z28" s="21" t="n">
        <v>10</v>
      </c>
      <c r="AA28" s="28" t="n">
        <v>10</v>
      </c>
      <c r="AB28" s="28" t="n">
        <v>10</v>
      </c>
      <c r="AC28" s="28" t="n">
        <v>10</v>
      </c>
      <c r="AD28" s="28" t="n">
        <v>10</v>
      </c>
      <c r="AE28" s="28" t="n">
        <v>10</v>
      </c>
      <c r="AF28" s="28" t="n">
        <v>10</v>
      </c>
      <c r="AG28" s="28" t="n">
        <v>10</v>
      </c>
      <c r="AH28" s="28" t="n">
        <v>10</v>
      </c>
      <c r="AI28" s="28" t="n">
        <v>10</v>
      </c>
      <c r="AJ28" s="28" t="n">
        <v>10</v>
      </c>
      <c r="AK28" s="28" t="n">
        <v>10</v>
      </c>
      <c r="AL28" s="28" t="n">
        <v>10</v>
      </c>
      <c r="AM28" s="28" t="n">
        <v>10</v>
      </c>
      <c r="AN28" s="28" t="n">
        <v>10</v>
      </c>
      <c r="AO28" s="28" t="n">
        <v>10</v>
      </c>
      <c r="AP28" s="23" t="n">
        <v>0</v>
      </c>
      <c r="AQ28" s="23" t="n">
        <v>0</v>
      </c>
      <c r="AR28" s="23" t="n">
        <v>0</v>
      </c>
      <c r="AS28" s="23" t="n">
        <v>0</v>
      </c>
      <c r="AT28" s="23" t="n">
        <v>0</v>
      </c>
      <c r="AU28" s="23" t="n">
        <v>0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</row>
    <row r="29">
      <c r="A29" s="19" t="inlineStr">
        <is>
          <t>1.2</t>
        </is>
      </c>
      <c r="B29" s="19" t="inlineStr">
        <is>
          <t>Đắp đất K90</t>
        </is>
      </c>
      <c r="C29" s="19" t="inlineStr">
        <is>
          <t>Thi công đắp đất/cát K90 san nền cụm B9</t>
        </is>
      </c>
      <c r="D29" s="19" t="inlineStr">
        <is>
          <t>m3</t>
        </is>
      </c>
      <c r="E29" s="20" t="n">
        <v>1774000</v>
      </c>
      <c r="F29" s="20" t="n">
        <v>0</v>
      </c>
      <c r="G29" s="19" t="n">
        <v>0</v>
      </c>
      <c r="H29" s="19" t="n">
        <v>1</v>
      </c>
      <c r="I29" s="20" t="n">
        <v>1774000</v>
      </c>
      <c r="J29" s="20">
        <f>I29/K29</f>
        <v/>
      </c>
      <c r="K29" s="19" t="n">
        <v>32</v>
      </c>
      <c r="L29" s="19" t="inlineStr">
        <is>
          <t>2026-09-22</t>
        </is>
      </c>
      <c r="M29" s="19" t="inlineStr">
        <is>
          <t>2026-10-23</t>
        </is>
      </c>
      <c r="N29" s="19" t="n">
        <v>2</v>
      </c>
      <c r="O29" s="20" t="n">
        <v>34.74</v>
      </c>
      <c r="P29" s="20" t="n">
        <v>0</v>
      </c>
      <c r="Q29" s="20" t="n">
        <v>33.26</v>
      </c>
      <c r="R29" s="20" t="n">
        <v>0</v>
      </c>
      <c r="S29" s="20" t="n">
        <v>11.61</v>
      </c>
      <c r="T29" s="20" t="n">
        <v>0</v>
      </c>
      <c r="U29" s="20" t="n">
        <v>0</v>
      </c>
      <c r="V29" s="20" t="n">
        <v>0</v>
      </c>
      <c r="W29" s="20" t="n">
        <v>0</v>
      </c>
      <c r="X29" s="19" t="inlineStr">
        <is>
          <t>34,7M1; 33,3M3; 11,6M5</t>
        </is>
      </c>
      <c r="Y29" s="20" t="n">
        <v>90</v>
      </c>
      <c r="Z29" s="21" t="n">
        <v>90</v>
      </c>
      <c r="AA29" s="23" t="n">
        <v>0</v>
      </c>
      <c r="AB29" s="23" t="n">
        <v>0</v>
      </c>
      <c r="AC29" s="28" t="n">
        <v>90</v>
      </c>
      <c r="AD29" s="28" t="n">
        <v>90</v>
      </c>
      <c r="AE29" s="28" t="n">
        <v>90</v>
      </c>
      <c r="AF29" s="28" t="n">
        <v>90</v>
      </c>
      <c r="AG29" s="28" t="n">
        <v>90</v>
      </c>
      <c r="AH29" s="28" t="n">
        <v>90</v>
      </c>
      <c r="AI29" s="28" t="n">
        <v>90</v>
      </c>
      <c r="AJ29" s="28" t="n">
        <v>90</v>
      </c>
      <c r="AK29" s="28" t="n">
        <v>90</v>
      </c>
      <c r="AL29" s="28" t="n">
        <v>90</v>
      </c>
      <c r="AM29" s="28" t="n">
        <v>90</v>
      </c>
      <c r="AN29" s="28" t="n">
        <v>90</v>
      </c>
      <c r="AO29" s="28" t="n">
        <v>90</v>
      </c>
      <c r="AP29" s="28" t="n">
        <v>90</v>
      </c>
      <c r="AQ29" s="28" t="n">
        <v>90</v>
      </c>
      <c r="AR29" s="28" t="n">
        <v>90</v>
      </c>
      <c r="AS29" s="28" t="n">
        <v>90</v>
      </c>
      <c r="AT29" s="28" t="n">
        <v>90</v>
      </c>
      <c r="AU29" s="28" t="n">
        <v>90</v>
      </c>
      <c r="AV29" s="28" t="n">
        <v>90</v>
      </c>
      <c r="AW29" s="28" t="n">
        <v>90</v>
      </c>
      <c r="AX29" s="28" t="n">
        <v>90</v>
      </c>
      <c r="AY29" s="28" t="n">
        <v>90</v>
      </c>
      <c r="AZ29" s="28" t="n">
        <v>90</v>
      </c>
      <c r="BA29" s="28" t="n">
        <v>90</v>
      </c>
      <c r="BB29" s="28" t="n">
        <v>90</v>
      </c>
      <c r="BC29" s="28" t="n">
        <v>90</v>
      </c>
      <c r="BD29" s="28" t="n">
        <v>90</v>
      </c>
      <c r="BE29" s="28" t="n">
        <v>90</v>
      </c>
      <c r="BF29" s="28" t="n">
        <v>90</v>
      </c>
      <c r="BG29" s="28" t="n">
        <v>90</v>
      </c>
      <c r="BH29" s="28" t="n">
        <v>90</v>
      </c>
      <c r="BI29" s="23" t="n">
        <v>0</v>
      </c>
      <c r="BJ29" s="23" t="n">
        <v>0</v>
      </c>
    </row>
    <row r="30">
      <c r="E30" s="29" t="n"/>
      <c r="F30" s="29" t="n"/>
      <c r="I30" s="29" t="n"/>
      <c r="J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Y30" s="29" t="n"/>
      <c r="Z30" s="30" t="n"/>
    </row>
    <row r="31">
      <c r="A31" s="31" t="inlineStr">
        <is>
          <t>H</t>
        </is>
      </c>
      <c r="B31" s="32" t="n"/>
      <c r="C31" s="31" t="inlineStr">
        <is>
          <t>CỘNG NHÂN CÔNG (Người/ngày trên công trường)</t>
        </is>
      </c>
      <c r="D31" s="32" t="n"/>
      <c r="E31" s="33" t="n"/>
      <c r="F31" s="33" t="n"/>
      <c r="G31" s="32" t="n"/>
      <c r="H31" s="32" t="n"/>
      <c r="I31" s="33" t="n"/>
      <c r="J31" s="33" t="n"/>
      <c r="K31" s="32" t="n"/>
      <c r="L31" s="32" t="n"/>
      <c r="M31" s="32" t="n"/>
      <c r="N31" s="32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2" t="n"/>
      <c r="Y31" s="33" t="n"/>
      <c r="Z31" s="34" t="n"/>
      <c r="AA31" s="35">
        <f>SUM(AA10:AA29)</f>
        <v/>
      </c>
      <c r="AB31" s="35">
        <f>SUM(AB10:AB29)</f>
        <v/>
      </c>
      <c r="AC31" s="35">
        <f>SUM(AC10:AC29)</f>
        <v/>
      </c>
      <c r="AD31" s="35">
        <f>SUM(AD10:AD29)</f>
        <v/>
      </c>
      <c r="AE31" s="35">
        <f>SUM(AE10:AE29)</f>
        <v/>
      </c>
      <c r="AF31" s="35">
        <f>SUM(AF10:AF29)</f>
        <v/>
      </c>
      <c r="AG31" s="35">
        <f>SUM(AG10:AG29)</f>
        <v/>
      </c>
      <c r="AH31" s="35">
        <f>SUM(AH10:AH29)</f>
        <v/>
      </c>
      <c r="AI31" s="35">
        <f>SUM(AI10:AI29)</f>
        <v/>
      </c>
      <c r="AJ31" s="35">
        <f>SUM(AJ10:AJ29)</f>
        <v/>
      </c>
      <c r="AK31" s="35">
        <f>SUM(AK10:AK29)</f>
        <v/>
      </c>
      <c r="AL31" s="35">
        <f>SUM(AL10:AL29)</f>
        <v/>
      </c>
      <c r="AM31" s="35">
        <f>SUM(AM10:AM29)</f>
        <v/>
      </c>
      <c r="AN31" s="35">
        <f>SUM(AN10:AN29)</f>
        <v/>
      </c>
      <c r="AO31" s="35">
        <f>SUM(AO10:AO29)</f>
        <v/>
      </c>
      <c r="AP31" s="35">
        <f>SUM(AP10:AP29)</f>
        <v/>
      </c>
      <c r="AQ31" s="35">
        <f>SUM(AQ10:AQ29)</f>
        <v/>
      </c>
      <c r="AR31" s="35">
        <f>SUM(AR10:AR29)</f>
        <v/>
      </c>
      <c r="AS31" s="35">
        <f>SUM(AS10:AS29)</f>
        <v/>
      </c>
      <c r="AT31" s="35">
        <f>SUM(AT10:AT29)</f>
        <v/>
      </c>
      <c r="AU31" s="35">
        <f>SUM(AU10:AU29)</f>
        <v/>
      </c>
      <c r="AV31" s="35">
        <f>SUM(AV10:AV29)</f>
        <v/>
      </c>
      <c r="AW31" s="35">
        <f>SUM(AW10:AW29)</f>
        <v/>
      </c>
      <c r="AX31" s="35">
        <f>SUM(AX10:AX29)</f>
        <v/>
      </c>
      <c r="AY31" s="35">
        <f>SUM(AY10:AY29)</f>
        <v/>
      </c>
      <c r="AZ31" s="35">
        <f>SUM(AZ10:AZ29)</f>
        <v/>
      </c>
      <c r="BA31" s="35">
        <f>SUM(BA10:BA29)</f>
        <v/>
      </c>
      <c r="BB31" s="35">
        <f>SUM(BB10:BB29)</f>
        <v/>
      </c>
      <c r="BC31" s="35">
        <f>SUM(BC10:BC29)</f>
        <v/>
      </c>
      <c r="BD31" s="35">
        <f>SUM(BD10:BD29)</f>
        <v/>
      </c>
      <c r="BE31" s="35">
        <f>SUM(BE10:BE29)</f>
        <v/>
      </c>
      <c r="BF31" s="35">
        <f>SUM(BF10:BF29)</f>
        <v/>
      </c>
      <c r="BG31" s="35">
        <f>SUM(BG10:BG29)</f>
        <v/>
      </c>
      <c r="BH31" s="35">
        <f>SUM(BH10:BH29)</f>
        <v/>
      </c>
      <c r="BI31" s="35">
        <f>SUM(BI10:BI29)</f>
        <v/>
      </c>
      <c r="BJ31" s="35">
        <f>SUM(BJ10:BJ29)</f>
        <v/>
      </c>
    </row>
    <row r="32">
      <c r="E32" s="29" t="n"/>
      <c r="F32" s="29" t="n"/>
      <c r="I32" s="29" t="n"/>
      <c r="J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Y32" s="29" t="n"/>
      <c r="Z32" s="30" t="n"/>
    </row>
    <row r="33">
      <c r="C33" s="36" t="inlineStr">
        <is>
          <t>BẢNG TỔNG HỢP MMTB (Số máy huy động hàng ngày)</t>
        </is>
      </c>
      <c r="D33" s="32" t="n"/>
      <c r="E33" s="33" t="n"/>
      <c r="F33" s="33" t="n"/>
      <c r="G33" s="32" t="n"/>
      <c r="H33" s="32" t="n"/>
      <c r="I33" s="33" t="n"/>
      <c r="J33" s="33" t="n"/>
      <c r="K33" s="32" t="n"/>
      <c r="L33" s="32" t="n"/>
      <c r="M33" s="32" t="n"/>
      <c r="N33" s="32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2" t="n"/>
      <c r="Y33" s="33" t="n"/>
      <c r="Z33" s="34" t="n"/>
    </row>
    <row r="34">
      <c r="A34" s="37" t="inlineStr">
        <is>
          <t>STT</t>
        </is>
      </c>
      <c r="B34" s="37" t="inlineStr">
        <is>
          <t>Mã máy</t>
        </is>
      </c>
      <c r="C34" s="37" t="inlineStr">
        <is>
          <t>Tên MMTB</t>
        </is>
      </c>
      <c r="D34" s="37" t="inlineStr">
        <is>
          <t>Đơn vị</t>
        </is>
      </c>
      <c r="E34" s="38" t="n"/>
      <c r="F34" s="38" t="n"/>
      <c r="G34" s="37" t="n"/>
      <c r="H34" s="37" t="inlineStr">
        <is>
          <t>ĐM dầu (lít/ca)</t>
        </is>
      </c>
      <c r="I34" s="38" t="inlineStr">
        <is>
          <t>Max máy</t>
        </is>
      </c>
      <c r="J34" s="38" t="n"/>
      <c r="K34" s="37" t="inlineStr">
        <is>
          <t>Bắt đầu</t>
        </is>
      </c>
      <c r="L34" s="37" t="inlineStr">
        <is>
          <t>Kết thúc</t>
        </is>
      </c>
      <c r="M34" s="37" t="n"/>
      <c r="N34" s="37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7" t="n"/>
      <c r="Y34" s="38" t="n"/>
      <c r="Z34" s="39" t="n"/>
      <c r="AA34" s="9" t="inlineStr">
        <is>
          <t>20/09</t>
        </is>
      </c>
      <c r="AB34" s="9" t="inlineStr">
        <is>
          <t>21/09</t>
        </is>
      </c>
      <c r="AC34" s="9" t="inlineStr">
        <is>
          <t>22/09</t>
        </is>
      </c>
      <c r="AD34" s="9" t="inlineStr">
        <is>
          <t>23/09</t>
        </is>
      </c>
      <c r="AE34" s="9" t="inlineStr">
        <is>
          <t>24/09</t>
        </is>
      </c>
      <c r="AF34" s="9" t="inlineStr">
        <is>
          <t>25/09</t>
        </is>
      </c>
      <c r="AG34" s="9" t="inlineStr">
        <is>
          <t>26/09</t>
        </is>
      </c>
      <c r="AH34" s="9" t="inlineStr">
        <is>
          <t>27/09</t>
        </is>
      </c>
      <c r="AI34" s="9" t="inlineStr">
        <is>
          <t>28/09</t>
        </is>
      </c>
      <c r="AJ34" s="9" t="inlineStr">
        <is>
          <t>29/09</t>
        </is>
      </c>
      <c r="AK34" s="9" t="inlineStr">
        <is>
          <t>30/09</t>
        </is>
      </c>
      <c r="AL34" s="9" t="inlineStr">
        <is>
          <t>01/10</t>
        </is>
      </c>
      <c r="AM34" s="9" t="inlineStr">
        <is>
          <t>02/10</t>
        </is>
      </c>
      <c r="AN34" s="9" t="inlineStr">
        <is>
          <t>03/10</t>
        </is>
      </c>
      <c r="AO34" s="9" t="inlineStr">
        <is>
          <t>04/10</t>
        </is>
      </c>
      <c r="AP34" s="9" t="inlineStr">
        <is>
          <t>05/10</t>
        </is>
      </c>
      <c r="AQ34" s="9" t="inlineStr">
        <is>
          <t>06/10</t>
        </is>
      </c>
      <c r="AR34" s="9" t="inlineStr">
        <is>
          <t>07/10</t>
        </is>
      </c>
      <c r="AS34" s="9" t="inlineStr">
        <is>
          <t>08/10</t>
        </is>
      </c>
      <c r="AT34" s="9" t="inlineStr">
        <is>
          <t>09/10</t>
        </is>
      </c>
      <c r="AU34" s="9" t="inlineStr">
        <is>
          <t>10/10</t>
        </is>
      </c>
      <c r="AV34" s="9" t="inlineStr">
        <is>
          <t>11/10</t>
        </is>
      </c>
      <c r="AW34" s="9" t="inlineStr">
        <is>
          <t>12/10</t>
        </is>
      </c>
      <c r="AX34" s="9" t="inlineStr">
        <is>
          <t>13/10</t>
        </is>
      </c>
      <c r="AY34" s="9" t="inlineStr">
        <is>
          <t>14/10</t>
        </is>
      </c>
      <c r="AZ34" s="9" t="inlineStr">
        <is>
          <t>15/10</t>
        </is>
      </c>
      <c r="BA34" s="9" t="inlineStr">
        <is>
          <t>16/10</t>
        </is>
      </c>
      <c r="BB34" s="9" t="inlineStr">
        <is>
          <t>17/10</t>
        </is>
      </c>
      <c r="BC34" s="9" t="inlineStr">
        <is>
          <t>18/10</t>
        </is>
      </c>
      <c r="BD34" s="9" t="inlineStr">
        <is>
          <t>19/10</t>
        </is>
      </c>
      <c r="BE34" s="9" t="inlineStr">
        <is>
          <t>20/10</t>
        </is>
      </c>
      <c r="BF34" s="9" t="inlineStr">
        <is>
          <t>21/10</t>
        </is>
      </c>
      <c r="BG34" s="9" t="inlineStr">
        <is>
          <t>22/10</t>
        </is>
      </c>
      <c r="BH34" s="9" t="inlineStr">
        <is>
          <t>23/10</t>
        </is>
      </c>
      <c r="BI34" s="9" t="inlineStr">
        <is>
          <t>24/10</t>
        </is>
      </c>
      <c r="BJ34" s="9" t="inlineStr">
        <is>
          <t>25/10</t>
        </is>
      </c>
    </row>
    <row r="35">
      <c r="A35" s="19" t="n">
        <v>1</v>
      </c>
      <c r="B35" s="19" t="inlineStr">
        <is>
          <t>M1</t>
        </is>
      </c>
      <c r="C35" s="19" t="inlineStr">
        <is>
          <t>Máy xúc PC200 - PC300 (m3/ca)</t>
        </is>
      </c>
      <c r="D35" s="19" t="inlineStr">
        <is>
          <t>cái</t>
        </is>
      </c>
      <c r="E35" s="20" t="n"/>
      <c r="F35" s="20" t="n"/>
      <c r="G35" s="19" t="n"/>
      <c r="H35" s="19" t="n">
        <v>89.59999999999999</v>
      </c>
      <c r="I35" s="20" t="n">
        <v>42</v>
      </c>
      <c r="J35" s="20" t="n"/>
      <c r="K35" s="19" t="inlineStr">
        <is>
          <t>2026-09-20</t>
        </is>
      </c>
      <c r="L35" s="19" t="inlineStr">
        <is>
          <t>2026-10-23</t>
        </is>
      </c>
      <c r="M35" s="19" t="n"/>
      <c r="N35" s="19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19" t="n"/>
      <c r="Y35" s="20" t="n"/>
      <c r="Z35" s="21" t="n"/>
      <c r="AA35" s="40" t="n">
        <v>38</v>
      </c>
      <c r="AB35" s="40" t="n">
        <v>38</v>
      </c>
      <c r="AC35" s="40" t="n">
        <v>38</v>
      </c>
      <c r="AD35" s="40" t="n">
        <v>38</v>
      </c>
      <c r="AE35" s="40" t="n">
        <v>38</v>
      </c>
      <c r="AF35" s="40" t="n">
        <v>38</v>
      </c>
      <c r="AG35" s="40" t="n">
        <v>38</v>
      </c>
      <c r="AH35" s="40" t="n">
        <v>38</v>
      </c>
      <c r="AI35" s="40" t="n">
        <v>38</v>
      </c>
      <c r="AJ35" s="40" t="n">
        <v>38</v>
      </c>
      <c r="AK35" s="40" t="n">
        <v>38</v>
      </c>
      <c r="AL35" s="40" t="n">
        <v>38</v>
      </c>
      <c r="AM35" s="40" t="n">
        <v>38</v>
      </c>
      <c r="AN35" s="40" t="n">
        <v>38</v>
      </c>
      <c r="AO35" s="40" t="n">
        <v>38</v>
      </c>
      <c r="AP35" s="40" t="n">
        <v>36</v>
      </c>
      <c r="AQ35" s="40" t="n">
        <v>36</v>
      </c>
      <c r="AR35" s="40" t="n">
        <v>36</v>
      </c>
      <c r="AS35" s="40" t="n">
        <v>36</v>
      </c>
      <c r="AT35" s="40" t="n">
        <v>36</v>
      </c>
      <c r="AU35" s="40" t="n">
        <v>36</v>
      </c>
      <c r="AV35" s="40" t="n">
        <v>36</v>
      </c>
      <c r="AW35" s="40" t="n">
        <v>36</v>
      </c>
      <c r="AX35" s="40" t="n">
        <v>36</v>
      </c>
      <c r="AY35" s="40" t="n">
        <v>35</v>
      </c>
      <c r="AZ35" s="40" t="n">
        <v>35</v>
      </c>
      <c r="BA35" s="40" t="n">
        <v>35</v>
      </c>
      <c r="BB35" s="40" t="n">
        <v>35</v>
      </c>
      <c r="BC35" s="40" t="n">
        <v>35</v>
      </c>
      <c r="BD35" s="40" t="n">
        <v>35</v>
      </c>
      <c r="BE35" s="40" t="n">
        <v>35</v>
      </c>
      <c r="BF35" s="40" t="n">
        <v>35</v>
      </c>
      <c r="BG35" s="40" t="n">
        <v>35</v>
      </c>
      <c r="BH35" s="40" t="n">
        <v>35</v>
      </c>
      <c r="BI35" s="23" t="n">
        <v>0</v>
      </c>
      <c r="BJ35" s="23" t="n">
        <v>0</v>
      </c>
    </row>
    <row r="36">
      <c r="A36" s="19" t="n">
        <v>2</v>
      </c>
      <c r="B36" s="19" t="inlineStr">
        <is>
          <t>M2</t>
        </is>
      </c>
      <c r="C36" s="19" t="inlineStr">
        <is>
          <t>Máy xúc PC350 - PC450 (m3/ca)</t>
        </is>
      </c>
      <c r="D36" s="19" t="inlineStr">
        <is>
          <t>cái</t>
        </is>
      </c>
      <c r="E36" s="20" t="n"/>
      <c r="F36" s="20" t="n"/>
      <c r="G36" s="19" t="n"/>
      <c r="H36" s="19" t="n">
        <v>106.4</v>
      </c>
      <c r="I36" s="20" t="n">
        <v>0</v>
      </c>
      <c r="J36" s="20" t="n"/>
      <c r="K36" s="19" t="inlineStr"/>
      <c r="L36" s="19" t="inlineStr"/>
      <c r="M36" s="19" t="n"/>
      <c r="N36" s="19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19" t="n"/>
      <c r="Y36" s="20" t="n"/>
      <c r="Z36" s="21" t="n"/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  <c r="AF36" s="23" t="n">
        <v>0</v>
      </c>
      <c r="AG36" s="23" t="n">
        <v>0</v>
      </c>
      <c r="AH36" s="23" t="n">
        <v>0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</row>
    <row r="37">
      <c r="A37" s="19" t="n">
        <v>3</v>
      </c>
      <c r="B37" s="19" t="inlineStr">
        <is>
          <t>M3</t>
        </is>
      </c>
      <c r="C37" s="19" t="inlineStr">
        <is>
          <t>Máy ủi D3 - D5 (m3/ca)</t>
        </is>
      </c>
      <c r="D37" s="19" t="inlineStr">
        <is>
          <t>cái</t>
        </is>
      </c>
      <c r="E37" s="20" t="n"/>
      <c r="F37" s="20" t="n"/>
      <c r="G37" s="19" t="n"/>
      <c r="H37" s="19" t="n">
        <v>124</v>
      </c>
      <c r="I37" s="20" t="n">
        <v>45</v>
      </c>
      <c r="J37" s="20" t="n"/>
      <c r="K37" s="19" t="inlineStr">
        <is>
          <t>2026-09-20</t>
        </is>
      </c>
      <c r="L37" s="19" t="inlineStr">
        <is>
          <t>2026-10-23</t>
        </is>
      </c>
      <c r="M37" s="19" t="n"/>
      <c r="N37" s="19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19" t="n"/>
      <c r="Y37" s="20" t="n"/>
      <c r="Z37" s="21" t="n"/>
      <c r="AA37" s="40" t="n">
        <v>42</v>
      </c>
      <c r="AB37" s="40" t="n">
        <v>42</v>
      </c>
      <c r="AC37" s="40" t="n">
        <v>42</v>
      </c>
      <c r="AD37" s="40" t="n">
        <v>42</v>
      </c>
      <c r="AE37" s="40" t="n">
        <v>42</v>
      </c>
      <c r="AF37" s="40" t="n">
        <v>42</v>
      </c>
      <c r="AG37" s="40" t="n">
        <v>42</v>
      </c>
      <c r="AH37" s="40" t="n">
        <v>42</v>
      </c>
      <c r="AI37" s="40" t="n">
        <v>42</v>
      </c>
      <c r="AJ37" s="40" t="n">
        <v>42</v>
      </c>
      <c r="AK37" s="40" t="n">
        <v>42</v>
      </c>
      <c r="AL37" s="40" t="n">
        <v>42</v>
      </c>
      <c r="AM37" s="40" t="n">
        <v>42</v>
      </c>
      <c r="AN37" s="40" t="n">
        <v>42</v>
      </c>
      <c r="AO37" s="40" t="n">
        <v>42</v>
      </c>
      <c r="AP37" s="40" t="n">
        <v>35</v>
      </c>
      <c r="AQ37" s="40" t="n">
        <v>35</v>
      </c>
      <c r="AR37" s="40" t="n">
        <v>35</v>
      </c>
      <c r="AS37" s="40" t="n">
        <v>35</v>
      </c>
      <c r="AT37" s="40" t="n">
        <v>35</v>
      </c>
      <c r="AU37" s="40" t="n">
        <v>35</v>
      </c>
      <c r="AV37" s="40" t="n">
        <v>35</v>
      </c>
      <c r="AW37" s="40" t="n">
        <v>34</v>
      </c>
      <c r="AX37" s="40" t="n">
        <v>34</v>
      </c>
      <c r="AY37" s="40" t="n">
        <v>34</v>
      </c>
      <c r="AZ37" s="40" t="n">
        <v>34</v>
      </c>
      <c r="BA37" s="40" t="n">
        <v>34</v>
      </c>
      <c r="BB37" s="40" t="n">
        <v>34</v>
      </c>
      <c r="BC37" s="40" t="n">
        <v>34</v>
      </c>
      <c r="BD37" s="40" t="n">
        <v>34</v>
      </c>
      <c r="BE37" s="40" t="n">
        <v>34</v>
      </c>
      <c r="BF37" s="40" t="n">
        <v>34</v>
      </c>
      <c r="BG37" s="40" t="n">
        <v>34</v>
      </c>
      <c r="BH37" s="40" t="n">
        <v>34</v>
      </c>
      <c r="BI37" s="23" t="n">
        <v>0</v>
      </c>
      <c r="BJ37" s="23" t="n">
        <v>0</v>
      </c>
    </row>
    <row r="38">
      <c r="A38" s="19" t="n">
        <v>4</v>
      </c>
      <c r="B38" s="19" t="inlineStr">
        <is>
          <t>M4</t>
        </is>
      </c>
      <c r="C38" s="19" t="inlineStr">
        <is>
          <t>Máy ủi CS 230CV (m3/ca)</t>
        </is>
      </c>
      <c r="D38" s="19" t="inlineStr">
        <is>
          <t>cái</t>
        </is>
      </c>
      <c r="E38" s="20" t="n"/>
      <c r="F38" s="20" t="n"/>
      <c r="G38" s="19" t="n"/>
      <c r="H38" s="19" t="n">
        <v>165</v>
      </c>
      <c r="I38" s="20" t="n">
        <v>0</v>
      </c>
      <c r="J38" s="20" t="n"/>
      <c r="K38" s="19" t="inlineStr"/>
      <c r="L38" s="19" t="inlineStr"/>
      <c r="M38" s="19" t="n"/>
      <c r="N38" s="19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19" t="n"/>
      <c r="Y38" s="20" t="n"/>
      <c r="Z38" s="21" t="n"/>
      <c r="AA38" s="23" t="n">
        <v>0</v>
      </c>
      <c r="AB38" s="23" t="n">
        <v>0</v>
      </c>
      <c r="AC38" s="23" t="n">
        <v>0</v>
      </c>
      <c r="AD38" s="23" t="n">
        <v>0</v>
      </c>
      <c r="AE38" s="23" t="n">
        <v>0</v>
      </c>
      <c r="AF38" s="23" t="n">
        <v>0</v>
      </c>
      <c r="AG38" s="23" t="n">
        <v>0</v>
      </c>
      <c r="AH38" s="23" t="n">
        <v>0</v>
      </c>
      <c r="AI38" s="23" t="n">
        <v>0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</row>
    <row r="39">
      <c r="A39" s="19" t="n">
        <v>5</v>
      </c>
      <c r="B39" s="19" t="inlineStr">
        <is>
          <t>M5</t>
        </is>
      </c>
      <c r="C39" s="19" t="inlineStr">
        <is>
          <t>Máy lu 12T - 16T (m3/ca)</t>
        </is>
      </c>
      <c r="D39" s="19" t="inlineStr">
        <is>
          <t>cái</t>
        </is>
      </c>
      <c r="E39" s="20" t="n"/>
      <c r="F39" s="20" t="n"/>
      <c r="G39" s="19" t="n"/>
      <c r="H39" s="19" t="n">
        <v>44</v>
      </c>
      <c r="I39" s="20" t="n">
        <v>28</v>
      </c>
      <c r="J39" s="20" t="n"/>
      <c r="K39" s="19" t="inlineStr">
        <is>
          <t>2026-09-22</t>
        </is>
      </c>
      <c r="L39" s="19" t="inlineStr">
        <is>
          <t>2026-10-23</t>
        </is>
      </c>
      <c r="M39" s="19" t="n"/>
      <c r="N39" s="19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19" t="n"/>
      <c r="Y39" s="20" t="n"/>
      <c r="Z39" s="21" t="n"/>
      <c r="AA39" s="23" t="n">
        <v>0</v>
      </c>
      <c r="AB39" s="23" t="n">
        <v>0</v>
      </c>
      <c r="AC39" s="40" t="n">
        <v>26</v>
      </c>
      <c r="AD39" s="40" t="n">
        <v>26</v>
      </c>
      <c r="AE39" s="40" t="n">
        <v>26</v>
      </c>
      <c r="AF39" s="40" t="n">
        <v>26</v>
      </c>
      <c r="AG39" s="40" t="n">
        <v>26</v>
      </c>
      <c r="AH39" s="40" t="n">
        <v>26</v>
      </c>
      <c r="AI39" s="40" t="n">
        <v>26</v>
      </c>
      <c r="AJ39" s="40" t="n">
        <v>26</v>
      </c>
      <c r="AK39" s="40" t="n">
        <v>26</v>
      </c>
      <c r="AL39" s="40" t="n">
        <v>26</v>
      </c>
      <c r="AM39" s="40" t="n">
        <v>26</v>
      </c>
      <c r="AN39" s="40" t="n">
        <v>26</v>
      </c>
      <c r="AO39" s="40" t="n">
        <v>26</v>
      </c>
      <c r="AP39" s="40" t="n">
        <v>26</v>
      </c>
      <c r="AQ39" s="40" t="n">
        <v>26</v>
      </c>
      <c r="AR39" s="40" t="n">
        <v>26</v>
      </c>
      <c r="AS39" s="40" t="n">
        <v>26</v>
      </c>
      <c r="AT39" s="40" t="n">
        <v>26</v>
      </c>
      <c r="AU39" s="40" t="n">
        <v>28</v>
      </c>
      <c r="AV39" s="40" t="n">
        <v>28</v>
      </c>
      <c r="AW39" s="40" t="n">
        <v>28</v>
      </c>
      <c r="AX39" s="40" t="n">
        <v>28</v>
      </c>
      <c r="AY39" s="40" t="n">
        <v>28</v>
      </c>
      <c r="AZ39" s="40" t="n">
        <v>28</v>
      </c>
      <c r="BA39" s="40" t="n">
        <v>28</v>
      </c>
      <c r="BB39" s="40" t="n">
        <v>28</v>
      </c>
      <c r="BC39" s="40" t="n">
        <v>14</v>
      </c>
      <c r="BD39" s="40" t="n">
        <v>14</v>
      </c>
      <c r="BE39" s="40" t="n">
        <v>14</v>
      </c>
      <c r="BF39" s="40" t="n">
        <v>14</v>
      </c>
      <c r="BG39" s="40" t="n">
        <v>14</v>
      </c>
      <c r="BH39" s="40" t="n">
        <v>14</v>
      </c>
      <c r="BI39" s="23" t="n">
        <v>0</v>
      </c>
      <c r="BJ39" s="23" t="n">
        <v>0</v>
      </c>
    </row>
    <row r="40">
      <c r="A40" s="19" t="n">
        <v>6</v>
      </c>
      <c r="B40" s="19" t="inlineStr">
        <is>
          <t>M6</t>
        </is>
      </c>
      <c r="C40" s="19" t="inlineStr">
        <is>
          <t>Máy san (m3/ca)</t>
        </is>
      </c>
      <c r="D40" s="19" t="inlineStr">
        <is>
          <t>cái</t>
        </is>
      </c>
      <c r="E40" s="20" t="n"/>
      <c r="F40" s="20" t="n"/>
      <c r="G40" s="19" t="n"/>
      <c r="H40" s="19" t="n">
        <v>69</v>
      </c>
      <c r="I40" s="20" t="n">
        <v>6</v>
      </c>
      <c r="J40" s="20" t="n"/>
      <c r="K40" s="19" t="inlineStr">
        <is>
          <t>2026-09-28</t>
        </is>
      </c>
      <c r="L40" s="19" t="inlineStr">
        <is>
          <t>2026-10-20</t>
        </is>
      </c>
      <c r="M40" s="19" t="n"/>
      <c r="N40" s="19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19" t="n"/>
      <c r="Y40" s="20" t="n"/>
      <c r="Z40" s="21" t="n"/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23" t="n">
        <v>0</v>
      </c>
      <c r="AH40" s="23" t="n">
        <v>0</v>
      </c>
      <c r="AI40" s="40" t="n">
        <v>5</v>
      </c>
      <c r="AJ40" s="40" t="n">
        <v>5</v>
      </c>
      <c r="AK40" s="40" t="n">
        <v>5</v>
      </c>
      <c r="AL40" s="40" t="n">
        <v>5</v>
      </c>
      <c r="AM40" s="40" t="n">
        <v>5</v>
      </c>
      <c r="AN40" s="40" t="n">
        <v>5</v>
      </c>
      <c r="AO40" s="40" t="n">
        <v>5</v>
      </c>
      <c r="AP40" s="40" t="n">
        <v>5</v>
      </c>
      <c r="AQ40" s="40" t="n">
        <v>5</v>
      </c>
      <c r="AR40" s="40" t="n">
        <v>5</v>
      </c>
      <c r="AS40" s="40" t="n">
        <v>5</v>
      </c>
      <c r="AT40" s="40" t="n">
        <v>5</v>
      </c>
      <c r="AU40" s="40" t="n">
        <v>5</v>
      </c>
      <c r="AV40" s="40" t="n">
        <v>5</v>
      </c>
      <c r="AW40" s="40" t="n">
        <v>5</v>
      </c>
      <c r="AX40" s="40" t="n">
        <v>3</v>
      </c>
      <c r="AY40" s="40" t="n">
        <v>3</v>
      </c>
      <c r="AZ40" s="40" t="n">
        <v>3</v>
      </c>
      <c r="BA40" s="40" t="n">
        <v>3</v>
      </c>
      <c r="BB40" s="40" t="n">
        <v>3</v>
      </c>
      <c r="BC40" s="40" t="n">
        <v>3</v>
      </c>
      <c r="BD40" s="40" t="n">
        <v>3</v>
      </c>
      <c r="BE40" s="40" t="n">
        <v>3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</row>
    <row r="41">
      <c r="A41" s="19" t="n">
        <v>7</v>
      </c>
      <c r="B41" s="19" t="inlineStr">
        <is>
          <t>M7</t>
        </is>
      </c>
      <c r="C41" s="19" t="inlineStr">
        <is>
          <t>Ô tô VC loại 18,0m3 (m3/ca)</t>
        </is>
      </c>
      <c r="D41" s="19" t="inlineStr">
        <is>
          <t>cái</t>
        </is>
      </c>
      <c r="E41" s="20" t="n"/>
      <c r="F41" s="20" t="n"/>
      <c r="G41" s="19" t="n"/>
      <c r="H41" s="19" t="n">
        <v>26</v>
      </c>
      <c r="I41" s="20" t="n">
        <v>18</v>
      </c>
      <c r="J41" s="20" t="n"/>
      <c r="K41" s="19" t="inlineStr">
        <is>
          <t>2026-09-20</t>
        </is>
      </c>
      <c r="L41" s="19" t="inlineStr">
        <is>
          <t>2026-10-25</t>
        </is>
      </c>
      <c r="M41" s="19" t="n"/>
      <c r="N41" s="19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19" t="n"/>
      <c r="Y41" s="20" t="n"/>
      <c r="Z41" s="21" t="n"/>
      <c r="AA41" s="40" t="n">
        <v>15</v>
      </c>
      <c r="AB41" s="40" t="n">
        <v>15</v>
      </c>
      <c r="AC41" s="40" t="n">
        <v>15</v>
      </c>
      <c r="AD41" s="40" t="n">
        <v>15</v>
      </c>
      <c r="AE41" s="40" t="n">
        <v>15</v>
      </c>
      <c r="AF41" s="40" t="n">
        <v>15</v>
      </c>
      <c r="AG41" s="40" t="n">
        <v>15</v>
      </c>
      <c r="AH41" s="40" t="n">
        <v>15</v>
      </c>
      <c r="AI41" s="40" t="n">
        <v>15</v>
      </c>
      <c r="AJ41" s="40" t="n">
        <v>15</v>
      </c>
      <c r="AK41" s="40" t="n">
        <v>15</v>
      </c>
      <c r="AL41" s="40" t="n">
        <v>15</v>
      </c>
      <c r="AM41" s="40" t="n">
        <v>15</v>
      </c>
      <c r="AN41" s="40" t="n">
        <v>15</v>
      </c>
      <c r="AO41" s="40" t="n">
        <v>15</v>
      </c>
      <c r="AP41" s="40" t="n">
        <v>12</v>
      </c>
      <c r="AQ41" s="40" t="n">
        <v>12</v>
      </c>
      <c r="AR41" s="40" t="n">
        <v>12</v>
      </c>
      <c r="AS41" s="40" t="n">
        <v>12</v>
      </c>
      <c r="AT41" s="40" t="n">
        <v>12</v>
      </c>
      <c r="AU41" s="40" t="n">
        <v>12</v>
      </c>
      <c r="AV41" s="40" t="n">
        <v>12</v>
      </c>
      <c r="AW41" s="40" t="n">
        <v>12</v>
      </c>
      <c r="AX41" s="40" t="n">
        <v>12</v>
      </c>
      <c r="AY41" s="40" t="n">
        <v>12</v>
      </c>
      <c r="AZ41" s="40" t="n">
        <v>12</v>
      </c>
      <c r="BA41" s="40" t="n">
        <v>12</v>
      </c>
      <c r="BB41" s="40" t="n">
        <v>12</v>
      </c>
      <c r="BC41" s="40" t="n">
        <v>18</v>
      </c>
      <c r="BD41" s="40" t="n">
        <v>18</v>
      </c>
      <c r="BE41" s="40" t="n">
        <v>18</v>
      </c>
      <c r="BF41" s="40" t="n">
        <v>18</v>
      </c>
      <c r="BG41" s="40" t="n">
        <v>18</v>
      </c>
      <c r="BH41" s="40" t="n">
        <v>18</v>
      </c>
      <c r="BI41" s="40" t="n">
        <v>18</v>
      </c>
      <c r="BJ41" s="40" t="n">
        <v>18</v>
      </c>
    </row>
    <row r="42">
      <c r="A42" s="19" t="n">
        <v>8</v>
      </c>
      <c r="B42" s="19" t="inlineStr">
        <is>
          <t>M8</t>
        </is>
      </c>
      <c r="C42" s="19" t="inlineStr">
        <is>
          <t>Máy xúc lốp PC140 - PC150</t>
        </is>
      </c>
      <c r="D42" s="19" t="inlineStr">
        <is>
          <t>cái</t>
        </is>
      </c>
      <c r="E42" s="20" t="n"/>
      <c r="F42" s="20" t="n"/>
      <c r="G42" s="19" t="n"/>
      <c r="H42" s="19" t="n">
        <v>64</v>
      </c>
      <c r="I42" s="20" t="n">
        <v>14</v>
      </c>
      <c r="J42" s="20" t="n"/>
      <c r="K42" s="19" t="inlineStr">
        <is>
          <t>2026-09-26</t>
        </is>
      </c>
      <c r="L42" s="19" t="inlineStr">
        <is>
          <t>2026-10-13</t>
        </is>
      </c>
      <c r="M42" s="19" t="n"/>
      <c r="N42" s="19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19" t="n"/>
      <c r="Y42" s="20" t="n"/>
      <c r="Z42" s="21" t="n"/>
      <c r="AA42" s="23" t="n">
        <v>0</v>
      </c>
      <c r="AB42" s="23" t="n">
        <v>0</v>
      </c>
      <c r="AC42" s="23" t="n">
        <v>0</v>
      </c>
      <c r="AD42" s="23" t="n">
        <v>0</v>
      </c>
      <c r="AE42" s="23" t="n">
        <v>0</v>
      </c>
      <c r="AF42" s="23" t="n">
        <v>0</v>
      </c>
      <c r="AG42" s="40" t="n">
        <v>14</v>
      </c>
      <c r="AH42" s="40" t="n">
        <v>14</v>
      </c>
      <c r="AI42" s="40" t="n">
        <v>14</v>
      </c>
      <c r="AJ42" s="40" t="n">
        <v>14</v>
      </c>
      <c r="AK42" s="40" t="n">
        <v>14</v>
      </c>
      <c r="AL42" s="40" t="n">
        <v>14</v>
      </c>
      <c r="AM42" s="40" t="n">
        <v>14</v>
      </c>
      <c r="AN42" s="40" t="n">
        <v>14</v>
      </c>
      <c r="AO42" s="40" t="n">
        <v>14</v>
      </c>
      <c r="AP42" s="40" t="n">
        <v>14</v>
      </c>
      <c r="AQ42" s="40" t="n">
        <v>14</v>
      </c>
      <c r="AR42" s="40" t="n">
        <v>14</v>
      </c>
      <c r="AS42" s="40" t="n">
        <v>14</v>
      </c>
      <c r="AT42" s="40" t="n">
        <v>14</v>
      </c>
      <c r="AU42" s="40" t="n">
        <v>14</v>
      </c>
      <c r="AV42" s="40" t="n">
        <v>14</v>
      </c>
      <c r="AW42" s="40" t="n">
        <v>14</v>
      </c>
      <c r="AX42" s="40" t="n">
        <v>14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</row>
    <row r="43">
      <c r="A43" s="19" t="n">
        <v>9</v>
      </c>
      <c r="B43" s="19" t="inlineStr">
        <is>
          <t>M9</t>
        </is>
      </c>
      <c r="C43" s="19" t="inlineStr">
        <is>
          <t>Xe téc nước 9m3</t>
        </is>
      </c>
      <c r="D43" s="19" t="inlineStr">
        <is>
          <t>cái</t>
        </is>
      </c>
      <c r="E43" s="20" t="n"/>
      <c r="F43" s="20" t="n"/>
      <c r="G43" s="19" t="n"/>
      <c r="H43" s="19" t="n">
        <v>42</v>
      </c>
      <c r="I43" s="20" t="n">
        <v>4</v>
      </c>
      <c r="J43" s="20" t="n"/>
      <c r="K43" s="19" t="inlineStr">
        <is>
          <t>2026-10-06</t>
        </is>
      </c>
      <c r="L43" s="19" t="inlineStr">
        <is>
          <t>2026-10-24</t>
        </is>
      </c>
      <c r="M43" s="19" t="n"/>
      <c r="N43" s="19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19" t="n"/>
      <c r="Y43" s="20" t="n"/>
      <c r="Z43" s="21" t="n"/>
      <c r="AA43" s="23" t="n">
        <v>0</v>
      </c>
      <c r="AB43" s="23" t="n">
        <v>0</v>
      </c>
      <c r="AC43" s="23" t="n">
        <v>0</v>
      </c>
      <c r="AD43" s="23" t="n">
        <v>0</v>
      </c>
      <c r="AE43" s="23" t="n">
        <v>0</v>
      </c>
      <c r="AF43" s="23" t="n">
        <v>0</v>
      </c>
      <c r="AG43" s="23" t="n">
        <v>0</v>
      </c>
      <c r="AH43" s="23" t="n">
        <v>0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40" t="n">
        <v>4</v>
      </c>
      <c r="AR43" s="40" t="n">
        <v>4</v>
      </c>
      <c r="AS43" s="40" t="n">
        <v>4</v>
      </c>
      <c r="AT43" s="40" t="n">
        <v>4</v>
      </c>
      <c r="AU43" s="40" t="n">
        <v>4</v>
      </c>
      <c r="AV43" s="40" t="n">
        <v>4</v>
      </c>
      <c r="AW43" s="40" t="n">
        <v>4</v>
      </c>
      <c r="AX43" s="40" t="n">
        <v>4</v>
      </c>
      <c r="AY43" s="40" t="n">
        <v>4</v>
      </c>
      <c r="AZ43" s="40" t="n">
        <v>4</v>
      </c>
      <c r="BA43" s="40" t="n">
        <v>4</v>
      </c>
      <c r="BB43" s="40" t="n">
        <v>4</v>
      </c>
      <c r="BC43" s="40" t="n">
        <v>4</v>
      </c>
      <c r="BD43" s="40" t="n">
        <v>4</v>
      </c>
      <c r="BE43" s="40" t="n">
        <v>4</v>
      </c>
      <c r="BF43" s="40" t="n">
        <v>4</v>
      </c>
      <c r="BG43" s="40" t="n">
        <v>4</v>
      </c>
      <c r="BH43" s="40" t="n">
        <v>4</v>
      </c>
      <c r="BI43" s="40" t="n">
        <v>4</v>
      </c>
      <c r="BJ43" s="23" t="n">
        <v>0</v>
      </c>
    </row>
    <row r="44">
      <c r="A44" s="19" t="n">
        <v>10</v>
      </c>
      <c r="B44" s="19" t="inlineStr">
        <is>
          <t>MP1</t>
        </is>
      </c>
      <c r="C44" s="19" t="inlineStr">
        <is>
          <t>Xe cấp dầu 9-10m3</t>
        </is>
      </c>
      <c r="D44" s="19" t="inlineStr">
        <is>
          <t>cái</t>
        </is>
      </c>
      <c r="E44" s="20" t="n"/>
      <c r="F44" s="20" t="n"/>
      <c r="G44" s="19" t="n"/>
      <c r="H44" s="19" t="n">
        <v>44</v>
      </c>
      <c r="I44" s="20" t="n">
        <v>2</v>
      </c>
      <c r="J44" s="20" t="n"/>
      <c r="K44" s="19" t="inlineStr">
        <is>
          <t>2026-09-20</t>
        </is>
      </c>
      <c r="L44" s="19" t="inlineStr">
        <is>
          <t>2026-10-25</t>
        </is>
      </c>
      <c r="M44" s="19" t="n"/>
      <c r="N44" s="19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19" t="n"/>
      <c r="Y44" s="20" t="n"/>
      <c r="Z44" s="21" t="n"/>
      <c r="AA44" s="40" t="n">
        <v>2</v>
      </c>
      <c r="AB44" s="40" t="n">
        <v>2</v>
      </c>
      <c r="AC44" s="40" t="n">
        <v>2</v>
      </c>
      <c r="AD44" s="40" t="n">
        <v>2</v>
      </c>
      <c r="AE44" s="40" t="n">
        <v>2</v>
      </c>
      <c r="AF44" s="40" t="n">
        <v>2</v>
      </c>
      <c r="AG44" s="40" t="n">
        <v>2</v>
      </c>
      <c r="AH44" s="40" t="n">
        <v>2</v>
      </c>
      <c r="AI44" s="40" t="n">
        <v>2</v>
      </c>
      <c r="AJ44" s="40" t="n">
        <v>2</v>
      </c>
      <c r="AK44" s="40" t="n">
        <v>2</v>
      </c>
      <c r="AL44" s="40" t="n">
        <v>2</v>
      </c>
      <c r="AM44" s="40" t="n">
        <v>2</v>
      </c>
      <c r="AN44" s="40" t="n">
        <v>2</v>
      </c>
      <c r="AO44" s="40" t="n">
        <v>2</v>
      </c>
      <c r="AP44" s="40" t="n">
        <v>2</v>
      </c>
      <c r="AQ44" s="40" t="n">
        <v>2</v>
      </c>
      <c r="AR44" s="40" t="n">
        <v>2</v>
      </c>
      <c r="AS44" s="40" t="n">
        <v>2</v>
      </c>
      <c r="AT44" s="40" t="n">
        <v>2</v>
      </c>
      <c r="AU44" s="40" t="n">
        <v>2</v>
      </c>
      <c r="AV44" s="40" t="n">
        <v>2</v>
      </c>
      <c r="AW44" s="40" t="n">
        <v>2</v>
      </c>
      <c r="AX44" s="40" t="n">
        <v>2</v>
      </c>
      <c r="AY44" s="40" t="n">
        <v>2</v>
      </c>
      <c r="AZ44" s="40" t="n">
        <v>2</v>
      </c>
      <c r="BA44" s="40" t="n">
        <v>2</v>
      </c>
      <c r="BB44" s="40" t="n">
        <v>2</v>
      </c>
      <c r="BC44" s="40" t="n">
        <v>2</v>
      </c>
      <c r="BD44" s="40" t="n">
        <v>2</v>
      </c>
      <c r="BE44" s="40" t="n">
        <v>2</v>
      </c>
      <c r="BF44" s="40" t="n">
        <v>2</v>
      </c>
      <c r="BG44" s="40" t="n">
        <v>2</v>
      </c>
      <c r="BH44" s="40" t="n">
        <v>2</v>
      </c>
      <c r="BI44" s="40" t="n">
        <v>2</v>
      </c>
      <c r="BJ44" s="40" t="n">
        <v>2</v>
      </c>
    </row>
    <row r="45">
      <c r="A45" s="19" t="n">
        <v>11</v>
      </c>
      <c r="B45" s="19" t="inlineStr">
        <is>
          <t>MP2</t>
        </is>
      </c>
      <c r="C45" s="19" t="inlineStr">
        <is>
          <t>Máy phát điện 3 pha 25kVA</t>
        </is>
      </c>
      <c r="D45" s="19" t="inlineStr">
        <is>
          <t>cái</t>
        </is>
      </c>
      <c r="E45" s="20" t="n"/>
      <c r="F45" s="20" t="n"/>
      <c r="G45" s="19" t="n"/>
      <c r="H45" s="19" t="n">
        <v>28</v>
      </c>
      <c r="I45" s="20" t="n">
        <v>3</v>
      </c>
      <c r="J45" s="20" t="n"/>
      <c r="K45" s="19" t="inlineStr">
        <is>
          <t>2026-09-20</t>
        </is>
      </c>
      <c r="L45" s="19" t="inlineStr">
        <is>
          <t>2026-10-25</t>
        </is>
      </c>
      <c r="M45" s="19" t="n"/>
      <c r="N45" s="19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19" t="n"/>
      <c r="Y45" s="20" t="n"/>
      <c r="Z45" s="21" t="n"/>
      <c r="AA45" s="40" t="n">
        <v>3</v>
      </c>
      <c r="AB45" s="40" t="n">
        <v>3</v>
      </c>
      <c r="AC45" s="40" t="n">
        <v>3</v>
      </c>
      <c r="AD45" s="40" t="n">
        <v>3</v>
      </c>
      <c r="AE45" s="40" t="n">
        <v>3</v>
      </c>
      <c r="AF45" s="40" t="n">
        <v>3</v>
      </c>
      <c r="AG45" s="40" t="n">
        <v>3</v>
      </c>
      <c r="AH45" s="40" t="n">
        <v>3</v>
      </c>
      <c r="AI45" s="40" t="n">
        <v>3</v>
      </c>
      <c r="AJ45" s="40" t="n">
        <v>3</v>
      </c>
      <c r="AK45" s="40" t="n">
        <v>3</v>
      </c>
      <c r="AL45" s="40" t="n">
        <v>3</v>
      </c>
      <c r="AM45" s="40" t="n">
        <v>3</v>
      </c>
      <c r="AN45" s="40" t="n">
        <v>3</v>
      </c>
      <c r="AO45" s="40" t="n">
        <v>3</v>
      </c>
      <c r="AP45" s="40" t="n">
        <v>3</v>
      </c>
      <c r="AQ45" s="40" t="n">
        <v>3</v>
      </c>
      <c r="AR45" s="40" t="n">
        <v>3</v>
      </c>
      <c r="AS45" s="40" t="n">
        <v>3</v>
      </c>
      <c r="AT45" s="40" t="n">
        <v>3</v>
      </c>
      <c r="AU45" s="40" t="n">
        <v>3</v>
      </c>
      <c r="AV45" s="40" t="n">
        <v>3</v>
      </c>
      <c r="AW45" s="40" t="n">
        <v>3</v>
      </c>
      <c r="AX45" s="40" t="n">
        <v>3</v>
      </c>
      <c r="AY45" s="40" t="n">
        <v>3</v>
      </c>
      <c r="AZ45" s="40" t="n">
        <v>3</v>
      </c>
      <c r="BA45" s="40" t="n">
        <v>3</v>
      </c>
      <c r="BB45" s="40" t="n">
        <v>3</v>
      </c>
      <c r="BC45" s="40" t="n">
        <v>3</v>
      </c>
      <c r="BD45" s="40" t="n">
        <v>3</v>
      </c>
      <c r="BE45" s="40" t="n">
        <v>3</v>
      </c>
      <c r="BF45" s="40" t="n">
        <v>3</v>
      </c>
      <c r="BG45" s="40" t="n">
        <v>3</v>
      </c>
      <c r="BH45" s="40" t="n">
        <v>3</v>
      </c>
      <c r="BI45" s="40" t="n">
        <v>3</v>
      </c>
      <c r="BJ45" s="40" t="n">
        <v>3</v>
      </c>
    </row>
    <row r="46">
      <c r="A46" s="19" t="n">
        <v>12</v>
      </c>
      <c r="B46" s="19" t="inlineStr">
        <is>
          <t>MP3</t>
        </is>
      </c>
      <c r="C46" s="19" t="inlineStr">
        <is>
          <t>Máy xúc lốp phục vụ PC140</t>
        </is>
      </c>
      <c r="D46" s="19" t="inlineStr">
        <is>
          <t>cái</t>
        </is>
      </c>
      <c r="E46" s="20" t="n"/>
      <c r="F46" s="20" t="n"/>
      <c r="G46" s="19" t="n"/>
      <c r="H46" s="19" t="n">
        <v>64</v>
      </c>
      <c r="I46" s="20" t="n">
        <v>2</v>
      </c>
      <c r="J46" s="20" t="n"/>
      <c r="K46" s="19" t="inlineStr">
        <is>
          <t>2026-09-20</t>
        </is>
      </c>
      <c r="L46" s="19" t="inlineStr">
        <is>
          <t>2026-10-25</t>
        </is>
      </c>
      <c r="M46" s="19" t="n"/>
      <c r="N46" s="19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19" t="n"/>
      <c r="Y46" s="20" t="n"/>
      <c r="Z46" s="21" t="n"/>
      <c r="AA46" s="40" t="n">
        <v>2</v>
      </c>
      <c r="AB46" s="40" t="n">
        <v>2</v>
      </c>
      <c r="AC46" s="40" t="n">
        <v>2</v>
      </c>
      <c r="AD46" s="40" t="n">
        <v>2</v>
      </c>
      <c r="AE46" s="40" t="n">
        <v>2</v>
      </c>
      <c r="AF46" s="40" t="n">
        <v>2</v>
      </c>
      <c r="AG46" s="40" t="n">
        <v>2</v>
      </c>
      <c r="AH46" s="40" t="n">
        <v>2</v>
      </c>
      <c r="AI46" s="40" t="n">
        <v>2</v>
      </c>
      <c r="AJ46" s="40" t="n">
        <v>2</v>
      </c>
      <c r="AK46" s="40" t="n">
        <v>2</v>
      </c>
      <c r="AL46" s="40" t="n">
        <v>2</v>
      </c>
      <c r="AM46" s="40" t="n">
        <v>2</v>
      </c>
      <c r="AN46" s="40" t="n">
        <v>2</v>
      </c>
      <c r="AO46" s="40" t="n">
        <v>2</v>
      </c>
      <c r="AP46" s="40" t="n">
        <v>2</v>
      </c>
      <c r="AQ46" s="40" t="n">
        <v>2</v>
      </c>
      <c r="AR46" s="40" t="n">
        <v>2</v>
      </c>
      <c r="AS46" s="40" t="n">
        <v>2</v>
      </c>
      <c r="AT46" s="40" t="n">
        <v>2</v>
      </c>
      <c r="AU46" s="40" t="n">
        <v>2</v>
      </c>
      <c r="AV46" s="40" t="n">
        <v>2</v>
      </c>
      <c r="AW46" s="40" t="n">
        <v>2</v>
      </c>
      <c r="AX46" s="40" t="n">
        <v>2</v>
      </c>
      <c r="AY46" s="40" t="n">
        <v>2</v>
      </c>
      <c r="AZ46" s="40" t="n">
        <v>2</v>
      </c>
      <c r="BA46" s="40" t="n">
        <v>2</v>
      </c>
      <c r="BB46" s="40" t="n">
        <v>2</v>
      </c>
      <c r="BC46" s="40" t="n">
        <v>2</v>
      </c>
      <c r="BD46" s="40" t="n">
        <v>2</v>
      </c>
      <c r="BE46" s="40" t="n">
        <v>2</v>
      </c>
      <c r="BF46" s="40" t="n">
        <v>2</v>
      </c>
      <c r="BG46" s="40" t="n">
        <v>2</v>
      </c>
      <c r="BH46" s="40" t="n">
        <v>2</v>
      </c>
      <c r="BI46" s="40" t="n">
        <v>2</v>
      </c>
      <c r="BJ46" s="40" t="n">
        <v>2</v>
      </c>
    </row>
    <row r="47">
      <c r="E47" s="29" t="n"/>
      <c r="F47" s="29" t="n"/>
      <c r="I47" s="29" t="n"/>
      <c r="J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Y47" s="29" t="n"/>
      <c r="Z47" s="30" t="n"/>
    </row>
    <row r="48">
      <c r="C48" s="41" t="inlineStr">
        <is>
          <t>BẢNG TÍNH DẦU DIEZEL THEO TIẾN ĐỘ THI CÔNG (Lít/ngày)</t>
        </is>
      </c>
      <c r="D48" s="42" t="n"/>
      <c r="E48" s="43" t="n"/>
      <c r="F48" s="43" t="n"/>
      <c r="G48" s="42" t="n"/>
      <c r="H48" s="42" t="n"/>
      <c r="I48" s="43" t="n"/>
      <c r="J48" s="43" t="n"/>
      <c r="K48" s="42" t="n"/>
      <c r="L48" s="42" t="n"/>
      <c r="M48" s="42" t="n"/>
      <c r="N48" s="42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2" t="n"/>
      <c r="Y48" s="43" t="n"/>
      <c r="Z48" s="44" t="n"/>
    </row>
    <row r="49">
      <c r="A49" s="45" t="n"/>
      <c r="B49" s="45" t="n"/>
      <c r="C49" s="46" t="inlineStr">
        <is>
          <t>TỔNG SỐ LÍT DẦU DIEZEL TIÊU THỤ / NGÀY</t>
        </is>
      </c>
      <c r="D49" s="45" t="n"/>
      <c r="E49" s="47" t="n"/>
      <c r="F49" s="47" t="n"/>
      <c r="G49" s="45" t="n"/>
      <c r="H49" s="45" t="n"/>
      <c r="I49" s="47" t="n"/>
      <c r="J49" s="47" t="n"/>
      <c r="K49" s="45" t="n"/>
      <c r="L49" s="45" t="n"/>
      <c r="M49" s="45" t="n"/>
      <c r="N49" s="45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5" t="n"/>
      <c r="Y49" s="47" t="n"/>
      <c r="Z49" s="48" t="n"/>
      <c r="AA49" s="49">
        <f>SUM(AA50:AA61)</f>
        <v/>
      </c>
      <c r="AB49" s="49">
        <f>SUM(AB50:AB61)</f>
        <v/>
      </c>
      <c r="AC49" s="49">
        <f>SUM(AC50:AC61)</f>
        <v/>
      </c>
      <c r="AD49" s="49">
        <f>SUM(AD50:AD61)</f>
        <v/>
      </c>
      <c r="AE49" s="49">
        <f>SUM(AE50:AE61)</f>
        <v/>
      </c>
      <c r="AF49" s="49">
        <f>SUM(AF50:AF61)</f>
        <v/>
      </c>
      <c r="AG49" s="49">
        <f>SUM(AG50:AG61)</f>
        <v/>
      </c>
      <c r="AH49" s="49">
        <f>SUM(AH50:AH61)</f>
        <v/>
      </c>
      <c r="AI49" s="49">
        <f>SUM(AI50:AI61)</f>
        <v/>
      </c>
      <c r="AJ49" s="49">
        <f>SUM(AJ50:AJ61)</f>
        <v/>
      </c>
      <c r="AK49" s="49">
        <f>SUM(AK50:AK61)</f>
        <v/>
      </c>
      <c r="AL49" s="49">
        <f>SUM(AL50:AL61)</f>
        <v/>
      </c>
      <c r="AM49" s="49">
        <f>SUM(AM50:AM61)</f>
        <v/>
      </c>
      <c r="AN49" s="49">
        <f>SUM(AN50:AN61)</f>
        <v/>
      </c>
      <c r="AO49" s="49">
        <f>SUM(AO50:AO61)</f>
        <v/>
      </c>
      <c r="AP49" s="49">
        <f>SUM(AP50:AP61)</f>
        <v/>
      </c>
      <c r="AQ49" s="49">
        <f>SUM(AQ50:AQ61)</f>
        <v/>
      </c>
      <c r="AR49" s="49">
        <f>SUM(AR50:AR61)</f>
        <v/>
      </c>
      <c r="AS49" s="49">
        <f>SUM(AS50:AS61)</f>
        <v/>
      </c>
      <c r="AT49" s="49">
        <f>SUM(AT50:AT61)</f>
        <v/>
      </c>
      <c r="AU49" s="49">
        <f>SUM(AU50:AU61)</f>
        <v/>
      </c>
      <c r="AV49" s="49">
        <f>SUM(AV50:AV61)</f>
        <v/>
      </c>
      <c r="AW49" s="49">
        <f>SUM(AW50:AW61)</f>
        <v/>
      </c>
      <c r="AX49" s="49">
        <f>SUM(AX50:AX61)</f>
        <v/>
      </c>
      <c r="AY49" s="49">
        <f>SUM(AY50:AY61)</f>
        <v/>
      </c>
      <c r="AZ49" s="49">
        <f>SUM(AZ50:AZ61)</f>
        <v/>
      </c>
      <c r="BA49" s="49">
        <f>SUM(BA50:BA61)</f>
        <v/>
      </c>
      <c r="BB49" s="49">
        <f>SUM(BB50:BB61)</f>
        <v/>
      </c>
      <c r="BC49" s="49">
        <f>SUM(BC50:BC61)</f>
        <v/>
      </c>
      <c r="BD49" s="49">
        <f>SUM(BD50:BD61)</f>
        <v/>
      </c>
      <c r="BE49" s="49">
        <f>SUM(BE50:BE61)</f>
        <v/>
      </c>
      <c r="BF49" s="49">
        <f>SUM(BF50:BF61)</f>
        <v/>
      </c>
      <c r="BG49" s="49">
        <f>SUM(BG50:BG61)</f>
        <v/>
      </c>
      <c r="BH49" s="49">
        <f>SUM(BH50:BH61)</f>
        <v/>
      </c>
      <c r="BI49" s="49">
        <f>SUM(BI50:BI61)</f>
        <v/>
      </c>
      <c r="BJ49" s="49">
        <f>SUM(BJ50:BJ61)</f>
        <v/>
      </c>
    </row>
    <row r="50">
      <c r="A50" s="50" t="n">
        <v>1</v>
      </c>
      <c r="B50" s="50" t="inlineStr">
        <is>
          <t>M1</t>
        </is>
      </c>
      <c r="C50" s="50" t="inlineStr">
        <is>
          <t>Máy xúc PC200 - PC300 (m3/ca)</t>
        </is>
      </c>
      <c r="D50" s="50" t="inlineStr">
        <is>
          <t>Lít</t>
        </is>
      </c>
      <c r="E50" s="51" t="n"/>
      <c r="F50" s="51" t="n"/>
      <c r="G50" s="50" t="n"/>
      <c r="H50" s="50" t="n">
        <v>89.59999999999999</v>
      </c>
      <c r="I50" s="51" t="n"/>
      <c r="J50" s="51" t="n"/>
      <c r="K50" s="50" t="n"/>
      <c r="L50" s="50" t="n"/>
      <c r="M50" s="50" t="n"/>
      <c r="N50" s="50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0" t="n"/>
      <c r="Y50" s="51" t="n"/>
      <c r="Z50" s="52" t="n"/>
      <c r="AA50" s="53">
        <f>AA35*$H50*2</f>
        <v/>
      </c>
      <c r="AB50" s="53">
        <f>AB35*$H50*2</f>
        <v/>
      </c>
      <c r="AC50" s="53">
        <f>AC35*$H50*2</f>
        <v/>
      </c>
      <c r="AD50" s="53">
        <f>AD35*$H50*2</f>
        <v/>
      </c>
      <c r="AE50" s="53">
        <f>AE35*$H50*2</f>
        <v/>
      </c>
      <c r="AF50" s="53">
        <f>AF35*$H50*2</f>
        <v/>
      </c>
      <c r="AG50" s="53">
        <f>AG35*$H50*2</f>
        <v/>
      </c>
      <c r="AH50" s="53">
        <f>AH35*$H50*2</f>
        <v/>
      </c>
      <c r="AI50" s="53">
        <f>AI35*$H50*2</f>
        <v/>
      </c>
      <c r="AJ50" s="53">
        <f>AJ35*$H50*2</f>
        <v/>
      </c>
      <c r="AK50" s="53">
        <f>AK35*$H50*2</f>
        <v/>
      </c>
      <c r="AL50" s="53">
        <f>AL35*$H50*2</f>
        <v/>
      </c>
      <c r="AM50" s="53">
        <f>AM35*$H50*2</f>
        <v/>
      </c>
      <c r="AN50" s="53">
        <f>AN35*$H50*2</f>
        <v/>
      </c>
      <c r="AO50" s="53">
        <f>AO35*$H50*2</f>
        <v/>
      </c>
      <c r="AP50" s="53">
        <f>AP35*$H50*2</f>
        <v/>
      </c>
      <c r="AQ50" s="53">
        <f>AQ35*$H50*2</f>
        <v/>
      </c>
      <c r="AR50" s="53">
        <f>AR35*$H50*2</f>
        <v/>
      </c>
      <c r="AS50" s="53">
        <f>AS35*$H50*2</f>
        <v/>
      </c>
      <c r="AT50" s="53">
        <f>AT35*$H50*2</f>
        <v/>
      </c>
      <c r="AU50" s="53">
        <f>AU35*$H50*2</f>
        <v/>
      </c>
      <c r="AV50" s="53">
        <f>AV35*$H50*2</f>
        <v/>
      </c>
      <c r="AW50" s="53">
        <f>AW35*$H50*2</f>
        <v/>
      </c>
      <c r="AX50" s="53">
        <f>AX35*$H50*2</f>
        <v/>
      </c>
      <c r="AY50" s="53">
        <f>AY35*$H50*2</f>
        <v/>
      </c>
      <c r="AZ50" s="53">
        <f>AZ35*$H50*2</f>
        <v/>
      </c>
      <c r="BA50" s="53">
        <f>BA35*$H50*2</f>
        <v/>
      </c>
      <c r="BB50" s="53">
        <f>BB35*$H50*2</f>
        <v/>
      </c>
      <c r="BC50" s="53">
        <f>BC35*$H50*2</f>
        <v/>
      </c>
      <c r="BD50" s="53">
        <f>BD35*$H50*2</f>
        <v/>
      </c>
      <c r="BE50" s="53">
        <f>BE35*$H50*2</f>
        <v/>
      </c>
      <c r="BF50" s="53">
        <f>BF35*$H50*2</f>
        <v/>
      </c>
      <c r="BG50" s="53">
        <f>BG35*$H50*2</f>
        <v/>
      </c>
      <c r="BH50" s="53">
        <f>BH35*$H50*2</f>
        <v/>
      </c>
      <c r="BI50" s="53">
        <f>BI35*$H50*2</f>
        <v/>
      </c>
      <c r="BJ50" s="53">
        <f>BJ35*$H50*2</f>
        <v/>
      </c>
    </row>
    <row r="51">
      <c r="A51" s="50" t="n">
        <v>2</v>
      </c>
      <c r="B51" s="50" t="inlineStr">
        <is>
          <t>M2</t>
        </is>
      </c>
      <c r="C51" s="50" t="inlineStr">
        <is>
          <t>Máy xúc PC350 - PC450 (m3/ca)</t>
        </is>
      </c>
      <c r="D51" s="50" t="inlineStr">
        <is>
          <t>Lít</t>
        </is>
      </c>
      <c r="E51" s="51" t="n"/>
      <c r="F51" s="51" t="n"/>
      <c r="G51" s="50" t="n"/>
      <c r="H51" s="50" t="n">
        <v>106.4</v>
      </c>
      <c r="I51" s="51" t="n"/>
      <c r="J51" s="51" t="n"/>
      <c r="K51" s="50" t="n"/>
      <c r="L51" s="50" t="n"/>
      <c r="M51" s="50" t="n"/>
      <c r="N51" s="50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0" t="n"/>
      <c r="Y51" s="51" t="n"/>
      <c r="Z51" s="52" t="n"/>
      <c r="AA51" s="53">
        <f>AA36*$H51*2</f>
        <v/>
      </c>
      <c r="AB51" s="53">
        <f>AB36*$H51*2</f>
        <v/>
      </c>
      <c r="AC51" s="53">
        <f>AC36*$H51*2</f>
        <v/>
      </c>
      <c r="AD51" s="53">
        <f>AD36*$H51*2</f>
        <v/>
      </c>
      <c r="AE51" s="53">
        <f>AE36*$H51*2</f>
        <v/>
      </c>
      <c r="AF51" s="53">
        <f>AF36*$H51*2</f>
        <v/>
      </c>
      <c r="AG51" s="53">
        <f>AG36*$H51*2</f>
        <v/>
      </c>
      <c r="AH51" s="53">
        <f>AH36*$H51*2</f>
        <v/>
      </c>
      <c r="AI51" s="53">
        <f>AI36*$H51*2</f>
        <v/>
      </c>
      <c r="AJ51" s="53">
        <f>AJ36*$H51*2</f>
        <v/>
      </c>
      <c r="AK51" s="53">
        <f>AK36*$H51*2</f>
        <v/>
      </c>
      <c r="AL51" s="53">
        <f>AL36*$H51*2</f>
        <v/>
      </c>
      <c r="AM51" s="53">
        <f>AM36*$H51*2</f>
        <v/>
      </c>
      <c r="AN51" s="53">
        <f>AN36*$H51*2</f>
        <v/>
      </c>
      <c r="AO51" s="53">
        <f>AO36*$H51*2</f>
        <v/>
      </c>
      <c r="AP51" s="53">
        <f>AP36*$H51*2</f>
        <v/>
      </c>
      <c r="AQ51" s="53">
        <f>AQ36*$H51*2</f>
        <v/>
      </c>
      <c r="AR51" s="53">
        <f>AR36*$H51*2</f>
        <v/>
      </c>
      <c r="AS51" s="53">
        <f>AS36*$H51*2</f>
        <v/>
      </c>
      <c r="AT51" s="53">
        <f>AT36*$H51*2</f>
        <v/>
      </c>
      <c r="AU51" s="53">
        <f>AU36*$H51*2</f>
        <v/>
      </c>
      <c r="AV51" s="53">
        <f>AV36*$H51*2</f>
        <v/>
      </c>
      <c r="AW51" s="53">
        <f>AW36*$H51*2</f>
        <v/>
      </c>
      <c r="AX51" s="53">
        <f>AX36*$H51*2</f>
        <v/>
      </c>
      <c r="AY51" s="53">
        <f>AY36*$H51*2</f>
        <v/>
      </c>
      <c r="AZ51" s="53">
        <f>AZ36*$H51*2</f>
        <v/>
      </c>
      <c r="BA51" s="53">
        <f>BA36*$H51*2</f>
        <v/>
      </c>
      <c r="BB51" s="53">
        <f>BB36*$H51*2</f>
        <v/>
      </c>
      <c r="BC51" s="53">
        <f>BC36*$H51*2</f>
        <v/>
      </c>
      <c r="BD51" s="53">
        <f>BD36*$H51*2</f>
        <v/>
      </c>
      <c r="BE51" s="53">
        <f>BE36*$H51*2</f>
        <v/>
      </c>
      <c r="BF51" s="53">
        <f>BF36*$H51*2</f>
        <v/>
      </c>
      <c r="BG51" s="53">
        <f>BG36*$H51*2</f>
        <v/>
      </c>
      <c r="BH51" s="53">
        <f>BH36*$H51*2</f>
        <v/>
      </c>
      <c r="BI51" s="53">
        <f>BI36*$H51*2</f>
        <v/>
      </c>
      <c r="BJ51" s="53">
        <f>BJ36*$H51*2</f>
        <v/>
      </c>
    </row>
    <row r="52">
      <c r="A52" s="50" t="n">
        <v>3</v>
      </c>
      <c r="B52" s="50" t="inlineStr">
        <is>
          <t>M3</t>
        </is>
      </c>
      <c r="C52" s="50" t="inlineStr">
        <is>
          <t>Máy ủi D3 - D5 (m3/ca)</t>
        </is>
      </c>
      <c r="D52" s="50" t="inlineStr">
        <is>
          <t>Lít</t>
        </is>
      </c>
      <c r="E52" s="51" t="n"/>
      <c r="F52" s="51" t="n"/>
      <c r="G52" s="50" t="n"/>
      <c r="H52" s="50" t="n">
        <v>124</v>
      </c>
      <c r="I52" s="51" t="n"/>
      <c r="J52" s="51" t="n"/>
      <c r="K52" s="50" t="n"/>
      <c r="L52" s="50" t="n"/>
      <c r="M52" s="50" t="n"/>
      <c r="N52" s="50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0" t="n"/>
      <c r="Y52" s="51" t="n"/>
      <c r="Z52" s="52" t="n"/>
      <c r="AA52" s="53">
        <f>AA37*$H52*2</f>
        <v/>
      </c>
      <c r="AB52" s="53">
        <f>AB37*$H52*2</f>
        <v/>
      </c>
      <c r="AC52" s="53">
        <f>AC37*$H52*2</f>
        <v/>
      </c>
      <c r="AD52" s="53">
        <f>AD37*$H52*2</f>
        <v/>
      </c>
      <c r="AE52" s="53">
        <f>AE37*$H52*2</f>
        <v/>
      </c>
      <c r="AF52" s="53">
        <f>AF37*$H52*2</f>
        <v/>
      </c>
      <c r="AG52" s="53">
        <f>AG37*$H52*2</f>
        <v/>
      </c>
      <c r="AH52" s="53">
        <f>AH37*$H52*2</f>
        <v/>
      </c>
      <c r="AI52" s="53">
        <f>AI37*$H52*2</f>
        <v/>
      </c>
      <c r="AJ52" s="53">
        <f>AJ37*$H52*2</f>
        <v/>
      </c>
      <c r="AK52" s="53">
        <f>AK37*$H52*2</f>
        <v/>
      </c>
      <c r="AL52" s="53">
        <f>AL37*$H52*2</f>
        <v/>
      </c>
      <c r="AM52" s="53">
        <f>AM37*$H52*2</f>
        <v/>
      </c>
      <c r="AN52" s="53">
        <f>AN37*$H52*2</f>
        <v/>
      </c>
      <c r="AO52" s="53">
        <f>AO37*$H52*2</f>
        <v/>
      </c>
      <c r="AP52" s="53">
        <f>AP37*$H52*2</f>
        <v/>
      </c>
      <c r="AQ52" s="53">
        <f>AQ37*$H52*2</f>
        <v/>
      </c>
      <c r="AR52" s="53">
        <f>AR37*$H52*2</f>
        <v/>
      </c>
      <c r="AS52" s="53">
        <f>AS37*$H52*2</f>
        <v/>
      </c>
      <c r="AT52" s="53">
        <f>AT37*$H52*2</f>
        <v/>
      </c>
      <c r="AU52" s="53">
        <f>AU37*$H52*2</f>
        <v/>
      </c>
      <c r="AV52" s="53">
        <f>AV37*$H52*2</f>
        <v/>
      </c>
      <c r="AW52" s="53">
        <f>AW37*$H52*2</f>
        <v/>
      </c>
      <c r="AX52" s="53">
        <f>AX37*$H52*2</f>
        <v/>
      </c>
      <c r="AY52" s="53">
        <f>AY37*$H52*2</f>
        <v/>
      </c>
      <c r="AZ52" s="53">
        <f>AZ37*$H52*2</f>
        <v/>
      </c>
      <c r="BA52" s="53">
        <f>BA37*$H52*2</f>
        <v/>
      </c>
      <c r="BB52" s="53">
        <f>BB37*$H52*2</f>
        <v/>
      </c>
      <c r="BC52" s="53">
        <f>BC37*$H52*2</f>
        <v/>
      </c>
      <c r="BD52" s="53">
        <f>BD37*$H52*2</f>
        <v/>
      </c>
      <c r="BE52" s="53">
        <f>BE37*$H52*2</f>
        <v/>
      </c>
      <c r="BF52" s="53">
        <f>BF37*$H52*2</f>
        <v/>
      </c>
      <c r="BG52" s="53">
        <f>BG37*$H52*2</f>
        <v/>
      </c>
      <c r="BH52" s="53">
        <f>BH37*$H52*2</f>
        <v/>
      </c>
      <c r="BI52" s="53">
        <f>BI37*$H52*2</f>
        <v/>
      </c>
      <c r="BJ52" s="53">
        <f>BJ37*$H52*2</f>
        <v/>
      </c>
    </row>
    <row r="53">
      <c r="A53" s="50" t="n">
        <v>4</v>
      </c>
      <c r="B53" s="50" t="inlineStr">
        <is>
          <t>M4</t>
        </is>
      </c>
      <c r="C53" s="50" t="inlineStr">
        <is>
          <t>Máy ủi CS 230CV (m3/ca)</t>
        </is>
      </c>
      <c r="D53" s="50" t="inlineStr">
        <is>
          <t>Lít</t>
        </is>
      </c>
      <c r="E53" s="51" t="n"/>
      <c r="F53" s="51" t="n"/>
      <c r="G53" s="50" t="n"/>
      <c r="H53" s="50" t="n">
        <v>165</v>
      </c>
      <c r="I53" s="51" t="n"/>
      <c r="J53" s="51" t="n"/>
      <c r="K53" s="50" t="n"/>
      <c r="L53" s="50" t="n"/>
      <c r="M53" s="50" t="n"/>
      <c r="N53" s="50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0" t="n"/>
      <c r="Y53" s="51" t="n"/>
      <c r="Z53" s="52" t="n"/>
      <c r="AA53" s="53">
        <f>AA38*$H53*2</f>
        <v/>
      </c>
      <c r="AB53" s="53">
        <f>AB38*$H53*2</f>
        <v/>
      </c>
      <c r="AC53" s="53">
        <f>AC38*$H53*2</f>
        <v/>
      </c>
      <c r="AD53" s="53">
        <f>AD38*$H53*2</f>
        <v/>
      </c>
      <c r="AE53" s="53">
        <f>AE38*$H53*2</f>
        <v/>
      </c>
      <c r="AF53" s="53">
        <f>AF38*$H53*2</f>
        <v/>
      </c>
      <c r="AG53" s="53">
        <f>AG38*$H53*2</f>
        <v/>
      </c>
      <c r="AH53" s="53">
        <f>AH38*$H53*2</f>
        <v/>
      </c>
      <c r="AI53" s="53">
        <f>AI38*$H53*2</f>
        <v/>
      </c>
      <c r="AJ53" s="53">
        <f>AJ38*$H53*2</f>
        <v/>
      </c>
      <c r="AK53" s="53">
        <f>AK38*$H53*2</f>
        <v/>
      </c>
      <c r="AL53" s="53">
        <f>AL38*$H53*2</f>
        <v/>
      </c>
      <c r="AM53" s="53">
        <f>AM38*$H53*2</f>
        <v/>
      </c>
      <c r="AN53" s="53">
        <f>AN38*$H53*2</f>
        <v/>
      </c>
      <c r="AO53" s="53">
        <f>AO38*$H53*2</f>
        <v/>
      </c>
      <c r="AP53" s="53">
        <f>AP38*$H53*2</f>
        <v/>
      </c>
      <c r="AQ53" s="53">
        <f>AQ38*$H53*2</f>
        <v/>
      </c>
      <c r="AR53" s="53">
        <f>AR38*$H53*2</f>
        <v/>
      </c>
      <c r="AS53" s="53">
        <f>AS38*$H53*2</f>
        <v/>
      </c>
      <c r="AT53" s="53">
        <f>AT38*$H53*2</f>
        <v/>
      </c>
      <c r="AU53" s="53">
        <f>AU38*$H53*2</f>
        <v/>
      </c>
      <c r="AV53" s="53">
        <f>AV38*$H53*2</f>
        <v/>
      </c>
      <c r="AW53" s="53">
        <f>AW38*$H53*2</f>
        <v/>
      </c>
      <c r="AX53" s="53">
        <f>AX38*$H53*2</f>
        <v/>
      </c>
      <c r="AY53" s="53">
        <f>AY38*$H53*2</f>
        <v/>
      </c>
      <c r="AZ53" s="53">
        <f>AZ38*$H53*2</f>
        <v/>
      </c>
      <c r="BA53" s="53">
        <f>BA38*$H53*2</f>
        <v/>
      </c>
      <c r="BB53" s="53">
        <f>BB38*$H53*2</f>
        <v/>
      </c>
      <c r="BC53" s="53">
        <f>BC38*$H53*2</f>
        <v/>
      </c>
      <c r="BD53" s="53">
        <f>BD38*$H53*2</f>
        <v/>
      </c>
      <c r="BE53" s="53">
        <f>BE38*$H53*2</f>
        <v/>
      </c>
      <c r="BF53" s="53">
        <f>BF38*$H53*2</f>
        <v/>
      </c>
      <c r="BG53" s="53">
        <f>BG38*$H53*2</f>
        <v/>
      </c>
      <c r="BH53" s="53">
        <f>BH38*$H53*2</f>
        <v/>
      </c>
      <c r="BI53" s="53">
        <f>BI38*$H53*2</f>
        <v/>
      </c>
      <c r="BJ53" s="53">
        <f>BJ38*$H53*2</f>
        <v/>
      </c>
    </row>
    <row r="54">
      <c r="A54" s="50" t="n">
        <v>5</v>
      </c>
      <c r="B54" s="50" t="inlineStr">
        <is>
          <t>M5</t>
        </is>
      </c>
      <c r="C54" s="50" t="inlineStr">
        <is>
          <t>Máy lu 12T - 16T (m3/ca)</t>
        </is>
      </c>
      <c r="D54" s="50" t="inlineStr">
        <is>
          <t>Lít</t>
        </is>
      </c>
      <c r="E54" s="51" t="n"/>
      <c r="F54" s="51" t="n"/>
      <c r="G54" s="50" t="n"/>
      <c r="H54" s="50" t="n">
        <v>44</v>
      </c>
      <c r="I54" s="51" t="n"/>
      <c r="J54" s="51" t="n"/>
      <c r="K54" s="50" t="n"/>
      <c r="L54" s="50" t="n"/>
      <c r="M54" s="50" t="n"/>
      <c r="N54" s="50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0" t="n"/>
      <c r="Y54" s="51" t="n"/>
      <c r="Z54" s="52" t="n"/>
      <c r="AA54" s="53">
        <f>AA39*$H54*2</f>
        <v/>
      </c>
      <c r="AB54" s="53">
        <f>AB39*$H54*2</f>
        <v/>
      </c>
      <c r="AC54" s="53">
        <f>AC39*$H54*2</f>
        <v/>
      </c>
      <c r="AD54" s="53">
        <f>AD39*$H54*2</f>
        <v/>
      </c>
      <c r="AE54" s="53">
        <f>AE39*$H54*2</f>
        <v/>
      </c>
      <c r="AF54" s="53">
        <f>AF39*$H54*2</f>
        <v/>
      </c>
      <c r="AG54" s="53">
        <f>AG39*$H54*2</f>
        <v/>
      </c>
      <c r="AH54" s="53">
        <f>AH39*$H54*2</f>
        <v/>
      </c>
      <c r="AI54" s="53">
        <f>AI39*$H54*2</f>
        <v/>
      </c>
      <c r="AJ54" s="53">
        <f>AJ39*$H54*2</f>
        <v/>
      </c>
      <c r="AK54" s="53">
        <f>AK39*$H54*2</f>
        <v/>
      </c>
      <c r="AL54" s="53">
        <f>AL39*$H54*2</f>
        <v/>
      </c>
      <c r="AM54" s="53">
        <f>AM39*$H54*2</f>
        <v/>
      </c>
      <c r="AN54" s="53">
        <f>AN39*$H54*2</f>
        <v/>
      </c>
      <c r="AO54" s="53">
        <f>AO39*$H54*2</f>
        <v/>
      </c>
      <c r="AP54" s="53">
        <f>AP39*$H54*2</f>
        <v/>
      </c>
      <c r="AQ54" s="53">
        <f>AQ39*$H54*2</f>
        <v/>
      </c>
      <c r="AR54" s="53">
        <f>AR39*$H54*2</f>
        <v/>
      </c>
      <c r="AS54" s="53">
        <f>AS39*$H54*2</f>
        <v/>
      </c>
      <c r="AT54" s="53">
        <f>AT39*$H54*2</f>
        <v/>
      </c>
      <c r="AU54" s="53">
        <f>AU39*$H54*2</f>
        <v/>
      </c>
      <c r="AV54" s="53">
        <f>AV39*$H54*2</f>
        <v/>
      </c>
      <c r="AW54" s="53">
        <f>AW39*$H54*2</f>
        <v/>
      </c>
      <c r="AX54" s="53">
        <f>AX39*$H54*2</f>
        <v/>
      </c>
      <c r="AY54" s="53">
        <f>AY39*$H54*2</f>
        <v/>
      </c>
      <c r="AZ54" s="53">
        <f>AZ39*$H54*2</f>
        <v/>
      </c>
      <c r="BA54" s="53">
        <f>BA39*$H54*2</f>
        <v/>
      </c>
      <c r="BB54" s="53">
        <f>BB39*$H54*2</f>
        <v/>
      </c>
      <c r="BC54" s="53">
        <f>BC39*$H54*2</f>
        <v/>
      </c>
      <c r="BD54" s="53">
        <f>BD39*$H54*2</f>
        <v/>
      </c>
      <c r="BE54" s="53">
        <f>BE39*$H54*2</f>
        <v/>
      </c>
      <c r="BF54" s="53">
        <f>BF39*$H54*2</f>
        <v/>
      </c>
      <c r="BG54" s="53">
        <f>BG39*$H54*2</f>
        <v/>
      </c>
      <c r="BH54" s="53">
        <f>BH39*$H54*2</f>
        <v/>
      </c>
      <c r="BI54" s="53">
        <f>BI39*$H54*2</f>
        <v/>
      </c>
      <c r="BJ54" s="53">
        <f>BJ39*$H54*2</f>
        <v/>
      </c>
    </row>
    <row r="55">
      <c r="A55" s="50" t="n">
        <v>6</v>
      </c>
      <c r="B55" s="50" t="inlineStr">
        <is>
          <t>M6</t>
        </is>
      </c>
      <c r="C55" s="50" t="inlineStr">
        <is>
          <t>Máy san (m3/ca)</t>
        </is>
      </c>
      <c r="D55" s="50" t="inlineStr">
        <is>
          <t>Lít</t>
        </is>
      </c>
      <c r="E55" s="51" t="n"/>
      <c r="F55" s="51" t="n"/>
      <c r="G55" s="50" t="n"/>
      <c r="H55" s="50" t="n">
        <v>69</v>
      </c>
      <c r="I55" s="51" t="n"/>
      <c r="J55" s="51" t="n"/>
      <c r="K55" s="50" t="n"/>
      <c r="L55" s="50" t="n"/>
      <c r="M55" s="50" t="n"/>
      <c r="N55" s="50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0" t="n"/>
      <c r="Y55" s="51" t="n"/>
      <c r="Z55" s="52" t="n"/>
      <c r="AA55" s="53">
        <f>AA40*$H55*2</f>
        <v/>
      </c>
      <c r="AB55" s="53">
        <f>AB40*$H55*2</f>
        <v/>
      </c>
      <c r="AC55" s="53">
        <f>AC40*$H55*2</f>
        <v/>
      </c>
      <c r="AD55" s="53">
        <f>AD40*$H55*2</f>
        <v/>
      </c>
      <c r="AE55" s="53">
        <f>AE40*$H55*2</f>
        <v/>
      </c>
      <c r="AF55" s="53">
        <f>AF40*$H55*2</f>
        <v/>
      </c>
      <c r="AG55" s="53">
        <f>AG40*$H55*2</f>
        <v/>
      </c>
      <c r="AH55" s="53">
        <f>AH40*$H55*2</f>
        <v/>
      </c>
      <c r="AI55" s="53">
        <f>AI40*$H55*2</f>
        <v/>
      </c>
      <c r="AJ55" s="53">
        <f>AJ40*$H55*2</f>
        <v/>
      </c>
      <c r="AK55" s="53">
        <f>AK40*$H55*2</f>
        <v/>
      </c>
      <c r="AL55" s="53">
        <f>AL40*$H55*2</f>
        <v/>
      </c>
      <c r="AM55" s="53">
        <f>AM40*$H55*2</f>
        <v/>
      </c>
      <c r="AN55" s="53">
        <f>AN40*$H55*2</f>
        <v/>
      </c>
      <c r="AO55" s="53">
        <f>AO40*$H55*2</f>
        <v/>
      </c>
      <c r="AP55" s="53">
        <f>AP40*$H55*2</f>
        <v/>
      </c>
      <c r="AQ55" s="53">
        <f>AQ40*$H55*2</f>
        <v/>
      </c>
      <c r="AR55" s="53">
        <f>AR40*$H55*2</f>
        <v/>
      </c>
      <c r="AS55" s="53">
        <f>AS40*$H55*2</f>
        <v/>
      </c>
      <c r="AT55" s="53">
        <f>AT40*$H55*2</f>
        <v/>
      </c>
      <c r="AU55" s="53">
        <f>AU40*$H55*2</f>
        <v/>
      </c>
      <c r="AV55" s="53">
        <f>AV40*$H55*2</f>
        <v/>
      </c>
      <c r="AW55" s="53">
        <f>AW40*$H55*2</f>
        <v/>
      </c>
      <c r="AX55" s="53">
        <f>AX40*$H55*2</f>
        <v/>
      </c>
      <c r="AY55" s="53">
        <f>AY40*$H55*2</f>
        <v/>
      </c>
      <c r="AZ55" s="53">
        <f>AZ40*$H55*2</f>
        <v/>
      </c>
      <c r="BA55" s="53">
        <f>BA40*$H55*2</f>
        <v/>
      </c>
      <c r="BB55" s="53">
        <f>BB40*$H55*2</f>
        <v/>
      </c>
      <c r="BC55" s="53">
        <f>BC40*$H55*2</f>
        <v/>
      </c>
      <c r="BD55" s="53">
        <f>BD40*$H55*2</f>
        <v/>
      </c>
      <c r="BE55" s="53">
        <f>BE40*$H55*2</f>
        <v/>
      </c>
      <c r="BF55" s="53">
        <f>BF40*$H55*2</f>
        <v/>
      </c>
      <c r="BG55" s="53">
        <f>BG40*$H55*2</f>
        <v/>
      </c>
      <c r="BH55" s="53">
        <f>BH40*$H55*2</f>
        <v/>
      </c>
      <c r="BI55" s="53">
        <f>BI40*$H55*2</f>
        <v/>
      </c>
      <c r="BJ55" s="53">
        <f>BJ40*$H55*2</f>
        <v/>
      </c>
    </row>
    <row r="56">
      <c r="A56" s="50" t="n">
        <v>7</v>
      </c>
      <c r="B56" s="50" t="inlineStr">
        <is>
          <t>M7</t>
        </is>
      </c>
      <c r="C56" s="50" t="inlineStr">
        <is>
          <t>Ô tô VC loại 18,0m3 (m3/ca)</t>
        </is>
      </c>
      <c r="D56" s="50" t="inlineStr">
        <is>
          <t>Lít</t>
        </is>
      </c>
      <c r="E56" s="51" t="n"/>
      <c r="F56" s="51" t="n"/>
      <c r="G56" s="50" t="n"/>
      <c r="H56" s="50" t="n">
        <v>26</v>
      </c>
      <c r="I56" s="51" t="n"/>
      <c r="J56" s="51" t="n"/>
      <c r="K56" s="50" t="n"/>
      <c r="L56" s="50" t="n"/>
      <c r="M56" s="50" t="n"/>
      <c r="N56" s="50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0" t="n"/>
      <c r="Y56" s="51" t="n"/>
      <c r="Z56" s="52" t="n"/>
      <c r="AA56" s="53">
        <f>AA41*$H56*2</f>
        <v/>
      </c>
      <c r="AB56" s="53">
        <f>AB41*$H56*2</f>
        <v/>
      </c>
      <c r="AC56" s="53">
        <f>AC41*$H56*2</f>
        <v/>
      </c>
      <c r="AD56" s="53">
        <f>AD41*$H56*2</f>
        <v/>
      </c>
      <c r="AE56" s="53">
        <f>AE41*$H56*2</f>
        <v/>
      </c>
      <c r="AF56" s="53">
        <f>AF41*$H56*2</f>
        <v/>
      </c>
      <c r="AG56" s="53">
        <f>AG41*$H56*2</f>
        <v/>
      </c>
      <c r="AH56" s="53">
        <f>AH41*$H56*2</f>
        <v/>
      </c>
      <c r="AI56" s="53">
        <f>AI41*$H56*2</f>
        <v/>
      </c>
      <c r="AJ56" s="53">
        <f>AJ41*$H56*2</f>
        <v/>
      </c>
      <c r="AK56" s="53">
        <f>AK41*$H56*2</f>
        <v/>
      </c>
      <c r="AL56" s="53">
        <f>AL41*$H56*2</f>
        <v/>
      </c>
      <c r="AM56" s="53">
        <f>AM41*$H56*2</f>
        <v/>
      </c>
      <c r="AN56" s="53">
        <f>AN41*$H56*2</f>
        <v/>
      </c>
      <c r="AO56" s="53">
        <f>AO41*$H56*2</f>
        <v/>
      </c>
      <c r="AP56" s="53">
        <f>AP41*$H56*2</f>
        <v/>
      </c>
      <c r="AQ56" s="53">
        <f>AQ41*$H56*2</f>
        <v/>
      </c>
      <c r="AR56" s="53">
        <f>AR41*$H56*2</f>
        <v/>
      </c>
      <c r="AS56" s="53">
        <f>AS41*$H56*2</f>
        <v/>
      </c>
      <c r="AT56" s="53">
        <f>AT41*$H56*2</f>
        <v/>
      </c>
      <c r="AU56" s="53">
        <f>AU41*$H56*2</f>
        <v/>
      </c>
      <c r="AV56" s="53">
        <f>AV41*$H56*2</f>
        <v/>
      </c>
      <c r="AW56" s="53">
        <f>AW41*$H56*2</f>
        <v/>
      </c>
      <c r="AX56" s="53">
        <f>AX41*$H56*2</f>
        <v/>
      </c>
      <c r="AY56" s="53">
        <f>AY41*$H56*2</f>
        <v/>
      </c>
      <c r="AZ56" s="53">
        <f>AZ41*$H56*2</f>
        <v/>
      </c>
      <c r="BA56" s="53">
        <f>BA41*$H56*2</f>
        <v/>
      </c>
      <c r="BB56" s="53">
        <f>BB41*$H56*2</f>
        <v/>
      </c>
      <c r="BC56" s="53">
        <f>BC41*$H56*2</f>
        <v/>
      </c>
      <c r="BD56" s="53">
        <f>BD41*$H56*2</f>
        <v/>
      </c>
      <c r="BE56" s="53">
        <f>BE41*$H56*2</f>
        <v/>
      </c>
      <c r="BF56" s="53">
        <f>BF41*$H56*2</f>
        <v/>
      </c>
      <c r="BG56" s="53">
        <f>BG41*$H56*2</f>
        <v/>
      </c>
      <c r="BH56" s="53">
        <f>BH41*$H56*2</f>
        <v/>
      </c>
      <c r="BI56" s="53">
        <f>BI41*$H56*2</f>
        <v/>
      </c>
      <c r="BJ56" s="53">
        <f>BJ41*$H56*2</f>
        <v/>
      </c>
    </row>
    <row r="57">
      <c r="A57" s="50" t="n">
        <v>8</v>
      </c>
      <c r="B57" s="50" t="inlineStr">
        <is>
          <t>M8</t>
        </is>
      </c>
      <c r="C57" s="50" t="inlineStr">
        <is>
          <t>Máy xúc lốp PC140 - PC150</t>
        </is>
      </c>
      <c r="D57" s="50" t="inlineStr">
        <is>
          <t>Lít</t>
        </is>
      </c>
      <c r="E57" s="51" t="n"/>
      <c r="F57" s="51" t="n"/>
      <c r="G57" s="50" t="n"/>
      <c r="H57" s="50" t="n">
        <v>64</v>
      </c>
      <c r="I57" s="51" t="n"/>
      <c r="J57" s="51" t="n"/>
      <c r="K57" s="50" t="n"/>
      <c r="L57" s="50" t="n"/>
      <c r="M57" s="50" t="n"/>
      <c r="N57" s="50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0" t="n"/>
      <c r="Y57" s="51" t="n"/>
      <c r="Z57" s="52" t="n"/>
      <c r="AA57" s="53">
        <f>AA42*$H57*2</f>
        <v/>
      </c>
      <c r="AB57" s="53">
        <f>AB42*$H57*2</f>
        <v/>
      </c>
      <c r="AC57" s="53">
        <f>AC42*$H57*2</f>
        <v/>
      </c>
      <c r="AD57" s="53">
        <f>AD42*$H57*2</f>
        <v/>
      </c>
      <c r="AE57" s="53">
        <f>AE42*$H57*2</f>
        <v/>
      </c>
      <c r="AF57" s="53">
        <f>AF42*$H57*2</f>
        <v/>
      </c>
      <c r="AG57" s="53">
        <f>AG42*$H57*2</f>
        <v/>
      </c>
      <c r="AH57" s="53">
        <f>AH42*$H57*2</f>
        <v/>
      </c>
      <c r="AI57" s="53">
        <f>AI42*$H57*2</f>
        <v/>
      </c>
      <c r="AJ57" s="53">
        <f>AJ42*$H57*2</f>
        <v/>
      </c>
      <c r="AK57" s="53">
        <f>AK42*$H57*2</f>
        <v/>
      </c>
      <c r="AL57" s="53">
        <f>AL42*$H57*2</f>
        <v/>
      </c>
      <c r="AM57" s="53">
        <f>AM42*$H57*2</f>
        <v/>
      </c>
      <c r="AN57" s="53">
        <f>AN42*$H57*2</f>
        <v/>
      </c>
      <c r="AO57" s="53">
        <f>AO42*$H57*2</f>
        <v/>
      </c>
      <c r="AP57" s="53">
        <f>AP42*$H57*2</f>
        <v/>
      </c>
      <c r="AQ57" s="53">
        <f>AQ42*$H57*2</f>
        <v/>
      </c>
      <c r="AR57" s="53">
        <f>AR42*$H57*2</f>
        <v/>
      </c>
      <c r="AS57" s="53">
        <f>AS42*$H57*2</f>
        <v/>
      </c>
      <c r="AT57" s="53">
        <f>AT42*$H57*2</f>
        <v/>
      </c>
      <c r="AU57" s="53">
        <f>AU42*$H57*2</f>
        <v/>
      </c>
      <c r="AV57" s="53">
        <f>AV42*$H57*2</f>
        <v/>
      </c>
      <c r="AW57" s="53">
        <f>AW42*$H57*2</f>
        <v/>
      </c>
      <c r="AX57" s="53">
        <f>AX42*$H57*2</f>
        <v/>
      </c>
      <c r="AY57" s="53">
        <f>AY42*$H57*2</f>
        <v/>
      </c>
      <c r="AZ57" s="53">
        <f>AZ42*$H57*2</f>
        <v/>
      </c>
      <c r="BA57" s="53">
        <f>BA42*$H57*2</f>
        <v/>
      </c>
      <c r="BB57" s="53">
        <f>BB42*$H57*2</f>
        <v/>
      </c>
      <c r="BC57" s="53">
        <f>BC42*$H57*2</f>
        <v/>
      </c>
      <c r="BD57" s="53">
        <f>BD42*$H57*2</f>
        <v/>
      </c>
      <c r="BE57" s="53">
        <f>BE42*$H57*2</f>
        <v/>
      </c>
      <c r="BF57" s="53">
        <f>BF42*$H57*2</f>
        <v/>
      </c>
      <c r="BG57" s="53">
        <f>BG42*$H57*2</f>
        <v/>
      </c>
      <c r="BH57" s="53">
        <f>BH42*$H57*2</f>
        <v/>
      </c>
      <c r="BI57" s="53">
        <f>BI42*$H57*2</f>
        <v/>
      </c>
      <c r="BJ57" s="53">
        <f>BJ42*$H57*2</f>
        <v/>
      </c>
    </row>
    <row r="58">
      <c r="A58" s="50" t="n">
        <v>9</v>
      </c>
      <c r="B58" s="50" t="inlineStr">
        <is>
          <t>M9</t>
        </is>
      </c>
      <c r="C58" s="50" t="inlineStr">
        <is>
          <t>Xe téc nước 9m3</t>
        </is>
      </c>
      <c r="D58" s="50" t="inlineStr">
        <is>
          <t>Lít</t>
        </is>
      </c>
      <c r="E58" s="51" t="n"/>
      <c r="F58" s="51" t="n"/>
      <c r="G58" s="50" t="n"/>
      <c r="H58" s="50" t="n">
        <v>42</v>
      </c>
      <c r="I58" s="51" t="n"/>
      <c r="J58" s="51" t="n"/>
      <c r="K58" s="50" t="n"/>
      <c r="L58" s="50" t="n"/>
      <c r="M58" s="50" t="n"/>
      <c r="N58" s="50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0" t="n"/>
      <c r="Y58" s="51" t="n"/>
      <c r="Z58" s="52" t="n"/>
      <c r="AA58" s="53">
        <f>AA43*$H58*2</f>
        <v/>
      </c>
      <c r="AB58" s="53">
        <f>AB43*$H58*2</f>
        <v/>
      </c>
      <c r="AC58" s="53">
        <f>AC43*$H58*2</f>
        <v/>
      </c>
      <c r="AD58" s="53">
        <f>AD43*$H58*2</f>
        <v/>
      </c>
      <c r="AE58" s="53">
        <f>AE43*$H58*2</f>
        <v/>
      </c>
      <c r="AF58" s="53">
        <f>AF43*$H58*2</f>
        <v/>
      </c>
      <c r="AG58" s="53">
        <f>AG43*$H58*2</f>
        <v/>
      </c>
      <c r="AH58" s="53">
        <f>AH43*$H58*2</f>
        <v/>
      </c>
      <c r="AI58" s="53">
        <f>AI43*$H58*2</f>
        <v/>
      </c>
      <c r="AJ58" s="53">
        <f>AJ43*$H58*2</f>
        <v/>
      </c>
      <c r="AK58" s="53">
        <f>AK43*$H58*2</f>
        <v/>
      </c>
      <c r="AL58" s="53">
        <f>AL43*$H58*2</f>
        <v/>
      </c>
      <c r="AM58" s="53">
        <f>AM43*$H58*2</f>
        <v/>
      </c>
      <c r="AN58" s="53">
        <f>AN43*$H58*2</f>
        <v/>
      </c>
      <c r="AO58" s="53">
        <f>AO43*$H58*2</f>
        <v/>
      </c>
      <c r="AP58" s="53">
        <f>AP43*$H58*2</f>
        <v/>
      </c>
      <c r="AQ58" s="53">
        <f>AQ43*$H58*2</f>
        <v/>
      </c>
      <c r="AR58" s="53">
        <f>AR43*$H58*2</f>
        <v/>
      </c>
      <c r="AS58" s="53">
        <f>AS43*$H58*2</f>
        <v/>
      </c>
      <c r="AT58" s="53">
        <f>AT43*$H58*2</f>
        <v/>
      </c>
      <c r="AU58" s="53">
        <f>AU43*$H58*2</f>
        <v/>
      </c>
      <c r="AV58" s="53">
        <f>AV43*$H58*2</f>
        <v/>
      </c>
      <c r="AW58" s="53">
        <f>AW43*$H58*2</f>
        <v/>
      </c>
      <c r="AX58" s="53">
        <f>AX43*$H58*2</f>
        <v/>
      </c>
      <c r="AY58" s="53">
        <f>AY43*$H58*2</f>
        <v/>
      </c>
      <c r="AZ58" s="53">
        <f>AZ43*$H58*2</f>
        <v/>
      </c>
      <c r="BA58" s="53">
        <f>BA43*$H58*2</f>
        <v/>
      </c>
      <c r="BB58" s="53">
        <f>BB43*$H58*2</f>
        <v/>
      </c>
      <c r="BC58" s="53">
        <f>BC43*$H58*2</f>
        <v/>
      </c>
      <c r="BD58" s="53">
        <f>BD43*$H58*2</f>
        <v/>
      </c>
      <c r="BE58" s="53">
        <f>BE43*$H58*2</f>
        <v/>
      </c>
      <c r="BF58" s="53">
        <f>BF43*$H58*2</f>
        <v/>
      </c>
      <c r="BG58" s="53">
        <f>BG43*$H58*2</f>
        <v/>
      </c>
      <c r="BH58" s="53">
        <f>BH43*$H58*2</f>
        <v/>
      </c>
      <c r="BI58" s="53">
        <f>BI43*$H58*2</f>
        <v/>
      </c>
      <c r="BJ58" s="53">
        <f>BJ43*$H58*2</f>
        <v/>
      </c>
    </row>
    <row r="59">
      <c r="A59" s="50" t="n">
        <v>10</v>
      </c>
      <c r="B59" s="50" t="inlineStr">
        <is>
          <t>MP1</t>
        </is>
      </c>
      <c r="C59" s="50" t="inlineStr">
        <is>
          <t>Xe cấp dầu 9-10m3</t>
        </is>
      </c>
      <c r="D59" s="50" t="inlineStr">
        <is>
          <t>Lít</t>
        </is>
      </c>
      <c r="E59" s="51" t="n"/>
      <c r="F59" s="51" t="n"/>
      <c r="G59" s="50" t="n"/>
      <c r="H59" s="50" t="n">
        <v>44</v>
      </c>
      <c r="I59" s="51" t="n"/>
      <c r="J59" s="51" t="n"/>
      <c r="K59" s="50" t="n"/>
      <c r="L59" s="50" t="n"/>
      <c r="M59" s="50" t="n"/>
      <c r="N59" s="50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0" t="n"/>
      <c r="Y59" s="51" t="n"/>
      <c r="Z59" s="52" t="n"/>
      <c r="AA59" s="53">
        <f>AA44*$H59*2</f>
        <v/>
      </c>
      <c r="AB59" s="53">
        <f>AB44*$H59*2</f>
        <v/>
      </c>
      <c r="AC59" s="53">
        <f>AC44*$H59*2</f>
        <v/>
      </c>
      <c r="AD59" s="53">
        <f>AD44*$H59*2</f>
        <v/>
      </c>
      <c r="AE59" s="53">
        <f>AE44*$H59*2</f>
        <v/>
      </c>
      <c r="AF59" s="53">
        <f>AF44*$H59*2</f>
        <v/>
      </c>
      <c r="AG59" s="53">
        <f>AG44*$H59*2</f>
        <v/>
      </c>
      <c r="AH59" s="53">
        <f>AH44*$H59*2</f>
        <v/>
      </c>
      <c r="AI59" s="53">
        <f>AI44*$H59*2</f>
        <v/>
      </c>
      <c r="AJ59" s="53">
        <f>AJ44*$H59*2</f>
        <v/>
      </c>
      <c r="AK59" s="53">
        <f>AK44*$H59*2</f>
        <v/>
      </c>
      <c r="AL59" s="53">
        <f>AL44*$H59*2</f>
        <v/>
      </c>
      <c r="AM59" s="53">
        <f>AM44*$H59*2</f>
        <v/>
      </c>
      <c r="AN59" s="53">
        <f>AN44*$H59*2</f>
        <v/>
      </c>
      <c r="AO59" s="53">
        <f>AO44*$H59*2</f>
        <v/>
      </c>
      <c r="AP59" s="53">
        <f>AP44*$H59*2</f>
        <v/>
      </c>
      <c r="AQ59" s="53">
        <f>AQ44*$H59*2</f>
        <v/>
      </c>
      <c r="AR59" s="53">
        <f>AR44*$H59*2</f>
        <v/>
      </c>
      <c r="AS59" s="53">
        <f>AS44*$H59*2</f>
        <v/>
      </c>
      <c r="AT59" s="53">
        <f>AT44*$H59*2</f>
        <v/>
      </c>
      <c r="AU59" s="53">
        <f>AU44*$H59*2</f>
        <v/>
      </c>
      <c r="AV59" s="53">
        <f>AV44*$H59*2</f>
        <v/>
      </c>
      <c r="AW59" s="53">
        <f>AW44*$H59*2</f>
        <v/>
      </c>
      <c r="AX59" s="53">
        <f>AX44*$H59*2</f>
        <v/>
      </c>
      <c r="AY59" s="53">
        <f>AY44*$H59*2</f>
        <v/>
      </c>
      <c r="AZ59" s="53">
        <f>AZ44*$H59*2</f>
        <v/>
      </c>
      <c r="BA59" s="53">
        <f>BA44*$H59*2</f>
        <v/>
      </c>
      <c r="BB59" s="53">
        <f>BB44*$H59*2</f>
        <v/>
      </c>
      <c r="BC59" s="53">
        <f>BC44*$H59*2</f>
        <v/>
      </c>
      <c r="BD59" s="53">
        <f>BD44*$H59*2</f>
        <v/>
      </c>
      <c r="BE59" s="53">
        <f>BE44*$H59*2</f>
        <v/>
      </c>
      <c r="BF59" s="53">
        <f>BF44*$H59*2</f>
        <v/>
      </c>
      <c r="BG59" s="53">
        <f>BG44*$H59*2</f>
        <v/>
      </c>
      <c r="BH59" s="53">
        <f>BH44*$H59*2</f>
        <v/>
      </c>
      <c r="BI59" s="53">
        <f>BI44*$H59*2</f>
        <v/>
      </c>
      <c r="BJ59" s="53">
        <f>BJ44*$H59*2</f>
        <v/>
      </c>
    </row>
    <row r="60">
      <c r="A60" s="50" t="n">
        <v>11</v>
      </c>
      <c r="B60" s="50" t="inlineStr">
        <is>
          <t>MP2</t>
        </is>
      </c>
      <c r="C60" s="50" t="inlineStr">
        <is>
          <t>Máy phát điện 3 pha 25kVA</t>
        </is>
      </c>
      <c r="D60" s="50" t="inlineStr">
        <is>
          <t>Lít</t>
        </is>
      </c>
      <c r="E60" s="51" t="n"/>
      <c r="F60" s="51" t="n"/>
      <c r="G60" s="50" t="n"/>
      <c r="H60" s="50" t="n">
        <v>28</v>
      </c>
      <c r="I60" s="51" t="n"/>
      <c r="J60" s="51" t="n"/>
      <c r="K60" s="50" t="n"/>
      <c r="L60" s="50" t="n"/>
      <c r="M60" s="50" t="n"/>
      <c r="N60" s="50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0" t="n"/>
      <c r="Y60" s="51" t="n"/>
      <c r="Z60" s="52" t="n"/>
      <c r="AA60" s="53">
        <f>AA45*$H60*2</f>
        <v/>
      </c>
      <c r="AB60" s="53">
        <f>AB45*$H60*2</f>
        <v/>
      </c>
      <c r="AC60" s="53">
        <f>AC45*$H60*2</f>
        <v/>
      </c>
      <c r="AD60" s="53">
        <f>AD45*$H60*2</f>
        <v/>
      </c>
      <c r="AE60" s="53">
        <f>AE45*$H60*2</f>
        <v/>
      </c>
      <c r="AF60" s="53">
        <f>AF45*$H60*2</f>
        <v/>
      </c>
      <c r="AG60" s="53">
        <f>AG45*$H60*2</f>
        <v/>
      </c>
      <c r="AH60" s="53">
        <f>AH45*$H60*2</f>
        <v/>
      </c>
      <c r="AI60" s="53">
        <f>AI45*$H60*2</f>
        <v/>
      </c>
      <c r="AJ60" s="53">
        <f>AJ45*$H60*2</f>
        <v/>
      </c>
      <c r="AK60" s="53">
        <f>AK45*$H60*2</f>
        <v/>
      </c>
      <c r="AL60" s="53">
        <f>AL45*$H60*2</f>
        <v/>
      </c>
      <c r="AM60" s="53">
        <f>AM45*$H60*2</f>
        <v/>
      </c>
      <c r="AN60" s="53">
        <f>AN45*$H60*2</f>
        <v/>
      </c>
      <c r="AO60" s="53">
        <f>AO45*$H60*2</f>
        <v/>
      </c>
      <c r="AP60" s="53">
        <f>AP45*$H60*2</f>
        <v/>
      </c>
      <c r="AQ60" s="53">
        <f>AQ45*$H60*2</f>
        <v/>
      </c>
      <c r="AR60" s="53">
        <f>AR45*$H60*2</f>
        <v/>
      </c>
      <c r="AS60" s="53">
        <f>AS45*$H60*2</f>
        <v/>
      </c>
      <c r="AT60" s="53">
        <f>AT45*$H60*2</f>
        <v/>
      </c>
      <c r="AU60" s="53">
        <f>AU45*$H60*2</f>
        <v/>
      </c>
      <c r="AV60" s="53">
        <f>AV45*$H60*2</f>
        <v/>
      </c>
      <c r="AW60" s="53">
        <f>AW45*$H60*2</f>
        <v/>
      </c>
      <c r="AX60" s="53">
        <f>AX45*$H60*2</f>
        <v/>
      </c>
      <c r="AY60" s="53">
        <f>AY45*$H60*2</f>
        <v/>
      </c>
      <c r="AZ60" s="53">
        <f>AZ45*$H60*2</f>
        <v/>
      </c>
      <c r="BA60" s="53">
        <f>BA45*$H60*2</f>
        <v/>
      </c>
      <c r="BB60" s="53">
        <f>BB45*$H60*2</f>
        <v/>
      </c>
      <c r="BC60" s="53">
        <f>BC45*$H60*2</f>
        <v/>
      </c>
      <c r="BD60" s="53">
        <f>BD45*$H60*2</f>
        <v/>
      </c>
      <c r="BE60" s="53">
        <f>BE45*$H60*2</f>
        <v/>
      </c>
      <c r="BF60" s="53">
        <f>BF45*$H60*2</f>
        <v/>
      </c>
      <c r="BG60" s="53">
        <f>BG45*$H60*2</f>
        <v/>
      </c>
      <c r="BH60" s="53">
        <f>BH45*$H60*2</f>
        <v/>
      </c>
      <c r="BI60" s="53">
        <f>BI45*$H60*2</f>
        <v/>
      </c>
      <c r="BJ60" s="53">
        <f>BJ45*$H60*2</f>
        <v/>
      </c>
    </row>
    <row r="61">
      <c r="A61" s="50" t="n">
        <v>12</v>
      </c>
      <c r="B61" s="50" t="inlineStr">
        <is>
          <t>MP3</t>
        </is>
      </c>
      <c r="C61" s="50" t="inlineStr">
        <is>
          <t>Máy xúc lốp phục vụ PC140</t>
        </is>
      </c>
      <c r="D61" s="50" t="inlineStr">
        <is>
          <t>Lít</t>
        </is>
      </c>
      <c r="E61" s="51" t="n"/>
      <c r="F61" s="51" t="n"/>
      <c r="G61" s="50" t="n"/>
      <c r="H61" s="50" t="n">
        <v>64</v>
      </c>
      <c r="I61" s="51" t="n"/>
      <c r="J61" s="51" t="n"/>
      <c r="K61" s="50" t="n"/>
      <c r="L61" s="50" t="n"/>
      <c r="M61" s="50" t="n"/>
      <c r="N61" s="50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0" t="n"/>
      <c r="Y61" s="51" t="n"/>
      <c r="Z61" s="52" t="n"/>
      <c r="AA61" s="53">
        <f>AA46*$H61*2</f>
        <v/>
      </c>
      <c r="AB61" s="53">
        <f>AB46*$H61*2</f>
        <v/>
      </c>
      <c r="AC61" s="53">
        <f>AC46*$H61*2</f>
        <v/>
      </c>
      <c r="AD61" s="53">
        <f>AD46*$H61*2</f>
        <v/>
      </c>
      <c r="AE61" s="53">
        <f>AE46*$H61*2</f>
        <v/>
      </c>
      <c r="AF61" s="53">
        <f>AF46*$H61*2</f>
        <v/>
      </c>
      <c r="AG61" s="53">
        <f>AG46*$H61*2</f>
        <v/>
      </c>
      <c r="AH61" s="53">
        <f>AH46*$H61*2</f>
        <v/>
      </c>
      <c r="AI61" s="53">
        <f>AI46*$H61*2</f>
        <v/>
      </c>
      <c r="AJ61" s="53">
        <f>AJ46*$H61*2</f>
        <v/>
      </c>
      <c r="AK61" s="53">
        <f>AK46*$H61*2</f>
        <v/>
      </c>
      <c r="AL61" s="53">
        <f>AL46*$H61*2</f>
        <v/>
      </c>
      <c r="AM61" s="53">
        <f>AM46*$H61*2</f>
        <v/>
      </c>
      <c r="AN61" s="53">
        <f>AN46*$H61*2</f>
        <v/>
      </c>
      <c r="AO61" s="53">
        <f>AO46*$H61*2</f>
        <v/>
      </c>
      <c r="AP61" s="53">
        <f>AP46*$H61*2</f>
        <v/>
      </c>
      <c r="AQ61" s="53">
        <f>AQ46*$H61*2</f>
        <v/>
      </c>
      <c r="AR61" s="53">
        <f>AR46*$H61*2</f>
        <v/>
      </c>
      <c r="AS61" s="53">
        <f>AS46*$H61*2</f>
        <v/>
      </c>
      <c r="AT61" s="53">
        <f>AT46*$H61*2</f>
        <v/>
      </c>
      <c r="AU61" s="53">
        <f>AU46*$H61*2</f>
        <v/>
      </c>
      <c r="AV61" s="53">
        <f>AV46*$H61*2</f>
        <v/>
      </c>
      <c r="AW61" s="53">
        <f>AW46*$H61*2</f>
        <v/>
      </c>
      <c r="AX61" s="53">
        <f>AX46*$H61*2</f>
        <v/>
      </c>
      <c r="AY61" s="53">
        <f>AY46*$H61*2</f>
        <v/>
      </c>
      <c r="AZ61" s="53">
        <f>AZ46*$H61*2</f>
        <v/>
      </c>
      <c r="BA61" s="53">
        <f>BA46*$H61*2</f>
        <v/>
      </c>
      <c r="BB61" s="53">
        <f>BB46*$H61*2</f>
        <v/>
      </c>
      <c r="BC61" s="53">
        <f>BC46*$H61*2</f>
        <v/>
      </c>
      <c r="BD61" s="53">
        <f>BD46*$H61*2</f>
        <v/>
      </c>
      <c r="BE61" s="53">
        <f>BE46*$H61*2</f>
        <v/>
      </c>
      <c r="BF61" s="53">
        <f>BF46*$H61*2</f>
        <v/>
      </c>
      <c r="BG61" s="53">
        <f>BG46*$H61*2</f>
        <v/>
      </c>
      <c r="BH61" s="53">
        <f>BH46*$H61*2</f>
        <v/>
      </c>
      <c r="BI61" s="53">
        <f>BI46*$H61*2</f>
        <v/>
      </c>
      <c r="BJ61" s="53">
        <f>BJ46*$H61*2</f>
        <v/>
      </c>
    </row>
    <row r="62">
      <c r="E62" s="29" t="n"/>
      <c r="F62" s="29" t="n"/>
      <c r="I62" s="29" t="n"/>
      <c r="J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Y62" s="29" t="n"/>
      <c r="Z62" s="30" t="n"/>
    </row>
  </sheetData>
  <mergeCells count="25">
    <mergeCell ref="J6:J7"/>
    <mergeCell ref="P6:P7"/>
    <mergeCell ref="R6:R7"/>
    <mergeCell ref="A6:A7"/>
    <mergeCell ref="V6:V7"/>
    <mergeCell ref="A1:N1"/>
    <mergeCell ref="X6:X7"/>
    <mergeCell ref="K6:N6"/>
    <mergeCell ref="Q6:Q7"/>
    <mergeCell ref="C48:N48"/>
    <mergeCell ref="B6:B7"/>
    <mergeCell ref="S6:S7"/>
    <mergeCell ref="Y6:Y7"/>
    <mergeCell ref="A3:N3"/>
    <mergeCell ref="D6:D7"/>
    <mergeCell ref="A2:N2"/>
    <mergeCell ref="T6:T7"/>
    <mergeCell ref="Z6:Z7"/>
    <mergeCell ref="C33:N33"/>
    <mergeCell ref="E6:H6"/>
    <mergeCell ref="I6:I7"/>
    <mergeCell ref="C6:C7"/>
    <mergeCell ref="O6:O7"/>
    <mergeCell ref="U6:U7"/>
    <mergeCell ref="W6:W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0" customWidth="1" min="4" max="4"/>
    <col width="14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4" t="inlineStr">
        <is>
          <t>BẢNG KẾ HOẠCH NHU CẦU VẬT TƯ (BOM) THEO TIẾN ĐỘ THI CÔNG CỤM B9</t>
        </is>
      </c>
    </row>
    <row r="2">
      <c r="A2" s="55" t="inlineStr">
        <is>
          <t>DỰ ÁN: SÂN VẬN ĐỘNG OLYMPIC - THƯỜNG TÍN | HẠNG MỤC: SAN LẤP &amp; ĐƯỜNG NỘI BỘ B9</t>
        </is>
      </c>
    </row>
    <row r="4">
      <c r="A4" s="56" t="inlineStr">
        <is>
          <t>STT</t>
        </is>
      </c>
      <c r="B4" s="56" t="inlineStr">
        <is>
          <t>Mã vật tư</t>
        </is>
      </c>
      <c r="C4" s="56" t="inlineStr">
        <is>
          <t>Tên quy cách vật tư</t>
        </is>
      </c>
      <c r="D4" s="56" t="inlineStr">
        <is>
          <t>Đơn vị</t>
        </is>
      </c>
      <c r="E4" s="56" t="inlineStr">
        <is>
          <t>Hệ số hao hụt/rời</t>
        </is>
      </c>
      <c r="F4" s="56" t="inlineStr">
        <is>
          <t>Tổng khối lượng TK</t>
        </is>
      </c>
      <c r="G4" s="56" t="inlineStr">
        <is>
          <t>Tổng nhu cầu vật tư</t>
        </is>
      </c>
      <c r="H4" s="56" t="inlineStr">
        <is>
          <t>PHÂN KỲ NHU CẦU VẬT TƯ (THEO KỲ 10 NGÀY NĂM 2026)</t>
        </is>
      </c>
    </row>
    <row r="5">
      <c r="H5" s="37" t="inlineStr">
        <is>
          <t>Kỳ 1 (20/9 - 25/9)</t>
        </is>
      </c>
      <c r="I5" s="37" t="inlineStr">
        <is>
          <t>Kỳ 2 (26/9 - 05/10)</t>
        </is>
      </c>
      <c r="J5" s="37" t="inlineStr">
        <is>
          <t>Kỳ 3 (06/10 - 15/10)</t>
        </is>
      </c>
      <c r="K5" s="37" t="inlineStr">
        <is>
          <t>Kỳ 4 (16/10 - 25/10)</t>
        </is>
      </c>
    </row>
    <row r="6">
      <c r="A6" s="57" t="n">
        <v>1</v>
      </c>
      <c r="B6" s="57" t="inlineStr">
        <is>
          <t>VAP00052</t>
        </is>
      </c>
      <c r="C6" s="58" t="inlineStr">
        <is>
          <t>Cát san lấp K90 san nền (Độ chặt K&gt;=0.90)</t>
        </is>
      </c>
      <c r="D6" s="57" t="inlineStr">
        <is>
          <t>m3</t>
        </is>
      </c>
      <c r="E6" s="59" t="n">
        <v>1.3</v>
      </c>
      <c r="F6" s="60" t="n">
        <v>1774000</v>
      </c>
      <c r="G6" s="60">
        <f>F6*E6</f>
        <v/>
      </c>
      <c r="H6" s="60">
        <f>G6*0.15</f>
        <v/>
      </c>
      <c r="I6" s="60">
        <f>G6*0.35</f>
        <v/>
      </c>
      <c r="J6" s="60">
        <f>G6*0.35</f>
        <v/>
      </c>
      <c r="K6" s="60">
        <f>G6*0.15</f>
        <v/>
      </c>
    </row>
    <row r="7">
      <c r="A7" s="57" t="n">
        <v>2</v>
      </c>
      <c r="B7" s="57" t="inlineStr">
        <is>
          <t>VAP00052</t>
        </is>
      </c>
      <c r="C7" s="58" t="inlineStr">
        <is>
          <t>Cát đắp nền đường K90</t>
        </is>
      </c>
      <c r="D7" s="57" t="inlineStr">
        <is>
          <t>m3</t>
        </is>
      </c>
      <c r="E7" s="59" t="n">
        <v>1.3</v>
      </c>
      <c r="F7" s="60" t="n">
        <v>360680</v>
      </c>
      <c r="G7" s="60">
        <f>F7*E7</f>
        <v/>
      </c>
      <c r="H7" s="60">
        <f>G7*0.2</f>
        <v/>
      </c>
      <c r="I7" s="60">
        <f>G7*0.5</f>
        <v/>
      </c>
      <c r="J7" s="60">
        <f>G7*0.3</f>
        <v/>
      </c>
      <c r="K7" s="60">
        <f>G7*0.0</f>
        <v/>
      </c>
    </row>
    <row r="8">
      <c r="A8" s="57" t="n">
        <v>3</v>
      </c>
      <c r="B8" s="57" t="inlineStr">
        <is>
          <t>VAP00052</t>
        </is>
      </c>
      <c r="C8" s="58" t="inlineStr">
        <is>
          <t>Cát đắp nền đường K95</t>
        </is>
      </c>
      <c r="D8" s="57" t="inlineStr">
        <is>
          <t>m3</t>
        </is>
      </c>
      <c r="E8" s="59" t="n">
        <v>1.3</v>
      </c>
      <c r="F8" s="60" t="n">
        <v>90170</v>
      </c>
      <c r="G8" s="60">
        <f>F8*E8</f>
        <v/>
      </c>
      <c r="H8" s="60">
        <f>G8*0.05</f>
        <v/>
      </c>
      <c r="I8" s="60">
        <f>G8*0.65</f>
        <v/>
      </c>
      <c r="J8" s="60">
        <f>G8*0.3</f>
        <v/>
      </c>
      <c r="K8" s="60">
        <f>G8*0.0</f>
        <v/>
      </c>
    </row>
    <row r="9">
      <c r="A9" s="57" t="n">
        <v>4</v>
      </c>
      <c r="B9" s="57" t="inlineStr">
        <is>
          <t>VAP00052</t>
        </is>
      </c>
      <c r="C9" s="58" t="inlineStr">
        <is>
          <t>Cát đắp nền đường K98</t>
        </is>
      </c>
      <c r="D9" s="57" t="inlineStr">
        <is>
          <t>m3</t>
        </is>
      </c>
      <c r="E9" s="59" t="n">
        <v>1.3</v>
      </c>
      <c r="F9" s="60" t="n">
        <v>54102</v>
      </c>
      <c r="G9" s="60">
        <f>F9*E9</f>
        <v/>
      </c>
      <c r="H9" s="60">
        <f>G9*0.0</f>
        <v/>
      </c>
      <c r="I9" s="60">
        <f>G9*0.45</f>
        <v/>
      </c>
      <c r="J9" s="60">
        <f>G9*0.55</f>
        <v/>
      </c>
      <c r="K9" s="60">
        <f>G9*0.0</f>
        <v/>
      </c>
    </row>
    <row r="10">
      <c r="A10" s="57" t="n">
        <v>5</v>
      </c>
      <c r="B10" s="57" t="inlineStr">
        <is>
          <t>TNM</t>
        </is>
      </c>
      <c r="C10" s="58" t="inlineStr">
        <is>
          <t>Cống tròn BTCT D300 - D1800 các loại (TNM)</t>
        </is>
      </c>
      <c r="D10" s="57" t="inlineStr">
        <is>
          <t>md</t>
        </is>
      </c>
      <c r="E10" s="59" t="n">
        <v>1.043</v>
      </c>
      <c r="F10" s="60" t="n">
        <v>21640.8</v>
      </c>
      <c r="G10" s="60">
        <f>F10*E10</f>
        <v/>
      </c>
      <c r="H10" s="60">
        <f>G10*0.0</f>
        <v/>
      </c>
      <c r="I10" s="60">
        <f>G10*0.6</f>
        <v/>
      </c>
      <c r="J10" s="60">
        <f>G10*0.4</f>
        <v/>
      </c>
      <c r="K10" s="60">
        <f>G10*0.0</f>
        <v/>
      </c>
    </row>
    <row r="11">
      <c r="A11" s="57" t="n">
        <v>6</v>
      </c>
      <c r="B11" s="57" t="inlineStr">
        <is>
          <t>TNT</t>
        </is>
      </c>
      <c r="C11" s="58" t="inlineStr">
        <is>
          <t>Ống nhựa HDPE D300, D400 (TNT)</t>
        </is>
      </c>
      <c r="D11" s="57" t="inlineStr">
        <is>
          <t>md</t>
        </is>
      </c>
      <c r="E11" s="59" t="n">
        <v>1.043</v>
      </c>
      <c r="F11" s="60" t="n">
        <v>21640.8</v>
      </c>
      <c r="G11" s="60">
        <f>F11*E11</f>
        <v/>
      </c>
      <c r="H11" s="60">
        <f>G11*0.0</f>
        <v/>
      </c>
      <c r="I11" s="60">
        <f>G11*0.5</f>
        <v/>
      </c>
      <c r="J11" s="60">
        <f>G11*0.5</f>
        <v/>
      </c>
      <c r="K11" s="60">
        <f>G11*0.0</f>
        <v/>
      </c>
    </row>
    <row r="12">
      <c r="A12" s="57" t="n">
        <v>7</v>
      </c>
      <c r="B12" s="57" t="inlineStr">
        <is>
          <t>VAP00054</t>
        </is>
      </c>
      <c r="C12" s="58" t="inlineStr">
        <is>
          <t>Cấp phối đá dăm loại 2 (Base B)</t>
        </is>
      </c>
      <c r="D12" s="57" t="inlineStr">
        <is>
          <t>m3</t>
        </is>
      </c>
      <c r="E12" s="59" t="n">
        <v>1.42</v>
      </c>
      <c r="F12" s="60" t="n">
        <v>27051</v>
      </c>
      <c r="G12" s="60">
        <f>F12*E12</f>
        <v/>
      </c>
      <c r="H12" s="60">
        <f>G12*0.0</f>
        <v/>
      </c>
      <c r="I12" s="60">
        <f>G12*0.0</f>
        <v/>
      </c>
      <c r="J12" s="60">
        <f>G12*0.8</f>
        <v/>
      </c>
      <c r="K12" s="60">
        <f>G12*0.2</f>
        <v/>
      </c>
    </row>
    <row r="13">
      <c r="A13" s="57" t="n">
        <v>8</v>
      </c>
      <c r="B13" s="57" t="inlineStr">
        <is>
          <t>VAP00055</t>
        </is>
      </c>
      <c r="C13" s="58" t="inlineStr">
        <is>
          <t>Cấp phối đá dăm loại 1 (Base A)</t>
        </is>
      </c>
      <c r="D13" s="57" t="inlineStr">
        <is>
          <t>m3</t>
        </is>
      </c>
      <c r="E13" s="59" t="n">
        <v>1.42</v>
      </c>
      <c r="F13" s="60" t="n">
        <v>21640.8</v>
      </c>
      <c r="G13" s="60">
        <f>F13*E13</f>
        <v/>
      </c>
      <c r="H13" s="60">
        <f>G13*0.0</f>
        <v/>
      </c>
      <c r="I13" s="60">
        <f>G13*0.0</f>
        <v/>
      </c>
      <c r="J13" s="60">
        <f>G13*0.6</f>
        <v/>
      </c>
      <c r="K13" s="60">
        <f>G13*0.4</f>
        <v/>
      </c>
    </row>
    <row r="14">
      <c r="A14" s="61" t="n">
        <v>9</v>
      </c>
      <c r="B14" s="61" t="inlineStr">
        <is>
          <t>BTN-C19</t>
        </is>
      </c>
      <c r="C14" s="62" t="inlineStr">
        <is>
          <t>Bê tông nhựa hạt thô/chặt C19 dày 6.5cm</t>
        </is>
      </c>
      <c r="D14" s="61" t="inlineStr">
        <is>
          <t>tấn</t>
        </is>
      </c>
      <c r="E14" s="63" t="n">
        <v>2.45</v>
      </c>
      <c r="F14" s="64" t="n">
        <v>28720</v>
      </c>
      <c r="G14" s="64">
        <f>F14*E14</f>
        <v/>
      </c>
      <c r="H14" s="64">
        <f>G14*0.0</f>
        <v/>
      </c>
      <c r="I14" s="64">
        <f>G14*0.0</f>
        <v/>
      </c>
      <c r="J14" s="64">
        <f>G14*0.0</f>
        <v/>
      </c>
      <c r="K14" s="64">
        <f>G14*1.0</f>
        <v/>
      </c>
    </row>
    <row r="15">
      <c r="A15" s="57" t="n">
        <v>10</v>
      </c>
      <c r="B15" s="57" t="inlineStr">
        <is>
          <t>NHUA-TB</t>
        </is>
      </c>
      <c r="C15" s="58" t="inlineStr">
        <is>
          <t>Nhựa đường thấm bám tiêu chuẩn 1.0 kg/m2</t>
        </is>
      </c>
      <c r="D15" s="57" t="inlineStr">
        <is>
          <t>tấn</t>
        </is>
      </c>
      <c r="E15" s="59" t="n">
        <v>1.05</v>
      </c>
      <c r="F15" s="60" t="n">
        <v>180.34</v>
      </c>
      <c r="G15" s="60">
        <f>F15*E15</f>
        <v/>
      </c>
      <c r="H15" s="60">
        <f>G15*0.0</f>
        <v/>
      </c>
      <c r="I15" s="60">
        <f>G15*0.0</f>
        <v/>
      </c>
      <c r="J15" s="60">
        <f>G15*0.0</f>
        <v/>
      </c>
      <c r="K15" s="60">
        <f>G15*1.0</f>
        <v/>
      </c>
    </row>
    <row r="16">
      <c r="A16" s="57" t="n">
        <v>11</v>
      </c>
      <c r="B16" s="57" t="inlineStr">
        <is>
          <t>VAP00001</t>
        </is>
      </c>
      <c r="C16" s="58" t="inlineStr">
        <is>
          <t>Dầu Diezel DO 0.05S (Cấp máy móc thiết bị)</t>
        </is>
      </c>
      <c r="D16" s="57" t="inlineStr">
        <is>
          <t>lít</t>
        </is>
      </c>
      <c r="E16" s="59" t="n">
        <v>1.05</v>
      </c>
      <c r="F16" s="60" t="n">
        <v>984908</v>
      </c>
      <c r="G16" s="60">
        <f>F16*E16</f>
        <v/>
      </c>
      <c r="H16" s="60">
        <f>G16*0.15</f>
        <v/>
      </c>
      <c r="I16" s="60">
        <f>G16*0.35</f>
        <v/>
      </c>
      <c r="J16" s="60">
        <f>G16*0.35</f>
        <v/>
      </c>
      <c r="K16" s="60">
        <f>G16*0.15</f>
        <v/>
      </c>
    </row>
  </sheetData>
  <mergeCells count="10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10" customWidth="1" min="4" max="4"/>
    <col width="18" customWidth="1" min="5" max="5"/>
    <col width="18" customWidth="1" min="6" max="6"/>
    <col width="14" customWidth="1" min="7" max="7"/>
    <col width="14" customWidth="1" min="8" max="8"/>
    <col width="26" customWidth="1" min="9" max="9"/>
  </cols>
  <sheetData>
    <row r="1">
      <c r="A1" s="54" t="inlineStr">
        <is>
          <t>KẾ HOẠCH HUY ĐỘNG NHÂN LỰC &amp; MÁY MÓC THIẾT BỊ (MMTB) - CỤM B9</t>
        </is>
      </c>
    </row>
    <row r="3">
      <c r="A3" s="65" t="inlineStr">
        <is>
          <t>I. KẾ HOẠCH HUY ĐỘNG NHÂN LỰC THI CÔNG (HỆ SỐ TĂNG CA: 2 CA/NGÀY = 20H)</t>
        </is>
      </c>
    </row>
    <row r="4">
      <c r="A4" s="66" t="inlineStr">
        <is>
          <t>STT</t>
        </is>
      </c>
      <c r="B4" s="66" t="inlineStr">
        <is>
          <t>Chức danh / Vị trí</t>
        </is>
      </c>
      <c r="C4" s="66" t="inlineStr">
        <is>
          <t>Đơn vị</t>
        </is>
      </c>
      <c r="D4" s="66" t="inlineStr">
        <is>
          <t>Định mức tính toán (người)</t>
        </is>
      </c>
      <c r="E4" s="66" t="inlineStr">
        <is>
          <t>BCH đề xuất (người)</t>
        </is>
      </c>
      <c r="F4" s="66" t="inlineStr">
        <is>
          <t>Hiện có</t>
        </is>
      </c>
      <c r="G4" s="66" t="inlineStr">
        <is>
          <t>Cần bổ sung</t>
        </is>
      </c>
      <c r="H4" s="66" t="inlineStr">
        <is>
          <t>Thời gian huy động</t>
        </is>
      </c>
      <c r="I4" s="66" t="inlineStr">
        <is>
          <t>Ghi chú</t>
        </is>
      </c>
    </row>
    <row r="5">
      <c r="A5" s="57" t="n">
        <v>1</v>
      </c>
      <c r="B5" s="58" t="inlineStr">
        <is>
          <t>Công nhân trực tiếp (San lấp, đào đắp nền, thoát nước)</t>
        </is>
      </c>
      <c r="C5" s="57" t="inlineStr">
        <is>
          <t>người</t>
        </is>
      </c>
      <c r="D5" s="67" t="n">
        <v>240</v>
      </c>
      <c r="E5" s="67" t="n">
        <v>250</v>
      </c>
      <c r="F5" s="67" t="n">
        <v>150</v>
      </c>
      <c r="G5" s="67">
        <f>E5-F5</f>
        <v/>
      </c>
      <c r="H5" s="57" t="inlineStr">
        <is>
          <t>20/09 - 25/10/2026</t>
        </is>
      </c>
      <c r="I5" s="58" t="inlineStr">
        <is>
          <t>2 ca liên tục</t>
        </is>
      </c>
    </row>
    <row r="6">
      <c r="A6" s="57" t="n">
        <v>2</v>
      </c>
      <c r="B6" s="58" t="inlineStr">
        <is>
          <t>Lái máy xúc bánh xích PC200 - PC300</t>
        </is>
      </c>
      <c r="C6" s="57" t="inlineStr">
        <is>
          <t>người</t>
        </is>
      </c>
      <c r="D6" s="67" t="n">
        <v>42</v>
      </c>
      <c r="E6" s="67" t="n">
        <v>45</v>
      </c>
      <c r="F6" s="67" t="n">
        <v>25</v>
      </c>
      <c r="G6" s="67">
        <f>E6-F6</f>
        <v/>
      </c>
      <c r="H6" s="57" t="inlineStr">
        <is>
          <t>20/09 - 25/10/2026</t>
        </is>
      </c>
      <c r="I6" s="58" t="inlineStr">
        <is>
          <t>Bố trí 2 tài/máy</t>
        </is>
      </c>
    </row>
    <row r="7">
      <c r="A7" s="57" t="n">
        <v>3</v>
      </c>
      <c r="B7" s="58" t="inlineStr">
        <is>
          <t>Lái máy ủi D3 - D5</t>
        </is>
      </c>
      <c r="C7" s="57" t="inlineStr">
        <is>
          <t>người</t>
        </is>
      </c>
      <c r="D7" s="67" t="n">
        <v>45</v>
      </c>
      <c r="E7" s="67" t="n">
        <v>48</v>
      </c>
      <c r="F7" s="67" t="n">
        <v>28</v>
      </c>
      <c r="G7" s="67">
        <f>E7-F7</f>
        <v/>
      </c>
      <c r="H7" s="57" t="inlineStr">
        <is>
          <t>20/09 - 25/10/2026</t>
        </is>
      </c>
      <c r="I7" s="58" t="inlineStr">
        <is>
          <t>Bố trí 2 tài/máy</t>
        </is>
      </c>
    </row>
    <row r="8">
      <c r="A8" s="57" t="n">
        <v>4</v>
      </c>
      <c r="B8" s="58" t="inlineStr">
        <is>
          <t>Lái máy lu rung 12T - 16T</t>
        </is>
      </c>
      <c r="C8" s="57" t="inlineStr">
        <is>
          <t>người</t>
        </is>
      </c>
      <c r="D8" s="67" t="n">
        <v>28</v>
      </c>
      <c r="E8" s="67" t="n">
        <v>30</v>
      </c>
      <c r="F8" s="67" t="n">
        <v>18</v>
      </c>
      <c r="G8" s="67">
        <f>E8-F8</f>
        <v/>
      </c>
      <c r="H8" s="57" t="inlineStr">
        <is>
          <t>22/09 - 25/10/2026</t>
        </is>
      </c>
      <c r="I8" s="58" t="inlineStr">
        <is>
          <t>Bố trí 2 tài/máy</t>
        </is>
      </c>
    </row>
    <row r="9">
      <c r="A9" s="57" t="n">
        <v>5</v>
      </c>
      <c r="B9" s="58" t="inlineStr">
        <is>
          <t>Lái máy san tự hành 140CV</t>
        </is>
      </c>
      <c r="C9" s="57" t="inlineStr">
        <is>
          <t>người</t>
        </is>
      </c>
      <c r="D9" s="67" t="n">
        <v>6</v>
      </c>
      <c r="E9" s="67" t="n">
        <v>8</v>
      </c>
      <c r="F9" s="67" t="n">
        <v>4</v>
      </c>
      <c r="G9" s="67">
        <f>E9-F9</f>
        <v/>
      </c>
      <c r="H9" s="57" t="inlineStr">
        <is>
          <t>28/09 - 20/10/2026</t>
        </is>
      </c>
      <c r="I9" s="58" t="inlineStr">
        <is>
          <t>Bố trí 2 tài/máy</t>
        </is>
      </c>
    </row>
    <row r="10">
      <c r="A10" s="57" t="n">
        <v>6</v>
      </c>
      <c r="B10" s="58" t="inlineStr">
        <is>
          <t>Lái xe ben vận chuyển 18m3</t>
        </is>
      </c>
      <c r="C10" s="57" t="inlineStr">
        <is>
          <t>người</t>
        </is>
      </c>
      <c r="D10" s="67" t="n">
        <v>24</v>
      </c>
      <c r="E10" s="67" t="n">
        <v>28</v>
      </c>
      <c r="F10" s="67" t="n">
        <v>16</v>
      </c>
      <c r="G10" s="67">
        <f>E10-F10</f>
        <v/>
      </c>
      <c r="H10" s="57" t="inlineStr">
        <is>
          <t>20/09 - 25/10/2026</t>
        </is>
      </c>
      <c r="I10" s="58" t="inlineStr">
        <is>
          <t>Vận hành xoay ca</t>
        </is>
      </c>
    </row>
    <row r="11">
      <c r="A11" s="57" t="n">
        <v>7</v>
      </c>
      <c r="B11" s="58" t="inlineStr">
        <is>
          <t>Lái máy xúc lốp cẩu lắp PC140</t>
        </is>
      </c>
      <c r="C11" s="57" t="inlineStr">
        <is>
          <t>người</t>
        </is>
      </c>
      <c r="D11" s="67" t="n">
        <v>14</v>
      </c>
      <c r="E11" s="67" t="n">
        <v>16</v>
      </c>
      <c r="F11" s="67" t="n">
        <v>8</v>
      </c>
      <c r="G11" s="67">
        <f>E11-F11</f>
        <v/>
      </c>
      <c r="H11" s="57" t="inlineStr">
        <is>
          <t>26/09 - 15/10/2026</t>
        </is>
      </c>
      <c r="I11" s="58" t="inlineStr">
        <is>
          <t>Thi công TNM, TNT</t>
        </is>
      </c>
    </row>
    <row r="12">
      <c r="A12" s="57" t="n">
        <v>8</v>
      </c>
      <c r="B12" s="58" t="inlineStr">
        <is>
          <t>Tổ kỹ thuật &amp; Thợ thảm bê tông nhựa C19</t>
        </is>
      </c>
      <c r="C12" s="57" t="inlineStr">
        <is>
          <t>người</t>
        </is>
      </c>
      <c r="D12" s="67" t="n">
        <v>36</v>
      </c>
      <c r="E12" s="67" t="n">
        <v>40</v>
      </c>
      <c r="F12" s="67" t="n">
        <v>0</v>
      </c>
      <c r="G12" s="67">
        <f>E12-F12</f>
        <v/>
      </c>
      <c r="H12" s="57" t="inlineStr">
        <is>
          <t>17/10 - 25/10/2026</t>
        </is>
      </c>
      <c r="I12" s="58" t="inlineStr">
        <is>
          <t>2 mũi thảm hoàn thiện</t>
        </is>
      </c>
    </row>
    <row r="13">
      <c r="A13" s="68" t="n"/>
      <c r="B13" s="69" t="inlineStr">
        <is>
          <t>TỔNG CỘNG NHÂN LỰC HUY ĐỘNG ĐỈNH ĐIỂM</t>
        </is>
      </c>
      <c r="C13" s="68" t="n"/>
      <c r="D13" s="70">
        <f>SUM(D5:D12)</f>
        <v/>
      </c>
      <c r="E13" s="70">
        <f>SUM(E5:E12)</f>
        <v/>
      </c>
      <c r="F13" s="70">
        <f>SUM(F5:F12)</f>
        <v/>
      </c>
      <c r="G13" s="70">
        <f>SUM(G5:G12)</f>
        <v/>
      </c>
      <c r="H13" s="68" t="n"/>
      <c r="I13" s="68" t="n"/>
    </row>
    <row r="16">
      <c r="A16" s="65" t="inlineStr">
        <is>
          <t>II. KẾ HOẠCH HUY ĐỘNG MÁY MÓC THIẾT BỊ (MMTB) THEO ĐỊNH MỨC &amp; ĐỀ XUẤT CẤP</t>
        </is>
      </c>
    </row>
    <row r="17">
      <c r="A17" s="66" t="inlineStr">
        <is>
          <t>STT</t>
        </is>
      </c>
      <c r="B17" s="66" t="inlineStr">
        <is>
          <t>Nhóm MMTB</t>
        </is>
      </c>
      <c r="C17" s="66" t="inlineStr">
        <is>
          <t>Chủng loại / Quy cách</t>
        </is>
      </c>
      <c r="D17" s="66" t="inlineStr">
        <is>
          <t>ĐVT</t>
        </is>
      </c>
      <c r="E17" s="66" t="inlineStr">
        <is>
          <t>Định mức tính toán (Máy)</t>
        </is>
      </c>
      <c r="F17" s="66" t="inlineStr">
        <is>
          <t>BCH đề xuất (Máy)</t>
        </is>
      </c>
      <c r="G17" s="66" t="inlineStr">
        <is>
          <t>Hiện có</t>
        </is>
      </c>
      <c r="H17" s="66" t="inlineStr">
        <is>
          <t>Cần bổ sung</t>
        </is>
      </c>
      <c r="I17" s="66" t="inlineStr">
        <is>
          <t>Kế hoạch cấp</t>
        </is>
      </c>
    </row>
    <row r="18">
      <c r="A18" s="57" t="n">
        <v>1</v>
      </c>
      <c r="B18" s="58" t="inlineStr">
        <is>
          <t>Máy xúc đào</t>
        </is>
      </c>
      <c r="C18" s="58" t="inlineStr">
        <is>
          <t>Máy xúc bánh xích PC200 - PC300 gầu 0.8 - 1.2 m3</t>
        </is>
      </c>
      <c r="D18" s="57" t="inlineStr">
        <is>
          <t>máy</t>
        </is>
      </c>
      <c r="E18" s="67" t="n">
        <v>42</v>
      </c>
      <c r="F18" s="67" t="n">
        <v>45</v>
      </c>
      <c r="G18" s="67" t="n">
        <v>25</v>
      </c>
      <c r="H18" s="67">
        <f>F18-G18</f>
        <v/>
      </c>
      <c r="I18" s="58" t="inlineStr">
        <is>
          <t>Cấp đủ 45 máy</t>
        </is>
      </c>
    </row>
    <row r="19">
      <c r="A19" s="57" t="n">
        <v>2</v>
      </c>
      <c r="B19" s="58" t="inlineStr">
        <is>
          <t>Máy ủi</t>
        </is>
      </c>
      <c r="C19" s="58" t="inlineStr">
        <is>
          <t>Máy ủi bánh xích D3 - D5 công suất 110 - 130 CV</t>
        </is>
      </c>
      <c r="D19" s="57" t="inlineStr">
        <is>
          <t>máy</t>
        </is>
      </c>
      <c r="E19" s="67" t="n">
        <v>45</v>
      </c>
      <c r="F19" s="67" t="n">
        <v>48</v>
      </c>
      <c r="G19" s="67" t="n">
        <v>28</v>
      </c>
      <c r="H19" s="67">
        <f>F19-G19</f>
        <v/>
      </c>
      <c r="I19" s="58" t="inlineStr">
        <is>
          <t>Cấp đủ 48 máy</t>
        </is>
      </c>
    </row>
    <row r="20">
      <c r="A20" s="57" t="n">
        <v>3</v>
      </c>
      <c r="B20" s="58" t="inlineStr">
        <is>
          <t>Máy lu</t>
        </is>
      </c>
      <c r="C20" s="58" t="inlineStr">
        <is>
          <t>Máy lu rung bánh lốp &amp; bánh thép 12T - 16T</t>
        </is>
      </c>
      <c r="D20" s="57" t="inlineStr">
        <is>
          <t>máy</t>
        </is>
      </c>
      <c r="E20" s="67" t="n">
        <v>28</v>
      </c>
      <c r="F20" s="67" t="n">
        <v>30</v>
      </c>
      <c r="G20" s="67" t="n">
        <v>18</v>
      </c>
      <c r="H20" s="67">
        <f>F20-G20</f>
        <v/>
      </c>
      <c r="I20" s="58" t="inlineStr">
        <is>
          <t>Cấp đủ 30 máy</t>
        </is>
      </c>
    </row>
    <row r="21">
      <c r="A21" s="57" t="n">
        <v>4</v>
      </c>
      <c r="B21" s="58" t="inlineStr">
        <is>
          <t>Máy san</t>
        </is>
      </c>
      <c r="C21" s="58" t="inlineStr">
        <is>
          <t>Máy san tự hành 120 - 170 CV</t>
        </is>
      </c>
      <c r="D21" s="57" t="inlineStr">
        <is>
          <t>máy</t>
        </is>
      </c>
      <c r="E21" s="67" t="n">
        <v>6</v>
      </c>
      <c r="F21" s="67" t="n">
        <v>6</v>
      </c>
      <c r="G21" s="67" t="n">
        <v>3</v>
      </c>
      <c r="H21" s="67">
        <f>F21-G21</f>
        <v/>
      </c>
      <c r="I21" s="58" t="inlineStr">
        <is>
          <t>Cấp đủ 6 máy</t>
        </is>
      </c>
    </row>
    <row r="22">
      <c r="A22" s="57" t="n">
        <v>5</v>
      </c>
      <c r="B22" s="58" t="inlineStr">
        <is>
          <t>Xe tải ben</t>
        </is>
      </c>
      <c r="C22" s="58" t="inlineStr">
        <is>
          <t>Xe ben chuyển đất &amp; đá Base loại 16 - 18 tấn</t>
        </is>
      </c>
      <c r="D22" s="57" t="inlineStr">
        <is>
          <t>xe</t>
        </is>
      </c>
      <c r="E22" s="67" t="n">
        <v>18</v>
      </c>
      <c r="F22" s="67" t="n">
        <v>22</v>
      </c>
      <c r="G22" s="67" t="n">
        <v>12</v>
      </c>
      <c r="H22" s="67">
        <f>F22-G22</f>
        <v/>
      </c>
      <c r="I22" s="58" t="inlineStr">
        <is>
          <t>Cấp đủ 22 xe</t>
        </is>
      </c>
    </row>
    <row r="23">
      <c r="A23" s="57" t="n">
        <v>6</v>
      </c>
      <c r="B23" s="58" t="inlineStr">
        <is>
          <t>Máy xúc lốp</t>
        </is>
      </c>
      <c r="C23" s="58" t="inlineStr">
        <is>
          <t>Máy xúc bánh lốp PC140 gầu 0.5 - 0.6 m3</t>
        </is>
      </c>
      <c r="D23" s="57" t="inlineStr">
        <is>
          <t>máy</t>
        </is>
      </c>
      <c r="E23" s="67" t="n">
        <v>14</v>
      </c>
      <c r="F23" s="67" t="n">
        <v>14</v>
      </c>
      <c r="G23" s="67" t="n">
        <v>6</v>
      </c>
      <c r="H23" s="67">
        <f>F23-G23</f>
        <v/>
      </c>
      <c r="I23" s="58" t="inlineStr">
        <is>
          <t>Cấp đủ 14 máy</t>
        </is>
      </c>
    </row>
    <row r="24">
      <c r="A24" s="57" t="n">
        <v>7</v>
      </c>
      <c r="B24" s="58" t="inlineStr">
        <is>
          <t>Xe téc nước</t>
        </is>
      </c>
      <c r="C24" s="58" t="inlineStr">
        <is>
          <t>Xe téc tưới nước đầm nén 9 - 10 m3</t>
        </is>
      </c>
      <c r="D24" s="57" t="inlineStr">
        <is>
          <t>xe</t>
        </is>
      </c>
      <c r="E24" s="67" t="n">
        <v>4</v>
      </c>
      <c r="F24" s="67" t="n">
        <v>4</v>
      </c>
      <c r="G24" s="67" t="n">
        <v>2</v>
      </c>
      <c r="H24" s="67">
        <f>F24-G24</f>
        <v/>
      </c>
      <c r="I24" s="58" t="inlineStr">
        <is>
          <t>Cấp đủ 4 xe</t>
        </is>
      </c>
    </row>
    <row r="25">
      <c r="A25" s="57" t="n">
        <v>8</v>
      </c>
      <c r="B25" s="58" t="inlineStr">
        <is>
          <t>Máy rải BTN</t>
        </is>
      </c>
      <c r="C25" s="58" t="inlineStr">
        <is>
          <t>Máy rải bê tông nhựa chuyên dụng Vogele Super 1800</t>
        </is>
      </c>
      <c r="D25" s="57" t="inlineStr">
        <is>
          <t>máy</t>
        </is>
      </c>
      <c r="E25" s="67" t="n">
        <v>2</v>
      </c>
      <c r="F25" s="67" t="n">
        <v>2</v>
      </c>
      <c r="G25" s="67" t="n">
        <v>0</v>
      </c>
      <c r="H25" s="67">
        <f>F25-G25</f>
        <v/>
      </c>
      <c r="I25" s="58" t="inlineStr">
        <is>
          <t>Huy động 2 máy từ 17/10</t>
        </is>
      </c>
    </row>
    <row r="26">
      <c r="A26" s="57" t="n">
        <v>9</v>
      </c>
      <c r="B26" s="58" t="inlineStr">
        <is>
          <t>Lu rung BTN</t>
        </is>
      </c>
      <c r="C26" s="58" t="inlineStr">
        <is>
          <t>Máy lu tĩnh &amp; lu rung bánh thép thảm nhựa 10 - 12T</t>
        </is>
      </c>
      <c r="D26" s="57" t="inlineStr">
        <is>
          <t>máy</t>
        </is>
      </c>
      <c r="E26" s="67" t="n">
        <v>4</v>
      </c>
      <c r="F26" s="67" t="n">
        <v>4</v>
      </c>
      <c r="G26" s="67" t="n">
        <v>0</v>
      </c>
      <c r="H26" s="67">
        <f>F26-G26</f>
        <v/>
      </c>
      <c r="I26" s="58" t="inlineStr">
        <is>
          <t>Huy động theo mũi rải</t>
        </is>
      </c>
    </row>
    <row r="27">
      <c r="A27" s="57" t="n">
        <v>10</v>
      </c>
      <c r="B27" s="58" t="inlineStr">
        <is>
          <t>Xe cấp dầu</t>
        </is>
      </c>
      <c r="C27" s="58" t="inlineStr">
        <is>
          <t>Xe téc lưu động cấp dầu hiện trường 9 - 10 m3</t>
        </is>
      </c>
      <c r="D27" s="57" t="inlineStr">
        <is>
          <t>xe</t>
        </is>
      </c>
      <c r="E27" s="67" t="n">
        <v>2</v>
      </c>
      <c r="F27" s="67" t="n">
        <v>2</v>
      </c>
      <c r="G27" s="67" t="n">
        <v>1</v>
      </c>
      <c r="H27" s="67">
        <f>F27-G27</f>
        <v/>
      </c>
      <c r="I27" s="58" t="inlineStr">
        <is>
          <t>Trực 24/7</t>
        </is>
      </c>
    </row>
    <row r="28">
      <c r="A28" s="57" t="n">
        <v>11</v>
      </c>
      <c r="B28" s="58" t="inlineStr">
        <is>
          <t>Máy phát điện</t>
        </is>
      </c>
      <c r="C28" s="58" t="inlineStr">
        <is>
          <t>Máy phát điện 3 pha công nghiệp 25 - 45 kVA</t>
        </is>
      </c>
      <c r="D28" s="57" t="inlineStr">
        <is>
          <t>máy</t>
        </is>
      </c>
      <c r="E28" s="67" t="n">
        <v>3</v>
      </c>
      <c r="F28" s="67" t="n">
        <v>3</v>
      </c>
      <c r="G28" s="67" t="n">
        <v>2</v>
      </c>
      <c r="H28" s="67">
        <f>F28-G28</f>
        <v/>
      </c>
      <c r="I28" s="58" t="inlineStr">
        <is>
          <t>Trực thi công đêm</t>
        </is>
      </c>
    </row>
    <row r="29">
      <c r="A29" s="71" t="n"/>
      <c r="B29" s="71" t="n"/>
      <c r="C29" s="72" t="inlineStr">
        <is>
          <t>TỔNG SỐ LƯỢNG MMTB CẦN CÓ TRÊN CÔNG TRƯỜNG</t>
        </is>
      </c>
      <c r="D29" s="71" t="n"/>
      <c r="E29" s="73">
        <f>SUM(E18:E28)</f>
        <v/>
      </c>
      <c r="F29" s="73">
        <f>SUM(F18:F28)</f>
        <v/>
      </c>
      <c r="G29" s="73">
        <f>SUM(G18:G28)</f>
        <v/>
      </c>
      <c r="H29" s="73">
        <f>SUM(H18:H28)</f>
        <v/>
      </c>
      <c r="I29" s="71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10" customWidth="1" min="4" max="4"/>
    <col width="24" customWidth="1" min="5" max="5"/>
    <col width="34" customWidth="1" min="6" max="6"/>
    <col width="24" customWidth="1" min="7" max="7"/>
  </cols>
  <sheetData>
    <row r="1">
      <c r="A1" s="54" t="inlineStr">
        <is>
          <t>BẢNG ĐỊNH MỨC NĂNG SUẤT NHÂN CÔNG &amp; CA MÁY (ĐM: Vincons_ĐMGK_02-01)</t>
        </is>
      </c>
    </row>
    <row r="3">
      <c r="A3" s="66" t="inlineStr">
        <is>
          <t>STT</t>
        </is>
      </c>
      <c r="B3" s="66" t="inlineStr">
        <is>
          <t>Mã công việc</t>
        </is>
      </c>
      <c r="C3" s="66" t="inlineStr">
        <is>
          <t>Loại công việc thực hiện</t>
        </is>
      </c>
      <c r="D3" s="66" t="inlineStr">
        <is>
          <t>ĐVT</t>
        </is>
      </c>
      <c r="E3" s="66" t="inlineStr">
        <is>
          <t>Định mức máy chính (m3/ca)</t>
        </is>
      </c>
      <c r="F3" s="66" t="inlineStr">
        <is>
          <t>Tên máy chính áp dụng</t>
        </is>
      </c>
      <c r="G3" s="66" t="inlineStr">
        <is>
          <t>Định mức dầu máy (lít/ca)</t>
        </is>
      </c>
    </row>
    <row r="4">
      <c r="A4" s="57" t="n">
        <v>1</v>
      </c>
      <c r="B4" s="58" t="inlineStr">
        <is>
          <t>Đào khuôn đường</t>
        </is>
      </c>
      <c r="C4" s="58" t="inlineStr">
        <is>
          <t>Đào nền đường, khuôn đường vét hữu cơ</t>
        </is>
      </c>
      <c r="D4" s="57" t="inlineStr">
        <is>
          <t>m3</t>
        </is>
      </c>
      <c r="E4" s="60" t="n">
        <v>872</v>
      </c>
      <c r="F4" s="58" t="inlineStr">
        <is>
          <t>Máy xúc PC200 - PC300</t>
        </is>
      </c>
      <c r="G4" s="60" t="n">
        <v>89.59999999999999</v>
      </c>
    </row>
    <row r="5">
      <c r="A5" s="57" t="n">
        <v>2</v>
      </c>
      <c r="B5" s="58" t="inlineStr">
        <is>
          <t>Ủi đất đắp nền</t>
        </is>
      </c>
      <c r="C5" s="58" t="inlineStr">
        <is>
          <t>Ủi đất san gạt tạo mặt bằng</t>
        </is>
      </c>
      <c r="D5" s="57" t="inlineStr">
        <is>
          <t>m3</t>
        </is>
      </c>
      <c r="E5" s="60" t="n">
        <v>1093</v>
      </c>
      <c r="F5" s="58" t="inlineStr">
        <is>
          <t>Máy ủi D3 - D5</t>
        </is>
      </c>
      <c r="G5" s="60" t="n">
        <v>124</v>
      </c>
    </row>
    <row r="6">
      <c r="A6" s="57" t="n">
        <v>3</v>
      </c>
      <c r="B6" s="58" t="inlineStr">
        <is>
          <t>Đắp cát K90</t>
        </is>
      </c>
      <c r="C6" s="58" t="inlineStr">
        <is>
          <t>Đắp cát nền đường độ chặt K=0.90</t>
        </is>
      </c>
      <c r="D6" s="57" t="inlineStr">
        <is>
          <t>m3</t>
        </is>
      </c>
      <c r="E6" s="60" t="n">
        <v>900.9</v>
      </c>
      <c r="F6" s="58" t="inlineStr">
        <is>
          <t>Máy ủi D3 - D5 + Lu rung 14T</t>
        </is>
      </c>
      <c r="G6" s="60" t="n">
        <v>44</v>
      </c>
    </row>
    <row r="7">
      <c r="A7" s="57" t="n">
        <v>4</v>
      </c>
      <c r="B7" s="58" t="inlineStr">
        <is>
          <t>Đắp cát K95</t>
        </is>
      </c>
      <c r="C7" s="58" t="inlineStr">
        <is>
          <t>Đắp cát nền đường độ chặt K=0.95</t>
        </is>
      </c>
      <c r="D7" s="57" t="inlineStr">
        <is>
          <t>m3</t>
        </is>
      </c>
      <c r="E7" s="60" t="n">
        <v>1428</v>
      </c>
      <c r="F7" s="58" t="inlineStr">
        <is>
          <t>Máy ủi D3 - D5 + Lu rung 14T</t>
        </is>
      </c>
      <c r="G7" s="60" t="n">
        <v>44</v>
      </c>
    </row>
    <row r="8">
      <c r="A8" s="57" t="n">
        <v>5</v>
      </c>
      <c r="B8" s="58" t="inlineStr">
        <is>
          <t>Đắp cát K98</t>
        </is>
      </c>
      <c r="C8" s="58" t="inlineStr">
        <is>
          <t>Đắp cát nền đường độ chặt K=0.98</t>
        </is>
      </c>
      <c r="D8" s="57" t="inlineStr">
        <is>
          <t>m3</t>
        </is>
      </c>
      <c r="E8" s="60" t="n">
        <v>2087</v>
      </c>
      <c r="F8" s="58" t="inlineStr">
        <is>
          <t>Máy ủi D5 + Lu 14T + Máy san</t>
        </is>
      </c>
      <c r="G8" s="60" t="n">
        <v>69</v>
      </c>
    </row>
    <row r="9">
      <c r="A9" s="57" t="n">
        <v>6</v>
      </c>
      <c r="B9" s="58" t="inlineStr">
        <is>
          <t>CPĐD2 lớp 1</t>
        </is>
      </c>
      <c r="C9" s="58" t="inlineStr">
        <is>
          <t>Cấp phối đá dăm loại 2, độ chặt K98 (Lớp 1)</t>
        </is>
      </c>
      <c r="D9" s="57" t="inlineStr">
        <is>
          <t>m3</t>
        </is>
      </c>
      <c r="E9" s="60" t="n">
        <v>823</v>
      </c>
      <c r="F9" s="58" t="inlineStr">
        <is>
          <t>Máy rải/san + Lu 14T</t>
        </is>
      </c>
      <c r="G9" s="60" t="n">
        <v>44</v>
      </c>
    </row>
    <row r="10">
      <c r="A10" s="57" t="n">
        <v>7</v>
      </c>
      <c r="B10" s="58" t="inlineStr">
        <is>
          <t>CPĐD1 lớp 1</t>
        </is>
      </c>
      <c r="C10" s="58" t="inlineStr">
        <is>
          <t>Cấp phối đá dăm loại 1, độ chặt K98 (Lớp 1)</t>
        </is>
      </c>
      <c r="D10" s="57" t="inlineStr">
        <is>
          <t>m3</t>
        </is>
      </c>
      <c r="E10" s="60" t="n">
        <v>914</v>
      </c>
      <c r="F10" s="58" t="inlineStr">
        <is>
          <t>Máy rải/san + Lu 14T</t>
        </is>
      </c>
      <c r="G10" s="60" t="n">
        <v>44</v>
      </c>
    </row>
    <row r="11">
      <c r="A11" s="57" t="n">
        <v>8</v>
      </c>
      <c r="B11" s="58" t="inlineStr">
        <is>
          <t>Thảm BTN C19</t>
        </is>
      </c>
      <c r="C11" s="58" t="inlineStr">
        <is>
          <t>Rải thảm bê tông nhựa hạt thô/chặt C19 dày 6-7cm</t>
        </is>
      </c>
      <c r="D11" s="57" t="inlineStr">
        <is>
          <t>m2</t>
        </is>
      </c>
      <c r="E11" s="60" t="n">
        <v>460.8</v>
      </c>
      <c r="F11" s="58" t="inlineStr">
        <is>
          <t>Máy rải chuyên dụng + Lu tĩnh/rung</t>
        </is>
      </c>
      <c r="G11" s="60" t="n">
        <v>56</v>
      </c>
    </row>
    <row r="12">
      <c r="A12" s="57" t="n">
        <v>9</v>
      </c>
      <c r="B12" s="58" t="inlineStr">
        <is>
          <t>Lắp cống TNM</t>
        </is>
      </c>
      <c r="C12" s="58" t="inlineStr">
        <is>
          <t>Lắp đặt đế cống + Cống tròn D300-D1500 TNM</t>
        </is>
      </c>
      <c r="D12" s="57" t="inlineStr">
        <is>
          <t>md</t>
        </is>
      </c>
      <c r="E12" s="60" t="n">
        <v>31</v>
      </c>
      <c r="F12" s="58" t="inlineStr">
        <is>
          <t>Máy xúc bánh lốp PC140 cẩu lắp</t>
        </is>
      </c>
      <c r="G12" s="60" t="n">
        <v>64</v>
      </c>
    </row>
    <row r="13">
      <c r="A13" s="57" t="n">
        <v>10</v>
      </c>
      <c r="B13" s="58" t="inlineStr">
        <is>
          <t>Lắp ống HDPE TNT</t>
        </is>
      </c>
      <c r="C13" s="58" t="inlineStr">
        <is>
          <t>Lắp đặt cống HDPE D300, D400 thoát nước thải</t>
        </is>
      </c>
      <c r="D13" s="57" t="inlineStr">
        <is>
          <t>md</t>
        </is>
      </c>
      <c r="E13" s="60" t="n">
        <v>149</v>
      </c>
      <c r="F13" s="58" t="inlineStr">
        <is>
          <t>Máy xúc bánh lốp PC140 cẩu lắp</t>
        </is>
      </c>
      <c r="G13" s="60" t="n">
        <v>64</v>
      </c>
    </row>
    <row r="14">
      <c r="A14" s="57" t="n">
        <v>11</v>
      </c>
      <c r="B14" s="58" t="inlineStr">
        <is>
          <t>Vận chuyển đất &lt;5km</t>
        </is>
      </c>
      <c r="C14" s="58" t="inlineStr">
        <is>
          <t>Vận chuyển đất nội bộ cự ly &lt;5km</t>
        </is>
      </c>
      <c r="D14" s="57" t="inlineStr">
        <is>
          <t>m3</t>
        </is>
      </c>
      <c r="E14" s="60" t="n">
        <v>571.4</v>
      </c>
      <c r="F14" s="58" t="inlineStr">
        <is>
          <t>Xe ben tải trọng 18m3</t>
        </is>
      </c>
      <c r="G14" s="60" t="n">
        <v>26</v>
      </c>
    </row>
    <row r="15">
      <c r="A15" s="57" t="n">
        <v>12</v>
      </c>
      <c r="B15" s="58" t="inlineStr">
        <is>
          <t>Tưới thấm bám</t>
        </is>
      </c>
      <c r="C15" s="58" t="inlineStr">
        <is>
          <t>Tưới nhựa thấm bám tiêu chuẩn 1.0 kg/m2</t>
        </is>
      </c>
      <c r="D15" s="57" t="inlineStr">
        <is>
          <t>m2</t>
        </is>
      </c>
      <c r="E15" s="60" t="n">
        <v>434.8</v>
      </c>
      <c r="F15" s="58" t="inlineStr">
        <is>
          <t>Xe téc tưới nhựa chuyên dụng</t>
        </is>
      </c>
      <c r="G15" s="60" t="n">
        <v>42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14" customWidth="1" min="4" max="4"/>
    <col width="12" customWidth="1" min="5" max="5"/>
    <col width="18" customWidth="1" min="6" max="6"/>
    <col width="10" customWidth="1" min="7" max="7"/>
    <col width="18" customWidth="1" min="8" max="8"/>
    <col width="24" customWidth="1" min="9" max="9"/>
  </cols>
  <sheetData>
    <row r="1">
      <c r="A1" s="54" t="inlineStr">
        <is>
          <t>BẢNG TÍNH KHỐI LƯỢNG HẠNG MỤC: SAN LẤP CỤM B9 VÀ ĐƯỜNG NỘI BỘ</t>
        </is>
      </c>
    </row>
    <row r="3">
      <c r="A3" s="66" t="inlineStr">
        <is>
          <t>STT</t>
        </is>
      </c>
      <c r="B3" s="66" t="inlineStr">
        <is>
          <t>Hạng mục công việc</t>
        </is>
      </c>
      <c r="C3" s="66" t="inlineStr">
        <is>
          <t>ĐVT</t>
        </is>
      </c>
      <c r="D3" s="66" t="inlineStr">
        <is>
          <t>Chiều dài (m)</t>
        </is>
      </c>
      <c r="E3" s="66" t="inlineStr">
        <is>
          <t>Bề rộng (m)</t>
        </is>
      </c>
      <c r="F3" s="66" t="inlineStr">
        <is>
          <t>Chiều dày / Cao (m)</t>
        </is>
      </c>
      <c r="G3" s="66" t="inlineStr">
        <is>
          <t>Hệ số</t>
        </is>
      </c>
      <c r="H3" s="66" t="inlineStr">
        <is>
          <t>Khối lượng hình học</t>
        </is>
      </c>
      <c r="I3" s="66" t="inlineStr">
        <is>
          <t>Khối lượng hoàn thành mốc 25/10</t>
        </is>
      </c>
    </row>
    <row r="4">
      <c r="A4" s="74" t="inlineStr">
        <is>
          <t>I</t>
        </is>
      </c>
      <c r="B4" s="75" t="inlineStr">
        <is>
          <t>SAN LẤP CỤM B9 (DIỆN TÍCH 88.7 HA)</t>
        </is>
      </c>
      <c r="C4" s="74" t="inlineStr"/>
      <c r="D4" s="75" t="inlineStr"/>
      <c r="E4" s="75" t="inlineStr"/>
      <c r="F4" s="75" t="inlineStr"/>
      <c r="G4" s="75" t="inlineStr"/>
      <c r="H4" s="75" t="inlineStr"/>
      <c r="I4" s="75" t="inlineStr"/>
    </row>
    <row r="5">
      <c r="A5" s="57" t="n">
        <v>1</v>
      </c>
      <c r="B5" s="58" t="inlineStr">
        <is>
          <t>Phát quang mặt bằng san lấp</t>
        </is>
      </c>
      <c r="C5" s="57" t="inlineStr">
        <is>
          <t>m2</t>
        </is>
      </c>
      <c r="D5" s="60" t="n">
        <v>887000</v>
      </c>
      <c r="E5" s="60" t="n">
        <v>0</v>
      </c>
      <c r="F5" s="60" t="n">
        <v>0</v>
      </c>
      <c r="G5" s="60" t="n">
        <v>1</v>
      </c>
      <c r="H5" s="60" t="n">
        <v>887000</v>
      </c>
      <c r="I5" s="60" t="n">
        <v>887000</v>
      </c>
    </row>
    <row r="6">
      <c r="A6" s="57" t="n">
        <v>2</v>
      </c>
      <c r="B6" s="58" t="inlineStr">
        <is>
          <t>Đào khuôn, bóc đất hữu cơ san lấp dày 10cm</t>
        </is>
      </c>
      <c r="C6" s="57" t="inlineStr">
        <is>
          <t>m3</t>
        </is>
      </c>
      <c r="D6" s="60" t="n">
        <v>887000</v>
      </c>
      <c r="E6" s="60" t="n">
        <v>0</v>
      </c>
      <c r="F6" s="60" t="n">
        <v>0.1</v>
      </c>
      <c r="G6" s="60" t="n">
        <v>1</v>
      </c>
      <c r="H6" s="60" t="n">
        <v>88700</v>
      </c>
      <c r="I6" s="60" t="n">
        <v>88700</v>
      </c>
    </row>
    <row r="7">
      <c r="A7" s="57" t="n">
        <v>3</v>
      </c>
      <c r="B7" s="58" t="inlineStr">
        <is>
          <t>Vận chuyển nội bộ đất hữu cơ san lấp &lt;5km</t>
        </is>
      </c>
      <c r="C7" s="57" t="inlineStr">
        <is>
          <t>m3</t>
        </is>
      </c>
      <c r="D7" s="60" t="n">
        <v>88700</v>
      </c>
      <c r="E7" s="60" t="n">
        <v>0</v>
      </c>
      <c r="F7" s="60" t="n">
        <v>0</v>
      </c>
      <c r="G7" s="60" t="n">
        <v>1</v>
      </c>
      <c r="H7" s="60" t="n">
        <v>88700</v>
      </c>
      <c r="I7" s="60" t="n">
        <v>88700</v>
      </c>
    </row>
    <row r="8">
      <c r="A8" s="57" t="n">
        <v>4</v>
      </c>
      <c r="B8" s="58" t="inlineStr">
        <is>
          <t>Đắp đất/cát K90 san nền chiều cao TB 2.0m</t>
        </is>
      </c>
      <c r="C8" s="57" t="inlineStr">
        <is>
          <t>m3</t>
        </is>
      </c>
      <c r="D8" s="60" t="n">
        <v>887000</v>
      </c>
      <c r="E8" s="60" t="n">
        <v>0</v>
      </c>
      <c r="F8" s="60" t="n">
        <v>2</v>
      </c>
      <c r="G8" s="60" t="n">
        <v>1</v>
      </c>
      <c r="H8" s="60" t="n">
        <v>1774000</v>
      </c>
      <c r="I8" s="60" t="n">
        <v>1774000</v>
      </c>
    </row>
    <row r="9">
      <c r="A9" s="74" t="inlineStr">
        <is>
          <t>II</t>
        </is>
      </c>
      <c r="B9" s="75" t="inlineStr">
        <is>
          <t>ĐƯỜNG NỘI BỘ CỤM B9 (L = 18,034 M)</t>
        </is>
      </c>
      <c r="C9" s="74" t="inlineStr"/>
      <c r="D9" s="75" t="inlineStr"/>
      <c r="E9" s="75" t="inlineStr"/>
      <c r="F9" s="75" t="inlineStr"/>
      <c r="G9" s="75" t="inlineStr"/>
      <c r="H9" s="75" t="inlineStr"/>
      <c r="I9" s="75" t="inlineStr"/>
    </row>
    <row r="10">
      <c r="A10" s="57" t="n">
        <v>5</v>
      </c>
      <c r="B10" s="58" t="inlineStr">
        <is>
          <t>Phát quang mặt bằng tuyến đường nội bộ</t>
        </is>
      </c>
      <c r="C10" s="57" t="inlineStr">
        <is>
          <t>m2</t>
        </is>
      </c>
      <c r="D10" s="60" t="n">
        <v>18034</v>
      </c>
      <c r="E10" s="60" t="n">
        <v>19</v>
      </c>
      <c r="F10" s="60" t="n">
        <v>0</v>
      </c>
      <c r="G10" s="60" t="n">
        <v>1</v>
      </c>
      <c r="H10" s="60" t="n">
        <v>342646</v>
      </c>
      <c r="I10" s="60" t="n">
        <v>342646</v>
      </c>
    </row>
    <row r="11">
      <c r="A11" s="57" t="n">
        <v>6</v>
      </c>
      <c r="B11" s="58" t="inlineStr">
        <is>
          <t>Đào khuôn đường vét hữu cơ dày 30cm</t>
        </is>
      </c>
      <c r="C11" s="57" t="inlineStr">
        <is>
          <t>m3</t>
        </is>
      </c>
      <c r="D11" s="60" t="n">
        <v>18034</v>
      </c>
      <c r="E11" s="60" t="n">
        <v>19</v>
      </c>
      <c r="F11" s="60" t="n">
        <v>0.3</v>
      </c>
      <c r="G11" s="60" t="n">
        <v>1</v>
      </c>
      <c r="H11" s="60" t="n">
        <v>102793.8</v>
      </c>
      <c r="I11" s="60" t="n">
        <v>102793.8</v>
      </c>
    </row>
    <row r="12">
      <c r="A12" s="57" t="n">
        <v>7</v>
      </c>
      <c r="B12" s="58" t="inlineStr">
        <is>
          <t>Vận chuyển nội bộ đất khuôn đường &lt;5km</t>
        </is>
      </c>
      <c r="C12" s="57" t="inlineStr">
        <is>
          <t>m3</t>
        </is>
      </c>
      <c r="D12" s="60" t="n">
        <v>102793.8</v>
      </c>
      <c r="E12" s="60" t="n">
        <v>0</v>
      </c>
      <c r="F12" s="60" t="n">
        <v>0</v>
      </c>
      <c r="G12" s="60" t="n">
        <v>1</v>
      </c>
      <c r="H12" s="60" t="n">
        <v>102793.8</v>
      </c>
      <c r="I12" s="60" t="n">
        <v>102793.8</v>
      </c>
    </row>
    <row r="13">
      <c r="A13" s="57" t="n">
        <v>8</v>
      </c>
      <c r="B13" s="58" t="inlineStr">
        <is>
          <t>Đắp cát K90 nền đường</t>
        </is>
      </c>
      <c r="C13" s="57" t="inlineStr">
        <is>
          <t>m3</t>
        </is>
      </c>
      <c r="D13" s="60" t="n">
        <v>18034</v>
      </c>
      <c r="E13" s="60" t="n">
        <v>10</v>
      </c>
      <c r="F13" s="60" t="n">
        <v>2</v>
      </c>
      <c r="G13" s="60" t="n">
        <v>1</v>
      </c>
      <c r="H13" s="60" t="n">
        <v>360680</v>
      </c>
      <c r="I13" s="60" t="n">
        <v>360680</v>
      </c>
    </row>
    <row r="14">
      <c r="A14" s="57" t="n">
        <v>9</v>
      </c>
      <c r="B14" s="58" t="inlineStr">
        <is>
          <t>Đắp cát K95 nền đường dày 50cm</t>
        </is>
      </c>
      <c r="C14" s="57" t="inlineStr">
        <is>
          <t>m3</t>
        </is>
      </c>
      <c r="D14" s="60" t="n">
        <v>18034</v>
      </c>
      <c r="E14" s="60" t="n">
        <v>10</v>
      </c>
      <c r="F14" s="60" t="n">
        <v>0.5</v>
      </c>
      <c r="G14" s="60" t="n">
        <v>1</v>
      </c>
      <c r="H14" s="60" t="n">
        <v>90170</v>
      </c>
      <c r="I14" s="60" t="n">
        <v>90170</v>
      </c>
    </row>
    <row r="15">
      <c r="A15" s="57" t="n">
        <v>10</v>
      </c>
      <c r="B15" s="58" t="inlineStr">
        <is>
          <t>Đắp cát K98 nền đường dày 30cm</t>
        </is>
      </c>
      <c r="C15" s="57" t="inlineStr">
        <is>
          <t>m3</t>
        </is>
      </c>
      <c r="D15" s="60" t="n">
        <v>18034</v>
      </c>
      <c r="E15" s="60" t="n">
        <v>10</v>
      </c>
      <c r="F15" s="60" t="n">
        <v>0.3</v>
      </c>
      <c r="G15" s="60" t="n">
        <v>1</v>
      </c>
      <c r="H15" s="60" t="n">
        <v>54102</v>
      </c>
      <c r="I15" s="60" t="n">
        <v>54102</v>
      </c>
    </row>
    <row r="16">
      <c r="A16" s="57" t="n">
        <v>11</v>
      </c>
      <c r="B16" s="58" t="inlineStr">
        <is>
          <t>Hệ thống cống thoát nước mưa TNM (D300-D1800)</t>
        </is>
      </c>
      <c r="C16" s="57" t="inlineStr">
        <is>
          <t>md</t>
        </is>
      </c>
      <c r="D16" s="60" t="n">
        <v>18034</v>
      </c>
      <c r="E16" s="60" t="n">
        <v>0</v>
      </c>
      <c r="F16" s="60" t="n">
        <v>0</v>
      </c>
      <c r="G16" s="60" t="n">
        <v>1.2</v>
      </c>
      <c r="H16" s="60" t="n">
        <v>21640.8</v>
      </c>
      <c r="I16" s="60" t="n">
        <v>21640.8</v>
      </c>
    </row>
    <row r="17">
      <c r="A17" s="57" t="n">
        <v>12</v>
      </c>
      <c r="B17" s="58" t="inlineStr">
        <is>
          <t>Hệ thống cống thoát nước thải TNT (HDPE)</t>
        </is>
      </c>
      <c r="C17" s="57" t="inlineStr">
        <is>
          <t>md</t>
        </is>
      </c>
      <c r="D17" s="60" t="n">
        <v>18034</v>
      </c>
      <c r="E17" s="60" t="n">
        <v>0</v>
      </c>
      <c r="F17" s="60" t="n">
        <v>0</v>
      </c>
      <c r="G17" s="60" t="n">
        <v>1.2</v>
      </c>
      <c r="H17" s="60" t="n">
        <v>21640.8</v>
      </c>
      <c r="I17" s="60" t="n">
        <v>21640.8</v>
      </c>
    </row>
    <row r="18">
      <c r="A18" s="57" t="n">
        <v>13</v>
      </c>
      <c r="B18" s="58" t="inlineStr">
        <is>
          <t>Móng cấp phối đá dăm loại 2 (Base B) dày 15cm</t>
        </is>
      </c>
      <c r="C18" s="57" t="inlineStr">
        <is>
          <t>m3</t>
        </is>
      </c>
      <c r="D18" s="60" t="n">
        <v>18034</v>
      </c>
      <c r="E18" s="60" t="n">
        <v>10</v>
      </c>
      <c r="F18" s="60" t="n">
        <v>0.15</v>
      </c>
      <c r="G18" s="60" t="n">
        <v>1</v>
      </c>
      <c r="H18" s="60" t="n">
        <v>27051</v>
      </c>
      <c r="I18" s="60" t="n">
        <v>27051</v>
      </c>
    </row>
    <row r="19">
      <c r="A19" s="57" t="n">
        <v>14</v>
      </c>
      <c r="B19" s="58" t="inlineStr">
        <is>
          <t>Móng cấp phối đá dăm loại 1 (Base A) dày 12cm</t>
        </is>
      </c>
      <c r="C19" s="57" t="inlineStr">
        <is>
          <t>m3</t>
        </is>
      </c>
      <c r="D19" s="60" t="n">
        <v>18034</v>
      </c>
      <c r="E19" s="60" t="n">
        <v>10</v>
      </c>
      <c r="F19" s="60" t="n">
        <v>0.12</v>
      </c>
      <c r="G19" s="60" t="n">
        <v>1</v>
      </c>
      <c r="H19" s="60" t="n">
        <v>21640.8</v>
      </c>
      <c r="I19" s="60" t="n">
        <v>21640.8</v>
      </c>
    </row>
    <row r="20">
      <c r="A20" s="57" t="n">
        <v>15</v>
      </c>
      <c r="B20" s="58" t="inlineStr">
        <is>
          <t>Vận chuyển nội bộ cấp phối đá dăm Base A &amp; B</t>
        </is>
      </c>
      <c r="C20" s="57" t="inlineStr">
        <is>
          <t>m3</t>
        </is>
      </c>
      <c r="D20" s="60" t="n">
        <v>48691.8</v>
      </c>
      <c r="E20" s="60" t="n">
        <v>0</v>
      </c>
      <c r="F20" s="60" t="n">
        <v>0</v>
      </c>
      <c r="G20" s="60" t="n">
        <v>1</v>
      </c>
      <c r="H20" s="60" t="n">
        <v>48691.8</v>
      </c>
      <c r="I20" s="60" t="n">
        <v>48691.8</v>
      </c>
    </row>
    <row r="21">
      <c r="A21" s="76" t="n">
        <v>16</v>
      </c>
      <c r="B21" s="77" t="inlineStr">
        <is>
          <t>THI CÔNG LỚP THẢM BTN C19 (THẢM THÔ 6.5CM)</t>
        </is>
      </c>
      <c r="C21" s="76" t="inlineStr">
        <is>
          <t>m2</t>
        </is>
      </c>
      <c r="D21" s="78" t="n">
        <v>18034</v>
      </c>
      <c r="E21" s="78" t="n">
        <v>10</v>
      </c>
      <c r="F21" s="78" t="n">
        <v>0</v>
      </c>
      <c r="G21" s="78" t="n">
        <v>1</v>
      </c>
      <c r="H21" s="78" t="n">
        <v>180340</v>
      </c>
      <c r="I21" s="78" t="n">
        <v>180340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2026-09-29T12:30:40Z</dcterms:created>
  <dcterms:modified xmlns:dcterms="http://purl.org/dc/terms/" xmlns:xsi="http://www.w3.org/2001/XMLSchema-instance" xsi:type="dcterms:W3CDTF">2026-09-29T12:30:40Z</dcterms:modified>
</cp:coreProperties>
</file>