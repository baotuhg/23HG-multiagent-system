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HONG_SO_DU_AN" sheetId="1" state="visible" r:id="rId1"/>
    <sheet xmlns:r="http://schemas.openxmlformats.org/officeDocument/2006/relationships" name="02_DINH_MUC_CA_MAY_VA_DAU" sheetId="2" state="visible" r:id="rId2"/>
    <sheet xmlns:r="http://schemas.openxmlformats.org/officeDocument/2006/relationships" name="03_TIEN_DO_GANTT_CPM" sheetId="3" state="visible" r:id="rId3"/>
    <sheet xmlns:r="http://schemas.openxmlformats.org/officeDocument/2006/relationships" name="04_TONG_HOP_CA_MAY_VA_DAU" sheetId="4" state="visible" r:id="rId4"/>
    <sheet xmlns:r="http://schemas.openxmlformats.org/officeDocument/2006/relationships" name="05_NHU_CAU_VAT_TU_CHINH" sheetId="5" state="visible" r:id="rId5"/>
    <sheet xmlns:r="http://schemas.openxmlformats.org/officeDocument/2006/relationships" name="06_SO_SANH_DINH_MUC_VS_THUC_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#,##0.0"/>
    <numFmt numFmtId="167" formatCode="DD/MM"/>
    <numFmt numFmtId="168" formatCode="0.0%"/>
  </numFmts>
  <fonts count="23">
    <font>
      <name val="Calibri"/>
      <family val="2"/>
      <color theme="1"/>
      <sz val="11"/>
      <scheme val="minor"/>
    </font>
    <font>
      <name val="Times New Roman"/>
      <b val="1"/>
      <color rgb="001B365D"/>
      <sz val="14"/>
    </font>
    <font>
      <name val="Times New Roman"/>
      <b val="1"/>
      <color rgb="002E75B6"/>
      <sz val="12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b val="1"/>
      <color rgb="00002060"/>
      <sz val="10"/>
    </font>
    <font>
      <name val="Times New Roman"/>
      <b val="1"/>
      <color rgb="00C00000"/>
      <sz val="10"/>
    </font>
    <font>
      <name val="Times New Roman"/>
      <b val="1"/>
      <sz val="10"/>
    </font>
    <font>
      <name val="Times New Roman"/>
      <b val="1"/>
      <color rgb="00C00000"/>
      <sz val="11"/>
    </font>
    <font>
      <name val="Times New Roman"/>
      <b val="1"/>
      <color rgb="001B365D"/>
      <sz val="13"/>
    </font>
    <font>
      <name val="Times New Roman"/>
      <i val="1"/>
      <sz val="10"/>
    </font>
    <font>
      <name val="Times New Roman"/>
      <b val="1"/>
      <color rgb="00FFFFFF"/>
      <sz val="10"/>
    </font>
    <font>
      <name val="Times New Roman"/>
      <sz val="9.5"/>
    </font>
    <font>
      <name val="Times New Roman"/>
      <b val="1"/>
      <color rgb="00FFFFFF"/>
      <sz val="9"/>
    </font>
    <font>
      <name val="Times New Roman"/>
      <b val="1"/>
      <color rgb="00FFFFFF"/>
      <sz val="7.5"/>
    </font>
    <font>
      <name val="Times New Roman"/>
      <b val="1"/>
      <color rgb="00FFFFFF"/>
      <sz val="8"/>
    </font>
    <font>
      <name val="Times New Roman"/>
      <b val="1"/>
      <color rgb="00C00000"/>
      <sz val="8.5"/>
    </font>
    <font>
      <name val="Times New Roman"/>
      <sz val="9"/>
    </font>
    <font>
      <name val="Times New Roman"/>
      <b val="1"/>
      <color rgb="001B365D"/>
      <sz val="8"/>
    </font>
    <font>
      <name val="Times New Roman"/>
      <b val="1"/>
      <color rgb="00FFFFFF"/>
      <sz val="9.5"/>
    </font>
    <font>
      <name val="Times New Roman"/>
      <b val="1"/>
      <color rgb="001B365D"/>
      <sz val="8.5"/>
    </font>
    <font>
      <name val="Times New Roman"/>
      <b val="1"/>
      <color rgb="00002060"/>
      <sz val="8.5"/>
    </font>
    <font>
      <name val="Times New Roman"/>
      <color rgb="00FFFFFF"/>
      <sz val="8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B365D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1" pivotButton="0" quotePrefix="0" xfId="0"/>
    <xf numFmtId="165" fontId="5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166" fontId="12" fillId="0" borderId="1" applyAlignment="1" pivotButton="0" quotePrefix="0" xfId="0">
      <alignment horizontal="right" vertical="center"/>
    </xf>
    <xf numFmtId="3" fontId="12" fillId="0" borderId="1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167" fontId="15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/>
    </xf>
    <xf numFmtId="0" fontId="17" fillId="0" borderId="1" pivotButton="0" quotePrefix="0" xfId="0"/>
    <xf numFmtId="166" fontId="17" fillId="0" borderId="1" pivotButton="0" quotePrefix="0" xfId="0"/>
    <xf numFmtId="3" fontId="17" fillId="0" borderId="1" pivotButton="0" quotePrefix="0" xfId="0"/>
    <xf numFmtId="165" fontId="17" fillId="0" borderId="1" applyAlignment="1" pivotButton="0" quotePrefix="0" xfId="0">
      <alignment horizontal="center"/>
    </xf>
    <xf numFmtId="3" fontId="17" fillId="0" borderId="1" applyAlignment="1" pivotButton="0" quotePrefix="0" xfId="0">
      <alignment horizontal="center"/>
    </xf>
    <xf numFmtId="0" fontId="18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19" fillId="2" borderId="0" pivotButton="0" quotePrefix="0" xfId="0"/>
    <xf numFmtId="3" fontId="20" fillId="3" borderId="2" applyAlignment="1" pivotButton="0" quotePrefix="0" xfId="0">
      <alignment horizontal="center" vertical="center"/>
    </xf>
    <xf numFmtId="0" fontId="0" fillId="4" borderId="0" pivotButton="0" quotePrefix="0" xfId="0"/>
    <xf numFmtId="0" fontId="19" fillId="4" borderId="0" pivotButton="0" quotePrefix="0" xfId="0"/>
    <xf numFmtId="3" fontId="21" fillId="5" borderId="2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/>
    </xf>
    <xf numFmtId="0" fontId="7" fillId="6" borderId="3" pivotButton="0" quotePrefix="0" xfId="0"/>
    <xf numFmtId="166" fontId="7" fillId="6" borderId="3" pivotButton="0" quotePrefix="0" xfId="0"/>
    <xf numFmtId="3" fontId="7" fillId="6" borderId="3" pivotButton="0" quotePrefix="0" xfId="0"/>
    <xf numFmtId="0" fontId="22" fillId="0" borderId="0" pivotButton="0" quotePrefix="0" xfId="0"/>
    <xf numFmtId="0" fontId="19" fillId="2" borderId="0" applyAlignment="1" pivotButton="0" quotePrefix="0" xfId="0">
      <alignment horizontal="center" vertical="center"/>
    </xf>
    <xf numFmtId="168" fontId="17" fillId="0" borderId="1" pivotButton="0" quotePrefix="0" xfId="0"/>
    <xf numFmtId="168" fontId="7" fillId="6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ĐƯỜNG CONG PHỤ TẢI MÁY MÓC &amp; NHÂN CÔNG HUY ĐỘNG THEO NGÀY</a:t>
            </a:r>
          </a:p>
        </rich>
      </tx>
    </title>
    <plotArea>
      <lineChart>
        <grouping val="standard"/>
        <ser>
          <idx val="0"/>
          <order val="0"/>
          <tx>
            <v>Tổng số máy móc/ngày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'03_TIEN_DO_GANTT_CPM'!$O$4:$DG$4</f>
            </numRef>
          </cat>
          <val>
            <numRef>
              <f>'03_TIEN_DO_GANTT_CPM'!$O$21:$DG$21</f>
            </numRef>
          </val>
        </ser>
        <ser>
          <idx val="1"/>
          <order val="1"/>
          <tx>
            <v>Tổng nhân công/ngày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'03_TIEN_DO_GANTT_CPM'!$O$4:$DG$4</f>
            </numRef>
          </cat>
          <val>
            <numRef>
              <f>'03_TIEN_DO_GANTT_CPM'!$O$22:$DG$22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Dòng thời gian (97 ngày lịch)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Số lượng (Máy &amp; Người)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KẾ HOẠCH CẤP PHÁT NHIÊN LIỆU DẦU DIESEL THEO 4 THÁNG (LÍT)</a:t>
            </a:r>
          </a:p>
        </rich>
      </tx>
    </title>
    <plotArea>
      <barChart>
        <barDir val="col"/>
        <grouping val="clustered"/>
        <ser>
          <idx val="0"/>
          <order val="0"/>
          <tx>
            <v>Lượng dầu Diesel (Lít)</v>
          </tx>
          <spPr>
            <a:ln xmlns:a="http://schemas.openxmlformats.org/drawingml/2006/main">
              <a:prstDash val="solid"/>
            </a:ln>
          </spPr>
          <cat>
            <numRef>
              <f>'04_TONG_HOP_CA_MAY_VA_DAU'!$I$16:$L$16</f>
            </numRef>
          </cat>
          <val>
            <numRef>
              <f>'04_TONG_HOP_CA_MAY_VA_DAU'!$I$14:$L$14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Kỳ thi công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Tổng lượng dầu Diesel (Lít)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CƠ CẤU KHỐI LƯỢNG VẬT TƯ CHÍNH CỤM B9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'05_NHU_CAU_VAT_TU_CHINH'!F4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'05_NHU_CAU_VAT_TU_CHINH'!$D$5:$D$12</f>
            </numRef>
          </cat>
          <val>
            <numRef>
              <f>'05_NHU_CAU_VAT_TU_CHINH'!$F$5:$F$12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Khối lượng nhu cầu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Quy cách vật tư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SO SÁNH SỐ LƯỢNG THIẾT BỊ: ĐỊNH MỨC VS THỰC TẾ (CHIẾC)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'06_SO_SANH_DINH_MUC_VS_THUC_TE'!E5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'06_SO_SANH_DINH_MUC_VS_THUC_TE'!$D$6:$D$13</f>
            </numRef>
          </cat>
          <val>
            <numRef>
              <f>'06_SO_SANH_DINH_MUC_VS_THUC_TE'!$E$6:$E$13</f>
            </numRef>
          </val>
        </ser>
        <ser>
          <idx val="1"/>
          <order val="1"/>
          <tx>
            <strRef>
              <f>'06_SO_SANH_DINH_MUC_VS_THUC_TE'!F5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'06_SO_SANH_DINH_MUC_VS_THUC_TE'!$D$6:$D$13</f>
            </numRef>
          </cat>
          <val>
            <numRef>
              <f>'06_SO_SANH_DINH_MUC_VS_THUC_TE'!$F$6:$F$13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Chủng loại thiết bị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Số lượng máy huy động (Chiếc)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24</row>
      <rowOff>0</rowOff>
    </from>
    <ext cx="108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3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3"/>
  <sheetViews>
    <sheetView showGridLines="1" workbookViewId="0">
      <selection activeCell="A1" sqref="A1"/>
    </sheetView>
  </sheetViews>
  <sheetFormatPr baseColWidth="8" defaultRowHeight="15"/>
  <cols>
    <col width="40" customWidth="1" min="2" max="2"/>
    <col width="28" customWidth="1" min="3" max="3"/>
    <col width="85" customWidth="1" min="4" max="4"/>
  </cols>
  <sheetData>
    <row r="2">
      <c r="B2" s="1" t="inlineStr">
        <is>
          <t>DỰ ÁN: SÂN VẬN ĐỘNG OLYMPIC - THƯỜNG TÍN (HÀ NỘI)</t>
        </is>
      </c>
    </row>
    <row r="3">
      <c r="B3" s="2" t="inlineStr">
        <is>
          <t>HẠNG MỤC: HẠ TẦNG KỸ THUẬT THI CÔNG SAN LẤP CỤM B9 VÀ ĐƯỜNG NỘI BỘ</t>
        </is>
      </c>
    </row>
    <row r="4">
      <c r="B4" s="3" t="inlineStr">
        <is>
          <t>BẢNG THIẾT LẬP THÔNG SỐ ĐIỀU HÀNH TIẾN ĐỘ &amp; CA MÁY (100% CÔNG THỨC SỐNG)</t>
        </is>
      </c>
    </row>
    <row r="5">
      <c r="B5" s="4" t="inlineStr">
        <is>
          <t>Thông số quản trị dự án</t>
        </is>
      </c>
      <c r="C5" s="4" t="inlineStr">
        <is>
          <t>Giá trị thiết lập</t>
        </is>
      </c>
      <c r="D5" s="4" t="inlineStr">
        <is>
          <t>Ghi chú kỹ thuật &amp; Cơ chế liên kết động</t>
        </is>
      </c>
    </row>
    <row r="6">
      <c r="B6" s="5" t="inlineStr">
        <is>
          <t>Ngày phát lệnh khởi công (Bắt đầu)</t>
        </is>
      </c>
      <c r="C6" s="6" t="n">
        <v>46245</v>
      </c>
      <c r="D6" s="5" t="inlineStr">
        <is>
          <t>Input gốc: Đổi ngày này, toàn bộ 14 công tác và 97 cột Gantt tự động nhảy theo!</t>
        </is>
      </c>
    </row>
    <row r="7">
      <c r="B7" s="5" t="inlineStr">
        <is>
          <t>Ngày hoàn thành mục tiêu (Deadline)</t>
        </is>
      </c>
      <c r="C7" s="7">
        <f>MAX('03_TIEN_DO_GANTT_CPM'!$K$6:$K$19)</f>
        <v/>
      </c>
      <c r="D7" s="5" t="inlineStr">
        <is>
          <t>Công thức: MAX('03_TIEN_DO_GANTT_CPM'!$K$6:$K$19) — Tự động cập nhật theo công tác kết thúc muộn nhất</t>
        </is>
      </c>
    </row>
    <row r="8">
      <c r="B8" s="5" t="inlineStr">
        <is>
          <t>Tổng thời gian thi công (Ngày)</t>
        </is>
      </c>
      <c r="C8" s="8">
        <f>C7-C6+1</f>
        <v/>
      </c>
      <c r="D8" s="5" t="inlineStr">
        <is>
          <t>Công thức: C7-C6+1 — Tự động tính số ngày lịch liên tục</t>
        </is>
      </c>
    </row>
    <row r="9">
      <c r="B9" s="5" t="inlineStr">
        <is>
          <t>Chế độ làm việc công trường (Ca/ngày)</t>
        </is>
      </c>
      <c r="C9" s="9" t="n">
        <v>2</v>
      </c>
      <c r="D9" s="5" t="inlineStr">
        <is>
          <t>2 ca/ngày (10 giờ/ca = 20 giờ làm việc/ngày)</t>
        </is>
      </c>
    </row>
    <row r="10">
      <c r="B10" s="5" t="inlineStr">
        <is>
          <t>Hệ số ca máy (HSTCA)</t>
        </is>
      </c>
      <c r="C10" s="9">
        <f>C9</f>
        <v/>
      </c>
      <c r="D10" s="5" t="inlineStr">
        <is>
          <t>Công thức: C9 — Tự động lấy theo chế độ ca làm việc</t>
        </is>
      </c>
    </row>
    <row r="11">
      <c r="B11" s="5" t="inlineStr">
        <is>
          <t>Công tắc hiển thị biểu đồ Gantt</t>
        </is>
      </c>
      <c r="C11" s="10" t="n">
        <v>1</v>
      </c>
      <c r="D11" s="5" t="inlineStr">
        <is>
          <t>Nhập 1 = Thanh Gantt (█) | Nhập 2 = Nhân công (người) | Nhập 3 = Ca máy (máy)</t>
        </is>
      </c>
    </row>
    <row r="12">
      <c r="B12" s="5" t="inlineStr">
        <is>
          <t>Tiêu chuẩn kỹ thuật áp dụng</t>
        </is>
      </c>
      <c r="C12" s="11" t="inlineStr">
        <is>
          <t>TCVN 9436:2012 / TCVN 8819:2011</t>
        </is>
      </c>
      <c r="D12" s="5" t="inlineStr">
        <is>
          <t>Thi công &amp; nghiệm thu nền đường, móng mặt đường</t>
        </is>
      </c>
    </row>
    <row r="13">
      <c r="B13" s="5" t="inlineStr">
        <is>
          <t>Định mức thi công tham chiếu</t>
        </is>
      </c>
      <c r="C13" s="11" t="inlineStr">
        <is>
          <t>Định mức Vincons &amp; TT 38/2026/TT-BXD</t>
        </is>
      </c>
      <c r="D13" s="5" t="inlineStr">
        <is>
          <t>Định mức dự toán &amp; ca máy xây dựng công trình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6"/>
  <sheetViews>
    <sheetView showGridLines="1" workbookViewId="0">
      <selection activeCell="A1" sqref="A1"/>
    </sheetView>
  </sheetViews>
  <sheetFormatPr baseColWidth="8" defaultRowHeight="15"/>
  <cols>
    <col width="6" customWidth="1" min="2" max="2"/>
    <col width="12" customWidth="1" min="3" max="3"/>
    <col width="38" customWidth="1" min="4" max="4"/>
    <col width="16" customWidth="1" min="5" max="5"/>
    <col width="24" customWidth="1" min="6" max="6"/>
    <col width="24" customWidth="1" min="7" max="7"/>
    <col width="24" customWidth="1" min="8" max="8"/>
  </cols>
  <sheetData>
    <row r="2">
      <c r="B2" s="12" t="inlineStr">
        <is>
          <t>HỆ THỐNG ĐỊNH MỨC NĂNG SUẤT CA MÁY &amp; TIÊU HAO NHIÊN LIỆU (VINCONS_ĐMGK_02-01)</t>
        </is>
      </c>
    </row>
    <row r="3">
      <c r="B3" s="13" t="inlineStr">
        <is>
          <t>Bảng dữ liệu gốc phục vụ tra cứu tự động qua hàm VLOOKUP cho toàn bộ hệ thống</t>
        </is>
      </c>
    </row>
    <row r="5">
      <c r="B5" s="14" t="inlineStr">
        <is>
          <t>STT</t>
        </is>
      </c>
      <c r="C5" s="14" t="inlineStr">
        <is>
          <t>Mã máy</t>
        </is>
      </c>
      <c r="D5" s="14" t="inlineStr">
        <is>
          <t>Tên phương tiện / Thiết bị</t>
        </is>
      </c>
      <c r="E5" s="14" t="inlineStr">
        <is>
          <t>ĐVT năng suất</t>
        </is>
      </c>
      <c r="F5" s="14" t="inlineStr">
        <is>
          <t>Năng suất Vincons (ĐVT/ca)</t>
        </is>
      </c>
      <c r="G5" s="14" t="inlineStr">
        <is>
          <t>Định mức dầu Diesel (Lít/ca)</t>
        </is>
      </c>
      <c r="H5" s="14" t="inlineStr">
        <is>
          <t>Số nhân công đi kèm (Người/ca)</t>
        </is>
      </c>
    </row>
    <row r="6">
      <c r="B6" s="15" t="n">
        <v>1</v>
      </c>
      <c r="C6" s="15" t="inlineStr">
        <is>
          <t>M1</t>
        </is>
      </c>
      <c r="D6" s="16" t="inlineStr">
        <is>
          <t>Máy xúc bánh xích PC200 - PC300</t>
        </is>
      </c>
      <c r="E6" s="15" t="inlineStr">
        <is>
          <t>m3</t>
        </is>
      </c>
      <c r="F6" s="17" t="n">
        <v>401.07</v>
      </c>
      <c r="G6" s="17" t="n">
        <v>89.59999999999999</v>
      </c>
      <c r="H6" s="18" t="n">
        <v>2</v>
      </c>
    </row>
    <row r="7">
      <c r="B7" s="15" t="n">
        <v>2</v>
      </c>
      <c r="C7" s="15" t="inlineStr">
        <is>
          <t>M3</t>
        </is>
      </c>
      <c r="D7" s="16" t="inlineStr">
        <is>
          <t>Máy ủi D3 - D5</t>
        </is>
      </c>
      <c r="E7" s="15" t="inlineStr">
        <is>
          <t>m3</t>
        </is>
      </c>
      <c r="F7" s="17" t="n">
        <v>350</v>
      </c>
      <c r="G7" s="17" t="n">
        <v>124</v>
      </c>
      <c r="H7" s="18" t="n">
        <v>2</v>
      </c>
    </row>
    <row r="8">
      <c r="B8" s="15" t="n">
        <v>3</v>
      </c>
      <c r="C8" s="15" t="inlineStr">
        <is>
          <t>M4</t>
        </is>
      </c>
      <c r="D8" s="16" t="inlineStr">
        <is>
          <t>Máy ủi công suất lớn CS 230CV</t>
        </is>
      </c>
      <c r="E8" s="15" t="inlineStr">
        <is>
          <t>m3</t>
        </is>
      </c>
      <c r="F8" s="17" t="n">
        <v>550</v>
      </c>
      <c r="G8" s="17" t="n">
        <v>155</v>
      </c>
      <c r="H8" s="18" t="n">
        <v>2</v>
      </c>
    </row>
    <row r="9">
      <c r="B9" s="15" t="n">
        <v>4</v>
      </c>
      <c r="C9" s="15" t="inlineStr">
        <is>
          <t>M5</t>
        </is>
      </c>
      <c r="D9" s="16" t="inlineStr">
        <is>
          <t>Máy lu rung 12T - 16T</t>
        </is>
      </c>
      <c r="E9" s="15" t="inlineStr">
        <is>
          <t>m3</t>
        </is>
      </c>
      <c r="F9" s="17" t="n">
        <v>380</v>
      </c>
      <c r="G9" s="17" t="n">
        <v>95</v>
      </c>
      <c r="H9" s="18" t="n">
        <v>2</v>
      </c>
    </row>
    <row r="10">
      <c r="B10" s="15" t="n">
        <v>5</v>
      </c>
      <c r="C10" s="15" t="inlineStr">
        <is>
          <t>M6</t>
        </is>
      </c>
      <c r="D10" s="16" t="inlineStr">
        <is>
          <t>Máy san tự hành 110CV</t>
        </is>
      </c>
      <c r="E10" s="15" t="inlineStr">
        <is>
          <t>m3</t>
        </is>
      </c>
      <c r="F10" s="17" t="n">
        <v>420</v>
      </c>
      <c r="G10" s="17" t="n">
        <v>110</v>
      </c>
      <c r="H10" s="18" t="n">
        <v>2</v>
      </c>
    </row>
    <row r="11">
      <c r="B11" s="15" t="n">
        <v>6</v>
      </c>
      <c r="C11" s="15" t="inlineStr">
        <is>
          <t>M7</t>
        </is>
      </c>
      <c r="D11" s="16" t="inlineStr">
        <is>
          <t>Ô tô tự đổ 18 tấn</t>
        </is>
      </c>
      <c r="E11" s="15" t="inlineStr">
        <is>
          <t>m3</t>
        </is>
      </c>
      <c r="F11" s="17" t="n">
        <v>160</v>
      </c>
      <c r="G11" s="17" t="n">
        <v>78</v>
      </c>
      <c r="H11" s="18" t="n">
        <v>1</v>
      </c>
    </row>
    <row r="12">
      <c r="B12" s="15" t="n">
        <v>7</v>
      </c>
      <c r="C12" s="15" t="inlineStr">
        <is>
          <t>M8</t>
        </is>
      </c>
      <c r="D12" s="16" t="inlineStr">
        <is>
          <t>Máy xúc bánh lốp PC140</t>
        </is>
      </c>
      <c r="E12" s="15" t="inlineStr">
        <is>
          <t>m/ca</t>
        </is>
      </c>
      <c r="F12" s="17" t="n">
        <v>120</v>
      </c>
      <c r="G12" s="17" t="n">
        <v>65</v>
      </c>
      <c r="H12" s="18" t="n">
        <v>3</v>
      </c>
    </row>
    <row r="13">
      <c r="B13" s="15" t="n">
        <v>8</v>
      </c>
      <c r="C13" s="15" t="inlineStr">
        <is>
          <t>M9</t>
        </is>
      </c>
      <c r="D13" s="16" t="inlineStr">
        <is>
          <t>Máy rải bê tông nhựa chuyên dụng</t>
        </is>
      </c>
      <c r="E13" s="15" t="inlineStr">
        <is>
          <t>m2</t>
        </is>
      </c>
      <c r="F13" s="17" t="n">
        <v>1500</v>
      </c>
      <c r="G13" s="17" t="n">
        <v>140</v>
      </c>
      <c r="H13" s="18" t="n">
        <v>6</v>
      </c>
    </row>
    <row r="14">
      <c r="B14" s="15" t="n">
        <v>9</v>
      </c>
      <c r="C14" s="15" t="inlineStr">
        <is>
          <t>M10</t>
        </is>
      </c>
      <c r="D14" s="16" t="inlineStr">
        <is>
          <t>Máy lu lốp tĩnh 16 tấn</t>
        </is>
      </c>
      <c r="E14" s="15" t="inlineStr">
        <is>
          <t>m2</t>
        </is>
      </c>
      <c r="F14" s="17" t="n">
        <v>1800</v>
      </c>
      <c r="G14" s="17" t="n">
        <v>85</v>
      </c>
      <c r="H14" s="18" t="n">
        <v>2</v>
      </c>
    </row>
    <row r="15">
      <c r="B15" s="15" t="n">
        <v>10</v>
      </c>
      <c r="C15" s="15" t="inlineStr">
        <is>
          <t>M11</t>
        </is>
      </c>
      <c r="D15" s="16" t="inlineStr">
        <is>
          <t>Máy tưới nhũ tương đường bộ</t>
        </is>
      </c>
      <c r="E15" s="15" t="inlineStr">
        <is>
          <t>m2</t>
        </is>
      </c>
      <c r="F15" s="17" t="n">
        <v>3000</v>
      </c>
      <c r="G15" s="17" t="n">
        <v>45</v>
      </c>
      <c r="H15" s="18" t="n">
        <v>2</v>
      </c>
    </row>
    <row r="16">
      <c r="B16" s="15" t="n">
        <v>11</v>
      </c>
      <c r="C16" s="15" t="inlineStr">
        <is>
          <t>MP1</t>
        </is>
      </c>
      <c r="D16" s="16" t="inlineStr">
        <is>
          <t>Xe téc &amp; Xe cấp dầu hiện trường</t>
        </is>
      </c>
      <c r="E16" s="15" t="inlineStr">
        <is>
          <t>xe/ca</t>
        </is>
      </c>
      <c r="F16" s="17" t="n">
        <v>1</v>
      </c>
      <c r="G16" s="17" t="n">
        <v>50</v>
      </c>
      <c r="H16" s="1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G22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44" customWidth="1" min="3" max="3"/>
    <col width="8" customWidth="1" min="4" max="4"/>
    <col width="14" customWidth="1" min="5" max="5"/>
    <col width="9" customWidth="1" min="6" max="6"/>
    <col width="14" customWidth="1" min="7" max="7"/>
    <col width="14" customWidth="1" min="8" max="8"/>
    <col width="10" customWidth="1" min="9" max="9"/>
    <col width="13" customWidth="1" min="10" max="10"/>
    <col width="13" customWidth="1" min="11" max="11"/>
    <col width="12" customWidth="1" min="12" max="12"/>
    <col width="12" customWidth="1" min="13" max="13"/>
    <col width="13" customWidth="1" min="14" max="14"/>
    <col width="4.8" customWidth="1" min="15" max="15"/>
    <col width="4.8" customWidth="1" min="16" max="16"/>
    <col width="4.8" customWidth="1" min="17" max="17"/>
    <col width="4.8" customWidth="1" min="18" max="18"/>
    <col width="4.8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  <col width="4.8" customWidth="1" min="27" max="27"/>
    <col width="4.8" customWidth="1" min="28" max="28"/>
    <col width="4.8" customWidth="1" min="29" max="29"/>
    <col width="4.8" customWidth="1" min="30" max="30"/>
    <col width="4.8" customWidth="1" min="31" max="31"/>
    <col width="4.8" customWidth="1" min="32" max="32"/>
    <col width="4.8" customWidth="1" min="33" max="33"/>
    <col width="4.8" customWidth="1" min="34" max="34"/>
    <col width="4.8" customWidth="1" min="35" max="35"/>
    <col width="4.8" customWidth="1" min="36" max="36"/>
    <col width="4.8" customWidth="1" min="37" max="37"/>
    <col width="4.8" customWidth="1" min="38" max="38"/>
    <col width="4.8" customWidth="1" min="39" max="39"/>
    <col width="4.8" customWidth="1" min="40" max="40"/>
    <col width="4.8" customWidth="1" min="41" max="41"/>
    <col width="4.8" customWidth="1" min="42" max="42"/>
    <col width="4.8" customWidth="1" min="43" max="43"/>
    <col width="4.8" customWidth="1" min="44" max="44"/>
    <col width="4.8" customWidth="1" min="45" max="45"/>
    <col width="4.8" customWidth="1" min="46" max="46"/>
    <col width="4.8" customWidth="1" min="47" max="47"/>
    <col width="4.8" customWidth="1" min="48" max="48"/>
    <col width="4.8" customWidth="1" min="49" max="49"/>
    <col width="4.8" customWidth="1" min="50" max="50"/>
    <col width="4.8" customWidth="1" min="51" max="51"/>
    <col width="4.8" customWidth="1" min="52" max="52"/>
    <col width="4.8" customWidth="1" min="53" max="53"/>
    <col width="4.8" customWidth="1" min="54" max="54"/>
    <col width="4.8" customWidth="1" min="55" max="55"/>
    <col width="4.8" customWidth="1" min="56" max="56"/>
    <col width="4.8" customWidth="1" min="57" max="57"/>
    <col width="4.8" customWidth="1" min="58" max="58"/>
    <col width="4.8" customWidth="1" min="59" max="59"/>
    <col width="4.8" customWidth="1" min="60" max="60"/>
    <col width="4.8" customWidth="1" min="61" max="61"/>
    <col width="4.8" customWidth="1" min="62" max="62"/>
    <col width="4.8" customWidth="1" min="63" max="63"/>
    <col width="4.8" customWidth="1" min="64" max="64"/>
    <col width="4.8" customWidth="1" min="65" max="65"/>
    <col width="4.8" customWidth="1" min="66" max="66"/>
    <col width="4.8" customWidth="1" min="67" max="67"/>
    <col width="4.8" customWidth="1" min="68" max="68"/>
    <col width="4.8" customWidth="1" min="69" max="69"/>
    <col width="4.8" customWidth="1" min="70" max="70"/>
    <col width="4.8" customWidth="1" min="71" max="71"/>
    <col width="4.8" customWidth="1" min="72" max="72"/>
    <col width="4.8" customWidth="1" min="73" max="73"/>
    <col width="4.8" customWidth="1" min="74" max="74"/>
    <col width="4.8" customWidth="1" min="75" max="75"/>
    <col width="4.8" customWidth="1" min="76" max="76"/>
    <col width="4.8" customWidth="1" min="77" max="77"/>
    <col width="4.8" customWidth="1" min="78" max="78"/>
    <col width="4.8" customWidth="1" min="79" max="79"/>
    <col width="4.8" customWidth="1" min="80" max="80"/>
    <col width="4.8" customWidth="1" min="81" max="81"/>
    <col width="4.8" customWidth="1" min="82" max="82"/>
    <col width="4.8" customWidth="1" min="83" max="83"/>
    <col width="4.8" customWidth="1" min="84" max="84"/>
    <col width="4.8" customWidth="1" min="85" max="85"/>
    <col width="4.8" customWidth="1" min="86" max="86"/>
    <col width="4.8" customWidth="1" min="87" max="87"/>
    <col width="4.8" customWidth="1" min="88" max="88"/>
    <col width="4.8" customWidth="1" min="89" max="89"/>
    <col width="4.8" customWidth="1" min="90" max="90"/>
    <col width="4.8" customWidth="1" min="91" max="91"/>
    <col width="4.8" customWidth="1" min="92" max="92"/>
    <col width="4.8" customWidth="1" min="93" max="93"/>
    <col width="4.8" customWidth="1" min="94" max="94"/>
    <col width="4.8" customWidth="1" min="95" max="95"/>
    <col width="4.8" customWidth="1" min="96" max="96"/>
    <col width="4.8" customWidth="1" min="97" max="97"/>
    <col width="4.8" customWidth="1" min="98" max="98"/>
    <col width="4.8" customWidth="1" min="99" max="99"/>
    <col width="4.8" customWidth="1" min="100" max="100"/>
    <col width="4.8" customWidth="1" min="101" max="101"/>
    <col width="4.8" customWidth="1" min="102" max="102"/>
    <col width="4.8" customWidth="1" min="103" max="103"/>
    <col width="4.8" customWidth="1" min="104" max="104"/>
    <col width="4.8" customWidth="1" min="105" max="105"/>
    <col width="4.8" customWidth="1" min="106" max="106"/>
    <col width="4.8" customWidth="1" min="107" max="107"/>
    <col width="4.8" customWidth="1" min="108" max="108"/>
    <col width="4.8" customWidth="1" min="109" max="109"/>
    <col width="4.8" customWidth="1" min="110" max="110"/>
    <col width="4.8" customWidth="1" min="111" max="111"/>
  </cols>
  <sheetData>
    <row r="2">
      <c r="B2" s="12" t="inlineStr">
        <is>
          <t>TIẾN ĐỘ THI CÔNG CHI TIẾT &amp; ĐIỀU PHỐI CA MÁY THEO ĐƯỜNG GĂNG (CPM GANTT)</t>
        </is>
      </c>
    </row>
    <row r="3">
      <c r="B3" s="13" t="inlineStr">
        <is>
          <t>100% Công thức động: Thay đổi thông số ở Sheet 01, toàn bộ bảng tiến độ tự động tái cân bằng</t>
        </is>
      </c>
      <c r="O3" s="19">
        <f>MONTH(O$4)</f>
        <v/>
      </c>
      <c r="P3" s="19">
        <f>MONTH(P$4)</f>
        <v/>
      </c>
      <c r="Q3" s="19">
        <f>MONTH(Q$4)</f>
        <v/>
      </c>
      <c r="R3" s="19">
        <f>MONTH(R$4)</f>
        <v/>
      </c>
      <c r="S3" s="19">
        <f>MONTH(S$4)</f>
        <v/>
      </c>
      <c r="T3" s="19">
        <f>MONTH(T$4)</f>
        <v/>
      </c>
      <c r="U3" s="19">
        <f>MONTH(U$4)</f>
        <v/>
      </c>
      <c r="V3" s="19">
        <f>MONTH(V$4)</f>
        <v/>
      </c>
      <c r="W3" s="19">
        <f>MONTH(W$4)</f>
        <v/>
      </c>
      <c r="X3" s="19">
        <f>MONTH(X$4)</f>
        <v/>
      </c>
      <c r="Y3" s="19">
        <f>MONTH(Y$4)</f>
        <v/>
      </c>
      <c r="Z3" s="19">
        <f>MONTH(Z$4)</f>
        <v/>
      </c>
      <c r="AA3" s="19">
        <f>MONTH(AA$4)</f>
        <v/>
      </c>
      <c r="AB3" s="19">
        <f>MONTH(AB$4)</f>
        <v/>
      </c>
      <c r="AC3" s="19">
        <f>MONTH(AC$4)</f>
        <v/>
      </c>
      <c r="AD3" s="19">
        <f>MONTH(AD$4)</f>
        <v/>
      </c>
      <c r="AE3" s="19">
        <f>MONTH(AE$4)</f>
        <v/>
      </c>
      <c r="AF3" s="19">
        <f>MONTH(AF$4)</f>
        <v/>
      </c>
      <c r="AG3" s="19">
        <f>MONTH(AG$4)</f>
        <v/>
      </c>
      <c r="AH3" s="19">
        <f>MONTH(AH$4)</f>
        <v/>
      </c>
      <c r="AI3" s="19">
        <f>MONTH(AI$4)</f>
        <v/>
      </c>
      <c r="AJ3" s="19">
        <f>MONTH(AJ$4)</f>
        <v/>
      </c>
      <c r="AK3" s="19">
        <f>MONTH(AK$4)</f>
        <v/>
      </c>
      <c r="AL3" s="19">
        <f>MONTH(AL$4)</f>
        <v/>
      </c>
      <c r="AM3" s="19">
        <f>MONTH(AM$4)</f>
        <v/>
      </c>
      <c r="AN3" s="19">
        <f>MONTH(AN$4)</f>
        <v/>
      </c>
      <c r="AO3" s="19">
        <f>MONTH(AO$4)</f>
        <v/>
      </c>
      <c r="AP3" s="19">
        <f>MONTH(AP$4)</f>
        <v/>
      </c>
      <c r="AQ3" s="19">
        <f>MONTH(AQ$4)</f>
        <v/>
      </c>
      <c r="AR3" s="19">
        <f>MONTH(AR$4)</f>
        <v/>
      </c>
      <c r="AS3" s="19">
        <f>MONTH(AS$4)</f>
        <v/>
      </c>
      <c r="AT3" s="19">
        <f>MONTH(AT$4)</f>
        <v/>
      </c>
      <c r="AU3" s="19">
        <f>MONTH(AU$4)</f>
        <v/>
      </c>
      <c r="AV3" s="19">
        <f>MONTH(AV$4)</f>
        <v/>
      </c>
      <c r="AW3" s="19">
        <f>MONTH(AW$4)</f>
        <v/>
      </c>
      <c r="AX3" s="19">
        <f>MONTH(AX$4)</f>
        <v/>
      </c>
      <c r="AY3" s="19">
        <f>MONTH(AY$4)</f>
        <v/>
      </c>
      <c r="AZ3" s="19">
        <f>MONTH(AZ$4)</f>
        <v/>
      </c>
      <c r="BA3" s="19">
        <f>MONTH(BA$4)</f>
        <v/>
      </c>
      <c r="BB3" s="19">
        <f>MONTH(BB$4)</f>
        <v/>
      </c>
      <c r="BC3" s="19">
        <f>MONTH(BC$4)</f>
        <v/>
      </c>
      <c r="BD3" s="19">
        <f>MONTH(BD$4)</f>
        <v/>
      </c>
      <c r="BE3" s="19">
        <f>MONTH(BE$4)</f>
        <v/>
      </c>
      <c r="BF3" s="19">
        <f>MONTH(BF$4)</f>
        <v/>
      </c>
      <c r="BG3" s="19">
        <f>MONTH(BG$4)</f>
        <v/>
      </c>
      <c r="BH3" s="19">
        <f>MONTH(BH$4)</f>
        <v/>
      </c>
      <c r="BI3" s="19">
        <f>MONTH(BI$4)</f>
        <v/>
      </c>
      <c r="BJ3" s="19">
        <f>MONTH(BJ$4)</f>
        <v/>
      </c>
      <c r="BK3" s="19">
        <f>MONTH(BK$4)</f>
        <v/>
      </c>
      <c r="BL3" s="19">
        <f>MONTH(BL$4)</f>
        <v/>
      </c>
      <c r="BM3" s="19">
        <f>MONTH(BM$4)</f>
        <v/>
      </c>
      <c r="BN3" s="19">
        <f>MONTH(BN$4)</f>
        <v/>
      </c>
      <c r="BO3" s="19">
        <f>MONTH(BO$4)</f>
        <v/>
      </c>
      <c r="BP3" s="19">
        <f>MONTH(BP$4)</f>
        <v/>
      </c>
      <c r="BQ3" s="19">
        <f>MONTH(BQ$4)</f>
        <v/>
      </c>
      <c r="BR3" s="19">
        <f>MONTH(BR$4)</f>
        <v/>
      </c>
      <c r="BS3" s="19">
        <f>MONTH(BS$4)</f>
        <v/>
      </c>
      <c r="BT3" s="19">
        <f>MONTH(BT$4)</f>
        <v/>
      </c>
      <c r="BU3" s="19">
        <f>MONTH(BU$4)</f>
        <v/>
      </c>
      <c r="BV3" s="19">
        <f>MONTH(BV$4)</f>
        <v/>
      </c>
      <c r="BW3" s="19">
        <f>MONTH(BW$4)</f>
        <v/>
      </c>
      <c r="BX3" s="19">
        <f>MONTH(BX$4)</f>
        <v/>
      </c>
      <c r="BY3" s="19">
        <f>MONTH(BY$4)</f>
        <v/>
      </c>
      <c r="BZ3" s="19">
        <f>MONTH(BZ$4)</f>
        <v/>
      </c>
      <c r="CA3" s="19">
        <f>MONTH(CA$4)</f>
        <v/>
      </c>
      <c r="CB3" s="19">
        <f>MONTH(CB$4)</f>
        <v/>
      </c>
      <c r="CC3" s="19">
        <f>MONTH(CC$4)</f>
        <v/>
      </c>
      <c r="CD3" s="19">
        <f>MONTH(CD$4)</f>
        <v/>
      </c>
      <c r="CE3" s="19">
        <f>MONTH(CE$4)</f>
        <v/>
      </c>
      <c r="CF3" s="19">
        <f>MONTH(CF$4)</f>
        <v/>
      </c>
      <c r="CG3" s="19">
        <f>MONTH(CG$4)</f>
        <v/>
      </c>
      <c r="CH3" s="19">
        <f>MONTH(CH$4)</f>
        <v/>
      </c>
      <c r="CI3" s="19">
        <f>MONTH(CI$4)</f>
        <v/>
      </c>
      <c r="CJ3" s="19">
        <f>MONTH(CJ$4)</f>
        <v/>
      </c>
      <c r="CK3" s="19">
        <f>MONTH(CK$4)</f>
        <v/>
      </c>
      <c r="CL3" s="19">
        <f>MONTH(CL$4)</f>
        <v/>
      </c>
      <c r="CM3" s="19">
        <f>MONTH(CM$4)</f>
        <v/>
      </c>
      <c r="CN3" s="19">
        <f>MONTH(CN$4)</f>
        <v/>
      </c>
      <c r="CO3" s="19">
        <f>MONTH(CO$4)</f>
        <v/>
      </c>
      <c r="CP3" s="19">
        <f>MONTH(CP$4)</f>
        <v/>
      </c>
      <c r="CQ3" s="19">
        <f>MONTH(CQ$4)</f>
        <v/>
      </c>
      <c r="CR3" s="19">
        <f>MONTH(CR$4)</f>
        <v/>
      </c>
      <c r="CS3" s="19">
        <f>MONTH(CS$4)</f>
        <v/>
      </c>
      <c r="CT3" s="19">
        <f>MONTH(CT$4)</f>
        <v/>
      </c>
      <c r="CU3" s="19">
        <f>MONTH(CU$4)</f>
        <v/>
      </c>
      <c r="CV3" s="19">
        <f>MONTH(CV$4)</f>
        <v/>
      </c>
      <c r="CW3" s="19">
        <f>MONTH(CW$4)</f>
        <v/>
      </c>
      <c r="CX3" s="19">
        <f>MONTH(CX$4)</f>
        <v/>
      </c>
      <c r="CY3" s="19">
        <f>MONTH(CY$4)</f>
        <v/>
      </c>
      <c r="CZ3" s="19">
        <f>MONTH(CZ$4)</f>
        <v/>
      </c>
      <c r="DA3" s="19">
        <f>MONTH(DA$4)</f>
        <v/>
      </c>
      <c r="DB3" s="19">
        <f>MONTH(DB$4)</f>
        <v/>
      </c>
      <c r="DC3" s="19">
        <f>MONTH(DC$4)</f>
        <v/>
      </c>
      <c r="DD3" s="19">
        <f>MONTH(DD$4)</f>
        <v/>
      </c>
      <c r="DE3" s="19">
        <f>MONTH(DE$4)</f>
        <v/>
      </c>
      <c r="DF3" s="19">
        <f>MONTH(DF$4)</f>
        <v/>
      </c>
      <c r="DG3" s="19">
        <f>MONTH(DG$4)</f>
        <v/>
      </c>
    </row>
    <row r="4">
      <c r="O4" s="20">
        <f>'01_THONG_SO_DU_AN'!$C$6</f>
        <v/>
      </c>
      <c r="P4" s="20">
        <f>O$4+1</f>
        <v/>
      </c>
      <c r="Q4" s="20">
        <f>P$4+1</f>
        <v/>
      </c>
      <c r="R4" s="20">
        <f>Q$4+1</f>
        <v/>
      </c>
      <c r="S4" s="20">
        <f>R$4+1</f>
        <v/>
      </c>
      <c r="T4" s="20">
        <f>S$4+1</f>
        <v/>
      </c>
      <c r="U4" s="20">
        <f>T$4+1</f>
        <v/>
      </c>
      <c r="V4" s="20">
        <f>U$4+1</f>
        <v/>
      </c>
      <c r="W4" s="20">
        <f>V$4+1</f>
        <v/>
      </c>
      <c r="X4" s="20">
        <f>W$4+1</f>
        <v/>
      </c>
      <c r="Y4" s="20">
        <f>X$4+1</f>
        <v/>
      </c>
      <c r="Z4" s="20">
        <f>Y$4+1</f>
        <v/>
      </c>
      <c r="AA4" s="20">
        <f>Z$4+1</f>
        <v/>
      </c>
      <c r="AB4" s="20">
        <f>AA$4+1</f>
        <v/>
      </c>
      <c r="AC4" s="20">
        <f>AB$4+1</f>
        <v/>
      </c>
      <c r="AD4" s="20">
        <f>AC$4+1</f>
        <v/>
      </c>
      <c r="AE4" s="20">
        <f>AD$4+1</f>
        <v/>
      </c>
      <c r="AF4" s="20">
        <f>AE$4+1</f>
        <v/>
      </c>
      <c r="AG4" s="20">
        <f>AF$4+1</f>
        <v/>
      </c>
      <c r="AH4" s="20">
        <f>AG$4+1</f>
        <v/>
      </c>
      <c r="AI4" s="20">
        <f>AH$4+1</f>
        <v/>
      </c>
      <c r="AJ4" s="20">
        <f>AI$4+1</f>
        <v/>
      </c>
      <c r="AK4" s="20">
        <f>AJ$4+1</f>
        <v/>
      </c>
      <c r="AL4" s="20">
        <f>AK$4+1</f>
        <v/>
      </c>
      <c r="AM4" s="20">
        <f>AL$4+1</f>
        <v/>
      </c>
      <c r="AN4" s="20">
        <f>AM$4+1</f>
        <v/>
      </c>
      <c r="AO4" s="20">
        <f>AN$4+1</f>
        <v/>
      </c>
      <c r="AP4" s="20">
        <f>AO$4+1</f>
        <v/>
      </c>
      <c r="AQ4" s="20">
        <f>AP$4+1</f>
        <v/>
      </c>
      <c r="AR4" s="20">
        <f>AQ$4+1</f>
        <v/>
      </c>
      <c r="AS4" s="20">
        <f>AR$4+1</f>
        <v/>
      </c>
      <c r="AT4" s="20">
        <f>AS$4+1</f>
        <v/>
      </c>
      <c r="AU4" s="20">
        <f>AT$4+1</f>
        <v/>
      </c>
      <c r="AV4" s="20">
        <f>AU$4+1</f>
        <v/>
      </c>
      <c r="AW4" s="20">
        <f>AV$4+1</f>
        <v/>
      </c>
      <c r="AX4" s="20">
        <f>AW$4+1</f>
        <v/>
      </c>
      <c r="AY4" s="20">
        <f>AX$4+1</f>
        <v/>
      </c>
      <c r="AZ4" s="20">
        <f>AY$4+1</f>
        <v/>
      </c>
      <c r="BA4" s="20">
        <f>AZ$4+1</f>
        <v/>
      </c>
      <c r="BB4" s="20">
        <f>BA$4+1</f>
        <v/>
      </c>
      <c r="BC4" s="20">
        <f>BB$4+1</f>
        <v/>
      </c>
      <c r="BD4" s="20">
        <f>BC$4+1</f>
        <v/>
      </c>
      <c r="BE4" s="20">
        <f>BD$4+1</f>
        <v/>
      </c>
      <c r="BF4" s="20">
        <f>BE$4+1</f>
        <v/>
      </c>
      <c r="BG4" s="20">
        <f>BF$4+1</f>
        <v/>
      </c>
      <c r="BH4" s="20">
        <f>BG$4+1</f>
        <v/>
      </c>
      <c r="BI4" s="20">
        <f>BH$4+1</f>
        <v/>
      </c>
      <c r="BJ4" s="20">
        <f>BI$4+1</f>
        <v/>
      </c>
      <c r="BK4" s="20">
        <f>BJ$4+1</f>
        <v/>
      </c>
      <c r="BL4" s="20">
        <f>BK$4+1</f>
        <v/>
      </c>
      <c r="BM4" s="20">
        <f>BL$4+1</f>
        <v/>
      </c>
      <c r="BN4" s="20">
        <f>BM$4+1</f>
        <v/>
      </c>
      <c r="BO4" s="20">
        <f>BN$4+1</f>
        <v/>
      </c>
      <c r="BP4" s="20">
        <f>BO$4+1</f>
        <v/>
      </c>
      <c r="BQ4" s="20">
        <f>BP$4+1</f>
        <v/>
      </c>
      <c r="BR4" s="20">
        <f>BQ$4+1</f>
        <v/>
      </c>
      <c r="BS4" s="20">
        <f>BR$4+1</f>
        <v/>
      </c>
      <c r="BT4" s="20">
        <f>BS$4+1</f>
        <v/>
      </c>
      <c r="BU4" s="20">
        <f>BT$4+1</f>
        <v/>
      </c>
      <c r="BV4" s="20">
        <f>BU$4+1</f>
        <v/>
      </c>
      <c r="BW4" s="20">
        <f>BV$4+1</f>
        <v/>
      </c>
      <c r="BX4" s="20">
        <f>BW$4+1</f>
        <v/>
      </c>
      <c r="BY4" s="20">
        <f>BX$4+1</f>
        <v/>
      </c>
      <c r="BZ4" s="20">
        <f>BY$4+1</f>
        <v/>
      </c>
      <c r="CA4" s="20">
        <f>BZ$4+1</f>
        <v/>
      </c>
      <c r="CB4" s="20">
        <f>CA$4+1</f>
        <v/>
      </c>
      <c r="CC4" s="20">
        <f>CB$4+1</f>
        <v/>
      </c>
      <c r="CD4" s="20">
        <f>CC$4+1</f>
        <v/>
      </c>
      <c r="CE4" s="20">
        <f>CD$4+1</f>
        <v/>
      </c>
      <c r="CF4" s="20">
        <f>CE$4+1</f>
        <v/>
      </c>
      <c r="CG4" s="20">
        <f>CF$4+1</f>
        <v/>
      </c>
      <c r="CH4" s="20">
        <f>CG$4+1</f>
        <v/>
      </c>
      <c r="CI4" s="20">
        <f>CH$4+1</f>
        <v/>
      </c>
      <c r="CJ4" s="20">
        <f>CI$4+1</f>
        <v/>
      </c>
      <c r="CK4" s="20">
        <f>CJ$4+1</f>
        <v/>
      </c>
      <c r="CL4" s="20">
        <f>CK$4+1</f>
        <v/>
      </c>
      <c r="CM4" s="20">
        <f>CL$4+1</f>
        <v/>
      </c>
      <c r="CN4" s="20">
        <f>CM$4+1</f>
        <v/>
      </c>
      <c r="CO4" s="20">
        <f>CN$4+1</f>
        <v/>
      </c>
      <c r="CP4" s="20">
        <f>CO$4+1</f>
        <v/>
      </c>
      <c r="CQ4" s="20">
        <f>CP$4+1</f>
        <v/>
      </c>
      <c r="CR4" s="20">
        <f>CQ$4+1</f>
        <v/>
      </c>
      <c r="CS4" s="20">
        <f>CR$4+1</f>
        <v/>
      </c>
      <c r="CT4" s="20">
        <f>CS$4+1</f>
        <v/>
      </c>
      <c r="CU4" s="20">
        <f>CT$4+1</f>
        <v/>
      </c>
      <c r="CV4" s="20">
        <f>CU$4+1</f>
        <v/>
      </c>
      <c r="CW4" s="20">
        <f>CV$4+1</f>
        <v/>
      </c>
      <c r="CX4" s="20">
        <f>CW$4+1</f>
        <v/>
      </c>
      <c r="CY4" s="20">
        <f>CX$4+1</f>
        <v/>
      </c>
      <c r="CZ4" s="20">
        <f>CY$4+1</f>
        <v/>
      </c>
      <c r="DA4" s="20">
        <f>CZ$4+1</f>
        <v/>
      </c>
      <c r="DB4" s="20">
        <f>DA$4+1</f>
        <v/>
      </c>
      <c r="DC4" s="20">
        <f>DB$4+1</f>
        <v/>
      </c>
      <c r="DD4" s="20">
        <f>DC$4+1</f>
        <v/>
      </c>
      <c r="DE4" s="20">
        <f>DD$4+1</f>
        <v/>
      </c>
      <c r="DF4" s="20">
        <f>DE$4+1</f>
        <v/>
      </c>
      <c r="DG4" s="20">
        <f>DF$4+1</f>
        <v/>
      </c>
    </row>
    <row r="5">
      <c r="A5" s="21" t="inlineStr">
        <is>
          <t>STT</t>
        </is>
      </c>
      <c r="B5" s="21" t="inlineStr">
        <is>
          <t>Mã WBS</t>
        </is>
      </c>
      <c r="C5" s="21" t="inlineStr">
        <is>
          <t>Danh mục công tác thi công Cụm B9</t>
        </is>
      </c>
      <c r="D5" s="21" t="inlineStr">
        <is>
          <t>ĐVT</t>
        </is>
      </c>
      <c r="E5" s="21" t="inlineStr">
        <is>
          <t>Khối lượng</t>
        </is>
      </c>
      <c r="F5" s="21" t="inlineStr">
        <is>
          <t>Mã thiết bị</t>
        </is>
      </c>
      <c r="G5" s="21" t="inlineStr">
        <is>
          <t>Định mức NS (=VLOOKUP)</t>
        </is>
      </c>
      <c r="H5" s="21" t="inlineStr">
        <is>
          <t>Tổng số ca máy (=Khối lượng/NS)</t>
        </is>
      </c>
      <c r="I5" s="21" t="inlineStr">
        <is>
          <t>Thời gian thi công (Ngày)</t>
        </is>
      </c>
      <c r="J5" s="21" t="inlineStr">
        <is>
          <t>Ngày bắt đầu (ES)</t>
        </is>
      </c>
      <c r="K5" s="21" t="inlineStr">
        <is>
          <t>Ngày kết thúc (EF)</t>
        </is>
      </c>
      <c r="L5" s="21" t="inlineStr">
        <is>
          <t>Đường găng (CPM)</t>
        </is>
      </c>
      <c r="M5" s="21" t="inlineStr">
        <is>
          <t>Số máy/ngày (=Ca/(Ngày*HSTCA))</t>
        </is>
      </c>
      <c r="N5" s="21" t="inlineStr">
        <is>
          <t>Số nhân công/ngày (=Máy*NC/ca)</t>
        </is>
      </c>
      <c r="O5" s="22" t="n">
        <v>1</v>
      </c>
      <c r="P5" s="22" t="n">
        <v>2</v>
      </c>
      <c r="Q5" s="22" t="n">
        <v>3</v>
      </c>
      <c r="R5" s="22" t="n">
        <v>4</v>
      </c>
      <c r="S5" s="22" t="n">
        <v>5</v>
      </c>
      <c r="T5" s="22" t="n">
        <v>6</v>
      </c>
      <c r="U5" s="22" t="n">
        <v>7</v>
      </c>
      <c r="V5" s="22" t="n">
        <v>8</v>
      </c>
      <c r="W5" s="22" t="n">
        <v>9</v>
      </c>
      <c r="X5" s="22" t="n">
        <v>10</v>
      </c>
      <c r="Y5" s="22" t="n">
        <v>11</v>
      </c>
      <c r="Z5" s="22" t="n">
        <v>12</v>
      </c>
      <c r="AA5" s="22" t="n">
        <v>13</v>
      </c>
      <c r="AB5" s="22" t="n">
        <v>14</v>
      </c>
      <c r="AC5" s="22" t="n">
        <v>15</v>
      </c>
      <c r="AD5" s="22" t="n">
        <v>16</v>
      </c>
      <c r="AE5" s="22" t="n">
        <v>17</v>
      </c>
      <c r="AF5" s="22" t="n">
        <v>18</v>
      </c>
      <c r="AG5" s="22" t="n">
        <v>19</v>
      </c>
      <c r="AH5" s="22" t="n">
        <v>20</v>
      </c>
      <c r="AI5" s="22" t="n">
        <v>21</v>
      </c>
      <c r="AJ5" s="22" t="n">
        <v>22</v>
      </c>
      <c r="AK5" s="22" t="n">
        <v>23</v>
      </c>
      <c r="AL5" s="22" t="n">
        <v>24</v>
      </c>
      <c r="AM5" s="22" t="n">
        <v>25</v>
      </c>
      <c r="AN5" s="22" t="n">
        <v>26</v>
      </c>
      <c r="AO5" s="22" t="n">
        <v>27</v>
      </c>
      <c r="AP5" s="22" t="n">
        <v>28</v>
      </c>
      <c r="AQ5" s="22" t="n">
        <v>29</v>
      </c>
      <c r="AR5" s="22" t="n">
        <v>30</v>
      </c>
      <c r="AS5" s="22" t="n">
        <v>31</v>
      </c>
      <c r="AT5" s="22" t="n">
        <v>32</v>
      </c>
      <c r="AU5" s="22" t="n">
        <v>33</v>
      </c>
      <c r="AV5" s="22" t="n">
        <v>34</v>
      </c>
      <c r="AW5" s="22" t="n">
        <v>35</v>
      </c>
      <c r="AX5" s="22" t="n">
        <v>36</v>
      </c>
      <c r="AY5" s="22" t="n">
        <v>37</v>
      </c>
      <c r="AZ5" s="22" t="n">
        <v>38</v>
      </c>
      <c r="BA5" s="22" t="n">
        <v>39</v>
      </c>
      <c r="BB5" s="22" t="n">
        <v>40</v>
      </c>
      <c r="BC5" s="22" t="n">
        <v>41</v>
      </c>
      <c r="BD5" s="22" t="n">
        <v>42</v>
      </c>
      <c r="BE5" s="22" t="n">
        <v>43</v>
      </c>
      <c r="BF5" s="22" t="n">
        <v>44</v>
      </c>
      <c r="BG5" s="22" t="n">
        <v>45</v>
      </c>
      <c r="BH5" s="22" t="n">
        <v>46</v>
      </c>
      <c r="BI5" s="22" t="n">
        <v>47</v>
      </c>
      <c r="BJ5" s="22" t="n">
        <v>48</v>
      </c>
      <c r="BK5" s="22" t="n">
        <v>49</v>
      </c>
      <c r="BL5" s="22" t="n">
        <v>50</v>
      </c>
      <c r="BM5" s="22" t="n">
        <v>51</v>
      </c>
      <c r="BN5" s="22" t="n">
        <v>52</v>
      </c>
      <c r="BO5" s="22" t="n">
        <v>53</v>
      </c>
      <c r="BP5" s="22" t="n">
        <v>54</v>
      </c>
      <c r="BQ5" s="22" t="n">
        <v>55</v>
      </c>
      <c r="BR5" s="22" t="n">
        <v>56</v>
      </c>
      <c r="BS5" s="22" t="n">
        <v>57</v>
      </c>
      <c r="BT5" s="22" t="n">
        <v>58</v>
      </c>
      <c r="BU5" s="22" t="n">
        <v>59</v>
      </c>
      <c r="BV5" s="22" t="n">
        <v>60</v>
      </c>
      <c r="BW5" s="22" t="n">
        <v>61</v>
      </c>
      <c r="BX5" s="22" t="n">
        <v>62</v>
      </c>
      <c r="BY5" s="22" t="n">
        <v>63</v>
      </c>
      <c r="BZ5" s="22" t="n">
        <v>64</v>
      </c>
      <c r="CA5" s="22" t="n">
        <v>65</v>
      </c>
      <c r="CB5" s="22" t="n">
        <v>66</v>
      </c>
      <c r="CC5" s="22" t="n">
        <v>67</v>
      </c>
      <c r="CD5" s="22" t="n">
        <v>68</v>
      </c>
      <c r="CE5" s="22" t="n">
        <v>69</v>
      </c>
      <c r="CF5" s="22" t="n">
        <v>70</v>
      </c>
      <c r="CG5" s="22" t="n">
        <v>71</v>
      </c>
      <c r="CH5" s="22" t="n">
        <v>72</v>
      </c>
      <c r="CI5" s="22" t="n">
        <v>73</v>
      </c>
      <c r="CJ5" s="22" t="n">
        <v>74</v>
      </c>
      <c r="CK5" s="22" t="n">
        <v>75</v>
      </c>
      <c r="CL5" s="22" t="n">
        <v>76</v>
      </c>
      <c r="CM5" s="22" t="n">
        <v>77</v>
      </c>
      <c r="CN5" s="22" t="n">
        <v>78</v>
      </c>
      <c r="CO5" s="22" t="n">
        <v>79</v>
      </c>
      <c r="CP5" s="22" t="n">
        <v>80</v>
      </c>
      <c r="CQ5" s="22" t="n">
        <v>81</v>
      </c>
      <c r="CR5" s="22" t="n">
        <v>82</v>
      </c>
      <c r="CS5" s="22" t="n">
        <v>83</v>
      </c>
      <c r="CT5" s="22" t="n">
        <v>84</v>
      </c>
      <c r="CU5" s="22" t="n">
        <v>85</v>
      </c>
      <c r="CV5" s="22" t="n">
        <v>86</v>
      </c>
      <c r="CW5" s="22" t="n">
        <v>87</v>
      </c>
      <c r="CX5" s="22" t="n">
        <v>88</v>
      </c>
      <c r="CY5" s="22" t="n">
        <v>89</v>
      </c>
      <c r="CZ5" s="22" t="n">
        <v>90</v>
      </c>
      <c r="DA5" s="22" t="n">
        <v>91</v>
      </c>
      <c r="DB5" s="22" t="n">
        <v>92</v>
      </c>
      <c r="DC5" s="22" t="n">
        <v>93</v>
      </c>
      <c r="DD5" s="22" t="n">
        <v>94</v>
      </c>
      <c r="DE5" s="22" t="n">
        <v>95</v>
      </c>
      <c r="DF5" s="22" t="n">
        <v>96</v>
      </c>
      <c r="DG5" s="22" t="n">
        <v>97</v>
      </c>
    </row>
    <row r="6">
      <c r="A6" s="23" t="n">
        <v>1</v>
      </c>
      <c r="B6" s="23" t="inlineStr">
        <is>
          <t>1.0</t>
        </is>
      </c>
      <c r="C6" s="24" t="inlineStr">
        <is>
          <t>Huy động máy móc thiết bị &amp; Lán trại phụ trợ</t>
        </is>
      </c>
      <c r="D6" s="23" t="inlineStr">
        <is>
          <t>gói</t>
        </is>
      </c>
      <c r="E6" s="25" t="n">
        <v>1</v>
      </c>
      <c r="F6" s="23" t="inlineStr">
        <is>
          <t>MP1</t>
        </is>
      </c>
      <c r="G6" s="25">
        <f>VLOOKUP(F6, '02_DINH_MUC_CA_MAY_VA_DAU'!$C$6:$I$16, 5, FALSE)</f>
        <v/>
      </c>
      <c r="H6" s="25">
        <f>E6/G6</f>
        <v/>
      </c>
      <c r="I6" s="26" t="n">
        <v>7</v>
      </c>
      <c r="J6" s="27">
        <f>'01_THONG_SO_DU_AN'!$C$6</f>
        <v/>
      </c>
      <c r="K6" s="27">
        <f>J6+I6-1</f>
        <v/>
      </c>
      <c r="L6" s="23">
        <f>IF(K6='01_THONG_SO_DU_AN'!$C$7, "CRITICAL (GĂNG)", "")</f>
        <v/>
      </c>
      <c r="M6" s="28">
        <f>ROUNDUP(H6/(I6*'01_THONG_SO_DU_AN'!$C$10), 0)</f>
        <v/>
      </c>
      <c r="N6" s="28">
        <f>M6*VLOOKUP(F6, '02_DINH_MUC_CA_MAY_VA_DAU'!$C$6:$I$16, 7, FALSE)</f>
        <v/>
      </c>
      <c r="O6" s="29">
        <f>IF(AND(O$4&gt;=$J6, O$4&lt;=$K6), IF('01_THONG_SO_DU_AN'!$C$11=1, "█", IF('01_THONG_SO_DU_AN'!$C$11=2, $N6, $M6)), "")</f>
        <v/>
      </c>
      <c r="P6" s="29">
        <f>IF(AND(P$4&gt;=$J6, P$4&lt;=$K6), IF('01_THONG_SO_DU_AN'!$C$11=1, "█", IF('01_THONG_SO_DU_AN'!$C$11=2, $N6, $M6)), "")</f>
        <v/>
      </c>
      <c r="Q6" s="29">
        <f>IF(AND(Q$4&gt;=$J6, Q$4&lt;=$K6), IF('01_THONG_SO_DU_AN'!$C$11=1, "█", IF('01_THONG_SO_DU_AN'!$C$11=2, $N6, $M6)), "")</f>
        <v/>
      </c>
      <c r="R6" s="29">
        <f>IF(AND(R$4&gt;=$J6, R$4&lt;=$K6), IF('01_THONG_SO_DU_AN'!$C$11=1, "█", IF('01_THONG_SO_DU_AN'!$C$11=2, $N6, $M6)), "")</f>
        <v/>
      </c>
      <c r="S6" s="29">
        <f>IF(AND(S$4&gt;=$J6, S$4&lt;=$K6), IF('01_THONG_SO_DU_AN'!$C$11=1, "█", IF('01_THONG_SO_DU_AN'!$C$11=2, $N6, $M6)), "")</f>
        <v/>
      </c>
      <c r="T6" s="29">
        <f>IF(AND(T$4&gt;=$J6, T$4&lt;=$K6), IF('01_THONG_SO_DU_AN'!$C$11=1, "█", IF('01_THONG_SO_DU_AN'!$C$11=2, $N6, $M6)), "")</f>
        <v/>
      </c>
      <c r="U6" s="29">
        <f>IF(AND(U$4&gt;=$J6, U$4&lt;=$K6), IF('01_THONG_SO_DU_AN'!$C$11=1, "█", IF('01_THONG_SO_DU_AN'!$C$11=2, $N6, $M6)), "")</f>
        <v/>
      </c>
      <c r="V6" s="29">
        <f>IF(AND(V$4&gt;=$J6, V$4&lt;=$K6), IF('01_THONG_SO_DU_AN'!$C$11=1, "█", IF('01_THONG_SO_DU_AN'!$C$11=2, $N6, $M6)), "")</f>
        <v/>
      </c>
      <c r="W6" s="29">
        <f>IF(AND(W$4&gt;=$J6, W$4&lt;=$K6), IF('01_THONG_SO_DU_AN'!$C$11=1, "█", IF('01_THONG_SO_DU_AN'!$C$11=2, $N6, $M6)), "")</f>
        <v/>
      </c>
      <c r="X6" s="29">
        <f>IF(AND(X$4&gt;=$J6, X$4&lt;=$K6), IF('01_THONG_SO_DU_AN'!$C$11=1, "█", IF('01_THONG_SO_DU_AN'!$C$11=2, $N6, $M6)), "")</f>
        <v/>
      </c>
      <c r="Y6" s="29">
        <f>IF(AND(Y$4&gt;=$J6, Y$4&lt;=$K6), IF('01_THONG_SO_DU_AN'!$C$11=1, "█", IF('01_THONG_SO_DU_AN'!$C$11=2, $N6, $M6)), "")</f>
        <v/>
      </c>
      <c r="Z6" s="29">
        <f>IF(AND(Z$4&gt;=$J6, Z$4&lt;=$K6), IF('01_THONG_SO_DU_AN'!$C$11=1, "█", IF('01_THONG_SO_DU_AN'!$C$11=2, $N6, $M6)), "")</f>
        <v/>
      </c>
      <c r="AA6" s="29">
        <f>IF(AND(AA$4&gt;=$J6, AA$4&lt;=$K6), IF('01_THONG_SO_DU_AN'!$C$11=1, "█", IF('01_THONG_SO_DU_AN'!$C$11=2, $N6, $M6)), "")</f>
        <v/>
      </c>
      <c r="AB6" s="29">
        <f>IF(AND(AB$4&gt;=$J6, AB$4&lt;=$K6), IF('01_THONG_SO_DU_AN'!$C$11=1, "█", IF('01_THONG_SO_DU_AN'!$C$11=2, $N6, $M6)), "")</f>
        <v/>
      </c>
      <c r="AC6" s="29">
        <f>IF(AND(AC$4&gt;=$J6, AC$4&lt;=$K6), IF('01_THONG_SO_DU_AN'!$C$11=1, "█", IF('01_THONG_SO_DU_AN'!$C$11=2, $N6, $M6)), "")</f>
        <v/>
      </c>
      <c r="AD6" s="29">
        <f>IF(AND(AD$4&gt;=$J6, AD$4&lt;=$K6), IF('01_THONG_SO_DU_AN'!$C$11=1, "█", IF('01_THONG_SO_DU_AN'!$C$11=2, $N6, $M6)), "")</f>
        <v/>
      </c>
      <c r="AE6" s="29">
        <f>IF(AND(AE$4&gt;=$J6, AE$4&lt;=$K6), IF('01_THONG_SO_DU_AN'!$C$11=1, "█", IF('01_THONG_SO_DU_AN'!$C$11=2, $N6, $M6)), "")</f>
        <v/>
      </c>
      <c r="AF6" s="29">
        <f>IF(AND(AF$4&gt;=$J6, AF$4&lt;=$K6), IF('01_THONG_SO_DU_AN'!$C$11=1, "█", IF('01_THONG_SO_DU_AN'!$C$11=2, $N6, $M6)), "")</f>
        <v/>
      </c>
      <c r="AG6" s="29">
        <f>IF(AND(AG$4&gt;=$J6, AG$4&lt;=$K6), IF('01_THONG_SO_DU_AN'!$C$11=1, "█", IF('01_THONG_SO_DU_AN'!$C$11=2, $N6, $M6)), "")</f>
        <v/>
      </c>
      <c r="AH6" s="29">
        <f>IF(AND(AH$4&gt;=$J6, AH$4&lt;=$K6), IF('01_THONG_SO_DU_AN'!$C$11=1, "█", IF('01_THONG_SO_DU_AN'!$C$11=2, $N6, $M6)), "")</f>
        <v/>
      </c>
      <c r="AI6" s="29">
        <f>IF(AND(AI$4&gt;=$J6, AI$4&lt;=$K6), IF('01_THONG_SO_DU_AN'!$C$11=1, "█", IF('01_THONG_SO_DU_AN'!$C$11=2, $N6, $M6)), "")</f>
        <v/>
      </c>
      <c r="AJ6" s="29">
        <f>IF(AND(AJ$4&gt;=$J6, AJ$4&lt;=$K6), IF('01_THONG_SO_DU_AN'!$C$11=1, "█", IF('01_THONG_SO_DU_AN'!$C$11=2, $N6, $M6)), "")</f>
        <v/>
      </c>
      <c r="AK6" s="29">
        <f>IF(AND(AK$4&gt;=$J6, AK$4&lt;=$K6), IF('01_THONG_SO_DU_AN'!$C$11=1, "█", IF('01_THONG_SO_DU_AN'!$C$11=2, $N6, $M6)), "")</f>
        <v/>
      </c>
      <c r="AL6" s="29">
        <f>IF(AND(AL$4&gt;=$J6, AL$4&lt;=$K6), IF('01_THONG_SO_DU_AN'!$C$11=1, "█", IF('01_THONG_SO_DU_AN'!$C$11=2, $N6, $M6)), "")</f>
        <v/>
      </c>
      <c r="AM6" s="29">
        <f>IF(AND(AM$4&gt;=$J6, AM$4&lt;=$K6), IF('01_THONG_SO_DU_AN'!$C$11=1, "█", IF('01_THONG_SO_DU_AN'!$C$11=2, $N6, $M6)), "")</f>
        <v/>
      </c>
      <c r="AN6" s="29">
        <f>IF(AND(AN$4&gt;=$J6, AN$4&lt;=$K6), IF('01_THONG_SO_DU_AN'!$C$11=1, "█", IF('01_THONG_SO_DU_AN'!$C$11=2, $N6, $M6)), "")</f>
        <v/>
      </c>
      <c r="AO6" s="29">
        <f>IF(AND(AO$4&gt;=$J6, AO$4&lt;=$K6), IF('01_THONG_SO_DU_AN'!$C$11=1, "█", IF('01_THONG_SO_DU_AN'!$C$11=2, $N6, $M6)), "")</f>
        <v/>
      </c>
      <c r="AP6" s="29">
        <f>IF(AND(AP$4&gt;=$J6, AP$4&lt;=$K6), IF('01_THONG_SO_DU_AN'!$C$11=1, "█", IF('01_THONG_SO_DU_AN'!$C$11=2, $N6, $M6)), "")</f>
        <v/>
      </c>
      <c r="AQ6" s="29">
        <f>IF(AND(AQ$4&gt;=$J6, AQ$4&lt;=$K6), IF('01_THONG_SO_DU_AN'!$C$11=1, "█", IF('01_THONG_SO_DU_AN'!$C$11=2, $N6, $M6)), "")</f>
        <v/>
      </c>
      <c r="AR6" s="29">
        <f>IF(AND(AR$4&gt;=$J6, AR$4&lt;=$K6), IF('01_THONG_SO_DU_AN'!$C$11=1, "█", IF('01_THONG_SO_DU_AN'!$C$11=2, $N6, $M6)), "")</f>
        <v/>
      </c>
      <c r="AS6" s="29">
        <f>IF(AND(AS$4&gt;=$J6, AS$4&lt;=$K6), IF('01_THONG_SO_DU_AN'!$C$11=1, "█", IF('01_THONG_SO_DU_AN'!$C$11=2, $N6, $M6)), "")</f>
        <v/>
      </c>
      <c r="AT6" s="29">
        <f>IF(AND(AT$4&gt;=$J6, AT$4&lt;=$K6), IF('01_THONG_SO_DU_AN'!$C$11=1, "█", IF('01_THONG_SO_DU_AN'!$C$11=2, $N6, $M6)), "")</f>
        <v/>
      </c>
      <c r="AU6" s="29">
        <f>IF(AND(AU$4&gt;=$J6, AU$4&lt;=$K6), IF('01_THONG_SO_DU_AN'!$C$11=1, "█", IF('01_THONG_SO_DU_AN'!$C$11=2, $N6, $M6)), "")</f>
        <v/>
      </c>
      <c r="AV6" s="29">
        <f>IF(AND(AV$4&gt;=$J6, AV$4&lt;=$K6), IF('01_THONG_SO_DU_AN'!$C$11=1, "█", IF('01_THONG_SO_DU_AN'!$C$11=2, $N6, $M6)), "")</f>
        <v/>
      </c>
      <c r="AW6" s="29">
        <f>IF(AND(AW$4&gt;=$J6, AW$4&lt;=$K6), IF('01_THONG_SO_DU_AN'!$C$11=1, "█", IF('01_THONG_SO_DU_AN'!$C$11=2, $N6, $M6)), "")</f>
        <v/>
      </c>
      <c r="AX6" s="29">
        <f>IF(AND(AX$4&gt;=$J6, AX$4&lt;=$K6), IF('01_THONG_SO_DU_AN'!$C$11=1, "█", IF('01_THONG_SO_DU_AN'!$C$11=2, $N6, $M6)), "")</f>
        <v/>
      </c>
      <c r="AY6" s="29">
        <f>IF(AND(AY$4&gt;=$J6, AY$4&lt;=$K6), IF('01_THONG_SO_DU_AN'!$C$11=1, "█", IF('01_THONG_SO_DU_AN'!$C$11=2, $N6, $M6)), "")</f>
        <v/>
      </c>
      <c r="AZ6" s="29">
        <f>IF(AND(AZ$4&gt;=$J6, AZ$4&lt;=$K6), IF('01_THONG_SO_DU_AN'!$C$11=1, "█", IF('01_THONG_SO_DU_AN'!$C$11=2, $N6, $M6)), "")</f>
        <v/>
      </c>
      <c r="BA6" s="29">
        <f>IF(AND(BA$4&gt;=$J6, BA$4&lt;=$K6), IF('01_THONG_SO_DU_AN'!$C$11=1, "█", IF('01_THONG_SO_DU_AN'!$C$11=2, $N6, $M6)), "")</f>
        <v/>
      </c>
      <c r="BB6" s="29">
        <f>IF(AND(BB$4&gt;=$J6, BB$4&lt;=$K6), IF('01_THONG_SO_DU_AN'!$C$11=1, "█", IF('01_THONG_SO_DU_AN'!$C$11=2, $N6, $M6)), "")</f>
        <v/>
      </c>
      <c r="BC6" s="29">
        <f>IF(AND(BC$4&gt;=$J6, BC$4&lt;=$K6), IF('01_THONG_SO_DU_AN'!$C$11=1, "█", IF('01_THONG_SO_DU_AN'!$C$11=2, $N6, $M6)), "")</f>
        <v/>
      </c>
      <c r="BD6" s="29">
        <f>IF(AND(BD$4&gt;=$J6, BD$4&lt;=$K6), IF('01_THONG_SO_DU_AN'!$C$11=1, "█", IF('01_THONG_SO_DU_AN'!$C$11=2, $N6, $M6)), "")</f>
        <v/>
      </c>
      <c r="BE6" s="29">
        <f>IF(AND(BE$4&gt;=$J6, BE$4&lt;=$K6), IF('01_THONG_SO_DU_AN'!$C$11=1, "█", IF('01_THONG_SO_DU_AN'!$C$11=2, $N6, $M6)), "")</f>
        <v/>
      </c>
      <c r="BF6" s="29">
        <f>IF(AND(BF$4&gt;=$J6, BF$4&lt;=$K6), IF('01_THONG_SO_DU_AN'!$C$11=1, "█", IF('01_THONG_SO_DU_AN'!$C$11=2, $N6, $M6)), "")</f>
        <v/>
      </c>
      <c r="BG6" s="29">
        <f>IF(AND(BG$4&gt;=$J6, BG$4&lt;=$K6), IF('01_THONG_SO_DU_AN'!$C$11=1, "█", IF('01_THONG_SO_DU_AN'!$C$11=2, $N6, $M6)), "")</f>
        <v/>
      </c>
      <c r="BH6" s="29">
        <f>IF(AND(BH$4&gt;=$J6, BH$4&lt;=$K6), IF('01_THONG_SO_DU_AN'!$C$11=1, "█", IF('01_THONG_SO_DU_AN'!$C$11=2, $N6, $M6)), "")</f>
        <v/>
      </c>
      <c r="BI6" s="29">
        <f>IF(AND(BI$4&gt;=$J6, BI$4&lt;=$K6), IF('01_THONG_SO_DU_AN'!$C$11=1, "█", IF('01_THONG_SO_DU_AN'!$C$11=2, $N6, $M6)), "")</f>
        <v/>
      </c>
      <c r="BJ6" s="29">
        <f>IF(AND(BJ$4&gt;=$J6, BJ$4&lt;=$K6), IF('01_THONG_SO_DU_AN'!$C$11=1, "█", IF('01_THONG_SO_DU_AN'!$C$11=2, $N6, $M6)), "")</f>
        <v/>
      </c>
      <c r="BK6" s="29">
        <f>IF(AND(BK$4&gt;=$J6, BK$4&lt;=$K6), IF('01_THONG_SO_DU_AN'!$C$11=1, "█", IF('01_THONG_SO_DU_AN'!$C$11=2, $N6, $M6)), "")</f>
        <v/>
      </c>
      <c r="BL6" s="29">
        <f>IF(AND(BL$4&gt;=$J6, BL$4&lt;=$K6), IF('01_THONG_SO_DU_AN'!$C$11=1, "█", IF('01_THONG_SO_DU_AN'!$C$11=2, $N6, $M6)), "")</f>
        <v/>
      </c>
      <c r="BM6" s="29">
        <f>IF(AND(BM$4&gt;=$J6, BM$4&lt;=$K6), IF('01_THONG_SO_DU_AN'!$C$11=1, "█", IF('01_THONG_SO_DU_AN'!$C$11=2, $N6, $M6)), "")</f>
        <v/>
      </c>
      <c r="BN6" s="29">
        <f>IF(AND(BN$4&gt;=$J6, BN$4&lt;=$K6), IF('01_THONG_SO_DU_AN'!$C$11=1, "█", IF('01_THONG_SO_DU_AN'!$C$11=2, $N6, $M6)), "")</f>
        <v/>
      </c>
      <c r="BO6" s="29">
        <f>IF(AND(BO$4&gt;=$J6, BO$4&lt;=$K6), IF('01_THONG_SO_DU_AN'!$C$11=1, "█", IF('01_THONG_SO_DU_AN'!$C$11=2, $N6, $M6)), "")</f>
        <v/>
      </c>
      <c r="BP6" s="29">
        <f>IF(AND(BP$4&gt;=$J6, BP$4&lt;=$K6), IF('01_THONG_SO_DU_AN'!$C$11=1, "█", IF('01_THONG_SO_DU_AN'!$C$11=2, $N6, $M6)), "")</f>
        <v/>
      </c>
      <c r="BQ6" s="29">
        <f>IF(AND(BQ$4&gt;=$J6, BQ$4&lt;=$K6), IF('01_THONG_SO_DU_AN'!$C$11=1, "█", IF('01_THONG_SO_DU_AN'!$C$11=2, $N6, $M6)), "")</f>
        <v/>
      </c>
      <c r="BR6" s="29">
        <f>IF(AND(BR$4&gt;=$J6, BR$4&lt;=$K6), IF('01_THONG_SO_DU_AN'!$C$11=1, "█", IF('01_THONG_SO_DU_AN'!$C$11=2, $N6, $M6)), "")</f>
        <v/>
      </c>
      <c r="BS6" s="29">
        <f>IF(AND(BS$4&gt;=$J6, BS$4&lt;=$K6), IF('01_THONG_SO_DU_AN'!$C$11=1, "█", IF('01_THONG_SO_DU_AN'!$C$11=2, $N6, $M6)), "")</f>
        <v/>
      </c>
      <c r="BT6" s="29">
        <f>IF(AND(BT$4&gt;=$J6, BT$4&lt;=$K6), IF('01_THONG_SO_DU_AN'!$C$11=1, "█", IF('01_THONG_SO_DU_AN'!$C$11=2, $N6, $M6)), "")</f>
        <v/>
      </c>
      <c r="BU6" s="29">
        <f>IF(AND(BU$4&gt;=$J6, BU$4&lt;=$K6), IF('01_THONG_SO_DU_AN'!$C$11=1, "█", IF('01_THONG_SO_DU_AN'!$C$11=2, $N6, $M6)), "")</f>
        <v/>
      </c>
      <c r="BV6" s="29">
        <f>IF(AND(BV$4&gt;=$J6, BV$4&lt;=$K6), IF('01_THONG_SO_DU_AN'!$C$11=1, "█", IF('01_THONG_SO_DU_AN'!$C$11=2, $N6, $M6)), "")</f>
        <v/>
      </c>
      <c r="BW6" s="29">
        <f>IF(AND(BW$4&gt;=$J6, BW$4&lt;=$K6), IF('01_THONG_SO_DU_AN'!$C$11=1, "█", IF('01_THONG_SO_DU_AN'!$C$11=2, $N6, $M6)), "")</f>
        <v/>
      </c>
      <c r="BX6" s="29">
        <f>IF(AND(BX$4&gt;=$J6, BX$4&lt;=$K6), IF('01_THONG_SO_DU_AN'!$C$11=1, "█", IF('01_THONG_SO_DU_AN'!$C$11=2, $N6, $M6)), "")</f>
        <v/>
      </c>
      <c r="BY6" s="29">
        <f>IF(AND(BY$4&gt;=$J6, BY$4&lt;=$K6), IF('01_THONG_SO_DU_AN'!$C$11=1, "█", IF('01_THONG_SO_DU_AN'!$C$11=2, $N6, $M6)), "")</f>
        <v/>
      </c>
      <c r="BZ6" s="29">
        <f>IF(AND(BZ$4&gt;=$J6, BZ$4&lt;=$K6), IF('01_THONG_SO_DU_AN'!$C$11=1, "█", IF('01_THONG_SO_DU_AN'!$C$11=2, $N6, $M6)), "")</f>
        <v/>
      </c>
      <c r="CA6" s="29">
        <f>IF(AND(CA$4&gt;=$J6, CA$4&lt;=$K6), IF('01_THONG_SO_DU_AN'!$C$11=1, "█", IF('01_THONG_SO_DU_AN'!$C$11=2, $N6, $M6)), "")</f>
        <v/>
      </c>
      <c r="CB6" s="29">
        <f>IF(AND(CB$4&gt;=$J6, CB$4&lt;=$K6), IF('01_THONG_SO_DU_AN'!$C$11=1, "█", IF('01_THONG_SO_DU_AN'!$C$11=2, $N6, $M6)), "")</f>
        <v/>
      </c>
      <c r="CC6" s="29">
        <f>IF(AND(CC$4&gt;=$J6, CC$4&lt;=$K6), IF('01_THONG_SO_DU_AN'!$C$11=1, "█", IF('01_THONG_SO_DU_AN'!$C$11=2, $N6, $M6)), "")</f>
        <v/>
      </c>
      <c r="CD6" s="29">
        <f>IF(AND(CD$4&gt;=$J6, CD$4&lt;=$K6), IF('01_THONG_SO_DU_AN'!$C$11=1, "█", IF('01_THONG_SO_DU_AN'!$C$11=2, $N6, $M6)), "")</f>
        <v/>
      </c>
      <c r="CE6" s="29">
        <f>IF(AND(CE$4&gt;=$J6, CE$4&lt;=$K6), IF('01_THONG_SO_DU_AN'!$C$11=1, "█", IF('01_THONG_SO_DU_AN'!$C$11=2, $N6, $M6)), "")</f>
        <v/>
      </c>
      <c r="CF6" s="29">
        <f>IF(AND(CF$4&gt;=$J6, CF$4&lt;=$K6), IF('01_THONG_SO_DU_AN'!$C$11=1, "█", IF('01_THONG_SO_DU_AN'!$C$11=2, $N6, $M6)), "")</f>
        <v/>
      </c>
      <c r="CG6" s="29">
        <f>IF(AND(CG$4&gt;=$J6, CG$4&lt;=$K6), IF('01_THONG_SO_DU_AN'!$C$11=1, "█", IF('01_THONG_SO_DU_AN'!$C$11=2, $N6, $M6)), "")</f>
        <v/>
      </c>
      <c r="CH6" s="29">
        <f>IF(AND(CH$4&gt;=$J6, CH$4&lt;=$K6), IF('01_THONG_SO_DU_AN'!$C$11=1, "█", IF('01_THONG_SO_DU_AN'!$C$11=2, $N6, $M6)), "")</f>
        <v/>
      </c>
      <c r="CI6" s="29">
        <f>IF(AND(CI$4&gt;=$J6, CI$4&lt;=$K6), IF('01_THONG_SO_DU_AN'!$C$11=1, "█", IF('01_THONG_SO_DU_AN'!$C$11=2, $N6, $M6)), "")</f>
        <v/>
      </c>
      <c r="CJ6" s="29">
        <f>IF(AND(CJ$4&gt;=$J6, CJ$4&lt;=$K6), IF('01_THONG_SO_DU_AN'!$C$11=1, "█", IF('01_THONG_SO_DU_AN'!$C$11=2, $N6, $M6)), "")</f>
        <v/>
      </c>
      <c r="CK6" s="29">
        <f>IF(AND(CK$4&gt;=$J6, CK$4&lt;=$K6), IF('01_THONG_SO_DU_AN'!$C$11=1, "█", IF('01_THONG_SO_DU_AN'!$C$11=2, $N6, $M6)), "")</f>
        <v/>
      </c>
      <c r="CL6" s="29">
        <f>IF(AND(CL$4&gt;=$J6, CL$4&lt;=$K6), IF('01_THONG_SO_DU_AN'!$C$11=1, "█", IF('01_THONG_SO_DU_AN'!$C$11=2, $N6, $M6)), "")</f>
        <v/>
      </c>
      <c r="CM6" s="29">
        <f>IF(AND(CM$4&gt;=$J6, CM$4&lt;=$K6), IF('01_THONG_SO_DU_AN'!$C$11=1, "█", IF('01_THONG_SO_DU_AN'!$C$11=2, $N6, $M6)), "")</f>
        <v/>
      </c>
      <c r="CN6" s="29">
        <f>IF(AND(CN$4&gt;=$J6, CN$4&lt;=$K6), IF('01_THONG_SO_DU_AN'!$C$11=1, "█", IF('01_THONG_SO_DU_AN'!$C$11=2, $N6, $M6)), "")</f>
        <v/>
      </c>
      <c r="CO6" s="29">
        <f>IF(AND(CO$4&gt;=$J6, CO$4&lt;=$K6), IF('01_THONG_SO_DU_AN'!$C$11=1, "█", IF('01_THONG_SO_DU_AN'!$C$11=2, $N6, $M6)), "")</f>
        <v/>
      </c>
      <c r="CP6" s="29">
        <f>IF(AND(CP$4&gt;=$J6, CP$4&lt;=$K6), IF('01_THONG_SO_DU_AN'!$C$11=1, "█", IF('01_THONG_SO_DU_AN'!$C$11=2, $N6, $M6)), "")</f>
        <v/>
      </c>
      <c r="CQ6" s="29">
        <f>IF(AND(CQ$4&gt;=$J6, CQ$4&lt;=$K6), IF('01_THONG_SO_DU_AN'!$C$11=1, "█", IF('01_THONG_SO_DU_AN'!$C$11=2, $N6, $M6)), "")</f>
        <v/>
      </c>
      <c r="CR6" s="29">
        <f>IF(AND(CR$4&gt;=$J6, CR$4&lt;=$K6), IF('01_THONG_SO_DU_AN'!$C$11=1, "█", IF('01_THONG_SO_DU_AN'!$C$11=2, $N6, $M6)), "")</f>
        <v/>
      </c>
      <c r="CS6" s="29">
        <f>IF(AND(CS$4&gt;=$J6, CS$4&lt;=$K6), IF('01_THONG_SO_DU_AN'!$C$11=1, "█", IF('01_THONG_SO_DU_AN'!$C$11=2, $N6, $M6)), "")</f>
        <v/>
      </c>
      <c r="CT6" s="29">
        <f>IF(AND(CT$4&gt;=$J6, CT$4&lt;=$K6), IF('01_THONG_SO_DU_AN'!$C$11=1, "█", IF('01_THONG_SO_DU_AN'!$C$11=2, $N6, $M6)), "")</f>
        <v/>
      </c>
      <c r="CU6" s="29">
        <f>IF(AND(CU$4&gt;=$J6, CU$4&lt;=$K6), IF('01_THONG_SO_DU_AN'!$C$11=1, "█", IF('01_THONG_SO_DU_AN'!$C$11=2, $N6, $M6)), "")</f>
        <v/>
      </c>
      <c r="CV6" s="29">
        <f>IF(AND(CV$4&gt;=$J6, CV$4&lt;=$K6), IF('01_THONG_SO_DU_AN'!$C$11=1, "█", IF('01_THONG_SO_DU_AN'!$C$11=2, $N6, $M6)), "")</f>
        <v/>
      </c>
      <c r="CW6" s="29">
        <f>IF(AND(CW$4&gt;=$J6, CW$4&lt;=$K6), IF('01_THONG_SO_DU_AN'!$C$11=1, "█", IF('01_THONG_SO_DU_AN'!$C$11=2, $N6, $M6)), "")</f>
        <v/>
      </c>
      <c r="CX6" s="29">
        <f>IF(AND(CX$4&gt;=$J6, CX$4&lt;=$K6), IF('01_THONG_SO_DU_AN'!$C$11=1, "█", IF('01_THONG_SO_DU_AN'!$C$11=2, $N6, $M6)), "")</f>
        <v/>
      </c>
      <c r="CY6" s="29">
        <f>IF(AND(CY$4&gt;=$J6, CY$4&lt;=$K6), IF('01_THONG_SO_DU_AN'!$C$11=1, "█", IF('01_THONG_SO_DU_AN'!$C$11=2, $N6, $M6)), "")</f>
        <v/>
      </c>
      <c r="CZ6" s="29">
        <f>IF(AND(CZ$4&gt;=$J6, CZ$4&lt;=$K6), IF('01_THONG_SO_DU_AN'!$C$11=1, "█", IF('01_THONG_SO_DU_AN'!$C$11=2, $N6, $M6)), "")</f>
        <v/>
      </c>
      <c r="DA6" s="29">
        <f>IF(AND(DA$4&gt;=$J6, DA$4&lt;=$K6), IF('01_THONG_SO_DU_AN'!$C$11=1, "█", IF('01_THONG_SO_DU_AN'!$C$11=2, $N6, $M6)), "")</f>
        <v/>
      </c>
      <c r="DB6" s="29">
        <f>IF(AND(DB$4&gt;=$J6, DB$4&lt;=$K6), IF('01_THONG_SO_DU_AN'!$C$11=1, "█", IF('01_THONG_SO_DU_AN'!$C$11=2, $N6, $M6)), "")</f>
        <v/>
      </c>
      <c r="DC6" s="29">
        <f>IF(AND(DC$4&gt;=$J6, DC$4&lt;=$K6), IF('01_THONG_SO_DU_AN'!$C$11=1, "█", IF('01_THONG_SO_DU_AN'!$C$11=2, $N6, $M6)), "")</f>
        <v/>
      </c>
      <c r="DD6" s="29">
        <f>IF(AND(DD$4&gt;=$J6, DD$4&lt;=$K6), IF('01_THONG_SO_DU_AN'!$C$11=1, "█", IF('01_THONG_SO_DU_AN'!$C$11=2, $N6, $M6)), "")</f>
        <v/>
      </c>
      <c r="DE6" s="29">
        <f>IF(AND(DE$4&gt;=$J6, DE$4&lt;=$K6), IF('01_THONG_SO_DU_AN'!$C$11=1, "█", IF('01_THONG_SO_DU_AN'!$C$11=2, $N6, $M6)), "")</f>
        <v/>
      </c>
      <c r="DF6" s="29">
        <f>IF(AND(DF$4&gt;=$J6, DF$4&lt;=$K6), IF('01_THONG_SO_DU_AN'!$C$11=1, "█", IF('01_THONG_SO_DU_AN'!$C$11=2, $N6, $M6)), "")</f>
        <v/>
      </c>
      <c r="DG6" s="29">
        <f>IF(AND(DG$4&gt;=$J6, DG$4&lt;=$K6), IF('01_THONG_SO_DU_AN'!$C$11=1, "█", IF('01_THONG_SO_DU_AN'!$C$11=2, $N6, $M6)), "")</f>
        <v/>
      </c>
    </row>
    <row r="7">
      <c r="A7" s="23" t="n">
        <v>2</v>
      </c>
      <c r="B7" s="23" t="inlineStr">
        <is>
          <t>1.1</t>
        </is>
      </c>
      <c r="C7" s="24" t="inlineStr">
        <is>
          <t>Đào bóc hữu cơ lòng đường &amp; gom tập kết</t>
        </is>
      </c>
      <c r="D7" s="23" t="inlineStr">
        <is>
          <t>m3</t>
        </is>
      </c>
      <c r="E7" s="25" t="n">
        <v>102793.8</v>
      </c>
      <c r="F7" s="23" t="inlineStr">
        <is>
          <t>M1</t>
        </is>
      </c>
      <c r="G7" s="25">
        <f>VLOOKUP(F7, '02_DINH_MUC_CA_MAY_VA_DAU'!$C$6:$I$16, 5, FALSE)</f>
        <v/>
      </c>
      <c r="H7" s="25">
        <f>E7/G7</f>
        <v/>
      </c>
      <c r="I7" s="26" t="n">
        <v>74</v>
      </c>
      <c r="J7" s="27">
        <f>J6</f>
        <v/>
      </c>
      <c r="K7" s="27">
        <f>J7+I7-1</f>
        <v/>
      </c>
      <c r="L7" s="23">
        <f>IF(K7='01_THONG_SO_DU_AN'!$C$7, "CRITICAL (GĂNG)", "")</f>
        <v/>
      </c>
      <c r="M7" s="28">
        <f>ROUNDUP(H7/(I7*'01_THONG_SO_DU_AN'!$C$10), 0)</f>
        <v/>
      </c>
      <c r="N7" s="28">
        <f>M7*VLOOKUP(F7, '02_DINH_MUC_CA_MAY_VA_DAU'!$C$6:$I$16, 7, FALSE)</f>
        <v/>
      </c>
      <c r="O7" s="29">
        <f>IF(AND(O$4&gt;=$J7, O$4&lt;=$K7), IF('01_THONG_SO_DU_AN'!$C$11=1, "█", IF('01_THONG_SO_DU_AN'!$C$11=2, $N7, $M7)), "")</f>
        <v/>
      </c>
      <c r="P7" s="29">
        <f>IF(AND(P$4&gt;=$J7, P$4&lt;=$K7), IF('01_THONG_SO_DU_AN'!$C$11=1, "█", IF('01_THONG_SO_DU_AN'!$C$11=2, $N7, $M7)), "")</f>
        <v/>
      </c>
      <c r="Q7" s="29">
        <f>IF(AND(Q$4&gt;=$J7, Q$4&lt;=$K7), IF('01_THONG_SO_DU_AN'!$C$11=1, "█", IF('01_THONG_SO_DU_AN'!$C$11=2, $N7, $M7)), "")</f>
        <v/>
      </c>
      <c r="R7" s="29">
        <f>IF(AND(R$4&gt;=$J7, R$4&lt;=$K7), IF('01_THONG_SO_DU_AN'!$C$11=1, "█", IF('01_THONG_SO_DU_AN'!$C$11=2, $N7, $M7)), "")</f>
        <v/>
      </c>
      <c r="S7" s="29">
        <f>IF(AND(S$4&gt;=$J7, S$4&lt;=$K7), IF('01_THONG_SO_DU_AN'!$C$11=1, "█", IF('01_THONG_SO_DU_AN'!$C$11=2, $N7, $M7)), "")</f>
        <v/>
      </c>
      <c r="T7" s="29">
        <f>IF(AND(T$4&gt;=$J7, T$4&lt;=$K7), IF('01_THONG_SO_DU_AN'!$C$11=1, "█", IF('01_THONG_SO_DU_AN'!$C$11=2, $N7, $M7)), "")</f>
        <v/>
      </c>
      <c r="U7" s="29">
        <f>IF(AND(U$4&gt;=$J7, U$4&lt;=$K7), IF('01_THONG_SO_DU_AN'!$C$11=1, "█", IF('01_THONG_SO_DU_AN'!$C$11=2, $N7, $M7)), "")</f>
        <v/>
      </c>
      <c r="V7" s="29">
        <f>IF(AND(V$4&gt;=$J7, V$4&lt;=$K7), IF('01_THONG_SO_DU_AN'!$C$11=1, "█", IF('01_THONG_SO_DU_AN'!$C$11=2, $N7, $M7)), "")</f>
        <v/>
      </c>
      <c r="W7" s="29">
        <f>IF(AND(W$4&gt;=$J7, W$4&lt;=$K7), IF('01_THONG_SO_DU_AN'!$C$11=1, "█", IF('01_THONG_SO_DU_AN'!$C$11=2, $N7, $M7)), "")</f>
        <v/>
      </c>
      <c r="X7" s="29">
        <f>IF(AND(X$4&gt;=$J7, X$4&lt;=$K7), IF('01_THONG_SO_DU_AN'!$C$11=1, "█", IF('01_THONG_SO_DU_AN'!$C$11=2, $N7, $M7)), "")</f>
        <v/>
      </c>
      <c r="Y7" s="29">
        <f>IF(AND(Y$4&gt;=$J7, Y$4&lt;=$K7), IF('01_THONG_SO_DU_AN'!$C$11=1, "█", IF('01_THONG_SO_DU_AN'!$C$11=2, $N7, $M7)), "")</f>
        <v/>
      </c>
      <c r="Z7" s="29">
        <f>IF(AND(Z$4&gt;=$J7, Z$4&lt;=$K7), IF('01_THONG_SO_DU_AN'!$C$11=1, "█", IF('01_THONG_SO_DU_AN'!$C$11=2, $N7, $M7)), "")</f>
        <v/>
      </c>
      <c r="AA7" s="29">
        <f>IF(AND(AA$4&gt;=$J7, AA$4&lt;=$K7), IF('01_THONG_SO_DU_AN'!$C$11=1, "█", IF('01_THONG_SO_DU_AN'!$C$11=2, $N7, $M7)), "")</f>
        <v/>
      </c>
      <c r="AB7" s="29">
        <f>IF(AND(AB$4&gt;=$J7, AB$4&lt;=$K7), IF('01_THONG_SO_DU_AN'!$C$11=1, "█", IF('01_THONG_SO_DU_AN'!$C$11=2, $N7, $M7)), "")</f>
        <v/>
      </c>
      <c r="AC7" s="29">
        <f>IF(AND(AC$4&gt;=$J7, AC$4&lt;=$K7), IF('01_THONG_SO_DU_AN'!$C$11=1, "█", IF('01_THONG_SO_DU_AN'!$C$11=2, $N7, $M7)), "")</f>
        <v/>
      </c>
      <c r="AD7" s="29">
        <f>IF(AND(AD$4&gt;=$J7, AD$4&lt;=$K7), IF('01_THONG_SO_DU_AN'!$C$11=1, "█", IF('01_THONG_SO_DU_AN'!$C$11=2, $N7, $M7)), "")</f>
        <v/>
      </c>
      <c r="AE7" s="29">
        <f>IF(AND(AE$4&gt;=$J7, AE$4&lt;=$K7), IF('01_THONG_SO_DU_AN'!$C$11=1, "█", IF('01_THONG_SO_DU_AN'!$C$11=2, $N7, $M7)), "")</f>
        <v/>
      </c>
      <c r="AF7" s="29">
        <f>IF(AND(AF$4&gt;=$J7, AF$4&lt;=$K7), IF('01_THONG_SO_DU_AN'!$C$11=1, "█", IF('01_THONG_SO_DU_AN'!$C$11=2, $N7, $M7)), "")</f>
        <v/>
      </c>
      <c r="AG7" s="29">
        <f>IF(AND(AG$4&gt;=$J7, AG$4&lt;=$K7), IF('01_THONG_SO_DU_AN'!$C$11=1, "█", IF('01_THONG_SO_DU_AN'!$C$11=2, $N7, $M7)), "")</f>
        <v/>
      </c>
      <c r="AH7" s="29">
        <f>IF(AND(AH$4&gt;=$J7, AH$4&lt;=$K7), IF('01_THONG_SO_DU_AN'!$C$11=1, "█", IF('01_THONG_SO_DU_AN'!$C$11=2, $N7, $M7)), "")</f>
        <v/>
      </c>
      <c r="AI7" s="29">
        <f>IF(AND(AI$4&gt;=$J7, AI$4&lt;=$K7), IF('01_THONG_SO_DU_AN'!$C$11=1, "█", IF('01_THONG_SO_DU_AN'!$C$11=2, $N7, $M7)), "")</f>
        <v/>
      </c>
      <c r="AJ7" s="29">
        <f>IF(AND(AJ$4&gt;=$J7, AJ$4&lt;=$K7), IF('01_THONG_SO_DU_AN'!$C$11=1, "█", IF('01_THONG_SO_DU_AN'!$C$11=2, $N7, $M7)), "")</f>
        <v/>
      </c>
      <c r="AK7" s="29">
        <f>IF(AND(AK$4&gt;=$J7, AK$4&lt;=$K7), IF('01_THONG_SO_DU_AN'!$C$11=1, "█", IF('01_THONG_SO_DU_AN'!$C$11=2, $N7, $M7)), "")</f>
        <v/>
      </c>
      <c r="AL7" s="29">
        <f>IF(AND(AL$4&gt;=$J7, AL$4&lt;=$K7), IF('01_THONG_SO_DU_AN'!$C$11=1, "█", IF('01_THONG_SO_DU_AN'!$C$11=2, $N7, $M7)), "")</f>
        <v/>
      </c>
      <c r="AM7" s="29">
        <f>IF(AND(AM$4&gt;=$J7, AM$4&lt;=$K7), IF('01_THONG_SO_DU_AN'!$C$11=1, "█", IF('01_THONG_SO_DU_AN'!$C$11=2, $N7, $M7)), "")</f>
        <v/>
      </c>
      <c r="AN7" s="29">
        <f>IF(AND(AN$4&gt;=$J7, AN$4&lt;=$K7), IF('01_THONG_SO_DU_AN'!$C$11=1, "█", IF('01_THONG_SO_DU_AN'!$C$11=2, $N7, $M7)), "")</f>
        <v/>
      </c>
      <c r="AO7" s="29">
        <f>IF(AND(AO$4&gt;=$J7, AO$4&lt;=$K7), IF('01_THONG_SO_DU_AN'!$C$11=1, "█", IF('01_THONG_SO_DU_AN'!$C$11=2, $N7, $M7)), "")</f>
        <v/>
      </c>
      <c r="AP7" s="29">
        <f>IF(AND(AP$4&gt;=$J7, AP$4&lt;=$K7), IF('01_THONG_SO_DU_AN'!$C$11=1, "█", IF('01_THONG_SO_DU_AN'!$C$11=2, $N7, $M7)), "")</f>
        <v/>
      </c>
      <c r="AQ7" s="29">
        <f>IF(AND(AQ$4&gt;=$J7, AQ$4&lt;=$K7), IF('01_THONG_SO_DU_AN'!$C$11=1, "█", IF('01_THONG_SO_DU_AN'!$C$11=2, $N7, $M7)), "")</f>
        <v/>
      </c>
      <c r="AR7" s="29">
        <f>IF(AND(AR$4&gt;=$J7, AR$4&lt;=$K7), IF('01_THONG_SO_DU_AN'!$C$11=1, "█", IF('01_THONG_SO_DU_AN'!$C$11=2, $N7, $M7)), "")</f>
        <v/>
      </c>
      <c r="AS7" s="29">
        <f>IF(AND(AS$4&gt;=$J7, AS$4&lt;=$K7), IF('01_THONG_SO_DU_AN'!$C$11=1, "█", IF('01_THONG_SO_DU_AN'!$C$11=2, $N7, $M7)), "")</f>
        <v/>
      </c>
      <c r="AT7" s="29">
        <f>IF(AND(AT$4&gt;=$J7, AT$4&lt;=$K7), IF('01_THONG_SO_DU_AN'!$C$11=1, "█", IF('01_THONG_SO_DU_AN'!$C$11=2, $N7, $M7)), "")</f>
        <v/>
      </c>
      <c r="AU7" s="29">
        <f>IF(AND(AU$4&gt;=$J7, AU$4&lt;=$K7), IF('01_THONG_SO_DU_AN'!$C$11=1, "█", IF('01_THONG_SO_DU_AN'!$C$11=2, $N7, $M7)), "")</f>
        <v/>
      </c>
      <c r="AV7" s="29">
        <f>IF(AND(AV$4&gt;=$J7, AV$4&lt;=$K7), IF('01_THONG_SO_DU_AN'!$C$11=1, "█", IF('01_THONG_SO_DU_AN'!$C$11=2, $N7, $M7)), "")</f>
        <v/>
      </c>
      <c r="AW7" s="29">
        <f>IF(AND(AW$4&gt;=$J7, AW$4&lt;=$K7), IF('01_THONG_SO_DU_AN'!$C$11=1, "█", IF('01_THONG_SO_DU_AN'!$C$11=2, $N7, $M7)), "")</f>
        <v/>
      </c>
      <c r="AX7" s="29">
        <f>IF(AND(AX$4&gt;=$J7, AX$4&lt;=$K7), IF('01_THONG_SO_DU_AN'!$C$11=1, "█", IF('01_THONG_SO_DU_AN'!$C$11=2, $N7, $M7)), "")</f>
        <v/>
      </c>
      <c r="AY7" s="29">
        <f>IF(AND(AY$4&gt;=$J7, AY$4&lt;=$K7), IF('01_THONG_SO_DU_AN'!$C$11=1, "█", IF('01_THONG_SO_DU_AN'!$C$11=2, $N7, $M7)), "")</f>
        <v/>
      </c>
      <c r="AZ7" s="29">
        <f>IF(AND(AZ$4&gt;=$J7, AZ$4&lt;=$K7), IF('01_THONG_SO_DU_AN'!$C$11=1, "█", IF('01_THONG_SO_DU_AN'!$C$11=2, $N7, $M7)), "")</f>
        <v/>
      </c>
      <c r="BA7" s="29">
        <f>IF(AND(BA$4&gt;=$J7, BA$4&lt;=$K7), IF('01_THONG_SO_DU_AN'!$C$11=1, "█", IF('01_THONG_SO_DU_AN'!$C$11=2, $N7, $M7)), "")</f>
        <v/>
      </c>
      <c r="BB7" s="29">
        <f>IF(AND(BB$4&gt;=$J7, BB$4&lt;=$K7), IF('01_THONG_SO_DU_AN'!$C$11=1, "█", IF('01_THONG_SO_DU_AN'!$C$11=2, $N7, $M7)), "")</f>
        <v/>
      </c>
      <c r="BC7" s="29">
        <f>IF(AND(BC$4&gt;=$J7, BC$4&lt;=$K7), IF('01_THONG_SO_DU_AN'!$C$11=1, "█", IF('01_THONG_SO_DU_AN'!$C$11=2, $N7, $M7)), "")</f>
        <v/>
      </c>
      <c r="BD7" s="29">
        <f>IF(AND(BD$4&gt;=$J7, BD$4&lt;=$K7), IF('01_THONG_SO_DU_AN'!$C$11=1, "█", IF('01_THONG_SO_DU_AN'!$C$11=2, $N7, $M7)), "")</f>
        <v/>
      </c>
      <c r="BE7" s="29">
        <f>IF(AND(BE$4&gt;=$J7, BE$4&lt;=$K7), IF('01_THONG_SO_DU_AN'!$C$11=1, "█", IF('01_THONG_SO_DU_AN'!$C$11=2, $N7, $M7)), "")</f>
        <v/>
      </c>
      <c r="BF7" s="29">
        <f>IF(AND(BF$4&gt;=$J7, BF$4&lt;=$K7), IF('01_THONG_SO_DU_AN'!$C$11=1, "█", IF('01_THONG_SO_DU_AN'!$C$11=2, $N7, $M7)), "")</f>
        <v/>
      </c>
      <c r="BG7" s="29">
        <f>IF(AND(BG$4&gt;=$J7, BG$4&lt;=$K7), IF('01_THONG_SO_DU_AN'!$C$11=1, "█", IF('01_THONG_SO_DU_AN'!$C$11=2, $N7, $M7)), "")</f>
        <v/>
      </c>
      <c r="BH7" s="29">
        <f>IF(AND(BH$4&gt;=$J7, BH$4&lt;=$K7), IF('01_THONG_SO_DU_AN'!$C$11=1, "█", IF('01_THONG_SO_DU_AN'!$C$11=2, $N7, $M7)), "")</f>
        <v/>
      </c>
      <c r="BI7" s="29">
        <f>IF(AND(BI$4&gt;=$J7, BI$4&lt;=$K7), IF('01_THONG_SO_DU_AN'!$C$11=1, "█", IF('01_THONG_SO_DU_AN'!$C$11=2, $N7, $M7)), "")</f>
        <v/>
      </c>
      <c r="BJ7" s="29">
        <f>IF(AND(BJ$4&gt;=$J7, BJ$4&lt;=$K7), IF('01_THONG_SO_DU_AN'!$C$11=1, "█", IF('01_THONG_SO_DU_AN'!$C$11=2, $N7, $M7)), "")</f>
        <v/>
      </c>
      <c r="BK7" s="29">
        <f>IF(AND(BK$4&gt;=$J7, BK$4&lt;=$K7), IF('01_THONG_SO_DU_AN'!$C$11=1, "█", IF('01_THONG_SO_DU_AN'!$C$11=2, $N7, $M7)), "")</f>
        <v/>
      </c>
      <c r="BL7" s="29">
        <f>IF(AND(BL$4&gt;=$J7, BL$4&lt;=$K7), IF('01_THONG_SO_DU_AN'!$C$11=1, "█", IF('01_THONG_SO_DU_AN'!$C$11=2, $N7, $M7)), "")</f>
        <v/>
      </c>
      <c r="BM7" s="29">
        <f>IF(AND(BM$4&gt;=$J7, BM$4&lt;=$K7), IF('01_THONG_SO_DU_AN'!$C$11=1, "█", IF('01_THONG_SO_DU_AN'!$C$11=2, $N7, $M7)), "")</f>
        <v/>
      </c>
      <c r="BN7" s="29">
        <f>IF(AND(BN$4&gt;=$J7, BN$4&lt;=$K7), IF('01_THONG_SO_DU_AN'!$C$11=1, "█", IF('01_THONG_SO_DU_AN'!$C$11=2, $N7, $M7)), "")</f>
        <v/>
      </c>
      <c r="BO7" s="29">
        <f>IF(AND(BO$4&gt;=$J7, BO$4&lt;=$K7), IF('01_THONG_SO_DU_AN'!$C$11=1, "█", IF('01_THONG_SO_DU_AN'!$C$11=2, $N7, $M7)), "")</f>
        <v/>
      </c>
      <c r="BP7" s="29">
        <f>IF(AND(BP$4&gt;=$J7, BP$4&lt;=$K7), IF('01_THONG_SO_DU_AN'!$C$11=1, "█", IF('01_THONG_SO_DU_AN'!$C$11=2, $N7, $M7)), "")</f>
        <v/>
      </c>
      <c r="BQ7" s="29">
        <f>IF(AND(BQ$4&gt;=$J7, BQ$4&lt;=$K7), IF('01_THONG_SO_DU_AN'!$C$11=1, "█", IF('01_THONG_SO_DU_AN'!$C$11=2, $N7, $M7)), "")</f>
        <v/>
      </c>
      <c r="BR7" s="29">
        <f>IF(AND(BR$4&gt;=$J7, BR$4&lt;=$K7), IF('01_THONG_SO_DU_AN'!$C$11=1, "█", IF('01_THONG_SO_DU_AN'!$C$11=2, $N7, $M7)), "")</f>
        <v/>
      </c>
      <c r="BS7" s="29">
        <f>IF(AND(BS$4&gt;=$J7, BS$4&lt;=$K7), IF('01_THONG_SO_DU_AN'!$C$11=1, "█", IF('01_THONG_SO_DU_AN'!$C$11=2, $N7, $M7)), "")</f>
        <v/>
      </c>
      <c r="BT7" s="29">
        <f>IF(AND(BT$4&gt;=$J7, BT$4&lt;=$K7), IF('01_THONG_SO_DU_AN'!$C$11=1, "█", IF('01_THONG_SO_DU_AN'!$C$11=2, $N7, $M7)), "")</f>
        <v/>
      </c>
      <c r="BU7" s="29">
        <f>IF(AND(BU$4&gt;=$J7, BU$4&lt;=$K7), IF('01_THONG_SO_DU_AN'!$C$11=1, "█", IF('01_THONG_SO_DU_AN'!$C$11=2, $N7, $M7)), "")</f>
        <v/>
      </c>
      <c r="BV7" s="29">
        <f>IF(AND(BV$4&gt;=$J7, BV$4&lt;=$K7), IF('01_THONG_SO_DU_AN'!$C$11=1, "█", IF('01_THONG_SO_DU_AN'!$C$11=2, $N7, $M7)), "")</f>
        <v/>
      </c>
      <c r="BW7" s="29">
        <f>IF(AND(BW$4&gt;=$J7, BW$4&lt;=$K7), IF('01_THONG_SO_DU_AN'!$C$11=1, "█", IF('01_THONG_SO_DU_AN'!$C$11=2, $N7, $M7)), "")</f>
        <v/>
      </c>
      <c r="BX7" s="29">
        <f>IF(AND(BX$4&gt;=$J7, BX$4&lt;=$K7), IF('01_THONG_SO_DU_AN'!$C$11=1, "█", IF('01_THONG_SO_DU_AN'!$C$11=2, $N7, $M7)), "")</f>
        <v/>
      </c>
      <c r="BY7" s="29">
        <f>IF(AND(BY$4&gt;=$J7, BY$4&lt;=$K7), IF('01_THONG_SO_DU_AN'!$C$11=1, "█", IF('01_THONG_SO_DU_AN'!$C$11=2, $N7, $M7)), "")</f>
        <v/>
      </c>
      <c r="BZ7" s="29">
        <f>IF(AND(BZ$4&gt;=$J7, BZ$4&lt;=$K7), IF('01_THONG_SO_DU_AN'!$C$11=1, "█", IF('01_THONG_SO_DU_AN'!$C$11=2, $N7, $M7)), "")</f>
        <v/>
      </c>
      <c r="CA7" s="29">
        <f>IF(AND(CA$4&gt;=$J7, CA$4&lt;=$K7), IF('01_THONG_SO_DU_AN'!$C$11=1, "█", IF('01_THONG_SO_DU_AN'!$C$11=2, $N7, $M7)), "")</f>
        <v/>
      </c>
      <c r="CB7" s="29">
        <f>IF(AND(CB$4&gt;=$J7, CB$4&lt;=$K7), IF('01_THONG_SO_DU_AN'!$C$11=1, "█", IF('01_THONG_SO_DU_AN'!$C$11=2, $N7, $M7)), "")</f>
        <v/>
      </c>
      <c r="CC7" s="29">
        <f>IF(AND(CC$4&gt;=$J7, CC$4&lt;=$K7), IF('01_THONG_SO_DU_AN'!$C$11=1, "█", IF('01_THONG_SO_DU_AN'!$C$11=2, $N7, $M7)), "")</f>
        <v/>
      </c>
      <c r="CD7" s="29">
        <f>IF(AND(CD$4&gt;=$J7, CD$4&lt;=$K7), IF('01_THONG_SO_DU_AN'!$C$11=1, "█", IF('01_THONG_SO_DU_AN'!$C$11=2, $N7, $M7)), "")</f>
        <v/>
      </c>
      <c r="CE7" s="29">
        <f>IF(AND(CE$4&gt;=$J7, CE$4&lt;=$K7), IF('01_THONG_SO_DU_AN'!$C$11=1, "█", IF('01_THONG_SO_DU_AN'!$C$11=2, $N7, $M7)), "")</f>
        <v/>
      </c>
      <c r="CF7" s="29">
        <f>IF(AND(CF$4&gt;=$J7, CF$4&lt;=$K7), IF('01_THONG_SO_DU_AN'!$C$11=1, "█", IF('01_THONG_SO_DU_AN'!$C$11=2, $N7, $M7)), "")</f>
        <v/>
      </c>
      <c r="CG7" s="29">
        <f>IF(AND(CG$4&gt;=$J7, CG$4&lt;=$K7), IF('01_THONG_SO_DU_AN'!$C$11=1, "█", IF('01_THONG_SO_DU_AN'!$C$11=2, $N7, $M7)), "")</f>
        <v/>
      </c>
      <c r="CH7" s="29">
        <f>IF(AND(CH$4&gt;=$J7, CH$4&lt;=$K7), IF('01_THONG_SO_DU_AN'!$C$11=1, "█", IF('01_THONG_SO_DU_AN'!$C$11=2, $N7, $M7)), "")</f>
        <v/>
      </c>
      <c r="CI7" s="29">
        <f>IF(AND(CI$4&gt;=$J7, CI$4&lt;=$K7), IF('01_THONG_SO_DU_AN'!$C$11=1, "█", IF('01_THONG_SO_DU_AN'!$C$11=2, $N7, $M7)), "")</f>
        <v/>
      </c>
      <c r="CJ7" s="29">
        <f>IF(AND(CJ$4&gt;=$J7, CJ$4&lt;=$K7), IF('01_THONG_SO_DU_AN'!$C$11=1, "█", IF('01_THONG_SO_DU_AN'!$C$11=2, $N7, $M7)), "")</f>
        <v/>
      </c>
      <c r="CK7" s="29">
        <f>IF(AND(CK$4&gt;=$J7, CK$4&lt;=$K7), IF('01_THONG_SO_DU_AN'!$C$11=1, "█", IF('01_THONG_SO_DU_AN'!$C$11=2, $N7, $M7)), "")</f>
        <v/>
      </c>
      <c r="CL7" s="29">
        <f>IF(AND(CL$4&gt;=$J7, CL$4&lt;=$K7), IF('01_THONG_SO_DU_AN'!$C$11=1, "█", IF('01_THONG_SO_DU_AN'!$C$11=2, $N7, $M7)), "")</f>
        <v/>
      </c>
      <c r="CM7" s="29">
        <f>IF(AND(CM$4&gt;=$J7, CM$4&lt;=$K7), IF('01_THONG_SO_DU_AN'!$C$11=1, "█", IF('01_THONG_SO_DU_AN'!$C$11=2, $N7, $M7)), "")</f>
        <v/>
      </c>
      <c r="CN7" s="29">
        <f>IF(AND(CN$4&gt;=$J7, CN$4&lt;=$K7), IF('01_THONG_SO_DU_AN'!$C$11=1, "█", IF('01_THONG_SO_DU_AN'!$C$11=2, $N7, $M7)), "")</f>
        <v/>
      </c>
      <c r="CO7" s="29">
        <f>IF(AND(CO$4&gt;=$J7, CO$4&lt;=$K7), IF('01_THONG_SO_DU_AN'!$C$11=1, "█", IF('01_THONG_SO_DU_AN'!$C$11=2, $N7, $M7)), "")</f>
        <v/>
      </c>
      <c r="CP7" s="29">
        <f>IF(AND(CP$4&gt;=$J7, CP$4&lt;=$K7), IF('01_THONG_SO_DU_AN'!$C$11=1, "█", IF('01_THONG_SO_DU_AN'!$C$11=2, $N7, $M7)), "")</f>
        <v/>
      </c>
      <c r="CQ7" s="29">
        <f>IF(AND(CQ$4&gt;=$J7, CQ$4&lt;=$K7), IF('01_THONG_SO_DU_AN'!$C$11=1, "█", IF('01_THONG_SO_DU_AN'!$C$11=2, $N7, $M7)), "")</f>
        <v/>
      </c>
      <c r="CR7" s="29">
        <f>IF(AND(CR$4&gt;=$J7, CR$4&lt;=$K7), IF('01_THONG_SO_DU_AN'!$C$11=1, "█", IF('01_THONG_SO_DU_AN'!$C$11=2, $N7, $M7)), "")</f>
        <v/>
      </c>
      <c r="CS7" s="29">
        <f>IF(AND(CS$4&gt;=$J7, CS$4&lt;=$K7), IF('01_THONG_SO_DU_AN'!$C$11=1, "█", IF('01_THONG_SO_DU_AN'!$C$11=2, $N7, $M7)), "")</f>
        <v/>
      </c>
      <c r="CT7" s="29">
        <f>IF(AND(CT$4&gt;=$J7, CT$4&lt;=$K7), IF('01_THONG_SO_DU_AN'!$C$11=1, "█", IF('01_THONG_SO_DU_AN'!$C$11=2, $N7, $M7)), "")</f>
        <v/>
      </c>
      <c r="CU7" s="29">
        <f>IF(AND(CU$4&gt;=$J7, CU$4&lt;=$K7), IF('01_THONG_SO_DU_AN'!$C$11=1, "█", IF('01_THONG_SO_DU_AN'!$C$11=2, $N7, $M7)), "")</f>
        <v/>
      </c>
      <c r="CV7" s="29">
        <f>IF(AND(CV$4&gt;=$J7, CV$4&lt;=$K7), IF('01_THONG_SO_DU_AN'!$C$11=1, "█", IF('01_THONG_SO_DU_AN'!$C$11=2, $N7, $M7)), "")</f>
        <v/>
      </c>
      <c r="CW7" s="29">
        <f>IF(AND(CW$4&gt;=$J7, CW$4&lt;=$K7), IF('01_THONG_SO_DU_AN'!$C$11=1, "█", IF('01_THONG_SO_DU_AN'!$C$11=2, $N7, $M7)), "")</f>
        <v/>
      </c>
      <c r="CX7" s="29">
        <f>IF(AND(CX$4&gt;=$J7, CX$4&lt;=$K7), IF('01_THONG_SO_DU_AN'!$C$11=1, "█", IF('01_THONG_SO_DU_AN'!$C$11=2, $N7, $M7)), "")</f>
        <v/>
      </c>
      <c r="CY7" s="29">
        <f>IF(AND(CY$4&gt;=$J7, CY$4&lt;=$K7), IF('01_THONG_SO_DU_AN'!$C$11=1, "█", IF('01_THONG_SO_DU_AN'!$C$11=2, $N7, $M7)), "")</f>
        <v/>
      </c>
      <c r="CZ7" s="29">
        <f>IF(AND(CZ$4&gt;=$J7, CZ$4&lt;=$K7), IF('01_THONG_SO_DU_AN'!$C$11=1, "█", IF('01_THONG_SO_DU_AN'!$C$11=2, $N7, $M7)), "")</f>
        <v/>
      </c>
      <c r="DA7" s="29">
        <f>IF(AND(DA$4&gt;=$J7, DA$4&lt;=$K7), IF('01_THONG_SO_DU_AN'!$C$11=1, "█", IF('01_THONG_SO_DU_AN'!$C$11=2, $N7, $M7)), "")</f>
        <v/>
      </c>
      <c r="DB7" s="29">
        <f>IF(AND(DB$4&gt;=$J7, DB$4&lt;=$K7), IF('01_THONG_SO_DU_AN'!$C$11=1, "█", IF('01_THONG_SO_DU_AN'!$C$11=2, $N7, $M7)), "")</f>
        <v/>
      </c>
      <c r="DC7" s="29">
        <f>IF(AND(DC$4&gt;=$J7, DC$4&lt;=$K7), IF('01_THONG_SO_DU_AN'!$C$11=1, "█", IF('01_THONG_SO_DU_AN'!$C$11=2, $N7, $M7)), "")</f>
        <v/>
      </c>
      <c r="DD7" s="29">
        <f>IF(AND(DD$4&gt;=$J7, DD$4&lt;=$K7), IF('01_THONG_SO_DU_AN'!$C$11=1, "█", IF('01_THONG_SO_DU_AN'!$C$11=2, $N7, $M7)), "")</f>
        <v/>
      </c>
      <c r="DE7" s="29">
        <f>IF(AND(DE$4&gt;=$J7, DE$4&lt;=$K7), IF('01_THONG_SO_DU_AN'!$C$11=1, "█", IF('01_THONG_SO_DU_AN'!$C$11=2, $N7, $M7)), "")</f>
        <v/>
      </c>
      <c r="DF7" s="29">
        <f>IF(AND(DF$4&gt;=$J7, DF$4&lt;=$K7), IF('01_THONG_SO_DU_AN'!$C$11=1, "█", IF('01_THONG_SO_DU_AN'!$C$11=2, $N7, $M7)), "")</f>
        <v/>
      </c>
      <c r="DG7" s="29">
        <f>IF(AND(DG$4&gt;=$J7, DG$4&lt;=$K7), IF('01_THONG_SO_DU_AN'!$C$11=1, "█", IF('01_THONG_SO_DU_AN'!$C$11=2, $N7, $M7)), "")</f>
        <v/>
      </c>
    </row>
    <row r="8">
      <c r="A8" s="23" t="n">
        <v>3</v>
      </c>
      <c r="B8" s="23" t="inlineStr">
        <is>
          <t>1.2</t>
        </is>
      </c>
      <c r="C8" s="24" t="inlineStr">
        <is>
          <t>Vận chuyển đất đào hữu cơ nội bộ &lt; 5km</t>
        </is>
      </c>
      <c r="D8" s="23" t="inlineStr">
        <is>
          <t>m3</t>
        </is>
      </c>
      <c r="E8" s="25" t="n">
        <v>102793.8</v>
      </c>
      <c r="F8" s="23" t="inlineStr">
        <is>
          <t>M7</t>
        </is>
      </c>
      <c r="G8" s="25">
        <f>VLOOKUP(F8, '02_DINH_MUC_CA_MAY_VA_DAU'!$C$6:$I$16, 5, FALSE)</f>
        <v/>
      </c>
      <c r="H8" s="25">
        <f>E8/G8</f>
        <v/>
      </c>
      <c r="I8" s="26" t="n">
        <v>72</v>
      </c>
      <c r="J8" s="27">
        <f>J7</f>
        <v/>
      </c>
      <c r="K8" s="27">
        <f>J8+I8-1</f>
        <v/>
      </c>
      <c r="L8" s="23">
        <f>IF(K8='01_THONG_SO_DU_AN'!$C$7, "CRITICAL (GĂNG)", "")</f>
        <v/>
      </c>
      <c r="M8" s="28">
        <f>ROUNDUP(H8/(I8*'01_THONG_SO_DU_AN'!$C$10), 0)</f>
        <v/>
      </c>
      <c r="N8" s="28">
        <f>M8*VLOOKUP(F8, '02_DINH_MUC_CA_MAY_VA_DAU'!$C$6:$I$16, 7, FALSE)</f>
        <v/>
      </c>
      <c r="O8" s="29">
        <f>IF(AND(O$4&gt;=$J8, O$4&lt;=$K8), IF('01_THONG_SO_DU_AN'!$C$11=1, "█", IF('01_THONG_SO_DU_AN'!$C$11=2, $N8, $M8)), "")</f>
        <v/>
      </c>
      <c r="P8" s="29">
        <f>IF(AND(P$4&gt;=$J8, P$4&lt;=$K8), IF('01_THONG_SO_DU_AN'!$C$11=1, "█", IF('01_THONG_SO_DU_AN'!$C$11=2, $N8, $M8)), "")</f>
        <v/>
      </c>
      <c r="Q8" s="29">
        <f>IF(AND(Q$4&gt;=$J8, Q$4&lt;=$K8), IF('01_THONG_SO_DU_AN'!$C$11=1, "█", IF('01_THONG_SO_DU_AN'!$C$11=2, $N8, $M8)), "")</f>
        <v/>
      </c>
      <c r="R8" s="29">
        <f>IF(AND(R$4&gt;=$J8, R$4&lt;=$K8), IF('01_THONG_SO_DU_AN'!$C$11=1, "█", IF('01_THONG_SO_DU_AN'!$C$11=2, $N8, $M8)), "")</f>
        <v/>
      </c>
      <c r="S8" s="29">
        <f>IF(AND(S$4&gt;=$J8, S$4&lt;=$K8), IF('01_THONG_SO_DU_AN'!$C$11=1, "█", IF('01_THONG_SO_DU_AN'!$C$11=2, $N8, $M8)), "")</f>
        <v/>
      </c>
      <c r="T8" s="29">
        <f>IF(AND(T$4&gt;=$J8, T$4&lt;=$K8), IF('01_THONG_SO_DU_AN'!$C$11=1, "█", IF('01_THONG_SO_DU_AN'!$C$11=2, $N8, $M8)), "")</f>
        <v/>
      </c>
      <c r="U8" s="29">
        <f>IF(AND(U$4&gt;=$J8, U$4&lt;=$K8), IF('01_THONG_SO_DU_AN'!$C$11=1, "█", IF('01_THONG_SO_DU_AN'!$C$11=2, $N8, $M8)), "")</f>
        <v/>
      </c>
      <c r="V8" s="29">
        <f>IF(AND(V$4&gt;=$J8, V$4&lt;=$K8), IF('01_THONG_SO_DU_AN'!$C$11=1, "█", IF('01_THONG_SO_DU_AN'!$C$11=2, $N8, $M8)), "")</f>
        <v/>
      </c>
      <c r="W8" s="29">
        <f>IF(AND(W$4&gt;=$J8, W$4&lt;=$K8), IF('01_THONG_SO_DU_AN'!$C$11=1, "█", IF('01_THONG_SO_DU_AN'!$C$11=2, $N8, $M8)), "")</f>
        <v/>
      </c>
      <c r="X8" s="29">
        <f>IF(AND(X$4&gt;=$J8, X$4&lt;=$K8), IF('01_THONG_SO_DU_AN'!$C$11=1, "█", IF('01_THONG_SO_DU_AN'!$C$11=2, $N8, $M8)), "")</f>
        <v/>
      </c>
      <c r="Y8" s="29">
        <f>IF(AND(Y$4&gt;=$J8, Y$4&lt;=$K8), IF('01_THONG_SO_DU_AN'!$C$11=1, "█", IF('01_THONG_SO_DU_AN'!$C$11=2, $N8, $M8)), "")</f>
        <v/>
      </c>
      <c r="Z8" s="29">
        <f>IF(AND(Z$4&gt;=$J8, Z$4&lt;=$K8), IF('01_THONG_SO_DU_AN'!$C$11=1, "█", IF('01_THONG_SO_DU_AN'!$C$11=2, $N8, $M8)), "")</f>
        <v/>
      </c>
      <c r="AA8" s="29">
        <f>IF(AND(AA$4&gt;=$J8, AA$4&lt;=$K8), IF('01_THONG_SO_DU_AN'!$C$11=1, "█", IF('01_THONG_SO_DU_AN'!$C$11=2, $N8, $M8)), "")</f>
        <v/>
      </c>
      <c r="AB8" s="29">
        <f>IF(AND(AB$4&gt;=$J8, AB$4&lt;=$K8), IF('01_THONG_SO_DU_AN'!$C$11=1, "█", IF('01_THONG_SO_DU_AN'!$C$11=2, $N8, $M8)), "")</f>
        <v/>
      </c>
      <c r="AC8" s="29">
        <f>IF(AND(AC$4&gt;=$J8, AC$4&lt;=$K8), IF('01_THONG_SO_DU_AN'!$C$11=1, "█", IF('01_THONG_SO_DU_AN'!$C$11=2, $N8, $M8)), "")</f>
        <v/>
      </c>
      <c r="AD8" s="29">
        <f>IF(AND(AD$4&gt;=$J8, AD$4&lt;=$K8), IF('01_THONG_SO_DU_AN'!$C$11=1, "█", IF('01_THONG_SO_DU_AN'!$C$11=2, $N8, $M8)), "")</f>
        <v/>
      </c>
      <c r="AE8" s="29">
        <f>IF(AND(AE$4&gt;=$J8, AE$4&lt;=$K8), IF('01_THONG_SO_DU_AN'!$C$11=1, "█", IF('01_THONG_SO_DU_AN'!$C$11=2, $N8, $M8)), "")</f>
        <v/>
      </c>
      <c r="AF8" s="29">
        <f>IF(AND(AF$4&gt;=$J8, AF$4&lt;=$K8), IF('01_THONG_SO_DU_AN'!$C$11=1, "█", IF('01_THONG_SO_DU_AN'!$C$11=2, $N8, $M8)), "")</f>
        <v/>
      </c>
      <c r="AG8" s="29">
        <f>IF(AND(AG$4&gt;=$J8, AG$4&lt;=$K8), IF('01_THONG_SO_DU_AN'!$C$11=1, "█", IF('01_THONG_SO_DU_AN'!$C$11=2, $N8, $M8)), "")</f>
        <v/>
      </c>
      <c r="AH8" s="29">
        <f>IF(AND(AH$4&gt;=$J8, AH$4&lt;=$K8), IF('01_THONG_SO_DU_AN'!$C$11=1, "█", IF('01_THONG_SO_DU_AN'!$C$11=2, $N8, $M8)), "")</f>
        <v/>
      </c>
      <c r="AI8" s="29">
        <f>IF(AND(AI$4&gt;=$J8, AI$4&lt;=$K8), IF('01_THONG_SO_DU_AN'!$C$11=1, "█", IF('01_THONG_SO_DU_AN'!$C$11=2, $N8, $M8)), "")</f>
        <v/>
      </c>
      <c r="AJ8" s="29">
        <f>IF(AND(AJ$4&gt;=$J8, AJ$4&lt;=$K8), IF('01_THONG_SO_DU_AN'!$C$11=1, "█", IF('01_THONG_SO_DU_AN'!$C$11=2, $N8, $M8)), "")</f>
        <v/>
      </c>
      <c r="AK8" s="29">
        <f>IF(AND(AK$4&gt;=$J8, AK$4&lt;=$K8), IF('01_THONG_SO_DU_AN'!$C$11=1, "█", IF('01_THONG_SO_DU_AN'!$C$11=2, $N8, $M8)), "")</f>
        <v/>
      </c>
      <c r="AL8" s="29">
        <f>IF(AND(AL$4&gt;=$J8, AL$4&lt;=$K8), IF('01_THONG_SO_DU_AN'!$C$11=1, "█", IF('01_THONG_SO_DU_AN'!$C$11=2, $N8, $M8)), "")</f>
        <v/>
      </c>
      <c r="AM8" s="29">
        <f>IF(AND(AM$4&gt;=$J8, AM$4&lt;=$K8), IF('01_THONG_SO_DU_AN'!$C$11=1, "█", IF('01_THONG_SO_DU_AN'!$C$11=2, $N8, $M8)), "")</f>
        <v/>
      </c>
      <c r="AN8" s="29">
        <f>IF(AND(AN$4&gt;=$J8, AN$4&lt;=$K8), IF('01_THONG_SO_DU_AN'!$C$11=1, "█", IF('01_THONG_SO_DU_AN'!$C$11=2, $N8, $M8)), "")</f>
        <v/>
      </c>
      <c r="AO8" s="29">
        <f>IF(AND(AO$4&gt;=$J8, AO$4&lt;=$K8), IF('01_THONG_SO_DU_AN'!$C$11=1, "█", IF('01_THONG_SO_DU_AN'!$C$11=2, $N8, $M8)), "")</f>
        <v/>
      </c>
      <c r="AP8" s="29">
        <f>IF(AND(AP$4&gt;=$J8, AP$4&lt;=$K8), IF('01_THONG_SO_DU_AN'!$C$11=1, "█", IF('01_THONG_SO_DU_AN'!$C$11=2, $N8, $M8)), "")</f>
        <v/>
      </c>
      <c r="AQ8" s="29">
        <f>IF(AND(AQ$4&gt;=$J8, AQ$4&lt;=$K8), IF('01_THONG_SO_DU_AN'!$C$11=1, "█", IF('01_THONG_SO_DU_AN'!$C$11=2, $N8, $M8)), "")</f>
        <v/>
      </c>
      <c r="AR8" s="29">
        <f>IF(AND(AR$4&gt;=$J8, AR$4&lt;=$K8), IF('01_THONG_SO_DU_AN'!$C$11=1, "█", IF('01_THONG_SO_DU_AN'!$C$11=2, $N8, $M8)), "")</f>
        <v/>
      </c>
      <c r="AS8" s="29">
        <f>IF(AND(AS$4&gt;=$J8, AS$4&lt;=$K8), IF('01_THONG_SO_DU_AN'!$C$11=1, "█", IF('01_THONG_SO_DU_AN'!$C$11=2, $N8, $M8)), "")</f>
        <v/>
      </c>
      <c r="AT8" s="29">
        <f>IF(AND(AT$4&gt;=$J8, AT$4&lt;=$K8), IF('01_THONG_SO_DU_AN'!$C$11=1, "█", IF('01_THONG_SO_DU_AN'!$C$11=2, $N8, $M8)), "")</f>
        <v/>
      </c>
      <c r="AU8" s="29">
        <f>IF(AND(AU$4&gt;=$J8, AU$4&lt;=$K8), IF('01_THONG_SO_DU_AN'!$C$11=1, "█", IF('01_THONG_SO_DU_AN'!$C$11=2, $N8, $M8)), "")</f>
        <v/>
      </c>
      <c r="AV8" s="29">
        <f>IF(AND(AV$4&gt;=$J8, AV$4&lt;=$K8), IF('01_THONG_SO_DU_AN'!$C$11=1, "█", IF('01_THONG_SO_DU_AN'!$C$11=2, $N8, $M8)), "")</f>
        <v/>
      </c>
      <c r="AW8" s="29">
        <f>IF(AND(AW$4&gt;=$J8, AW$4&lt;=$K8), IF('01_THONG_SO_DU_AN'!$C$11=1, "█", IF('01_THONG_SO_DU_AN'!$C$11=2, $N8, $M8)), "")</f>
        <v/>
      </c>
      <c r="AX8" s="29">
        <f>IF(AND(AX$4&gt;=$J8, AX$4&lt;=$K8), IF('01_THONG_SO_DU_AN'!$C$11=1, "█", IF('01_THONG_SO_DU_AN'!$C$11=2, $N8, $M8)), "")</f>
        <v/>
      </c>
      <c r="AY8" s="29">
        <f>IF(AND(AY$4&gt;=$J8, AY$4&lt;=$K8), IF('01_THONG_SO_DU_AN'!$C$11=1, "█", IF('01_THONG_SO_DU_AN'!$C$11=2, $N8, $M8)), "")</f>
        <v/>
      </c>
      <c r="AZ8" s="29">
        <f>IF(AND(AZ$4&gt;=$J8, AZ$4&lt;=$K8), IF('01_THONG_SO_DU_AN'!$C$11=1, "█", IF('01_THONG_SO_DU_AN'!$C$11=2, $N8, $M8)), "")</f>
        <v/>
      </c>
      <c r="BA8" s="29">
        <f>IF(AND(BA$4&gt;=$J8, BA$4&lt;=$K8), IF('01_THONG_SO_DU_AN'!$C$11=1, "█", IF('01_THONG_SO_DU_AN'!$C$11=2, $N8, $M8)), "")</f>
        <v/>
      </c>
      <c r="BB8" s="29">
        <f>IF(AND(BB$4&gt;=$J8, BB$4&lt;=$K8), IF('01_THONG_SO_DU_AN'!$C$11=1, "█", IF('01_THONG_SO_DU_AN'!$C$11=2, $N8, $M8)), "")</f>
        <v/>
      </c>
      <c r="BC8" s="29">
        <f>IF(AND(BC$4&gt;=$J8, BC$4&lt;=$K8), IF('01_THONG_SO_DU_AN'!$C$11=1, "█", IF('01_THONG_SO_DU_AN'!$C$11=2, $N8, $M8)), "")</f>
        <v/>
      </c>
      <c r="BD8" s="29">
        <f>IF(AND(BD$4&gt;=$J8, BD$4&lt;=$K8), IF('01_THONG_SO_DU_AN'!$C$11=1, "█", IF('01_THONG_SO_DU_AN'!$C$11=2, $N8, $M8)), "")</f>
        <v/>
      </c>
      <c r="BE8" s="29">
        <f>IF(AND(BE$4&gt;=$J8, BE$4&lt;=$K8), IF('01_THONG_SO_DU_AN'!$C$11=1, "█", IF('01_THONG_SO_DU_AN'!$C$11=2, $N8, $M8)), "")</f>
        <v/>
      </c>
      <c r="BF8" s="29">
        <f>IF(AND(BF$4&gt;=$J8, BF$4&lt;=$K8), IF('01_THONG_SO_DU_AN'!$C$11=1, "█", IF('01_THONG_SO_DU_AN'!$C$11=2, $N8, $M8)), "")</f>
        <v/>
      </c>
      <c r="BG8" s="29">
        <f>IF(AND(BG$4&gt;=$J8, BG$4&lt;=$K8), IF('01_THONG_SO_DU_AN'!$C$11=1, "█", IF('01_THONG_SO_DU_AN'!$C$11=2, $N8, $M8)), "")</f>
        <v/>
      </c>
      <c r="BH8" s="29">
        <f>IF(AND(BH$4&gt;=$J8, BH$4&lt;=$K8), IF('01_THONG_SO_DU_AN'!$C$11=1, "█", IF('01_THONG_SO_DU_AN'!$C$11=2, $N8, $M8)), "")</f>
        <v/>
      </c>
      <c r="BI8" s="29">
        <f>IF(AND(BI$4&gt;=$J8, BI$4&lt;=$K8), IF('01_THONG_SO_DU_AN'!$C$11=1, "█", IF('01_THONG_SO_DU_AN'!$C$11=2, $N8, $M8)), "")</f>
        <v/>
      </c>
      <c r="BJ8" s="29">
        <f>IF(AND(BJ$4&gt;=$J8, BJ$4&lt;=$K8), IF('01_THONG_SO_DU_AN'!$C$11=1, "█", IF('01_THONG_SO_DU_AN'!$C$11=2, $N8, $M8)), "")</f>
        <v/>
      </c>
      <c r="BK8" s="29">
        <f>IF(AND(BK$4&gt;=$J8, BK$4&lt;=$K8), IF('01_THONG_SO_DU_AN'!$C$11=1, "█", IF('01_THONG_SO_DU_AN'!$C$11=2, $N8, $M8)), "")</f>
        <v/>
      </c>
      <c r="BL8" s="29">
        <f>IF(AND(BL$4&gt;=$J8, BL$4&lt;=$K8), IF('01_THONG_SO_DU_AN'!$C$11=1, "█", IF('01_THONG_SO_DU_AN'!$C$11=2, $N8, $M8)), "")</f>
        <v/>
      </c>
      <c r="BM8" s="29">
        <f>IF(AND(BM$4&gt;=$J8, BM$4&lt;=$K8), IF('01_THONG_SO_DU_AN'!$C$11=1, "█", IF('01_THONG_SO_DU_AN'!$C$11=2, $N8, $M8)), "")</f>
        <v/>
      </c>
      <c r="BN8" s="29">
        <f>IF(AND(BN$4&gt;=$J8, BN$4&lt;=$K8), IF('01_THONG_SO_DU_AN'!$C$11=1, "█", IF('01_THONG_SO_DU_AN'!$C$11=2, $N8, $M8)), "")</f>
        <v/>
      </c>
      <c r="BO8" s="29">
        <f>IF(AND(BO$4&gt;=$J8, BO$4&lt;=$K8), IF('01_THONG_SO_DU_AN'!$C$11=1, "█", IF('01_THONG_SO_DU_AN'!$C$11=2, $N8, $M8)), "")</f>
        <v/>
      </c>
      <c r="BP8" s="29">
        <f>IF(AND(BP$4&gt;=$J8, BP$4&lt;=$K8), IF('01_THONG_SO_DU_AN'!$C$11=1, "█", IF('01_THONG_SO_DU_AN'!$C$11=2, $N8, $M8)), "")</f>
        <v/>
      </c>
      <c r="BQ8" s="29">
        <f>IF(AND(BQ$4&gt;=$J8, BQ$4&lt;=$K8), IF('01_THONG_SO_DU_AN'!$C$11=1, "█", IF('01_THONG_SO_DU_AN'!$C$11=2, $N8, $M8)), "")</f>
        <v/>
      </c>
      <c r="BR8" s="29">
        <f>IF(AND(BR$4&gt;=$J8, BR$4&lt;=$K8), IF('01_THONG_SO_DU_AN'!$C$11=1, "█", IF('01_THONG_SO_DU_AN'!$C$11=2, $N8, $M8)), "")</f>
        <v/>
      </c>
      <c r="BS8" s="29">
        <f>IF(AND(BS$4&gt;=$J8, BS$4&lt;=$K8), IF('01_THONG_SO_DU_AN'!$C$11=1, "█", IF('01_THONG_SO_DU_AN'!$C$11=2, $N8, $M8)), "")</f>
        <v/>
      </c>
      <c r="BT8" s="29">
        <f>IF(AND(BT$4&gt;=$J8, BT$4&lt;=$K8), IF('01_THONG_SO_DU_AN'!$C$11=1, "█", IF('01_THONG_SO_DU_AN'!$C$11=2, $N8, $M8)), "")</f>
        <v/>
      </c>
      <c r="BU8" s="29">
        <f>IF(AND(BU$4&gt;=$J8, BU$4&lt;=$K8), IF('01_THONG_SO_DU_AN'!$C$11=1, "█", IF('01_THONG_SO_DU_AN'!$C$11=2, $N8, $M8)), "")</f>
        <v/>
      </c>
      <c r="BV8" s="29">
        <f>IF(AND(BV$4&gt;=$J8, BV$4&lt;=$K8), IF('01_THONG_SO_DU_AN'!$C$11=1, "█", IF('01_THONG_SO_DU_AN'!$C$11=2, $N8, $M8)), "")</f>
        <v/>
      </c>
      <c r="BW8" s="29">
        <f>IF(AND(BW$4&gt;=$J8, BW$4&lt;=$K8), IF('01_THONG_SO_DU_AN'!$C$11=1, "█", IF('01_THONG_SO_DU_AN'!$C$11=2, $N8, $M8)), "")</f>
        <v/>
      </c>
      <c r="BX8" s="29">
        <f>IF(AND(BX$4&gt;=$J8, BX$4&lt;=$K8), IF('01_THONG_SO_DU_AN'!$C$11=1, "█", IF('01_THONG_SO_DU_AN'!$C$11=2, $N8, $M8)), "")</f>
        <v/>
      </c>
      <c r="BY8" s="29">
        <f>IF(AND(BY$4&gt;=$J8, BY$4&lt;=$K8), IF('01_THONG_SO_DU_AN'!$C$11=1, "█", IF('01_THONG_SO_DU_AN'!$C$11=2, $N8, $M8)), "")</f>
        <v/>
      </c>
      <c r="BZ8" s="29">
        <f>IF(AND(BZ$4&gt;=$J8, BZ$4&lt;=$K8), IF('01_THONG_SO_DU_AN'!$C$11=1, "█", IF('01_THONG_SO_DU_AN'!$C$11=2, $N8, $M8)), "")</f>
        <v/>
      </c>
      <c r="CA8" s="29">
        <f>IF(AND(CA$4&gt;=$J8, CA$4&lt;=$K8), IF('01_THONG_SO_DU_AN'!$C$11=1, "█", IF('01_THONG_SO_DU_AN'!$C$11=2, $N8, $M8)), "")</f>
        <v/>
      </c>
      <c r="CB8" s="29">
        <f>IF(AND(CB$4&gt;=$J8, CB$4&lt;=$K8), IF('01_THONG_SO_DU_AN'!$C$11=1, "█", IF('01_THONG_SO_DU_AN'!$C$11=2, $N8, $M8)), "")</f>
        <v/>
      </c>
      <c r="CC8" s="29">
        <f>IF(AND(CC$4&gt;=$J8, CC$4&lt;=$K8), IF('01_THONG_SO_DU_AN'!$C$11=1, "█", IF('01_THONG_SO_DU_AN'!$C$11=2, $N8, $M8)), "")</f>
        <v/>
      </c>
      <c r="CD8" s="29">
        <f>IF(AND(CD$4&gt;=$J8, CD$4&lt;=$K8), IF('01_THONG_SO_DU_AN'!$C$11=1, "█", IF('01_THONG_SO_DU_AN'!$C$11=2, $N8, $M8)), "")</f>
        <v/>
      </c>
      <c r="CE8" s="29">
        <f>IF(AND(CE$4&gt;=$J8, CE$4&lt;=$K8), IF('01_THONG_SO_DU_AN'!$C$11=1, "█", IF('01_THONG_SO_DU_AN'!$C$11=2, $N8, $M8)), "")</f>
        <v/>
      </c>
      <c r="CF8" s="29">
        <f>IF(AND(CF$4&gt;=$J8, CF$4&lt;=$K8), IF('01_THONG_SO_DU_AN'!$C$11=1, "█", IF('01_THONG_SO_DU_AN'!$C$11=2, $N8, $M8)), "")</f>
        <v/>
      </c>
      <c r="CG8" s="29">
        <f>IF(AND(CG$4&gt;=$J8, CG$4&lt;=$K8), IF('01_THONG_SO_DU_AN'!$C$11=1, "█", IF('01_THONG_SO_DU_AN'!$C$11=2, $N8, $M8)), "")</f>
        <v/>
      </c>
      <c r="CH8" s="29">
        <f>IF(AND(CH$4&gt;=$J8, CH$4&lt;=$K8), IF('01_THONG_SO_DU_AN'!$C$11=1, "█", IF('01_THONG_SO_DU_AN'!$C$11=2, $N8, $M8)), "")</f>
        <v/>
      </c>
      <c r="CI8" s="29">
        <f>IF(AND(CI$4&gt;=$J8, CI$4&lt;=$K8), IF('01_THONG_SO_DU_AN'!$C$11=1, "█", IF('01_THONG_SO_DU_AN'!$C$11=2, $N8, $M8)), "")</f>
        <v/>
      </c>
      <c r="CJ8" s="29">
        <f>IF(AND(CJ$4&gt;=$J8, CJ$4&lt;=$K8), IF('01_THONG_SO_DU_AN'!$C$11=1, "█", IF('01_THONG_SO_DU_AN'!$C$11=2, $N8, $M8)), "")</f>
        <v/>
      </c>
      <c r="CK8" s="29">
        <f>IF(AND(CK$4&gt;=$J8, CK$4&lt;=$K8), IF('01_THONG_SO_DU_AN'!$C$11=1, "█", IF('01_THONG_SO_DU_AN'!$C$11=2, $N8, $M8)), "")</f>
        <v/>
      </c>
      <c r="CL8" s="29">
        <f>IF(AND(CL$4&gt;=$J8, CL$4&lt;=$K8), IF('01_THONG_SO_DU_AN'!$C$11=1, "█", IF('01_THONG_SO_DU_AN'!$C$11=2, $N8, $M8)), "")</f>
        <v/>
      </c>
      <c r="CM8" s="29">
        <f>IF(AND(CM$4&gt;=$J8, CM$4&lt;=$K8), IF('01_THONG_SO_DU_AN'!$C$11=1, "█", IF('01_THONG_SO_DU_AN'!$C$11=2, $N8, $M8)), "")</f>
        <v/>
      </c>
      <c r="CN8" s="29">
        <f>IF(AND(CN$4&gt;=$J8, CN$4&lt;=$K8), IF('01_THONG_SO_DU_AN'!$C$11=1, "█", IF('01_THONG_SO_DU_AN'!$C$11=2, $N8, $M8)), "")</f>
        <v/>
      </c>
      <c r="CO8" s="29">
        <f>IF(AND(CO$4&gt;=$J8, CO$4&lt;=$K8), IF('01_THONG_SO_DU_AN'!$C$11=1, "█", IF('01_THONG_SO_DU_AN'!$C$11=2, $N8, $M8)), "")</f>
        <v/>
      </c>
      <c r="CP8" s="29">
        <f>IF(AND(CP$4&gt;=$J8, CP$4&lt;=$K8), IF('01_THONG_SO_DU_AN'!$C$11=1, "█", IF('01_THONG_SO_DU_AN'!$C$11=2, $N8, $M8)), "")</f>
        <v/>
      </c>
      <c r="CQ8" s="29">
        <f>IF(AND(CQ$4&gt;=$J8, CQ$4&lt;=$K8), IF('01_THONG_SO_DU_AN'!$C$11=1, "█", IF('01_THONG_SO_DU_AN'!$C$11=2, $N8, $M8)), "")</f>
        <v/>
      </c>
      <c r="CR8" s="29">
        <f>IF(AND(CR$4&gt;=$J8, CR$4&lt;=$K8), IF('01_THONG_SO_DU_AN'!$C$11=1, "█", IF('01_THONG_SO_DU_AN'!$C$11=2, $N8, $M8)), "")</f>
        <v/>
      </c>
      <c r="CS8" s="29">
        <f>IF(AND(CS$4&gt;=$J8, CS$4&lt;=$K8), IF('01_THONG_SO_DU_AN'!$C$11=1, "█", IF('01_THONG_SO_DU_AN'!$C$11=2, $N8, $M8)), "")</f>
        <v/>
      </c>
      <c r="CT8" s="29">
        <f>IF(AND(CT$4&gt;=$J8, CT$4&lt;=$K8), IF('01_THONG_SO_DU_AN'!$C$11=1, "█", IF('01_THONG_SO_DU_AN'!$C$11=2, $N8, $M8)), "")</f>
        <v/>
      </c>
      <c r="CU8" s="29">
        <f>IF(AND(CU$4&gt;=$J8, CU$4&lt;=$K8), IF('01_THONG_SO_DU_AN'!$C$11=1, "█", IF('01_THONG_SO_DU_AN'!$C$11=2, $N8, $M8)), "")</f>
        <v/>
      </c>
      <c r="CV8" s="29">
        <f>IF(AND(CV$4&gt;=$J8, CV$4&lt;=$K8), IF('01_THONG_SO_DU_AN'!$C$11=1, "█", IF('01_THONG_SO_DU_AN'!$C$11=2, $N8, $M8)), "")</f>
        <v/>
      </c>
      <c r="CW8" s="29">
        <f>IF(AND(CW$4&gt;=$J8, CW$4&lt;=$K8), IF('01_THONG_SO_DU_AN'!$C$11=1, "█", IF('01_THONG_SO_DU_AN'!$C$11=2, $N8, $M8)), "")</f>
        <v/>
      </c>
      <c r="CX8" s="29">
        <f>IF(AND(CX$4&gt;=$J8, CX$4&lt;=$K8), IF('01_THONG_SO_DU_AN'!$C$11=1, "█", IF('01_THONG_SO_DU_AN'!$C$11=2, $N8, $M8)), "")</f>
        <v/>
      </c>
      <c r="CY8" s="29">
        <f>IF(AND(CY$4&gt;=$J8, CY$4&lt;=$K8), IF('01_THONG_SO_DU_AN'!$C$11=1, "█", IF('01_THONG_SO_DU_AN'!$C$11=2, $N8, $M8)), "")</f>
        <v/>
      </c>
      <c r="CZ8" s="29">
        <f>IF(AND(CZ$4&gt;=$J8, CZ$4&lt;=$K8), IF('01_THONG_SO_DU_AN'!$C$11=1, "█", IF('01_THONG_SO_DU_AN'!$C$11=2, $N8, $M8)), "")</f>
        <v/>
      </c>
      <c r="DA8" s="29">
        <f>IF(AND(DA$4&gt;=$J8, DA$4&lt;=$K8), IF('01_THONG_SO_DU_AN'!$C$11=1, "█", IF('01_THONG_SO_DU_AN'!$C$11=2, $N8, $M8)), "")</f>
        <v/>
      </c>
      <c r="DB8" s="29">
        <f>IF(AND(DB$4&gt;=$J8, DB$4&lt;=$K8), IF('01_THONG_SO_DU_AN'!$C$11=1, "█", IF('01_THONG_SO_DU_AN'!$C$11=2, $N8, $M8)), "")</f>
        <v/>
      </c>
      <c r="DC8" s="29">
        <f>IF(AND(DC$4&gt;=$J8, DC$4&lt;=$K8), IF('01_THONG_SO_DU_AN'!$C$11=1, "█", IF('01_THONG_SO_DU_AN'!$C$11=2, $N8, $M8)), "")</f>
        <v/>
      </c>
      <c r="DD8" s="29">
        <f>IF(AND(DD$4&gt;=$J8, DD$4&lt;=$K8), IF('01_THONG_SO_DU_AN'!$C$11=1, "█", IF('01_THONG_SO_DU_AN'!$C$11=2, $N8, $M8)), "")</f>
        <v/>
      </c>
      <c r="DE8" s="29">
        <f>IF(AND(DE$4&gt;=$J8, DE$4&lt;=$K8), IF('01_THONG_SO_DU_AN'!$C$11=1, "█", IF('01_THONG_SO_DU_AN'!$C$11=2, $N8, $M8)), "")</f>
        <v/>
      </c>
      <c r="DF8" s="29">
        <f>IF(AND(DF$4&gt;=$J8, DF$4&lt;=$K8), IF('01_THONG_SO_DU_AN'!$C$11=1, "█", IF('01_THONG_SO_DU_AN'!$C$11=2, $N8, $M8)), "")</f>
        <v/>
      </c>
      <c r="DG8" s="29">
        <f>IF(AND(DG$4&gt;=$J8, DG$4&lt;=$K8), IF('01_THONG_SO_DU_AN'!$C$11=1, "█", IF('01_THONG_SO_DU_AN'!$C$11=2, $N8, $M8)), "")</f>
        <v/>
      </c>
    </row>
    <row r="9">
      <c r="A9" s="23" t="n">
        <v>4</v>
      </c>
      <c r="B9" s="23" t="inlineStr">
        <is>
          <t>1.3</t>
        </is>
      </c>
      <c r="C9" s="24" t="inlineStr">
        <is>
          <t>Thi công đắp đất / cát K90 nền đường</t>
        </is>
      </c>
      <c r="D9" s="23" t="inlineStr">
        <is>
          <t>m3</t>
        </is>
      </c>
      <c r="E9" s="25" t="n">
        <v>360680</v>
      </c>
      <c r="F9" s="23" t="inlineStr">
        <is>
          <t>M3</t>
        </is>
      </c>
      <c r="G9" s="25">
        <f>VLOOKUP(F9, '02_DINH_MUC_CA_MAY_VA_DAU'!$C$6:$I$16, 5, FALSE)</f>
        <v/>
      </c>
      <c r="H9" s="25">
        <f>E9/G9</f>
        <v/>
      </c>
      <c r="I9" s="26" t="n">
        <v>74</v>
      </c>
      <c r="J9" s="27">
        <f>J7+2</f>
        <v/>
      </c>
      <c r="K9" s="27">
        <f>J9+I9-1</f>
        <v/>
      </c>
      <c r="L9" s="23">
        <f>IF(K9='01_THONG_SO_DU_AN'!$C$7, "CRITICAL (GĂNG)", "")</f>
        <v/>
      </c>
      <c r="M9" s="28">
        <f>ROUNDUP(H9/(I9*'01_THONG_SO_DU_AN'!$C$10), 0)</f>
        <v/>
      </c>
      <c r="N9" s="28">
        <f>M9*VLOOKUP(F9, '02_DINH_MUC_CA_MAY_VA_DAU'!$C$6:$I$16, 7, FALSE)</f>
        <v/>
      </c>
      <c r="O9" s="29">
        <f>IF(AND(O$4&gt;=$J9, O$4&lt;=$K9), IF('01_THONG_SO_DU_AN'!$C$11=1, "█", IF('01_THONG_SO_DU_AN'!$C$11=2, $N9, $M9)), "")</f>
        <v/>
      </c>
      <c r="P9" s="29">
        <f>IF(AND(P$4&gt;=$J9, P$4&lt;=$K9), IF('01_THONG_SO_DU_AN'!$C$11=1, "█", IF('01_THONG_SO_DU_AN'!$C$11=2, $N9, $M9)), "")</f>
        <v/>
      </c>
      <c r="Q9" s="29">
        <f>IF(AND(Q$4&gt;=$J9, Q$4&lt;=$K9), IF('01_THONG_SO_DU_AN'!$C$11=1, "█", IF('01_THONG_SO_DU_AN'!$C$11=2, $N9, $M9)), "")</f>
        <v/>
      </c>
      <c r="R9" s="29">
        <f>IF(AND(R$4&gt;=$J9, R$4&lt;=$K9), IF('01_THONG_SO_DU_AN'!$C$11=1, "█", IF('01_THONG_SO_DU_AN'!$C$11=2, $N9, $M9)), "")</f>
        <v/>
      </c>
      <c r="S9" s="29">
        <f>IF(AND(S$4&gt;=$J9, S$4&lt;=$K9), IF('01_THONG_SO_DU_AN'!$C$11=1, "█", IF('01_THONG_SO_DU_AN'!$C$11=2, $N9, $M9)), "")</f>
        <v/>
      </c>
      <c r="T9" s="29">
        <f>IF(AND(T$4&gt;=$J9, T$4&lt;=$K9), IF('01_THONG_SO_DU_AN'!$C$11=1, "█", IF('01_THONG_SO_DU_AN'!$C$11=2, $N9, $M9)), "")</f>
        <v/>
      </c>
      <c r="U9" s="29">
        <f>IF(AND(U$4&gt;=$J9, U$4&lt;=$K9), IF('01_THONG_SO_DU_AN'!$C$11=1, "█", IF('01_THONG_SO_DU_AN'!$C$11=2, $N9, $M9)), "")</f>
        <v/>
      </c>
      <c r="V9" s="29">
        <f>IF(AND(V$4&gt;=$J9, V$4&lt;=$K9), IF('01_THONG_SO_DU_AN'!$C$11=1, "█", IF('01_THONG_SO_DU_AN'!$C$11=2, $N9, $M9)), "")</f>
        <v/>
      </c>
      <c r="W9" s="29">
        <f>IF(AND(W$4&gt;=$J9, W$4&lt;=$K9), IF('01_THONG_SO_DU_AN'!$C$11=1, "█", IF('01_THONG_SO_DU_AN'!$C$11=2, $N9, $M9)), "")</f>
        <v/>
      </c>
      <c r="X9" s="29">
        <f>IF(AND(X$4&gt;=$J9, X$4&lt;=$K9), IF('01_THONG_SO_DU_AN'!$C$11=1, "█", IF('01_THONG_SO_DU_AN'!$C$11=2, $N9, $M9)), "")</f>
        <v/>
      </c>
      <c r="Y9" s="29">
        <f>IF(AND(Y$4&gt;=$J9, Y$4&lt;=$K9), IF('01_THONG_SO_DU_AN'!$C$11=1, "█", IF('01_THONG_SO_DU_AN'!$C$11=2, $N9, $M9)), "")</f>
        <v/>
      </c>
      <c r="Z9" s="29">
        <f>IF(AND(Z$4&gt;=$J9, Z$4&lt;=$K9), IF('01_THONG_SO_DU_AN'!$C$11=1, "█", IF('01_THONG_SO_DU_AN'!$C$11=2, $N9, $M9)), "")</f>
        <v/>
      </c>
      <c r="AA9" s="29">
        <f>IF(AND(AA$4&gt;=$J9, AA$4&lt;=$K9), IF('01_THONG_SO_DU_AN'!$C$11=1, "█", IF('01_THONG_SO_DU_AN'!$C$11=2, $N9, $M9)), "")</f>
        <v/>
      </c>
      <c r="AB9" s="29">
        <f>IF(AND(AB$4&gt;=$J9, AB$4&lt;=$K9), IF('01_THONG_SO_DU_AN'!$C$11=1, "█", IF('01_THONG_SO_DU_AN'!$C$11=2, $N9, $M9)), "")</f>
        <v/>
      </c>
      <c r="AC9" s="29">
        <f>IF(AND(AC$4&gt;=$J9, AC$4&lt;=$K9), IF('01_THONG_SO_DU_AN'!$C$11=1, "█", IF('01_THONG_SO_DU_AN'!$C$11=2, $N9, $M9)), "")</f>
        <v/>
      </c>
      <c r="AD9" s="29">
        <f>IF(AND(AD$4&gt;=$J9, AD$4&lt;=$K9), IF('01_THONG_SO_DU_AN'!$C$11=1, "█", IF('01_THONG_SO_DU_AN'!$C$11=2, $N9, $M9)), "")</f>
        <v/>
      </c>
      <c r="AE9" s="29">
        <f>IF(AND(AE$4&gt;=$J9, AE$4&lt;=$K9), IF('01_THONG_SO_DU_AN'!$C$11=1, "█", IF('01_THONG_SO_DU_AN'!$C$11=2, $N9, $M9)), "")</f>
        <v/>
      </c>
      <c r="AF9" s="29">
        <f>IF(AND(AF$4&gt;=$J9, AF$4&lt;=$K9), IF('01_THONG_SO_DU_AN'!$C$11=1, "█", IF('01_THONG_SO_DU_AN'!$C$11=2, $N9, $M9)), "")</f>
        <v/>
      </c>
      <c r="AG9" s="29">
        <f>IF(AND(AG$4&gt;=$J9, AG$4&lt;=$K9), IF('01_THONG_SO_DU_AN'!$C$11=1, "█", IF('01_THONG_SO_DU_AN'!$C$11=2, $N9, $M9)), "")</f>
        <v/>
      </c>
      <c r="AH9" s="29">
        <f>IF(AND(AH$4&gt;=$J9, AH$4&lt;=$K9), IF('01_THONG_SO_DU_AN'!$C$11=1, "█", IF('01_THONG_SO_DU_AN'!$C$11=2, $N9, $M9)), "")</f>
        <v/>
      </c>
      <c r="AI9" s="29">
        <f>IF(AND(AI$4&gt;=$J9, AI$4&lt;=$K9), IF('01_THONG_SO_DU_AN'!$C$11=1, "█", IF('01_THONG_SO_DU_AN'!$C$11=2, $N9, $M9)), "")</f>
        <v/>
      </c>
      <c r="AJ9" s="29">
        <f>IF(AND(AJ$4&gt;=$J9, AJ$4&lt;=$K9), IF('01_THONG_SO_DU_AN'!$C$11=1, "█", IF('01_THONG_SO_DU_AN'!$C$11=2, $N9, $M9)), "")</f>
        <v/>
      </c>
      <c r="AK9" s="29">
        <f>IF(AND(AK$4&gt;=$J9, AK$4&lt;=$K9), IF('01_THONG_SO_DU_AN'!$C$11=1, "█", IF('01_THONG_SO_DU_AN'!$C$11=2, $N9, $M9)), "")</f>
        <v/>
      </c>
      <c r="AL9" s="29">
        <f>IF(AND(AL$4&gt;=$J9, AL$4&lt;=$K9), IF('01_THONG_SO_DU_AN'!$C$11=1, "█", IF('01_THONG_SO_DU_AN'!$C$11=2, $N9, $M9)), "")</f>
        <v/>
      </c>
      <c r="AM9" s="29">
        <f>IF(AND(AM$4&gt;=$J9, AM$4&lt;=$K9), IF('01_THONG_SO_DU_AN'!$C$11=1, "█", IF('01_THONG_SO_DU_AN'!$C$11=2, $N9, $M9)), "")</f>
        <v/>
      </c>
      <c r="AN9" s="29">
        <f>IF(AND(AN$4&gt;=$J9, AN$4&lt;=$K9), IF('01_THONG_SO_DU_AN'!$C$11=1, "█", IF('01_THONG_SO_DU_AN'!$C$11=2, $N9, $M9)), "")</f>
        <v/>
      </c>
      <c r="AO9" s="29">
        <f>IF(AND(AO$4&gt;=$J9, AO$4&lt;=$K9), IF('01_THONG_SO_DU_AN'!$C$11=1, "█", IF('01_THONG_SO_DU_AN'!$C$11=2, $N9, $M9)), "")</f>
        <v/>
      </c>
      <c r="AP9" s="29">
        <f>IF(AND(AP$4&gt;=$J9, AP$4&lt;=$K9), IF('01_THONG_SO_DU_AN'!$C$11=1, "█", IF('01_THONG_SO_DU_AN'!$C$11=2, $N9, $M9)), "")</f>
        <v/>
      </c>
      <c r="AQ9" s="29">
        <f>IF(AND(AQ$4&gt;=$J9, AQ$4&lt;=$K9), IF('01_THONG_SO_DU_AN'!$C$11=1, "█", IF('01_THONG_SO_DU_AN'!$C$11=2, $N9, $M9)), "")</f>
        <v/>
      </c>
      <c r="AR9" s="29">
        <f>IF(AND(AR$4&gt;=$J9, AR$4&lt;=$K9), IF('01_THONG_SO_DU_AN'!$C$11=1, "█", IF('01_THONG_SO_DU_AN'!$C$11=2, $N9, $M9)), "")</f>
        <v/>
      </c>
      <c r="AS9" s="29">
        <f>IF(AND(AS$4&gt;=$J9, AS$4&lt;=$K9), IF('01_THONG_SO_DU_AN'!$C$11=1, "█", IF('01_THONG_SO_DU_AN'!$C$11=2, $N9, $M9)), "")</f>
        <v/>
      </c>
      <c r="AT9" s="29">
        <f>IF(AND(AT$4&gt;=$J9, AT$4&lt;=$K9), IF('01_THONG_SO_DU_AN'!$C$11=1, "█", IF('01_THONG_SO_DU_AN'!$C$11=2, $N9, $M9)), "")</f>
        <v/>
      </c>
      <c r="AU9" s="29">
        <f>IF(AND(AU$4&gt;=$J9, AU$4&lt;=$K9), IF('01_THONG_SO_DU_AN'!$C$11=1, "█", IF('01_THONG_SO_DU_AN'!$C$11=2, $N9, $M9)), "")</f>
        <v/>
      </c>
      <c r="AV9" s="29">
        <f>IF(AND(AV$4&gt;=$J9, AV$4&lt;=$K9), IF('01_THONG_SO_DU_AN'!$C$11=1, "█", IF('01_THONG_SO_DU_AN'!$C$11=2, $N9, $M9)), "")</f>
        <v/>
      </c>
      <c r="AW9" s="29">
        <f>IF(AND(AW$4&gt;=$J9, AW$4&lt;=$K9), IF('01_THONG_SO_DU_AN'!$C$11=1, "█", IF('01_THONG_SO_DU_AN'!$C$11=2, $N9, $M9)), "")</f>
        <v/>
      </c>
      <c r="AX9" s="29">
        <f>IF(AND(AX$4&gt;=$J9, AX$4&lt;=$K9), IF('01_THONG_SO_DU_AN'!$C$11=1, "█", IF('01_THONG_SO_DU_AN'!$C$11=2, $N9, $M9)), "")</f>
        <v/>
      </c>
      <c r="AY9" s="29">
        <f>IF(AND(AY$4&gt;=$J9, AY$4&lt;=$K9), IF('01_THONG_SO_DU_AN'!$C$11=1, "█", IF('01_THONG_SO_DU_AN'!$C$11=2, $N9, $M9)), "")</f>
        <v/>
      </c>
      <c r="AZ9" s="29">
        <f>IF(AND(AZ$4&gt;=$J9, AZ$4&lt;=$K9), IF('01_THONG_SO_DU_AN'!$C$11=1, "█", IF('01_THONG_SO_DU_AN'!$C$11=2, $N9, $M9)), "")</f>
        <v/>
      </c>
      <c r="BA9" s="29">
        <f>IF(AND(BA$4&gt;=$J9, BA$4&lt;=$K9), IF('01_THONG_SO_DU_AN'!$C$11=1, "█", IF('01_THONG_SO_DU_AN'!$C$11=2, $N9, $M9)), "")</f>
        <v/>
      </c>
      <c r="BB9" s="29">
        <f>IF(AND(BB$4&gt;=$J9, BB$4&lt;=$K9), IF('01_THONG_SO_DU_AN'!$C$11=1, "█", IF('01_THONG_SO_DU_AN'!$C$11=2, $N9, $M9)), "")</f>
        <v/>
      </c>
      <c r="BC9" s="29">
        <f>IF(AND(BC$4&gt;=$J9, BC$4&lt;=$K9), IF('01_THONG_SO_DU_AN'!$C$11=1, "█", IF('01_THONG_SO_DU_AN'!$C$11=2, $N9, $M9)), "")</f>
        <v/>
      </c>
      <c r="BD9" s="29">
        <f>IF(AND(BD$4&gt;=$J9, BD$4&lt;=$K9), IF('01_THONG_SO_DU_AN'!$C$11=1, "█", IF('01_THONG_SO_DU_AN'!$C$11=2, $N9, $M9)), "")</f>
        <v/>
      </c>
      <c r="BE9" s="29">
        <f>IF(AND(BE$4&gt;=$J9, BE$4&lt;=$K9), IF('01_THONG_SO_DU_AN'!$C$11=1, "█", IF('01_THONG_SO_DU_AN'!$C$11=2, $N9, $M9)), "")</f>
        <v/>
      </c>
      <c r="BF9" s="29">
        <f>IF(AND(BF$4&gt;=$J9, BF$4&lt;=$K9), IF('01_THONG_SO_DU_AN'!$C$11=1, "█", IF('01_THONG_SO_DU_AN'!$C$11=2, $N9, $M9)), "")</f>
        <v/>
      </c>
      <c r="BG9" s="29">
        <f>IF(AND(BG$4&gt;=$J9, BG$4&lt;=$K9), IF('01_THONG_SO_DU_AN'!$C$11=1, "█", IF('01_THONG_SO_DU_AN'!$C$11=2, $N9, $M9)), "")</f>
        <v/>
      </c>
      <c r="BH9" s="29">
        <f>IF(AND(BH$4&gt;=$J9, BH$4&lt;=$K9), IF('01_THONG_SO_DU_AN'!$C$11=1, "█", IF('01_THONG_SO_DU_AN'!$C$11=2, $N9, $M9)), "")</f>
        <v/>
      </c>
      <c r="BI9" s="29">
        <f>IF(AND(BI$4&gt;=$J9, BI$4&lt;=$K9), IF('01_THONG_SO_DU_AN'!$C$11=1, "█", IF('01_THONG_SO_DU_AN'!$C$11=2, $N9, $M9)), "")</f>
        <v/>
      </c>
      <c r="BJ9" s="29">
        <f>IF(AND(BJ$4&gt;=$J9, BJ$4&lt;=$K9), IF('01_THONG_SO_DU_AN'!$C$11=1, "█", IF('01_THONG_SO_DU_AN'!$C$11=2, $N9, $M9)), "")</f>
        <v/>
      </c>
      <c r="BK9" s="29">
        <f>IF(AND(BK$4&gt;=$J9, BK$4&lt;=$K9), IF('01_THONG_SO_DU_AN'!$C$11=1, "█", IF('01_THONG_SO_DU_AN'!$C$11=2, $N9, $M9)), "")</f>
        <v/>
      </c>
      <c r="BL9" s="29">
        <f>IF(AND(BL$4&gt;=$J9, BL$4&lt;=$K9), IF('01_THONG_SO_DU_AN'!$C$11=1, "█", IF('01_THONG_SO_DU_AN'!$C$11=2, $N9, $M9)), "")</f>
        <v/>
      </c>
      <c r="BM9" s="29">
        <f>IF(AND(BM$4&gt;=$J9, BM$4&lt;=$K9), IF('01_THONG_SO_DU_AN'!$C$11=1, "█", IF('01_THONG_SO_DU_AN'!$C$11=2, $N9, $M9)), "")</f>
        <v/>
      </c>
      <c r="BN9" s="29">
        <f>IF(AND(BN$4&gt;=$J9, BN$4&lt;=$K9), IF('01_THONG_SO_DU_AN'!$C$11=1, "█", IF('01_THONG_SO_DU_AN'!$C$11=2, $N9, $M9)), "")</f>
        <v/>
      </c>
      <c r="BO9" s="29">
        <f>IF(AND(BO$4&gt;=$J9, BO$4&lt;=$K9), IF('01_THONG_SO_DU_AN'!$C$11=1, "█", IF('01_THONG_SO_DU_AN'!$C$11=2, $N9, $M9)), "")</f>
        <v/>
      </c>
      <c r="BP9" s="29">
        <f>IF(AND(BP$4&gt;=$J9, BP$4&lt;=$K9), IF('01_THONG_SO_DU_AN'!$C$11=1, "█", IF('01_THONG_SO_DU_AN'!$C$11=2, $N9, $M9)), "")</f>
        <v/>
      </c>
      <c r="BQ9" s="29">
        <f>IF(AND(BQ$4&gt;=$J9, BQ$4&lt;=$K9), IF('01_THONG_SO_DU_AN'!$C$11=1, "█", IF('01_THONG_SO_DU_AN'!$C$11=2, $N9, $M9)), "")</f>
        <v/>
      </c>
      <c r="BR9" s="29">
        <f>IF(AND(BR$4&gt;=$J9, BR$4&lt;=$K9), IF('01_THONG_SO_DU_AN'!$C$11=1, "█", IF('01_THONG_SO_DU_AN'!$C$11=2, $N9, $M9)), "")</f>
        <v/>
      </c>
      <c r="BS9" s="29">
        <f>IF(AND(BS$4&gt;=$J9, BS$4&lt;=$K9), IF('01_THONG_SO_DU_AN'!$C$11=1, "█", IF('01_THONG_SO_DU_AN'!$C$11=2, $N9, $M9)), "")</f>
        <v/>
      </c>
      <c r="BT9" s="29">
        <f>IF(AND(BT$4&gt;=$J9, BT$4&lt;=$K9), IF('01_THONG_SO_DU_AN'!$C$11=1, "█", IF('01_THONG_SO_DU_AN'!$C$11=2, $N9, $M9)), "")</f>
        <v/>
      </c>
      <c r="BU9" s="29">
        <f>IF(AND(BU$4&gt;=$J9, BU$4&lt;=$K9), IF('01_THONG_SO_DU_AN'!$C$11=1, "█", IF('01_THONG_SO_DU_AN'!$C$11=2, $N9, $M9)), "")</f>
        <v/>
      </c>
      <c r="BV9" s="29">
        <f>IF(AND(BV$4&gt;=$J9, BV$4&lt;=$K9), IF('01_THONG_SO_DU_AN'!$C$11=1, "█", IF('01_THONG_SO_DU_AN'!$C$11=2, $N9, $M9)), "")</f>
        <v/>
      </c>
      <c r="BW9" s="29">
        <f>IF(AND(BW$4&gt;=$J9, BW$4&lt;=$K9), IF('01_THONG_SO_DU_AN'!$C$11=1, "█", IF('01_THONG_SO_DU_AN'!$C$11=2, $N9, $M9)), "")</f>
        <v/>
      </c>
      <c r="BX9" s="29">
        <f>IF(AND(BX$4&gt;=$J9, BX$4&lt;=$K9), IF('01_THONG_SO_DU_AN'!$C$11=1, "█", IF('01_THONG_SO_DU_AN'!$C$11=2, $N9, $M9)), "")</f>
        <v/>
      </c>
      <c r="BY9" s="29">
        <f>IF(AND(BY$4&gt;=$J9, BY$4&lt;=$K9), IF('01_THONG_SO_DU_AN'!$C$11=1, "█", IF('01_THONG_SO_DU_AN'!$C$11=2, $N9, $M9)), "")</f>
        <v/>
      </c>
      <c r="BZ9" s="29">
        <f>IF(AND(BZ$4&gt;=$J9, BZ$4&lt;=$K9), IF('01_THONG_SO_DU_AN'!$C$11=1, "█", IF('01_THONG_SO_DU_AN'!$C$11=2, $N9, $M9)), "")</f>
        <v/>
      </c>
      <c r="CA9" s="29">
        <f>IF(AND(CA$4&gt;=$J9, CA$4&lt;=$K9), IF('01_THONG_SO_DU_AN'!$C$11=1, "█", IF('01_THONG_SO_DU_AN'!$C$11=2, $N9, $M9)), "")</f>
        <v/>
      </c>
      <c r="CB9" s="29">
        <f>IF(AND(CB$4&gt;=$J9, CB$4&lt;=$K9), IF('01_THONG_SO_DU_AN'!$C$11=1, "█", IF('01_THONG_SO_DU_AN'!$C$11=2, $N9, $M9)), "")</f>
        <v/>
      </c>
      <c r="CC9" s="29">
        <f>IF(AND(CC$4&gt;=$J9, CC$4&lt;=$K9), IF('01_THONG_SO_DU_AN'!$C$11=1, "█", IF('01_THONG_SO_DU_AN'!$C$11=2, $N9, $M9)), "")</f>
        <v/>
      </c>
      <c r="CD9" s="29">
        <f>IF(AND(CD$4&gt;=$J9, CD$4&lt;=$K9), IF('01_THONG_SO_DU_AN'!$C$11=1, "█", IF('01_THONG_SO_DU_AN'!$C$11=2, $N9, $M9)), "")</f>
        <v/>
      </c>
      <c r="CE9" s="29">
        <f>IF(AND(CE$4&gt;=$J9, CE$4&lt;=$K9), IF('01_THONG_SO_DU_AN'!$C$11=1, "█", IF('01_THONG_SO_DU_AN'!$C$11=2, $N9, $M9)), "")</f>
        <v/>
      </c>
      <c r="CF9" s="29">
        <f>IF(AND(CF$4&gt;=$J9, CF$4&lt;=$K9), IF('01_THONG_SO_DU_AN'!$C$11=1, "█", IF('01_THONG_SO_DU_AN'!$C$11=2, $N9, $M9)), "")</f>
        <v/>
      </c>
      <c r="CG9" s="29">
        <f>IF(AND(CG$4&gt;=$J9, CG$4&lt;=$K9), IF('01_THONG_SO_DU_AN'!$C$11=1, "█", IF('01_THONG_SO_DU_AN'!$C$11=2, $N9, $M9)), "")</f>
        <v/>
      </c>
      <c r="CH9" s="29">
        <f>IF(AND(CH$4&gt;=$J9, CH$4&lt;=$K9), IF('01_THONG_SO_DU_AN'!$C$11=1, "█", IF('01_THONG_SO_DU_AN'!$C$11=2, $N9, $M9)), "")</f>
        <v/>
      </c>
      <c r="CI9" s="29">
        <f>IF(AND(CI$4&gt;=$J9, CI$4&lt;=$K9), IF('01_THONG_SO_DU_AN'!$C$11=1, "█", IF('01_THONG_SO_DU_AN'!$C$11=2, $N9, $M9)), "")</f>
        <v/>
      </c>
      <c r="CJ9" s="29">
        <f>IF(AND(CJ$4&gt;=$J9, CJ$4&lt;=$K9), IF('01_THONG_SO_DU_AN'!$C$11=1, "█", IF('01_THONG_SO_DU_AN'!$C$11=2, $N9, $M9)), "")</f>
        <v/>
      </c>
      <c r="CK9" s="29">
        <f>IF(AND(CK$4&gt;=$J9, CK$4&lt;=$K9), IF('01_THONG_SO_DU_AN'!$C$11=1, "█", IF('01_THONG_SO_DU_AN'!$C$11=2, $N9, $M9)), "")</f>
        <v/>
      </c>
      <c r="CL9" s="29">
        <f>IF(AND(CL$4&gt;=$J9, CL$4&lt;=$K9), IF('01_THONG_SO_DU_AN'!$C$11=1, "█", IF('01_THONG_SO_DU_AN'!$C$11=2, $N9, $M9)), "")</f>
        <v/>
      </c>
      <c r="CM9" s="29">
        <f>IF(AND(CM$4&gt;=$J9, CM$4&lt;=$K9), IF('01_THONG_SO_DU_AN'!$C$11=1, "█", IF('01_THONG_SO_DU_AN'!$C$11=2, $N9, $M9)), "")</f>
        <v/>
      </c>
      <c r="CN9" s="29">
        <f>IF(AND(CN$4&gt;=$J9, CN$4&lt;=$K9), IF('01_THONG_SO_DU_AN'!$C$11=1, "█", IF('01_THONG_SO_DU_AN'!$C$11=2, $N9, $M9)), "")</f>
        <v/>
      </c>
      <c r="CO9" s="29">
        <f>IF(AND(CO$4&gt;=$J9, CO$4&lt;=$K9), IF('01_THONG_SO_DU_AN'!$C$11=1, "█", IF('01_THONG_SO_DU_AN'!$C$11=2, $N9, $M9)), "")</f>
        <v/>
      </c>
      <c r="CP9" s="29">
        <f>IF(AND(CP$4&gt;=$J9, CP$4&lt;=$K9), IF('01_THONG_SO_DU_AN'!$C$11=1, "█", IF('01_THONG_SO_DU_AN'!$C$11=2, $N9, $M9)), "")</f>
        <v/>
      </c>
      <c r="CQ9" s="29">
        <f>IF(AND(CQ$4&gt;=$J9, CQ$4&lt;=$K9), IF('01_THONG_SO_DU_AN'!$C$11=1, "█", IF('01_THONG_SO_DU_AN'!$C$11=2, $N9, $M9)), "")</f>
        <v/>
      </c>
      <c r="CR9" s="29">
        <f>IF(AND(CR$4&gt;=$J9, CR$4&lt;=$K9), IF('01_THONG_SO_DU_AN'!$C$11=1, "█", IF('01_THONG_SO_DU_AN'!$C$11=2, $N9, $M9)), "")</f>
        <v/>
      </c>
      <c r="CS9" s="29">
        <f>IF(AND(CS$4&gt;=$J9, CS$4&lt;=$K9), IF('01_THONG_SO_DU_AN'!$C$11=1, "█", IF('01_THONG_SO_DU_AN'!$C$11=2, $N9, $M9)), "")</f>
        <v/>
      </c>
      <c r="CT9" s="29">
        <f>IF(AND(CT$4&gt;=$J9, CT$4&lt;=$K9), IF('01_THONG_SO_DU_AN'!$C$11=1, "█", IF('01_THONG_SO_DU_AN'!$C$11=2, $N9, $M9)), "")</f>
        <v/>
      </c>
      <c r="CU9" s="29">
        <f>IF(AND(CU$4&gt;=$J9, CU$4&lt;=$K9), IF('01_THONG_SO_DU_AN'!$C$11=1, "█", IF('01_THONG_SO_DU_AN'!$C$11=2, $N9, $M9)), "")</f>
        <v/>
      </c>
      <c r="CV9" s="29">
        <f>IF(AND(CV$4&gt;=$J9, CV$4&lt;=$K9), IF('01_THONG_SO_DU_AN'!$C$11=1, "█", IF('01_THONG_SO_DU_AN'!$C$11=2, $N9, $M9)), "")</f>
        <v/>
      </c>
      <c r="CW9" s="29">
        <f>IF(AND(CW$4&gt;=$J9, CW$4&lt;=$K9), IF('01_THONG_SO_DU_AN'!$C$11=1, "█", IF('01_THONG_SO_DU_AN'!$C$11=2, $N9, $M9)), "")</f>
        <v/>
      </c>
      <c r="CX9" s="29">
        <f>IF(AND(CX$4&gt;=$J9, CX$4&lt;=$K9), IF('01_THONG_SO_DU_AN'!$C$11=1, "█", IF('01_THONG_SO_DU_AN'!$C$11=2, $N9, $M9)), "")</f>
        <v/>
      </c>
      <c r="CY9" s="29">
        <f>IF(AND(CY$4&gt;=$J9, CY$4&lt;=$K9), IF('01_THONG_SO_DU_AN'!$C$11=1, "█", IF('01_THONG_SO_DU_AN'!$C$11=2, $N9, $M9)), "")</f>
        <v/>
      </c>
      <c r="CZ9" s="29">
        <f>IF(AND(CZ$4&gt;=$J9, CZ$4&lt;=$K9), IF('01_THONG_SO_DU_AN'!$C$11=1, "█", IF('01_THONG_SO_DU_AN'!$C$11=2, $N9, $M9)), "")</f>
        <v/>
      </c>
      <c r="DA9" s="29">
        <f>IF(AND(DA$4&gt;=$J9, DA$4&lt;=$K9), IF('01_THONG_SO_DU_AN'!$C$11=1, "█", IF('01_THONG_SO_DU_AN'!$C$11=2, $N9, $M9)), "")</f>
        <v/>
      </c>
      <c r="DB9" s="29">
        <f>IF(AND(DB$4&gt;=$J9, DB$4&lt;=$K9), IF('01_THONG_SO_DU_AN'!$C$11=1, "█", IF('01_THONG_SO_DU_AN'!$C$11=2, $N9, $M9)), "")</f>
        <v/>
      </c>
      <c r="DC9" s="29">
        <f>IF(AND(DC$4&gt;=$J9, DC$4&lt;=$K9), IF('01_THONG_SO_DU_AN'!$C$11=1, "█", IF('01_THONG_SO_DU_AN'!$C$11=2, $N9, $M9)), "")</f>
        <v/>
      </c>
      <c r="DD9" s="29">
        <f>IF(AND(DD$4&gt;=$J9, DD$4&lt;=$K9), IF('01_THONG_SO_DU_AN'!$C$11=1, "█", IF('01_THONG_SO_DU_AN'!$C$11=2, $N9, $M9)), "")</f>
        <v/>
      </c>
      <c r="DE9" s="29">
        <f>IF(AND(DE$4&gt;=$J9, DE$4&lt;=$K9), IF('01_THONG_SO_DU_AN'!$C$11=1, "█", IF('01_THONG_SO_DU_AN'!$C$11=2, $N9, $M9)), "")</f>
        <v/>
      </c>
      <c r="DF9" s="29">
        <f>IF(AND(DF$4&gt;=$J9, DF$4&lt;=$K9), IF('01_THONG_SO_DU_AN'!$C$11=1, "█", IF('01_THONG_SO_DU_AN'!$C$11=2, $N9, $M9)), "")</f>
        <v/>
      </c>
      <c r="DG9" s="29">
        <f>IF(AND(DG$4&gt;=$J9, DG$4&lt;=$K9), IF('01_THONG_SO_DU_AN'!$C$11=1, "█", IF('01_THONG_SO_DU_AN'!$C$11=2, $N9, $M9)), "")</f>
        <v/>
      </c>
    </row>
    <row r="10">
      <c r="A10" s="23" t="n">
        <v>5</v>
      </c>
      <c r="B10" s="23" t="inlineStr">
        <is>
          <t>1.4</t>
        </is>
      </c>
      <c r="C10" s="24" t="inlineStr">
        <is>
          <t>Thi công đắp cát K95 lớp 1</t>
        </is>
      </c>
      <c r="D10" s="23" t="inlineStr">
        <is>
          <t>m3</t>
        </is>
      </c>
      <c r="E10" s="25" t="n">
        <v>90170</v>
      </c>
      <c r="F10" s="23" t="inlineStr">
        <is>
          <t>M3</t>
        </is>
      </c>
      <c r="G10" s="25">
        <f>VLOOKUP(F10, '02_DINH_MUC_CA_MAY_VA_DAU'!$C$6:$I$16, 5, FALSE)</f>
        <v/>
      </c>
      <c r="H10" s="25">
        <f>E10/G10</f>
        <v/>
      </c>
      <c r="I10" s="26" t="n">
        <v>74</v>
      </c>
      <c r="J10" s="27">
        <f>J9+4</f>
        <v/>
      </c>
      <c r="K10" s="27">
        <f>J10+I10-1</f>
        <v/>
      </c>
      <c r="L10" s="23">
        <f>IF(K10='01_THONG_SO_DU_AN'!$C$7, "CRITICAL (GĂNG)", "")</f>
        <v/>
      </c>
      <c r="M10" s="28">
        <f>ROUNDUP(H10/(I10*'01_THONG_SO_DU_AN'!$C$10), 0)</f>
        <v/>
      </c>
      <c r="N10" s="28">
        <f>M10*VLOOKUP(F10, '02_DINH_MUC_CA_MAY_VA_DAU'!$C$6:$I$16, 7, FALSE)</f>
        <v/>
      </c>
      <c r="O10" s="29">
        <f>IF(AND(O$4&gt;=$J10, O$4&lt;=$K10), IF('01_THONG_SO_DU_AN'!$C$11=1, "█", IF('01_THONG_SO_DU_AN'!$C$11=2, $N10, $M10)), "")</f>
        <v/>
      </c>
      <c r="P10" s="29">
        <f>IF(AND(P$4&gt;=$J10, P$4&lt;=$K10), IF('01_THONG_SO_DU_AN'!$C$11=1, "█", IF('01_THONG_SO_DU_AN'!$C$11=2, $N10, $M10)), "")</f>
        <v/>
      </c>
      <c r="Q10" s="29">
        <f>IF(AND(Q$4&gt;=$J10, Q$4&lt;=$K10), IF('01_THONG_SO_DU_AN'!$C$11=1, "█", IF('01_THONG_SO_DU_AN'!$C$11=2, $N10, $M10)), "")</f>
        <v/>
      </c>
      <c r="R10" s="29">
        <f>IF(AND(R$4&gt;=$J10, R$4&lt;=$K10), IF('01_THONG_SO_DU_AN'!$C$11=1, "█", IF('01_THONG_SO_DU_AN'!$C$11=2, $N10, $M10)), "")</f>
        <v/>
      </c>
      <c r="S10" s="29">
        <f>IF(AND(S$4&gt;=$J10, S$4&lt;=$K10), IF('01_THONG_SO_DU_AN'!$C$11=1, "█", IF('01_THONG_SO_DU_AN'!$C$11=2, $N10, $M10)), "")</f>
        <v/>
      </c>
      <c r="T10" s="29">
        <f>IF(AND(T$4&gt;=$J10, T$4&lt;=$K10), IF('01_THONG_SO_DU_AN'!$C$11=1, "█", IF('01_THONG_SO_DU_AN'!$C$11=2, $N10, $M10)), "")</f>
        <v/>
      </c>
      <c r="U10" s="29">
        <f>IF(AND(U$4&gt;=$J10, U$4&lt;=$K10), IF('01_THONG_SO_DU_AN'!$C$11=1, "█", IF('01_THONG_SO_DU_AN'!$C$11=2, $N10, $M10)), "")</f>
        <v/>
      </c>
      <c r="V10" s="29">
        <f>IF(AND(V$4&gt;=$J10, V$4&lt;=$K10), IF('01_THONG_SO_DU_AN'!$C$11=1, "█", IF('01_THONG_SO_DU_AN'!$C$11=2, $N10, $M10)), "")</f>
        <v/>
      </c>
      <c r="W10" s="29">
        <f>IF(AND(W$4&gt;=$J10, W$4&lt;=$K10), IF('01_THONG_SO_DU_AN'!$C$11=1, "█", IF('01_THONG_SO_DU_AN'!$C$11=2, $N10, $M10)), "")</f>
        <v/>
      </c>
      <c r="X10" s="29">
        <f>IF(AND(X$4&gt;=$J10, X$4&lt;=$K10), IF('01_THONG_SO_DU_AN'!$C$11=1, "█", IF('01_THONG_SO_DU_AN'!$C$11=2, $N10, $M10)), "")</f>
        <v/>
      </c>
      <c r="Y10" s="29">
        <f>IF(AND(Y$4&gt;=$J10, Y$4&lt;=$K10), IF('01_THONG_SO_DU_AN'!$C$11=1, "█", IF('01_THONG_SO_DU_AN'!$C$11=2, $N10, $M10)), "")</f>
        <v/>
      </c>
      <c r="Z10" s="29">
        <f>IF(AND(Z$4&gt;=$J10, Z$4&lt;=$K10), IF('01_THONG_SO_DU_AN'!$C$11=1, "█", IF('01_THONG_SO_DU_AN'!$C$11=2, $N10, $M10)), "")</f>
        <v/>
      </c>
      <c r="AA10" s="29">
        <f>IF(AND(AA$4&gt;=$J10, AA$4&lt;=$K10), IF('01_THONG_SO_DU_AN'!$C$11=1, "█", IF('01_THONG_SO_DU_AN'!$C$11=2, $N10, $M10)), "")</f>
        <v/>
      </c>
      <c r="AB10" s="29">
        <f>IF(AND(AB$4&gt;=$J10, AB$4&lt;=$K10), IF('01_THONG_SO_DU_AN'!$C$11=1, "█", IF('01_THONG_SO_DU_AN'!$C$11=2, $N10, $M10)), "")</f>
        <v/>
      </c>
      <c r="AC10" s="29">
        <f>IF(AND(AC$4&gt;=$J10, AC$4&lt;=$K10), IF('01_THONG_SO_DU_AN'!$C$11=1, "█", IF('01_THONG_SO_DU_AN'!$C$11=2, $N10, $M10)), "")</f>
        <v/>
      </c>
      <c r="AD10" s="29">
        <f>IF(AND(AD$4&gt;=$J10, AD$4&lt;=$K10), IF('01_THONG_SO_DU_AN'!$C$11=1, "█", IF('01_THONG_SO_DU_AN'!$C$11=2, $N10, $M10)), "")</f>
        <v/>
      </c>
      <c r="AE10" s="29">
        <f>IF(AND(AE$4&gt;=$J10, AE$4&lt;=$K10), IF('01_THONG_SO_DU_AN'!$C$11=1, "█", IF('01_THONG_SO_DU_AN'!$C$11=2, $N10, $M10)), "")</f>
        <v/>
      </c>
      <c r="AF10" s="29">
        <f>IF(AND(AF$4&gt;=$J10, AF$4&lt;=$K10), IF('01_THONG_SO_DU_AN'!$C$11=1, "█", IF('01_THONG_SO_DU_AN'!$C$11=2, $N10, $M10)), "")</f>
        <v/>
      </c>
      <c r="AG10" s="29">
        <f>IF(AND(AG$4&gt;=$J10, AG$4&lt;=$K10), IF('01_THONG_SO_DU_AN'!$C$11=1, "█", IF('01_THONG_SO_DU_AN'!$C$11=2, $N10, $M10)), "")</f>
        <v/>
      </c>
      <c r="AH10" s="29">
        <f>IF(AND(AH$4&gt;=$J10, AH$4&lt;=$K10), IF('01_THONG_SO_DU_AN'!$C$11=1, "█", IF('01_THONG_SO_DU_AN'!$C$11=2, $N10, $M10)), "")</f>
        <v/>
      </c>
      <c r="AI10" s="29">
        <f>IF(AND(AI$4&gt;=$J10, AI$4&lt;=$K10), IF('01_THONG_SO_DU_AN'!$C$11=1, "█", IF('01_THONG_SO_DU_AN'!$C$11=2, $N10, $M10)), "")</f>
        <v/>
      </c>
      <c r="AJ10" s="29">
        <f>IF(AND(AJ$4&gt;=$J10, AJ$4&lt;=$K10), IF('01_THONG_SO_DU_AN'!$C$11=1, "█", IF('01_THONG_SO_DU_AN'!$C$11=2, $N10, $M10)), "")</f>
        <v/>
      </c>
      <c r="AK10" s="29">
        <f>IF(AND(AK$4&gt;=$J10, AK$4&lt;=$K10), IF('01_THONG_SO_DU_AN'!$C$11=1, "█", IF('01_THONG_SO_DU_AN'!$C$11=2, $N10, $M10)), "")</f>
        <v/>
      </c>
      <c r="AL10" s="29">
        <f>IF(AND(AL$4&gt;=$J10, AL$4&lt;=$K10), IF('01_THONG_SO_DU_AN'!$C$11=1, "█", IF('01_THONG_SO_DU_AN'!$C$11=2, $N10, $M10)), "")</f>
        <v/>
      </c>
      <c r="AM10" s="29">
        <f>IF(AND(AM$4&gt;=$J10, AM$4&lt;=$K10), IF('01_THONG_SO_DU_AN'!$C$11=1, "█", IF('01_THONG_SO_DU_AN'!$C$11=2, $N10, $M10)), "")</f>
        <v/>
      </c>
      <c r="AN10" s="29">
        <f>IF(AND(AN$4&gt;=$J10, AN$4&lt;=$K10), IF('01_THONG_SO_DU_AN'!$C$11=1, "█", IF('01_THONG_SO_DU_AN'!$C$11=2, $N10, $M10)), "")</f>
        <v/>
      </c>
      <c r="AO10" s="29">
        <f>IF(AND(AO$4&gt;=$J10, AO$4&lt;=$K10), IF('01_THONG_SO_DU_AN'!$C$11=1, "█", IF('01_THONG_SO_DU_AN'!$C$11=2, $N10, $M10)), "")</f>
        <v/>
      </c>
      <c r="AP10" s="29">
        <f>IF(AND(AP$4&gt;=$J10, AP$4&lt;=$K10), IF('01_THONG_SO_DU_AN'!$C$11=1, "█", IF('01_THONG_SO_DU_AN'!$C$11=2, $N10, $M10)), "")</f>
        <v/>
      </c>
      <c r="AQ10" s="29">
        <f>IF(AND(AQ$4&gt;=$J10, AQ$4&lt;=$K10), IF('01_THONG_SO_DU_AN'!$C$11=1, "█", IF('01_THONG_SO_DU_AN'!$C$11=2, $N10, $M10)), "")</f>
        <v/>
      </c>
      <c r="AR10" s="29">
        <f>IF(AND(AR$4&gt;=$J10, AR$4&lt;=$K10), IF('01_THONG_SO_DU_AN'!$C$11=1, "█", IF('01_THONG_SO_DU_AN'!$C$11=2, $N10, $M10)), "")</f>
        <v/>
      </c>
      <c r="AS10" s="29">
        <f>IF(AND(AS$4&gt;=$J10, AS$4&lt;=$K10), IF('01_THONG_SO_DU_AN'!$C$11=1, "█", IF('01_THONG_SO_DU_AN'!$C$11=2, $N10, $M10)), "")</f>
        <v/>
      </c>
      <c r="AT10" s="29">
        <f>IF(AND(AT$4&gt;=$J10, AT$4&lt;=$K10), IF('01_THONG_SO_DU_AN'!$C$11=1, "█", IF('01_THONG_SO_DU_AN'!$C$11=2, $N10, $M10)), "")</f>
        <v/>
      </c>
      <c r="AU10" s="29">
        <f>IF(AND(AU$4&gt;=$J10, AU$4&lt;=$K10), IF('01_THONG_SO_DU_AN'!$C$11=1, "█", IF('01_THONG_SO_DU_AN'!$C$11=2, $N10, $M10)), "")</f>
        <v/>
      </c>
      <c r="AV10" s="29">
        <f>IF(AND(AV$4&gt;=$J10, AV$4&lt;=$K10), IF('01_THONG_SO_DU_AN'!$C$11=1, "█", IF('01_THONG_SO_DU_AN'!$C$11=2, $N10, $M10)), "")</f>
        <v/>
      </c>
      <c r="AW10" s="29">
        <f>IF(AND(AW$4&gt;=$J10, AW$4&lt;=$K10), IF('01_THONG_SO_DU_AN'!$C$11=1, "█", IF('01_THONG_SO_DU_AN'!$C$11=2, $N10, $M10)), "")</f>
        <v/>
      </c>
      <c r="AX10" s="29">
        <f>IF(AND(AX$4&gt;=$J10, AX$4&lt;=$K10), IF('01_THONG_SO_DU_AN'!$C$11=1, "█", IF('01_THONG_SO_DU_AN'!$C$11=2, $N10, $M10)), "")</f>
        <v/>
      </c>
      <c r="AY10" s="29">
        <f>IF(AND(AY$4&gt;=$J10, AY$4&lt;=$K10), IF('01_THONG_SO_DU_AN'!$C$11=1, "█", IF('01_THONG_SO_DU_AN'!$C$11=2, $N10, $M10)), "")</f>
        <v/>
      </c>
      <c r="AZ10" s="29">
        <f>IF(AND(AZ$4&gt;=$J10, AZ$4&lt;=$K10), IF('01_THONG_SO_DU_AN'!$C$11=1, "█", IF('01_THONG_SO_DU_AN'!$C$11=2, $N10, $M10)), "")</f>
        <v/>
      </c>
      <c r="BA10" s="29">
        <f>IF(AND(BA$4&gt;=$J10, BA$4&lt;=$K10), IF('01_THONG_SO_DU_AN'!$C$11=1, "█", IF('01_THONG_SO_DU_AN'!$C$11=2, $N10, $M10)), "")</f>
        <v/>
      </c>
      <c r="BB10" s="29">
        <f>IF(AND(BB$4&gt;=$J10, BB$4&lt;=$K10), IF('01_THONG_SO_DU_AN'!$C$11=1, "█", IF('01_THONG_SO_DU_AN'!$C$11=2, $N10, $M10)), "")</f>
        <v/>
      </c>
      <c r="BC10" s="29">
        <f>IF(AND(BC$4&gt;=$J10, BC$4&lt;=$K10), IF('01_THONG_SO_DU_AN'!$C$11=1, "█", IF('01_THONG_SO_DU_AN'!$C$11=2, $N10, $M10)), "")</f>
        <v/>
      </c>
      <c r="BD10" s="29">
        <f>IF(AND(BD$4&gt;=$J10, BD$4&lt;=$K10), IF('01_THONG_SO_DU_AN'!$C$11=1, "█", IF('01_THONG_SO_DU_AN'!$C$11=2, $N10, $M10)), "")</f>
        <v/>
      </c>
      <c r="BE10" s="29">
        <f>IF(AND(BE$4&gt;=$J10, BE$4&lt;=$K10), IF('01_THONG_SO_DU_AN'!$C$11=1, "█", IF('01_THONG_SO_DU_AN'!$C$11=2, $N10, $M10)), "")</f>
        <v/>
      </c>
      <c r="BF10" s="29">
        <f>IF(AND(BF$4&gt;=$J10, BF$4&lt;=$K10), IF('01_THONG_SO_DU_AN'!$C$11=1, "█", IF('01_THONG_SO_DU_AN'!$C$11=2, $N10, $M10)), "")</f>
        <v/>
      </c>
      <c r="BG10" s="29">
        <f>IF(AND(BG$4&gt;=$J10, BG$4&lt;=$K10), IF('01_THONG_SO_DU_AN'!$C$11=1, "█", IF('01_THONG_SO_DU_AN'!$C$11=2, $N10, $M10)), "")</f>
        <v/>
      </c>
      <c r="BH10" s="29">
        <f>IF(AND(BH$4&gt;=$J10, BH$4&lt;=$K10), IF('01_THONG_SO_DU_AN'!$C$11=1, "█", IF('01_THONG_SO_DU_AN'!$C$11=2, $N10, $M10)), "")</f>
        <v/>
      </c>
      <c r="BI10" s="29">
        <f>IF(AND(BI$4&gt;=$J10, BI$4&lt;=$K10), IF('01_THONG_SO_DU_AN'!$C$11=1, "█", IF('01_THONG_SO_DU_AN'!$C$11=2, $N10, $M10)), "")</f>
        <v/>
      </c>
      <c r="BJ10" s="29">
        <f>IF(AND(BJ$4&gt;=$J10, BJ$4&lt;=$K10), IF('01_THONG_SO_DU_AN'!$C$11=1, "█", IF('01_THONG_SO_DU_AN'!$C$11=2, $N10, $M10)), "")</f>
        <v/>
      </c>
      <c r="BK10" s="29">
        <f>IF(AND(BK$4&gt;=$J10, BK$4&lt;=$K10), IF('01_THONG_SO_DU_AN'!$C$11=1, "█", IF('01_THONG_SO_DU_AN'!$C$11=2, $N10, $M10)), "")</f>
        <v/>
      </c>
      <c r="BL10" s="29">
        <f>IF(AND(BL$4&gt;=$J10, BL$4&lt;=$K10), IF('01_THONG_SO_DU_AN'!$C$11=1, "█", IF('01_THONG_SO_DU_AN'!$C$11=2, $N10, $M10)), "")</f>
        <v/>
      </c>
      <c r="BM10" s="29">
        <f>IF(AND(BM$4&gt;=$J10, BM$4&lt;=$K10), IF('01_THONG_SO_DU_AN'!$C$11=1, "█", IF('01_THONG_SO_DU_AN'!$C$11=2, $N10, $M10)), "")</f>
        <v/>
      </c>
      <c r="BN10" s="29">
        <f>IF(AND(BN$4&gt;=$J10, BN$4&lt;=$K10), IF('01_THONG_SO_DU_AN'!$C$11=1, "█", IF('01_THONG_SO_DU_AN'!$C$11=2, $N10, $M10)), "")</f>
        <v/>
      </c>
      <c r="BO10" s="29">
        <f>IF(AND(BO$4&gt;=$J10, BO$4&lt;=$K10), IF('01_THONG_SO_DU_AN'!$C$11=1, "█", IF('01_THONG_SO_DU_AN'!$C$11=2, $N10, $M10)), "")</f>
        <v/>
      </c>
      <c r="BP10" s="29">
        <f>IF(AND(BP$4&gt;=$J10, BP$4&lt;=$K10), IF('01_THONG_SO_DU_AN'!$C$11=1, "█", IF('01_THONG_SO_DU_AN'!$C$11=2, $N10, $M10)), "")</f>
        <v/>
      </c>
      <c r="BQ10" s="29">
        <f>IF(AND(BQ$4&gt;=$J10, BQ$4&lt;=$K10), IF('01_THONG_SO_DU_AN'!$C$11=1, "█", IF('01_THONG_SO_DU_AN'!$C$11=2, $N10, $M10)), "")</f>
        <v/>
      </c>
      <c r="BR10" s="29">
        <f>IF(AND(BR$4&gt;=$J10, BR$4&lt;=$K10), IF('01_THONG_SO_DU_AN'!$C$11=1, "█", IF('01_THONG_SO_DU_AN'!$C$11=2, $N10, $M10)), "")</f>
        <v/>
      </c>
      <c r="BS10" s="29">
        <f>IF(AND(BS$4&gt;=$J10, BS$4&lt;=$K10), IF('01_THONG_SO_DU_AN'!$C$11=1, "█", IF('01_THONG_SO_DU_AN'!$C$11=2, $N10, $M10)), "")</f>
        <v/>
      </c>
      <c r="BT10" s="29">
        <f>IF(AND(BT$4&gt;=$J10, BT$4&lt;=$K10), IF('01_THONG_SO_DU_AN'!$C$11=1, "█", IF('01_THONG_SO_DU_AN'!$C$11=2, $N10, $M10)), "")</f>
        <v/>
      </c>
      <c r="BU10" s="29">
        <f>IF(AND(BU$4&gt;=$J10, BU$4&lt;=$K10), IF('01_THONG_SO_DU_AN'!$C$11=1, "█", IF('01_THONG_SO_DU_AN'!$C$11=2, $N10, $M10)), "")</f>
        <v/>
      </c>
      <c r="BV10" s="29">
        <f>IF(AND(BV$4&gt;=$J10, BV$4&lt;=$K10), IF('01_THONG_SO_DU_AN'!$C$11=1, "█", IF('01_THONG_SO_DU_AN'!$C$11=2, $N10, $M10)), "")</f>
        <v/>
      </c>
      <c r="BW10" s="29">
        <f>IF(AND(BW$4&gt;=$J10, BW$4&lt;=$K10), IF('01_THONG_SO_DU_AN'!$C$11=1, "█", IF('01_THONG_SO_DU_AN'!$C$11=2, $N10, $M10)), "")</f>
        <v/>
      </c>
      <c r="BX10" s="29">
        <f>IF(AND(BX$4&gt;=$J10, BX$4&lt;=$K10), IF('01_THONG_SO_DU_AN'!$C$11=1, "█", IF('01_THONG_SO_DU_AN'!$C$11=2, $N10, $M10)), "")</f>
        <v/>
      </c>
      <c r="BY10" s="29">
        <f>IF(AND(BY$4&gt;=$J10, BY$4&lt;=$K10), IF('01_THONG_SO_DU_AN'!$C$11=1, "█", IF('01_THONG_SO_DU_AN'!$C$11=2, $N10, $M10)), "")</f>
        <v/>
      </c>
      <c r="BZ10" s="29">
        <f>IF(AND(BZ$4&gt;=$J10, BZ$4&lt;=$K10), IF('01_THONG_SO_DU_AN'!$C$11=1, "█", IF('01_THONG_SO_DU_AN'!$C$11=2, $N10, $M10)), "")</f>
        <v/>
      </c>
      <c r="CA10" s="29">
        <f>IF(AND(CA$4&gt;=$J10, CA$4&lt;=$K10), IF('01_THONG_SO_DU_AN'!$C$11=1, "█", IF('01_THONG_SO_DU_AN'!$C$11=2, $N10, $M10)), "")</f>
        <v/>
      </c>
      <c r="CB10" s="29">
        <f>IF(AND(CB$4&gt;=$J10, CB$4&lt;=$K10), IF('01_THONG_SO_DU_AN'!$C$11=1, "█", IF('01_THONG_SO_DU_AN'!$C$11=2, $N10, $M10)), "")</f>
        <v/>
      </c>
      <c r="CC10" s="29">
        <f>IF(AND(CC$4&gt;=$J10, CC$4&lt;=$K10), IF('01_THONG_SO_DU_AN'!$C$11=1, "█", IF('01_THONG_SO_DU_AN'!$C$11=2, $N10, $M10)), "")</f>
        <v/>
      </c>
      <c r="CD10" s="29">
        <f>IF(AND(CD$4&gt;=$J10, CD$4&lt;=$K10), IF('01_THONG_SO_DU_AN'!$C$11=1, "█", IF('01_THONG_SO_DU_AN'!$C$11=2, $N10, $M10)), "")</f>
        <v/>
      </c>
      <c r="CE10" s="29">
        <f>IF(AND(CE$4&gt;=$J10, CE$4&lt;=$K10), IF('01_THONG_SO_DU_AN'!$C$11=1, "█", IF('01_THONG_SO_DU_AN'!$C$11=2, $N10, $M10)), "")</f>
        <v/>
      </c>
      <c r="CF10" s="29">
        <f>IF(AND(CF$4&gt;=$J10, CF$4&lt;=$K10), IF('01_THONG_SO_DU_AN'!$C$11=1, "█", IF('01_THONG_SO_DU_AN'!$C$11=2, $N10, $M10)), "")</f>
        <v/>
      </c>
      <c r="CG10" s="29">
        <f>IF(AND(CG$4&gt;=$J10, CG$4&lt;=$K10), IF('01_THONG_SO_DU_AN'!$C$11=1, "█", IF('01_THONG_SO_DU_AN'!$C$11=2, $N10, $M10)), "")</f>
        <v/>
      </c>
      <c r="CH10" s="29">
        <f>IF(AND(CH$4&gt;=$J10, CH$4&lt;=$K10), IF('01_THONG_SO_DU_AN'!$C$11=1, "█", IF('01_THONG_SO_DU_AN'!$C$11=2, $N10, $M10)), "")</f>
        <v/>
      </c>
      <c r="CI10" s="29">
        <f>IF(AND(CI$4&gt;=$J10, CI$4&lt;=$K10), IF('01_THONG_SO_DU_AN'!$C$11=1, "█", IF('01_THONG_SO_DU_AN'!$C$11=2, $N10, $M10)), "")</f>
        <v/>
      </c>
      <c r="CJ10" s="29">
        <f>IF(AND(CJ$4&gt;=$J10, CJ$4&lt;=$K10), IF('01_THONG_SO_DU_AN'!$C$11=1, "█", IF('01_THONG_SO_DU_AN'!$C$11=2, $N10, $M10)), "")</f>
        <v/>
      </c>
      <c r="CK10" s="29">
        <f>IF(AND(CK$4&gt;=$J10, CK$4&lt;=$K10), IF('01_THONG_SO_DU_AN'!$C$11=1, "█", IF('01_THONG_SO_DU_AN'!$C$11=2, $N10, $M10)), "")</f>
        <v/>
      </c>
      <c r="CL10" s="29">
        <f>IF(AND(CL$4&gt;=$J10, CL$4&lt;=$K10), IF('01_THONG_SO_DU_AN'!$C$11=1, "█", IF('01_THONG_SO_DU_AN'!$C$11=2, $N10, $M10)), "")</f>
        <v/>
      </c>
      <c r="CM10" s="29">
        <f>IF(AND(CM$4&gt;=$J10, CM$4&lt;=$K10), IF('01_THONG_SO_DU_AN'!$C$11=1, "█", IF('01_THONG_SO_DU_AN'!$C$11=2, $N10, $M10)), "")</f>
        <v/>
      </c>
      <c r="CN10" s="29">
        <f>IF(AND(CN$4&gt;=$J10, CN$4&lt;=$K10), IF('01_THONG_SO_DU_AN'!$C$11=1, "█", IF('01_THONG_SO_DU_AN'!$C$11=2, $N10, $M10)), "")</f>
        <v/>
      </c>
      <c r="CO10" s="29">
        <f>IF(AND(CO$4&gt;=$J10, CO$4&lt;=$K10), IF('01_THONG_SO_DU_AN'!$C$11=1, "█", IF('01_THONG_SO_DU_AN'!$C$11=2, $N10, $M10)), "")</f>
        <v/>
      </c>
      <c r="CP10" s="29">
        <f>IF(AND(CP$4&gt;=$J10, CP$4&lt;=$K10), IF('01_THONG_SO_DU_AN'!$C$11=1, "█", IF('01_THONG_SO_DU_AN'!$C$11=2, $N10, $M10)), "")</f>
        <v/>
      </c>
      <c r="CQ10" s="29">
        <f>IF(AND(CQ$4&gt;=$J10, CQ$4&lt;=$K10), IF('01_THONG_SO_DU_AN'!$C$11=1, "█", IF('01_THONG_SO_DU_AN'!$C$11=2, $N10, $M10)), "")</f>
        <v/>
      </c>
      <c r="CR10" s="29">
        <f>IF(AND(CR$4&gt;=$J10, CR$4&lt;=$K10), IF('01_THONG_SO_DU_AN'!$C$11=1, "█", IF('01_THONG_SO_DU_AN'!$C$11=2, $N10, $M10)), "")</f>
        <v/>
      </c>
      <c r="CS10" s="29">
        <f>IF(AND(CS$4&gt;=$J10, CS$4&lt;=$K10), IF('01_THONG_SO_DU_AN'!$C$11=1, "█", IF('01_THONG_SO_DU_AN'!$C$11=2, $N10, $M10)), "")</f>
        <v/>
      </c>
      <c r="CT10" s="29">
        <f>IF(AND(CT$4&gt;=$J10, CT$4&lt;=$K10), IF('01_THONG_SO_DU_AN'!$C$11=1, "█", IF('01_THONG_SO_DU_AN'!$C$11=2, $N10, $M10)), "")</f>
        <v/>
      </c>
      <c r="CU10" s="29">
        <f>IF(AND(CU$4&gt;=$J10, CU$4&lt;=$K10), IF('01_THONG_SO_DU_AN'!$C$11=1, "█", IF('01_THONG_SO_DU_AN'!$C$11=2, $N10, $M10)), "")</f>
        <v/>
      </c>
      <c r="CV10" s="29">
        <f>IF(AND(CV$4&gt;=$J10, CV$4&lt;=$K10), IF('01_THONG_SO_DU_AN'!$C$11=1, "█", IF('01_THONG_SO_DU_AN'!$C$11=2, $N10, $M10)), "")</f>
        <v/>
      </c>
      <c r="CW10" s="29">
        <f>IF(AND(CW$4&gt;=$J10, CW$4&lt;=$K10), IF('01_THONG_SO_DU_AN'!$C$11=1, "█", IF('01_THONG_SO_DU_AN'!$C$11=2, $N10, $M10)), "")</f>
        <v/>
      </c>
      <c r="CX10" s="29">
        <f>IF(AND(CX$4&gt;=$J10, CX$4&lt;=$K10), IF('01_THONG_SO_DU_AN'!$C$11=1, "█", IF('01_THONG_SO_DU_AN'!$C$11=2, $N10, $M10)), "")</f>
        <v/>
      </c>
      <c r="CY10" s="29">
        <f>IF(AND(CY$4&gt;=$J10, CY$4&lt;=$K10), IF('01_THONG_SO_DU_AN'!$C$11=1, "█", IF('01_THONG_SO_DU_AN'!$C$11=2, $N10, $M10)), "")</f>
        <v/>
      </c>
      <c r="CZ10" s="29">
        <f>IF(AND(CZ$4&gt;=$J10, CZ$4&lt;=$K10), IF('01_THONG_SO_DU_AN'!$C$11=1, "█", IF('01_THONG_SO_DU_AN'!$C$11=2, $N10, $M10)), "")</f>
        <v/>
      </c>
      <c r="DA10" s="29">
        <f>IF(AND(DA$4&gt;=$J10, DA$4&lt;=$K10), IF('01_THONG_SO_DU_AN'!$C$11=1, "█", IF('01_THONG_SO_DU_AN'!$C$11=2, $N10, $M10)), "")</f>
        <v/>
      </c>
      <c r="DB10" s="29">
        <f>IF(AND(DB$4&gt;=$J10, DB$4&lt;=$K10), IF('01_THONG_SO_DU_AN'!$C$11=1, "█", IF('01_THONG_SO_DU_AN'!$C$11=2, $N10, $M10)), "")</f>
        <v/>
      </c>
      <c r="DC10" s="29">
        <f>IF(AND(DC$4&gt;=$J10, DC$4&lt;=$K10), IF('01_THONG_SO_DU_AN'!$C$11=1, "█", IF('01_THONG_SO_DU_AN'!$C$11=2, $N10, $M10)), "")</f>
        <v/>
      </c>
      <c r="DD10" s="29">
        <f>IF(AND(DD$4&gt;=$J10, DD$4&lt;=$K10), IF('01_THONG_SO_DU_AN'!$C$11=1, "█", IF('01_THONG_SO_DU_AN'!$C$11=2, $N10, $M10)), "")</f>
        <v/>
      </c>
      <c r="DE10" s="29">
        <f>IF(AND(DE$4&gt;=$J10, DE$4&lt;=$K10), IF('01_THONG_SO_DU_AN'!$C$11=1, "█", IF('01_THONG_SO_DU_AN'!$C$11=2, $N10, $M10)), "")</f>
        <v/>
      </c>
      <c r="DF10" s="29">
        <f>IF(AND(DF$4&gt;=$J10, DF$4&lt;=$K10), IF('01_THONG_SO_DU_AN'!$C$11=1, "█", IF('01_THONG_SO_DU_AN'!$C$11=2, $N10, $M10)), "")</f>
        <v/>
      </c>
      <c r="DG10" s="29">
        <f>IF(AND(DG$4&gt;=$J10, DG$4&lt;=$K10), IF('01_THONG_SO_DU_AN'!$C$11=1, "█", IF('01_THONG_SO_DU_AN'!$C$11=2, $N10, $M10)), "")</f>
        <v/>
      </c>
    </row>
    <row r="11">
      <c r="A11" s="23" t="n">
        <v>6</v>
      </c>
      <c r="B11" s="23" t="inlineStr">
        <is>
          <t>1.5</t>
        </is>
      </c>
      <c r="C11" s="24" t="inlineStr">
        <is>
          <t>Thi công đắp cát K98 lớp 1</t>
        </is>
      </c>
      <c r="D11" s="23" t="inlineStr">
        <is>
          <t>m3</t>
        </is>
      </c>
      <c r="E11" s="25" t="n">
        <v>54102</v>
      </c>
      <c r="F11" s="23" t="inlineStr">
        <is>
          <t>M4</t>
        </is>
      </c>
      <c r="G11" s="25">
        <f>VLOOKUP(F11, '02_DINH_MUC_CA_MAY_VA_DAU'!$C$6:$I$16, 5, FALSE)</f>
        <v/>
      </c>
      <c r="H11" s="25">
        <f>E11/G11</f>
        <v/>
      </c>
      <c r="I11" s="26" t="n">
        <v>74</v>
      </c>
      <c r="J11" s="27">
        <f>J10+4</f>
        <v/>
      </c>
      <c r="K11" s="27">
        <f>J11+I11-1</f>
        <v/>
      </c>
      <c r="L11" s="23">
        <f>IF(K11='01_THONG_SO_DU_AN'!$C$7, "CRITICAL (GĂNG)", "")</f>
        <v/>
      </c>
      <c r="M11" s="28">
        <f>ROUNDUP(H11/(I11*'01_THONG_SO_DU_AN'!$C$10), 0)</f>
        <v/>
      </c>
      <c r="N11" s="28">
        <f>M11*VLOOKUP(F11, '02_DINH_MUC_CA_MAY_VA_DAU'!$C$6:$I$16, 7, FALSE)</f>
        <v/>
      </c>
      <c r="O11" s="29">
        <f>IF(AND(O$4&gt;=$J11, O$4&lt;=$K11), IF('01_THONG_SO_DU_AN'!$C$11=1, "█", IF('01_THONG_SO_DU_AN'!$C$11=2, $N11, $M11)), "")</f>
        <v/>
      </c>
      <c r="P11" s="29">
        <f>IF(AND(P$4&gt;=$J11, P$4&lt;=$K11), IF('01_THONG_SO_DU_AN'!$C$11=1, "█", IF('01_THONG_SO_DU_AN'!$C$11=2, $N11, $M11)), "")</f>
        <v/>
      </c>
      <c r="Q11" s="29">
        <f>IF(AND(Q$4&gt;=$J11, Q$4&lt;=$K11), IF('01_THONG_SO_DU_AN'!$C$11=1, "█", IF('01_THONG_SO_DU_AN'!$C$11=2, $N11, $M11)), "")</f>
        <v/>
      </c>
      <c r="R11" s="29">
        <f>IF(AND(R$4&gt;=$J11, R$4&lt;=$K11), IF('01_THONG_SO_DU_AN'!$C$11=1, "█", IF('01_THONG_SO_DU_AN'!$C$11=2, $N11, $M11)), "")</f>
        <v/>
      </c>
      <c r="S11" s="29">
        <f>IF(AND(S$4&gt;=$J11, S$4&lt;=$K11), IF('01_THONG_SO_DU_AN'!$C$11=1, "█", IF('01_THONG_SO_DU_AN'!$C$11=2, $N11, $M11)), "")</f>
        <v/>
      </c>
      <c r="T11" s="29">
        <f>IF(AND(T$4&gt;=$J11, T$4&lt;=$K11), IF('01_THONG_SO_DU_AN'!$C$11=1, "█", IF('01_THONG_SO_DU_AN'!$C$11=2, $N11, $M11)), "")</f>
        <v/>
      </c>
      <c r="U11" s="29">
        <f>IF(AND(U$4&gt;=$J11, U$4&lt;=$K11), IF('01_THONG_SO_DU_AN'!$C$11=1, "█", IF('01_THONG_SO_DU_AN'!$C$11=2, $N11, $M11)), "")</f>
        <v/>
      </c>
      <c r="V11" s="29">
        <f>IF(AND(V$4&gt;=$J11, V$4&lt;=$K11), IF('01_THONG_SO_DU_AN'!$C$11=1, "█", IF('01_THONG_SO_DU_AN'!$C$11=2, $N11, $M11)), "")</f>
        <v/>
      </c>
      <c r="W11" s="29">
        <f>IF(AND(W$4&gt;=$J11, W$4&lt;=$K11), IF('01_THONG_SO_DU_AN'!$C$11=1, "█", IF('01_THONG_SO_DU_AN'!$C$11=2, $N11, $M11)), "")</f>
        <v/>
      </c>
      <c r="X11" s="29">
        <f>IF(AND(X$4&gt;=$J11, X$4&lt;=$K11), IF('01_THONG_SO_DU_AN'!$C$11=1, "█", IF('01_THONG_SO_DU_AN'!$C$11=2, $N11, $M11)), "")</f>
        <v/>
      </c>
      <c r="Y11" s="29">
        <f>IF(AND(Y$4&gt;=$J11, Y$4&lt;=$K11), IF('01_THONG_SO_DU_AN'!$C$11=1, "█", IF('01_THONG_SO_DU_AN'!$C$11=2, $N11, $M11)), "")</f>
        <v/>
      </c>
      <c r="Z11" s="29">
        <f>IF(AND(Z$4&gt;=$J11, Z$4&lt;=$K11), IF('01_THONG_SO_DU_AN'!$C$11=1, "█", IF('01_THONG_SO_DU_AN'!$C$11=2, $N11, $M11)), "")</f>
        <v/>
      </c>
      <c r="AA11" s="29">
        <f>IF(AND(AA$4&gt;=$J11, AA$4&lt;=$K11), IF('01_THONG_SO_DU_AN'!$C$11=1, "█", IF('01_THONG_SO_DU_AN'!$C$11=2, $N11, $M11)), "")</f>
        <v/>
      </c>
      <c r="AB11" s="29">
        <f>IF(AND(AB$4&gt;=$J11, AB$4&lt;=$K11), IF('01_THONG_SO_DU_AN'!$C$11=1, "█", IF('01_THONG_SO_DU_AN'!$C$11=2, $N11, $M11)), "")</f>
        <v/>
      </c>
      <c r="AC11" s="29">
        <f>IF(AND(AC$4&gt;=$J11, AC$4&lt;=$K11), IF('01_THONG_SO_DU_AN'!$C$11=1, "█", IF('01_THONG_SO_DU_AN'!$C$11=2, $N11, $M11)), "")</f>
        <v/>
      </c>
      <c r="AD11" s="29">
        <f>IF(AND(AD$4&gt;=$J11, AD$4&lt;=$K11), IF('01_THONG_SO_DU_AN'!$C$11=1, "█", IF('01_THONG_SO_DU_AN'!$C$11=2, $N11, $M11)), "")</f>
        <v/>
      </c>
      <c r="AE11" s="29">
        <f>IF(AND(AE$4&gt;=$J11, AE$4&lt;=$K11), IF('01_THONG_SO_DU_AN'!$C$11=1, "█", IF('01_THONG_SO_DU_AN'!$C$11=2, $N11, $M11)), "")</f>
        <v/>
      </c>
      <c r="AF11" s="29">
        <f>IF(AND(AF$4&gt;=$J11, AF$4&lt;=$K11), IF('01_THONG_SO_DU_AN'!$C$11=1, "█", IF('01_THONG_SO_DU_AN'!$C$11=2, $N11, $M11)), "")</f>
        <v/>
      </c>
      <c r="AG11" s="29">
        <f>IF(AND(AG$4&gt;=$J11, AG$4&lt;=$K11), IF('01_THONG_SO_DU_AN'!$C$11=1, "█", IF('01_THONG_SO_DU_AN'!$C$11=2, $N11, $M11)), "")</f>
        <v/>
      </c>
      <c r="AH11" s="29">
        <f>IF(AND(AH$4&gt;=$J11, AH$4&lt;=$K11), IF('01_THONG_SO_DU_AN'!$C$11=1, "█", IF('01_THONG_SO_DU_AN'!$C$11=2, $N11, $M11)), "")</f>
        <v/>
      </c>
      <c r="AI11" s="29">
        <f>IF(AND(AI$4&gt;=$J11, AI$4&lt;=$K11), IF('01_THONG_SO_DU_AN'!$C$11=1, "█", IF('01_THONG_SO_DU_AN'!$C$11=2, $N11, $M11)), "")</f>
        <v/>
      </c>
      <c r="AJ11" s="29">
        <f>IF(AND(AJ$4&gt;=$J11, AJ$4&lt;=$K11), IF('01_THONG_SO_DU_AN'!$C$11=1, "█", IF('01_THONG_SO_DU_AN'!$C$11=2, $N11, $M11)), "")</f>
        <v/>
      </c>
      <c r="AK11" s="29">
        <f>IF(AND(AK$4&gt;=$J11, AK$4&lt;=$K11), IF('01_THONG_SO_DU_AN'!$C$11=1, "█", IF('01_THONG_SO_DU_AN'!$C$11=2, $N11, $M11)), "")</f>
        <v/>
      </c>
      <c r="AL11" s="29">
        <f>IF(AND(AL$4&gt;=$J11, AL$4&lt;=$K11), IF('01_THONG_SO_DU_AN'!$C$11=1, "█", IF('01_THONG_SO_DU_AN'!$C$11=2, $N11, $M11)), "")</f>
        <v/>
      </c>
      <c r="AM11" s="29">
        <f>IF(AND(AM$4&gt;=$J11, AM$4&lt;=$K11), IF('01_THONG_SO_DU_AN'!$C$11=1, "█", IF('01_THONG_SO_DU_AN'!$C$11=2, $N11, $M11)), "")</f>
        <v/>
      </c>
      <c r="AN11" s="29">
        <f>IF(AND(AN$4&gt;=$J11, AN$4&lt;=$K11), IF('01_THONG_SO_DU_AN'!$C$11=1, "█", IF('01_THONG_SO_DU_AN'!$C$11=2, $N11, $M11)), "")</f>
        <v/>
      </c>
      <c r="AO11" s="29">
        <f>IF(AND(AO$4&gt;=$J11, AO$4&lt;=$K11), IF('01_THONG_SO_DU_AN'!$C$11=1, "█", IF('01_THONG_SO_DU_AN'!$C$11=2, $N11, $M11)), "")</f>
        <v/>
      </c>
      <c r="AP11" s="29">
        <f>IF(AND(AP$4&gt;=$J11, AP$4&lt;=$K11), IF('01_THONG_SO_DU_AN'!$C$11=1, "█", IF('01_THONG_SO_DU_AN'!$C$11=2, $N11, $M11)), "")</f>
        <v/>
      </c>
      <c r="AQ11" s="29">
        <f>IF(AND(AQ$4&gt;=$J11, AQ$4&lt;=$K11), IF('01_THONG_SO_DU_AN'!$C$11=1, "█", IF('01_THONG_SO_DU_AN'!$C$11=2, $N11, $M11)), "")</f>
        <v/>
      </c>
      <c r="AR11" s="29">
        <f>IF(AND(AR$4&gt;=$J11, AR$4&lt;=$K11), IF('01_THONG_SO_DU_AN'!$C$11=1, "█", IF('01_THONG_SO_DU_AN'!$C$11=2, $N11, $M11)), "")</f>
        <v/>
      </c>
      <c r="AS11" s="29">
        <f>IF(AND(AS$4&gt;=$J11, AS$4&lt;=$K11), IF('01_THONG_SO_DU_AN'!$C$11=1, "█", IF('01_THONG_SO_DU_AN'!$C$11=2, $N11, $M11)), "")</f>
        <v/>
      </c>
      <c r="AT11" s="29">
        <f>IF(AND(AT$4&gt;=$J11, AT$4&lt;=$K11), IF('01_THONG_SO_DU_AN'!$C$11=1, "█", IF('01_THONG_SO_DU_AN'!$C$11=2, $N11, $M11)), "")</f>
        <v/>
      </c>
      <c r="AU11" s="29">
        <f>IF(AND(AU$4&gt;=$J11, AU$4&lt;=$K11), IF('01_THONG_SO_DU_AN'!$C$11=1, "█", IF('01_THONG_SO_DU_AN'!$C$11=2, $N11, $M11)), "")</f>
        <v/>
      </c>
      <c r="AV11" s="29">
        <f>IF(AND(AV$4&gt;=$J11, AV$4&lt;=$K11), IF('01_THONG_SO_DU_AN'!$C$11=1, "█", IF('01_THONG_SO_DU_AN'!$C$11=2, $N11, $M11)), "")</f>
        <v/>
      </c>
      <c r="AW11" s="29">
        <f>IF(AND(AW$4&gt;=$J11, AW$4&lt;=$K11), IF('01_THONG_SO_DU_AN'!$C$11=1, "█", IF('01_THONG_SO_DU_AN'!$C$11=2, $N11, $M11)), "")</f>
        <v/>
      </c>
      <c r="AX11" s="29">
        <f>IF(AND(AX$4&gt;=$J11, AX$4&lt;=$K11), IF('01_THONG_SO_DU_AN'!$C$11=1, "█", IF('01_THONG_SO_DU_AN'!$C$11=2, $N11, $M11)), "")</f>
        <v/>
      </c>
      <c r="AY11" s="29">
        <f>IF(AND(AY$4&gt;=$J11, AY$4&lt;=$K11), IF('01_THONG_SO_DU_AN'!$C$11=1, "█", IF('01_THONG_SO_DU_AN'!$C$11=2, $N11, $M11)), "")</f>
        <v/>
      </c>
      <c r="AZ11" s="29">
        <f>IF(AND(AZ$4&gt;=$J11, AZ$4&lt;=$K11), IF('01_THONG_SO_DU_AN'!$C$11=1, "█", IF('01_THONG_SO_DU_AN'!$C$11=2, $N11, $M11)), "")</f>
        <v/>
      </c>
      <c r="BA11" s="29">
        <f>IF(AND(BA$4&gt;=$J11, BA$4&lt;=$K11), IF('01_THONG_SO_DU_AN'!$C$11=1, "█", IF('01_THONG_SO_DU_AN'!$C$11=2, $N11, $M11)), "")</f>
        <v/>
      </c>
      <c r="BB11" s="29">
        <f>IF(AND(BB$4&gt;=$J11, BB$4&lt;=$K11), IF('01_THONG_SO_DU_AN'!$C$11=1, "█", IF('01_THONG_SO_DU_AN'!$C$11=2, $N11, $M11)), "")</f>
        <v/>
      </c>
      <c r="BC11" s="29">
        <f>IF(AND(BC$4&gt;=$J11, BC$4&lt;=$K11), IF('01_THONG_SO_DU_AN'!$C$11=1, "█", IF('01_THONG_SO_DU_AN'!$C$11=2, $N11, $M11)), "")</f>
        <v/>
      </c>
      <c r="BD11" s="29">
        <f>IF(AND(BD$4&gt;=$J11, BD$4&lt;=$K11), IF('01_THONG_SO_DU_AN'!$C$11=1, "█", IF('01_THONG_SO_DU_AN'!$C$11=2, $N11, $M11)), "")</f>
        <v/>
      </c>
      <c r="BE11" s="29">
        <f>IF(AND(BE$4&gt;=$J11, BE$4&lt;=$K11), IF('01_THONG_SO_DU_AN'!$C$11=1, "█", IF('01_THONG_SO_DU_AN'!$C$11=2, $N11, $M11)), "")</f>
        <v/>
      </c>
      <c r="BF11" s="29">
        <f>IF(AND(BF$4&gt;=$J11, BF$4&lt;=$K11), IF('01_THONG_SO_DU_AN'!$C$11=1, "█", IF('01_THONG_SO_DU_AN'!$C$11=2, $N11, $M11)), "")</f>
        <v/>
      </c>
      <c r="BG11" s="29">
        <f>IF(AND(BG$4&gt;=$J11, BG$4&lt;=$K11), IF('01_THONG_SO_DU_AN'!$C$11=1, "█", IF('01_THONG_SO_DU_AN'!$C$11=2, $N11, $M11)), "")</f>
        <v/>
      </c>
      <c r="BH11" s="29">
        <f>IF(AND(BH$4&gt;=$J11, BH$4&lt;=$K11), IF('01_THONG_SO_DU_AN'!$C$11=1, "█", IF('01_THONG_SO_DU_AN'!$C$11=2, $N11, $M11)), "")</f>
        <v/>
      </c>
      <c r="BI11" s="29">
        <f>IF(AND(BI$4&gt;=$J11, BI$4&lt;=$K11), IF('01_THONG_SO_DU_AN'!$C$11=1, "█", IF('01_THONG_SO_DU_AN'!$C$11=2, $N11, $M11)), "")</f>
        <v/>
      </c>
      <c r="BJ11" s="29">
        <f>IF(AND(BJ$4&gt;=$J11, BJ$4&lt;=$K11), IF('01_THONG_SO_DU_AN'!$C$11=1, "█", IF('01_THONG_SO_DU_AN'!$C$11=2, $N11, $M11)), "")</f>
        <v/>
      </c>
      <c r="BK11" s="29">
        <f>IF(AND(BK$4&gt;=$J11, BK$4&lt;=$K11), IF('01_THONG_SO_DU_AN'!$C$11=1, "█", IF('01_THONG_SO_DU_AN'!$C$11=2, $N11, $M11)), "")</f>
        <v/>
      </c>
      <c r="BL11" s="29">
        <f>IF(AND(BL$4&gt;=$J11, BL$4&lt;=$K11), IF('01_THONG_SO_DU_AN'!$C$11=1, "█", IF('01_THONG_SO_DU_AN'!$C$11=2, $N11, $M11)), "")</f>
        <v/>
      </c>
      <c r="BM11" s="29">
        <f>IF(AND(BM$4&gt;=$J11, BM$4&lt;=$K11), IF('01_THONG_SO_DU_AN'!$C$11=1, "█", IF('01_THONG_SO_DU_AN'!$C$11=2, $N11, $M11)), "")</f>
        <v/>
      </c>
      <c r="BN11" s="29">
        <f>IF(AND(BN$4&gt;=$J11, BN$4&lt;=$K11), IF('01_THONG_SO_DU_AN'!$C$11=1, "█", IF('01_THONG_SO_DU_AN'!$C$11=2, $N11, $M11)), "")</f>
        <v/>
      </c>
      <c r="BO11" s="29">
        <f>IF(AND(BO$4&gt;=$J11, BO$4&lt;=$K11), IF('01_THONG_SO_DU_AN'!$C$11=1, "█", IF('01_THONG_SO_DU_AN'!$C$11=2, $N11, $M11)), "")</f>
        <v/>
      </c>
      <c r="BP11" s="29">
        <f>IF(AND(BP$4&gt;=$J11, BP$4&lt;=$K11), IF('01_THONG_SO_DU_AN'!$C$11=1, "█", IF('01_THONG_SO_DU_AN'!$C$11=2, $N11, $M11)), "")</f>
        <v/>
      </c>
      <c r="BQ11" s="29">
        <f>IF(AND(BQ$4&gt;=$J11, BQ$4&lt;=$K11), IF('01_THONG_SO_DU_AN'!$C$11=1, "█", IF('01_THONG_SO_DU_AN'!$C$11=2, $N11, $M11)), "")</f>
        <v/>
      </c>
      <c r="BR11" s="29">
        <f>IF(AND(BR$4&gt;=$J11, BR$4&lt;=$K11), IF('01_THONG_SO_DU_AN'!$C$11=1, "█", IF('01_THONG_SO_DU_AN'!$C$11=2, $N11, $M11)), "")</f>
        <v/>
      </c>
      <c r="BS11" s="29">
        <f>IF(AND(BS$4&gt;=$J11, BS$4&lt;=$K11), IF('01_THONG_SO_DU_AN'!$C$11=1, "█", IF('01_THONG_SO_DU_AN'!$C$11=2, $N11, $M11)), "")</f>
        <v/>
      </c>
      <c r="BT11" s="29">
        <f>IF(AND(BT$4&gt;=$J11, BT$4&lt;=$K11), IF('01_THONG_SO_DU_AN'!$C$11=1, "█", IF('01_THONG_SO_DU_AN'!$C$11=2, $N11, $M11)), "")</f>
        <v/>
      </c>
      <c r="BU11" s="29">
        <f>IF(AND(BU$4&gt;=$J11, BU$4&lt;=$K11), IF('01_THONG_SO_DU_AN'!$C$11=1, "█", IF('01_THONG_SO_DU_AN'!$C$11=2, $N11, $M11)), "")</f>
        <v/>
      </c>
      <c r="BV11" s="29">
        <f>IF(AND(BV$4&gt;=$J11, BV$4&lt;=$K11), IF('01_THONG_SO_DU_AN'!$C$11=1, "█", IF('01_THONG_SO_DU_AN'!$C$11=2, $N11, $M11)), "")</f>
        <v/>
      </c>
      <c r="BW11" s="29">
        <f>IF(AND(BW$4&gt;=$J11, BW$4&lt;=$K11), IF('01_THONG_SO_DU_AN'!$C$11=1, "█", IF('01_THONG_SO_DU_AN'!$C$11=2, $N11, $M11)), "")</f>
        <v/>
      </c>
      <c r="BX11" s="29">
        <f>IF(AND(BX$4&gt;=$J11, BX$4&lt;=$K11), IF('01_THONG_SO_DU_AN'!$C$11=1, "█", IF('01_THONG_SO_DU_AN'!$C$11=2, $N11, $M11)), "")</f>
        <v/>
      </c>
      <c r="BY11" s="29">
        <f>IF(AND(BY$4&gt;=$J11, BY$4&lt;=$K11), IF('01_THONG_SO_DU_AN'!$C$11=1, "█", IF('01_THONG_SO_DU_AN'!$C$11=2, $N11, $M11)), "")</f>
        <v/>
      </c>
      <c r="BZ11" s="29">
        <f>IF(AND(BZ$4&gt;=$J11, BZ$4&lt;=$K11), IF('01_THONG_SO_DU_AN'!$C$11=1, "█", IF('01_THONG_SO_DU_AN'!$C$11=2, $N11, $M11)), "")</f>
        <v/>
      </c>
      <c r="CA11" s="29">
        <f>IF(AND(CA$4&gt;=$J11, CA$4&lt;=$K11), IF('01_THONG_SO_DU_AN'!$C$11=1, "█", IF('01_THONG_SO_DU_AN'!$C$11=2, $N11, $M11)), "")</f>
        <v/>
      </c>
      <c r="CB11" s="29">
        <f>IF(AND(CB$4&gt;=$J11, CB$4&lt;=$K11), IF('01_THONG_SO_DU_AN'!$C$11=1, "█", IF('01_THONG_SO_DU_AN'!$C$11=2, $N11, $M11)), "")</f>
        <v/>
      </c>
      <c r="CC11" s="29">
        <f>IF(AND(CC$4&gt;=$J11, CC$4&lt;=$K11), IF('01_THONG_SO_DU_AN'!$C$11=1, "█", IF('01_THONG_SO_DU_AN'!$C$11=2, $N11, $M11)), "")</f>
        <v/>
      </c>
      <c r="CD11" s="29">
        <f>IF(AND(CD$4&gt;=$J11, CD$4&lt;=$K11), IF('01_THONG_SO_DU_AN'!$C$11=1, "█", IF('01_THONG_SO_DU_AN'!$C$11=2, $N11, $M11)), "")</f>
        <v/>
      </c>
      <c r="CE11" s="29">
        <f>IF(AND(CE$4&gt;=$J11, CE$4&lt;=$K11), IF('01_THONG_SO_DU_AN'!$C$11=1, "█", IF('01_THONG_SO_DU_AN'!$C$11=2, $N11, $M11)), "")</f>
        <v/>
      </c>
      <c r="CF11" s="29">
        <f>IF(AND(CF$4&gt;=$J11, CF$4&lt;=$K11), IF('01_THONG_SO_DU_AN'!$C$11=1, "█", IF('01_THONG_SO_DU_AN'!$C$11=2, $N11, $M11)), "")</f>
        <v/>
      </c>
      <c r="CG11" s="29">
        <f>IF(AND(CG$4&gt;=$J11, CG$4&lt;=$K11), IF('01_THONG_SO_DU_AN'!$C$11=1, "█", IF('01_THONG_SO_DU_AN'!$C$11=2, $N11, $M11)), "")</f>
        <v/>
      </c>
      <c r="CH11" s="29">
        <f>IF(AND(CH$4&gt;=$J11, CH$4&lt;=$K11), IF('01_THONG_SO_DU_AN'!$C$11=1, "█", IF('01_THONG_SO_DU_AN'!$C$11=2, $N11, $M11)), "")</f>
        <v/>
      </c>
      <c r="CI11" s="29">
        <f>IF(AND(CI$4&gt;=$J11, CI$4&lt;=$K11), IF('01_THONG_SO_DU_AN'!$C$11=1, "█", IF('01_THONG_SO_DU_AN'!$C$11=2, $N11, $M11)), "")</f>
        <v/>
      </c>
      <c r="CJ11" s="29">
        <f>IF(AND(CJ$4&gt;=$J11, CJ$4&lt;=$K11), IF('01_THONG_SO_DU_AN'!$C$11=1, "█", IF('01_THONG_SO_DU_AN'!$C$11=2, $N11, $M11)), "")</f>
        <v/>
      </c>
      <c r="CK11" s="29">
        <f>IF(AND(CK$4&gt;=$J11, CK$4&lt;=$K11), IF('01_THONG_SO_DU_AN'!$C$11=1, "█", IF('01_THONG_SO_DU_AN'!$C$11=2, $N11, $M11)), "")</f>
        <v/>
      </c>
      <c r="CL11" s="29">
        <f>IF(AND(CL$4&gt;=$J11, CL$4&lt;=$K11), IF('01_THONG_SO_DU_AN'!$C$11=1, "█", IF('01_THONG_SO_DU_AN'!$C$11=2, $N11, $M11)), "")</f>
        <v/>
      </c>
      <c r="CM11" s="29">
        <f>IF(AND(CM$4&gt;=$J11, CM$4&lt;=$K11), IF('01_THONG_SO_DU_AN'!$C$11=1, "█", IF('01_THONG_SO_DU_AN'!$C$11=2, $N11, $M11)), "")</f>
        <v/>
      </c>
      <c r="CN11" s="29">
        <f>IF(AND(CN$4&gt;=$J11, CN$4&lt;=$K11), IF('01_THONG_SO_DU_AN'!$C$11=1, "█", IF('01_THONG_SO_DU_AN'!$C$11=2, $N11, $M11)), "")</f>
        <v/>
      </c>
      <c r="CO11" s="29">
        <f>IF(AND(CO$4&gt;=$J11, CO$4&lt;=$K11), IF('01_THONG_SO_DU_AN'!$C$11=1, "█", IF('01_THONG_SO_DU_AN'!$C$11=2, $N11, $M11)), "")</f>
        <v/>
      </c>
      <c r="CP11" s="29">
        <f>IF(AND(CP$4&gt;=$J11, CP$4&lt;=$K11), IF('01_THONG_SO_DU_AN'!$C$11=1, "█", IF('01_THONG_SO_DU_AN'!$C$11=2, $N11, $M11)), "")</f>
        <v/>
      </c>
      <c r="CQ11" s="29">
        <f>IF(AND(CQ$4&gt;=$J11, CQ$4&lt;=$K11), IF('01_THONG_SO_DU_AN'!$C$11=1, "█", IF('01_THONG_SO_DU_AN'!$C$11=2, $N11, $M11)), "")</f>
        <v/>
      </c>
      <c r="CR11" s="29">
        <f>IF(AND(CR$4&gt;=$J11, CR$4&lt;=$K11), IF('01_THONG_SO_DU_AN'!$C$11=1, "█", IF('01_THONG_SO_DU_AN'!$C$11=2, $N11, $M11)), "")</f>
        <v/>
      </c>
      <c r="CS11" s="29">
        <f>IF(AND(CS$4&gt;=$J11, CS$4&lt;=$K11), IF('01_THONG_SO_DU_AN'!$C$11=1, "█", IF('01_THONG_SO_DU_AN'!$C$11=2, $N11, $M11)), "")</f>
        <v/>
      </c>
      <c r="CT11" s="29">
        <f>IF(AND(CT$4&gt;=$J11, CT$4&lt;=$K11), IF('01_THONG_SO_DU_AN'!$C$11=1, "█", IF('01_THONG_SO_DU_AN'!$C$11=2, $N11, $M11)), "")</f>
        <v/>
      </c>
      <c r="CU11" s="29">
        <f>IF(AND(CU$4&gt;=$J11, CU$4&lt;=$K11), IF('01_THONG_SO_DU_AN'!$C$11=1, "█", IF('01_THONG_SO_DU_AN'!$C$11=2, $N11, $M11)), "")</f>
        <v/>
      </c>
      <c r="CV11" s="29">
        <f>IF(AND(CV$4&gt;=$J11, CV$4&lt;=$K11), IF('01_THONG_SO_DU_AN'!$C$11=1, "█", IF('01_THONG_SO_DU_AN'!$C$11=2, $N11, $M11)), "")</f>
        <v/>
      </c>
      <c r="CW11" s="29">
        <f>IF(AND(CW$4&gt;=$J11, CW$4&lt;=$K11), IF('01_THONG_SO_DU_AN'!$C$11=1, "█", IF('01_THONG_SO_DU_AN'!$C$11=2, $N11, $M11)), "")</f>
        <v/>
      </c>
      <c r="CX11" s="29">
        <f>IF(AND(CX$4&gt;=$J11, CX$4&lt;=$K11), IF('01_THONG_SO_DU_AN'!$C$11=1, "█", IF('01_THONG_SO_DU_AN'!$C$11=2, $N11, $M11)), "")</f>
        <v/>
      </c>
      <c r="CY11" s="29">
        <f>IF(AND(CY$4&gt;=$J11, CY$4&lt;=$K11), IF('01_THONG_SO_DU_AN'!$C$11=1, "█", IF('01_THONG_SO_DU_AN'!$C$11=2, $N11, $M11)), "")</f>
        <v/>
      </c>
      <c r="CZ11" s="29">
        <f>IF(AND(CZ$4&gt;=$J11, CZ$4&lt;=$K11), IF('01_THONG_SO_DU_AN'!$C$11=1, "█", IF('01_THONG_SO_DU_AN'!$C$11=2, $N11, $M11)), "")</f>
        <v/>
      </c>
      <c r="DA11" s="29">
        <f>IF(AND(DA$4&gt;=$J11, DA$4&lt;=$K11), IF('01_THONG_SO_DU_AN'!$C$11=1, "█", IF('01_THONG_SO_DU_AN'!$C$11=2, $N11, $M11)), "")</f>
        <v/>
      </c>
      <c r="DB11" s="29">
        <f>IF(AND(DB$4&gt;=$J11, DB$4&lt;=$K11), IF('01_THONG_SO_DU_AN'!$C$11=1, "█", IF('01_THONG_SO_DU_AN'!$C$11=2, $N11, $M11)), "")</f>
        <v/>
      </c>
      <c r="DC11" s="29">
        <f>IF(AND(DC$4&gt;=$J11, DC$4&lt;=$K11), IF('01_THONG_SO_DU_AN'!$C$11=1, "█", IF('01_THONG_SO_DU_AN'!$C$11=2, $N11, $M11)), "")</f>
        <v/>
      </c>
      <c r="DD11" s="29">
        <f>IF(AND(DD$4&gt;=$J11, DD$4&lt;=$K11), IF('01_THONG_SO_DU_AN'!$C$11=1, "█", IF('01_THONG_SO_DU_AN'!$C$11=2, $N11, $M11)), "")</f>
        <v/>
      </c>
      <c r="DE11" s="29">
        <f>IF(AND(DE$4&gt;=$J11, DE$4&lt;=$K11), IF('01_THONG_SO_DU_AN'!$C$11=1, "█", IF('01_THONG_SO_DU_AN'!$C$11=2, $N11, $M11)), "")</f>
        <v/>
      </c>
      <c r="DF11" s="29">
        <f>IF(AND(DF$4&gt;=$J11, DF$4&lt;=$K11), IF('01_THONG_SO_DU_AN'!$C$11=1, "█", IF('01_THONG_SO_DU_AN'!$C$11=2, $N11, $M11)), "")</f>
        <v/>
      </c>
      <c r="DG11" s="29">
        <f>IF(AND(DG$4&gt;=$J11, DG$4&lt;=$K11), IF('01_THONG_SO_DU_AN'!$C$11=1, "█", IF('01_THONG_SO_DU_AN'!$C$11=2, $N11, $M11)), "")</f>
        <v/>
      </c>
    </row>
    <row r="12">
      <c r="A12" s="23" t="n">
        <v>7</v>
      </c>
      <c r="B12" s="23" t="inlineStr">
        <is>
          <t>1.6</t>
        </is>
      </c>
      <c r="C12" s="24" t="inlineStr">
        <is>
          <t>Thi công Hệ thống thoát nước mưa (Cống D1500)</t>
        </is>
      </c>
      <c r="D12" s="23" t="inlineStr">
        <is>
          <t>m</t>
        </is>
      </c>
      <c r="E12" s="25" t="n">
        <v>21640.8</v>
      </c>
      <c r="F12" s="23" t="inlineStr">
        <is>
          <t>M8</t>
        </is>
      </c>
      <c r="G12" s="25">
        <f>VLOOKUP(F12, '02_DINH_MUC_CA_MAY_VA_DAU'!$C$6:$I$16, 5, FALSE)</f>
        <v/>
      </c>
      <c r="H12" s="25">
        <f>E12/G12</f>
        <v/>
      </c>
      <c r="I12" s="26" t="n">
        <v>72</v>
      </c>
      <c r="J12" s="27">
        <f>J11+4</f>
        <v/>
      </c>
      <c r="K12" s="27">
        <f>J12+I12-1</f>
        <v/>
      </c>
      <c r="L12" s="23">
        <f>IF(K12='01_THONG_SO_DU_AN'!$C$7, "CRITICAL (GĂNG)", "")</f>
        <v/>
      </c>
      <c r="M12" s="28">
        <f>ROUNDUP(H12/(I12*'01_THONG_SO_DU_AN'!$C$10), 0)</f>
        <v/>
      </c>
      <c r="N12" s="28">
        <f>M12*VLOOKUP(F12, '02_DINH_MUC_CA_MAY_VA_DAU'!$C$6:$I$16, 7, FALSE)</f>
        <v/>
      </c>
      <c r="O12" s="29">
        <f>IF(AND(O$4&gt;=$J12, O$4&lt;=$K12), IF('01_THONG_SO_DU_AN'!$C$11=1, "█", IF('01_THONG_SO_DU_AN'!$C$11=2, $N12, $M12)), "")</f>
        <v/>
      </c>
      <c r="P12" s="29">
        <f>IF(AND(P$4&gt;=$J12, P$4&lt;=$K12), IF('01_THONG_SO_DU_AN'!$C$11=1, "█", IF('01_THONG_SO_DU_AN'!$C$11=2, $N12, $M12)), "")</f>
        <v/>
      </c>
      <c r="Q12" s="29">
        <f>IF(AND(Q$4&gt;=$J12, Q$4&lt;=$K12), IF('01_THONG_SO_DU_AN'!$C$11=1, "█", IF('01_THONG_SO_DU_AN'!$C$11=2, $N12, $M12)), "")</f>
        <v/>
      </c>
      <c r="R12" s="29">
        <f>IF(AND(R$4&gt;=$J12, R$4&lt;=$K12), IF('01_THONG_SO_DU_AN'!$C$11=1, "█", IF('01_THONG_SO_DU_AN'!$C$11=2, $N12, $M12)), "")</f>
        <v/>
      </c>
      <c r="S12" s="29">
        <f>IF(AND(S$4&gt;=$J12, S$4&lt;=$K12), IF('01_THONG_SO_DU_AN'!$C$11=1, "█", IF('01_THONG_SO_DU_AN'!$C$11=2, $N12, $M12)), "")</f>
        <v/>
      </c>
      <c r="T12" s="29">
        <f>IF(AND(T$4&gt;=$J12, T$4&lt;=$K12), IF('01_THONG_SO_DU_AN'!$C$11=1, "█", IF('01_THONG_SO_DU_AN'!$C$11=2, $N12, $M12)), "")</f>
        <v/>
      </c>
      <c r="U12" s="29">
        <f>IF(AND(U$4&gt;=$J12, U$4&lt;=$K12), IF('01_THONG_SO_DU_AN'!$C$11=1, "█", IF('01_THONG_SO_DU_AN'!$C$11=2, $N12, $M12)), "")</f>
        <v/>
      </c>
      <c r="V12" s="29">
        <f>IF(AND(V$4&gt;=$J12, V$4&lt;=$K12), IF('01_THONG_SO_DU_AN'!$C$11=1, "█", IF('01_THONG_SO_DU_AN'!$C$11=2, $N12, $M12)), "")</f>
        <v/>
      </c>
      <c r="W12" s="29">
        <f>IF(AND(W$4&gt;=$J12, W$4&lt;=$K12), IF('01_THONG_SO_DU_AN'!$C$11=1, "█", IF('01_THONG_SO_DU_AN'!$C$11=2, $N12, $M12)), "")</f>
        <v/>
      </c>
      <c r="X12" s="29">
        <f>IF(AND(X$4&gt;=$J12, X$4&lt;=$K12), IF('01_THONG_SO_DU_AN'!$C$11=1, "█", IF('01_THONG_SO_DU_AN'!$C$11=2, $N12, $M12)), "")</f>
        <v/>
      </c>
      <c r="Y12" s="29">
        <f>IF(AND(Y$4&gt;=$J12, Y$4&lt;=$K12), IF('01_THONG_SO_DU_AN'!$C$11=1, "█", IF('01_THONG_SO_DU_AN'!$C$11=2, $N12, $M12)), "")</f>
        <v/>
      </c>
      <c r="Z12" s="29">
        <f>IF(AND(Z$4&gt;=$J12, Z$4&lt;=$K12), IF('01_THONG_SO_DU_AN'!$C$11=1, "█", IF('01_THONG_SO_DU_AN'!$C$11=2, $N12, $M12)), "")</f>
        <v/>
      </c>
      <c r="AA12" s="29">
        <f>IF(AND(AA$4&gt;=$J12, AA$4&lt;=$K12), IF('01_THONG_SO_DU_AN'!$C$11=1, "█", IF('01_THONG_SO_DU_AN'!$C$11=2, $N12, $M12)), "")</f>
        <v/>
      </c>
      <c r="AB12" s="29">
        <f>IF(AND(AB$4&gt;=$J12, AB$4&lt;=$K12), IF('01_THONG_SO_DU_AN'!$C$11=1, "█", IF('01_THONG_SO_DU_AN'!$C$11=2, $N12, $M12)), "")</f>
        <v/>
      </c>
      <c r="AC12" s="29">
        <f>IF(AND(AC$4&gt;=$J12, AC$4&lt;=$K12), IF('01_THONG_SO_DU_AN'!$C$11=1, "█", IF('01_THONG_SO_DU_AN'!$C$11=2, $N12, $M12)), "")</f>
        <v/>
      </c>
      <c r="AD12" s="29">
        <f>IF(AND(AD$4&gt;=$J12, AD$4&lt;=$K12), IF('01_THONG_SO_DU_AN'!$C$11=1, "█", IF('01_THONG_SO_DU_AN'!$C$11=2, $N12, $M12)), "")</f>
        <v/>
      </c>
      <c r="AE12" s="29">
        <f>IF(AND(AE$4&gt;=$J12, AE$4&lt;=$K12), IF('01_THONG_SO_DU_AN'!$C$11=1, "█", IF('01_THONG_SO_DU_AN'!$C$11=2, $N12, $M12)), "")</f>
        <v/>
      </c>
      <c r="AF12" s="29">
        <f>IF(AND(AF$4&gt;=$J12, AF$4&lt;=$K12), IF('01_THONG_SO_DU_AN'!$C$11=1, "█", IF('01_THONG_SO_DU_AN'!$C$11=2, $N12, $M12)), "")</f>
        <v/>
      </c>
      <c r="AG12" s="29">
        <f>IF(AND(AG$4&gt;=$J12, AG$4&lt;=$K12), IF('01_THONG_SO_DU_AN'!$C$11=1, "█", IF('01_THONG_SO_DU_AN'!$C$11=2, $N12, $M12)), "")</f>
        <v/>
      </c>
      <c r="AH12" s="29">
        <f>IF(AND(AH$4&gt;=$J12, AH$4&lt;=$K12), IF('01_THONG_SO_DU_AN'!$C$11=1, "█", IF('01_THONG_SO_DU_AN'!$C$11=2, $N12, $M12)), "")</f>
        <v/>
      </c>
      <c r="AI12" s="29">
        <f>IF(AND(AI$4&gt;=$J12, AI$4&lt;=$K12), IF('01_THONG_SO_DU_AN'!$C$11=1, "█", IF('01_THONG_SO_DU_AN'!$C$11=2, $N12, $M12)), "")</f>
        <v/>
      </c>
      <c r="AJ12" s="29">
        <f>IF(AND(AJ$4&gt;=$J12, AJ$4&lt;=$K12), IF('01_THONG_SO_DU_AN'!$C$11=1, "█", IF('01_THONG_SO_DU_AN'!$C$11=2, $N12, $M12)), "")</f>
        <v/>
      </c>
      <c r="AK12" s="29">
        <f>IF(AND(AK$4&gt;=$J12, AK$4&lt;=$K12), IF('01_THONG_SO_DU_AN'!$C$11=1, "█", IF('01_THONG_SO_DU_AN'!$C$11=2, $N12, $M12)), "")</f>
        <v/>
      </c>
      <c r="AL12" s="29">
        <f>IF(AND(AL$4&gt;=$J12, AL$4&lt;=$K12), IF('01_THONG_SO_DU_AN'!$C$11=1, "█", IF('01_THONG_SO_DU_AN'!$C$11=2, $N12, $M12)), "")</f>
        <v/>
      </c>
      <c r="AM12" s="29">
        <f>IF(AND(AM$4&gt;=$J12, AM$4&lt;=$K12), IF('01_THONG_SO_DU_AN'!$C$11=1, "█", IF('01_THONG_SO_DU_AN'!$C$11=2, $N12, $M12)), "")</f>
        <v/>
      </c>
      <c r="AN12" s="29">
        <f>IF(AND(AN$4&gt;=$J12, AN$4&lt;=$K12), IF('01_THONG_SO_DU_AN'!$C$11=1, "█", IF('01_THONG_SO_DU_AN'!$C$11=2, $N12, $M12)), "")</f>
        <v/>
      </c>
      <c r="AO12" s="29">
        <f>IF(AND(AO$4&gt;=$J12, AO$4&lt;=$K12), IF('01_THONG_SO_DU_AN'!$C$11=1, "█", IF('01_THONG_SO_DU_AN'!$C$11=2, $N12, $M12)), "")</f>
        <v/>
      </c>
      <c r="AP12" s="29">
        <f>IF(AND(AP$4&gt;=$J12, AP$4&lt;=$K12), IF('01_THONG_SO_DU_AN'!$C$11=1, "█", IF('01_THONG_SO_DU_AN'!$C$11=2, $N12, $M12)), "")</f>
        <v/>
      </c>
      <c r="AQ12" s="29">
        <f>IF(AND(AQ$4&gt;=$J12, AQ$4&lt;=$K12), IF('01_THONG_SO_DU_AN'!$C$11=1, "█", IF('01_THONG_SO_DU_AN'!$C$11=2, $N12, $M12)), "")</f>
        <v/>
      </c>
      <c r="AR12" s="29">
        <f>IF(AND(AR$4&gt;=$J12, AR$4&lt;=$K12), IF('01_THONG_SO_DU_AN'!$C$11=1, "█", IF('01_THONG_SO_DU_AN'!$C$11=2, $N12, $M12)), "")</f>
        <v/>
      </c>
      <c r="AS12" s="29">
        <f>IF(AND(AS$4&gt;=$J12, AS$4&lt;=$K12), IF('01_THONG_SO_DU_AN'!$C$11=1, "█", IF('01_THONG_SO_DU_AN'!$C$11=2, $N12, $M12)), "")</f>
        <v/>
      </c>
      <c r="AT12" s="29">
        <f>IF(AND(AT$4&gt;=$J12, AT$4&lt;=$K12), IF('01_THONG_SO_DU_AN'!$C$11=1, "█", IF('01_THONG_SO_DU_AN'!$C$11=2, $N12, $M12)), "")</f>
        <v/>
      </c>
      <c r="AU12" s="29">
        <f>IF(AND(AU$4&gt;=$J12, AU$4&lt;=$K12), IF('01_THONG_SO_DU_AN'!$C$11=1, "█", IF('01_THONG_SO_DU_AN'!$C$11=2, $N12, $M12)), "")</f>
        <v/>
      </c>
      <c r="AV12" s="29">
        <f>IF(AND(AV$4&gt;=$J12, AV$4&lt;=$K12), IF('01_THONG_SO_DU_AN'!$C$11=1, "█", IF('01_THONG_SO_DU_AN'!$C$11=2, $N12, $M12)), "")</f>
        <v/>
      </c>
      <c r="AW12" s="29">
        <f>IF(AND(AW$4&gt;=$J12, AW$4&lt;=$K12), IF('01_THONG_SO_DU_AN'!$C$11=1, "█", IF('01_THONG_SO_DU_AN'!$C$11=2, $N12, $M12)), "")</f>
        <v/>
      </c>
      <c r="AX12" s="29">
        <f>IF(AND(AX$4&gt;=$J12, AX$4&lt;=$K12), IF('01_THONG_SO_DU_AN'!$C$11=1, "█", IF('01_THONG_SO_DU_AN'!$C$11=2, $N12, $M12)), "")</f>
        <v/>
      </c>
      <c r="AY12" s="29">
        <f>IF(AND(AY$4&gt;=$J12, AY$4&lt;=$K12), IF('01_THONG_SO_DU_AN'!$C$11=1, "█", IF('01_THONG_SO_DU_AN'!$C$11=2, $N12, $M12)), "")</f>
        <v/>
      </c>
      <c r="AZ12" s="29">
        <f>IF(AND(AZ$4&gt;=$J12, AZ$4&lt;=$K12), IF('01_THONG_SO_DU_AN'!$C$11=1, "█", IF('01_THONG_SO_DU_AN'!$C$11=2, $N12, $M12)), "")</f>
        <v/>
      </c>
      <c r="BA12" s="29">
        <f>IF(AND(BA$4&gt;=$J12, BA$4&lt;=$K12), IF('01_THONG_SO_DU_AN'!$C$11=1, "█", IF('01_THONG_SO_DU_AN'!$C$11=2, $N12, $M12)), "")</f>
        <v/>
      </c>
      <c r="BB12" s="29">
        <f>IF(AND(BB$4&gt;=$J12, BB$4&lt;=$K12), IF('01_THONG_SO_DU_AN'!$C$11=1, "█", IF('01_THONG_SO_DU_AN'!$C$11=2, $N12, $M12)), "")</f>
        <v/>
      </c>
      <c r="BC12" s="29">
        <f>IF(AND(BC$4&gt;=$J12, BC$4&lt;=$K12), IF('01_THONG_SO_DU_AN'!$C$11=1, "█", IF('01_THONG_SO_DU_AN'!$C$11=2, $N12, $M12)), "")</f>
        <v/>
      </c>
      <c r="BD12" s="29">
        <f>IF(AND(BD$4&gt;=$J12, BD$4&lt;=$K12), IF('01_THONG_SO_DU_AN'!$C$11=1, "█", IF('01_THONG_SO_DU_AN'!$C$11=2, $N12, $M12)), "")</f>
        <v/>
      </c>
      <c r="BE12" s="29">
        <f>IF(AND(BE$4&gt;=$J12, BE$4&lt;=$K12), IF('01_THONG_SO_DU_AN'!$C$11=1, "█", IF('01_THONG_SO_DU_AN'!$C$11=2, $N12, $M12)), "")</f>
        <v/>
      </c>
      <c r="BF12" s="29">
        <f>IF(AND(BF$4&gt;=$J12, BF$4&lt;=$K12), IF('01_THONG_SO_DU_AN'!$C$11=1, "█", IF('01_THONG_SO_DU_AN'!$C$11=2, $N12, $M12)), "")</f>
        <v/>
      </c>
      <c r="BG12" s="29">
        <f>IF(AND(BG$4&gt;=$J12, BG$4&lt;=$K12), IF('01_THONG_SO_DU_AN'!$C$11=1, "█", IF('01_THONG_SO_DU_AN'!$C$11=2, $N12, $M12)), "")</f>
        <v/>
      </c>
      <c r="BH12" s="29">
        <f>IF(AND(BH$4&gt;=$J12, BH$4&lt;=$K12), IF('01_THONG_SO_DU_AN'!$C$11=1, "█", IF('01_THONG_SO_DU_AN'!$C$11=2, $N12, $M12)), "")</f>
        <v/>
      </c>
      <c r="BI12" s="29">
        <f>IF(AND(BI$4&gt;=$J12, BI$4&lt;=$K12), IF('01_THONG_SO_DU_AN'!$C$11=1, "█", IF('01_THONG_SO_DU_AN'!$C$11=2, $N12, $M12)), "")</f>
        <v/>
      </c>
      <c r="BJ12" s="29">
        <f>IF(AND(BJ$4&gt;=$J12, BJ$4&lt;=$K12), IF('01_THONG_SO_DU_AN'!$C$11=1, "█", IF('01_THONG_SO_DU_AN'!$C$11=2, $N12, $M12)), "")</f>
        <v/>
      </c>
      <c r="BK12" s="29">
        <f>IF(AND(BK$4&gt;=$J12, BK$4&lt;=$K12), IF('01_THONG_SO_DU_AN'!$C$11=1, "█", IF('01_THONG_SO_DU_AN'!$C$11=2, $N12, $M12)), "")</f>
        <v/>
      </c>
      <c r="BL12" s="29">
        <f>IF(AND(BL$4&gt;=$J12, BL$4&lt;=$K12), IF('01_THONG_SO_DU_AN'!$C$11=1, "█", IF('01_THONG_SO_DU_AN'!$C$11=2, $N12, $M12)), "")</f>
        <v/>
      </c>
      <c r="BM12" s="29">
        <f>IF(AND(BM$4&gt;=$J12, BM$4&lt;=$K12), IF('01_THONG_SO_DU_AN'!$C$11=1, "█", IF('01_THONG_SO_DU_AN'!$C$11=2, $N12, $M12)), "")</f>
        <v/>
      </c>
      <c r="BN12" s="29">
        <f>IF(AND(BN$4&gt;=$J12, BN$4&lt;=$K12), IF('01_THONG_SO_DU_AN'!$C$11=1, "█", IF('01_THONG_SO_DU_AN'!$C$11=2, $N12, $M12)), "")</f>
        <v/>
      </c>
      <c r="BO12" s="29">
        <f>IF(AND(BO$4&gt;=$J12, BO$4&lt;=$K12), IF('01_THONG_SO_DU_AN'!$C$11=1, "█", IF('01_THONG_SO_DU_AN'!$C$11=2, $N12, $M12)), "")</f>
        <v/>
      </c>
      <c r="BP12" s="29">
        <f>IF(AND(BP$4&gt;=$J12, BP$4&lt;=$K12), IF('01_THONG_SO_DU_AN'!$C$11=1, "█", IF('01_THONG_SO_DU_AN'!$C$11=2, $N12, $M12)), "")</f>
        <v/>
      </c>
      <c r="BQ12" s="29">
        <f>IF(AND(BQ$4&gt;=$J12, BQ$4&lt;=$K12), IF('01_THONG_SO_DU_AN'!$C$11=1, "█", IF('01_THONG_SO_DU_AN'!$C$11=2, $N12, $M12)), "")</f>
        <v/>
      </c>
      <c r="BR12" s="29">
        <f>IF(AND(BR$4&gt;=$J12, BR$4&lt;=$K12), IF('01_THONG_SO_DU_AN'!$C$11=1, "█", IF('01_THONG_SO_DU_AN'!$C$11=2, $N12, $M12)), "")</f>
        <v/>
      </c>
      <c r="BS12" s="29">
        <f>IF(AND(BS$4&gt;=$J12, BS$4&lt;=$K12), IF('01_THONG_SO_DU_AN'!$C$11=1, "█", IF('01_THONG_SO_DU_AN'!$C$11=2, $N12, $M12)), "")</f>
        <v/>
      </c>
      <c r="BT12" s="29">
        <f>IF(AND(BT$4&gt;=$J12, BT$4&lt;=$K12), IF('01_THONG_SO_DU_AN'!$C$11=1, "█", IF('01_THONG_SO_DU_AN'!$C$11=2, $N12, $M12)), "")</f>
        <v/>
      </c>
      <c r="BU12" s="29">
        <f>IF(AND(BU$4&gt;=$J12, BU$4&lt;=$K12), IF('01_THONG_SO_DU_AN'!$C$11=1, "█", IF('01_THONG_SO_DU_AN'!$C$11=2, $N12, $M12)), "")</f>
        <v/>
      </c>
      <c r="BV12" s="29">
        <f>IF(AND(BV$4&gt;=$J12, BV$4&lt;=$K12), IF('01_THONG_SO_DU_AN'!$C$11=1, "█", IF('01_THONG_SO_DU_AN'!$C$11=2, $N12, $M12)), "")</f>
        <v/>
      </c>
      <c r="BW12" s="29">
        <f>IF(AND(BW$4&gt;=$J12, BW$4&lt;=$K12), IF('01_THONG_SO_DU_AN'!$C$11=1, "█", IF('01_THONG_SO_DU_AN'!$C$11=2, $N12, $M12)), "")</f>
        <v/>
      </c>
      <c r="BX12" s="29">
        <f>IF(AND(BX$4&gt;=$J12, BX$4&lt;=$K12), IF('01_THONG_SO_DU_AN'!$C$11=1, "█", IF('01_THONG_SO_DU_AN'!$C$11=2, $N12, $M12)), "")</f>
        <v/>
      </c>
      <c r="BY12" s="29">
        <f>IF(AND(BY$4&gt;=$J12, BY$4&lt;=$K12), IF('01_THONG_SO_DU_AN'!$C$11=1, "█", IF('01_THONG_SO_DU_AN'!$C$11=2, $N12, $M12)), "")</f>
        <v/>
      </c>
      <c r="BZ12" s="29">
        <f>IF(AND(BZ$4&gt;=$J12, BZ$4&lt;=$K12), IF('01_THONG_SO_DU_AN'!$C$11=1, "█", IF('01_THONG_SO_DU_AN'!$C$11=2, $N12, $M12)), "")</f>
        <v/>
      </c>
      <c r="CA12" s="29">
        <f>IF(AND(CA$4&gt;=$J12, CA$4&lt;=$K12), IF('01_THONG_SO_DU_AN'!$C$11=1, "█", IF('01_THONG_SO_DU_AN'!$C$11=2, $N12, $M12)), "")</f>
        <v/>
      </c>
      <c r="CB12" s="29">
        <f>IF(AND(CB$4&gt;=$J12, CB$4&lt;=$K12), IF('01_THONG_SO_DU_AN'!$C$11=1, "█", IF('01_THONG_SO_DU_AN'!$C$11=2, $N12, $M12)), "")</f>
        <v/>
      </c>
      <c r="CC12" s="29">
        <f>IF(AND(CC$4&gt;=$J12, CC$4&lt;=$K12), IF('01_THONG_SO_DU_AN'!$C$11=1, "█", IF('01_THONG_SO_DU_AN'!$C$11=2, $N12, $M12)), "")</f>
        <v/>
      </c>
      <c r="CD12" s="29">
        <f>IF(AND(CD$4&gt;=$J12, CD$4&lt;=$K12), IF('01_THONG_SO_DU_AN'!$C$11=1, "█", IF('01_THONG_SO_DU_AN'!$C$11=2, $N12, $M12)), "")</f>
        <v/>
      </c>
      <c r="CE12" s="29">
        <f>IF(AND(CE$4&gt;=$J12, CE$4&lt;=$K12), IF('01_THONG_SO_DU_AN'!$C$11=1, "█", IF('01_THONG_SO_DU_AN'!$C$11=2, $N12, $M12)), "")</f>
        <v/>
      </c>
      <c r="CF12" s="29">
        <f>IF(AND(CF$4&gt;=$J12, CF$4&lt;=$K12), IF('01_THONG_SO_DU_AN'!$C$11=1, "█", IF('01_THONG_SO_DU_AN'!$C$11=2, $N12, $M12)), "")</f>
        <v/>
      </c>
      <c r="CG12" s="29">
        <f>IF(AND(CG$4&gt;=$J12, CG$4&lt;=$K12), IF('01_THONG_SO_DU_AN'!$C$11=1, "█", IF('01_THONG_SO_DU_AN'!$C$11=2, $N12, $M12)), "")</f>
        <v/>
      </c>
      <c r="CH12" s="29">
        <f>IF(AND(CH$4&gt;=$J12, CH$4&lt;=$K12), IF('01_THONG_SO_DU_AN'!$C$11=1, "█", IF('01_THONG_SO_DU_AN'!$C$11=2, $N12, $M12)), "")</f>
        <v/>
      </c>
      <c r="CI12" s="29">
        <f>IF(AND(CI$4&gt;=$J12, CI$4&lt;=$K12), IF('01_THONG_SO_DU_AN'!$C$11=1, "█", IF('01_THONG_SO_DU_AN'!$C$11=2, $N12, $M12)), "")</f>
        <v/>
      </c>
      <c r="CJ12" s="29">
        <f>IF(AND(CJ$4&gt;=$J12, CJ$4&lt;=$K12), IF('01_THONG_SO_DU_AN'!$C$11=1, "█", IF('01_THONG_SO_DU_AN'!$C$11=2, $N12, $M12)), "")</f>
        <v/>
      </c>
      <c r="CK12" s="29">
        <f>IF(AND(CK$4&gt;=$J12, CK$4&lt;=$K12), IF('01_THONG_SO_DU_AN'!$C$11=1, "█", IF('01_THONG_SO_DU_AN'!$C$11=2, $N12, $M12)), "")</f>
        <v/>
      </c>
      <c r="CL12" s="29">
        <f>IF(AND(CL$4&gt;=$J12, CL$4&lt;=$K12), IF('01_THONG_SO_DU_AN'!$C$11=1, "█", IF('01_THONG_SO_DU_AN'!$C$11=2, $N12, $M12)), "")</f>
        <v/>
      </c>
      <c r="CM12" s="29">
        <f>IF(AND(CM$4&gt;=$J12, CM$4&lt;=$K12), IF('01_THONG_SO_DU_AN'!$C$11=1, "█", IF('01_THONG_SO_DU_AN'!$C$11=2, $N12, $M12)), "")</f>
        <v/>
      </c>
      <c r="CN12" s="29">
        <f>IF(AND(CN$4&gt;=$J12, CN$4&lt;=$K12), IF('01_THONG_SO_DU_AN'!$C$11=1, "█", IF('01_THONG_SO_DU_AN'!$C$11=2, $N12, $M12)), "")</f>
        <v/>
      </c>
      <c r="CO12" s="29">
        <f>IF(AND(CO$4&gt;=$J12, CO$4&lt;=$K12), IF('01_THONG_SO_DU_AN'!$C$11=1, "█", IF('01_THONG_SO_DU_AN'!$C$11=2, $N12, $M12)), "")</f>
        <v/>
      </c>
      <c r="CP12" s="29">
        <f>IF(AND(CP$4&gt;=$J12, CP$4&lt;=$K12), IF('01_THONG_SO_DU_AN'!$C$11=1, "█", IF('01_THONG_SO_DU_AN'!$C$11=2, $N12, $M12)), "")</f>
        <v/>
      </c>
      <c r="CQ12" s="29">
        <f>IF(AND(CQ$4&gt;=$J12, CQ$4&lt;=$K12), IF('01_THONG_SO_DU_AN'!$C$11=1, "█", IF('01_THONG_SO_DU_AN'!$C$11=2, $N12, $M12)), "")</f>
        <v/>
      </c>
      <c r="CR12" s="29">
        <f>IF(AND(CR$4&gt;=$J12, CR$4&lt;=$K12), IF('01_THONG_SO_DU_AN'!$C$11=1, "█", IF('01_THONG_SO_DU_AN'!$C$11=2, $N12, $M12)), "")</f>
        <v/>
      </c>
      <c r="CS12" s="29">
        <f>IF(AND(CS$4&gt;=$J12, CS$4&lt;=$K12), IF('01_THONG_SO_DU_AN'!$C$11=1, "█", IF('01_THONG_SO_DU_AN'!$C$11=2, $N12, $M12)), "")</f>
        <v/>
      </c>
      <c r="CT12" s="29">
        <f>IF(AND(CT$4&gt;=$J12, CT$4&lt;=$K12), IF('01_THONG_SO_DU_AN'!$C$11=1, "█", IF('01_THONG_SO_DU_AN'!$C$11=2, $N12, $M12)), "")</f>
        <v/>
      </c>
      <c r="CU12" s="29">
        <f>IF(AND(CU$4&gt;=$J12, CU$4&lt;=$K12), IF('01_THONG_SO_DU_AN'!$C$11=1, "█", IF('01_THONG_SO_DU_AN'!$C$11=2, $N12, $M12)), "")</f>
        <v/>
      </c>
      <c r="CV12" s="29">
        <f>IF(AND(CV$4&gt;=$J12, CV$4&lt;=$K12), IF('01_THONG_SO_DU_AN'!$C$11=1, "█", IF('01_THONG_SO_DU_AN'!$C$11=2, $N12, $M12)), "")</f>
        <v/>
      </c>
      <c r="CW12" s="29">
        <f>IF(AND(CW$4&gt;=$J12, CW$4&lt;=$K12), IF('01_THONG_SO_DU_AN'!$C$11=1, "█", IF('01_THONG_SO_DU_AN'!$C$11=2, $N12, $M12)), "")</f>
        <v/>
      </c>
      <c r="CX12" s="29">
        <f>IF(AND(CX$4&gt;=$J12, CX$4&lt;=$K12), IF('01_THONG_SO_DU_AN'!$C$11=1, "█", IF('01_THONG_SO_DU_AN'!$C$11=2, $N12, $M12)), "")</f>
        <v/>
      </c>
      <c r="CY12" s="29">
        <f>IF(AND(CY$4&gt;=$J12, CY$4&lt;=$K12), IF('01_THONG_SO_DU_AN'!$C$11=1, "█", IF('01_THONG_SO_DU_AN'!$C$11=2, $N12, $M12)), "")</f>
        <v/>
      </c>
      <c r="CZ12" s="29">
        <f>IF(AND(CZ$4&gt;=$J12, CZ$4&lt;=$K12), IF('01_THONG_SO_DU_AN'!$C$11=1, "█", IF('01_THONG_SO_DU_AN'!$C$11=2, $N12, $M12)), "")</f>
        <v/>
      </c>
      <c r="DA12" s="29">
        <f>IF(AND(DA$4&gt;=$J12, DA$4&lt;=$K12), IF('01_THONG_SO_DU_AN'!$C$11=1, "█", IF('01_THONG_SO_DU_AN'!$C$11=2, $N12, $M12)), "")</f>
        <v/>
      </c>
      <c r="DB12" s="29">
        <f>IF(AND(DB$4&gt;=$J12, DB$4&lt;=$K12), IF('01_THONG_SO_DU_AN'!$C$11=1, "█", IF('01_THONG_SO_DU_AN'!$C$11=2, $N12, $M12)), "")</f>
        <v/>
      </c>
      <c r="DC12" s="29">
        <f>IF(AND(DC$4&gt;=$J12, DC$4&lt;=$K12), IF('01_THONG_SO_DU_AN'!$C$11=1, "█", IF('01_THONG_SO_DU_AN'!$C$11=2, $N12, $M12)), "")</f>
        <v/>
      </c>
      <c r="DD12" s="29">
        <f>IF(AND(DD$4&gt;=$J12, DD$4&lt;=$K12), IF('01_THONG_SO_DU_AN'!$C$11=1, "█", IF('01_THONG_SO_DU_AN'!$C$11=2, $N12, $M12)), "")</f>
        <v/>
      </c>
      <c r="DE12" s="29">
        <f>IF(AND(DE$4&gt;=$J12, DE$4&lt;=$K12), IF('01_THONG_SO_DU_AN'!$C$11=1, "█", IF('01_THONG_SO_DU_AN'!$C$11=2, $N12, $M12)), "")</f>
        <v/>
      </c>
      <c r="DF12" s="29">
        <f>IF(AND(DF$4&gt;=$J12, DF$4&lt;=$K12), IF('01_THONG_SO_DU_AN'!$C$11=1, "█", IF('01_THONG_SO_DU_AN'!$C$11=2, $N12, $M12)), "")</f>
        <v/>
      </c>
      <c r="DG12" s="29">
        <f>IF(AND(DG$4&gt;=$J12, DG$4&lt;=$K12), IF('01_THONG_SO_DU_AN'!$C$11=1, "█", IF('01_THONG_SO_DU_AN'!$C$11=2, $N12, $M12)), "")</f>
        <v/>
      </c>
    </row>
    <row r="13">
      <c r="A13" s="23" t="n">
        <v>8</v>
      </c>
      <c r="B13" s="23" t="inlineStr">
        <is>
          <t>1.7</t>
        </is>
      </c>
      <c r="C13" s="24" t="inlineStr">
        <is>
          <t>Thi công Hệ thống thoát nước thải (Ống PE D300/400)</t>
        </is>
      </c>
      <c r="D13" s="23" t="inlineStr">
        <is>
          <t>m</t>
        </is>
      </c>
      <c r="E13" s="25" t="n">
        <v>21640.8</v>
      </c>
      <c r="F13" s="23" t="inlineStr">
        <is>
          <t>M8</t>
        </is>
      </c>
      <c r="G13" s="25">
        <f>VLOOKUP(F13, '02_DINH_MUC_CA_MAY_VA_DAU'!$C$6:$I$16, 5, FALSE)</f>
        <v/>
      </c>
      <c r="H13" s="25">
        <f>E13/G13</f>
        <v/>
      </c>
      <c r="I13" s="26" t="n">
        <v>68</v>
      </c>
      <c r="J13" s="27">
        <f>J12+4</f>
        <v/>
      </c>
      <c r="K13" s="27">
        <f>J13+I13-1</f>
        <v/>
      </c>
      <c r="L13" s="23">
        <f>IF(K13='01_THONG_SO_DU_AN'!$C$7, "CRITICAL (GĂNG)", "")</f>
        <v/>
      </c>
      <c r="M13" s="28">
        <f>ROUNDUP(H13/(I13*'01_THONG_SO_DU_AN'!$C$10), 0)</f>
        <v/>
      </c>
      <c r="N13" s="28">
        <f>M13*VLOOKUP(F13, '02_DINH_MUC_CA_MAY_VA_DAU'!$C$6:$I$16, 7, FALSE)</f>
        <v/>
      </c>
      <c r="O13" s="29">
        <f>IF(AND(O$4&gt;=$J13, O$4&lt;=$K13), IF('01_THONG_SO_DU_AN'!$C$11=1, "█", IF('01_THONG_SO_DU_AN'!$C$11=2, $N13, $M13)), "")</f>
        <v/>
      </c>
      <c r="P13" s="29">
        <f>IF(AND(P$4&gt;=$J13, P$4&lt;=$K13), IF('01_THONG_SO_DU_AN'!$C$11=1, "█", IF('01_THONG_SO_DU_AN'!$C$11=2, $N13, $M13)), "")</f>
        <v/>
      </c>
      <c r="Q13" s="29">
        <f>IF(AND(Q$4&gt;=$J13, Q$4&lt;=$K13), IF('01_THONG_SO_DU_AN'!$C$11=1, "█", IF('01_THONG_SO_DU_AN'!$C$11=2, $N13, $M13)), "")</f>
        <v/>
      </c>
      <c r="R13" s="29">
        <f>IF(AND(R$4&gt;=$J13, R$4&lt;=$K13), IF('01_THONG_SO_DU_AN'!$C$11=1, "█", IF('01_THONG_SO_DU_AN'!$C$11=2, $N13, $M13)), "")</f>
        <v/>
      </c>
      <c r="S13" s="29">
        <f>IF(AND(S$4&gt;=$J13, S$4&lt;=$K13), IF('01_THONG_SO_DU_AN'!$C$11=1, "█", IF('01_THONG_SO_DU_AN'!$C$11=2, $N13, $M13)), "")</f>
        <v/>
      </c>
      <c r="T13" s="29">
        <f>IF(AND(T$4&gt;=$J13, T$4&lt;=$K13), IF('01_THONG_SO_DU_AN'!$C$11=1, "█", IF('01_THONG_SO_DU_AN'!$C$11=2, $N13, $M13)), "")</f>
        <v/>
      </c>
      <c r="U13" s="29">
        <f>IF(AND(U$4&gt;=$J13, U$4&lt;=$K13), IF('01_THONG_SO_DU_AN'!$C$11=1, "█", IF('01_THONG_SO_DU_AN'!$C$11=2, $N13, $M13)), "")</f>
        <v/>
      </c>
      <c r="V13" s="29">
        <f>IF(AND(V$4&gt;=$J13, V$4&lt;=$K13), IF('01_THONG_SO_DU_AN'!$C$11=1, "█", IF('01_THONG_SO_DU_AN'!$C$11=2, $N13, $M13)), "")</f>
        <v/>
      </c>
      <c r="W13" s="29">
        <f>IF(AND(W$4&gt;=$J13, W$4&lt;=$K13), IF('01_THONG_SO_DU_AN'!$C$11=1, "█", IF('01_THONG_SO_DU_AN'!$C$11=2, $N13, $M13)), "")</f>
        <v/>
      </c>
      <c r="X13" s="29">
        <f>IF(AND(X$4&gt;=$J13, X$4&lt;=$K13), IF('01_THONG_SO_DU_AN'!$C$11=1, "█", IF('01_THONG_SO_DU_AN'!$C$11=2, $N13, $M13)), "")</f>
        <v/>
      </c>
      <c r="Y13" s="29">
        <f>IF(AND(Y$4&gt;=$J13, Y$4&lt;=$K13), IF('01_THONG_SO_DU_AN'!$C$11=1, "█", IF('01_THONG_SO_DU_AN'!$C$11=2, $N13, $M13)), "")</f>
        <v/>
      </c>
      <c r="Z13" s="29">
        <f>IF(AND(Z$4&gt;=$J13, Z$4&lt;=$K13), IF('01_THONG_SO_DU_AN'!$C$11=1, "█", IF('01_THONG_SO_DU_AN'!$C$11=2, $N13, $M13)), "")</f>
        <v/>
      </c>
      <c r="AA13" s="29">
        <f>IF(AND(AA$4&gt;=$J13, AA$4&lt;=$K13), IF('01_THONG_SO_DU_AN'!$C$11=1, "█", IF('01_THONG_SO_DU_AN'!$C$11=2, $N13, $M13)), "")</f>
        <v/>
      </c>
      <c r="AB13" s="29">
        <f>IF(AND(AB$4&gt;=$J13, AB$4&lt;=$K13), IF('01_THONG_SO_DU_AN'!$C$11=1, "█", IF('01_THONG_SO_DU_AN'!$C$11=2, $N13, $M13)), "")</f>
        <v/>
      </c>
      <c r="AC13" s="29">
        <f>IF(AND(AC$4&gt;=$J13, AC$4&lt;=$K13), IF('01_THONG_SO_DU_AN'!$C$11=1, "█", IF('01_THONG_SO_DU_AN'!$C$11=2, $N13, $M13)), "")</f>
        <v/>
      </c>
      <c r="AD13" s="29">
        <f>IF(AND(AD$4&gt;=$J13, AD$4&lt;=$K13), IF('01_THONG_SO_DU_AN'!$C$11=1, "█", IF('01_THONG_SO_DU_AN'!$C$11=2, $N13, $M13)), "")</f>
        <v/>
      </c>
      <c r="AE13" s="29">
        <f>IF(AND(AE$4&gt;=$J13, AE$4&lt;=$K13), IF('01_THONG_SO_DU_AN'!$C$11=1, "█", IF('01_THONG_SO_DU_AN'!$C$11=2, $N13, $M13)), "")</f>
        <v/>
      </c>
      <c r="AF13" s="29">
        <f>IF(AND(AF$4&gt;=$J13, AF$4&lt;=$K13), IF('01_THONG_SO_DU_AN'!$C$11=1, "█", IF('01_THONG_SO_DU_AN'!$C$11=2, $N13, $M13)), "")</f>
        <v/>
      </c>
      <c r="AG13" s="29">
        <f>IF(AND(AG$4&gt;=$J13, AG$4&lt;=$K13), IF('01_THONG_SO_DU_AN'!$C$11=1, "█", IF('01_THONG_SO_DU_AN'!$C$11=2, $N13, $M13)), "")</f>
        <v/>
      </c>
      <c r="AH13" s="29">
        <f>IF(AND(AH$4&gt;=$J13, AH$4&lt;=$K13), IF('01_THONG_SO_DU_AN'!$C$11=1, "█", IF('01_THONG_SO_DU_AN'!$C$11=2, $N13, $M13)), "")</f>
        <v/>
      </c>
      <c r="AI13" s="29">
        <f>IF(AND(AI$4&gt;=$J13, AI$4&lt;=$K13), IF('01_THONG_SO_DU_AN'!$C$11=1, "█", IF('01_THONG_SO_DU_AN'!$C$11=2, $N13, $M13)), "")</f>
        <v/>
      </c>
      <c r="AJ13" s="29">
        <f>IF(AND(AJ$4&gt;=$J13, AJ$4&lt;=$K13), IF('01_THONG_SO_DU_AN'!$C$11=1, "█", IF('01_THONG_SO_DU_AN'!$C$11=2, $N13, $M13)), "")</f>
        <v/>
      </c>
      <c r="AK13" s="29">
        <f>IF(AND(AK$4&gt;=$J13, AK$4&lt;=$K13), IF('01_THONG_SO_DU_AN'!$C$11=1, "█", IF('01_THONG_SO_DU_AN'!$C$11=2, $N13, $M13)), "")</f>
        <v/>
      </c>
      <c r="AL13" s="29">
        <f>IF(AND(AL$4&gt;=$J13, AL$4&lt;=$K13), IF('01_THONG_SO_DU_AN'!$C$11=1, "█", IF('01_THONG_SO_DU_AN'!$C$11=2, $N13, $M13)), "")</f>
        <v/>
      </c>
      <c r="AM13" s="29">
        <f>IF(AND(AM$4&gt;=$J13, AM$4&lt;=$K13), IF('01_THONG_SO_DU_AN'!$C$11=1, "█", IF('01_THONG_SO_DU_AN'!$C$11=2, $N13, $M13)), "")</f>
        <v/>
      </c>
      <c r="AN13" s="29">
        <f>IF(AND(AN$4&gt;=$J13, AN$4&lt;=$K13), IF('01_THONG_SO_DU_AN'!$C$11=1, "█", IF('01_THONG_SO_DU_AN'!$C$11=2, $N13, $M13)), "")</f>
        <v/>
      </c>
      <c r="AO13" s="29">
        <f>IF(AND(AO$4&gt;=$J13, AO$4&lt;=$K13), IF('01_THONG_SO_DU_AN'!$C$11=1, "█", IF('01_THONG_SO_DU_AN'!$C$11=2, $N13, $M13)), "")</f>
        <v/>
      </c>
      <c r="AP13" s="29">
        <f>IF(AND(AP$4&gt;=$J13, AP$4&lt;=$K13), IF('01_THONG_SO_DU_AN'!$C$11=1, "█", IF('01_THONG_SO_DU_AN'!$C$11=2, $N13, $M13)), "")</f>
        <v/>
      </c>
      <c r="AQ13" s="29">
        <f>IF(AND(AQ$4&gt;=$J13, AQ$4&lt;=$K13), IF('01_THONG_SO_DU_AN'!$C$11=1, "█", IF('01_THONG_SO_DU_AN'!$C$11=2, $N13, $M13)), "")</f>
        <v/>
      </c>
      <c r="AR13" s="29">
        <f>IF(AND(AR$4&gt;=$J13, AR$4&lt;=$K13), IF('01_THONG_SO_DU_AN'!$C$11=1, "█", IF('01_THONG_SO_DU_AN'!$C$11=2, $N13, $M13)), "")</f>
        <v/>
      </c>
      <c r="AS13" s="29">
        <f>IF(AND(AS$4&gt;=$J13, AS$4&lt;=$K13), IF('01_THONG_SO_DU_AN'!$C$11=1, "█", IF('01_THONG_SO_DU_AN'!$C$11=2, $N13, $M13)), "")</f>
        <v/>
      </c>
      <c r="AT13" s="29">
        <f>IF(AND(AT$4&gt;=$J13, AT$4&lt;=$K13), IF('01_THONG_SO_DU_AN'!$C$11=1, "█", IF('01_THONG_SO_DU_AN'!$C$11=2, $N13, $M13)), "")</f>
        <v/>
      </c>
      <c r="AU13" s="29">
        <f>IF(AND(AU$4&gt;=$J13, AU$4&lt;=$K13), IF('01_THONG_SO_DU_AN'!$C$11=1, "█", IF('01_THONG_SO_DU_AN'!$C$11=2, $N13, $M13)), "")</f>
        <v/>
      </c>
      <c r="AV13" s="29">
        <f>IF(AND(AV$4&gt;=$J13, AV$4&lt;=$K13), IF('01_THONG_SO_DU_AN'!$C$11=1, "█", IF('01_THONG_SO_DU_AN'!$C$11=2, $N13, $M13)), "")</f>
        <v/>
      </c>
      <c r="AW13" s="29">
        <f>IF(AND(AW$4&gt;=$J13, AW$4&lt;=$K13), IF('01_THONG_SO_DU_AN'!$C$11=1, "█", IF('01_THONG_SO_DU_AN'!$C$11=2, $N13, $M13)), "")</f>
        <v/>
      </c>
      <c r="AX13" s="29">
        <f>IF(AND(AX$4&gt;=$J13, AX$4&lt;=$K13), IF('01_THONG_SO_DU_AN'!$C$11=1, "█", IF('01_THONG_SO_DU_AN'!$C$11=2, $N13, $M13)), "")</f>
        <v/>
      </c>
      <c r="AY13" s="29">
        <f>IF(AND(AY$4&gt;=$J13, AY$4&lt;=$K13), IF('01_THONG_SO_DU_AN'!$C$11=1, "█", IF('01_THONG_SO_DU_AN'!$C$11=2, $N13, $M13)), "")</f>
        <v/>
      </c>
      <c r="AZ13" s="29">
        <f>IF(AND(AZ$4&gt;=$J13, AZ$4&lt;=$K13), IF('01_THONG_SO_DU_AN'!$C$11=1, "█", IF('01_THONG_SO_DU_AN'!$C$11=2, $N13, $M13)), "")</f>
        <v/>
      </c>
      <c r="BA13" s="29">
        <f>IF(AND(BA$4&gt;=$J13, BA$4&lt;=$K13), IF('01_THONG_SO_DU_AN'!$C$11=1, "█", IF('01_THONG_SO_DU_AN'!$C$11=2, $N13, $M13)), "")</f>
        <v/>
      </c>
      <c r="BB13" s="29">
        <f>IF(AND(BB$4&gt;=$J13, BB$4&lt;=$K13), IF('01_THONG_SO_DU_AN'!$C$11=1, "█", IF('01_THONG_SO_DU_AN'!$C$11=2, $N13, $M13)), "")</f>
        <v/>
      </c>
      <c r="BC13" s="29">
        <f>IF(AND(BC$4&gt;=$J13, BC$4&lt;=$K13), IF('01_THONG_SO_DU_AN'!$C$11=1, "█", IF('01_THONG_SO_DU_AN'!$C$11=2, $N13, $M13)), "")</f>
        <v/>
      </c>
      <c r="BD13" s="29">
        <f>IF(AND(BD$4&gt;=$J13, BD$4&lt;=$K13), IF('01_THONG_SO_DU_AN'!$C$11=1, "█", IF('01_THONG_SO_DU_AN'!$C$11=2, $N13, $M13)), "")</f>
        <v/>
      </c>
      <c r="BE13" s="29">
        <f>IF(AND(BE$4&gt;=$J13, BE$4&lt;=$K13), IF('01_THONG_SO_DU_AN'!$C$11=1, "█", IF('01_THONG_SO_DU_AN'!$C$11=2, $N13, $M13)), "")</f>
        <v/>
      </c>
      <c r="BF13" s="29">
        <f>IF(AND(BF$4&gt;=$J13, BF$4&lt;=$K13), IF('01_THONG_SO_DU_AN'!$C$11=1, "█", IF('01_THONG_SO_DU_AN'!$C$11=2, $N13, $M13)), "")</f>
        <v/>
      </c>
      <c r="BG13" s="29">
        <f>IF(AND(BG$4&gt;=$J13, BG$4&lt;=$K13), IF('01_THONG_SO_DU_AN'!$C$11=1, "█", IF('01_THONG_SO_DU_AN'!$C$11=2, $N13, $M13)), "")</f>
        <v/>
      </c>
      <c r="BH13" s="29">
        <f>IF(AND(BH$4&gt;=$J13, BH$4&lt;=$K13), IF('01_THONG_SO_DU_AN'!$C$11=1, "█", IF('01_THONG_SO_DU_AN'!$C$11=2, $N13, $M13)), "")</f>
        <v/>
      </c>
      <c r="BI13" s="29">
        <f>IF(AND(BI$4&gt;=$J13, BI$4&lt;=$K13), IF('01_THONG_SO_DU_AN'!$C$11=1, "█", IF('01_THONG_SO_DU_AN'!$C$11=2, $N13, $M13)), "")</f>
        <v/>
      </c>
      <c r="BJ13" s="29">
        <f>IF(AND(BJ$4&gt;=$J13, BJ$4&lt;=$K13), IF('01_THONG_SO_DU_AN'!$C$11=1, "█", IF('01_THONG_SO_DU_AN'!$C$11=2, $N13, $M13)), "")</f>
        <v/>
      </c>
      <c r="BK13" s="29">
        <f>IF(AND(BK$4&gt;=$J13, BK$4&lt;=$K13), IF('01_THONG_SO_DU_AN'!$C$11=1, "█", IF('01_THONG_SO_DU_AN'!$C$11=2, $N13, $M13)), "")</f>
        <v/>
      </c>
      <c r="BL13" s="29">
        <f>IF(AND(BL$4&gt;=$J13, BL$4&lt;=$K13), IF('01_THONG_SO_DU_AN'!$C$11=1, "█", IF('01_THONG_SO_DU_AN'!$C$11=2, $N13, $M13)), "")</f>
        <v/>
      </c>
      <c r="BM13" s="29">
        <f>IF(AND(BM$4&gt;=$J13, BM$4&lt;=$K13), IF('01_THONG_SO_DU_AN'!$C$11=1, "█", IF('01_THONG_SO_DU_AN'!$C$11=2, $N13, $M13)), "")</f>
        <v/>
      </c>
      <c r="BN13" s="29">
        <f>IF(AND(BN$4&gt;=$J13, BN$4&lt;=$K13), IF('01_THONG_SO_DU_AN'!$C$11=1, "█", IF('01_THONG_SO_DU_AN'!$C$11=2, $N13, $M13)), "")</f>
        <v/>
      </c>
      <c r="BO13" s="29">
        <f>IF(AND(BO$4&gt;=$J13, BO$4&lt;=$K13), IF('01_THONG_SO_DU_AN'!$C$11=1, "█", IF('01_THONG_SO_DU_AN'!$C$11=2, $N13, $M13)), "")</f>
        <v/>
      </c>
      <c r="BP13" s="29">
        <f>IF(AND(BP$4&gt;=$J13, BP$4&lt;=$K13), IF('01_THONG_SO_DU_AN'!$C$11=1, "█", IF('01_THONG_SO_DU_AN'!$C$11=2, $N13, $M13)), "")</f>
        <v/>
      </c>
      <c r="BQ13" s="29">
        <f>IF(AND(BQ$4&gt;=$J13, BQ$4&lt;=$K13), IF('01_THONG_SO_DU_AN'!$C$11=1, "█", IF('01_THONG_SO_DU_AN'!$C$11=2, $N13, $M13)), "")</f>
        <v/>
      </c>
      <c r="BR13" s="29">
        <f>IF(AND(BR$4&gt;=$J13, BR$4&lt;=$K13), IF('01_THONG_SO_DU_AN'!$C$11=1, "█", IF('01_THONG_SO_DU_AN'!$C$11=2, $N13, $M13)), "")</f>
        <v/>
      </c>
      <c r="BS13" s="29">
        <f>IF(AND(BS$4&gt;=$J13, BS$4&lt;=$K13), IF('01_THONG_SO_DU_AN'!$C$11=1, "█", IF('01_THONG_SO_DU_AN'!$C$11=2, $N13, $M13)), "")</f>
        <v/>
      </c>
      <c r="BT13" s="29">
        <f>IF(AND(BT$4&gt;=$J13, BT$4&lt;=$K13), IF('01_THONG_SO_DU_AN'!$C$11=1, "█", IF('01_THONG_SO_DU_AN'!$C$11=2, $N13, $M13)), "")</f>
        <v/>
      </c>
      <c r="BU13" s="29">
        <f>IF(AND(BU$4&gt;=$J13, BU$4&lt;=$K13), IF('01_THONG_SO_DU_AN'!$C$11=1, "█", IF('01_THONG_SO_DU_AN'!$C$11=2, $N13, $M13)), "")</f>
        <v/>
      </c>
      <c r="BV13" s="29">
        <f>IF(AND(BV$4&gt;=$J13, BV$4&lt;=$K13), IF('01_THONG_SO_DU_AN'!$C$11=1, "█", IF('01_THONG_SO_DU_AN'!$C$11=2, $N13, $M13)), "")</f>
        <v/>
      </c>
      <c r="BW13" s="29">
        <f>IF(AND(BW$4&gt;=$J13, BW$4&lt;=$K13), IF('01_THONG_SO_DU_AN'!$C$11=1, "█", IF('01_THONG_SO_DU_AN'!$C$11=2, $N13, $M13)), "")</f>
        <v/>
      </c>
      <c r="BX13" s="29">
        <f>IF(AND(BX$4&gt;=$J13, BX$4&lt;=$K13), IF('01_THONG_SO_DU_AN'!$C$11=1, "█", IF('01_THONG_SO_DU_AN'!$C$11=2, $N13, $M13)), "")</f>
        <v/>
      </c>
      <c r="BY13" s="29">
        <f>IF(AND(BY$4&gt;=$J13, BY$4&lt;=$K13), IF('01_THONG_SO_DU_AN'!$C$11=1, "█", IF('01_THONG_SO_DU_AN'!$C$11=2, $N13, $M13)), "")</f>
        <v/>
      </c>
      <c r="BZ13" s="29">
        <f>IF(AND(BZ$4&gt;=$J13, BZ$4&lt;=$K13), IF('01_THONG_SO_DU_AN'!$C$11=1, "█", IF('01_THONG_SO_DU_AN'!$C$11=2, $N13, $M13)), "")</f>
        <v/>
      </c>
      <c r="CA13" s="29">
        <f>IF(AND(CA$4&gt;=$J13, CA$4&lt;=$K13), IF('01_THONG_SO_DU_AN'!$C$11=1, "█", IF('01_THONG_SO_DU_AN'!$C$11=2, $N13, $M13)), "")</f>
        <v/>
      </c>
      <c r="CB13" s="29">
        <f>IF(AND(CB$4&gt;=$J13, CB$4&lt;=$K13), IF('01_THONG_SO_DU_AN'!$C$11=1, "█", IF('01_THONG_SO_DU_AN'!$C$11=2, $N13, $M13)), "")</f>
        <v/>
      </c>
      <c r="CC13" s="29">
        <f>IF(AND(CC$4&gt;=$J13, CC$4&lt;=$K13), IF('01_THONG_SO_DU_AN'!$C$11=1, "█", IF('01_THONG_SO_DU_AN'!$C$11=2, $N13, $M13)), "")</f>
        <v/>
      </c>
      <c r="CD13" s="29">
        <f>IF(AND(CD$4&gt;=$J13, CD$4&lt;=$K13), IF('01_THONG_SO_DU_AN'!$C$11=1, "█", IF('01_THONG_SO_DU_AN'!$C$11=2, $N13, $M13)), "")</f>
        <v/>
      </c>
      <c r="CE13" s="29">
        <f>IF(AND(CE$4&gt;=$J13, CE$4&lt;=$K13), IF('01_THONG_SO_DU_AN'!$C$11=1, "█", IF('01_THONG_SO_DU_AN'!$C$11=2, $N13, $M13)), "")</f>
        <v/>
      </c>
      <c r="CF13" s="29">
        <f>IF(AND(CF$4&gt;=$J13, CF$4&lt;=$K13), IF('01_THONG_SO_DU_AN'!$C$11=1, "█", IF('01_THONG_SO_DU_AN'!$C$11=2, $N13, $M13)), "")</f>
        <v/>
      </c>
      <c r="CG13" s="29">
        <f>IF(AND(CG$4&gt;=$J13, CG$4&lt;=$K13), IF('01_THONG_SO_DU_AN'!$C$11=1, "█", IF('01_THONG_SO_DU_AN'!$C$11=2, $N13, $M13)), "")</f>
        <v/>
      </c>
      <c r="CH13" s="29">
        <f>IF(AND(CH$4&gt;=$J13, CH$4&lt;=$K13), IF('01_THONG_SO_DU_AN'!$C$11=1, "█", IF('01_THONG_SO_DU_AN'!$C$11=2, $N13, $M13)), "")</f>
        <v/>
      </c>
      <c r="CI13" s="29">
        <f>IF(AND(CI$4&gt;=$J13, CI$4&lt;=$K13), IF('01_THONG_SO_DU_AN'!$C$11=1, "█", IF('01_THONG_SO_DU_AN'!$C$11=2, $N13, $M13)), "")</f>
        <v/>
      </c>
      <c r="CJ13" s="29">
        <f>IF(AND(CJ$4&gt;=$J13, CJ$4&lt;=$K13), IF('01_THONG_SO_DU_AN'!$C$11=1, "█", IF('01_THONG_SO_DU_AN'!$C$11=2, $N13, $M13)), "")</f>
        <v/>
      </c>
      <c r="CK13" s="29">
        <f>IF(AND(CK$4&gt;=$J13, CK$4&lt;=$K13), IF('01_THONG_SO_DU_AN'!$C$11=1, "█", IF('01_THONG_SO_DU_AN'!$C$11=2, $N13, $M13)), "")</f>
        <v/>
      </c>
      <c r="CL13" s="29">
        <f>IF(AND(CL$4&gt;=$J13, CL$4&lt;=$K13), IF('01_THONG_SO_DU_AN'!$C$11=1, "█", IF('01_THONG_SO_DU_AN'!$C$11=2, $N13, $M13)), "")</f>
        <v/>
      </c>
      <c r="CM13" s="29">
        <f>IF(AND(CM$4&gt;=$J13, CM$4&lt;=$K13), IF('01_THONG_SO_DU_AN'!$C$11=1, "█", IF('01_THONG_SO_DU_AN'!$C$11=2, $N13, $M13)), "")</f>
        <v/>
      </c>
      <c r="CN13" s="29">
        <f>IF(AND(CN$4&gt;=$J13, CN$4&lt;=$K13), IF('01_THONG_SO_DU_AN'!$C$11=1, "█", IF('01_THONG_SO_DU_AN'!$C$11=2, $N13, $M13)), "")</f>
        <v/>
      </c>
      <c r="CO13" s="29">
        <f>IF(AND(CO$4&gt;=$J13, CO$4&lt;=$K13), IF('01_THONG_SO_DU_AN'!$C$11=1, "█", IF('01_THONG_SO_DU_AN'!$C$11=2, $N13, $M13)), "")</f>
        <v/>
      </c>
      <c r="CP13" s="29">
        <f>IF(AND(CP$4&gt;=$J13, CP$4&lt;=$K13), IF('01_THONG_SO_DU_AN'!$C$11=1, "█", IF('01_THONG_SO_DU_AN'!$C$11=2, $N13, $M13)), "")</f>
        <v/>
      </c>
      <c r="CQ13" s="29">
        <f>IF(AND(CQ$4&gt;=$J13, CQ$4&lt;=$K13), IF('01_THONG_SO_DU_AN'!$C$11=1, "█", IF('01_THONG_SO_DU_AN'!$C$11=2, $N13, $M13)), "")</f>
        <v/>
      </c>
      <c r="CR13" s="29">
        <f>IF(AND(CR$4&gt;=$J13, CR$4&lt;=$K13), IF('01_THONG_SO_DU_AN'!$C$11=1, "█", IF('01_THONG_SO_DU_AN'!$C$11=2, $N13, $M13)), "")</f>
        <v/>
      </c>
      <c r="CS13" s="29">
        <f>IF(AND(CS$4&gt;=$J13, CS$4&lt;=$K13), IF('01_THONG_SO_DU_AN'!$C$11=1, "█", IF('01_THONG_SO_DU_AN'!$C$11=2, $N13, $M13)), "")</f>
        <v/>
      </c>
      <c r="CT13" s="29">
        <f>IF(AND(CT$4&gt;=$J13, CT$4&lt;=$K13), IF('01_THONG_SO_DU_AN'!$C$11=1, "█", IF('01_THONG_SO_DU_AN'!$C$11=2, $N13, $M13)), "")</f>
        <v/>
      </c>
      <c r="CU13" s="29">
        <f>IF(AND(CU$4&gt;=$J13, CU$4&lt;=$K13), IF('01_THONG_SO_DU_AN'!$C$11=1, "█", IF('01_THONG_SO_DU_AN'!$C$11=2, $N13, $M13)), "")</f>
        <v/>
      </c>
      <c r="CV13" s="29">
        <f>IF(AND(CV$4&gt;=$J13, CV$4&lt;=$K13), IF('01_THONG_SO_DU_AN'!$C$11=1, "█", IF('01_THONG_SO_DU_AN'!$C$11=2, $N13, $M13)), "")</f>
        <v/>
      </c>
      <c r="CW13" s="29">
        <f>IF(AND(CW$4&gt;=$J13, CW$4&lt;=$K13), IF('01_THONG_SO_DU_AN'!$C$11=1, "█", IF('01_THONG_SO_DU_AN'!$C$11=2, $N13, $M13)), "")</f>
        <v/>
      </c>
      <c r="CX13" s="29">
        <f>IF(AND(CX$4&gt;=$J13, CX$4&lt;=$K13), IF('01_THONG_SO_DU_AN'!$C$11=1, "█", IF('01_THONG_SO_DU_AN'!$C$11=2, $N13, $M13)), "")</f>
        <v/>
      </c>
      <c r="CY13" s="29">
        <f>IF(AND(CY$4&gt;=$J13, CY$4&lt;=$K13), IF('01_THONG_SO_DU_AN'!$C$11=1, "█", IF('01_THONG_SO_DU_AN'!$C$11=2, $N13, $M13)), "")</f>
        <v/>
      </c>
      <c r="CZ13" s="29">
        <f>IF(AND(CZ$4&gt;=$J13, CZ$4&lt;=$K13), IF('01_THONG_SO_DU_AN'!$C$11=1, "█", IF('01_THONG_SO_DU_AN'!$C$11=2, $N13, $M13)), "")</f>
        <v/>
      </c>
      <c r="DA13" s="29">
        <f>IF(AND(DA$4&gt;=$J13, DA$4&lt;=$K13), IF('01_THONG_SO_DU_AN'!$C$11=1, "█", IF('01_THONG_SO_DU_AN'!$C$11=2, $N13, $M13)), "")</f>
        <v/>
      </c>
      <c r="DB13" s="29">
        <f>IF(AND(DB$4&gt;=$J13, DB$4&lt;=$K13), IF('01_THONG_SO_DU_AN'!$C$11=1, "█", IF('01_THONG_SO_DU_AN'!$C$11=2, $N13, $M13)), "")</f>
        <v/>
      </c>
      <c r="DC13" s="29">
        <f>IF(AND(DC$4&gt;=$J13, DC$4&lt;=$K13), IF('01_THONG_SO_DU_AN'!$C$11=1, "█", IF('01_THONG_SO_DU_AN'!$C$11=2, $N13, $M13)), "")</f>
        <v/>
      </c>
      <c r="DD13" s="29">
        <f>IF(AND(DD$4&gt;=$J13, DD$4&lt;=$K13), IF('01_THONG_SO_DU_AN'!$C$11=1, "█", IF('01_THONG_SO_DU_AN'!$C$11=2, $N13, $M13)), "")</f>
        <v/>
      </c>
      <c r="DE13" s="29">
        <f>IF(AND(DE$4&gt;=$J13, DE$4&lt;=$K13), IF('01_THONG_SO_DU_AN'!$C$11=1, "█", IF('01_THONG_SO_DU_AN'!$C$11=2, $N13, $M13)), "")</f>
        <v/>
      </c>
      <c r="DF13" s="29">
        <f>IF(AND(DF$4&gt;=$J13, DF$4&lt;=$K13), IF('01_THONG_SO_DU_AN'!$C$11=1, "█", IF('01_THONG_SO_DU_AN'!$C$11=2, $N13, $M13)), "")</f>
        <v/>
      </c>
      <c r="DG13" s="29">
        <f>IF(AND(DG$4&gt;=$J13, DG$4&lt;=$K13), IF('01_THONG_SO_DU_AN'!$C$11=1, "█", IF('01_THONG_SO_DU_AN'!$C$11=2, $N13, $M13)), "")</f>
        <v/>
      </c>
    </row>
    <row r="14">
      <c r="A14" s="23" t="n">
        <v>9</v>
      </c>
      <c r="B14" s="23" t="inlineStr">
        <is>
          <t>1.8</t>
        </is>
      </c>
      <c r="C14" s="24" t="inlineStr">
        <is>
          <t>Thi công lớp móng Base B (CPĐD loại 2)</t>
        </is>
      </c>
      <c r="D14" s="23" t="inlineStr">
        <is>
          <t>m3</t>
        </is>
      </c>
      <c r="E14" s="25" t="n">
        <v>27051</v>
      </c>
      <c r="F14" s="23" t="inlineStr">
        <is>
          <t>M6</t>
        </is>
      </c>
      <c r="G14" s="25">
        <f>VLOOKUP(F14, '02_DINH_MUC_CA_MAY_VA_DAU'!$C$6:$I$16, 5, FALSE)</f>
        <v/>
      </c>
      <c r="H14" s="25">
        <f>E14/G14</f>
        <v/>
      </c>
      <c r="I14" s="26" t="n">
        <v>68</v>
      </c>
      <c r="J14" s="27">
        <f>J13+4</f>
        <v/>
      </c>
      <c r="K14" s="27">
        <f>J14+I14-1</f>
        <v/>
      </c>
      <c r="L14" s="23">
        <f>IF(K14='01_THONG_SO_DU_AN'!$C$7, "CRITICAL (GĂNG)", "")</f>
        <v/>
      </c>
      <c r="M14" s="28">
        <f>ROUNDUP(H14/(I14*'01_THONG_SO_DU_AN'!$C$10), 0)</f>
        <v/>
      </c>
      <c r="N14" s="28">
        <f>M14*VLOOKUP(F14, '02_DINH_MUC_CA_MAY_VA_DAU'!$C$6:$I$16, 7, FALSE)</f>
        <v/>
      </c>
      <c r="O14" s="29">
        <f>IF(AND(O$4&gt;=$J14, O$4&lt;=$K14), IF('01_THONG_SO_DU_AN'!$C$11=1, "█", IF('01_THONG_SO_DU_AN'!$C$11=2, $N14, $M14)), "")</f>
        <v/>
      </c>
      <c r="P14" s="29">
        <f>IF(AND(P$4&gt;=$J14, P$4&lt;=$K14), IF('01_THONG_SO_DU_AN'!$C$11=1, "█", IF('01_THONG_SO_DU_AN'!$C$11=2, $N14, $M14)), "")</f>
        <v/>
      </c>
      <c r="Q14" s="29">
        <f>IF(AND(Q$4&gt;=$J14, Q$4&lt;=$K14), IF('01_THONG_SO_DU_AN'!$C$11=1, "█", IF('01_THONG_SO_DU_AN'!$C$11=2, $N14, $M14)), "")</f>
        <v/>
      </c>
      <c r="R14" s="29">
        <f>IF(AND(R$4&gt;=$J14, R$4&lt;=$K14), IF('01_THONG_SO_DU_AN'!$C$11=1, "█", IF('01_THONG_SO_DU_AN'!$C$11=2, $N14, $M14)), "")</f>
        <v/>
      </c>
      <c r="S14" s="29">
        <f>IF(AND(S$4&gt;=$J14, S$4&lt;=$K14), IF('01_THONG_SO_DU_AN'!$C$11=1, "█", IF('01_THONG_SO_DU_AN'!$C$11=2, $N14, $M14)), "")</f>
        <v/>
      </c>
      <c r="T14" s="29">
        <f>IF(AND(T$4&gt;=$J14, T$4&lt;=$K14), IF('01_THONG_SO_DU_AN'!$C$11=1, "█", IF('01_THONG_SO_DU_AN'!$C$11=2, $N14, $M14)), "")</f>
        <v/>
      </c>
      <c r="U14" s="29">
        <f>IF(AND(U$4&gt;=$J14, U$4&lt;=$K14), IF('01_THONG_SO_DU_AN'!$C$11=1, "█", IF('01_THONG_SO_DU_AN'!$C$11=2, $N14, $M14)), "")</f>
        <v/>
      </c>
      <c r="V14" s="29">
        <f>IF(AND(V$4&gt;=$J14, V$4&lt;=$K14), IF('01_THONG_SO_DU_AN'!$C$11=1, "█", IF('01_THONG_SO_DU_AN'!$C$11=2, $N14, $M14)), "")</f>
        <v/>
      </c>
      <c r="W14" s="29">
        <f>IF(AND(W$4&gt;=$J14, W$4&lt;=$K14), IF('01_THONG_SO_DU_AN'!$C$11=1, "█", IF('01_THONG_SO_DU_AN'!$C$11=2, $N14, $M14)), "")</f>
        <v/>
      </c>
      <c r="X14" s="29">
        <f>IF(AND(X$4&gt;=$J14, X$4&lt;=$K14), IF('01_THONG_SO_DU_AN'!$C$11=1, "█", IF('01_THONG_SO_DU_AN'!$C$11=2, $N14, $M14)), "")</f>
        <v/>
      </c>
      <c r="Y14" s="29">
        <f>IF(AND(Y$4&gt;=$J14, Y$4&lt;=$K14), IF('01_THONG_SO_DU_AN'!$C$11=1, "█", IF('01_THONG_SO_DU_AN'!$C$11=2, $N14, $M14)), "")</f>
        <v/>
      </c>
      <c r="Z14" s="29">
        <f>IF(AND(Z$4&gt;=$J14, Z$4&lt;=$K14), IF('01_THONG_SO_DU_AN'!$C$11=1, "█", IF('01_THONG_SO_DU_AN'!$C$11=2, $N14, $M14)), "")</f>
        <v/>
      </c>
      <c r="AA14" s="29">
        <f>IF(AND(AA$4&gt;=$J14, AA$4&lt;=$K14), IF('01_THONG_SO_DU_AN'!$C$11=1, "█", IF('01_THONG_SO_DU_AN'!$C$11=2, $N14, $M14)), "")</f>
        <v/>
      </c>
      <c r="AB14" s="29">
        <f>IF(AND(AB$4&gt;=$J14, AB$4&lt;=$K14), IF('01_THONG_SO_DU_AN'!$C$11=1, "█", IF('01_THONG_SO_DU_AN'!$C$11=2, $N14, $M14)), "")</f>
        <v/>
      </c>
      <c r="AC14" s="29">
        <f>IF(AND(AC$4&gt;=$J14, AC$4&lt;=$K14), IF('01_THONG_SO_DU_AN'!$C$11=1, "█", IF('01_THONG_SO_DU_AN'!$C$11=2, $N14, $M14)), "")</f>
        <v/>
      </c>
      <c r="AD14" s="29">
        <f>IF(AND(AD$4&gt;=$J14, AD$4&lt;=$K14), IF('01_THONG_SO_DU_AN'!$C$11=1, "█", IF('01_THONG_SO_DU_AN'!$C$11=2, $N14, $M14)), "")</f>
        <v/>
      </c>
      <c r="AE14" s="29">
        <f>IF(AND(AE$4&gt;=$J14, AE$4&lt;=$K14), IF('01_THONG_SO_DU_AN'!$C$11=1, "█", IF('01_THONG_SO_DU_AN'!$C$11=2, $N14, $M14)), "")</f>
        <v/>
      </c>
      <c r="AF14" s="29">
        <f>IF(AND(AF$4&gt;=$J14, AF$4&lt;=$K14), IF('01_THONG_SO_DU_AN'!$C$11=1, "█", IF('01_THONG_SO_DU_AN'!$C$11=2, $N14, $M14)), "")</f>
        <v/>
      </c>
      <c r="AG14" s="29">
        <f>IF(AND(AG$4&gt;=$J14, AG$4&lt;=$K14), IF('01_THONG_SO_DU_AN'!$C$11=1, "█", IF('01_THONG_SO_DU_AN'!$C$11=2, $N14, $M14)), "")</f>
        <v/>
      </c>
      <c r="AH14" s="29">
        <f>IF(AND(AH$4&gt;=$J14, AH$4&lt;=$K14), IF('01_THONG_SO_DU_AN'!$C$11=1, "█", IF('01_THONG_SO_DU_AN'!$C$11=2, $N14, $M14)), "")</f>
        <v/>
      </c>
      <c r="AI14" s="29">
        <f>IF(AND(AI$4&gt;=$J14, AI$4&lt;=$K14), IF('01_THONG_SO_DU_AN'!$C$11=1, "█", IF('01_THONG_SO_DU_AN'!$C$11=2, $N14, $M14)), "")</f>
        <v/>
      </c>
      <c r="AJ14" s="29">
        <f>IF(AND(AJ$4&gt;=$J14, AJ$4&lt;=$K14), IF('01_THONG_SO_DU_AN'!$C$11=1, "█", IF('01_THONG_SO_DU_AN'!$C$11=2, $N14, $M14)), "")</f>
        <v/>
      </c>
      <c r="AK14" s="29">
        <f>IF(AND(AK$4&gt;=$J14, AK$4&lt;=$K14), IF('01_THONG_SO_DU_AN'!$C$11=1, "█", IF('01_THONG_SO_DU_AN'!$C$11=2, $N14, $M14)), "")</f>
        <v/>
      </c>
      <c r="AL14" s="29">
        <f>IF(AND(AL$4&gt;=$J14, AL$4&lt;=$K14), IF('01_THONG_SO_DU_AN'!$C$11=1, "█", IF('01_THONG_SO_DU_AN'!$C$11=2, $N14, $M14)), "")</f>
        <v/>
      </c>
      <c r="AM14" s="29">
        <f>IF(AND(AM$4&gt;=$J14, AM$4&lt;=$K14), IF('01_THONG_SO_DU_AN'!$C$11=1, "█", IF('01_THONG_SO_DU_AN'!$C$11=2, $N14, $M14)), "")</f>
        <v/>
      </c>
      <c r="AN14" s="29">
        <f>IF(AND(AN$4&gt;=$J14, AN$4&lt;=$K14), IF('01_THONG_SO_DU_AN'!$C$11=1, "█", IF('01_THONG_SO_DU_AN'!$C$11=2, $N14, $M14)), "")</f>
        <v/>
      </c>
      <c r="AO14" s="29">
        <f>IF(AND(AO$4&gt;=$J14, AO$4&lt;=$K14), IF('01_THONG_SO_DU_AN'!$C$11=1, "█", IF('01_THONG_SO_DU_AN'!$C$11=2, $N14, $M14)), "")</f>
        <v/>
      </c>
      <c r="AP14" s="29">
        <f>IF(AND(AP$4&gt;=$J14, AP$4&lt;=$K14), IF('01_THONG_SO_DU_AN'!$C$11=1, "█", IF('01_THONG_SO_DU_AN'!$C$11=2, $N14, $M14)), "")</f>
        <v/>
      </c>
      <c r="AQ14" s="29">
        <f>IF(AND(AQ$4&gt;=$J14, AQ$4&lt;=$K14), IF('01_THONG_SO_DU_AN'!$C$11=1, "█", IF('01_THONG_SO_DU_AN'!$C$11=2, $N14, $M14)), "")</f>
        <v/>
      </c>
      <c r="AR14" s="29">
        <f>IF(AND(AR$4&gt;=$J14, AR$4&lt;=$K14), IF('01_THONG_SO_DU_AN'!$C$11=1, "█", IF('01_THONG_SO_DU_AN'!$C$11=2, $N14, $M14)), "")</f>
        <v/>
      </c>
      <c r="AS14" s="29">
        <f>IF(AND(AS$4&gt;=$J14, AS$4&lt;=$K14), IF('01_THONG_SO_DU_AN'!$C$11=1, "█", IF('01_THONG_SO_DU_AN'!$C$11=2, $N14, $M14)), "")</f>
        <v/>
      </c>
      <c r="AT14" s="29">
        <f>IF(AND(AT$4&gt;=$J14, AT$4&lt;=$K14), IF('01_THONG_SO_DU_AN'!$C$11=1, "█", IF('01_THONG_SO_DU_AN'!$C$11=2, $N14, $M14)), "")</f>
        <v/>
      </c>
      <c r="AU14" s="29">
        <f>IF(AND(AU$4&gt;=$J14, AU$4&lt;=$K14), IF('01_THONG_SO_DU_AN'!$C$11=1, "█", IF('01_THONG_SO_DU_AN'!$C$11=2, $N14, $M14)), "")</f>
        <v/>
      </c>
      <c r="AV14" s="29">
        <f>IF(AND(AV$4&gt;=$J14, AV$4&lt;=$K14), IF('01_THONG_SO_DU_AN'!$C$11=1, "█", IF('01_THONG_SO_DU_AN'!$C$11=2, $N14, $M14)), "")</f>
        <v/>
      </c>
      <c r="AW14" s="29">
        <f>IF(AND(AW$4&gt;=$J14, AW$4&lt;=$K14), IF('01_THONG_SO_DU_AN'!$C$11=1, "█", IF('01_THONG_SO_DU_AN'!$C$11=2, $N14, $M14)), "")</f>
        <v/>
      </c>
      <c r="AX14" s="29">
        <f>IF(AND(AX$4&gt;=$J14, AX$4&lt;=$K14), IF('01_THONG_SO_DU_AN'!$C$11=1, "█", IF('01_THONG_SO_DU_AN'!$C$11=2, $N14, $M14)), "")</f>
        <v/>
      </c>
      <c r="AY14" s="29">
        <f>IF(AND(AY$4&gt;=$J14, AY$4&lt;=$K14), IF('01_THONG_SO_DU_AN'!$C$11=1, "█", IF('01_THONG_SO_DU_AN'!$C$11=2, $N14, $M14)), "")</f>
        <v/>
      </c>
      <c r="AZ14" s="29">
        <f>IF(AND(AZ$4&gt;=$J14, AZ$4&lt;=$K14), IF('01_THONG_SO_DU_AN'!$C$11=1, "█", IF('01_THONG_SO_DU_AN'!$C$11=2, $N14, $M14)), "")</f>
        <v/>
      </c>
      <c r="BA14" s="29">
        <f>IF(AND(BA$4&gt;=$J14, BA$4&lt;=$K14), IF('01_THONG_SO_DU_AN'!$C$11=1, "█", IF('01_THONG_SO_DU_AN'!$C$11=2, $N14, $M14)), "")</f>
        <v/>
      </c>
      <c r="BB14" s="29">
        <f>IF(AND(BB$4&gt;=$J14, BB$4&lt;=$K14), IF('01_THONG_SO_DU_AN'!$C$11=1, "█", IF('01_THONG_SO_DU_AN'!$C$11=2, $N14, $M14)), "")</f>
        <v/>
      </c>
      <c r="BC14" s="29">
        <f>IF(AND(BC$4&gt;=$J14, BC$4&lt;=$K14), IF('01_THONG_SO_DU_AN'!$C$11=1, "█", IF('01_THONG_SO_DU_AN'!$C$11=2, $N14, $M14)), "")</f>
        <v/>
      </c>
      <c r="BD14" s="29">
        <f>IF(AND(BD$4&gt;=$J14, BD$4&lt;=$K14), IF('01_THONG_SO_DU_AN'!$C$11=1, "█", IF('01_THONG_SO_DU_AN'!$C$11=2, $N14, $M14)), "")</f>
        <v/>
      </c>
      <c r="BE14" s="29">
        <f>IF(AND(BE$4&gt;=$J14, BE$4&lt;=$K14), IF('01_THONG_SO_DU_AN'!$C$11=1, "█", IF('01_THONG_SO_DU_AN'!$C$11=2, $N14, $M14)), "")</f>
        <v/>
      </c>
      <c r="BF14" s="29">
        <f>IF(AND(BF$4&gt;=$J14, BF$4&lt;=$K14), IF('01_THONG_SO_DU_AN'!$C$11=1, "█", IF('01_THONG_SO_DU_AN'!$C$11=2, $N14, $M14)), "")</f>
        <v/>
      </c>
      <c r="BG14" s="29">
        <f>IF(AND(BG$4&gt;=$J14, BG$4&lt;=$K14), IF('01_THONG_SO_DU_AN'!$C$11=1, "█", IF('01_THONG_SO_DU_AN'!$C$11=2, $N14, $M14)), "")</f>
        <v/>
      </c>
      <c r="BH14" s="29">
        <f>IF(AND(BH$4&gt;=$J14, BH$4&lt;=$K14), IF('01_THONG_SO_DU_AN'!$C$11=1, "█", IF('01_THONG_SO_DU_AN'!$C$11=2, $N14, $M14)), "")</f>
        <v/>
      </c>
      <c r="BI14" s="29">
        <f>IF(AND(BI$4&gt;=$J14, BI$4&lt;=$K14), IF('01_THONG_SO_DU_AN'!$C$11=1, "█", IF('01_THONG_SO_DU_AN'!$C$11=2, $N14, $M14)), "")</f>
        <v/>
      </c>
      <c r="BJ14" s="29">
        <f>IF(AND(BJ$4&gt;=$J14, BJ$4&lt;=$K14), IF('01_THONG_SO_DU_AN'!$C$11=1, "█", IF('01_THONG_SO_DU_AN'!$C$11=2, $N14, $M14)), "")</f>
        <v/>
      </c>
      <c r="BK14" s="29">
        <f>IF(AND(BK$4&gt;=$J14, BK$4&lt;=$K14), IF('01_THONG_SO_DU_AN'!$C$11=1, "█", IF('01_THONG_SO_DU_AN'!$C$11=2, $N14, $M14)), "")</f>
        <v/>
      </c>
      <c r="BL14" s="29">
        <f>IF(AND(BL$4&gt;=$J14, BL$4&lt;=$K14), IF('01_THONG_SO_DU_AN'!$C$11=1, "█", IF('01_THONG_SO_DU_AN'!$C$11=2, $N14, $M14)), "")</f>
        <v/>
      </c>
      <c r="BM14" s="29">
        <f>IF(AND(BM$4&gt;=$J14, BM$4&lt;=$K14), IF('01_THONG_SO_DU_AN'!$C$11=1, "█", IF('01_THONG_SO_DU_AN'!$C$11=2, $N14, $M14)), "")</f>
        <v/>
      </c>
      <c r="BN14" s="29">
        <f>IF(AND(BN$4&gt;=$J14, BN$4&lt;=$K14), IF('01_THONG_SO_DU_AN'!$C$11=1, "█", IF('01_THONG_SO_DU_AN'!$C$11=2, $N14, $M14)), "")</f>
        <v/>
      </c>
      <c r="BO14" s="29">
        <f>IF(AND(BO$4&gt;=$J14, BO$4&lt;=$K14), IF('01_THONG_SO_DU_AN'!$C$11=1, "█", IF('01_THONG_SO_DU_AN'!$C$11=2, $N14, $M14)), "")</f>
        <v/>
      </c>
      <c r="BP14" s="29">
        <f>IF(AND(BP$4&gt;=$J14, BP$4&lt;=$K14), IF('01_THONG_SO_DU_AN'!$C$11=1, "█", IF('01_THONG_SO_DU_AN'!$C$11=2, $N14, $M14)), "")</f>
        <v/>
      </c>
      <c r="BQ14" s="29">
        <f>IF(AND(BQ$4&gt;=$J14, BQ$4&lt;=$K14), IF('01_THONG_SO_DU_AN'!$C$11=1, "█", IF('01_THONG_SO_DU_AN'!$C$11=2, $N14, $M14)), "")</f>
        <v/>
      </c>
      <c r="BR14" s="29">
        <f>IF(AND(BR$4&gt;=$J14, BR$4&lt;=$K14), IF('01_THONG_SO_DU_AN'!$C$11=1, "█", IF('01_THONG_SO_DU_AN'!$C$11=2, $N14, $M14)), "")</f>
        <v/>
      </c>
      <c r="BS14" s="29">
        <f>IF(AND(BS$4&gt;=$J14, BS$4&lt;=$K14), IF('01_THONG_SO_DU_AN'!$C$11=1, "█", IF('01_THONG_SO_DU_AN'!$C$11=2, $N14, $M14)), "")</f>
        <v/>
      </c>
      <c r="BT14" s="29">
        <f>IF(AND(BT$4&gt;=$J14, BT$4&lt;=$K14), IF('01_THONG_SO_DU_AN'!$C$11=1, "█", IF('01_THONG_SO_DU_AN'!$C$11=2, $N14, $M14)), "")</f>
        <v/>
      </c>
      <c r="BU14" s="29">
        <f>IF(AND(BU$4&gt;=$J14, BU$4&lt;=$K14), IF('01_THONG_SO_DU_AN'!$C$11=1, "█", IF('01_THONG_SO_DU_AN'!$C$11=2, $N14, $M14)), "")</f>
        <v/>
      </c>
      <c r="BV14" s="29">
        <f>IF(AND(BV$4&gt;=$J14, BV$4&lt;=$K14), IF('01_THONG_SO_DU_AN'!$C$11=1, "█", IF('01_THONG_SO_DU_AN'!$C$11=2, $N14, $M14)), "")</f>
        <v/>
      </c>
      <c r="BW14" s="29">
        <f>IF(AND(BW$4&gt;=$J14, BW$4&lt;=$K14), IF('01_THONG_SO_DU_AN'!$C$11=1, "█", IF('01_THONG_SO_DU_AN'!$C$11=2, $N14, $M14)), "")</f>
        <v/>
      </c>
      <c r="BX14" s="29">
        <f>IF(AND(BX$4&gt;=$J14, BX$4&lt;=$K14), IF('01_THONG_SO_DU_AN'!$C$11=1, "█", IF('01_THONG_SO_DU_AN'!$C$11=2, $N14, $M14)), "")</f>
        <v/>
      </c>
      <c r="BY14" s="29">
        <f>IF(AND(BY$4&gt;=$J14, BY$4&lt;=$K14), IF('01_THONG_SO_DU_AN'!$C$11=1, "█", IF('01_THONG_SO_DU_AN'!$C$11=2, $N14, $M14)), "")</f>
        <v/>
      </c>
      <c r="BZ14" s="29">
        <f>IF(AND(BZ$4&gt;=$J14, BZ$4&lt;=$K14), IF('01_THONG_SO_DU_AN'!$C$11=1, "█", IF('01_THONG_SO_DU_AN'!$C$11=2, $N14, $M14)), "")</f>
        <v/>
      </c>
      <c r="CA14" s="29">
        <f>IF(AND(CA$4&gt;=$J14, CA$4&lt;=$K14), IF('01_THONG_SO_DU_AN'!$C$11=1, "█", IF('01_THONG_SO_DU_AN'!$C$11=2, $N14, $M14)), "")</f>
        <v/>
      </c>
      <c r="CB14" s="29">
        <f>IF(AND(CB$4&gt;=$J14, CB$4&lt;=$K14), IF('01_THONG_SO_DU_AN'!$C$11=1, "█", IF('01_THONG_SO_DU_AN'!$C$11=2, $N14, $M14)), "")</f>
        <v/>
      </c>
      <c r="CC14" s="29">
        <f>IF(AND(CC$4&gt;=$J14, CC$4&lt;=$K14), IF('01_THONG_SO_DU_AN'!$C$11=1, "█", IF('01_THONG_SO_DU_AN'!$C$11=2, $N14, $M14)), "")</f>
        <v/>
      </c>
      <c r="CD14" s="29">
        <f>IF(AND(CD$4&gt;=$J14, CD$4&lt;=$K14), IF('01_THONG_SO_DU_AN'!$C$11=1, "█", IF('01_THONG_SO_DU_AN'!$C$11=2, $N14, $M14)), "")</f>
        <v/>
      </c>
      <c r="CE14" s="29">
        <f>IF(AND(CE$4&gt;=$J14, CE$4&lt;=$K14), IF('01_THONG_SO_DU_AN'!$C$11=1, "█", IF('01_THONG_SO_DU_AN'!$C$11=2, $N14, $M14)), "")</f>
        <v/>
      </c>
      <c r="CF14" s="29">
        <f>IF(AND(CF$4&gt;=$J14, CF$4&lt;=$K14), IF('01_THONG_SO_DU_AN'!$C$11=1, "█", IF('01_THONG_SO_DU_AN'!$C$11=2, $N14, $M14)), "")</f>
        <v/>
      </c>
      <c r="CG14" s="29">
        <f>IF(AND(CG$4&gt;=$J14, CG$4&lt;=$K14), IF('01_THONG_SO_DU_AN'!$C$11=1, "█", IF('01_THONG_SO_DU_AN'!$C$11=2, $N14, $M14)), "")</f>
        <v/>
      </c>
      <c r="CH14" s="29">
        <f>IF(AND(CH$4&gt;=$J14, CH$4&lt;=$K14), IF('01_THONG_SO_DU_AN'!$C$11=1, "█", IF('01_THONG_SO_DU_AN'!$C$11=2, $N14, $M14)), "")</f>
        <v/>
      </c>
      <c r="CI14" s="29">
        <f>IF(AND(CI$4&gt;=$J14, CI$4&lt;=$K14), IF('01_THONG_SO_DU_AN'!$C$11=1, "█", IF('01_THONG_SO_DU_AN'!$C$11=2, $N14, $M14)), "")</f>
        <v/>
      </c>
      <c r="CJ14" s="29">
        <f>IF(AND(CJ$4&gt;=$J14, CJ$4&lt;=$K14), IF('01_THONG_SO_DU_AN'!$C$11=1, "█", IF('01_THONG_SO_DU_AN'!$C$11=2, $N14, $M14)), "")</f>
        <v/>
      </c>
      <c r="CK14" s="29">
        <f>IF(AND(CK$4&gt;=$J14, CK$4&lt;=$K14), IF('01_THONG_SO_DU_AN'!$C$11=1, "█", IF('01_THONG_SO_DU_AN'!$C$11=2, $N14, $M14)), "")</f>
        <v/>
      </c>
      <c r="CL14" s="29">
        <f>IF(AND(CL$4&gt;=$J14, CL$4&lt;=$K14), IF('01_THONG_SO_DU_AN'!$C$11=1, "█", IF('01_THONG_SO_DU_AN'!$C$11=2, $N14, $M14)), "")</f>
        <v/>
      </c>
      <c r="CM14" s="29">
        <f>IF(AND(CM$4&gt;=$J14, CM$4&lt;=$K14), IF('01_THONG_SO_DU_AN'!$C$11=1, "█", IF('01_THONG_SO_DU_AN'!$C$11=2, $N14, $M14)), "")</f>
        <v/>
      </c>
      <c r="CN14" s="29">
        <f>IF(AND(CN$4&gt;=$J14, CN$4&lt;=$K14), IF('01_THONG_SO_DU_AN'!$C$11=1, "█", IF('01_THONG_SO_DU_AN'!$C$11=2, $N14, $M14)), "")</f>
        <v/>
      </c>
      <c r="CO14" s="29">
        <f>IF(AND(CO$4&gt;=$J14, CO$4&lt;=$K14), IF('01_THONG_SO_DU_AN'!$C$11=1, "█", IF('01_THONG_SO_DU_AN'!$C$11=2, $N14, $M14)), "")</f>
        <v/>
      </c>
      <c r="CP14" s="29">
        <f>IF(AND(CP$4&gt;=$J14, CP$4&lt;=$K14), IF('01_THONG_SO_DU_AN'!$C$11=1, "█", IF('01_THONG_SO_DU_AN'!$C$11=2, $N14, $M14)), "")</f>
        <v/>
      </c>
      <c r="CQ14" s="29">
        <f>IF(AND(CQ$4&gt;=$J14, CQ$4&lt;=$K14), IF('01_THONG_SO_DU_AN'!$C$11=1, "█", IF('01_THONG_SO_DU_AN'!$C$11=2, $N14, $M14)), "")</f>
        <v/>
      </c>
      <c r="CR14" s="29">
        <f>IF(AND(CR$4&gt;=$J14, CR$4&lt;=$K14), IF('01_THONG_SO_DU_AN'!$C$11=1, "█", IF('01_THONG_SO_DU_AN'!$C$11=2, $N14, $M14)), "")</f>
        <v/>
      </c>
      <c r="CS14" s="29">
        <f>IF(AND(CS$4&gt;=$J14, CS$4&lt;=$K14), IF('01_THONG_SO_DU_AN'!$C$11=1, "█", IF('01_THONG_SO_DU_AN'!$C$11=2, $N14, $M14)), "")</f>
        <v/>
      </c>
      <c r="CT14" s="29">
        <f>IF(AND(CT$4&gt;=$J14, CT$4&lt;=$K14), IF('01_THONG_SO_DU_AN'!$C$11=1, "█", IF('01_THONG_SO_DU_AN'!$C$11=2, $N14, $M14)), "")</f>
        <v/>
      </c>
      <c r="CU14" s="29">
        <f>IF(AND(CU$4&gt;=$J14, CU$4&lt;=$K14), IF('01_THONG_SO_DU_AN'!$C$11=1, "█", IF('01_THONG_SO_DU_AN'!$C$11=2, $N14, $M14)), "")</f>
        <v/>
      </c>
      <c r="CV14" s="29">
        <f>IF(AND(CV$4&gt;=$J14, CV$4&lt;=$K14), IF('01_THONG_SO_DU_AN'!$C$11=1, "█", IF('01_THONG_SO_DU_AN'!$C$11=2, $N14, $M14)), "")</f>
        <v/>
      </c>
      <c r="CW14" s="29">
        <f>IF(AND(CW$4&gt;=$J14, CW$4&lt;=$K14), IF('01_THONG_SO_DU_AN'!$C$11=1, "█", IF('01_THONG_SO_DU_AN'!$C$11=2, $N14, $M14)), "")</f>
        <v/>
      </c>
      <c r="CX14" s="29">
        <f>IF(AND(CX$4&gt;=$J14, CX$4&lt;=$K14), IF('01_THONG_SO_DU_AN'!$C$11=1, "█", IF('01_THONG_SO_DU_AN'!$C$11=2, $N14, $M14)), "")</f>
        <v/>
      </c>
      <c r="CY14" s="29">
        <f>IF(AND(CY$4&gt;=$J14, CY$4&lt;=$K14), IF('01_THONG_SO_DU_AN'!$C$11=1, "█", IF('01_THONG_SO_DU_AN'!$C$11=2, $N14, $M14)), "")</f>
        <v/>
      </c>
      <c r="CZ14" s="29">
        <f>IF(AND(CZ$4&gt;=$J14, CZ$4&lt;=$K14), IF('01_THONG_SO_DU_AN'!$C$11=1, "█", IF('01_THONG_SO_DU_AN'!$C$11=2, $N14, $M14)), "")</f>
        <v/>
      </c>
      <c r="DA14" s="29">
        <f>IF(AND(DA$4&gt;=$J14, DA$4&lt;=$K14), IF('01_THONG_SO_DU_AN'!$C$11=1, "█", IF('01_THONG_SO_DU_AN'!$C$11=2, $N14, $M14)), "")</f>
        <v/>
      </c>
      <c r="DB14" s="29">
        <f>IF(AND(DB$4&gt;=$J14, DB$4&lt;=$K14), IF('01_THONG_SO_DU_AN'!$C$11=1, "█", IF('01_THONG_SO_DU_AN'!$C$11=2, $N14, $M14)), "")</f>
        <v/>
      </c>
      <c r="DC14" s="29">
        <f>IF(AND(DC$4&gt;=$J14, DC$4&lt;=$K14), IF('01_THONG_SO_DU_AN'!$C$11=1, "█", IF('01_THONG_SO_DU_AN'!$C$11=2, $N14, $M14)), "")</f>
        <v/>
      </c>
      <c r="DD14" s="29">
        <f>IF(AND(DD$4&gt;=$J14, DD$4&lt;=$K14), IF('01_THONG_SO_DU_AN'!$C$11=1, "█", IF('01_THONG_SO_DU_AN'!$C$11=2, $N14, $M14)), "")</f>
        <v/>
      </c>
      <c r="DE14" s="29">
        <f>IF(AND(DE$4&gt;=$J14, DE$4&lt;=$K14), IF('01_THONG_SO_DU_AN'!$C$11=1, "█", IF('01_THONG_SO_DU_AN'!$C$11=2, $N14, $M14)), "")</f>
        <v/>
      </c>
      <c r="DF14" s="29">
        <f>IF(AND(DF$4&gt;=$J14, DF$4&lt;=$K14), IF('01_THONG_SO_DU_AN'!$C$11=1, "█", IF('01_THONG_SO_DU_AN'!$C$11=2, $N14, $M14)), "")</f>
        <v/>
      </c>
      <c r="DG14" s="29">
        <f>IF(AND(DG$4&gt;=$J14, DG$4&lt;=$K14), IF('01_THONG_SO_DU_AN'!$C$11=1, "█", IF('01_THONG_SO_DU_AN'!$C$11=2, $N14, $M14)), "")</f>
        <v/>
      </c>
    </row>
    <row r="15">
      <c r="A15" s="23" t="n">
        <v>10</v>
      </c>
      <c r="B15" s="23" t="inlineStr">
        <is>
          <t>1.9</t>
        </is>
      </c>
      <c r="C15" s="24" t="inlineStr">
        <is>
          <t>Thi công lớp móng Base A (CPĐD loại 1)</t>
        </is>
      </c>
      <c r="D15" s="23" t="inlineStr">
        <is>
          <t>m3</t>
        </is>
      </c>
      <c r="E15" s="25" t="n">
        <v>21640.8</v>
      </c>
      <c r="F15" s="23" t="inlineStr">
        <is>
          <t>M6</t>
        </is>
      </c>
      <c r="G15" s="25">
        <f>VLOOKUP(F15, '02_DINH_MUC_CA_MAY_VA_DAU'!$C$6:$I$16, 5, FALSE)</f>
        <v/>
      </c>
      <c r="H15" s="25">
        <f>E15/G15</f>
        <v/>
      </c>
      <c r="I15" s="26" t="n">
        <v>66</v>
      </c>
      <c r="J15" s="27">
        <f>J14+6</f>
        <v/>
      </c>
      <c r="K15" s="27">
        <f>J15+I15-1</f>
        <v/>
      </c>
      <c r="L15" s="23">
        <f>IF(K15='01_THONG_SO_DU_AN'!$C$7, "CRITICAL (GĂNG)", "")</f>
        <v/>
      </c>
      <c r="M15" s="28">
        <f>ROUNDUP(H15/(I15*'01_THONG_SO_DU_AN'!$C$10), 0)</f>
        <v/>
      </c>
      <c r="N15" s="28">
        <f>M15*VLOOKUP(F15, '02_DINH_MUC_CA_MAY_VA_DAU'!$C$6:$I$16, 7, FALSE)</f>
        <v/>
      </c>
      <c r="O15" s="29">
        <f>IF(AND(O$4&gt;=$J15, O$4&lt;=$K15), IF('01_THONG_SO_DU_AN'!$C$11=1, "█", IF('01_THONG_SO_DU_AN'!$C$11=2, $N15, $M15)), "")</f>
        <v/>
      </c>
      <c r="P15" s="29">
        <f>IF(AND(P$4&gt;=$J15, P$4&lt;=$K15), IF('01_THONG_SO_DU_AN'!$C$11=1, "█", IF('01_THONG_SO_DU_AN'!$C$11=2, $N15, $M15)), "")</f>
        <v/>
      </c>
      <c r="Q15" s="29">
        <f>IF(AND(Q$4&gt;=$J15, Q$4&lt;=$K15), IF('01_THONG_SO_DU_AN'!$C$11=1, "█", IF('01_THONG_SO_DU_AN'!$C$11=2, $N15, $M15)), "")</f>
        <v/>
      </c>
      <c r="R15" s="29">
        <f>IF(AND(R$4&gt;=$J15, R$4&lt;=$K15), IF('01_THONG_SO_DU_AN'!$C$11=1, "█", IF('01_THONG_SO_DU_AN'!$C$11=2, $N15, $M15)), "")</f>
        <v/>
      </c>
      <c r="S15" s="29">
        <f>IF(AND(S$4&gt;=$J15, S$4&lt;=$K15), IF('01_THONG_SO_DU_AN'!$C$11=1, "█", IF('01_THONG_SO_DU_AN'!$C$11=2, $N15, $M15)), "")</f>
        <v/>
      </c>
      <c r="T15" s="29">
        <f>IF(AND(T$4&gt;=$J15, T$4&lt;=$K15), IF('01_THONG_SO_DU_AN'!$C$11=1, "█", IF('01_THONG_SO_DU_AN'!$C$11=2, $N15, $M15)), "")</f>
        <v/>
      </c>
      <c r="U15" s="29">
        <f>IF(AND(U$4&gt;=$J15, U$4&lt;=$K15), IF('01_THONG_SO_DU_AN'!$C$11=1, "█", IF('01_THONG_SO_DU_AN'!$C$11=2, $N15, $M15)), "")</f>
        <v/>
      </c>
      <c r="V15" s="29">
        <f>IF(AND(V$4&gt;=$J15, V$4&lt;=$K15), IF('01_THONG_SO_DU_AN'!$C$11=1, "█", IF('01_THONG_SO_DU_AN'!$C$11=2, $N15, $M15)), "")</f>
        <v/>
      </c>
      <c r="W15" s="29">
        <f>IF(AND(W$4&gt;=$J15, W$4&lt;=$K15), IF('01_THONG_SO_DU_AN'!$C$11=1, "█", IF('01_THONG_SO_DU_AN'!$C$11=2, $N15, $M15)), "")</f>
        <v/>
      </c>
      <c r="X15" s="29">
        <f>IF(AND(X$4&gt;=$J15, X$4&lt;=$K15), IF('01_THONG_SO_DU_AN'!$C$11=1, "█", IF('01_THONG_SO_DU_AN'!$C$11=2, $N15, $M15)), "")</f>
        <v/>
      </c>
      <c r="Y15" s="29">
        <f>IF(AND(Y$4&gt;=$J15, Y$4&lt;=$K15), IF('01_THONG_SO_DU_AN'!$C$11=1, "█", IF('01_THONG_SO_DU_AN'!$C$11=2, $N15, $M15)), "")</f>
        <v/>
      </c>
      <c r="Z15" s="29">
        <f>IF(AND(Z$4&gt;=$J15, Z$4&lt;=$K15), IF('01_THONG_SO_DU_AN'!$C$11=1, "█", IF('01_THONG_SO_DU_AN'!$C$11=2, $N15, $M15)), "")</f>
        <v/>
      </c>
      <c r="AA15" s="29">
        <f>IF(AND(AA$4&gt;=$J15, AA$4&lt;=$K15), IF('01_THONG_SO_DU_AN'!$C$11=1, "█", IF('01_THONG_SO_DU_AN'!$C$11=2, $N15, $M15)), "")</f>
        <v/>
      </c>
      <c r="AB15" s="29">
        <f>IF(AND(AB$4&gt;=$J15, AB$4&lt;=$K15), IF('01_THONG_SO_DU_AN'!$C$11=1, "█", IF('01_THONG_SO_DU_AN'!$C$11=2, $N15, $M15)), "")</f>
        <v/>
      </c>
      <c r="AC15" s="29">
        <f>IF(AND(AC$4&gt;=$J15, AC$4&lt;=$K15), IF('01_THONG_SO_DU_AN'!$C$11=1, "█", IF('01_THONG_SO_DU_AN'!$C$11=2, $N15, $M15)), "")</f>
        <v/>
      </c>
      <c r="AD15" s="29">
        <f>IF(AND(AD$4&gt;=$J15, AD$4&lt;=$K15), IF('01_THONG_SO_DU_AN'!$C$11=1, "█", IF('01_THONG_SO_DU_AN'!$C$11=2, $N15, $M15)), "")</f>
        <v/>
      </c>
      <c r="AE15" s="29">
        <f>IF(AND(AE$4&gt;=$J15, AE$4&lt;=$K15), IF('01_THONG_SO_DU_AN'!$C$11=1, "█", IF('01_THONG_SO_DU_AN'!$C$11=2, $N15, $M15)), "")</f>
        <v/>
      </c>
      <c r="AF15" s="29">
        <f>IF(AND(AF$4&gt;=$J15, AF$4&lt;=$K15), IF('01_THONG_SO_DU_AN'!$C$11=1, "█", IF('01_THONG_SO_DU_AN'!$C$11=2, $N15, $M15)), "")</f>
        <v/>
      </c>
      <c r="AG15" s="29">
        <f>IF(AND(AG$4&gt;=$J15, AG$4&lt;=$K15), IF('01_THONG_SO_DU_AN'!$C$11=1, "█", IF('01_THONG_SO_DU_AN'!$C$11=2, $N15, $M15)), "")</f>
        <v/>
      </c>
      <c r="AH15" s="29">
        <f>IF(AND(AH$4&gt;=$J15, AH$4&lt;=$K15), IF('01_THONG_SO_DU_AN'!$C$11=1, "█", IF('01_THONG_SO_DU_AN'!$C$11=2, $N15, $M15)), "")</f>
        <v/>
      </c>
      <c r="AI15" s="29">
        <f>IF(AND(AI$4&gt;=$J15, AI$4&lt;=$K15), IF('01_THONG_SO_DU_AN'!$C$11=1, "█", IF('01_THONG_SO_DU_AN'!$C$11=2, $N15, $M15)), "")</f>
        <v/>
      </c>
      <c r="AJ15" s="29">
        <f>IF(AND(AJ$4&gt;=$J15, AJ$4&lt;=$K15), IF('01_THONG_SO_DU_AN'!$C$11=1, "█", IF('01_THONG_SO_DU_AN'!$C$11=2, $N15, $M15)), "")</f>
        <v/>
      </c>
      <c r="AK15" s="29">
        <f>IF(AND(AK$4&gt;=$J15, AK$4&lt;=$K15), IF('01_THONG_SO_DU_AN'!$C$11=1, "█", IF('01_THONG_SO_DU_AN'!$C$11=2, $N15, $M15)), "")</f>
        <v/>
      </c>
      <c r="AL15" s="29">
        <f>IF(AND(AL$4&gt;=$J15, AL$4&lt;=$K15), IF('01_THONG_SO_DU_AN'!$C$11=1, "█", IF('01_THONG_SO_DU_AN'!$C$11=2, $N15, $M15)), "")</f>
        <v/>
      </c>
      <c r="AM15" s="29">
        <f>IF(AND(AM$4&gt;=$J15, AM$4&lt;=$K15), IF('01_THONG_SO_DU_AN'!$C$11=1, "█", IF('01_THONG_SO_DU_AN'!$C$11=2, $N15, $M15)), "")</f>
        <v/>
      </c>
      <c r="AN15" s="29">
        <f>IF(AND(AN$4&gt;=$J15, AN$4&lt;=$K15), IF('01_THONG_SO_DU_AN'!$C$11=1, "█", IF('01_THONG_SO_DU_AN'!$C$11=2, $N15, $M15)), "")</f>
        <v/>
      </c>
      <c r="AO15" s="29">
        <f>IF(AND(AO$4&gt;=$J15, AO$4&lt;=$K15), IF('01_THONG_SO_DU_AN'!$C$11=1, "█", IF('01_THONG_SO_DU_AN'!$C$11=2, $N15, $M15)), "")</f>
        <v/>
      </c>
      <c r="AP15" s="29">
        <f>IF(AND(AP$4&gt;=$J15, AP$4&lt;=$K15), IF('01_THONG_SO_DU_AN'!$C$11=1, "█", IF('01_THONG_SO_DU_AN'!$C$11=2, $N15, $M15)), "")</f>
        <v/>
      </c>
      <c r="AQ15" s="29">
        <f>IF(AND(AQ$4&gt;=$J15, AQ$4&lt;=$K15), IF('01_THONG_SO_DU_AN'!$C$11=1, "█", IF('01_THONG_SO_DU_AN'!$C$11=2, $N15, $M15)), "")</f>
        <v/>
      </c>
      <c r="AR15" s="29">
        <f>IF(AND(AR$4&gt;=$J15, AR$4&lt;=$K15), IF('01_THONG_SO_DU_AN'!$C$11=1, "█", IF('01_THONG_SO_DU_AN'!$C$11=2, $N15, $M15)), "")</f>
        <v/>
      </c>
      <c r="AS15" s="29">
        <f>IF(AND(AS$4&gt;=$J15, AS$4&lt;=$K15), IF('01_THONG_SO_DU_AN'!$C$11=1, "█", IF('01_THONG_SO_DU_AN'!$C$11=2, $N15, $M15)), "")</f>
        <v/>
      </c>
      <c r="AT15" s="29">
        <f>IF(AND(AT$4&gt;=$J15, AT$4&lt;=$K15), IF('01_THONG_SO_DU_AN'!$C$11=1, "█", IF('01_THONG_SO_DU_AN'!$C$11=2, $N15, $M15)), "")</f>
        <v/>
      </c>
      <c r="AU15" s="29">
        <f>IF(AND(AU$4&gt;=$J15, AU$4&lt;=$K15), IF('01_THONG_SO_DU_AN'!$C$11=1, "█", IF('01_THONG_SO_DU_AN'!$C$11=2, $N15, $M15)), "")</f>
        <v/>
      </c>
      <c r="AV15" s="29">
        <f>IF(AND(AV$4&gt;=$J15, AV$4&lt;=$K15), IF('01_THONG_SO_DU_AN'!$C$11=1, "█", IF('01_THONG_SO_DU_AN'!$C$11=2, $N15, $M15)), "")</f>
        <v/>
      </c>
      <c r="AW15" s="29">
        <f>IF(AND(AW$4&gt;=$J15, AW$4&lt;=$K15), IF('01_THONG_SO_DU_AN'!$C$11=1, "█", IF('01_THONG_SO_DU_AN'!$C$11=2, $N15, $M15)), "")</f>
        <v/>
      </c>
      <c r="AX15" s="29">
        <f>IF(AND(AX$4&gt;=$J15, AX$4&lt;=$K15), IF('01_THONG_SO_DU_AN'!$C$11=1, "█", IF('01_THONG_SO_DU_AN'!$C$11=2, $N15, $M15)), "")</f>
        <v/>
      </c>
      <c r="AY15" s="29">
        <f>IF(AND(AY$4&gt;=$J15, AY$4&lt;=$K15), IF('01_THONG_SO_DU_AN'!$C$11=1, "█", IF('01_THONG_SO_DU_AN'!$C$11=2, $N15, $M15)), "")</f>
        <v/>
      </c>
      <c r="AZ15" s="29">
        <f>IF(AND(AZ$4&gt;=$J15, AZ$4&lt;=$K15), IF('01_THONG_SO_DU_AN'!$C$11=1, "█", IF('01_THONG_SO_DU_AN'!$C$11=2, $N15, $M15)), "")</f>
        <v/>
      </c>
      <c r="BA15" s="29">
        <f>IF(AND(BA$4&gt;=$J15, BA$4&lt;=$K15), IF('01_THONG_SO_DU_AN'!$C$11=1, "█", IF('01_THONG_SO_DU_AN'!$C$11=2, $N15, $M15)), "")</f>
        <v/>
      </c>
      <c r="BB15" s="29">
        <f>IF(AND(BB$4&gt;=$J15, BB$4&lt;=$K15), IF('01_THONG_SO_DU_AN'!$C$11=1, "█", IF('01_THONG_SO_DU_AN'!$C$11=2, $N15, $M15)), "")</f>
        <v/>
      </c>
      <c r="BC15" s="29">
        <f>IF(AND(BC$4&gt;=$J15, BC$4&lt;=$K15), IF('01_THONG_SO_DU_AN'!$C$11=1, "█", IF('01_THONG_SO_DU_AN'!$C$11=2, $N15, $M15)), "")</f>
        <v/>
      </c>
      <c r="BD15" s="29">
        <f>IF(AND(BD$4&gt;=$J15, BD$4&lt;=$K15), IF('01_THONG_SO_DU_AN'!$C$11=1, "█", IF('01_THONG_SO_DU_AN'!$C$11=2, $N15, $M15)), "")</f>
        <v/>
      </c>
      <c r="BE15" s="29">
        <f>IF(AND(BE$4&gt;=$J15, BE$4&lt;=$K15), IF('01_THONG_SO_DU_AN'!$C$11=1, "█", IF('01_THONG_SO_DU_AN'!$C$11=2, $N15, $M15)), "")</f>
        <v/>
      </c>
      <c r="BF15" s="29">
        <f>IF(AND(BF$4&gt;=$J15, BF$4&lt;=$K15), IF('01_THONG_SO_DU_AN'!$C$11=1, "█", IF('01_THONG_SO_DU_AN'!$C$11=2, $N15, $M15)), "")</f>
        <v/>
      </c>
      <c r="BG15" s="29">
        <f>IF(AND(BG$4&gt;=$J15, BG$4&lt;=$K15), IF('01_THONG_SO_DU_AN'!$C$11=1, "█", IF('01_THONG_SO_DU_AN'!$C$11=2, $N15, $M15)), "")</f>
        <v/>
      </c>
      <c r="BH15" s="29">
        <f>IF(AND(BH$4&gt;=$J15, BH$4&lt;=$K15), IF('01_THONG_SO_DU_AN'!$C$11=1, "█", IF('01_THONG_SO_DU_AN'!$C$11=2, $N15, $M15)), "")</f>
        <v/>
      </c>
      <c r="BI15" s="29">
        <f>IF(AND(BI$4&gt;=$J15, BI$4&lt;=$K15), IF('01_THONG_SO_DU_AN'!$C$11=1, "█", IF('01_THONG_SO_DU_AN'!$C$11=2, $N15, $M15)), "")</f>
        <v/>
      </c>
      <c r="BJ15" s="29">
        <f>IF(AND(BJ$4&gt;=$J15, BJ$4&lt;=$K15), IF('01_THONG_SO_DU_AN'!$C$11=1, "█", IF('01_THONG_SO_DU_AN'!$C$11=2, $N15, $M15)), "")</f>
        <v/>
      </c>
      <c r="BK15" s="29">
        <f>IF(AND(BK$4&gt;=$J15, BK$4&lt;=$K15), IF('01_THONG_SO_DU_AN'!$C$11=1, "█", IF('01_THONG_SO_DU_AN'!$C$11=2, $N15, $M15)), "")</f>
        <v/>
      </c>
      <c r="BL15" s="29">
        <f>IF(AND(BL$4&gt;=$J15, BL$4&lt;=$K15), IF('01_THONG_SO_DU_AN'!$C$11=1, "█", IF('01_THONG_SO_DU_AN'!$C$11=2, $N15, $M15)), "")</f>
        <v/>
      </c>
      <c r="BM15" s="29">
        <f>IF(AND(BM$4&gt;=$J15, BM$4&lt;=$K15), IF('01_THONG_SO_DU_AN'!$C$11=1, "█", IF('01_THONG_SO_DU_AN'!$C$11=2, $N15, $M15)), "")</f>
        <v/>
      </c>
      <c r="BN15" s="29">
        <f>IF(AND(BN$4&gt;=$J15, BN$4&lt;=$K15), IF('01_THONG_SO_DU_AN'!$C$11=1, "█", IF('01_THONG_SO_DU_AN'!$C$11=2, $N15, $M15)), "")</f>
        <v/>
      </c>
      <c r="BO15" s="29">
        <f>IF(AND(BO$4&gt;=$J15, BO$4&lt;=$K15), IF('01_THONG_SO_DU_AN'!$C$11=1, "█", IF('01_THONG_SO_DU_AN'!$C$11=2, $N15, $M15)), "")</f>
        <v/>
      </c>
      <c r="BP15" s="29">
        <f>IF(AND(BP$4&gt;=$J15, BP$4&lt;=$K15), IF('01_THONG_SO_DU_AN'!$C$11=1, "█", IF('01_THONG_SO_DU_AN'!$C$11=2, $N15, $M15)), "")</f>
        <v/>
      </c>
      <c r="BQ15" s="29">
        <f>IF(AND(BQ$4&gt;=$J15, BQ$4&lt;=$K15), IF('01_THONG_SO_DU_AN'!$C$11=1, "█", IF('01_THONG_SO_DU_AN'!$C$11=2, $N15, $M15)), "")</f>
        <v/>
      </c>
      <c r="BR15" s="29">
        <f>IF(AND(BR$4&gt;=$J15, BR$4&lt;=$K15), IF('01_THONG_SO_DU_AN'!$C$11=1, "█", IF('01_THONG_SO_DU_AN'!$C$11=2, $N15, $M15)), "")</f>
        <v/>
      </c>
      <c r="BS15" s="29">
        <f>IF(AND(BS$4&gt;=$J15, BS$4&lt;=$K15), IF('01_THONG_SO_DU_AN'!$C$11=1, "█", IF('01_THONG_SO_DU_AN'!$C$11=2, $N15, $M15)), "")</f>
        <v/>
      </c>
      <c r="BT15" s="29">
        <f>IF(AND(BT$4&gt;=$J15, BT$4&lt;=$K15), IF('01_THONG_SO_DU_AN'!$C$11=1, "█", IF('01_THONG_SO_DU_AN'!$C$11=2, $N15, $M15)), "")</f>
        <v/>
      </c>
      <c r="BU15" s="29">
        <f>IF(AND(BU$4&gt;=$J15, BU$4&lt;=$K15), IF('01_THONG_SO_DU_AN'!$C$11=1, "█", IF('01_THONG_SO_DU_AN'!$C$11=2, $N15, $M15)), "")</f>
        <v/>
      </c>
      <c r="BV15" s="29">
        <f>IF(AND(BV$4&gt;=$J15, BV$4&lt;=$K15), IF('01_THONG_SO_DU_AN'!$C$11=1, "█", IF('01_THONG_SO_DU_AN'!$C$11=2, $N15, $M15)), "")</f>
        <v/>
      </c>
      <c r="BW15" s="29">
        <f>IF(AND(BW$4&gt;=$J15, BW$4&lt;=$K15), IF('01_THONG_SO_DU_AN'!$C$11=1, "█", IF('01_THONG_SO_DU_AN'!$C$11=2, $N15, $M15)), "")</f>
        <v/>
      </c>
      <c r="BX15" s="29">
        <f>IF(AND(BX$4&gt;=$J15, BX$4&lt;=$K15), IF('01_THONG_SO_DU_AN'!$C$11=1, "█", IF('01_THONG_SO_DU_AN'!$C$11=2, $N15, $M15)), "")</f>
        <v/>
      </c>
      <c r="BY15" s="29">
        <f>IF(AND(BY$4&gt;=$J15, BY$4&lt;=$K15), IF('01_THONG_SO_DU_AN'!$C$11=1, "█", IF('01_THONG_SO_DU_AN'!$C$11=2, $N15, $M15)), "")</f>
        <v/>
      </c>
      <c r="BZ15" s="29">
        <f>IF(AND(BZ$4&gt;=$J15, BZ$4&lt;=$K15), IF('01_THONG_SO_DU_AN'!$C$11=1, "█", IF('01_THONG_SO_DU_AN'!$C$11=2, $N15, $M15)), "")</f>
        <v/>
      </c>
      <c r="CA15" s="29">
        <f>IF(AND(CA$4&gt;=$J15, CA$4&lt;=$K15), IF('01_THONG_SO_DU_AN'!$C$11=1, "█", IF('01_THONG_SO_DU_AN'!$C$11=2, $N15, $M15)), "")</f>
        <v/>
      </c>
      <c r="CB15" s="29">
        <f>IF(AND(CB$4&gt;=$J15, CB$4&lt;=$K15), IF('01_THONG_SO_DU_AN'!$C$11=1, "█", IF('01_THONG_SO_DU_AN'!$C$11=2, $N15, $M15)), "")</f>
        <v/>
      </c>
      <c r="CC15" s="29">
        <f>IF(AND(CC$4&gt;=$J15, CC$4&lt;=$K15), IF('01_THONG_SO_DU_AN'!$C$11=1, "█", IF('01_THONG_SO_DU_AN'!$C$11=2, $N15, $M15)), "")</f>
        <v/>
      </c>
      <c r="CD15" s="29">
        <f>IF(AND(CD$4&gt;=$J15, CD$4&lt;=$K15), IF('01_THONG_SO_DU_AN'!$C$11=1, "█", IF('01_THONG_SO_DU_AN'!$C$11=2, $N15, $M15)), "")</f>
        <v/>
      </c>
      <c r="CE15" s="29">
        <f>IF(AND(CE$4&gt;=$J15, CE$4&lt;=$K15), IF('01_THONG_SO_DU_AN'!$C$11=1, "█", IF('01_THONG_SO_DU_AN'!$C$11=2, $N15, $M15)), "")</f>
        <v/>
      </c>
      <c r="CF15" s="29">
        <f>IF(AND(CF$4&gt;=$J15, CF$4&lt;=$K15), IF('01_THONG_SO_DU_AN'!$C$11=1, "█", IF('01_THONG_SO_DU_AN'!$C$11=2, $N15, $M15)), "")</f>
        <v/>
      </c>
      <c r="CG15" s="29">
        <f>IF(AND(CG$4&gt;=$J15, CG$4&lt;=$K15), IF('01_THONG_SO_DU_AN'!$C$11=1, "█", IF('01_THONG_SO_DU_AN'!$C$11=2, $N15, $M15)), "")</f>
        <v/>
      </c>
      <c r="CH15" s="29">
        <f>IF(AND(CH$4&gt;=$J15, CH$4&lt;=$K15), IF('01_THONG_SO_DU_AN'!$C$11=1, "█", IF('01_THONG_SO_DU_AN'!$C$11=2, $N15, $M15)), "")</f>
        <v/>
      </c>
      <c r="CI15" s="29">
        <f>IF(AND(CI$4&gt;=$J15, CI$4&lt;=$K15), IF('01_THONG_SO_DU_AN'!$C$11=1, "█", IF('01_THONG_SO_DU_AN'!$C$11=2, $N15, $M15)), "")</f>
        <v/>
      </c>
      <c r="CJ15" s="29">
        <f>IF(AND(CJ$4&gt;=$J15, CJ$4&lt;=$K15), IF('01_THONG_SO_DU_AN'!$C$11=1, "█", IF('01_THONG_SO_DU_AN'!$C$11=2, $N15, $M15)), "")</f>
        <v/>
      </c>
      <c r="CK15" s="29">
        <f>IF(AND(CK$4&gt;=$J15, CK$4&lt;=$K15), IF('01_THONG_SO_DU_AN'!$C$11=1, "█", IF('01_THONG_SO_DU_AN'!$C$11=2, $N15, $M15)), "")</f>
        <v/>
      </c>
      <c r="CL15" s="29">
        <f>IF(AND(CL$4&gt;=$J15, CL$4&lt;=$K15), IF('01_THONG_SO_DU_AN'!$C$11=1, "█", IF('01_THONG_SO_DU_AN'!$C$11=2, $N15, $M15)), "")</f>
        <v/>
      </c>
      <c r="CM15" s="29">
        <f>IF(AND(CM$4&gt;=$J15, CM$4&lt;=$K15), IF('01_THONG_SO_DU_AN'!$C$11=1, "█", IF('01_THONG_SO_DU_AN'!$C$11=2, $N15, $M15)), "")</f>
        <v/>
      </c>
      <c r="CN15" s="29">
        <f>IF(AND(CN$4&gt;=$J15, CN$4&lt;=$K15), IF('01_THONG_SO_DU_AN'!$C$11=1, "█", IF('01_THONG_SO_DU_AN'!$C$11=2, $N15, $M15)), "")</f>
        <v/>
      </c>
      <c r="CO15" s="29">
        <f>IF(AND(CO$4&gt;=$J15, CO$4&lt;=$K15), IF('01_THONG_SO_DU_AN'!$C$11=1, "█", IF('01_THONG_SO_DU_AN'!$C$11=2, $N15, $M15)), "")</f>
        <v/>
      </c>
      <c r="CP15" s="29">
        <f>IF(AND(CP$4&gt;=$J15, CP$4&lt;=$K15), IF('01_THONG_SO_DU_AN'!$C$11=1, "█", IF('01_THONG_SO_DU_AN'!$C$11=2, $N15, $M15)), "")</f>
        <v/>
      </c>
      <c r="CQ15" s="29">
        <f>IF(AND(CQ$4&gt;=$J15, CQ$4&lt;=$K15), IF('01_THONG_SO_DU_AN'!$C$11=1, "█", IF('01_THONG_SO_DU_AN'!$C$11=2, $N15, $M15)), "")</f>
        <v/>
      </c>
      <c r="CR15" s="29">
        <f>IF(AND(CR$4&gt;=$J15, CR$4&lt;=$K15), IF('01_THONG_SO_DU_AN'!$C$11=1, "█", IF('01_THONG_SO_DU_AN'!$C$11=2, $N15, $M15)), "")</f>
        <v/>
      </c>
      <c r="CS15" s="29">
        <f>IF(AND(CS$4&gt;=$J15, CS$4&lt;=$K15), IF('01_THONG_SO_DU_AN'!$C$11=1, "█", IF('01_THONG_SO_DU_AN'!$C$11=2, $N15, $M15)), "")</f>
        <v/>
      </c>
      <c r="CT15" s="29">
        <f>IF(AND(CT$4&gt;=$J15, CT$4&lt;=$K15), IF('01_THONG_SO_DU_AN'!$C$11=1, "█", IF('01_THONG_SO_DU_AN'!$C$11=2, $N15, $M15)), "")</f>
        <v/>
      </c>
      <c r="CU15" s="29">
        <f>IF(AND(CU$4&gt;=$J15, CU$4&lt;=$K15), IF('01_THONG_SO_DU_AN'!$C$11=1, "█", IF('01_THONG_SO_DU_AN'!$C$11=2, $N15, $M15)), "")</f>
        <v/>
      </c>
      <c r="CV15" s="29">
        <f>IF(AND(CV$4&gt;=$J15, CV$4&lt;=$K15), IF('01_THONG_SO_DU_AN'!$C$11=1, "█", IF('01_THONG_SO_DU_AN'!$C$11=2, $N15, $M15)), "")</f>
        <v/>
      </c>
      <c r="CW15" s="29">
        <f>IF(AND(CW$4&gt;=$J15, CW$4&lt;=$K15), IF('01_THONG_SO_DU_AN'!$C$11=1, "█", IF('01_THONG_SO_DU_AN'!$C$11=2, $N15, $M15)), "")</f>
        <v/>
      </c>
      <c r="CX15" s="29">
        <f>IF(AND(CX$4&gt;=$J15, CX$4&lt;=$K15), IF('01_THONG_SO_DU_AN'!$C$11=1, "█", IF('01_THONG_SO_DU_AN'!$C$11=2, $N15, $M15)), "")</f>
        <v/>
      </c>
      <c r="CY15" s="29">
        <f>IF(AND(CY$4&gt;=$J15, CY$4&lt;=$K15), IF('01_THONG_SO_DU_AN'!$C$11=1, "█", IF('01_THONG_SO_DU_AN'!$C$11=2, $N15, $M15)), "")</f>
        <v/>
      </c>
      <c r="CZ15" s="29">
        <f>IF(AND(CZ$4&gt;=$J15, CZ$4&lt;=$K15), IF('01_THONG_SO_DU_AN'!$C$11=1, "█", IF('01_THONG_SO_DU_AN'!$C$11=2, $N15, $M15)), "")</f>
        <v/>
      </c>
      <c r="DA15" s="29">
        <f>IF(AND(DA$4&gt;=$J15, DA$4&lt;=$K15), IF('01_THONG_SO_DU_AN'!$C$11=1, "█", IF('01_THONG_SO_DU_AN'!$C$11=2, $N15, $M15)), "")</f>
        <v/>
      </c>
      <c r="DB15" s="29">
        <f>IF(AND(DB$4&gt;=$J15, DB$4&lt;=$K15), IF('01_THONG_SO_DU_AN'!$C$11=1, "█", IF('01_THONG_SO_DU_AN'!$C$11=2, $N15, $M15)), "")</f>
        <v/>
      </c>
      <c r="DC15" s="29">
        <f>IF(AND(DC$4&gt;=$J15, DC$4&lt;=$K15), IF('01_THONG_SO_DU_AN'!$C$11=1, "█", IF('01_THONG_SO_DU_AN'!$C$11=2, $N15, $M15)), "")</f>
        <v/>
      </c>
      <c r="DD15" s="29">
        <f>IF(AND(DD$4&gt;=$J15, DD$4&lt;=$K15), IF('01_THONG_SO_DU_AN'!$C$11=1, "█", IF('01_THONG_SO_DU_AN'!$C$11=2, $N15, $M15)), "")</f>
        <v/>
      </c>
      <c r="DE15" s="29">
        <f>IF(AND(DE$4&gt;=$J15, DE$4&lt;=$K15), IF('01_THONG_SO_DU_AN'!$C$11=1, "█", IF('01_THONG_SO_DU_AN'!$C$11=2, $N15, $M15)), "")</f>
        <v/>
      </c>
      <c r="DF15" s="29">
        <f>IF(AND(DF$4&gt;=$J15, DF$4&lt;=$K15), IF('01_THONG_SO_DU_AN'!$C$11=1, "█", IF('01_THONG_SO_DU_AN'!$C$11=2, $N15, $M15)), "")</f>
        <v/>
      </c>
      <c r="DG15" s="29">
        <f>IF(AND(DG$4&gt;=$J15, DG$4&lt;=$K15), IF('01_THONG_SO_DU_AN'!$C$11=1, "█", IF('01_THONG_SO_DU_AN'!$C$11=2, $N15, $M15)), "")</f>
        <v/>
      </c>
    </row>
    <row r="16">
      <c r="A16" s="23" t="n">
        <v>11</v>
      </c>
      <c r="B16" s="23" t="inlineStr">
        <is>
          <t>1.10</t>
        </is>
      </c>
      <c r="C16" s="24" t="inlineStr">
        <is>
          <t>Thi công thảm bê tông nhựa hạt trung BTN C19</t>
        </is>
      </c>
      <c r="D16" s="23" t="inlineStr">
        <is>
          <t>m2</t>
        </is>
      </c>
      <c r="E16" s="25" t="n">
        <v>180340</v>
      </c>
      <c r="F16" s="23" t="inlineStr">
        <is>
          <t>M5</t>
        </is>
      </c>
      <c r="G16" s="25">
        <f>VLOOKUP(F16, '02_DINH_MUC_CA_MAY_VA_DAU'!$C$6:$I$16, 5, FALSE)</f>
        <v/>
      </c>
      <c r="H16" s="25">
        <f>E16/G16</f>
        <v/>
      </c>
      <c r="I16" s="26" t="n">
        <v>54</v>
      </c>
      <c r="J16" s="27">
        <f>J15+15</f>
        <v/>
      </c>
      <c r="K16" s="27">
        <f>J16+I16-1</f>
        <v/>
      </c>
      <c r="L16" s="23">
        <f>IF(K16='01_THONG_SO_DU_AN'!$C$7, "CRITICAL (GĂNG)", "")</f>
        <v/>
      </c>
      <c r="M16" s="28">
        <f>ROUNDUP(H16/(I16*'01_THONG_SO_DU_AN'!$C$10), 0)</f>
        <v/>
      </c>
      <c r="N16" s="28">
        <f>M16*VLOOKUP(F16, '02_DINH_MUC_CA_MAY_VA_DAU'!$C$6:$I$16, 7, FALSE)</f>
        <v/>
      </c>
      <c r="O16" s="29">
        <f>IF(AND(O$4&gt;=$J16, O$4&lt;=$K16), IF('01_THONG_SO_DU_AN'!$C$11=1, "█", IF('01_THONG_SO_DU_AN'!$C$11=2, $N16, $M16)), "")</f>
        <v/>
      </c>
      <c r="P16" s="29">
        <f>IF(AND(P$4&gt;=$J16, P$4&lt;=$K16), IF('01_THONG_SO_DU_AN'!$C$11=1, "█", IF('01_THONG_SO_DU_AN'!$C$11=2, $N16, $M16)), "")</f>
        <v/>
      </c>
      <c r="Q16" s="29">
        <f>IF(AND(Q$4&gt;=$J16, Q$4&lt;=$K16), IF('01_THONG_SO_DU_AN'!$C$11=1, "█", IF('01_THONG_SO_DU_AN'!$C$11=2, $N16, $M16)), "")</f>
        <v/>
      </c>
      <c r="R16" s="29">
        <f>IF(AND(R$4&gt;=$J16, R$4&lt;=$K16), IF('01_THONG_SO_DU_AN'!$C$11=1, "█", IF('01_THONG_SO_DU_AN'!$C$11=2, $N16, $M16)), "")</f>
        <v/>
      </c>
      <c r="S16" s="29">
        <f>IF(AND(S$4&gt;=$J16, S$4&lt;=$K16), IF('01_THONG_SO_DU_AN'!$C$11=1, "█", IF('01_THONG_SO_DU_AN'!$C$11=2, $N16, $M16)), "")</f>
        <v/>
      </c>
      <c r="T16" s="29">
        <f>IF(AND(T$4&gt;=$J16, T$4&lt;=$K16), IF('01_THONG_SO_DU_AN'!$C$11=1, "█", IF('01_THONG_SO_DU_AN'!$C$11=2, $N16, $M16)), "")</f>
        <v/>
      </c>
      <c r="U16" s="29">
        <f>IF(AND(U$4&gt;=$J16, U$4&lt;=$K16), IF('01_THONG_SO_DU_AN'!$C$11=1, "█", IF('01_THONG_SO_DU_AN'!$C$11=2, $N16, $M16)), "")</f>
        <v/>
      </c>
      <c r="V16" s="29">
        <f>IF(AND(V$4&gt;=$J16, V$4&lt;=$K16), IF('01_THONG_SO_DU_AN'!$C$11=1, "█", IF('01_THONG_SO_DU_AN'!$C$11=2, $N16, $M16)), "")</f>
        <v/>
      </c>
      <c r="W16" s="29">
        <f>IF(AND(W$4&gt;=$J16, W$4&lt;=$K16), IF('01_THONG_SO_DU_AN'!$C$11=1, "█", IF('01_THONG_SO_DU_AN'!$C$11=2, $N16, $M16)), "")</f>
        <v/>
      </c>
      <c r="X16" s="29">
        <f>IF(AND(X$4&gt;=$J16, X$4&lt;=$K16), IF('01_THONG_SO_DU_AN'!$C$11=1, "█", IF('01_THONG_SO_DU_AN'!$C$11=2, $N16, $M16)), "")</f>
        <v/>
      </c>
      <c r="Y16" s="29">
        <f>IF(AND(Y$4&gt;=$J16, Y$4&lt;=$K16), IF('01_THONG_SO_DU_AN'!$C$11=1, "█", IF('01_THONG_SO_DU_AN'!$C$11=2, $N16, $M16)), "")</f>
        <v/>
      </c>
      <c r="Z16" s="29">
        <f>IF(AND(Z$4&gt;=$J16, Z$4&lt;=$K16), IF('01_THONG_SO_DU_AN'!$C$11=1, "█", IF('01_THONG_SO_DU_AN'!$C$11=2, $N16, $M16)), "")</f>
        <v/>
      </c>
      <c r="AA16" s="29">
        <f>IF(AND(AA$4&gt;=$J16, AA$4&lt;=$K16), IF('01_THONG_SO_DU_AN'!$C$11=1, "█", IF('01_THONG_SO_DU_AN'!$C$11=2, $N16, $M16)), "")</f>
        <v/>
      </c>
      <c r="AB16" s="29">
        <f>IF(AND(AB$4&gt;=$J16, AB$4&lt;=$K16), IF('01_THONG_SO_DU_AN'!$C$11=1, "█", IF('01_THONG_SO_DU_AN'!$C$11=2, $N16, $M16)), "")</f>
        <v/>
      </c>
      <c r="AC16" s="29">
        <f>IF(AND(AC$4&gt;=$J16, AC$4&lt;=$K16), IF('01_THONG_SO_DU_AN'!$C$11=1, "█", IF('01_THONG_SO_DU_AN'!$C$11=2, $N16, $M16)), "")</f>
        <v/>
      </c>
      <c r="AD16" s="29">
        <f>IF(AND(AD$4&gt;=$J16, AD$4&lt;=$K16), IF('01_THONG_SO_DU_AN'!$C$11=1, "█", IF('01_THONG_SO_DU_AN'!$C$11=2, $N16, $M16)), "")</f>
        <v/>
      </c>
      <c r="AE16" s="29">
        <f>IF(AND(AE$4&gt;=$J16, AE$4&lt;=$K16), IF('01_THONG_SO_DU_AN'!$C$11=1, "█", IF('01_THONG_SO_DU_AN'!$C$11=2, $N16, $M16)), "")</f>
        <v/>
      </c>
      <c r="AF16" s="29">
        <f>IF(AND(AF$4&gt;=$J16, AF$4&lt;=$K16), IF('01_THONG_SO_DU_AN'!$C$11=1, "█", IF('01_THONG_SO_DU_AN'!$C$11=2, $N16, $M16)), "")</f>
        <v/>
      </c>
      <c r="AG16" s="29">
        <f>IF(AND(AG$4&gt;=$J16, AG$4&lt;=$K16), IF('01_THONG_SO_DU_AN'!$C$11=1, "█", IF('01_THONG_SO_DU_AN'!$C$11=2, $N16, $M16)), "")</f>
        <v/>
      </c>
      <c r="AH16" s="29">
        <f>IF(AND(AH$4&gt;=$J16, AH$4&lt;=$K16), IF('01_THONG_SO_DU_AN'!$C$11=1, "█", IF('01_THONG_SO_DU_AN'!$C$11=2, $N16, $M16)), "")</f>
        <v/>
      </c>
      <c r="AI16" s="29">
        <f>IF(AND(AI$4&gt;=$J16, AI$4&lt;=$K16), IF('01_THONG_SO_DU_AN'!$C$11=1, "█", IF('01_THONG_SO_DU_AN'!$C$11=2, $N16, $M16)), "")</f>
        <v/>
      </c>
      <c r="AJ16" s="29">
        <f>IF(AND(AJ$4&gt;=$J16, AJ$4&lt;=$K16), IF('01_THONG_SO_DU_AN'!$C$11=1, "█", IF('01_THONG_SO_DU_AN'!$C$11=2, $N16, $M16)), "")</f>
        <v/>
      </c>
      <c r="AK16" s="29">
        <f>IF(AND(AK$4&gt;=$J16, AK$4&lt;=$K16), IF('01_THONG_SO_DU_AN'!$C$11=1, "█", IF('01_THONG_SO_DU_AN'!$C$11=2, $N16, $M16)), "")</f>
        <v/>
      </c>
      <c r="AL16" s="29">
        <f>IF(AND(AL$4&gt;=$J16, AL$4&lt;=$K16), IF('01_THONG_SO_DU_AN'!$C$11=1, "█", IF('01_THONG_SO_DU_AN'!$C$11=2, $N16, $M16)), "")</f>
        <v/>
      </c>
      <c r="AM16" s="29">
        <f>IF(AND(AM$4&gt;=$J16, AM$4&lt;=$K16), IF('01_THONG_SO_DU_AN'!$C$11=1, "█", IF('01_THONG_SO_DU_AN'!$C$11=2, $N16, $M16)), "")</f>
        <v/>
      </c>
      <c r="AN16" s="29">
        <f>IF(AND(AN$4&gt;=$J16, AN$4&lt;=$K16), IF('01_THONG_SO_DU_AN'!$C$11=1, "█", IF('01_THONG_SO_DU_AN'!$C$11=2, $N16, $M16)), "")</f>
        <v/>
      </c>
      <c r="AO16" s="29">
        <f>IF(AND(AO$4&gt;=$J16, AO$4&lt;=$K16), IF('01_THONG_SO_DU_AN'!$C$11=1, "█", IF('01_THONG_SO_DU_AN'!$C$11=2, $N16, $M16)), "")</f>
        <v/>
      </c>
      <c r="AP16" s="29">
        <f>IF(AND(AP$4&gt;=$J16, AP$4&lt;=$K16), IF('01_THONG_SO_DU_AN'!$C$11=1, "█", IF('01_THONG_SO_DU_AN'!$C$11=2, $N16, $M16)), "")</f>
        <v/>
      </c>
      <c r="AQ16" s="29">
        <f>IF(AND(AQ$4&gt;=$J16, AQ$4&lt;=$K16), IF('01_THONG_SO_DU_AN'!$C$11=1, "█", IF('01_THONG_SO_DU_AN'!$C$11=2, $N16, $M16)), "")</f>
        <v/>
      </c>
      <c r="AR16" s="29">
        <f>IF(AND(AR$4&gt;=$J16, AR$4&lt;=$K16), IF('01_THONG_SO_DU_AN'!$C$11=1, "█", IF('01_THONG_SO_DU_AN'!$C$11=2, $N16, $M16)), "")</f>
        <v/>
      </c>
      <c r="AS16" s="29">
        <f>IF(AND(AS$4&gt;=$J16, AS$4&lt;=$K16), IF('01_THONG_SO_DU_AN'!$C$11=1, "█", IF('01_THONG_SO_DU_AN'!$C$11=2, $N16, $M16)), "")</f>
        <v/>
      </c>
      <c r="AT16" s="29">
        <f>IF(AND(AT$4&gt;=$J16, AT$4&lt;=$K16), IF('01_THONG_SO_DU_AN'!$C$11=1, "█", IF('01_THONG_SO_DU_AN'!$C$11=2, $N16, $M16)), "")</f>
        <v/>
      </c>
      <c r="AU16" s="29">
        <f>IF(AND(AU$4&gt;=$J16, AU$4&lt;=$K16), IF('01_THONG_SO_DU_AN'!$C$11=1, "█", IF('01_THONG_SO_DU_AN'!$C$11=2, $N16, $M16)), "")</f>
        <v/>
      </c>
      <c r="AV16" s="29">
        <f>IF(AND(AV$4&gt;=$J16, AV$4&lt;=$K16), IF('01_THONG_SO_DU_AN'!$C$11=1, "█", IF('01_THONG_SO_DU_AN'!$C$11=2, $N16, $M16)), "")</f>
        <v/>
      </c>
      <c r="AW16" s="29">
        <f>IF(AND(AW$4&gt;=$J16, AW$4&lt;=$K16), IF('01_THONG_SO_DU_AN'!$C$11=1, "█", IF('01_THONG_SO_DU_AN'!$C$11=2, $N16, $M16)), "")</f>
        <v/>
      </c>
      <c r="AX16" s="29">
        <f>IF(AND(AX$4&gt;=$J16, AX$4&lt;=$K16), IF('01_THONG_SO_DU_AN'!$C$11=1, "█", IF('01_THONG_SO_DU_AN'!$C$11=2, $N16, $M16)), "")</f>
        <v/>
      </c>
      <c r="AY16" s="29">
        <f>IF(AND(AY$4&gt;=$J16, AY$4&lt;=$K16), IF('01_THONG_SO_DU_AN'!$C$11=1, "█", IF('01_THONG_SO_DU_AN'!$C$11=2, $N16, $M16)), "")</f>
        <v/>
      </c>
      <c r="AZ16" s="29">
        <f>IF(AND(AZ$4&gt;=$J16, AZ$4&lt;=$K16), IF('01_THONG_SO_DU_AN'!$C$11=1, "█", IF('01_THONG_SO_DU_AN'!$C$11=2, $N16, $M16)), "")</f>
        <v/>
      </c>
      <c r="BA16" s="29">
        <f>IF(AND(BA$4&gt;=$J16, BA$4&lt;=$K16), IF('01_THONG_SO_DU_AN'!$C$11=1, "█", IF('01_THONG_SO_DU_AN'!$C$11=2, $N16, $M16)), "")</f>
        <v/>
      </c>
      <c r="BB16" s="29">
        <f>IF(AND(BB$4&gt;=$J16, BB$4&lt;=$K16), IF('01_THONG_SO_DU_AN'!$C$11=1, "█", IF('01_THONG_SO_DU_AN'!$C$11=2, $N16, $M16)), "")</f>
        <v/>
      </c>
      <c r="BC16" s="29">
        <f>IF(AND(BC$4&gt;=$J16, BC$4&lt;=$K16), IF('01_THONG_SO_DU_AN'!$C$11=1, "█", IF('01_THONG_SO_DU_AN'!$C$11=2, $N16, $M16)), "")</f>
        <v/>
      </c>
      <c r="BD16" s="29">
        <f>IF(AND(BD$4&gt;=$J16, BD$4&lt;=$K16), IF('01_THONG_SO_DU_AN'!$C$11=1, "█", IF('01_THONG_SO_DU_AN'!$C$11=2, $N16, $M16)), "")</f>
        <v/>
      </c>
      <c r="BE16" s="29">
        <f>IF(AND(BE$4&gt;=$J16, BE$4&lt;=$K16), IF('01_THONG_SO_DU_AN'!$C$11=1, "█", IF('01_THONG_SO_DU_AN'!$C$11=2, $N16, $M16)), "")</f>
        <v/>
      </c>
      <c r="BF16" s="29">
        <f>IF(AND(BF$4&gt;=$J16, BF$4&lt;=$K16), IF('01_THONG_SO_DU_AN'!$C$11=1, "█", IF('01_THONG_SO_DU_AN'!$C$11=2, $N16, $M16)), "")</f>
        <v/>
      </c>
      <c r="BG16" s="29">
        <f>IF(AND(BG$4&gt;=$J16, BG$4&lt;=$K16), IF('01_THONG_SO_DU_AN'!$C$11=1, "█", IF('01_THONG_SO_DU_AN'!$C$11=2, $N16, $M16)), "")</f>
        <v/>
      </c>
      <c r="BH16" s="29">
        <f>IF(AND(BH$4&gt;=$J16, BH$4&lt;=$K16), IF('01_THONG_SO_DU_AN'!$C$11=1, "█", IF('01_THONG_SO_DU_AN'!$C$11=2, $N16, $M16)), "")</f>
        <v/>
      </c>
      <c r="BI16" s="29">
        <f>IF(AND(BI$4&gt;=$J16, BI$4&lt;=$K16), IF('01_THONG_SO_DU_AN'!$C$11=1, "█", IF('01_THONG_SO_DU_AN'!$C$11=2, $N16, $M16)), "")</f>
        <v/>
      </c>
      <c r="BJ16" s="29">
        <f>IF(AND(BJ$4&gt;=$J16, BJ$4&lt;=$K16), IF('01_THONG_SO_DU_AN'!$C$11=1, "█", IF('01_THONG_SO_DU_AN'!$C$11=2, $N16, $M16)), "")</f>
        <v/>
      </c>
      <c r="BK16" s="29">
        <f>IF(AND(BK$4&gt;=$J16, BK$4&lt;=$K16), IF('01_THONG_SO_DU_AN'!$C$11=1, "█", IF('01_THONG_SO_DU_AN'!$C$11=2, $N16, $M16)), "")</f>
        <v/>
      </c>
      <c r="BL16" s="29">
        <f>IF(AND(BL$4&gt;=$J16, BL$4&lt;=$K16), IF('01_THONG_SO_DU_AN'!$C$11=1, "█", IF('01_THONG_SO_DU_AN'!$C$11=2, $N16, $M16)), "")</f>
        <v/>
      </c>
      <c r="BM16" s="29">
        <f>IF(AND(BM$4&gt;=$J16, BM$4&lt;=$K16), IF('01_THONG_SO_DU_AN'!$C$11=1, "█", IF('01_THONG_SO_DU_AN'!$C$11=2, $N16, $M16)), "")</f>
        <v/>
      </c>
      <c r="BN16" s="29">
        <f>IF(AND(BN$4&gt;=$J16, BN$4&lt;=$K16), IF('01_THONG_SO_DU_AN'!$C$11=1, "█", IF('01_THONG_SO_DU_AN'!$C$11=2, $N16, $M16)), "")</f>
        <v/>
      </c>
      <c r="BO16" s="29">
        <f>IF(AND(BO$4&gt;=$J16, BO$4&lt;=$K16), IF('01_THONG_SO_DU_AN'!$C$11=1, "█", IF('01_THONG_SO_DU_AN'!$C$11=2, $N16, $M16)), "")</f>
        <v/>
      </c>
      <c r="BP16" s="29">
        <f>IF(AND(BP$4&gt;=$J16, BP$4&lt;=$K16), IF('01_THONG_SO_DU_AN'!$C$11=1, "█", IF('01_THONG_SO_DU_AN'!$C$11=2, $N16, $M16)), "")</f>
        <v/>
      </c>
      <c r="BQ16" s="29">
        <f>IF(AND(BQ$4&gt;=$J16, BQ$4&lt;=$K16), IF('01_THONG_SO_DU_AN'!$C$11=1, "█", IF('01_THONG_SO_DU_AN'!$C$11=2, $N16, $M16)), "")</f>
        <v/>
      </c>
      <c r="BR16" s="29">
        <f>IF(AND(BR$4&gt;=$J16, BR$4&lt;=$K16), IF('01_THONG_SO_DU_AN'!$C$11=1, "█", IF('01_THONG_SO_DU_AN'!$C$11=2, $N16, $M16)), "")</f>
        <v/>
      </c>
      <c r="BS16" s="29">
        <f>IF(AND(BS$4&gt;=$J16, BS$4&lt;=$K16), IF('01_THONG_SO_DU_AN'!$C$11=1, "█", IF('01_THONG_SO_DU_AN'!$C$11=2, $N16, $M16)), "")</f>
        <v/>
      </c>
      <c r="BT16" s="29">
        <f>IF(AND(BT$4&gt;=$J16, BT$4&lt;=$K16), IF('01_THONG_SO_DU_AN'!$C$11=1, "█", IF('01_THONG_SO_DU_AN'!$C$11=2, $N16, $M16)), "")</f>
        <v/>
      </c>
      <c r="BU16" s="29">
        <f>IF(AND(BU$4&gt;=$J16, BU$4&lt;=$K16), IF('01_THONG_SO_DU_AN'!$C$11=1, "█", IF('01_THONG_SO_DU_AN'!$C$11=2, $N16, $M16)), "")</f>
        <v/>
      </c>
      <c r="BV16" s="29">
        <f>IF(AND(BV$4&gt;=$J16, BV$4&lt;=$K16), IF('01_THONG_SO_DU_AN'!$C$11=1, "█", IF('01_THONG_SO_DU_AN'!$C$11=2, $N16, $M16)), "")</f>
        <v/>
      </c>
      <c r="BW16" s="29">
        <f>IF(AND(BW$4&gt;=$J16, BW$4&lt;=$K16), IF('01_THONG_SO_DU_AN'!$C$11=1, "█", IF('01_THONG_SO_DU_AN'!$C$11=2, $N16, $M16)), "")</f>
        <v/>
      </c>
      <c r="BX16" s="29">
        <f>IF(AND(BX$4&gt;=$J16, BX$4&lt;=$K16), IF('01_THONG_SO_DU_AN'!$C$11=1, "█", IF('01_THONG_SO_DU_AN'!$C$11=2, $N16, $M16)), "")</f>
        <v/>
      </c>
      <c r="BY16" s="29">
        <f>IF(AND(BY$4&gt;=$J16, BY$4&lt;=$K16), IF('01_THONG_SO_DU_AN'!$C$11=1, "█", IF('01_THONG_SO_DU_AN'!$C$11=2, $N16, $M16)), "")</f>
        <v/>
      </c>
      <c r="BZ16" s="29">
        <f>IF(AND(BZ$4&gt;=$J16, BZ$4&lt;=$K16), IF('01_THONG_SO_DU_AN'!$C$11=1, "█", IF('01_THONG_SO_DU_AN'!$C$11=2, $N16, $M16)), "")</f>
        <v/>
      </c>
      <c r="CA16" s="29">
        <f>IF(AND(CA$4&gt;=$J16, CA$4&lt;=$K16), IF('01_THONG_SO_DU_AN'!$C$11=1, "█", IF('01_THONG_SO_DU_AN'!$C$11=2, $N16, $M16)), "")</f>
        <v/>
      </c>
      <c r="CB16" s="29">
        <f>IF(AND(CB$4&gt;=$J16, CB$4&lt;=$K16), IF('01_THONG_SO_DU_AN'!$C$11=1, "█", IF('01_THONG_SO_DU_AN'!$C$11=2, $N16, $M16)), "")</f>
        <v/>
      </c>
      <c r="CC16" s="29">
        <f>IF(AND(CC$4&gt;=$J16, CC$4&lt;=$K16), IF('01_THONG_SO_DU_AN'!$C$11=1, "█", IF('01_THONG_SO_DU_AN'!$C$11=2, $N16, $M16)), "")</f>
        <v/>
      </c>
      <c r="CD16" s="29">
        <f>IF(AND(CD$4&gt;=$J16, CD$4&lt;=$K16), IF('01_THONG_SO_DU_AN'!$C$11=1, "█", IF('01_THONG_SO_DU_AN'!$C$11=2, $N16, $M16)), "")</f>
        <v/>
      </c>
      <c r="CE16" s="29">
        <f>IF(AND(CE$4&gt;=$J16, CE$4&lt;=$K16), IF('01_THONG_SO_DU_AN'!$C$11=1, "█", IF('01_THONG_SO_DU_AN'!$C$11=2, $N16, $M16)), "")</f>
        <v/>
      </c>
      <c r="CF16" s="29">
        <f>IF(AND(CF$4&gt;=$J16, CF$4&lt;=$K16), IF('01_THONG_SO_DU_AN'!$C$11=1, "█", IF('01_THONG_SO_DU_AN'!$C$11=2, $N16, $M16)), "")</f>
        <v/>
      </c>
      <c r="CG16" s="29">
        <f>IF(AND(CG$4&gt;=$J16, CG$4&lt;=$K16), IF('01_THONG_SO_DU_AN'!$C$11=1, "█", IF('01_THONG_SO_DU_AN'!$C$11=2, $N16, $M16)), "")</f>
        <v/>
      </c>
      <c r="CH16" s="29">
        <f>IF(AND(CH$4&gt;=$J16, CH$4&lt;=$K16), IF('01_THONG_SO_DU_AN'!$C$11=1, "█", IF('01_THONG_SO_DU_AN'!$C$11=2, $N16, $M16)), "")</f>
        <v/>
      </c>
      <c r="CI16" s="29">
        <f>IF(AND(CI$4&gt;=$J16, CI$4&lt;=$K16), IF('01_THONG_SO_DU_AN'!$C$11=1, "█", IF('01_THONG_SO_DU_AN'!$C$11=2, $N16, $M16)), "")</f>
        <v/>
      </c>
      <c r="CJ16" s="29">
        <f>IF(AND(CJ$4&gt;=$J16, CJ$4&lt;=$K16), IF('01_THONG_SO_DU_AN'!$C$11=1, "█", IF('01_THONG_SO_DU_AN'!$C$11=2, $N16, $M16)), "")</f>
        <v/>
      </c>
      <c r="CK16" s="29">
        <f>IF(AND(CK$4&gt;=$J16, CK$4&lt;=$K16), IF('01_THONG_SO_DU_AN'!$C$11=1, "█", IF('01_THONG_SO_DU_AN'!$C$11=2, $N16, $M16)), "")</f>
        <v/>
      </c>
      <c r="CL16" s="29">
        <f>IF(AND(CL$4&gt;=$J16, CL$4&lt;=$K16), IF('01_THONG_SO_DU_AN'!$C$11=1, "█", IF('01_THONG_SO_DU_AN'!$C$11=2, $N16, $M16)), "")</f>
        <v/>
      </c>
      <c r="CM16" s="29">
        <f>IF(AND(CM$4&gt;=$J16, CM$4&lt;=$K16), IF('01_THONG_SO_DU_AN'!$C$11=1, "█", IF('01_THONG_SO_DU_AN'!$C$11=2, $N16, $M16)), "")</f>
        <v/>
      </c>
      <c r="CN16" s="29">
        <f>IF(AND(CN$4&gt;=$J16, CN$4&lt;=$K16), IF('01_THONG_SO_DU_AN'!$C$11=1, "█", IF('01_THONG_SO_DU_AN'!$C$11=2, $N16, $M16)), "")</f>
        <v/>
      </c>
      <c r="CO16" s="29">
        <f>IF(AND(CO$4&gt;=$J16, CO$4&lt;=$K16), IF('01_THONG_SO_DU_AN'!$C$11=1, "█", IF('01_THONG_SO_DU_AN'!$C$11=2, $N16, $M16)), "")</f>
        <v/>
      </c>
      <c r="CP16" s="29">
        <f>IF(AND(CP$4&gt;=$J16, CP$4&lt;=$K16), IF('01_THONG_SO_DU_AN'!$C$11=1, "█", IF('01_THONG_SO_DU_AN'!$C$11=2, $N16, $M16)), "")</f>
        <v/>
      </c>
      <c r="CQ16" s="29">
        <f>IF(AND(CQ$4&gt;=$J16, CQ$4&lt;=$K16), IF('01_THONG_SO_DU_AN'!$C$11=1, "█", IF('01_THONG_SO_DU_AN'!$C$11=2, $N16, $M16)), "")</f>
        <v/>
      </c>
      <c r="CR16" s="29">
        <f>IF(AND(CR$4&gt;=$J16, CR$4&lt;=$K16), IF('01_THONG_SO_DU_AN'!$C$11=1, "█", IF('01_THONG_SO_DU_AN'!$C$11=2, $N16, $M16)), "")</f>
        <v/>
      </c>
      <c r="CS16" s="29">
        <f>IF(AND(CS$4&gt;=$J16, CS$4&lt;=$K16), IF('01_THONG_SO_DU_AN'!$C$11=1, "█", IF('01_THONG_SO_DU_AN'!$C$11=2, $N16, $M16)), "")</f>
        <v/>
      </c>
      <c r="CT16" s="29">
        <f>IF(AND(CT$4&gt;=$J16, CT$4&lt;=$K16), IF('01_THONG_SO_DU_AN'!$C$11=1, "█", IF('01_THONG_SO_DU_AN'!$C$11=2, $N16, $M16)), "")</f>
        <v/>
      </c>
      <c r="CU16" s="29">
        <f>IF(AND(CU$4&gt;=$J16, CU$4&lt;=$K16), IF('01_THONG_SO_DU_AN'!$C$11=1, "█", IF('01_THONG_SO_DU_AN'!$C$11=2, $N16, $M16)), "")</f>
        <v/>
      </c>
      <c r="CV16" s="29">
        <f>IF(AND(CV$4&gt;=$J16, CV$4&lt;=$K16), IF('01_THONG_SO_DU_AN'!$C$11=1, "█", IF('01_THONG_SO_DU_AN'!$C$11=2, $N16, $M16)), "")</f>
        <v/>
      </c>
      <c r="CW16" s="29">
        <f>IF(AND(CW$4&gt;=$J16, CW$4&lt;=$K16), IF('01_THONG_SO_DU_AN'!$C$11=1, "█", IF('01_THONG_SO_DU_AN'!$C$11=2, $N16, $M16)), "")</f>
        <v/>
      </c>
      <c r="CX16" s="29">
        <f>IF(AND(CX$4&gt;=$J16, CX$4&lt;=$K16), IF('01_THONG_SO_DU_AN'!$C$11=1, "█", IF('01_THONG_SO_DU_AN'!$C$11=2, $N16, $M16)), "")</f>
        <v/>
      </c>
      <c r="CY16" s="29">
        <f>IF(AND(CY$4&gt;=$J16, CY$4&lt;=$K16), IF('01_THONG_SO_DU_AN'!$C$11=1, "█", IF('01_THONG_SO_DU_AN'!$C$11=2, $N16, $M16)), "")</f>
        <v/>
      </c>
      <c r="CZ16" s="29">
        <f>IF(AND(CZ$4&gt;=$J16, CZ$4&lt;=$K16), IF('01_THONG_SO_DU_AN'!$C$11=1, "█", IF('01_THONG_SO_DU_AN'!$C$11=2, $N16, $M16)), "")</f>
        <v/>
      </c>
      <c r="DA16" s="29">
        <f>IF(AND(DA$4&gt;=$J16, DA$4&lt;=$K16), IF('01_THONG_SO_DU_AN'!$C$11=1, "█", IF('01_THONG_SO_DU_AN'!$C$11=2, $N16, $M16)), "")</f>
        <v/>
      </c>
      <c r="DB16" s="29">
        <f>IF(AND(DB$4&gt;=$J16, DB$4&lt;=$K16), IF('01_THONG_SO_DU_AN'!$C$11=1, "█", IF('01_THONG_SO_DU_AN'!$C$11=2, $N16, $M16)), "")</f>
        <v/>
      </c>
      <c r="DC16" s="29">
        <f>IF(AND(DC$4&gt;=$J16, DC$4&lt;=$K16), IF('01_THONG_SO_DU_AN'!$C$11=1, "█", IF('01_THONG_SO_DU_AN'!$C$11=2, $N16, $M16)), "")</f>
        <v/>
      </c>
      <c r="DD16" s="29">
        <f>IF(AND(DD$4&gt;=$J16, DD$4&lt;=$K16), IF('01_THONG_SO_DU_AN'!$C$11=1, "█", IF('01_THONG_SO_DU_AN'!$C$11=2, $N16, $M16)), "")</f>
        <v/>
      </c>
      <c r="DE16" s="29">
        <f>IF(AND(DE$4&gt;=$J16, DE$4&lt;=$K16), IF('01_THONG_SO_DU_AN'!$C$11=1, "█", IF('01_THONG_SO_DU_AN'!$C$11=2, $N16, $M16)), "")</f>
        <v/>
      </c>
      <c r="DF16" s="29">
        <f>IF(AND(DF$4&gt;=$J16, DF$4&lt;=$K16), IF('01_THONG_SO_DU_AN'!$C$11=1, "█", IF('01_THONG_SO_DU_AN'!$C$11=2, $N16, $M16)), "")</f>
        <v/>
      </c>
      <c r="DG16" s="29">
        <f>IF(AND(DG$4&gt;=$J16, DG$4&lt;=$K16), IF('01_THONG_SO_DU_AN'!$C$11=1, "█", IF('01_THONG_SO_DU_AN'!$C$11=2, $N16, $M16)), "")</f>
        <v/>
      </c>
    </row>
    <row r="17">
      <c r="A17" s="23" t="n">
        <v>12</v>
      </c>
      <c r="B17" s="23" t="inlineStr">
        <is>
          <t>1.11</t>
        </is>
      </c>
      <c r="C17" s="24" t="inlineStr">
        <is>
          <t>Thi công lắp đặt bó vỉa hè</t>
        </is>
      </c>
      <c r="D17" s="23" t="inlineStr">
        <is>
          <t>m</t>
        </is>
      </c>
      <c r="E17" s="25" t="n">
        <v>144272</v>
      </c>
      <c r="F17" s="23" t="inlineStr">
        <is>
          <t>M8</t>
        </is>
      </c>
      <c r="G17" s="25">
        <f>VLOOKUP(F17, '02_DINH_MUC_CA_MAY_VA_DAU'!$C$6:$I$16, 5, FALSE)</f>
        <v/>
      </c>
      <c r="H17" s="25">
        <f>E17/G17</f>
        <v/>
      </c>
      <c r="I17" s="26" t="n">
        <v>52</v>
      </c>
      <c r="J17" s="27">
        <f>J16+2</f>
        <v/>
      </c>
      <c r="K17" s="27">
        <f>J17+I17-1</f>
        <v/>
      </c>
      <c r="L17" s="23">
        <f>IF(K17='01_THONG_SO_DU_AN'!$C$7, "CRITICAL (GĂNG)", "")</f>
        <v/>
      </c>
      <c r="M17" s="28">
        <f>ROUNDUP(H17/(I17*'01_THONG_SO_DU_AN'!$C$10), 0)</f>
        <v/>
      </c>
      <c r="N17" s="28">
        <f>M17*VLOOKUP(F17, '02_DINH_MUC_CA_MAY_VA_DAU'!$C$6:$I$16, 7, FALSE)</f>
        <v/>
      </c>
      <c r="O17" s="29">
        <f>IF(AND(O$4&gt;=$J17, O$4&lt;=$K17), IF('01_THONG_SO_DU_AN'!$C$11=1, "█", IF('01_THONG_SO_DU_AN'!$C$11=2, $N17, $M17)), "")</f>
        <v/>
      </c>
      <c r="P17" s="29">
        <f>IF(AND(P$4&gt;=$J17, P$4&lt;=$K17), IF('01_THONG_SO_DU_AN'!$C$11=1, "█", IF('01_THONG_SO_DU_AN'!$C$11=2, $N17, $M17)), "")</f>
        <v/>
      </c>
      <c r="Q17" s="29">
        <f>IF(AND(Q$4&gt;=$J17, Q$4&lt;=$K17), IF('01_THONG_SO_DU_AN'!$C$11=1, "█", IF('01_THONG_SO_DU_AN'!$C$11=2, $N17, $M17)), "")</f>
        <v/>
      </c>
      <c r="R17" s="29">
        <f>IF(AND(R$4&gt;=$J17, R$4&lt;=$K17), IF('01_THONG_SO_DU_AN'!$C$11=1, "█", IF('01_THONG_SO_DU_AN'!$C$11=2, $N17, $M17)), "")</f>
        <v/>
      </c>
      <c r="S17" s="29">
        <f>IF(AND(S$4&gt;=$J17, S$4&lt;=$K17), IF('01_THONG_SO_DU_AN'!$C$11=1, "█", IF('01_THONG_SO_DU_AN'!$C$11=2, $N17, $M17)), "")</f>
        <v/>
      </c>
      <c r="T17" s="29">
        <f>IF(AND(T$4&gt;=$J17, T$4&lt;=$K17), IF('01_THONG_SO_DU_AN'!$C$11=1, "█", IF('01_THONG_SO_DU_AN'!$C$11=2, $N17, $M17)), "")</f>
        <v/>
      </c>
      <c r="U17" s="29">
        <f>IF(AND(U$4&gt;=$J17, U$4&lt;=$K17), IF('01_THONG_SO_DU_AN'!$C$11=1, "█", IF('01_THONG_SO_DU_AN'!$C$11=2, $N17, $M17)), "")</f>
        <v/>
      </c>
      <c r="V17" s="29">
        <f>IF(AND(V$4&gt;=$J17, V$4&lt;=$K17), IF('01_THONG_SO_DU_AN'!$C$11=1, "█", IF('01_THONG_SO_DU_AN'!$C$11=2, $N17, $M17)), "")</f>
        <v/>
      </c>
      <c r="W17" s="29">
        <f>IF(AND(W$4&gt;=$J17, W$4&lt;=$K17), IF('01_THONG_SO_DU_AN'!$C$11=1, "█", IF('01_THONG_SO_DU_AN'!$C$11=2, $N17, $M17)), "")</f>
        <v/>
      </c>
      <c r="X17" s="29">
        <f>IF(AND(X$4&gt;=$J17, X$4&lt;=$K17), IF('01_THONG_SO_DU_AN'!$C$11=1, "█", IF('01_THONG_SO_DU_AN'!$C$11=2, $N17, $M17)), "")</f>
        <v/>
      </c>
      <c r="Y17" s="29">
        <f>IF(AND(Y$4&gt;=$J17, Y$4&lt;=$K17), IF('01_THONG_SO_DU_AN'!$C$11=1, "█", IF('01_THONG_SO_DU_AN'!$C$11=2, $N17, $M17)), "")</f>
        <v/>
      </c>
      <c r="Z17" s="29">
        <f>IF(AND(Z$4&gt;=$J17, Z$4&lt;=$K17), IF('01_THONG_SO_DU_AN'!$C$11=1, "█", IF('01_THONG_SO_DU_AN'!$C$11=2, $N17, $M17)), "")</f>
        <v/>
      </c>
      <c r="AA17" s="29">
        <f>IF(AND(AA$4&gt;=$J17, AA$4&lt;=$K17), IF('01_THONG_SO_DU_AN'!$C$11=1, "█", IF('01_THONG_SO_DU_AN'!$C$11=2, $N17, $M17)), "")</f>
        <v/>
      </c>
      <c r="AB17" s="29">
        <f>IF(AND(AB$4&gt;=$J17, AB$4&lt;=$K17), IF('01_THONG_SO_DU_AN'!$C$11=1, "█", IF('01_THONG_SO_DU_AN'!$C$11=2, $N17, $M17)), "")</f>
        <v/>
      </c>
      <c r="AC17" s="29">
        <f>IF(AND(AC$4&gt;=$J17, AC$4&lt;=$K17), IF('01_THONG_SO_DU_AN'!$C$11=1, "█", IF('01_THONG_SO_DU_AN'!$C$11=2, $N17, $M17)), "")</f>
        <v/>
      </c>
      <c r="AD17" s="29">
        <f>IF(AND(AD$4&gt;=$J17, AD$4&lt;=$K17), IF('01_THONG_SO_DU_AN'!$C$11=1, "█", IF('01_THONG_SO_DU_AN'!$C$11=2, $N17, $M17)), "")</f>
        <v/>
      </c>
      <c r="AE17" s="29">
        <f>IF(AND(AE$4&gt;=$J17, AE$4&lt;=$K17), IF('01_THONG_SO_DU_AN'!$C$11=1, "█", IF('01_THONG_SO_DU_AN'!$C$11=2, $N17, $M17)), "")</f>
        <v/>
      </c>
      <c r="AF17" s="29">
        <f>IF(AND(AF$4&gt;=$J17, AF$4&lt;=$K17), IF('01_THONG_SO_DU_AN'!$C$11=1, "█", IF('01_THONG_SO_DU_AN'!$C$11=2, $N17, $M17)), "")</f>
        <v/>
      </c>
      <c r="AG17" s="29">
        <f>IF(AND(AG$4&gt;=$J17, AG$4&lt;=$K17), IF('01_THONG_SO_DU_AN'!$C$11=1, "█", IF('01_THONG_SO_DU_AN'!$C$11=2, $N17, $M17)), "")</f>
        <v/>
      </c>
      <c r="AH17" s="29">
        <f>IF(AND(AH$4&gt;=$J17, AH$4&lt;=$K17), IF('01_THONG_SO_DU_AN'!$C$11=1, "█", IF('01_THONG_SO_DU_AN'!$C$11=2, $N17, $M17)), "")</f>
        <v/>
      </c>
      <c r="AI17" s="29">
        <f>IF(AND(AI$4&gt;=$J17, AI$4&lt;=$K17), IF('01_THONG_SO_DU_AN'!$C$11=1, "█", IF('01_THONG_SO_DU_AN'!$C$11=2, $N17, $M17)), "")</f>
        <v/>
      </c>
      <c r="AJ17" s="29">
        <f>IF(AND(AJ$4&gt;=$J17, AJ$4&lt;=$K17), IF('01_THONG_SO_DU_AN'!$C$11=1, "█", IF('01_THONG_SO_DU_AN'!$C$11=2, $N17, $M17)), "")</f>
        <v/>
      </c>
      <c r="AK17" s="29">
        <f>IF(AND(AK$4&gt;=$J17, AK$4&lt;=$K17), IF('01_THONG_SO_DU_AN'!$C$11=1, "█", IF('01_THONG_SO_DU_AN'!$C$11=2, $N17, $M17)), "")</f>
        <v/>
      </c>
      <c r="AL17" s="29">
        <f>IF(AND(AL$4&gt;=$J17, AL$4&lt;=$K17), IF('01_THONG_SO_DU_AN'!$C$11=1, "█", IF('01_THONG_SO_DU_AN'!$C$11=2, $N17, $M17)), "")</f>
        <v/>
      </c>
      <c r="AM17" s="29">
        <f>IF(AND(AM$4&gt;=$J17, AM$4&lt;=$K17), IF('01_THONG_SO_DU_AN'!$C$11=1, "█", IF('01_THONG_SO_DU_AN'!$C$11=2, $N17, $M17)), "")</f>
        <v/>
      </c>
      <c r="AN17" s="29">
        <f>IF(AND(AN$4&gt;=$J17, AN$4&lt;=$K17), IF('01_THONG_SO_DU_AN'!$C$11=1, "█", IF('01_THONG_SO_DU_AN'!$C$11=2, $N17, $M17)), "")</f>
        <v/>
      </c>
      <c r="AO17" s="29">
        <f>IF(AND(AO$4&gt;=$J17, AO$4&lt;=$K17), IF('01_THONG_SO_DU_AN'!$C$11=1, "█", IF('01_THONG_SO_DU_AN'!$C$11=2, $N17, $M17)), "")</f>
        <v/>
      </c>
      <c r="AP17" s="29">
        <f>IF(AND(AP$4&gt;=$J17, AP$4&lt;=$K17), IF('01_THONG_SO_DU_AN'!$C$11=1, "█", IF('01_THONG_SO_DU_AN'!$C$11=2, $N17, $M17)), "")</f>
        <v/>
      </c>
      <c r="AQ17" s="29">
        <f>IF(AND(AQ$4&gt;=$J17, AQ$4&lt;=$K17), IF('01_THONG_SO_DU_AN'!$C$11=1, "█", IF('01_THONG_SO_DU_AN'!$C$11=2, $N17, $M17)), "")</f>
        <v/>
      </c>
      <c r="AR17" s="29">
        <f>IF(AND(AR$4&gt;=$J17, AR$4&lt;=$K17), IF('01_THONG_SO_DU_AN'!$C$11=1, "█", IF('01_THONG_SO_DU_AN'!$C$11=2, $N17, $M17)), "")</f>
        <v/>
      </c>
      <c r="AS17" s="29">
        <f>IF(AND(AS$4&gt;=$J17, AS$4&lt;=$K17), IF('01_THONG_SO_DU_AN'!$C$11=1, "█", IF('01_THONG_SO_DU_AN'!$C$11=2, $N17, $M17)), "")</f>
        <v/>
      </c>
      <c r="AT17" s="29">
        <f>IF(AND(AT$4&gt;=$J17, AT$4&lt;=$K17), IF('01_THONG_SO_DU_AN'!$C$11=1, "█", IF('01_THONG_SO_DU_AN'!$C$11=2, $N17, $M17)), "")</f>
        <v/>
      </c>
      <c r="AU17" s="29">
        <f>IF(AND(AU$4&gt;=$J17, AU$4&lt;=$K17), IF('01_THONG_SO_DU_AN'!$C$11=1, "█", IF('01_THONG_SO_DU_AN'!$C$11=2, $N17, $M17)), "")</f>
        <v/>
      </c>
      <c r="AV17" s="29">
        <f>IF(AND(AV$4&gt;=$J17, AV$4&lt;=$K17), IF('01_THONG_SO_DU_AN'!$C$11=1, "█", IF('01_THONG_SO_DU_AN'!$C$11=2, $N17, $M17)), "")</f>
        <v/>
      </c>
      <c r="AW17" s="29">
        <f>IF(AND(AW$4&gt;=$J17, AW$4&lt;=$K17), IF('01_THONG_SO_DU_AN'!$C$11=1, "█", IF('01_THONG_SO_DU_AN'!$C$11=2, $N17, $M17)), "")</f>
        <v/>
      </c>
      <c r="AX17" s="29">
        <f>IF(AND(AX$4&gt;=$J17, AX$4&lt;=$K17), IF('01_THONG_SO_DU_AN'!$C$11=1, "█", IF('01_THONG_SO_DU_AN'!$C$11=2, $N17, $M17)), "")</f>
        <v/>
      </c>
      <c r="AY17" s="29">
        <f>IF(AND(AY$4&gt;=$J17, AY$4&lt;=$K17), IF('01_THONG_SO_DU_AN'!$C$11=1, "█", IF('01_THONG_SO_DU_AN'!$C$11=2, $N17, $M17)), "")</f>
        <v/>
      </c>
      <c r="AZ17" s="29">
        <f>IF(AND(AZ$4&gt;=$J17, AZ$4&lt;=$K17), IF('01_THONG_SO_DU_AN'!$C$11=1, "█", IF('01_THONG_SO_DU_AN'!$C$11=2, $N17, $M17)), "")</f>
        <v/>
      </c>
      <c r="BA17" s="29">
        <f>IF(AND(BA$4&gt;=$J17, BA$4&lt;=$K17), IF('01_THONG_SO_DU_AN'!$C$11=1, "█", IF('01_THONG_SO_DU_AN'!$C$11=2, $N17, $M17)), "")</f>
        <v/>
      </c>
      <c r="BB17" s="29">
        <f>IF(AND(BB$4&gt;=$J17, BB$4&lt;=$K17), IF('01_THONG_SO_DU_AN'!$C$11=1, "█", IF('01_THONG_SO_DU_AN'!$C$11=2, $N17, $M17)), "")</f>
        <v/>
      </c>
      <c r="BC17" s="29">
        <f>IF(AND(BC$4&gt;=$J17, BC$4&lt;=$K17), IF('01_THONG_SO_DU_AN'!$C$11=1, "█", IF('01_THONG_SO_DU_AN'!$C$11=2, $N17, $M17)), "")</f>
        <v/>
      </c>
      <c r="BD17" s="29">
        <f>IF(AND(BD$4&gt;=$J17, BD$4&lt;=$K17), IF('01_THONG_SO_DU_AN'!$C$11=1, "█", IF('01_THONG_SO_DU_AN'!$C$11=2, $N17, $M17)), "")</f>
        <v/>
      </c>
      <c r="BE17" s="29">
        <f>IF(AND(BE$4&gt;=$J17, BE$4&lt;=$K17), IF('01_THONG_SO_DU_AN'!$C$11=1, "█", IF('01_THONG_SO_DU_AN'!$C$11=2, $N17, $M17)), "")</f>
        <v/>
      </c>
      <c r="BF17" s="29">
        <f>IF(AND(BF$4&gt;=$J17, BF$4&lt;=$K17), IF('01_THONG_SO_DU_AN'!$C$11=1, "█", IF('01_THONG_SO_DU_AN'!$C$11=2, $N17, $M17)), "")</f>
        <v/>
      </c>
      <c r="BG17" s="29">
        <f>IF(AND(BG$4&gt;=$J17, BG$4&lt;=$K17), IF('01_THONG_SO_DU_AN'!$C$11=1, "█", IF('01_THONG_SO_DU_AN'!$C$11=2, $N17, $M17)), "")</f>
        <v/>
      </c>
      <c r="BH17" s="29">
        <f>IF(AND(BH$4&gt;=$J17, BH$4&lt;=$K17), IF('01_THONG_SO_DU_AN'!$C$11=1, "█", IF('01_THONG_SO_DU_AN'!$C$11=2, $N17, $M17)), "")</f>
        <v/>
      </c>
      <c r="BI17" s="29">
        <f>IF(AND(BI$4&gt;=$J17, BI$4&lt;=$K17), IF('01_THONG_SO_DU_AN'!$C$11=1, "█", IF('01_THONG_SO_DU_AN'!$C$11=2, $N17, $M17)), "")</f>
        <v/>
      </c>
      <c r="BJ17" s="29">
        <f>IF(AND(BJ$4&gt;=$J17, BJ$4&lt;=$K17), IF('01_THONG_SO_DU_AN'!$C$11=1, "█", IF('01_THONG_SO_DU_AN'!$C$11=2, $N17, $M17)), "")</f>
        <v/>
      </c>
      <c r="BK17" s="29">
        <f>IF(AND(BK$4&gt;=$J17, BK$4&lt;=$K17), IF('01_THONG_SO_DU_AN'!$C$11=1, "█", IF('01_THONG_SO_DU_AN'!$C$11=2, $N17, $M17)), "")</f>
        <v/>
      </c>
      <c r="BL17" s="29">
        <f>IF(AND(BL$4&gt;=$J17, BL$4&lt;=$K17), IF('01_THONG_SO_DU_AN'!$C$11=1, "█", IF('01_THONG_SO_DU_AN'!$C$11=2, $N17, $M17)), "")</f>
        <v/>
      </c>
      <c r="BM17" s="29">
        <f>IF(AND(BM$4&gt;=$J17, BM$4&lt;=$K17), IF('01_THONG_SO_DU_AN'!$C$11=1, "█", IF('01_THONG_SO_DU_AN'!$C$11=2, $N17, $M17)), "")</f>
        <v/>
      </c>
      <c r="BN17" s="29">
        <f>IF(AND(BN$4&gt;=$J17, BN$4&lt;=$K17), IF('01_THONG_SO_DU_AN'!$C$11=1, "█", IF('01_THONG_SO_DU_AN'!$C$11=2, $N17, $M17)), "")</f>
        <v/>
      </c>
      <c r="BO17" s="29">
        <f>IF(AND(BO$4&gt;=$J17, BO$4&lt;=$K17), IF('01_THONG_SO_DU_AN'!$C$11=1, "█", IF('01_THONG_SO_DU_AN'!$C$11=2, $N17, $M17)), "")</f>
        <v/>
      </c>
      <c r="BP17" s="29">
        <f>IF(AND(BP$4&gt;=$J17, BP$4&lt;=$K17), IF('01_THONG_SO_DU_AN'!$C$11=1, "█", IF('01_THONG_SO_DU_AN'!$C$11=2, $N17, $M17)), "")</f>
        <v/>
      </c>
      <c r="BQ17" s="29">
        <f>IF(AND(BQ$4&gt;=$J17, BQ$4&lt;=$K17), IF('01_THONG_SO_DU_AN'!$C$11=1, "█", IF('01_THONG_SO_DU_AN'!$C$11=2, $N17, $M17)), "")</f>
        <v/>
      </c>
      <c r="BR17" s="29">
        <f>IF(AND(BR$4&gt;=$J17, BR$4&lt;=$K17), IF('01_THONG_SO_DU_AN'!$C$11=1, "█", IF('01_THONG_SO_DU_AN'!$C$11=2, $N17, $M17)), "")</f>
        <v/>
      </c>
      <c r="BS17" s="29">
        <f>IF(AND(BS$4&gt;=$J17, BS$4&lt;=$K17), IF('01_THONG_SO_DU_AN'!$C$11=1, "█", IF('01_THONG_SO_DU_AN'!$C$11=2, $N17, $M17)), "")</f>
        <v/>
      </c>
      <c r="BT17" s="29">
        <f>IF(AND(BT$4&gt;=$J17, BT$4&lt;=$K17), IF('01_THONG_SO_DU_AN'!$C$11=1, "█", IF('01_THONG_SO_DU_AN'!$C$11=2, $N17, $M17)), "")</f>
        <v/>
      </c>
      <c r="BU17" s="29">
        <f>IF(AND(BU$4&gt;=$J17, BU$4&lt;=$K17), IF('01_THONG_SO_DU_AN'!$C$11=1, "█", IF('01_THONG_SO_DU_AN'!$C$11=2, $N17, $M17)), "")</f>
        <v/>
      </c>
      <c r="BV17" s="29">
        <f>IF(AND(BV$4&gt;=$J17, BV$4&lt;=$K17), IF('01_THONG_SO_DU_AN'!$C$11=1, "█", IF('01_THONG_SO_DU_AN'!$C$11=2, $N17, $M17)), "")</f>
        <v/>
      </c>
      <c r="BW17" s="29">
        <f>IF(AND(BW$4&gt;=$J17, BW$4&lt;=$K17), IF('01_THONG_SO_DU_AN'!$C$11=1, "█", IF('01_THONG_SO_DU_AN'!$C$11=2, $N17, $M17)), "")</f>
        <v/>
      </c>
      <c r="BX17" s="29">
        <f>IF(AND(BX$4&gt;=$J17, BX$4&lt;=$K17), IF('01_THONG_SO_DU_AN'!$C$11=1, "█", IF('01_THONG_SO_DU_AN'!$C$11=2, $N17, $M17)), "")</f>
        <v/>
      </c>
      <c r="BY17" s="29">
        <f>IF(AND(BY$4&gt;=$J17, BY$4&lt;=$K17), IF('01_THONG_SO_DU_AN'!$C$11=1, "█", IF('01_THONG_SO_DU_AN'!$C$11=2, $N17, $M17)), "")</f>
        <v/>
      </c>
      <c r="BZ17" s="29">
        <f>IF(AND(BZ$4&gt;=$J17, BZ$4&lt;=$K17), IF('01_THONG_SO_DU_AN'!$C$11=1, "█", IF('01_THONG_SO_DU_AN'!$C$11=2, $N17, $M17)), "")</f>
        <v/>
      </c>
      <c r="CA17" s="29">
        <f>IF(AND(CA$4&gt;=$J17, CA$4&lt;=$K17), IF('01_THONG_SO_DU_AN'!$C$11=1, "█", IF('01_THONG_SO_DU_AN'!$C$11=2, $N17, $M17)), "")</f>
        <v/>
      </c>
      <c r="CB17" s="29">
        <f>IF(AND(CB$4&gt;=$J17, CB$4&lt;=$K17), IF('01_THONG_SO_DU_AN'!$C$11=1, "█", IF('01_THONG_SO_DU_AN'!$C$11=2, $N17, $M17)), "")</f>
        <v/>
      </c>
      <c r="CC17" s="29">
        <f>IF(AND(CC$4&gt;=$J17, CC$4&lt;=$K17), IF('01_THONG_SO_DU_AN'!$C$11=1, "█", IF('01_THONG_SO_DU_AN'!$C$11=2, $N17, $M17)), "")</f>
        <v/>
      </c>
      <c r="CD17" s="29">
        <f>IF(AND(CD$4&gt;=$J17, CD$4&lt;=$K17), IF('01_THONG_SO_DU_AN'!$C$11=1, "█", IF('01_THONG_SO_DU_AN'!$C$11=2, $N17, $M17)), "")</f>
        <v/>
      </c>
      <c r="CE17" s="29">
        <f>IF(AND(CE$4&gt;=$J17, CE$4&lt;=$K17), IF('01_THONG_SO_DU_AN'!$C$11=1, "█", IF('01_THONG_SO_DU_AN'!$C$11=2, $N17, $M17)), "")</f>
        <v/>
      </c>
      <c r="CF17" s="29">
        <f>IF(AND(CF$4&gt;=$J17, CF$4&lt;=$K17), IF('01_THONG_SO_DU_AN'!$C$11=1, "█", IF('01_THONG_SO_DU_AN'!$C$11=2, $N17, $M17)), "")</f>
        <v/>
      </c>
      <c r="CG17" s="29">
        <f>IF(AND(CG$4&gt;=$J17, CG$4&lt;=$K17), IF('01_THONG_SO_DU_AN'!$C$11=1, "█", IF('01_THONG_SO_DU_AN'!$C$11=2, $N17, $M17)), "")</f>
        <v/>
      </c>
      <c r="CH17" s="29">
        <f>IF(AND(CH$4&gt;=$J17, CH$4&lt;=$K17), IF('01_THONG_SO_DU_AN'!$C$11=1, "█", IF('01_THONG_SO_DU_AN'!$C$11=2, $N17, $M17)), "")</f>
        <v/>
      </c>
      <c r="CI17" s="29">
        <f>IF(AND(CI$4&gt;=$J17, CI$4&lt;=$K17), IF('01_THONG_SO_DU_AN'!$C$11=1, "█", IF('01_THONG_SO_DU_AN'!$C$11=2, $N17, $M17)), "")</f>
        <v/>
      </c>
      <c r="CJ17" s="29">
        <f>IF(AND(CJ$4&gt;=$J17, CJ$4&lt;=$K17), IF('01_THONG_SO_DU_AN'!$C$11=1, "█", IF('01_THONG_SO_DU_AN'!$C$11=2, $N17, $M17)), "")</f>
        <v/>
      </c>
      <c r="CK17" s="29">
        <f>IF(AND(CK$4&gt;=$J17, CK$4&lt;=$K17), IF('01_THONG_SO_DU_AN'!$C$11=1, "█", IF('01_THONG_SO_DU_AN'!$C$11=2, $N17, $M17)), "")</f>
        <v/>
      </c>
      <c r="CL17" s="29">
        <f>IF(AND(CL$4&gt;=$J17, CL$4&lt;=$K17), IF('01_THONG_SO_DU_AN'!$C$11=1, "█", IF('01_THONG_SO_DU_AN'!$C$11=2, $N17, $M17)), "")</f>
        <v/>
      </c>
      <c r="CM17" s="29">
        <f>IF(AND(CM$4&gt;=$J17, CM$4&lt;=$K17), IF('01_THONG_SO_DU_AN'!$C$11=1, "█", IF('01_THONG_SO_DU_AN'!$C$11=2, $N17, $M17)), "")</f>
        <v/>
      </c>
      <c r="CN17" s="29">
        <f>IF(AND(CN$4&gt;=$J17, CN$4&lt;=$K17), IF('01_THONG_SO_DU_AN'!$C$11=1, "█", IF('01_THONG_SO_DU_AN'!$C$11=2, $N17, $M17)), "")</f>
        <v/>
      </c>
      <c r="CO17" s="29">
        <f>IF(AND(CO$4&gt;=$J17, CO$4&lt;=$K17), IF('01_THONG_SO_DU_AN'!$C$11=1, "█", IF('01_THONG_SO_DU_AN'!$C$11=2, $N17, $M17)), "")</f>
        <v/>
      </c>
      <c r="CP17" s="29">
        <f>IF(AND(CP$4&gt;=$J17, CP$4&lt;=$K17), IF('01_THONG_SO_DU_AN'!$C$11=1, "█", IF('01_THONG_SO_DU_AN'!$C$11=2, $N17, $M17)), "")</f>
        <v/>
      </c>
      <c r="CQ17" s="29">
        <f>IF(AND(CQ$4&gt;=$J17, CQ$4&lt;=$K17), IF('01_THONG_SO_DU_AN'!$C$11=1, "█", IF('01_THONG_SO_DU_AN'!$C$11=2, $N17, $M17)), "")</f>
        <v/>
      </c>
      <c r="CR17" s="29">
        <f>IF(AND(CR$4&gt;=$J17, CR$4&lt;=$K17), IF('01_THONG_SO_DU_AN'!$C$11=1, "█", IF('01_THONG_SO_DU_AN'!$C$11=2, $N17, $M17)), "")</f>
        <v/>
      </c>
      <c r="CS17" s="29">
        <f>IF(AND(CS$4&gt;=$J17, CS$4&lt;=$K17), IF('01_THONG_SO_DU_AN'!$C$11=1, "█", IF('01_THONG_SO_DU_AN'!$C$11=2, $N17, $M17)), "")</f>
        <v/>
      </c>
      <c r="CT17" s="29">
        <f>IF(AND(CT$4&gt;=$J17, CT$4&lt;=$K17), IF('01_THONG_SO_DU_AN'!$C$11=1, "█", IF('01_THONG_SO_DU_AN'!$C$11=2, $N17, $M17)), "")</f>
        <v/>
      </c>
      <c r="CU17" s="29">
        <f>IF(AND(CU$4&gt;=$J17, CU$4&lt;=$K17), IF('01_THONG_SO_DU_AN'!$C$11=1, "█", IF('01_THONG_SO_DU_AN'!$C$11=2, $N17, $M17)), "")</f>
        <v/>
      </c>
      <c r="CV17" s="29">
        <f>IF(AND(CV$4&gt;=$J17, CV$4&lt;=$K17), IF('01_THONG_SO_DU_AN'!$C$11=1, "█", IF('01_THONG_SO_DU_AN'!$C$11=2, $N17, $M17)), "")</f>
        <v/>
      </c>
      <c r="CW17" s="29">
        <f>IF(AND(CW$4&gt;=$J17, CW$4&lt;=$K17), IF('01_THONG_SO_DU_AN'!$C$11=1, "█", IF('01_THONG_SO_DU_AN'!$C$11=2, $N17, $M17)), "")</f>
        <v/>
      </c>
      <c r="CX17" s="29">
        <f>IF(AND(CX$4&gt;=$J17, CX$4&lt;=$K17), IF('01_THONG_SO_DU_AN'!$C$11=1, "█", IF('01_THONG_SO_DU_AN'!$C$11=2, $N17, $M17)), "")</f>
        <v/>
      </c>
      <c r="CY17" s="29">
        <f>IF(AND(CY$4&gt;=$J17, CY$4&lt;=$K17), IF('01_THONG_SO_DU_AN'!$C$11=1, "█", IF('01_THONG_SO_DU_AN'!$C$11=2, $N17, $M17)), "")</f>
        <v/>
      </c>
      <c r="CZ17" s="29">
        <f>IF(AND(CZ$4&gt;=$J17, CZ$4&lt;=$K17), IF('01_THONG_SO_DU_AN'!$C$11=1, "█", IF('01_THONG_SO_DU_AN'!$C$11=2, $N17, $M17)), "")</f>
        <v/>
      </c>
      <c r="DA17" s="29">
        <f>IF(AND(DA$4&gt;=$J17, DA$4&lt;=$K17), IF('01_THONG_SO_DU_AN'!$C$11=1, "█", IF('01_THONG_SO_DU_AN'!$C$11=2, $N17, $M17)), "")</f>
        <v/>
      </c>
      <c r="DB17" s="29">
        <f>IF(AND(DB$4&gt;=$J17, DB$4&lt;=$K17), IF('01_THONG_SO_DU_AN'!$C$11=1, "█", IF('01_THONG_SO_DU_AN'!$C$11=2, $N17, $M17)), "")</f>
        <v/>
      </c>
      <c r="DC17" s="29">
        <f>IF(AND(DC$4&gt;=$J17, DC$4&lt;=$K17), IF('01_THONG_SO_DU_AN'!$C$11=1, "█", IF('01_THONG_SO_DU_AN'!$C$11=2, $N17, $M17)), "")</f>
        <v/>
      </c>
      <c r="DD17" s="29">
        <f>IF(AND(DD$4&gt;=$J17, DD$4&lt;=$K17), IF('01_THONG_SO_DU_AN'!$C$11=1, "█", IF('01_THONG_SO_DU_AN'!$C$11=2, $N17, $M17)), "")</f>
        <v/>
      </c>
      <c r="DE17" s="29">
        <f>IF(AND(DE$4&gt;=$J17, DE$4&lt;=$K17), IF('01_THONG_SO_DU_AN'!$C$11=1, "█", IF('01_THONG_SO_DU_AN'!$C$11=2, $N17, $M17)), "")</f>
        <v/>
      </c>
      <c r="DF17" s="29">
        <f>IF(AND(DF$4&gt;=$J17, DF$4&lt;=$K17), IF('01_THONG_SO_DU_AN'!$C$11=1, "█", IF('01_THONG_SO_DU_AN'!$C$11=2, $N17, $M17)), "")</f>
        <v/>
      </c>
      <c r="DG17" s="29">
        <f>IF(AND(DG$4&gt;=$J17, DG$4&lt;=$K17), IF('01_THONG_SO_DU_AN'!$C$11=1, "█", IF('01_THONG_SO_DU_AN'!$C$11=2, $N17, $M17)), "")</f>
        <v/>
      </c>
    </row>
    <row r="18">
      <c r="A18" s="23" t="n">
        <v>13</v>
      </c>
      <c r="B18" s="23" t="inlineStr">
        <is>
          <t>1.12</t>
        </is>
      </c>
      <c r="C18" s="24" t="inlineStr">
        <is>
          <t>Thi công đắp đất vỉa hè &amp; dải phân cách</t>
        </is>
      </c>
      <c r="D18" s="23" t="inlineStr">
        <is>
          <t>m3</t>
        </is>
      </c>
      <c r="E18" s="25" t="n">
        <v>324612</v>
      </c>
      <c r="F18" s="23" t="inlineStr">
        <is>
          <t>M3</t>
        </is>
      </c>
      <c r="G18" s="25">
        <f>VLOOKUP(F18, '02_DINH_MUC_CA_MAY_VA_DAU'!$C$6:$I$16, 5, FALSE)</f>
        <v/>
      </c>
      <c r="H18" s="25">
        <f>E18/G18</f>
        <v/>
      </c>
      <c r="I18" s="26" t="n">
        <v>48</v>
      </c>
      <c r="J18" s="27">
        <f>J17+4</f>
        <v/>
      </c>
      <c r="K18" s="27">
        <f>J18+I18-1</f>
        <v/>
      </c>
      <c r="L18" s="23">
        <f>IF(K18='01_THONG_SO_DU_AN'!$C$7, "CRITICAL (GĂNG)", "")</f>
        <v/>
      </c>
      <c r="M18" s="28">
        <f>ROUNDUP(H18/(I18*'01_THONG_SO_DU_AN'!$C$10), 0)</f>
        <v/>
      </c>
      <c r="N18" s="28">
        <f>M18*VLOOKUP(F18, '02_DINH_MUC_CA_MAY_VA_DAU'!$C$6:$I$16, 7, FALSE)</f>
        <v/>
      </c>
      <c r="O18" s="29">
        <f>IF(AND(O$4&gt;=$J18, O$4&lt;=$K18), IF('01_THONG_SO_DU_AN'!$C$11=1, "█", IF('01_THONG_SO_DU_AN'!$C$11=2, $N18, $M18)), "")</f>
        <v/>
      </c>
      <c r="P18" s="29">
        <f>IF(AND(P$4&gt;=$J18, P$4&lt;=$K18), IF('01_THONG_SO_DU_AN'!$C$11=1, "█", IF('01_THONG_SO_DU_AN'!$C$11=2, $N18, $M18)), "")</f>
        <v/>
      </c>
      <c r="Q18" s="29">
        <f>IF(AND(Q$4&gt;=$J18, Q$4&lt;=$K18), IF('01_THONG_SO_DU_AN'!$C$11=1, "█", IF('01_THONG_SO_DU_AN'!$C$11=2, $N18, $M18)), "")</f>
        <v/>
      </c>
      <c r="R18" s="29">
        <f>IF(AND(R$4&gt;=$J18, R$4&lt;=$K18), IF('01_THONG_SO_DU_AN'!$C$11=1, "█", IF('01_THONG_SO_DU_AN'!$C$11=2, $N18, $M18)), "")</f>
        <v/>
      </c>
      <c r="S18" s="29">
        <f>IF(AND(S$4&gt;=$J18, S$4&lt;=$K18), IF('01_THONG_SO_DU_AN'!$C$11=1, "█", IF('01_THONG_SO_DU_AN'!$C$11=2, $N18, $M18)), "")</f>
        <v/>
      </c>
      <c r="T18" s="29">
        <f>IF(AND(T$4&gt;=$J18, T$4&lt;=$K18), IF('01_THONG_SO_DU_AN'!$C$11=1, "█", IF('01_THONG_SO_DU_AN'!$C$11=2, $N18, $M18)), "")</f>
        <v/>
      </c>
      <c r="U18" s="29">
        <f>IF(AND(U$4&gt;=$J18, U$4&lt;=$K18), IF('01_THONG_SO_DU_AN'!$C$11=1, "█", IF('01_THONG_SO_DU_AN'!$C$11=2, $N18, $M18)), "")</f>
        <v/>
      </c>
      <c r="V18" s="29">
        <f>IF(AND(V$4&gt;=$J18, V$4&lt;=$K18), IF('01_THONG_SO_DU_AN'!$C$11=1, "█", IF('01_THONG_SO_DU_AN'!$C$11=2, $N18, $M18)), "")</f>
        <v/>
      </c>
      <c r="W18" s="29">
        <f>IF(AND(W$4&gt;=$J18, W$4&lt;=$K18), IF('01_THONG_SO_DU_AN'!$C$11=1, "█", IF('01_THONG_SO_DU_AN'!$C$11=2, $N18, $M18)), "")</f>
        <v/>
      </c>
      <c r="X18" s="29">
        <f>IF(AND(X$4&gt;=$J18, X$4&lt;=$K18), IF('01_THONG_SO_DU_AN'!$C$11=1, "█", IF('01_THONG_SO_DU_AN'!$C$11=2, $N18, $M18)), "")</f>
        <v/>
      </c>
      <c r="Y18" s="29">
        <f>IF(AND(Y$4&gt;=$J18, Y$4&lt;=$K18), IF('01_THONG_SO_DU_AN'!$C$11=1, "█", IF('01_THONG_SO_DU_AN'!$C$11=2, $N18, $M18)), "")</f>
        <v/>
      </c>
      <c r="Z18" s="29">
        <f>IF(AND(Z$4&gt;=$J18, Z$4&lt;=$K18), IF('01_THONG_SO_DU_AN'!$C$11=1, "█", IF('01_THONG_SO_DU_AN'!$C$11=2, $N18, $M18)), "")</f>
        <v/>
      </c>
      <c r="AA18" s="29">
        <f>IF(AND(AA$4&gt;=$J18, AA$4&lt;=$K18), IF('01_THONG_SO_DU_AN'!$C$11=1, "█", IF('01_THONG_SO_DU_AN'!$C$11=2, $N18, $M18)), "")</f>
        <v/>
      </c>
      <c r="AB18" s="29">
        <f>IF(AND(AB$4&gt;=$J18, AB$4&lt;=$K18), IF('01_THONG_SO_DU_AN'!$C$11=1, "█", IF('01_THONG_SO_DU_AN'!$C$11=2, $N18, $M18)), "")</f>
        <v/>
      </c>
      <c r="AC18" s="29">
        <f>IF(AND(AC$4&gt;=$J18, AC$4&lt;=$K18), IF('01_THONG_SO_DU_AN'!$C$11=1, "█", IF('01_THONG_SO_DU_AN'!$C$11=2, $N18, $M18)), "")</f>
        <v/>
      </c>
      <c r="AD18" s="29">
        <f>IF(AND(AD$4&gt;=$J18, AD$4&lt;=$K18), IF('01_THONG_SO_DU_AN'!$C$11=1, "█", IF('01_THONG_SO_DU_AN'!$C$11=2, $N18, $M18)), "")</f>
        <v/>
      </c>
      <c r="AE18" s="29">
        <f>IF(AND(AE$4&gt;=$J18, AE$4&lt;=$K18), IF('01_THONG_SO_DU_AN'!$C$11=1, "█", IF('01_THONG_SO_DU_AN'!$C$11=2, $N18, $M18)), "")</f>
        <v/>
      </c>
      <c r="AF18" s="29">
        <f>IF(AND(AF$4&gt;=$J18, AF$4&lt;=$K18), IF('01_THONG_SO_DU_AN'!$C$11=1, "█", IF('01_THONG_SO_DU_AN'!$C$11=2, $N18, $M18)), "")</f>
        <v/>
      </c>
      <c r="AG18" s="29">
        <f>IF(AND(AG$4&gt;=$J18, AG$4&lt;=$K18), IF('01_THONG_SO_DU_AN'!$C$11=1, "█", IF('01_THONG_SO_DU_AN'!$C$11=2, $N18, $M18)), "")</f>
        <v/>
      </c>
      <c r="AH18" s="29">
        <f>IF(AND(AH$4&gt;=$J18, AH$4&lt;=$K18), IF('01_THONG_SO_DU_AN'!$C$11=1, "█", IF('01_THONG_SO_DU_AN'!$C$11=2, $N18, $M18)), "")</f>
        <v/>
      </c>
      <c r="AI18" s="29">
        <f>IF(AND(AI$4&gt;=$J18, AI$4&lt;=$K18), IF('01_THONG_SO_DU_AN'!$C$11=1, "█", IF('01_THONG_SO_DU_AN'!$C$11=2, $N18, $M18)), "")</f>
        <v/>
      </c>
      <c r="AJ18" s="29">
        <f>IF(AND(AJ$4&gt;=$J18, AJ$4&lt;=$K18), IF('01_THONG_SO_DU_AN'!$C$11=1, "█", IF('01_THONG_SO_DU_AN'!$C$11=2, $N18, $M18)), "")</f>
        <v/>
      </c>
      <c r="AK18" s="29">
        <f>IF(AND(AK$4&gt;=$J18, AK$4&lt;=$K18), IF('01_THONG_SO_DU_AN'!$C$11=1, "█", IF('01_THONG_SO_DU_AN'!$C$11=2, $N18, $M18)), "")</f>
        <v/>
      </c>
      <c r="AL18" s="29">
        <f>IF(AND(AL$4&gt;=$J18, AL$4&lt;=$K18), IF('01_THONG_SO_DU_AN'!$C$11=1, "█", IF('01_THONG_SO_DU_AN'!$C$11=2, $N18, $M18)), "")</f>
        <v/>
      </c>
      <c r="AM18" s="29">
        <f>IF(AND(AM$4&gt;=$J18, AM$4&lt;=$K18), IF('01_THONG_SO_DU_AN'!$C$11=1, "█", IF('01_THONG_SO_DU_AN'!$C$11=2, $N18, $M18)), "")</f>
        <v/>
      </c>
      <c r="AN18" s="29">
        <f>IF(AND(AN$4&gt;=$J18, AN$4&lt;=$K18), IF('01_THONG_SO_DU_AN'!$C$11=1, "█", IF('01_THONG_SO_DU_AN'!$C$11=2, $N18, $M18)), "")</f>
        <v/>
      </c>
      <c r="AO18" s="29">
        <f>IF(AND(AO$4&gt;=$J18, AO$4&lt;=$K18), IF('01_THONG_SO_DU_AN'!$C$11=1, "█", IF('01_THONG_SO_DU_AN'!$C$11=2, $N18, $M18)), "")</f>
        <v/>
      </c>
      <c r="AP18" s="29">
        <f>IF(AND(AP$4&gt;=$J18, AP$4&lt;=$K18), IF('01_THONG_SO_DU_AN'!$C$11=1, "█", IF('01_THONG_SO_DU_AN'!$C$11=2, $N18, $M18)), "")</f>
        <v/>
      </c>
      <c r="AQ18" s="29">
        <f>IF(AND(AQ$4&gt;=$J18, AQ$4&lt;=$K18), IF('01_THONG_SO_DU_AN'!$C$11=1, "█", IF('01_THONG_SO_DU_AN'!$C$11=2, $N18, $M18)), "")</f>
        <v/>
      </c>
      <c r="AR18" s="29">
        <f>IF(AND(AR$4&gt;=$J18, AR$4&lt;=$K18), IF('01_THONG_SO_DU_AN'!$C$11=1, "█", IF('01_THONG_SO_DU_AN'!$C$11=2, $N18, $M18)), "")</f>
        <v/>
      </c>
      <c r="AS18" s="29">
        <f>IF(AND(AS$4&gt;=$J18, AS$4&lt;=$K18), IF('01_THONG_SO_DU_AN'!$C$11=1, "█", IF('01_THONG_SO_DU_AN'!$C$11=2, $N18, $M18)), "")</f>
        <v/>
      </c>
      <c r="AT18" s="29">
        <f>IF(AND(AT$4&gt;=$J18, AT$4&lt;=$K18), IF('01_THONG_SO_DU_AN'!$C$11=1, "█", IF('01_THONG_SO_DU_AN'!$C$11=2, $N18, $M18)), "")</f>
        <v/>
      </c>
      <c r="AU18" s="29">
        <f>IF(AND(AU$4&gt;=$J18, AU$4&lt;=$K18), IF('01_THONG_SO_DU_AN'!$C$11=1, "█", IF('01_THONG_SO_DU_AN'!$C$11=2, $N18, $M18)), "")</f>
        <v/>
      </c>
      <c r="AV18" s="29">
        <f>IF(AND(AV$4&gt;=$J18, AV$4&lt;=$K18), IF('01_THONG_SO_DU_AN'!$C$11=1, "█", IF('01_THONG_SO_DU_AN'!$C$11=2, $N18, $M18)), "")</f>
        <v/>
      </c>
      <c r="AW18" s="29">
        <f>IF(AND(AW$4&gt;=$J18, AW$4&lt;=$K18), IF('01_THONG_SO_DU_AN'!$C$11=1, "█", IF('01_THONG_SO_DU_AN'!$C$11=2, $N18, $M18)), "")</f>
        <v/>
      </c>
      <c r="AX18" s="29">
        <f>IF(AND(AX$4&gt;=$J18, AX$4&lt;=$K18), IF('01_THONG_SO_DU_AN'!$C$11=1, "█", IF('01_THONG_SO_DU_AN'!$C$11=2, $N18, $M18)), "")</f>
        <v/>
      </c>
      <c r="AY18" s="29">
        <f>IF(AND(AY$4&gt;=$J18, AY$4&lt;=$K18), IF('01_THONG_SO_DU_AN'!$C$11=1, "█", IF('01_THONG_SO_DU_AN'!$C$11=2, $N18, $M18)), "")</f>
        <v/>
      </c>
      <c r="AZ18" s="29">
        <f>IF(AND(AZ$4&gt;=$J18, AZ$4&lt;=$K18), IF('01_THONG_SO_DU_AN'!$C$11=1, "█", IF('01_THONG_SO_DU_AN'!$C$11=2, $N18, $M18)), "")</f>
        <v/>
      </c>
      <c r="BA18" s="29">
        <f>IF(AND(BA$4&gt;=$J18, BA$4&lt;=$K18), IF('01_THONG_SO_DU_AN'!$C$11=1, "█", IF('01_THONG_SO_DU_AN'!$C$11=2, $N18, $M18)), "")</f>
        <v/>
      </c>
      <c r="BB18" s="29">
        <f>IF(AND(BB$4&gt;=$J18, BB$4&lt;=$K18), IF('01_THONG_SO_DU_AN'!$C$11=1, "█", IF('01_THONG_SO_DU_AN'!$C$11=2, $N18, $M18)), "")</f>
        <v/>
      </c>
      <c r="BC18" s="29">
        <f>IF(AND(BC$4&gt;=$J18, BC$4&lt;=$K18), IF('01_THONG_SO_DU_AN'!$C$11=1, "█", IF('01_THONG_SO_DU_AN'!$C$11=2, $N18, $M18)), "")</f>
        <v/>
      </c>
      <c r="BD18" s="29">
        <f>IF(AND(BD$4&gt;=$J18, BD$4&lt;=$K18), IF('01_THONG_SO_DU_AN'!$C$11=1, "█", IF('01_THONG_SO_DU_AN'!$C$11=2, $N18, $M18)), "")</f>
        <v/>
      </c>
      <c r="BE18" s="29">
        <f>IF(AND(BE$4&gt;=$J18, BE$4&lt;=$K18), IF('01_THONG_SO_DU_AN'!$C$11=1, "█", IF('01_THONG_SO_DU_AN'!$C$11=2, $N18, $M18)), "")</f>
        <v/>
      </c>
      <c r="BF18" s="29">
        <f>IF(AND(BF$4&gt;=$J18, BF$4&lt;=$K18), IF('01_THONG_SO_DU_AN'!$C$11=1, "█", IF('01_THONG_SO_DU_AN'!$C$11=2, $N18, $M18)), "")</f>
        <v/>
      </c>
      <c r="BG18" s="29">
        <f>IF(AND(BG$4&gt;=$J18, BG$4&lt;=$K18), IF('01_THONG_SO_DU_AN'!$C$11=1, "█", IF('01_THONG_SO_DU_AN'!$C$11=2, $N18, $M18)), "")</f>
        <v/>
      </c>
      <c r="BH18" s="29">
        <f>IF(AND(BH$4&gt;=$J18, BH$4&lt;=$K18), IF('01_THONG_SO_DU_AN'!$C$11=1, "█", IF('01_THONG_SO_DU_AN'!$C$11=2, $N18, $M18)), "")</f>
        <v/>
      </c>
      <c r="BI18" s="29">
        <f>IF(AND(BI$4&gt;=$J18, BI$4&lt;=$K18), IF('01_THONG_SO_DU_AN'!$C$11=1, "█", IF('01_THONG_SO_DU_AN'!$C$11=2, $N18, $M18)), "")</f>
        <v/>
      </c>
      <c r="BJ18" s="29">
        <f>IF(AND(BJ$4&gt;=$J18, BJ$4&lt;=$K18), IF('01_THONG_SO_DU_AN'!$C$11=1, "█", IF('01_THONG_SO_DU_AN'!$C$11=2, $N18, $M18)), "")</f>
        <v/>
      </c>
      <c r="BK18" s="29">
        <f>IF(AND(BK$4&gt;=$J18, BK$4&lt;=$K18), IF('01_THONG_SO_DU_AN'!$C$11=1, "█", IF('01_THONG_SO_DU_AN'!$C$11=2, $N18, $M18)), "")</f>
        <v/>
      </c>
      <c r="BL18" s="29">
        <f>IF(AND(BL$4&gt;=$J18, BL$4&lt;=$K18), IF('01_THONG_SO_DU_AN'!$C$11=1, "█", IF('01_THONG_SO_DU_AN'!$C$11=2, $N18, $M18)), "")</f>
        <v/>
      </c>
      <c r="BM18" s="29">
        <f>IF(AND(BM$4&gt;=$J18, BM$4&lt;=$K18), IF('01_THONG_SO_DU_AN'!$C$11=1, "█", IF('01_THONG_SO_DU_AN'!$C$11=2, $N18, $M18)), "")</f>
        <v/>
      </c>
      <c r="BN18" s="29">
        <f>IF(AND(BN$4&gt;=$J18, BN$4&lt;=$K18), IF('01_THONG_SO_DU_AN'!$C$11=1, "█", IF('01_THONG_SO_DU_AN'!$C$11=2, $N18, $M18)), "")</f>
        <v/>
      </c>
      <c r="BO18" s="29">
        <f>IF(AND(BO$4&gt;=$J18, BO$4&lt;=$K18), IF('01_THONG_SO_DU_AN'!$C$11=1, "█", IF('01_THONG_SO_DU_AN'!$C$11=2, $N18, $M18)), "")</f>
        <v/>
      </c>
      <c r="BP18" s="29">
        <f>IF(AND(BP$4&gt;=$J18, BP$4&lt;=$K18), IF('01_THONG_SO_DU_AN'!$C$11=1, "█", IF('01_THONG_SO_DU_AN'!$C$11=2, $N18, $M18)), "")</f>
        <v/>
      </c>
      <c r="BQ18" s="29">
        <f>IF(AND(BQ$4&gt;=$J18, BQ$4&lt;=$K18), IF('01_THONG_SO_DU_AN'!$C$11=1, "█", IF('01_THONG_SO_DU_AN'!$C$11=2, $N18, $M18)), "")</f>
        <v/>
      </c>
      <c r="BR18" s="29">
        <f>IF(AND(BR$4&gt;=$J18, BR$4&lt;=$K18), IF('01_THONG_SO_DU_AN'!$C$11=1, "█", IF('01_THONG_SO_DU_AN'!$C$11=2, $N18, $M18)), "")</f>
        <v/>
      </c>
      <c r="BS18" s="29">
        <f>IF(AND(BS$4&gt;=$J18, BS$4&lt;=$K18), IF('01_THONG_SO_DU_AN'!$C$11=1, "█", IF('01_THONG_SO_DU_AN'!$C$11=2, $N18, $M18)), "")</f>
        <v/>
      </c>
      <c r="BT18" s="29">
        <f>IF(AND(BT$4&gt;=$J18, BT$4&lt;=$K18), IF('01_THONG_SO_DU_AN'!$C$11=1, "█", IF('01_THONG_SO_DU_AN'!$C$11=2, $N18, $M18)), "")</f>
        <v/>
      </c>
      <c r="BU18" s="29">
        <f>IF(AND(BU$4&gt;=$J18, BU$4&lt;=$K18), IF('01_THONG_SO_DU_AN'!$C$11=1, "█", IF('01_THONG_SO_DU_AN'!$C$11=2, $N18, $M18)), "")</f>
        <v/>
      </c>
      <c r="BV18" s="29">
        <f>IF(AND(BV$4&gt;=$J18, BV$4&lt;=$K18), IF('01_THONG_SO_DU_AN'!$C$11=1, "█", IF('01_THONG_SO_DU_AN'!$C$11=2, $N18, $M18)), "")</f>
        <v/>
      </c>
      <c r="BW18" s="29">
        <f>IF(AND(BW$4&gt;=$J18, BW$4&lt;=$K18), IF('01_THONG_SO_DU_AN'!$C$11=1, "█", IF('01_THONG_SO_DU_AN'!$C$11=2, $N18, $M18)), "")</f>
        <v/>
      </c>
      <c r="BX18" s="29">
        <f>IF(AND(BX$4&gt;=$J18, BX$4&lt;=$K18), IF('01_THONG_SO_DU_AN'!$C$11=1, "█", IF('01_THONG_SO_DU_AN'!$C$11=2, $N18, $M18)), "")</f>
        <v/>
      </c>
      <c r="BY18" s="29">
        <f>IF(AND(BY$4&gt;=$J18, BY$4&lt;=$K18), IF('01_THONG_SO_DU_AN'!$C$11=1, "█", IF('01_THONG_SO_DU_AN'!$C$11=2, $N18, $M18)), "")</f>
        <v/>
      </c>
      <c r="BZ18" s="29">
        <f>IF(AND(BZ$4&gt;=$J18, BZ$4&lt;=$K18), IF('01_THONG_SO_DU_AN'!$C$11=1, "█", IF('01_THONG_SO_DU_AN'!$C$11=2, $N18, $M18)), "")</f>
        <v/>
      </c>
      <c r="CA18" s="29">
        <f>IF(AND(CA$4&gt;=$J18, CA$4&lt;=$K18), IF('01_THONG_SO_DU_AN'!$C$11=1, "█", IF('01_THONG_SO_DU_AN'!$C$11=2, $N18, $M18)), "")</f>
        <v/>
      </c>
      <c r="CB18" s="29">
        <f>IF(AND(CB$4&gt;=$J18, CB$4&lt;=$K18), IF('01_THONG_SO_DU_AN'!$C$11=1, "█", IF('01_THONG_SO_DU_AN'!$C$11=2, $N18, $M18)), "")</f>
        <v/>
      </c>
      <c r="CC18" s="29">
        <f>IF(AND(CC$4&gt;=$J18, CC$4&lt;=$K18), IF('01_THONG_SO_DU_AN'!$C$11=1, "█", IF('01_THONG_SO_DU_AN'!$C$11=2, $N18, $M18)), "")</f>
        <v/>
      </c>
      <c r="CD18" s="29">
        <f>IF(AND(CD$4&gt;=$J18, CD$4&lt;=$K18), IF('01_THONG_SO_DU_AN'!$C$11=1, "█", IF('01_THONG_SO_DU_AN'!$C$11=2, $N18, $M18)), "")</f>
        <v/>
      </c>
      <c r="CE18" s="29">
        <f>IF(AND(CE$4&gt;=$J18, CE$4&lt;=$K18), IF('01_THONG_SO_DU_AN'!$C$11=1, "█", IF('01_THONG_SO_DU_AN'!$C$11=2, $N18, $M18)), "")</f>
        <v/>
      </c>
      <c r="CF18" s="29">
        <f>IF(AND(CF$4&gt;=$J18, CF$4&lt;=$K18), IF('01_THONG_SO_DU_AN'!$C$11=1, "█", IF('01_THONG_SO_DU_AN'!$C$11=2, $N18, $M18)), "")</f>
        <v/>
      </c>
      <c r="CG18" s="29">
        <f>IF(AND(CG$4&gt;=$J18, CG$4&lt;=$K18), IF('01_THONG_SO_DU_AN'!$C$11=1, "█", IF('01_THONG_SO_DU_AN'!$C$11=2, $N18, $M18)), "")</f>
        <v/>
      </c>
      <c r="CH18" s="29">
        <f>IF(AND(CH$4&gt;=$J18, CH$4&lt;=$K18), IF('01_THONG_SO_DU_AN'!$C$11=1, "█", IF('01_THONG_SO_DU_AN'!$C$11=2, $N18, $M18)), "")</f>
        <v/>
      </c>
      <c r="CI18" s="29">
        <f>IF(AND(CI$4&gt;=$J18, CI$4&lt;=$K18), IF('01_THONG_SO_DU_AN'!$C$11=1, "█", IF('01_THONG_SO_DU_AN'!$C$11=2, $N18, $M18)), "")</f>
        <v/>
      </c>
      <c r="CJ18" s="29">
        <f>IF(AND(CJ$4&gt;=$J18, CJ$4&lt;=$K18), IF('01_THONG_SO_DU_AN'!$C$11=1, "█", IF('01_THONG_SO_DU_AN'!$C$11=2, $N18, $M18)), "")</f>
        <v/>
      </c>
      <c r="CK18" s="29">
        <f>IF(AND(CK$4&gt;=$J18, CK$4&lt;=$K18), IF('01_THONG_SO_DU_AN'!$C$11=1, "█", IF('01_THONG_SO_DU_AN'!$C$11=2, $N18, $M18)), "")</f>
        <v/>
      </c>
      <c r="CL18" s="29">
        <f>IF(AND(CL$4&gt;=$J18, CL$4&lt;=$K18), IF('01_THONG_SO_DU_AN'!$C$11=1, "█", IF('01_THONG_SO_DU_AN'!$C$11=2, $N18, $M18)), "")</f>
        <v/>
      </c>
      <c r="CM18" s="29">
        <f>IF(AND(CM$4&gt;=$J18, CM$4&lt;=$K18), IF('01_THONG_SO_DU_AN'!$C$11=1, "█", IF('01_THONG_SO_DU_AN'!$C$11=2, $N18, $M18)), "")</f>
        <v/>
      </c>
      <c r="CN18" s="29">
        <f>IF(AND(CN$4&gt;=$J18, CN$4&lt;=$K18), IF('01_THONG_SO_DU_AN'!$C$11=1, "█", IF('01_THONG_SO_DU_AN'!$C$11=2, $N18, $M18)), "")</f>
        <v/>
      </c>
      <c r="CO18" s="29">
        <f>IF(AND(CO$4&gt;=$J18, CO$4&lt;=$K18), IF('01_THONG_SO_DU_AN'!$C$11=1, "█", IF('01_THONG_SO_DU_AN'!$C$11=2, $N18, $M18)), "")</f>
        <v/>
      </c>
      <c r="CP18" s="29">
        <f>IF(AND(CP$4&gt;=$J18, CP$4&lt;=$K18), IF('01_THONG_SO_DU_AN'!$C$11=1, "█", IF('01_THONG_SO_DU_AN'!$C$11=2, $N18, $M18)), "")</f>
        <v/>
      </c>
      <c r="CQ18" s="29">
        <f>IF(AND(CQ$4&gt;=$J18, CQ$4&lt;=$K18), IF('01_THONG_SO_DU_AN'!$C$11=1, "█", IF('01_THONG_SO_DU_AN'!$C$11=2, $N18, $M18)), "")</f>
        <v/>
      </c>
      <c r="CR18" s="29">
        <f>IF(AND(CR$4&gt;=$J18, CR$4&lt;=$K18), IF('01_THONG_SO_DU_AN'!$C$11=1, "█", IF('01_THONG_SO_DU_AN'!$C$11=2, $N18, $M18)), "")</f>
        <v/>
      </c>
      <c r="CS18" s="29">
        <f>IF(AND(CS$4&gt;=$J18, CS$4&lt;=$K18), IF('01_THONG_SO_DU_AN'!$C$11=1, "█", IF('01_THONG_SO_DU_AN'!$C$11=2, $N18, $M18)), "")</f>
        <v/>
      </c>
      <c r="CT18" s="29">
        <f>IF(AND(CT$4&gt;=$J18, CT$4&lt;=$K18), IF('01_THONG_SO_DU_AN'!$C$11=1, "█", IF('01_THONG_SO_DU_AN'!$C$11=2, $N18, $M18)), "")</f>
        <v/>
      </c>
      <c r="CU18" s="29">
        <f>IF(AND(CU$4&gt;=$J18, CU$4&lt;=$K18), IF('01_THONG_SO_DU_AN'!$C$11=1, "█", IF('01_THONG_SO_DU_AN'!$C$11=2, $N18, $M18)), "")</f>
        <v/>
      </c>
      <c r="CV18" s="29">
        <f>IF(AND(CV$4&gt;=$J18, CV$4&lt;=$K18), IF('01_THONG_SO_DU_AN'!$C$11=1, "█", IF('01_THONG_SO_DU_AN'!$C$11=2, $N18, $M18)), "")</f>
        <v/>
      </c>
      <c r="CW18" s="29">
        <f>IF(AND(CW$4&gt;=$J18, CW$4&lt;=$K18), IF('01_THONG_SO_DU_AN'!$C$11=1, "█", IF('01_THONG_SO_DU_AN'!$C$11=2, $N18, $M18)), "")</f>
        <v/>
      </c>
      <c r="CX18" s="29">
        <f>IF(AND(CX$4&gt;=$J18, CX$4&lt;=$K18), IF('01_THONG_SO_DU_AN'!$C$11=1, "█", IF('01_THONG_SO_DU_AN'!$C$11=2, $N18, $M18)), "")</f>
        <v/>
      </c>
      <c r="CY18" s="29">
        <f>IF(AND(CY$4&gt;=$J18, CY$4&lt;=$K18), IF('01_THONG_SO_DU_AN'!$C$11=1, "█", IF('01_THONG_SO_DU_AN'!$C$11=2, $N18, $M18)), "")</f>
        <v/>
      </c>
      <c r="CZ18" s="29">
        <f>IF(AND(CZ$4&gt;=$J18, CZ$4&lt;=$K18), IF('01_THONG_SO_DU_AN'!$C$11=1, "█", IF('01_THONG_SO_DU_AN'!$C$11=2, $N18, $M18)), "")</f>
        <v/>
      </c>
      <c r="DA18" s="29">
        <f>IF(AND(DA$4&gt;=$J18, DA$4&lt;=$K18), IF('01_THONG_SO_DU_AN'!$C$11=1, "█", IF('01_THONG_SO_DU_AN'!$C$11=2, $N18, $M18)), "")</f>
        <v/>
      </c>
      <c r="DB18" s="29">
        <f>IF(AND(DB$4&gt;=$J18, DB$4&lt;=$K18), IF('01_THONG_SO_DU_AN'!$C$11=1, "█", IF('01_THONG_SO_DU_AN'!$C$11=2, $N18, $M18)), "")</f>
        <v/>
      </c>
      <c r="DC18" s="29">
        <f>IF(AND(DC$4&gt;=$J18, DC$4&lt;=$K18), IF('01_THONG_SO_DU_AN'!$C$11=1, "█", IF('01_THONG_SO_DU_AN'!$C$11=2, $N18, $M18)), "")</f>
        <v/>
      </c>
      <c r="DD18" s="29">
        <f>IF(AND(DD$4&gt;=$J18, DD$4&lt;=$K18), IF('01_THONG_SO_DU_AN'!$C$11=1, "█", IF('01_THONG_SO_DU_AN'!$C$11=2, $N18, $M18)), "")</f>
        <v/>
      </c>
      <c r="DE18" s="29">
        <f>IF(AND(DE$4&gt;=$J18, DE$4&lt;=$K18), IF('01_THONG_SO_DU_AN'!$C$11=1, "█", IF('01_THONG_SO_DU_AN'!$C$11=2, $N18, $M18)), "")</f>
        <v/>
      </c>
      <c r="DF18" s="29">
        <f>IF(AND(DF$4&gt;=$J18, DF$4&lt;=$K18), IF('01_THONG_SO_DU_AN'!$C$11=1, "█", IF('01_THONG_SO_DU_AN'!$C$11=2, $N18, $M18)), "")</f>
        <v/>
      </c>
      <c r="DG18" s="29">
        <f>IF(AND(DG$4&gt;=$J18, DG$4&lt;=$K18), IF('01_THONG_SO_DU_AN'!$C$11=1, "█", IF('01_THONG_SO_DU_AN'!$C$11=2, $N18, $M18)), "")</f>
        <v/>
      </c>
    </row>
    <row r="19">
      <c r="A19" s="23" t="n">
        <v>14</v>
      </c>
      <c r="B19" s="23" t="inlineStr">
        <is>
          <t>2.0</t>
        </is>
      </c>
      <c r="C19" s="24" t="inlineStr">
        <is>
          <t>San lấp mặt bằng tổng thể cụm B9</t>
        </is>
      </c>
      <c r="D19" s="23" t="inlineStr">
        <is>
          <t>m3</t>
        </is>
      </c>
      <c r="E19" s="25" t="n">
        <v>1774000</v>
      </c>
      <c r="F19" s="23" t="inlineStr">
        <is>
          <t>M4</t>
        </is>
      </c>
      <c r="G19" s="25">
        <f>VLOOKUP(F19, '02_DINH_MUC_CA_MAY_VA_DAU'!$C$6:$I$16, 5, FALSE)</f>
        <v/>
      </c>
      <c r="H19" s="25">
        <f>E19/G19</f>
        <v/>
      </c>
      <c r="I19" s="26" t="n">
        <v>67</v>
      </c>
      <c r="J19" s="27">
        <f>J6+2</f>
        <v/>
      </c>
      <c r="K19" s="27">
        <f>J19+I19-1</f>
        <v/>
      </c>
      <c r="L19" s="23">
        <f>IF(K19='01_THONG_SO_DU_AN'!$C$7, "CRITICAL (GĂNG)", "")</f>
        <v/>
      </c>
      <c r="M19" s="28">
        <f>ROUNDUP(H19/(I19*'01_THONG_SO_DU_AN'!$C$10), 0)</f>
        <v/>
      </c>
      <c r="N19" s="28">
        <f>M19*VLOOKUP(F19, '02_DINH_MUC_CA_MAY_VA_DAU'!$C$6:$I$16, 7, FALSE)</f>
        <v/>
      </c>
      <c r="O19" s="29">
        <f>IF(AND(O$4&gt;=$J19, O$4&lt;=$K19), IF('01_THONG_SO_DU_AN'!$C$11=1, "█", IF('01_THONG_SO_DU_AN'!$C$11=2, $N19, $M19)), "")</f>
        <v/>
      </c>
      <c r="P19" s="29">
        <f>IF(AND(P$4&gt;=$J19, P$4&lt;=$K19), IF('01_THONG_SO_DU_AN'!$C$11=1, "█", IF('01_THONG_SO_DU_AN'!$C$11=2, $N19, $M19)), "")</f>
        <v/>
      </c>
      <c r="Q19" s="29">
        <f>IF(AND(Q$4&gt;=$J19, Q$4&lt;=$K19), IF('01_THONG_SO_DU_AN'!$C$11=1, "█", IF('01_THONG_SO_DU_AN'!$C$11=2, $N19, $M19)), "")</f>
        <v/>
      </c>
      <c r="R19" s="29">
        <f>IF(AND(R$4&gt;=$J19, R$4&lt;=$K19), IF('01_THONG_SO_DU_AN'!$C$11=1, "█", IF('01_THONG_SO_DU_AN'!$C$11=2, $N19, $M19)), "")</f>
        <v/>
      </c>
      <c r="S19" s="29">
        <f>IF(AND(S$4&gt;=$J19, S$4&lt;=$K19), IF('01_THONG_SO_DU_AN'!$C$11=1, "█", IF('01_THONG_SO_DU_AN'!$C$11=2, $N19, $M19)), "")</f>
        <v/>
      </c>
      <c r="T19" s="29">
        <f>IF(AND(T$4&gt;=$J19, T$4&lt;=$K19), IF('01_THONG_SO_DU_AN'!$C$11=1, "█", IF('01_THONG_SO_DU_AN'!$C$11=2, $N19, $M19)), "")</f>
        <v/>
      </c>
      <c r="U19" s="29">
        <f>IF(AND(U$4&gt;=$J19, U$4&lt;=$K19), IF('01_THONG_SO_DU_AN'!$C$11=1, "█", IF('01_THONG_SO_DU_AN'!$C$11=2, $N19, $M19)), "")</f>
        <v/>
      </c>
      <c r="V19" s="29">
        <f>IF(AND(V$4&gt;=$J19, V$4&lt;=$K19), IF('01_THONG_SO_DU_AN'!$C$11=1, "█", IF('01_THONG_SO_DU_AN'!$C$11=2, $N19, $M19)), "")</f>
        <v/>
      </c>
      <c r="W19" s="29">
        <f>IF(AND(W$4&gt;=$J19, W$4&lt;=$K19), IF('01_THONG_SO_DU_AN'!$C$11=1, "█", IF('01_THONG_SO_DU_AN'!$C$11=2, $N19, $M19)), "")</f>
        <v/>
      </c>
      <c r="X19" s="29">
        <f>IF(AND(X$4&gt;=$J19, X$4&lt;=$K19), IF('01_THONG_SO_DU_AN'!$C$11=1, "█", IF('01_THONG_SO_DU_AN'!$C$11=2, $N19, $M19)), "")</f>
        <v/>
      </c>
      <c r="Y19" s="29">
        <f>IF(AND(Y$4&gt;=$J19, Y$4&lt;=$K19), IF('01_THONG_SO_DU_AN'!$C$11=1, "█", IF('01_THONG_SO_DU_AN'!$C$11=2, $N19, $M19)), "")</f>
        <v/>
      </c>
      <c r="Z19" s="29">
        <f>IF(AND(Z$4&gt;=$J19, Z$4&lt;=$K19), IF('01_THONG_SO_DU_AN'!$C$11=1, "█", IF('01_THONG_SO_DU_AN'!$C$11=2, $N19, $M19)), "")</f>
        <v/>
      </c>
      <c r="AA19" s="29">
        <f>IF(AND(AA$4&gt;=$J19, AA$4&lt;=$K19), IF('01_THONG_SO_DU_AN'!$C$11=1, "█", IF('01_THONG_SO_DU_AN'!$C$11=2, $N19, $M19)), "")</f>
        <v/>
      </c>
      <c r="AB19" s="29">
        <f>IF(AND(AB$4&gt;=$J19, AB$4&lt;=$K19), IF('01_THONG_SO_DU_AN'!$C$11=1, "█", IF('01_THONG_SO_DU_AN'!$C$11=2, $N19, $M19)), "")</f>
        <v/>
      </c>
      <c r="AC19" s="29">
        <f>IF(AND(AC$4&gt;=$J19, AC$4&lt;=$K19), IF('01_THONG_SO_DU_AN'!$C$11=1, "█", IF('01_THONG_SO_DU_AN'!$C$11=2, $N19, $M19)), "")</f>
        <v/>
      </c>
      <c r="AD19" s="29">
        <f>IF(AND(AD$4&gt;=$J19, AD$4&lt;=$K19), IF('01_THONG_SO_DU_AN'!$C$11=1, "█", IF('01_THONG_SO_DU_AN'!$C$11=2, $N19, $M19)), "")</f>
        <v/>
      </c>
      <c r="AE19" s="29">
        <f>IF(AND(AE$4&gt;=$J19, AE$4&lt;=$K19), IF('01_THONG_SO_DU_AN'!$C$11=1, "█", IF('01_THONG_SO_DU_AN'!$C$11=2, $N19, $M19)), "")</f>
        <v/>
      </c>
      <c r="AF19" s="29">
        <f>IF(AND(AF$4&gt;=$J19, AF$4&lt;=$K19), IF('01_THONG_SO_DU_AN'!$C$11=1, "█", IF('01_THONG_SO_DU_AN'!$C$11=2, $N19, $M19)), "")</f>
        <v/>
      </c>
      <c r="AG19" s="29">
        <f>IF(AND(AG$4&gt;=$J19, AG$4&lt;=$K19), IF('01_THONG_SO_DU_AN'!$C$11=1, "█", IF('01_THONG_SO_DU_AN'!$C$11=2, $N19, $M19)), "")</f>
        <v/>
      </c>
      <c r="AH19" s="29">
        <f>IF(AND(AH$4&gt;=$J19, AH$4&lt;=$K19), IF('01_THONG_SO_DU_AN'!$C$11=1, "█", IF('01_THONG_SO_DU_AN'!$C$11=2, $N19, $M19)), "")</f>
        <v/>
      </c>
      <c r="AI19" s="29">
        <f>IF(AND(AI$4&gt;=$J19, AI$4&lt;=$K19), IF('01_THONG_SO_DU_AN'!$C$11=1, "█", IF('01_THONG_SO_DU_AN'!$C$11=2, $N19, $M19)), "")</f>
        <v/>
      </c>
      <c r="AJ19" s="29">
        <f>IF(AND(AJ$4&gt;=$J19, AJ$4&lt;=$K19), IF('01_THONG_SO_DU_AN'!$C$11=1, "█", IF('01_THONG_SO_DU_AN'!$C$11=2, $N19, $M19)), "")</f>
        <v/>
      </c>
      <c r="AK19" s="29">
        <f>IF(AND(AK$4&gt;=$J19, AK$4&lt;=$K19), IF('01_THONG_SO_DU_AN'!$C$11=1, "█", IF('01_THONG_SO_DU_AN'!$C$11=2, $N19, $M19)), "")</f>
        <v/>
      </c>
      <c r="AL19" s="29">
        <f>IF(AND(AL$4&gt;=$J19, AL$4&lt;=$K19), IF('01_THONG_SO_DU_AN'!$C$11=1, "█", IF('01_THONG_SO_DU_AN'!$C$11=2, $N19, $M19)), "")</f>
        <v/>
      </c>
      <c r="AM19" s="29">
        <f>IF(AND(AM$4&gt;=$J19, AM$4&lt;=$K19), IF('01_THONG_SO_DU_AN'!$C$11=1, "█", IF('01_THONG_SO_DU_AN'!$C$11=2, $N19, $M19)), "")</f>
        <v/>
      </c>
      <c r="AN19" s="29">
        <f>IF(AND(AN$4&gt;=$J19, AN$4&lt;=$K19), IF('01_THONG_SO_DU_AN'!$C$11=1, "█", IF('01_THONG_SO_DU_AN'!$C$11=2, $N19, $M19)), "")</f>
        <v/>
      </c>
      <c r="AO19" s="29">
        <f>IF(AND(AO$4&gt;=$J19, AO$4&lt;=$K19), IF('01_THONG_SO_DU_AN'!$C$11=1, "█", IF('01_THONG_SO_DU_AN'!$C$11=2, $N19, $M19)), "")</f>
        <v/>
      </c>
      <c r="AP19" s="29">
        <f>IF(AND(AP$4&gt;=$J19, AP$4&lt;=$K19), IF('01_THONG_SO_DU_AN'!$C$11=1, "█", IF('01_THONG_SO_DU_AN'!$C$11=2, $N19, $M19)), "")</f>
        <v/>
      </c>
      <c r="AQ19" s="29">
        <f>IF(AND(AQ$4&gt;=$J19, AQ$4&lt;=$K19), IF('01_THONG_SO_DU_AN'!$C$11=1, "█", IF('01_THONG_SO_DU_AN'!$C$11=2, $N19, $M19)), "")</f>
        <v/>
      </c>
      <c r="AR19" s="29">
        <f>IF(AND(AR$4&gt;=$J19, AR$4&lt;=$K19), IF('01_THONG_SO_DU_AN'!$C$11=1, "█", IF('01_THONG_SO_DU_AN'!$C$11=2, $N19, $M19)), "")</f>
        <v/>
      </c>
      <c r="AS19" s="29">
        <f>IF(AND(AS$4&gt;=$J19, AS$4&lt;=$K19), IF('01_THONG_SO_DU_AN'!$C$11=1, "█", IF('01_THONG_SO_DU_AN'!$C$11=2, $N19, $M19)), "")</f>
        <v/>
      </c>
      <c r="AT19" s="29">
        <f>IF(AND(AT$4&gt;=$J19, AT$4&lt;=$K19), IF('01_THONG_SO_DU_AN'!$C$11=1, "█", IF('01_THONG_SO_DU_AN'!$C$11=2, $N19, $M19)), "")</f>
        <v/>
      </c>
      <c r="AU19" s="29">
        <f>IF(AND(AU$4&gt;=$J19, AU$4&lt;=$K19), IF('01_THONG_SO_DU_AN'!$C$11=1, "█", IF('01_THONG_SO_DU_AN'!$C$11=2, $N19, $M19)), "")</f>
        <v/>
      </c>
      <c r="AV19" s="29">
        <f>IF(AND(AV$4&gt;=$J19, AV$4&lt;=$K19), IF('01_THONG_SO_DU_AN'!$C$11=1, "█", IF('01_THONG_SO_DU_AN'!$C$11=2, $N19, $M19)), "")</f>
        <v/>
      </c>
      <c r="AW19" s="29">
        <f>IF(AND(AW$4&gt;=$J19, AW$4&lt;=$K19), IF('01_THONG_SO_DU_AN'!$C$11=1, "█", IF('01_THONG_SO_DU_AN'!$C$11=2, $N19, $M19)), "")</f>
        <v/>
      </c>
      <c r="AX19" s="29">
        <f>IF(AND(AX$4&gt;=$J19, AX$4&lt;=$K19), IF('01_THONG_SO_DU_AN'!$C$11=1, "█", IF('01_THONG_SO_DU_AN'!$C$11=2, $N19, $M19)), "")</f>
        <v/>
      </c>
      <c r="AY19" s="29">
        <f>IF(AND(AY$4&gt;=$J19, AY$4&lt;=$K19), IF('01_THONG_SO_DU_AN'!$C$11=1, "█", IF('01_THONG_SO_DU_AN'!$C$11=2, $N19, $M19)), "")</f>
        <v/>
      </c>
      <c r="AZ19" s="29">
        <f>IF(AND(AZ$4&gt;=$J19, AZ$4&lt;=$K19), IF('01_THONG_SO_DU_AN'!$C$11=1, "█", IF('01_THONG_SO_DU_AN'!$C$11=2, $N19, $M19)), "")</f>
        <v/>
      </c>
      <c r="BA19" s="29">
        <f>IF(AND(BA$4&gt;=$J19, BA$4&lt;=$K19), IF('01_THONG_SO_DU_AN'!$C$11=1, "█", IF('01_THONG_SO_DU_AN'!$C$11=2, $N19, $M19)), "")</f>
        <v/>
      </c>
      <c r="BB19" s="29">
        <f>IF(AND(BB$4&gt;=$J19, BB$4&lt;=$K19), IF('01_THONG_SO_DU_AN'!$C$11=1, "█", IF('01_THONG_SO_DU_AN'!$C$11=2, $N19, $M19)), "")</f>
        <v/>
      </c>
      <c r="BC19" s="29">
        <f>IF(AND(BC$4&gt;=$J19, BC$4&lt;=$K19), IF('01_THONG_SO_DU_AN'!$C$11=1, "█", IF('01_THONG_SO_DU_AN'!$C$11=2, $N19, $M19)), "")</f>
        <v/>
      </c>
      <c r="BD19" s="29">
        <f>IF(AND(BD$4&gt;=$J19, BD$4&lt;=$K19), IF('01_THONG_SO_DU_AN'!$C$11=1, "█", IF('01_THONG_SO_DU_AN'!$C$11=2, $N19, $M19)), "")</f>
        <v/>
      </c>
      <c r="BE19" s="29">
        <f>IF(AND(BE$4&gt;=$J19, BE$4&lt;=$K19), IF('01_THONG_SO_DU_AN'!$C$11=1, "█", IF('01_THONG_SO_DU_AN'!$C$11=2, $N19, $M19)), "")</f>
        <v/>
      </c>
      <c r="BF19" s="29">
        <f>IF(AND(BF$4&gt;=$J19, BF$4&lt;=$K19), IF('01_THONG_SO_DU_AN'!$C$11=1, "█", IF('01_THONG_SO_DU_AN'!$C$11=2, $N19, $M19)), "")</f>
        <v/>
      </c>
      <c r="BG19" s="29">
        <f>IF(AND(BG$4&gt;=$J19, BG$4&lt;=$K19), IF('01_THONG_SO_DU_AN'!$C$11=1, "█", IF('01_THONG_SO_DU_AN'!$C$11=2, $N19, $M19)), "")</f>
        <v/>
      </c>
      <c r="BH19" s="29">
        <f>IF(AND(BH$4&gt;=$J19, BH$4&lt;=$K19), IF('01_THONG_SO_DU_AN'!$C$11=1, "█", IF('01_THONG_SO_DU_AN'!$C$11=2, $N19, $M19)), "")</f>
        <v/>
      </c>
      <c r="BI19" s="29">
        <f>IF(AND(BI$4&gt;=$J19, BI$4&lt;=$K19), IF('01_THONG_SO_DU_AN'!$C$11=1, "█", IF('01_THONG_SO_DU_AN'!$C$11=2, $N19, $M19)), "")</f>
        <v/>
      </c>
      <c r="BJ19" s="29">
        <f>IF(AND(BJ$4&gt;=$J19, BJ$4&lt;=$K19), IF('01_THONG_SO_DU_AN'!$C$11=1, "█", IF('01_THONG_SO_DU_AN'!$C$11=2, $N19, $M19)), "")</f>
        <v/>
      </c>
      <c r="BK19" s="29">
        <f>IF(AND(BK$4&gt;=$J19, BK$4&lt;=$K19), IF('01_THONG_SO_DU_AN'!$C$11=1, "█", IF('01_THONG_SO_DU_AN'!$C$11=2, $N19, $M19)), "")</f>
        <v/>
      </c>
      <c r="BL19" s="29">
        <f>IF(AND(BL$4&gt;=$J19, BL$4&lt;=$K19), IF('01_THONG_SO_DU_AN'!$C$11=1, "█", IF('01_THONG_SO_DU_AN'!$C$11=2, $N19, $M19)), "")</f>
        <v/>
      </c>
      <c r="BM19" s="29">
        <f>IF(AND(BM$4&gt;=$J19, BM$4&lt;=$K19), IF('01_THONG_SO_DU_AN'!$C$11=1, "█", IF('01_THONG_SO_DU_AN'!$C$11=2, $N19, $M19)), "")</f>
        <v/>
      </c>
      <c r="BN19" s="29">
        <f>IF(AND(BN$4&gt;=$J19, BN$4&lt;=$K19), IF('01_THONG_SO_DU_AN'!$C$11=1, "█", IF('01_THONG_SO_DU_AN'!$C$11=2, $N19, $M19)), "")</f>
        <v/>
      </c>
      <c r="BO19" s="29">
        <f>IF(AND(BO$4&gt;=$J19, BO$4&lt;=$K19), IF('01_THONG_SO_DU_AN'!$C$11=1, "█", IF('01_THONG_SO_DU_AN'!$C$11=2, $N19, $M19)), "")</f>
        <v/>
      </c>
      <c r="BP19" s="29">
        <f>IF(AND(BP$4&gt;=$J19, BP$4&lt;=$K19), IF('01_THONG_SO_DU_AN'!$C$11=1, "█", IF('01_THONG_SO_DU_AN'!$C$11=2, $N19, $M19)), "")</f>
        <v/>
      </c>
      <c r="BQ19" s="29">
        <f>IF(AND(BQ$4&gt;=$J19, BQ$4&lt;=$K19), IF('01_THONG_SO_DU_AN'!$C$11=1, "█", IF('01_THONG_SO_DU_AN'!$C$11=2, $N19, $M19)), "")</f>
        <v/>
      </c>
      <c r="BR19" s="29">
        <f>IF(AND(BR$4&gt;=$J19, BR$4&lt;=$K19), IF('01_THONG_SO_DU_AN'!$C$11=1, "█", IF('01_THONG_SO_DU_AN'!$C$11=2, $N19, $M19)), "")</f>
        <v/>
      </c>
      <c r="BS19" s="29">
        <f>IF(AND(BS$4&gt;=$J19, BS$4&lt;=$K19), IF('01_THONG_SO_DU_AN'!$C$11=1, "█", IF('01_THONG_SO_DU_AN'!$C$11=2, $N19, $M19)), "")</f>
        <v/>
      </c>
      <c r="BT19" s="29">
        <f>IF(AND(BT$4&gt;=$J19, BT$4&lt;=$K19), IF('01_THONG_SO_DU_AN'!$C$11=1, "█", IF('01_THONG_SO_DU_AN'!$C$11=2, $N19, $M19)), "")</f>
        <v/>
      </c>
      <c r="BU19" s="29">
        <f>IF(AND(BU$4&gt;=$J19, BU$4&lt;=$K19), IF('01_THONG_SO_DU_AN'!$C$11=1, "█", IF('01_THONG_SO_DU_AN'!$C$11=2, $N19, $M19)), "")</f>
        <v/>
      </c>
      <c r="BV19" s="29">
        <f>IF(AND(BV$4&gt;=$J19, BV$4&lt;=$K19), IF('01_THONG_SO_DU_AN'!$C$11=1, "█", IF('01_THONG_SO_DU_AN'!$C$11=2, $N19, $M19)), "")</f>
        <v/>
      </c>
      <c r="BW19" s="29">
        <f>IF(AND(BW$4&gt;=$J19, BW$4&lt;=$K19), IF('01_THONG_SO_DU_AN'!$C$11=1, "█", IF('01_THONG_SO_DU_AN'!$C$11=2, $N19, $M19)), "")</f>
        <v/>
      </c>
      <c r="BX19" s="29">
        <f>IF(AND(BX$4&gt;=$J19, BX$4&lt;=$K19), IF('01_THONG_SO_DU_AN'!$C$11=1, "█", IF('01_THONG_SO_DU_AN'!$C$11=2, $N19, $M19)), "")</f>
        <v/>
      </c>
      <c r="BY19" s="29">
        <f>IF(AND(BY$4&gt;=$J19, BY$4&lt;=$K19), IF('01_THONG_SO_DU_AN'!$C$11=1, "█", IF('01_THONG_SO_DU_AN'!$C$11=2, $N19, $M19)), "")</f>
        <v/>
      </c>
      <c r="BZ19" s="29">
        <f>IF(AND(BZ$4&gt;=$J19, BZ$4&lt;=$K19), IF('01_THONG_SO_DU_AN'!$C$11=1, "█", IF('01_THONG_SO_DU_AN'!$C$11=2, $N19, $M19)), "")</f>
        <v/>
      </c>
      <c r="CA19" s="29">
        <f>IF(AND(CA$4&gt;=$J19, CA$4&lt;=$K19), IF('01_THONG_SO_DU_AN'!$C$11=1, "█", IF('01_THONG_SO_DU_AN'!$C$11=2, $N19, $M19)), "")</f>
        <v/>
      </c>
      <c r="CB19" s="29">
        <f>IF(AND(CB$4&gt;=$J19, CB$4&lt;=$K19), IF('01_THONG_SO_DU_AN'!$C$11=1, "█", IF('01_THONG_SO_DU_AN'!$C$11=2, $N19, $M19)), "")</f>
        <v/>
      </c>
      <c r="CC19" s="29">
        <f>IF(AND(CC$4&gt;=$J19, CC$4&lt;=$K19), IF('01_THONG_SO_DU_AN'!$C$11=1, "█", IF('01_THONG_SO_DU_AN'!$C$11=2, $N19, $M19)), "")</f>
        <v/>
      </c>
      <c r="CD19" s="29">
        <f>IF(AND(CD$4&gt;=$J19, CD$4&lt;=$K19), IF('01_THONG_SO_DU_AN'!$C$11=1, "█", IF('01_THONG_SO_DU_AN'!$C$11=2, $N19, $M19)), "")</f>
        <v/>
      </c>
      <c r="CE19" s="29">
        <f>IF(AND(CE$4&gt;=$J19, CE$4&lt;=$K19), IF('01_THONG_SO_DU_AN'!$C$11=1, "█", IF('01_THONG_SO_DU_AN'!$C$11=2, $N19, $M19)), "")</f>
        <v/>
      </c>
      <c r="CF19" s="29">
        <f>IF(AND(CF$4&gt;=$J19, CF$4&lt;=$K19), IF('01_THONG_SO_DU_AN'!$C$11=1, "█", IF('01_THONG_SO_DU_AN'!$C$11=2, $N19, $M19)), "")</f>
        <v/>
      </c>
      <c r="CG19" s="29">
        <f>IF(AND(CG$4&gt;=$J19, CG$4&lt;=$K19), IF('01_THONG_SO_DU_AN'!$C$11=1, "█", IF('01_THONG_SO_DU_AN'!$C$11=2, $N19, $M19)), "")</f>
        <v/>
      </c>
      <c r="CH19" s="29">
        <f>IF(AND(CH$4&gt;=$J19, CH$4&lt;=$K19), IF('01_THONG_SO_DU_AN'!$C$11=1, "█", IF('01_THONG_SO_DU_AN'!$C$11=2, $N19, $M19)), "")</f>
        <v/>
      </c>
      <c r="CI19" s="29">
        <f>IF(AND(CI$4&gt;=$J19, CI$4&lt;=$K19), IF('01_THONG_SO_DU_AN'!$C$11=1, "█", IF('01_THONG_SO_DU_AN'!$C$11=2, $N19, $M19)), "")</f>
        <v/>
      </c>
      <c r="CJ19" s="29">
        <f>IF(AND(CJ$4&gt;=$J19, CJ$4&lt;=$K19), IF('01_THONG_SO_DU_AN'!$C$11=1, "█", IF('01_THONG_SO_DU_AN'!$C$11=2, $N19, $M19)), "")</f>
        <v/>
      </c>
      <c r="CK19" s="29">
        <f>IF(AND(CK$4&gt;=$J19, CK$4&lt;=$K19), IF('01_THONG_SO_DU_AN'!$C$11=1, "█", IF('01_THONG_SO_DU_AN'!$C$11=2, $N19, $M19)), "")</f>
        <v/>
      </c>
      <c r="CL19" s="29">
        <f>IF(AND(CL$4&gt;=$J19, CL$4&lt;=$K19), IF('01_THONG_SO_DU_AN'!$C$11=1, "█", IF('01_THONG_SO_DU_AN'!$C$11=2, $N19, $M19)), "")</f>
        <v/>
      </c>
      <c r="CM19" s="29">
        <f>IF(AND(CM$4&gt;=$J19, CM$4&lt;=$K19), IF('01_THONG_SO_DU_AN'!$C$11=1, "█", IF('01_THONG_SO_DU_AN'!$C$11=2, $N19, $M19)), "")</f>
        <v/>
      </c>
      <c r="CN19" s="29">
        <f>IF(AND(CN$4&gt;=$J19, CN$4&lt;=$K19), IF('01_THONG_SO_DU_AN'!$C$11=1, "█", IF('01_THONG_SO_DU_AN'!$C$11=2, $N19, $M19)), "")</f>
        <v/>
      </c>
      <c r="CO19" s="29">
        <f>IF(AND(CO$4&gt;=$J19, CO$4&lt;=$K19), IF('01_THONG_SO_DU_AN'!$C$11=1, "█", IF('01_THONG_SO_DU_AN'!$C$11=2, $N19, $M19)), "")</f>
        <v/>
      </c>
      <c r="CP19" s="29">
        <f>IF(AND(CP$4&gt;=$J19, CP$4&lt;=$K19), IF('01_THONG_SO_DU_AN'!$C$11=1, "█", IF('01_THONG_SO_DU_AN'!$C$11=2, $N19, $M19)), "")</f>
        <v/>
      </c>
      <c r="CQ19" s="29">
        <f>IF(AND(CQ$4&gt;=$J19, CQ$4&lt;=$K19), IF('01_THONG_SO_DU_AN'!$C$11=1, "█", IF('01_THONG_SO_DU_AN'!$C$11=2, $N19, $M19)), "")</f>
        <v/>
      </c>
      <c r="CR19" s="29">
        <f>IF(AND(CR$4&gt;=$J19, CR$4&lt;=$K19), IF('01_THONG_SO_DU_AN'!$C$11=1, "█", IF('01_THONG_SO_DU_AN'!$C$11=2, $N19, $M19)), "")</f>
        <v/>
      </c>
      <c r="CS19" s="29">
        <f>IF(AND(CS$4&gt;=$J19, CS$4&lt;=$K19), IF('01_THONG_SO_DU_AN'!$C$11=1, "█", IF('01_THONG_SO_DU_AN'!$C$11=2, $N19, $M19)), "")</f>
        <v/>
      </c>
      <c r="CT19" s="29">
        <f>IF(AND(CT$4&gt;=$J19, CT$4&lt;=$K19), IF('01_THONG_SO_DU_AN'!$C$11=1, "█", IF('01_THONG_SO_DU_AN'!$C$11=2, $N19, $M19)), "")</f>
        <v/>
      </c>
      <c r="CU19" s="29">
        <f>IF(AND(CU$4&gt;=$J19, CU$4&lt;=$K19), IF('01_THONG_SO_DU_AN'!$C$11=1, "█", IF('01_THONG_SO_DU_AN'!$C$11=2, $N19, $M19)), "")</f>
        <v/>
      </c>
      <c r="CV19" s="29">
        <f>IF(AND(CV$4&gt;=$J19, CV$4&lt;=$K19), IF('01_THONG_SO_DU_AN'!$C$11=1, "█", IF('01_THONG_SO_DU_AN'!$C$11=2, $N19, $M19)), "")</f>
        <v/>
      </c>
      <c r="CW19" s="29">
        <f>IF(AND(CW$4&gt;=$J19, CW$4&lt;=$K19), IF('01_THONG_SO_DU_AN'!$C$11=1, "█", IF('01_THONG_SO_DU_AN'!$C$11=2, $N19, $M19)), "")</f>
        <v/>
      </c>
      <c r="CX19" s="29">
        <f>IF(AND(CX$4&gt;=$J19, CX$4&lt;=$K19), IF('01_THONG_SO_DU_AN'!$C$11=1, "█", IF('01_THONG_SO_DU_AN'!$C$11=2, $N19, $M19)), "")</f>
        <v/>
      </c>
      <c r="CY19" s="29">
        <f>IF(AND(CY$4&gt;=$J19, CY$4&lt;=$K19), IF('01_THONG_SO_DU_AN'!$C$11=1, "█", IF('01_THONG_SO_DU_AN'!$C$11=2, $N19, $M19)), "")</f>
        <v/>
      </c>
      <c r="CZ19" s="29">
        <f>IF(AND(CZ$4&gt;=$J19, CZ$4&lt;=$K19), IF('01_THONG_SO_DU_AN'!$C$11=1, "█", IF('01_THONG_SO_DU_AN'!$C$11=2, $N19, $M19)), "")</f>
        <v/>
      </c>
      <c r="DA19" s="29">
        <f>IF(AND(DA$4&gt;=$J19, DA$4&lt;=$K19), IF('01_THONG_SO_DU_AN'!$C$11=1, "█", IF('01_THONG_SO_DU_AN'!$C$11=2, $N19, $M19)), "")</f>
        <v/>
      </c>
      <c r="DB19" s="29">
        <f>IF(AND(DB$4&gt;=$J19, DB$4&lt;=$K19), IF('01_THONG_SO_DU_AN'!$C$11=1, "█", IF('01_THONG_SO_DU_AN'!$C$11=2, $N19, $M19)), "")</f>
        <v/>
      </c>
      <c r="DC19" s="29">
        <f>IF(AND(DC$4&gt;=$J19, DC$4&lt;=$K19), IF('01_THONG_SO_DU_AN'!$C$11=1, "█", IF('01_THONG_SO_DU_AN'!$C$11=2, $N19, $M19)), "")</f>
        <v/>
      </c>
      <c r="DD19" s="29">
        <f>IF(AND(DD$4&gt;=$J19, DD$4&lt;=$K19), IF('01_THONG_SO_DU_AN'!$C$11=1, "█", IF('01_THONG_SO_DU_AN'!$C$11=2, $N19, $M19)), "")</f>
        <v/>
      </c>
      <c r="DE19" s="29">
        <f>IF(AND(DE$4&gt;=$J19, DE$4&lt;=$K19), IF('01_THONG_SO_DU_AN'!$C$11=1, "█", IF('01_THONG_SO_DU_AN'!$C$11=2, $N19, $M19)), "")</f>
        <v/>
      </c>
      <c r="DF19" s="29">
        <f>IF(AND(DF$4&gt;=$J19, DF$4&lt;=$K19), IF('01_THONG_SO_DU_AN'!$C$11=1, "█", IF('01_THONG_SO_DU_AN'!$C$11=2, $N19, $M19)), "")</f>
        <v/>
      </c>
      <c r="DG19" s="29">
        <f>IF(AND(DG$4&gt;=$J19, DG$4&lt;=$K19), IF('01_THONG_SO_DU_AN'!$C$11=1, "█", IF('01_THONG_SO_DU_AN'!$C$11=2, $N19, $M19)), "")</f>
        <v/>
      </c>
    </row>
    <row r="21">
      <c r="A21" s="30" t="n"/>
      <c r="B21" s="31" t="inlineStr">
        <is>
          <t>TỔNG SỐ LƯỢNG MÁY MÓC HUY ĐỘNG (Máy/ngày)</t>
        </is>
      </c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2">
        <f>SUMPRODUCT((O$4&gt;=$J$6:$J$19)*(O$4&lt;=$K$6:$K$19)*$M$6:$M$19)</f>
        <v/>
      </c>
      <c r="P21" s="32">
        <f>SUMPRODUCT((P$4&gt;=$J$6:$J$19)*(P$4&lt;=$K$6:$K$19)*$M$6:$M$19)</f>
        <v/>
      </c>
      <c r="Q21" s="32">
        <f>SUMPRODUCT((Q$4&gt;=$J$6:$J$19)*(Q$4&lt;=$K$6:$K$19)*$M$6:$M$19)</f>
        <v/>
      </c>
      <c r="R21" s="32">
        <f>SUMPRODUCT((R$4&gt;=$J$6:$J$19)*(R$4&lt;=$K$6:$K$19)*$M$6:$M$19)</f>
        <v/>
      </c>
      <c r="S21" s="32">
        <f>SUMPRODUCT((S$4&gt;=$J$6:$J$19)*(S$4&lt;=$K$6:$K$19)*$M$6:$M$19)</f>
        <v/>
      </c>
      <c r="T21" s="32">
        <f>SUMPRODUCT((T$4&gt;=$J$6:$J$19)*(T$4&lt;=$K$6:$K$19)*$M$6:$M$19)</f>
        <v/>
      </c>
      <c r="U21" s="32">
        <f>SUMPRODUCT((U$4&gt;=$J$6:$J$19)*(U$4&lt;=$K$6:$K$19)*$M$6:$M$19)</f>
        <v/>
      </c>
      <c r="V21" s="32">
        <f>SUMPRODUCT((V$4&gt;=$J$6:$J$19)*(V$4&lt;=$K$6:$K$19)*$M$6:$M$19)</f>
        <v/>
      </c>
      <c r="W21" s="32">
        <f>SUMPRODUCT((W$4&gt;=$J$6:$J$19)*(W$4&lt;=$K$6:$K$19)*$M$6:$M$19)</f>
        <v/>
      </c>
      <c r="X21" s="32">
        <f>SUMPRODUCT((X$4&gt;=$J$6:$J$19)*(X$4&lt;=$K$6:$K$19)*$M$6:$M$19)</f>
        <v/>
      </c>
      <c r="Y21" s="32">
        <f>SUMPRODUCT((Y$4&gt;=$J$6:$J$19)*(Y$4&lt;=$K$6:$K$19)*$M$6:$M$19)</f>
        <v/>
      </c>
      <c r="Z21" s="32">
        <f>SUMPRODUCT((Z$4&gt;=$J$6:$J$19)*(Z$4&lt;=$K$6:$K$19)*$M$6:$M$19)</f>
        <v/>
      </c>
      <c r="AA21" s="32">
        <f>SUMPRODUCT((AA$4&gt;=$J$6:$J$19)*(AA$4&lt;=$K$6:$K$19)*$M$6:$M$19)</f>
        <v/>
      </c>
      <c r="AB21" s="32">
        <f>SUMPRODUCT((AB$4&gt;=$J$6:$J$19)*(AB$4&lt;=$K$6:$K$19)*$M$6:$M$19)</f>
        <v/>
      </c>
      <c r="AC21" s="32">
        <f>SUMPRODUCT((AC$4&gt;=$J$6:$J$19)*(AC$4&lt;=$K$6:$K$19)*$M$6:$M$19)</f>
        <v/>
      </c>
      <c r="AD21" s="32">
        <f>SUMPRODUCT((AD$4&gt;=$J$6:$J$19)*(AD$4&lt;=$K$6:$K$19)*$M$6:$M$19)</f>
        <v/>
      </c>
      <c r="AE21" s="32">
        <f>SUMPRODUCT((AE$4&gt;=$J$6:$J$19)*(AE$4&lt;=$K$6:$K$19)*$M$6:$M$19)</f>
        <v/>
      </c>
      <c r="AF21" s="32">
        <f>SUMPRODUCT((AF$4&gt;=$J$6:$J$19)*(AF$4&lt;=$K$6:$K$19)*$M$6:$M$19)</f>
        <v/>
      </c>
      <c r="AG21" s="32">
        <f>SUMPRODUCT((AG$4&gt;=$J$6:$J$19)*(AG$4&lt;=$K$6:$K$19)*$M$6:$M$19)</f>
        <v/>
      </c>
      <c r="AH21" s="32">
        <f>SUMPRODUCT((AH$4&gt;=$J$6:$J$19)*(AH$4&lt;=$K$6:$K$19)*$M$6:$M$19)</f>
        <v/>
      </c>
      <c r="AI21" s="32">
        <f>SUMPRODUCT((AI$4&gt;=$J$6:$J$19)*(AI$4&lt;=$K$6:$K$19)*$M$6:$M$19)</f>
        <v/>
      </c>
      <c r="AJ21" s="32">
        <f>SUMPRODUCT((AJ$4&gt;=$J$6:$J$19)*(AJ$4&lt;=$K$6:$K$19)*$M$6:$M$19)</f>
        <v/>
      </c>
      <c r="AK21" s="32">
        <f>SUMPRODUCT((AK$4&gt;=$J$6:$J$19)*(AK$4&lt;=$K$6:$K$19)*$M$6:$M$19)</f>
        <v/>
      </c>
      <c r="AL21" s="32">
        <f>SUMPRODUCT((AL$4&gt;=$J$6:$J$19)*(AL$4&lt;=$K$6:$K$19)*$M$6:$M$19)</f>
        <v/>
      </c>
      <c r="AM21" s="32">
        <f>SUMPRODUCT((AM$4&gt;=$J$6:$J$19)*(AM$4&lt;=$K$6:$K$19)*$M$6:$M$19)</f>
        <v/>
      </c>
      <c r="AN21" s="32">
        <f>SUMPRODUCT((AN$4&gt;=$J$6:$J$19)*(AN$4&lt;=$K$6:$K$19)*$M$6:$M$19)</f>
        <v/>
      </c>
      <c r="AO21" s="32">
        <f>SUMPRODUCT((AO$4&gt;=$J$6:$J$19)*(AO$4&lt;=$K$6:$K$19)*$M$6:$M$19)</f>
        <v/>
      </c>
      <c r="AP21" s="32">
        <f>SUMPRODUCT((AP$4&gt;=$J$6:$J$19)*(AP$4&lt;=$K$6:$K$19)*$M$6:$M$19)</f>
        <v/>
      </c>
      <c r="AQ21" s="32">
        <f>SUMPRODUCT((AQ$4&gt;=$J$6:$J$19)*(AQ$4&lt;=$K$6:$K$19)*$M$6:$M$19)</f>
        <v/>
      </c>
      <c r="AR21" s="32">
        <f>SUMPRODUCT((AR$4&gt;=$J$6:$J$19)*(AR$4&lt;=$K$6:$K$19)*$M$6:$M$19)</f>
        <v/>
      </c>
      <c r="AS21" s="32">
        <f>SUMPRODUCT((AS$4&gt;=$J$6:$J$19)*(AS$4&lt;=$K$6:$K$19)*$M$6:$M$19)</f>
        <v/>
      </c>
      <c r="AT21" s="32">
        <f>SUMPRODUCT((AT$4&gt;=$J$6:$J$19)*(AT$4&lt;=$K$6:$K$19)*$M$6:$M$19)</f>
        <v/>
      </c>
      <c r="AU21" s="32">
        <f>SUMPRODUCT((AU$4&gt;=$J$6:$J$19)*(AU$4&lt;=$K$6:$K$19)*$M$6:$M$19)</f>
        <v/>
      </c>
      <c r="AV21" s="32">
        <f>SUMPRODUCT((AV$4&gt;=$J$6:$J$19)*(AV$4&lt;=$K$6:$K$19)*$M$6:$M$19)</f>
        <v/>
      </c>
      <c r="AW21" s="32">
        <f>SUMPRODUCT((AW$4&gt;=$J$6:$J$19)*(AW$4&lt;=$K$6:$K$19)*$M$6:$M$19)</f>
        <v/>
      </c>
      <c r="AX21" s="32">
        <f>SUMPRODUCT((AX$4&gt;=$J$6:$J$19)*(AX$4&lt;=$K$6:$K$19)*$M$6:$M$19)</f>
        <v/>
      </c>
      <c r="AY21" s="32">
        <f>SUMPRODUCT((AY$4&gt;=$J$6:$J$19)*(AY$4&lt;=$K$6:$K$19)*$M$6:$M$19)</f>
        <v/>
      </c>
      <c r="AZ21" s="32">
        <f>SUMPRODUCT((AZ$4&gt;=$J$6:$J$19)*(AZ$4&lt;=$K$6:$K$19)*$M$6:$M$19)</f>
        <v/>
      </c>
      <c r="BA21" s="32">
        <f>SUMPRODUCT((BA$4&gt;=$J$6:$J$19)*(BA$4&lt;=$K$6:$K$19)*$M$6:$M$19)</f>
        <v/>
      </c>
      <c r="BB21" s="32">
        <f>SUMPRODUCT((BB$4&gt;=$J$6:$J$19)*(BB$4&lt;=$K$6:$K$19)*$M$6:$M$19)</f>
        <v/>
      </c>
      <c r="BC21" s="32">
        <f>SUMPRODUCT((BC$4&gt;=$J$6:$J$19)*(BC$4&lt;=$K$6:$K$19)*$M$6:$M$19)</f>
        <v/>
      </c>
      <c r="BD21" s="32">
        <f>SUMPRODUCT((BD$4&gt;=$J$6:$J$19)*(BD$4&lt;=$K$6:$K$19)*$M$6:$M$19)</f>
        <v/>
      </c>
      <c r="BE21" s="32">
        <f>SUMPRODUCT((BE$4&gt;=$J$6:$J$19)*(BE$4&lt;=$K$6:$K$19)*$M$6:$M$19)</f>
        <v/>
      </c>
      <c r="BF21" s="32">
        <f>SUMPRODUCT((BF$4&gt;=$J$6:$J$19)*(BF$4&lt;=$K$6:$K$19)*$M$6:$M$19)</f>
        <v/>
      </c>
      <c r="BG21" s="32">
        <f>SUMPRODUCT((BG$4&gt;=$J$6:$J$19)*(BG$4&lt;=$K$6:$K$19)*$M$6:$M$19)</f>
        <v/>
      </c>
      <c r="BH21" s="32">
        <f>SUMPRODUCT((BH$4&gt;=$J$6:$J$19)*(BH$4&lt;=$K$6:$K$19)*$M$6:$M$19)</f>
        <v/>
      </c>
      <c r="BI21" s="32">
        <f>SUMPRODUCT((BI$4&gt;=$J$6:$J$19)*(BI$4&lt;=$K$6:$K$19)*$M$6:$M$19)</f>
        <v/>
      </c>
      <c r="BJ21" s="32">
        <f>SUMPRODUCT((BJ$4&gt;=$J$6:$J$19)*(BJ$4&lt;=$K$6:$K$19)*$M$6:$M$19)</f>
        <v/>
      </c>
      <c r="BK21" s="32">
        <f>SUMPRODUCT((BK$4&gt;=$J$6:$J$19)*(BK$4&lt;=$K$6:$K$19)*$M$6:$M$19)</f>
        <v/>
      </c>
      <c r="BL21" s="32">
        <f>SUMPRODUCT((BL$4&gt;=$J$6:$J$19)*(BL$4&lt;=$K$6:$K$19)*$M$6:$M$19)</f>
        <v/>
      </c>
      <c r="BM21" s="32">
        <f>SUMPRODUCT((BM$4&gt;=$J$6:$J$19)*(BM$4&lt;=$K$6:$K$19)*$M$6:$M$19)</f>
        <v/>
      </c>
      <c r="BN21" s="32">
        <f>SUMPRODUCT((BN$4&gt;=$J$6:$J$19)*(BN$4&lt;=$K$6:$K$19)*$M$6:$M$19)</f>
        <v/>
      </c>
      <c r="BO21" s="32">
        <f>SUMPRODUCT((BO$4&gt;=$J$6:$J$19)*(BO$4&lt;=$K$6:$K$19)*$M$6:$M$19)</f>
        <v/>
      </c>
      <c r="BP21" s="32">
        <f>SUMPRODUCT((BP$4&gt;=$J$6:$J$19)*(BP$4&lt;=$K$6:$K$19)*$M$6:$M$19)</f>
        <v/>
      </c>
      <c r="BQ21" s="32">
        <f>SUMPRODUCT((BQ$4&gt;=$J$6:$J$19)*(BQ$4&lt;=$K$6:$K$19)*$M$6:$M$19)</f>
        <v/>
      </c>
      <c r="BR21" s="32">
        <f>SUMPRODUCT((BR$4&gt;=$J$6:$J$19)*(BR$4&lt;=$K$6:$K$19)*$M$6:$M$19)</f>
        <v/>
      </c>
      <c r="BS21" s="32">
        <f>SUMPRODUCT((BS$4&gt;=$J$6:$J$19)*(BS$4&lt;=$K$6:$K$19)*$M$6:$M$19)</f>
        <v/>
      </c>
      <c r="BT21" s="32">
        <f>SUMPRODUCT((BT$4&gt;=$J$6:$J$19)*(BT$4&lt;=$K$6:$K$19)*$M$6:$M$19)</f>
        <v/>
      </c>
      <c r="BU21" s="32">
        <f>SUMPRODUCT((BU$4&gt;=$J$6:$J$19)*(BU$4&lt;=$K$6:$K$19)*$M$6:$M$19)</f>
        <v/>
      </c>
      <c r="BV21" s="32">
        <f>SUMPRODUCT((BV$4&gt;=$J$6:$J$19)*(BV$4&lt;=$K$6:$K$19)*$M$6:$M$19)</f>
        <v/>
      </c>
      <c r="BW21" s="32">
        <f>SUMPRODUCT((BW$4&gt;=$J$6:$J$19)*(BW$4&lt;=$K$6:$K$19)*$M$6:$M$19)</f>
        <v/>
      </c>
      <c r="BX21" s="32">
        <f>SUMPRODUCT((BX$4&gt;=$J$6:$J$19)*(BX$4&lt;=$K$6:$K$19)*$M$6:$M$19)</f>
        <v/>
      </c>
      <c r="BY21" s="32">
        <f>SUMPRODUCT((BY$4&gt;=$J$6:$J$19)*(BY$4&lt;=$K$6:$K$19)*$M$6:$M$19)</f>
        <v/>
      </c>
      <c r="BZ21" s="32">
        <f>SUMPRODUCT((BZ$4&gt;=$J$6:$J$19)*(BZ$4&lt;=$K$6:$K$19)*$M$6:$M$19)</f>
        <v/>
      </c>
      <c r="CA21" s="32">
        <f>SUMPRODUCT((CA$4&gt;=$J$6:$J$19)*(CA$4&lt;=$K$6:$K$19)*$M$6:$M$19)</f>
        <v/>
      </c>
      <c r="CB21" s="32">
        <f>SUMPRODUCT((CB$4&gt;=$J$6:$J$19)*(CB$4&lt;=$K$6:$K$19)*$M$6:$M$19)</f>
        <v/>
      </c>
      <c r="CC21" s="32">
        <f>SUMPRODUCT((CC$4&gt;=$J$6:$J$19)*(CC$4&lt;=$K$6:$K$19)*$M$6:$M$19)</f>
        <v/>
      </c>
      <c r="CD21" s="32">
        <f>SUMPRODUCT((CD$4&gt;=$J$6:$J$19)*(CD$4&lt;=$K$6:$K$19)*$M$6:$M$19)</f>
        <v/>
      </c>
      <c r="CE21" s="32">
        <f>SUMPRODUCT((CE$4&gt;=$J$6:$J$19)*(CE$4&lt;=$K$6:$K$19)*$M$6:$M$19)</f>
        <v/>
      </c>
      <c r="CF21" s="32">
        <f>SUMPRODUCT((CF$4&gt;=$J$6:$J$19)*(CF$4&lt;=$K$6:$K$19)*$M$6:$M$19)</f>
        <v/>
      </c>
      <c r="CG21" s="32">
        <f>SUMPRODUCT((CG$4&gt;=$J$6:$J$19)*(CG$4&lt;=$K$6:$K$19)*$M$6:$M$19)</f>
        <v/>
      </c>
      <c r="CH21" s="32">
        <f>SUMPRODUCT((CH$4&gt;=$J$6:$J$19)*(CH$4&lt;=$K$6:$K$19)*$M$6:$M$19)</f>
        <v/>
      </c>
      <c r="CI21" s="32">
        <f>SUMPRODUCT((CI$4&gt;=$J$6:$J$19)*(CI$4&lt;=$K$6:$K$19)*$M$6:$M$19)</f>
        <v/>
      </c>
      <c r="CJ21" s="32">
        <f>SUMPRODUCT((CJ$4&gt;=$J$6:$J$19)*(CJ$4&lt;=$K$6:$K$19)*$M$6:$M$19)</f>
        <v/>
      </c>
      <c r="CK21" s="32">
        <f>SUMPRODUCT((CK$4&gt;=$J$6:$J$19)*(CK$4&lt;=$K$6:$K$19)*$M$6:$M$19)</f>
        <v/>
      </c>
      <c r="CL21" s="32">
        <f>SUMPRODUCT((CL$4&gt;=$J$6:$J$19)*(CL$4&lt;=$K$6:$K$19)*$M$6:$M$19)</f>
        <v/>
      </c>
      <c r="CM21" s="32">
        <f>SUMPRODUCT((CM$4&gt;=$J$6:$J$19)*(CM$4&lt;=$K$6:$K$19)*$M$6:$M$19)</f>
        <v/>
      </c>
      <c r="CN21" s="32">
        <f>SUMPRODUCT((CN$4&gt;=$J$6:$J$19)*(CN$4&lt;=$K$6:$K$19)*$M$6:$M$19)</f>
        <v/>
      </c>
      <c r="CO21" s="32">
        <f>SUMPRODUCT((CO$4&gt;=$J$6:$J$19)*(CO$4&lt;=$K$6:$K$19)*$M$6:$M$19)</f>
        <v/>
      </c>
      <c r="CP21" s="32">
        <f>SUMPRODUCT((CP$4&gt;=$J$6:$J$19)*(CP$4&lt;=$K$6:$K$19)*$M$6:$M$19)</f>
        <v/>
      </c>
      <c r="CQ21" s="32">
        <f>SUMPRODUCT((CQ$4&gt;=$J$6:$J$19)*(CQ$4&lt;=$K$6:$K$19)*$M$6:$M$19)</f>
        <v/>
      </c>
      <c r="CR21" s="32">
        <f>SUMPRODUCT((CR$4&gt;=$J$6:$J$19)*(CR$4&lt;=$K$6:$K$19)*$M$6:$M$19)</f>
        <v/>
      </c>
      <c r="CS21" s="32">
        <f>SUMPRODUCT((CS$4&gt;=$J$6:$J$19)*(CS$4&lt;=$K$6:$K$19)*$M$6:$M$19)</f>
        <v/>
      </c>
      <c r="CT21" s="32">
        <f>SUMPRODUCT((CT$4&gt;=$J$6:$J$19)*(CT$4&lt;=$K$6:$K$19)*$M$6:$M$19)</f>
        <v/>
      </c>
      <c r="CU21" s="32">
        <f>SUMPRODUCT((CU$4&gt;=$J$6:$J$19)*(CU$4&lt;=$K$6:$K$19)*$M$6:$M$19)</f>
        <v/>
      </c>
      <c r="CV21" s="32">
        <f>SUMPRODUCT((CV$4&gt;=$J$6:$J$19)*(CV$4&lt;=$K$6:$K$19)*$M$6:$M$19)</f>
        <v/>
      </c>
      <c r="CW21" s="32">
        <f>SUMPRODUCT((CW$4&gt;=$J$6:$J$19)*(CW$4&lt;=$K$6:$K$19)*$M$6:$M$19)</f>
        <v/>
      </c>
      <c r="CX21" s="32">
        <f>SUMPRODUCT((CX$4&gt;=$J$6:$J$19)*(CX$4&lt;=$K$6:$K$19)*$M$6:$M$19)</f>
        <v/>
      </c>
      <c r="CY21" s="32">
        <f>SUMPRODUCT((CY$4&gt;=$J$6:$J$19)*(CY$4&lt;=$K$6:$K$19)*$M$6:$M$19)</f>
        <v/>
      </c>
      <c r="CZ21" s="32">
        <f>SUMPRODUCT((CZ$4&gt;=$J$6:$J$19)*(CZ$4&lt;=$K$6:$K$19)*$M$6:$M$19)</f>
        <v/>
      </c>
      <c r="DA21" s="32">
        <f>SUMPRODUCT((DA$4&gt;=$J$6:$J$19)*(DA$4&lt;=$K$6:$K$19)*$M$6:$M$19)</f>
        <v/>
      </c>
      <c r="DB21" s="32">
        <f>SUMPRODUCT((DB$4&gt;=$J$6:$J$19)*(DB$4&lt;=$K$6:$K$19)*$M$6:$M$19)</f>
        <v/>
      </c>
      <c r="DC21" s="32">
        <f>SUMPRODUCT((DC$4&gt;=$J$6:$J$19)*(DC$4&lt;=$K$6:$K$19)*$M$6:$M$19)</f>
        <v/>
      </c>
      <c r="DD21" s="32">
        <f>SUMPRODUCT((DD$4&gt;=$J$6:$J$19)*(DD$4&lt;=$K$6:$K$19)*$M$6:$M$19)</f>
        <v/>
      </c>
      <c r="DE21" s="32">
        <f>SUMPRODUCT((DE$4&gt;=$J$6:$J$19)*(DE$4&lt;=$K$6:$K$19)*$M$6:$M$19)</f>
        <v/>
      </c>
      <c r="DF21" s="32">
        <f>SUMPRODUCT((DF$4&gt;=$J$6:$J$19)*(DF$4&lt;=$K$6:$K$19)*$M$6:$M$19)</f>
        <v/>
      </c>
      <c r="DG21" s="32">
        <f>SUMPRODUCT((DG$4&gt;=$J$6:$J$19)*(DG$4&lt;=$K$6:$K$19)*$M$6:$M$19)</f>
        <v/>
      </c>
    </row>
    <row r="22">
      <c r="A22" s="33" t="n"/>
      <c r="B22" s="34" t="inlineStr">
        <is>
          <t>TỔNG SỐ LƯỢNG NHÂN CÔNG HUY ĐỘNG (Người/ngày)</t>
        </is>
      </c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5">
        <f>SUMPRODUCT((O$4&gt;=$J$6:$J$19)*(O$4&lt;=$K$6:$K$19)*$N$6:$N$19)</f>
        <v/>
      </c>
      <c r="P22" s="35">
        <f>SUMPRODUCT((P$4&gt;=$J$6:$J$19)*(P$4&lt;=$K$6:$K$19)*$N$6:$N$19)</f>
        <v/>
      </c>
      <c r="Q22" s="35">
        <f>SUMPRODUCT((Q$4&gt;=$J$6:$J$19)*(Q$4&lt;=$K$6:$K$19)*$N$6:$N$19)</f>
        <v/>
      </c>
      <c r="R22" s="35">
        <f>SUMPRODUCT((R$4&gt;=$J$6:$J$19)*(R$4&lt;=$K$6:$K$19)*$N$6:$N$19)</f>
        <v/>
      </c>
      <c r="S22" s="35">
        <f>SUMPRODUCT((S$4&gt;=$J$6:$J$19)*(S$4&lt;=$K$6:$K$19)*$N$6:$N$19)</f>
        <v/>
      </c>
      <c r="T22" s="35">
        <f>SUMPRODUCT((T$4&gt;=$J$6:$J$19)*(T$4&lt;=$K$6:$K$19)*$N$6:$N$19)</f>
        <v/>
      </c>
      <c r="U22" s="35">
        <f>SUMPRODUCT((U$4&gt;=$J$6:$J$19)*(U$4&lt;=$K$6:$K$19)*$N$6:$N$19)</f>
        <v/>
      </c>
      <c r="V22" s="35">
        <f>SUMPRODUCT((V$4&gt;=$J$6:$J$19)*(V$4&lt;=$K$6:$K$19)*$N$6:$N$19)</f>
        <v/>
      </c>
      <c r="W22" s="35">
        <f>SUMPRODUCT((W$4&gt;=$J$6:$J$19)*(W$4&lt;=$K$6:$K$19)*$N$6:$N$19)</f>
        <v/>
      </c>
      <c r="X22" s="35">
        <f>SUMPRODUCT((X$4&gt;=$J$6:$J$19)*(X$4&lt;=$K$6:$K$19)*$N$6:$N$19)</f>
        <v/>
      </c>
      <c r="Y22" s="35">
        <f>SUMPRODUCT((Y$4&gt;=$J$6:$J$19)*(Y$4&lt;=$K$6:$K$19)*$N$6:$N$19)</f>
        <v/>
      </c>
      <c r="Z22" s="35">
        <f>SUMPRODUCT((Z$4&gt;=$J$6:$J$19)*(Z$4&lt;=$K$6:$K$19)*$N$6:$N$19)</f>
        <v/>
      </c>
      <c r="AA22" s="35">
        <f>SUMPRODUCT((AA$4&gt;=$J$6:$J$19)*(AA$4&lt;=$K$6:$K$19)*$N$6:$N$19)</f>
        <v/>
      </c>
      <c r="AB22" s="35">
        <f>SUMPRODUCT((AB$4&gt;=$J$6:$J$19)*(AB$4&lt;=$K$6:$K$19)*$N$6:$N$19)</f>
        <v/>
      </c>
      <c r="AC22" s="35">
        <f>SUMPRODUCT((AC$4&gt;=$J$6:$J$19)*(AC$4&lt;=$K$6:$K$19)*$N$6:$N$19)</f>
        <v/>
      </c>
      <c r="AD22" s="35">
        <f>SUMPRODUCT((AD$4&gt;=$J$6:$J$19)*(AD$4&lt;=$K$6:$K$19)*$N$6:$N$19)</f>
        <v/>
      </c>
      <c r="AE22" s="35">
        <f>SUMPRODUCT((AE$4&gt;=$J$6:$J$19)*(AE$4&lt;=$K$6:$K$19)*$N$6:$N$19)</f>
        <v/>
      </c>
      <c r="AF22" s="35">
        <f>SUMPRODUCT((AF$4&gt;=$J$6:$J$19)*(AF$4&lt;=$K$6:$K$19)*$N$6:$N$19)</f>
        <v/>
      </c>
      <c r="AG22" s="35">
        <f>SUMPRODUCT((AG$4&gt;=$J$6:$J$19)*(AG$4&lt;=$K$6:$K$19)*$N$6:$N$19)</f>
        <v/>
      </c>
      <c r="AH22" s="35">
        <f>SUMPRODUCT((AH$4&gt;=$J$6:$J$19)*(AH$4&lt;=$K$6:$K$19)*$N$6:$N$19)</f>
        <v/>
      </c>
      <c r="AI22" s="35">
        <f>SUMPRODUCT((AI$4&gt;=$J$6:$J$19)*(AI$4&lt;=$K$6:$K$19)*$N$6:$N$19)</f>
        <v/>
      </c>
      <c r="AJ22" s="35">
        <f>SUMPRODUCT((AJ$4&gt;=$J$6:$J$19)*(AJ$4&lt;=$K$6:$K$19)*$N$6:$N$19)</f>
        <v/>
      </c>
      <c r="AK22" s="35">
        <f>SUMPRODUCT((AK$4&gt;=$J$6:$J$19)*(AK$4&lt;=$K$6:$K$19)*$N$6:$N$19)</f>
        <v/>
      </c>
      <c r="AL22" s="35">
        <f>SUMPRODUCT((AL$4&gt;=$J$6:$J$19)*(AL$4&lt;=$K$6:$K$19)*$N$6:$N$19)</f>
        <v/>
      </c>
      <c r="AM22" s="35">
        <f>SUMPRODUCT((AM$4&gt;=$J$6:$J$19)*(AM$4&lt;=$K$6:$K$19)*$N$6:$N$19)</f>
        <v/>
      </c>
      <c r="AN22" s="35">
        <f>SUMPRODUCT((AN$4&gt;=$J$6:$J$19)*(AN$4&lt;=$K$6:$K$19)*$N$6:$N$19)</f>
        <v/>
      </c>
      <c r="AO22" s="35">
        <f>SUMPRODUCT((AO$4&gt;=$J$6:$J$19)*(AO$4&lt;=$K$6:$K$19)*$N$6:$N$19)</f>
        <v/>
      </c>
      <c r="AP22" s="35">
        <f>SUMPRODUCT((AP$4&gt;=$J$6:$J$19)*(AP$4&lt;=$K$6:$K$19)*$N$6:$N$19)</f>
        <v/>
      </c>
      <c r="AQ22" s="35">
        <f>SUMPRODUCT((AQ$4&gt;=$J$6:$J$19)*(AQ$4&lt;=$K$6:$K$19)*$N$6:$N$19)</f>
        <v/>
      </c>
      <c r="AR22" s="35">
        <f>SUMPRODUCT((AR$4&gt;=$J$6:$J$19)*(AR$4&lt;=$K$6:$K$19)*$N$6:$N$19)</f>
        <v/>
      </c>
      <c r="AS22" s="35">
        <f>SUMPRODUCT((AS$4&gt;=$J$6:$J$19)*(AS$4&lt;=$K$6:$K$19)*$N$6:$N$19)</f>
        <v/>
      </c>
      <c r="AT22" s="35">
        <f>SUMPRODUCT((AT$4&gt;=$J$6:$J$19)*(AT$4&lt;=$K$6:$K$19)*$N$6:$N$19)</f>
        <v/>
      </c>
      <c r="AU22" s="35">
        <f>SUMPRODUCT((AU$4&gt;=$J$6:$J$19)*(AU$4&lt;=$K$6:$K$19)*$N$6:$N$19)</f>
        <v/>
      </c>
      <c r="AV22" s="35">
        <f>SUMPRODUCT((AV$4&gt;=$J$6:$J$19)*(AV$4&lt;=$K$6:$K$19)*$N$6:$N$19)</f>
        <v/>
      </c>
      <c r="AW22" s="35">
        <f>SUMPRODUCT((AW$4&gt;=$J$6:$J$19)*(AW$4&lt;=$K$6:$K$19)*$N$6:$N$19)</f>
        <v/>
      </c>
      <c r="AX22" s="35">
        <f>SUMPRODUCT((AX$4&gt;=$J$6:$J$19)*(AX$4&lt;=$K$6:$K$19)*$N$6:$N$19)</f>
        <v/>
      </c>
      <c r="AY22" s="35">
        <f>SUMPRODUCT((AY$4&gt;=$J$6:$J$19)*(AY$4&lt;=$K$6:$K$19)*$N$6:$N$19)</f>
        <v/>
      </c>
      <c r="AZ22" s="35">
        <f>SUMPRODUCT((AZ$4&gt;=$J$6:$J$19)*(AZ$4&lt;=$K$6:$K$19)*$N$6:$N$19)</f>
        <v/>
      </c>
      <c r="BA22" s="35">
        <f>SUMPRODUCT((BA$4&gt;=$J$6:$J$19)*(BA$4&lt;=$K$6:$K$19)*$N$6:$N$19)</f>
        <v/>
      </c>
      <c r="BB22" s="35">
        <f>SUMPRODUCT((BB$4&gt;=$J$6:$J$19)*(BB$4&lt;=$K$6:$K$19)*$N$6:$N$19)</f>
        <v/>
      </c>
      <c r="BC22" s="35">
        <f>SUMPRODUCT((BC$4&gt;=$J$6:$J$19)*(BC$4&lt;=$K$6:$K$19)*$N$6:$N$19)</f>
        <v/>
      </c>
      <c r="BD22" s="35">
        <f>SUMPRODUCT((BD$4&gt;=$J$6:$J$19)*(BD$4&lt;=$K$6:$K$19)*$N$6:$N$19)</f>
        <v/>
      </c>
      <c r="BE22" s="35">
        <f>SUMPRODUCT((BE$4&gt;=$J$6:$J$19)*(BE$4&lt;=$K$6:$K$19)*$N$6:$N$19)</f>
        <v/>
      </c>
      <c r="BF22" s="35">
        <f>SUMPRODUCT((BF$4&gt;=$J$6:$J$19)*(BF$4&lt;=$K$6:$K$19)*$N$6:$N$19)</f>
        <v/>
      </c>
      <c r="BG22" s="35">
        <f>SUMPRODUCT((BG$4&gt;=$J$6:$J$19)*(BG$4&lt;=$K$6:$K$19)*$N$6:$N$19)</f>
        <v/>
      </c>
      <c r="BH22" s="35">
        <f>SUMPRODUCT((BH$4&gt;=$J$6:$J$19)*(BH$4&lt;=$K$6:$K$19)*$N$6:$N$19)</f>
        <v/>
      </c>
      <c r="BI22" s="35">
        <f>SUMPRODUCT((BI$4&gt;=$J$6:$J$19)*(BI$4&lt;=$K$6:$K$19)*$N$6:$N$19)</f>
        <v/>
      </c>
      <c r="BJ22" s="35">
        <f>SUMPRODUCT((BJ$4&gt;=$J$6:$J$19)*(BJ$4&lt;=$K$6:$K$19)*$N$6:$N$19)</f>
        <v/>
      </c>
      <c r="BK22" s="35">
        <f>SUMPRODUCT((BK$4&gt;=$J$6:$J$19)*(BK$4&lt;=$K$6:$K$19)*$N$6:$N$19)</f>
        <v/>
      </c>
      <c r="BL22" s="35">
        <f>SUMPRODUCT((BL$4&gt;=$J$6:$J$19)*(BL$4&lt;=$K$6:$K$19)*$N$6:$N$19)</f>
        <v/>
      </c>
      <c r="BM22" s="35">
        <f>SUMPRODUCT((BM$4&gt;=$J$6:$J$19)*(BM$4&lt;=$K$6:$K$19)*$N$6:$N$19)</f>
        <v/>
      </c>
      <c r="BN22" s="35">
        <f>SUMPRODUCT((BN$4&gt;=$J$6:$J$19)*(BN$4&lt;=$K$6:$K$19)*$N$6:$N$19)</f>
        <v/>
      </c>
      <c r="BO22" s="35">
        <f>SUMPRODUCT((BO$4&gt;=$J$6:$J$19)*(BO$4&lt;=$K$6:$K$19)*$N$6:$N$19)</f>
        <v/>
      </c>
      <c r="BP22" s="35">
        <f>SUMPRODUCT((BP$4&gt;=$J$6:$J$19)*(BP$4&lt;=$K$6:$K$19)*$N$6:$N$19)</f>
        <v/>
      </c>
      <c r="BQ22" s="35">
        <f>SUMPRODUCT((BQ$4&gt;=$J$6:$J$19)*(BQ$4&lt;=$K$6:$K$19)*$N$6:$N$19)</f>
        <v/>
      </c>
      <c r="BR22" s="35">
        <f>SUMPRODUCT((BR$4&gt;=$J$6:$J$19)*(BR$4&lt;=$K$6:$K$19)*$N$6:$N$19)</f>
        <v/>
      </c>
      <c r="BS22" s="35">
        <f>SUMPRODUCT((BS$4&gt;=$J$6:$J$19)*(BS$4&lt;=$K$6:$K$19)*$N$6:$N$19)</f>
        <v/>
      </c>
      <c r="BT22" s="35">
        <f>SUMPRODUCT((BT$4&gt;=$J$6:$J$19)*(BT$4&lt;=$K$6:$K$19)*$N$6:$N$19)</f>
        <v/>
      </c>
      <c r="BU22" s="35">
        <f>SUMPRODUCT((BU$4&gt;=$J$6:$J$19)*(BU$4&lt;=$K$6:$K$19)*$N$6:$N$19)</f>
        <v/>
      </c>
      <c r="BV22" s="35">
        <f>SUMPRODUCT((BV$4&gt;=$J$6:$J$19)*(BV$4&lt;=$K$6:$K$19)*$N$6:$N$19)</f>
        <v/>
      </c>
      <c r="BW22" s="35">
        <f>SUMPRODUCT((BW$4&gt;=$J$6:$J$19)*(BW$4&lt;=$K$6:$K$19)*$N$6:$N$19)</f>
        <v/>
      </c>
      <c r="BX22" s="35">
        <f>SUMPRODUCT((BX$4&gt;=$J$6:$J$19)*(BX$4&lt;=$K$6:$K$19)*$N$6:$N$19)</f>
        <v/>
      </c>
      <c r="BY22" s="35">
        <f>SUMPRODUCT((BY$4&gt;=$J$6:$J$19)*(BY$4&lt;=$K$6:$K$19)*$N$6:$N$19)</f>
        <v/>
      </c>
      <c r="BZ22" s="35">
        <f>SUMPRODUCT((BZ$4&gt;=$J$6:$J$19)*(BZ$4&lt;=$K$6:$K$19)*$N$6:$N$19)</f>
        <v/>
      </c>
      <c r="CA22" s="35">
        <f>SUMPRODUCT((CA$4&gt;=$J$6:$J$19)*(CA$4&lt;=$K$6:$K$19)*$N$6:$N$19)</f>
        <v/>
      </c>
      <c r="CB22" s="35">
        <f>SUMPRODUCT((CB$4&gt;=$J$6:$J$19)*(CB$4&lt;=$K$6:$K$19)*$N$6:$N$19)</f>
        <v/>
      </c>
      <c r="CC22" s="35">
        <f>SUMPRODUCT((CC$4&gt;=$J$6:$J$19)*(CC$4&lt;=$K$6:$K$19)*$N$6:$N$19)</f>
        <v/>
      </c>
      <c r="CD22" s="35">
        <f>SUMPRODUCT((CD$4&gt;=$J$6:$J$19)*(CD$4&lt;=$K$6:$K$19)*$N$6:$N$19)</f>
        <v/>
      </c>
      <c r="CE22" s="35">
        <f>SUMPRODUCT((CE$4&gt;=$J$6:$J$19)*(CE$4&lt;=$K$6:$K$19)*$N$6:$N$19)</f>
        <v/>
      </c>
      <c r="CF22" s="35">
        <f>SUMPRODUCT((CF$4&gt;=$J$6:$J$19)*(CF$4&lt;=$K$6:$K$19)*$N$6:$N$19)</f>
        <v/>
      </c>
      <c r="CG22" s="35">
        <f>SUMPRODUCT((CG$4&gt;=$J$6:$J$19)*(CG$4&lt;=$K$6:$K$19)*$N$6:$N$19)</f>
        <v/>
      </c>
      <c r="CH22" s="35">
        <f>SUMPRODUCT((CH$4&gt;=$J$6:$J$19)*(CH$4&lt;=$K$6:$K$19)*$N$6:$N$19)</f>
        <v/>
      </c>
      <c r="CI22" s="35">
        <f>SUMPRODUCT((CI$4&gt;=$J$6:$J$19)*(CI$4&lt;=$K$6:$K$19)*$N$6:$N$19)</f>
        <v/>
      </c>
      <c r="CJ22" s="35">
        <f>SUMPRODUCT((CJ$4&gt;=$J$6:$J$19)*(CJ$4&lt;=$K$6:$K$19)*$N$6:$N$19)</f>
        <v/>
      </c>
      <c r="CK22" s="35">
        <f>SUMPRODUCT((CK$4&gt;=$J$6:$J$19)*(CK$4&lt;=$K$6:$K$19)*$N$6:$N$19)</f>
        <v/>
      </c>
      <c r="CL22" s="35">
        <f>SUMPRODUCT((CL$4&gt;=$J$6:$J$19)*(CL$4&lt;=$K$6:$K$19)*$N$6:$N$19)</f>
        <v/>
      </c>
      <c r="CM22" s="35">
        <f>SUMPRODUCT((CM$4&gt;=$J$6:$J$19)*(CM$4&lt;=$K$6:$K$19)*$N$6:$N$19)</f>
        <v/>
      </c>
      <c r="CN22" s="35">
        <f>SUMPRODUCT((CN$4&gt;=$J$6:$J$19)*(CN$4&lt;=$K$6:$K$19)*$N$6:$N$19)</f>
        <v/>
      </c>
      <c r="CO22" s="35">
        <f>SUMPRODUCT((CO$4&gt;=$J$6:$J$19)*(CO$4&lt;=$K$6:$K$19)*$N$6:$N$19)</f>
        <v/>
      </c>
      <c r="CP22" s="35">
        <f>SUMPRODUCT((CP$4&gt;=$J$6:$J$19)*(CP$4&lt;=$K$6:$K$19)*$N$6:$N$19)</f>
        <v/>
      </c>
      <c r="CQ22" s="35">
        <f>SUMPRODUCT((CQ$4&gt;=$J$6:$J$19)*(CQ$4&lt;=$K$6:$K$19)*$N$6:$N$19)</f>
        <v/>
      </c>
      <c r="CR22" s="35">
        <f>SUMPRODUCT((CR$4&gt;=$J$6:$J$19)*(CR$4&lt;=$K$6:$K$19)*$N$6:$N$19)</f>
        <v/>
      </c>
      <c r="CS22" s="35">
        <f>SUMPRODUCT((CS$4&gt;=$J$6:$J$19)*(CS$4&lt;=$K$6:$K$19)*$N$6:$N$19)</f>
        <v/>
      </c>
      <c r="CT22" s="35">
        <f>SUMPRODUCT((CT$4&gt;=$J$6:$J$19)*(CT$4&lt;=$K$6:$K$19)*$N$6:$N$19)</f>
        <v/>
      </c>
      <c r="CU22" s="35">
        <f>SUMPRODUCT((CU$4&gt;=$J$6:$J$19)*(CU$4&lt;=$K$6:$K$19)*$N$6:$N$19)</f>
        <v/>
      </c>
      <c r="CV22" s="35">
        <f>SUMPRODUCT((CV$4&gt;=$J$6:$J$19)*(CV$4&lt;=$K$6:$K$19)*$N$6:$N$19)</f>
        <v/>
      </c>
      <c r="CW22" s="35">
        <f>SUMPRODUCT((CW$4&gt;=$J$6:$J$19)*(CW$4&lt;=$K$6:$K$19)*$N$6:$N$19)</f>
        <v/>
      </c>
      <c r="CX22" s="35">
        <f>SUMPRODUCT((CX$4&gt;=$J$6:$J$19)*(CX$4&lt;=$K$6:$K$19)*$N$6:$N$19)</f>
        <v/>
      </c>
      <c r="CY22" s="35">
        <f>SUMPRODUCT((CY$4&gt;=$J$6:$J$19)*(CY$4&lt;=$K$6:$K$19)*$N$6:$N$19)</f>
        <v/>
      </c>
      <c r="CZ22" s="35">
        <f>SUMPRODUCT((CZ$4&gt;=$J$6:$J$19)*(CZ$4&lt;=$K$6:$K$19)*$N$6:$N$19)</f>
        <v/>
      </c>
      <c r="DA22" s="35">
        <f>SUMPRODUCT((DA$4&gt;=$J$6:$J$19)*(DA$4&lt;=$K$6:$K$19)*$N$6:$N$19)</f>
        <v/>
      </c>
      <c r="DB22" s="35">
        <f>SUMPRODUCT((DB$4&gt;=$J$6:$J$19)*(DB$4&lt;=$K$6:$K$19)*$N$6:$N$19)</f>
        <v/>
      </c>
      <c r="DC22" s="35">
        <f>SUMPRODUCT((DC$4&gt;=$J$6:$J$19)*(DC$4&lt;=$K$6:$K$19)*$N$6:$N$19)</f>
        <v/>
      </c>
      <c r="DD22" s="35">
        <f>SUMPRODUCT((DD$4&gt;=$J$6:$J$19)*(DD$4&lt;=$K$6:$K$19)*$N$6:$N$19)</f>
        <v/>
      </c>
      <c r="DE22" s="35">
        <f>SUMPRODUCT((DE$4&gt;=$J$6:$J$19)*(DE$4&lt;=$K$6:$K$19)*$N$6:$N$19)</f>
        <v/>
      </c>
      <c r="DF22" s="35">
        <f>SUMPRODUCT((DF$4&gt;=$J$6:$J$19)*(DF$4&lt;=$K$6:$K$19)*$N$6:$N$19)</f>
        <v/>
      </c>
      <c r="DG22" s="35">
        <f>SUMPRODUCT((DG$4&gt;=$J$6:$J$19)*(DG$4&lt;=$K$6:$K$19)*$N$6:$N$19)</f>
        <v/>
      </c>
    </row>
  </sheetData>
  <mergeCells count="2">
    <mergeCell ref="B22:N22"/>
    <mergeCell ref="B21:N2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16"/>
  <sheetViews>
    <sheetView showGridLines="1" workbookViewId="0">
      <selection activeCell="A1" sqref="A1"/>
    </sheetView>
  </sheetViews>
  <sheetFormatPr baseColWidth="8" defaultRowHeight="15"/>
  <cols>
    <col width="6" customWidth="1" min="2" max="2"/>
    <col width="10" customWidth="1" min="3" max="3"/>
    <col width="34" customWidth="1" min="4" max="4"/>
    <col width="18" customWidth="1" min="5" max="5"/>
    <col width="20" customWidth="1" min="6" max="6"/>
    <col width="20" customWidth="1" min="7" max="7"/>
    <col width="2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>
      <c r="B2" s="12" t="inlineStr">
        <is>
          <t>BẢNG TỔNG HỢP CA XE, CA MÁY &amp; KẾ HOẠCH CẤP PHÁT NHIÊN LIỆU DẦU DIESEL</t>
        </is>
      </c>
    </row>
    <row r="3">
      <c r="B3" s="13" t="inlineStr">
        <is>
          <t>Liên kết động 100%: Tự động tính số ca máy, số máy Peak và lượng dầu từ Sheet 03</t>
        </is>
      </c>
    </row>
    <row r="5">
      <c r="B5" s="36" t="inlineStr">
        <is>
          <t>TT</t>
        </is>
      </c>
      <c r="C5" s="36" t="inlineStr">
        <is>
          <t>Mã máy</t>
        </is>
      </c>
      <c r="D5" s="36" t="inlineStr">
        <is>
          <t>Tên phương tiện / Thiết bị</t>
        </is>
      </c>
      <c r="E5" s="36" t="inlineStr">
        <is>
          <t>Định mức dầu (L/ca)
(=VLOOKUP)</t>
        </is>
      </c>
      <c r="F5" s="36" t="inlineStr">
        <is>
          <t>Tổng số ca máy
(=SUMIF)</t>
        </is>
      </c>
      <c r="G5" s="36" t="inlineStr">
        <is>
          <t>Số máy huy động Max
(=SUMIF)</t>
        </is>
      </c>
      <c r="H5" s="36" t="inlineStr">
        <is>
          <t>Tổng lượng dầu Diesel (Lít)
(=Số ca * Định mức)</t>
        </is>
      </c>
      <c r="I5" s="36" t="inlineStr">
        <is>
          <t>Dầu Tháng 8 (L)</t>
        </is>
      </c>
      <c r="J5" s="36" t="inlineStr">
        <is>
          <t>Dầu Tháng 9 (L)</t>
        </is>
      </c>
      <c r="K5" s="36" t="inlineStr">
        <is>
          <t>Dầu Tháng 10 (L)</t>
        </is>
      </c>
      <c r="L5" s="36" t="inlineStr">
        <is>
          <t>Dầu Tháng 11 (L)</t>
        </is>
      </c>
    </row>
    <row r="6">
      <c r="B6" s="23" t="n">
        <v>1</v>
      </c>
      <c r="C6" s="23" t="inlineStr">
        <is>
          <t>M1</t>
        </is>
      </c>
      <c r="D6" s="24" t="inlineStr">
        <is>
          <t>Máy xúc bánh xích PC200 - PC300</t>
        </is>
      </c>
      <c r="E6" s="25">
        <f>VLOOKUP(C6, '02_DINH_MUC_CA_MAY_VA_DAU'!$C$6:$H$16, 6, FALSE)</f>
        <v/>
      </c>
      <c r="F6" s="25">
        <f>SUMIF('03_TIEN_DO_GANTT_CPM'!$F$6:$F$19, C6, '03_TIEN_DO_GANTT_CPM'!$H$6:$H$19)</f>
        <v/>
      </c>
      <c r="G6" s="26">
        <f>SUMIF('03_TIEN_DO_GANTT_CPM'!$F$6:$F$19, C6, '03_TIEN_DO_GANTT_CPM'!$M$6:$M$19)</f>
        <v/>
      </c>
      <c r="H6" s="25">
        <f>F6*E6</f>
        <v/>
      </c>
      <c r="I6" s="26">
        <f>ROUND(H6*0.21, 0)</f>
        <v/>
      </c>
      <c r="J6" s="26">
        <f>ROUND(H6*0.39, 0)</f>
        <v/>
      </c>
      <c r="K6" s="26">
        <f>ROUND(H6*0.32, 0)</f>
        <v/>
      </c>
      <c r="L6" s="26">
        <f>H6-I6-J6-K6</f>
        <v/>
      </c>
    </row>
    <row r="7">
      <c r="B7" s="23" t="n">
        <v>2</v>
      </c>
      <c r="C7" s="23" t="inlineStr">
        <is>
          <t>M3</t>
        </is>
      </c>
      <c r="D7" s="24" t="inlineStr">
        <is>
          <t>Máy ủi D3 - D5</t>
        </is>
      </c>
      <c r="E7" s="25">
        <f>VLOOKUP(C7, '02_DINH_MUC_CA_MAY_VA_DAU'!$C$6:$H$16, 6, FALSE)</f>
        <v/>
      </c>
      <c r="F7" s="25">
        <f>SUMIF('03_TIEN_DO_GANTT_CPM'!$F$6:$F$19, C7, '03_TIEN_DO_GANTT_CPM'!$H$6:$H$19)</f>
        <v/>
      </c>
      <c r="G7" s="26">
        <f>SUMIF('03_TIEN_DO_GANTT_CPM'!$F$6:$F$19, C7, '03_TIEN_DO_GANTT_CPM'!$M$6:$M$19)</f>
        <v/>
      </c>
      <c r="H7" s="25">
        <f>F7*E7</f>
        <v/>
      </c>
      <c r="I7" s="26">
        <f>ROUND(H7*0.21, 0)</f>
        <v/>
      </c>
      <c r="J7" s="26">
        <f>ROUND(H7*0.39, 0)</f>
        <v/>
      </c>
      <c r="K7" s="26">
        <f>ROUND(H7*0.32, 0)</f>
        <v/>
      </c>
      <c r="L7" s="26">
        <f>H7-I7-J7-K7</f>
        <v/>
      </c>
    </row>
    <row r="8">
      <c r="B8" s="23" t="n">
        <v>3</v>
      </c>
      <c r="C8" s="23" t="inlineStr">
        <is>
          <t>M4</t>
        </is>
      </c>
      <c r="D8" s="24" t="inlineStr">
        <is>
          <t>Máy ủi công suất lớn CS 230CV</t>
        </is>
      </c>
      <c r="E8" s="25">
        <f>VLOOKUP(C8, '02_DINH_MUC_CA_MAY_VA_DAU'!$C$6:$H$16, 6, FALSE)</f>
        <v/>
      </c>
      <c r="F8" s="25">
        <f>SUMIF('03_TIEN_DO_GANTT_CPM'!$F$6:$F$19, C8, '03_TIEN_DO_GANTT_CPM'!$H$6:$H$19)</f>
        <v/>
      </c>
      <c r="G8" s="26">
        <f>SUMIF('03_TIEN_DO_GANTT_CPM'!$F$6:$F$19, C8, '03_TIEN_DO_GANTT_CPM'!$M$6:$M$19)</f>
        <v/>
      </c>
      <c r="H8" s="25">
        <f>F8*E8</f>
        <v/>
      </c>
      <c r="I8" s="26">
        <f>ROUND(H8*0.21, 0)</f>
        <v/>
      </c>
      <c r="J8" s="26">
        <f>ROUND(H8*0.39, 0)</f>
        <v/>
      </c>
      <c r="K8" s="26">
        <f>ROUND(H8*0.32, 0)</f>
        <v/>
      </c>
      <c r="L8" s="26">
        <f>H8-I8-J8-K8</f>
        <v/>
      </c>
    </row>
    <row r="9">
      <c r="B9" s="23" t="n">
        <v>4</v>
      </c>
      <c r="C9" s="23" t="inlineStr">
        <is>
          <t>M5</t>
        </is>
      </c>
      <c r="D9" s="24" t="inlineStr">
        <is>
          <t>Máy lu rung 12T - 16T</t>
        </is>
      </c>
      <c r="E9" s="25">
        <f>VLOOKUP(C9, '02_DINH_MUC_CA_MAY_VA_DAU'!$C$6:$H$16, 6, FALSE)</f>
        <v/>
      </c>
      <c r="F9" s="25">
        <f>SUMIF('03_TIEN_DO_GANTT_CPM'!$F$6:$F$19, C9, '03_TIEN_DO_GANTT_CPM'!$H$6:$H$19)</f>
        <v/>
      </c>
      <c r="G9" s="26">
        <f>SUMIF('03_TIEN_DO_GANTT_CPM'!$F$6:$F$19, C9, '03_TIEN_DO_GANTT_CPM'!$M$6:$M$19)</f>
        <v/>
      </c>
      <c r="H9" s="25">
        <f>F9*E9</f>
        <v/>
      </c>
      <c r="I9" s="26">
        <f>ROUND(H9*0.21, 0)</f>
        <v/>
      </c>
      <c r="J9" s="26">
        <f>ROUND(H9*0.39, 0)</f>
        <v/>
      </c>
      <c r="K9" s="26">
        <f>ROUND(H9*0.32, 0)</f>
        <v/>
      </c>
      <c r="L9" s="26">
        <f>H9-I9-J9-K9</f>
        <v/>
      </c>
    </row>
    <row r="10">
      <c r="B10" s="23" t="n">
        <v>5</v>
      </c>
      <c r="C10" s="23" t="inlineStr">
        <is>
          <t>M6</t>
        </is>
      </c>
      <c r="D10" s="24" t="inlineStr">
        <is>
          <t>Máy san tự hành 110CV</t>
        </is>
      </c>
      <c r="E10" s="25">
        <f>VLOOKUP(C10, '02_DINH_MUC_CA_MAY_VA_DAU'!$C$6:$H$16, 6, FALSE)</f>
        <v/>
      </c>
      <c r="F10" s="25">
        <f>SUMIF('03_TIEN_DO_GANTT_CPM'!$F$6:$F$19, C10, '03_TIEN_DO_GANTT_CPM'!$H$6:$H$19)</f>
        <v/>
      </c>
      <c r="G10" s="26">
        <f>SUMIF('03_TIEN_DO_GANTT_CPM'!$F$6:$F$19, C10, '03_TIEN_DO_GANTT_CPM'!$M$6:$M$19)</f>
        <v/>
      </c>
      <c r="H10" s="25">
        <f>F10*E10</f>
        <v/>
      </c>
      <c r="I10" s="26">
        <f>ROUND(H10*0.21, 0)</f>
        <v/>
      </c>
      <c r="J10" s="26">
        <f>ROUND(H10*0.39, 0)</f>
        <v/>
      </c>
      <c r="K10" s="26">
        <f>ROUND(H10*0.32, 0)</f>
        <v/>
      </c>
      <c r="L10" s="26">
        <f>H10-I10-J10-K10</f>
        <v/>
      </c>
    </row>
    <row r="11">
      <c r="B11" s="23" t="n">
        <v>6</v>
      </c>
      <c r="C11" s="23" t="inlineStr">
        <is>
          <t>M7</t>
        </is>
      </c>
      <c r="D11" s="24" t="inlineStr">
        <is>
          <t>Ô tô tự đổ 18 tấn</t>
        </is>
      </c>
      <c r="E11" s="25">
        <f>VLOOKUP(C11, '02_DINH_MUC_CA_MAY_VA_DAU'!$C$6:$H$16, 6, FALSE)</f>
        <v/>
      </c>
      <c r="F11" s="25">
        <f>SUMIF('03_TIEN_DO_GANTT_CPM'!$F$6:$F$19, C11, '03_TIEN_DO_GANTT_CPM'!$H$6:$H$19)</f>
        <v/>
      </c>
      <c r="G11" s="26">
        <f>SUMIF('03_TIEN_DO_GANTT_CPM'!$F$6:$F$19, C11, '03_TIEN_DO_GANTT_CPM'!$M$6:$M$19)</f>
        <v/>
      </c>
      <c r="H11" s="25">
        <f>F11*E11</f>
        <v/>
      </c>
      <c r="I11" s="26">
        <f>ROUND(H11*0.21, 0)</f>
        <v/>
      </c>
      <c r="J11" s="26">
        <f>ROUND(H11*0.39, 0)</f>
        <v/>
      </c>
      <c r="K11" s="26">
        <f>ROUND(H11*0.32, 0)</f>
        <v/>
      </c>
      <c r="L11" s="26">
        <f>H11-I11-J11-K11</f>
        <v/>
      </c>
    </row>
    <row r="12">
      <c r="B12" s="23" t="n">
        <v>7</v>
      </c>
      <c r="C12" s="23" t="inlineStr">
        <is>
          <t>M8</t>
        </is>
      </c>
      <c r="D12" s="24" t="inlineStr">
        <is>
          <t>Máy xúc bánh lốp PC140</t>
        </is>
      </c>
      <c r="E12" s="25">
        <f>VLOOKUP(C12, '02_DINH_MUC_CA_MAY_VA_DAU'!$C$6:$H$16, 6, FALSE)</f>
        <v/>
      </c>
      <c r="F12" s="25">
        <f>SUMIF('03_TIEN_DO_GANTT_CPM'!$F$6:$F$19, C12, '03_TIEN_DO_GANTT_CPM'!$H$6:$H$19)</f>
        <v/>
      </c>
      <c r="G12" s="26">
        <f>SUMIF('03_TIEN_DO_GANTT_CPM'!$F$6:$F$19, C12, '03_TIEN_DO_GANTT_CPM'!$M$6:$M$19)</f>
        <v/>
      </c>
      <c r="H12" s="25">
        <f>F12*E12</f>
        <v/>
      </c>
      <c r="I12" s="26">
        <f>ROUND(H12*0.21, 0)</f>
        <v/>
      </c>
      <c r="J12" s="26">
        <f>ROUND(H12*0.39, 0)</f>
        <v/>
      </c>
      <c r="K12" s="26">
        <f>ROUND(H12*0.32, 0)</f>
        <v/>
      </c>
      <c r="L12" s="26">
        <f>H12-I12-J12-K12</f>
        <v/>
      </c>
    </row>
    <row r="13">
      <c r="B13" s="23" t="n">
        <v>8</v>
      </c>
      <c r="C13" s="23" t="inlineStr">
        <is>
          <t>MP1</t>
        </is>
      </c>
      <c r="D13" s="24" t="inlineStr">
        <is>
          <t>Xe téc &amp; Xe cấp dầu hiện trường</t>
        </is>
      </c>
      <c r="E13" s="25">
        <f>VLOOKUP(C13, '02_DINH_MUC_CA_MAY_VA_DAU'!$C$6:$H$16, 6, FALSE)</f>
        <v/>
      </c>
      <c r="F13" s="25">
        <f>SUMIF('03_TIEN_DO_GANTT_CPM'!$F$6:$F$19, C13, '03_TIEN_DO_GANTT_CPM'!$H$6:$H$19)</f>
        <v/>
      </c>
      <c r="G13" s="26">
        <f>SUMIF('03_TIEN_DO_GANTT_CPM'!$F$6:$F$19, C13, '03_TIEN_DO_GANTT_CPM'!$M$6:$M$19)</f>
        <v/>
      </c>
      <c r="H13" s="25">
        <f>F13*E13</f>
        <v/>
      </c>
      <c r="I13" s="26">
        <f>ROUND(H13*0.21, 0)</f>
        <v/>
      </c>
      <c r="J13" s="26">
        <f>ROUND(H13*0.39, 0)</f>
        <v/>
      </c>
      <c r="K13" s="26">
        <f>ROUND(H13*0.32, 0)</f>
        <v/>
      </c>
      <c r="L13" s="26">
        <f>H13-I13-J13-K13</f>
        <v/>
      </c>
    </row>
    <row r="14">
      <c r="B14" s="37" t="inlineStr">
        <is>
          <t>TỔNG CỘNG TOÀN DỰ ÁN</t>
        </is>
      </c>
      <c r="C14" s="38" t="n"/>
      <c r="D14" s="38" t="n"/>
      <c r="E14" s="38" t="n"/>
      <c r="F14" s="39">
        <f>SUM(F6:F13)</f>
        <v/>
      </c>
      <c r="G14" s="40">
        <f>SUM(G6:G13)</f>
        <v/>
      </c>
      <c r="H14" s="39">
        <f>SUM(H6:H13)</f>
        <v/>
      </c>
      <c r="I14" s="40">
        <f>SUM(I6:I13)</f>
        <v/>
      </c>
      <c r="J14" s="40">
        <f>SUM(J6:J13)</f>
        <v/>
      </c>
      <c r="K14" s="40">
        <f>SUM(K6:K13)</f>
        <v/>
      </c>
      <c r="L14" s="40">
        <f>SUM(L6:L13)</f>
        <v/>
      </c>
    </row>
    <row r="16">
      <c r="I16" s="41" t="inlineStr">
        <is>
          <t>Tháng 8</t>
        </is>
      </c>
      <c r="J16" s="41" t="inlineStr">
        <is>
          <t>Tháng 9</t>
        </is>
      </c>
      <c r="K16" s="41" t="inlineStr">
        <is>
          <t>Tháng 10</t>
        </is>
      </c>
      <c r="L16" s="41" t="inlineStr">
        <is>
          <t>Tháng 11</t>
        </is>
      </c>
    </row>
  </sheetData>
  <mergeCells count="1">
    <mergeCell ref="B14:D1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2"/>
  <sheetViews>
    <sheetView showGridLines="1" workbookViewId="0">
      <selection activeCell="A1" sqref="A1"/>
    </sheetView>
  </sheetViews>
  <sheetFormatPr baseColWidth="8" defaultRowHeight="15"/>
  <cols>
    <col width="6" customWidth="1" min="2" max="2"/>
    <col width="10" customWidth="1" min="3" max="3"/>
    <col width="32" customWidth="1" min="4" max="4"/>
    <col width="8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38" customWidth="1" min="11" max="11"/>
  </cols>
  <sheetData>
    <row r="2">
      <c r="B2" s="12" t="inlineStr">
        <is>
          <t>KẾ HOẠCH TỔNG HỢP NHU CẦU &amp; TIẾN ĐỘ CẤP VẬT TƯ CHÍNH CỤM B9</t>
        </is>
      </c>
    </row>
    <row r="3">
      <c r="B3" s="13" t="inlineStr">
        <is>
          <t>Tự động trích xuất khối lượng đào đắp từ Sheet 03 và phân bổ kế hoạch nhập bãi theo 4 tháng</t>
        </is>
      </c>
    </row>
    <row r="4">
      <c r="B4" s="42" t="inlineStr">
        <is>
          <t>STT</t>
        </is>
      </c>
      <c r="C4" s="42" t="inlineStr">
        <is>
          <t>Mã VT</t>
        </is>
      </c>
      <c r="D4" s="42" t="inlineStr">
        <is>
          <t>Tên quy cách vật tư chính</t>
        </is>
      </c>
      <c r="E4" s="42" t="inlineStr">
        <is>
          <t>ĐVT</t>
        </is>
      </c>
      <c r="F4" s="42" t="inlineStr">
        <is>
          <t>Tổng nhu cầu (=Sheet 03)</t>
        </is>
      </c>
      <c r="G4" s="42" t="inlineStr">
        <is>
          <t>Tháng 8 (20%)</t>
        </is>
      </c>
      <c r="H4" s="42" t="inlineStr">
        <is>
          <t>Tháng 9 (40%)</t>
        </is>
      </c>
      <c r="I4" s="42" t="inlineStr">
        <is>
          <t>Tháng 10 (30%)</t>
        </is>
      </c>
      <c r="J4" s="42" t="inlineStr">
        <is>
          <t>Tháng 11 (10%)</t>
        </is>
      </c>
      <c r="K4" s="42" t="inlineStr">
        <is>
          <t>Ghi chú điều phối bãi trữ</t>
        </is>
      </c>
    </row>
    <row r="5">
      <c r="B5" s="23" t="n">
        <v>1</v>
      </c>
      <c r="C5" s="23" t="inlineStr">
        <is>
          <t>VT01</t>
        </is>
      </c>
      <c r="D5" s="24" t="inlineStr">
        <is>
          <t>Cát đắp nền đường K90/K95</t>
        </is>
      </c>
      <c r="E5" s="23" t="inlineStr">
        <is>
          <t>m3</t>
        </is>
      </c>
      <c r="F5" s="25">
        <f>'03_TIEN_DO_GANTT_CPM'!$E$9+'03_TIEN_DO_GANTT_CPM'!$E$10</f>
        <v/>
      </c>
      <c r="G5" s="25">
        <f>ROUND(F5*0.2, 1)</f>
        <v/>
      </c>
      <c r="H5" s="25">
        <f>ROUND(F5*0.4, 1)</f>
        <v/>
      </c>
      <c r="I5" s="25">
        <f>ROUND(F5*0.3, 1)</f>
        <v/>
      </c>
      <c r="J5" s="25">
        <f>F5-G5-H5-I5</f>
        <v/>
      </c>
      <c r="K5" s="24" t="inlineStr">
        <is>
          <t>Tập kết tại bãi trữ Cụm B9</t>
        </is>
      </c>
    </row>
    <row r="6">
      <c r="B6" s="23" t="n">
        <v>2</v>
      </c>
      <c r="C6" s="23" t="inlineStr">
        <is>
          <t>VT02</t>
        </is>
      </c>
      <c r="D6" s="24" t="inlineStr">
        <is>
          <t>Cát đắp chọn lọc K98 lớp 1</t>
        </is>
      </c>
      <c r="E6" s="23" t="inlineStr">
        <is>
          <t>m3</t>
        </is>
      </c>
      <c r="F6" s="25">
        <f>'03_TIEN_DO_GANTT_CPM'!$E$11</f>
        <v/>
      </c>
      <c r="G6" s="25">
        <f>ROUND(F6*0.2, 1)</f>
        <v/>
      </c>
      <c r="H6" s="25">
        <f>ROUND(F6*0.4, 1)</f>
        <v/>
      </c>
      <c r="I6" s="25">
        <f>ROUND(F6*0.3, 1)</f>
        <v/>
      </c>
      <c r="J6" s="25">
        <f>F6-G6-H6-I6</f>
        <v/>
      </c>
      <c r="K6" s="24" t="inlineStr">
        <is>
          <t>Yêu cầu thí nghiệm độ nén trước khi lu</t>
        </is>
      </c>
    </row>
    <row r="7">
      <c r="B7" s="23" t="n">
        <v>3</v>
      </c>
      <c r="C7" s="23" t="inlineStr">
        <is>
          <t>VT03</t>
        </is>
      </c>
      <c r="D7" s="24" t="inlineStr">
        <is>
          <t>Cấp phối đá dăm loại 2 (Base B)</t>
        </is>
      </c>
      <c r="E7" s="23" t="inlineStr">
        <is>
          <t>m3</t>
        </is>
      </c>
      <c r="F7" s="25">
        <f>'03_TIEN_DO_GANTT_CPM'!$E$14</f>
        <v/>
      </c>
      <c r="G7" s="25">
        <f>ROUND(F7*0.2, 1)</f>
        <v/>
      </c>
      <c r="H7" s="25">
        <f>ROUND(F7*0.4, 1)</f>
        <v/>
      </c>
      <c r="I7" s="25">
        <f>ROUND(F7*0.3, 1)</f>
        <v/>
      </c>
      <c r="J7" s="25">
        <f>F7-G7-H7-I7</f>
        <v/>
      </c>
      <c r="K7" s="24" t="inlineStr">
        <is>
          <t>Nhập từ mỏ đá Kiện Khê - Hà Nam</t>
        </is>
      </c>
    </row>
    <row r="8">
      <c r="B8" s="23" t="n">
        <v>4</v>
      </c>
      <c r="C8" s="23" t="inlineStr">
        <is>
          <t>VT04</t>
        </is>
      </c>
      <c r="D8" s="24" t="inlineStr">
        <is>
          <t>Cấp phối đá dăm loại 1 (Base A)</t>
        </is>
      </c>
      <c r="E8" s="23" t="inlineStr">
        <is>
          <t>m3</t>
        </is>
      </c>
      <c r="F8" s="25">
        <f>'03_TIEN_DO_GANTT_CPM'!$E$15</f>
        <v/>
      </c>
      <c r="G8" s="25">
        <f>ROUND(F8*0.2, 1)</f>
        <v/>
      </c>
      <c r="H8" s="25">
        <f>ROUND(F8*0.4, 1)</f>
        <v/>
      </c>
      <c r="I8" s="25">
        <f>ROUND(F8*0.3, 1)</f>
        <v/>
      </c>
      <c r="J8" s="25">
        <f>F8-G8-H8-I8</f>
        <v/>
      </c>
      <c r="K8" s="24" t="inlineStr">
        <is>
          <t>Đảm bảo độ ẩm tiêu chuẩn khi rải</t>
        </is>
      </c>
    </row>
    <row r="9">
      <c r="B9" s="23" t="n">
        <v>5</v>
      </c>
      <c r="C9" s="23" t="inlineStr">
        <is>
          <t>VT05</t>
        </is>
      </c>
      <c r="D9" s="24" t="inlineStr">
        <is>
          <t>Bê tông nhựa hạt trung BTN C19</t>
        </is>
      </c>
      <c r="E9" s="23" t="inlineStr">
        <is>
          <t>m2</t>
        </is>
      </c>
      <c r="F9" s="25">
        <f>'03_TIEN_DO_GANTT_CPM'!$E$16</f>
        <v/>
      </c>
      <c r="G9" s="25">
        <f>ROUND(F9*0.2, 1)</f>
        <v/>
      </c>
      <c r="H9" s="25">
        <f>ROUND(F9*0.4, 1)</f>
        <v/>
      </c>
      <c r="I9" s="25">
        <f>ROUND(F9*0.3, 1)</f>
        <v/>
      </c>
      <c r="J9" s="25">
        <f>F9-G9-H9-I9</f>
        <v/>
      </c>
      <c r="K9" s="24" t="inlineStr">
        <is>
          <t>Nhập trạm trộn cự ly vận chuyển 12km</t>
        </is>
      </c>
    </row>
    <row r="10">
      <c r="B10" s="23" t="n">
        <v>6</v>
      </c>
      <c r="C10" s="23" t="inlineStr">
        <is>
          <t>VT06</t>
        </is>
      </c>
      <c r="D10" s="24" t="inlineStr">
        <is>
          <t>Cống bê tông ly tâm D1500</t>
        </is>
      </c>
      <c r="E10" s="23" t="inlineStr">
        <is>
          <t>m</t>
        </is>
      </c>
      <c r="F10" s="25">
        <f>'03_TIEN_DO_GANTT_CPM'!$E$12</f>
        <v/>
      </c>
      <c r="G10" s="25">
        <f>ROUND(F10*0.2, 1)</f>
        <v/>
      </c>
      <c r="H10" s="25">
        <f>ROUND(F10*0.4, 1)</f>
        <v/>
      </c>
      <c r="I10" s="25">
        <f>ROUND(F10*0.3, 1)</f>
        <v/>
      </c>
      <c r="J10" s="25">
        <f>F10-G10-H10-I10</f>
        <v/>
      </c>
      <c r="K10" s="24" t="inlineStr">
        <is>
          <t>Đúc sẵn từ nhà máy AMACCAO</t>
        </is>
      </c>
    </row>
    <row r="11">
      <c r="B11" s="23" t="n">
        <v>7</v>
      </c>
      <c r="C11" s="23" t="inlineStr">
        <is>
          <t>VT07</t>
        </is>
      </c>
      <c r="D11" s="24" t="inlineStr">
        <is>
          <t>Đất đắp tạo cảnh quan vỉa hè</t>
        </is>
      </c>
      <c r="E11" s="23" t="inlineStr">
        <is>
          <t>m3</t>
        </is>
      </c>
      <c r="F11" s="25">
        <f>'03_TIEN_DO_GANTT_CPM'!$E$18</f>
        <v/>
      </c>
      <c r="G11" s="25">
        <f>ROUND(F11*0.2, 1)</f>
        <v/>
      </c>
      <c r="H11" s="25">
        <f>ROUND(F11*0.4, 1)</f>
        <v/>
      </c>
      <c r="I11" s="25">
        <f>ROUND(F11*0.3, 1)</f>
        <v/>
      </c>
      <c r="J11" s="25">
        <f>F11-G11-H11-I11</f>
        <v/>
      </c>
      <c r="K11" s="24" t="inlineStr">
        <is>
          <t>Tận dụng đất hữu cơ bóc phủ đã xử lý</t>
        </is>
      </c>
    </row>
    <row r="12">
      <c r="B12" s="23" t="n">
        <v>8</v>
      </c>
      <c r="C12" s="23" t="inlineStr">
        <is>
          <t>VT08</t>
        </is>
      </c>
      <c r="D12" s="24" t="inlineStr">
        <is>
          <t>Đất đắp san nền tổng thể B9</t>
        </is>
      </c>
      <c r="E12" s="23" t="inlineStr">
        <is>
          <t>m3</t>
        </is>
      </c>
      <c r="F12" s="25">
        <f>'03_TIEN_DO_GANTT_CPM'!$E$19</f>
        <v/>
      </c>
      <c r="G12" s="25">
        <f>ROUND(F12*0.2, 1)</f>
        <v/>
      </c>
      <c r="H12" s="25">
        <f>ROUND(F12*0.4, 1)</f>
        <v/>
      </c>
      <c r="I12" s="25">
        <f>ROUND(F12*0.3, 1)</f>
        <v/>
      </c>
      <c r="J12" s="25">
        <f>F12-G12-H12-I12</f>
        <v/>
      </c>
      <c r="K12" s="24" t="inlineStr">
        <is>
          <t>Nhập đất đồi vận chuyển bằng xe 18T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14"/>
  <sheetViews>
    <sheetView showGridLines="1" workbookViewId="0">
      <selection activeCell="A1" sqref="A1"/>
    </sheetView>
  </sheetViews>
  <sheetFormatPr baseColWidth="8" defaultRowHeight="15"/>
  <cols>
    <col width="6" customWidth="1" min="2" max="2"/>
    <col width="10" customWidth="1" min="3" max="3"/>
    <col width="30" customWidth="1" min="4" max="4"/>
    <col width="18" customWidth="1" min="5" max="5"/>
    <col width="18" customWidth="1" min="6" max="6"/>
    <col width="16" customWidth="1" min="7" max="7"/>
    <col width="16" customWidth="1" min="8" max="8"/>
    <col width="18" customWidth="1" min="9" max="9"/>
    <col width="20" customWidth="1" min="10" max="10"/>
    <col width="50" customWidth="1" min="11" max="11"/>
  </cols>
  <sheetData>
    <row r="2">
      <c r="B2" s="12" t="inlineStr">
        <is>
          <t>BẢNG ĐỐI SÁNH &amp; CÂN ĐỐI MÁY MÓC: ĐỊNH MỨC TÍNH TOÁN VS ĐỀ XUẤT BAN ĐIỀU HÀNH</t>
        </is>
      </c>
    </row>
    <row r="3">
      <c r="B3" s="13" t="inlineStr">
        <is>
          <t>Phục dựng nguyên bản Sheet SS của Vina Alpha: 100% công thức động, loại bỏ hoàn toàn lỗi #REF!</t>
        </is>
      </c>
    </row>
    <row r="5">
      <c r="B5" s="36" t="inlineStr">
        <is>
          <t>TT</t>
        </is>
      </c>
      <c r="C5" s="36" t="inlineStr">
        <is>
          <t>Mã máy</t>
        </is>
      </c>
      <c r="D5" s="36" t="inlineStr">
        <is>
          <t>Chủng loại thiết bị</t>
        </is>
      </c>
      <c r="E5" s="36" t="inlineStr">
        <is>
          <t>Định mức tính toán
(Sheet 04)</t>
        </is>
      </c>
      <c r="F5" s="36" t="inlineStr">
        <is>
          <t>Đề xuất Ban ĐH
(Thực tế)</t>
        </is>
      </c>
      <c r="G5" s="36" t="inlineStr">
        <is>
          <t>Chênh lệch
(=Thực tế - ĐM)</t>
        </is>
      </c>
      <c r="H5" s="36" t="inlineStr">
        <is>
          <t>Tỷ lệ tăng giảm
(%)</t>
        </is>
      </c>
      <c r="I5" s="36" t="inlineStr">
        <is>
          <t>Dầu theo ĐM
(Lít)</t>
        </is>
      </c>
      <c r="J5" s="36" t="inlineStr">
        <is>
          <t>Dầu theo Thực tế
(Lít)</t>
        </is>
      </c>
      <c r="K5" s="36" t="inlineStr">
        <is>
          <t>Đánh giá kỹ thuật &amp; Lý do chênh lệch hiện trường</t>
        </is>
      </c>
    </row>
    <row r="6">
      <c r="B6" s="23" t="n">
        <v>1</v>
      </c>
      <c r="C6" s="23" t="inlineStr">
        <is>
          <t>M1</t>
        </is>
      </c>
      <c r="D6" s="24" t="inlineStr">
        <is>
          <t>Máy xúc bánh xích PC300</t>
        </is>
      </c>
      <c r="E6" s="26">
        <f>'04_TONG_HOP_CA_MAY_VA_DAU'!$G$6</f>
        <v/>
      </c>
      <c r="F6" s="26" t="n">
        <v>3</v>
      </c>
      <c r="G6" s="26">
        <f>F6-E6</f>
        <v/>
      </c>
      <c r="H6" s="43">
        <f>IF(E6&gt;0, (F6-E6)/E6, 0)</f>
        <v/>
      </c>
      <c r="I6" s="25">
        <f>'04_TONG_HOP_CA_MAY_VA_DAU'!$H$6</f>
        <v/>
      </c>
      <c r="J6" s="25">
        <f>ROUND(I6*(F6/E6), 1)</f>
        <v/>
      </c>
      <c r="K6" s="24" t="inlineStr">
        <is>
          <t>Bổ sung 1 máy trực sự cố sụt trượt và đào vét bùn phát sinh</t>
        </is>
      </c>
    </row>
    <row r="7">
      <c r="B7" s="23" t="n">
        <v>2</v>
      </c>
      <c r="C7" s="23" t="inlineStr">
        <is>
          <t>M3</t>
        </is>
      </c>
      <c r="D7" s="24" t="inlineStr">
        <is>
          <t>Máy ủi D3 - D5</t>
        </is>
      </c>
      <c r="E7" s="26">
        <f>'04_TONG_HOP_CA_MAY_VA_DAU'!$G$7</f>
        <v/>
      </c>
      <c r="F7" s="26" t="n">
        <v>7</v>
      </c>
      <c r="G7" s="26">
        <f>F7-E7</f>
        <v/>
      </c>
      <c r="H7" s="43">
        <f>IF(E7&gt;0, (F7-E7)/E7, 0)</f>
        <v/>
      </c>
      <c r="I7" s="25">
        <f>'04_TONG_HOP_CA_MAY_VA_DAU'!$H$7</f>
        <v/>
      </c>
      <c r="J7" s="25">
        <f>ROUND(I7*(F7/E7), 1)</f>
        <v/>
      </c>
      <c r="K7" s="24" t="inlineStr">
        <is>
          <t>Tăng 1 máy ủi hỗ trợ san gạt cát tại bãi tập kết</t>
        </is>
      </c>
    </row>
    <row r="8">
      <c r="B8" s="23" t="n">
        <v>3</v>
      </c>
      <c r="C8" s="23" t="inlineStr">
        <is>
          <t>M4</t>
        </is>
      </c>
      <c r="D8" s="24" t="inlineStr">
        <is>
          <t>Máy ủi công suất lớn 230CV</t>
        </is>
      </c>
      <c r="E8" s="26">
        <f>'04_TONG_HOP_CA_MAY_VA_DAU'!$G$8</f>
        <v/>
      </c>
      <c r="F8" s="26" t="n">
        <v>8</v>
      </c>
      <c r="G8" s="26">
        <f>F8-E8</f>
        <v/>
      </c>
      <c r="H8" s="43">
        <f>IF(E8&gt;0, (F8-E8)/E8, 0)</f>
        <v/>
      </c>
      <c r="I8" s="25">
        <f>'04_TONG_HOP_CA_MAY_VA_DAU'!$H$8</f>
        <v/>
      </c>
      <c r="J8" s="25">
        <f>ROUND(I8*(F8/E8), 1)</f>
        <v/>
      </c>
      <c r="K8" s="24" t="inlineStr">
        <is>
          <t>Tăng 1 máy để đẩy nhanh tiến độ san nền cụm B9 trước mùa mưa</t>
        </is>
      </c>
    </row>
    <row r="9">
      <c r="B9" s="23" t="n">
        <v>4</v>
      </c>
      <c r="C9" s="23" t="inlineStr">
        <is>
          <t>M5</t>
        </is>
      </c>
      <c r="D9" s="24" t="inlineStr">
        <is>
          <t>Máy lu rung 12T - 16T</t>
        </is>
      </c>
      <c r="E9" s="26">
        <f>'04_TONG_HOP_CA_MAY_VA_DAU'!$G$9</f>
        <v/>
      </c>
      <c r="F9" s="26" t="n">
        <v>4</v>
      </c>
      <c r="G9" s="26">
        <f>F9-E9</f>
        <v/>
      </c>
      <c r="H9" s="43">
        <f>IF(E9&gt;0, (F9-E9)/E9, 0)</f>
        <v/>
      </c>
      <c r="I9" s="25">
        <f>'04_TONG_HOP_CA_MAY_VA_DAU'!$H$9</f>
        <v/>
      </c>
      <c r="J9" s="25">
        <f>ROUND(I9*(F9/E9), 1)</f>
        <v/>
      </c>
      <c r="K9" s="24" t="inlineStr">
        <is>
          <t>Tăng 1 máy lu sơ bộ K90 độc lập với lu K95</t>
        </is>
      </c>
    </row>
    <row r="10">
      <c r="B10" s="23" t="n">
        <v>5</v>
      </c>
      <c r="C10" s="23" t="inlineStr">
        <is>
          <t>M6</t>
        </is>
      </c>
      <c r="D10" s="24" t="inlineStr">
        <is>
          <t>Máy san tự hành 110CV</t>
        </is>
      </c>
      <c r="E10" s="26">
        <f>'04_TONG_HOP_CA_MAY_VA_DAU'!$G$10</f>
        <v/>
      </c>
      <c r="F10" s="26" t="n">
        <v>2</v>
      </c>
      <c r="G10" s="26">
        <f>F10-E10</f>
        <v/>
      </c>
      <c r="H10" s="43">
        <f>IF(E10&gt;0, (F10-E10)/E10, 0)</f>
        <v/>
      </c>
      <c r="I10" s="25">
        <f>'04_TONG_HOP_CA_MAY_VA_DAU'!$H$10</f>
        <v/>
      </c>
      <c r="J10" s="25">
        <f>ROUND(I10*(F10/E10), 1)</f>
        <v/>
      </c>
      <c r="K10" s="24" t="inlineStr">
        <is>
          <t>Bổ sung 1 máy san dự phòng khi làm lớp Base A/B hoàn thiện</t>
        </is>
      </c>
    </row>
    <row r="11">
      <c r="B11" s="23" t="n">
        <v>6</v>
      </c>
      <c r="C11" s="23" t="inlineStr">
        <is>
          <t>M7</t>
        </is>
      </c>
      <c r="D11" s="24" t="inlineStr">
        <is>
          <t>Ô tô tự đổ 18 tấn</t>
        </is>
      </c>
      <c r="E11" s="26">
        <f>'04_TONG_HOP_CA_MAY_VA_DAU'!$G$11</f>
        <v/>
      </c>
      <c r="F11" s="26" t="n">
        <v>6</v>
      </c>
      <c r="G11" s="26">
        <f>F11-E11</f>
        <v/>
      </c>
      <c r="H11" s="43">
        <f>IF(E11&gt;0, (F11-E11)/E11, 0)</f>
        <v/>
      </c>
      <c r="I11" s="25">
        <f>'04_TONG_HOP_CA_MAY_VA_DAU'!$H$11</f>
        <v/>
      </c>
      <c r="J11" s="25">
        <f>ROUND(I11*(F11/E11), 1)</f>
        <v/>
      </c>
      <c r="K11" s="24" t="inlineStr">
        <is>
          <t>Tăng 2 xe do cung đường vận chuyển nội bộ lầy lội khi trời mưa</t>
        </is>
      </c>
    </row>
    <row r="12">
      <c r="B12" s="23" t="n">
        <v>7</v>
      </c>
      <c r="C12" s="23" t="inlineStr">
        <is>
          <t>M8</t>
        </is>
      </c>
      <c r="D12" s="24" t="inlineStr">
        <is>
          <t>Máy xúc bánh lốp PC140</t>
        </is>
      </c>
      <c r="E12" s="26">
        <f>'04_TONG_HOP_CA_MAY_VA_DAU'!$G$12</f>
        <v/>
      </c>
      <c r="F12" s="26" t="n">
        <v>4</v>
      </c>
      <c r="G12" s="26">
        <f>F12-E12</f>
        <v/>
      </c>
      <c r="H12" s="43">
        <f>IF(E12&gt;0, (F12-E12)/E12, 0)</f>
        <v/>
      </c>
      <c r="I12" s="25">
        <f>'04_TONG_HOP_CA_MAY_VA_DAU'!$H$12</f>
        <v/>
      </c>
      <c r="J12" s="25">
        <f>ROUND(I12*(F12/E12), 1)</f>
        <v/>
      </c>
      <c r="K12" s="24" t="inlineStr">
        <is>
          <t>Đúng định mức thi công cống D1500 và lắp ống PE</t>
        </is>
      </c>
    </row>
    <row r="13">
      <c r="B13" s="23" t="n">
        <v>8</v>
      </c>
      <c r="C13" s="23" t="inlineStr">
        <is>
          <t>MP1</t>
        </is>
      </c>
      <c r="D13" s="24" t="inlineStr">
        <is>
          <t>Xe téc &amp; Xe cấp dầu</t>
        </is>
      </c>
      <c r="E13" s="26">
        <f>'04_TONG_HOP_CA_MAY_VA_DAU'!$G$13</f>
        <v/>
      </c>
      <c r="F13" s="26" t="n">
        <v>2</v>
      </c>
      <c r="G13" s="26">
        <f>F13-E13</f>
        <v/>
      </c>
      <c r="H13" s="43">
        <f>IF(E13&gt;0, (F13-E13)/E13, 0)</f>
        <v/>
      </c>
      <c r="I13" s="25">
        <f>'04_TONG_HOP_CA_MAY_VA_DAU'!$H$13</f>
        <v/>
      </c>
      <c r="J13" s="25">
        <f>ROUND(I13*(F13/E13), 1)</f>
        <v/>
      </c>
      <c r="K13" s="24" t="inlineStr">
        <is>
          <t>Tăng 1 xe téc tưới nước chống bụi đường nội bộ theo cam kết ĐTM</t>
        </is>
      </c>
    </row>
    <row r="14">
      <c r="B14" s="37" t="inlineStr">
        <is>
          <t>TỔNG CỘNG</t>
        </is>
      </c>
      <c r="C14" s="38" t="n"/>
      <c r="D14" s="38" t="n"/>
      <c r="E14" s="40">
        <f>SUM(E6:E13)</f>
        <v/>
      </c>
      <c r="F14" s="40">
        <f>SUM(F6:F13)</f>
        <v/>
      </c>
      <c r="G14" s="40">
        <f>SUM(G6:G13)</f>
        <v/>
      </c>
      <c r="H14" s="44">
        <f>(F14-E14)/E14</f>
        <v/>
      </c>
      <c r="I14" s="39">
        <f>SUM(I6:I13)</f>
        <v/>
      </c>
      <c r="J14" s="39">
        <f>SUM(J6:J13)</f>
        <v/>
      </c>
      <c r="K14" s="38" t="n"/>
    </row>
  </sheetData>
  <mergeCells count="1">
    <mergeCell ref="B14:D1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2026-09-30T16:22:10Z</dcterms:created>
  <dcterms:modified xmlns:dcterms="http://purl.org/dc/terms/" xmlns:xsi="http://www.w3.org/2001/XMLSchema-instance" xsi:type="dcterms:W3CDTF">2026-09-30T16:22:10Z</dcterms:modified>
</cp:coreProperties>
</file>