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otu\Downloads\261008.MB TNT LÔ B9.2-3-4 Layout1 (12)_Marker\"/>
    </mc:Choice>
  </mc:AlternateContent>
  <xr:revisionPtr revIDLastSave="0" documentId="11_0ECC2FF3A531472A2DC37B4CAD7BF460A716535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📑 Tổng Hợp BoQ" sheetId="1" r:id="rId1"/>
    <sheet name="📊 Bóc Tách Cống" sheetId="2" r:id="rId2"/>
    <sheet name="📊 Bóc Tách Hố Ga" sheetId="3" r:id="rId3"/>
    <sheet name="📋 CSDL Hố Ga" sheetId="4" r:id="rId4"/>
    <sheet name="📋 CSDL Tuyến Cố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3" i="5" l="1"/>
  <c r="Q973" i="5" s="1"/>
  <c r="P972" i="5"/>
  <c r="Q972" i="5" s="1"/>
  <c r="P971" i="5"/>
  <c r="Q971" i="5" s="1"/>
  <c r="P970" i="5"/>
  <c r="Q970" i="5" s="1"/>
  <c r="P969" i="5"/>
  <c r="Q969" i="5" s="1"/>
  <c r="P968" i="5"/>
  <c r="Q968" i="5" s="1"/>
  <c r="P967" i="5"/>
  <c r="Q967" i="5" s="1"/>
  <c r="P966" i="5"/>
  <c r="Q966" i="5" s="1"/>
  <c r="P965" i="5"/>
  <c r="Q965" i="5" s="1"/>
  <c r="P964" i="5"/>
  <c r="Q964" i="5" s="1"/>
  <c r="P963" i="5"/>
  <c r="Q963" i="5" s="1"/>
  <c r="P962" i="5"/>
  <c r="Q962" i="5" s="1"/>
  <c r="P961" i="5"/>
  <c r="Q961" i="5" s="1"/>
  <c r="P960" i="5"/>
  <c r="Q960" i="5" s="1"/>
  <c r="P959" i="5"/>
  <c r="Q959" i="5" s="1"/>
  <c r="P958" i="5"/>
  <c r="Q958" i="5" s="1"/>
  <c r="P957" i="5"/>
  <c r="Q957" i="5" s="1"/>
  <c r="P956" i="5"/>
  <c r="Q956" i="5" s="1"/>
  <c r="P955" i="5"/>
  <c r="Q955" i="5" s="1"/>
  <c r="P954" i="5"/>
  <c r="Q954" i="5" s="1"/>
  <c r="P953" i="5"/>
  <c r="Q953" i="5" s="1"/>
  <c r="P952" i="5"/>
  <c r="Q952" i="5" s="1"/>
  <c r="P951" i="5"/>
  <c r="Q951" i="5" s="1"/>
  <c r="P950" i="5"/>
  <c r="Q950" i="5" s="1"/>
  <c r="P949" i="5"/>
  <c r="Q949" i="5" s="1"/>
  <c r="P948" i="5"/>
  <c r="Q948" i="5" s="1"/>
  <c r="P947" i="5"/>
  <c r="Q947" i="5" s="1"/>
  <c r="P946" i="5"/>
  <c r="Q946" i="5" s="1"/>
  <c r="P945" i="5"/>
  <c r="Q945" i="5" s="1"/>
  <c r="P944" i="5"/>
  <c r="Q944" i="5" s="1"/>
  <c r="P943" i="5"/>
  <c r="Q943" i="5" s="1"/>
  <c r="P942" i="5"/>
  <c r="Q942" i="5" s="1"/>
  <c r="P941" i="5"/>
  <c r="Q941" i="5" s="1"/>
  <c r="P940" i="5"/>
  <c r="Q940" i="5" s="1"/>
  <c r="P939" i="5"/>
  <c r="Q939" i="5" s="1"/>
  <c r="P938" i="5"/>
  <c r="Q938" i="5" s="1"/>
  <c r="P937" i="5"/>
  <c r="Q937" i="5" s="1"/>
  <c r="P936" i="5"/>
  <c r="Q936" i="5" s="1"/>
  <c r="P935" i="5"/>
  <c r="Q935" i="5" s="1"/>
  <c r="P934" i="5"/>
  <c r="Q934" i="5" s="1"/>
  <c r="P933" i="5"/>
  <c r="Q933" i="5" s="1"/>
  <c r="P932" i="5"/>
  <c r="Q932" i="5" s="1"/>
  <c r="P931" i="5"/>
  <c r="Q931" i="5" s="1"/>
  <c r="P930" i="5"/>
  <c r="Q930" i="5" s="1"/>
  <c r="P929" i="5"/>
  <c r="Q929" i="5" s="1"/>
  <c r="P928" i="5"/>
  <c r="Q928" i="5" s="1"/>
  <c r="P927" i="5"/>
  <c r="Q927" i="5" s="1"/>
  <c r="P926" i="5"/>
  <c r="Q926" i="5" s="1"/>
  <c r="P925" i="5"/>
  <c r="Q925" i="5" s="1"/>
  <c r="P924" i="5"/>
  <c r="Q924" i="5" s="1"/>
  <c r="P923" i="5"/>
  <c r="Q923" i="5" s="1"/>
  <c r="P922" i="5"/>
  <c r="Q922" i="5" s="1"/>
  <c r="P921" i="5"/>
  <c r="Q921" i="5" s="1"/>
  <c r="P920" i="5"/>
  <c r="Q920" i="5" s="1"/>
  <c r="P919" i="5"/>
  <c r="Q919" i="5" s="1"/>
  <c r="P918" i="5"/>
  <c r="Q918" i="5" s="1"/>
  <c r="P917" i="5"/>
  <c r="Q917" i="5" s="1"/>
  <c r="P916" i="5"/>
  <c r="Q916" i="5" s="1"/>
  <c r="P915" i="5"/>
  <c r="Q915" i="5" s="1"/>
  <c r="P914" i="5"/>
  <c r="Q914" i="5" s="1"/>
  <c r="P913" i="5"/>
  <c r="Q913" i="5" s="1"/>
  <c r="P912" i="5"/>
  <c r="Q912" i="5" s="1"/>
  <c r="P911" i="5"/>
  <c r="Q911" i="5" s="1"/>
  <c r="P910" i="5"/>
  <c r="Q910" i="5" s="1"/>
  <c r="P909" i="5"/>
  <c r="Q909" i="5" s="1"/>
  <c r="P908" i="5"/>
  <c r="Q908" i="5" s="1"/>
  <c r="P907" i="5"/>
  <c r="Q907" i="5" s="1"/>
  <c r="P906" i="5"/>
  <c r="Q906" i="5" s="1"/>
  <c r="P905" i="5"/>
  <c r="Q905" i="5" s="1"/>
  <c r="P904" i="5"/>
  <c r="Q904" i="5" s="1"/>
  <c r="P903" i="5"/>
  <c r="Q903" i="5" s="1"/>
  <c r="P902" i="5"/>
  <c r="Q902" i="5" s="1"/>
  <c r="P901" i="5"/>
  <c r="Q901" i="5" s="1"/>
  <c r="P900" i="5"/>
  <c r="Q900" i="5" s="1"/>
  <c r="P899" i="5"/>
  <c r="Q899" i="5" s="1"/>
  <c r="P898" i="5"/>
  <c r="Q898" i="5" s="1"/>
  <c r="P897" i="5"/>
  <c r="Q897" i="5" s="1"/>
  <c r="P896" i="5"/>
  <c r="Q896" i="5" s="1"/>
  <c r="P895" i="5"/>
  <c r="Q895" i="5" s="1"/>
  <c r="P894" i="5"/>
  <c r="Q894" i="5" s="1"/>
  <c r="P893" i="5"/>
  <c r="Q893" i="5" s="1"/>
  <c r="P892" i="5"/>
  <c r="Q892" i="5" s="1"/>
  <c r="P891" i="5"/>
  <c r="Q891" i="5" s="1"/>
  <c r="P890" i="5"/>
  <c r="Q890" i="5" s="1"/>
  <c r="P889" i="5"/>
  <c r="Q889" i="5" s="1"/>
  <c r="P888" i="5"/>
  <c r="Q888" i="5" s="1"/>
  <c r="P887" i="5"/>
  <c r="Q887" i="5" s="1"/>
  <c r="P886" i="5"/>
  <c r="Q886" i="5" s="1"/>
  <c r="P885" i="5"/>
  <c r="Q885" i="5" s="1"/>
  <c r="P884" i="5"/>
  <c r="Q884" i="5" s="1"/>
  <c r="P883" i="5"/>
  <c r="Q883" i="5" s="1"/>
  <c r="P882" i="5"/>
  <c r="Q882" i="5" s="1"/>
  <c r="P881" i="5"/>
  <c r="Q881" i="5" s="1"/>
  <c r="P880" i="5"/>
  <c r="Q880" i="5" s="1"/>
  <c r="P879" i="5"/>
  <c r="Q879" i="5" s="1"/>
  <c r="P878" i="5"/>
  <c r="Q878" i="5" s="1"/>
  <c r="P877" i="5"/>
  <c r="Q877" i="5" s="1"/>
  <c r="P876" i="5"/>
  <c r="Q876" i="5" s="1"/>
  <c r="P875" i="5"/>
  <c r="Q875" i="5" s="1"/>
  <c r="P874" i="5"/>
  <c r="Q874" i="5" s="1"/>
  <c r="P873" i="5"/>
  <c r="Q873" i="5" s="1"/>
  <c r="P872" i="5"/>
  <c r="Q872" i="5" s="1"/>
  <c r="P871" i="5"/>
  <c r="Q871" i="5" s="1"/>
  <c r="P870" i="5"/>
  <c r="Q870" i="5" s="1"/>
  <c r="P869" i="5"/>
  <c r="Q869" i="5" s="1"/>
  <c r="P868" i="5"/>
  <c r="Q868" i="5" s="1"/>
  <c r="P867" i="5"/>
  <c r="Q867" i="5" s="1"/>
  <c r="P866" i="5"/>
  <c r="Q866" i="5" s="1"/>
  <c r="P865" i="5"/>
  <c r="Q865" i="5" s="1"/>
  <c r="P864" i="5"/>
  <c r="Q864" i="5" s="1"/>
  <c r="P863" i="5"/>
  <c r="Q863" i="5" s="1"/>
  <c r="Q862" i="5"/>
  <c r="P862" i="5"/>
  <c r="P861" i="5"/>
  <c r="Q861" i="5" s="1"/>
  <c r="P860" i="5"/>
  <c r="Q860" i="5" s="1"/>
  <c r="P859" i="5"/>
  <c r="Q859" i="5" s="1"/>
  <c r="P858" i="5"/>
  <c r="Q858" i="5" s="1"/>
  <c r="P857" i="5"/>
  <c r="Q857" i="5" s="1"/>
  <c r="P856" i="5"/>
  <c r="Q856" i="5" s="1"/>
  <c r="P855" i="5"/>
  <c r="Q855" i="5" s="1"/>
  <c r="P854" i="5"/>
  <c r="Q854" i="5" s="1"/>
  <c r="P853" i="5"/>
  <c r="Q853" i="5" s="1"/>
  <c r="P852" i="5"/>
  <c r="Q852" i="5" s="1"/>
  <c r="P851" i="5"/>
  <c r="Q851" i="5" s="1"/>
  <c r="P850" i="5"/>
  <c r="Q850" i="5" s="1"/>
  <c r="P849" i="5"/>
  <c r="Q849" i="5" s="1"/>
  <c r="P848" i="5"/>
  <c r="Q848" i="5" s="1"/>
  <c r="P847" i="5"/>
  <c r="Q847" i="5" s="1"/>
  <c r="P846" i="5"/>
  <c r="Q846" i="5" s="1"/>
  <c r="P845" i="5"/>
  <c r="Q845" i="5" s="1"/>
  <c r="P844" i="5"/>
  <c r="Q844" i="5" s="1"/>
  <c r="P843" i="5"/>
  <c r="Q843" i="5" s="1"/>
  <c r="P842" i="5"/>
  <c r="Q842" i="5" s="1"/>
  <c r="P841" i="5"/>
  <c r="Q841" i="5" s="1"/>
  <c r="P840" i="5"/>
  <c r="Q840" i="5" s="1"/>
  <c r="P839" i="5"/>
  <c r="Q839" i="5" s="1"/>
  <c r="P838" i="5"/>
  <c r="Q838" i="5" s="1"/>
  <c r="P837" i="5"/>
  <c r="Q837" i="5" s="1"/>
  <c r="P836" i="5"/>
  <c r="Q836" i="5" s="1"/>
  <c r="P835" i="5"/>
  <c r="Q835" i="5" s="1"/>
  <c r="P834" i="5"/>
  <c r="Q834" i="5" s="1"/>
  <c r="P833" i="5"/>
  <c r="Q833" i="5" s="1"/>
  <c r="P832" i="5"/>
  <c r="Q832" i="5" s="1"/>
  <c r="P831" i="5"/>
  <c r="Q831" i="5" s="1"/>
  <c r="P830" i="5"/>
  <c r="Q830" i="5" s="1"/>
  <c r="P829" i="5"/>
  <c r="Q829" i="5" s="1"/>
  <c r="P828" i="5"/>
  <c r="Q828" i="5" s="1"/>
  <c r="P827" i="5"/>
  <c r="Q827" i="5" s="1"/>
  <c r="P826" i="5"/>
  <c r="Q826" i="5" s="1"/>
  <c r="P825" i="5"/>
  <c r="Q825" i="5" s="1"/>
  <c r="P824" i="5"/>
  <c r="Q824" i="5" s="1"/>
  <c r="P823" i="5"/>
  <c r="Q823" i="5" s="1"/>
  <c r="P822" i="5"/>
  <c r="Q822" i="5" s="1"/>
  <c r="P821" i="5"/>
  <c r="Q821" i="5" s="1"/>
  <c r="P820" i="5"/>
  <c r="Q820" i="5" s="1"/>
  <c r="P819" i="5"/>
  <c r="Q819" i="5" s="1"/>
  <c r="P818" i="5"/>
  <c r="Q818" i="5" s="1"/>
  <c r="P817" i="5"/>
  <c r="Q817" i="5" s="1"/>
  <c r="P816" i="5"/>
  <c r="Q816" i="5" s="1"/>
  <c r="P815" i="5"/>
  <c r="Q815" i="5" s="1"/>
  <c r="P814" i="5"/>
  <c r="Q814" i="5" s="1"/>
  <c r="P813" i="5"/>
  <c r="Q813" i="5" s="1"/>
  <c r="P812" i="5"/>
  <c r="Q812" i="5" s="1"/>
  <c r="P811" i="5"/>
  <c r="Q811" i="5" s="1"/>
  <c r="P810" i="5"/>
  <c r="Q810" i="5" s="1"/>
  <c r="P809" i="5"/>
  <c r="Q809" i="5" s="1"/>
  <c r="P808" i="5"/>
  <c r="Q808" i="5" s="1"/>
  <c r="P807" i="5"/>
  <c r="Q807" i="5" s="1"/>
  <c r="P806" i="5"/>
  <c r="Q806" i="5" s="1"/>
  <c r="P805" i="5"/>
  <c r="Q805" i="5" s="1"/>
  <c r="P804" i="5"/>
  <c r="Q804" i="5" s="1"/>
  <c r="P803" i="5"/>
  <c r="Q803" i="5" s="1"/>
  <c r="P802" i="5"/>
  <c r="Q802" i="5" s="1"/>
  <c r="P801" i="5"/>
  <c r="Q801" i="5" s="1"/>
  <c r="P800" i="5"/>
  <c r="Q800" i="5" s="1"/>
  <c r="P799" i="5"/>
  <c r="Q799" i="5" s="1"/>
  <c r="P798" i="5"/>
  <c r="Q798" i="5" s="1"/>
  <c r="P797" i="5"/>
  <c r="Q797" i="5" s="1"/>
  <c r="P796" i="5"/>
  <c r="Q796" i="5" s="1"/>
  <c r="P795" i="5"/>
  <c r="Q795" i="5" s="1"/>
  <c r="P794" i="5"/>
  <c r="Q794" i="5" s="1"/>
  <c r="P793" i="5"/>
  <c r="Q793" i="5" s="1"/>
  <c r="P792" i="5"/>
  <c r="Q792" i="5" s="1"/>
  <c r="P791" i="5"/>
  <c r="Q791" i="5" s="1"/>
  <c r="P790" i="5"/>
  <c r="Q790" i="5" s="1"/>
  <c r="P789" i="5"/>
  <c r="Q789" i="5" s="1"/>
  <c r="P788" i="5"/>
  <c r="Q788" i="5" s="1"/>
  <c r="P787" i="5"/>
  <c r="Q787" i="5" s="1"/>
  <c r="P786" i="5"/>
  <c r="Q786" i="5" s="1"/>
  <c r="P785" i="5"/>
  <c r="Q785" i="5" s="1"/>
  <c r="P784" i="5"/>
  <c r="Q784" i="5" s="1"/>
  <c r="P783" i="5"/>
  <c r="Q783" i="5" s="1"/>
  <c r="P782" i="5"/>
  <c r="Q782" i="5" s="1"/>
  <c r="P781" i="5"/>
  <c r="Q781" i="5" s="1"/>
  <c r="P780" i="5"/>
  <c r="Q780" i="5" s="1"/>
  <c r="P779" i="5"/>
  <c r="Q779" i="5" s="1"/>
  <c r="P778" i="5"/>
  <c r="Q778" i="5" s="1"/>
  <c r="P777" i="5"/>
  <c r="Q777" i="5" s="1"/>
  <c r="P776" i="5"/>
  <c r="Q776" i="5" s="1"/>
  <c r="P775" i="5"/>
  <c r="Q775" i="5" s="1"/>
  <c r="P774" i="5"/>
  <c r="Q774" i="5" s="1"/>
  <c r="P773" i="5"/>
  <c r="Q773" i="5" s="1"/>
  <c r="P772" i="5"/>
  <c r="Q772" i="5" s="1"/>
  <c r="P771" i="5"/>
  <c r="Q771" i="5" s="1"/>
  <c r="P770" i="5"/>
  <c r="Q770" i="5" s="1"/>
  <c r="P769" i="5"/>
  <c r="Q769" i="5" s="1"/>
  <c r="P768" i="5"/>
  <c r="Q768" i="5" s="1"/>
  <c r="P767" i="5"/>
  <c r="Q767" i="5" s="1"/>
  <c r="P766" i="5"/>
  <c r="Q766" i="5" s="1"/>
  <c r="P765" i="5"/>
  <c r="Q765" i="5" s="1"/>
  <c r="P764" i="5"/>
  <c r="Q764" i="5" s="1"/>
  <c r="P763" i="5"/>
  <c r="Q763" i="5" s="1"/>
  <c r="P762" i="5"/>
  <c r="Q762" i="5" s="1"/>
  <c r="P761" i="5"/>
  <c r="Q761" i="5" s="1"/>
  <c r="P760" i="5"/>
  <c r="Q760" i="5" s="1"/>
  <c r="P759" i="5"/>
  <c r="Q759" i="5" s="1"/>
  <c r="P758" i="5"/>
  <c r="Q758" i="5" s="1"/>
  <c r="P757" i="5"/>
  <c r="Q757" i="5" s="1"/>
  <c r="P756" i="5"/>
  <c r="Q756" i="5" s="1"/>
  <c r="P755" i="5"/>
  <c r="Q755" i="5" s="1"/>
  <c r="P754" i="5"/>
  <c r="Q754" i="5" s="1"/>
  <c r="P753" i="5"/>
  <c r="Q753" i="5" s="1"/>
  <c r="P752" i="5"/>
  <c r="Q752" i="5" s="1"/>
  <c r="P751" i="5"/>
  <c r="Q751" i="5" s="1"/>
  <c r="P750" i="5"/>
  <c r="Q750" i="5" s="1"/>
  <c r="P749" i="5"/>
  <c r="Q749" i="5" s="1"/>
  <c r="P748" i="5"/>
  <c r="Q748" i="5" s="1"/>
  <c r="P747" i="5"/>
  <c r="Q747" i="5" s="1"/>
  <c r="P746" i="5"/>
  <c r="Q746" i="5" s="1"/>
  <c r="P745" i="5"/>
  <c r="Q745" i="5" s="1"/>
  <c r="P744" i="5"/>
  <c r="Q744" i="5" s="1"/>
  <c r="P743" i="5"/>
  <c r="Q743" i="5" s="1"/>
  <c r="P742" i="5"/>
  <c r="Q742" i="5" s="1"/>
  <c r="P741" i="5"/>
  <c r="Q741" i="5" s="1"/>
  <c r="P740" i="5"/>
  <c r="Q740" i="5" s="1"/>
  <c r="P739" i="5"/>
  <c r="Q739" i="5" s="1"/>
  <c r="P738" i="5"/>
  <c r="Q738" i="5" s="1"/>
  <c r="P737" i="5"/>
  <c r="Q737" i="5" s="1"/>
  <c r="P736" i="5"/>
  <c r="Q736" i="5" s="1"/>
  <c r="P735" i="5"/>
  <c r="Q735" i="5" s="1"/>
  <c r="P734" i="5"/>
  <c r="Q734" i="5" s="1"/>
  <c r="P733" i="5"/>
  <c r="Q733" i="5" s="1"/>
  <c r="P732" i="5"/>
  <c r="Q732" i="5" s="1"/>
  <c r="P731" i="5"/>
  <c r="Q731" i="5" s="1"/>
  <c r="P730" i="5"/>
  <c r="Q730" i="5" s="1"/>
  <c r="P729" i="5"/>
  <c r="Q729" i="5" s="1"/>
  <c r="P728" i="5"/>
  <c r="Q728" i="5" s="1"/>
  <c r="P727" i="5"/>
  <c r="Q727" i="5" s="1"/>
  <c r="P726" i="5"/>
  <c r="Q726" i="5" s="1"/>
  <c r="P725" i="5"/>
  <c r="Q725" i="5" s="1"/>
  <c r="P724" i="5"/>
  <c r="Q724" i="5" s="1"/>
  <c r="P723" i="5"/>
  <c r="Q723" i="5" s="1"/>
  <c r="P722" i="5"/>
  <c r="Q722" i="5" s="1"/>
  <c r="P721" i="5"/>
  <c r="Q721" i="5" s="1"/>
  <c r="P720" i="5"/>
  <c r="Q720" i="5" s="1"/>
  <c r="P719" i="5"/>
  <c r="Q719" i="5" s="1"/>
  <c r="P718" i="5"/>
  <c r="Q718" i="5" s="1"/>
  <c r="P717" i="5"/>
  <c r="Q717" i="5" s="1"/>
  <c r="P716" i="5"/>
  <c r="Q716" i="5" s="1"/>
  <c r="P715" i="5"/>
  <c r="Q715" i="5" s="1"/>
  <c r="P714" i="5"/>
  <c r="Q714" i="5" s="1"/>
  <c r="P713" i="5"/>
  <c r="Q713" i="5" s="1"/>
  <c r="P712" i="5"/>
  <c r="Q712" i="5" s="1"/>
  <c r="P711" i="5"/>
  <c r="Q711" i="5" s="1"/>
  <c r="P710" i="5"/>
  <c r="Q710" i="5" s="1"/>
  <c r="P709" i="5"/>
  <c r="Q709" i="5" s="1"/>
  <c r="P708" i="5"/>
  <c r="Q708" i="5" s="1"/>
  <c r="P707" i="5"/>
  <c r="Q707" i="5" s="1"/>
  <c r="P706" i="5"/>
  <c r="Q706" i="5" s="1"/>
  <c r="P705" i="5"/>
  <c r="Q705" i="5" s="1"/>
  <c r="P704" i="5"/>
  <c r="Q704" i="5" s="1"/>
  <c r="P703" i="5"/>
  <c r="Q703" i="5" s="1"/>
  <c r="P702" i="5"/>
  <c r="Q702" i="5" s="1"/>
  <c r="P701" i="5"/>
  <c r="Q701" i="5" s="1"/>
  <c r="P700" i="5"/>
  <c r="Q700" i="5" s="1"/>
  <c r="P699" i="5"/>
  <c r="Q699" i="5" s="1"/>
  <c r="P698" i="5"/>
  <c r="Q698" i="5" s="1"/>
  <c r="P697" i="5"/>
  <c r="Q697" i="5" s="1"/>
  <c r="P696" i="5"/>
  <c r="Q696" i="5" s="1"/>
  <c r="P695" i="5"/>
  <c r="Q695" i="5" s="1"/>
  <c r="P694" i="5"/>
  <c r="Q694" i="5" s="1"/>
  <c r="P693" i="5"/>
  <c r="Q693" i="5" s="1"/>
  <c r="P692" i="5"/>
  <c r="Q692" i="5" s="1"/>
  <c r="P691" i="5"/>
  <c r="Q691" i="5" s="1"/>
  <c r="P690" i="5"/>
  <c r="Q690" i="5" s="1"/>
  <c r="P689" i="5"/>
  <c r="Q689" i="5" s="1"/>
  <c r="P688" i="5"/>
  <c r="Q688" i="5" s="1"/>
  <c r="P687" i="5"/>
  <c r="Q687" i="5" s="1"/>
  <c r="P686" i="5"/>
  <c r="Q686" i="5" s="1"/>
  <c r="P685" i="5"/>
  <c r="Q685" i="5" s="1"/>
  <c r="P684" i="5"/>
  <c r="Q684" i="5" s="1"/>
  <c r="P683" i="5"/>
  <c r="Q683" i="5" s="1"/>
  <c r="P682" i="5"/>
  <c r="Q682" i="5" s="1"/>
  <c r="P681" i="5"/>
  <c r="Q681" i="5" s="1"/>
  <c r="P680" i="5"/>
  <c r="Q680" i="5" s="1"/>
  <c r="P679" i="5"/>
  <c r="Q679" i="5" s="1"/>
  <c r="P678" i="5"/>
  <c r="Q678" i="5" s="1"/>
  <c r="P677" i="5"/>
  <c r="Q677" i="5" s="1"/>
  <c r="P676" i="5"/>
  <c r="Q676" i="5" s="1"/>
  <c r="P675" i="5"/>
  <c r="Q675" i="5" s="1"/>
  <c r="P674" i="5"/>
  <c r="Q674" i="5" s="1"/>
  <c r="P673" i="5"/>
  <c r="Q673" i="5" s="1"/>
  <c r="P672" i="5"/>
  <c r="Q672" i="5" s="1"/>
  <c r="P671" i="5"/>
  <c r="Q671" i="5" s="1"/>
  <c r="P670" i="5"/>
  <c r="Q670" i="5" s="1"/>
  <c r="P669" i="5"/>
  <c r="Q669" i="5" s="1"/>
  <c r="P668" i="5"/>
  <c r="Q668" i="5" s="1"/>
  <c r="P667" i="5"/>
  <c r="Q667" i="5" s="1"/>
  <c r="P666" i="5"/>
  <c r="Q666" i="5" s="1"/>
  <c r="P665" i="5"/>
  <c r="Q665" i="5" s="1"/>
  <c r="P664" i="5"/>
  <c r="Q664" i="5" s="1"/>
  <c r="P663" i="5"/>
  <c r="Q663" i="5" s="1"/>
  <c r="P662" i="5"/>
  <c r="Q662" i="5" s="1"/>
  <c r="P661" i="5"/>
  <c r="Q661" i="5" s="1"/>
  <c r="P660" i="5"/>
  <c r="Q660" i="5" s="1"/>
  <c r="P659" i="5"/>
  <c r="Q659" i="5" s="1"/>
  <c r="P658" i="5"/>
  <c r="Q658" i="5" s="1"/>
  <c r="P657" i="5"/>
  <c r="Q657" i="5" s="1"/>
  <c r="P656" i="5"/>
  <c r="Q656" i="5" s="1"/>
  <c r="P655" i="5"/>
  <c r="Q655" i="5" s="1"/>
  <c r="P654" i="5"/>
  <c r="Q654" i="5" s="1"/>
  <c r="P653" i="5"/>
  <c r="Q653" i="5" s="1"/>
  <c r="P652" i="5"/>
  <c r="Q652" i="5" s="1"/>
  <c r="P651" i="5"/>
  <c r="Q651" i="5" s="1"/>
  <c r="P650" i="5"/>
  <c r="Q650" i="5" s="1"/>
  <c r="P649" i="5"/>
  <c r="Q649" i="5" s="1"/>
  <c r="P648" i="5"/>
  <c r="Q648" i="5" s="1"/>
  <c r="P647" i="5"/>
  <c r="Q647" i="5" s="1"/>
  <c r="P646" i="5"/>
  <c r="Q646" i="5" s="1"/>
  <c r="P645" i="5"/>
  <c r="Q645" i="5" s="1"/>
  <c r="P644" i="5"/>
  <c r="Q644" i="5" s="1"/>
  <c r="P643" i="5"/>
  <c r="Q643" i="5" s="1"/>
  <c r="P642" i="5"/>
  <c r="Q642" i="5" s="1"/>
  <c r="P641" i="5"/>
  <c r="Q641" i="5" s="1"/>
  <c r="P640" i="5"/>
  <c r="Q640" i="5" s="1"/>
  <c r="P639" i="5"/>
  <c r="Q639" i="5" s="1"/>
  <c r="P638" i="5"/>
  <c r="Q638" i="5" s="1"/>
  <c r="P637" i="5"/>
  <c r="Q637" i="5" s="1"/>
  <c r="P636" i="5"/>
  <c r="Q636" i="5" s="1"/>
  <c r="P635" i="5"/>
  <c r="Q635" i="5" s="1"/>
  <c r="P634" i="5"/>
  <c r="Q634" i="5" s="1"/>
  <c r="P633" i="5"/>
  <c r="Q633" i="5" s="1"/>
  <c r="P632" i="5"/>
  <c r="Q632" i="5" s="1"/>
  <c r="P631" i="5"/>
  <c r="Q631" i="5" s="1"/>
  <c r="P630" i="5"/>
  <c r="Q630" i="5" s="1"/>
  <c r="P629" i="5"/>
  <c r="Q629" i="5" s="1"/>
  <c r="P628" i="5"/>
  <c r="Q628" i="5" s="1"/>
  <c r="P627" i="5"/>
  <c r="Q627" i="5" s="1"/>
  <c r="P626" i="5"/>
  <c r="Q626" i="5" s="1"/>
  <c r="P625" i="5"/>
  <c r="Q625" i="5" s="1"/>
  <c r="P624" i="5"/>
  <c r="Q624" i="5" s="1"/>
  <c r="P623" i="5"/>
  <c r="Q623" i="5" s="1"/>
  <c r="P622" i="5"/>
  <c r="Q622" i="5" s="1"/>
  <c r="P621" i="5"/>
  <c r="Q621" i="5" s="1"/>
  <c r="P620" i="5"/>
  <c r="Q620" i="5" s="1"/>
  <c r="P619" i="5"/>
  <c r="Q619" i="5" s="1"/>
  <c r="P618" i="5"/>
  <c r="Q618" i="5" s="1"/>
  <c r="P617" i="5"/>
  <c r="Q617" i="5" s="1"/>
  <c r="P616" i="5"/>
  <c r="Q616" i="5" s="1"/>
  <c r="P615" i="5"/>
  <c r="Q615" i="5" s="1"/>
  <c r="P614" i="5"/>
  <c r="Q614" i="5" s="1"/>
  <c r="P613" i="5"/>
  <c r="Q613" i="5" s="1"/>
  <c r="P612" i="5"/>
  <c r="Q612" i="5" s="1"/>
  <c r="P611" i="5"/>
  <c r="Q611" i="5" s="1"/>
  <c r="P610" i="5"/>
  <c r="Q610" i="5" s="1"/>
  <c r="P609" i="5"/>
  <c r="Q609" i="5" s="1"/>
  <c r="P608" i="5"/>
  <c r="Q608" i="5" s="1"/>
  <c r="P607" i="5"/>
  <c r="Q607" i="5" s="1"/>
  <c r="P606" i="5"/>
  <c r="Q606" i="5" s="1"/>
  <c r="P605" i="5"/>
  <c r="Q605" i="5" s="1"/>
  <c r="P604" i="5"/>
  <c r="Q604" i="5" s="1"/>
  <c r="P603" i="5"/>
  <c r="Q603" i="5" s="1"/>
  <c r="P602" i="5"/>
  <c r="Q602" i="5" s="1"/>
  <c r="P601" i="5"/>
  <c r="Q601" i="5" s="1"/>
  <c r="P600" i="5"/>
  <c r="Q600" i="5" s="1"/>
  <c r="P599" i="5"/>
  <c r="Q599" i="5" s="1"/>
  <c r="P598" i="5"/>
  <c r="Q598" i="5" s="1"/>
  <c r="P597" i="5"/>
  <c r="Q597" i="5" s="1"/>
  <c r="P596" i="5"/>
  <c r="Q596" i="5" s="1"/>
  <c r="P595" i="5"/>
  <c r="Q595" i="5" s="1"/>
  <c r="P594" i="5"/>
  <c r="Q594" i="5" s="1"/>
  <c r="P593" i="5"/>
  <c r="Q593" i="5" s="1"/>
  <c r="P592" i="5"/>
  <c r="Q592" i="5" s="1"/>
  <c r="P591" i="5"/>
  <c r="Q591" i="5" s="1"/>
  <c r="P590" i="5"/>
  <c r="Q590" i="5" s="1"/>
  <c r="P589" i="5"/>
  <c r="Q589" i="5" s="1"/>
  <c r="P588" i="5"/>
  <c r="Q588" i="5" s="1"/>
  <c r="P587" i="5"/>
  <c r="Q587" i="5" s="1"/>
  <c r="P586" i="5"/>
  <c r="Q586" i="5" s="1"/>
  <c r="P585" i="5"/>
  <c r="Q585" i="5" s="1"/>
  <c r="P584" i="5"/>
  <c r="Q584" i="5" s="1"/>
  <c r="P583" i="5"/>
  <c r="Q583" i="5" s="1"/>
  <c r="P582" i="5"/>
  <c r="Q582" i="5" s="1"/>
  <c r="P581" i="5"/>
  <c r="Q581" i="5" s="1"/>
  <c r="P580" i="5"/>
  <c r="Q580" i="5" s="1"/>
  <c r="P579" i="5"/>
  <c r="Q579" i="5" s="1"/>
  <c r="P578" i="5"/>
  <c r="Q578" i="5" s="1"/>
  <c r="P577" i="5"/>
  <c r="Q577" i="5" s="1"/>
  <c r="P576" i="5"/>
  <c r="Q576" i="5" s="1"/>
  <c r="P575" i="5"/>
  <c r="Q575" i="5" s="1"/>
  <c r="P574" i="5"/>
  <c r="Q574" i="5" s="1"/>
  <c r="P573" i="5"/>
  <c r="Q573" i="5" s="1"/>
  <c r="P572" i="5"/>
  <c r="Q572" i="5" s="1"/>
  <c r="P571" i="5"/>
  <c r="Q571" i="5" s="1"/>
  <c r="P570" i="5"/>
  <c r="Q570" i="5" s="1"/>
  <c r="P569" i="5"/>
  <c r="Q569" i="5" s="1"/>
  <c r="P568" i="5"/>
  <c r="Q568" i="5" s="1"/>
  <c r="P567" i="5"/>
  <c r="Q567" i="5" s="1"/>
  <c r="P566" i="5"/>
  <c r="Q566" i="5" s="1"/>
  <c r="P565" i="5"/>
  <c r="Q565" i="5" s="1"/>
  <c r="P564" i="5"/>
  <c r="Q564" i="5" s="1"/>
  <c r="P563" i="5"/>
  <c r="Q563" i="5" s="1"/>
  <c r="P562" i="5"/>
  <c r="Q562" i="5" s="1"/>
  <c r="P561" i="5"/>
  <c r="Q561" i="5" s="1"/>
  <c r="P560" i="5"/>
  <c r="Q560" i="5" s="1"/>
  <c r="P559" i="5"/>
  <c r="Q559" i="5" s="1"/>
  <c r="P558" i="5"/>
  <c r="Q558" i="5" s="1"/>
  <c r="P557" i="5"/>
  <c r="Q557" i="5" s="1"/>
  <c r="P556" i="5"/>
  <c r="Q556" i="5" s="1"/>
  <c r="P555" i="5"/>
  <c r="Q555" i="5" s="1"/>
  <c r="P554" i="5"/>
  <c r="Q554" i="5" s="1"/>
  <c r="P553" i="5"/>
  <c r="Q553" i="5" s="1"/>
  <c r="P552" i="5"/>
  <c r="Q552" i="5" s="1"/>
  <c r="P551" i="5"/>
  <c r="Q551" i="5" s="1"/>
  <c r="P550" i="5"/>
  <c r="Q550" i="5" s="1"/>
  <c r="P549" i="5"/>
  <c r="Q549" i="5" s="1"/>
  <c r="P548" i="5"/>
  <c r="Q548" i="5" s="1"/>
  <c r="P547" i="5"/>
  <c r="Q547" i="5" s="1"/>
  <c r="P546" i="5"/>
  <c r="Q546" i="5" s="1"/>
  <c r="P545" i="5"/>
  <c r="Q545" i="5" s="1"/>
  <c r="P544" i="5"/>
  <c r="Q544" i="5" s="1"/>
  <c r="P543" i="5"/>
  <c r="Q543" i="5" s="1"/>
  <c r="P542" i="5"/>
  <c r="Q542" i="5" s="1"/>
  <c r="P541" i="5"/>
  <c r="Q541" i="5" s="1"/>
  <c r="P540" i="5"/>
  <c r="Q540" i="5" s="1"/>
  <c r="P539" i="5"/>
  <c r="Q539" i="5" s="1"/>
  <c r="P538" i="5"/>
  <c r="Q538" i="5" s="1"/>
  <c r="P537" i="5"/>
  <c r="Q537" i="5" s="1"/>
  <c r="P536" i="5"/>
  <c r="Q536" i="5" s="1"/>
  <c r="P535" i="5"/>
  <c r="Q535" i="5" s="1"/>
  <c r="P534" i="5"/>
  <c r="Q534" i="5" s="1"/>
  <c r="P533" i="5"/>
  <c r="Q533" i="5" s="1"/>
  <c r="P532" i="5"/>
  <c r="Q532" i="5" s="1"/>
  <c r="P531" i="5"/>
  <c r="Q531" i="5" s="1"/>
  <c r="P530" i="5"/>
  <c r="Q530" i="5" s="1"/>
  <c r="P529" i="5"/>
  <c r="Q529" i="5" s="1"/>
  <c r="P528" i="5"/>
  <c r="Q528" i="5" s="1"/>
  <c r="P527" i="5"/>
  <c r="Q527" i="5" s="1"/>
  <c r="P526" i="5"/>
  <c r="Q526" i="5" s="1"/>
  <c r="P525" i="5"/>
  <c r="Q525" i="5" s="1"/>
  <c r="P524" i="5"/>
  <c r="Q524" i="5" s="1"/>
  <c r="P523" i="5"/>
  <c r="Q523" i="5" s="1"/>
  <c r="P522" i="5"/>
  <c r="Q522" i="5" s="1"/>
  <c r="P521" i="5"/>
  <c r="Q521" i="5" s="1"/>
  <c r="P520" i="5"/>
  <c r="Q520" i="5" s="1"/>
  <c r="P519" i="5"/>
  <c r="Q519" i="5" s="1"/>
  <c r="P518" i="5"/>
  <c r="Q518" i="5" s="1"/>
  <c r="P517" i="5"/>
  <c r="Q517" i="5" s="1"/>
  <c r="P516" i="5"/>
  <c r="Q516" i="5" s="1"/>
  <c r="P515" i="5"/>
  <c r="Q515" i="5" s="1"/>
  <c r="P514" i="5"/>
  <c r="Q514" i="5" s="1"/>
  <c r="P513" i="5"/>
  <c r="Q513" i="5" s="1"/>
  <c r="P512" i="5"/>
  <c r="Q512" i="5" s="1"/>
  <c r="P511" i="5"/>
  <c r="Q511" i="5" s="1"/>
  <c r="P510" i="5"/>
  <c r="Q510" i="5" s="1"/>
  <c r="P509" i="5"/>
  <c r="Q509" i="5" s="1"/>
  <c r="P508" i="5"/>
  <c r="Q508" i="5" s="1"/>
  <c r="P507" i="5"/>
  <c r="Q507" i="5" s="1"/>
  <c r="P506" i="5"/>
  <c r="Q506" i="5" s="1"/>
  <c r="P505" i="5"/>
  <c r="Q505" i="5" s="1"/>
  <c r="P504" i="5"/>
  <c r="Q504" i="5" s="1"/>
  <c r="P503" i="5"/>
  <c r="Q503" i="5" s="1"/>
  <c r="P502" i="5"/>
  <c r="Q502" i="5" s="1"/>
  <c r="P501" i="5"/>
  <c r="Q501" i="5" s="1"/>
  <c r="P500" i="5"/>
  <c r="Q500" i="5" s="1"/>
  <c r="P499" i="5"/>
  <c r="Q499" i="5" s="1"/>
  <c r="P498" i="5"/>
  <c r="Q498" i="5" s="1"/>
  <c r="P497" i="5"/>
  <c r="Q497" i="5" s="1"/>
  <c r="P496" i="5"/>
  <c r="Q496" i="5" s="1"/>
  <c r="P495" i="5"/>
  <c r="Q495" i="5" s="1"/>
  <c r="P494" i="5"/>
  <c r="Q494" i="5" s="1"/>
  <c r="P493" i="5"/>
  <c r="Q493" i="5" s="1"/>
  <c r="P492" i="5"/>
  <c r="Q492" i="5" s="1"/>
  <c r="P491" i="5"/>
  <c r="Q491" i="5" s="1"/>
  <c r="P490" i="5"/>
  <c r="Q490" i="5" s="1"/>
  <c r="P489" i="5"/>
  <c r="Q489" i="5" s="1"/>
  <c r="P488" i="5"/>
  <c r="Q488" i="5" s="1"/>
  <c r="P487" i="5"/>
  <c r="Q487" i="5" s="1"/>
  <c r="P486" i="5"/>
  <c r="Q486" i="5" s="1"/>
  <c r="P485" i="5"/>
  <c r="Q485" i="5" s="1"/>
  <c r="P484" i="5"/>
  <c r="Q484" i="5" s="1"/>
  <c r="P483" i="5"/>
  <c r="Q483" i="5" s="1"/>
  <c r="P482" i="5"/>
  <c r="Q482" i="5" s="1"/>
  <c r="P481" i="5"/>
  <c r="Q481" i="5" s="1"/>
  <c r="P480" i="5"/>
  <c r="Q480" i="5" s="1"/>
  <c r="P479" i="5"/>
  <c r="Q479" i="5" s="1"/>
  <c r="P478" i="5"/>
  <c r="Q478" i="5" s="1"/>
  <c r="P477" i="5"/>
  <c r="Q477" i="5" s="1"/>
  <c r="P476" i="5"/>
  <c r="Q476" i="5" s="1"/>
  <c r="P475" i="5"/>
  <c r="Q475" i="5" s="1"/>
  <c r="P474" i="5"/>
  <c r="Q474" i="5" s="1"/>
  <c r="P473" i="5"/>
  <c r="Q473" i="5" s="1"/>
  <c r="P472" i="5"/>
  <c r="Q472" i="5" s="1"/>
  <c r="P471" i="5"/>
  <c r="Q471" i="5" s="1"/>
  <c r="P470" i="5"/>
  <c r="Q470" i="5" s="1"/>
  <c r="P469" i="5"/>
  <c r="Q469" i="5" s="1"/>
  <c r="P468" i="5"/>
  <c r="Q468" i="5" s="1"/>
  <c r="P467" i="5"/>
  <c r="Q467" i="5" s="1"/>
  <c r="P466" i="5"/>
  <c r="Q466" i="5" s="1"/>
  <c r="P465" i="5"/>
  <c r="Q465" i="5" s="1"/>
  <c r="P464" i="5"/>
  <c r="Q464" i="5" s="1"/>
  <c r="P463" i="5"/>
  <c r="Q463" i="5" s="1"/>
  <c r="P462" i="5"/>
  <c r="Q462" i="5" s="1"/>
  <c r="P461" i="5"/>
  <c r="Q461" i="5" s="1"/>
  <c r="P460" i="5"/>
  <c r="Q460" i="5" s="1"/>
  <c r="P459" i="5"/>
  <c r="Q459" i="5" s="1"/>
  <c r="P458" i="5"/>
  <c r="Q458" i="5" s="1"/>
  <c r="P457" i="5"/>
  <c r="Q457" i="5" s="1"/>
  <c r="P456" i="5"/>
  <c r="Q456" i="5" s="1"/>
  <c r="P455" i="5"/>
  <c r="Q455" i="5" s="1"/>
  <c r="P454" i="5"/>
  <c r="Q454" i="5" s="1"/>
  <c r="P453" i="5"/>
  <c r="Q453" i="5" s="1"/>
  <c r="P452" i="5"/>
  <c r="Q452" i="5" s="1"/>
  <c r="P451" i="5"/>
  <c r="Q451" i="5" s="1"/>
  <c r="P450" i="5"/>
  <c r="Q450" i="5" s="1"/>
  <c r="P449" i="5"/>
  <c r="Q449" i="5" s="1"/>
  <c r="P448" i="5"/>
  <c r="Q448" i="5" s="1"/>
  <c r="P447" i="5"/>
  <c r="Q447" i="5" s="1"/>
  <c r="P446" i="5"/>
  <c r="Q446" i="5" s="1"/>
  <c r="P445" i="5"/>
  <c r="Q445" i="5" s="1"/>
  <c r="P444" i="5"/>
  <c r="Q444" i="5" s="1"/>
  <c r="P443" i="5"/>
  <c r="Q443" i="5" s="1"/>
  <c r="P442" i="5"/>
  <c r="Q442" i="5" s="1"/>
  <c r="P441" i="5"/>
  <c r="Q441" i="5" s="1"/>
  <c r="P440" i="5"/>
  <c r="Q440" i="5" s="1"/>
  <c r="P439" i="5"/>
  <c r="Q439" i="5" s="1"/>
  <c r="P438" i="5"/>
  <c r="Q438" i="5" s="1"/>
  <c r="P437" i="5"/>
  <c r="Q437" i="5" s="1"/>
  <c r="P436" i="5"/>
  <c r="Q436" i="5" s="1"/>
  <c r="P435" i="5"/>
  <c r="Q435" i="5" s="1"/>
  <c r="P434" i="5"/>
  <c r="Q434" i="5" s="1"/>
  <c r="P433" i="5"/>
  <c r="Q433" i="5" s="1"/>
  <c r="P432" i="5"/>
  <c r="Q432" i="5" s="1"/>
  <c r="P431" i="5"/>
  <c r="Q431" i="5" s="1"/>
  <c r="P430" i="5"/>
  <c r="Q430" i="5" s="1"/>
  <c r="P429" i="5"/>
  <c r="Q429" i="5" s="1"/>
  <c r="P428" i="5"/>
  <c r="Q428" i="5" s="1"/>
  <c r="P427" i="5"/>
  <c r="Q427" i="5" s="1"/>
  <c r="P426" i="5"/>
  <c r="Q426" i="5" s="1"/>
  <c r="P425" i="5"/>
  <c r="Q425" i="5" s="1"/>
  <c r="P424" i="5"/>
  <c r="Q424" i="5" s="1"/>
  <c r="P423" i="5"/>
  <c r="Q423" i="5" s="1"/>
  <c r="P422" i="5"/>
  <c r="Q422" i="5" s="1"/>
  <c r="P421" i="5"/>
  <c r="Q421" i="5" s="1"/>
  <c r="P420" i="5"/>
  <c r="Q420" i="5" s="1"/>
  <c r="P419" i="5"/>
  <c r="Q419" i="5" s="1"/>
  <c r="P418" i="5"/>
  <c r="Q418" i="5" s="1"/>
  <c r="P417" i="5"/>
  <c r="Q417" i="5" s="1"/>
  <c r="P416" i="5"/>
  <c r="Q416" i="5" s="1"/>
  <c r="P415" i="5"/>
  <c r="Q415" i="5" s="1"/>
  <c r="P414" i="5"/>
  <c r="Q414" i="5" s="1"/>
  <c r="P413" i="5"/>
  <c r="Q413" i="5" s="1"/>
  <c r="P412" i="5"/>
  <c r="Q412" i="5" s="1"/>
  <c r="P411" i="5"/>
  <c r="Q411" i="5" s="1"/>
  <c r="P410" i="5"/>
  <c r="Q410" i="5" s="1"/>
  <c r="P409" i="5"/>
  <c r="Q409" i="5" s="1"/>
  <c r="P408" i="5"/>
  <c r="Q408" i="5" s="1"/>
  <c r="P407" i="5"/>
  <c r="Q407" i="5" s="1"/>
  <c r="P406" i="5"/>
  <c r="Q406" i="5" s="1"/>
  <c r="P405" i="5"/>
  <c r="Q405" i="5" s="1"/>
  <c r="P404" i="5"/>
  <c r="Q404" i="5" s="1"/>
  <c r="P403" i="5"/>
  <c r="Q403" i="5" s="1"/>
  <c r="P402" i="5"/>
  <c r="Q402" i="5" s="1"/>
  <c r="P401" i="5"/>
  <c r="Q401" i="5" s="1"/>
  <c r="P400" i="5"/>
  <c r="Q400" i="5" s="1"/>
  <c r="P399" i="5"/>
  <c r="Q399" i="5" s="1"/>
  <c r="P398" i="5"/>
  <c r="Q398" i="5" s="1"/>
  <c r="P397" i="5"/>
  <c r="Q397" i="5" s="1"/>
  <c r="P396" i="5"/>
  <c r="Q396" i="5" s="1"/>
  <c r="P395" i="5"/>
  <c r="Q395" i="5" s="1"/>
  <c r="P394" i="5"/>
  <c r="Q394" i="5" s="1"/>
  <c r="P393" i="5"/>
  <c r="Q393" i="5" s="1"/>
  <c r="P392" i="5"/>
  <c r="Q392" i="5" s="1"/>
  <c r="P391" i="5"/>
  <c r="Q391" i="5" s="1"/>
  <c r="P390" i="5"/>
  <c r="Q390" i="5" s="1"/>
  <c r="P389" i="5"/>
  <c r="Q389" i="5" s="1"/>
  <c r="P388" i="5"/>
  <c r="Q388" i="5" s="1"/>
  <c r="P387" i="5"/>
  <c r="Q387" i="5" s="1"/>
  <c r="P386" i="5"/>
  <c r="Q386" i="5" s="1"/>
  <c r="P385" i="5"/>
  <c r="Q385" i="5" s="1"/>
  <c r="P384" i="5"/>
  <c r="Q384" i="5" s="1"/>
  <c r="P383" i="5"/>
  <c r="Q383" i="5" s="1"/>
  <c r="P382" i="5"/>
  <c r="Q382" i="5" s="1"/>
  <c r="P381" i="5"/>
  <c r="Q381" i="5" s="1"/>
  <c r="P380" i="5"/>
  <c r="Q380" i="5" s="1"/>
  <c r="P379" i="5"/>
  <c r="Q379" i="5" s="1"/>
  <c r="P378" i="5"/>
  <c r="Q378" i="5" s="1"/>
  <c r="P377" i="5"/>
  <c r="Q377" i="5" s="1"/>
  <c r="P376" i="5"/>
  <c r="Q376" i="5" s="1"/>
  <c r="P375" i="5"/>
  <c r="Q375" i="5" s="1"/>
  <c r="P374" i="5"/>
  <c r="Q374" i="5" s="1"/>
  <c r="P373" i="5"/>
  <c r="Q373" i="5" s="1"/>
  <c r="P372" i="5"/>
  <c r="Q372" i="5" s="1"/>
  <c r="P371" i="5"/>
  <c r="Q371" i="5" s="1"/>
  <c r="P370" i="5"/>
  <c r="Q370" i="5" s="1"/>
  <c r="P369" i="5"/>
  <c r="Q369" i="5" s="1"/>
  <c r="P368" i="5"/>
  <c r="Q368" i="5" s="1"/>
  <c r="P367" i="5"/>
  <c r="Q367" i="5" s="1"/>
  <c r="P366" i="5"/>
  <c r="Q366" i="5" s="1"/>
  <c r="P365" i="5"/>
  <c r="Q365" i="5" s="1"/>
  <c r="P364" i="5"/>
  <c r="Q364" i="5" s="1"/>
  <c r="P363" i="5"/>
  <c r="Q363" i="5" s="1"/>
  <c r="P362" i="5"/>
  <c r="Q362" i="5" s="1"/>
  <c r="P361" i="5"/>
  <c r="Q361" i="5" s="1"/>
  <c r="P360" i="5"/>
  <c r="Q360" i="5" s="1"/>
  <c r="P359" i="5"/>
  <c r="Q359" i="5" s="1"/>
  <c r="P358" i="5"/>
  <c r="Q358" i="5" s="1"/>
  <c r="P357" i="5"/>
  <c r="Q357" i="5" s="1"/>
  <c r="P356" i="5"/>
  <c r="Q356" i="5" s="1"/>
  <c r="P355" i="5"/>
  <c r="Q355" i="5" s="1"/>
  <c r="P354" i="5"/>
  <c r="Q354" i="5" s="1"/>
  <c r="P353" i="5"/>
  <c r="Q353" i="5" s="1"/>
  <c r="P352" i="5"/>
  <c r="Q352" i="5" s="1"/>
  <c r="P351" i="5"/>
  <c r="Q351" i="5" s="1"/>
  <c r="P350" i="5"/>
  <c r="Q350" i="5" s="1"/>
  <c r="P349" i="5"/>
  <c r="Q349" i="5" s="1"/>
  <c r="P348" i="5"/>
  <c r="Q348" i="5" s="1"/>
  <c r="P347" i="5"/>
  <c r="Q347" i="5" s="1"/>
  <c r="P346" i="5"/>
  <c r="Q346" i="5" s="1"/>
  <c r="P345" i="5"/>
  <c r="Q345" i="5" s="1"/>
  <c r="P344" i="5"/>
  <c r="Q344" i="5" s="1"/>
  <c r="P343" i="5"/>
  <c r="Q343" i="5" s="1"/>
  <c r="P342" i="5"/>
  <c r="Q342" i="5" s="1"/>
  <c r="P341" i="5"/>
  <c r="Q341" i="5" s="1"/>
  <c r="P340" i="5"/>
  <c r="Q340" i="5" s="1"/>
  <c r="P339" i="5"/>
  <c r="Q339" i="5" s="1"/>
  <c r="P338" i="5"/>
  <c r="Q338" i="5" s="1"/>
  <c r="P337" i="5"/>
  <c r="Q337" i="5" s="1"/>
  <c r="P336" i="5"/>
  <c r="Q336" i="5" s="1"/>
  <c r="P335" i="5"/>
  <c r="Q335" i="5" s="1"/>
  <c r="P334" i="5"/>
  <c r="Q334" i="5" s="1"/>
  <c r="P333" i="5"/>
  <c r="Q333" i="5" s="1"/>
  <c r="Q332" i="5"/>
  <c r="P332" i="5"/>
  <c r="P331" i="5"/>
  <c r="Q331" i="5" s="1"/>
  <c r="P330" i="5"/>
  <c r="Q330" i="5" s="1"/>
  <c r="P329" i="5"/>
  <c r="Q329" i="5" s="1"/>
  <c r="P328" i="5"/>
  <c r="Q328" i="5" s="1"/>
  <c r="P327" i="5"/>
  <c r="Q327" i="5" s="1"/>
  <c r="P326" i="5"/>
  <c r="Q326" i="5" s="1"/>
  <c r="P325" i="5"/>
  <c r="Q325" i="5" s="1"/>
  <c r="P324" i="5"/>
  <c r="Q324" i="5" s="1"/>
  <c r="P323" i="5"/>
  <c r="Q323" i="5" s="1"/>
  <c r="P322" i="5"/>
  <c r="Q322" i="5" s="1"/>
  <c r="P321" i="5"/>
  <c r="Q321" i="5" s="1"/>
  <c r="P320" i="5"/>
  <c r="Q320" i="5" s="1"/>
  <c r="P319" i="5"/>
  <c r="Q319" i="5" s="1"/>
  <c r="P318" i="5"/>
  <c r="Q318" i="5" s="1"/>
  <c r="P317" i="5"/>
  <c r="Q317" i="5" s="1"/>
  <c r="P316" i="5"/>
  <c r="Q316" i="5" s="1"/>
  <c r="P315" i="5"/>
  <c r="Q315" i="5" s="1"/>
  <c r="P314" i="5"/>
  <c r="Q314" i="5" s="1"/>
  <c r="P313" i="5"/>
  <c r="Q313" i="5" s="1"/>
  <c r="P312" i="5"/>
  <c r="Q312" i="5" s="1"/>
  <c r="P311" i="5"/>
  <c r="Q311" i="5" s="1"/>
  <c r="P310" i="5"/>
  <c r="Q310" i="5" s="1"/>
  <c r="P309" i="5"/>
  <c r="Q309" i="5" s="1"/>
  <c r="P308" i="5"/>
  <c r="Q308" i="5" s="1"/>
  <c r="P307" i="5"/>
  <c r="Q307" i="5" s="1"/>
  <c r="P306" i="5"/>
  <c r="Q306" i="5" s="1"/>
  <c r="P305" i="5"/>
  <c r="Q305" i="5" s="1"/>
  <c r="P304" i="5"/>
  <c r="Q304" i="5" s="1"/>
  <c r="P303" i="5"/>
  <c r="Q303" i="5" s="1"/>
  <c r="P302" i="5"/>
  <c r="Q302" i="5" s="1"/>
  <c r="P301" i="5"/>
  <c r="Q301" i="5" s="1"/>
  <c r="P300" i="5"/>
  <c r="Q300" i="5" s="1"/>
  <c r="P299" i="5"/>
  <c r="Q299" i="5" s="1"/>
  <c r="P298" i="5"/>
  <c r="Q298" i="5" s="1"/>
  <c r="P297" i="5"/>
  <c r="Q297" i="5" s="1"/>
  <c r="P296" i="5"/>
  <c r="Q296" i="5" s="1"/>
  <c r="P295" i="5"/>
  <c r="Q295" i="5" s="1"/>
  <c r="P294" i="5"/>
  <c r="Q294" i="5" s="1"/>
  <c r="P293" i="5"/>
  <c r="Q293" i="5" s="1"/>
  <c r="P292" i="5"/>
  <c r="Q292" i="5" s="1"/>
  <c r="P291" i="5"/>
  <c r="Q291" i="5" s="1"/>
  <c r="P290" i="5"/>
  <c r="Q290" i="5" s="1"/>
  <c r="P289" i="5"/>
  <c r="Q289" i="5" s="1"/>
  <c r="P288" i="5"/>
  <c r="Q288" i="5" s="1"/>
  <c r="P287" i="5"/>
  <c r="Q287" i="5" s="1"/>
  <c r="P286" i="5"/>
  <c r="Q286" i="5" s="1"/>
  <c r="P285" i="5"/>
  <c r="Q285" i="5" s="1"/>
  <c r="P284" i="5"/>
  <c r="Q284" i="5" s="1"/>
  <c r="P283" i="5"/>
  <c r="Q283" i="5" s="1"/>
  <c r="P282" i="5"/>
  <c r="Q282" i="5" s="1"/>
  <c r="P281" i="5"/>
  <c r="Q281" i="5" s="1"/>
  <c r="P280" i="5"/>
  <c r="Q280" i="5" s="1"/>
  <c r="P279" i="5"/>
  <c r="Q279" i="5" s="1"/>
  <c r="P278" i="5"/>
  <c r="Q278" i="5" s="1"/>
  <c r="P277" i="5"/>
  <c r="Q277" i="5" s="1"/>
  <c r="P276" i="5"/>
  <c r="Q276" i="5" s="1"/>
  <c r="P275" i="5"/>
  <c r="Q275" i="5" s="1"/>
  <c r="P274" i="5"/>
  <c r="Q274" i="5" s="1"/>
  <c r="P273" i="5"/>
  <c r="Q273" i="5" s="1"/>
  <c r="P272" i="5"/>
  <c r="Q272" i="5" s="1"/>
  <c r="P271" i="5"/>
  <c r="Q271" i="5" s="1"/>
  <c r="P270" i="5"/>
  <c r="Q270" i="5" s="1"/>
  <c r="P269" i="5"/>
  <c r="Q269" i="5" s="1"/>
  <c r="P268" i="5"/>
  <c r="Q268" i="5" s="1"/>
  <c r="P267" i="5"/>
  <c r="Q267" i="5" s="1"/>
  <c r="P266" i="5"/>
  <c r="Q266" i="5" s="1"/>
  <c r="P265" i="5"/>
  <c r="Q265" i="5" s="1"/>
  <c r="P264" i="5"/>
  <c r="Q264" i="5" s="1"/>
  <c r="P263" i="5"/>
  <c r="Q263" i="5" s="1"/>
  <c r="P262" i="5"/>
  <c r="Q262" i="5" s="1"/>
  <c r="P261" i="5"/>
  <c r="Q261" i="5" s="1"/>
  <c r="P260" i="5"/>
  <c r="Q260" i="5" s="1"/>
  <c r="P259" i="5"/>
  <c r="Q259" i="5" s="1"/>
  <c r="P258" i="5"/>
  <c r="Q258" i="5" s="1"/>
  <c r="P257" i="5"/>
  <c r="Q257" i="5" s="1"/>
  <c r="P256" i="5"/>
  <c r="Q256" i="5" s="1"/>
  <c r="P255" i="5"/>
  <c r="Q255" i="5" s="1"/>
  <c r="P254" i="5"/>
  <c r="Q254" i="5" s="1"/>
  <c r="P253" i="5"/>
  <c r="Q253" i="5" s="1"/>
  <c r="P252" i="5"/>
  <c r="Q252" i="5" s="1"/>
  <c r="P251" i="5"/>
  <c r="Q251" i="5" s="1"/>
  <c r="P250" i="5"/>
  <c r="Q250" i="5" s="1"/>
  <c r="P249" i="5"/>
  <c r="Q249" i="5" s="1"/>
  <c r="P248" i="5"/>
  <c r="Q248" i="5" s="1"/>
  <c r="P247" i="5"/>
  <c r="Q247" i="5" s="1"/>
  <c r="P246" i="5"/>
  <c r="Q246" i="5" s="1"/>
  <c r="P245" i="5"/>
  <c r="Q245" i="5" s="1"/>
  <c r="P244" i="5"/>
  <c r="Q244" i="5" s="1"/>
  <c r="P243" i="5"/>
  <c r="Q243" i="5" s="1"/>
  <c r="P242" i="5"/>
  <c r="Q242" i="5" s="1"/>
  <c r="P241" i="5"/>
  <c r="Q241" i="5" s="1"/>
  <c r="P240" i="5"/>
  <c r="Q240" i="5" s="1"/>
  <c r="P239" i="5"/>
  <c r="Q239" i="5" s="1"/>
  <c r="P238" i="5"/>
  <c r="Q238" i="5" s="1"/>
  <c r="P237" i="5"/>
  <c r="Q237" i="5" s="1"/>
  <c r="P236" i="5"/>
  <c r="Q236" i="5" s="1"/>
  <c r="P235" i="5"/>
  <c r="Q235" i="5" s="1"/>
  <c r="P234" i="5"/>
  <c r="Q234" i="5" s="1"/>
  <c r="P233" i="5"/>
  <c r="Q233" i="5" s="1"/>
  <c r="P232" i="5"/>
  <c r="Q232" i="5" s="1"/>
  <c r="P231" i="5"/>
  <c r="Q231" i="5" s="1"/>
  <c r="Q230" i="5"/>
  <c r="P230" i="5"/>
  <c r="P229" i="5"/>
  <c r="Q229" i="5" s="1"/>
  <c r="P228" i="5"/>
  <c r="Q228" i="5" s="1"/>
  <c r="P227" i="5"/>
  <c r="Q227" i="5" s="1"/>
  <c r="P226" i="5"/>
  <c r="Q226" i="5" s="1"/>
  <c r="P225" i="5"/>
  <c r="Q225" i="5" s="1"/>
  <c r="P224" i="5"/>
  <c r="Q224" i="5" s="1"/>
  <c r="P223" i="5"/>
  <c r="Q223" i="5" s="1"/>
  <c r="Q222" i="5"/>
  <c r="P222" i="5"/>
  <c r="P221" i="5"/>
  <c r="Q221" i="5" s="1"/>
  <c r="P220" i="5"/>
  <c r="Q220" i="5" s="1"/>
  <c r="P219" i="5"/>
  <c r="Q219" i="5" s="1"/>
  <c r="P218" i="5"/>
  <c r="Q218" i="5" s="1"/>
  <c r="P217" i="5"/>
  <c r="Q217" i="5" s="1"/>
  <c r="P216" i="5"/>
  <c r="Q216" i="5" s="1"/>
  <c r="P215" i="5"/>
  <c r="Q215" i="5" s="1"/>
  <c r="P214" i="5"/>
  <c r="Q214" i="5" s="1"/>
  <c r="P213" i="5"/>
  <c r="Q213" i="5" s="1"/>
  <c r="P212" i="5"/>
  <c r="Q212" i="5" s="1"/>
  <c r="P211" i="5"/>
  <c r="Q211" i="5" s="1"/>
  <c r="P210" i="5"/>
  <c r="Q210" i="5" s="1"/>
  <c r="P209" i="5"/>
  <c r="Q209" i="5" s="1"/>
  <c r="P208" i="5"/>
  <c r="Q208" i="5" s="1"/>
  <c r="P207" i="5"/>
  <c r="Q207" i="5" s="1"/>
  <c r="P206" i="5"/>
  <c r="Q206" i="5" s="1"/>
  <c r="P205" i="5"/>
  <c r="Q205" i="5" s="1"/>
  <c r="P204" i="5"/>
  <c r="Q204" i="5" s="1"/>
  <c r="P203" i="5"/>
  <c r="Q203" i="5" s="1"/>
  <c r="P202" i="5"/>
  <c r="Q202" i="5" s="1"/>
  <c r="P201" i="5"/>
  <c r="Q201" i="5" s="1"/>
  <c r="P200" i="5"/>
  <c r="Q200" i="5" s="1"/>
  <c r="P199" i="5"/>
  <c r="Q199" i="5" s="1"/>
  <c r="P198" i="5"/>
  <c r="Q198" i="5" s="1"/>
  <c r="P197" i="5"/>
  <c r="Q197" i="5" s="1"/>
  <c r="P196" i="5"/>
  <c r="Q196" i="5" s="1"/>
  <c r="P195" i="5"/>
  <c r="Q195" i="5" s="1"/>
  <c r="P194" i="5"/>
  <c r="Q194" i="5" s="1"/>
  <c r="P193" i="5"/>
  <c r="Q193" i="5" s="1"/>
  <c r="P192" i="5"/>
  <c r="Q192" i="5" s="1"/>
  <c r="P191" i="5"/>
  <c r="Q191" i="5" s="1"/>
  <c r="P190" i="5"/>
  <c r="Q190" i="5" s="1"/>
  <c r="P189" i="5"/>
  <c r="Q189" i="5" s="1"/>
  <c r="P188" i="5"/>
  <c r="Q188" i="5" s="1"/>
  <c r="P187" i="5"/>
  <c r="Q187" i="5" s="1"/>
  <c r="P186" i="5"/>
  <c r="Q186" i="5" s="1"/>
  <c r="P185" i="5"/>
  <c r="Q185" i="5" s="1"/>
  <c r="P184" i="5"/>
  <c r="Q184" i="5" s="1"/>
  <c r="P183" i="5"/>
  <c r="Q183" i="5" s="1"/>
  <c r="P182" i="5"/>
  <c r="Q182" i="5" s="1"/>
  <c r="P181" i="5"/>
  <c r="Q181" i="5" s="1"/>
  <c r="P180" i="5"/>
  <c r="Q180" i="5" s="1"/>
  <c r="P179" i="5"/>
  <c r="Q179" i="5" s="1"/>
  <c r="P178" i="5"/>
  <c r="Q178" i="5" s="1"/>
  <c r="P177" i="5"/>
  <c r="Q177" i="5" s="1"/>
  <c r="P176" i="5"/>
  <c r="Q176" i="5" s="1"/>
  <c r="P175" i="5"/>
  <c r="Q175" i="5" s="1"/>
  <c r="P174" i="5"/>
  <c r="Q174" i="5" s="1"/>
  <c r="P173" i="5"/>
  <c r="Q173" i="5" s="1"/>
  <c r="P172" i="5"/>
  <c r="Q172" i="5" s="1"/>
  <c r="P171" i="5"/>
  <c r="Q171" i="5" s="1"/>
  <c r="P170" i="5"/>
  <c r="Q170" i="5" s="1"/>
  <c r="P169" i="5"/>
  <c r="Q169" i="5" s="1"/>
  <c r="P168" i="5"/>
  <c r="Q168" i="5" s="1"/>
  <c r="P167" i="5"/>
  <c r="Q167" i="5" s="1"/>
  <c r="P166" i="5"/>
  <c r="Q166" i="5" s="1"/>
  <c r="P165" i="5"/>
  <c r="Q165" i="5" s="1"/>
  <c r="P164" i="5"/>
  <c r="Q164" i="5" s="1"/>
  <c r="P163" i="5"/>
  <c r="Q163" i="5" s="1"/>
  <c r="P162" i="5"/>
  <c r="Q162" i="5" s="1"/>
  <c r="P161" i="5"/>
  <c r="Q161" i="5" s="1"/>
  <c r="P160" i="5"/>
  <c r="Q160" i="5" s="1"/>
  <c r="P159" i="5"/>
  <c r="Q159" i="5" s="1"/>
  <c r="P158" i="5"/>
  <c r="Q158" i="5" s="1"/>
  <c r="P157" i="5"/>
  <c r="Q157" i="5" s="1"/>
  <c r="P156" i="5"/>
  <c r="Q156" i="5" s="1"/>
  <c r="P155" i="5"/>
  <c r="Q155" i="5" s="1"/>
  <c r="P154" i="5"/>
  <c r="Q154" i="5" s="1"/>
  <c r="P153" i="5"/>
  <c r="Q153" i="5" s="1"/>
  <c r="P152" i="5"/>
  <c r="Q152" i="5" s="1"/>
  <c r="P151" i="5"/>
  <c r="Q151" i="5" s="1"/>
  <c r="P150" i="5"/>
  <c r="Q150" i="5" s="1"/>
  <c r="P149" i="5"/>
  <c r="Q149" i="5" s="1"/>
  <c r="P148" i="5"/>
  <c r="Q148" i="5" s="1"/>
  <c r="P147" i="5"/>
  <c r="Q147" i="5" s="1"/>
  <c r="P146" i="5"/>
  <c r="Q146" i="5" s="1"/>
  <c r="P145" i="5"/>
  <c r="Q145" i="5" s="1"/>
  <c r="P144" i="5"/>
  <c r="Q144" i="5" s="1"/>
  <c r="P143" i="5"/>
  <c r="Q143" i="5" s="1"/>
  <c r="P142" i="5"/>
  <c r="Q142" i="5" s="1"/>
  <c r="P141" i="5"/>
  <c r="Q141" i="5" s="1"/>
  <c r="P140" i="5"/>
  <c r="Q140" i="5" s="1"/>
  <c r="P139" i="5"/>
  <c r="Q139" i="5" s="1"/>
  <c r="P138" i="5"/>
  <c r="Q138" i="5" s="1"/>
  <c r="P137" i="5"/>
  <c r="Q137" i="5" s="1"/>
  <c r="P136" i="5"/>
  <c r="Q136" i="5" s="1"/>
  <c r="P135" i="5"/>
  <c r="Q135" i="5" s="1"/>
  <c r="P134" i="5"/>
  <c r="Q134" i="5" s="1"/>
  <c r="P133" i="5"/>
  <c r="Q133" i="5" s="1"/>
  <c r="P132" i="5"/>
  <c r="Q132" i="5" s="1"/>
  <c r="P131" i="5"/>
  <c r="Q131" i="5" s="1"/>
  <c r="P130" i="5"/>
  <c r="Q130" i="5" s="1"/>
  <c r="P129" i="5"/>
  <c r="Q129" i="5" s="1"/>
  <c r="P128" i="5"/>
  <c r="Q128" i="5" s="1"/>
  <c r="P127" i="5"/>
  <c r="Q127" i="5" s="1"/>
  <c r="P126" i="5"/>
  <c r="Q126" i="5" s="1"/>
  <c r="P125" i="5"/>
  <c r="Q125" i="5" s="1"/>
  <c r="P124" i="5"/>
  <c r="Q124" i="5" s="1"/>
  <c r="P123" i="5"/>
  <c r="Q123" i="5" s="1"/>
  <c r="P122" i="5"/>
  <c r="Q122" i="5" s="1"/>
  <c r="P121" i="5"/>
  <c r="Q121" i="5" s="1"/>
  <c r="P120" i="5"/>
  <c r="Q120" i="5" s="1"/>
  <c r="P119" i="5"/>
  <c r="Q119" i="5" s="1"/>
  <c r="P118" i="5"/>
  <c r="Q118" i="5" s="1"/>
  <c r="P117" i="5"/>
  <c r="Q117" i="5" s="1"/>
  <c r="P116" i="5"/>
  <c r="Q116" i="5" s="1"/>
  <c r="P115" i="5"/>
  <c r="Q115" i="5" s="1"/>
  <c r="P114" i="5"/>
  <c r="Q114" i="5" s="1"/>
  <c r="P113" i="5"/>
  <c r="Q113" i="5" s="1"/>
  <c r="P112" i="5"/>
  <c r="Q112" i="5" s="1"/>
  <c r="P111" i="5"/>
  <c r="Q111" i="5" s="1"/>
  <c r="P110" i="5"/>
  <c r="Q110" i="5" s="1"/>
  <c r="P109" i="5"/>
  <c r="Q109" i="5" s="1"/>
  <c r="P108" i="5"/>
  <c r="Q108" i="5" s="1"/>
  <c r="P107" i="5"/>
  <c r="Q107" i="5" s="1"/>
  <c r="P106" i="5"/>
  <c r="Q106" i="5" s="1"/>
  <c r="P105" i="5"/>
  <c r="Q105" i="5" s="1"/>
  <c r="P104" i="5"/>
  <c r="Q104" i="5" s="1"/>
  <c r="P103" i="5"/>
  <c r="Q103" i="5" s="1"/>
  <c r="P102" i="5"/>
  <c r="Q102" i="5" s="1"/>
  <c r="P101" i="5"/>
  <c r="Q101" i="5" s="1"/>
  <c r="P100" i="5"/>
  <c r="Q100" i="5" s="1"/>
  <c r="P99" i="5"/>
  <c r="Q99" i="5" s="1"/>
  <c r="P98" i="5"/>
  <c r="Q98" i="5" s="1"/>
  <c r="P97" i="5"/>
  <c r="Q97" i="5" s="1"/>
  <c r="P96" i="5"/>
  <c r="Q96" i="5" s="1"/>
  <c r="P95" i="5"/>
  <c r="Q95" i="5" s="1"/>
  <c r="P94" i="5"/>
  <c r="Q94" i="5" s="1"/>
  <c r="P93" i="5"/>
  <c r="Q93" i="5" s="1"/>
  <c r="P92" i="5"/>
  <c r="Q92" i="5" s="1"/>
  <c r="P91" i="5"/>
  <c r="Q91" i="5" s="1"/>
  <c r="P90" i="5"/>
  <c r="Q90" i="5" s="1"/>
  <c r="P89" i="5"/>
  <c r="Q89" i="5" s="1"/>
  <c r="P88" i="5"/>
  <c r="Q88" i="5" s="1"/>
  <c r="P87" i="5"/>
  <c r="Q87" i="5" s="1"/>
  <c r="P86" i="5"/>
  <c r="Q86" i="5" s="1"/>
  <c r="P85" i="5"/>
  <c r="Q85" i="5" s="1"/>
  <c r="P84" i="5"/>
  <c r="Q84" i="5" s="1"/>
  <c r="P83" i="5"/>
  <c r="Q83" i="5" s="1"/>
  <c r="P82" i="5"/>
  <c r="Q82" i="5" s="1"/>
  <c r="P81" i="5"/>
  <c r="Q81" i="5" s="1"/>
  <c r="P80" i="5"/>
  <c r="Q80" i="5" s="1"/>
  <c r="P79" i="5"/>
  <c r="Q79" i="5" s="1"/>
  <c r="P78" i="5"/>
  <c r="Q78" i="5" s="1"/>
  <c r="P77" i="5"/>
  <c r="Q77" i="5" s="1"/>
  <c r="P76" i="5"/>
  <c r="Q76" i="5" s="1"/>
  <c r="P75" i="5"/>
  <c r="Q75" i="5" s="1"/>
  <c r="P74" i="5"/>
  <c r="Q74" i="5" s="1"/>
  <c r="P73" i="5"/>
  <c r="Q73" i="5" s="1"/>
  <c r="P72" i="5"/>
  <c r="Q72" i="5" s="1"/>
  <c r="P71" i="5"/>
  <c r="Q71" i="5" s="1"/>
  <c r="P70" i="5"/>
  <c r="Q70" i="5" s="1"/>
  <c r="P69" i="5"/>
  <c r="Q69" i="5" s="1"/>
  <c r="P68" i="5"/>
  <c r="Q68" i="5" s="1"/>
  <c r="P67" i="5"/>
  <c r="Q67" i="5" s="1"/>
  <c r="P66" i="5"/>
  <c r="Q66" i="5" s="1"/>
  <c r="P65" i="5"/>
  <c r="Q65" i="5" s="1"/>
  <c r="P64" i="5"/>
  <c r="Q64" i="5" s="1"/>
  <c r="P63" i="5"/>
  <c r="Q63" i="5" s="1"/>
  <c r="P62" i="5"/>
  <c r="Q62" i="5" s="1"/>
  <c r="P61" i="5"/>
  <c r="Q61" i="5" s="1"/>
  <c r="P60" i="5"/>
  <c r="Q60" i="5" s="1"/>
  <c r="P59" i="5"/>
  <c r="Q59" i="5" s="1"/>
  <c r="P58" i="5"/>
  <c r="Q58" i="5" s="1"/>
  <c r="P57" i="5"/>
  <c r="Q57" i="5" s="1"/>
  <c r="P56" i="5"/>
  <c r="Q56" i="5" s="1"/>
  <c r="P55" i="5"/>
  <c r="Q55" i="5" s="1"/>
  <c r="P54" i="5"/>
  <c r="Q54" i="5" s="1"/>
  <c r="P53" i="5"/>
  <c r="Q53" i="5" s="1"/>
  <c r="P52" i="5"/>
  <c r="Q52" i="5" s="1"/>
  <c r="P51" i="5"/>
  <c r="Q51" i="5" s="1"/>
  <c r="P50" i="5"/>
  <c r="Q50" i="5" s="1"/>
  <c r="P49" i="5"/>
  <c r="Q49" i="5" s="1"/>
  <c r="P48" i="5"/>
  <c r="Q48" i="5" s="1"/>
  <c r="P47" i="5"/>
  <c r="Q47" i="5" s="1"/>
  <c r="P46" i="5"/>
  <c r="Q46" i="5" s="1"/>
  <c r="P45" i="5"/>
  <c r="Q45" i="5" s="1"/>
  <c r="P44" i="5"/>
  <c r="Q44" i="5" s="1"/>
  <c r="P43" i="5"/>
  <c r="Q43" i="5" s="1"/>
  <c r="P42" i="5"/>
  <c r="Q42" i="5" s="1"/>
  <c r="P41" i="5"/>
  <c r="Q41" i="5" s="1"/>
  <c r="P40" i="5"/>
  <c r="Q40" i="5" s="1"/>
  <c r="P39" i="5"/>
  <c r="Q39" i="5" s="1"/>
  <c r="P38" i="5"/>
  <c r="Q38" i="5" s="1"/>
  <c r="P37" i="5"/>
  <c r="Q37" i="5" s="1"/>
  <c r="P36" i="5"/>
  <c r="Q36" i="5" s="1"/>
  <c r="P35" i="5"/>
  <c r="Q35" i="5" s="1"/>
  <c r="P34" i="5"/>
  <c r="Q34" i="5" s="1"/>
  <c r="P33" i="5"/>
  <c r="Q33" i="5" s="1"/>
  <c r="P32" i="5"/>
  <c r="Q32" i="5" s="1"/>
  <c r="P31" i="5"/>
  <c r="Q31" i="5" s="1"/>
  <c r="P30" i="5"/>
  <c r="Q30" i="5" s="1"/>
  <c r="P29" i="5"/>
  <c r="Q29" i="5" s="1"/>
  <c r="P28" i="5"/>
  <c r="Q28" i="5" s="1"/>
  <c r="P27" i="5"/>
  <c r="Q27" i="5" s="1"/>
  <c r="P26" i="5"/>
  <c r="Q26" i="5" s="1"/>
  <c r="P25" i="5"/>
  <c r="Q25" i="5" s="1"/>
  <c r="P24" i="5"/>
  <c r="Q24" i="5" s="1"/>
  <c r="P23" i="5"/>
  <c r="Q23" i="5" s="1"/>
  <c r="P22" i="5"/>
  <c r="Q22" i="5" s="1"/>
  <c r="P21" i="5"/>
  <c r="Q21" i="5" s="1"/>
  <c r="P20" i="5"/>
  <c r="Q20" i="5" s="1"/>
  <c r="P19" i="5"/>
  <c r="Q19" i="5" s="1"/>
  <c r="P18" i="5"/>
  <c r="Q18" i="5" s="1"/>
  <c r="P17" i="5"/>
  <c r="Q17" i="5" s="1"/>
  <c r="P16" i="5"/>
  <c r="Q16" i="5" s="1"/>
  <c r="P15" i="5"/>
  <c r="Q15" i="5" s="1"/>
  <c r="P14" i="5"/>
  <c r="Q14" i="5" s="1"/>
  <c r="P13" i="5"/>
  <c r="Q13" i="5" s="1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G4" i="5"/>
  <c r="G3" i="5"/>
  <c r="G10" i="2" s="1"/>
  <c r="K10" i="2" s="1"/>
  <c r="G2" i="5"/>
  <c r="G28" i="2" s="1"/>
  <c r="L28" i="2" s="1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F37" i="3"/>
  <c r="L37" i="3" s="1"/>
  <c r="L39" i="3" s="1"/>
  <c r="F21" i="1" s="1"/>
  <c r="F29" i="3"/>
  <c r="F25" i="3"/>
  <c r="F24" i="3"/>
  <c r="F20" i="3"/>
  <c r="K20" i="3" s="1"/>
  <c r="F16" i="3"/>
  <c r="K16" i="3" s="1"/>
  <c r="F10" i="3"/>
  <c r="F9" i="3"/>
  <c r="F8" i="3"/>
  <c r="L10" i="2" l="1"/>
  <c r="G15" i="2"/>
  <c r="L16" i="3"/>
  <c r="L18" i="3" s="1"/>
  <c r="F16" i="1" s="1"/>
  <c r="L15" i="2"/>
  <c r="K15" i="2"/>
  <c r="L20" i="3"/>
  <c r="L22" i="3" s="1"/>
  <c r="F17" i="1" s="1"/>
  <c r="I9" i="3"/>
  <c r="K9" i="3" s="1"/>
  <c r="K6" i="4"/>
  <c r="G9" i="2"/>
  <c r="K9" i="2" s="1"/>
  <c r="G16" i="2"/>
  <c r="G24" i="2"/>
  <c r="L24" i="2" s="1"/>
  <c r="G25" i="2" s="1"/>
  <c r="G8" i="2"/>
  <c r="G32" i="2"/>
  <c r="L32" i="2" s="1"/>
  <c r="G33" i="2" s="1"/>
  <c r="L33" i="2" s="1"/>
  <c r="L34" i="2" s="1"/>
  <c r="F13" i="1" s="1"/>
  <c r="I29" i="3"/>
  <c r="L29" i="3" s="1"/>
  <c r="L31" i="3" s="1"/>
  <c r="F19" i="1" s="1"/>
  <c r="I25" i="3"/>
  <c r="G29" i="2"/>
  <c r="L24" i="3"/>
  <c r="K24" i="3"/>
  <c r="I8" i="3"/>
  <c r="L8" i="2"/>
  <c r="K8" i="2"/>
  <c r="I10" i="3"/>
  <c r="L10" i="3" s="1"/>
  <c r="L25" i="2"/>
  <c r="L26" i="2" s="1"/>
  <c r="F11" i="1" s="1"/>
  <c r="K25" i="2"/>
  <c r="K28" i="2"/>
  <c r="K24" i="2"/>
  <c r="K32" i="2"/>
  <c r="L9" i="2"/>
  <c r="K37" i="3"/>
  <c r="K29" i="3" l="1"/>
  <c r="L9" i="3"/>
  <c r="L16" i="2"/>
  <c r="K16" i="2"/>
  <c r="K33" i="2"/>
  <c r="K10" i="3"/>
  <c r="L29" i="2"/>
  <c r="L30" i="2" s="1"/>
  <c r="F12" i="1" s="1"/>
  <c r="K29" i="2"/>
  <c r="G11" i="2"/>
  <c r="L25" i="3"/>
  <c r="L27" i="3" s="1"/>
  <c r="K25" i="3"/>
  <c r="L8" i="3"/>
  <c r="K8" i="3"/>
  <c r="L14" i="3" l="1"/>
  <c r="F15" i="1" s="1"/>
  <c r="F18" i="1"/>
  <c r="G33" i="3"/>
  <c r="L11" i="2"/>
  <c r="L13" i="2" s="1"/>
  <c r="K11" i="2"/>
  <c r="G41" i="3" l="1"/>
  <c r="L41" i="3" s="1"/>
  <c r="L43" i="3" s="1"/>
  <c r="L33" i="3"/>
  <c r="L35" i="3" s="1"/>
  <c r="F20" i="1" s="1"/>
  <c r="K33" i="3"/>
  <c r="G17" i="2"/>
  <c r="F8" i="1"/>
  <c r="K41" i="3" l="1"/>
  <c r="K17" i="2"/>
  <c r="L17" i="2"/>
  <c r="F22" i="1"/>
  <c r="G45" i="3"/>
  <c r="K45" i="3" l="1"/>
  <c r="L45" i="3"/>
  <c r="L18" i="2"/>
  <c r="F9" i="1" s="1"/>
  <c r="G20" i="2"/>
  <c r="L20" i="2" l="1"/>
  <c r="K20" i="2"/>
  <c r="G46" i="3"/>
  <c r="L46" i="3" l="1"/>
  <c r="L47" i="3" s="1"/>
  <c r="F23" i="1" s="1"/>
  <c r="K46" i="3"/>
  <c r="G21" i="2"/>
  <c r="K21" i="2" l="1"/>
  <c r="L21" i="2"/>
  <c r="L22" i="2" s="1"/>
  <c r="F10" i="1" s="1"/>
</calcChain>
</file>

<file path=xl/sharedStrings.xml><?xml version="1.0" encoding="utf-8"?>
<sst xmlns="http://schemas.openxmlformats.org/spreadsheetml/2006/main" count="11124" uniqueCount="4137">
  <si>
    <t>BẢNG TỔNG HỢP TIÊN LƯỢNG KHỐI LƯỢNG (BoQ) HỆ THỐNG THOÁT NƯỚC THẢI</t>
  </si>
  <si>
    <t>DỰ ÁN: KHU ĐÔ THỊ VINHOMES — LÔ B9.2, B9.3, B9.4 (MẶT BẰNG THOÁT NƯỚC THẢI TOÀN KHU)</t>
  </si>
  <si>
    <t>Chủ đầu tư: Vinhomes PMU | Nhà thầu: Vinalpha | Số liệu trích xuất CAD 100% | Đầy đủ Tọa độ Trục X - Y</t>
  </si>
  <si>
    <t>STT</t>
  </si>
  <si>
    <t>Mã hiệu ĐM</t>
  </si>
  <si>
    <t>Nội dung công việc</t>
  </si>
  <si>
    <t>ĐVT</t>
  </si>
  <si>
    <t>Khối lượng</t>
  </si>
  <si>
    <t>Liên kết bảng chi tiết</t>
  </si>
  <si>
    <t>Ghi chú kỹ thuật</t>
  </si>
  <si>
    <t>A</t>
  </si>
  <si>
    <t>HẠNG MỤC I: CỐNG THOÁT NƯỚC THẢI (D300 &amp; D800)</t>
  </si>
  <si>
    <t>1</t>
  </si>
  <si>
    <t>AB.24111</t>
  </si>
  <si>
    <t>Đào đất rãnh đặt cống thoát nước thải bằng máy đào kết hợp thủ công (đất cấp II)</t>
  </si>
  <si>
    <t>m3</t>
  </si>
  <si>
    <t>📊 Bóc Tách Cống</t>
  </si>
  <si>
    <t>Đào hào hình thang taluy m=0.33</t>
  </si>
  <si>
    <t>2</t>
  </si>
  <si>
    <t>AB.65111</t>
  </si>
  <si>
    <t>Đắp cát đệm bảo vệ cống &amp; đắp đất rãnh cống hoàn trả đầm chặt K95</t>
  </si>
  <si>
    <t>Đắp hoàn trả trừ thể tích ống</t>
  </si>
  <si>
    <t>3</t>
  </si>
  <si>
    <t>AB.71112</t>
  </si>
  <si>
    <t>Vận chuyển đất đào thừa đổ đi bãi tập kết quy định bằng ô tô tự đổ 10T</t>
  </si>
  <si>
    <t>Đất thừa = Đào - Đắp</t>
  </si>
  <si>
    <t>4</t>
  </si>
  <si>
    <t>BB.11101</t>
  </si>
  <si>
    <t>Cung cấp và lắp đặt cống HDPE 2 lớp SN4 D300 trên vỉa hè / rãnh kỹ thuật</t>
  </si>
  <si>
    <t>m</t>
  </si>
  <si>
    <t>852 đoạn cống dọc vỉa hè</t>
  </si>
  <si>
    <t>5</t>
  </si>
  <si>
    <t>BB.11102</t>
  </si>
  <si>
    <t>Cung cấp và lắp đặt cống HDPE 2 vách SN8 D300 chịu lực dưới lòng đường</t>
  </si>
  <si>
    <t>106 đoạn cống băng ngang đường</t>
  </si>
  <si>
    <t>6</t>
  </si>
  <si>
    <t>BB.12104</t>
  </si>
  <si>
    <t>Cung cấp và lắp đặt cống bê tông cốt thép đúc sẵn D800 chịu tải trọng TC</t>
  </si>
  <si>
    <t>9 đoạn cống BTCT đúc sẵn qua đường</t>
  </si>
  <si>
    <t>B</t>
  </si>
  <si>
    <t>HẠNG MỤC II: HỐ GA THOÁT NƯỚC THẢI (TB41 &amp; GA THĂM TOÀN KHU)</t>
  </si>
  <si>
    <t>7</t>
  </si>
  <si>
    <t>AB.25111</t>
  </si>
  <si>
    <t>Đào đất hố móng ga thoát nước thải bằng máy đào kết hợp thủ công (đất cấp II)</t>
  </si>
  <si>
    <t>📊 Bóc Tách Hố Ga</t>
  </si>
  <si>
    <t>Đào móng 990 hố ga theo 3 cấp độ sâu</t>
  </si>
  <si>
    <t>8</t>
  </si>
  <si>
    <t>AF.11111</t>
  </si>
  <si>
    <t>Bê tông lót móng hố ga M100 đá 4x6 dày 100mm</t>
  </si>
  <si>
    <t>Bê tông lót đáy hố móng 1.5x1.5m</t>
  </si>
  <si>
    <t>9</t>
  </si>
  <si>
    <t>AF.81111</t>
  </si>
  <si>
    <t>Ván khuôn bê tông lót móng hố ga</t>
  </si>
  <si>
    <t>m2</t>
  </si>
  <si>
    <t>Ván khuôn thành đệm lót dày 100mm</t>
  </si>
  <si>
    <t>10</t>
  </si>
  <si>
    <t>AF.21111</t>
  </si>
  <si>
    <t>Bê tông thành và đáy hố ga C20/M200 (đúc sẵn hoặc đổ tại chỗ)</t>
  </si>
  <si>
    <t>Đáy dày 15cm, thành dày 15cm</t>
  </si>
  <si>
    <t>11</t>
  </si>
  <si>
    <t>AF.82111</t>
  </si>
  <si>
    <t>Ván khuôn thân và thành hố ga (2 mặt trong và ngoài)</t>
  </si>
  <si>
    <t>Ván khuôn thành hố ga</t>
  </si>
  <si>
    <t>12</t>
  </si>
  <si>
    <t>AF.61111</t>
  </si>
  <si>
    <t>Cốt thép hố ga CB300-V (đường kính &lt;= 18mm)</t>
  </si>
  <si>
    <t>kg</t>
  </si>
  <si>
    <t>Định mức 65 kg/m3 bê tông</t>
  </si>
  <si>
    <t>13</t>
  </si>
  <si>
    <t>BB.81111</t>
  </si>
  <si>
    <t>Sản xuất và lắp đặt nắp hố ga gang cầu / composite ngăn mùi / song chắn rác</t>
  </si>
  <si>
    <t>bộ</t>
  </si>
  <si>
    <t>990 bộ nắp chuẩn TB41 và ga D800</t>
  </si>
  <si>
    <t>14</t>
  </si>
  <si>
    <t>AB.65112</t>
  </si>
  <si>
    <t>Đắp đất hố móng xung quanh thành ga hoàn trả đầm chặt K95</t>
  </si>
  <si>
    <t>Đắp hoàn trả mang hố ga</t>
  </si>
  <si>
    <t>15</t>
  </si>
  <si>
    <t>AB.71113</t>
  </si>
  <si>
    <t>Vận chuyển đất đào thừa hố ga đổ đi bãi tập kết quy định bằng ô tô tự đổ 10T</t>
  </si>
  <si>
    <t>Đất thừa hố móng ga = Đào - Đắp</t>
  </si>
  <si>
    <t>BẢNG TÍNH BÓC TÁCH CHI TIẾT KHỐI LƯỢNG HỆ THỐNG CỐNG THOÁT NƯỚC THẢI</t>
  </si>
  <si>
    <t>Căn cứ hình học CAD 100% (852 đoạn D300 hè, 106 đoạn D300 qua đường, 9 đoạn D800 BTCT) | 100% CÔNG THỨC SỐNG</t>
  </si>
  <si>
    <t>Nội dung công tác &amp; Diễn giải khối lượng</t>
  </si>
  <si>
    <t>Số lượng</t>
  </si>
  <si>
    <t>Dài L (m)</t>
  </si>
  <si>
    <t>Rộng B (m)</t>
  </si>
  <si>
    <t>Cao H (m)</t>
  </si>
  <si>
    <t>Hệ số</t>
  </si>
  <si>
    <t>Công thức diễn giải</t>
  </si>
  <si>
    <t>Ghi chú</t>
  </si>
  <si>
    <t>CỐNG THOÁT NƯỚC THẢI KHU B9.2, B9.3, B9.4 (CAD 100%)</t>
  </si>
  <si>
    <t>Đào rãnh cống HDPE D300 trên vỉa hè (852 đoạn cống dọc vỉa hè)</t>
  </si>
  <si>
    <t>Hào đào hình thang m=0.33</t>
  </si>
  <si>
    <t>Đào rãnh cống HDPE D300 băng ngang lòng đường (106 đoạn)</t>
  </si>
  <si>
    <t>Hào đào qua đường m=0.33</t>
  </si>
  <si>
    <t>Đào rãnh cống BTCT D800 đúc sẵn qua đường (9 đoạn)</t>
  </si>
  <si>
    <t>Cống D800 m=0.33</t>
  </si>
  <si>
    <t>Đào mở rộng tại vị trí nối ga / mở rộng hố đấu nối (5%)</t>
  </si>
  <si>
    <t>5% đào mở rộng kỹ thuật</t>
  </si>
  <si>
    <t>CỘNG CÔNG TÁC ĐÀO ĐẤT RÃNH CỐNG (AB.24111)</t>
  </si>
  <si>
    <t>Đệm cát lót đáy cống dày 100mm (D300 hè, đường &amp; D800)</t>
  </si>
  <si>
    <t>Đệm cát đáy hào dày 10cm</t>
  </si>
  <si>
    <t>Đắp cát bao bọc bảo vệ ống cống đến lưng cống +20cm (K95)</t>
  </si>
  <si>
    <t>Cát bọc thân ống</t>
  </si>
  <si>
    <t>Đắp đất hoàn trả rãnh cống đầm chặt K95 (trừ kết cấu áo đường &amp; cát)</t>
  </si>
  <si>
    <t>Đất đắp hoàn trả K95</t>
  </si>
  <si>
    <t>CỘNG CÔNG TÁC ĐẮP CÁT &amp; ĐẤT HOÀN TRẢ CỐNG (AB.65111)</t>
  </si>
  <si>
    <t>Đất thừa rãnh cống đào ra không dùng đắp (bằng Đào - Đắp đất)</t>
  </si>
  <si>
    <t>Đất thừa = Đào hào - Đắp hoàn trả</t>
  </si>
  <si>
    <t>Đất thừa nở rời vận chuyển ô tô (hệ số nở rời k=1.15)</t>
  </si>
  <si>
    <t>Độ nở rời 15%</t>
  </si>
  <si>
    <t>CỘNG CÔNG TÁC VẬN CHUYỂN ĐẤT THỪA (AB.71112)</t>
  </si>
  <si>
    <t>Tuyến cống HDPE D300 chạy dọc vỉa hè (852 đoạn cống - trích xuất CAD)</t>
  </si>
  <si>
    <t>HDPE gân sóng 2 lớp SN4</t>
  </si>
  <si>
    <t>Hao hụt cắt nối ống tại các vị trí đầu ga (1.0%)</t>
  </si>
  <si>
    <t>Định mức hao hụt cống BXD</t>
  </si>
  <si>
    <t>CỘNG CÔNG TÁC CỐNG HDPE D300 VỈA HÈ (BB.11101)</t>
  </si>
  <si>
    <t>Đoạn cống HDPE D300 băng ngang qua lòng đường (106 đoạn - trích xuất CAD)</t>
  </si>
  <si>
    <t>HDPE 2 vách gân xoắn SN8</t>
  </si>
  <si>
    <t>Hao hụt cắt nối cống qua đường (1.0%)</t>
  </si>
  <si>
    <t>CỘNG CÔNG TÁC CỐNG HDPE D300 QUA ĐƯỜNG (BB.11102)</t>
  </si>
  <si>
    <t>Đoạn cống BTCT D800 đúc sẵn qua đường (9 đoạn - trích xuất CAD)</t>
  </si>
  <si>
    <t>Cống BTCT D800 đúc sẵn tải H30</t>
  </si>
  <si>
    <t>Hao hụt cống BTCT mối nối (1.0%)</t>
  </si>
  <si>
    <t>CỘNG CÔNG TÁC CỐNG BTCT D800 (BB.12104)</t>
  </si>
  <si>
    <t>BẢNG TÍNH BÓC TÁCH CHI TIẾT KHỐI LƯỢNG HỐ GA THOÁT NƯỚC THẢI (TB41)</t>
  </si>
  <si>
    <t>Bóc tách 990 hố ga thực tế trích xuất từ CAD theo 3 cấp độ sâu tiêu chuẩn Bộ Xây dựng | 100% CÔNG THỨC SỐNG</t>
  </si>
  <si>
    <t>HỐ GA THOÁT NƯỚC THẢI (990 HỐ GA - TOÀN KHU B9.2, B9.3, B9.4)</t>
  </si>
  <si>
    <t>Đào hố móng ga Cấp 1 (H &lt;= 1.5m)</t>
  </si>
  <si>
    <t>Đáy móng 1.7x1.7m taluy 0.25</t>
  </si>
  <si>
    <t>Đào hố móng ga Cấp 2 (1.5m &lt; H &lt;= 2.5m)</t>
  </si>
  <si>
    <t>Đáy móng 1.8x1.8m taluy 0.25</t>
  </si>
  <si>
    <t>Đào hố móng ga Cấp 3 (H &gt; 2.5m)</t>
  </si>
  <si>
    <t>Đáy móng 2.0x2.0m taluy 0.25</t>
  </si>
  <si>
    <t>CỘNG CÔNG TÁC ĐÀO ĐẤT HỐ MÓNG GA (AB.25111)</t>
  </si>
  <si>
    <t>Bê tông lót đáy hố móng 990 hố ga (kích thước lót 1.5m x 1.5m x 0.1m)</t>
  </si>
  <si>
    <t>Lót đá 4x6 M100 dày 10cm</t>
  </si>
  <si>
    <t>CỘNG BÊ TÔNG LÓT MÓNG HỐ GA (AF.11111)</t>
  </si>
  <si>
    <t>Ván khuôn thành lớp bê tông lót đáy móng (chu vi 4x1.5m, cao 0.1m)</t>
  </si>
  <si>
    <t>Chu vi lót móng 4 x 1.5m</t>
  </si>
  <si>
    <t>CỘNG VÁN KHUÔN LÓT MÓNG HỐ GA (AF.81111)</t>
  </si>
  <si>
    <t>Bê tông bản đáy hố ga dày 150mm (phủ bì 1.3m x 1.3m)</t>
  </si>
  <si>
    <t>Bản đáy dày 15cm</t>
  </si>
  <si>
    <t>Bê tông thành hố ga C20 (thành dày 150mm, tiết diện F=0.69m2)</t>
  </si>
  <si>
    <t>Thành dày 15cm, F=1.3^2-1.0^2</t>
  </si>
  <si>
    <t>CỘNG BÊ TÔNG THÀNH VÀ ĐÁY HỐ GA C20 (AF.21111)</t>
  </si>
  <si>
    <t>Ván khuôn thành trong và ngoài hố ga (tổng chu vi 4x1.3m + 4x1.0m = 9.2m)</t>
  </si>
  <si>
    <t>2 mặt ván khuôn chu vi 9.2m</t>
  </si>
  <si>
    <t>CỘNG VÁN KHUÔN THÀNH HỐ GA (AF.82111)</t>
  </si>
  <si>
    <t>Gia công lắp dựng cốt thép hố ga (hàm lượng thép 65 kg/m3 bê tông C20)</t>
  </si>
  <si>
    <t>65 kg/m3 bê tông C20</t>
  </si>
  <si>
    <t>CỘNG CỐT THÉP HỐ GA (AF.61111)</t>
  </si>
  <si>
    <t>Bộ nắp ga gang cầu / composite ngăn mùi chuẩn TB41 và ga D800</t>
  </si>
  <si>
    <t>1 nắp / 1 hố ga</t>
  </si>
  <si>
    <t>CỘNG NẮP HỐ GA (BB.81111)</t>
  </si>
  <si>
    <t>Đắp đất hoàn trả hố ga (Đào hố ga - Thể tích bê tông ga - Bê tông lót)</t>
  </si>
  <si>
    <t>Đắp đất xung quanh mang hố ga</t>
  </si>
  <si>
    <t>CỘNG CÔNG TÁC ĐẮP ĐẤT HOÀN TRẢ HỐ GA (AB.65112)</t>
  </si>
  <si>
    <t>Đất thừa hố ga do chiếm chỗ của bê tông ga và bê tông lót</t>
  </si>
  <si>
    <t>Đất thừa hố ga = Đào ga - Đắp ga</t>
  </si>
  <si>
    <t>Đất thừa hố ga nở rời vận chuyển ô tô (hệ số k=1.15)</t>
  </si>
  <si>
    <t>CỘNG VẬN CHUYỂN ĐẤT THỪA HỐ GA (AB.71113)</t>
  </si>
  <si>
    <t>CƠ SỞ DỮ LIỆU TOÀN BỘ 990 HỐ GA THOÁT NƯỚC THẢI (TRÍCH XUẤT CAD 100%)</t>
  </si>
  <si>
    <t>Bao gồm Handle CAD, Tên ga, Loại ga, Tọa độ Trục X (Bắc), Trục Y (Đông) VN-2000, Cốt đỉnh, Cốt đáy, Chiều sâu H và Phân cấp BXD</t>
  </si>
  <si>
    <t>Handle CAD</t>
  </si>
  <si>
    <t>Tên Hố Ga</t>
  </si>
  <si>
    <t>Loại Ga</t>
  </si>
  <si>
    <t>Tọa độ Trục X (VN-2000 / Bắc)</t>
  </si>
  <si>
    <t>Tọa độ Trục Y (VN-2000 / Đông)</t>
  </si>
  <si>
    <t>Cốt đỉnh MG (m)</t>
  </si>
  <si>
    <t>Cốt đáy DC (m)</t>
  </si>
  <si>
    <t>Chiều sâu H (m)</t>
  </si>
  <si>
    <t>Công thức H</t>
  </si>
  <si>
    <t>Phân cấp BXD</t>
  </si>
  <si>
    <t>Trạng thái QA/QC</t>
  </si>
  <si>
    <t>TỔNG</t>
  </si>
  <si>
    <t>990 HỐ GA</t>
  </si>
  <si>
    <t>TB Chiều sâu =</t>
  </si>
  <si>
    <t>C8FE38</t>
  </si>
  <si>
    <t>AR184</t>
  </si>
  <si>
    <t>TB41</t>
  </si>
  <si>
    <t>H7-I7</t>
  </si>
  <si>
    <t>Cấp 1 (H &lt;= 1.5m)</t>
  </si>
  <si>
    <t>ĐẠT CHUẨN</t>
  </si>
  <si>
    <t>C8FE69</t>
  </si>
  <si>
    <t>AR202</t>
  </si>
  <si>
    <t>H8-I8</t>
  </si>
  <si>
    <t>C8FE9A</t>
  </si>
  <si>
    <t>AR202.1</t>
  </si>
  <si>
    <t>H9-I9</t>
  </si>
  <si>
    <t>C8FECB</t>
  </si>
  <si>
    <t>AR203</t>
  </si>
  <si>
    <t>H10-I10</t>
  </si>
  <si>
    <t>C8FEFC</t>
  </si>
  <si>
    <t>AR202.2</t>
  </si>
  <si>
    <t>H11-I11</t>
  </si>
  <si>
    <t>C8FF2D</t>
  </si>
  <si>
    <t>AR202.3</t>
  </si>
  <si>
    <t>H12-I12</t>
  </si>
  <si>
    <t>C8FF5E</t>
  </si>
  <si>
    <t>AR184.1</t>
  </si>
  <si>
    <t>H13-I13</t>
  </si>
  <si>
    <t>C8FF8F</t>
  </si>
  <si>
    <t>AR184.2</t>
  </si>
  <si>
    <t>H14-I14</t>
  </si>
  <si>
    <t>C8FFC0</t>
  </si>
  <si>
    <t>AR185</t>
  </si>
  <si>
    <t>H15-I15</t>
  </si>
  <si>
    <t>C90078</t>
  </si>
  <si>
    <t>AR170</t>
  </si>
  <si>
    <t>H16-I16</t>
  </si>
  <si>
    <t>C900A9</t>
  </si>
  <si>
    <t>AR170.1</t>
  </si>
  <si>
    <t>H17-I17</t>
  </si>
  <si>
    <t>C900DA</t>
  </si>
  <si>
    <t>AR170.2</t>
  </si>
  <si>
    <t>H18-I18</t>
  </si>
  <si>
    <t>C9010B</t>
  </si>
  <si>
    <t>AR170.3</t>
  </si>
  <si>
    <t>H19-I19</t>
  </si>
  <si>
    <t>C9013C</t>
  </si>
  <si>
    <t>AR171</t>
  </si>
  <si>
    <t>H20-I20</t>
  </si>
  <si>
    <t>C90170</t>
  </si>
  <si>
    <t>AR1.1</t>
  </si>
  <si>
    <t>H21-I21</t>
  </si>
  <si>
    <t>C9019B</t>
  </si>
  <si>
    <t>AR2</t>
  </si>
  <si>
    <t>H22-I22</t>
  </si>
  <si>
    <t>C901C6</t>
  </si>
  <si>
    <t>AR3</t>
  </si>
  <si>
    <t>H23-I23</t>
  </si>
  <si>
    <t>C901F1</t>
  </si>
  <si>
    <t>AR4</t>
  </si>
  <si>
    <t>H24-I24</t>
  </si>
  <si>
    <t>C9021C</t>
  </si>
  <si>
    <t>AR5</t>
  </si>
  <si>
    <t>H25-I25</t>
  </si>
  <si>
    <t>C90247</t>
  </si>
  <si>
    <t>AR6</t>
  </si>
  <si>
    <t>H26-I26</t>
  </si>
  <si>
    <t>C90272</t>
  </si>
  <si>
    <t>AR7</t>
  </si>
  <si>
    <t>H27-I27</t>
  </si>
  <si>
    <t>C9029D</t>
  </si>
  <si>
    <t>AR8</t>
  </si>
  <si>
    <t>H28-I28</t>
  </si>
  <si>
    <t>C902C8</t>
  </si>
  <si>
    <t>AR9</t>
  </si>
  <si>
    <t>H29-I29</t>
  </si>
  <si>
    <t>C902F3</t>
  </si>
  <si>
    <t>AR10</t>
  </si>
  <si>
    <t>H30-I30</t>
  </si>
  <si>
    <t>Cấp 2 (1.5m &lt; H &lt;= 2.5m)</t>
  </si>
  <si>
    <t>C9031E</t>
  </si>
  <si>
    <t>AR11</t>
  </si>
  <si>
    <t>H31-I31</t>
  </si>
  <si>
    <t>C90349</t>
  </si>
  <si>
    <t>AR12</t>
  </si>
  <si>
    <t>H32-I32</t>
  </si>
  <si>
    <t>C90374</t>
  </si>
  <si>
    <t>AR13</t>
  </si>
  <si>
    <t>H33-I33</t>
  </si>
  <si>
    <t>C9039F</t>
  </si>
  <si>
    <t>AR14</t>
  </si>
  <si>
    <t>H34-I34</t>
  </si>
  <si>
    <t>C903CA</t>
  </si>
  <si>
    <t>AR15</t>
  </si>
  <si>
    <t>H35-I35</t>
  </si>
  <si>
    <t>C903F5</t>
  </si>
  <si>
    <t>AR16</t>
  </si>
  <si>
    <t>H36-I36</t>
  </si>
  <si>
    <t>C90420</t>
  </si>
  <si>
    <t>AR17</t>
  </si>
  <si>
    <t>H37-I37</t>
  </si>
  <si>
    <t>C9044B</t>
  </si>
  <si>
    <t>AR18</t>
  </si>
  <si>
    <t>H38-I38</t>
  </si>
  <si>
    <t>C90476</t>
  </si>
  <si>
    <t>AR19</t>
  </si>
  <si>
    <t>H39-I39</t>
  </si>
  <si>
    <t>C904A1</t>
  </si>
  <si>
    <t>AR20</t>
  </si>
  <si>
    <t>H40-I40</t>
  </si>
  <si>
    <t>C904CC</t>
  </si>
  <si>
    <t>AR21</t>
  </si>
  <si>
    <t>H41-I41</t>
  </si>
  <si>
    <t>C904F7</t>
  </si>
  <si>
    <t>AR22</t>
  </si>
  <si>
    <t>H42-I42</t>
  </si>
  <si>
    <t>C90522</t>
  </si>
  <si>
    <t>AR23</t>
  </si>
  <si>
    <t>H43-I43</t>
  </si>
  <si>
    <t>C9054D</t>
  </si>
  <si>
    <t>AR24</t>
  </si>
  <si>
    <t>H44-I44</t>
  </si>
  <si>
    <t>C90578</t>
  </si>
  <si>
    <t>AR25</t>
  </si>
  <si>
    <t>H45-I45</t>
  </si>
  <si>
    <t>Cấp 3 (H &gt; 2.5m)</t>
  </si>
  <si>
    <t>C905A3</t>
  </si>
  <si>
    <t>AR26</t>
  </si>
  <si>
    <t>H46-I46</t>
  </si>
  <si>
    <t>LƯU Ý: H &gt; 3.5m (Cần cừ ván thép)</t>
  </si>
  <si>
    <t>C905CE</t>
  </si>
  <si>
    <t>AR28</t>
  </si>
  <si>
    <t>H47-I47</t>
  </si>
  <si>
    <t>C905F9</t>
  </si>
  <si>
    <t>AR29</t>
  </si>
  <si>
    <t>H48-I48</t>
  </si>
  <si>
    <t>C90624</t>
  </si>
  <si>
    <t>AR30</t>
  </si>
  <si>
    <t>H49-I49</t>
  </si>
  <si>
    <t>C9064F</t>
  </si>
  <si>
    <t>AR50</t>
  </si>
  <si>
    <t>H50-I50</t>
  </si>
  <si>
    <t>C9067A</t>
  </si>
  <si>
    <t>AR51</t>
  </si>
  <si>
    <t>H51-I51</t>
  </si>
  <si>
    <t>C906A5</t>
  </si>
  <si>
    <t>AR52</t>
  </si>
  <si>
    <t>H52-I52</t>
  </si>
  <si>
    <t>C906D6</t>
  </si>
  <si>
    <t>AR53</t>
  </si>
  <si>
    <t>H53-I53</t>
  </si>
  <si>
    <t>C90707</t>
  </si>
  <si>
    <t>AR54B</t>
  </si>
  <si>
    <t>H54-I54</t>
  </si>
  <si>
    <t>C90732</t>
  </si>
  <si>
    <t>AR55</t>
  </si>
  <si>
    <t>H55-I55</t>
  </si>
  <si>
    <t>C90763</t>
  </si>
  <si>
    <t>AR56B</t>
  </si>
  <si>
    <t>H56-I56</t>
  </si>
  <si>
    <t>C90794</t>
  </si>
  <si>
    <t>AR57</t>
  </si>
  <si>
    <t>H57-I57</t>
  </si>
  <si>
    <t>C907C5</t>
  </si>
  <si>
    <t>AR58B</t>
  </si>
  <si>
    <t>H58-I58</t>
  </si>
  <si>
    <t>C907F0</t>
  </si>
  <si>
    <t>AR59</t>
  </si>
  <si>
    <t>H59-I59</t>
  </si>
  <si>
    <t>C9081B</t>
  </si>
  <si>
    <t>AR60B</t>
  </si>
  <si>
    <t>H60-I60</t>
  </si>
  <si>
    <t>C90846</t>
  </si>
  <si>
    <t>AR61</t>
  </si>
  <si>
    <t>H61-I61</t>
  </si>
  <si>
    <t>C90871</t>
  </si>
  <si>
    <t>AR87.1</t>
  </si>
  <si>
    <t>H62-I62</t>
  </si>
  <si>
    <t>C9089C</t>
  </si>
  <si>
    <t>AR88</t>
  </si>
  <si>
    <t>H63-I63</t>
  </si>
  <si>
    <t>C908C7</t>
  </si>
  <si>
    <t>AR89</t>
  </si>
  <si>
    <t>H64-I64</t>
  </si>
  <si>
    <t>C908F2</t>
  </si>
  <si>
    <t>AR90</t>
  </si>
  <si>
    <t>H65-I65</t>
  </si>
  <si>
    <t>C9091D</t>
  </si>
  <si>
    <t>AR91</t>
  </si>
  <si>
    <t>H66-I66</t>
  </si>
  <si>
    <t>C90948</t>
  </si>
  <si>
    <t>AR92</t>
  </si>
  <si>
    <t>H67-I67</t>
  </si>
  <si>
    <t>C90973</t>
  </si>
  <si>
    <t>AR93</t>
  </si>
  <si>
    <t>H68-I68</t>
  </si>
  <si>
    <t>C9099E</t>
  </si>
  <si>
    <t>AR94</t>
  </si>
  <si>
    <t>H69-I69</t>
  </si>
  <si>
    <t>C909C9</t>
  </si>
  <si>
    <t>AR95</t>
  </si>
  <si>
    <t>H70-I70</t>
  </si>
  <si>
    <t>C909F4</t>
  </si>
  <si>
    <t>AR96</t>
  </si>
  <si>
    <t>H71-I71</t>
  </si>
  <si>
    <t>C90A1F</t>
  </si>
  <si>
    <t>AR97</t>
  </si>
  <si>
    <t>H72-I72</t>
  </si>
  <si>
    <t>C90A4A</t>
  </si>
  <si>
    <t>AR98</t>
  </si>
  <si>
    <t>H73-I73</t>
  </si>
  <si>
    <t>C90A75</t>
  </si>
  <si>
    <t>AR99</t>
  </si>
  <si>
    <t>H74-I74</t>
  </si>
  <si>
    <t>C90AA0</t>
  </si>
  <si>
    <t>AR100</t>
  </si>
  <si>
    <t>H75-I75</t>
  </si>
  <si>
    <t>C90ACB</t>
  </si>
  <si>
    <t>AR102</t>
  </si>
  <si>
    <t>H76-I76</t>
  </si>
  <si>
    <t>C90AF6</t>
  </si>
  <si>
    <t>AR103</t>
  </si>
  <si>
    <t>H77-I77</t>
  </si>
  <si>
    <t>C90B21</t>
  </si>
  <si>
    <t>AR104</t>
  </si>
  <si>
    <t>H78-I78</t>
  </si>
  <si>
    <t>C90B4C</t>
  </si>
  <si>
    <t>AR105</t>
  </si>
  <si>
    <t>H79-I79</t>
  </si>
  <si>
    <t>C90B77</t>
  </si>
  <si>
    <t>AR106</t>
  </si>
  <si>
    <t>H80-I80</t>
  </si>
  <si>
    <t>C90BA2</t>
  </si>
  <si>
    <t>AR107</t>
  </si>
  <si>
    <t>H81-I81</t>
  </si>
  <si>
    <t>C90BCD</t>
  </si>
  <si>
    <t>AR108</t>
  </si>
  <si>
    <t>H82-I82</t>
  </si>
  <si>
    <t>C90BF8</t>
  </si>
  <si>
    <t>AR109</t>
  </si>
  <si>
    <t>H83-I83</t>
  </si>
  <si>
    <t>C90C23</t>
  </si>
  <si>
    <t>AR110</t>
  </si>
  <si>
    <t>H84-I84</t>
  </si>
  <si>
    <t>C90C4E</t>
  </si>
  <si>
    <t>AR112</t>
  </si>
  <si>
    <t>H85-I85</t>
  </si>
  <si>
    <t>C90C79</t>
  </si>
  <si>
    <t>AR113</t>
  </si>
  <si>
    <t>H86-I86</t>
  </si>
  <si>
    <t>C90CA4</t>
  </si>
  <si>
    <t>AR114</t>
  </si>
  <si>
    <t>H87-I87</t>
  </si>
  <si>
    <t>C90CCF</t>
  </si>
  <si>
    <t>AR115</t>
  </si>
  <si>
    <t>H88-I88</t>
  </si>
  <si>
    <t>C90CFA</t>
  </si>
  <si>
    <t>AR116</t>
  </si>
  <si>
    <t>H89-I89</t>
  </si>
  <si>
    <t>C90D25</t>
  </si>
  <si>
    <t>AR117</t>
  </si>
  <si>
    <t>H90-I90</t>
  </si>
  <si>
    <t>C90D50</t>
  </si>
  <si>
    <t>AR118</t>
  </si>
  <si>
    <t>H91-I91</t>
  </si>
  <si>
    <t>C90D7B</t>
  </si>
  <si>
    <t>AR119</t>
  </si>
  <si>
    <t>H92-I92</t>
  </si>
  <si>
    <t>C90DA6</t>
  </si>
  <si>
    <t>AR120</t>
  </si>
  <si>
    <t>H93-I93</t>
  </si>
  <si>
    <t>C90DD1</t>
  </si>
  <si>
    <t>AR121</t>
  </si>
  <si>
    <t>H94-I94</t>
  </si>
  <si>
    <t>C90DFC</t>
  </si>
  <si>
    <t>AR122</t>
  </si>
  <si>
    <t>H95-I95</t>
  </si>
  <si>
    <t>C90E27</t>
  </si>
  <si>
    <t>AR123</t>
  </si>
  <si>
    <t>H96-I96</t>
  </si>
  <si>
    <t>C90E52</t>
  </si>
  <si>
    <t>AR124</t>
  </si>
  <si>
    <t>H97-I97</t>
  </si>
  <si>
    <t>C90E7D</t>
  </si>
  <si>
    <t>AR125</t>
  </si>
  <si>
    <t>H98-I98</t>
  </si>
  <si>
    <t>C90EA8</t>
  </si>
  <si>
    <t>AR126</t>
  </si>
  <si>
    <t>H99-I99</t>
  </si>
  <si>
    <t>C90ED3</t>
  </si>
  <si>
    <t>AR127</t>
  </si>
  <si>
    <t>H100-I100</t>
  </si>
  <si>
    <t>C90EFE</t>
  </si>
  <si>
    <t>AR128</t>
  </si>
  <si>
    <t>H101-I101</t>
  </si>
  <si>
    <t>C90F29</t>
  </si>
  <si>
    <t>AR129</t>
  </si>
  <si>
    <t>H102-I102</t>
  </si>
  <si>
    <t>C90F54</t>
  </si>
  <si>
    <t>AR130</t>
  </si>
  <si>
    <t>H103-I103</t>
  </si>
  <si>
    <t>C90F7F</t>
  </si>
  <si>
    <t>AR131</t>
  </si>
  <si>
    <t>H104-I104</t>
  </si>
  <si>
    <t>C90FAA</t>
  </si>
  <si>
    <t>AR132</t>
  </si>
  <si>
    <t>H105-I105</t>
  </si>
  <si>
    <t>C90FD5</t>
  </si>
  <si>
    <t>AR133</t>
  </si>
  <si>
    <t>H106-I106</t>
  </si>
  <si>
    <t>C91000</t>
  </si>
  <si>
    <t>AR134</t>
  </si>
  <si>
    <t>H107-I107</t>
  </si>
  <si>
    <t>C9102B</t>
  </si>
  <si>
    <t>AR135</t>
  </si>
  <si>
    <t>H108-I108</t>
  </si>
  <si>
    <t>C91056</t>
  </si>
  <si>
    <t>AR136</t>
  </si>
  <si>
    <t>H109-I109</t>
  </si>
  <si>
    <t>C91081</t>
  </si>
  <si>
    <t>AR137</t>
  </si>
  <si>
    <t>H110-I110</t>
  </si>
  <si>
    <t>C910AC</t>
  </si>
  <si>
    <t>AR138</t>
  </si>
  <si>
    <t>H111-I111</t>
  </si>
  <si>
    <t>C910D7</t>
  </si>
  <si>
    <t>AR139</t>
  </si>
  <si>
    <t>H112-I112</t>
  </si>
  <si>
    <t>C91102</t>
  </si>
  <si>
    <t>AR140</t>
  </si>
  <si>
    <t>H113-I113</t>
  </si>
  <si>
    <t>C9112D</t>
  </si>
  <si>
    <t>AR141</t>
  </si>
  <si>
    <t>H114-I114</t>
  </si>
  <si>
    <t>C91158</t>
  </si>
  <si>
    <t>AR142</t>
  </si>
  <si>
    <t>H115-I115</t>
  </si>
  <si>
    <t>C91183</t>
  </si>
  <si>
    <t>AR143</t>
  </si>
  <si>
    <t>H116-I116</t>
  </si>
  <si>
    <t>C911AE</t>
  </si>
  <si>
    <t>AR144</t>
  </si>
  <si>
    <t>H117-I117</t>
  </si>
  <si>
    <t>C911D9</t>
  </si>
  <si>
    <t>AR145</t>
  </si>
  <si>
    <t>H118-I118</t>
  </si>
  <si>
    <t>C91204</t>
  </si>
  <si>
    <t>AR146</t>
  </si>
  <si>
    <t>H119-I119</t>
  </si>
  <si>
    <t>C9122F</t>
  </si>
  <si>
    <t>AR173</t>
  </si>
  <si>
    <t>H120-I120</t>
  </si>
  <si>
    <t>C9125A</t>
  </si>
  <si>
    <t>AR174</t>
  </si>
  <si>
    <t>H121-I121</t>
  </si>
  <si>
    <t>C91285</t>
  </si>
  <si>
    <t>AR175</t>
  </si>
  <si>
    <t>H122-I122</t>
  </si>
  <si>
    <t>C912B0</t>
  </si>
  <si>
    <t>AR176</t>
  </si>
  <si>
    <t>H123-I123</t>
  </si>
  <si>
    <t>C912DB</t>
  </si>
  <si>
    <t>AR177</t>
  </si>
  <si>
    <t>H124-I124</t>
  </si>
  <si>
    <t>C91306</t>
  </si>
  <si>
    <t>AR178</t>
  </si>
  <si>
    <t>H125-I125</t>
  </si>
  <si>
    <t>C91331</t>
  </si>
  <si>
    <t>AR179</t>
  </si>
  <si>
    <t>H126-I126</t>
  </si>
  <si>
    <t>C9135C</t>
  </si>
  <si>
    <t>AR180</t>
  </si>
  <si>
    <t>H127-I127</t>
  </si>
  <si>
    <t>C91387</t>
  </si>
  <si>
    <t>AR181</t>
  </si>
  <si>
    <t>H128-I128</t>
  </si>
  <si>
    <t>C913B2</t>
  </si>
  <si>
    <t>AR182</t>
  </si>
  <si>
    <t>H129-I129</t>
  </si>
  <si>
    <t>C913DD</t>
  </si>
  <si>
    <t>AR183</t>
  </si>
  <si>
    <t>H130-I130</t>
  </si>
  <si>
    <t>C91408</t>
  </si>
  <si>
    <t>AR185.1</t>
  </si>
  <si>
    <t>H131-I131</t>
  </si>
  <si>
    <t>C91433</t>
  </si>
  <si>
    <t>AR186</t>
  </si>
  <si>
    <t>H132-I132</t>
  </si>
  <si>
    <t>C9145E</t>
  </si>
  <si>
    <t>AR187</t>
  </si>
  <si>
    <t>H133-I133</t>
  </si>
  <si>
    <t>C91489</t>
  </si>
  <si>
    <t>AR188</t>
  </si>
  <si>
    <t>H134-I134</t>
  </si>
  <si>
    <t>C914B4</t>
  </si>
  <si>
    <t>AR189.1</t>
  </si>
  <si>
    <t>H135-I135</t>
  </si>
  <si>
    <t>C914DF</t>
  </si>
  <si>
    <t>AR190</t>
  </si>
  <si>
    <t>H136-I136</t>
  </si>
  <si>
    <t>C9150A</t>
  </si>
  <si>
    <t>AR191</t>
  </si>
  <si>
    <t>H137-I137</t>
  </si>
  <si>
    <t>C91535</t>
  </si>
  <si>
    <t>AR192</t>
  </si>
  <si>
    <t>H138-I138</t>
  </si>
  <si>
    <t>C91560</t>
  </si>
  <si>
    <t>AR193</t>
  </si>
  <si>
    <t>H139-I139</t>
  </si>
  <si>
    <t>C9158B</t>
  </si>
  <si>
    <t>AR194</t>
  </si>
  <si>
    <t>H140-I140</t>
  </si>
  <si>
    <t>C915B6</t>
  </si>
  <si>
    <t>AR195</t>
  </si>
  <si>
    <t>H141-I141</t>
  </si>
  <si>
    <t>C915E1</t>
  </si>
  <si>
    <t>AR196</t>
  </si>
  <si>
    <t>H142-I142</t>
  </si>
  <si>
    <t>C9160C</t>
  </si>
  <si>
    <t>AR197</t>
  </si>
  <si>
    <t>H143-I143</t>
  </si>
  <si>
    <t>C91637</t>
  </si>
  <si>
    <t>AR198</t>
  </si>
  <si>
    <t>H144-I144</t>
  </si>
  <si>
    <t>C91662</t>
  </si>
  <si>
    <t>AR199</t>
  </si>
  <si>
    <t>H145-I145</t>
  </si>
  <si>
    <t>C9168D</t>
  </si>
  <si>
    <t>AR200</t>
  </si>
  <si>
    <t>H146-I146</t>
  </si>
  <si>
    <t>C916B8</t>
  </si>
  <si>
    <t>AR201</t>
  </si>
  <si>
    <t>H147-I147</t>
  </si>
  <si>
    <t>C916E3</t>
  </si>
  <si>
    <t>H148-I148</t>
  </si>
  <si>
    <t>C9170E</t>
  </si>
  <si>
    <t>AR204</t>
  </si>
  <si>
    <t>H149-I149</t>
  </si>
  <si>
    <t>C91739</t>
  </si>
  <si>
    <t>AR205</t>
  </si>
  <si>
    <t>H150-I150</t>
  </si>
  <si>
    <t>C91764</t>
  </si>
  <si>
    <t>AR206</t>
  </si>
  <si>
    <t>H151-I151</t>
  </si>
  <si>
    <t>C9178F</t>
  </si>
  <si>
    <t>AR207</t>
  </si>
  <si>
    <t>H152-I152</t>
  </si>
  <si>
    <t>C917BA</t>
  </si>
  <si>
    <t>AR208</t>
  </si>
  <si>
    <t>H153-I153</t>
  </si>
  <si>
    <t>C917E5</t>
  </si>
  <si>
    <t>AR209</t>
  </si>
  <si>
    <t>H154-I154</t>
  </si>
  <si>
    <t>C91810</t>
  </si>
  <si>
    <t>AR211</t>
  </si>
  <si>
    <t>H155-I155</t>
  </si>
  <si>
    <t>C9183B</t>
  </si>
  <si>
    <t>AR212</t>
  </si>
  <si>
    <t>H156-I156</t>
  </si>
  <si>
    <t>C91866</t>
  </si>
  <si>
    <t>AR214</t>
  </si>
  <si>
    <t>H157-I157</t>
  </si>
  <si>
    <t>C91891</t>
  </si>
  <si>
    <t>AR215</t>
  </si>
  <si>
    <t>H158-I158</t>
  </si>
  <si>
    <t>C918BC</t>
  </si>
  <si>
    <t>AR216</t>
  </si>
  <si>
    <t>H159-I159</t>
  </si>
  <si>
    <t>C918E7</t>
  </si>
  <si>
    <t>AR217</t>
  </si>
  <si>
    <t>H160-I160</t>
  </si>
  <si>
    <t>C91912</t>
  </si>
  <si>
    <t>AR218</t>
  </si>
  <si>
    <t>H161-I161</t>
  </si>
  <si>
    <t>C9193D</t>
  </si>
  <si>
    <t>AR219</t>
  </si>
  <si>
    <t>H162-I162</t>
  </si>
  <si>
    <t>C91968</t>
  </si>
  <si>
    <t>AR220</t>
  </si>
  <si>
    <t>H163-I163</t>
  </si>
  <si>
    <t>C91993</t>
  </si>
  <si>
    <t>AR221</t>
  </si>
  <si>
    <t>H164-I164</t>
  </si>
  <si>
    <t>C919BE</t>
  </si>
  <si>
    <t>AR222</t>
  </si>
  <si>
    <t>H165-I165</t>
  </si>
  <si>
    <t>C919E9</t>
  </si>
  <si>
    <t>AR223</t>
  </si>
  <si>
    <t>H166-I166</t>
  </si>
  <si>
    <t>C91A14</t>
  </si>
  <si>
    <t>AR224</t>
  </si>
  <si>
    <t>H167-I167</t>
  </si>
  <si>
    <t>C91A3F</t>
  </si>
  <si>
    <t>AR225</t>
  </si>
  <si>
    <t>H168-I168</t>
  </si>
  <si>
    <t>C91A6A</t>
  </si>
  <si>
    <t>AR226</t>
  </si>
  <si>
    <t>H169-I169</t>
  </si>
  <si>
    <t>C91A95</t>
  </si>
  <si>
    <t>AR227</t>
  </si>
  <si>
    <t>H170-I170</t>
  </si>
  <si>
    <t>C91AC0</t>
  </si>
  <si>
    <t>AR228</t>
  </si>
  <si>
    <t>H171-I171</t>
  </si>
  <si>
    <t>C91AEB</t>
  </si>
  <si>
    <t>AR229</t>
  </si>
  <si>
    <t>H172-I172</t>
  </si>
  <si>
    <t>C91B16</t>
  </si>
  <si>
    <t>AR230</t>
  </si>
  <si>
    <t>H173-I173</t>
  </si>
  <si>
    <t>C91B41</t>
  </si>
  <si>
    <t>AR231</t>
  </si>
  <si>
    <t>H174-I174</t>
  </si>
  <si>
    <t>C91B6C</t>
  </si>
  <si>
    <t>AR232</t>
  </si>
  <si>
    <t>H175-I175</t>
  </si>
  <si>
    <t>C91B97</t>
  </si>
  <si>
    <t>AR233</t>
  </si>
  <si>
    <t>H176-I176</t>
  </si>
  <si>
    <t>C91BC2</t>
  </si>
  <si>
    <t>AR234</t>
  </si>
  <si>
    <t>H177-I177</t>
  </si>
  <si>
    <t>C91BED</t>
  </si>
  <si>
    <t>AR235</t>
  </si>
  <si>
    <t>H178-I178</t>
  </si>
  <si>
    <t>C91C18</t>
  </si>
  <si>
    <t>AR89.1</t>
  </si>
  <si>
    <t>H179-I179</t>
  </si>
  <si>
    <t>C91C43</t>
  </si>
  <si>
    <t>AR90.1</t>
  </si>
  <si>
    <t>H180-I180</t>
  </si>
  <si>
    <t>C91C6E</t>
  </si>
  <si>
    <t>AR91.1</t>
  </si>
  <si>
    <t>H181-I181</t>
  </si>
  <si>
    <t>C91C99</t>
  </si>
  <si>
    <t>AR92.1</t>
  </si>
  <si>
    <t>H182-I182</t>
  </si>
  <si>
    <t>C91CC4</t>
  </si>
  <si>
    <t>AR93.1</t>
  </si>
  <si>
    <t>H183-I183</t>
  </si>
  <si>
    <t>C91CEF</t>
  </si>
  <si>
    <t>AR94.1</t>
  </si>
  <si>
    <t>H184-I184</t>
  </si>
  <si>
    <t>C91D1A</t>
  </si>
  <si>
    <t>AR95.1</t>
  </si>
  <si>
    <t>H185-I185</t>
  </si>
  <si>
    <t>C91D45</t>
  </si>
  <si>
    <t>AR96.1</t>
  </si>
  <si>
    <t>H186-I186</t>
  </si>
  <si>
    <t>C91D70</t>
  </si>
  <si>
    <t>AR97.1</t>
  </si>
  <si>
    <t>H187-I187</t>
  </si>
  <si>
    <t>C91D9B</t>
  </si>
  <si>
    <t>AR98.1</t>
  </si>
  <si>
    <t>H188-I188</t>
  </si>
  <si>
    <t>C91DC6</t>
  </si>
  <si>
    <t>AR99.1</t>
  </si>
  <si>
    <t>H189-I189</t>
  </si>
  <si>
    <t>C91DF1</t>
  </si>
  <si>
    <t>AR102.1</t>
  </si>
  <si>
    <t>H190-I190</t>
  </si>
  <si>
    <t>C91E1C</t>
  </si>
  <si>
    <t>AR103.1</t>
  </si>
  <si>
    <t>H191-I191</t>
  </si>
  <si>
    <t>C91E47</t>
  </si>
  <si>
    <t>AR104.1</t>
  </si>
  <si>
    <t>H192-I192</t>
  </si>
  <si>
    <t>C91E72</t>
  </si>
  <si>
    <t>AR105.1</t>
  </si>
  <si>
    <t>H193-I193</t>
  </si>
  <si>
    <t>C91E9D</t>
  </si>
  <si>
    <t>AR106.1</t>
  </si>
  <si>
    <t>H194-I194</t>
  </si>
  <si>
    <t>C91EC8</t>
  </si>
  <si>
    <t>AR107.1</t>
  </si>
  <si>
    <t>H195-I195</t>
  </si>
  <si>
    <t>C91EF3</t>
  </si>
  <si>
    <t>AR108.1</t>
  </si>
  <si>
    <t>H196-I196</t>
  </si>
  <si>
    <t>C91F1E</t>
  </si>
  <si>
    <t>AR117.1</t>
  </si>
  <si>
    <t>H197-I197</t>
  </si>
  <si>
    <t>C91F49</t>
  </si>
  <si>
    <t>AR112.1</t>
  </si>
  <si>
    <t>H198-I198</t>
  </si>
  <si>
    <t>C91F74</t>
  </si>
  <si>
    <t>AR113.1</t>
  </si>
  <si>
    <t>H199-I199</t>
  </si>
  <si>
    <t>C91F9F</t>
  </si>
  <si>
    <t>AR114.1</t>
  </si>
  <si>
    <t>H200-I200</t>
  </si>
  <si>
    <t>C91FCA</t>
  </si>
  <si>
    <t>AR115.1</t>
  </si>
  <si>
    <t>H201-I201</t>
  </si>
  <si>
    <t>C91FF5</t>
  </si>
  <si>
    <t>AR116.1</t>
  </si>
  <si>
    <t>H202-I202</t>
  </si>
  <si>
    <t>C92020</t>
  </si>
  <si>
    <t>AR120.1</t>
  </si>
  <si>
    <t>H203-I203</t>
  </si>
  <si>
    <t>C9204B</t>
  </si>
  <si>
    <t>AR121.1</t>
  </si>
  <si>
    <t>H204-I204</t>
  </si>
  <si>
    <t>C92076</t>
  </si>
  <si>
    <t>AR122.1</t>
  </si>
  <si>
    <t>H205-I205</t>
  </si>
  <si>
    <t>C920A1</t>
  </si>
  <si>
    <t>AR123.1</t>
  </si>
  <si>
    <t>H206-I206</t>
  </si>
  <si>
    <t>C920CC</t>
  </si>
  <si>
    <t>AR124.1</t>
  </si>
  <si>
    <t>H207-I207</t>
  </si>
  <si>
    <t>C920F7</t>
  </si>
  <si>
    <t>AR125.1</t>
  </si>
  <si>
    <t>H208-I208</t>
  </si>
  <si>
    <t>C92122</t>
  </si>
  <si>
    <t>AR126.1</t>
  </si>
  <si>
    <t>H209-I209</t>
  </si>
  <si>
    <t>C9214D</t>
  </si>
  <si>
    <t>AR127.1</t>
  </si>
  <si>
    <t>H210-I210</t>
  </si>
  <si>
    <t>C92178</t>
  </si>
  <si>
    <t>AR128.1</t>
  </si>
  <si>
    <t>H211-I211</t>
  </si>
  <si>
    <t>C921A3</t>
  </si>
  <si>
    <t>AR129.1</t>
  </si>
  <si>
    <t>H212-I212</t>
  </si>
  <si>
    <t>C921CE</t>
  </si>
  <si>
    <t>AR193.1</t>
  </si>
  <si>
    <t>H213-I213</t>
  </si>
  <si>
    <t>C921F9</t>
  </si>
  <si>
    <t>AR194.1</t>
  </si>
  <si>
    <t>H214-I214</t>
  </si>
  <si>
    <t>C92224</t>
  </si>
  <si>
    <t>AR195.1</t>
  </si>
  <si>
    <t>H215-I215</t>
  </si>
  <si>
    <t>C9224F</t>
  </si>
  <si>
    <t>AR196.1</t>
  </si>
  <si>
    <t>H216-I216</t>
  </si>
  <si>
    <t>C9227A</t>
  </si>
  <si>
    <t>AR197.1</t>
  </si>
  <si>
    <t>H217-I217</t>
  </si>
  <si>
    <t>C922A5</t>
  </si>
  <si>
    <t>AR198.1</t>
  </si>
  <si>
    <t>H218-I218</t>
  </si>
  <si>
    <t>C922D0</t>
  </si>
  <si>
    <t>AR199.1</t>
  </si>
  <si>
    <t>H219-I219</t>
  </si>
  <si>
    <t>C922FB</t>
  </si>
  <si>
    <t>AR200.1</t>
  </si>
  <si>
    <t>H220-I220</t>
  </si>
  <si>
    <t>C92326</t>
  </si>
  <si>
    <t>AR201.1</t>
  </si>
  <si>
    <t>H221-I221</t>
  </si>
  <si>
    <t>C92351</t>
  </si>
  <si>
    <t>AR54.1</t>
  </si>
  <si>
    <t>H222-I222</t>
  </si>
  <si>
    <t>C9237C</t>
  </si>
  <si>
    <t>AR55.1</t>
  </si>
  <si>
    <t>H223-I223</t>
  </si>
  <si>
    <t>C923A7</t>
  </si>
  <si>
    <t>AR56.1</t>
  </si>
  <si>
    <t>H224-I224</t>
  </si>
  <si>
    <t>C923D2</t>
  </si>
  <si>
    <t>AR57.1</t>
  </si>
  <si>
    <t>H225-I225</t>
  </si>
  <si>
    <t>C923FD</t>
  </si>
  <si>
    <t>AR58.1</t>
  </si>
  <si>
    <t>H226-I226</t>
  </si>
  <si>
    <t>C92428</t>
  </si>
  <si>
    <t>AR59.1</t>
  </si>
  <si>
    <t>H227-I227</t>
  </si>
  <si>
    <t>C92453</t>
  </si>
  <si>
    <t>AR60.1</t>
  </si>
  <si>
    <t>H228-I228</t>
  </si>
  <si>
    <t>C9247E</t>
  </si>
  <si>
    <t>AR61.1</t>
  </si>
  <si>
    <t>H229-I229</t>
  </si>
  <si>
    <t>C924A9</t>
  </si>
  <si>
    <t>AR53.1</t>
  </si>
  <si>
    <t>H230-I230</t>
  </si>
  <si>
    <t>C924D4</t>
  </si>
  <si>
    <t>AR52.1</t>
  </si>
  <si>
    <t>H231-I231</t>
  </si>
  <si>
    <t>C924FF</t>
  </si>
  <si>
    <t>AR215.1</t>
  </si>
  <si>
    <t>H232-I232</t>
  </si>
  <si>
    <t>C9252A</t>
  </si>
  <si>
    <t>AR216.1</t>
  </si>
  <si>
    <t>H233-I233</t>
  </si>
  <si>
    <t>C92555</t>
  </si>
  <si>
    <t>AR217.1</t>
  </si>
  <si>
    <t>H234-I234</t>
  </si>
  <si>
    <t>C92580</t>
  </si>
  <si>
    <t>AR218.1</t>
  </si>
  <si>
    <t>H235-I235</t>
  </si>
  <si>
    <t>C925AB</t>
  </si>
  <si>
    <t>AR219.1</t>
  </si>
  <si>
    <t>H236-I236</t>
  </si>
  <si>
    <t>C925D6</t>
  </si>
  <si>
    <t>AR220.1</t>
  </si>
  <si>
    <t>H237-I237</t>
  </si>
  <si>
    <t>C92601</t>
  </si>
  <si>
    <t>AR221.1</t>
  </si>
  <si>
    <t>H238-I238</t>
  </si>
  <si>
    <t>C9262C</t>
  </si>
  <si>
    <t>AR222.1</t>
  </si>
  <si>
    <t>H239-I239</t>
  </si>
  <si>
    <t>C92657</t>
  </si>
  <si>
    <t>AR223.1</t>
  </si>
  <si>
    <t>H240-I240</t>
  </si>
  <si>
    <t>C92682</t>
  </si>
  <si>
    <t>AR224.1</t>
  </si>
  <si>
    <t>H241-I241</t>
  </si>
  <si>
    <t>C926AD</t>
  </si>
  <si>
    <t>AR225.1</t>
  </si>
  <si>
    <t>H242-I242</t>
  </si>
  <si>
    <t>C926D8</t>
  </si>
  <si>
    <t>AR226.1</t>
  </si>
  <si>
    <t>H243-I243</t>
  </si>
  <si>
    <t>C92703</t>
  </si>
  <si>
    <t>AR227.1</t>
  </si>
  <si>
    <t>H244-I244</t>
  </si>
  <si>
    <t>C9272E</t>
  </si>
  <si>
    <t>AR228.1</t>
  </si>
  <si>
    <t>H245-I245</t>
  </si>
  <si>
    <t>C92759</t>
  </si>
  <si>
    <t>AR229.1</t>
  </si>
  <si>
    <t>H246-I246</t>
  </si>
  <si>
    <t>C92784</t>
  </si>
  <si>
    <t>AR230.1</t>
  </si>
  <si>
    <t>H247-I247</t>
  </si>
  <si>
    <t>C927AF</t>
  </si>
  <si>
    <t>AR231.1</t>
  </si>
  <si>
    <t>H248-I248</t>
  </si>
  <si>
    <t>C927DA</t>
  </si>
  <si>
    <t>AR232.1</t>
  </si>
  <si>
    <t>H249-I249</t>
  </si>
  <si>
    <t>C92805</t>
  </si>
  <si>
    <t>AR233.1</t>
  </si>
  <si>
    <t>H250-I250</t>
  </si>
  <si>
    <t>C92830</t>
  </si>
  <si>
    <t>AR234.1</t>
  </si>
  <si>
    <t>H251-I251</t>
  </si>
  <si>
    <t>C9285B</t>
  </si>
  <si>
    <t>AR235.1</t>
  </si>
  <si>
    <t>H252-I252</t>
  </si>
  <si>
    <t>C92886</t>
  </si>
  <si>
    <t>AR25.1</t>
  </si>
  <si>
    <t>H253-I253</t>
  </si>
  <si>
    <t>C928B1</t>
  </si>
  <si>
    <t>AR3.1</t>
  </si>
  <si>
    <t>H254-I254</t>
  </si>
  <si>
    <t>C928DC</t>
  </si>
  <si>
    <t>AR4.1</t>
  </si>
  <si>
    <t>H255-I255</t>
  </si>
  <si>
    <t>C92907</t>
  </si>
  <si>
    <t>AR5.1</t>
  </si>
  <si>
    <t>H256-I256</t>
  </si>
  <si>
    <t>C92932</t>
  </si>
  <si>
    <t>AR6.1</t>
  </si>
  <si>
    <t>H257-I257</t>
  </si>
  <si>
    <t>C9295D</t>
  </si>
  <si>
    <t>AR7.1</t>
  </si>
  <si>
    <t>H258-I258</t>
  </si>
  <si>
    <t>C92988</t>
  </si>
  <si>
    <t>AR8.1</t>
  </si>
  <si>
    <t>H259-I259</t>
  </si>
  <si>
    <t>C929B3</t>
  </si>
  <si>
    <t>AR9.1</t>
  </si>
  <si>
    <t>H260-I260</t>
  </si>
  <si>
    <t>C929DE</t>
  </si>
  <si>
    <t>AR10.1</t>
  </si>
  <si>
    <t>H261-I261</t>
  </si>
  <si>
    <t>C92A09</t>
  </si>
  <si>
    <t>AR11.1</t>
  </si>
  <si>
    <t>H262-I262</t>
  </si>
  <si>
    <t>C92A34</t>
  </si>
  <si>
    <t>AR12.1</t>
  </si>
  <si>
    <t>H263-I263</t>
  </si>
  <si>
    <t>C92A5F</t>
  </si>
  <si>
    <t>AR14.1</t>
  </si>
  <si>
    <t>H264-I264</t>
  </si>
  <si>
    <t>C92A8A</t>
  </si>
  <si>
    <t>AR15.1</t>
  </si>
  <si>
    <t>H265-I265</t>
  </si>
  <si>
    <t>C92AB5</t>
  </si>
  <si>
    <t>AR16.1</t>
  </si>
  <si>
    <t>H266-I266</t>
  </si>
  <si>
    <t>C92AE0</t>
  </si>
  <si>
    <t>AR17.1</t>
  </si>
  <si>
    <t>H267-I267</t>
  </si>
  <si>
    <t>C92B0B</t>
  </si>
  <si>
    <t>AR18.1</t>
  </si>
  <si>
    <t>H268-I268</t>
  </si>
  <si>
    <t>C92B36</t>
  </si>
  <si>
    <t>AR19.1</t>
  </si>
  <si>
    <t>H269-I269</t>
  </si>
  <si>
    <t>C92B61</t>
  </si>
  <si>
    <t>AR20.1</t>
  </si>
  <si>
    <t>H270-I270</t>
  </si>
  <si>
    <t>C92B8C</t>
  </si>
  <si>
    <t>AR21.1</t>
  </si>
  <si>
    <t>H271-I271</t>
  </si>
  <si>
    <t>C92BB7</t>
  </si>
  <si>
    <t>AR22.1</t>
  </si>
  <si>
    <t>H272-I272</t>
  </si>
  <si>
    <t>C92BE2</t>
  </si>
  <si>
    <t>AR23.1</t>
  </si>
  <si>
    <t>H273-I273</t>
  </si>
  <si>
    <t>C92C0D</t>
  </si>
  <si>
    <t>AR24.1</t>
  </si>
  <si>
    <t>H274-I274</t>
  </si>
  <si>
    <t>C92C38</t>
  </si>
  <si>
    <t>AR13.1</t>
  </si>
  <si>
    <t>H275-I275</t>
  </si>
  <si>
    <t>C92C63</t>
  </si>
  <si>
    <t>AR180.1</t>
  </si>
  <si>
    <t>H276-I276</t>
  </si>
  <si>
    <t>C92C8E</t>
  </si>
  <si>
    <t>AR181.1</t>
  </si>
  <si>
    <t>H277-I277</t>
  </si>
  <si>
    <t>C92CB9</t>
  </si>
  <si>
    <t>AR182.1</t>
  </si>
  <si>
    <t>H278-I278</t>
  </si>
  <si>
    <t>C92CE4</t>
  </si>
  <si>
    <t>AR183.1</t>
  </si>
  <si>
    <t>H279-I279</t>
  </si>
  <si>
    <t>C92D0F</t>
  </si>
  <si>
    <t>AR173.1</t>
  </si>
  <si>
    <t>H280-I280</t>
  </si>
  <si>
    <t>C92D3A</t>
  </si>
  <si>
    <t>AR174.1</t>
  </si>
  <si>
    <t>H281-I281</t>
  </si>
  <si>
    <t>C92D65</t>
  </si>
  <si>
    <t>AR175.1</t>
  </si>
  <si>
    <t>H282-I282</t>
  </si>
  <si>
    <t>C92D90</t>
  </si>
  <si>
    <t>AR176.1</t>
  </si>
  <si>
    <t>H283-I283</t>
  </si>
  <si>
    <t>C92DBB</t>
  </si>
  <si>
    <t>AR177.1</t>
  </si>
  <si>
    <t>H284-I284</t>
  </si>
  <si>
    <t>C92DE6</t>
  </si>
  <si>
    <t>AR178.1</t>
  </si>
  <si>
    <t>H285-I285</t>
  </si>
  <si>
    <t>C92E11</t>
  </si>
  <si>
    <t>AR179.1</t>
  </si>
  <si>
    <t>H286-I286</t>
  </si>
  <si>
    <t>C92E3C</t>
  </si>
  <si>
    <t>AR205.1</t>
  </si>
  <si>
    <t>H287-I287</t>
  </si>
  <si>
    <t>C92E67</t>
  </si>
  <si>
    <t>AR206.1</t>
  </si>
  <si>
    <t>H288-I288</t>
  </si>
  <si>
    <t>C92E92</t>
  </si>
  <si>
    <t>AR207.1</t>
  </si>
  <si>
    <t>H289-I289</t>
  </si>
  <si>
    <t>C92EBD</t>
  </si>
  <si>
    <t>AR208.1</t>
  </si>
  <si>
    <t>H290-I290</t>
  </si>
  <si>
    <t>C92EE8</t>
  </si>
  <si>
    <t>AR209.1</t>
  </si>
  <si>
    <t>H291-I291</t>
  </si>
  <si>
    <t>C92F13</t>
  </si>
  <si>
    <t>AR211.1</t>
  </si>
  <si>
    <t>H292-I292</t>
  </si>
  <si>
    <t>C92F3E</t>
  </si>
  <si>
    <t>AR212.1</t>
  </si>
  <si>
    <t>H293-I293</t>
  </si>
  <si>
    <t>C92F69</t>
  </si>
  <si>
    <t>AR139.1</t>
  </si>
  <si>
    <t>H294-I294</t>
  </si>
  <si>
    <t>C92F94</t>
  </si>
  <si>
    <t>AR140.1</t>
  </si>
  <si>
    <t>H295-I295</t>
  </si>
  <si>
    <t>C92FBF</t>
  </si>
  <si>
    <t>AR145.1</t>
  </si>
  <si>
    <t>H296-I296</t>
  </si>
  <si>
    <t>C92FEA</t>
  </si>
  <si>
    <t>AR146.1</t>
  </si>
  <si>
    <t>H297-I297</t>
  </si>
  <si>
    <t>C93015</t>
  </si>
  <si>
    <t>AR134.1</t>
  </si>
  <si>
    <t>H298-I298</t>
  </si>
  <si>
    <t>C93040</t>
  </si>
  <si>
    <t>AR135.1</t>
  </si>
  <si>
    <t>H299-I299</t>
  </si>
  <si>
    <t>C9306B</t>
  </si>
  <si>
    <t>AR87.2</t>
  </si>
  <si>
    <t>H300-I300</t>
  </si>
  <si>
    <t>C93096</t>
  </si>
  <si>
    <t>AR87.3</t>
  </si>
  <si>
    <t>H301-I301</t>
  </si>
  <si>
    <t>C930C1</t>
  </si>
  <si>
    <t>AR87.4</t>
  </si>
  <si>
    <t>H302-I302</t>
  </si>
  <si>
    <t>C930EC</t>
  </si>
  <si>
    <t>AR87.5</t>
  </si>
  <si>
    <t>H303-I303</t>
  </si>
  <si>
    <t>C93117</t>
  </si>
  <si>
    <t>AR87.6</t>
  </si>
  <si>
    <t>H304-I304</t>
  </si>
  <si>
    <t>C93142</t>
  </si>
  <si>
    <t>AR89.2</t>
  </si>
  <si>
    <t>H305-I305</t>
  </si>
  <si>
    <t>C9316D</t>
  </si>
  <si>
    <t>AR89.3</t>
  </si>
  <si>
    <t>H306-I306</t>
  </si>
  <si>
    <t>C93198</t>
  </si>
  <si>
    <t>AR89.4</t>
  </si>
  <si>
    <t>H307-I307</t>
  </si>
  <si>
    <t>C931C3</t>
  </si>
  <si>
    <t>AR89.5</t>
  </si>
  <si>
    <t>H308-I308</t>
  </si>
  <si>
    <t>C931EE</t>
  </si>
  <si>
    <t>AR90.2</t>
  </si>
  <si>
    <t>H309-I309</t>
  </si>
  <si>
    <t>C93219</t>
  </si>
  <si>
    <t>AR90.3</t>
  </si>
  <si>
    <t>H310-I310</t>
  </si>
  <si>
    <t>C93244</t>
  </si>
  <si>
    <t>AR90.4</t>
  </si>
  <si>
    <t>H311-I311</t>
  </si>
  <si>
    <t>C9326F</t>
  </si>
  <si>
    <t>AR90.5</t>
  </si>
  <si>
    <t>H312-I312</t>
  </si>
  <si>
    <t>C9329A</t>
  </si>
  <si>
    <t>AR91.2</t>
  </si>
  <si>
    <t>H313-I313</t>
  </si>
  <si>
    <t>C932C5</t>
  </si>
  <si>
    <t>AR91.3</t>
  </si>
  <si>
    <t>H314-I314</t>
  </si>
  <si>
    <t>C932F0</t>
  </si>
  <si>
    <t>AR91.4</t>
  </si>
  <si>
    <t>H315-I315</t>
  </si>
  <si>
    <t>C9331B</t>
  </si>
  <si>
    <t>AR91.5</t>
  </si>
  <si>
    <t>H316-I316</t>
  </si>
  <si>
    <t>C93346</t>
  </si>
  <si>
    <t>AR92.2</t>
  </si>
  <si>
    <t>H317-I317</t>
  </si>
  <si>
    <t>C93371</t>
  </si>
  <si>
    <t>AR92.3</t>
  </si>
  <si>
    <t>H318-I318</t>
  </si>
  <si>
    <t>C9339C</t>
  </si>
  <si>
    <t>AR92.4</t>
  </si>
  <si>
    <t>H319-I319</t>
  </si>
  <si>
    <t>C933C7</t>
  </si>
  <si>
    <t>AR92.5</t>
  </si>
  <si>
    <t>H320-I320</t>
  </si>
  <si>
    <t>C933F2</t>
  </si>
  <si>
    <t>AR93.2</t>
  </si>
  <si>
    <t>H321-I321</t>
  </si>
  <si>
    <t>C9341D</t>
  </si>
  <si>
    <t>AR93.3</t>
  </si>
  <si>
    <t>H322-I322</t>
  </si>
  <si>
    <t>C93448</t>
  </si>
  <si>
    <t>AR93.4</t>
  </si>
  <si>
    <t>H323-I323</t>
  </si>
  <si>
    <t>C93473</t>
  </si>
  <si>
    <t>AR93.5</t>
  </si>
  <si>
    <t>H324-I324</t>
  </si>
  <si>
    <t>C9349E</t>
  </si>
  <si>
    <t>AR94.2</t>
  </si>
  <si>
    <t>H325-I325</t>
  </si>
  <si>
    <t>C934C9</t>
  </si>
  <si>
    <t>AR94.3</t>
  </si>
  <si>
    <t>H326-I326</t>
  </si>
  <si>
    <t>C934F4</t>
  </si>
  <si>
    <t>AR94.4</t>
  </si>
  <si>
    <t>H327-I327</t>
  </si>
  <si>
    <t>C9351F</t>
  </si>
  <si>
    <t>AR94.5</t>
  </si>
  <si>
    <t>H328-I328</t>
  </si>
  <si>
    <t>C9354A</t>
  </si>
  <si>
    <t>AR95.2</t>
  </si>
  <si>
    <t>H329-I329</t>
  </si>
  <si>
    <t>C93575</t>
  </si>
  <si>
    <t>AR95.3</t>
  </si>
  <si>
    <t>H330-I330</t>
  </si>
  <si>
    <t>C935A0</t>
  </si>
  <si>
    <t>AR95.4</t>
  </si>
  <si>
    <t>H331-I331</t>
  </si>
  <si>
    <t>C935CB</t>
  </si>
  <si>
    <t>AR95.5</t>
  </si>
  <si>
    <t>H332-I332</t>
  </si>
  <si>
    <t>C935F6</t>
  </si>
  <si>
    <t>AR96.2</t>
  </si>
  <si>
    <t>H333-I333</t>
  </si>
  <si>
    <t>C93621</t>
  </si>
  <si>
    <t>AR96.3</t>
  </si>
  <si>
    <t>H334-I334</t>
  </si>
  <si>
    <t>C9364C</t>
  </si>
  <si>
    <t>AR96.4</t>
  </si>
  <si>
    <t>H335-I335</t>
  </si>
  <si>
    <t>C93677</t>
  </si>
  <si>
    <t>AR96.5</t>
  </si>
  <si>
    <t>H336-I336</t>
  </si>
  <si>
    <t>C936A2</t>
  </si>
  <si>
    <t>AR97.2</t>
  </si>
  <si>
    <t>H337-I337</t>
  </si>
  <si>
    <t>C936CD</t>
  </si>
  <si>
    <t>AR97.3</t>
  </si>
  <si>
    <t>H338-I338</t>
  </si>
  <si>
    <t>C936F8</t>
  </si>
  <si>
    <t>AR97.4</t>
  </si>
  <si>
    <t>H339-I339</t>
  </si>
  <si>
    <t>C93723</t>
  </si>
  <si>
    <t>AR97.5</t>
  </si>
  <si>
    <t>H340-I340</t>
  </si>
  <si>
    <t>C9374E</t>
  </si>
  <si>
    <t>AR98.2</t>
  </si>
  <si>
    <t>H341-I341</t>
  </si>
  <si>
    <t>C93779</t>
  </si>
  <si>
    <t>AR98.3</t>
  </si>
  <si>
    <t>H342-I342</t>
  </si>
  <si>
    <t>C937A4</t>
  </si>
  <si>
    <t>AR98.4</t>
  </si>
  <si>
    <t>H343-I343</t>
  </si>
  <si>
    <t>C937CF</t>
  </si>
  <si>
    <t>AR98.5</t>
  </si>
  <si>
    <t>H344-I344</t>
  </si>
  <si>
    <t>C937FA</t>
  </si>
  <si>
    <t>AR99.2</t>
  </si>
  <si>
    <t>H345-I345</t>
  </si>
  <si>
    <t>C93825</t>
  </si>
  <si>
    <t>AR99.3</t>
  </si>
  <si>
    <t>H346-I346</t>
  </si>
  <si>
    <t>C93850</t>
  </si>
  <si>
    <t>AR99.4</t>
  </si>
  <si>
    <t>H347-I347</t>
  </si>
  <si>
    <t>C9387B</t>
  </si>
  <si>
    <t>AR99.5</t>
  </si>
  <si>
    <t>H348-I348</t>
  </si>
  <si>
    <t>C938A6</t>
  </si>
  <si>
    <t>AR50.1</t>
  </si>
  <si>
    <t>H349-I349</t>
  </si>
  <si>
    <t>C938D1</t>
  </si>
  <si>
    <t>AR50.2</t>
  </si>
  <si>
    <t>H350-I350</t>
  </si>
  <si>
    <t>C938FC</t>
  </si>
  <si>
    <t>AR50.3</t>
  </si>
  <si>
    <t>H351-I351</t>
  </si>
  <si>
    <t>C93927</t>
  </si>
  <si>
    <t>AR50.4</t>
  </si>
  <si>
    <t>H352-I352</t>
  </si>
  <si>
    <t>C93952</t>
  </si>
  <si>
    <t>AR50.5</t>
  </si>
  <si>
    <t>H353-I353</t>
  </si>
  <si>
    <t>C9397D</t>
  </si>
  <si>
    <t>AR50.6</t>
  </si>
  <si>
    <t>H354-I354</t>
  </si>
  <si>
    <t>C939A8</t>
  </si>
  <si>
    <t>AR183.2</t>
  </si>
  <si>
    <t>H355-I355</t>
  </si>
  <si>
    <t>C939D3</t>
  </si>
  <si>
    <t>AR183.3</t>
  </si>
  <si>
    <t>H356-I356</t>
  </si>
  <si>
    <t>C939FE</t>
  </si>
  <si>
    <t>AR183.4</t>
  </si>
  <si>
    <t>H357-I357</t>
  </si>
  <si>
    <t>C93A29</t>
  </si>
  <si>
    <t>AR183.5</t>
  </si>
  <si>
    <t>H358-I358</t>
  </si>
  <si>
    <t>C93A54</t>
  </si>
  <si>
    <t>AR182.2</t>
  </si>
  <si>
    <t>H359-I359</t>
  </si>
  <si>
    <t>C93A7F</t>
  </si>
  <si>
    <t>AR182.3</t>
  </si>
  <si>
    <t>H360-I360</t>
  </si>
  <si>
    <t>C93AAA</t>
  </si>
  <si>
    <t>AR182.4</t>
  </si>
  <si>
    <t>H361-I361</t>
  </si>
  <si>
    <t>C93AD5</t>
  </si>
  <si>
    <t>AR182.5</t>
  </si>
  <si>
    <t>H362-I362</t>
  </si>
  <si>
    <t>C93B00</t>
  </si>
  <si>
    <t>AR181.2</t>
  </si>
  <si>
    <t>H363-I363</t>
  </si>
  <si>
    <t>C93B2B</t>
  </si>
  <si>
    <t>AR181.3</t>
  </si>
  <si>
    <t>H364-I364</t>
  </si>
  <si>
    <t>C93B56</t>
  </si>
  <si>
    <t>AR181.4</t>
  </si>
  <si>
    <t>H365-I365</t>
  </si>
  <si>
    <t>C93B81</t>
  </si>
  <si>
    <t>AR181.5</t>
  </si>
  <si>
    <t>H366-I366</t>
  </si>
  <si>
    <t>C93BAC</t>
  </si>
  <si>
    <t>AR180.2</t>
  </si>
  <si>
    <t>H367-I367</t>
  </si>
  <si>
    <t>C93BD7</t>
  </si>
  <si>
    <t>AR180.3</t>
  </si>
  <si>
    <t>H368-I368</t>
  </si>
  <si>
    <t>C93C02</t>
  </si>
  <si>
    <t>AR180.4</t>
  </si>
  <si>
    <t>H369-I369</t>
  </si>
  <si>
    <t>C93C2D</t>
  </si>
  <si>
    <t>AR180.5</t>
  </si>
  <si>
    <t>H370-I370</t>
  </si>
  <si>
    <t>C93C58</t>
  </si>
  <si>
    <t>AR180.6</t>
  </si>
  <si>
    <t>H371-I371</t>
  </si>
  <si>
    <t>C93C83</t>
  </si>
  <si>
    <t>AR180.7</t>
  </si>
  <si>
    <t>H372-I372</t>
  </si>
  <si>
    <t>C93CAE</t>
  </si>
  <si>
    <t>AR180.8</t>
  </si>
  <si>
    <t>H373-I373</t>
  </si>
  <si>
    <t>C93CD9</t>
  </si>
  <si>
    <t>AR180.9</t>
  </si>
  <si>
    <t>H374-I374</t>
  </si>
  <si>
    <t>C93D04</t>
  </si>
  <si>
    <t>AR180.10</t>
  </si>
  <si>
    <t>H375-I375</t>
  </si>
  <si>
    <t>C93D2F</t>
  </si>
  <si>
    <t>AR180.11</t>
  </si>
  <si>
    <t>H376-I376</t>
  </si>
  <si>
    <t>C93D5A</t>
  </si>
  <si>
    <t>AR180.12</t>
  </si>
  <si>
    <t>H377-I377</t>
  </si>
  <si>
    <t>C93D85</t>
  </si>
  <si>
    <t>AR180.13</t>
  </si>
  <si>
    <t>H378-I378</t>
  </si>
  <si>
    <t>C93DB0</t>
  </si>
  <si>
    <t>AR180.14</t>
  </si>
  <si>
    <t>H379-I379</t>
  </si>
  <si>
    <t>C93DDB</t>
  </si>
  <si>
    <t>AR180.15</t>
  </si>
  <si>
    <t>H380-I380</t>
  </si>
  <si>
    <t>C93E06</t>
  </si>
  <si>
    <t>AR180.16</t>
  </si>
  <si>
    <t>H381-I381</t>
  </si>
  <si>
    <t>C93E31</t>
  </si>
  <si>
    <t>AR180.17</t>
  </si>
  <si>
    <t>H382-I382</t>
  </si>
  <si>
    <t>C93E5C</t>
  </si>
  <si>
    <t>AR180.18</t>
  </si>
  <si>
    <t>H383-I383</t>
  </si>
  <si>
    <t>C93E87</t>
  </si>
  <si>
    <t>AR180.19</t>
  </si>
  <si>
    <t>H384-I384</t>
  </si>
  <si>
    <t>C93EB2</t>
  </si>
  <si>
    <t>AR180.20</t>
  </si>
  <si>
    <t>H385-I385</t>
  </si>
  <si>
    <t>C93EDD</t>
  </si>
  <si>
    <t>AR180.21</t>
  </si>
  <si>
    <t>H386-I386</t>
  </si>
  <si>
    <t>C93F08</t>
  </si>
  <si>
    <t>AR180.22</t>
  </si>
  <si>
    <t>H387-I387</t>
  </si>
  <si>
    <t>C93F33</t>
  </si>
  <si>
    <t>AR180.23</t>
  </si>
  <si>
    <t>H388-I388</t>
  </si>
  <si>
    <t>C93F5E</t>
  </si>
  <si>
    <t>AR180.24</t>
  </si>
  <si>
    <t>H389-I389</t>
  </si>
  <si>
    <t>C93F89</t>
  </si>
  <si>
    <t>AR180.25</t>
  </si>
  <si>
    <t>H390-I390</t>
  </si>
  <si>
    <t>C93FB4</t>
  </si>
  <si>
    <t>AR179.2</t>
  </si>
  <si>
    <t>H391-I391</t>
  </si>
  <si>
    <t>C93FDF</t>
  </si>
  <si>
    <t>AR179.3</t>
  </si>
  <si>
    <t>H392-I392</t>
  </si>
  <si>
    <t>C9400A</t>
  </si>
  <si>
    <t>AR179.4</t>
  </si>
  <si>
    <t>H393-I393</t>
  </si>
  <si>
    <t>C94035</t>
  </si>
  <si>
    <t>AR178.2</t>
  </si>
  <si>
    <t>H394-I394</t>
  </si>
  <si>
    <t>C94060</t>
  </si>
  <si>
    <t>AR178.3</t>
  </si>
  <si>
    <t>H395-I395</t>
  </si>
  <si>
    <t>C9408B</t>
  </si>
  <si>
    <t>AR178.4</t>
  </si>
  <si>
    <t>H396-I396</t>
  </si>
  <si>
    <t>C940B6</t>
  </si>
  <si>
    <t>AR177.2</t>
  </si>
  <si>
    <t>H397-I397</t>
  </si>
  <si>
    <t>C940E1</t>
  </si>
  <si>
    <t>AR177.3</t>
  </si>
  <si>
    <t>H398-I398</t>
  </si>
  <si>
    <t>C9410C</t>
  </si>
  <si>
    <t>AR177.4</t>
  </si>
  <si>
    <t>H399-I399</t>
  </si>
  <si>
    <t>C94137</t>
  </si>
  <si>
    <t>AR176.2</t>
  </si>
  <si>
    <t>H400-I400</t>
  </si>
  <si>
    <t>C94162</t>
  </si>
  <si>
    <t>AR176.3</t>
  </si>
  <si>
    <t>H401-I401</t>
  </si>
  <si>
    <t>C9418D</t>
  </si>
  <si>
    <t>AR176.4</t>
  </si>
  <si>
    <t>H402-I402</t>
  </si>
  <si>
    <t>C941B8</t>
  </si>
  <si>
    <t>AR175.2</t>
  </si>
  <si>
    <t>H403-I403</t>
  </si>
  <si>
    <t>C941E3</t>
  </si>
  <si>
    <t>AR175.3</t>
  </si>
  <si>
    <t>H404-I404</t>
  </si>
  <si>
    <t>C9420E</t>
  </si>
  <si>
    <t>AR175.4</t>
  </si>
  <si>
    <t>H405-I405</t>
  </si>
  <si>
    <t>C94239</t>
  </si>
  <si>
    <t>AR174.2</t>
  </si>
  <si>
    <t>H406-I406</t>
  </si>
  <si>
    <t>C94264</t>
  </si>
  <si>
    <t>AR174.3</t>
  </si>
  <si>
    <t>H407-I407</t>
  </si>
  <si>
    <t>C9428F</t>
  </si>
  <si>
    <t>AR174.4</t>
  </si>
  <si>
    <t>H408-I408</t>
  </si>
  <si>
    <t>C942BA</t>
  </si>
  <si>
    <t>AR172.1</t>
  </si>
  <si>
    <t>H409-I409</t>
  </si>
  <si>
    <t>C942E5</t>
  </si>
  <si>
    <t>AR172.2</t>
  </si>
  <si>
    <t>H410-I410</t>
  </si>
  <si>
    <t>C94310</t>
  </si>
  <si>
    <t>AR172.3</t>
  </si>
  <si>
    <t>H411-I411</t>
  </si>
  <si>
    <t>C9433B</t>
  </si>
  <si>
    <t>AR172.4</t>
  </si>
  <si>
    <t>H412-I412</t>
  </si>
  <si>
    <t>C94366</t>
  </si>
  <si>
    <t>AR171.1</t>
  </si>
  <si>
    <t>H413-I413</t>
  </si>
  <si>
    <t>C94391</t>
  </si>
  <si>
    <t>AR173.2</t>
  </si>
  <si>
    <t>H414-I414</t>
  </si>
  <si>
    <t>C943BC</t>
  </si>
  <si>
    <t>AR173.3</t>
  </si>
  <si>
    <t>H415-I415</t>
  </si>
  <si>
    <t>C943E7</t>
  </si>
  <si>
    <t>AR172.5</t>
  </si>
  <si>
    <t>H416-I416</t>
  </si>
  <si>
    <t>C94412</t>
  </si>
  <si>
    <t>AR172.6</t>
  </si>
  <si>
    <t>H417-I417</t>
  </si>
  <si>
    <t>C9443D</t>
  </si>
  <si>
    <t>AR172.7</t>
  </si>
  <si>
    <t>H418-I418</t>
  </si>
  <si>
    <t>C94468</t>
  </si>
  <si>
    <t>AR172.8</t>
  </si>
  <si>
    <t>H419-I419</t>
  </si>
  <si>
    <t>C94493</t>
  </si>
  <si>
    <t>AR108.2</t>
  </si>
  <si>
    <t>H420-I420</t>
  </si>
  <si>
    <t>C944BE</t>
  </si>
  <si>
    <t>AR108.3</t>
  </si>
  <si>
    <t>H421-I421</t>
  </si>
  <si>
    <t>C944E9</t>
  </si>
  <si>
    <t>AR108.4</t>
  </si>
  <si>
    <t>H422-I422</t>
  </si>
  <si>
    <t>C94514</t>
  </si>
  <si>
    <t>AR107.2</t>
  </si>
  <si>
    <t>H423-I423</t>
  </si>
  <si>
    <t>C9453F</t>
  </si>
  <si>
    <t>AR107.3</t>
  </si>
  <si>
    <t>H424-I424</t>
  </si>
  <si>
    <t>C9456A</t>
  </si>
  <si>
    <t>AR107.4</t>
  </si>
  <si>
    <t>H425-I425</t>
  </si>
  <si>
    <t>C94595</t>
  </si>
  <si>
    <t>AR106.2</t>
  </si>
  <si>
    <t>H426-I426</t>
  </si>
  <si>
    <t>C945C0</t>
  </si>
  <si>
    <t>AR106.3</t>
  </si>
  <si>
    <t>H427-I427</t>
  </si>
  <si>
    <t>C945EB</t>
  </si>
  <si>
    <t>AR106.4</t>
  </si>
  <si>
    <t>H428-I428</t>
  </si>
  <si>
    <t>C94616</t>
  </si>
  <si>
    <t>AR105.2</t>
  </si>
  <si>
    <t>H429-I429</t>
  </si>
  <si>
    <t>C94641</t>
  </si>
  <si>
    <t>AR105.3</t>
  </si>
  <si>
    <t>H430-I430</t>
  </si>
  <si>
    <t>C9466C</t>
  </si>
  <si>
    <t>AR105.4</t>
  </si>
  <si>
    <t>H431-I431</t>
  </si>
  <si>
    <t>C94697</t>
  </si>
  <si>
    <t>AR105.5</t>
  </si>
  <si>
    <t>H432-I432</t>
  </si>
  <si>
    <t>C946C2</t>
  </si>
  <si>
    <t>AR104.2</t>
  </si>
  <si>
    <t>H433-I433</t>
  </si>
  <si>
    <t>C946ED</t>
  </si>
  <si>
    <t>AR104.3</t>
  </si>
  <si>
    <t>H434-I434</t>
  </si>
  <si>
    <t>C94718</t>
  </si>
  <si>
    <t>AR104.4</t>
  </si>
  <si>
    <t>H435-I435</t>
  </si>
  <si>
    <t>C94743</t>
  </si>
  <si>
    <t>AR103.2</t>
  </si>
  <si>
    <t>H436-I436</t>
  </si>
  <si>
    <t>C9476E</t>
  </si>
  <si>
    <t>AR103.3</t>
  </si>
  <si>
    <t>H437-I437</t>
  </si>
  <si>
    <t>C94799</t>
  </si>
  <si>
    <t>AR103.4</t>
  </si>
  <si>
    <t>H438-I438</t>
  </si>
  <si>
    <t>C947C4</t>
  </si>
  <si>
    <t>AR102.2</t>
  </si>
  <si>
    <t>H439-I439</t>
  </si>
  <si>
    <t>C947EF</t>
  </si>
  <si>
    <t>AR102.3</t>
  </si>
  <si>
    <t>H440-I440</t>
  </si>
  <si>
    <t>C9481A</t>
  </si>
  <si>
    <t>AR102.4</t>
  </si>
  <si>
    <t>H441-I441</t>
  </si>
  <si>
    <t>C94845</t>
  </si>
  <si>
    <t>AR109.1</t>
  </si>
  <si>
    <t>H442-I442</t>
  </si>
  <si>
    <t>C94870</t>
  </si>
  <si>
    <t>AR109.2</t>
  </si>
  <si>
    <t>H443-I443</t>
  </si>
  <si>
    <t>C9489B</t>
  </si>
  <si>
    <t>AR109.3</t>
  </si>
  <si>
    <t>H444-I444</t>
  </si>
  <si>
    <t>C948C6</t>
  </si>
  <si>
    <t>AR109.4</t>
  </si>
  <si>
    <t>H445-I445</t>
  </si>
  <si>
    <t>C948F1</t>
  </si>
  <si>
    <t>AR109.5</t>
  </si>
  <si>
    <t>H446-I446</t>
  </si>
  <si>
    <t>C9491C</t>
  </si>
  <si>
    <t>AR117.2</t>
  </si>
  <si>
    <t>H447-I447</t>
  </si>
  <si>
    <t>C94947</t>
  </si>
  <si>
    <t>AR117.3</t>
  </si>
  <si>
    <t>H448-I448</t>
  </si>
  <si>
    <t>C94972</t>
  </si>
  <si>
    <t>AR117.4</t>
  </si>
  <si>
    <t>H449-I449</t>
  </si>
  <si>
    <t>C9499D</t>
  </si>
  <si>
    <t>AR117.5</t>
  </si>
  <si>
    <t>H450-I450</t>
  </si>
  <si>
    <t>C949C8</t>
  </si>
  <si>
    <t>AR116.2</t>
  </si>
  <si>
    <t>H451-I451</t>
  </si>
  <si>
    <t>C949F3</t>
  </si>
  <si>
    <t>AR116.3</t>
  </si>
  <si>
    <t>H452-I452</t>
  </si>
  <si>
    <t>C94A1E</t>
  </si>
  <si>
    <t>AR116.4</t>
  </si>
  <si>
    <t>H453-I453</t>
  </si>
  <si>
    <t>C94A49</t>
  </si>
  <si>
    <t>AR115.2</t>
  </si>
  <si>
    <t>H454-I454</t>
  </si>
  <si>
    <t>C94A74</t>
  </si>
  <si>
    <t>AR115.3</t>
  </si>
  <si>
    <t>H455-I455</t>
  </si>
  <si>
    <t>C94A9F</t>
  </si>
  <si>
    <t>AR115.4</t>
  </si>
  <si>
    <t>H456-I456</t>
  </si>
  <si>
    <t>C94ACA</t>
  </si>
  <si>
    <t>AR115.5</t>
  </si>
  <si>
    <t>H457-I457</t>
  </si>
  <si>
    <t>C94AF5</t>
  </si>
  <si>
    <t>AR114.2</t>
  </si>
  <si>
    <t>H458-I458</t>
  </si>
  <si>
    <t>C94B20</t>
  </si>
  <si>
    <t>AR114.3</t>
  </si>
  <si>
    <t>H459-I459</t>
  </si>
  <si>
    <t>C94B4B</t>
  </si>
  <si>
    <t>AR114.4</t>
  </si>
  <si>
    <t>H460-I460</t>
  </si>
  <si>
    <t>C94B76</t>
  </si>
  <si>
    <t>AR113.2</t>
  </si>
  <si>
    <t>H461-I461</t>
  </si>
  <si>
    <t>C94BA1</t>
  </si>
  <si>
    <t>AR113.3</t>
  </si>
  <si>
    <t>H462-I462</t>
  </si>
  <si>
    <t>C94BCC</t>
  </si>
  <si>
    <t>AR113.4</t>
  </si>
  <si>
    <t>H463-I463</t>
  </si>
  <si>
    <t>C94BF7</t>
  </si>
  <si>
    <t>AR113.5</t>
  </si>
  <si>
    <t>H464-I464</t>
  </si>
  <si>
    <t>C94C22</t>
  </si>
  <si>
    <t>AR112.2</t>
  </si>
  <si>
    <t>H465-I465</t>
  </si>
  <si>
    <t>C94C4D</t>
  </si>
  <si>
    <t>AR112.3</t>
  </si>
  <si>
    <t>H466-I466</t>
  </si>
  <si>
    <t>C94C78</t>
  </si>
  <si>
    <t>AR112.4</t>
  </si>
  <si>
    <t>H467-I467</t>
  </si>
  <si>
    <t>C94CA3</t>
  </si>
  <si>
    <t>AR179.5</t>
  </si>
  <si>
    <t>H468-I468</t>
  </si>
  <si>
    <t>C94CCE</t>
  </si>
  <si>
    <t>AR179.6</t>
  </si>
  <si>
    <t>H469-I469</t>
  </si>
  <si>
    <t>C94CF9</t>
  </si>
  <si>
    <t>AR179.7</t>
  </si>
  <si>
    <t>H470-I470</t>
  </si>
  <si>
    <t>C94D24</t>
  </si>
  <si>
    <t>AR179.8</t>
  </si>
  <si>
    <t>H471-I471</t>
  </si>
  <si>
    <t>C94D4F</t>
  </si>
  <si>
    <t>AR186.1</t>
  </si>
  <si>
    <t>H472-I472</t>
  </si>
  <si>
    <t>C94D7A</t>
  </si>
  <si>
    <t>AR186.2</t>
  </si>
  <si>
    <t>H473-I473</t>
  </si>
  <si>
    <t>C94DA5</t>
  </si>
  <si>
    <t>AR186.3</t>
  </si>
  <si>
    <t>H474-I474</t>
  </si>
  <si>
    <t>C94DD0</t>
  </si>
  <si>
    <t>AR186.4</t>
  </si>
  <si>
    <t>H475-I475</t>
  </si>
  <si>
    <t>C94DFB</t>
  </si>
  <si>
    <t>AR187.1</t>
  </si>
  <si>
    <t>H476-I476</t>
  </si>
  <si>
    <t>C94E26</t>
  </si>
  <si>
    <t>AR187.2</t>
  </si>
  <si>
    <t>H477-I477</t>
  </si>
  <si>
    <t>C94E51</t>
  </si>
  <si>
    <t>AR187.3</t>
  </si>
  <si>
    <t>H478-I478</t>
  </si>
  <si>
    <t>C94E7C</t>
  </si>
  <si>
    <t>AR187.4</t>
  </si>
  <si>
    <t>H479-I479</t>
  </si>
  <si>
    <t>C94EA7</t>
  </si>
  <si>
    <t>AR188.1</t>
  </si>
  <si>
    <t>H480-I480</t>
  </si>
  <si>
    <t>C94ED2</t>
  </si>
  <si>
    <t>AR188.2</t>
  </si>
  <si>
    <t>H481-I481</t>
  </si>
  <si>
    <t>C94EFD</t>
  </si>
  <si>
    <t>AR188.3</t>
  </si>
  <si>
    <t>H482-I482</t>
  </si>
  <si>
    <t>C94F28</t>
  </si>
  <si>
    <t>AR188.4</t>
  </si>
  <si>
    <t>H483-I483</t>
  </si>
  <si>
    <t>C94F53</t>
  </si>
  <si>
    <t>AR188.5</t>
  </si>
  <si>
    <t>H484-I484</t>
  </si>
  <si>
    <t>C94F7E</t>
  </si>
  <si>
    <t>AR188.6</t>
  </si>
  <si>
    <t>H485-I485</t>
  </si>
  <si>
    <t>C94FA9</t>
  </si>
  <si>
    <t>AR188.7</t>
  </si>
  <si>
    <t>H486-I486</t>
  </si>
  <si>
    <t>C94FD4</t>
  </si>
  <si>
    <t>AR188.8</t>
  </si>
  <si>
    <t>H487-I487</t>
  </si>
  <si>
    <t>C94FFF</t>
  </si>
  <si>
    <t>AR189.2</t>
  </si>
  <si>
    <t>H488-I488</t>
  </si>
  <si>
    <t>C9502A</t>
  </si>
  <si>
    <t>AR189.3</t>
  </si>
  <si>
    <t>H489-I489</t>
  </si>
  <si>
    <t>C95055</t>
  </si>
  <si>
    <t>AR189.4</t>
  </si>
  <si>
    <t>H490-I490</t>
  </si>
  <si>
    <t>C95080</t>
  </si>
  <si>
    <t>AR189.5</t>
  </si>
  <si>
    <t>H491-I491</t>
  </si>
  <si>
    <t>C950AB</t>
  </si>
  <si>
    <t>AR189.6</t>
  </si>
  <si>
    <t>H492-I492</t>
  </si>
  <si>
    <t>C950D6</t>
  </si>
  <si>
    <t>AR189.7</t>
  </si>
  <si>
    <t>H493-I493</t>
  </si>
  <si>
    <t>C95101</t>
  </si>
  <si>
    <t>AR189.8</t>
  </si>
  <si>
    <t>H494-I494</t>
  </si>
  <si>
    <t>C9512C</t>
  </si>
  <si>
    <t>AR189.9</t>
  </si>
  <si>
    <t>H495-I495</t>
  </si>
  <si>
    <t>C95157</t>
  </si>
  <si>
    <t>AR189.10</t>
  </si>
  <si>
    <t>H496-I496</t>
  </si>
  <si>
    <t>C95182</t>
  </si>
  <si>
    <t>AR189.11</t>
  </si>
  <si>
    <t>H497-I497</t>
  </si>
  <si>
    <t>C951AD</t>
  </si>
  <si>
    <t>AR189.12</t>
  </si>
  <si>
    <t>H498-I498</t>
  </si>
  <si>
    <t>C951D8</t>
  </si>
  <si>
    <t>AR189.13</t>
  </si>
  <si>
    <t>H499-I499</t>
  </si>
  <si>
    <t>C95203</t>
  </si>
  <si>
    <t>AR189.14</t>
  </si>
  <si>
    <t>H500-I500</t>
  </si>
  <si>
    <t>C9522E</t>
  </si>
  <si>
    <t>AR189.15</t>
  </si>
  <si>
    <t>H501-I501</t>
  </si>
  <si>
    <t>C95259</t>
  </si>
  <si>
    <t>AR190.1</t>
  </si>
  <si>
    <t>H502-I502</t>
  </si>
  <si>
    <t>C95284</t>
  </si>
  <si>
    <t>AR190.2</t>
  </si>
  <si>
    <t>H503-I503</t>
  </si>
  <si>
    <t>C952AF</t>
  </si>
  <si>
    <t>AR190.3</t>
  </si>
  <si>
    <t>H504-I504</t>
  </si>
  <si>
    <t>C952DA</t>
  </si>
  <si>
    <t>AR190.4</t>
  </si>
  <si>
    <t>H505-I505</t>
  </si>
  <si>
    <t>C95305</t>
  </si>
  <si>
    <t>AR190.5</t>
  </si>
  <si>
    <t>H506-I506</t>
  </si>
  <si>
    <t>C95330</t>
  </si>
  <si>
    <t>AR190.6</t>
  </si>
  <si>
    <t>H507-I507</t>
  </si>
  <si>
    <t>C9535B</t>
  </si>
  <si>
    <t>AR190.7</t>
  </si>
  <si>
    <t>H508-I508</t>
  </si>
  <si>
    <t>C95386</t>
  </si>
  <si>
    <t>AR190.8</t>
  </si>
  <si>
    <t>H509-I509</t>
  </si>
  <si>
    <t>C953B1</t>
  </si>
  <si>
    <t>AR190.9</t>
  </si>
  <si>
    <t>H510-I510</t>
  </si>
  <si>
    <t>C953DC</t>
  </si>
  <si>
    <t>AR190.10</t>
  </si>
  <si>
    <t>H511-I511</t>
  </si>
  <si>
    <t>C95407</t>
  </si>
  <si>
    <t>AR190.11</t>
  </si>
  <si>
    <t>H512-I512</t>
  </si>
  <si>
    <t>C95432</t>
  </si>
  <si>
    <t>AR190.12</t>
  </si>
  <si>
    <t>H513-I513</t>
  </si>
  <si>
    <t>C9545D</t>
  </si>
  <si>
    <t>AR204.1</t>
  </si>
  <si>
    <t>H514-I514</t>
  </si>
  <si>
    <t>C95488</t>
  </si>
  <si>
    <t>AR204.2</t>
  </si>
  <si>
    <t>H515-I515</t>
  </si>
  <si>
    <t>C954B3</t>
  </si>
  <si>
    <t>AR204.3</t>
  </si>
  <si>
    <t>H516-I516</t>
  </si>
  <si>
    <t>C954DE</t>
  </si>
  <si>
    <t>AR204.4</t>
  </si>
  <si>
    <t>H517-I517</t>
  </si>
  <si>
    <t>C95509</t>
  </si>
  <si>
    <t>AR203.1</t>
  </si>
  <si>
    <t>H518-I518</t>
  </si>
  <si>
    <t>C95534</t>
  </si>
  <si>
    <t>AR203.2</t>
  </si>
  <si>
    <t>H519-I519</t>
  </si>
  <si>
    <t>C9555F</t>
  </si>
  <si>
    <t>AR203.3</t>
  </si>
  <si>
    <t>H520-I520</t>
  </si>
  <si>
    <t>C9558A</t>
  </si>
  <si>
    <t>AR203.4</t>
  </si>
  <si>
    <t>H521-I521</t>
  </si>
  <si>
    <t>C955B5</t>
  </si>
  <si>
    <t>AR203.5</t>
  </si>
  <si>
    <t>H522-I522</t>
  </si>
  <si>
    <t>C955E0</t>
  </si>
  <si>
    <t>AR203.6</t>
  </si>
  <si>
    <t>H523-I523</t>
  </si>
  <si>
    <t>C9560B</t>
  </si>
  <si>
    <t>AR203.7</t>
  </si>
  <si>
    <t>H524-I524</t>
  </si>
  <si>
    <t>C95636</t>
  </si>
  <si>
    <t>AR203.8</t>
  </si>
  <si>
    <t>H525-I525</t>
  </si>
  <si>
    <t>C95661</t>
  </si>
  <si>
    <t>AR203.9</t>
  </si>
  <si>
    <t>H526-I526</t>
  </si>
  <si>
    <t>C9568C</t>
  </si>
  <si>
    <t>AR203.10</t>
  </si>
  <si>
    <t>H527-I527</t>
  </si>
  <si>
    <t>C956B7</t>
  </si>
  <si>
    <t>AR203.11</t>
  </si>
  <si>
    <t>H528-I528</t>
  </si>
  <si>
    <t>C956E2</t>
  </si>
  <si>
    <t>AR203.12</t>
  </si>
  <si>
    <t>H529-I529</t>
  </si>
  <si>
    <t>C9570D</t>
  </si>
  <si>
    <t>AR203.13</t>
  </si>
  <si>
    <t>H530-I530</t>
  </si>
  <si>
    <t>C95738</t>
  </si>
  <si>
    <t>AR203.14</t>
  </si>
  <si>
    <t>H531-I531</t>
  </si>
  <si>
    <t>C95763</t>
  </si>
  <si>
    <t>AR203.15</t>
  </si>
  <si>
    <t>H532-I532</t>
  </si>
  <si>
    <t>C9578E</t>
  </si>
  <si>
    <t>AR203.16</t>
  </si>
  <si>
    <t>H533-I533</t>
  </si>
  <si>
    <t>C957B9</t>
  </si>
  <si>
    <t>AR203.17</t>
  </si>
  <si>
    <t>H534-I534</t>
  </si>
  <si>
    <t>C957E4</t>
  </si>
  <si>
    <t>AR205.2</t>
  </si>
  <si>
    <t>H535-I535</t>
  </si>
  <si>
    <t>C9580F</t>
  </si>
  <si>
    <t>AR205.3</t>
  </si>
  <si>
    <t>H536-I536</t>
  </si>
  <si>
    <t>C9583A</t>
  </si>
  <si>
    <t>AR205.4</t>
  </si>
  <si>
    <t>H537-I537</t>
  </si>
  <si>
    <t>C95865</t>
  </si>
  <si>
    <t>AR206.2</t>
  </si>
  <si>
    <t>H538-I538</t>
  </si>
  <si>
    <t>C95890</t>
  </si>
  <si>
    <t>AR206.3</t>
  </si>
  <si>
    <t>H539-I539</t>
  </si>
  <si>
    <t>C958BB</t>
  </si>
  <si>
    <t>AR206.4</t>
  </si>
  <si>
    <t>H540-I540</t>
  </si>
  <si>
    <t>C958E6</t>
  </si>
  <si>
    <t>AR207.2</t>
  </si>
  <si>
    <t>H541-I541</t>
  </si>
  <si>
    <t>C95911</t>
  </si>
  <si>
    <t>AR207.3</t>
  </si>
  <si>
    <t>H542-I542</t>
  </si>
  <si>
    <t>C9593C</t>
  </si>
  <si>
    <t>AR207.4</t>
  </si>
  <si>
    <t>H543-I543</t>
  </si>
  <si>
    <t>C95967</t>
  </si>
  <si>
    <t>AR208.2</t>
  </si>
  <si>
    <t>H544-I544</t>
  </si>
  <si>
    <t>C95992</t>
  </si>
  <si>
    <t>AR208.3</t>
  </si>
  <si>
    <t>H545-I545</t>
  </si>
  <si>
    <t>C959BD</t>
  </si>
  <si>
    <t>AR208.4</t>
  </si>
  <si>
    <t>H546-I546</t>
  </si>
  <si>
    <t>C959E8</t>
  </si>
  <si>
    <t>AR209.2</t>
  </si>
  <si>
    <t>H547-I547</t>
  </si>
  <si>
    <t>C95A13</t>
  </si>
  <si>
    <t>AR209.3</t>
  </si>
  <si>
    <t>H548-I548</t>
  </si>
  <si>
    <t>C95A3E</t>
  </si>
  <si>
    <t>AR209.4</t>
  </si>
  <si>
    <t>H549-I549</t>
  </si>
  <si>
    <t>C95A69</t>
  </si>
  <si>
    <t>H550-I550</t>
  </si>
  <si>
    <t>C95A94</t>
  </si>
  <si>
    <t>H551-I551</t>
  </si>
  <si>
    <t>C95ABF</t>
  </si>
  <si>
    <t>H552-I552</t>
  </si>
  <si>
    <t>C95AEA</t>
  </si>
  <si>
    <t>H553-I553</t>
  </si>
  <si>
    <t>C95B15</t>
  </si>
  <si>
    <t>AR209.5</t>
  </si>
  <si>
    <t>H554-I554</t>
  </si>
  <si>
    <t>C95B40</t>
  </si>
  <si>
    <t>AR209.6</t>
  </si>
  <si>
    <t>H555-I555</t>
  </si>
  <si>
    <t>C95B6B</t>
  </si>
  <si>
    <t>AR209.7</t>
  </si>
  <si>
    <t>H556-I556</t>
  </si>
  <si>
    <t>C95B96</t>
  </si>
  <si>
    <t>AR209.8</t>
  </si>
  <si>
    <t>H557-I557</t>
  </si>
  <si>
    <t>C95BC1</t>
  </si>
  <si>
    <t>AR191.1</t>
  </si>
  <si>
    <t>H558-I558</t>
  </si>
  <si>
    <t>C95BEC</t>
  </si>
  <si>
    <t>AR191.2</t>
  </si>
  <si>
    <t>H559-I559</t>
  </si>
  <si>
    <t>C95C17</t>
  </si>
  <si>
    <t>AR191.3</t>
  </si>
  <si>
    <t>H560-I560</t>
  </si>
  <si>
    <t>C95C42</t>
  </si>
  <si>
    <t>AR193.2</t>
  </si>
  <si>
    <t>H561-I561</t>
  </si>
  <si>
    <t>C95C6D</t>
  </si>
  <si>
    <t>AR193.3</t>
  </si>
  <si>
    <t>H562-I562</t>
  </si>
  <si>
    <t>C95C98</t>
  </si>
  <si>
    <t>AR193.4</t>
  </si>
  <si>
    <t>H563-I563</t>
  </si>
  <si>
    <t>C95CC3</t>
  </si>
  <si>
    <t>AR194.2</t>
  </si>
  <si>
    <t>H564-I564</t>
  </si>
  <si>
    <t>C95CEE</t>
  </si>
  <si>
    <t>AR194.3</t>
  </si>
  <si>
    <t>H565-I565</t>
  </si>
  <si>
    <t>C95D19</t>
  </si>
  <si>
    <t>AR194.4</t>
  </si>
  <si>
    <t>H566-I566</t>
  </si>
  <si>
    <t>C95D44</t>
  </si>
  <si>
    <t>AR194.5</t>
  </si>
  <si>
    <t>H567-I567</t>
  </si>
  <si>
    <t>C95D6F</t>
  </si>
  <si>
    <t>AR195.2</t>
  </si>
  <si>
    <t>H568-I568</t>
  </si>
  <si>
    <t>C95D9A</t>
  </si>
  <si>
    <t>AR195.3</t>
  </si>
  <si>
    <t>H569-I569</t>
  </si>
  <si>
    <t>C95DC5</t>
  </si>
  <si>
    <t>AR195.4</t>
  </si>
  <si>
    <t>H570-I570</t>
  </si>
  <si>
    <t>C95DF0</t>
  </si>
  <si>
    <t>AR196.2</t>
  </si>
  <si>
    <t>H571-I571</t>
  </si>
  <si>
    <t>C95E1B</t>
  </si>
  <si>
    <t>AR196.3</t>
  </si>
  <si>
    <t>H572-I572</t>
  </si>
  <si>
    <t>C95E46</t>
  </si>
  <si>
    <t>AR196.4</t>
  </si>
  <si>
    <t>H573-I573</t>
  </si>
  <si>
    <t>C95E71</t>
  </si>
  <si>
    <t>AR196.5</t>
  </si>
  <si>
    <t>H574-I574</t>
  </si>
  <si>
    <t>C95E9C</t>
  </si>
  <si>
    <t>AR197.2</t>
  </si>
  <si>
    <t>H575-I575</t>
  </si>
  <si>
    <t>C95EC7</t>
  </si>
  <si>
    <t>AR197.3</t>
  </si>
  <si>
    <t>H576-I576</t>
  </si>
  <si>
    <t>C95EF2</t>
  </si>
  <si>
    <t>AR197.4</t>
  </si>
  <si>
    <t>H577-I577</t>
  </si>
  <si>
    <t>C95F1D</t>
  </si>
  <si>
    <t>AR198.2</t>
  </si>
  <si>
    <t>H578-I578</t>
  </si>
  <si>
    <t>C95F48</t>
  </si>
  <si>
    <t>AR198.3</t>
  </si>
  <si>
    <t>H579-I579</t>
  </si>
  <si>
    <t>C95F73</t>
  </si>
  <si>
    <t>AR198.4</t>
  </si>
  <si>
    <t>H580-I580</t>
  </si>
  <si>
    <t>C95F9E</t>
  </si>
  <si>
    <t>AR199.2</t>
  </si>
  <si>
    <t>H581-I581</t>
  </si>
  <si>
    <t>C95FC9</t>
  </si>
  <si>
    <t>AR199.3</t>
  </si>
  <si>
    <t>H582-I582</t>
  </si>
  <si>
    <t>C95FF4</t>
  </si>
  <si>
    <t>AR199.4</t>
  </si>
  <si>
    <t>H583-I583</t>
  </si>
  <si>
    <t>C9601F</t>
  </si>
  <si>
    <t>AR200.2</t>
  </si>
  <si>
    <t>H584-I584</t>
  </si>
  <si>
    <t>C9604A</t>
  </si>
  <si>
    <t>AR200.3</t>
  </si>
  <si>
    <t>H585-I585</t>
  </si>
  <si>
    <t>C96075</t>
  </si>
  <si>
    <t>AR200.4</t>
  </si>
  <si>
    <t>H586-I586</t>
  </si>
  <si>
    <t>C960A0</t>
  </si>
  <si>
    <t>AR200.5</t>
  </si>
  <si>
    <t>H587-I587</t>
  </si>
  <si>
    <t>C960CB</t>
  </si>
  <si>
    <t>AR201.2</t>
  </si>
  <si>
    <t>H588-I588</t>
  </si>
  <si>
    <t>C960F6</t>
  </si>
  <si>
    <t>AR201.3</t>
  </si>
  <si>
    <t>H589-I589</t>
  </si>
  <si>
    <t>C96121</t>
  </si>
  <si>
    <t>AR201.4</t>
  </si>
  <si>
    <t>H590-I590</t>
  </si>
  <si>
    <t>C9614C</t>
  </si>
  <si>
    <t>AR52.2</t>
  </si>
  <si>
    <t>H591-I591</t>
  </si>
  <si>
    <t>C96177</t>
  </si>
  <si>
    <t>AR52.3</t>
  </si>
  <si>
    <t>H592-I592</t>
  </si>
  <si>
    <t>C961A2</t>
  </si>
  <si>
    <t>AR52.4</t>
  </si>
  <si>
    <t>H593-I593</t>
  </si>
  <si>
    <t>C961CD</t>
  </si>
  <si>
    <t>AR53.2</t>
  </si>
  <si>
    <t>H594-I594</t>
  </si>
  <si>
    <t>C961F8</t>
  </si>
  <si>
    <t>AR53.3</t>
  </si>
  <si>
    <t>H595-I595</t>
  </si>
  <si>
    <t>C96223</t>
  </si>
  <si>
    <t>AR53.4</t>
  </si>
  <si>
    <t>H596-I596</t>
  </si>
  <si>
    <t>C9624E</t>
  </si>
  <si>
    <t>AR54.2</t>
  </si>
  <si>
    <t>H597-I597</t>
  </si>
  <si>
    <t>C96279</t>
  </si>
  <si>
    <t>AR54.3</t>
  </si>
  <si>
    <t>H598-I598</t>
  </si>
  <si>
    <t>C962A4</t>
  </si>
  <si>
    <t>AR54.4</t>
  </si>
  <si>
    <t>H599-I599</t>
  </si>
  <si>
    <t>C962CF</t>
  </si>
  <si>
    <t>AR54.5</t>
  </si>
  <si>
    <t>H600-I600</t>
  </si>
  <si>
    <t>C962FA</t>
  </si>
  <si>
    <t>AR55.2</t>
  </si>
  <si>
    <t>H601-I601</t>
  </si>
  <si>
    <t>C96325</t>
  </si>
  <si>
    <t>AR55.3</t>
  </si>
  <si>
    <t>H602-I602</t>
  </si>
  <si>
    <t>C96350</t>
  </si>
  <si>
    <t>AR55.4</t>
  </si>
  <si>
    <t>H603-I603</t>
  </si>
  <si>
    <t>C9637B</t>
  </si>
  <si>
    <t>AR56.2</t>
  </si>
  <si>
    <t>H604-I604</t>
  </si>
  <si>
    <t>C963A6</t>
  </si>
  <si>
    <t>AR56.3</t>
  </si>
  <si>
    <t>H605-I605</t>
  </si>
  <si>
    <t>C963D1</t>
  </si>
  <si>
    <t>AR56.4</t>
  </si>
  <si>
    <t>H606-I606</t>
  </si>
  <si>
    <t>C963FC</t>
  </si>
  <si>
    <t>AR56.5</t>
  </si>
  <si>
    <t>H607-I607</t>
  </si>
  <si>
    <t>C96427</t>
  </si>
  <si>
    <t>AR57.2</t>
  </si>
  <si>
    <t>H608-I608</t>
  </si>
  <si>
    <t>C96452</t>
  </si>
  <si>
    <t>AR57.3</t>
  </si>
  <si>
    <t>H609-I609</t>
  </si>
  <si>
    <t>C9647D</t>
  </si>
  <si>
    <t>AR57.4</t>
  </si>
  <si>
    <t>H610-I610</t>
  </si>
  <si>
    <t>C964A8</t>
  </si>
  <si>
    <t>AR58.2</t>
  </si>
  <si>
    <t>H611-I611</t>
  </si>
  <si>
    <t>C964D3</t>
  </si>
  <si>
    <t>AR58.3</t>
  </si>
  <si>
    <t>H612-I612</t>
  </si>
  <si>
    <t>C964FE</t>
  </si>
  <si>
    <t>AR58.4</t>
  </si>
  <si>
    <t>H613-I613</t>
  </si>
  <si>
    <t>C96529</t>
  </si>
  <si>
    <t>AR58.5</t>
  </si>
  <si>
    <t>H614-I614</t>
  </si>
  <si>
    <t>C96554</t>
  </si>
  <si>
    <t>AR59.2</t>
  </si>
  <si>
    <t>H615-I615</t>
  </si>
  <si>
    <t>C9657F</t>
  </si>
  <si>
    <t>AR59.3</t>
  </si>
  <si>
    <t>H616-I616</t>
  </si>
  <si>
    <t>C965AA</t>
  </si>
  <si>
    <t>AR59.4</t>
  </si>
  <si>
    <t>H617-I617</t>
  </si>
  <si>
    <t>C965D5</t>
  </si>
  <si>
    <t>AR60.2</t>
  </si>
  <si>
    <t>H618-I618</t>
  </si>
  <si>
    <t>C96600</t>
  </si>
  <si>
    <t>AR60.3</t>
  </si>
  <si>
    <t>H619-I619</t>
  </si>
  <si>
    <t>C9662B</t>
  </si>
  <si>
    <t>AR60.4</t>
  </si>
  <si>
    <t>H620-I620</t>
  </si>
  <si>
    <t>C96656</t>
  </si>
  <si>
    <t>AR60.5</t>
  </si>
  <si>
    <t>H621-I621</t>
  </si>
  <si>
    <t>C96681</t>
  </si>
  <si>
    <t>AR61.2</t>
  </si>
  <si>
    <t>H622-I622</t>
  </si>
  <si>
    <t>C966AC</t>
  </si>
  <si>
    <t>AR61.3</t>
  </si>
  <si>
    <t>H623-I623</t>
  </si>
  <si>
    <t>C966D7</t>
  </si>
  <si>
    <t>AR61.4</t>
  </si>
  <si>
    <t>H624-I624</t>
  </si>
  <si>
    <t>C96702</t>
  </si>
  <si>
    <t>AR213.1</t>
  </si>
  <si>
    <t>H625-I625</t>
  </si>
  <si>
    <t>C9672D</t>
  </si>
  <si>
    <t>AR213.2</t>
  </si>
  <si>
    <t>H626-I626</t>
  </si>
  <si>
    <t>C96758</t>
  </si>
  <si>
    <t>AR213.3</t>
  </si>
  <si>
    <t>H627-I627</t>
  </si>
  <si>
    <t>C96783</t>
  </si>
  <si>
    <t>AR213.4</t>
  </si>
  <si>
    <t>H628-I628</t>
  </si>
  <si>
    <t>C967AE</t>
  </si>
  <si>
    <t>AR213.5</t>
  </si>
  <si>
    <t>H629-I629</t>
  </si>
  <si>
    <t>C967D9</t>
  </si>
  <si>
    <t>AR213.6</t>
  </si>
  <si>
    <t>H630-I630</t>
  </si>
  <si>
    <t>C96804</t>
  </si>
  <si>
    <t>AR213.7</t>
  </si>
  <si>
    <t>H631-I631</t>
  </si>
  <si>
    <t>C9682F</t>
  </si>
  <si>
    <t>AR213.8</t>
  </si>
  <si>
    <t>H632-I632</t>
  </si>
  <si>
    <t>C9685A</t>
  </si>
  <si>
    <t>AR213.9</t>
  </si>
  <si>
    <t>H633-I633</t>
  </si>
  <si>
    <t>C96885</t>
  </si>
  <si>
    <t>AR213.10</t>
  </si>
  <si>
    <t>H634-I634</t>
  </si>
  <si>
    <t>C968B0</t>
  </si>
  <si>
    <t>AR213.11</t>
  </si>
  <si>
    <t>H635-I635</t>
  </si>
  <si>
    <t>C968DB</t>
  </si>
  <si>
    <t>AR213.12</t>
  </si>
  <si>
    <t>H636-I636</t>
  </si>
  <si>
    <t>C96906</t>
  </si>
  <si>
    <t>AR213.13</t>
  </si>
  <si>
    <t>H637-I637</t>
  </si>
  <si>
    <t>C96931</t>
  </si>
  <si>
    <t>AR213.14</t>
  </si>
  <si>
    <t>H638-I638</t>
  </si>
  <si>
    <t>C9695C</t>
  </si>
  <si>
    <t>AR213.15</t>
  </si>
  <si>
    <t>H639-I639</t>
  </si>
  <si>
    <t>C96987</t>
  </si>
  <si>
    <t>AR213.16</t>
  </si>
  <si>
    <t>H640-I640</t>
  </si>
  <si>
    <t>C969B2</t>
  </si>
  <si>
    <t>AR213.17</t>
  </si>
  <si>
    <t>H641-I641</t>
  </si>
  <si>
    <t>C969DD</t>
  </si>
  <si>
    <t>AR213.18</t>
  </si>
  <si>
    <t>H642-I642</t>
  </si>
  <si>
    <t>C96A08</t>
  </si>
  <si>
    <t>AR213.19</t>
  </si>
  <si>
    <t>H643-I643</t>
  </si>
  <si>
    <t>C96A33</t>
  </si>
  <si>
    <t>AR213.20</t>
  </si>
  <si>
    <t>H644-I644</t>
  </si>
  <si>
    <t>C96A5E</t>
  </si>
  <si>
    <t>AR213.21</t>
  </si>
  <si>
    <t>H645-I645</t>
  </si>
  <si>
    <t>C96A89</t>
  </si>
  <si>
    <t>AR213.22</t>
  </si>
  <si>
    <t>H646-I646</t>
  </si>
  <si>
    <t>C96AB4</t>
  </si>
  <si>
    <t>AR213.23</t>
  </si>
  <si>
    <t>H647-I647</t>
  </si>
  <si>
    <t>C96ADF</t>
  </si>
  <si>
    <t>AR213.24</t>
  </si>
  <si>
    <t>H648-I648</t>
  </si>
  <si>
    <t>C96B0A</t>
  </si>
  <si>
    <t>AR204.5</t>
  </si>
  <si>
    <t>H649-I649</t>
  </si>
  <si>
    <t>C96B35</t>
  </si>
  <si>
    <t>AR204.6</t>
  </si>
  <si>
    <t>H650-I650</t>
  </si>
  <si>
    <t>C96B60</t>
  </si>
  <si>
    <t>AR204.7</t>
  </si>
  <si>
    <t>H651-I651</t>
  </si>
  <si>
    <t>C96B8B</t>
  </si>
  <si>
    <t>AR204.8</t>
  </si>
  <si>
    <t>H652-I652</t>
  </si>
  <si>
    <t>C96BB6</t>
  </si>
  <si>
    <t>AR211.2</t>
  </si>
  <si>
    <t>H653-I653</t>
  </si>
  <si>
    <t>C96BE1</t>
  </si>
  <si>
    <t>AR211.3</t>
  </si>
  <si>
    <t>H654-I654</t>
  </si>
  <si>
    <t>C96C0C</t>
  </si>
  <si>
    <t>AR211.4</t>
  </si>
  <si>
    <t>H655-I655</t>
  </si>
  <si>
    <t>C96C37</t>
  </si>
  <si>
    <t>H656-I656</t>
  </si>
  <si>
    <t>C96C62</t>
  </si>
  <si>
    <t>H657-I657</t>
  </si>
  <si>
    <t>C96C8D</t>
  </si>
  <si>
    <t>H658-I658</t>
  </si>
  <si>
    <t>C96CB8</t>
  </si>
  <si>
    <t>AR26.1</t>
  </si>
  <si>
    <t>H659-I659</t>
  </si>
  <si>
    <t>C96CE3</t>
  </si>
  <si>
    <t>AR26.2</t>
  </si>
  <si>
    <t>H660-I660</t>
  </si>
  <si>
    <t>C96D0E</t>
  </si>
  <si>
    <t>AR26.3</t>
  </si>
  <si>
    <t>H661-I661</t>
  </si>
  <si>
    <t>C96D39</t>
  </si>
  <si>
    <t>AR26.4</t>
  </si>
  <si>
    <t>H662-I662</t>
  </si>
  <si>
    <t>C96D64</t>
  </si>
  <si>
    <t>AR26.5</t>
  </si>
  <si>
    <t>H663-I663</t>
  </si>
  <si>
    <t>C96D8F</t>
  </si>
  <si>
    <t>AR26.6</t>
  </si>
  <si>
    <t>H664-I664</t>
  </si>
  <si>
    <t>C96DBA</t>
  </si>
  <si>
    <t>AR26.7</t>
  </si>
  <si>
    <t>H665-I665</t>
  </si>
  <si>
    <t>C96DE5</t>
  </si>
  <si>
    <t>AR26.8</t>
  </si>
  <si>
    <t>H666-I666</t>
  </si>
  <si>
    <t>C96E10</t>
  </si>
  <si>
    <t>AR26.9</t>
  </si>
  <si>
    <t>H667-I667</t>
  </si>
  <si>
    <t>C96E3B</t>
  </si>
  <si>
    <t>AR26.10</t>
  </si>
  <si>
    <t>H668-I668</t>
  </si>
  <si>
    <t>C96E66</t>
  </si>
  <si>
    <t>AR26.11</t>
  </si>
  <si>
    <t>H669-I669</t>
  </si>
  <si>
    <t>C96E91</t>
  </si>
  <si>
    <t>AR26.12</t>
  </si>
  <si>
    <t>H670-I670</t>
  </si>
  <si>
    <t>C96EBC</t>
  </si>
  <si>
    <t>AR26.13</t>
  </si>
  <si>
    <t>H671-I671</t>
  </si>
  <si>
    <t>C96EE7</t>
  </si>
  <si>
    <t>AR26.14</t>
  </si>
  <si>
    <t>H672-I672</t>
  </si>
  <si>
    <t>C96F12</t>
  </si>
  <si>
    <t>AR26.15</t>
  </si>
  <si>
    <t>H673-I673</t>
  </si>
  <si>
    <t>C96F3D</t>
  </si>
  <si>
    <t>AR26.16</t>
  </si>
  <si>
    <t>H674-I674</t>
  </si>
  <si>
    <t>C96F68</t>
  </si>
  <si>
    <t>AR209.9</t>
  </si>
  <si>
    <t>H675-I675</t>
  </si>
  <si>
    <t>C96F93</t>
  </si>
  <si>
    <t>AR209.10</t>
  </si>
  <si>
    <t>H676-I676</t>
  </si>
  <si>
    <t>C96FBE</t>
  </si>
  <si>
    <t>AR25.2</t>
  </si>
  <si>
    <t>H677-I677</t>
  </si>
  <si>
    <t>C96FE9</t>
  </si>
  <si>
    <t>AR25.3</t>
  </si>
  <si>
    <t>H678-I678</t>
  </si>
  <si>
    <t>C97014</t>
  </si>
  <si>
    <t>AR25.4</t>
  </si>
  <si>
    <t>H679-I679</t>
  </si>
  <si>
    <t>C9703F</t>
  </si>
  <si>
    <t>AR25.5</t>
  </si>
  <si>
    <t>H680-I680</t>
  </si>
  <si>
    <t>C9706A</t>
  </si>
  <si>
    <t>AR24.6</t>
  </si>
  <si>
    <t>H681-I681</t>
  </si>
  <si>
    <t>C97095</t>
  </si>
  <si>
    <t>AR24.7</t>
  </si>
  <si>
    <t>H682-I682</t>
  </si>
  <si>
    <t>C970C0</t>
  </si>
  <si>
    <t>AR24.8</t>
  </si>
  <si>
    <t>H683-I683</t>
  </si>
  <si>
    <t>C970EB</t>
  </si>
  <si>
    <t>AR24.9</t>
  </si>
  <si>
    <t>H684-I684</t>
  </si>
  <si>
    <t>C97116</t>
  </si>
  <si>
    <t>AR24.10</t>
  </si>
  <si>
    <t>H685-I685</t>
  </si>
  <si>
    <t>C97141</t>
  </si>
  <si>
    <t>AR233.2</t>
  </si>
  <si>
    <t>H686-I686</t>
  </si>
  <si>
    <t>C9716C</t>
  </si>
  <si>
    <t>AR233.3</t>
  </si>
  <si>
    <t>H687-I687</t>
  </si>
  <si>
    <t>C97197</t>
  </si>
  <si>
    <t>AR233.4</t>
  </si>
  <si>
    <t>H688-I688</t>
  </si>
  <si>
    <t>C971C2</t>
  </si>
  <si>
    <t>AR235.2</t>
  </si>
  <si>
    <t>H689-I689</t>
  </si>
  <si>
    <t>C971ED</t>
  </si>
  <si>
    <t>AR235.3</t>
  </si>
  <si>
    <t>H690-I690</t>
  </si>
  <si>
    <t>C97218</t>
  </si>
  <si>
    <t>AR235.4</t>
  </si>
  <si>
    <t>H691-I691</t>
  </si>
  <si>
    <t>C97243</t>
  </si>
  <si>
    <t>AR234.2</t>
  </si>
  <si>
    <t>H692-I692</t>
  </si>
  <si>
    <t>C9726E</t>
  </si>
  <si>
    <t>AR234.3</t>
  </si>
  <si>
    <t>H693-I693</t>
  </si>
  <si>
    <t>C97299</t>
  </si>
  <si>
    <t>AR234.4</t>
  </si>
  <si>
    <t>H694-I694</t>
  </si>
  <si>
    <t>C972C4</t>
  </si>
  <si>
    <t>AR232.2</t>
  </si>
  <si>
    <t>H695-I695</t>
  </si>
  <si>
    <t>C972EF</t>
  </si>
  <si>
    <t>AR231.2</t>
  </si>
  <si>
    <t>H696-I696</t>
  </si>
  <si>
    <t>C9731A</t>
  </si>
  <si>
    <t>AR230.2</t>
  </si>
  <si>
    <t>H697-I697</t>
  </si>
  <si>
    <t>C97345</t>
  </si>
  <si>
    <t>AR229.2</t>
  </si>
  <si>
    <t>H698-I698</t>
  </si>
  <si>
    <t>C97370</t>
  </si>
  <si>
    <t>AR228.2</t>
  </si>
  <si>
    <t>H699-I699</t>
  </si>
  <si>
    <t>C9739B</t>
  </si>
  <si>
    <t>AR227.2</t>
  </si>
  <si>
    <t>H700-I700</t>
  </si>
  <si>
    <t>C973C6</t>
  </si>
  <si>
    <t>AR226.2</t>
  </si>
  <si>
    <t>H701-I701</t>
  </si>
  <si>
    <t>C973F1</t>
  </si>
  <si>
    <t>AR225.2</t>
  </si>
  <si>
    <t>H702-I702</t>
  </si>
  <si>
    <t>C9741C</t>
  </si>
  <si>
    <t>AR225.3</t>
  </si>
  <si>
    <t>H703-I703</t>
  </si>
  <si>
    <t>C97447</t>
  </si>
  <si>
    <t>AR225.4</t>
  </si>
  <si>
    <t>H704-I704</t>
  </si>
  <si>
    <t>C97472</t>
  </si>
  <si>
    <t>AR224.2</t>
  </si>
  <si>
    <t>H705-I705</t>
  </si>
  <si>
    <t>C9749D</t>
  </si>
  <si>
    <t>AR224.3</t>
  </si>
  <si>
    <t>H706-I706</t>
  </si>
  <si>
    <t>C974C8</t>
  </si>
  <si>
    <t>AR224.4</t>
  </si>
  <si>
    <t>H707-I707</t>
  </si>
  <si>
    <t>C974F3</t>
  </si>
  <si>
    <t>AR223.2</t>
  </si>
  <si>
    <t>H708-I708</t>
  </si>
  <si>
    <t>C9751E</t>
  </si>
  <si>
    <t>AR223.3</t>
  </si>
  <si>
    <t>H709-I709</t>
  </si>
  <si>
    <t>C97549</t>
  </si>
  <si>
    <t>AR223.4</t>
  </si>
  <si>
    <t>H710-I710</t>
  </si>
  <si>
    <t>C97574</t>
  </si>
  <si>
    <t>AR222.2</t>
  </si>
  <si>
    <t>H711-I711</t>
  </si>
  <si>
    <t>C9759F</t>
  </si>
  <si>
    <t>AR222.3</t>
  </si>
  <si>
    <t>H712-I712</t>
  </si>
  <si>
    <t>C975CA</t>
  </si>
  <si>
    <t>AR222.4</t>
  </si>
  <si>
    <t>H713-I713</t>
  </si>
  <si>
    <t>C975F5</t>
  </si>
  <si>
    <t>AR221.2</t>
  </si>
  <si>
    <t>H714-I714</t>
  </si>
  <si>
    <t>C97620</t>
  </si>
  <si>
    <t>AR221.3</t>
  </si>
  <si>
    <t>H715-I715</t>
  </si>
  <si>
    <t>C9764B</t>
  </si>
  <si>
    <t>AR221.4</t>
  </si>
  <si>
    <t>H716-I716</t>
  </si>
  <si>
    <t>C97676</t>
  </si>
  <si>
    <t>AR220.2</t>
  </si>
  <si>
    <t>H717-I717</t>
  </si>
  <si>
    <t>C976A1</t>
  </si>
  <si>
    <t>AR220.3</t>
  </si>
  <si>
    <t>H718-I718</t>
  </si>
  <si>
    <t>C976CC</t>
  </si>
  <si>
    <t>AR220.4</t>
  </si>
  <si>
    <t>H719-I719</t>
  </si>
  <si>
    <t>C976F7</t>
  </si>
  <si>
    <t>AR219.2</t>
  </si>
  <si>
    <t>H720-I720</t>
  </si>
  <si>
    <t>C97722</t>
  </si>
  <si>
    <t>AR219.3</t>
  </si>
  <si>
    <t>H721-I721</t>
  </si>
  <si>
    <t>C9774D</t>
  </si>
  <si>
    <t>AR219.4</t>
  </si>
  <si>
    <t>H722-I722</t>
  </si>
  <si>
    <t>C97778</t>
  </si>
  <si>
    <t>AR218.2</t>
  </si>
  <si>
    <t>H723-I723</t>
  </si>
  <si>
    <t>C977A3</t>
  </si>
  <si>
    <t>AR217.2</t>
  </si>
  <si>
    <t>H724-I724</t>
  </si>
  <si>
    <t>C977CE</t>
  </si>
  <si>
    <t>AR216.2</t>
  </si>
  <si>
    <t>H725-I725</t>
  </si>
  <si>
    <t>C977F9</t>
  </si>
  <si>
    <t>AR215.2</t>
  </si>
  <si>
    <t>H726-I726</t>
  </si>
  <si>
    <t>C97824</t>
  </si>
  <si>
    <t>AR214.1</t>
  </si>
  <si>
    <t>H727-I727</t>
  </si>
  <si>
    <t>C9784F</t>
  </si>
  <si>
    <t>AR214.2</t>
  </si>
  <si>
    <t>H728-I728</t>
  </si>
  <si>
    <t>C9787A</t>
  </si>
  <si>
    <t>AR214.3</t>
  </si>
  <si>
    <t>H729-I729</t>
  </si>
  <si>
    <t>C978A5</t>
  </si>
  <si>
    <t>AR214.4</t>
  </si>
  <si>
    <t>H730-I730</t>
  </si>
  <si>
    <t>C978D0</t>
  </si>
  <si>
    <t>AR214.5</t>
  </si>
  <si>
    <t>H731-I731</t>
  </si>
  <si>
    <t>C978FB</t>
  </si>
  <si>
    <t>AR214.6</t>
  </si>
  <si>
    <t>H732-I732</t>
  </si>
  <si>
    <t>C97926</t>
  </si>
  <si>
    <t>AR214.7</t>
  </si>
  <si>
    <t>H733-I733</t>
  </si>
  <si>
    <t>C97951</t>
  </si>
  <si>
    <t>AR1.2</t>
  </si>
  <si>
    <t>H734-I734</t>
  </si>
  <si>
    <t>C9797C</t>
  </si>
  <si>
    <t>AR1.3</t>
  </si>
  <si>
    <t>H735-I735</t>
  </si>
  <si>
    <t>C979A7</t>
  </si>
  <si>
    <t>AR1.4</t>
  </si>
  <si>
    <t>H736-I736</t>
  </si>
  <si>
    <t>C979D2</t>
  </si>
  <si>
    <t>AR3.2</t>
  </si>
  <si>
    <t>H737-I737</t>
  </si>
  <si>
    <t>C979FD</t>
  </si>
  <si>
    <t>AR3.3</t>
  </si>
  <si>
    <t>H738-I738</t>
  </si>
  <si>
    <t>C97A28</t>
  </si>
  <si>
    <t>AR3.4</t>
  </si>
  <si>
    <t>H739-I739</t>
  </si>
  <si>
    <t>C97A53</t>
  </si>
  <si>
    <t>AR4.2</t>
  </si>
  <si>
    <t>H740-I740</t>
  </si>
  <si>
    <t>C97A7E</t>
  </si>
  <si>
    <t>AR4.3</t>
  </si>
  <si>
    <t>H741-I741</t>
  </si>
  <si>
    <t>C97AA9</t>
  </si>
  <si>
    <t>AR4.4</t>
  </si>
  <si>
    <t>H742-I742</t>
  </si>
  <si>
    <t>C97AD4</t>
  </si>
  <si>
    <t>AR5.2</t>
  </si>
  <si>
    <t>H743-I743</t>
  </si>
  <si>
    <t>C97AFF</t>
  </si>
  <si>
    <t>AR5.3</t>
  </si>
  <si>
    <t>H744-I744</t>
  </si>
  <si>
    <t>C97B2A</t>
  </si>
  <si>
    <t>AR5.4</t>
  </si>
  <si>
    <t>H745-I745</t>
  </si>
  <si>
    <t>C97B55</t>
  </si>
  <si>
    <t>AR6.2</t>
  </si>
  <si>
    <t>H746-I746</t>
  </si>
  <si>
    <t>C97B80</t>
  </si>
  <si>
    <t>AR6.3</t>
  </si>
  <si>
    <t>H747-I747</t>
  </si>
  <si>
    <t>C97BAB</t>
  </si>
  <si>
    <t>AR6.4</t>
  </si>
  <si>
    <t>H748-I748</t>
  </si>
  <si>
    <t>C97BD6</t>
  </si>
  <si>
    <t>AR7.2</t>
  </si>
  <si>
    <t>H749-I749</t>
  </si>
  <si>
    <t>C97C01</t>
  </si>
  <si>
    <t>AR7.3</t>
  </si>
  <si>
    <t>H750-I750</t>
  </si>
  <si>
    <t>C97C2C</t>
  </si>
  <si>
    <t>AR7.4</t>
  </si>
  <si>
    <t>H751-I751</t>
  </si>
  <si>
    <t>C97C57</t>
  </si>
  <si>
    <t>AR8.2</t>
  </si>
  <si>
    <t>H752-I752</t>
  </si>
  <si>
    <t>C97C82</t>
  </si>
  <si>
    <t>AR8.3</t>
  </si>
  <si>
    <t>H753-I753</t>
  </si>
  <si>
    <t>C97CAD</t>
  </si>
  <si>
    <t>AR8.4</t>
  </si>
  <si>
    <t>H754-I754</t>
  </si>
  <si>
    <t>C97CD8</t>
  </si>
  <si>
    <t>AR9.2</t>
  </si>
  <si>
    <t>H755-I755</t>
  </si>
  <si>
    <t>C97D03</t>
  </si>
  <si>
    <t>AR9.3</t>
  </si>
  <si>
    <t>H756-I756</t>
  </si>
  <si>
    <t>C97D2E</t>
  </si>
  <si>
    <t>AR9.4</t>
  </si>
  <si>
    <t>H757-I757</t>
  </si>
  <si>
    <t>C97D59</t>
  </si>
  <si>
    <t>AR10.2</t>
  </si>
  <si>
    <t>H758-I758</t>
  </si>
  <si>
    <t>C97D84</t>
  </si>
  <si>
    <t>AR10.3</t>
  </si>
  <si>
    <t>H759-I759</t>
  </si>
  <si>
    <t>C97DAF</t>
  </si>
  <si>
    <t>AR10.4</t>
  </si>
  <si>
    <t>H760-I760</t>
  </si>
  <si>
    <t>C97DDA</t>
  </si>
  <si>
    <t>AR11.2</t>
  </si>
  <si>
    <t>H761-I761</t>
  </si>
  <si>
    <t>C97E05</t>
  </si>
  <si>
    <t>AR11.3</t>
  </si>
  <si>
    <t>H762-I762</t>
  </si>
  <si>
    <t>C97E30</t>
  </si>
  <si>
    <t>AR11.4</t>
  </si>
  <si>
    <t>H763-I763</t>
  </si>
  <si>
    <t>C97E5B</t>
  </si>
  <si>
    <t>AR118.1</t>
  </si>
  <si>
    <t>H764-I764</t>
  </si>
  <si>
    <t>C97E86</t>
  </si>
  <si>
    <t>AR118.2</t>
  </si>
  <si>
    <t>H765-I765</t>
  </si>
  <si>
    <t>C97EB1</t>
  </si>
  <si>
    <t>AR118.3</t>
  </si>
  <si>
    <t>H766-I766</t>
  </si>
  <si>
    <t>C97EDC</t>
  </si>
  <si>
    <t>AR119.1</t>
  </si>
  <si>
    <t>H767-I767</t>
  </si>
  <si>
    <t>C97F07</t>
  </si>
  <si>
    <t>AR120.2</t>
  </si>
  <si>
    <t>H768-I768</t>
  </si>
  <si>
    <t>C97F32</t>
  </si>
  <si>
    <t>AR120.3</t>
  </si>
  <si>
    <t>H769-I769</t>
  </si>
  <si>
    <t>C97F5D</t>
  </si>
  <si>
    <t>AR120.4</t>
  </si>
  <si>
    <t>H770-I770</t>
  </si>
  <si>
    <t>C97F88</t>
  </si>
  <si>
    <t>AR121.2</t>
  </si>
  <si>
    <t>H771-I771</t>
  </si>
  <si>
    <t>C97FB3</t>
  </si>
  <si>
    <t>AR121.3</t>
  </si>
  <si>
    <t>H772-I772</t>
  </si>
  <si>
    <t>C97FDE</t>
  </si>
  <si>
    <t>AR121.4</t>
  </si>
  <si>
    <t>H773-I773</t>
  </si>
  <si>
    <t>C98009</t>
  </si>
  <si>
    <t>AR122.2</t>
  </si>
  <si>
    <t>H774-I774</t>
  </si>
  <si>
    <t>C98034</t>
  </si>
  <si>
    <t>AR122.3</t>
  </si>
  <si>
    <t>H775-I775</t>
  </si>
  <si>
    <t>C9805F</t>
  </si>
  <si>
    <t>AR122.4</t>
  </si>
  <si>
    <t>H776-I776</t>
  </si>
  <si>
    <t>C9808A</t>
  </si>
  <si>
    <t>AR118.4</t>
  </si>
  <si>
    <t>H777-I777</t>
  </si>
  <si>
    <t>C980B5</t>
  </si>
  <si>
    <t>AR122.5</t>
  </si>
  <si>
    <t>H778-I778</t>
  </si>
  <si>
    <t>C980E0</t>
  </si>
  <si>
    <t>AR123.2</t>
  </si>
  <si>
    <t>H779-I779</t>
  </si>
  <si>
    <t>C9810B</t>
  </si>
  <si>
    <t>AR123.3</t>
  </si>
  <si>
    <t>H780-I780</t>
  </si>
  <si>
    <t>C98136</t>
  </si>
  <si>
    <t>AR123.4</t>
  </si>
  <si>
    <t>H781-I781</t>
  </si>
  <si>
    <t>C98161</t>
  </si>
  <si>
    <t>AR123.5</t>
  </si>
  <si>
    <t>H782-I782</t>
  </si>
  <si>
    <t>C9818C</t>
  </si>
  <si>
    <t>AR124.2</t>
  </si>
  <si>
    <t>H783-I783</t>
  </si>
  <si>
    <t>C981B7</t>
  </si>
  <si>
    <t>AR124.3</t>
  </si>
  <si>
    <t>H784-I784</t>
  </si>
  <si>
    <t>C981E2</t>
  </si>
  <si>
    <t>AR124.4</t>
  </si>
  <si>
    <t>H785-I785</t>
  </si>
  <si>
    <t>C9820D</t>
  </si>
  <si>
    <t>AR124.5</t>
  </si>
  <si>
    <t>H786-I786</t>
  </si>
  <si>
    <t>C98238</t>
  </si>
  <si>
    <t>AR121.5</t>
  </si>
  <si>
    <t>H787-I787</t>
  </si>
  <si>
    <t>C98263</t>
  </si>
  <si>
    <t>AR123.6</t>
  </si>
  <si>
    <t>H788-I788</t>
  </si>
  <si>
    <t>C9828E</t>
  </si>
  <si>
    <t>AR125.2</t>
  </si>
  <si>
    <t>H789-I789</t>
  </si>
  <si>
    <t>C982B9</t>
  </si>
  <si>
    <t>AR125.3</t>
  </si>
  <si>
    <t>H790-I790</t>
  </si>
  <si>
    <t>C982E4</t>
  </si>
  <si>
    <t>AR125.4</t>
  </si>
  <si>
    <t>H791-I791</t>
  </si>
  <si>
    <t>C9830F</t>
  </si>
  <si>
    <t>AR125.5</t>
  </si>
  <si>
    <t>H792-I792</t>
  </si>
  <si>
    <t>C9833A</t>
  </si>
  <si>
    <t>AR125.6</t>
  </si>
  <si>
    <t>H793-I793</t>
  </si>
  <si>
    <t>C98365</t>
  </si>
  <si>
    <t>AR126.2</t>
  </si>
  <si>
    <t>H794-I794</t>
  </si>
  <si>
    <t>C98390</t>
  </si>
  <si>
    <t>AR126.3</t>
  </si>
  <si>
    <t>H795-I795</t>
  </si>
  <si>
    <t>C983BB</t>
  </si>
  <si>
    <t>AR126.4</t>
  </si>
  <si>
    <t>H796-I796</t>
  </si>
  <si>
    <t>C983E6</t>
  </si>
  <si>
    <t>AR126.5</t>
  </si>
  <si>
    <t>H797-I797</t>
  </si>
  <si>
    <t>C98411</t>
  </si>
  <si>
    <t>AR127.2</t>
  </si>
  <si>
    <t>H798-I798</t>
  </si>
  <si>
    <t>C9843C</t>
  </si>
  <si>
    <t>AR127.3</t>
  </si>
  <si>
    <t>H799-I799</t>
  </si>
  <si>
    <t>C98467</t>
  </si>
  <si>
    <t>AR127.4</t>
  </si>
  <si>
    <t>H800-I800</t>
  </si>
  <si>
    <t>C98492</t>
  </si>
  <si>
    <t>AR127.5</t>
  </si>
  <si>
    <t>H801-I801</t>
  </si>
  <si>
    <t>C984BD</t>
  </si>
  <si>
    <t>AR127.6</t>
  </si>
  <si>
    <t>H802-I802</t>
  </si>
  <si>
    <t>C984E8</t>
  </si>
  <si>
    <t>AR128.2</t>
  </si>
  <si>
    <t>H803-I803</t>
  </si>
  <si>
    <t>C98513</t>
  </si>
  <si>
    <t>AR128.3</t>
  </si>
  <si>
    <t>H804-I804</t>
  </si>
  <si>
    <t>C9853E</t>
  </si>
  <si>
    <t>AR128.4</t>
  </si>
  <si>
    <t>H805-I805</t>
  </si>
  <si>
    <t>C98569</t>
  </si>
  <si>
    <t>AR128.5</t>
  </si>
  <si>
    <t>H806-I806</t>
  </si>
  <si>
    <t>C98594</t>
  </si>
  <si>
    <t>AR129.2</t>
  </si>
  <si>
    <t>H807-I807</t>
  </si>
  <si>
    <t>C985BF</t>
  </si>
  <si>
    <t>AR129.3</t>
  </si>
  <si>
    <t>H808-I808</t>
  </si>
  <si>
    <t>C985EA</t>
  </si>
  <si>
    <t>AR129.4</t>
  </si>
  <si>
    <t>H809-I809</t>
  </si>
  <si>
    <t>C98615</t>
  </si>
  <si>
    <t>AR129.5</t>
  </si>
  <si>
    <t>H810-I810</t>
  </si>
  <si>
    <t>C98640</t>
  </si>
  <si>
    <t>AR138.1</t>
  </si>
  <si>
    <t>H811-I811</t>
  </si>
  <si>
    <t>C9866B</t>
  </si>
  <si>
    <t>AR138.2</t>
  </si>
  <si>
    <t>H812-I812</t>
  </si>
  <si>
    <t>C98696</t>
  </si>
  <si>
    <t>AR138.3</t>
  </si>
  <si>
    <t>H813-I813</t>
  </si>
  <si>
    <t>C986C1</t>
  </si>
  <si>
    <t>AR138.4</t>
  </si>
  <si>
    <t>H814-I814</t>
  </si>
  <si>
    <t>C986EC</t>
  </si>
  <si>
    <t>AR139.2</t>
  </si>
  <si>
    <t>H815-I815</t>
  </si>
  <si>
    <t>C98717</t>
  </si>
  <si>
    <t>AR139.3</t>
  </si>
  <si>
    <t>H816-I816</t>
  </si>
  <si>
    <t>C98742</t>
  </si>
  <si>
    <t>AR139.4</t>
  </si>
  <si>
    <t>H817-I817</t>
  </si>
  <si>
    <t>C9876D</t>
  </si>
  <si>
    <t>AR140.2</t>
  </si>
  <si>
    <t>H818-I818</t>
  </si>
  <si>
    <t>C98798</t>
  </si>
  <si>
    <t>AR140.3</t>
  </si>
  <si>
    <t>H819-I819</t>
  </si>
  <si>
    <t>C987C3</t>
  </si>
  <si>
    <t>AR140.4</t>
  </si>
  <si>
    <t>H820-I820</t>
  </si>
  <si>
    <t>C987EE</t>
  </si>
  <si>
    <t>AR140.5</t>
  </si>
  <si>
    <t>H821-I821</t>
  </si>
  <si>
    <t>C98819</t>
  </si>
  <si>
    <t>AR140.6</t>
  </si>
  <si>
    <t>H822-I822</t>
  </si>
  <si>
    <t>C98844</t>
  </si>
  <si>
    <t>AR140.7</t>
  </si>
  <si>
    <t>H823-I823</t>
  </si>
  <si>
    <t>C9886F</t>
  </si>
  <si>
    <t>AR140.8</t>
  </si>
  <si>
    <t>H824-I824</t>
  </si>
  <si>
    <t>C9889A</t>
  </si>
  <si>
    <t>AR146.2</t>
  </si>
  <si>
    <t>H825-I825</t>
  </si>
  <si>
    <t>C988C5</t>
  </si>
  <si>
    <t>AR146.3</t>
  </si>
  <si>
    <t>H826-I826</t>
  </si>
  <si>
    <t>C988F0</t>
  </si>
  <si>
    <t>AR146.4</t>
  </si>
  <si>
    <t>H827-I827</t>
  </si>
  <si>
    <t>C9891B</t>
  </si>
  <si>
    <t>AR146.5</t>
  </si>
  <si>
    <t>H828-I828</t>
  </si>
  <si>
    <t>C98946</t>
  </si>
  <si>
    <t>AR146.6</t>
  </si>
  <si>
    <t>H829-I829</t>
  </si>
  <si>
    <t>C98971</t>
  </si>
  <si>
    <t>AR145.2</t>
  </si>
  <si>
    <t>H830-I830</t>
  </si>
  <si>
    <t>C9899C</t>
  </si>
  <si>
    <t>AR145.3</t>
  </si>
  <si>
    <t>H831-I831</t>
  </si>
  <si>
    <t>C989C7</t>
  </si>
  <si>
    <t>AR145.4</t>
  </si>
  <si>
    <t>H832-I832</t>
  </si>
  <si>
    <t>C989F2</t>
  </si>
  <si>
    <t>AR145.5</t>
  </si>
  <si>
    <t>H833-I833</t>
  </si>
  <si>
    <t>C98A1D</t>
  </si>
  <si>
    <t>AR145.6</t>
  </si>
  <si>
    <t>H834-I834</t>
  </si>
  <si>
    <t>C98A48</t>
  </si>
  <si>
    <t>AR143.1</t>
  </si>
  <si>
    <t>H835-I835</t>
  </si>
  <si>
    <t>C98A73</t>
  </si>
  <si>
    <t>AR143.2</t>
  </si>
  <si>
    <t>H836-I836</t>
  </si>
  <si>
    <t>C98A9E</t>
  </si>
  <si>
    <t>AR143.3</t>
  </si>
  <si>
    <t>H837-I837</t>
  </si>
  <si>
    <t>C98AC9</t>
  </si>
  <si>
    <t>AR143.4</t>
  </si>
  <si>
    <t>H838-I838</t>
  </si>
  <si>
    <t>C98AF4</t>
  </si>
  <si>
    <t>AR143.5</t>
  </si>
  <si>
    <t>H839-I839</t>
  </si>
  <si>
    <t>C98B1F</t>
  </si>
  <si>
    <t>AR144.1</t>
  </si>
  <si>
    <t>H840-I840</t>
  </si>
  <si>
    <t>C98B4A</t>
  </si>
  <si>
    <t>AR141.1</t>
  </si>
  <si>
    <t>H841-I841</t>
  </si>
  <si>
    <t>C98B75</t>
  </si>
  <si>
    <t>AR141.2</t>
  </si>
  <si>
    <t>H842-I842</t>
  </si>
  <si>
    <t>C98BA0</t>
  </si>
  <si>
    <t>AR141.3</t>
  </si>
  <si>
    <t>H843-I843</t>
  </si>
  <si>
    <t>C98BCB</t>
  </si>
  <si>
    <t>AR143.6</t>
  </si>
  <si>
    <t>H844-I844</t>
  </si>
  <si>
    <t>C98BF6</t>
  </si>
  <si>
    <t>AR143.7</t>
  </si>
  <si>
    <t>H845-I845</t>
  </si>
  <si>
    <t>C98C21</t>
  </si>
  <si>
    <t>AR144.2</t>
  </si>
  <si>
    <t>H846-I846</t>
  </si>
  <si>
    <t>C98C4C</t>
  </si>
  <si>
    <t>AR144.3</t>
  </si>
  <si>
    <t>H847-I847</t>
  </si>
  <si>
    <t>C98C77</t>
  </si>
  <si>
    <t>AR144.4</t>
  </si>
  <si>
    <t>H848-I848</t>
  </si>
  <si>
    <t>C98CA2</t>
  </si>
  <si>
    <t>AR142.1</t>
  </si>
  <si>
    <t>H849-I849</t>
  </si>
  <si>
    <t>C98CCD</t>
  </si>
  <si>
    <t>AR142.2</t>
  </si>
  <si>
    <t>H850-I850</t>
  </si>
  <si>
    <t>C98CF8</t>
  </si>
  <si>
    <t>AR142.3</t>
  </si>
  <si>
    <t>H851-I851</t>
  </si>
  <si>
    <t>C98D23</t>
  </si>
  <si>
    <t>AR142.4</t>
  </si>
  <si>
    <t>H852-I852</t>
  </si>
  <si>
    <t>C98D4E</t>
  </si>
  <si>
    <t>AR135.2</t>
  </si>
  <si>
    <t>H853-I853</t>
  </si>
  <si>
    <t>C98D79</t>
  </si>
  <si>
    <t>AR135.3</t>
  </si>
  <si>
    <t>H854-I854</t>
  </si>
  <si>
    <t>C98DA4</t>
  </si>
  <si>
    <t>AR135.4</t>
  </si>
  <si>
    <t>H855-I855</t>
  </si>
  <si>
    <t>C98DCF</t>
  </si>
  <si>
    <t>AR134.2</t>
  </si>
  <si>
    <t>H856-I856</t>
  </si>
  <si>
    <t>C98DFA</t>
  </si>
  <si>
    <t>AR134.3</t>
  </si>
  <si>
    <t>H857-I857</t>
  </si>
  <si>
    <t>C98E25</t>
  </si>
  <si>
    <t>AR134.4</t>
  </si>
  <si>
    <t>H858-I858</t>
  </si>
  <si>
    <t>C98E50</t>
  </si>
  <si>
    <t>AR134.5</t>
  </si>
  <si>
    <t>H859-I859</t>
  </si>
  <si>
    <t>C98E7B</t>
  </si>
  <si>
    <t>AR134.6</t>
  </si>
  <si>
    <t>H860-I860</t>
  </si>
  <si>
    <t>C98EA6</t>
  </si>
  <si>
    <t>AR134.7</t>
  </si>
  <si>
    <t>H861-I861</t>
  </si>
  <si>
    <t>C98ED1</t>
  </si>
  <si>
    <t>AR134.8</t>
  </si>
  <si>
    <t>H862-I862</t>
  </si>
  <si>
    <t>C98EFC</t>
  </si>
  <si>
    <t>AR134.9</t>
  </si>
  <si>
    <t>H863-I863</t>
  </si>
  <si>
    <t>C98F27</t>
  </si>
  <si>
    <t>AR134.10</t>
  </si>
  <si>
    <t>H864-I864</t>
  </si>
  <si>
    <t>C98F52</t>
  </si>
  <si>
    <t>AR134.11</t>
  </si>
  <si>
    <t>H865-I865</t>
  </si>
  <si>
    <t>C98F7D</t>
  </si>
  <si>
    <t>AR134.12</t>
  </si>
  <si>
    <t>H866-I866</t>
  </si>
  <si>
    <t>C98FA8</t>
  </si>
  <si>
    <t>AR134.13</t>
  </si>
  <si>
    <t>H867-I867</t>
  </si>
  <si>
    <t>C98FD3</t>
  </si>
  <si>
    <t>AR134.14</t>
  </si>
  <si>
    <t>H868-I868</t>
  </si>
  <si>
    <t>C98FFE</t>
  </si>
  <si>
    <t>AR134.15</t>
  </si>
  <si>
    <t>H869-I869</t>
  </si>
  <si>
    <t>C99029</t>
  </si>
  <si>
    <t>AR134.16</t>
  </si>
  <si>
    <t>H870-I870</t>
  </si>
  <si>
    <t>C99054</t>
  </si>
  <si>
    <t>AR134.17</t>
  </si>
  <si>
    <t>H871-I871</t>
  </si>
  <si>
    <t>C9907F</t>
  </si>
  <si>
    <t>AR134.18</t>
  </si>
  <si>
    <t>H872-I872</t>
  </si>
  <si>
    <t>C990AA</t>
  </si>
  <si>
    <t>AR134.19</t>
  </si>
  <si>
    <t>H873-I873</t>
  </si>
  <si>
    <t>C990D5</t>
  </si>
  <si>
    <t>AR134.20</t>
  </si>
  <si>
    <t>H874-I874</t>
  </si>
  <si>
    <t>C99100</t>
  </si>
  <si>
    <t>AR134.21</t>
  </si>
  <si>
    <t>H875-I875</t>
  </si>
  <si>
    <t>C9912B</t>
  </si>
  <si>
    <t>AR134.22</t>
  </si>
  <si>
    <t>H876-I876</t>
  </si>
  <si>
    <t>C99156</t>
  </si>
  <si>
    <t>AR134.23</t>
  </si>
  <si>
    <t>H877-I877</t>
  </si>
  <si>
    <t>C99181</t>
  </si>
  <si>
    <t>AR134.24</t>
  </si>
  <si>
    <t>H878-I878</t>
  </si>
  <si>
    <t>C991AC</t>
  </si>
  <si>
    <t>AR134.25</t>
  </si>
  <si>
    <t>H879-I879</t>
  </si>
  <si>
    <t>C991D7</t>
  </si>
  <si>
    <t>AR134.26</t>
  </si>
  <si>
    <t>H880-I880</t>
  </si>
  <si>
    <t>C99202</t>
  </si>
  <si>
    <t>AR134.27</t>
  </si>
  <si>
    <t>H881-I881</t>
  </si>
  <si>
    <t>C9922D</t>
  </si>
  <si>
    <t>AR134.28</t>
  </si>
  <si>
    <t>H882-I882</t>
  </si>
  <si>
    <t>C99258</t>
  </si>
  <si>
    <t>AR130.1</t>
  </si>
  <si>
    <t>H883-I883</t>
  </si>
  <si>
    <t>C99283</t>
  </si>
  <si>
    <t>AR130.2</t>
  </si>
  <si>
    <t>H884-I884</t>
  </si>
  <si>
    <t>C992AE</t>
  </si>
  <si>
    <t>AR130.3</t>
  </si>
  <si>
    <t>H885-I885</t>
  </si>
  <si>
    <t>C992D9</t>
  </si>
  <si>
    <t>AR130.4</t>
  </si>
  <si>
    <t>H886-I886</t>
  </si>
  <si>
    <t>C99304</t>
  </si>
  <si>
    <t>AR132.1</t>
  </si>
  <si>
    <t>H887-I887</t>
  </si>
  <si>
    <t>C9932F</t>
  </si>
  <si>
    <t>AR132.2</t>
  </si>
  <si>
    <t>H888-I888</t>
  </si>
  <si>
    <t>C9935A</t>
  </si>
  <si>
    <t>AR132.3</t>
  </si>
  <si>
    <t>H889-I889</t>
  </si>
  <si>
    <t>C99385</t>
  </si>
  <si>
    <t>AR132.4</t>
  </si>
  <si>
    <t>H890-I890</t>
  </si>
  <si>
    <t>C993B0</t>
  </si>
  <si>
    <t>AR130.5</t>
  </si>
  <si>
    <t>H891-I891</t>
  </si>
  <si>
    <t>C993DB</t>
  </si>
  <si>
    <t>AR133.1</t>
  </si>
  <si>
    <t>H892-I892</t>
  </si>
  <si>
    <t>C99406</t>
  </si>
  <si>
    <t>AR133.2</t>
  </si>
  <si>
    <t>H893-I893</t>
  </si>
  <si>
    <t>C99431</t>
  </si>
  <si>
    <t>AR133.3</t>
  </si>
  <si>
    <t>H894-I894</t>
  </si>
  <si>
    <t>C9945C</t>
  </si>
  <si>
    <t>AR133.4</t>
  </si>
  <si>
    <t>H895-I895</t>
  </si>
  <si>
    <t>C99487</t>
  </si>
  <si>
    <t>AR133.5</t>
  </si>
  <si>
    <t>H896-I896</t>
  </si>
  <si>
    <t>C994B2</t>
  </si>
  <si>
    <t>AR133.6</t>
  </si>
  <si>
    <t>H897-I897</t>
  </si>
  <si>
    <t>C994DD</t>
  </si>
  <si>
    <t>AR136.1</t>
  </si>
  <si>
    <t>H898-I898</t>
  </si>
  <si>
    <t>C99508</t>
  </si>
  <si>
    <t>AR136.2</t>
  </si>
  <si>
    <t>H899-I899</t>
  </si>
  <si>
    <t>C99533</t>
  </si>
  <si>
    <t>AR136.3</t>
  </si>
  <si>
    <t>H900-I900</t>
  </si>
  <si>
    <t>C9955E</t>
  </si>
  <si>
    <t>AR136.4</t>
  </si>
  <si>
    <t>H901-I901</t>
  </si>
  <si>
    <t>C99589</t>
  </si>
  <si>
    <t>AR137.1</t>
  </si>
  <si>
    <t>H902-I902</t>
  </si>
  <si>
    <t>C995B4</t>
  </si>
  <si>
    <t>AR137.2</t>
  </si>
  <si>
    <t>H903-I903</t>
  </si>
  <si>
    <t>C995DF</t>
  </si>
  <si>
    <t>AR137.3</t>
  </si>
  <si>
    <t>H904-I904</t>
  </si>
  <si>
    <t>C9960A</t>
  </si>
  <si>
    <t>AR137.4</t>
  </si>
  <si>
    <t>H905-I905</t>
  </si>
  <si>
    <t>C99635</t>
  </si>
  <si>
    <t>AR137.5</t>
  </si>
  <si>
    <t>H906-I906</t>
  </si>
  <si>
    <t>C99660</t>
  </si>
  <si>
    <t>AR137.6</t>
  </si>
  <si>
    <t>H907-I907</t>
  </si>
  <si>
    <t>C9968B</t>
  </si>
  <si>
    <t>AR30.1</t>
  </si>
  <si>
    <t>H908-I908</t>
  </si>
  <si>
    <t>C996B6</t>
  </si>
  <si>
    <t>AR30.2</t>
  </si>
  <si>
    <t>H909-I909</t>
  </si>
  <si>
    <t>C996E1</t>
  </si>
  <si>
    <t>AR24.2</t>
  </si>
  <si>
    <t>H910-I910</t>
  </si>
  <si>
    <t>C9970C</t>
  </si>
  <si>
    <t>AR24.3</t>
  </si>
  <si>
    <t>H911-I911</t>
  </si>
  <si>
    <t>C99737</t>
  </si>
  <si>
    <t>AR24.4</t>
  </si>
  <si>
    <t>H912-I912</t>
  </si>
  <si>
    <t>C99762</t>
  </si>
  <si>
    <t>AR23.2</t>
  </si>
  <si>
    <t>H913-I913</t>
  </si>
  <si>
    <t>C9978D</t>
  </si>
  <si>
    <t>AR23.3</t>
  </si>
  <si>
    <t>H914-I914</t>
  </si>
  <si>
    <t>C997B8</t>
  </si>
  <si>
    <t>AR23.4</t>
  </si>
  <si>
    <t>H915-I915</t>
  </si>
  <si>
    <t>C997E3</t>
  </si>
  <si>
    <t>AR22.2</t>
  </si>
  <si>
    <t>H916-I916</t>
  </si>
  <si>
    <t>C9980E</t>
  </si>
  <si>
    <t>AR22.3</t>
  </si>
  <si>
    <t>H917-I917</t>
  </si>
  <si>
    <t>C99839</t>
  </si>
  <si>
    <t>AR22.4</t>
  </si>
  <si>
    <t>H918-I918</t>
  </si>
  <si>
    <t>C99864</t>
  </si>
  <si>
    <t>AR21.2</t>
  </si>
  <si>
    <t>H919-I919</t>
  </si>
  <si>
    <t>C9988F</t>
  </si>
  <si>
    <t>AR21.3</t>
  </si>
  <si>
    <t>H920-I920</t>
  </si>
  <si>
    <t>C998BA</t>
  </si>
  <si>
    <t>AR21.4</t>
  </si>
  <si>
    <t>H921-I921</t>
  </si>
  <si>
    <t>C998E5</t>
  </si>
  <si>
    <t>AR20.2</t>
  </si>
  <si>
    <t>H922-I922</t>
  </si>
  <si>
    <t>C99910</t>
  </si>
  <si>
    <t>AR20.3</t>
  </si>
  <si>
    <t>H923-I923</t>
  </si>
  <si>
    <t>C9993B</t>
  </si>
  <si>
    <t>AR20.4</t>
  </si>
  <si>
    <t>H924-I924</t>
  </si>
  <si>
    <t>C99966</t>
  </si>
  <si>
    <t>AR19.2</t>
  </si>
  <si>
    <t>H925-I925</t>
  </si>
  <si>
    <t>C99991</t>
  </si>
  <si>
    <t>AR19.3</t>
  </si>
  <si>
    <t>H926-I926</t>
  </si>
  <si>
    <t>C999BC</t>
  </si>
  <si>
    <t>AR19.4</t>
  </si>
  <si>
    <t>H927-I927</t>
  </si>
  <si>
    <t>C999E7</t>
  </si>
  <si>
    <t>AR18.2</t>
  </si>
  <si>
    <t>H928-I928</t>
  </si>
  <si>
    <t>C99A12</t>
  </si>
  <si>
    <t>AR18.3</t>
  </si>
  <si>
    <t>H929-I929</t>
  </si>
  <si>
    <t>C99A3D</t>
  </si>
  <si>
    <t>AR18.4</t>
  </si>
  <si>
    <t>H930-I930</t>
  </si>
  <si>
    <t>C99A68</t>
  </si>
  <si>
    <t>AR17.2</t>
  </si>
  <si>
    <t>H931-I931</t>
  </si>
  <si>
    <t>C99A93</t>
  </si>
  <si>
    <t>AR17.3</t>
  </si>
  <si>
    <t>H932-I932</t>
  </si>
  <si>
    <t>C99ABE</t>
  </si>
  <si>
    <t>AR17.4</t>
  </si>
  <si>
    <t>H933-I933</t>
  </si>
  <si>
    <t>C99AE9</t>
  </si>
  <si>
    <t>AR16.2</t>
  </si>
  <si>
    <t>H934-I934</t>
  </si>
  <si>
    <t>C99B14</t>
  </si>
  <si>
    <t>AR16.3</t>
  </si>
  <si>
    <t>H935-I935</t>
  </si>
  <si>
    <t>C99B3F</t>
  </si>
  <si>
    <t>AR16.4</t>
  </si>
  <si>
    <t>H936-I936</t>
  </si>
  <si>
    <t>C99B6A</t>
  </si>
  <si>
    <t>AR15.2</t>
  </si>
  <si>
    <t>H937-I937</t>
  </si>
  <si>
    <t>C99B95</t>
  </si>
  <si>
    <t>AR15.3</t>
  </si>
  <si>
    <t>H938-I938</t>
  </si>
  <si>
    <t>C99BC0</t>
  </si>
  <si>
    <t>AR15.4</t>
  </si>
  <si>
    <t>H939-I939</t>
  </si>
  <si>
    <t>C99BEB</t>
  </si>
  <si>
    <t>AR14.2</t>
  </si>
  <si>
    <t>H940-I940</t>
  </si>
  <si>
    <t>C99C16</t>
  </si>
  <si>
    <t>AR14.3</t>
  </si>
  <si>
    <t>H941-I941</t>
  </si>
  <si>
    <t>C99C41</t>
  </si>
  <si>
    <t>AR14.4</t>
  </si>
  <si>
    <t>H942-I942</t>
  </si>
  <si>
    <t>C99C6C</t>
  </si>
  <si>
    <t>AR13.2</t>
  </si>
  <si>
    <t>H943-I943</t>
  </si>
  <si>
    <t>C99C97</t>
  </si>
  <si>
    <t>AR13.3</t>
  </si>
  <si>
    <t>H944-I944</t>
  </si>
  <si>
    <t>C99CC2</t>
  </si>
  <si>
    <t>AR13.4</t>
  </si>
  <si>
    <t>H945-I945</t>
  </si>
  <si>
    <t>C99CED</t>
  </si>
  <si>
    <t>AR12.2</t>
  </si>
  <si>
    <t>H946-I946</t>
  </si>
  <si>
    <t>C99D18</t>
  </si>
  <si>
    <t>AR12.3</t>
  </si>
  <si>
    <t>H947-I947</t>
  </si>
  <si>
    <t>C99D43</t>
  </si>
  <si>
    <t>AR12.4</t>
  </si>
  <si>
    <t>H948-I948</t>
  </si>
  <si>
    <t>C99D6E</t>
  </si>
  <si>
    <t>AR121.6</t>
  </si>
  <si>
    <t>H949-I949</t>
  </si>
  <si>
    <t>C99D99</t>
  </si>
  <si>
    <t>AR120.5</t>
  </si>
  <si>
    <t>H950-I950</t>
  </si>
  <si>
    <t>C99DC4</t>
  </si>
  <si>
    <t>AR171.2</t>
  </si>
  <si>
    <t>H951-I951</t>
  </si>
  <si>
    <t>C99DEF</t>
  </si>
  <si>
    <t>AR171.3</t>
  </si>
  <si>
    <t>H952-I952</t>
  </si>
  <si>
    <t>C99E1A</t>
  </si>
  <si>
    <t>AR171.4</t>
  </si>
  <si>
    <t>H953-I953</t>
  </si>
  <si>
    <t>C99E45</t>
  </si>
  <si>
    <t>AR171.5</t>
  </si>
  <si>
    <t>H954-I954</t>
  </si>
  <si>
    <t>C99E70</t>
  </si>
  <si>
    <t>AR171.6</t>
  </si>
  <si>
    <t>H955-I955</t>
  </si>
  <si>
    <t>C99E9B</t>
  </si>
  <si>
    <t>AR171.7</t>
  </si>
  <si>
    <t>H956-I956</t>
  </si>
  <si>
    <t>C99EC6</t>
  </si>
  <si>
    <t>AR171.8</t>
  </si>
  <si>
    <t>H957-I957</t>
  </si>
  <si>
    <t>C99EF1</t>
  </si>
  <si>
    <t>AR171.9</t>
  </si>
  <si>
    <t>H958-I958</t>
  </si>
  <si>
    <t>C99F1C</t>
  </si>
  <si>
    <t>AR171.10</t>
  </si>
  <si>
    <t>H959-I959</t>
  </si>
  <si>
    <t>C99F47</t>
  </si>
  <si>
    <t>AR171.11</t>
  </si>
  <si>
    <t>H960-I960</t>
  </si>
  <si>
    <t>C99F72</t>
  </si>
  <si>
    <t>AR171.12</t>
  </si>
  <si>
    <t>H961-I961</t>
  </si>
  <si>
    <t>C99F9D</t>
  </si>
  <si>
    <t>AR171.13</t>
  </si>
  <si>
    <t>H962-I962</t>
  </si>
  <si>
    <t>C99FC8</t>
  </si>
  <si>
    <t>AR171.14</t>
  </si>
  <si>
    <t>H963-I963</t>
  </si>
  <si>
    <t>C99FF3</t>
  </si>
  <si>
    <t>AR171.15</t>
  </si>
  <si>
    <t>H964-I964</t>
  </si>
  <si>
    <t>C9A01E</t>
  </si>
  <si>
    <t>AR171.16</t>
  </si>
  <si>
    <t>H965-I965</t>
  </si>
  <si>
    <t>C9A049</t>
  </si>
  <si>
    <t>H966-I966</t>
  </si>
  <si>
    <t>C9A074</t>
  </si>
  <si>
    <t>AR90.6</t>
  </si>
  <si>
    <t>H967-I967</t>
  </si>
  <si>
    <t>C9A09F</t>
  </si>
  <si>
    <t>AR92.6</t>
  </si>
  <si>
    <t>H968-I968</t>
  </si>
  <si>
    <t>C9A0CA</t>
  </si>
  <si>
    <t>AR94.6</t>
  </si>
  <si>
    <t>H969-I969</t>
  </si>
  <si>
    <t>C9A0F5</t>
  </si>
  <si>
    <t>AR96.6</t>
  </si>
  <si>
    <t>H970-I970</t>
  </si>
  <si>
    <t>C9A120</t>
  </si>
  <si>
    <t>AR98.6</t>
  </si>
  <si>
    <t>H971-I971</t>
  </si>
  <si>
    <t>C9A14B</t>
  </si>
  <si>
    <t>AR100.1</t>
  </si>
  <si>
    <t>H972-I972</t>
  </si>
  <si>
    <t>C9A176</t>
  </si>
  <si>
    <t>AR100.2</t>
  </si>
  <si>
    <t>H973-I973</t>
  </si>
  <si>
    <t>C9A1A1</t>
  </si>
  <si>
    <t>AR100.3</t>
  </si>
  <si>
    <t>H974-I974</t>
  </si>
  <si>
    <t>C9A1CC</t>
  </si>
  <si>
    <t>AR100.4</t>
  </si>
  <si>
    <t>H975-I975</t>
  </si>
  <si>
    <t>C9A1F7</t>
  </si>
  <si>
    <t>AR100.5</t>
  </si>
  <si>
    <t>H976-I976</t>
  </si>
  <si>
    <t>C9A222</t>
  </si>
  <si>
    <t>AR103.5</t>
  </si>
  <si>
    <t>H977-I977</t>
  </si>
  <si>
    <t>C9A24D</t>
  </si>
  <si>
    <t>AR110.1</t>
  </si>
  <si>
    <t>H978-I978</t>
  </si>
  <si>
    <t>C9A278</t>
  </si>
  <si>
    <t>AR110.2</t>
  </si>
  <si>
    <t>H979-I979</t>
  </si>
  <si>
    <t>C9A2A3</t>
  </si>
  <si>
    <t>AR110.3</t>
  </si>
  <si>
    <t>H980-I980</t>
  </si>
  <si>
    <t>C9A2CE</t>
  </si>
  <si>
    <t>AR110.4</t>
  </si>
  <si>
    <t>H981-I981</t>
  </si>
  <si>
    <t>C9A2F9</t>
  </si>
  <si>
    <t>AR110.5</t>
  </si>
  <si>
    <t>H982-I982</t>
  </si>
  <si>
    <t>C9A324</t>
  </si>
  <si>
    <t>AR198.5</t>
  </si>
  <si>
    <t>H983-I983</t>
  </si>
  <si>
    <t>C9A34F</t>
  </si>
  <si>
    <t>AR12.5</t>
  </si>
  <si>
    <t>H984-I984</t>
  </si>
  <si>
    <t>C9A37A</t>
  </si>
  <si>
    <t>AR12.9</t>
  </si>
  <si>
    <t>H985-I985</t>
  </si>
  <si>
    <t>C9A3A5</t>
  </si>
  <si>
    <t>AR12.6</t>
  </si>
  <si>
    <t>H986-I986</t>
  </si>
  <si>
    <t>C9A3D0</t>
  </si>
  <si>
    <t>AR12.7</t>
  </si>
  <si>
    <t>H987-I987</t>
  </si>
  <si>
    <t>C9A3FB</t>
  </si>
  <si>
    <t>AR12.8</t>
  </si>
  <si>
    <t>H988-I988</t>
  </si>
  <si>
    <t>C9A426</t>
  </si>
  <si>
    <t>H989-I989</t>
  </si>
  <si>
    <t>C9A729</t>
  </si>
  <si>
    <t>H990-I990</t>
  </si>
  <si>
    <t>E0B56A</t>
  </si>
  <si>
    <t>AR52A</t>
  </si>
  <si>
    <t>H991-I991</t>
  </si>
  <si>
    <t>E0B59B</t>
  </si>
  <si>
    <t>AR53A</t>
  </si>
  <si>
    <t>H992-I992</t>
  </si>
  <si>
    <t>E0B657</t>
  </si>
  <si>
    <t>AR54A</t>
  </si>
  <si>
    <t>H993-I993</t>
  </si>
  <si>
    <t>E0B7BE</t>
  </si>
  <si>
    <t>AR58A</t>
  </si>
  <si>
    <t>H994-I994</t>
  </si>
  <si>
    <t>E0B8AA</t>
  </si>
  <si>
    <t>AR56A</t>
  </si>
  <si>
    <t>H995-I995</t>
  </si>
  <si>
    <t>E0B8D5</t>
  </si>
  <si>
    <t>AR60A</t>
  </si>
  <si>
    <t>H996-I996</t>
  </si>
  <si>
    <t>CƠ SỞ DỮ LIỆU TOÀN BỘ 967 ĐOẠN CỐNG THOÁT NƯỚC THẢI (CAD 100%)</t>
  </si>
  <si>
    <t>TỔNG D300 QUA ĐƯỜNG (m):</t>
  </si>
  <si>
    <t>Bao gồm Handle CAD, Phân loại tuyến, Ga đầu, Ga cuối, Tọa độ Trục X - Y điểm đầu &amp; cuối, Chiều dài L, Cốt đáy DC1, DC2, Độ dốc i</t>
  </si>
  <si>
    <t>TỔNG D800 QUA ĐƯỜNG (m):</t>
  </si>
  <si>
    <t>TỔNG D300 VỈA HÈ (m):</t>
  </si>
  <si>
    <t>Phân loại tuyến</t>
  </si>
  <si>
    <t>Đường kính D (mm)</t>
  </si>
  <si>
    <t>Vị trí lắp đặt</t>
  </si>
  <si>
    <t>Ga đầu (Upstream)</t>
  </si>
  <si>
    <t>Ga cuối (Downstream)</t>
  </si>
  <si>
    <t>Trục X Điểm Đầu (VN-2000 / Bắc)</t>
  </si>
  <si>
    <t>Trục Y Điểm Đầu (VN-2000 / Đông)</t>
  </si>
  <si>
    <t>Trục X Điểm Cuối (VN-2000 / Bắc)</t>
  </si>
  <si>
    <t>Trục Y Điểm Cuối (VN-2000 / Đông)</t>
  </si>
  <si>
    <t>Chiều dài L (m)</t>
  </si>
  <si>
    <t>Cốt đáy DC1 (m)</t>
  </si>
  <si>
    <t>Cốt đáy DC2 (m)</t>
  </si>
  <si>
    <t>Chênh cao dH (m)</t>
  </si>
  <si>
    <t>Độ dốc i (%)</t>
  </si>
  <si>
    <t>H_đào trung bình (m)</t>
  </si>
  <si>
    <t>C8F95C</t>
  </si>
  <si>
    <t>Cống D800 BTCT qua đường</t>
  </si>
  <si>
    <t>Băng ngang lòng đường</t>
  </si>
  <si>
    <t>GA_CUOI</t>
  </si>
  <si>
    <t>C8F962</t>
  </si>
  <si>
    <t>C8F964</t>
  </si>
  <si>
    <t>C8F965</t>
  </si>
  <si>
    <t>C8F967</t>
  </si>
  <si>
    <t>C8F969</t>
  </si>
  <si>
    <t>C8F9BC</t>
  </si>
  <si>
    <t>C9A57E</t>
  </si>
  <si>
    <t>C9A6B5</t>
  </si>
  <si>
    <t>C8F974</t>
  </si>
  <si>
    <t>Cống D300 HDPE qua đường</t>
  </si>
  <si>
    <t>C8F975</t>
  </si>
  <si>
    <t>C8F97A</t>
  </si>
  <si>
    <t>C8F97B</t>
  </si>
  <si>
    <t>C8F97C</t>
  </si>
  <si>
    <t>C8F97D</t>
  </si>
  <si>
    <t>C8F97E</t>
  </si>
  <si>
    <t>C8F97F</t>
  </si>
  <si>
    <t>C8F980</t>
  </si>
  <si>
    <t>C8F981</t>
  </si>
  <si>
    <t>C8F982</t>
  </si>
  <si>
    <t>C8F983</t>
  </si>
  <si>
    <t>C8F984</t>
  </si>
  <si>
    <t>C8F9B5</t>
  </si>
  <si>
    <t>C8F9B6</t>
  </si>
  <si>
    <t>C8F9B7</t>
  </si>
  <si>
    <t>C8F9BD</t>
  </si>
  <si>
    <t>C8F9D1</t>
  </si>
  <si>
    <t>C8F9D2</t>
  </si>
  <si>
    <t>C8F9D3</t>
  </si>
  <si>
    <t>C8F9D4</t>
  </si>
  <si>
    <t>C8F9FF</t>
  </si>
  <si>
    <t>C8FA00</t>
  </si>
  <si>
    <t>C8FA01</t>
  </si>
  <si>
    <t>C8FA02</t>
  </si>
  <si>
    <t>C8FA14</t>
  </si>
  <si>
    <t>C8FA15</t>
  </si>
  <si>
    <t>C8FA16</t>
  </si>
  <si>
    <t>C8FA17</t>
  </si>
  <si>
    <t>C8FA18</t>
  </si>
  <si>
    <t>C8FA19</t>
  </si>
  <si>
    <t>C8FA1C</t>
  </si>
  <si>
    <t>C8FA1D</t>
  </si>
  <si>
    <t>C8FA29</t>
  </si>
  <si>
    <t>C8FA2A</t>
  </si>
  <si>
    <t>C8FA2B</t>
  </si>
  <si>
    <t>C8FA2C</t>
  </si>
  <si>
    <t>C8FA2D</t>
  </si>
  <si>
    <t>C8FA2E</t>
  </si>
  <si>
    <t>C8FA2F</t>
  </si>
  <si>
    <t>C8FA43</t>
  </si>
  <si>
    <t>C8FA4E</t>
  </si>
  <si>
    <t>C8FA53</t>
  </si>
  <si>
    <t>C8FA54</t>
  </si>
  <si>
    <t>C8FA55</t>
  </si>
  <si>
    <t>C8FA56</t>
  </si>
  <si>
    <t>C8FA57</t>
  </si>
  <si>
    <t>C8FA58</t>
  </si>
  <si>
    <t>C8FA59</t>
  </si>
  <si>
    <t>C8FA5A</t>
  </si>
  <si>
    <t>C8FA5B</t>
  </si>
  <si>
    <t>C8FA5C</t>
  </si>
  <si>
    <t>C8FA69</t>
  </si>
  <si>
    <t>C8FA6E</t>
  </si>
  <si>
    <t>C8FA7C</t>
  </si>
  <si>
    <t>C8FA7D</t>
  </si>
  <si>
    <t>C8FA83</t>
  </si>
  <si>
    <t>C8FA92</t>
  </si>
  <si>
    <t>C8FAB3</t>
  </si>
  <si>
    <t>C8FAB4</t>
  </si>
  <si>
    <t>C8FAB5</t>
  </si>
  <si>
    <t>C8FAB7</t>
  </si>
  <si>
    <t>C8FACE</t>
  </si>
  <si>
    <t>C8FACF</t>
  </si>
  <si>
    <t>C8FB01</t>
  </si>
  <si>
    <t>C8FB16</t>
  </si>
  <si>
    <t>C8FB17</t>
  </si>
  <si>
    <t>C8FB18</t>
  </si>
  <si>
    <t>C8FB2E</t>
  </si>
  <si>
    <t>C8FB2F</t>
  </si>
  <si>
    <t>C8FB30</t>
  </si>
  <si>
    <t>C8FB78</t>
  </si>
  <si>
    <t>C8FB79</t>
  </si>
  <si>
    <t>C8FB7A</t>
  </si>
  <si>
    <t>C8FBA4</t>
  </si>
  <si>
    <t>C8FBCC</t>
  </si>
  <si>
    <t>C8FC16</t>
  </si>
  <si>
    <t>C8FC17</t>
  </si>
  <si>
    <t>C8FC18</t>
  </si>
  <si>
    <t>C8FC4F</t>
  </si>
  <si>
    <t>C8FC5C</t>
  </si>
  <si>
    <t>C8FC5D</t>
  </si>
  <si>
    <t>C8FC6F</t>
  </si>
  <si>
    <t>C8FC87</t>
  </si>
  <si>
    <t>C8FC92</t>
  </si>
  <si>
    <t>C8FCE2</t>
  </si>
  <si>
    <t>C8FCFA</t>
  </si>
  <si>
    <t>C8FCFF</t>
  </si>
  <si>
    <t>C8FD00</t>
  </si>
  <si>
    <t>C8FD01</t>
  </si>
  <si>
    <t>C8FD02</t>
  </si>
  <si>
    <t>C8FD03</t>
  </si>
  <si>
    <t>C8FD04</t>
  </si>
  <si>
    <t>C8FD05</t>
  </si>
  <si>
    <t>C8FD06</t>
  </si>
  <si>
    <t>C8FD07</t>
  </si>
  <si>
    <t>C8FD08</t>
  </si>
  <si>
    <t>C8FD0E</t>
  </si>
  <si>
    <t>C8FD0F</t>
  </si>
  <si>
    <t>C8FD10</t>
  </si>
  <si>
    <t>C8FD11</t>
  </si>
  <si>
    <t>C9A591</t>
  </si>
  <si>
    <t>C9A592</t>
  </si>
  <si>
    <t>C9A593</t>
  </si>
  <si>
    <t>C9A6BA</t>
  </si>
  <si>
    <t>C9A725</t>
  </si>
  <si>
    <t>C8F96A</t>
  </si>
  <si>
    <t>Cống D300 HDPE vỉa hè</t>
  </si>
  <si>
    <t>Dọc vỉa hè / hào kỹ thuật</t>
  </si>
  <si>
    <t>C8F96B</t>
  </si>
  <si>
    <t>C8F96C</t>
  </si>
  <si>
    <t>C8F96D</t>
  </si>
  <si>
    <t>C8F96E</t>
  </si>
  <si>
    <t>C8F96F</t>
  </si>
  <si>
    <t>C8F970</t>
  </si>
  <si>
    <t>C8F971</t>
  </si>
  <si>
    <t>C8F972</t>
  </si>
  <si>
    <t>C8F973</t>
  </si>
  <si>
    <t>C8F976</t>
  </si>
  <si>
    <t>C8F977</t>
  </si>
  <si>
    <t>C8F978</t>
  </si>
  <si>
    <t>C8F979</t>
  </si>
  <si>
    <t>C8F985</t>
  </si>
  <si>
    <t>C8F986</t>
  </si>
  <si>
    <t>C8F987</t>
  </si>
  <si>
    <t>C8F988</t>
  </si>
  <si>
    <t>C8F989</t>
  </si>
  <si>
    <t>C8F98A</t>
  </si>
  <si>
    <t>C8F98B</t>
  </si>
  <si>
    <t>C8F98C</t>
  </si>
  <si>
    <t>C8F98D</t>
  </si>
  <si>
    <t>C8F98E</t>
  </si>
  <si>
    <t>C8F98F</t>
  </si>
  <si>
    <t>C8F990</t>
  </si>
  <si>
    <t>C8F991</t>
  </si>
  <si>
    <t>C8F992</t>
  </si>
  <si>
    <t>C8F993</t>
  </si>
  <si>
    <t>C8F994</t>
  </si>
  <si>
    <t>C8F995</t>
  </si>
  <si>
    <t>C8F996</t>
  </si>
  <si>
    <t>C8F997</t>
  </si>
  <si>
    <t>C8F998</t>
  </si>
  <si>
    <t>C8F999</t>
  </si>
  <si>
    <t>C8F99A</t>
  </si>
  <si>
    <t>C8F99B</t>
  </si>
  <si>
    <t>C8F99C</t>
  </si>
  <si>
    <t>C8F99D</t>
  </si>
  <si>
    <t>C8F99E</t>
  </si>
  <si>
    <t>C8F99F</t>
  </si>
  <si>
    <t>C8F9A0</t>
  </si>
  <si>
    <t>C8F9A1</t>
  </si>
  <si>
    <t>C8F9A2</t>
  </si>
  <si>
    <t>C8F9A3</t>
  </si>
  <si>
    <t>C8F9A4</t>
  </si>
  <si>
    <t>C8F9A5</t>
  </si>
  <si>
    <t>C8F9A6</t>
  </si>
  <si>
    <t>C8F9A7</t>
  </si>
  <si>
    <t>C8F9A8</t>
  </si>
  <si>
    <t>C8F9A9</t>
  </si>
  <si>
    <t>C8F9AA</t>
  </si>
  <si>
    <t>C8F9AB</t>
  </si>
  <si>
    <t>C8F9AC</t>
  </si>
  <si>
    <t>C8F9AD</t>
  </si>
  <si>
    <t>C8F9AE</t>
  </si>
  <si>
    <t>C8F9AF</t>
  </si>
  <si>
    <t>C8F9B0</t>
  </si>
  <si>
    <t>C8F9B1</t>
  </si>
  <si>
    <t>C8F9B2</t>
  </si>
  <si>
    <t>C8F9B3</t>
  </si>
  <si>
    <t>C8F9B4</t>
  </si>
  <si>
    <t>C8F9B8</t>
  </si>
  <si>
    <t>C8F9B9</t>
  </si>
  <si>
    <t>C8F9BA</t>
  </si>
  <si>
    <t>C8F9BB</t>
  </si>
  <si>
    <t>C8F9BE</t>
  </si>
  <si>
    <t>C8F9BF</t>
  </si>
  <si>
    <t>C8F9C0</t>
  </si>
  <si>
    <t>C8F9C1</t>
  </si>
  <si>
    <t>C8F9C2</t>
  </si>
  <si>
    <t>C8F9C3</t>
  </si>
  <si>
    <t>C8F9C4</t>
  </si>
  <si>
    <t>C8F9C5</t>
  </si>
  <si>
    <t>C8F9C6</t>
  </si>
  <si>
    <t>C8F9C7</t>
  </si>
  <si>
    <t>C8F9C8</t>
  </si>
  <si>
    <t>C8F9C9</t>
  </si>
  <si>
    <t>C8F9CA</t>
  </si>
  <si>
    <t>C8F9CB</t>
  </si>
  <si>
    <t>C8F9CC</t>
  </si>
  <si>
    <t>C8F9CD</t>
  </si>
  <si>
    <t>C8F9CE</t>
  </si>
  <si>
    <t>C8F9CF</t>
  </si>
  <si>
    <t>C8F9D0</t>
  </si>
  <si>
    <t>C8F9D5</t>
  </si>
  <si>
    <t>C8F9D6</t>
  </si>
  <si>
    <t>C8F9D7</t>
  </si>
  <si>
    <t>C8F9D8</t>
  </si>
  <si>
    <t>C8F9D9</t>
  </si>
  <si>
    <t>C8F9DA</t>
  </si>
  <si>
    <t>C8F9DB</t>
  </si>
  <si>
    <t>C8F9DC</t>
  </si>
  <si>
    <t>C8F9DD</t>
  </si>
  <si>
    <t>C8F9DE</t>
  </si>
  <si>
    <t>C8F9DF</t>
  </si>
  <si>
    <t>C8F9E0</t>
  </si>
  <si>
    <t>C8F9E1</t>
  </si>
  <si>
    <t>C8F9E2</t>
  </si>
  <si>
    <t>C8F9E3</t>
  </si>
  <si>
    <t>C8F9E4</t>
  </si>
  <si>
    <t>C8F9E5</t>
  </si>
  <si>
    <t>C8F9E6</t>
  </si>
  <si>
    <t>C8F9E7</t>
  </si>
  <si>
    <t>C8F9E8</t>
  </si>
  <si>
    <t>C8F9E9</t>
  </si>
  <si>
    <t>C8F9EA</t>
  </si>
  <si>
    <t>C8F9EB</t>
  </si>
  <si>
    <t>C8F9EC</t>
  </si>
  <si>
    <t>C8F9ED</t>
  </si>
  <si>
    <t>C8F9EE</t>
  </si>
  <si>
    <t>C8F9EF</t>
  </si>
  <si>
    <t>C8F9F0</t>
  </si>
  <si>
    <t>C8F9F1</t>
  </si>
  <si>
    <t>C8F9F2</t>
  </si>
  <si>
    <t>C8F9F3</t>
  </si>
  <si>
    <t>C8F9F4</t>
  </si>
  <si>
    <t>C8F9F5</t>
  </si>
  <si>
    <t>C8F9F6</t>
  </si>
  <si>
    <t>C8F9F7</t>
  </si>
  <si>
    <t>C8F9F8</t>
  </si>
  <si>
    <t>C8F9F9</t>
  </si>
  <si>
    <t>C8F9FA</t>
  </si>
  <si>
    <t>C8F9FB</t>
  </si>
  <si>
    <t>C8F9FC</t>
  </si>
  <si>
    <t>C8F9FD</t>
  </si>
  <si>
    <t>C8F9FE</t>
  </si>
  <si>
    <t>C8FA03</t>
  </si>
  <si>
    <t>C8FA04</t>
  </si>
  <si>
    <t>C8FA05</t>
  </si>
  <si>
    <t>C8FA06</t>
  </si>
  <si>
    <t>C8FA07</t>
  </si>
  <si>
    <t>C8FA08</t>
  </si>
  <si>
    <t>C8FA09</t>
  </si>
  <si>
    <t>C8FA0A</t>
  </si>
  <si>
    <t>C8FA0B</t>
  </si>
  <si>
    <t>C8FA0C</t>
  </si>
  <si>
    <t>C8FA0D</t>
  </si>
  <si>
    <t>C8FA0E</t>
  </si>
  <si>
    <t>C8FA0F</t>
  </si>
  <si>
    <t>C8FA10</t>
  </si>
  <si>
    <t>C8FA11</t>
  </si>
  <si>
    <t>C8FA12</t>
  </si>
  <si>
    <t>C8FA13</t>
  </si>
  <si>
    <t>C8FA1A</t>
  </si>
  <si>
    <t>C8FA1B</t>
  </si>
  <si>
    <t>C8FA1E</t>
  </si>
  <si>
    <t>C8FA1F</t>
  </si>
  <si>
    <t>C8FA20</t>
  </si>
  <si>
    <t>C8FA21</t>
  </si>
  <si>
    <t>C8FA22</t>
  </si>
  <si>
    <t>C8FA23</t>
  </si>
  <si>
    <t>C8FA24</t>
  </si>
  <si>
    <t>C8FA25</t>
  </si>
  <si>
    <t>C8FA26</t>
  </si>
  <si>
    <t>C8FA27</t>
  </si>
  <si>
    <t>C8FA28</t>
  </si>
  <si>
    <t>C8FA30</t>
  </si>
  <si>
    <t>C8FA31</t>
  </si>
  <si>
    <t>C8FA32</t>
  </si>
  <si>
    <t>C8FA33</t>
  </si>
  <si>
    <t>C8FA34</t>
  </si>
  <si>
    <t>C8FA35</t>
  </si>
  <si>
    <t>C8FA36</t>
  </si>
  <si>
    <t>C8FA37</t>
  </si>
  <si>
    <t>C8FA38</t>
  </si>
  <si>
    <t>C8FA39</t>
  </si>
  <si>
    <t>C8FA3A</t>
  </si>
  <si>
    <t>C8FA3B</t>
  </si>
  <si>
    <t>C8FA3C</t>
  </si>
  <si>
    <t>C8FA3D</t>
  </si>
  <si>
    <t>C8FA3E</t>
  </si>
  <si>
    <t>C8FA3F</t>
  </si>
  <si>
    <t>C8FA40</t>
  </si>
  <si>
    <t>C8FA41</t>
  </si>
  <si>
    <t>C8FA42</t>
  </si>
  <si>
    <t>C8FA44</t>
  </si>
  <si>
    <t>C8FA45</t>
  </si>
  <si>
    <t>C8FA46</t>
  </si>
  <si>
    <t>C8FA47</t>
  </si>
  <si>
    <t>C8FA48</t>
  </si>
  <si>
    <t>C8FA49</t>
  </si>
  <si>
    <t>C8FA4A</t>
  </si>
  <si>
    <t>C8FA4B</t>
  </si>
  <si>
    <t>C8FA4C</t>
  </si>
  <si>
    <t>C8FA4D</t>
  </si>
  <si>
    <t>C8FA4F</t>
  </si>
  <si>
    <t>C8FA50</t>
  </si>
  <si>
    <t>C8FA51</t>
  </si>
  <si>
    <t>C8FA52</t>
  </si>
  <si>
    <t>C8FA5D</t>
  </si>
  <si>
    <t>C8FA5E</t>
  </si>
  <si>
    <t>C8FA5F</t>
  </si>
  <si>
    <t>C8FA60</t>
  </si>
  <si>
    <t>C8FA61</t>
  </si>
  <si>
    <t>C8FA62</t>
  </si>
  <si>
    <t>C8FA63</t>
  </si>
  <si>
    <t>C8FA64</t>
  </si>
  <si>
    <t>C8FA65</t>
  </si>
  <si>
    <t>C8FA66</t>
  </si>
  <si>
    <t>C8FA67</t>
  </si>
  <si>
    <t>C8FA68</t>
  </si>
  <si>
    <t>C8FA6A</t>
  </si>
  <si>
    <t>C8FA6B</t>
  </si>
  <si>
    <t>C8FA6C</t>
  </si>
  <si>
    <t>C8FA6D</t>
  </si>
  <si>
    <t>C8FA6F</t>
  </si>
  <si>
    <t>C8FA70</t>
  </si>
  <si>
    <t>C8FA71</t>
  </si>
  <si>
    <t>C8FA72</t>
  </si>
  <si>
    <t>C8FA73</t>
  </si>
  <si>
    <t>C8FA74</t>
  </si>
  <si>
    <t>C8FA75</t>
  </si>
  <si>
    <t>C8FA76</t>
  </si>
  <si>
    <t>C8FA77</t>
  </si>
  <si>
    <t>C8FA78</t>
  </si>
  <si>
    <t>C8FA79</t>
  </si>
  <si>
    <t>C8FA7A</t>
  </si>
  <si>
    <t>C8FA7B</t>
  </si>
  <si>
    <t>C8FA7E</t>
  </si>
  <si>
    <t>C8FA7F</t>
  </si>
  <si>
    <t>C8FA80</t>
  </si>
  <si>
    <t>C8FA81</t>
  </si>
  <si>
    <t>C8FA82</t>
  </si>
  <si>
    <t>C8FA84</t>
  </si>
  <si>
    <t>C8FA85</t>
  </si>
  <si>
    <t>C8FA86</t>
  </si>
  <si>
    <t>C8FA87</t>
  </si>
  <si>
    <t>C8FA88</t>
  </si>
  <si>
    <t>C8FA89</t>
  </si>
  <si>
    <t>C8FA8A</t>
  </si>
  <si>
    <t>C8FA8B</t>
  </si>
  <si>
    <t>C8FA8C</t>
  </si>
  <si>
    <t>C8FA8D</t>
  </si>
  <si>
    <t>C8FA8E</t>
  </si>
  <si>
    <t>C8FA8F</t>
  </si>
  <si>
    <t>C8FA90</t>
  </si>
  <si>
    <t>C8FA91</t>
  </si>
  <si>
    <t>C8FA93</t>
  </si>
  <si>
    <t>C8FA94</t>
  </si>
  <si>
    <t>C8FA95</t>
  </si>
  <si>
    <t>C8FA96</t>
  </si>
  <si>
    <t>C8FA97</t>
  </si>
  <si>
    <t>C8FA98</t>
  </si>
  <si>
    <t>C8FA99</t>
  </si>
  <si>
    <t>C8FA9A</t>
  </si>
  <si>
    <t>C8FA9B</t>
  </si>
  <si>
    <t>C8FA9C</t>
  </si>
  <si>
    <t>C8FA9D</t>
  </si>
  <si>
    <t>C8FA9E</t>
  </si>
  <si>
    <t>C8FA9F</t>
  </si>
  <si>
    <t>C8FAA0</t>
  </si>
  <si>
    <t>C8FAA1</t>
  </si>
  <si>
    <t>C8FAA2</t>
  </si>
  <si>
    <t>C8FAA3</t>
  </si>
  <si>
    <t>C8FAA4</t>
  </si>
  <si>
    <t>C8FAA5</t>
  </si>
  <si>
    <t>C8FAA6</t>
  </si>
  <si>
    <t>C8FAA7</t>
  </si>
  <si>
    <t>C8FAA8</t>
  </si>
  <si>
    <t>C8FAA9</t>
  </si>
  <si>
    <t>C8FAAA</t>
  </si>
  <si>
    <t>C8FAAB</t>
  </si>
  <si>
    <t>C8FAAC</t>
  </si>
  <si>
    <t>C8FAAD</t>
  </si>
  <si>
    <t>C8FAAE</t>
  </si>
  <si>
    <t>C8FAAF</t>
  </si>
  <si>
    <t>C8FAB0</t>
  </si>
  <si>
    <t>C8FAB1</t>
  </si>
  <si>
    <t>C8FAB2</t>
  </si>
  <si>
    <t>C8FAB6</t>
  </si>
  <si>
    <t>C8FAB8</t>
  </si>
  <si>
    <t>C8FAB9</t>
  </si>
  <si>
    <t>C8FABA</t>
  </si>
  <si>
    <t>C8FABB</t>
  </si>
  <si>
    <t>C8FABC</t>
  </si>
  <si>
    <t>C8FABD</t>
  </si>
  <si>
    <t>C8FABE</t>
  </si>
  <si>
    <t>C8FABF</t>
  </si>
  <si>
    <t>C8FAC0</t>
  </si>
  <si>
    <t>C8FAC1</t>
  </si>
  <si>
    <t>C8FAC2</t>
  </si>
  <si>
    <t>C8FAC3</t>
  </si>
  <si>
    <t>C8FAC4</t>
  </si>
  <si>
    <t>C8FAC5</t>
  </si>
  <si>
    <t>C8FAC6</t>
  </si>
  <si>
    <t>C8FAC7</t>
  </si>
  <si>
    <t>C8FAC8</t>
  </si>
  <si>
    <t>C8FAC9</t>
  </si>
  <si>
    <t>C8FACA</t>
  </si>
  <si>
    <t>C8FACB</t>
  </si>
  <si>
    <t>C8FACC</t>
  </si>
  <si>
    <t>C8FACD</t>
  </si>
  <si>
    <t>C8FAD0</t>
  </si>
  <si>
    <t>C8FAD1</t>
  </si>
  <si>
    <t>C8FAD2</t>
  </si>
  <si>
    <t>C8FAD3</t>
  </si>
  <si>
    <t>C8FAD4</t>
  </si>
  <si>
    <t>C8FAD5</t>
  </si>
  <si>
    <t>C8FAD6</t>
  </si>
  <si>
    <t>C8FAD7</t>
  </si>
  <si>
    <t>C8FAD8</t>
  </si>
  <si>
    <t>C8FAD9</t>
  </si>
  <si>
    <t>C8FADA</t>
  </si>
  <si>
    <t>C8FADB</t>
  </si>
  <si>
    <t>C8FADC</t>
  </si>
  <si>
    <t>C8FADD</t>
  </si>
  <si>
    <t>C8FADE</t>
  </si>
  <si>
    <t>C8FADF</t>
  </si>
  <si>
    <t>C8FAE0</t>
  </si>
  <si>
    <t>C8FAE1</t>
  </si>
  <si>
    <t>C8FAE2</t>
  </si>
  <si>
    <t>C8FAE3</t>
  </si>
  <si>
    <t>C8FAE4</t>
  </si>
  <si>
    <t>C8FAE5</t>
  </si>
  <si>
    <t>C8FAE6</t>
  </si>
  <si>
    <t>C8FAE7</t>
  </si>
  <si>
    <t>C8FAE8</t>
  </si>
  <si>
    <t>C8FAE9</t>
  </si>
  <si>
    <t>C8FAEA</t>
  </si>
  <si>
    <t>C8FAEB</t>
  </si>
  <si>
    <t>C8FAEC</t>
  </si>
  <si>
    <t>C8FAED</t>
  </si>
  <si>
    <t>C8FAEE</t>
  </si>
  <si>
    <t>C8FAEF</t>
  </si>
  <si>
    <t>C8FAF0</t>
  </si>
  <si>
    <t>C8FAF1</t>
  </si>
  <si>
    <t>C8FAF2</t>
  </si>
  <si>
    <t>C8FAF3</t>
  </si>
  <si>
    <t>C8FAF4</t>
  </si>
  <si>
    <t>C8FAF5</t>
  </si>
  <si>
    <t>C8FAF6</t>
  </si>
  <si>
    <t>C8FAF7</t>
  </si>
  <si>
    <t>C8FAF8</t>
  </si>
  <si>
    <t>C8FAF9</t>
  </si>
  <si>
    <t>C8FAFA</t>
  </si>
  <si>
    <t>C8FAFB</t>
  </si>
  <si>
    <t>C8FAFC</t>
  </si>
  <si>
    <t>C8FAFD</t>
  </si>
  <si>
    <t>C8FAFE</t>
  </si>
  <si>
    <t>C8FAFF</t>
  </si>
  <si>
    <t>C8FB00</t>
  </si>
  <si>
    <t>C8FB02</t>
  </si>
  <si>
    <t>C8FB03</t>
  </si>
  <si>
    <t>C8FB04</t>
  </si>
  <si>
    <t>C8FB05</t>
  </si>
  <si>
    <t>C8FB06</t>
  </si>
  <si>
    <t>C8FB07</t>
  </si>
  <si>
    <t>C8FB08</t>
  </si>
  <si>
    <t>C8FB09</t>
  </si>
  <si>
    <t>C8FB0A</t>
  </si>
  <si>
    <t>C8FB0B</t>
  </si>
  <si>
    <t>C8FB0C</t>
  </si>
  <si>
    <t>C8FB0D</t>
  </si>
  <si>
    <t>C8FB0E</t>
  </si>
  <si>
    <t>C8FB0F</t>
  </si>
  <si>
    <t>C8FB10</t>
  </si>
  <si>
    <t>C8FB11</t>
  </si>
  <si>
    <t>C8FB12</t>
  </si>
  <si>
    <t>C8FB13</t>
  </si>
  <si>
    <t>C8FB14</t>
  </si>
  <si>
    <t>C8FB15</t>
  </si>
  <si>
    <t>C8FB19</t>
  </si>
  <si>
    <t>C8FB1A</t>
  </si>
  <si>
    <t>C8FB1B</t>
  </si>
  <si>
    <t>C8FB1C</t>
  </si>
  <si>
    <t>C8FB1D</t>
  </si>
  <si>
    <t>C8FB1E</t>
  </si>
  <si>
    <t>C8FB1F</t>
  </si>
  <si>
    <t>C8FB20</t>
  </si>
  <si>
    <t>C8FB21</t>
  </si>
  <si>
    <t>C8FB22</t>
  </si>
  <si>
    <t>C8FB23</t>
  </si>
  <si>
    <t>C8FB24</t>
  </si>
  <si>
    <t>C8FB25</t>
  </si>
  <si>
    <t>C8FB26</t>
  </si>
  <si>
    <t>C8FB27</t>
  </si>
  <si>
    <t>C8FB28</t>
  </si>
  <si>
    <t>C8FB29</t>
  </si>
  <si>
    <t>C8FB2A</t>
  </si>
  <si>
    <t>C8FB2B</t>
  </si>
  <si>
    <t>C8FB2C</t>
  </si>
  <si>
    <t>C8FB2D</t>
  </si>
  <si>
    <t>C8FB31</t>
  </si>
  <si>
    <t>C8FB32</t>
  </si>
  <si>
    <t>C8FB33</t>
  </si>
  <si>
    <t>C8FB34</t>
  </si>
  <si>
    <t>C8FB35</t>
  </si>
  <si>
    <t>C8FB36</t>
  </si>
  <si>
    <t>C8FB37</t>
  </si>
  <si>
    <t>C8FB38</t>
  </si>
  <si>
    <t>C8FB39</t>
  </si>
  <si>
    <t>C8FB3A</t>
  </si>
  <si>
    <t>C8FB3B</t>
  </si>
  <si>
    <t>C8FB3C</t>
  </si>
  <si>
    <t>C8FB3D</t>
  </si>
  <si>
    <t>C8FB3E</t>
  </si>
  <si>
    <t>C8FB3F</t>
  </si>
  <si>
    <t>C8FB40</t>
  </si>
  <si>
    <t>C8FB41</t>
  </si>
  <si>
    <t>C8FB42</t>
  </si>
  <si>
    <t>C8FB43</t>
  </si>
  <si>
    <t>C8FB44</t>
  </si>
  <si>
    <t>C8FB45</t>
  </si>
  <si>
    <t>C8FB46</t>
  </si>
  <si>
    <t>C8FB47</t>
  </si>
  <si>
    <t>C8FB48</t>
  </si>
  <si>
    <t>C8FB49</t>
  </si>
  <si>
    <t>C8FB4A</t>
  </si>
  <si>
    <t>C8FB4B</t>
  </si>
  <si>
    <t>C8FB4C</t>
  </si>
  <si>
    <t>C8FB4D</t>
  </si>
  <si>
    <t>C8FB4E</t>
  </si>
  <si>
    <t>C8FB4F</t>
  </si>
  <si>
    <t>C8FB50</t>
  </si>
  <si>
    <t>C8FB51</t>
  </si>
  <si>
    <t>C8FB52</t>
  </si>
  <si>
    <t>C8FB53</t>
  </si>
  <si>
    <t>C8FB54</t>
  </si>
  <si>
    <t>C8FB55</t>
  </si>
  <si>
    <t>C8FB56</t>
  </si>
  <si>
    <t>C8FB57</t>
  </si>
  <si>
    <t>C8FB58</t>
  </si>
  <si>
    <t>C8FB59</t>
  </si>
  <si>
    <t>C8FB5A</t>
  </si>
  <si>
    <t>C8FB5B</t>
  </si>
  <si>
    <t>C8FB5C</t>
  </si>
  <si>
    <t>C8FB5D</t>
  </si>
  <si>
    <t>C8FB5E</t>
  </si>
  <si>
    <t>C8FB5F</t>
  </si>
  <si>
    <t>C8FB60</t>
  </si>
  <si>
    <t>C8FB61</t>
  </si>
  <si>
    <t>C8FB62</t>
  </si>
  <si>
    <t>C8FB63</t>
  </si>
  <si>
    <t>C8FB64</t>
  </si>
  <si>
    <t>C8FB65</t>
  </si>
  <si>
    <t>C8FB66</t>
  </si>
  <si>
    <t>C8FB67</t>
  </si>
  <si>
    <t>C8FB68</t>
  </si>
  <si>
    <t>C8FB69</t>
  </si>
  <si>
    <t>C8FB6A</t>
  </si>
  <si>
    <t>C8FB6B</t>
  </si>
  <si>
    <t>C8FB6C</t>
  </si>
  <si>
    <t>C8FB6D</t>
  </si>
  <si>
    <t>C8FB6E</t>
  </si>
  <si>
    <t>C8FB6F</t>
  </si>
  <si>
    <t>C8FB70</t>
  </si>
  <si>
    <t>C8FB71</t>
  </si>
  <si>
    <t>C8FB72</t>
  </si>
  <si>
    <t>C8FB73</t>
  </si>
  <si>
    <t>C8FB74</t>
  </si>
  <si>
    <t>C8FB75</t>
  </si>
  <si>
    <t>C8FB76</t>
  </si>
  <si>
    <t>C8FB77</t>
  </si>
  <si>
    <t>C8FB7B</t>
  </si>
  <si>
    <t>C8FB7C</t>
  </si>
  <si>
    <t>C8FB7D</t>
  </si>
  <si>
    <t>C8FB7E</t>
  </si>
  <si>
    <t>C8FB7F</t>
  </si>
  <si>
    <t>C8FB80</t>
  </si>
  <si>
    <t>C8FB81</t>
  </si>
  <si>
    <t>C8FB82</t>
  </si>
  <si>
    <t>C8FB83</t>
  </si>
  <si>
    <t>C8FB84</t>
  </si>
  <si>
    <t>C8FB85</t>
  </si>
  <si>
    <t>C8FB86</t>
  </si>
  <si>
    <t>C8FB87</t>
  </si>
  <si>
    <t>C8FB88</t>
  </si>
  <si>
    <t>C8FB89</t>
  </si>
  <si>
    <t>C8FB8A</t>
  </si>
  <si>
    <t>C8FB8B</t>
  </si>
  <si>
    <t>C8FB8C</t>
  </si>
  <si>
    <t>C8FB8D</t>
  </si>
  <si>
    <t>C8FB8E</t>
  </si>
  <si>
    <t>C8FB8F</t>
  </si>
  <si>
    <t>C8FB90</t>
  </si>
  <si>
    <t>C8FB91</t>
  </si>
  <si>
    <t>C8FB92</t>
  </si>
  <si>
    <t>C8FB93</t>
  </si>
  <si>
    <t>C8FB94</t>
  </si>
  <si>
    <t>C8FB95</t>
  </si>
  <si>
    <t>C8FB96</t>
  </si>
  <si>
    <t>C8FB97</t>
  </si>
  <si>
    <t>C8FB98</t>
  </si>
  <si>
    <t>C8FB99</t>
  </si>
  <si>
    <t>C8FB9A</t>
  </si>
  <si>
    <t>C8FB9B</t>
  </si>
  <si>
    <t>C8FB9C</t>
  </si>
  <si>
    <t>C8FB9D</t>
  </si>
  <si>
    <t>C8FB9E</t>
  </si>
  <si>
    <t>C8FB9F</t>
  </si>
  <si>
    <t>C8FBA0</t>
  </si>
  <si>
    <t>C8FBA1</t>
  </si>
  <si>
    <t>C8FBA2</t>
  </si>
  <si>
    <t>C8FBA3</t>
  </si>
  <si>
    <t>C8FBA5</t>
  </si>
  <si>
    <t>C8FBA6</t>
  </si>
  <si>
    <t>C8FBA7</t>
  </si>
  <si>
    <t>C8FBA8</t>
  </si>
  <si>
    <t>C8FBA9</t>
  </si>
  <si>
    <t>C8FBAA</t>
  </si>
  <si>
    <t>C8FBAB</t>
  </si>
  <si>
    <t>C8FBAC</t>
  </si>
  <si>
    <t>C8FBAD</t>
  </si>
  <si>
    <t>C8FBAE</t>
  </si>
  <si>
    <t>C8FBAF</t>
  </si>
  <si>
    <t>C8FBB0</t>
  </si>
  <si>
    <t>C8FBB1</t>
  </si>
  <si>
    <t>C8FBB2</t>
  </si>
  <si>
    <t>C8FBB3</t>
  </si>
  <si>
    <t>C8FBB4</t>
  </si>
  <si>
    <t>C8FBB5</t>
  </si>
  <si>
    <t>C8FBB6</t>
  </si>
  <si>
    <t>C8FBB7</t>
  </si>
  <si>
    <t>C8FBB8</t>
  </si>
  <si>
    <t>C8FBB9</t>
  </si>
  <si>
    <t>C8FBBA</t>
  </si>
  <si>
    <t>C8FBBB</t>
  </si>
  <si>
    <t>C8FBBC</t>
  </si>
  <si>
    <t>C8FBBD</t>
  </si>
  <si>
    <t>C8FBBE</t>
  </si>
  <si>
    <t>C8FBBF</t>
  </si>
  <si>
    <t>C8FBC0</t>
  </si>
  <si>
    <t>C8FBC1</t>
  </si>
  <si>
    <t>C8FBC2</t>
  </si>
  <si>
    <t>C8FBC3</t>
  </si>
  <si>
    <t>C8FBC4</t>
  </si>
  <si>
    <t>C8FBC5</t>
  </si>
  <si>
    <t>C8FBC6</t>
  </si>
  <si>
    <t>C8FBC7</t>
  </si>
  <si>
    <t>C8FBC8</t>
  </si>
  <si>
    <t>C8FBC9</t>
  </si>
  <si>
    <t>C8FBCA</t>
  </si>
  <si>
    <t>C8FBCB</t>
  </si>
  <si>
    <t>C8FBCD</t>
  </si>
  <si>
    <t>C8FBCE</t>
  </si>
  <si>
    <t>C8FBCF</t>
  </si>
  <si>
    <t>C8FBD0</t>
  </si>
  <si>
    <t>C8FBD1</t>
  </si>
  <si>
    <t>C8FBD2</t>
  </si>
  <si>
    <t>C8FBD3</t>
  </si>
  <si>
    <t>C8FBD4</t>
  </si>
  <si>
    <t>C8FBD5</t>
  </si>
  <si>
    <t>C8FBD6</t>
  </si>
  <si>
    <t>C8FBD7</t>
  </si>
  <si>
    <t>C8FBD8</t>
  </si>
  <si>
    <t>C8FBD9</t>
  </si>
  <si>
    <t>C8FBDA</t>
  </si>
  <si>
    <t>C8FBDB</t>
  </si>
  <si>
    <t>C8FBDC</t>
  </si>
  <si>
    <t>C8FBDD</t>
  </si>
  <si>
    <t>C8FBDE</t>
  </si>
  <si>
    <t>C8FBDF</t>
  </si>
  <si>
    <t>C8FBE0</t>
  </si>
  <si>
    <t>C8FBE1</t>
  </si>
  <si>
    <t>C8FBE2</t>
  </si>
  <si>
    <t>C8FBE3</t>
  </si>
  <si>
    <t>C8FBE4</t>
  </si>
  <si>
    <t>C8FBE5</t>
  </si>
  <si>
    <t>C8FBE6</t>
  </si>
  <si>
    <t>C8FBE7</t>
  </si>
  <si>
    <t>C8FBE8</t>
  </si>
  <si>
    <t>C8FBE9</t>
  </si>
  <si>
    <t>C8FBEA</t>
  </si>
  <si>
    <t>C8FBEB</t>
  </si>
  <si>
    <t>C8FBEC</t>
  </si>
  <si>
    <t>C8FBED</t>
  </si>
  <si>
    <t>C8FBEE</t>
  </si>
  <si>
    <t>C8FBEF</t>
  </si>
  <si>
    <t>C8FBF0</t>
  </si>
  <si>
    <t>C8FBF1</t>
  </si>
  <si>
    <t>C8FBF2</t>
  </si>
  <si>
    <t>C8FBF3</t>
  </si>
  <si>
    <t>C8FBF4</t>
  </si>
  <si>
    <t>C8FBF5</t>
  </si>
  <si>
    <t>C8FBF6</t>
  </si>
  <si>
    <t>C8FBF7</t>
  </si>
  <si>
    <t>C8FBF8</t>
  </si>
  <si>
    <t>C8FBF9</t>
  </si>
  <si>
    <t>C8FBFA</t>
  </si>
  <si>
    <t>C8FBFB</t>
  </si>
  <si>
    <t>C8FBFC</t>
  </si>
  <si>
    <t>C8FBFD</t>
  </si>
  <si>
    <t>C8FBFE</t>
  </si>
  <si>
    <t>C8FBFF</t>
  </si>
  <si>
    <t>C8FC00</t>
  </si>
  <si>
    <t>C8FC01</t>
  </si>
  <si>
    <t>C8FC02</t>
  </si>
  <si>
    <t>C8FC03</t>
  </si>
  <si>
    <t>C8FC04</t>
  </si>
  <si>
    <t>C8FC05</t>
  </si>
  <si>
    <t>C8FC06</t>
  </si>
  <si>
    <t>C8FC07</t>
  </si>
  <si>
    <t>C8FC08</t>
  </si>
  <si>
    <t>C8FC09</t>
  </si>
  <si>
    <t>C8FC0A</t>
  </si>
  <si>
    <t>C8FC0B</t>
  </si>
  <si>
    <t>C8FC0C</t>
  </si>
  <si>
    <t>C8FC0D</t>
  </si>
  <si>
    <t>C8FC0E</t>
  </si>
  <si>
    <t>C8FC0F</t>
  </si>
  <si>
    <t>C8FC10</t>
  </si>
  <si>
    <t>C8FC11</t>
  </si>
  <si>
    <t>C8FC12</t>
  </si>
  <si>
    <t>C8FC13</t>
  </si>
  <si>
    <t>C8FC14</t>
  </si>
  <si>
    <t>C8FC15</t>
  </si>
  <si>
    <t>C8FC19</t>
  </si>
  <si>
    <t>C8FC1A</t>
  </si>
  <si>
    <t>C8FC1B</t>
  </si>
  <si>
    <t>C8FC1C</t>
  </si>
  <si>
    <t>C8FC1D</t>
  </si>
  <si>
    <t>C8FC1E</t>
  </si>
  <si>
    <t>C8FC1F</t>
  </si>
  <si>
    <t>C8FC20</t>
  </si>
  <si>
    <t>C8FC21</t>
  </si>
  <si>
    <t>C8FC22</t>
  </si>
  <si>
    <t>C8FC23</t>
  </si>
  <si>
    <t>C8FC24</t>
  </si>
  <si>
    <t>C8FC25</t>
  </si>
  <si>
    <t>C8FC26</t>
  </si>
  <si>
    <t>C8FC27</t>
  </si>
  <si>
    <t>C8FC28</t>
  </si>
  <si>
    <t>C8FC29</t>
  </si>
  <si>
    <t>C8FC2A</t>
  </si>
  <si>
    <t>C8FC2B</t>
  </si>
  <si>
    <t>C8FC2C</t>
  </si>
  <si>
    <t>C8FC2D</t>
  </si>
  <si>
    <t>C8FC2E</t>
  </si>
  <si>
    <t>C8FC2F</t>
  </si>
  <si>
    <t>C8FC30</t>
  </si>
  <si>
    <t>C8FC31</t>
  </si>
  <si>
    <t>C8FC32</t>
  </si>
  <si>
    <t>C8FC33</t>
  </si>
  <si>
    <t>C8FC34</t>
  </si>
  <si>
    <t>C8FC35</t>
  </si>
  <si>
    <t>C8FC36</t>
  </si>
  <si>
    <t>C8FC37</t>
  </si>
  <si>
    <t>C8FC38</t>
  </si>
  <si>
    <t>C8FC39</t>
  </si>
  <si>
    <t>C8FC3A</t>
  </si>
  <si>
    <t>C8FC3B</t>
  </si>
  <si>
    <t>C8FC3C</t>
  </si>
  <si>
    <t>C8FC3D</t>
  </si>
  <si>
    <t>C8FC3E</t>
  </si>
  <si>
    <t>C8FC3F</t>
  </si>
  <si>
    <t>C8FC40</t>
  </si>
  <si>
    <t>C8FC41</t>
  </si>
  <si>
    <t>C8FC42</t>
  </si>
  <si>
    <t>C8FC43</t>
  </si>
  <si>
    <t>C8FC44</t>
  </si>
  <si>
    <t>C8FC45</t>
  </si>
  <si>
    <t>C8FC46</t>
  </si>
  <si>
    <t>C8FC47</t>
  </si>
  <si>
    <t>C8FC48</t>
  </si>
  <si>
    <t>C8FC49</t>
  </si>
  <si>
    <t>C8FC4A</t>
  </si>
  <si>
    <t>C8FC4B</t>
  </si>
  <si>
    <t>C8FC4C</t>
  </si>
  <si>
    <t>C8FC4D</t>
  </si>
  <si>
    <t>C8FC4E</t>
  </si>
  <si>
    <t>C8FC50</t>
  </si>
  <si>
    <t>C8FC51</t>
  </si>
  <si>
    <t>C8FC52</t>
  </si>
  <si>
    <t>C8FC53</t>
  </si>
  <si>
    <t>C8FC54</t>
  </si>
  <si>
    <t>C8FC55</t>
  </si>
  <si>
    <t>C8FC56</t>
  </si>
  <si>
    <t>C8FC57</t>
  </si>
  <si>
    <t>C8FC58</t>
  </si>
  <si>
    <t>C8FC59</t>
  </si>
  <si>
    <t>C8FC5A</t>
  </si>
  <si>
    <t>C8FC5B</t>
  </si>
  <si>
    <t>C8FC5E</t>
  </si>
  <si>
    <t>C8FC5F</t>
  </si>
  <si>
    <t>C8FC60</t>
  </si>
  <si>
    <t>C8FC61</t>
  </si>
  <si>
    <t>C8FC62</t>
  </si>
  <si>
    <t>C8FC63</t>
  </si>
  <si>
    <t>C8FC64</t>
  </si>
  <si>
    <t>C8FC65</t>
  </si>
  <si>
    <t>C8FC66</t>
  </si>
  <si>
    <t>C8FC67</t>
  </si>
  <si>
    <t>C8FC68</t>
  </si>
  <si>
    <t>C8FC69</t>
  </si>
  <si>
    <t>C8FC6A</t>
  </si>
  <si>
    <t>C8FC6B</t>
  </si>
  <si>
    <t>C8FC6C</t>
  </si>
  <si>
    <t>C8FC6D</t>
  </si>
  <si>
    <t>C8FC6E</t>
  </si>
  <si>
    <t>C8FC70</t>
  </si>
  <si>
    <t>C8FC71</t>
  </si>
  <si>
    <t>C8FC72</t>
  </si>
  <si>
    <t>C8FC73</t>
  </si>
  <si>
    <t>C8FC74</t>
  </si>
  <si>
    <t>C8FC75</t>
  </si>
  <si>
    <t>C8FC76</t>
  </si>
  <si>
    <t>C8FC77</t>
  </si>
  <si>
    <t>C8FC78</t>
  </si>
  <si>
    <t>C8FC79</t>
  </si>
  <si>
    <t>C8FC7A</t>
  </si>
  <si>
    <t>C8FC7B</t>
  </si>
  <si>
    <t>C8FC7C</t>
  </si>
  <si>
    <t>C8FC7D</t>
  </si>
  <si>
    <t>C8FC7E</t>
  </si>
  <si>
    <t>C8FC7F</t>
  </si>
  <si>
    <t>C8FC80</t>
  </si>
  <si>
    <t>C8FC81</t>
  </si>
  <si>
    <t>C8FC82</t>
  </si>
  <si>
    <t>C8FC83</t>
  </si>
  <si>
    <t>C8FC84</t>
  </si>
  <si>
    <t>C8FC85</t>
  </si>
  <si>
    <t>C8FC86</t>
  </si>
  <si>
    <t>C8FC88</t>
  </si>
  <si>
    <t>C8FC89</t>
  </si>
  <si>
    <t>C8FC8A</t>
  </si>
  <si>
    <t>C8FC8B</t>
  </si>
  <si>
    <t>C8FC8C</t>
  </si>
  <si>
    <t>C8FC8D</t>
  </si>
  <si>
    <t>C8FC8F</t>
  </si>
  <si>
    <t>C8FC90</t>
  </si>
  <si>
    <t>C8FC91</t>
  </si>
  <si>
    <t>C8FC93</t>
  </si>
  <si>
    <t>C8FC94</t>
  </si>
  <si>
    <t>C8FC95</t>
  </si>
  <si>
    <t>C8FC96</t>
  </si>
  <si>
    <t>C8FC97</t>
  </si>
  <si>
    <t>C8FC98</t>
  </si>
  <si>
    <t>C8FC99</t>
  </si>
  <si>
    <t>C8FC9A</t>
  </si>
  <si>
    <t>C8FC9B</t>
  </si>
  <si>
    <t>C8FC9C</t>
  </si>
  <si>
    <t>C8FC9D</t>
  </si>
  <si>
    <t>C8FC9E</t>
  </si>
  <si>
    <t>C8FC9F</t>
  </si>
  <si>
    <t>C8FCA0</t>
  </si>
  <si>
    <t>C8FCA1</t>
  </si>
  <si>
    <t>C8FCA2</t>
  </si>
  <si>
    <t>C8FCA3</t>
  </si>
  <si>
    <t>C8FCA4</t>
  </si>
  <si>
    <t>C8FCA5</t>
  </si>
  <si>
    <t>C8FCA6</t>
  </si>
  <si>
    <t>C8FCA7</t>
  </si>
  <si>
    <t>C8FCA8</t>
  </si>
  <si>
    <t>C8FCA9</t>
  </si>
  <si>
    <t>C8FCAA</t>
  </si>
  <si>
    <t>C8FCAB</t>
  </si>
  <si>
    <t>C8FCAC</t>
  </si>
  <si>
    <t>C8FCAD</t>
  </si>
  <si>
    <t>C8FCAE</t>
  </si>
  <si>
    <t>C8FCAF</t>
  </si>
  <si>
    <t>C8FCB0</t>
  </si>
  <si>
    <t>C8FCB1</t>
  </si>
  <si>
    <t>C8FCB2</t>
  </si>
  <si>
    <t>C8FCB3</t>
  </si>
  <si>
    <t>C8FCB4</t>
  </si>
  <si>
    <t>C8FCB5</t>
  </si>
  <si>
    <t>C8FCB6</t>
  </si>
  <si>
    <t>C8FCB7</t>
  </si>
  <si>
    <t>C8FCB8</t>
  </si>
  <si>
    <t>C8FCB9</t>
  </si>
  <si>
    <t>C8FCBA</t>
  </si>
  <si>
    <t>C8FCBB</t>
  </si>
  <si>
    <t>C8FCBC</t>
  </si>
  <si>
    <t>C8FCBD</t>
  </si>
  <si>
    <t>C8FCBE</t>
  </si>
  <si>
    <t>C8FCBF</t>
  </si>
  <si>
    <t>C8FCC0</t>
  </si>
  <si>
    <t>C8FCC1</t>
  </si>
  <si>
    <t>C8FCC2</t>
  </si>
  <si>
    <t>C8FCC3</t>
  </si>
  <si>
    <t>C8FCC4</t>
  </si>
  <si>
    <t>C8FCC5</t>
  </si>
  <si>
    <t>C8FCC6</t>
  </si>
  <si>
    <t>C8FCC7</t>
  </si>
  <si>
    <t>C8FCC8</t>
  </si>
  <si>
    <t>C8FCC9</t>
  </si>
  <si>
    <t>C8FCCA</t>
  </si>
  <si>
    <t>C8FCCB</t>
  </si>
  <si>
    <t>C8FCCC</t>
  </si>
  <si>
    <t>C8FCCD</t>
  </si>
  <si>
    <t>C8FCCE</t>
  </si>
  <si>
    <t>C8FCCF</t>
  </si>
  <si>
    <t>C8FCD0</t>
  </si>
  <si>
    <t>C8FCD1</t>
  </si>
  <si>
    <t>C8FCD2</t>
  </si>
  <si>
    <t>C8FCD3</t>
  </si>
  <si>
    <t>C8FCD4</t>
  </si>
  <si>
    <t>C8FCD5</t>
  </si>
  <si>
    <t>C8FCD6</t>
  </si>
  <si>
    <t>C8FCD7</t>
  </si>
  <si>
    <t>C8FCD8</t>
  </si>
  <si>
    <t>C8FCD9</t>
  </si>
  <si>
    <t>C8FCDA</t>
  </si>
  <si>
    <t>C8FCDB</t>
  </si>
  <si>
    <t>C8FCDC</t>
  </si>
  <si>
    <t>C8FCDD</t>
  </si>
  <si>
    <t>C8FCDE</t>
  </si>
  <si>
    <t>C8FCDF</t>
  </si>
  <si>
    <t>C8FCE0</t>
  </si>
  <si>
    <t>C8FCE1</t>
  </si>
  <si>
    <t>C8FCE3</t>
  </si>
  <si>
    <t>C8FCE4</t>
  </si>
  <si>
    <t>C8FCE5</t>
  </si>
  <si>
    <t>C8FCE6</t>
  </si>
  <si>
    <t>C8FCE7</t>
  </si>
  <si>
    <t>C8FCE8</t>
  </si>
  <si>
    <t>C8FCE9</t>
  </si>
  <si>
    <t>C8FCEA</t>
  </si>
  <si>
    <t>C8FCEB</t>
  </si>
  <si>
    <t>C8FCEC</t>
  </si>
  <si>
    <t>C8FCED</t>
  </si>
  <si>
    <t>C8FCEE</t>
  </si>
  <si>
    <t>C8FCEF</t>
  </si>
  <si>
    <t>C8FCF0</t>
  </si>
  <si>
    <t>C8FCF1</t>
  </si>
  <si>
    <t>C8FCF2</t>
  </si>
  <si>
    <t>C8FCF3</t>
  </si>
  <si>
    <t>C8FCF4</t>
  </si>
  <si>
    <t>C8FCF5</t>
  </si>
  <si>
    <t>C8FCF6</t>
  </si>
  <si>
    <t>C8FCF7</t>
  </si>
  <si>
    <t>C8FCF8</t>
  </si>
  <si>
    <t>C8FCF9</t>
  </si>
  <si>
    <t>C8FCFB</t>
  </si>
  <si>
    <t>C8FCFC</t>
  </si>
  <si>
    <t>C8FCFD</t>
  </si>
  <si>
    <t>C8FCFE</t>
  </si>
  <si>
    <t>C8FD09</t>
  </si>
  <si>
    <t>C8FD0A</t>
  </si>
  <si>
    <t>C8FD0B</t>
  </si>
  <si>
    <t>C8FD0C</t>
  </si>
  <si>
    <t>C8FD0D</t>
  </si>
  <si>
    <t>C8FD12</t>
  </si>
  <si>
    <t>C8FD13</t>
  </si>
  <si>
    <t>C8FD14</t>
  </si>
  <si>
    <t>C8FD15</t>
  </si>
  <si>
    <t>C8FDCC</t>
  </si>
  <si>
    <t>C8FDCD</t>
  </si>
  <si>
    <t>C8FDCE</t>
  </si>
  <si>
    <t>C8FDCF</t>
  </si>
  <si>
    <t>C8FFF1</t>
  </si>
  <si>
    <t>C8FFF2</t>
  </si>
  <si>
    <t>C8FFF3</t>
  </si>
  <si>
    <t>C8FFF4</t>
  </si>
  <si>
    <t>C9016D</t>
  </si>
  <si>
    <t>C9A594</t>
  </si>
  <si>
    <t>C9A754</t>
  </si>
  <si>
    <t>C9A755</t>
  </si>
  <si>
    <t>C9A756</t>
  </si>
  <si>
    <t>C9A757</t>
  </si>
  <si>
    <t>C9A759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</si>
</sst>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0" x14ac:knownFonts="1">
    <font>
      <sz val="11"/>
      <color theme="1"/>
      <name val="Arial"/>
      <family val="2"/>
      <scheme val="minor"/>
    </font>
    <font>
      <b/>
      <sz val="13"/>
      <color rgb="FF1B365D"/>
      <name val="Segoe UI"/>
      <family val="2"/>
    </font>
    <font>
      <i/>
      <sz val="10"/>
      <color rgb="FF444444"/>
      <name val="Segoe UI"/>
      <family val="2"/>
    </font>
    <font>
      <i/>
      <sz val="9"/>
      <color rgb="FF555555"/>
      <name val="Segoe UI"/>
      <family val="2"/>
    </font>
    <font>
      <b/>
      <sz val="10"/>
      <color rgb="FFFFFFFF"/>
      <name val="Segoe UI"/>
      <family val="2"/>
    </font>
    <font>
      <b/>
      <sz val="10"/>
      <color rgb="FF1B365D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9"/>
      <color rgb="FF008000"/>
      <name val="Segoe UI"/>
      <family val="2"/>
    </font>
    <font>
      <b/>
      <sz val="9"/>
      <color rgb="FFFF8C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6EEF8"/>
        <bgColor rgb="FFE6EEF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7" fillId="0" borderId="1" xfId="0" applyFont="1" applyBorder="1"/>
    <xf numFmtId="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4" fontId="6" fillId="5" borderId="2" xfId="0" applyNumberFormat="1" applyFont="1" applyFill="1" applyBorder="1"/>
    <xf numFmtId="3" fontId="7" fillId="0" borderId="1" xfId="0" applyNumberFormat="1" applyFont="1" applyBorder="1" applyAlignment="1">
      <alignment horizontal="center" vertical="center" wrapText="1"/>
    </xf>
    <xf numFmtId="3" fontId="6" fillId="5" borderId="2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right" vertical="center"/>
    </xf>
    <xf numFmtId="4" fontId="6" fillId="3" borderId="1" xfId="0" applyNumberFormat="1" applyFont="1" applyFill="1" applyBorder="1"/>
    <xf numFmtId="164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" fontId="6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3"/>
  <sheetViews>
    <sheetView tabSelected="1" workbookViewId="0">
      <selection activeCell="F21" sqref="F21"/>
    </sheetView>
  </sheetViews>
  <sheetFormatPr defaultRowHeight="14" x14ac:dyDescent="0.3"/>
  <cols>
    <col min="1" max="1" width="3" customWidth="1"/>
    <col min="2" max="2" width="6" customWidth="1"/>
    <col min="3" max="3" width="14" customWidth="1"/>
    <col min="4" max="4" width="55" customWidth="1"/>
    <col min="5" max="5" width="8" customWidth="1"/>
    <col min="6" max="6" width="16" customWidth="1"/>
    <col min="7" max="7" width="24" customWidth="1"/>
    <col min="8" max="8" width="40" customWidth="1"/>
  </cols>
  <sheetData>
    <row r="2" spans="2:8" ht="20" x14ac:dyDescent="0.55000000000000004">
      <c r="B2" s="28" t="s">
        <v>0</v>
      </c>
      <c r="C2" s="27"/>
      <c r="D2" s="27"/>
      <c r="E2" s="27"/>
      <c r="F2" s="27"/>
      <c r="G2" s="27"/>
    </row>
    <row r="3" spans="2:8" ht="16" x14ac:dyDescent="0.45">
      <c r="B3" s="26" t="s">
        <v>1</v>
      </c>
      <c r="C3" s="27"/>
      <c r="D3" s="27"/>
      <c r="E3" s="27"/>
      <c r="F3" s="27"/>
      <c r="G3" s="27"/>
    </row>
    <row r="4" spans="2:8" ht="15" x14ac:dyDescent="0.4">
      <c r="B4" s="29" t="s">
        <v>2</v>
      </c>
      <c r="C4" s="27"/>
      <c r="D4" s="27"/>
      <c r="E4" s="27"/>
      <c r="F4" s="27"/>
      <c r="G4" s="27"/>
    </row>
    <row r="6" spans="2:8" ht="28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2:8" ht="22" customHeight="1" x14ac:dyDescent="0.45">
      <c r="B7" s="2" t="s">
        <v>10</v>
      </c>
      <c r="C7" s="3"/>
      <c r="D7" s="3" t="s">
        <v>11</v>
      </c>
      <c r="E7" s="3"/>
      <c r="F7" s="3"/>
      <c r="G7" s="3"/>
      <c r="H7" s="3"/>
    </row>
    <row r="8" spans="2:8" ht="22" customHeight="1" x14ac:dyDescent="0.3">
      <c r="B8" s="4" t="s">
        <v>12</v>
      </c>
      <c r="C8" s="4" t="s">
        <v>13</v>
      </c>
      <c r="D8" s="5" t="s">
        <v>14</v>
      </c>
      <c r="E8" s="4" t="s">
        <v>15</v>
      </c>
      <c r="F8" s="6">
        <f>'📊 Bóc Tách Cống'!L13</f>
        <v>38386.716805441058</v>
      </c>
      <c r="G8" s="5" t="s">
        <v>16</v>
      </c>
      <c r="H8" s="5" t="s">
        <v>17</v>
      </c>
    </row>
    <row r="9" spans="2:8" ht="22" customHeight="1" x14ac:dyDescent="0.3">
      <c r="B9" s="4" t="s">
        <v>18</v>
      </c>
      <c r="C9" s="4" t="s">
        <v>19</v>
      </c>
      <c r="D9" s="5" t="s">
        <v>20</v>
      </c>
      <c r="E9" s="4" t="s">
        <v>15</v>
      </c>
      <c r="F9" s="6">
        <f>'📊 Bóc Tách Cống'!L18</f>
        <v>37508.080555441062</v>
      </c>
      <c r="G9" s="5" t="s">
        <v>16</v>
      </c>
      <c r="H9" s="5" t="s">
        <v>21</v>
      </c>
    </row>
    <row r="10" spans="2:8" ht="22" customHeight="1" x14ac:dyDescent="0.3">
      <c r="B10" s="4" t="s">
        <v>22</v>
      </c>
      <c r="C10" s="4" t="s">
        <v>23</v>
      </c>
      <c r="D10" s="5" t="s">
        <v>24</v>
      </c>
      <c r="E10" s="4" t="s">
        <v>15</v>
      </c>
      <c r="F10" s="6">
        <f>'📊 Bóc Tách Cống'!L22</f>
        <v>10336.226031629962</v>
      </c>
      <c r="G10" s="5" t="s">
        <v>16</v>
      </c>
      <c r="H10" s="5" t="s">
        <v>25</v>
      </c>
    </row>
    <row r="11" spans="2:8" ht="22" customHeight="1" x14ac:dyDescent="0.3">
      <c r="B11" s="4" t="s">
        <v>26</v>
      </c>
      <c r="C11" s="4" t="s">
        <v>27</v>
      </c>
      <c r="D11" s="5" t="s">
        <v>28</v>
      </c>
      <c r="E11" s="4" t="s">
        <v>29</v>
      </c>
      <c r="F11" s="6">
        <f>'📊 Bóc Tách Cống'!L26</f>
        <v>20442.477769999914</v>
      </c>
      <c r="G11" s="5" t="s">
        <v>16</v>
      </c>
      <c r="H11" s="5" t="s">
        <v>30</v>
      </c>
    </row>
    <row r="12" spans="2:8" ht="22" customHeight="1" x14ac:dyDescent="0.3">
      <c r="B12" s="4" t="s">
        <v>31</v>
      </c>
      <c r="C12" s="4" t="s">
        <v>32</v>
      </c>
      <c r="D12" s="5" t="s">
        <v>33</v>
      </c>
      <c r="E12" s="4" t="s">
        <v>29</v>
      </c>
      <c r="F12" s="6">
        <f>'📊 Bóc Tách Cống'!L30</f>
        <v>1617.1342299999992</v>
      </c>
      <c r="G12" s="5" t="s">
        <v>16</v>
      </c>
      <c r="H12" s="5" t="s">
        <v>34</v>
      </c>
    </row>
    <row r="13" spans="2:8" ht="22" customHeight="1" x14ac:dyDescent="0.3">
      <c r="B13" s="4" t="s">
        <v>35</v>
      </c>
      <c r="C13" s="4" t="s">
        <v>36</v>
      </c>
      <c r="D13" s="5" t="s">
        <v>37</v>
      </c>
      <c r="E13" s="4" t="s">
        <v>29</v>
      </c>
      <c r="F13" s="6">
        <f>'📊 Bóc Tách Cống'!L34</f>
        <v>177.45801000000003</v>
      </c>
      <c r="G13" s="5" t="s">
        <v>16</v>
      </c>
      <c r="H13" s="5" t="s">
        <v>38</v>
      </c>
    </row>
    <row r="14" spans="2:8" ht="22" customHeight="1" x14ac:dyDescent="0.45">
      <c r="B14" s="2" t="s">
        <v>39</v>
      </c>
      <c r="C14" s="3"/>
      <c r="D14" s="3" t="s">
        <v>40</v>
      </c>
      <c r="E14" s="3"/>
      <c r="F14" s="3"/>
      <c r="G14" s="3"/>
      <c r="H14" s="3"/>
    </row>
    <row r="15" spans="2:8" ht="22" customHeight="1" x14ac:dyDescent="0.3">
      <c r="B15" s="4" t="s">
        <v>41</v>
      </c>
      <c r="C15" s="4" t="s">
        <v>42</v>
      </c>
      <c r="D15" s="5" t="s">
        <v>43</v>
      </c>
      <c r="E15" s="4" t="s">
        <v>15</v>
      </c>
      <c r="F15" s="6">
        <f>'📊 Bóc Tách Hố Ga'!L14</f>
        <v>5409.6939797375344</v>
      </c>
      <c r="G15" s="5" t="s">
        <v>44</v>
      </c>
      <c r="H15" s="5" t="s">
        <v>45</v>
      </c>
    </row>
    <row r="16" spans="2:8" ht="22" customHeight="1" x14ac:dyDescent="0.3">
      <c r="B16" s="4" t="s">
        <v>46</v>
      </c>
      <c r="C16" s="4" t="s">
        <v>47</v>
      </c>
      <c r="D16" s="5" t="s">
        <v>48</v>
      </c>
      <c r="E16" s="4" t="s">
        <v>15</v>
      </c>
      <c r="F16" s="6">
        <f>'📊 Bóc Tách Hố Ga'!L18</f>
        <v>222.75</v>
      </c>
      <c r="G16" s="5" t="s">
        <v>44</v>
      </c>
      <c r="H16" s="5" t="s">
        <v>49</v>
      </c>
    </row>
    <row r="17" spans="2:8" ht="22" customHeight="1" x14ac:dyDescent="0.3">
      <c r="B17" s="4" t="s">
        <v>50</v>
      </c>
      <c r="C17" s="4" t="s">
        <v>51</v>
      </c>
      <c r="D17" s="5" t="s">
        <v>52</v>
      </c>
      <c r="E17" s="4" t="s">
        <v>53</v>
      </c>
      <c r="F17" s="6">
        <f>'📊 Bóc Tách Hố Ga'!L22</f>
        <v>594</v>
      </c>
      <c r="G17" s="5" t="s">
        <v>44</v>
      </c>
      <c r="H17" s="5" t="s">
        <v>54</v>
      </c>
    </row>
    <row r="18" spans="2:8" ht="22" customHeight="1" x14ac:dyDescent="0.3">
      <c r="B18" s="4" t="s">
        <v>55</v>
      </c>
      <c r="C18" s="4" t="s">
        <v>56</v>
      </c>
      <c r="D18" s="5" t="s">
        <v>57</v>
      </c>
      <c r="E18" s="4" t="s">
        <v>15</v>
      </c>
      <c r="F18" s="6">
        <f>'📊 Bóc Tách Hố Ga'!L27</f>
        <v>1038.2757000000017</v>
      </c>
      <c r="G18" s="5" t="s">
        <v>44</v>
      </c>
      <c r="H18" s="5" t="s">
        <v>58</v>
      </c>
    </row>
    <row r="19" spans="2:8" ht="22" customHeight="1" x14ac:dyDescent="0.3">
      <c r="B19" s="4" t="s">
        <v>59</v>
      </c>
      <c r="C19" s="4" t="s">
        <v>60</v>
      </c>
      <c r="D19" s="5" t="s">
        <v>61</v>
      </c>
      <c r="E19" s="4" t="s">
        <v>53</v>
      </c>
      <c r="F19" s="6">
        <f>'📊 Bóc Tách Hố Ga'!L31</f>
        <v>10497.476000000026</v>
      </c>
      <c r="G19" s="5" t="s">
        <v>44</v>
      </c>
      <c r="H19" s="5" t="s">
        <v>62</v>
      </c>
    </row>
    <row r="20" spans="2:8" ht="22" customHeight="1" x14ac:dyDescent="0.3">
      <c r="B20" s="4" t="s">
        <v>63</v>
      </c>
      <c r="C20" s="4" t="s">
        <v>64</v>
      </c>
      <c r="D20" s="5" t="s">
        <v>65</v>
      </c>
      <c r="E20" s="4" t="s">
        <v>66</v>
      </c>
      <c r="F20" s="6">
        <f>'📊 Bóc Tách Hố Ga'!L35</f>
        <v>67487.920500000109</v>
      </c>
      <c r="G20" s="5" t="s">
        <v>44</v>
      </c>
      <c r="H20" s="5" t="s">
        <v>67</v>
      </c>
    </row>
    <row r="21" spans="2:8" ht="22" customHeight="1" x14ac:dyDescent="0.3">
      <c r="B21" s="4" t="s">
        <v>68</v>
      </c>
      <c r="C21" s="4" t="s">
        <v>69</v>
      </c>
      <c r="D21" s="5" t="s">
        <v>70</v>
      </c>
      <c r="E21" s="4" t="s">
        <v>71</v>
      </c>
      <c r="F21" s="7">
        <f>'📊 Bóc Tách Hố Ga'!L39</f>
        <v>990</v>
      </c>
      <c r="G21" s="5" t="s">
        <v>44</v>
      </c>
      <c r="H21" s="5" t="s">
        <v>72</v>
      </c>
    </row>
    <row r="22" spans="2:8" ht="22" customHeight="1" x14ac:dyDescent="0.3">
      <c r="B22" s="4" t="s">
        <v>73</v>
      </c>
      <c r="C22" s="4" t="s">
        <v>74</v>
      </c>
      <c r="D22" s="5" t="s">
        <v>75</v>
      </c>
      <c r="E22" s="4" t="s">
        <v>15</v>
      </c>
      <c r="F22" s="6">
        <f>'📊 Bóc Tách Hố Ga'!L43</f>
        <v>3007.6382797375295</v>
      </c>
      <c r="G22" s="5" t="s">
        <v>44</v>
      </c>
      <c r="H22" s="5" t="s">
        <v>76</v>
      </c>
    </row>
    <row r="23" spans="2:8" ht="22" customHeight="1" x14ac:dyDescent="0.3">
      <c r="B23" s="4" t="s">
        <v>77</v>
      </c>
      <c r="C23" s="4" t="s">
        <v>78</v>
      </c>
      <c r="D23" s="5" t="s">
        <v>79</v>
      </c>
      <c r="E23" s="4" t="s">
        <v>15</v>
      </c>
      <c r="F23" s="6">
        <f>'📊 Bóc Tách Hố Ga'!L47</f>
        <v>2762.3640550000055</v>
      </c>
      <c r="G23" s="5" t="s">
        <v>44</v>
      </c>
      <c r="H23" s="5" t="s">
        <v>80</v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4"/>
  <sheetViews>
    <sheetView topLeftCell="A16" workbookViewId="0"/>
  </sheetViews>
  <sheetFormatPr defaultRowHeight="14" x14ac:dyDescent="0.3"/>
  <cols>
    <col min="1" max="1" width="3" customWidth="1"/>
    <col min="2" max="2" width="6" customWidth="1"/>
    <col min="3" max="3" width="14" customWidth="1"/>
    <col min="4" max="4" width="58" customWidth="1"/>
    <col min="5" max="5" width="8" customWidth="1"/>
    <col min="6" max="6" width="12" customWidth="1"/>
    <col min="7" max="7" width="16" customWidth="1"/>
    <col min="8" max="9" width="12" customWidth="1"/>
    <col min="10" max="10" width="10" customWidth="1"/>
    <col min="11" max="11" width="25" customWidth="1"/>
    <col min="12" max="12" width="18" customWidth="1"/>
    <col min="13" max="13" width="32" customWidth="1"/>
  </cols>
  <sheetData>
    <row r="2" spans="2:13" ht="20" x14ac:dyDescent="0.55000000000000004">
      <c r="B2" s="28" t="s">
        <v>81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3" ht="16" x14ac:dyDescent="0.45">
      <c r="B3" s="26" t="s">
        <v>82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3" ht="28" customHeight="1" x14ac:dyDescent="0.3">
      <c r="B5" s="1" t="s">
        <v>3</v>
      </c>
      <c r="C5" s="1" t="s">
        <v>4</v>
      </c>
      <c r="D5" s="1" t="s">
        <v>83</v>
      </c>
      <c r="E5" s="1" t="s">
        <v>6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7</v>
      </c>
      <c r="M5" s="1" t="s">
        <v>90</v>
      </c>
    </row>
    <row r="6" spans="2:13" ht="16" x14ac:dyDescent="0.45">
      <c r="B6" s="2" t="s">
        <v>10</v>
      </c>
      <c r="C6" s="3"/>
      <c r="D6" s="3" t="s">
        <v>91</v>
      </c>
      <c r="E6" s="3"/>
      <c r="F6" s="3"/>
      <c r="G6" s="3"/>
      <c r="H6" s="3"/>
      <c r="I6" s="3"/>
      <c r="J6" s="3"/>
      <c r="K6" s="3"/>
      <c r="L6" s="3"/>
      <c r="M6" s="3"/>
    </row>
    <row r="7" spans="2:13" ht="16" x14ac:dyDescent="0.45">
      <c r="B7" s="8" t="s">
        <v>12</v>
      </c>
      <c r="C7" s="8" t="s">
        <v>13</v>
      </c>
      <c r="D7" s="9" t="s">
        <v>14</v>
      </c>
      <c r="E7" s="8" t="s">
        <v>15</v>
      </c>
      <c r="F7" s="9"/>
      <c r="G7" s="9"/>
      <c r="H7" s="9"/>
      <c r="I7" s="9"/>
      <c r="J7" s="9"/>
      <c r="K7" s="9"/>
      <c r="L7" s="9"/>
      <c r="M7" s="9"/>
    </row>
    <row r="8" spans="2:13" ht="16" x14ac:dyDescent="0.45">
      <c r="B8" s="10"/>
      <c r="C8" s="10"/>
      <c r="D8" s="10" t="s">
        <v>92</v>
      </c>
      <c r="E8" s="4" t="s">
        <v>15</v>
      </c>
      <c r="F8" s="4">
        <v>1</v>
      </c>
      <c r="G8" s="11">
        <f>'📋 CSDL Tuyến Cống'!G4</f>
        <v>20240.076999999914</v>
      </c>
      <c r="H8" s="12">
        <v>0.85</v>
      </c>
      <c r="I8" s="12">
        <v>1.28</v>
      </c>
      <c r="J8" s="12">
        <v>1</v>
      </c>
      <c r="K8" s="5">
        <f>F8*G8*(H8*I8+0.33*I8^2)*J8</f>
        <v>32964.446687743861</v>
      </c>
      <c r="L8" s="6">
        <f>F8*G8*(H8*I8+0.33*I8^2)*J8</f>
        <v>32964.446687743861</v>
      </c>
      <c r="M8" s="10" t="s">
        <v>93</v>
      </c>
    </row>
    <row r="9" spans="2:13" ht="16" x14ac:dyDescent="0.45">
      <c r="B9" s="10"/>
      <c r="C9" s="10"/>
      <c r="D9" s="10" t="s">
        <v>94</v>
      </c>
      <c r="E9" s="4" t="s">
        <v>15</v>
      </c>
      <c r="F9" s="4">
        <v>1</v>
      </c>
      <c r="G9" s="11">
        <f>'📋 CSDL Tuyến Cống'!G2</f>
        <v>1601.1229999999991</v>
      </c>
      <c r="H9" s="12">
        <v>0.9</v>
      </c>
      <c r="I9" s="12">
        <v>1.35</v>
      </c>
      <c r="J9" s="12">
        <v>1</v>
      </c>
      <c r="K9" s="5">
        <f>F9*G9*(H9*I9+0.33*I9^2)*J9</f>
        <v>2908.3198452749989</v>
      </c>
      <c r="L9" s="6">
        <f>F9*G9*(H9*I9+0.33*I9^2)*J9</f>
        <v>2908.3198452749989</v>
      </c>
      <c r="M9" s="10" t="s">
        <v>95</v>
      </c>
    </row>
    <row r="10" spans="2:13" ht="16" x14ac:dyDescent="0.45">
      <c r="B10" s="10"/>
      <c r="C10" s="10"/>
      <c r="D10" s="10" t="s">
        <v>96</v>
      </c>
      <c r="E10" s="4" t="s">
        <v>15</v>
      </c>
      <c r="F10" s="4">
        <v>1</v>
      </c>
      <c r="G10" s="11">
        <f>'📋 CSDL Tuyến Cống'!G3</f>
        <v>175.70100000000002</v>
      </c>
      <c r="H10" s="12">
        <v>1.5</v>
      </c>
      <c r="I10" s="12">
        <v>1.85</v>
      </c>
      <c r="J10" s="12">
        <v>1</v>
      </c>
      <c r="K10" s="5">
        <f>F10*G10*(H10*I10+0.33*I10^2)*J10</f>
        <v>686.01137692500026</v>
      </c>
      <c r="L10" s="6">
        <f>F10*G10*(H10*I10+0.33*I10^2)*J10</f>
        <v>686.01137692500026</v>
      </c>
      <c r="M10" s="10" t="s">
        <v>97</v>
      </c>
    </row>
    <row r="11" spans="2:13" ht="16" x14ac:dyDescent="0.45">
      <c r="B11" s="10"/>
      <c r="C11" s="10"/>
      <c r="D11" s="10" t="s">
        <v>98</v>
      </c>
      <c r="E11" s="4" t="s">
        <v>15</v>
      </c>
      <c r="F11" s="4">
        <v>1</v>
      </c>
      <c r="G11" s="11">
        <f>SUM(L8:L10)</f>
        <v>36558.777909943863</v>
      </c>
      <c r="H11" s="12">
        <v>1</v>
      </c>
      <c r="I11" s="12">
        <v>1</v>
      </c>
      <c r="J11" s="12">
        <v>0.05</v>
      </c>
      <c r="K11" s="5">
        <f>G11*J11</f>
        <v>1827.9388954971932</v>
      </c>
      <c r="L11" s="6">
        <f>G11*J11</f>
        <v>1827.9388954971932</v>
      </c>
      <c r="M11" s="10" t="s">
        <v>99</v>
      </c>
    </row>
    <row r="13" spans="2:13" ht="16" x14ac:dyDescent="0.45">
      <c r="B13" s="13"/>
      <c r="C13" s="13"/>
      <c r="D13" s="13" t="s">
        <v>100</v>
      </c>
      <c r="E13" s="14" t="s">
        <v>15</v>
      </c>
      <c r="F13" s="13"/>
      <c r="G13" s="13"/>
      <c r="H13" s="13"/>
      <c r="I13" s="13"/>
      <c r="J13" s="13"/>
      <c r="K13" s="13"/>
      <c r="L13" s="15">
        <f>SUM(L8:L11)</f>
        <v>38386.716805441058</v>
      </c>
      <c r="M13" s="13"/>
    </row>
    <row r="14" spans="2:13" ht="16" x14ac:dyDescent="0.45">
      <c r="B14" s="8" t="s">
        <v>18</v>
      </c>
      <c r="C14" s="8" t="s">
        <v>19</v>
      </c>
      <c r="D14" s="9" t="s">
        <v>20</v>
      </c>
      <c r="E14" s="8" t="s">
        <v>15</v>
      </c>
      <c r="F14" s="9"/>
      <c r="G14" s="9"/>
      <c r="H14" s="9"/>
      <c r="I14" s="9"/>
      <c r="J14" s="9"/>
      <c r="K14" s="9"/>
      <c r="L14" s="9"/>
      <c r="M14" s="9"/>
    </row>
    <row r="15" spans="2:13" ht="16" x14ac:dyDescent="0.45">
      <c r="B15" s="10"/>
      <c r="C15" s="10"/>
      <c r="D15" s="10" t="s">
        <v>101</v>
      </c>
      <c r="E15" s="4" t="s">
        <v>15</v>
      </c>
      <c r="F15" s="4">
        <v>1</v>
      </c>
      <c r="G15" s="11">
        <f>'📋 CSDL Tuyến Cống'!G4+'📋 CSDL Tuyến Cống'!G2</f>
        <v>21841.199999999913</v>
      </c>
      <c r="H15" s="12">
        <v>0.85</v>
      </c>
      <c r="I15" s="12">
        <v>0.1</v>
      </c>
      <c r="J15" s="12">
        <v>1</v>
      </c>
      <c r="K15" s="5">
        <f>F15*G15*H15*I15*J15</f>
        <v>1856.5019999999929</v>
      </c>
      <c r="L15" s="6">
        <f>F15*G15*H15*I15*J15</f>
        <v>1856.5019999999929</v>
      </c>
      <c r="M15" s="10" t="s">
        <v>102</v>
      </c>
    </row>
    <row r="16" spans="2:13" ht="16" x14ac:dyDescent="0.45">
      <c r="B16" s="10"/>
      <c r="C16" s="10"/>
      <c r="D16" s="10" t="s">
        <v>103</v>
      </c>
      <c r="E16" s="4" t="s">
        <v>15</v>
      </c>
      <c r="F16" s="4">
        <v>1</v>
      </c>
      <c r="G16" s="11">
        <f>'📋 CSDL Tuyến Cống'!G4+'📋 CSDL Tuyến Cống'!G2</f>
        <v>21841.199999999913</v>
      </c>
      <c r="H16" s="12">
        <v>0.85</v>
      </c>
      <c r="I16" s="12">
        <v>0.45</v>
      </c>
      <c r="J16" s="12">
        <v>1</v>
      </c>
      <c r="K16" s="5">
        <f>F16*G16*(H16*I16-3.1416*0.35^2/4)*J16</f>
        <v>6252.8843861999749</v>
      </c>
      <c r="L16" s="6">
        <f>F16*G16*(H16*I16-3.1416*0.35^2/4)*J16</f>
        <v>6252.8843861999749</v>
      </c>
      <c r="M16" s="10" t="s">
        <v>104</v>
      </c>
    </row>
    <row r="17" spans="2:13" ht="16" x14ac:dyDescent="0.45">
      <c r="B17" s="10"/>
      <c r="C17" s="10"/>
      <c r="D17" s="10" t="s">
        <v>105</v>
      </c>
      <c r="E17" s="4" t="s">
        <v>15</v>
      </c>
      <c r="F17" s="4">
        <v>1</v>
      </c>
      <c r="G17" s="11">
        <f>L13-L15-L16-('📋 CSDL Tuyến Cống'!G2*0.9*0.5)-('📋 CSDL Tuyến Cống'!G3*1.5*0.6)</f>
        <v>29398.694169241091</v>
      </c>
      <c r="H17" s="12">
        <v>1</v>
      </c>
      <c r="I17" s="12">
        <v>1</v>
      </c>
      <c r="J17" s="12">
        <v>1</v>
      </c>
      <c r="K17" s="5">
        <f>G17*J17</f>
        <v>29398.694169241091</v>
      </c>
      <c r="L17" s="6">
        <f>G17*J17</f>
        <v>29398.694169241091</v>
      </c>
      <c r="M17" s="10" t="s">
        <v>106</v>
      </c>
    </row>
    <row r="18" spans="2:13" ht="16" x14ac:dyDescent="0.45">
      <c r="B18" s="13"/>
      <c r="C18" s="13"/>
      <c r="D18" s="13" t="s">
        <v>107</v>
      </c>
      <c r="E18" s="14" t="s">
        <v>15</v>
      </c>
      <c r="F18" s="13"/>
      <c r="G18" s="13"/>
      <c r="H18" s="13"/>
      <c r="I18" s="13"/>
      <c r="J18" s="13"/>
      <c r="K18" s="13"/>
      <c r="L18" s="15">
        <f>SUM(L15:L17)</f>
        <v>37508.080555441062</v>
      </c>
      <c r="M18" s="13"/>
    </row>
    <row r="19" spans="2:13" ht="16" x14ac:dyDescent="0.45">
      <c r="B19" s="8" t="s">
        <v>22</v>
      </c>
      <c r="C19" s="8" t="s">
        <v>23</v>
      </c>
      <c r="D19" s="9" t="s">
        <v>24</v>
      </c>
      <c r="E19" s="8" t="s">
        <v>15</v>
      </c>
      <c r="F19" s="9"/>
      <c r="G19" s="9"/>
      <c r="H19" s="9"/>
      <c r="I19" s="9"/>
      <c r="J19" s="9"/>
      <c r="K19" s="9"/>
      <c r="L19" s="9"/>
      <c r="M19" s="9"/>
    </row>
    <row r="20" spans="2:13" ht="16" x14ac:dyDescent="0.45">
      <c r="B20" s="10"/>
      <c r="C20" s="10"/>
      <c r="D20" s="10" t="s">
        <v>108</v>
      </c>
      <c r="E20" s="4" t="s">
        <v>15</v>
      </c>
      <c r="F20" s="4">
        <v>1</v>
      </c>
      <c r="G20" s="11">
        <f>L13-L17</f>
        <v>8988.0226361999667</v>
      </c>
      <c r="H20" s="12">
        <v>1</v>
      </c>
      <c r="I20" s="12">
        <v>1</v>
      </c>
      <c r="J20" s="12">
        <v>1</v>
      </c>
      <c r="K20" s="5">
        <f>G20*J20</f>
        <v>8988.0226361999667</v>
      </c>
      <c r="L20" s="6">
        <f>G20*J20</f>
        <v>8988.0226361999667</v>
      </c>
      <c r="M20" s="10" t="s">
        <v>109</v>
      </c>
    </row>
    <row r="21" spans="2:13" ht="16" x14ac:dyDescent="0.45">
      <c r="B21" s="10"/>
      <c r="C21" s="10"/>
      <c r="D21" s="10" t="s">
        <v>110</v>
      </c>
      <c r="E21" s="4" t="s">
        <v>15</v>
      </c>
      <c r="F21" s="4">
        <v>1</v>
      </c>
      <c r="G21" s="11">
        <f>L20</f>
        <v>8988.0226361999667</v>
      </c>
      <c r="H21" s="12">
        <v>1</v>
      </c>
      <c r="I21" s="12">
        <v>1</v>
      </c>
      <c r="J21" s="12">
        <v>0.15</v>
      </c>
      <c r="K21" s="5">
        <f>G21*J21</f>
        <v>1348.203395429995</v>
      </c>
      <c r="L21" s="6">
        <f>G21*J21</f>
        <v>1348.203395429995</v>
      </c>
      <c r="M21" s="10" t="s">
        <v>111</v>
      </c>
    </row>
    <row r="22" spans="2:13" ht="16" x14ac:dyDescent="0.45">
      <c r="B22" s="13"/>
      <c r="C22" s="13"/>
      <c r="D22" s="13" t="s">
        <v>112</v>
      </c>
      <c r="E22" s="14" t="s">
        <v>15</v>
      </c>
      <c r="F22" s="13"/>
      <c r="G22" s="13"/>
      <c r="H22" s="13"/>
      <c r="I22" s="13"/>
      <c r="J22" s="13"/>
      <c r="K22" s="13"/>
      <c r="L22" s="15">
        <f>SUM(L20:L21)</f>
        <v>10336.226031629962</v>
      </c>
      <c r="M22" s="13"/>
    </row>
    <row r="23" spans="2:13" ht="16" x14ac:dyDescent="0.45">
      <c r="B23" s="8" t="s">
        <v>26</v>
      </c>
      <c r="C23" s="8" t="s">
        <v>27</v>
      </c>
      <c r="D23" s="9" t="s">
        <v>28</v>
      </c>
      <c r="E23" s="8" t="s">
        <v>29</v>
      </c>
      <c r="F23" s="9"/>
      <c r="G23" s="9"/>
      <c r="H23" s="9"/>
      <c r="I23" s="9"/>
      <c r="J23" s="9"/>
      <c r="K23" s="9"/>
      <c r="L23" s="9"/>
      <c r="M23" s="9"/>
    </row>
    <row r="24" spans="2:13" ht="16" x14ac:dyDescent="0.45">
      <c r="B24" s="10"/>
      <c r="C24" s="10"/>
      <c r="D24" s="10" t="s">
        <v>113</v>
      </c>
      <c r="E24" s="4" t="s">
        <v>29</v>
      </c>
      <c r="F24" s="4">
        <v>1</v>
      </c>
      <c r="G24" s="11">
        <f>'📋 CSDL Tuyến Cống'!G4</f>
        <v>20240.076999999914</v>
      </c>
      <c r="H24" s="12">
        <v>1</v>
      </c>
      <c r="I24" s="12">
        <v>1</v>
      </c>
      <c r="J24" s="12">
        <v>1</v>
      </c>
      <c r="K24" s="5">
        <f>F24*G24*J24</f>
        <v>20240.076999999914</v>
      </c>
      <c r="L24" s="6">
        <f>F24*G24*J24</f>
        <v>20240.076999999914</v>
      </c>
      <c r="M24" s="10" t="s">
        <v>114</v>
      </c>
    </row>
    <row r="25" spans="2:13" ht="16" x14ac:dyDescent="0.45">
      <c r="B25" s="10"/>
      <c r="C25" s="10"/>
      <c r="D25" s="10" t="s">
        <v>115</v>
      </c>
      <c r="E25" s="4" t="s">
        <v>29</v>
      </c>
      <c r="F25" s="4">
        <v>1</v>
      </c>
      <c r="G25" s="11">
        <f>L24</f>
        <v>20240.076999999914</v>
      </c>
      <c r="H25" s="12">
        <v>1</v>
      </c>
      <c r="I25" s="12">
        <v>1</v>
      </c>
      <c r="J25" s="12">
        <v>0.01</v>
      </c>
      <c r="K25" s="5">
        <f>G25*J25</f>
        <v>202.40076999999914</v>
      </c>
      <c r="L25" s="6">
        <f>G25*J25</f>
        <v>202.40076999999914</v>
      </c>
      <c r="M25" s="10" t="s">
        <v>116</v>
      </c>
    </row>
    <row r="26" spans="2:13" ht="16" x14ac:dyDescent="0.45">
      <c r="B26" s="13"/>
      <c r="C26" s="13"/>
      <c r="D26" s="13" t="s">
        <v>117</v>
      </c>
      <c r="E26" s="14" t="s">
        <v>29</v>
      </c>
      <c r="F26" s="13"/>
      <c r="G26" s="13"/>
      <c r="H26" s="13"/>
      <c r="I26" s="13"/>
      <c r="J26" s="13"/>
      <c r="K26" s="13"/>
      <c r="L26" s="15">
        <f>SUM(L24:L25)</f>
        <v>20442.477769999914</v>
      </c>
      <c r="M26" s="13"/>
    </row>
    <row r="27" spans="2:13" ht="16" x14ac:dyDescent="0.45">
      <c r="B27" s="8" t="s">
        <v>31</v>
      </c>
      <c r="C27" s="8" t="s">
        <v>32</v>
      </c>
      <c r="D27" s="9" t="s">
        <v>33</v>
      </c>
      <c r="E27" s="8" t="s">
        <v>29</v>
      </c>
      <c r="F27" s="9"/>
      <c r="G27" s="9"/>
      <c r="H27" s="9"/>
      <c r="I27" s="9"/>
      <c r="J27" s="9"/>
      <c r="K27" s="9"/>
      <c r="L27" s="9"/>
      <c r="M27" s="9"/>
    </row>
    <row r="28" spans="2:13" ht="16" x14ac:dyDescent="0.45">
      <c r="B28" s="10"/>
      <c r="C28" s="10"/>
      <c r="D28" s="10" t="s">
        <v>118</v>
      </c>
      <c r="E28" s="4" t="s">
        <v>29</v>
      </c>
      <c r="F28" s="4">
        <v>1</v>
      </c>
      <c r="G28" s="11">
        <f>'📋 CSDL Tuyến Cống'!G2</f>
        <v>1601.1229999999991</v>
      </c>
      <c r="H28" s="12">
        <v>1</v>
      </c>
      <c r="I28" s="12">
        <v>1</v>
      </c>
      <c r="J28" s="12">
        <v>1</v>
      </c>
      <c r="K28" s="5">
        <f>F28*G28*J28</f>
        <v>1601.1229999999991</v>
      </c>
      <c r="L28" s="6">
        <f>F28*G28*J28</f>
        <v>1601.1229999999991</v>
      </c>
      <c r="M28" s="10" t="s">
        <v>119</v>
      </c>
    </row>
    <row r="29" spans="2:13" ht="16" x14ac:dyDescent="0.45">
      <c r="B29" s="10"/>
      <c r="C29" s="10"/>
      <c r="D29" s="10" t="s">
        <v>120</v>
      </c>
      <c r="E29" s="4" t="s">
        <v>29</v>
      </c>
      <c r="F29" s="4">
        <v>1</v>
      </c>
      <c r="G29" s="11">
        <f>L28</f>
        <v>1601.1229999999991</v>
      </c>
      <c r="H29" s="12">
        <v>1</v>
      </c>
      <c r="I29" s="12">
        <v>1</v>
      </c>
      <c r="J29" s="12">
        <v>0.01</v>
      </c>
      <c r="K29" s="5">
        <f>G29*J29</f>
        <v>16.011229999999991</v>
      </c>
      <c r="L29" s="6">
        <f>G29*J29</f>
        <v>16.011229999999991</v>
      </c>
      <c r="M29" s="10" t="s">
        <v>116</v>
      </c>
    </row>
    <row r="30" spans="2:13" ht="16" x14ac:dyDescent="0.45">
      <c r="B30" s="13"/>
      <c r="C30" s="13"/>
      <c r="D30" s="13" t="s">
        <v>121</v>
      </c>
      <c r="E30" s="14" t="s">
        <v>29</v>
      </c>
      <c r="F30" s="13"/>
      <c r="G30" s="13"/>
      <c r="H30" s="13"/>
      <c r="I30" s="13"/>
      <c r="J30" s="13"/>
      <c r="K30" s="13"/>
      <c r="L30" s="15">
        <f>SUM(L28:L29)</f>
        <v>1617.1342299999992</v>
      </c>
      <c r="M30" s="13"/>
    </row>
    <row r="31" spans="2:13" ht="16" x14ac:dyDescent="0.45">
      <c r="B31" s="8" t="s">
        <v>35</v>
      </c>
      <c r="C31" s="8" t="s">
        <v>36</v>
      </c>
      <c r="D31" s="9" t="s">
        <v>37</v>
      </c>
      <c r="E31" s="8" t="s">
        <v>29</v>
      </c>
      <c r="F31" s="9"/>
      <c r="G31" s="9"/>
      <c r="H31" s="9"/>
      <c r="I31" s="9"/>
      <c r="J31" s="9"/>
      <c r="K31" s="9"/>
      <c r="L31" s="9"/>
      <c r="M31" s="9"/>
    </row>
    <row r="32" spans="2:13" ht="16" x14ac:dyDescent="0.45">
      <c r="B32" s="10"/>
      <c r="C32" s="10"/>
      <c r="D32" s="10" t="s">
        <v>122</v>
      </c>
      <c r="E32" s="4" t="s">
        <v>29</v>
      </c>
      <c r="F32" s="4">
        <v>1</v>
      </c>
      <c r="G32" s="11">
        <f>'📋 CSDL Tuyến Cống'!G3</f>
        <v>175.70100000000002</v>
      </c>
      <c r="H32" s="12">
        <v>1</v>
      </c>
      <c r="I32" s="12">
        <v>1</v>
      </c>
      <c r="J32" s="12">
        <v>1</v>
      </c>
      <c r="K32" s="5">
        <f>F32*G32*J32</f>
        <v>175.70100000000002</v>
      </c>
      <c r="L32" s="6">
        <f>F32*G32*J32</f>
        <v>175.70100000000002</v>
      </c>
      <c r="M32" s="10" t="s">
        <v>123</v>
      </c>
    </row>
    <row r="33" spans="2:13" ht="16" x14ac:dyDescent="0.45">
      <c r="B33" s="10"/>
      <c r="C33" s="10"/>
      <c r="D33" s="10" t="s">
        <v>124</v>
      </c>
      <c r="E33" s="4" t="s">
        <v>29</v>
      </c>
      <c r="F33" s="4">
        <v>1</v>
      </c>
      <c r="G33" s="11">
        <f>L32</f>
        <v>175.70100000000002</v>
      </c>
      <c r="H33" s="12">
        <v>1</v>
      </c>
      <c r="I33" s="12">
        <v>1</v>
      </c>
      <c r="J33" s="12">
        <v>0.01</v>
      </c>
      <c r="K33" s="5">
        <f>G33*J33</f>
        <v>1.7570100000000002</v>
      </c>
      <c r="L33" s="6">
        <f>G33*J33</f>
        <v>1.7570100000000002</v>
      </c>
      <c r="M33" s="10" t="s">
        <v>116</v>
      </c>
    </row>
    <row r="34" spans="2:13" ht="16" x14ac:dyDescent="0.45">
      <c r="B34" s="13"/>
      <c r="C34" s="13"/>
      <c r="D34" s="13" t="s">
        <v>125</v>
      </c>
      <c r="E34" s="14" t="s">
        <v>29</v>
      </c>
      <c r="F34" s="13"/>
      <c r="G34" s="13"/>
      <c r="H34" s="13"/>
      <c r="I34" s="13"/>
      <c r="J34" s="13"/>
      <c r="K34" s="13"/>
      <c r="L34" s="15">
        <f>SUM(L32:L33)</f>
        <v>177.45801000000003</v>
      </c>
      <c r="M34" s="13"/>
    </row>
  </sheetData>
  <mergeCells count="2">
    <mergeCell ref="B2:L2"/>
    <mergeCell ref="B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47"/>
  <sheetViews>
    <sheetView topLeftCell="A21" workbookViewId="0">
      <selection activeCell="F16" sqref="F16"/>
    </sheetView>
  </sheetViews>
  <sheetFormatPr defaultRowHeight="14" x14ac:dyDescent="0.3"/>
  <cols>
    <col min="1" max="1" width="3" customWidth="1"/>
    <col min="2" max="2" width="6" customWidth="1"/>
    <col min="3" max="3" width="14" customWidth="1"/>
    <col min="4" max="4" width="58" customWidth="1"/>
    <col min="5" max="5" width="8" customWidth="1"/>
    <col min="6" max="6" width="12" customWidth="1"/>
    <col min="7" max="9" width="14" customWidth="1"/>
    <col min="10" max="10" width="10" customWidth="1"/>
    <col min="11" max="11" width="25" customWidth="1"/>
    <col min="12" max="12" width="18" customWidth="1"/>
    <col min="13" max="13" width="32" customWidth="1"/>
  </cols>
  <sheetData>
    <row r="2" spans="2:13" ht="20" x14ac:dyDescent="0.55000000000000004">
      <c r="B2" s="28" t="s">
        <v>126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3" ht="16" x14ac:dyDescent="0.45">
      <c r="B3" s="26" t="s">
        <v>127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3" ht="28" customHeight="1" x14ac:dyDescent="0.3">
      <c r="B5" s="1" t="s">
        <v>3</v>
      </c>
      <c r="C5" s="1" t="s">
        <v>4</v>
      </c>
      <c r="D5" s="1" t="s">
        <v>83</v>
      </c>
      <c r="E5" s="1" t="s">
        <v>6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7</v>
      </c>
      <c r="M5" s="1" t="s">
        <v>90</v>
      </c>
    </row>
    <row r="6" spans="2:13" ht="16" x14ac:dyDescent="0.45">
      <c r="B6" s="2" t="s">
        <v>39</v>
      </c>
      <c r="C6" s="3"/>
      <c r="D6" s="3" t="s">
        <v>128</v>
      </c>
      <c r="E6" s="3"/>
      <c r="F6" s="3"/>
      <c r="G6" s="3"/>
      <c r="H6" s="3"/>
      <c r="I6" s="3"/>
      <c r="J6" s="3"/>
      <c r="K6" s="3"/>
      <c r="L6" s="3"/>
      <c r="M6" s="3"/>
    </row>
    <row r="7" spans="2:13" ht="16" x14ac:dyDescent="0.45">
      <c r="B7" s="8" t="s">
        <v>41</v>
      </c>
      <c r="C7" s="8" t="s">
        <v>42</v>
      </c>
      <c r="D7" s="9" t="s">
        <v>43</v>
      </c>
      <c r="E7" s="8" t="s">
        <v>15</v>
      </c>
      <c r="F7" s="9"/>
      <c r="G7" s="9"/>
      <c r="H7" s="9"/>
      <c r="I7" s="9"/>
      <c r="J7" s="9"/>
      <c r="K7" s="9"/>
      <c r="L7" s="9"/>
      <c r="M7" s="9"/>
    </row>
    <row r="8" spans="2:13" ht="16" x14ac:dyDescent="0.45">
      <c r="B8" s="10"/>
      <c r="C8" s="10"/>
      <c r="D8" s="10" t="s">
        <v>129</v>
      </c>
      <c r="E8" s="4" t="s">
        <v>15</v>
      </c>
      <c r="F8" s="16">
        <f>COUNTIF('📋 CSDL Hố Ga'!L7:L996, "*Cấp 1*")</f>
        <v>769</v>
      </c>
      <c r="G8" s="12">
        <v>1.7</v>
      </c>
      <c r="H8" s="12">
        <v>1.7</v>
      </c>
      <c r="I8" s="11">
        <f>AVERAGEIFS('📋 CSDL Hố Ga'!J7:J996, '📋 CSDL Hố Ga'!L7:L996, "*Cấp 1*")+0.1</f>
        <v>1.1144733420025972</v>
      </c>
      <c r="J8" s="12">
        <v>1</v>
      </c>
      <c r="K8" s="5">
        <f>F8*G8*H8*I8*(1+0.25*I8/G8)*J8</f>
        <v>2882.7499625259966</v>
      </c>
      <c r="L8" s="6">
        <f>F8*G8*H8*I8*(1+0.25*I8/G8)*J8</f>
        <v>2882.7499625259966</v>
      </c>
      <c r="M8" s="10" t="s">
        <v>130</v>
      </c>
    </row>
    <row r="9" spans="2:13" ht="16" x14ac:dyDescent="0.45">
      <c r="B9" s="10"/>
      <c r="C9" s="10"/>
      <c r="D9" s="10" t="s">
        <v>131</v>
      </c>
      <c r="E9" s="4" t="s">
        <v>15</v>
      </c>
      <c r="F9" s="16">
        <f>COUNTIF('📋 CSDL Hố Ga'!L7:L996, "*Cấp 2*")</f>
        <v>156</v>
      </c>
      <c r="G9" s="12">
        <v>1.8</v>
      </c>
      <c r="H9" s="12">
        <v>1.8</v>
      </c>
      <c r="I9" s="11">
        <f>AVERAGEIFS('📋 CSDL Hố Ga'!J7:J996, '📋 CSDL Hố Ga'!L7:L996, "*Cấp 2*")+0.1</f>
        <v>2.0376282051282053</v>
      </c>
      <c r="J9" s="12">
        <v>1</v>
      </c>
      <c r="K9" s="5">
        <f>F9*G9*H9*I9*(1+0.25*I9/G9)*J9</f>
        <v>1321.3641949038463</v>
      </c>
      <c r="L9" s="6">
        <f>F9*G9*H9*I9*(1+0.25*I9/G9)*J9</f>
        <v>1321.3641949038463</v>
      </c>
      <c r="M9" s="10" t="s">
        <v>132</v>
      </c>
    </row>
    <row r="10" spans="2:13" ht="16" x14ac:dyDescent="0.45">
      <c r="B10" s="10"/>
      <c r="C10" s="10"/>
      <c r="D10" s="10" t="s">
        <v>133</v>
      </c>
      <c r="E10" s="4" t="s">
        <v>15</v>
      </c>
      <c r="F10" s="16">
        <f>COUNTIF('📋 CSDL Hố Ga'!L7:L996, "*Cấp 3*")</f>
        <v>65</v>
      </c>
      <c r="G10" s="12">
        <v>2</v>
      </c>
      <c r="H10" s="12">
        <v>2</v>
      </c>
      <c r="I10" s="11">
        <f>AVERAGEIFS('📋 CSDL Hố Ga'!J7:J996, '📋 CSDL Hố Ga'!L7:L996, "*Cấp 3*")+0.1</f>
        <v>3.2866153846153843</v>
      </c>
      <c r="J10" s="12">
        <v>1</v>
      </c>
      <c r="K10" s="5">
        <f>F10*G10*H10*I10*(1+0.25*I10/G10)*J10</f>
        <v>1205.579822307692</v>
      </c>
      <c r="L10" s="6">
        <f>F10*G10*H10*I10*(1+0.25*I10/G10)*J10</f>
        <v>1205.579822307692</v>
      </c>
      <c r="M10" s="10" t="s">
        <v>134</v>
      </c>
    </row>
    <row r="14" spans="2:13" ht="16" x14ac:dyDescent="0.45">
      <c r="B14" s="13"/>
      <c r="C14" s="13"/>
      <c r="D14" s="13" t="s">
        <v>135</v>
      </c>
      <c r="E14" s="14" t="s">
        <v>15</v>
      </c>
      <c r="F14" s="13"/>
      <c r="G14" s="13"/>
      <c r="H14" s="13"/>
      <c r="I14" s="13"/>
      <c r="J14" s="13"/>
      <c r="K14" s="13"/>
      <c r="L14" s="15">
        <f>SUM(L8:L10)</f>
        <v>5409.6939797375344</v>
      </c>
      <c r="M14" s="13"/>
    </row>
    <row r="15" spans="2:13" ht="16" x14ac:dyDescent="0.45">
      <c r="B15" s="8" t="s">
        <v>46</v>
      </c>
      <c r="C15" s="8" t="s">
        <v>47</v>
      </c>
      <c r="D15" s="9" t="s">
        <v>48</v>
      </c>
      <c r="E15" s="8" t="s">
        <v>15</v>
      </c>
      <c r="F15" s="9"/>
      <c r="G15" s="9"/>
      <c r="H15" s="9"/>
      <c r="I15" s="9"/>
      <c r="J15" s="9"/>
      <c r="K15" s="9"/>
      <c r="L15" s="9"/>
      <c r="M15" s="9"/>
    </row>
    <row r="16" spans="2:13" ht="16" x14ac:dyDescent="0.45">
      <c r="B16" s="10"/>
      <c r="C16" s="10"/>
      <c r="D16" s="10" t="s">
        <v>136</v>
      </c>
      <c r="E16" s="4" t="s">
        <v>15</v>
      </c>
      <c r="F16" s="4">
        <f>COUNTA('📋 CSDL Hố Ga'!C7:C996)</f>
        <v>990</v>
      </c>
      <c r="G16" s="12">
        <v>1.5</v>
      </c>
      <c r="H16" s="12">
        <v>1.5</v>
      </c>
      <c r="I16" s="12">
        <v>0.1</v>
      </c>
      <c r="J16" s="12">
        <v>1</v>
      </c>
      <c r="K16" s="5">
        <f>F16*G16*H16*I16*J16</f>
        <v>222.75</v>
      </c>
      <c r="L16" s="6">
        <f>F16*G16*H16*I16*J16</f>
        <v>222.75</v>
      </c>
      <c r="M16" s="10" t="s">
        <v>137</v>
      </c>
    </row>
    <row r="18" spans="2:13" ht="16" x14ac:dyDescent="0.45">
      <c r="B18" s="13"/>
      <c r="C18" s="13"/>
      <c r="D18" s="13" t="s">
        <v>138</v>
      </c>
      <c r="E18" s="14" t="s">
        <v>15</v>
      </c>
      <c r="F18" s="13"/>
      <c r="G18" s="13"/>
      <c r="H18" s="13"/>
      <c r="I18" s="13"/>
      <c r="J18" s="13"/>
      <c r="K18" s="13"/>
      <c r="L18" s="15">
        <f>L16</f>
        <v>222.75</v>
      </c>
      <c r="M18" s="13"/>
    </row>
    <row r="19" spans="2:13" ht="16" x14ac:dyDescent="0.45">
      <c r="B19" s="8" t="s">
        <v>50</v>
      </c>
      <c r="C19" s="8" t="s">
        <v>51</v>
      </c>
      <c r="D19" s="9" t="s">
        <v>52</v>
      </c>
      <c r="E19" s="8" t="s">
        <v>53</v>
      </c>
      <c r="F19" s="9"/>
      <c r="G19" s="9"/>
      <c r="H19" s="9"/>
      <c r="I19" s="9"/>
      <c r="J19" s="9"/>
      <c r="K19" s="9"/>
      <c r="L19" s="9"/>
      <c r="M19" s="9"/>
    </row>
    <row r="20" spans="2:13" ht="16" x14ac:dyDescent="0.45">
      <c r="B20" s="10"/>
      <c r="C20" s="10"/>
      <c r="D20" s="10" t="s">
        <v>139</v>
      </c>
      <c r="E20" s="4" t="s">
        <v>53</v>
      </c>
      <c r="F20" s="4">
        <f>COUNTA('📋 CSDL Hố Ga'!C7:C996)</f>
        <v>990</v>
      </c>
      <c r="G20" s="12">
        <v>6</v>
      </c>
      <c r="H20" s="12">
        <v>1</v>
      </c>
      <c r="I20" s="12">
        <v>0.1</v>
      </c>
      <c r="J20" s="12">
        <v>1</v>
      </c>
      <c r="K20" s="5">
        <f>F20*G20*I20*J20</f>
        <v>594</v>
      </c>
      <c r="L20" s="6">
        <f>F20*G20*I20*J20</f>
        <v>594</v>
      </c>
      <c r="M20" s="10" t="s">
        <v>140</v>
      </c>
    </row>
    <row r="22" spans="2:13" ht="16" x14ac:dyDescent="0.45">
      <c r="B22" s="13"/>
      <c r="C22" s="13"/>
      <c r="D22" s="13" t="s">
        <v>141</v>
      </c>
      <c r="E22" s="14" t="s">
        <v>53</v>
      </c>
      <c r="F22" s="13"/>
      <c r="G22" s="13"/>
      <c r="H22" s="13"/>
      <c r="I22" s="13"/>
      <c r="J22" s="13"/>
      <c r="K22" s="13"/>
      <c r="L22" s="15">
        <f>L20</f>
        <v>594</v>
      </c>
      <c r="M22" s="13"/>
    </row>
    <row r="23" spans="2:13" ht="16" x14ac:dyDescent="0.45">
      <c r="B23" s="8" t="s">
        <v>55</v>
      </c>
      <c r="C23" s="8" t="s">
        <v>56</v>
      </c>
      <c r="D23" s="9" t="s">
        <v>57</v>
      </c>
      <c r="E23" s="8" t="s">
        <v>15</v>
      </c>
      <c r="F23" s="9"/>
      <c r="G23" s="9"/>
      <c r="H23" s="9"/>
      <c r="I23" s="9"/>
      <c r="J23" s="9"/>
      <c r="K23" s="9"/>
      <c r="L23" s="9"/>
      <c r="M23" s="9"/>
    </row>
    <row r="24" spans="2:13" ht="16" x14ac:dyDescent="0.45">
      <c r="B24" s="10"/>
      <c r="C24" s="10"/>
      <c r="D24" s="10" t="s">
        <v>142</v>
      </c>
      <c r="E24" s="4" t="s">
        <v>15</v>
      </c>
      <c r="F24" s="4">
        <f>COUNTA('📋 CSDL Hố Ga'!C7:C996)</f>
        <v>990</v>
      </c>
      <c r="G24" s="12">
        <v>1.3</v>
      </c>
      <c r="H24" s="12">
        <v>1.3</v>
      </c>
      <c r="I24" s="12">
        <v>0.15</v>
      </c>
      <c r="J24" s="12">
        <v>1</v>
      </c>
      <c r="K24" s="5">
        <f>F24*G24*H24*I24*J24</f>
        <v>250.965</v>
      </c>
      <c r="L24" s="6">
        <f>F24*G24*H24*I24*J24</f>
        <v>250.965</v>
      </c>
      <c r="M24" s="10" t="s">
        <v>143</v>
      </c>
    </row>
    <row r="25" spans="2:13" ht="16" x14ac:dyDescent="0.45">
      <c r="B25" s="10"/>
      <c r="C25" s="10"/>
      <c r="D25" s="10" t="s">
        <v>144</v>
      </c>
      <c r="E25" s="4" t="s">
        <v>15</v>
      </c>
      <c r="F25" s="4">
        <f>COUNTA('📋 CSDL Hố Ga'!C7:C996)</f>
        <v>990</v>
      </c>
      <c r="G25" s="12">
        <v>0.69</v>
      </c>
      <c r="H25" s="12">
        <v>1</v>
      </c>
      <c r="I25" s="11">
        <f>AVERAGE('📋 CSDL Hố Ga'!J7:J996)-0.15</f>
        <v>1.1525555555555584</v>
      </c>
      <c r="J25" s="12">
        <v>1</v>
      </c>
      <c r="K25" s="5">
        <f>F25*G25*I25*J25</f>
        <v>787.31070000000182</v>
      </c>
      <c r="L25" s="6">
        <f>F25*G25*I25*J25</f>
        <v>787.31070000000182</v>
      </c>
      <c r="M25" s="10" t="s">
        <v>145</v>
      </c>
    </row>
    <row r="27" spans="2:13" ht="16" x14ac:dyDescent="0.45">
      <c r="B27" s="13"/>
      <c r="C27" s="13"/>
      <c r="D27" s="13" t="s">
        <v>146</v>
      </c>
      <c r="E27" s="14" t="s">
        <v>15</v>
      </c>
      <c r="F27" s="13"/>
      <c r="G27" s="13"/>
      <c r="H27" s="13"/>
      <c r="I27" s="13"/>
      <c r="J27" s="13"/>
      <c r="K27" s="13"/>
      <c r="L27" s="15">
        <f>SUM(L24:L25)</f>
        <v>1038.2757000000017</v>
      </c>
      <c r="M27" s="13"/>
    </row>
    <row r="28" spans="2:13" ht="16" x14ac:dyDescent="0.45">
      <c r="B28" s="8" t="s">
        <v>59</v>
      </c>
      <c r="C28" s="8" t="s">
        <v>60</v>
      </c>
      <c r="D28" s="9" t="s">
        <v>61</v>
      </c>
      <c r="E28" s="8" t="s">
        <v>53</v>
      </c>
      <c r="F28" s="9"/>
      <c r="G28" s="9"/>
      <c r="H28" s="9"/>
      <c r="I28" s="9"/>
      <c r="J28" s="9"/>
      <c r="K28" s="9"/>
      <c r="L28" s="9"/>
      <c r="M28" s="9"/>
    </row>
    <row r="29" spans="2:13" ht="16" x14ac:dyDescent="0.45">
      <c r="B29" s="10"/>
      <c r="C29" s="10"/>
      <c r="D29" s="10" t="s">
        <v>147</v>
      </c>
      <c r="E29" s="4" t="s">
        <v>53</v>
      </c>
      <c r="F29" s="4">
        <f>COUNTA('📋 CSDL Hố Ga'!C7:C996)</f>
        <v>990</v>
      </c>
      <c r="G29" s="12">
        <v>9.1999999999999993</v>
      </c>
      <c r="H29" s="12">
        <v>1</v>
      </c>
      <c r="I29" s="11">
        <f>AVERAGE('📋 CSDL Hố Ga'!J7:J996)-0.15</f>
        <v>1.1525555555555584</v>
      </c>
      <c r="J29" s="12">
        <v>1</v>
      </c>
      <c r="K29" s="5">
        <f>F29*G29*I29*J29</f>
        <v>10497.476000000026</v>
      </c>
      <c r="L29" s="6">
        <f>F29*G29*I29*J29</f>
        <v>10497.476000000026</v>
      </c>
      <c r="M29" s="10" t="s">
        <v>148</v>
      </c>
    </row>
    <row r="31" spans="2:13" ht="16" x14ac:dyDescent="0.45">
      <c r="B31" s="13"/>
      <c r="C31" s="13"/>
      <c r="D31" s="13" t="s">
        <v>149</v>
      </c>
      <c r="E31" s="14" t="s">
        <v>53</v>
      </c>
      <c r="F31" s="13"/>
      <c r="G31" s="13"/>
      <c r="H31" s="13"/>
      <c r="I31" s="13"/>
      <c r="J31" s="13"/>
      <c r="K31" s="13"/>
      <c r="L31" s="15">
        <f>L29</f>
        <v>10497.476000000026</v>
      </c>
      <c r="M31" s="13"/>
    </row>
    <row r="32" spans="2:13" ht="16" x14ac:dyDescent="0.45">
      <c r="B32" s="8" t="s">
        <v>63</v>
      </c>
      <c r="C32" s="8" t="s">
        <v>64</v>
      </c>
      <c r="D32" s="9" t="s">
        <v>65</v>
      </c>
      <c r="E32" s="8" t="s">
        <v>66</v>
      </c>
      <c r="F32" s="9"/>
      <c r="G32" s="9"/>
      <c r="H32" s="9"/>
      <c r="I32" s="9"/>
      <c r="J32" s="9"/>
      <c r="K32" s="9"/>
      <c r="L32" s="9"/>
      <c r="M32" s="9"/>
    </row>
    <row r="33" spans="2:13" ht="16" x14ac:dyDescent="0.45">
      <c r="B33" s="10"/>
      <c r="C33" s="10"/>
      <c r="D33" s="10" t="s">
        <v>150</v>
      </c>
      <c r="E33" s="4" t="s">
        <v>66</v>
      </c>
      <c r="F33" s="4">
        <v>1</v>
      </c>
      <c r="G33" s="11">
        <f>L27</f>
        <v>1038.2757000000017</v>
      </c>
      <c r="H33" s="12">
        <v>65</v>
      </c>
      <c r="I33" s="12">
        <v>1</v>
      </c>
      <c r="J33" s="12">
        <v>1</v>
      </c>
      <c r="K33" s="5">
        <f>G33*H33*J33</f>
        <v>67487.920500000109</v>
      </c>
      <c r="L33" s="6">
        <f>G33*H33*J33</f>
        <v>67487.920500000109</v>
      </c>
      <c r="M33" s="10" t="s">
        <v>151</v>
      </c>
    </row>
    <row r="35" spans="2:13" ht="16" x14ac:dyDescent="0.45">
      <c r="B35" s="13"/>
      <c r="C35" s="13"/>
      <c r="D35" s="13" t="s">
        <v>152</v>
      </c>
      <c r="E35" s="14" t="s">
        <v>66</v>
      </c>
      <c r="F35" s="13"/>
      <c r="G35" s="13"/>
      <c r="H35" s="13"/>
      <c r="I35" s="13"/>
      <c r="J35" s="13"/>
      <c r="K35" s="13"/>
      <c r="L35" s="15">
        <f>L33</f>
        <v>67487.920500000109</v>
      </c>
      <c r="M35" s="13"/>
    </row>
    <row r="36" spans="2:13" ht="16" x14ac:dyDescent="0.45">
      <c r="B36" s="8" t="s">
        <v>68</v>
      </c>
      <c r="C36" s="8" t="s">
        <v>69</v>
      </c>
      <c r="D36" s="9" t="s">
        <v>70</v>
      </c>
      <c r="E36" s="8" t="s">
        <v>71</v>
      </c>
      <c r="F36" s="9"/>
      <c r="G36" s="9"/>
      <c r="H36" s="9"/>
      <c r="I36" s="9"/>
      <c r="J36" s="9"/>
      <c r="K36" s="9"/>
      <c r="L36" s="9"/>
      <c r="M36" s="9"/>
    </row>
    <row r="37" spans="2:13" ht="16" x14ac:dyDescent="0.45">
      <c r="B37" s="10"/>
      <c r="C37" s="10"/>
      <c r="D37" s="10" t="s">
        <v>153</v>
      </c>
      <c r="E37" s="4" t="s">
        <v>71</v>
      </c>
      <c r="F37" s="4">
        <f>COUNTA('📋 CSDL Hố Ga'!C7:C996)</f>
        <v>990</v>
      </c>
      <c r="G37" s="12">
        <v>1</v>
      </c>
      <c r="H37" s="12">
        <v>1</v>
      </c>
      <c r="I37" s="12">
        <v>1</v>
      </c>
      <c r="J37" s="12">
        <v>1</v>
      </c>
      <c r="K37" s="5">
        <f>F37*J37</f>
        <v>990</v>
      </c>
      <c r="L37" s="7">
        <f>F37*J37</f>
        <v>990</v>
      </c>
      <c r="M37" s="10" t="s">
        <v>154</v>
      </c>
    </row>
    <row r="39" spans="2:13" ht="16" x14ac:dyDescent="0.45">
      <c r="B39" s="13"/>
      <c r="C39" s="13"/>
      <c r="D39" s="13" t="s">
        <v>155</v>
      </c>
      <c r="E39" s="14" t="s">
        <v>71</v>
      </c>
      <c r="F39" s="13"/>
      <c r="G39" s="13"/>
      <c r="H39" s="13"/>
      <c r="I39" s="13"/>
      <c r="J39" s="13"/>
      <c r="K39" s="13"/>
      <c r="L39" s="17">
        <f>L37</f>
        <v>990</v>
      </c>
      <c r="M39" s="13"/>
    </row>
    <row r="40" spans="2:13" ht="16" x14ac:dyDescent="0.45">
      <c r="B40" s="8" t="s">
        <v>73</v>
      </c>
      <c r="C40" s="8" t="s">
        <v>74</v>
      </c>
      <c r="D40" s="9" t="s">
        <v>75</v>
      </c>
      <c r="E40" s="8" t="s">
        <v>15</v>
      </c>
      <c r="F40" s="9"/>
      <c r="G40" s="9"/>
      <c r="H40" s="9"/>
      <c r="I40" s="9"/>
      <c r="J40" s="9"/>
      <c r="K40" s="9"/>
      <c r="L40" s="9"/>
      <c r="M40" s="9"/>
    </row>
    <row r="41" spans="2:13" ht="16" x14ac:dyDescent="0.45">
      <c r="B41" s="10"/>
      <c r="C41" s="10"/>
      <c r="D41" s="10" t="s">
        <v>156</v>
      </c>
      <c r="E41" s="4" t="s">
        <v>15</v>
      </c>
      <c r="F41" s="4">
        <v>1</v>
      </c>
      <c r="G41" s="11">
        <f>L14-(COUNTA('📋 CSDL Hố Ga'!C7:C996)*1.3*1.3*AVERAGE('📋 CSDL Hố Ga'!J7:J996))-L18</f>
        <v>3007.6382797375295</v>
      </c>
      <c r="H41" s="12">
        <v>1</v>
      </c>
      <c r="I41" s="12">
        <v>1</v>
      </c>
      <c r="J41" s="12">
        <v>1</v>
      </c>
      <c r="K41" s="5">
        <f>G41*J41</f>
        <v>3007.6382797375295</v>
      </c>
      <c r="L41" s="6">
        <f>G41*J41</f>
        <v>3007.6382797375295</v>
      </c>
      <c r="M41" s="10" t="s">
        <v>157</v>
      </c>
    </row>
    <row r="43" spans="2:13" ht="16" x14ac:dyDescent="0.45">
      <c r="B43" s="13"/>
      <c r="C43" s="13"/>
      <c r="D43" s="13" t="s">
        <v>158</v>
      </c>
      <c r="E43" s="14" t="s">
        <v>15</v>
      </c>
      <c r="F43" s="13"/>
      <c r="G43" s="13"/>
      <c r="H43" s="13"/>
      <c r="I43" s="13"/>
      <c r="J43" s="13"/>
      <c r="K43" s="13"/>
      <c r="L43" s="15">
        <f>L41</f>
        <v>3007.6382797375295</v>
      </c>
      <c r="M43" s="13"/>
    </row>
    <row r="44" spans="2:13" ht="16" x14ac:dyDescent="0.45">
      <c r="B44" s="8" t="s">
        <v>77</v>
      </c>
      <c r="C44" s="8" t="s">
        <v>78</v>
      </c>
      <c r="D44" s="9" t="s">
        <v>79</v>
      </c>
      <c r="E44" s="8" t="s">
        <v>15</v>
      </c>
      <c r="F44" s="9"/>
      <c r="G44" s="9"/>
      <c r="H44" s="9"/>
      <c r="I44" s="9"/>
      <c r="J44" s="9"/>
      <c r="K44" s="9"/>
      <c r="L44" s="9"/>
      <c r="M44" s="9"/>
    </row>
    <row r="45" spans="2:13" ht="16" x14ac:dyDescent="0.45">
      <c r="B45" s="10"/>
      <c r="C45" s="10"/>
      <c r="D45" s="10" t="s">
        <v>159</v>
      </c>
      <c r="E45" s="4" t="s">
        <v>15</v>
      </c>
      <c r="F45" s="4">
        <v>1</v>
      </c>
      <c r="G45" s="11">
        <f>L14-L43</f>
        <v>2402.0557000000049</v>
      </c>
      <c r="H45" s="12">
        <v>1</v>
      </c>
      <c r="I45" s="12">
        <v>1</v>
      </c>
      <c r="J45" s="12">
        <v>1</v>
      </c>
      <c r="K45" s="5">
        <f>G45*J45</f>
        <v>2402.0557000000049</v>
      </c>
      <c r="L45" s="6">
        <f>G45*J45</f>
        <v>2402.0557000000049</v>
      </c>
      <c r="M45" s="10" t="s">
        <v>160</v>
      </c>
    </row>
    <row r="46" spans="2:13" ht="16" x14ac:dyDescent="0.45">
      <c r="B46" s="10"/>
      <c r="C46" s="10"/>
      <c r="D46" s="10" t="s">
        <v>161</v>
      </c>
      <c r="E46" s="4" t="s">
        <v>15</v>
      </c>
      <c r="F46" s="4">
        <v>1</v>
      </c>
      <c r="G46" s="11">
        <f>L45</f>
        <v>2402.0557000000049</v>
      </c>
      <c r="H46" s="12">
        <v>1</v>
      </c>
      <c r="I46" s="12">
        <v>1</v>
      </c>
      <c r="J46" s="12">
        <v>0.15</v>
      </c>
      <c r="K46" s="5">
        <f>G46*J46</f>
        <v>360.30835500000074</v>
      </c>
      <c r="L46" s="6">
        <f>G46*J46</f>
        <v>360.30835500000074</v>
      </c>
      <c r="M46" s="10" t="s">
        <v>111</v>
      </c>
    </row>
    <row r="47" spans="2:13" ht="16" x14ac:dyDescent="0.45">
      <c r="B47" s="13"/>
      <c r="C47" s="13"/>
      <c r="D47" s="13" t="s">
        <v>162</v>
      </c>
      <c r="E47" s="14" t="s">
        <v>15</v>
      </c>
      <c r="F47" s="13"/>
      <c r="G47" s="13"/>
      <c r="H47" s="13"/>
      <c r="I47" s="13"/>
      <c r="J47" s="13"/>
      <c r="K47" s="13"/>
      <c r="L47" s="15">
        <f>SUM(L45:L46)</f>
        <v>2762.3640550000055</v>
      </c>
      <c r="M47" s="13"/>
    </row>
  </sheetData>
  <mergeCells count="2">
    <mergeCell ref="B2:L2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996"/>
  <sheetViews>
    <sheetView workbookViewId="0"/>
  </sheetViews>
  <sheetFormatPr defaultRowHeight="14" x14ac:dyDescent="0.3"/>
  <cols>
    <col min="1" max="1" width="3" customWidth="1"/>
    <col min="2" max="2" width="6" customWidth="1"/>
    <col min="3" max="3" width="12" customWidth="1"/>
    <col min="4" max="4" width="14" customWidth="1"/>
    <col min="5" max="5" width="10" customWidth="1"/>
    <col min="6" max="7" width="20" customWidth="1"/>
    <col min="8" max="11" width="14" customWidth="1"/>
    <col min="12" max="12" width="24" customWidth="1"/>
    <col min="13" max="13" width="30" customWidth="1"/>
  </cols>
  <sheetData>
    <row r="2" spans="2:13" ht="20" x14ac:dyDescent="0.55000000000000004">
      <c r="B2" s="28" t="s">
        <v>163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3" ht="16" x14ac:dyDescent="0.45">
      <c r="B3" s="26" t="s">
        <v>164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3" ht="28" customHeight="1" x14ac:dyDescent="0.3">
      <c r="B5" s="1" t="s">
        <v>3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169</v>
      </c>
      <c r="H5" s="1" t="s">
        <v>170</v>
      </c>
      <c r="I5" s="1" t="s">
        <v>171</v>
      </c>
      <c r="J5" s="1" t="s">
        <v>172</v>
      </c>
      <c r="K5" s="1" t="s">
        <v>173</v>
      </c>
      <c r="L5" s="1" t="s">
        <v>174</v>
      </c>
      <c r="M5" s="1" t="s">
        <v>175</v>
      </c>
    </row>
    <row r="6" spans="2:13" ht="16" x14ac:dyDescent="0.45">
      <c r="B6" s="18" t="s">
        <v>176</v>
      </c>
      <c r="C6" s="19"/>
      <c r="D6" s="19" t="s">
        <v>177</v>
      </c>
      <c r="E6" s="19"/>
      <c r="F6" s="19"/>
      <c r="G6" s="19"/>
      <c r="H6" s="19"/>
      <c r="I6" s="19"/>
      <c r="J6" s="20" t="s">
        <v>178</v>
      </c>
      <c r="K6" s="21">
        <f>AVERAGE(J7:J996)</f>
        <v>1.3025555555555584</v>
      </c>
      <c r="L6" s="19"/>
      <c r="M6" s="19"/>
    </row>
    <row r="7" spans="2:13" ht="16" x14ac:dyDescent="0.3">
      <c r="B7" s="4">
        <v>1</v>
      </c>
      <c r="C7" s="4" t="s">
        <v>179</v>
      </c>
      <c r="D7" s="4" t="s">
        <v>180</v>
      </c>
      <c r="E7" s="4" t="s">
        <v>181</v>
      </c>
      <c r="F7" s="22">
        <v>2305604.5690000001</v>
      </c>
      <c r="G7" s="22">
        <v>585610.40500000003</v>
      </c>
      <c r="H7" s="11">
        <v>5.43</v>
      </c>
      <c r="I7" s="11">
        <v>4.6500000000000004</v>
      </c>
      <c r="J7" s="6">
        <f t="shared" ref="J7:J70" si="0">H7-I7</f>
        <v>0.77999999999999936</v>
      </c>
      <c r="K7" s="4" t="s">
        <v>182</v>
      </c>
      <c r="L7" s="5" t="s">
        <v>183</v>
      </c>
      <c r="M7" s="23" t="s">
        <v>184</v>
      </c>
    </row>
    <row r="8" spans="2:13" ht="16" x14ac:dyDescent="0.3">
      <c r="B8" s="4">
        <v>2</v>
      </c>
      <c r="C8" s="4" t="s">
        <v>185</v>
      </c>
      <c r="D8" s="4" t="s">
        <v>186</v>
      </c>
      <c r="E8" s="4" t="s">
        <v>181</v>
      </c>
      <c r="F8" s="22">
        <v>2305303.7379999999</v>
      </c>
      <c r="G8" s="22">
        <v>585813.10900000005</v>
      </c>
      <c r="H8" s="11">
        <v>5.37</v>
      </c>
      <c r="I8" s="11">
        <v>4.59</v>
      </c>
      <c r="J8" s="6">
        <f t="shared" si="0"/>
        <v>0.78000000000000025</v>
      </c>
      <c r="K8" s="4" t="s">
        <v>187</v>
      </c>
      <c r="L8" s="5" t="s">
        <v>183</v>
      </c>
      <c r="M8" s="23" t="s">
        <v>184</v>
      </c>
    </row>
    <row r="9" spans="2:13" ht="16" x14ac:dyDescent="0.3">
      <c r="B9" s="4">
        <v>3</v>
      </c>
      <c r="C9" s="4" t="s">
        <v>188</v>
      </c>
      <c r="D9" s="4" t="s">
        <v>189</v>
      </c>
      <c r="E9" s="4" t="s">
        <v>181</v>
      </c>
      <c r="F9" s="22">
        <v>2305325.3319999999</v>
      </c>
      <c r="G9" s="22">
        <v>585798.62800000003</v>
      </c>
      <c r="H9" s="11">
        <v>5.38</v>
      </c>
      <c r="I9" s="11">
        <v>4.4800000000000004</v>
      </c>
      <c r="J9" s="6">
        <f t="shared" si="0"/>
        <v>0.89999999999999947</v>
      </c>
      <c r="K9" s="4" t="s">
        <v>190</v>
      </c>
      <c r="L9" s="5" t="s">
        <v>183</v>
      </c>
      <c r="M9" s="23" t="s">
        <v>184</v>
      </c>
    </row>
    <row r="10" spans="2:13" ht="16" x14ac:dyDescent="0.3">
      <c r="B10" s="4">
        <v>4</v>
      </c>
      <c r="C10" s="4" t="s">
        <v>191</v>
      </c>
      <c r="D10" s="4" t="s">
        <v>192</v>
      </c>
      <c r="E10" s="4" t="s">
        <v>181</v>
      </c>
      <c r="F10" s="22">
        <v>2305388.0150000001</v>
      </c>
      <c r="G10" s="22">
        <v>585755.64599999995</v>
      </c>
      <c r="H10" s="11">
        <v>5.4</v>
      </c>
      <c r="I10" s="11">
        <v>4.29</v>
      </c>
      <c r="J10" s="6">
        <f t="shared" si="0"/>
        <v>1.1100000000000003</v>
      </c>
      <c r="K10" s="4" t="s">
        <v>193</v>
      </c>
      <c r="L10" s="5" t="s">
        <v>183</v>
      </c>
      <c r="M10" s="23" t="s">
        <v>184</v>
      </c>
    </row>
    <row r="11" spans="2:13" ht="16" x14ac:dyDescent="0.3">
      <c r="B11" s="4">
        <v>5</v>
      </c>
      <c r="C11" s="4" t="s">
        <v>194</v>
      </c>
      <c r="D11" s="4" t="s">
        <v>195</v>
      </c>
      <c r="E11" s="4" t="s">
        <v>181</v>
      </c>
      <c r="F11" s="22">
        <v>2305346.0959999999</v>
      </c>
      <c r="G11" s="22">
        <v>585784.70499999996</v>
      </c>
      <c r="H11" s="11">
        <v>5.38</v>
      </c>
      <c r="I11" s="11">
        <v>4.5</v>
      </c>
      <c r="J11" s="6">
        <f t="shared" si="0"/>
        <v>0.87999999999999989</v>
      </c>
      <c r="K11" s="4" t="s">
        <v>196</v>
      </c>
      <c r="L11" s="5" t="s">
        <v>183</v>
      </c>
      <c r="M11" s="23" t="s">
        <v>184</v>
      </c>
    </row>
    <row r="12" spans="2:13" ht="16" x14ac:dyDescent="0.3">
      <c r="B12" s="4">
        <v>6</v>
      </c>
      <c r="C12" s="4" t="s">
        <v>197</v>
      </c>
      <c r="D12" s="4" t="s">
        <v>198</v>
      </c>
      <c r="E12" s="4" t="s">
        <v>181</v>
      </c>
      <c r="F12" s="22">
        <v>2305367.69</v>
      </c>
      <c r="G12" s="22">
        <v>585770.22400000005</v>
      </c>
      <c r="H12" s="11">
        <v>5.39</v>
      </c>
      <c r="I12" s="11">
        <v>4.37</v>
      </c>
      <c r="J12" s="6">
        <f t="shared" si="0"/>
        <v>1.0199999999999996</v>
      </c>
      <c r="K12" s="4" t="s">
        <v>199</v>
      </c>
      <c r="L12" s="5" t="s">
        <v>183</v>
      </c>
      <c r="M12" s="23" t="s">
        <v>184</v>
      </c>
    </row>
    <row r="13" spans="2:13" ht="16" x14ac:dyDescent="0.3">
      <c r="B13" s="4">
        <v>7</v>
      </c>
      <c r="C13" s="4" t="s">
        <v>200</v>
      </c>
      <c r="D13" s="4" t="s">
        <v>201</v>
      </c>
      <c r="E13" s="4" t="s">
        <v>181</v>
      </c>
      <c r="F13" s="22">
        <v>2305581.3139999998</v>
      </c>
      <c r="G13" s="22">
        <v>585625.99899999995</v>
      </c>
      <c r="H13" s="11">
        <v>5.43</v>
      </c>
      <c r="I13" s="11">
        <v>4.5599999999999996</v>
      </c>
      <c r="J13" s="6">
        <f t="shared" si="0"/>
        <v>0.87000000000000011</v>
      </c>
      <c r="K13" s="4" t="s">
        <v>202</v>
      </c>
      <c r="L13" s="5" t="s">
        <v>183</v>
      </c>
      <c r="M13" s="23" t="s">
        <v>184</v>
      </c>
    </row>
    <row r="14" spans="2:13" ht="16" x14ac:dyDescent="0.3">
      <c r="B14" s="4">
        <v>8</v>
      </c>
      <c r="C14" s="4" t="s">
        <v>203</v>
      </c>
      <c r="D14" s="4" t="s">
        <v>204</v>
      </c>
      <c r="E14" s="4" t="s">
        <v>181</v>
      </c>
      <c r="F14" s="22">
        <v>2305558.0580000002</v>
      </c>
      <c r="G14" s="22">
        <v>585641.59400000004</v>
      </c>
      <c r="H14" s="11">
        <v>5.42</v>
      </c>
      <c r="I14" s="11">
        <v>4.47</v>
      </c>
      <c r="J14" s="6">
        <f t="shared" si="0"/>
        <v>0.95000000000000018</v>
      </c>
      <c r="K14" s="4" t="s">
        <v>205</v>
      </c>
      <c r="L14" s="5" t="s">
        <v>183</v>
      </c>
      <c r="M14" s="23" t="s">
        <v>184</v>
      </c>
    </row>
    <row r="15" spans="2:13" ht="16" x14ac:dyDescent="0.3">
      <c r="B15" s="4">
        <v>9</v>
      </c>
      <c r="C15" s="4" t="s">
        <v>206</v>
      </c>
      <c r="D15" s="4" t="s">
        <v>207</v>
      </c>
      <c r="E15" s="4" t="s">
        <v>181</v>
      </c>
      <c r="F15" s="22">
        <v>2305529.304</v>
      </c>
      <c r="G15" s="22">
        <v>585661.85100000002</v>
      </c>
      <c r="H15" s="11">
        <v>5.42</v>
      </c>
      <c r="I15" s="11">
        <v>4.3499999999999996</v>
      </c>
      <c r="J15" s="6">
        <f t="shared" si="0"/>
        <v>1.0700000000000003</v>
      </c>
      <c r="K15" s="4" t="s">
        <v>208</v>
      </c>
      <c r="L15" s="5" t="s">
        <v>183</v>
      </c>
      <c r="M15" s="23" t="s">
        <v>184</v>
      </c>
    </row>
    <row r="16" spans="2:13" ht="16" x14ac:dyDescent="0.3">
      <c r="B16" s="4">
        <v>10</v>
      </c>
      <c r="C16" s="4" t="s">
        <v>209</v>
      </c>
      <c r="D16" s="4" t="s">
        <v>210</v>
      </c>
      <c r="E16" s="4" t="s">
        <v>181</v>
      </c>
      <c r="F16" s="22">
        <v>2305726.0260000001</v>
      </c>
      <c r="G16" s="22">
        <v>585529.93599999999</v>
      </c>
      <c r="H16" s="11">
        <v>5.68</v>
      </c>
      <c r="I16" s="11">
        <v>4.8499999999999996</v>
      </c>
      <c r="J16" s="6">
        <f t="shared" si="0"/>
        <v>0.83000000000000007</v>
      </c>
      <c r="K16" s="4" t="s">
        <v>211</v>
      </c>
      <c r="L16" s="5" t="s">
        <v>183</v>
      </c>
      <c r="M16" s="23" t="s">
        <v>184</v>
      </c>
    </row>
    <row r="17" spans="2:13" ht="16" x14ac:dyDescent="0.3">
      <c r="B17" s="4">
        <v>11</v>
      </c>
      <c r="C17" s="4" t="s">
        <v>212</v>
      </c>
      <c r="D17" s="4" t="s">
        <v>213</v>
      </c>
      <c r="E17" s="4" t="s">
        <v>181</v>
      </c>
      <c r="F17" s="22">
        <v>2305706.4720000001</v>
      </c>
      <c r="G17" s="22">
        <v>585542.07200000004</v>
      </c>
      <c r="H17" s="11">
        <v>5.68</v>
      </c>
      <c r="I17" s="11">
        <v>4.76</v>
      </c>
      <c r="J17" s="6">
        <f t="shared" si="0"/>
        <v>0.91999999999999993</v>
      </c>
      <c r="K17" s="4" t="s">
        <v>214</v>
      </c>
      <c r="L17" s="5" t="s">
        <v>183</v>
      </c>
      <c r="M17" s="23" t="s">
        <v>184</v>
      </c>
    </row>
    <row r="18" spans="2:13" ht="16" x14ac:dyDescent="0.3">
      <c r="B18" s="4">
        <v>12</v>
      </c>
      <c r="C18" s="4" t="s">
        <v>215</v>
      </c>
      <c r="D18" s="4" t="s">
        <v>216</v>
      </c>
      <c r="E18" s="4" t="s">
        <v>181</v>
      </c>
      <c r="F18" s="22">
        <v>2305683.6680000001</v>
      </c>
      <c r="G18" s="22">
        <v>585558.34</v>
      </c>
      <c r="H18" s="11">
        <v>5.67</v>
      </c>
      <c r="I18" s="11">
        <v>4.68</v>
      </c>
      <c r="J18" s="6">
        <f t="shared" si="0"/>
        <v>0.99000000000000021</v>
      </c>
      <c r="K18" s="4" t="s">
        <v>217</v>
      </c>
      <c r="L18" s="5" t="s">
        <v>183</v>
      </c>
      <c r="M18" s="23" t="s">
        <v>184</v>
      </c>
    </row>
    <row r="19" spans="2:13" ht="16" x14ac:dyDescent="0.3">
      <c r="B19" s="4">
        <v>13</v>
      </c>
      <c r="C19" s="4" t="s">
        <v>218</v>
      </c>
      <c r="D19" s="4" t="s">
        <v>219</v>
      </c>
      <c r="E19" s="4" t="s">
        <v>181</v>
      </c>
      <c r="F19" s="22">
        <v>2305662.074</v>
      </c>
      <c r="G19" s="22">
        <v>585572.81999999995</v>
      </c>
      <c r="H19" s="11">
        <v>5.67</v>
      </c>
      <c r="I19" s="11">
        <v>4.5999999999999996</v>
      </c>
      <c r="J19" s="6">
        <f t="shared" si="0"/>
        <v>1.0700000000000003</v>
      </c>
      <c r="K19" s="4" t="s">
        <v>220</v>
      </c>
      <c r="L19" s="5" t="s">
        <v>183</v>
      </c>
      <c r="M19" s="23" t="s">
        <v>184</v>
      </c>
    </row>
    <row r="20" spans="2:13" ht="16" x14ac:dyDescent="0.3">
      <c r="B20" s="4">
        <v>14</v>
      </c>
      <c r="C20" s="4" t="s">
        <v>221</v>
      </c>
      <c r="D20" s="4" t="s">
        <v>222</v>
      </c>
      <c r="E20" s="4" t="s">
        <v>181</v>
      </c>
      <c r="F20" s="22">
        <v>2305638.148</v>
      </c>
      <c r="G20" s="22">
        <v>585587.90099999995</v>
      </c>
      <c r="H20" s="11">
        <v>5.67</v>
      </c>
      <c r="I20" s="11">
        <v>4.4000000000000004</v>
      </c>
      <c r="J20" s="6">
        <f t="shared" si="0"/>
        <v>1.2699999999999996</v>
      </c>
      <c r="K20" s="4" t="s">
        <v>223</v>
      </c>
      <c r="L20" s="5" t="s">
        <v>183</v>
      </c>
      <c r="M20" s="23" t="s">
        <v>184</v>
      </c>
    </row>
    <row r="21" spans="2:13" ht="16" x14ac:dyDescent="0.3">
      <c r="B21" s="4">
        <v>15</v>
      </c>
      <c r="C21" s="4" t="s">
        <v>224</v>
      </c>
      <c r="D21" s="4" t="s">
        <v>225</v>
      </c>
      <c r="E21" s="4" t="s">
        <v>181</v>
      </c>
      <c r="F21" s="22">
        <v>2305036.1379999998</v>
      </c>
      <c r="G21" s="22">
        <v>585966.06499999994</v>
      </c>
      <c r="H21" s="11">
        <v>5.17</v>
      </c>
      <c r="I21" s="11">
        <v>4.32</v>
      </c>
      <c r="J21" s="6">
        <f t="shared" si="0"/>
        <v>0.84999999999999964</v>
      </c>
      <c r="K21" s="4" t="s">
        <v>226</v>
      </c>
      <c r="L21" s="5" t="s">
        <v>183</v>
      </c>
      <c r="M21" s="23" t="s">
        <v>184</v>
      </c>
    </row>
    <row r="22" spans="2:13" ht="16" x14ac:dyDescent="0.3">
      <c r="B22" s="4">
        <v>16</v>
      </c>
      <c r="C22" s="4" t="s">
        <v>227</v>
      </c>
      <c r="D22" s="4" t="s">
        <v>228</v>
      </c>
      <c r="E22" s="4" t="s">
        <v>181</v>
      </c>
      <c r="F22" s="22">
        <v>2305117.8840000001</v>
      </c>
      <c r="G22" s="22">
        <v>585911.26500000001</v>
      </c>
      <c r="H22" s="11">
        <v>5.17</v>
      </c>
      <c r="I22" s="11">
        <v>4</v>
      </c>
      <c r="J22" s="6">
        <f t="shared" si="0"/>
        <v>1.17</v>
      </c>
      <c r="K22" s="4" t="s">
        <v>229</v>
      </c>
      <c r="L22" s="5" t="s">
        <v>183</v>
      </c>
      <c r="M22" s="23" t="s">
        <v>184</v>
      </c>
    </row>
    <row r="23" spans="2:13" ht="16" x14ac:dyDescent="0.3">
      <c r="B23" s="4">
        <v>17</v>
      </c>
      <c r="C23" s="4" t="s">
        <v>230</v>
      </c>
      <c r="D23" s="4" t="s">
        <v>231</v>
      </c>
      <c r="E23" s="4" t="s">
        <v>181</v>
      </c>
      <c r="F23" s="22">
        <v>2305111.7760000001</v>
      </c>
      <c r="G23" s="22">
        <v>585902.03500000003</v>
      </c>
      <c r="H23" s="11">
        <v>5.17</v>
      </c>
      <c r="I23" s="11">
        <v>4.0999999999999996</v>
      </c>
      <c r="J23" s="6">
        <f t="shared" si="0"/>
        <v>1.0700000000000003</v>
      </c>
      <c r="K23" s="4" t="s">
        <v>232</v>
      </c>
      <c r="L23" s="5" t="s">
        <v>183</v>
      </c>
      <c r="M23" s="23" t="s">
        <v>184</v>
      </c>
    </row>
    <row r="24" spans="2:13" ht="16" x14ac:dyDescent="0.3">
      <c r="B24" s="4">
        <v>18</v>
      </c>
      <c r="C24" s="4" t="s">
        <v>233</v>
      </c>
      <c r="D24" s="4" t="s">
        <v>234</v>
      </c>
      <c r="E24" s="4" t="s">
        <v>181</v>
      </c>
      <c r="F24" s="22">
        <v>2305099.514</v>
      </c>
      <c r="G24" s="22">
        <v>585883.87100000004</v>
      </c>
      <c r="H24" s="11">
        <v>5.17</v>
      </c>
      <c r="I24" s="11">
        <v>4.03</v>
      </c>
      <c r="J24" s="6">
        <f t="shared" si="0"/>
        <v>1.1399999999999997</v>
      </c>
      <c r="K24" s="4" t="s">
        <v>235</v>
      </c>
      <c r="L24" s="5" t="s">
        <v>183</v>
      </c>
      <c r="M24" s="23" t="s">
        <v>184</v>
      </c>
    </row>
    <row r="25" spans="2:13" ht="16" x14ac:dyDescent="0.3">
      <c r="B25" s="4">
        <v>19</v>
      </c>
      <c r="C25" s="4" t="s">
        <v>236</v>
      </c>
      <c r="D25" s="4" t="s">
        <v>237</v>
      </c>
      <c r="E25" s="4" t="s">
        <v>181</v>
      </c>
      <c r="F25" s="22">
        <v>2305093.3879999998</v>
      </c>
      <c r="G25" s="22">
        <v>585874.73499999999</v>
      </c>
      <c r="H25" s="11">
        <v>5.17</v>
      </c>
      <c r="I25" s="11">
        <v>3.99</v>
      </c>
      <c r="J25" s="6">
        <f t="shared" si="0"/>
        <v>1.1799999999999997</v>
      </c>
      <c r="K25" s="4" t="s">
        <v>238</v>
      </c>
      <c r="L25" s="5" t="s">
        <v>183</v>
      </c>
      <c r="M25" s="23" t="s">
        <v>184</v>
      </c>
    </row>
    <row r="26" spans="2:13" ht="16" x14ac:dyDescent="0.3">
      <c r="B26" s="4">
        <v>20</v>
      </c>
      <c r="C26" s="4" t="s">
        <v>239</v>
      </c>
      <c r="D26" s="4" t="s">
        <v>240</v>
      </c>
      <c r="E26" s="4" t="s">
        <v>181</v>
      </c>
      <c r="F26" s="22">
        <v>2305081.1329999999</v>
      </c>
      <c r="G26" s="22">
        <v>585856.45900000003</v>
      </c>
      <c r="H26" s="11">
        <v>5.17</v>
      </c>
      <c r="I26" s="11">
        <v>3.92</v>
      </c>
      <c r="J26" s="6">
        <f t="shared" si="0"/>
        <v>1.25</v>
      </c>
      <c r="K26" s="4" t="s">
        <v>241</v>
      </c>
      <c r="L26" s="5" t="s">
        <v>183</v>
      </c>
      <c r="M26" s="23" t="s">
        <v>184</v>
      </c>
    </row>
    <row r="27" spans="2:13" ht="16" x14ac:dyDescent="0.3">
      <c r="B27" s="4">
        <v>21</v>
      </c>
      <c r="C27" s="4" t="s">
        <v>242</v>
      </c>
      <c r="D27" s="4" t="s">
        <v>243</v>
      </c>
      <c r="E27" s="4" t="s">
        <v>181</v>
      </c>
      <c r="F27" s="22">
        <v>2305075.0060000001</v>
      </c>
      <c r="G27" s="22">
        <v>585847.32299999997</v>
      </c>
      <c r="H27" s="11">
        <v>5.17</v>
      </c>
      <c r="I27" s="11">
        <v>3.89</v>
      </c>
      <c r="J27" s="6">
        <f t="shared" si="0"/>
        <v>1.2799999999999998</v>
      </c>
      <c r="K27" s="4" t="s">
        <v>244</v>
      </c>
      <c r="L27" s="5" t="s">
        <v>183</v>
      </c>
      <c r="M27" s="23" t="s">
        <v>184</v>
      </c>
    </row>
    <row r="28" spans="2:13" ht="16" x14ac:dyDescent="0.3">
      <c r="B28" s="4">
        <v>22</v>
      </c>
      <c r="C28" s="4" t="s">
        <v>245</v>
      </c>
      <c r="D28" s="4" t="s">
        <v>246</v>
      </c>
      <c r="E28" s="4" t="s">
        <v>181</v>
      </c>
      <c r="F28" s="22">
        <v>2305062.7390000001</v>
      </c>
      <c r="G28" s="22">
        <v>585829.054</v>
      </c>
      <c r="H28" s="11">
        <v>5.17</v>
      </c>
      <c r="I28" s="11">
        <v>3.81</v>
      </c>
      <c r="J28" s="6">
        <f t="shared" si="0"/>
        <v>1.3599999999999999</v>
      </c>
      <c r="K28" s="4" t="s">
        <v>247</v>
      </c>
      <c r="L28" s="5" t="s">
        <v>183</v>
      </c>
      <c r="M28" s="23" t="s">
        <v>184</v>
      </c>
    </row>
    <row r="29" spans="2:13" ht="16" x14ac:dyDescent="0.3">
      <c r="B29" s="4">
        <v>23</v>
      </c>
      <c r="C29" s="4" t="s">
        <v>248</v>
      </c>
      <c r="D29" s="4" t="s">
        <v>249</v>
      </c>
      <c r="E29" s="4" t="s">
        <v>181</v>
      </c>
      <c r="F29" s="22">
        <v>2305056.6009999998</v>
      </c>
      <c r="G29" s="22">
        <v>585819.90099999995</v>
      </c>
      <c r="H29" s="11">
        <v>5.17</v>
      </c>
      <c r="I29" s="11">
        <v>3.78</v>
      </c>
      <c r="J29" s="6">
        <f t="shared" si="0"/>
        <v>1.3900000000000001</v>
      </c>
      <c r="K29" s="4" t="s">
        <v>250</v>
      </c>
      <c r="L29" s="5" t="s">
        <v>183</v>
      </c>
      <c r="M29" s="23" t="s">
        <v>184</v>
      </c>
    </row>
    <row r="30" spans="2:13" ht="16" x14ac:dyDescent="0.3">
      <c r="B30" s="4">
        <v>24</v>
      </c>
      <c r="C30" s="4" t="s">
        <v>251</v>
      </c>
      <c r="D30" s="4" t="s">
        <v>252</v>
      </c>
      <c r="E30" s="4" t="s">
        <v>181</v>
      </c>
      <c r="F30" s="22">
        <v>2305038.25</v>
      </c>
      <c r="G30" s="22">
        <v>585796.10699999996</v>
      </c>
      <c r="H30" s="11">
        <v>5.21</v>
      </c>
      <c r="I30" s="11">
        <v>3.68</v>
      </c>
      <c r="J30" s="6">
        <f t="shared" si="0"/>
        <v>1.5299999999999998</v>
      </c>
      <c r="K30" s="4" t="s">
        <v>253</v>
      </c>
      <c r="L30" s="5" t="s">
        <v>254</v>
      </c>
      <c r="M30" s="23" t="s">
        <v>184</v>
      </c>
    </row>
    <row r="31" spans="2:13" ht="16" x14ac:dyDescent="0.3">
      <c r="B31" s="4">
        <v>25</v>
      </c>
      <c r="C31" s="4" t="s">
        <v>255</v>
      </c>
      <c r="D31" s="4" t="s">
        <v>256</v>
      </c>
      <c r="E31" s="4" t="s">
        <v>181</v>
      </c>
      <c r="F31" s="22">
        <v>2305028.764</v>
      </c>
      <c r="G31" s="22">
        <v>585781.97900000005</v>
      </c>
      <c r="H31" s="11">
        <v>5.21</v>
      </c>
      <c r="I31" s="11">
        <v>3.62</v>
      </c>
      <c r="J31" s="6">
        <f t="shared" si="0"/>
        <v>1.5899999999999999</v>
      </c>
      <c r="K31" s="4" t="s">
        <v>257</v>
      </c>
      <c r="L31" s="5" t="s">
        <v>254</v>
      </c>
      <c r="M31" s="23" t="s">
        <v>184</v>
      </c>
    </row>
    <row r="32" spans="2:13" ht="16" x14ac:dyDescent="0.3">
      <c r="B32" s="4">
        <v>26</v>
      </c>
      <c r="C32" s="4" t="s">
        <v>258</v>
      </c>
      <c r="D32" s="4" t="s">
        <v>259</v>
      </c>
      <c r="E32" s="4" t="s">
        <v>181</v>
      </c>
      <c r="F32" s="22">
        <v>2305012.0380000002</v>
      </c>
      <c r="G32" s="22">
        <v>585753.44499999995</v>
      </c>
      <c r="H32" s="11">
        <v>5.17</v>
      </c>
      <c r="I32" s="11">
        <v>3.5</v>
      </c>
      <c r="J32" s="6">
        <f t="shared" si="0"/>
        <v>1.67</v>
      </c>
      <c r="K32" s="4" t="s">
        <v>260</v>
      </c>
      <c r="L32" s="5" t="s">
        <v>254</v>
      </c>
      <c r="M32" s="23" t="s">
        <v>184</v>
      </c>
    </row>
    <row r="33" spans="2:13" ht="16" x14ac:dyDescent="0.3">
      <c r="B33" s="4">
        <v>27</v>
      </c>
      <c r="C33" s="4" t="s">
        <v>261</v>
      </c>
      <c r="D33" s="4" t="s">
        <v>262</v>
      </c>
      <c r="E33" s="4" t="s">
        <v>181</v>
      </c>
      <c r="F33" s="22">
        <v>2304999.8160000001</v>
      </c>
      <c r="G33" s="22">
        <v>585735.16799999995</v>
      </c>
      <c r="H33" s="11">
        <v>5.17</v>
      </c>
      <c r="I33" s="11">
        <v>3.41</v>
      </c>
      <c r="J33" s="6">
        <f t="shared" si="0"/>
        <v>1.7599999999999998</v>
      </c>
      <c r="K33" s="4" t="s">
        <v>263</v>
      </c>
      <c r="L33" s="5" t="s">
        <v>254</v>
      </c>
      <c r="M33" s="23" t="s">
        <v>184</v>
      </c>
    </row>
    <row r="34" spans="2:13" ht="16" x14ac:dyDescent="0.3">
      <c r="B34" s="4">
        <v>28</v>
      </c>
      <c r="C34" s="4" t="s">
        <v>264</v>
      </c>
      <c r="D34" s="4" t="s">
        <v>265</v>
      </c>
      <c r="E34" s="4" t="s">
        <v>181</v>
      </c>
      <c r="F34" s="22">
        <v>2304993.69</v>
      </c>
      <c r="G34" s="22">
        <v>585726.03200000001</v>
      </c>
      <c r="H34" s="11">
        <v>5.17</v>
      </c>
      <c r="I34" s="11">
        <v>3.37</v>
      </c>
      <c r="J34" s="6">
        <f t="shared" si="0"/>
        <v>1.7999999999999998</v>
      </c>
      <c r="K34" s="4" t="s">
        <v>266</v>
      </c>
      <c r="L34" s="5" t="s">
        <v>254</v>
      </c>
      <c r="M34" s="23" t="s">
        <v>184</v>
      </c>
    </row>
    <row r="35" spans="2:13" ht="16" x14ac:dyDescent="0.3">
      <c r="B35" s="4">
        <v>29</v>
      </c>
      <c r="C35" s="4" t="s">
        <v>267</v>
      </c>
      <c r="D35" s="4" t="s">
        <v>268</v>
      </c>
      <c r="E35" s="4" t="s">
        <v>181</v>
      </c>
      <c r="F35" s="22">
        <v>2304981.4070000001</v>
      </c>
      <c r="G35" s="22">
        <v>585707.78099999996</v>
      </c>
      <c r="H35" s="11">
        <v>5.17</v>
      </c>
      <c r="I35" s="11">
        <v>3.29</v>
      </c>
      <c r="J35" s="6">
        <f t="shared" si="0"/>
        <v>1.88</v>
      </c>
      <c r="K35" s="4" t="s">
        <v>269</v>
      </c>
      <c r="L35" s="5" t="s">
        <v>254</v>
      </c>
      <c r="M35" s="23" t="s">
        <v>184</v>
      </c>
    </row>
    <row r="36" spans="2:13" ht="16" x14ac:dyDescent="0.3">
      <c r="B36" s="4">
        <v>30</v>
      </c>
      <c r="C36" s="4" t="s">
        <v>270</v>
      </c>
      <c r="D36" s="4" t="s">
        <v>271</v>
      </c>
      <c r="E36" s="4" t="s">
        <v>181</v>
      </c>
      <c r="F36" s="22">
        <v>2304975.2799999998</v>
      </c>
      <c r="G36" s="22">
        <v>585698.64500000002</v>
      </c>
      <c r="H36" s="11">
        <v>5.17</v>
      </c>
      <c r="I36" s="11">
        <v>3.29</v>
      </c>
      <c r="J36" s="6">
        <f t="shared" si="0"/>
        <v>1.88</v>
      </c>
      <c r="K36" s="4" t="s">
        <v>272</v>
      </c>
      <c r="L36" s="5" t="s">
        <v>254</v>
      </c>
      <c r="M36" s="23" t="s">
        <v>184</v>
      </c>
    </row>
    <row r="37" spans="2:13" ht="16" x14ac:dyDescent="0.3">
      <c r="B37" s="4">
        <v>31</v>
      </c>
      <c r="C37" s="4" t="s">
        <v>273</v>
      </c>
      <c r="D37" s="4" t="s">
        <v>274</v>
      </c>
      <c r="E37" s="4" t="s">
        <v>181</v>
      </c>
      <c r="F37" s="22">
        <v>2304963.0350000001</v>
      </c>
      <c r="G37" s="22">
        <v>585680.36800000002</v>
      </c>
      <c r="H37" s="11">
        <v>5.17</v>
      </c>
      <c r="I37" s="11">
        <v>3.25</v>
      </c>
      <c r="J37" s="6">
        <f t="shared" si="0"/>
        <v>1.92</v>
      </c>
      <c r="K37" s="4" t="s">
        <v>275</v>
      </c>
      <c r="L37" s="5" t="s">
        <v>254</v>
      </c>
      <c r="M37" s="23" t="s">
        <v>184</v>
      </c>
    </row>
    <row r="38" spans="2:13" ht="16" x14ac:dyDescent="0.3">
      <c r="B38" s="4">
        <v>32</v>
      </c>
      <c r="C38" s="4" t="s">
        <v>276</v>
      </c>
      <c r="D38" s="4" t="s">
        <v>277</v>
      </c>
      <c r="E38" s="4" t="s">
        <v>181</v>
      </c>
      <c r="F38" s="22">
        <v>2304956.9079999998</v>
      </c>
      <c r="G38" s="22">
        <v>585671.23199999996</v>
      </c>
      <c r="H38" s="11">
        <v>5.17</v>
      </c>
      <c r="I38" s="11">
        <v>3.17</v>
      </c>
      <c r="J38" s="6">
        <f t="shared" si="0"/>
        <v>2</v>
      </c>
      <c r="K38" s="4" t="s">
        <v>278</v>
      </c>
      <c r="L38" s="5" t="s">
        <v>254</v>
      </c>
      <c r="M38" s="23" t="s">
        <v>184</v>
      </c>
    </row>
    <row r="39" spans="2:13" ht="16" x14ac:dyDescent="0.3">
      <c r="B39" s="4">
        <v>33</v>
      </c>
      <c r="C39" s="4" t="s">
        <v>279</v>
      </c>
      <c r="D39" s="4" t="s">
        <v>280</v>
      </c>
      <c r="E39" s="4" t="s">
        <v>181</v>
      </c>
      <c r="F39" s="22">
        <v>2304944.679</v>
      </c>
      <c r="G39" s="22">
        <v>585652.94400000002</v>
      </c>
      <c r="H39" s="11">
        <v>5.17</v>
      </c>
      <c r="I39" s="11">
        <v>3.08</v>
      </c>
      <c r="J39" s="6">
        <f t="shared" si="0"/>
        <v>2.09</v>
      </c>
      <c r="K39" s="4" t="s">
        <v>281</v>
      </c>
      <c r="L39" s="5" t="s">
        <v>254</v>
      </c>
      <c r="M39" s="23" t="s">
        <v>184</v>
      </c>
    </row>
    <row r="40" spans="2:13" ht="16" x14ac:dyDescent="0.3">
      <c r="B40" s="4">
        <v>34</v>
      </c>
      <c r="C40" s="4" t="s">
        <v>282</v>
      </c>
      <c r="D40" s="4" t="s">
        <v>283</v>
      </c>
      <c r="E40" s="4" t="s">
        <v>181</v>
      </c>
      <c r="F40" s="22">
        <v>2304938.5520000001</v>
      </c>
      <c r="G40" s="22">
        <v>585643.80799999996</v>
      </c>
      <c r="H40" s="11">
        <v>5.17</v>
      </c>
      <c r="I40" s="11">
        <v>3.04</v>
      </c>
      <c r="J40" s="6">
        <f t="shared" si="0"/>
        <v>2.13</v>
      </c>
      <c r="K40" s="4" t="s">
        <v>284</v>
      </c>
      <c r="L40" s="5" t="s">
        <v>254</v>
      </c>
      <c r="M40" s="23" t="s">
        <v>184</v>
      </c>
    </row>
    <row r="41" spans="2:13" ht="16" x14ac:dyDescent="0.3">
      <c r="B41" s="4">
        <v>35</v>
      </c>
      <c r="C41" s="4" t="s">
        <v>285</v>
      </c>
      <c r="D41" s="4" t="s">
        <v>286</v>
      </c>
      <c r="E41" s="4" t="s">
        <v>181</v>
      </c>
      <c r="F41" s="22">
        <v>2304926.2999999998</v>
      </c>
      <c r="G41" s="22">
        <v>585625.53599999996</v>
      </c>
      <c r="H41" s="11">
        <v>5.17</v>
      </c>
      <c r="I41" s="11">
        <v>2.96</v>
      </c>
      <c r="J41" s="6">
        <f t="shared" si="0"/>
        <v>2.21</v>
      </c>
      <c r="K41" s="4" t="s">
        <v>287</v>
      </c>
      <c r="L41" s="5" t="s">
        <v>254</v>
      </c>
      <c r="M41" s="23" t="s">
        <v>184</v>
      </c>
    </row>
    <row r="42" spans="2:13" ht="16" x14ac:dyDescent="0.3">
      <c r="B42" s="4">
        <v>36</v>
      </c>
      <c r="C42" s="4" t="s">
        <v>288</v>
      </c>
      <c r="D42" s="4" t="s">
        <v>289</v>
      </c>
      <c r="E42" s="4" t="s">
        <v>181</v>
      </c>
      <c r="F42" s="22">
        <v>2304920.173</v>
      </c>
      <c r="G42" s="22">
        <v>585616.4</v>
      </c>
      <c r="H42" s="11">
        <v>5.17</v>
      </c>
      <c r="I42" s="11">
        <v>2.92</v>
      </c>
      <c r="J42" s="6">
        <f t="shared" si="0"/>
        <v>2.25</v>
      </c>
      <c r="K42" s="4" t="s">
        <v>290</v>
      </c>
      <c r="L42" s="5" t="s">
        <v>254</v>
      </c>
      <c r="M42" s="23" t="s">
        <v>184</v>
      </c>
    </row>
    <row r="43" spans="2:13" ht="16" x14ac:dyDescent="0.3">
      <c r="B43" s="4">
        <v>37</v>
      </c>
      <c r="C43" s="4" t="s">
        <v>291</v>
      </c>
      <c r="D43" s="4" t="s">
        <v>292</v>
      </c>
      <c r="E43" s="4" t="s">
        <v>181</v>
      </c>
      <c r="F43" s="22">
        <v>2304907.926</v>
      </c>
      <c r="G43" s="22">
        <v>585598.16</v>
      </c>
      <c r="H43" s="11">
        <v>5.17</v>
      </c>
      <c r="I43" s="11">
        <v>2.84</v>
      </c>
      <c r="J43" s="6">
        <f t="shared" si="0"/>
        <v>2.33</v>
      </c>
      <c r="K43" s="4" t="s">
        <v>293</v>
      </c>
      <c r="L43" s="5" t="s">
        <v>254</v>
      </c>
      <c r="M43" s="23" t="s">
        <v>184</v>
      </c>
    </row>
    <row r="44" spans="2:13" ht="16" x14ac:dyDescent="0.3">
      <c r="B44" s="4">
        <v>38</v>
      </c>
      <c r="C44" s="4" t="s">
        <v>294</v>
      </c>
      <c r="D44" s="4" t="s">
        <v>295</v>
      </c>
      <c r="E44" s="4" t="s">
        <v>181</v>
      </c>
      <c r="F44" s="22">
        <v>2304901.7990000001</v>
      </c>
      <c r="G44" s="22">
        <v>585589.02399999998</v>
      </c>
      <c r="H44" s="11">
        <v>5.17</v>
      </c>
      <c r="I44" s="11">
        <v>2.8</v>
      </c>
      <c r="J44" s="6">
        <f t="shared" si="0"/>
        <v>2.37</v>
      </c>
      <c r="K44" s="4" t="s">
        <v>296</v>
      </c>
      <c r="L44" s="5" t="s">
        <v>254</v>
      </c>
      <c r="M44" s="23" t="s">
        <v>184</v>
      </c>
    </row>
    <row r="45" spans="2:13" ht="16" x14ac:dyDescent="0.3">
      <c r="B45" s="4">
        <v>39</v>
      </c>
      <c r="C45" s="4" t="s">
        <v>297</v>
      </c>
      <c r="D45" s="4" t="s">
        <v>298</v>
      </c>
      <c r="E45" s="4" t="s">
        <v>181</v>
      </c>
      <c r="F45" s="22">
        <v>2305016.3590000002</v>
      </c>
      <c r="G45" s="22">
        <v>585512.18500000006</v>
      </c>
      <c r="H45" s="11">
        <v>5.27</v>
      </c>
      <c r="I45" s="11">
        <v>2.34</v>
      </c>
      <c r="J45" s="6">
        <f t="shared" si="0"/>
        <v>2.9299999999999997</v>
      </c>
      <c r="K45" s="4" t="s">
        <v>299</v>
      </c>
      <c r="L45" s="5" t="s">
        <v>300</v>
      </c>
      <c r="M45" s="23" t="s">
        <v>184</v>
      </c>
    </row>
    <row r="46" spans="2:13" ht="16" x14ac:dyDescent="0.3">
      <c r="B46" s="4">
        <v>40</v>
      </c>
      <c r="C46" s="4" t="s">
        <v>301</v>
      </c>
      <c r="D46" s="4" t="s">
        <v>302</v>
      </c>
      <c r="E46" s="4" t="s">
        <v>181</v>
      </c>
      <c r="F46" s="22">
        <v>2305163.3480000002</v>
      </c>
      <c r="G46" s="22">
        <v>585413.60199999996</v>
      </c>
      <c r="H46" s="11">
        <v>5.27</v>
      </c>
      <c r="I46" s="11">
        <v>1.75</v>
      </c>
      <c r="J46" s="6">
        <f t="shared" si="0"/>
        <v>3.5199999999999996</v>
      </c>
      <c r="K46" s="4" t="s">
        <v>303</v>
      </c>
      <c r="L46" s="5" t="s">
        <v>300</v>
      </c>
      <c r="M46" s="24" t="s">
        <v>304</v>
      </c>
    </row>
    <row r="47" spans="2:13" ht="16" x14ac:dyDescent="0.3">
      <c r="B47" s="4">
        <v>41</v>
      </c>
      <c r="C47" s="4" t="s">
        <v>305</v>
      </c>
      <c r="D47" s="4" t="s">
        <v>306</v>
      </c>
      <c r="E47" s="4" t="s">
        <v>181</v>
      </c>
      <c r="F47" s="22">
        <v>2305177.4649999999</v>
      </c>
      <c r="G47" s="22">
        <v>585381.09900000005</v>
      </c>
      <c r="H47" s="11">
        <v>5.27</v>
      </c>
      <c r="I47" s="11">
        <v>1.56</v>
      </c>
      <c r="J47" s="6">
        <f t="shared" si="0"/>
        <v>3.7099999999999995</v>
      </c>
      <c r="K47" s="4" t="s">
        <v>307</v>
      </c>
      <c r="L47" s="5" t="s">
        <v>300</v>
      </c>
      <c r="M47" s="24" t="s">
        <v>304</v>
      </c>
    </row>
    <row r="48" spans="2:13" ht="16" x14ac:dyDescent="0.3">
      <c r="B48" s="4">
        <v>42</v>
      </c>
      <c r="C48" s="4" t="s">
        <v>308</v>
      </c>
      <c r="D48" s="4" t="s">
        <v>309</v>
      </c>
      <c r="E48" s="4" t="s">
        <v>181</v>
      </c>
      <c r="F48" s="22">
        <v>2305157.273</v>
      </c>
      <c r="G48" s="22">
        <v>585350.57299999997</v>
      </c>
      <c r="H48" s="11">
        <v>5.26</v>
      </c>
      <c r="I48" s="11">
        <v>1.04</v>
      </c>
      <c r="J48" s="6">
        <f t="shared" si="0"/>
        <v>4.22</v>
      </c>
      <c r="K48" s="4" t="s">
        <v>310</v>
      </c>
      <c r="L48" s="5" t="s">
        <v>300</v>
      </c>
      <c r="M48" s="24" t="s">
        <v>304</v>
      </c>
    </row>
    <row r="49" spans="2:13" ht="16" x14ac:dyDescent="0.3">
      <c r="B49" s="4">
        <v>43</v>
      </c>
      <c r="C49" s="4" t="s">
        <v>311</v>
      </c>
      <c r="D49" s="4" t="s">
        <v>312</v>
      </c>
      <c r="E49" s="4" t="s">
        <v>181</v>
      </c>
      <c r="F49" s="22">
        <v>2305143.767</v>
      </c>
      <c r="G49" s="22">
        <v>585342.09699999995</v>
      </c>
      <c r="H49" s="11">
        <v>5.26</v>
      </c>
      <c r="I49" s="11">
        <v>2.4300000000000002</v>
      </c>
      <c r="J49" s="6">
        <f t="shared" si="0"/>
        <v>2.8299999999999996</v>
      </c>
      <c r="K49" s="4" t="s">
        <v>313</v>
      </c>
      <c r="L49" s="5" t="s">
        <v>300</v>
      </c>
      <c r="M49" s="23" t="s">
        <v>184</v>
      </c>
    </row>
    <row r="50" spans="2:13" ht="16" x14ac:dyDescent="0.3">
      <c r="B50" s="4">
        <v>44</v>
      </c>
      <c r="C50" s="4" t="s">
        <v>314</v>
      </c>
      <c r="D50" s="4" t="s">
        <v>315</v>
      </c>
      <c r="E50" s="4" t="s">
        <v>181</v>
      </c>
      <c r="F50" s="22">
        <v>2305392.3870000001</v>
      </c>
      <c r="G50" s="22">
        <v>585225.09900000005</v>
      </c>
      <c r="H50" s="11">
        <v>5.21</v>
      </c>
      <c r="I50" s="11">
        <v>1.94</v>
      </c>
      <c r="J50" s="6">
        <f t="shared" si="0"/>
        <v>3.27</v>
      </c>
      <c r="K50" s="4" t="s">
        <v>316</v>
      </c>
      <c r="L50" s="5" t="s">
        <v>300</v>
      </c>
      <c r="M50" s="23" t="s">
        <v>184</v>
      </c>
    </row>
    <row r="51" spans="2:13" ht="16" x14ac:dyDescent="0.3">
      <c r="B51" s="4">
        <v>45</v>
      </c>
      <c r="C51" s="4" t="s">
        <v>317</v>
      </c>
      <c r="D51" s="4" t="s">
        <v>318</v>
      </c>
      <c r="E51" s="4" t="s">
        <v>181</v>
      </c>
      <c r="F51" s="22">
        <v>2305396.13</v>
      </c>
      <c r="G51" s="22">
        <v>585242.55799999996</v>
      </c>
      <c r="H51" s="11">
        <v>5.31</v>
      </c>
      <c r="I51" s="11">
        <v>1.92</v>
      </c>
      <c r="J51" s="6">
        <f t="shared" si="0"/>
        <v>3.3899999999999997</v>
      </c>
      <c r="K51" s="4" t="s">
        <v>319</v>
      </c>
      <c r="L51" s="5" t="s">
        <v>300</v>
      </c>
      <c r="M51" s="23" t="s">
        <v>184</v>
      </c>
    </row>
    <row r="52" spans="2:13" ht="16" x14ac:dyDescent="0.3">
      <c r="B52" s="4">
        <v>46</v>
      </c>
      <c r="C52" s="4" t="s">
        <v>320</v>
      </c>
      <c r="D52" s="4" t="s">
        <v>321</v>
      </c>
      <c r="E52" s="4" t="s">
        <v>181</v>
      </c>
      <c r="F52" s="22">
        <v>2305382.0109999999</v>
      </c>
      <c r="G52" s="22">
        <v>585252.02599999995</v>
      </c>
      <c r="H52" s="11">
        <v>5.31</v>
      </c>
      <c r="I52" s="11">
        <v>1.89</v>
      </c>
      <c r="J52" s="6">
        <f t="shared" si="0"/>
        <v>3.42</v>
      </c>
      <c r="K52" s="4" t="s">
        <v>322</v>
      </c>
      <c r="L52" s="5" t="s">
        <v>300</v>
      </c>
      <c r="M52" s="23" t="s">
        <v>184</v>
      </c>
    </row>
    <row r="53" spans="2:13" ht="16" x14ac:dyDescent="0.3">
      <c r="B53" s="4">
        <v>47</v>
      </c>
      <c r="C53" s="4" t="s">
        <v>323</v>
      </c>
      <c r="D53" s="4" t="s">
        <v>324</v>
      </c>
      <c r="E53" s="4" t="s">
        <v>181</v>
      </c>
      <c r="F53" s="22">
        <v>2305362.6910000001</v>
      </c>
      <c r="G53" s="22">
        <v>585262.28399999999</v>
      </c>
      <c r="H53" s="11">
        <v>5.27</v>
      </c>
      <c r="I53" s="11">
        <v>1.86</v>
      </c>
      <c r="J53" s="6">
        <f t="shared" si="0"/>
        <v>3.4099999999999993</v>
      </c>
      <c r="K53" s="4" t="s">
        <v>325</v>
      </c>
      <c r="L53" s="5" t="s">
        <v>300</v>
      </c>
      <c r="M53" s="23" t="s">
        <v>184</v>
      </c>
    </row>
    <row r="54" spans="2:13" ht="16" x14ac:dyDescent="0.3">
      <c r="B54" s="4">
        <v>48</v>
      </c>
      <c r="C54" s="4" t="s">
        <v>326</v>
      </c>
      <c r="D54" s="4" t="s">
        <v>327</v>
      </c>
      <c r="E54" s="4" t="s">
        <v>181</v>
      </c>
      <c r="F54" s="22">
        <v>2305335.2050000001</v>
      </c>
      <c r="G54" s="22">
        <v>585275.59299999999</v>
      </c>
      <c r="H54" s="11">
        <v>5.27</v>
      </c>
      <c r="I54" s="11">
        <v>1.82</v>
      </c>
      <c r="J54" s="6">
        <f t="shared" si="0"/>
        <v>3.4499999999999993</v>
      </c>
      <c r="K54" s="4" t="s">
        <v>328</v>
      </c>
      <c r="L54" s="5" t="s">
        <v>300</v>
      </c>
      <c r="M54" s="23" t="s">
        <v>184</v>
      </c>
    </row>
    <row r="55" spans="2:13" ht="16" x14ac:dyDescent="0.3">
      <c r="B55" s="4">
        <v>49</v>
      </c>
      <c r="C55" s="4" t="s">
        <v>329</v>
      </c>
      <c r="D55" s="4" t="s">
        <v>330</v>
      </c>
      <c r="E55" s="4" t="s">
        <v>181</v>
      </c>
      <c r="F55" s="22">
        <v>2305322.13</v>
      </c>
      <c r="G55" s="22">
        <v>585289.946</v>
      </c>
      <c r="H55" s="11">
        <v>5.27</v>
      </c>
      <c r="I55" s="11">
        <v>1.79</v>
      </c>
      <c r="J55" s="6">
        <f t="shared" si="0"/>
        <v>3.4799999999999995</v>
      </c>
      <c r="K55" s="4" t="s">
        <v>331</v>
      </c>
      <c r="L55" s="5" t="s">
        <v>300</v>
      </c>
      <c r="M55" s="23" t="s">
        <v>184</v>
      </c>
    </row>
    <row r="56" spans="2:13" ht="16" x14ac:dyDescent="0.3">
      <c r="B56" s="4">
        <v>50</v>
      </c>
      <c r="C56" s="4" t="s">
        <v>332</v>
      </c>
      <c r="D56" s="4" t="s">
        <v>333</v>
      </c>
      <c r="E56" s="4" t="s">
        <v>181</v>
      </c>
      <c r="F56" s="22">
        <v>2305283.5210000002</v>
      </c>
      <c r="G56" s="22">
        <v>585311.04099999997</v>
      </c>
      <c r="H56" s="11">
        <v>5.27</v>
      </c>
      <c r="I56" s="11">
        <v>1.75</v>
      </c>
      <c r="J56" s="6">
        <f t="shared" si="0"/>
        <v>3.5199999999999996</v>
      </c>
      <c r="K56" s="4" t="s">
        <v>334</v>
      </c>
      <c r="L56" s="5" t="s">
        <v>300</v>
      </c>
      <c r="M56" s="24" t="s">
        <v>304</v>
      </c>
    </row>
    <row r="57" spans="2:13" ht="16" x14ac:dyDescent="0.3">
      <c r="B57" s="4">
        <v>51</v>
      </c>
      <c r="C57" s="4" t="s">
        <v>335</v>
      </c>
      <c r="D57" s="4" t="s">
        <v>336</v>
      </c>
      <c r="E57" s="4" t="s">
        <v>181</v>
      </c>
      <c r="F57" s="22">
        <v>2305281.2310000001</v>
      </c>
      <c r="G57" s="22">
        <v>585317.19700000004</v>
      </c>
      <c r="H57" s="11">
        <v>5.27</v>
      </c>
      <c r="I57" s="11">
        <v>1.72</v>
      </c>
      <c r="J57" s="6">
        <f t="shared" si="0"/>
        <v>3.55</v>
      </c>
      <c r="K57" s="4" t="s">
        <v>337</v>
      </c>
      <c r="L57" s="5" t="s">
        <v>300</v>
      </c>
      <c r="M57" s="24" t="s">
        <v>304</v>
      </c>
    </row>
    <row r="58" spans="2:13" ht="16" x14ac:dyDescent="0.3">
      <c r="B58" s="4">
        <v>52</v>
      </c>
      <c r="C58" s="4" t="s">
        <v>338</v>
      </c>
      <c r="D58" s="4" t="s">
        <v>339</v>
      </c>
      <c r="E58" s="4" t="s">
        <v>181</v>
      </c>
      <c r="F58" s="22">
        <v>2305253.7599999998</v>
      </c>
      <c r="G58" s="22">
        <v>585330.098</v>
      </c>
      <c r="H58" s="11">
        <v>5.27</v>
      </c>
      <c r="I58" s="11">
        <v>1.68</v>
      </c>
      <c r="J58" s="6">
        <f t="shared" si="0"/>
        <v>3.59</v>
      </c>
      <c r="K58" s="4" t="s">
        <v>340</v>
      </c>
      <c r="L58" s="5" t="s">
        <v>300</v>
      </c>
      <c r="M58" s="24" t="s">
        <v>304</v>
      </c>
    </row>
    <row r="59" spans="2:13" ht="16" x14ac:dyDescent="0.3">
      <c r="B59" s="4">
        <v>53</v>
      </c>
      <c r="C59" s="4" t="s">
        <v>341</v>
      </c>
      <c r="D59" s="4" t="s">
        <v>342</v>
      </c>
      <c r="E59" s="4" t="s">
        <v>181</v>
      </c>
      <c r="F59" s="22">
        <v>2305240.5359999998</v>
      </c>
      <c r="G59" s="22">
        <v>585344.48899999994</v>
      </c>
      <c r="H59" s="11">
        <v>5.27</v>
      </c>
      <c r="I59" s="11">
        <v>1.65</v>
      </c>
      <c r="J59" s="6">
        <f t="shared" si="0"/>
        <v>3.6199999999999997</v>
      </c>
      <c r="K59" s="4" t="s">
        <v>343</v>
      </c>
      <c r="L59" s="5" t="s">
        <v>300</v>
      </c>
      <c r="M59" s="24" t="s">
        <v>304</v>
      </c>
    </row>
    <row r="60" spans="2:13" ht="16" x14ac:dyDescent="0.3">
      <c r="B60" s="4">
        <v>54</v>
      </c>
      <c r="C60" s="4" t="s">
        <v>344</v>
      </c>
      <c r="D60" s="4" t="s">
        <v>345</v>
      </c>
      <c r="E60" s="4" t="s">
        <v>181</v>
      </c>
      <c r="F60" s="22">
        <v>2305213.0630000001</v>
      </c>
      <c r="G60" s="22">
        <v>585357.38800000004</v>
      </c>
      <c r="H60" s="11">
        <v>5.27</v>
      </c>
      <c r="I60" s="11">
        <v>1.61</v>
      </c>
      <c r="J60" s="6">
        <f t="shared" si="0"/>
        <v>3.6599999999999993</v>
      </c>
      <c r="K60" s="4" t="s">
        <v>346</v>
      </c>
      <c r="L60" s="5" t="s">
        <v>300</v>
      </c>
      <c r="M60" s="24" t="s">
        <v>304</v>
      </c>
    </row>
    <row r="61" spans="2:13" ht="16" x14ac:dyDescent="0.3">
      <c r="B61" s="4">
        <v>55</v>
      </c>
      <c r="C61" s="4" t="s">
        <v>347</v>
      </c>
      <c r="D61" s="4" t="s">
        <v>348</v>
      </c>
      <c r="E61" s="4" t="s">
        <v>181</v>
      </c>
      <c r="F61" s="22">
        <v>2305199.8369999998</v>
      </c>
      <c r="G61" s="22">
        <v>585371.777</v>
      </c>
      <c r="H61" s="11">
        <v>5.27</v>
      </c>
      <c r="I61" s="11">
        <v>1.59</v>
      </c>
      <c r="J61" s="6">
        <f t="shared" si="0"/>
        <v>3.6799999999999997</v>
      </c>
      <c r="K61" s="4" t="s">
        <v>349</v>
      </c>
      <c r="L61" s="5" t="s">
        <v>300</v>
      </c>
      <c r="M61" s="24" t="s">
        <v>304</v>
      </c>
    </row>
    <row r="62" spans="2:13" ht="16" x14ac:dyDescent="0.3">
      <c r="B62" s="4">
        <v>56</v>
      </c>
      <c r="C62" s="4" t="s">
        <v>350</v>
      </c>
      <c r="D62" s="4" t="s">
        <v>351</v>
      </c>
      <c r="E62" s="4" t="s">
        <v>181</v>
      </c>
      <c r="F62" s="22">
        <v>2305306.102</v>
      </c>
      <c r="G62" s="22">
        <v>584907.30500000005</v>
      </c>
      <c r="H62" s="11">
        <v>5.1100000000000003</v>
      </c>
      <c r="I62" s="11">
        <v>4.26</v>
      </c>
      <c r="J62" s="6">
        <f t="shared" si="0"/>
        <v>0.85000000000000053</v>
      </c>
      <c r="K62" s="4" t="s">
        <v>352</v>
      </c>
      <c r="L62" s="5" t="s">
        <v>183</v>
      </c>
      <c r="M62" s="23" t="s">
        <v>184</v>
      </c>
    </row>
    <row r="63" spans="2:13" ht="16" x14ac:dyDescent="0.3">
      <c r="B63" s="4">
        <v>57</v>
      </c>
      <c r="C63" s="4" t="s">
        <v>353</v>
      </c>
      <c r="D63" s="4" t="s">
        <v>354</v>
      </c>
      <c r="E63" s="4" t="s">
        <v>181</v>
      </c>
      <c r="F63" s="22">
        <v>2305218.9410000001</v>
      </c>
      <c r="G63" s="22">
        <v>584965.75199999998</v>
      </c>
      <c r="H63" s="11">
        <v>5.1100000000000003</v>
      </c>
      <c r="I63" s="11">
        <v>3.91</v>
      </c>
      <c r="J63" s="6">
        <f t="shared" si="0"/>
        <v>1.2000000000000002</v>
      </c>
      <c r="K63" s="4" t="s">
        <v>355</v>
      </c>
      <c r="L63" s="5" t="s">
        <v>183</v>
      </c>
      <c r="M63" s="23" t="s">
        <v>184</v>
      </c>
    </row>
    <row r="64" spans="2:13" ht="16" x14ac:dyDescent="0.3">
      <c r="B64" s="4">
        <v>58</v>
      </c>
      <c r="C64" s="4" t="s">
        <v>356</v>
      </c>
      <c r="D64" s="4" t="s">
        <v>357</v>
      </c>
      <c r="E64" s="4" t="s">
        <v>181</v>
      </c>
      <c r="F64" s="22">
        <v>2305239.7609999999</v>
      </c>
      <c r="G64" s="22">
        <v>584997.54399999999</v>
      </c>
      <c r="H64" s="11">
        <v>5.07</v>
      </c>
      <c r="I64" s="11">
        <v>3.77</v>
      </c>
      <c r="J64" s="6">
        <f t="shared" si="0"/>
        <v>1.3000000000000003</v>
      </c>
      <c r="K64" s="4" t="s">
        <v>358</v>
      </c>
      <c r="L64" s="5" t="s">
        <v>183</v>
      </c>
      <c r="M64" s="23" t="s">
        <v>184</v>
      </c>
    </row>
    <row r="65" spans="2:13" ht="16" x14ac:dyDescent="0.3">
      <c r="B65" s="4">
        <v>59</v>
      </c>
      <c r="C65" s="4" t="s">
        <v>359</v>
      </c>
      <c r="D65" s="4" t="s">
        <v>360</v>
      </c>
      <c r="E65" s="4" t="s">
        <v>181</v>
      </c>
      <c r="F65" s="22">
        <v>2305250.9789999998</v>
      </c>
      <c r="G65" s="22">
        <v>585026.09900000005</v>
      </c>
      <c r="H65" s="11">
        <v>5.1100000000000003</v>
      </c>
      <c r="I65" s="11">
        <v>3.66</v>
      </c>
      <c r="J65" s="6">
        <f t="shared" si="0"/>
        <v>1.4500000000000002</v>
      </c>
      <c r="K65" s="4" t="s">
        <v>361</v>
      </c>
      <c r="L65" s="5" t="s">
        <v>183</v>
      </c>
      <c r="M65" s="23" t="s">
        <v>184</v>
      </c>
    </row>
    <row r="66" spans="2:13" ht="16" x14ac:dyDescent="0.3">
      <c r="B66" s="4">
        <v>60</v>
      </c>
      <c r="C66" s="4" t="s">
        <v>362</v>
      </c>
      <c r="D66" s="4" t="s">
        <v>363</v>
      </c>
      <c r="E66" s="4" t="s">
        <v>181</v>
      </c>
      <c r="F66" s="22">
        <v>2305267.051</v>
      </c>
      <c r="G66" s="22">
        <v>585038.24100000004</v>
      </c>
      <c r="H66" s="11">
        <v>5.07</v>
      </c>
      <c r="I66" s="11">
        <v>3.59</v>
      </c>
      <c r="J66" s="6">
        <f t="shared" si="0"/>
        <v>1.4800000000000004</v>
      </c>
      <c r="K66" s="4" t="s">
        <v>364</v>
      </c>
      <c r="L66" s="5" t="s">
        <v>183</v>
      </c>
      <c r="M66" s="23" t="s">
        <v>184</v>
      </c>
    </row>
    <row r="67" spans="2:13" ht="16" x14ac:dyDescent="0.3">
      <c r="B67" s="4">
        <v>61</v>
      </c>
      <c r="C67" s="4" t="s">
        <v>365</v>
      </c>
      <c r="D67" s="4" t="s">
        <v>366</v>
      </c>
      <c r="E67" s="4" t="s">
        <v>181</v>
      </c>
      <c r="F67" s="22">
        <v>2305278.227</v>
      </c>
      <c r="G67" s="22">
        <v>585066.82499999995</v>
      </c>
      <c r="H67" s="11">
        <v>5.1100000000000003</v>
      </c>
      <c r="I67" s="11">
        <v>3.48</v>
      </c>
      <c r="J67" s="6">
        <f t="shared" si="0"/>
        <v>1.6300000000000003</v>
      </c>
      <c r="K67" s="4" t="s">
        <v>367</v>
      </c>
      <c r="L67" s="5" t="s">
        <v>254</v>
      </c>
      <c r="M67" s="23" t="s">
        <v>184</v>
      </c>
    </row>
    <row r="68" spans="2:13" ht="16" x14ac:dyDescent="0.3">
      <c r="B68" s="4">
        <v>62</v>
      </c>
      <c r="C68" s="4" t="s">
        <v>368</v>
      </c>
      <c r="D68" s="4" t="s">
        <v>369</v>
      </c>
      <c r="E68" s="4" t="s">
        <v>181</v>
      </c>
      <c r="F68" s="22">
        <v>2305294.341</v>
      </c>
      <c r="G68" s="22">
        <v>585078.93799999997</v>
      </c>
      <c r="H68" s="11">
        <v>5.07</v>
      </c>
      <c r="I68" s="11">
        <v>3.41</v>
      </c>
      <c r="J68" s="6">
        <f t="shared" si="0"/>
        <v>1.6600000000000001</v>
      </c>
      <c r="K68" s="4" t="s">
        <v>370</v>
      </c>
      <c r="L68" s="5" t="s">
        <v>254</v>
      </c>
      <c r="M68" s="23" t="s">
        <v>184</v>
      </c>
    </row>
    <row r="69" spans="2:13" ht="16" x14ac:dyDescent="0.3">
      <c r="B69" s="4">
        <v>63</v>
      </c>
      <c r="C69" s="4" t="s">
        <v>371</v>
      </c>
      <c r="D69" s="4" t="s">
        <v>372</v>
      </c>
      <c r="E69" s="4" t="s">
        <v>181</v>
      </c>
      <c r="F69" s="22">
        <v>2305305.5789999999</v>
      </c>
      <c r="G69" s="22">
        <v>585107.522</v>
      </c>
      <c r="H69" s="11">
        <v>5.1100000000000003</v>
      </c>
      <c r="I69" s="11">
        <v>3.3</v>
      </c>
      <c r="J69" s="6">
        <f t="shared" si="0"/>
        <v>1.8100000000000005</v>
      </c>
      <c r="K69" s="4" t="s">
        <v>373</v>
      </c>
      <c r="L69" s="5" t="s">
        <v>254</v>
      </c>
      <c r="M69" s="23" t="s">
        <v>184</v>
      </c>
    </row>
    <row r="70" spans="2:13" ht="16" x14ac:dyDescent="0.3">
      <c r="B70" s="4">
        <v>64</v>
      </c>
      <c r="C70" s="4" t="s">
        <v>374</v>
      </c>
      <c r="D70" s="4" t="s">
        <v>375</v>
      </c>
      <c r="E70" s="4" t="s">
        <v>181</v>
      </c>
      <c r="F70" s="22">
        <v>2305321.6310000001</v>
      </c>
      <c r="G70" s="22">
        <v>585119.63800000004</v>
      </c>
      <c r="H70" s="11">
        <v>5.17</v>
      </c>
      <c r="I70" s="11">
        <v>3.23</v>
      </c>
      <c r="J70" s="6">
        <f t="shared" si="0"/>
        <v>1.94</v>
      </c>
      <c r="K70" s="4" t="s">
        <v>376</v>
      </c>
      <c r="L70" s="5" t="s">
        <v>254</v>
      </c>
      <c r="M70" s="23" t="s">
        <v>184</v>
      </c>
    </row>
    <row r="71" spans="2:13" ht="16" x14ac:dyDescent="0.3">
      <c r="B71" s="4">
        <v>65</v>
      </c>
      <c r="C71" s="4" t="s">
        <v>377</v>
      </c>
      <c r="D71" s="4" t="s">
        <v>378</v>
      </c>
      <c r="E71" s="4" t="s">
        <v>181</v>
      </c>
      <c r="F71" s="22">
        <v>2305332.87</v>
      </c>
      <c r="G71" s="22">
        <v>585148.21699999995</v>
      </c>
      <c r="H71" s="11">
        <v>5.21</v>
      </c>
      <c r="I71" s="11">
        <v>3.12</v>
      </c>
      <c r="J71" s="6">
        <f t="shared" ref="J71:J134" si="1">H71-I71</f>
        <v>2.09</v>
      </c>
      <c r="K71" s="4" t="s">
        <v>379</v>
      </c>
      <c r="L71" s="5" t="s">
        <v>254</v>
      </c>
      <c r="M71" s="23" t="s">
        <v>184</v>
      </c>
    </row>
    <row r="72" spans="2:13" ht="16" x14ac:dyDescent="0.3">
      <c r="B72" s="4">
        <v>66</v>
      </c>
      <c r="C72" s="4" t="s">
        <v>380</v>
      </c>
      <c r="D72" s="4" t="s">
        <v>381</v>
      </c>
      <c r="E72" s="4" t="s">
        <v>181</v>
      </c>
      <c r="F72" s="22">
        <v>2305348.9210000001</v>
      </c>
      <c r="G72" s="22">
        <v>585160.33200000005</v>
      </c>
      <c r="H72" s="11">
        <v>5.17</v>
      </c>
      <c r="I72" s="11">
        <v>3.05</v>
      </c>
      <c r="J72" s="6">
        <f t="shared" si="1"/>
        <v>2.12</v>
      </c>
      <c r="K72" s="4" t="s">
        <v>382</v>
      </c>
      <c r="L72" s="5" t="s">
        <v>254</v>
      </c>
      <c r="M72" s="23" t="s">
        <v>184</v>
      </c>
    </row>
    <row r="73" spans="2:13" ht="16" x14ac:dyDescent="0.3">
      <c r="B73" s="4">
        <v>67</v>
      </c>
      <c r="C73" s="4" t="s">
        <v>383</v>
      </c>
      <c r="D73" s="4" t="s">
        <v>384</v>
      </c>
      <c r="E73" s="4" t="s">
        <v>181</v>
      </c>
      <c r="F73" s="22">
        <v>2305360.1310000001</v>
      </c>
      <c r="G73" s="22">
        <v>585188.93599999999</v>
      </c>
      <c r="H73" s="11">
        <v>5.21</v>
      </c>
      <c r="I73" s="11">
        <v>2.95</v>
      </c>
      <c r="J73" s="6">
        <f t="shared" si="1"/>
        <v>2.2599999999999998</v>
      </c>
      <c r="K73" s="4" t="s">
        <v>385</v>
      </c>
      <c r="L73" s="5" t="s">
        <v>254</v>
      </c>
      <c r="M73" s="23" t="s">
        <v>184</v>
      </c>
    </row>
    <row r="74" spans="2:13" ht="16" x14ac:dyDescent="0.3">
      <c r="B74" s="4">
        <v>68</v>
      </c>
      <c r="C74" s="4" t="s">
        <v>386</v>
      </c>
      <c r="D74" s="4" t="s">
        <v>387</v>
      </c>
      <c r="E74" s="4" t="s">
        <v>181</v>
      </c>
      <c r="F74" s="22">
        <v>2305377.2119999998</v>
      </c>
      <c r="G74" s="22">
        <v>585202.68900000001</v>
      </c>
      <c r="H74" s="11">
        <v>5.21</v>
      </c>
      <c r="I74" s="11">
        <v>2.87</v>
      </c>
      <c r="J74" s="6">
        <f t="shared" si="1"/>
        <v>2.34</v>
      </c>
      <c r="K74" s="4" t="s">
        <v>388</v>
      </c>
      <c r="L74" s="5" t="s">
        <v>254</v>
      </c>
      <c r="M74" s="23" t="s">
        <v>184</v>
      </c>
    </row>
    <row r="75" spans="2:13" ht="16" x14ac:dyDescent="0.3">
      <c r="B75" s="4">
        <v>69</v>
      </c>
      <c r="C75" s="4" t="s">
        <v>389</v>
      </c>
      <c r="D75" s="4" t="s">
        <v>390</v>
      </c>
      <c r="E75" s="4" t="s">
        <v>181</v>
      </c>
      <c r="F75" s="22">
        <v>2305179.8829999999</v>
      </c>
      <c r="G75" s="22">
        <v>584992.04099999997</v>
      </c>
      <c r="H75" s="11">
        <v>4.91</v>
      </c>
      <c r="I75" s="11">
        <v>4.0599999999999996</v>
      </c>
      <c r="J75" s="6">
        <f t="shared" si="1"/>
        <v>0.85000000000000053</v>
      </c>
      <c r="K75" s="4" t="s">
        <v>391</v>
      </c>
      <c r="L75" s="5" t="s">
        <v>183</v>
      </c>
      <c r="M75" s="23" t="s">
        <v>184</v>
      </c>
    </row>
    <row r="76" spans="2:13" ht="16" x14ac:dyDescent="0.3">
      <c r="B76" s="4">
        <v>70</v>
      </c>
      <c r="C76" s="4" t="s">
        <v>392</v>
      </c>
      <c r="D76" s="4" t="s">
        <v>393</v>
      </c>
      <c r="E76" s="4" t="s">
        <v>181</v>
      </c>
      <c r="F76" s="22">
        <v>2305125.5819999999</v>
      </c>
      <c r="G76" s="22">
        <v>585074.01199999999</v>
      </c>
      <c r="H76" s="11">
        <v>5.07</v>
      </c>
      <c r="I76" s="11">
        <v>3.62</v>
      </c>
      <c r="J76" s="6">
        <f t="shared" si="1"/>
        <v>1.4500000000000002</v>
      </c>
      <c r="K76" s="4" t="s">
        <v>394</v>
      </c>
      <c r="L76" s="5" t="s">
        <v>183</v>
      </c>
      <c r="M76" s="23" t="s">
        <v>184</v>
      </c>
    </row>
    <row r="77" spans="2:13" ht="16" x14ac:dyDescent="0.3">
      <c r="B77" s="4">
        <v>71</v>
      </c>
      <c r="C77" s="4" t="s">
        <v>395</v>
      </c>
      <c r="D77" s="4" t="s">
        <v>396</v>
      </c>
      <c r="E77" s="4" t="s">
        <v>181</v>
      </c>
      <c r="F77" s="22">
        <v>2305138.443</v>
      </c>
      <c r="G77" s="22">
        <v>585101.65399999998</v>
      </c>
      <c r="H77" s="11">
        <v>5.07</v>
      </c>
      <c r="I77" s="11">
        <v>3.52</v>
      </c>
      <c r="J77" s="6">
        <f t="shared" si="1"/>
        <v>1.5500000000000003</v>
      </c>
      <c r="K77" s="4" t="s">
        <v>397</v>
      </c>
      <c r="L77" s="5" t="s">
        <v>254</v>
      </c>
      <c r="M77" s="23" t="s">
        <v>184</v>
      </c>
    </row>
    <row r="78" spans="2:13" ht="16" x14ac:dyDescent="0.3">
      <c r="B78" s="4">
        <v>72</v>
      </c>
      <c r="C78" s="4" t="s">
        <v>398</v>
      </c>
      <c r="D78" s="4" t="s">
        <v>399</v>
      </c>
      <c r="E78" s="4" t="s">
        <v>181</v>
      </c>
      <c r="F78" s="22">
        <v>2305152.86</v>
      </c>
      <c r="G78" s="22">
        <v>585114.76100000006</v>
      </c>
      <c r="H78" s="11">
        <v>5.07</v>
      </c>
      <c r="I78" s="11">
        <v>3.45</v>
      </c>
      <c r="J78" s="6">
        <f t="shared" si="1"/>
        <v>1.62</v>
      </c>
      <c r="K78" s="4" t="s">
        <v>400</v>
      </c>
      <c r="L78" s="5" t="s">
        <v>254</v>
      </c>
      <c r="M78" s="23" t="s">
        <v>184</v>
      </c>
    </row>
    <row r="79" spans="2:13" ht="16" x14ac:dyDescent="0.3">
      <c r="B79" s="4">
        <v>73</v>
      </c>
      <c r="C79" s="4" t="s">
        <v>401</v>
      </c>
      <c r="D79" s="4" t="s">
        <v>402</v>
      </c>
      <c r="E79" s="4" t="s">
        <v>181</v>
      </c>
      <c r="F79" s="22">
        <v>2305158.9870000002</v>
      </c>
      <c r="G79" s="22">
        <v>585123.897</v>
      </c>
      <c r="H79" s="11">
        <v>5.07</v>
      </c>
      <c r="I79" s="11">
        <v>3.41</v>
      </c>
      <c r="J79" s="6">
        <f t="shared" si="1"/>
        <v>1.6600000000000001</v>
      </c>
      <c r="K79" s="4" t="s">
        <v>403</v>
      </c>
      <c r="L79" s="5" t="s">
        <v>254</v>
      </c>
      <c r="M79" s="23" t="s">
        <v>184</v>
      </c>
    </row>
    <row r="80" spans="2:13" ht="16" x14ac:dyDescent="0.3">
      <c r="B80" s="4">
        <v>74</v>
      </c>
      <c r="C80" s="4" t="s">
        <v>404</v>
      </c>
      <c r="D80" s="4" t="s">
        <v>405</v>
      </c>
      <c r="E80" s="4" t="s">
        <v>181</v>
      </c>
      <c r="F80" s="22">
        <v>2305180.284</v>
      </c>
      <c r="G80" s="22">
        <v>585155.42099999997</v>
      </c>
      <c r="H80" s="11">
        <v>5.07</v>
      </c>
      <c r="I80" s="11">
        <v>3.28</v>
      </c>
      <c r="J80" s="6">
        <f t="shared" si="1"/>
        <v>1.7900000000000005</v>
      </c>
      <c r="K80" s="4" t="s">
        <v>406</v>
      </c>
      <c r="L80" s="5" t="s">
        <v>254</v>
      </c>
      <c r="M80" s="23" t="s">
        <v>184</v>
      </c>
    </row>
    <row r="81" spans="2:13" ht="16" x14ac:dyDescent="0.3">
      <c r="B81" s="4">
        <v>75</v>
      </c>
      <c r="C81" s="4" t="s">
        <v>407</v>
      </c>
      <c r="D81" s="4" t="s">
        <v>408</v>
      </c>
      <c r="E81" s="4" t="s">
        <v>181</v>
      </c>
      <c r="F81" s="22">
        <v>2305186.41</v>
      </c>
      <c r="G81" s="22">
        <v>585164.55700000003</v>
      </c>
      <c r="H81" s="11">
        <v>5.07</v>
      </c>
      <c r="I81" s="11">
        <v>3.24</v>
      </c>
      <c r="J81" s="6">
        <f t="shared" si="1"/>
        <v>1.83</v>
      </c>
      <c r="K81" s="4" t="s">
        <v>409</v>
      </c>
      <c r="L81" s="5" t="s">
        <v>254</v>
      </c>
      <c r="M81" s="23" t="s">
        <v>184</v>
      </c>
    </row>
    <row r="82" spans="2:13" ht="16" x14ac:dyDescent="0.3">
      <c r="B82" s="4">
        <v>76</v>
      </c>
      <c r="C82" s="4" t="s">
        <v>410</v>
      </c>
      <c r="D82" s="4" t="s">
        <v>411</v>
      </c>
      <c r="E82" s="4" t="s">
        <v>181</v>
      </c>
      <c r="F82" s="22">
        <v>2305200.952</v>
      </c>
      <c r="G82" s="22">
        <v>585194.93700000003</v>
      </c>
      <c r="H82" s="11">
        <v>5.07</v>
      </c>
      <c r="I82" s="11">
        <v>3.12</v>
      </c>
      <c r="J82" s="6">
        <f t="shared" si="1"/>
        <v>1.9500000000000002</v>
      </c>
      <c r="K82" s="4" t="s">
        <v>412</v>
      </c>
      <c r="L82" s="5" t="s">
        <v>254</v>
      </c>
      <c r="M82" s="23" t="s">
        <v>184</v>
      </c>
    </row>
    <row r="83" spans="2:13" ht="16" x14ac:dyDescent="0.3">
      <c r="B83" s="4">
        <v>77</v>
      </c>
      <c r="C83" s="4" t="s">
        <v>413</v>
      </c>
      <c r="D83" s="4" t="s">
        <v>414</v>
      </c>
      <c r="E83" s="4" t="s">
        <v>181</v>
      </c>
      <c r="F83" s="22">
        <v>2305101.4879999999</v>
      </c>
      <c r="G83" s="22">
        <v>585267.24399999995</v>
      </c>
      <c r="H83" s="11">
        <v>5.07</v>
      </c>
      <c r="I83" s="11">
        <v>2.72</v>
      </c>
      <c r="J83" s="6">
        <f t="shared" si="1"/>
        <v>2.35</v>
      </c>
      <c r="K83" s="4" t="s">
        <v>415</v>
      </c>
      <c r="L83" s="5" t="s">
        <v>254</v>
      </c>
      <c r="M83" s="23" t="s">
        <v>184</v>
      </c>
    </row>
    <row r="84" spans="2:13" ht="16" x14ac:dyDescent="0.3">
      <c r="B84" s="4">
        <v>78</v>
      </c>
      <c r="C84" s="4" t="s">
        <v>416</v>
      </c>
      <c r="D84" s="4" t="s">
        <v>417</v>
      </c>
      <c r="E84" s="4" t="s">
        <v>181</v>
      </c>
      <c r="F84" s="22">
        <v>2305072.3489999999</v>
      </c>
      <c r="G84" s="22">
        <v>585064.05299999996</v>
      </c>
      <c r="H84" s="11">
        <v>4.91</v>
      </c>
      <c r="I84" s="11">
        <v>4.0599999999999996</v>
      </c>
      <c r="J84" s="6">
        <f t="shared" si="1"/>
        <v>0.85000000000000053</v>
      </c>
      <c r="K84" s="4" t="s">
        <v>418</v>
      </c>
      <c r="L84" s="5" t="s">
        <v>183</v>
      </c>
      <c r="M84" s="23" t="s">
        <v>184</v>
      </c>
    </row>
    <row r="85" spans="2:13" ht="16" x14ac:dyDescent="0.3">
      <c r="B85" s="4">
        <v>79</v>
      </c>
      <c r="C85" s="4" t="s">
        <v>419</v>
      </c>
      <c r="D85" s="4" t="s">
        <v>420</v>
      </c>
      <c r="E85" s="4" t="s">
        <v>181</v>
      </c>
      <c r="F85" s="22">
        <v>2305019.6830000002</v>
      </c>
      <c r="G85" s="22">
        <v>585145.12199999997</v>
      </c>
      <c r="H85" s="11">
        <v>5.07</v>
      </c>
      <c r="I85" s="11">
        <v>3.62</v>
      </c>
      <c r="J85" s="6">
        <f t="shared" si="1"/>
        <v>1.4500000000000002</v>
      </c>
      <c r="K85" s="4" t="s">
        <v>421</v>
      </c>
      <c r="L85" s="5" t="s">
        <v>183</v>
      </c>
      <c r="M85" s="23" t="s">
        <v>184</v>
      </c>
    </row>
    <row r="86" spans="2:13" ht="16" x14ac:dyDescent="0.3">
      <c r="B86" s="4">
        <v>80</v>
      </c>
      <c r="C86" s="4" t="s">
        <v>422</v>
      </c>
      <c r="D86" s="4" t="s">
        <v>423</v>
      </c>
      <c r="E86" s="4" t="s">
        <v>181</v>
      </c>
      <c r="F86" s="22">
        <v>2305030.895</v>
      </c>
      <c r="G86" s="22">
        <v>585173.70200000005</v>
      </c>
      <c r="H86" s="11">
        <v>5.1100000000000003</v>
      </c>
      <c r="I86" s="11">
        <v>3.52</v>
      </c>
      <c r="J86" s="6">
        <f t="shared" si="1"/>
        <v>1.5900000000000003</v>
      </c>
      <c r="K86" s="4" t="s">
        <v>424</v>
      </c>
      <c r="L86" s="5" t="s">
        <v>254</v>
      </c>
      <c r="M86" s="23" t="s">
        <v>184</v>
      </c>
    </row>
    <row r="87" spans="2:13" ht="16" x14ac:dyDescent="0.3">
      <c r="B87" s="4">
        <v>81</v>
      </c>
      <c r="C87" s="4" t="s">
        <v>425</v>
      </c>
      <c r="D87" s="4" t="s">
        <v>426</v>
      </c>
      <c r="E87" s="4" t="s">
        <v>181</v>
      </c>
      <c r="F87" s="22">
        <v>2305046.9649999999</v>
      </c>
      <c r="G87" s="22">
        <v>585185.78799999994</v>
      </c>
      <c r="H87" s="11">
        <v>5.07</v>
      </c>
      <c r="I87" s="11">
        <v>3.44</v>
      </c>
      <c r="J87" s="6">
        <f t="shared" si="1"/>
        <v>1.6300000000000003</v>
      </c>
      <c r="K87" s="4" t="s">
        <v>427</v>
      </c>
      <c r="L87" s="5" t="s">
        <v>254</v>
      </c>
      <c r="M87" s="23" t="s">
        <v>184</v>
      </c>
    </row>
    <row r="88" spans="2:13" ht="16" x14ac:dyDescent="0.3">
      <c r="B88" s="4">
        <v>82</v>
      </c>
      <c r="C88" s="4" t="s">
        <v>428</v>
      </c>
      <c r="D88" s="4" t="s">
        <v>429</v>
      </c>
      <c r="E88" s="4" t="s">
        <v>181</v>
      </c>
      <c r="F88" s="22">
        <v>2305058.1830000002</v>
      </c>
      <c r="G88" s="22">
        <v>585214.33600000001</v>
      </c>
      <c r="H88" s="11">
        <v>5.1100000000000003</v>
      </c>
      <c r="I88" s="11">
        <v>3.34</v>
      </c>
      <c r="J88" s="6">
        <f t="shared" si="1"/>
        <v>1.7700000000000005</v>
      </c>
      <c r="K88" s="4" t="s">
        <v>430</v>
      </c>
      <c r="L88" s="5" t="s">
        <v>254</v>
      </c>
      <c r="M88" s="23" t="s">
        <v>184</v>
      </c>
    </row>
    <row r="89" spans="2:13" ht="16" x14ac:dyDescent="0.3">
      <c r="B89" s="4">
        <v>83</v>
      </c>
      <c r="C89" s="4" t="s">
        <v>431</v>
      </c>
      <c r="D89" s="4" t="s">
        <v>432</v>
      </c>
      <c r="E89" s="4" t="s">
        <v>181</v>
      </c>
      <c r="F89" s="22">
        <v>2305074.273</v>
      </c>
      <c r="G89" s="22">
        <v>585226.50899999996</v>
      </c>
      <c r="H89" s="11">
        <v>5.07</v>
      </c>
      <c r="I89" s="11">
        <v>3.26</v>
      </c>
      <c r="J89" s="6">
        <f t="shared" si="1"/>
        <v>1.8100000000000005</v>
      </c>
      <c r="K89" s="4" t="s">
        <v>433</v>
      </c>
      <c r="L89" s="5" t="s">
        <v>254</v>
      </c>
      <c r="M89" s="23" t="s">
        <v>184</v>
      </c>
    </row>
    <row r="90" spans="2:13" ht="16" x14ac:dyDescent="0.3">
      <c r="B90" s="4">
        <v>84</v>
      </c>
      <c r="C90" s="4" t="s">
        <v>434</v>
      </c>
      <c r="D90" s="4" t="s">
        <v>435</v>
      </c>
      <c r="E90" s="4" t="s">
        <v>181</v>
      </c>
      <c r="F90" s="22">
        <v>2305085.4810000001</v>
      </c>
      <c r="G90" s="22">
        <v>585255.14099999995</v>
      </c>
      <c r="H90" s="11">
        <v>5.1100000000000003</v>
      </c>
      <c r="I90" s="11">
        <v>3.16</v>
      </c>
      <c r="J90" s="6">
        <f t="shared" si="1"/>
        <v>1.9500000000000002</v>
      </c>
      <c r="K90" s="4" t="s">
        <v>436</v>
      </c>
      <c r="L90" s="5" t="s">
        <v>254</v>
      </c>
      <c r="M90" s="23" t="s">
        <v>184</v>
      </c>
    </row>
    <row r="91" spans="2:13" ht="16" x14ac:dyDescent="0.3">
      <c r="B91" s="4">
        <v>85</v>
      </c>
      <c r="C91" s="4" t="s">
        <v>437</v>
      </c>
      <c r="D91" s="4" t="s">
        <v>438</v>
      </c>
      <c r="E91" s="4" t="s">
        <v>181</v>
      </c>
      <c r="F91" s="22">
        <v>2304885.8119999999</v>
      </c>
      <c r="G91" s="22">
        <v>585189.13800000004</v>
      </c>
      <c r="H91" s="11">
        <v>4.91</v>
      </c>
      <c r="I91" s="11">
        <v>4.0599999999999996</v>
      </c>
      <c r="J91" s="6">
        <f t="shared" si="1"/>
        <v>0.85000000000000053</v>
      </c>
      <c r="K91" s="4" t="s">
        <v>439</v>
      </c>
      <c r="L91" s="5" t="s">
        <v>183</v>
      </c>
      <c r="M91" s="23" t="s">
        <v>184</v>
      </c>
    </row>
    <row r="92" spans="2:13" ht="16" x14ac:dyDescent="0.3">
      <c r="B92" s="4">
        <v>86</v>
      </c>
      <c r="C92" s="4" t="s">
        <v>440</v>
      </c>
      <c r="D92" s="4" t="s">
        <v>441</v>
      </c>
      <c r="E92" s="4" t="s">
        <v>181</v>
      </c>
      <c r="F92" s="22">
        <v>2304973.4789999998</v>
      </c>
      <c r="G92" s="22">
        <v>585130.38399999996</v>
      </c>
      <c r="H92" s="11">
        <v>4.91</v>
      </c>
      <c r="I92" s="11">
        <v>3.71</v>
      </c>
      <c r="J92" s="6">
        <f t="shared" si="1"/>
        <v>1.2000000000000002</v>
      </c>
      <c r="K92" s="4" t="s">
        <v>442</v>
      </c>
      <c r="L92" s="5" t="s">
        <v>183</v>
      </c>
      <c r="M92" s="23" t="s">
        <v>184</v>
      </c>
    </row>
    <row r="93" spans="2:13" ht="16" x14ac:dyDescent="0.3">
      <c r="B93" s="4">
        <v>87</v>
      </c>
      <c r="C93" s="4" t="s">
        <v>443</v>
      </c>
      <c r="D93" s="4" t="s">
        <v>444</v>
      </c>
      <c r="E93" s="4" t="s">
        <v>181</v>
      </c>
      <c r="F93" s="22">
        <v>2304994.6060000001</v>
      </c>
      <c r="G93" s="22">
        <v>585161.93799999997</v>
      </c>
      <c r="H93" s="11">
        <v>5.07</v>
      </c>
      <c r="I93" s="11">
        <v>3.57</v>
      </c>
      <c r="J93" s="6">
        <f t="shared" si="1"/>
        <v>1.5000000000000004</v>
      </c>
      <c r="K93" s="4" t="s">
        <v>445</v>
      </c>
      <c r="L93" s="5" t="s">
        <v>183</v>
      </c>
      <c r="M93" s="23" t="s">
        <v>184</v>
      </c>
    </row>
    <row r="94" spans="2:13" ht="16" x14ac:dyDescent="0.3">
      <c r="B94" s="4">
        <v>88</v>
      </c>
      <c r="C94" s="4" t="s">
        <v>446</v>
      </c>
      <c r="D94" s="4" t="s">
        <v>447</v>
      </c>
      <c r="E94" s="4" t="s">
        <v>181</v>
      </c>
      <c r="F94" s="22">
        <v>2305016.7820000001</v>
      </c>
      <c r="G94" s="22">
        <v>585183.18299999996</v>
      </c>
      <c r="H94" s="11">
        <v>5.1100000000000003</v>
      </c>
      <c r="I94" s="11">
        <v>3.46</v>
      </c>
      <c r="J94" s="6">
        <f t="shared" si="1"/>
        <v>1.6500000000000004</v>
      </c>
      <c r="K94" s="4" t="s">
        <v>448</v>
      </c>
      <c r="L94" s="5" t="s">
        <v>254</v>
      </c>
      <c r="M94" s="23" t="s">
        <v>184</v>
      </c>
    </row>
    <row r="95" spans="2:13" ht="16" x14ac:dyDescent="0.3">
      <c r="B95" s="4">
        <v>89</v>
      </c>
      <c r="C95" s="4" t="s">
        <v>449</v>
      </c>
      <c r="D95" s="4" t="s">
        <v>450</v>
      </c>
      <c r="E95" s="4" t="s">
        <v>181</v>
      </c>
      <c r="F95" s="22">
        <v>2305021.8960000002</v>
      </c>
      <c r="G95" s="22">
        <v>585202.63500000001</v>
      </c>
      <c r="H95" s="11">
        <v>5.07</v>
      </c>
      <c r="I95" s="11">
        <v>3.39</v>
      </c>
      <c r="J95" s="6">
        <f t="shared" si="1"/>
        <v>1.6800000000000002</v>
      </c>
      <c r="K95" s="4" t="s">
        <v>451</v>
      </c>
      <c r="L95" s="5" t="s">
        <v>254</v>
      </c>
      <c r="M95" s="23" t="s">
        <v>184</v>
      </c>
    </row>
    <row r="96" spans="2:13" ht="16" x14ac:dyDescent="0.3">
      <c r="B96" s="4">
        <v>90</v>
      </c>
      <c r="C96" s="4" t="s">
        <v>452</v>
      </c>
      <c r="D96" s="4" t="s">
        <v>453</v>
      </c>
      <c r="E96" s="4" t="s">
        <v>181</v>
      </c>
      <c r="F96" s="22">
        <v>2305044.074</v>
      </c>
      <c r="G96" s="22">
        <v>585223.88300000003</v>
      </c>
      <c r="H96" s="11">
        <v>5.1100000000000003</v>
      </c>
      <c r="I96" s="11">
        <v>3.28</v>
      </c>
      <c r="J96" s="6">
        <f t="shared" si="1"/>
        <v>1.8300000000000005</v>
      </c>
      <c r="K96" s="4" t="s">
        <v>454</v>
      </c>
      <c r="L96" s="5" t="s">
        <v>254</v>
      </c>
      <c r="M96" s="23" t="s">
        <v>184</v>
      </c>
    </row>
    <row r="97" spans="2:13" ht="16" x14ac:dyDescent="0.3">
      <c r="B97" s="4">
        <v>91</v>
      </c>
      <c r="C97" s="4" t="s">
        <v>455</v>
      </c>
      <c r="D97" s="4" t="s">
        <v>456</v>
      </c>
      <c r="E97" s="4" t="s">
        <v>181</v>
      </c>
      <c r="F97" s="22">
        <v>2305049.1860000002</v>
      </c>
      <c r="G97" s="22">
        <v>585243.33200000005</v>
      </c>
      <c r="H97" s="11">
        <v>5.07</v>
      </c>
      <c r="I97" s="11">
        <v>3.21</v>
      </c>
      <c r="J97" s="6">
        <f t="shared" si="1"/>
        <v>1.8600000000000003</v>
      </c>
      <c r="K97" s="4" t="s">
        <v>457</v>
      </c>
      <c r="L97" s="5" t="s">
        <v>254</v>
      </c>
      <c r="M97" s="23" t="s">
        <v>184</v>
      </c>
    </row>
    <row r="98" spans="2:13" ht="16" x14ac:dyDescent="0.3">
      <c r="B98" s="4">
        <v>92</v>
      </c>
      <c r="C98" s="4" t="s">
        <v>458</v>
      </c>
      <c r="D98" s="4" t="s">
        <v>459</v>
      </c>
      <c r="E98" s="4" t="s">
        <v>181</v>
      </c>
      <c r="F98" s="22">
        <v>2305071.3620000002</v>
      </c>
      <c r="G98" s="22">
        <v>585264.57700000005</v>
      </c>
      <c r="H98" s="11">
        <v>5.1100000000000003</v>
      </c>
      <c r="I98" s="11">
        <v>3.1</v>
      </c>
      <c r="J98" s="6">
        <f t="shared" si="1"/>
        <v>2.0100000000000002</v>
      </c>
      <c r="K98" s="4" t="s">
        <v>460</v>
      </c>
      <c r="L98" s="5" t="s">
        <v>254</v>
      </c>
      <c r="M98" s="23" t="s">
        <v>184</v>
      </c>
    </row>
    <row r="99" spans="2:13" ht="16" x14ac:dyDescent="0.3">
      <c r="B99" s="4">
        <v>93</v>
      </c>
      <c r="C99" s="4" t="s">
        <v>461</v>
      </c>
      <c r="D99" s="4" t="s">
        <v>462</v>
      </c>
      <c r="E99" s="4" t="s">
        <v>181</v>
      </c>
      <c r="F99" s="22">
        <v>2305076.5109999999</v>
      </c>
      <c r="G99" s="22">
        <v>585284.07999999996</v>
      </c>
      <c r="H99" s="11">
        <v>5.07</v>
      </c>
      <c r="I99" s="11">
        <v>3.03</v>
      </c>
      <c r="J99" s="6">
        <f t="shared" si="1"/>
        <v>2.0400000000000005</v>
      </c>
      <c r="K99" s="4" t="s">
        <v>463</v>
      </c>
      <c r="L99" s="5" t="s">
        <v>254</v>
      </c>
      <c r="M99" s="23" t="s">
        <v>184</v>
      </c>
    </row>
    <row r="100" spans="2:13" ht="16" x14ac:dyDescent="0.3">
      <c r="B100" s="4">
        <v>94</v>
      </c>
      <c r="C100" s="4" t="s">
        <v>464</v>
      </c>
      <c r="D100" s="4" t="s">
        <v>465</v>
      </c>
      <c r="E100" s="4" t="s">
        <v>181</v>
      </c>
      <c r="F100" s="22">
        <v>2305098.6540000001</v>
      </c>
      <c r="G100" s="22">
        <v>585305.277</v>
      </c>
      <c r="H100" s="11">
        <v>5.16</v>
      </c>
      <c r="I100" s="11">
        <v>2.92</v>
      </c>
      <c r="J100" s="6">
        <f t="shared" si="1"/>
        <v>2.2400000000000002</v>
      </c>
      <c r="K100" s="4" t="s">
        <v>466</v>
      </c>
      <c r="L100" s="5" t="s">
        <v>254</v>
      </c>
      <c r="M100" s="23" t="s">
        <v>184</v>
      </c>
    </row>
    <row r="101" spans="2:13" ht="16" x14ac:dyDescent="0.3">
      <c r="B101" s="4">
        <v>95</v>
      </c>
      <c r="C101" s="4" t="s">
        <v>467</v>
      </c>
      <c r="D101" s="4" t="s">
        <v>468</v>
      </c>
      <c r="E101" s="4" t="s">
        <v>181</v>
      </c>
      <c r="F101" s="22">
        <v>2305103.7659999998</v>
      </c>
      <c r="G101" s="22">
        <v>585324.72600000002</v>
      </c>
      <c r="H101" s="11">
        <v>5.07</v>
      </c>
      <c r="I101" s="11">
        <v>2.85</v>
      </c>
      <c r="J101" s="6">
        <f t="shared" si="1"/>
        <v>2.2200000000000002</v>
      </c>
      <c r="K101" s="4" t="s">
        <v>469</v>
      </c>
      <c r="L101" s="5" t="s">
        <v>254</v>
      </c>
      <c r="M101" s="23" t="s">
        <v>184</v>
      </c>
    </row>
    <row r="102" spans="2:13" ht="16" x14ac:dyDescent="0.3">
      <c r="B102" s="4">
        <v>96</v>
      </c>
      <c r="C102" s="4" t="s">
        <v>470</v>
      </c>
      <c r="D102" s="4" t="s">
        <v>471</v>
      </c>
      <c r="E102" s="4" t="s">
        <v>181</v>
      </c>
      <c r="F102" s="22">
        <v>2305109.8930000002</v>
      </c>
      <c r="G102" s="22">
        <v>585333.86199999996</v>
      </c>
      <c r="H102" s="11">
        <v>5.07</v>
      </c>
      <c r="I102" s="11">
        <v>2.81</v>
      </c>
      <c r="J102" s="6">
        <f t="shared" si="1"/>
        <v>2.2600000000000002</v>
      </c>
      <c r="K102" s="4" t="s">
        <v>472</v>
      </c>
      <c r="L102" s="5" t="s">
        <v>254</v>
      </c>
      <c r="M102" s="23" t="s">
        <v>184</v>
      </c>
    </row>
    <row r="103" spans="2:13" ht="16" x14ac:dyDescent="0.3">
      <c r="B103" s="4">
        <v>97</v>
      </c>
      <c r="C103" s="4" t="s">
        <v>473</v>
      </c>
      <c r="D103" s="4" t="s">
        <v>474</v>
      </c>
      <c r="E103" s="4" t="s">
        <v>181</v>
      </c>
      <c r="F103" s="22">
        <v>2304743.0819999999</v>
      </c>
      <c r="G103" s="22">
        <v>585284.848</v>
      </c>
      <c r="H103" s="11">
        <v>4.91</v>
      </c>
      <c r="I103" s="11">
        <v>4.0599999999999996</v>
      </c>
      <c r="J103" s="6">
        <f t="shared" si="1"/>
        <v>0.85000000000000053</v>
      </c>
      <c r="K103" s="4" t="s">
        <v>475</v>
      </c>
      <c r="L103" s="5" t="s">
        <v>183</v>
      </c>
      <c r="M103" s="23" t="s">
        <v>184</v>
      </c>
    </row>
    <row r="104" spans="2:13" ht="16" x14ac:dyDescent="0.3">
      <c r="B104" s="4">
        <v>98</v>
      </c>
      <c r="C104" s="4" t="s">
        <v>476</v>
      </c>
      <c r="D104" s="4" t="s">
        <v>477</v>
      </c>
      <c r="E104" s="4" t="s">
        <v>181</v>
      </c>
      <c r="F104" s="22">
        <v>2304842.5830000001</v>
      </c>
      <c r="G104" s="22">
        <v>585277.12300000002</v>
      </c>
      <c r="H104" s="11">
        <v>4.97</v>
      </c>
      <c r="I104" s="11">
        <v>4.12</v>
      </c>
      <c r="J104" s="6">
        <f t="shared" si="1"/>
        <v>0.84999999999999964</v>
      </c>
      <c r="K104" s="4" t="s">
        <v>478</v>
      </c>
      <c r="L104" s="5" t="s">
        <v>183</v>
      </c>
      <c r="M104" s="23" t="s">
        <v>184</v>
      </c>
    </row>
    <row r="105" spans="2:13" ht="16" x14ac:dyDescent="0.3">
      <c r="B105" s="4">
        <v>99</v>
      </c>
      <c r="C105" s="4" t="s">
        <v>479</v>
      </c>
      <c r="D105" s="4" t="s">
        <v>480</v>
      </c>
      <c r="E105" s="4" t="s">
        <v>181</v>
      </c>
      <c r="F105" s="22">
        <v>2304845.9369999999</v>
      </c>
      <c r="G105" s="22">
        <v>585261.63</v>
      </c>
      <c r="H105" s="11">
        <v>4.97</v>
      </c>
      <c r="I105" s="11">
        <v>3.59</v>
      </c>
      <c r="J105" s="6">
        <f t="shared" si="1"/>
        <v>1.38</v>
      </c>
      <c r="K105" s="4" t="s">
        <v>481</v>
      </c>
      <c r="L105" s="5" t="s">
        <v>183</v>
      </c>
      <c r="M105" s="23" t="s">
        <v>184</v>
      </c>
    </row>
    <row r="106" spans="2:13" ht="16" x14ac:dyDescent="0.3">
      <c r="B106" s="4">
        <v>100</v>
      </c>
      <c r="C106" s="4" t="s">
        <v>482</v>
      </c>
      <c r="D106" s="4" t="s">
        <v>483</v>
      </c>
      <c r="E106" s="4" t="s">
        <v>181</v>
      </c>
      <c r="F106" s="22">
        <v>2304855.872</v>
      </c>
      <c r="G106" s="22">
        <v>585268.21200000006</v>
      </c>
      <c r="H106" s="11">
        <v>4.97</v>
      </c>
      <c r="I106" s="11">
        <v>3.55</v>
      </c>
      <c r="J106" s="6">
        <f t="shared" si="1"/>
        <v>1.42</v>
      </c>
      <c r="K106" s="4" t="s">
        <v>484</v>
      </c>
      <c r="L106" s="5" t="s">
        <v>183</v>
      </c>
      <c r="M106" s="23" t="s">
        <v>184</v>
      </c>
    </row>
    <row r="107" spans="2:13" ht="16" x14ac:dyDescent="0.3">
      <c r="B107" s="4">
        <v>101</v>
      </c>
      <c r="C107" s="4" t="s">
        <v>485</v>
      </c>
      <c r="D107" s="4" t="s">
        <v>486</v>
      </c>
      <c r="E107" s="4" t="s">
        <v>181</v>
      </c>
      <c r="F107" s="22">
        <v>2304958.906</v>
      </c>
      <c r="G107" s="22">
        <v>585421.86399999994</v>
      </c>
      <c r="H107" s="11">
        <v>5.17</v>
      </c>
      <c r="I107" s="11">
        <v>2.89</v>
      </c>
      <c r="J107" s="6">
        <f t="shared" si="1"/>
        <v>2.2799999999999998</v>
      </c>
      <c r="K107" s="4" t="s">
        <v>487</v>
      </c>
      <c r="L107" s="5" t="s">
        <v>254</v>
      </c>
      <c r="M107" s="23" t="s">
        <v>184</v>
      </c>
    </row>
    <row r="108" spans="2:13" ht="16" x14ac:dyDescent="0.3">
      <c r="B108" s="4">
        <v>102</v>
      </c>
      <c r="C108" s="4" t="s">
        <v>488</v>
      </c>
      <c r="D108" s="4" t="s">
        <v>489</v>
      </c>
      <c r="E108" s="4" t="s">
        <v>181</v>
      </c>
      <c r="F108" s="22">
        <v>2304961.2239999999</v>
      </c>
      <c r="G108" s="22">
        <v>585433.554</v>
      </c>
      <c r="H108" s="11">
        <v>5.17</v>
      </c>
      <c r="I108" s="11">
        <v>2.86</v>
      </c>
      <c r="J108" s="6">
        <f t="shared" si="1"/>
        <v>2.31</v>
      </c>
      <c r="K108" s="4" t="s">
        <v>490</v>
      </c>
      <c r="L108" s="5" t="s">
        <v>254</v>
      </c>
      <c r="M108" s="23" t="s">
        <v>184</v>
      </c>
    </row>
    <row r="109" spans="2:13" ht="16" x14ac:dyDescent="0.3">
      <c r="B109" s="4">
        <v>103</v>
      </c>
      <c r="C109" s="4" t="s">
        <v>491</v>
      </c>
      <c r="D109" s="4" t="s">
        <v>492</v>
      </c>
      <c r="E109" s="4" t="s">
        <v>181</v>
      </c>
      <c r="F109" s="22">
        <v>2304985.25</v>
      </c>
      <c r="G109" s="22">
        <v>585457.55799999996</v>
      </c>
      <c r="H109" s="11">
        <v>5.21</v>
      </c>
      <c r="I109" s="11">
        <v>2.35</v>
      </c>
      <c r="J109" s="6">
        <f t="shared" si="1"/>
        <v>2.86</v>
      </c>
      <c r="K109" s="4" t="s">
        <v>493</v>
      </c>
      <c r="L109" s="5" t="s">
        <v>300</v>
      </c>
      <c r="M109" s="23" t="s">
        <v>184</v>
      </c>
    </row>
    <row r="110" spans="2:13" ht="16" x14ac:dyDescent="0.3">
      <c r="B110" s="4">
        <v>104</v>
      </c>
      <c r="C110" s="4" t="s">
        <v>494</v>
      </c>
      <c r="D110" s="4" t="s">
        <v>495</v>
      </c>
      <c r="E110" s="4" t="s">
        <v>181</v>
      </c>
      <c r="F110" s="22">
        <v>2305133.9369999999</v>
      </c>
      <c r="G110" s="22">
        <v>585357.89399999997</v>
      </c>
      <c r="H110" s="11">
        <v>5.26</v>
      </c>
      <c r="I110" s="11">
        <v>1.74</v>
      </c>
      <c r="J110" s="6">
        <f t="shared" si="1"/>
        <v>3.5199999999999996</v>
      </c>
      <c r="K110" s="4" t="s">
        <v>496</v>
      </c>
      <c r="L110" s="5" t="s">
        <v>300</v>
      </c>
      <c r="M110" s="24" t="s">
        <v>304</v>
      </c>
    </row>
    <row r="111" spans="2:13" ht="16" x14ac:dyDescent="0.3">
      <c r="B111" s="4">
        <v>105</v>
      </c>
      <c r="C111" s="4" t="s">
        <v>497</v>
      </c>
      <c r="D111" s="4" t="s">
        <v>498</v>
      </c>
      <c r="E111" s="4" t="s">
        <v>181</v>
      </c>
      <c r="F111" s="22">
        <v>2304635.5090000001</v>
      </c>
      <c r="G111" s="22">
        <v>585356.98300000001</v>
      </c>
      <c r="H111" s="11">
        <v>4.91</v>
      </c>
      <c r="I111" s="11">
        <v>4.0599999999999996</v>
      </c>
      <c r="J111" s="6">
        <f t="shared" si="1"/>
        <v>0.85000000000000053</v>
      </c>
      <c r="K111" s="4" t="s">
        <v>499</v>
      </c>
      <c r="L111" s="5" t="s">
        <v>183</v>
      </c>
      <c r="M111" s="23" t="s">
        <v>184</v>
      </c>
    </row>
    <row r="112" spans="2:13" ht="16" x14ac:dyDescent="0.3">
      <c r="B112" s="4">
        <v>106</v>
      </c>
      <c r="C112" s="4" t="s">
        <v>500</v>
      </c>
      <c r="D112" s="4" t="s">
        <v>501</v>
      </c>
      <c r="E112" s="4" t="s">
        <v>181</v>
      </c>
      <c r="F112" s="22">
        <v>2304733.0290000001</v>
      </c>
      <c r="G112" s="22">
        <v>585337.34199999995</v>
      </c>
      <c r="H112" s="11">
        <v>5.17</v>
      </c>
      <c r="I112" s="11">
        <v>3.62</v>
      </c>
      <c r="J112" s="6">
        <f t="shared" si="1"/>
        <v>1.5499999999999998</v>
      </c>
      <c r="K112" s="4" t="s">
        <v>502</v>
      </c>
      <c r="L112" s="5" t="s">
        <v>254</v>
      </c>
      <c r="M112" s="23" t="s">
        <v>184</v>
      </c>
    </row>
    <row r="113" spans="2:13" ht="16" x14ac:dyDescent="0.3">
      <c r="B113" s="4">
        <v>107</v>
      </c>
      <c r="C113" s="4" t="s">
        <v>503</v>
      </c>
      <c r="D113" s="4" t="s">
        <v>504</v>
      </c>
      <c r="E113" s="4" t="s">
        <v>181</v>
      </c>
      <c r="F113" s="22">
        <v>2304832.1260000002</v>
      </c>
      <c r="G113" s="22">
        <v>585476.95700000005</v>
      </c>
      <c r="H113" s="11">
        <v>5.17</v>
      </c>
      <c r="I113" s="11">
        <v>3.05</v>
      </c>
      <c r="J113" s="6">
        <f t="shared" si="1"/>
        <v>2.12</v>
      </c>
      <c r="K113" s="4" t="s">
        <v>505</v>
      </c>
      <c r="L113" s="5" t="s">
        <v>254</v>
      </c>
      <c r="M113" s="23" t="s">
        <v>184</v>
      </c>
    </row>
    <row r="114" spans="2:13" ht="16" x14ac:dyDescent="0.3">
      <c r="B114" s="4">
        <v>108</v>
      </c>
      <c r="C114" s="4" t="s">
        <v>506</v>
      </c>
      <c r="D114" s="4" t="s">
        <v>507</v>
      </c>
      <c r="E114" s="4" t="s">
        <v>181</v>
      </c>
      <c r="F114" s="22">
        <v>2304842.176</v>
      </c>
      <c r="G114" s="22">
        <v>585500.11100000003</v>
      </c>
      <c r="H114" s="11">
        <v>5.17</v>
      </c>
      <c r="I114" s="11">
        <v>2.97</v>
      </c>
      <c r="J114" s="6">
        <f t="shared" si="1"/>
        <v>2.1999999999999997</v>
      </c>
      <c r="K114" s="4" t="s">
        <v>508</v>
      </c>
      <c r="L114" s="5" t="s">
        <v>254</v>
      </c>
      <c r="M114" s="23" t="s">
        <v>184</v>
      </c>
    </row>
    <row r="115" spans="2:13" ht="16" x14ac:dyDescent="0.3">
      <c r="B115" s="4">
        <v>109</v>
      </c>
      <c r="C115" s="4" t="s">
        <v>509</v>
      </c>
      <c r="D115" s="4" t="s">
        <v>510</v>
      </c>
      <c r="E115" s="4" t="s">
        <v>181</v>
      </c>
      <c r="F115" s="22">
        <v>2304870.7349999999</v>
      </c>
      <c r="G115" s="22">
        <v>585534.46499999997</v>
      </c>
      <c r="H115" s="11">
        <v>5.17</v>
      </c>
      <c r="I115" s="11">
        <v>2.81</v>
      </c>
      <c r="J115" s="6">
        <f t="shared" si="1"/>
        <v>2.36</v>
      </c>
      <c r="K115" s="4" t="s">
        <v>511</v>
      </c>
      <c r="L115" s="5" t="s">
        <v>254</v>
      </c>
      <c r="M115" s="23" t="s">
        <v>184</v>
      </c>
    </row>
    <row r="116" spans="2:13" ht="16" x14ac:dyDescent="0.3">
      <c r="B116" s="4">
        <v>110</v>
      </c>
      <c r="C116" s="4" t="s">
        <v>512</v>
      </c>
      <c r="D116" s="4" t="s">
        <v>513</v>
      </c>
      <c r="E116" s="4" t="s">
        <v>181</v>
      </c>
      <c r="F116" s="22">
        <v>2304642.9879999999</v>
      </c>
      <c r="G116" s="22">
        <v>585431.95400000003</v>
      </c>
      <c r="H116" s="11">
        <v>5.34</v>
      </c>
      <c r="I116" s="11">
        <v>4.49</v>
      </c>
      <c r="J116" s="6">
        <f t="shared" si="1"/>
        <v>0.84999999999999964</v>
      </c>
      <c r="K116" s="4" t="s">
        <v>514</v>
      </c>
      <c r="L116" s="5" t="s">
        <v>183</v>
      </c>
      <c r="M116" s="23" t="s">
        <v>184</v>
      </c>
    </row>
    <row r="117" spans="2:13" ht="16" x14ac:dyDescent="0.3">
      <c r="B117" s="4">
        <v>111</v>
      </c>
      <c r="C117" s="4" t="s">
        <v>515</v>
      </c>
      <c r="D117" s="4" t="s">
        <v>516</v>
      </c>
      <c r="E117" s="4" t="s">
        <v>181</v>
      </c>
      <c r="F117" s="22">
        <v>2304848.4500000002</v>
      </c>
      <c r="G117" s="22">
        <v>585509.29299999995</v>
      </c>
      <c r="H117" s="11">
        <v>5.17</v>
      </c>
      <c r="I117" s="11">
        <v>2.93</v>
      </c>
      <c r="J117" s="6">
        <f t="shared" si="1"/>
        <v>2.2399999999999998</v>
      </c>
      <c r="K117" s="4" t="s">
        <v>517</v>
      </c>
      <c r="L117" s="5" t="s">
        <v>254</v>
      </c>
      <c r="M117" s="23" t="s">
        <v>184</v>
      </c>
    </row>
    <row r="118" spans="2:13" ht="16" x14ac:dyDescent="0.3">
      <c r="B118" s="4">
        <v>112</v>
      </c>
      <c r="C118" s="4" t="s">
        <v>518</v>
      </c>
      <c r="D118" s="4" t="s">
        <v>519</v>
      </c>
      <c r="E118" s="4" t="s">
        <v>181</v>
      </c>
      <c r="F118" s="22">
        <v>2304765.3250000002</v>
      </c>
      <c r="G118" s="22">
        <v>585546.152</v>
      </c>
      <c r="H118" s="11">
        <v>5.17</v>
      </c>
      <c r="I118" s="11">
        <v>3.79</v>
      </c>
      <c r="J118" s="6">
        <f t="shared" si="1"/>
        <v>1.38</v>
      </c>
      <c r="K118" s="4" t="s">
        <v>520</v>
      </c>
      <c r="L118" s="5" t="s">
        <v>183</v>
      </c>
      <c r="M118" s="23" t="s">
        <v>184</v>
      </c>
    </row>
    <row r="119" spans="2:13" ht="16" x14ac:dyDescent="0.3">
      <c r="B119" s="4">
        <v>113</v>
      </c>
      <c r="C119" s="4" t="s">
        <v>521</v>
      </c>
      <c r="D119" s="4" t="s">
        <v>522</v>
      </c>
      <c r="E119" s="4" t="s">
        <v>181</v>
      </c>
      <c r="F119" s="22">
        <v>2304774.4610000001</v>
      </c>
      <c r="G119" s="22">
        <v>585540.02599999995</v>
      </c>
      <c r="H119" s="11">
        <v>5.17</v>
      </c>
      <c r="I119" s="11">
        <v>3.75</v>
      </c>
      <c r="J119" s="6">
        <f t="shared" si="1"/>
        <v>1.42</v>
      </c>
      <c r="K119" s="4" t="s">
        <v>523</v>
      </c>
      <c r="L119" s="5" t="s">
        <v>183</v>
      </c>
      <c r="M119" s="23" t="s">
        <v>184</v>
      </c>
    </row>
    <row r="120" spans="2:13" ht="16" x14ac:dyDescent="0.3">
      <c r="B120" s="4">
        <v>114</v>
      </c>
      <c r="C120" s="4" t="s">
        <v>524</v>
      </c>
      <c r="D120" s="4" t="s">
        <v>525</v>
      </c>
      <c r="E120" s="4" t="s">
        <v>181</v>
      </c>
      <c r="F120" s="22">
        <v>2305565.0150000001</v>
      </c>
      <c r="G120" s="22">
        <v>585482.58600000001</v>
      </c>
      <c r="H120" s="11">
        <v>5.17</v>
      </c>
      <c r="I120" s="11">
        <v>3.61</v>
      </c>
      <c r="J120" s="6">
        <f t="shared" si="1"/>
        <v>1.56</v>
      </c>
      <c r="K120" s="4" t="s">
        <v>526</v>
      </c>
      <c r="L120" s="5" t="s">
        <v>254</v>
      </c>
      <c r="M120" s="23" t="s">
        <v>184</v>
      </c>
    </row>
    <row r="121" spans="2:13" ht="16" x14ac:dyDescent="0.3">
      <c r="B121" s="4">
        <v>115</v>
      </c>
      <c r="C121" s="4" t="s">
        <v>527</v>
      </c>
      <c r="D121" s="4" t="s">
        <v>528</v>
      </c>
      <c r="E121" s="4" t="s">
        <v>181</v>
      </c>
      <c r="F121" s="22">
        <v>2305558.8879999998</v>
      </c>
      <c r="G121" s="22">
        <v>585473.44999999995</v>
      </c>
      <c r="H121" s="11">
        <v>5.17</v>
      </c>
      <c r="I121" s="11">
        <v>3.57</v>
      </c>
      <c r="J121" s="6">
        <f t="shared" si="1"/>
        <v>1.6</v>
      </c>
      <c r="K121" s="4" t="s">
        <v>529</v>
      </c>
      <c r="L121" s="5" t="s">
        <v>254</v>
      </c>
      <c r="M121" s="23" t="s">
        <v>184</v>
      </c>
    </row>
    <row r="122" spans="2:13" ht="16" x14ac:dyDescent="0.3">
      <c r="B122" s="4">
        <v>116</v>
      </c>
      <c r="C122" s="4" t="s">
        <v>530</v>
      </c>
      <c r="D122" s="4" t="s">
        <v>531</v>
      </c>
      <c r="E122" s="4" t="s">
        <v>181</v>
      </c>
      <c r="F122" s="22">
        <v>2305546.5989999999</v>
      </c>
      <c r="G122" s="22">
        <v>585455.25399999996</v>
      </c>
      <c r="H122" s="11">
        <v>5.31</v>
      </c>
      <c r="I122" s="11">
        <v>3.53</v>
      </c>
      <c r="J122" s="6">
        <f t="shared" si="1"/>
        <v>1.7799999999999998</v>
      </c>
      <c r="K122" s="4" t="s">
        <v>532</v>
      </c>
      <c r="L122" s="5" t="s">
        <v>254</v>
      </c>
      <c r="M122" s="23" t="s">
        <v>184</v>
      </c>
    </row>
    <row r="123" spans="2:13" ht="16" x14ac:dyDescent="0.3">
      <c r="B123" s="4">
        <v>117</v>
      </c>
      <c r="C123" s="4" t="s">
        <v>533</v>
      </c>
      <c r="D123" s="4" t="s">
        <v>534</v>
      </c>
      <c r="E123" s="4" t="s">
        <v>181</v>
      </c>
      <c r="F123" s="22">
        <v>2305537.1549999998</v>
      </c>
      <c r="G123" s="22">
        <v>585441.01399999997</v>
      </c>
      <c r="H123" s="11">
        <v>5.31</v>
      </c>
      <c r="I123" s="11">
        <v>3.48</v>
      </c>
      <c r="J123" s="6">
        <f t="shared" si="1"/>
        <v>1.8299999999999996</v>
      </c>
      <c r="K123" s="4" t="s">
        <v>535</v>
      </c>
      <c r="L123" s="5" t="s">
        <v>254</v>
      </c>
      <c r="M123" s="23" t="s">
        <v>184</v>
      </c>
    </row>
    <row r="124" spans="2:13" ht="16" x14ac:dyDescent="0.3">
      <c r="B124" s="4">
        <v>118</v>
      </c>
      <c r="C124" s="4" t="s">
        <v>536</v>
      </c>
      <c r="D124" s="4" t="s">
        <v>537</v>
      </c>
      <c r="E124" s="4" t="s">
        <v>181</v>
      </c>
      <c r="F124" s="22">
        <v>2305524.915</v>
      </c>
      <c r="G124" s="22">
        <v>585422.78599999996</v>
      </c>
      <c r="H124" s="11">
        <v>5.17</v>
      </c>
      <c r="I124" s="11">
        <v>3.4</v>
      </c>
      <c r="J124" s="6">
        <f t="shared" si="1"/>
        <v>1.77</v>
      </c>
      <c r="K124" s="4" t="s">
        <v>538</v>
      </c>
      <c r="L124" s="5" t="s">
        <v>254</v>
      </c>
      <c r="M124" s="23" t="s">
        <v>184</v>
      </c>
    </row>
    <row r="125" spans="2:13" ht="16" x14ac:dyDescent="0.3">
      <c r="B125" s="4">
        <v>119</v>
      </c>
      <c r="C125" s="4" t="s">
        <v>539</v>
      </c>
      <c r="D125" s="4" t="s">
        <v>540</v>
      </c>
      <c r="E125" s="4" t="s">
        <v>181</v>
      </c>
      <c r="F125" s="22">
        <v>2305518.7889999999</v>
      </c>
      <c r="G125" s="22">
        <v>585413.65</v>
      </c>
      <c r="H125" s="11">
        <v>5.17</v>
      </c>
      <c r="I125" s="11">
        <v>3.37</v>
      </c>
      <c r="J125" s="6">
        <f t="shared" si="1"/>
        <v>1.7999999999999998</v>
      </c>
      <c r="K125" s="4" t="s">
        <v>541</v>
      </c>
      <c r="L125" s="5" t="s">
        <v>254</v>
      </c>
      <c r="M125" s="23" t="s">
        <v>184</v>
      </c>
    </row>
    <row r="126" spans="2:13" ht="16" x14ac:dyDescent="0.3">
      <c r="B126" s="4">
        <v>120</v>
      </c>
      <c r="C126" s="4" t="s">
        <v>542</v>
      </c>
      <c r="D126" s="4" t="s">
        <v>543</v>
      </c>
      <c r="E126" s="4" t="s">
        <v>181</v>
      </c>
      <c r="F126" s="22">
        <v>2305441.5809999998</v>
      </c>
      <c r="G126" s="22">
        <v>585310.33700000006</v>
      </c>
      <c r="H126" s="11">
        <v>5.31</v>
      </c>
      <c r="I126" s="11">
        <v>2.92</v>
      </c>
      <c r="J126" s="6">
        <f t="shared" si="1"/>
        <v>2.3899999999999997</v>
      </c>
      <c r="K126" s="4" t="s">
        <v>544</v>
      </c>
      <c r="L126" s="5" t="s">
        <v>254</v>
      </c>
      <c r="M126" s="23" t="s">
        <v>184</v>
      </c>
    </row>
    <row r="127" spans="2:13" ht="16" x14ac:dyDescent="0.3">
      <c r="B127" s="4">
        <v>121</v>
      </c>
      <c r="C127" s="4" t="s">
        <v>545</v>
      </c>
      <c r="D127" s="4" t="s">
        <v>546</v>
      </c>
      <c r="E127" s="4" t="s">
        <v>181</v>
      </c>
      <c r="F127" s="22">
        <v>2305432.9959999998</v>
      </c>
      <c r="G127" s="22">
        <v>585285.71100000001</v>
      </c>
      <c r="H127" s="11">
        <v>5.17</v>
      </c>
      <c r="I127" s="11">
        <v>2.83</v>
      </c>
      <c r="J127" s="6">
        <f t="shared" si="1"/>
        <v>2.34</v>
      </c>
      <c r="K127" s="4" t="s">
        <v>547</v>
      </c>
      <c r="L127" s="5" t="s">
        <v>254</v>
      </c>
      <c r="M127" s="23" t="s">
        <v>184</v>
      </c>
    </row>
    <row r="128" spans="2:13" ht="16" x14ac:dyDescent="0.3">
      <c r="B128" s="4">
        <v>122</v>
      </c>
      <c r="C128" s="4" t="s">
        <v>548</v>
      </c>
      <c r="D128" s="4" t="s">
        <v>549</v>
      </c>
      <c r="E128" s="4" t="s">
        <v>181</v>
      </c>
      <c r="F128" s="22">
        <v>2305426.87</v>
      </c>
      <c r="G128" s="22">
        <v>585276.57499999995</v>
      </c>
      <c r="H128" s="11">
        <v>5.17</v>
      </c>
      <c r="I128" s="11">
        <v>2.79</v>
      </c>
      <c r="J128" s="6">
        <f t="shared" si="1"/>
        <v>2.38</v>
      </c>
      <c r="K128" s="4" t="s">
        <v>550</v>
      </c>
      <c r="L128" s="5" t="s">
        <v>254</v>
      </c>
      <c r="M128" s="23" t="s">
        <v>184</v>
      </c>
    </row>
    <row r="129" spans="2:13" ht="16" x14ac:dyDescent="0.3">
      <c r="B129" s="4">
        <v>123</v>
      </c>
      <c r="C129" s="4" t="s">
        <v>551</v>
      </c>
      <c r="D129" s="4" t="s">
        <v>552</v>
      </c>
      <c r="E129" s="4" t="s">
        <v>181</v>
      </c>
      <c r="F129" s="22">
        <v>2305414.64</v>
      </c>
      <c r="G129" s="22">
        <v>585258.33700000006</v>
      </c>
      <c r="H129" s="11">
        <v>5.17</v>
      </c>
      <c r="I129" s="11">
        <v>2.7</v>
      </c>
      <c r="J129" s="6">
        <f t="shared" si="1"/>
        <v>2.4699999999999998</v>
      </c>
      <c r="K129" s="4" t="s">
        <v>553</v>
      </c>
      <c r="L129" s="5" t="s">
        <v>254</v>
      </c>
      <c r="M129" s="23" t="s">
        <v>184</v>
      </c>
    </row>
    <row r="130" spans="2:13" ht="16" x14ac:dyDescent="0.3">
      <c r="B130" s="4">
        <v>124</v>
      </c>
      <c r="C130" s="4" t="s">
        <v>554</v>
      </c>
      <c r="D130" s="4" t="s">
        <v>555</v>
      </c>
      <c r="E130" s="4" t="s">
        <v>181</v>
      </c>
      <c r="F130" s="22">
        <v>2305408.514</v>
      </c>
      <c r="G130" s="22">
        <v>585249.201</v>
      </c>
      <c r="H130" s="11">
        <v>5.17</v>
      </c>
      <c r="I130" s="11">
        <v>2.67</v>
      </c>
      <c r="J130" s="6">
        <f t="shared" si="1"/>
        <v>2.5</v>
      </c>
      <c r="K130" s="4" t="s">
        <v>556</v>
      </c>
      <c r="L130" s="5" t="s">
        <v>254</v>
      </c>
      <c r="M130" s="23" t="s">
        <v>184</v>
      </c>
    </row>
    <row r="131" spans="2:13" ht="16" x14ac:dyDescent="0.3">
      <c r="B131" s="4">
        <v>125</v>
      </c>
      <c r="C131" s="4" t="s">
        <v>557</v>
      </c>
      <c r="D131" s="4" t="s">
        <v>558</v>
      </c>
      <c r="E131" s="4" t="s">
        <v>181</v>
      </c>
      <c r="F131" s="22">
        <v>2305514.5589999999</v>
      </c>
      <c r="G131" s="22">
        <v>585645.25</v>
      </c>
      <c r="H131" s="11">
        <v>5.27</v>
      </c>
      <c r="I131" s="11">
        <v>4.4400000000000004</v>
      </c>
      <c r="J131" s="6">
        <f t="shared" si="1"/>
        <v>0.82999999999999918</v>
      </c>
      <c r="K131" s="4" t="s">
        <v>559</v>
      </c>
      <c r="L131" s="5" t="s">
        <v>183</v>
      </c>
      <c r="M131" s="23" t="s">
        <v>184</v>
      </c>
    </row>
    <row r="132" spans="2:13" ht="16" x14ac:dyDescent="0.3">
      <c r="B132" s="4">
        <v>126</v>
      </c>
      <c r="C132" s="4" t="s">
        <v>560</v>
      </c>
      <c r="D132" s="4" t="s">
        <v>561</v>
      </c>
      <c r="E132" s="4" t="s">
        <v>181</v>
      </c>
      <c r="F132" s="22">
        <v>2305508.4330000002</v>
      </c>
      <c r="G132" s="22">
        <v>585636.11399999994</v>
      </c>
      <c r="H132" s="11">
        <v>5.27</v>
      </c>
      <c r="I132" s="11">
        <v>4.1100000000000003</v>
      </c>
      <c r="J132" s="6">
        <f t="shared" si="1"/>
        <v>1.1599999999999993</v>
      </c>
      <c r="K132" s="4" t="s">
        <v>562</v>
      </c>
      <c r="L132" s="5" t="s">
        <v>183</v>
      </c>
      <c r="M132" s="23" t="s">
        <v>184</v>
      </c>
    </row>
    <row r="133" spans="2:13" ht="16" x14ac:dyDescent="0.3">
      <c r="B133" s="4">
        <v>127</v>
      </c>
      <c r="C133" s="4" t="s">
        <v>563</v>
      </c>
      <c r="D133" s="4" t="s">
        <v>564</v>
      </c>
      <c r="E133" s="4" t="s">
        <v>181</v>
      </c>
      <c r="F133" s="22">
        <v>2305491.7250000001</v>
      </c>
      <c r="G133" s="22">
        <v>585611.19700000004</v>
      </c>
      <c r="H133" s="11">
        <v>5.27</v>
      </c>
      <c r="I133" s="11">
        <v>4</v>
      </c>
      <c r="J133" s="6">
        <f t="shared" si="1"/>
        <v>1.2699999999999996</v>
      </c>
      <c r="K133" s="4" t="s">
        <v>565</v>
      </c>
      <c r="L133" s="5" t="s">
        <v>183</v>
      </c>
      <c r="M133" s="23" t="s">
        <v>184</v>
      </c>
    </row>
    <row r="134" spans="2:13" ht="16" x14ac:dyDescent="0.3">
      <c r="B134" s="4">
        <v>128</v>
      </c>
      <c r="C134" s="4" t="s">
        <v>566</v>
      </c>
      <c r="D134" s="4" t="s">
        <v>567</v>
      </c>
      <c r="E134" s="4" t="s">
        <v>181</v>
      </c>
      <c r="F134" s="22">
        <v>2305375.585</v>
      </c>
      <c r="G134" s="22">
        <v>585675.90700000001</v>
      </c>
      <c r="H134" s="11">
        <v>5.27</v>
      </c>
      <c r="I134" s="11">
        <v>3.52</v>
      </c>
      <c r="J134" s="6">
        <f t="shared" si="1"/>
        <v>1.7499999999999996</v>
      </c>
      <c r="K134" s="4" t="s">
        <v>568</v>
      </c>
      <c r="L134" s="5" t="s">
        <v>254</v>
      </c>
      <c r="M134" s="23" t="s">
        <v>184</v>
      </c>
    </row>
    <row r="135" spans="2:13" ht="16" x14ac:dyDescent="0.3">
      <c r="B135" s="4">
        <v>129</v>
      </c>
      <c r="C135" s="4" t="s">
        <v>569</v>
      </c>
      <c r="D135" s="4" t="s">
        <v>570</v>
      </c>
      <c r="E135" s="4" t="s">
        <v>181</v>
      </c>
      <c r="F135" s="22">
        <v>2305485.2110000001</v>
      </c>
      <c r="G135" s="22">
        <v>585664.93000000005</v>
      </c>
      <c r="H135" s="11">
        <v>5.27</v>
      </c>
      <c r="I135" s="11">
        <v>4.42</v>
      </c>
      <c r="J135" s="6">
        <f t="shared" ref="J135:J198" si="2">H135-I135</f>
        <v>0.84999999999999964</v>
      </c>
      <c r="K135" s="4" t="s">
        <v>571</v>
      </c>
      <c r="L135" s="5" t="s">
        <v>183</v>
      </c>
      <c r="M135" s="23" t="s">
        <v>184</v>
      </c>
    </row>
    <row r="136" spans="2:13" ht="16" x14ac:dyDescent="0.3">
      <c r="B136" s="4">
        <v>130</v>
      </c>
      <c r="C136" s="4" t="s">
        <v>572</v>
      </c>
      <c r="D136" s="4" t="s">
        <v>573</v>
      </c>
      <c r="E136" s="4" t="s">
        <v>181</v>
      </c>
      <c r="F136" s="22">
        <v>2305175.986</v>
      </c>
      <c r="G136" s="22">
        <v>585390.18000000005</v>
      </c>
      <c r="H136" s="11">
        <v>5.31</v>
      </c>
      <c r="I136" s="11">
        <v>2.35</v>
      </c>
      <c r="J136" s="6">
        <f t="shared" si="2"/>
        <v>2.9599999999999995</v>
      </c>
      <c r="K136" s="4" t="s">
        <v>574</v>
      </c>
      <c r="L136" s="5" t="s">
        <v>300</v>
      </c>
      <c r="M136" s="23" t="s">
        <v>184</v>
      </c>
    </row>
    <row r="137" spans="2:13" ht="16" x14ac:dyDescent="0.3">
      <c r="B137" s="4">
        <v>131</v>
      </c>
      <c r="C137" s="4" t="s">
        <v>575</v>
      </c>
      <c r="D137" s="4" t="s">
        <v>576</v>
      </c>
      <c r="E137" s="4" t="s">
        <v>181</v>
      </c>
      <c r="F137" s="22">
        <v>2305509.4890000001</v>
      </c>
      <c r="G137" s="22">
        <v>585442.13100000005</v>
      </c>
      <c r="H137" s="11">
        <v>5.31</v>
      </c>
      <c r="I137" s="11">
        <v>4.46</v>
      </c>
      <c r="J137" s="6">
        <f t="shared" si="2"/>
        <v>0.84999999999999964</v>
      </c>
      <c r="K137" s="4" t="s">
        <v>577</v>
      </c>
      <c r="L137" s="5" t="s">
        <v>183</v>
      </c>
      <c r="M137" s="23" t="s">
        <v>184</v>
      </c>
    </row>
    <row r="138" spans="2:13" ht="16" x14ac:dyDescent="0.3">
      <c r="B138" s="4">
        <v>132</v>
      </c>
      <c r="C138" s="4" t="s">
        <v>578</v>
      </c>
      <c r="D138" s="4" t="s">
        <v>579</v>
      </c>
      <c r="E138" s="4" t="s">
        <v>181</v>
      </c>
      <c r="F138" s="22">
        <v>2305453.8080000002</v>
      </c>
      <c r="G138" s="22">
        <v>585359.15800000005</v>
      </c>
      <c r="H138" s="11">
        <v>5.31</v>
      </c>
      <c r="I138" s="11">
        <v>4.13</v>
      </c>
      <c r="J138" s="6">
        <f t="shared" si="2"/>
        <v>1.1799999999999997</v>
      </c>
      <c r="K138" s="4" t="s">
        <v>580</v>
      </c>
      <c r="L138" s="5" t="s">
        <v>183</v>
      </c>
      <c r="M138" s="23" t="s">
        <v>184</v>
      </c>
    </row>
    <row r="139" spans="2:13" ht="16" x14ac:dyDescent="0.3">
      <c r="B139" s="4">
        <v>133</v>
      </c>
      <c r="C139" s="4" t="s">
        <v>581</v>
      </c>
      <c r="D139" s="4" t="s">
        <v>582</v>
      </c>
      <c r="E139" s="4" t="s">
        <v>181</v>
      </c>
      <c r="F139" s="22">
        <v>2305434.4709999999</v>
      </c>
      <c r="G139" s="22">
        <v>585369.75699999998</v>
      </c>
      <c r="H139" s="11">
        <v>5.27</v>
      </c>
      <c r="I139" s="11">
        <v>4.04</v>
      </c>
      <c r="J139" s="6">
        <f t="shared" si="2"/>
        <v>1.2299999999999995</v>
      </c>
      <c r="K139" s="4" t="s">
        <v>583</v>
      </c>
      <c r="L139" s="5" t="s">
        <v>183</v>
      </c>
      <c r="M139" s="23" t="s">
        <v>184</v>
      </c>
    </row>
    <row r="140" spans="2:13" ht="16" x14ac:dyDescent="0.3">
      <c r="B140" s="4">
        <v>134</v>
      </c>
      <c r="C140" s="4" t="s">
        <v>584</v>
      </c>
      <c r="D140" s="4" t="s">
        <v>585</v>
      </c>
      <c r="E140" s="4" t="s">
        <v>181</v>
      </c>
      <c r="F140" s="22">
        <v>2305407</v>
      </c>
      <c r="G140" s="22">
        <v>585382.65899999999</v>
      </c>
      <c r="H140" s="11">
        <v>5.27</v>
      </c>
      <c r="I140" s="11">
        <v>3.93</v>
      </c>
      <c r="J140" s="6">
        <f t="shared" si="2"/>
        <v>1.3399999999999994</v>
      </c>
      <c r="K140" s="4" t="s">
        <v>586</v>
      </c>
      <c r="L140" s="5" t="s">
        <v>183</v>
      </c>
      <c r="M140" s="23" t="s">
        <v>184</v>
      </c>
    </row>
    <row r="141" spans="2:13" ht="16" x14ac:dyDescent="0.3">
      <c r="B141" s="4">
        <v>135</v>
      </c>
      <c r="C141" s="4" t="s">
        <v>587</v>
      </c>
      <c r="D141" s="4" t="s">
        <v>588</v>
      </c>
      <c r="E141" s="4" t="s">
        <v>181</v>
      </c>
      <c r="F141" s="22">
        <v>2305393.7740000002</v>
      </c>
      <c r="G141" s="22">
        <v>585397.04799999995</v>
      </c>
      <c r="H141" s="11">
        <v>5.27</v>
      </c>
      <c r="I141" s="11">
        <v>3.87</v>
      </c>
      <c r="J141" s="6">
        <f t="shared" si="2"/>
        <v>1.3999999999999995</v>
      </c>
      <c r="K141" s="4" t="s">
        <v>589</v>
      </c>
      <c r="L141" s="5" t="s">
        <v>183</v>
      </c>
      <c r="M141" s="23" t="s">
        <v>184</v>
      </c>
    </row>
    <row r="142" spans="2:13" ht="16" x14ac:dyDescent="0.3">
      <c r="B142" s="4">
        <v>136</v>
      </c>
      <c r="C142" s="4" t="s">
        <v>590</v>
      </c>
      <c r="D142" s="4" t="s">
        <v>591</v>
      </c>
      <c r="E142" s="4" t="s">
        <v>181</v>
      </c>
      <c r="F142" s="22">
        <v>2305366.3029999998</v>
      </c>
      <c r="G142" s="22">
        <v>585409.94900000002</v>
      </c>
      <c r="H142" s="11">
        <v>5.27</v>
      </c>
      <c r="I142" s="11">
        <v>3.76</v>
      </c>
      <c r="J142" s="6">
        <f t="shared" si="2"/>
        <v>1.5099999999999998</v>
      </c>
      <c r="K142" s="4" t="s">
        <v>592</v>
      </c>
      <c r="L142" s="5" t="s">
        <v>254</v>
      </c>
      <c r="M142" s="23" t="s">
        <v>184</v>
      </c>
    </row>
    <row r="143" spans="2:13" ht="16" x14ac:dyDescent="0.3">
      <c r="B143" s="4">
        <v>137</v>
      </c>
      <c r="C143" s="4" t="s">
        <v>593</v>
      </c>
      <c r="D143" s="4" t="s">
        <v>594</v>
      </c>
      <c r="E143" s="4" t="s">
        <v>181</v>
      </c>
      <c r="F143" s="22">
        <v>2305353.077</v>
      </c>
      <c r="G143" s="22">
        <v>585424.33799999999</v>
      </c>
      <c r="H143" s="11">
        <v>5.27</v>
      </c>
      <c r="I143" s="11">
        <v>3.69</v>
      </c>
      <c r="J143" s="6">
        <f t="shared" si="2"/>
        <v>1.5799999999999996</v>
      </c>
      <c r="K143" s="4" t="s">
        <v>595</v>
      </c>
      <c r="L143" s="5" t="s">
        <v>254</v>
      </c>
      <c r="M143" s="23" t="s">
        <v>184</v>
      </c>
    </row>
    <row r="144" spans="2:13" ht="16" x14ac:dyDescent="0.3">
      <c r="B144" s="4">
        <v>138</v>
      </c>
      <c r="C144" s="4" t="s">
        <v>596</v>
      </c>
      <c r="D144" s="4" t="s">
        <v>597</v>
      </c>
      <c r="E144" s="4" t="s">
        <v>181</v>
      </c>
      <c r="F144" s="22">
        <v>2305325.602</v>
      </c>
      <c r="G144" s="22">
        <v>585437.23300000001</v>
      </c>
      <c r="H144" s="11">
        <v>5.27</v>
      </c>
      <c r="I144" s="11">
        <v>3.59</v>
      </c>
      <c r="J144" s="6">
        <f t="shared" si="2"/>
        <v>1.6799999999999997</v>
      </c>
      <c r="K144" s="4" t="s">
        <v>598</v>
      </c>
      <c r="L144" s="5" t="s">
        <v>254</v>
      </c>
      <c r="M144" s="23" t="s">
        <v>184</v>
      </c>
    </row>
    <row r="145" spans="2:13" ht="16" x14ac:dyDescent="0.3">
      <c r="B145" s="4">
        <v>139</v>
      </c>
      <c r="C145" s="4" t="s">
        <v>599</v>
      </c>
      <c r="D145" s="4" t="s">
        <v>600</v>
      </c>
      <c r="E145" s="4" t="s">
        <v>181</v>
      </c>
      <c r="F145" s="22">
        <v>2305312.534</v>
      </c>
      <c r="G145" s="22">
        <v>585451.85800000001</v>
      </c>
      <c r="H145" s="11">
        <v>5.27</v>
      </c>
      <c r="I145" s="11">
        <v>3.52</v>
      </c>
      <c r="J145" s="6">
        <f t="shared" si="2"/>
        <v>1.7499999999999996</v>
      </c>
      <c r="K145" s="4" t="s">
        <v>601</v>
      </c>
      <c r="L145" s="5" t="s">
        <v>254</v>
      </c>
      <c r="M145" s="23" t="s">
        <v>184</v>
      </c>
    </row>
    <row r="146" spans="2:13" ht="16" x14ac:dyDescent="0.3">
      <c r="B146" s="4">
        <v>140</v>
      </c>
      <c r="C146" s="4" t="s">
        <v>602</v>
      </c>
      <c r="D146" s="4" t="s">
        <v>603</v>
      </c>
      <c r="E146" s="4" t="s">
        <v>181</v>
      </c>
      <c r="F146" s="22">
        <v>2305284.909</v>
      </c>
      <c r="G146" s="22">
        <v>585464.52899999998</v>
      </c>
      <c r="H146" s="11">
        <v>5.27</v>
      </c>
      <c r="I146" s="11">
        <v>3.41</v>
      </c>
      <c r="J146" s="6">
        <f t="shared" si="2"/>
        <v>1.8599999999999994</v>
      </c>
      <c r="K146" s="4" t="s">
        <v>604</v>
      </c>
      <c r="L146" s="5" t="s">
        <v>254</v>
      </c>
      <c r="M146" s="23" t="s">
        <v>184</v>
      </c>
    </row>
    <row r="147" spans="2:13" ht="16" x14ac:dyDescent="0.3">
      <c r="B147" s="4">
        <v>141</v>
      </c>
      <c r="C147" s="4" t="s">
        <v>605</v>
      </c>
      <c r="D147" s="4" t="s">
        <v>606</v>
      </c>
      <c r="E147" s="4" t="s">
        <v>181</v>
      </c>
      <c r="F147" s="22">
        <v>2305271.6830000002</v>
      </c>
      <c r="G147" s="22">
        <v>585478.91799999995</v>
      </c>
      <c r="H147" s="11">
        <v>5.27</v>
      </c>
      <c r="I147" s="11">
        <v>3.34</v>
      </c>
      <c r="J147" s="6">
        <f t="shared" si="2"/>
        <v>1.9299999999999997</v>
      </c>
      <c r="K147" s="4" t="s">
        <v>607</v>
      </c>
      <c r="L147" s="5" t="s">
        <v>254</v>
      </c>
      <c r="M147" s="23" t="s">
        <v>184</v>
      </c>
    </row>
    <row r="148" spans="2:13" ht="16" x14ac:dyDescent="0.3">
      <c r="B148" s="4">
        <v>142</v>
      </c>
      <c r="C148" s="4" t="s">
        <v>608</v>
      </c>
      <c r="D148" s="4" t="s">
        <v>192</v>
      </c>
      <c r="E148" s="4" t="s">
        <v>181</v>
      </c>
      <c r="F148" s="22">
        <v>2305276.335</v>
      </c>
      <c r="G148" s="22">
        <v>585782.11899999995</v>
      </c>
      <c r="H148" s="11">
        <v>5.27</v>
      </c>
      <c r="I148" s="11">
        <v>4.42</v>
      </c>
      <c r="J148" s="6">
        <f t="shared" si="2"/>
        <v>0.84999999999999964</v>
      </c>
      <c r="K148" s="4" t="s">
        <v>609</v>
      </c>
      <c r="L148" s="5" t="s">
        <v>183</v>
      </c>
      <c r="M148" s="23" t="s">
        <v>184</v>
      </c>
    </row>
    <row r="149" spans="2:13" ht="16" x14ac:dyDescent="0.3">
      <c r="B149" s="4">
        <v>143</v>
      </c>
      <c r="C149" s="4" t="s">
        <v>610</v>
      </c>
      <c r="D149" s="4" t="s">
        <v>611</v>
      </c>
      <c r="E149" s="4" t="s">
        <v>181</v>
      </c>
      <c r="F149" s="22">
        <v>2305273.6329999999</v>
      </c>
      <c r="G149" s="22">
        <v>585578.04399999999</v>
      </c>
      <c r="H149" s="11">
        <v>5.27</v>
      </c>
      <c r="I149" s="11">
        <v>3.41</v>
      </c>
      <c r="J149" s="6">
        <f t="shared" si="2"/>
        <v>1.8599999999999994</v>
      </c>
      <c r="K149" s="4" t="s">
        <v>612</v>
      </c>
      <c r="L149" s="5" t="s">
        <v>254</v>
      </c>
      <c r="M149" s="23" t="s">
        <v>184</v>
      </c>
    </row>
    <row r="150" spans="2:13" ht="16" x14ac:dyDescent="0.3">
      <c r="B150" s="4">
        <v>144</v>
      </c>
      <c r="C150" s="4" t="s">
        <v>613</v>
      </c>
      <c r="D150" s="4" t="s">
        <v>614</v>
      </c>
      <c r="E150" s="4" t="s">
        <v>181</v>
      </c>
      <c r="F150" s="22">
        <v>2305313.733</v>
      </c>
      <c r="G150" s="22">
        <v>585637.84400000004</v>
      </c>
      <c r="H150" s="11">
        <v>5.27</v>
      </c>
      <c r="I150" s="11">
        <v>3.69</v>
      </c>
      <c r="J150" s="6">
        <f t="shared" si="2"/>
        <v>1.5799999999999996</v>
      </c>
      <c r="K150" s="4" t="s">
        <v>615</v>
      </c>
      <c r="L150" s="5" t="s">
        <v>254</v>
      </c>
      <c r="M150" s="23" t="s">
        <v>184</v>
      </c>
    </row>
    <row r="151" spans="2:13" ht="16" x14ac:dyDescent="0.3">
      <c r="B151" s="4">
        <v>145</v>
      </c>
      <c r="C151" s="4" t="s">
        <v>616</v>
      </c>
      <c r="D151" s="4" t="s">
        <v>617</v>
      </c>
      <c r="E151" s="4" t="s">
        <v>181</v>
      </c>
      <c r="F151" s="22">
        <v>2305301.4810000001</v>
      </c>
      <c r="G151" s="22">
        <v>585619.598</v>
      </c>
      <c r="H151" s="11">
        <v>5.31</v>
      </c>
      <c r="I151" s="11">
        <v>3.6</v>
      </c>
      <c r="J151" s="6">
        <f t="shared" si="2"/>
        <v>1.7099999999999995</v>
      </c>
      <c r="K151" s="4" t="s">
        <v>618</v>
      </c>
      <c r="L151" s="5" t="s">
        <v>254</v>
      </c>
      <c r="M151" s="23" t="s">
        <v>184</v>
      </c>
    </row>
    <row r="152" spans="2:13" ht="16" x14ac:dyDescent="0.3">
      <c r="B152" s="4">
        <v>146</v>
      </c>
      <c r="C152" s="4" t="s">
        <v>619</v>
      </c>
      <c r="D152" s="4" t="s">
        <v>620</v>
      </c>
      <c r="E152" s="4" t="s">
        <v>181</v>
      </c>
      <c r="F152" s="22">
        <v>2305292.0079999999</v>
      </c>
      <c r="G152" s="22">
        <v>585605.47199999995</v>
      </c>
      <c r="H152" s="11">
        <v>5.31</v>
      </c>
      <c r="I152" s="11">
        <v>3.54</v>
      </c>
      <c r="J152" s="6">
        <f t="shared" si="2"/>
        <v>1.7699999999999996</v>
      </c>
      <c r="K152" s="4" t="s">
        <v>621</v>
      </c>
      <c r="L152" s="5" t="s">
        <v>254</v>
      </c>
      <c r="M152" s="23" t="s">
        <v>184</v>
      </c>
    </row>
    <row r="153" spans="2:13" ht="16" x14ac:dyDescent="0.3">
      <c r="B153" s="4">
        <v>147</v>
      </c>
      <c r="C153" s="4" t="s">
        <v>622</v>
      </c>
      <c r="D153" s="4" t="s">
        <v>623</v>
      </c>
      <c r="E153" s="4" t="s">
        <v>181</v>
      </c>
      <c r="F153" s="22">
        <v>2305279.7599999998</v>
      </c>
      <c r="G153" s="22">
        <v>585587.18000000005</v>
      </c>
      <c r="H153" s="11">
        <v>5.27</v>
      </c>
      <c r="I153" s="11">
        <v>3.45</v>
      </c>
      <c r="J153" s="6">
        <f t="shared" si="2"/>
        <v>1.8199999999999994</v>
      </c>
      <c r="K153" s="4" t="s">
        <v>624</v>
      </c>
      <c r="L153" s="5" t="s">
        <v>254</v>
      </c>
      <c r="M153" s="23" t="s">
        <v>184</v>
      </c>
    </row>
    <row r="154" spans="2:13" ht="16" x14ac:dyDescent="0.3">
      <c r="B154" s="4">
        <v>148</v>
      </c>
      <c r="C154" s="4" t="s">
        <v>625</v>
      </c>
      <c r="D154" s="4" t="s">
        <v>626</v>
      </c>
      <c r="E154" s="4" t="s">
        <v>181</v>
      </c>
      <c r="F154" s="22">
        <v>2305187.8640000001</v>
      </c>
      <c r="G154" s="22">
        <v>585450.13899999997</v>
      </c>
      <c r="H154" s="11">
        <v>5.27</v>
      </c>
      <c r="I154" s="11">
        <v>2.87</v>
      </c>
      <c r="J154" s="6">
        <f t="shared" si="2"/>
        <v>2.3999999999999995</v>
      </c>
      <c r="K154" s="4" t="s">
        <v>627</v>
      </c>
      <c r="L154" s="5" t="s">
        <v>254</v>
      </c>
      <c r="M154" s="23" t="s">
        <v>184</v>
      </c>
    </row>
    <row r="155" spans="2:13" ht="16" x14ac:dyDescent="0.3">
      <c r="B155" s="4">
        <v>149</v>
      </c>
      <c r="C155" s="4" t="s">
        <v>628</v>
      </c>
      <c r="D155" s="4" t="s">
        <v>629</v>
      </c>
      <c r="E155" s="4" t="s">
        <v>181</v>
      </c>
      <c r="F155" s="22">
        <v>2305181.7379999999</v>
      </c>
      <c r="G155" s="22">
        <v>585441.00300000003</v>
      </c>
      <c r="H155" s="11">
        <v>5.27</v>
      </c>
      <c r="I155" s="11">
        <v>2.84</v>
      </c>
      <c r="J155" s="6">
        <f t="shared" si="2"/>
        <v>2.4299999999999997</v>
      </c>
      <c r="K155" s="4" t="s">
        <v>630</v>
      </c>
      <c r="L155" s="5" t="s">
        <v>254</v>
      </c>
      <c r="M155" s="23" t="s">
        <v>184</v>
      </c>
    </row>
    <row r="156" spans="2:13" ht="16" x14ac:dyDescent="0.3">
      <c r="B156" s="4">
        <v>150</v>
      </c>
      <c r="C156" s="4" t="s">
        <v>631</v>
      </c>
      <c r="D156" s="4" t="s">
        <v>632</v>
      </c>
      <c r="E156" s="4" t="s">
        <v>181</v>
      </c>
      <c r="F156" s="22">
        <v>2305169.466</v>
      </c>
      <c r="G156" s="22">
        <v>585422.72699999996</v>
      </c>
      <c r="H156" s="11">
        <v>5.27</v>
      </c>
      <c r="I156" s="11">
        <v>2.75</v>
      </c>
      <c r="J156" s="6">
        <f t="shared" si="2"/>
        <v>2.5199999999999996</v>
      </c>
      <c r="K156" s="4" t="s">
        <v>633</v>
      </c>
      <c r="L156" s="5" t="s">
        <v>300</v>
      </c>
      <c r="M156" s="23" t="s">
        <v>184</v>
      </c>
    </row>
    <row r="157" spans="2:13" ht="16" x14ac:dyDescent="0.3">
      <c r="B157" s="4">
        <v>151</v>
      </c>
      <c r="C157" s="4" t="s">
        <v>634</v>
      </c>
      <c r="D157" s="4" t="s">
        <v>635</v>
      </c>
      <c r="E157" s="4" t="s">
        <v>181</v>
      </c>
      <c r="F157" s="22">
        <v>2305226.318</v>
      </c>
      <c r="G157" s="22">
        <v>585825.29099999997</v>
      </c>
      <c r="H157" s="11">
        <v>5.27</v>
      </c>
      <c r="I157" s="11">
        <v>4.05</v>
      </c>
      <c r="J157" s="6">
        <f t="shared" si="2"/>
        <v>1.2199999999999998</v>
      </c>
      <c r="K157" s="4" t="s">
        <v>636</v>
      </c>
      <c r="L157" s="5" t="s">
        <v>183</v>
      </c>
      <c r="M157" s="23" t="s">
        <v>184</v>
      </c>
    </row>
    <row r="158" spans="2:13" ht="16" x14ac:dyDescent="0.3">
      <c r="B158" s="4">
        <v>152</v>
      </c>
      <c r="C158" s="4" t="s">
        <v>637</v>
      </c>
      <c r="D158" s="4" t="s">
        <v>638</v>
      </c>
      <c r="E158" s="4" t="s">
        <v>181</v>
      </c>
      <c r="F158" s="22">
        <v>2305214.0660000001</v>
      </c>
      <c r="G158" s="22">
        <v>585807.01899999997</v>
      </c>
      <c r="H158" s="11">
        <v>5.27</v>
      </c>
      <c r="I158" s="11">
        <v>3.97</v>
      </c>
      <c r="J158" s="6">
        <f t="shared" si="2"/>
        <v>1.2999999999999994</v>
      </c>
      <c r="K158" s="4" t="s">
        <v>639</v>
      </c>
      <c r="L158" s="5" t="s">
        <v>183</v>
      </c>
      <c r="M158" s="23" t="s">
        <v>184</v>
      </c>
    </row>
    <row r="159" spans="2:13" ht="16" x14ac:dyDescent="0.3">
      <c r="B159" s="4">
        <v>153</v>
      </c>
      <c r="C159" s="4" t="s">
        <v>640</v>
      </c>
      <c r="D159" s="4" t="s">
        <v>641</v>
      </c>
      <c r="E159" s="4" t="s">
        <v>181</v>
      </c>
      <c r="F159" s="22">
        <v>2305207.9389999998</v>
      </c>
      <c r="G159" s="22">
        <v>585797.88300000003</v>
      </c>
      <c r="H159" s="11">
        <v>5.27</v>
      </c>
      <c r="I159" s="11">
        <v>3.93</v>
      </c>
      <c r="J159" s="6">
        <f t="shared" si="2"/>
        <v>1.3399999999999994</v>
      </c>
      <c r="K159" s="4" t="s">
        <v>642</v>
      </c>
      <c r="L159" s="5" t="s">
        <v>183</v>
      </c>
      <c r="M159" s="23" t="s">
        <v>184</v>
      </c>
    </row>
    <row r="160" spans="2:13" ht="16" x14ac:dyDescent="0.3">
      <c r="B160" s="4">
        <v>154</v>
      </c>
      <c r="C160" s="4" t="s">
        <v>643</v>
      </c>
      <c r="D160" s="4" t="s">
        <v>644</v>
      </c>
      <c r="E160" s="4" t="s">
        <v>181</v>
      </c>
      <c r="F160" s="22">
        <v>2305195.6869999999</v>
      </c>
      <c r="G160" s="22">
        <v>585779.61100000003</v>
      </c>
      <c r="H160" s="11">
        <v>5.27</v>
      </c>
      <c r="I160" s="11">
        <v>3.84</v>
      </c>
      <c r="J160" s="6">
        <f t="shared" si="2"/>
        <v>1.4299999999999997</v>
      </c>
      <c r="K160" s="4" t="s">
        <v>645</v>
      </c>
      <c r="L160" s="5" t="s">
        <v>183</v>
      </c>
      <c r="M160" s="23" t="s">
        <v>184</v>
      </c>
    </row>
    <row r="161" spans="2:13" ht="16" x14ac:dyDescent="0.3">
      <c r="B161" s="4">
        <v>155</v>
      </c>
      <c r="C161" s="4" t="s">
        <v>646</v>
      </c>
      <c r="D161" s="4" t="s">
        <v>647</v>
      </c>
      <c r="E161" s="4" t="s">
        <v>181</v>
      </c>
      <c r="F161" s="22">
        <v>2305189.56</v>
      </c>
      <c r="G161" s="22">
        <v>585770.47499999998</v>
      </c>
      <c r="H161" s="11">
        <v>5.27</v>
      </c>
      <c r="I161" s="11">
        <v>3.81</v>
      </c>
      <c r="J161" s="6">
        <f t="shared" si="2"/>
        <v>1.4599999999999995</v>
      </c>
      <c r="K161" s="4" t="s">
        <v>648</v>
      </c>
      <c r="L161" s="5" t="s">
        <v>183</v>
      </c>
      <c r="M161" s="23" t="s">
        <v>184</v>
      </c>
    </row>
    <row r="162" spans="2:13" ht="16" x14ac:dyDescent="0.3">
      <c r="B162" s="4">
        <v>156</v>
      </c>
      <c r="C162" s="4" t="s">
        <v>649</v>
      </c>
      <c r="D162" s="4" t="s">
        <v>650</v>
      </c>
      <c r="E162" s="4" t="s">
        <v>181</v>
      </c>
      <c r="F162" s="22">
        <v>2305177.38</v>
      </c>
      <c r="G162" s="22">
        <v>585752.21699999995</v>
      </c>
      <c r="H162" s="11">
        <v>5.27</v>
      </c>
      <c r="I162" s="11">
        <v>3.73</v>
      </c>
      <c r="J162" s="6">
        <f t="shared" si="2"/>
        <v>1.5399999999999996</v>
      </c>
      <c r="K162" s="4" t="s">
        <v>651</v>
      </c>
      <c r="L162" s="5" t="s">
        <v>254</v>
      </c>
      <c r="M162" s="23" t="s">
        <v>184</v>
      </c>
    </row>
    <row r="163" spans="2:13" ht="16" x14ac:dyDescent="0.3">
      <c r="B163" s="4">
        <v>157</v>
      </c>
      <c r="C163" s="4" t="s">
        <v>652</v>
      </c>
      <c r="D163" s="4" t="s">
        <v>653</v>
      </c>
      <c r="E163" s="4" t="s">
        <v>181</v>
      </c>
      <c r="F163" s="22">
        <v>2305171.2540000002</v>
      </c>
      <c r="G163" s="22">
        <v>585743.08100000001</v>
      </c>
      <c r="H163" s="11">
        <v>5.27</v>
      </c>
      <c r="I163" s="11">
        <v>3.69</v>
      </c>
      <c r="J163" s="6">
        <f t="shared" si="2"/>
        <v>1.5799999999999996</v>
      </c>
      <c r="K163" s="4" t="s">
        <v>654</v>
      </c>
      <c r="L163" s="5" t="s">
        <v>254</v>
      </c>
      <c r="M163" s="23" t="s">
        <v>184</v>
      </c>
    </row>
    <row r="164" spans="2:13" ht="16" x14ac:dyDescent="0.3">
      <c r="B164" s="4">
        <v>158</v>
      </c>
      <c r="C164" s="4" t="s">
        <v>655</v>
      </c>
      <c r="D164" s="4" t="s">
        <v>656</v>
      </c>
      <c r="E164" s="4" t="s">
        <v>181</v>
      </c>
      <c r="F164" s="22">
        <v>2305152.8119999999</v>
      </c>
      <c r="G164" s="22">
        <v>585719.26399999997</v>
      </c>
      <c r="H164" s="11">
        <v>5.31</v>
      </c>
      <c r="I164" s="11">
        <v>3.58</v>
      </c>
      <c r="J164" s="6">
        <f t="shared" si="2"/>
        <v>1.7299999999999995</v>
      </c>
      <c r="K164" s="4" t="s">
        <v>657</v>
      </c>
      <c r="L164" s="5" t="s">
        <v>254</v>
      </c>
      <c r="M164" s="23" t="s">
        <v>184</v>
      </c>
    </row>
    <row r="165" spans="2:13" ht="16" x14ac:dyDescent="0.3">
      <c r="B165" s="4">
        <v>159</v>
      </c>
      <c r="C165" s="4" t="s">
        <v>658</v>
      </c>
      <c r="D165" s="4" t="s">
        <v>659</v>
      </c>
      <c r="E165" s="4" t="s">
        <v>181</v>
      </c>
      <c r="F165" s="22">
        <v>2305143.5449999999</v>
      </c>
      <c r="G165" s="22">
        <v>585705.01</v>
      </c>
      <c r="H165" s="11">
        <v>5.31</v>
      </c>
      <c r="I165" s="11">
        <v>3.52</v>
      </c>
      <c r="J165" s="6">
        <f t="shared" si="2"/>
        <v>1.7899999999999996</v>
      </c>
      <c r="K165" s="4" t="s">
        <v>660</v>
      </c>
      <c r="L165" s="5" t="s">
        <v>254</v>
      </c>
      <c r="M165" s="23" t="s">
        <v>184</v>
      </c>
    </row>
    <row r="166" spans="2:13" ht="16" x14ac:dyDescent="0.3">
      <c r="B166" s="4">
        <v>160</v>
      </c>
      <c r="C166" s="4" t="s">
        <v>661</v>
      </c>
      <c r="D166" s="4" t="s">
        <v>662</v>
      </c>
      <c r="E166" s="4" t="s">
        <v>181</v>
      </c>
      <c r="F166" s="22">
        <v>2305132.7519999999</v>
      </c>
      <c r="G166" s="22">
        <v>585685.75899999996</v>
      </c>
      <c r="H166" s="11">
        <v>5.27</v>
      </c>
      <c r="I166" s="11">
        <v>3.43</v>
      </c>
      <c r="J166" s="6">
        <f t="shared" si="2"/>
        <v>1.8399999999999994</v>
      </c>
      <c r="K166" s="4" t="s">
        <v>663</v>
      </c>
      <c r="L166" s="5" t="s">
        <v>254</v>
      </c>
      <c r="M166" s="23" t="s">
        <v>184</v>
      </c>
    </row>
    <row r="167" spans="2:13" ht="16" x14ac:dyDescent="0.3">
      <c r="B167" s="4">
        <v>161</v>
      </c>
      <c r="C167" s="4" t="s">
        <v>664</v>
      </c>
      <c r="D167" s="4" t="s">
        <v>665</v>
      </c>
      <c r="E167" s="4" t="s">
        <v>181</v>
      </c>
      <c r="F167" s="22">
        <v>2305126.6260000002</v>
      </c>
      <c r="G167" s="22">
        <v>585676.62300000002</v>
      </c>
      <c r="H167" s="11">
        <v>5.27</v>
      </c>
      <c r="I167" s="11">
        <v>3.4</v>
      </c>
      <c r="J167" s="6">
        <f t="shared" si="2"/>
        <v>1.8699999999999997</v>
      </c>
      <c r="K167" s="4" t="s">
        <v>666</v>
      </c>
      <c r="L167" s="5" t="s">
        <v>254</v>
      </c>
      <c r="M167" s="23" t="s">
        <v>184</v>
      </c>
    </row>
    <row r="168" spans="2:13" ht="16" x14ac:dyDescent="0.3">
      <c r="B168" s="4">
        <v>162</v>
      </c>
      <c r="C168" s="4" t="s">
        <v>667</v>
      </c>
      <c r="D168" s="4" t="s">
        <v>668</v>
      </c>
      <c r="E168" s="4" t="s">
        <v>181</v>
      </c>
      <c r="F168" s="22">
        <v>2305114.3730000001</v>
      </c>
      <c r="G168" s="22">
        <v>585658.35</v>
      </c>
      <c r="H168" s="11">
        <v>5.27</v>
      </c>
      <c r="I168" s="11">
        <v>3.31</v>
      </c>
      <c r="J168" s="6">
        <f t="shared" si="2"/>
        <v>1.9599999999999995</v>
      </c>
      <c r="K168" s="4" t="s">
        <v>669</v>
      </c>
      <c r="L168" s="5" t="s">
        <v>254</v>
      </c>
      <c r="M168" s="23" t="s">
        <v>184</v>
      </c>
    </row>
    <row r="169" spans="2:13" ht="16" x14ac:dyDescent="0.3">
      <c r="B169" s="4">
        <v>163</v>
      </c>
      <c r="C169" s="4" t="s">
        <v>670</v>
      </c>
      <c r="D169" s="4" t="s">
        <v>671</v>
      </c>
      <c r="E169" s="4" t="s">
        <v>181</v>
      </c>
      <c r="F169" s="22">
        <v>2305108.247</v>
      </c>
      <c r="G169" s="22">
        <v>585649.21400000004</v>
      </c>
      <c r="H169" s="11">
        <v>5.27</v>
      </c>
      <c r="I169" s="11">
        <v>3.27</v>
      </c>
      <c r="J169" s="6">
        <f t="shared" si="2"/>
        <v>1.9999999999999996</v>
      </c>
      <c r="K169" s="4" t="s">
        <v>672</v>
      </c>
      <c r="L169" s="5" t="s">
        <v>254</v>
      </c>
      <c r="M169" s="23" t="s">
        <v>184</v>
      </c>
    </row>
    <row r="170" spans="2:13" ht="16" x14ac:dyDescent="0.3">
      <c r="B170" s="4">
        <v>164</v>
      </c>
      <c r="C170" s="4" t="s">
        <v>673</v>
      </c>
      <c r="D170" s="4" t="s">
        <v>674</v>
      </c>
      <c r="E170" s="4" t="s">
        <v>181</v>
      </c>
      <c r="F170" s="22">
        <v>2305095.9939999999</v>
      </c>
      <c r="G170" s="22">
        <v>585630.94200000004</v>
      </c>
      <c r="H170" s="11">
        <v>5.27</v>
      </c>
      <c r="I170" s="11">
        <v>3.19</v>
      </c>
      <c r="J170" s="6">
        <f t="shared" si="2"/>
        <v>2.0799999999999996</v>
      </c>
      <c r="K170" s="4" t="s">
        <v>675</v>
      </c>
      <c r="L170" s="5" t="s">
        <v>254</v>
      </c>
      <c r="M170" s="23" t="s">
        <v>184</v>
      </c>
    </row>
    <row r="171" spans="2:13" ht="16" x14ac:dyDescent="0.3">
      <c r="B171" s="4">
        <v>165</v>
      </c>
      <c r="C171" s="4" t="s">
        <v>676</v>
      </c>
      <c r="D171" s="4" t="s">
        <v>677</v>
      </c>
      <c r="E171" s="4" t="s">
        <v>181</v>
      </c>
      <c r="F171" s="22">
        <v>2305089.8679999998</v>
      </c>
      <c r="G171" s="22">
        <v>585621.80599999998</v>
      </c>
      <c r="H171" s="11">
        <v>5.27</v>
      </c>
      <c r="I171" s="11">
        <v>3.15</v>
      </c>
      <c r="J171" s="6">
        <f t="shared" si="2"/>
        <v>2.1199999999999997</v>
      </c>
      <c r="K171" s="4" t="s">
        <v>678</v>
      </c>
      <c r="L171" s="5" t="s">
        <v>254</v>
      </c>
      <c r="M171" s="23" t="s">
        <v>184</v>
      </c>
    </row>
    <row r="172" spans="2:13" ht="16" x14ac:dyDescent="0.3">
      <c r="B172" s="4">
        <v>166</v>
      </c>
      <c r="C172" s="4" t="s">
        <v>679</v>
      </c>
      <c r="D172" s="4" t="s">
        <v>680</v>
      </c>
      <c r="E172" s="4" t="s">
        <v>181</v>
      </c>
      <c r="F172" s="22">
        <v>2305077.5649999999</v>
      </c>
      <c r="G172" s="22">
        <v>585603.56799999997</v>
      </c>
      <c r="H172" s="11">
        <v>5.27</v>
      </c>
      <c r="I172" s="11">
        <v>3.07</v>
      </c>
      <c r="J172" s="6">
        <f t="shared" si="2"/>
        <v>2.1999999999999997</v>
      </c>
      <c r="K172" s="4" t="s">
        <v>681</v>
      </c>
      <c r="L172" s="5" t="s">
        <v>254</v>
      </c>
      <c r="M172" s="23" t="s">
        <v>184</v>
      </c>
    </row>
    <row r="173" spans="2:13" ht="16" x14ac:dyDescent="0.3">
      <c r="B173" s="4">
        <v>167</v>
      </c>
      <c r="C173" s="4" t="s">
        <v>682</v>
      </c>
      <c r="D173" s="4" t="s">
        <v>683</v>
      </c>
      <c r="E173" s="4" t="s">
        <v>181</v>
      </c>
      <c r="F173" s="22">
        <v>2305071.4389999998</v>
      </c>
      <c r="G173" s="22">
        <v>585594.43099999998</v>
      </c>
      <c r="H173" s="11">
        <v>5.27</v>
      </c>
      <c r="I173" s="11">
        <v>3.03</v>
      </c>
      <c r="J173" s="6">
        <f t="shared" si="2"/>
        <v>2.2399999999999998</v>
      </c>
      <c r="K173" s="4" t="s">
        <v>684</v>
      </c>
      <c r="L173" s="5" t="s">
        <v>254</v>
      </c>
      <c r="M173" s="23" t="s">
        <v>184</v>
      </c>
    </row>
    <row r="174" spans="2:13" ht="16" x14ac:dyDescent="0.3">
      <c r="B174" s="4">
        <v>168</v>
      </c>
      <c r="C174" s="4" t="s">
        <v>685</v>
      </c>
      <c r="D174" s="4" t="s">
        <v>686</v>
      </c>
      <c r="E174" s="4" t="s">
        <v>181</v>
      </c>
      <c r="F174" s="22">
        <v>2305059.236</v>
      </c>
      <c r="G174" s="22">
        <v>585576.12600000005</v>
      </c>
      <c r="H174" s="11">
        <v>5.27</v>
      </c>
      <c r="I174" s="11">
        <v>2.95</v>
      </c>
      <c r="J174" s="6">
        <f t="shared" si="2"/>
        <v>2.3199999999999994</v>
      </c>
      <c r="K174" s="4" t="s">
        <v>687</v>
      </c>
      <c r="L174" s="5" t="s">
        <v>254</v>
      </c>
      <c r="M174" s="23" t="s">
        <v>184</v>
      </c>
    </row>
    <row r="175" spans="2:13" ht="16" x14ac:dyDescent="0.3">
      <c r="B175" s="4">
        <v>169</v>
      </c>
      <c r="C175" s="4" t="s">
        <v>688</v>
      </c>
      <c r="D175" s="4" t="s">
        <v>689</v>
      </c>
      <c r="E175" s="4" t="s">
        <v>181</v>
      </c>
      <c r="F175" s="22">
        <v>2305053.1090000002</v>
      </c>
      <c r="G175" s="22">
        <v>585566.99</v>
      </c>
      <c r="H175" s="11">
        <v>5.27</v>
      </c>
      <c r="I175" s="11">
        <v>2.91</v>
      </c>
      <c r="J175" s="6">
        <f t="shared" si="2"/>
        <v>2.3599999999999994</v>
      </c>
      <c r="K175" s="4" t="s">
        <v>690</v>
      </c>
      <c r="L175" s="5" t="s">
        <v>254</v>
      </c>
      <c r="M175" s="23" t="s">
        <v>184</v>
      </c>
    </row>
    <row r="176" spans="2:13" ht="16" x14ac:dyDescent="0.3">
      <c r="B176" s="4">
        <v>170</v>
      </c>
      <c r="C176" s="4" t="s">
        <v>691</v>
      </c>
      <c r="D176" s="4" t="s">
        <v>692</v>
      </c>
      <c r="E176" s="4" t="s">
        <v>181</v>
      </c>
      <c r="F176" s="22">
        <v>2305040.8569999998</v>
      </c>
      <c r="G176" s="22">
        <v>585548.71799999999</v>
      </c>
      <c r="H176" s="11">
        <v>5.27</v>
      </c>
      <c r="I176" s="11">
        <v>2.82</v>
      </c>
      <c r="J176" s="6">
        <f t="shared" si="2"/>
        <v>2.4499999999999997</v>
      </c>
      <c r="K176" s="4" t="s">
        <v>693</v>
      </c>
      <c r="L176" s="5" t="s">
        <v>254</v>
      </c>
      <c r="M176" s="23" t="s">
        <v>184</v>
      </c>
    </row>
    <row r="177" spans="2:13" ht="16" x14ac:dyDescent="0.3">
      <c r="B177" s="4">
        <v>171</v>
      </c>
      <c r="C177" s="4" t="s">
        <v>694</v>
      </c>
      <c r="D177" s="4" t="s">
        <v>695</v>
      </c>
      <c r="E177" s="4" t="s">
        <v>181</v>
      </c>
      <c r="F177" s="22">
        <v>2305034.73</v>
      </c>
      <c r="G177" s="22">
        <v>585539.58200000005</v>
      </c>
      <c r="H177" s="11">
        <v>5.27</v>
      </c>
      <c r="I177" s="11">
        <v>2.79</v>
      </c>
      <c r="J177" s="6">
        <f t="shared" si="2"/>
        <v>2.4799999999999995</v>
      </c>
      <c r="K177" s="4" t="s">
        <v>696</v>
      </c>
      <c r="L177" s="5" t="s">
        <v>254</v>
      </c>
      <c r="M177" s="23" t="s">
        <v>184</v>
      </c>
    </row>
    <row r="178" spans="2:13" ht="16" x14ac:dyDescent="0.3">
      <c r="B178" s="4">
        <v>172</v>
      </c>
      <c r="C178" s="4" t="s">
        <v>697</v>
      </c>
      <c r="D178" s="4" t="s">
        <v>698</v>
      </c>
      <c r="E178" s="4" t="s">
        <v>181</v>
      </c>
      <c r="F178" s="22">
        <v>2305022.4780000001</v>
      </c>
      <c r="G178" s="22">
        <v>585521.30900000001</v>
      </c>
      <c r="H178" s="11">
        <v>5.27</v>
      </c>
      <c r="I178" s="11">
        <v>2.7</v>
      </c>
      <c r="J178" s="6">
        <f t="shared" si="2"/>
        <v>2.5699999999999994</v>
      </c>
      <c r="K178" s="4" t="s">
        <v>699</v>
      </c>
      <c r="L178" s="5" t="s">
        <v>300</v>
      </c>
      <c r="M178" s="23" t="s">
        <v>184</v>
      </c>
    </row>
    <row r="179" spans="2:13" ht="16" x14ac:dyDescent="0.3">
      <c r="B179" s="4">
        <v>173</v>
      </c>
      <c r="C179" s="4" t="s">
        <v>700</v>
      </c>
      <c r="D179" s="4" t="s">
        <v>701</v>
      </c>
      <c r="E179" s="4" t="s">
        <v>181</v>
      </c>
      <c r="F179" s="22">
        <v>2305327.2650000001</v>
      </c>
      <c r="G179" s="22">
        <v>584938.86600000004</v>
      </c>
      <c r="H179" s="11">
        <v>5.07</v>
      </c>
      <c r="I179" s="11">
        <v>4.22</v>
      </c>
      <c r="J179" s="6">
        <f t="shared" si="2"/>
        <v>0.85000000000000053</v>
      </c>
      <c r="K179" s="4" t="s">
        <v>702</v>
      </c>
      <c r="L179" s="5" t="s">
        <v>183</v>
      </c>
      <c r="M179" s="23" t="s">
        <v>184</v>
      </c>
    </row>
    <row r="180" spans="2:13" ht="16" x14ac:dyDescent="0.3">
      <c r="B180" s="4">
        <v>174</v>
      </c>
      <c r="C180" s="4" t="s">
        <v>703</v>
      </c>
      <c r="D180" s="4" t="s">
        <v>704</v>
      </c>
      <c r="E180" s="4" t="s">
        <v>181</v>
      </c>
      <c r="F180" s="22">
        <v>2305333.392</v>
      </c>
      <c r="G180" s="22">
        <v>584948.00199999998</v>
      </c>
      <c r="H180" s="11">
        <v>5.07</v>
      </c>
      <c r="I180" s="11">
        <v>4.22</v>
      </c>
      <c r="J180" s="6">
        <f t="shared" si="2"/>
        <v>0.85000000000000053</v>
      </c>
      <c r="K180" s="4" t="s">
        <v>705</v>
      </c>
      <c r="L180" s="5" t="s">
        <v>183</v>
      </c>
      <c r="M180" s="23" t="s">
        <v>184</v>
      </c>
    </row>
    <row r="181" spans="2:13" ht="16" x14ac:dyDescent="0.3">
      <c r="B181" s="4">
        <v>175</v>
      </c>
      <c r="C181" s="4" t="s">
        <v>706</v>
      </c>
      <c r="D181" s="4" t="s">
        <v>707</v>
      </c>
      <c r="E181" s="4" t="s">
        <v>181</v>
      </c>
      <c r="F181" s="22">
        <v>2305354.5559999999</v>
      </c>
      <c r="G181" s="22">
        <v>584979.56299999997</v>
      </c>
      <c r="H181" s="11">
        <v>5.07</v>
      </c>
      <c r="I181" s="11">
        <v>4.22</v>
      </c>
      <c r="J181" s="6">
        <f t="shared" si="2"/>
        <v>0.85000000000000053</v>
      </c>
      <c r="K181" s="4" t="s">
        <v>708</v>
      </c>
      <c r="L181" s="5" t="s">
        <v>183</v>
      </c>
      <c r="M181" s="23" t="s">
        <v>184</v>
      </c>
    </row>
    <row r="182" spans="2:13" ht="16" x14ac:dyDescent="0.3">
      <c r="B182" s="4">
        <v>176</v>
      </c>
      <c r="C182" s="4" t="s">
        <v>709</v>
      </c>
      <c r="D182" s="4" t="s">
        <v>710</v>
      </c>
      <c r="E182" s="4" t="s">
        <v>181</v>
      </c>
      <c r="F182" s="22">
        <v>2305360.6680000001</v>
      </c>
      <c r="G182" s="22">
        <v>584988.77</v>
      </c>
      <c r="H182" s="11">
        <v>5.07</v>
      </c>
      <c r="I182" s="11">
        <v>4.22</v>
      </c>
      <c r="J182" s="6">
        <f t="shared" si="2"/>
        <v>0.85000000000000053</v>
      </c>
      <c r="K182" s="4" t="s">
        <v>711</v>
      </c>
      <c r="L182" s="5" t="s">
        <v>183</v>
      </c>
      <c r="M182" s="23" t="s">
        <v>184</v>
      </c>
    </row>
    <row r="183" spans="2:13" ht="16" x14ac:dyDescent="0.3">
      <c r="B183" s="4">
        <v>177</v>
      </c>
      <c r="C183" s="4" t="s">
        <v>712</v>
      </c>
      <c r="D183" s="4" t="s">
        <v>713</v>
      </c>
      <c r="E183" s="4" t="s">
        <v>181</v>
      </c>
      <c r="F183" s="22">
        <v>2305381.8459999999</v>
      </c>
      <c r="G183" s="22">
        <v>585020.26</v>
      </c>
      <c r="H183" s="11">
        <v>5.07</v>
      </c>
      <c r="I183" s="11">
        <v>4.22</v>
      </c>
      <c r="J183" s="6">
        <f t="shared" si="2"/>
        <v>0.85000000000000053</v>
      </c>
      <c r="K183" s="4" t="s">
        <v>714</v>
      </c>
      <c r="L183" s="5" t="s">
        <v>183</v>
      </c>
      <c r="M183" s="23" t="s">
        <v>184</v>
      </c>
    </row>
    <row r="184" spans="2:13" ht="16" x14ac:dyDescent="0.3">
      <c r="B184" s="4">
        <v>178</v>
      </c>
      <c r="C184" s="4" t="s">
        <v>715</v>
      </c>
      <c r="D184" s="4" t="s">
        <v>716</v>
      </c>
      <c r="E184" s="4" t="s">
        <v>181</v>
      </c>
      <c r="F184" s="22">
        <v>2305387.9720000001</v>
      </c>
      <c r="G184" s="22">
        <v>585029.39599999995</v>
      </c>
      <c r="H184" s="11">
        <v>5.07</v>
      </c>
      <c r="I184" s="11">
        <v>4.22</v>
      </c>
      <c r="J184" s="6">
        <f t="shared" si="2"/>
        <v>0.85000000000000053</v>
      </c>
      <c r="K184" s="4" t="s">
        <v>717</v>
      </c>
      <c r="L184" s="5" t="s">
        <v>183</v>
      </c>
      <c r="M184" s="23" t="s">
        <v>184</v>
      </c>
    </row>
    <row r="185" spans="2:13" ht="16" x14ac:dyDescent="0.3">
      <c r="B185" s="4">
        <v>179</v>
      </c>
      <c r="C185" s="4" t="s">
        <v>718</v>
      </c>
      <c r="D185" s="4" t="s">
        <v>719</v>
      </c>
      <c r="E185" s="4" t="s">
        <v>181</v>
      </c>
      <c r="F185" s="22">
        <v>2305409.1359999999</v>
      </c>
      <c r="G185" s="22">
        <v>585060.95700000005</v>
      </c>
      <c r="H185" s="11">
        <v>5.17</v>
      </c>
      <c r="I185" s="11">
        <v>4.32</v>
      </c>
      <c r="J185" s="6">
        <f t="shared" si="2"/>
        <v>0.84999999999999964</v>
      </c>
      <c r="K185" s="4" t="s">
        <v>720</v>
      </c>
      <c r="L185" s="5" t="s">
        <v>183</v>
      </c>
      <c r="M185" s="23" t="s">
        <v>184</v>
      </c>
    </row>
    <row r="186" spans="2:13" ht="16" x14ac:dyDescent="0.3">
      <c r="B186" s="4">
        <v>180</v>
      </c>
      <c r="C186" s="4" t="s">
        <v>721</v>
      </c>
      <c r="D186" s="4" t="s">
        <v>722</v>
      </c>
      <c r="E186" s="4" t="s">
        <v>181</v>
      </c>
      <c r="F186" s="22">
        <v>2305415.2620000001</v>
      </c>
      <c r="G186" s="22">
        <v>585070.09299999999</v>
      </c>
      <c r="H186" s="11">
        <v>5.17</v>
      </c>
      <c r="I186" s="11">
        <v>4.32</v>
      </c>
      <c r="J186" s="6">
        <f t="shared" si="2"/>
        <v>0.84999999999999964</v>
      </c>
      <c r="K186" s="4" t="s">
        <v>723</v>
      </c>
      <c r="L186" s="5" t="s">
        <v>183</v>
      </c>
      <c r="M186" s="23" t="s">
        <v>184</v>
      </c>
    </row>
    <row r="187" spans="2:13" ht="16" x14ac:dyDescent="0.3">
      <c r="B187" s="4">
        <v>181</v>
      </c>
      <c r="C187" s="4" t="s">
        <v>724</v>
      </c>
      <c r="D187" s="4" t="s">
        <v>725</v>
      </c>
      <c r="E187" s="4" t="s">
        <v>181</v>
      </c>
      <c r="F187" s="22">
        <v>2305436.426</v>
      </c>
      <c r="G187" s="22">
        <v>585101.65399999998</v>
      </c>
      <c r="H187" s="11">
        <v>5.17</v>
      </c>
      <c r="I187" s="11">
        <v>4.32</v>
      </c>
      <c r="J187" s="6">
        <f t="shared" si="2"/>
        <v>0.84999999999999964</v>
      </c>
      <c r="K187" s="4" t="s">
        <v>726</v>
      </c>
      <c r="L187" s="5" t="s">
        <v>183</v>
      </c>
      <c r="M187" s="23" t="s">
        <v>184</v>
      </c>
    </row>
    <row r="188" spans="2:13" ht="16" x14ac:dyDescent="0.3">
      <c r="B188" s="4">
        <v>182</v>
      </c>
      <c r="C188" s="4" t="s">
        <v>727</v>
      </c>
      <c r="D188" s="4" t="s">
        <v>728</v>
      </c>
      <c r="E188" s="4" t="s">
        <v>181</v>
      </c>
      <c r="F188" s="22">
        <v>2305442.5520000001</v>
      </c>
      <c r="G188" s="22">
        <v>585110.79</v>
      </c>
      <c r="H188" s="11">
        <v>5.17</v>
      </c>
      <c r="I188" s="11">
        <v>4.32</v>
      </c>
      <c r="J188" s="6">
        <f t="shared" si="2"/>
        <v>0.84999999999999964</v>
      </c>
      <c r="K188" s="4" t="s">
        <v>729</v>
      </c>
      <c r="L188" s="5" t="s">
        <v>183</v>
      </c>
      <c r="M188" s="23" t="s">
        <v>184</v>
      </c>
    </row>
    <row r="189" spans="2:13" ht="16" x14ac:dyDescent="0.3">
      <c r="B189" s="4">
        <v>183</v>
      </c>
      <c r="C189" s="4" t="s">
        <v>730</v>
      </c>
      <c r="D189" s="4" t="s">
        <v>731</v>
      </c>
      <c r="E189" s="4" t="s">
        <v>181</v>
      </c>
      <c r="F189" s="22">
        <v>2305464.7000000002</v>
      </c>
      <c r="G189" s="22">
        <v>585143.98699999996</v>
      </c>
      <c r="H189" s="11">
        <v>5.17</v>
      </c>
      <c r="I189" s="11">
        <v>4.32</v>
      </c>
      <c r="J189" s="6">
        <f t="shared" si="2"/>
        <v>0.84999999999999964</v>
      </c>
      <c r="K189" s="4" t="s">
        <v>732</v>
      </c>
      <c r="L189" s="5" t="s">
        <v>183</v>
      </c>
      <c r="M189" s="23" t="s">
        <v>184</v>
      </c>
    </row>
    <row r="190" spans="2:13" ht="16" x14ac:dyDescent="0.3">
      <c r="B190" s="4">
        <v>184</v>
      </c>
      <c r="C190" s="4" t="s">
        <v>733</v>
      </c>
      <c r="D190" s="4" t="s">
        <v>734</v>
      </c>
      <c r="E190" s="4" t="s">
        <v>181</v>
      </c>
      <c r="F190" s="22">
        <v>2305201.0759999999</v>
      </c>
      <c r="G190" s="22">
        <v>585023.52399999998</v>
      </c>
      <c r="H190" s="11">
        <v>5.07</v>
      </c>
      <c r="I190" s="11">
        <v>4.22</v>
      </c>
      <c r="J190" s="6">
        <f t="shared" si="2"/>
        <v>0.85000000000000053</v>
      </c>
      <c r="K190" s="4" t="s">
        <v>735</v>
      </c>
      <c r="L190" s="5" t="s">
        <v>183</v>
      </c>
      <c r="M190" s="23" t="s">
        <v>184</v>
      </c>
    </row>
    <row r="191" spans="2:13" ht="16" x14ac:dyDescent="0.3">
      <c r="B191" s="4">
        <v>185</v>
      </c>
      <c r="C191" s="4" t="s">
        <v>736</v>
      </c>
      <c r="D191" s="4" t="s">
        <v>737</v>
      </c>
      <c r="E191" s="4" t="s">
        <v>181</v>
      </c>
      <c r="F191" s="22">
        <v>2305207.142</v>
      </c>
      <c r="G191" s="22">
        <v>585032.96699999995</v>
      </c>
      <c r="H191" s="11">
        <v>5.07</v>
      </c>
      <c r="I191" s="11">
        <v>4.22</v>
      </c>
      <c r="J191" s="6">
        <f t="shared" si="2"/>
        <v>0.85000000000000053</v>
      </c>
      <c r="K191" s="4" t="s">
        <v>738</v>
      </c>
      <c r="L191" s="5" t="s">
        <v>183</v>
      </c>
      <c r="M191" s="23" t="s">
        <v>184</v>
      </c>
    </row>
    <row r="192" spans="2:13" ht="16" x14ac:dyDescent="0.3">
      <c r="B192" s="4">
        <v>186</v>
      </c>
      <c r="C192" s="4" t="s">
        <v>739</v>
      </c>
      <c r="D192" s="4" t="s">
        <v>740</v>
      </c>
      <c r="E192" s="4" t="s">
        <v>181</v>
      </c>
      <c r="F192" s="22">
        <v>2305228.3139999998</v>
      </c>
      <c r="G192" s="22">
        <v>585064.32999999996</v>
      </c>
      <c r="H192" s="11">
        <v>5.07</v>
      </c>
      <c r="I192" s="11">
        <v>4.22</v>
      </c>
      <c r="J192" s="6">
        <f t="shared" si="2"/>
        <v>0.85000000000000053</v>
      </c>
      <c r="K192" s="4" t="s">
        <v>741</v>
      </c>
      <c r="L192" s="5" t="s">
        <v>183</v>
      </c>
      <c r="M192" s="23" t="s">
        <v>184</v>
      </c>
    </row>
    <row r="193" spans="2:13" ht="16" x14ac:dyDescent="0.3">
      <c r="B193" s="4">
        <v>187</v>
      </c>
      <c r="C193" s="4" t="s">
        <v>742</v>
      </c>
      <c r="D193" s="4" t="s">
        <v>743</v>
      </c>
      <c r="E193" s="4" t="s">
        <v>181</v>
      </c>
      <c r="F193" s="22">
        <v>2305234.4640000002</v>
      </c>
      <c r="G193" s="22">
        <v>585073.50100000005</v>
      </c>
      <c r="H193" s="11">
        <v>5.07</v>
      </c>
      <c r="I193" s="11">
        <v>4.22</v>
      </c>
      <c r="J193" s="6">
        <f t="shared" si="2"/>
        <v>0.85000000000000053</v>
      </c>
      <c r="K193" s="4" t="s">
        <v>744</v>
      </c>
      <c r="L193" s="5" t="s">
        <v>183</v>
      </c>
      <c r="M193" s="23" t="s">
        <v>184</v>
      </c>
    </row>
    <row r="194" spans="2:13" ht="16" x14ac:dyDescent="0.3">
      <c r="B194" s="4">
        <v>188</v>
      </c>
      <c r="C194" s="4" t="s">
        <v>745</v>
      </c>
      <c r="D194" s="4" t="s">
        <v>746</v>
      </c>
      <c r="E194" s="4" t="s">
        <v>181</v>
      </c>
      <c r="F194" s="22">
        <v>2305255.628</v>
      </c>
      <c r="G194" s="22">
        <v>585105.06200000003</v>
      </c>
      <c r="H194" s="11">
        <v>5.07</v>
      </c>
      <c r="I194" s="11">
        <v>4.22</v>
      </c>
      <c r="J194" s="6">
        <f t="shared" si="2"/>
        <v>0.85000000000000053</v>
      </c>
      <c r="K194" s="4" t="s">
        <v>747</v>
      </c>
      <c r="L194" s="5" t="s">
        <v>183</v>
      </c>
      <c r="M194" s="23" t="s">
        <v>184</v>
      </c>
    </row>
    <row r="195" spans="2:13" ht="16" x14ac:dyDescent="0.3">
      <c r="B195" s="4">
        <v>189</v>
      </c>
      <c r="C195" s="4" t="s">
        <v>748</v>
      </c>
      <c r="D195" s="4" t="s">
        <v>749</v>
      </c>
      <c r="E195" s="4" t="s">
        <v>181</v>
      </c>
      <c r="F195" s="22">
        <v>2305268.8139999998</v>
      </c>
      <c r="G195" s="22">
        <v>585109.46400000004</v>
      </c>
      <c r="H195" s="11">
        <v>5.07</v>
      </c>
      <c r="I195" s="11">
        <v>4.22</v>
      </c>
      <c r="J195" s="6">
        <f t="shared" si="2"/>
        <v>0.85000000000000053</v>
      </c>
      <c r="K195" s="4" t="s">
        <v>750</v>
      </c>
      <c r="L195" s="5" t="s">
        <v>183</v>
      </c>
      <c r="M195" s="23" t="s">
        <v>184</v>
      </c>
    </row>
    <row r="196" spans="2:13" ht="16" x14ac:dyDescent="0.3">
      <c r="B196" s="4">
        <v>190</v>
      </c>
      <c r="C196" s="4" t="s">
        <v>751</v>
      </c>
      <c r="D196" s="4" t="s">
        <v>752</v>
      </c>
      <c r="E196" s="4" t="s">
        <v>181</v>
      </c>
      <c r="F196" s="22">
        <v>2305290.6669999999</v>
      </c>
      <c r="G196" s="22">
        <v>585140.39899999998</v>
      </c>
      <c r="H196" s="11">
        <v>5.07</v>
      </c>
      <c r="I196" s="11">
        <v>4.22</v>
      </c>
      <c r="J196" s="6">
        <f t="shared" si="2"/>
        <v>0.85000000000000053</v>
      </c>
      <c r="K196" s="4" t="s">
        <v>753</v>
      </c>
      <c r="L196" s="5" t="s">
        <v>183</v>
      </c>
      <c r="M196" s="23" t="s">
        <v>184</v>
      </c>
    </row>
    <row r="197" spans="2:13" ht="16" x14ac:dyDescent="0.3">
      <c r="B197" s="4">
        <v>191</v>
      </c>
      <c r="C197" s="4" t="s">
        <v>754</v>
      </c>
      <c r="D197" s="4" t="s">
        <v>755</v>
      </c>
      <c r="E197" s="4" t="s">
        <v>181</v>
      </c>
      <c r="F197" s="22">
        <v>2305162.5249999999</v>
      </c>
      <c r="G197" s="22">
        <v>585180.57400000002</v>
      </c>
      <c r="H197" s="11">
        <v>5.07</v>
      </c>
      <c r="I197" s="11">
        <v>4.22</v>
      </c>
      <c r="J197" s="6">
        <f t="shared" si="2"/>
        <v>0.85000000000000053</v>
      </c>
      <c r="K197" s="4" t="s">
        <v>756</v>
      </c>
      <c r="L197" s="5" t="s">
        <v>183</v>
      </c>
      <c r="M197" s="23" t="s">
        <v>184</v>
      </c>
    </row>
    <row r="198" spans="2:13" ht="16" x14ac:dyDescent="0.3">
      <c r="B198" s="4">
        <v>192</v>
      </c>
      <c r="C198" s="4" t="s">
        <v>757</v>
      </c>
      <c r="D198" s="4" t="s">
        <v>758</v>
      </c>
      <c r="E198" s="4" t="s">
        <v>181</v>
      </c>
      <c r="F198" s="22">
        <v>2305093.6839999999</v>
      </c>
      <c r="G198" s="22">
        <v>585095.49800000002</v>
      </c>
      <c r="H198" s="11">
        <v>5.07</v>
      </c>
      <c r="I198" s="11">
        <v>4.22</v>
      </c>
      <c r="J198" s="6">
        <f t="shared" si="2"/>
        <v>0.85000000000000053</v>
      </c>
      <c r="K198" s="4" t="s">
        <v>759</v>
      </c>
      <c r="L198" s="5" t="s">
        <v>183</v>
      </c>
      <c r="M198" s="23" t="s">
        <v>184</v>
      </c>
    </row>
    <row r="199" spans="2:13" ht="16" x14ac:dyDescent="0.3">
      <c r="B199" s="4">
        <v>193</v>
      </c>
      <c r="C199" s="4" t="s">
        <v>760</v>
      </c>
      <c r="D199" s="4" t="s">
        <v>761</v>
      </c>
      <c r="E199" s="4" t="s">
        <v>181</v>
      </c>
      <c r="F199" s="22">
        <v>2305099.8089999999</v>
      </c>
      <c r="G199" s="22">
        <v>585104.63600000006</v>
      </c>
      <c r="H199" s="11">
        <v>5.07</v>
      </c>
      <c r="I199" s="11">
        <v>4.22</v>
      </c>
      <c r="J199" s="6">
        <f t="shared" ref="J199:J262" si="3">H199-I199</f>
        <v>0.85000000000000053</v>
      </c>
      <c r="K199" s="4" t="s">
        <v>762</v>
      </c>
      <c r="L199" s="5" t="s">
        <v>183</v>
      </c>
      <c r="M199" s="23" t="s">
        <v>184</v>
      </c>
    </row>
    <row r="200" spans="2:13" ht="16" x14ac:dyDescent="0.3">
      <c r="B200" s="4">
        <v>194</v>
      </c>
      <c r="C200" s="4" t="s">
        <v>763</v>
      </c>
      <c r="D200" s="4" t="s">
        <v>764</v>
      </c>
      <c r="E200" s="4" t="s">
        <v>181</v>
      </c>
      <c r="F200" s="22">
        <v>2305120.966</v>
      </c>
      <c r="G200" s="22">
        <v>585136.201</v>
      </c>
      <c r="H200" s="11">
        <v>5.07</v>
      </c>
      <c r="I200" s="11">
        <v>4.22</v>
      </c>
      <c r="J200" s="6">
        <f t="shared" si="3"/>
        <v>0.85000000000000053</v>
      </c>
      <c r="K200" s="4" t="s">
        <v>765</v>
      </c>
      <c r="L200" s="5" t="s">
        <v>183</v>
      </c>
      <c r="M200" s="23" t="s">
        <v>184</v>
      </c>
    </row>
    <row r="201" spans="2:13" ht="16" x14ac:dyDescent="0.3">
      <c r="B201" s="4">
        <v>195</v>
      </c>
      <c r="C201" s="4" t="s">
        <v>766</v>
      </c>
      <c r="D201" s="4" t="s">
        <v>767</v>
      </c>
      <c r="E201" s="4" t="s">
        <v>181</v>
      </c>
      <c r="F201" s="22">
        <v>2305127.091</v>
      </c>
      <c r="G201" s="22">
        <v>585145.33799999999</v>
      </c>
      <c r="H201" s="11">
        <v>5.07</v>
      </c>
      <c r="I201" s="11">
        <v>4.22</v>
      </c>
      <c r="J201" s="6">
        <f t="shared" si="3"/>
        <v>0.85000000000000053</v>
      </c>
      <c r="K201" s="4" t="s">
        <v>768</v>
      </c>
      <c r="L201" s="5" t="s">
        <v>183</v>
      </c>
      <c r="M201" s="23" t="s">
        <v>184</v>
      </c>
    </row>
    <row r="202" spans="2:13" ht="16" x14ac:dyDescent="0.3">
      <c r="B202" s="4">
        <v>196</v>
      </c>
      <c r="C202" s="4" t="s">
        <v>769</v>
      </c>
      <c r="D202" s="4" t="s">
        <v>770</v>
      </c>
      <c r="E202" s="4" t="s">
        <v>181</v>
      </c>
      <c r="F202" s="22">
        <v>2305148.2480000001</v>
      </c>
      <c r="G202" s="22">
        <v>585176.90300000005</v>
      </c>
      <c r="H202" s="11">
        <v>5.07</v>
      </c>
      <c r="I202" s="11">
        <v>4.22</v>
      </c>
      <c r="J202" s="6">
        <f t="shared" si="3"/>
        <v>0.85000000000000053</v>
      </c>
      <c r="K202" s="4" t="s">
        <v>771</v>
      </c>
      <c r="L202" s="5" t="s">
        <v>183</v>
      </c>
      <c r="M202" s="23" t="s">
        <v>184</v>
      </c>
    </row>
    <row r="203" spans="2:13" ht="16" x14ac:dyDescent="0.3">
      <c r="B203" s="4">
        <v>197</v>
      </c>
      <c r="C203" s="4" t="s">
        <v>772</v>
      </c>
      <c r="D203" s="4" t="s">
        <v>773</v>
      </c>
      <c r="E203" s="4" t="s">
        <v>181</v>
      </c>
      <c r="F203" s="22">
        <v>2304906.9759999998</v>
      </c>
      <c r="G203" s="22">
        <v>585220.69900000002</v>
      </c>
      <c r="H203" s="11">
        <v>5.07</v>
      </c>
      <c r="I203" s="11">
        <v>4.22</v>
      </c>
      <c r="J203" s="6">
        <f t="shared" si="3"/>
        <v>0.85000000000000053</v>
      </c>
      <c r="K203" s="4" t="s">
        <v>774</v>
      </c>
      <c r="L203" s="5" t="s">
        <v>183</v>
      </c>
      <c r="M203" s="23" t="s">
        <v>184</v>
      </c>
    </row>
    <row r="204" spans="2:13" ht="16" x14ac:dyDescent="0.3">
      <c r="B204" s="4">
        <v>198</v>
      </c>
      <c r="C204" s="4" t="s">
        <v>775</v>
      </c>
      <c r="D204" s="4" t="s">
        <v>776</v>
      </c>
      <c r="E204" s="4" t="s">
        <v>181</v>
      </c>
      <c r="F204" s="22">
        <v>2304913.102</v>
      </c>
      <c r="G204" s="22">
        <v>585229.83499999996</v>
      </c>
      <c r="H204" s="11">
        <v>5.07</v>
      </c>
      <c r="I204" s="11">
        <v>4.22</v>
      </c>
      <c r="J204" s="6">
        <f t="shared" si="3"/>
        <v>0.85000000000000053</v>
      </c>
      <c r="K204" s="4" t="s">
        <v>777</v>
      </c>
      <c r="L204" s="5" t="s">
        <v>183</v>
      </c>
      <c r="M204" s="23" t="s">
        <v>184</v>
      </c>
    </row>
    <row r="205" spans="2:13" ht="16" x14ac:dyDescent="0.3">
      <c r="B205" s="4">
        <v>199</v>
      </c>
      <c r="C205" s="4" t="s">
        <v>778</v>
      </c>
      <c r="D205" s="4" t="s">
        <v>779</v>
      </c>
      <c r="E205" s="4" t="s">
        <v>181</v>
      </c>
      <c r="F205" s="22">
        <v>2304934.344</v>
      </c>
      <c r="G205" s="22">
        <v>585261.34400000004</v>
      </c>
      <c r="H205" s="11">
        <v>5.07</v>
      </c>
      <c r="I205" s="11">
        <v>4.22</v>
      </c>
      <c r="J205" s="6">
        <f t="shared" si="3"/>
        <v>0.85000000000000053</v>
      </c>
      <c r="K205" s="4" t="s">
        <v>780</v>
      </c>
      <c r="L205" s="5" t="s">
        <v>183</v>
      </c>
      <c r="M205" s="23" t="s">
        <v>184</v>
      </c>
    </row>
    <row r="206" spans="2:13" ht="16" x14ac:dyDescent="0.3">
      <c r="B206" s="4">
        <v>200</v>
      </c>
      <c r="C206" s="4" t="s">
        <v>781</v>
      </c>
      <c r="D206" s="4" t="s">
        <v>782</v>
      </c>
      <c r="E206" s="4" t="s">
        <v>181</v>
      </c>
      <c r="F206" s="22">
        <v>2304940.392</v>
      </c>
      <c r="G206" s="22">
        <v>585270.53200000001</v>
      </c>
      <c r="H206" s="11">
        <v>5.07</v>
      </c>
      <c r="I206" s="11">
        <v>4.22</v>
      </c>
      <c r="J206" s="6">
        <f t="shared" si="3"/>
        <v>0.85000000000000053</v>
      </c>
      <c r="K206" s="4" t="s">
        <v>783</v>
      </c>
      <c r="L206" s="5" t="s">
        <v>183</v>
      </c>
      <c r="M206" s="23" t="s">
        <v>184</v>
      </c>
    </row>
    <row r="207" spans="2:13" ht="16" x14ac:dyDescent="0.3">
      <c r="B207" s="4">
        <v>201</v>
      </c>
      <c r="C207" s="4" t="s">
        <v>784</v>
      </c>
      <c r="D207" s="4" t="s">
        <v>785</v>
      </c>
      <c r="E207" s="4" t="s">
        <v>181</v>
      </c>
      <c r="F207" s="22">
        <v>2304961.5559999999</v>
      </c>
      <c r="G207" s="22">
        <v>585302.09299999999</v>
      </c>
      <c r="H207" s="11">
        <v>5.07</v>
      </c>
      <c r="I207" s="11">
        <v>4.22</v>
      </c>
      <c r="J207" s="6">
        <f t="shared" si="3"/>
        <v>0.85000000000000053</v>
      </c>
      <c r="K207" s="4" t="s">
        <v>786</v>
      </c>
      <c r="L207" s="5" t="s">
        <v>183</v>
      </c>
      <c r="M207" s="23" t="s">
        <v>184</v>
      </c>
    </row>
    <row r="208" spans="2:13" ht="16" x14ac:dyDescent="0.3">
      <c r="B208" s="4">
        <v>202</v>
      </c>
      <c r="C208" s="4" t="s">
        <v>787</v>
      </c>
      <c r="D208" s="4" t="s">
        <v>788</v>
      </c>
      <c r="E208" s="4" t="s">
        <v>181</v>
      </c>
      <c r="F208" s="22">
        <v>2304967.682</v>
      </c>
      <c r="G208" s="22">
        <v>585311.22900000005</v>
      </c>
      <c r="H208" s="11">
        <v>5.07</v>
      </c>
      <c r="I208" s="11">
        <v>4.22</v>
      </c>
      <c r="J208" s="6">
        <f t="shared" si="3"/>
        <v>0.85000000000000053</v>
      </c>
      <c r="K208" s="4" t="s">
        <v>789</v>
      </c>
      <c r="L208" s="5" t="s">
        <v>183</v>
      </c>
      <c r="M208" s="23" t="s">
        <v>184</v>
      </c>
    </row>
    <row r="209" spans="2:13" ht="16" x14ac:dyDescent="0.3">
      <c r="B209" s="4">
        <v>203</v>
      </c>
      <c r="C209" s="4" t="s">
        <v>790</v>
      </c>
      <c r="D209" s="4" t="s">
        <v>791</v>
      </c>
      <c r="E209" s="4" t="s">
        <v>181</v>
      </c>
      <c r="F209" s="22">
        <v>2304988.9160000002</v>
      </c>
      <c r="G209" s="22">
        <v>585342.74399999995</v>
      </c>
      <c r="H209" s="11">
        <v>5.07</v>
      </c>
      <c r="I209" s="11">
        <v>4.22</v>
      </c>
      <c r="J209" s="6">
        <f t="shared" si="3"/>
        <v>0.85000000000000053</v>
      </c>
      <c r="K209" s="4" t="s">
        <v>792</v>
      </c>
      <c r="L209" s="5" t="s">
        <v>183</v>
      </c>
      <c r="M209" s="23" t="s">
        <v>184</v>
      </c>
    </row>
    <row r="210" spans="2:13" ht="16" x14ac:dyDescent="0.3">
      <c r="B210" s="4">
        <v>204</v>
      </c>
      <c r="C210" s="4" t="s">
        <v>793</v>
      </c>
      <c r="D210" s="4" t="s">
        <v>794</v>
      </c>
      <c r="E210" s="4" t="s">
        <v>181</v>
      </c>
      <c r="F210" s="22">
        <v>2304994.9730000002</v>
      </c>
      <c r="G210" s="22">
        <v>585351.92599999998</v>
      </c>
      <c r="H210" s="11">
        <v>5.07</v>
      </c>
      <c r="I210" s="11">
        <v>4.22</v>
      </c>
      <c r="J210" s="6">
        <f t="shared" si="3"/>
        <v>0.85000000000000053</v>
      </c>
      <c r="K210" s="4" t="s">
        <v>795</v>
      </c>
      <c r="L210" s="5" t="s">
        <v>183</v>
      </c>
      <c r="M210" s="23" t="s">
        <v>184</v>
      </c>
    </row>
    <row r="211" spans="2:13" ht="16" x14ac:dyDescent="0.3">
      <c r="B211" s="4">
        <v>205</v>
      </c>
      <c r="C211" s="4" t="s">
        <v>796</v>
      </c>
      <c r="D211" s="4" t="s">
        <v>797</v>
      </c>
      <c r="E211" s="4" t="s">
        <v>181</v>
      </c>
      <c r="F211" s="22">
        <v>2305016.2140000002</v>
      </c>
      <c r="G211" s="22">
        <v>585383.43500000006</v>
      </c>
      <c r="H211" s="11">
        <v>5.07</v>
      </c>
      <c r="I211" s="11">
        <v>4.22</v>
      </c>
      <c r="J211" s="6">
        <f t="shared" si="3"/>
        <v>0.85000000000000053</v>
      </c>
      <c r="K211" s="4" t="s">
        <v>798</v>
      </c>
      <c r="L211" s="5" t="s">
        <v>183</v>
      </c>
      <c r="M211" s="23" t="s">
        <v>184</v>
      </c>
    </row>
    <row r="212" spans="2:13" ht="16" x14ac:dyDescent="0.3">
      <c r="B212" s="4">
        <v>206</v>
      </c>
      <c r="C212" s="4" t="s">
        <v>799</v>
      </c>
      <c r="D212" s="4" t="s">
        <v>800</v>
      </c>
      <c r="E212" s="4" t="s">
        <v>181</v>
      </c>
      <c r="F212" s="22">
        <v>2305022.2629999998</v>
      </c>
      <c r="G212" s="22">
        <v>585392.62300000002</v>
      </c>
      <c r="H212" s="11">
        <v>5.07</v>
      </c>
      <c r="I212" s="11">
        <v>4.22</v>
      </c>
      <c r="J212" s="6">
        <f t="shared" si="3"/>
        <v>0.85000000000000053</v>
      </c>
      <c r="K212" s="4" t="s">
        <v>801</v>
      </c>
      <c r="L212" s="5" t="s">
        <v>183</v>
      </c>
      <c r="M212" s="23" t="s">
        <v>184</v>
      </c>
    </row>
    <row r="213" spans="2:13" ht="16" x14ac:dyDescent="0.3">
      <c r="B213" s="4">
        <v>207</v>
      </c>
      <c r="C213" s="4" t="s">
        <v>802</v>
      </c>
      <c r="D213" s="4" t="s">
        <v>803</v>
      </c>
      <c r="E213" s="4" t="s">
        <v>181</v>
      </c>
      <c r="F213" s="22">
        <v>2305491.2319999998</v>
      </c>
      <c r="G213" s="22">
        <v>585454.40399999998</v>
      </c>
      <c r="H213" s="11">
        <v>5.27</v>
      </c>
      <c r="I213" s="11">
        <v>4.42</v>
      </c>
      <c r="J213" s="6">
        <f t="shared" si="3"/>
        <v>0.84999999999999964</v>
      </c>
      <c r="K213" s="4" t="s">
        <v>804</v>
      </c>
      <c r="L213" s="5" t="s">
        <v>183</v>
      </c>
      <c r="M213" s="23" t="s">
        <v>184</v>
      </c>
    </row>
    <row r="214" spans="2:13" ht="16" x14ac:dyDescent="0.3">
      <c r="B214" s="4">
        <v>208</v>
      </c>
      <c r="C214" s="4" t="s">
        <v>805</v>
      </c>
      <c r="D214" s="4" t="s">
        <v>806</v>
      </c>
      <c r="E214" s="4" t="s">
        <v>181</v>
      </c>
      <c r="F214" s="22">
        <v>2305476.6919999998</v>
      </c>
      <c r="G214" s="22">
        <v>585452.47600000002</v>
      </c>
      <c r="H214" s="11">
        <v>5.27</v>
      </c>
      <c r="I214" s="11">
        <v>4.42</v>
      </c>
      <c r="J214" s="6">
        <f t="shared" si="3"/>
        <v>0.84999999999999964</v>
      </c>
      <c r="K214" s="4" t="s">
        <v>807</v>
      </c>
      <c r="L214" s="5" t="s">
        <v>183</v>
      </c>
      <c r="M214" s="23" t="s">
        <v>184</v>
      </c>
    </row>
    <row r="215" spans="2:13" ht="16" x14ac:dyDescent="0.3">
      <c r="B215" s="4">
        <v>209</v>
      </c>
      <c r="C215" s="4" t="s">
        <v>808</v>
      </c>
      <c r="D215" s="4" t="s">
        <v>809</v>
      </c>
      <c r="E215" s="4" t="s">
        <v>181</v>
      </c>
      <c r="F215" s="22">
        <v>2305445.1329999999</v>
      </c>
      <c r="G215" s="22">
        <v>585473.63899999997</v>
      </c>
      <c r="H215" s="11">
        <v>5.27</v>
      </c>
      <c r="I215" s="11">
        <v>4.42</v>
      </c>
      <c r="J215" s="6">
        <f t="shared" si="3"/>
        <v>0.84999999999999964</v>
      </c>
      <c r="K215" s="4" t="s">
        <v>810</v>
      </c>
      <c r="L215" s="5" t="s">
        <v>183</v>
      </c>
      <c r="M215" s="23" t="s">
        <v>184</v>
      </c>
    </row>
    <row r="216" spans="2:13" ht="16" x14ac:dyDescent="0.3">
      <c r="B216" s="4">
        <v>210</v>
      </c>
      <c r="C216" s="4" t="s">
        <v>811</v>
      </c>
      <c r="D216" s="4" t="s">
        <v>812</v>
      </c>
      <c r="E216" s="4" t="s">
        <v>181</v>
      </c>
      <c r="F216" s="22">
        <v>2305435.9950000001</v>
      </c>
      <c r="G216" s="22">
        <v>585479.76699999999</v>
      </c>
      <c r="H216" s="11">
        <v>5.27</v>
      </c>
      <c r="I216" s="11">
        <v>4.42</v>
      </c>
      <c r="J216" s="6">
        <f t="shared" si="3"/>
        <v>0.84999999999999964</v>
      </c>
      <c r="K216" s="4" t="s">
        <v>813</v>
      </c>
      <c r="L216" s="5" t="s">
        <v>183</v>
      </c>
      <c r="M216" s="23" t="s">
        <v>184</v>
      </c>
    </row>
    <row r="217" spans="2:13" ht="16" x14ac:dyDescent="0.3">
      <c r="B217" s="4">
        <v>211</v>
      </c>
      <c r="C217" s="4" t="s">
        <v>814</v>
      </c>
      <c r="D217" s="4" t="s">
        <v>815</v>
      </c>
      <c r="E217" s="4" t="s">
        <v>181</v>
      </c>
      <c r="F217" s="22">
        <v>2305404.4360000002</v>
      </c>
      <c r="G217" s="22">
        <v>585500.929</v>
      </c>
      <c r="H217" s="11">
        <v>5.27</v>
      </c>
      <c r="I217" s="11">
        <v>4.42</v>
      </c>
      <c r="J217" s="6">
        <f t="shared" si="3"/>
        <v>0.84999999999999964</v>
      </c>
      <c r="K217" s="4" t="s">
        <v>816</v>
      </c>
      <c r="L217" s="5" t="s">
        <v>183</v>
      </c>
      <c r="M217" s="23" t="s">
        <v>184</v>
      </c>
    </row>
    <row r="218" spans="2:13" ht="16" x14ac:dyDescent="0.3">
      <c r="B218" s="4">
        <v>212</v>
      </c>
      <c r="C218" s="4" t="s">
        <v>817</v>
      </c>
      <c r="D218" s="4" t="s">
        <v>818</v>
      </c>
      <c r="E218" s="4" t="s">
        <v>181</v>
      </c>
      <c r="F218" s="22">
        <v>2305395.298</v>
      </c>
      <c r="G218" s="22">
        <v>585507.05700000003</v>
      </c>
      <c r="H218" s="11">
        <v>5.27</v>
      </c>
      <c r="I218" s="11">
        <v>4.42</v>
      </c>
      <c r="J218" s="6">
        <f t="shared" si="3"/>
        <v>0.84999999999999964</v>
      </c>
      <c r="K218" s="4" t="s">
        <v>819</v>
      </c>
      <c r="L218" s="5" t="s">
        <v>183</v>
      </c>
      <c r="M218" s="23" t="s">
        <v>184</v>
      </c>
    </row>
    <row r="219" spans="2:13" ht="16" x14ac:dyDescent="0.3">
      <c r="B219" s="4">
        <v>213</v>
      </c>
      <c r="C219" s="4" t="s">
        <v>820</v>
      </c>
      <c r="D219" s="4" t="s">
        <v>821</v>
      </c>
      <c r="E219" s="4" t="s">
        <v>181</v>
      </c>
      <c r="F219" s="22">
        <v>2305363.7390000001</v>
      </c>
      <c r="G219" s="22">
        <v>585528.21900000004</v>
      </c>
      <c r="H219" s="11">
        <v>5.27</v>
      </c>
      <c r="I219" s="11">
        <v>4.42</v>
      </c>
      <c r="J219" s="6">
        <f t="shared" si="3"/>
        <v>0.84999999999999964</v>
      </c>
      <c r="K219" s="4" t="s">
        <v>822</v>
      </c>
      <c r="L219" s="5" t="s">
        <v>183</v>
      </c>
      <c r="M219" s="23" t="s">
        <v>184</v>
      </c>
    </row>
    <row r="220" spans="2:13" ht="16" x14ac:dyDescent="0.3">
      <c r="B220" s="4">
        <v>214</v>
      </c>
      <c r="C220" s="4" t="s">
        <v>823</v>
      </c>
      <c r="D220" s="4" t="s">
        <v>824</v>
      </c>
      <c r="E220" s="4" t="s">
        <v>181</v>
      </c>
      <c r="F220" s="22">
        <v>2305354.6009999998</v>
      </c>
      <c r="G220" s="22">
        <v>585534.34699999995</v>
      </c>
      <c r="H220" s="11">
        <v>5.27</v>
      </c>
      <c r="I220" s="11">
        <v>4.42</v>
      </c>
      <c r="J220" s="6">
        <f t="shared" si="3"/>
        <v>0.84999999999999964</v>
      </c>
      <c r="K220" s="4" t="s">
        <v>825</v>
      </c>
      <c r="L220" s="5" t="s">
        <v>183</v>
      </c>
      <c r="M220" s="23" t="s">
        <v>184</v>
      </c>
    </row>
    <row r="221" spans="2:13" ht="16" x14ac:dyDescent="0.3">
      <c r="B221" s="4">
        <v>215</v>
      </c>
      <c r="C221" s="4" t="s">
        <v>826</v>
      </c>
      <c r="D221" s="4" t="s">
        <v>827</v>
      </c>
      <c r="E221" s="4" t="s">
        <v>181</v>
      </c>
      <c r="F221" s="22">
        <v>2305322.8840000001</v>
      </c>
      <c r="G221" s="22">
        <v>585555.27300000004</v>
      </c>
      <c r="H221" s="11">
        <v>5.27</v>
      </c>
      <c r="I221" s="11">
        <v>4.42</v>
      </c>
      <c r="J221" s="6">
        <f t="shared" si="3"/>
        <v>0.84999999999999964</v>
      </c>
      <c r="K221" s="4" t="s">
        <v>828</v>
      </c>
      <c r="L221" s="5" t="s">
        <v>183</v>
      </c>
      <c r="M221" s="23" t="s">
        <v>184</v>
      </c>
    </row>
    <row r="222" spans="2:13" ht="16" x14ac:dyDescent="0.3">
      <c r="B222" s="4">
        <v>216</v>
      </c>
      <c r="C222" s="4" t="s">
        <v>829</v>
      </c>
      <c r="D222" s="4" t="s">
        <v>830</v>
      </c>
      <c r="E222" s="4" t="s">
        <v>181</v>
      </c>
      <c r="F222" s="22">
        <v>2305403.7450000001</v>
      </c>
      <c r="G222" s="22">
        <v>585343.89</v>
      </c>
      <c r="H222" s="11">
        <v>5.27</v>
      </c>
      <c r="I222" s="11">
        <v>4.42</v>
      </c>
      <c r="J222" s="6">
        <f t="shared" si="3"/>
        <v>0.84999999999999964</v>
      </c>
      <c r="K222" s="4" t="s">
        <v>831</v>
      </c>
      <c r="L222" s="5" t="s">
        <v>183</v>
      </c>
      <c r="M222" s="23" t="s">
        <v>184</v>
      </c>
    </row>
    <row r="223" spans="2:13" ht="16" x14ac:dyDescent="0.3">
      <c r="B223" s="4">
        <v>217</v>
      </c>
      <c r="C223" s="4" t="s">
        <v>832</v>
      </c>
      <c r="D223" s="4" t="s">
        <v>833</v>
      </c>
      <c r="E223" s="4" t="s">
        <v>181</v>
      </c>
      <c r="F223" s="22">
        <v>2305372.2110000001</v>
      </c>
      <c r="G223" s="22">
        <v>585364.89099999995</v>
      </c>
      <c r="H223" s="11">
        <v>5.27</v>
      </c>
      <c r="I223" s="11">
        <v>4.42</v>
      </c>
      <c r="J223" s="6">
        <f t="shared" si="3"/>
        <v>0.84999999999999964</v>
      </c>
      <c r="K223" s="4" t="s">
        <v>834</v>
      </c>
      <c r="L223" s="5" t="s">
        <v>183</v>
      </c>
      <c r="M223" s="23" t="s">
        <v>184</v>
      </c>
    </row>
    <row r="224" spans="2:13" ht="16" x14ac:dyDescent="0.3">
      <c r="B224" s="4">
        <v>218</v>
      </c>
      <c r="C224" s="4" t="s">
        <v>835</v>
      </c>
      <c r="D224" s="4" t="s">
        <v>836</v>
      </c>
      <c r="E224" s="4" t="s">
        <v>181</v>
      </c>
      <c r="F224" s="22">
        <v>2305363.048</v>
      </c>
      <c r="G224" s="22">
        <v>585371.18000000005</v>
      </c>
      <c r="H224" s="11">
        <v>5.27</v>
      </c>
      <c r="I224" s="11">
        <v>4.42</v>
      </c>
      <c r="J224" s="6">
        <f t="shared" si="3"/>
        <v>0.84999999999999964</v>
      </c>
      <c r="K224" s="4" t="s">
        <v>837</v>
      </c>
      <c r="L224" s="5" t="s">
        <v>183</v>
      </c>
      <c r="M224" s="23" t="s">
        <v>184</v>
      </c>
    </row>
    <row r="225" spans="2:13" ht="16" x14ac:dyDescent="0.3">
      <c r="B225" s="4">
        <v>219</v>
      </c>
      <c r="C225" s="4" t="s">
        <v>838</v>
      </c>
      <c r="D225" s="4" t="s">
        <v>839</v>
      </c>
      <c r="E225" s="4" t="s">
        <v>181</v>
      </c>
      <c r="F225" s="22">
        <v>2305331.4890000001</v>
      </c>
      <c r="G225" s="22">
        <v>585392.34199999995</v>
      </c>
      <c r="H225" s="11">
        <v>5.27</v>
      </c>
      <c r="I225" s="11">
        <v>4.42</v>
      </c>
      <c r="J225" s="6">
        <f t="shared" si="3"/>
        <v>0.84999999999999964</v>
      </c>
      <c r="K225" s="4" t="s">
        <v>840</v>
      </c>
      <c r="L225" s="5" t="s">
        <v>183</v>
      </c>
      <c r="M225" s="23" t="s">
        <v>184</v>
      </c>
    </row>
    <row r="226" spans="2:13" ht="16" x14ac:dyDescent="0.3">
      <c r="B226" s="4">
        <v>220</v>
      </c>
      <c r="C226" s="4" t="s">
        <v>841</v>
      </c>
      <c r="D226" s="4" t="s">
        <v>842</v>
      </c>
      <c r="E226" s="4" t="s">
        <v>181</v>
      </c>
      <c r="F226" s="22">
        <v>2305322.3509999998</v>
      </c>
      <c r="G226" s="22">
        <v>585398.47</v>
      </c>
      <c r="H226" s="11">
        <v>5.27</v>
      </c>
      <c r="I226" s="11">
        <v>4.42</v>
      </c>
      <c r="J226" s="6">
        <f t="shared" si="3"/>
        <v>0.84999999999999964</v>
      </c>
      <c r="K226" s="4" t="s">
        <v>843</v>
      </c>
      <c r="L226" s="5" t="s">
        <v>183</v>
      </c>
      <c r="M226" s="23" t="s">
        <v>184</v>
      </c>
    </row>
    <row r="227" spans="2:13" ht="16" x14ac:dyDescent="0.3">
      <c r="B227" s="4">
        <v>221</v>
      </c>
      <c r="C227" s="4" t="s">
        <v>844</v>
      </c>
      <c r="D227" s="4" t="s">
        <v>845</v>
      </c>
      <c r="E227" s="4" t="s">
        <v>181</v>
      </c>
      <c r="F227" s="22">
        <v>2305290.8169999998</v>
      </c>
      <c r="G227" s="22">
        <v>585419.47100000002</v>
      </c>
      <c r="H227" s="11">
        <v>5.27</v>
      </c>
      <c r="I227" s="11">
        <v>4.42</v>
      </c>
      <c r="J227" s="6">
        <f t="shared" si="3"/>
        <v>0.84999999999999964</v>
      </c>
      <c r="K227" s="4" t="s">
        <v>846</v>
      </c>
      <c r="L227" s="5" t="s">
        <v>183</v>
      </c>
      <c r="M227" s="23" t="s">
        <v>184</v>
      </c>
    </row>
    <row r="228" spans="2:13" ht="16" x14ac:dyDescent="0.3">
      <c r="B228" s="4">
        <v>222</v>
      </c>
      <c r="C228" s="4" t="s">
        <v>847</v>
      </c>
      <c r="D228" s="4" t="s">
        <v>848</v>
      </c>
      <c r="E228" s="4" t="s">
        <v>181</v>
      </c>
      <c r="F228" s="22">
        <v>2305281.6540000001</v>
      </c>
      <c r="G228" s="22">
        <v>585425.76</v>
      </c>
      <c r="H228" s="11">
        <v>5.27</v>
      </c>
      <c r="I228" s="11">
        <v>4.42</v>
      </c>
      <c r="J228" s="6">
        <f t="shared" si="3"/>
        <v>0.84999999999999964</v>
      </c>
      <c r="K228" s="4" t="s">
        <v>849</v>
      </c>
      <c r="L228" s="5" t="s">
        <v>183</v>
      </c>
      <c r="M228" s="23" t="s">
        <v>184</v>
      </c>
    </row>
    <row r="229" spans="2:13" ht="16" x14ac:dyDescent="0.3">
      <c r="B229" s="4">
        <v>223</v>
      </c>
      <c r="C229" s="4" t="s">
        <v>850</v>
      </c>
      <c r="D229" s="4" t="s">
        <v>851</v>
      </c>
      <c r="E229" s="4" t="s">
        <v>181</v>
      </c>
      <c r="F229" s="22">
        <v>2305250.0950000002</v>
      </c>
      <c r="G229" s="22">
        <v>585446.92200000002</v>
      </c>
      <c r="H229" s="11">
        <v>5.27</v>
      </c>
      <c r="I229" s="11">
        <v>4.42</v>
      </c>
      <c r="J229" s="6">
        <f t="shared" si="3"/>
        <v>0.84999999999999964</v>
      </c>
      <c r="K229" s="4" t="s">
        <v>852</v>
      </c>
      <c r="L229" s="5" t="s">
        <v>183</v>
      </c>
      <c r="M229" s="23" t="s">
        <v>184</v>
      </c>
    </row>
    <row r="230" spans="2:13" ht="16" x14ac:dyDescent="0.3">
      <c r="B230" s="4">
        <v>224</v>
      </c>
      <c r="C230" s="4" t="s">
        <v>853</v>
      </c>
      <c r="D230" s="4" t="s">
        <v>854</v>
      </c>
      <c r="E230" s="4" t="s">
        <v>181</v>
      </c>
      <c r="F230" s="22">
        <v>2305418.1159999999</v>
      </c>
      <c r="G230" s="22">
        <v>585345.36699999997</v>
      </c>
      <c r="H230" s="11">
        <v>5.27</v>
      </c>
      <c r="I230" s="11">
        <v>4.42</v>
      </c>
      <c r="J230" s="6">
        <f t="shared" si="3"/>
        <v>0.84999999999999964</v>
      </c>
      <c r="K230" s="4" t="s">
        <v>855</v>
      </c>
      <c r="L230" s="5" t="s">
        <v>183</v>
      </c>
      <c r="M230" s="23" t="s">
        <v>184</v>
      </c>
    </row>
    <row r="231" spans="2:13" ht="16" x14ac:dyDescent="0.3">
      <c r="B231" s="4">
        <v>225</v>
      </c>
      <c r="C231" s="4" t="s">
        <v>856</v>
      </c>
      <c r="D231" s="4" t="s">
        <v>857</v>
      </c>
      <c r="E231" s="4" t="s">
        <v>181</v>
      </c>
      <c r="F231" s="22">
        <v>2305435.236</v>
      </c>
      <c r="G231" s="22">
        <v>585331.4</v>
      </c>
      <c r="H231" s="11">
        <v>5.31</v>
      </c>
      <c r="I231" s="11">
        <v>4.46</v>
      </c>
      <c r="J231" s="6">
        <f t="shared" si="3"/>
        <v>0.84999999999999964</v>
      </c>
      <c r="K231" s="4" t="s">
        <v>858</v>
      </c>
      <c r="L231" s="5" t="s">
        <v>183</v>
      </c>
      <c r="M231" s="23" t="s">
        <v>184</v>
      </c>
    </row>
    <row r="232" spans="2:13" ht="16" x14ac:dyDescent="0.3">
      <c r="B232" s="4">
        <v>226</v>
      </c>
      <c r="C232" s="4" t="s">
        <v>859</v>
      </c>
      <c r="D232" s="4" t="s">
        <v>860</v>
      </c>
      <c r="E232" s="4" t="s">
        <v>181</v>
      </c>
      <c r="F232" s="22">
        <v>2305176.3670000001</v>
      </c>
      <c r="G232" s="22">
        <v>585832.299</v>
      </c>
      <c r="H232" s="11">
        <v>5.27</v>
      </c>
      <c r="I232" s="11">
        <v>4.42</v>
      </c>
      <c r="J232" s="6">
        <f t="shared" si="3"/>
        <v>0.84999999999999964</v>
      </c>
      <c r="K232" s="4" t="s">
        <v>861</v>
      </c>
      <c r="L232" s="5" t="s">
        <v>183</v>
      </c>
      <c r="M232" s="23" t="s">
        <v>184</v>
      </c>
    </row>
    <row r="233" spans="2:13" ht="16" x14ac:dyDescent="0.3">
      <c r="B233" s="4">
        <v>227</v>
      </c>
      <c r="C233" s="4" t="s">
        <v>862</v>
      </c>
      <c r="D233" s="4" t="s">
        <v>863</v>
      </c>
      <c r="E233" s="4" t="s">
        <v>181</v>
      </c>
      <c r="F233" s="22">
        <v>2305170.2200000002</v>
      </c>
      <c r="G233" s="22">
        <v>585823.17599999998</v>
      </c>
      <c r="H233" s="11">
        <v>5.27</v>
      </c>
      <c r="I233" s="11">
        <v>4.42</v>
      </c>
      <c r="J233" s="6">
        <f t="shared" si="3"/>
        <v>0.84999999999999964</v>
      </c>
      <c r="K233" s="4" t="s">
        <v>864</v>
      </c>
      <c r="L233" s="5" t="s">
        <v>183</v>
      </c>
      <c r="M233" s="23" t="s">
        <v>184</v>
      </c>
    </row>
    <row r="234" spans="2:13" ht="16" x14ac:dyDescent="0.3">
      <c r="B234" s="4">
        <v>228</v>
      </c>
      <c r="C234" s="4" t="s">
        <v>865</v>
      </c>
      <c r="D234" s="4" t="s">
        <v>866</v>
      </c>
      <c r="E234" s="4" t="s">
        <v>181</v>
      </c>
      <c r="F234" s="22">
        <v>2305157.9679999999</v>
      </c>
      <c r="G234" s="22">
        <v>585804.90399999998</v>
      </c>
      <c r="H234" s="11">
        <v>5.27</v>
      </c>
      <c r="I234" s="11">
        <v>4.42</v>
      </c>
      <c r="J234" s="6">
        <f t="shared" si="3"/>
        <v>0.84999999999999964</v>
      </c>
      <c r="K234" s="4" t="s">
        <v>867</v>
      </c>
      <c r="L234" s="5" t="s">
        <v>183</v>
      </c>
      <c r="M234" s="23" t="s">
        <v>184</v>
      </c>
    </row>
    <row r="235" spans="2:13" ht="16" x14ac:dyDescent="0.3">
      <c r="B235" s="4">
        <v>229</v>
      </c>
      <c r="C235" s="4" t="s">
        <v>868</v>
      </c>
      <c r="D235" s="4" t="s">
        <v>869</v>
      </c>
      <c r="E235" s="4" t="s">
        <v>181</v>
      </c>
      <c r="F235" s="22">
        <v>2305151.8160000001</v>
      </c>
      <c r="G235" s="22">
        <v>585795.78500000003</v>
      </c>
      <c r="H235" s="11">
        <v>5.27</v>
      </c>
      <c r="I235" s="11">
        <v>4.42</v>
      </c>
      <c r="J235" s="6">
        <f t="shared" si="3"/>
        <v>0.84999999999999964</v>
      </c>
      <c r="K235" s="4" t="s">
        <v>870</v>
      </c>
      <c r="L235" s="5" t="s">
        <v>183</v>
      </c>
      <c r="M235" s="23" t="s">
        <v>184</v>
      </c>
    </row>
    <row r="236" spans="2:13" ht="16" x14ac:dyDescent="0.3">
      <c r="B236" s="4">
        <v>230</v>
      </c>
      <c r="C236" s="4" t="s">
        <v>871</v>
      </c>
      <c r="D236" s="4" t="s">
        <v>872</v>
      </c>
      <c r="E236" s="4" t="s">
        <v>181</v>
      </c>
      <c r="F236" s="22">
        <v>2305087.2999999998</v>
      </c>
      <c r="G236" s="22">
        <v>585812.55900000001</v>
      </c>
      <c r="H236" s="11">
        <v>5.27</v>
      </c>
      <c r="I236" s="11">
        <v>4.42</v>
      </c>
      <c r="J236" s="6">
        <f t="shared" si="3"/>
        <v>0.84999999999999964</v>
      </c>
      <c r="K236" s="4" t="s">
        <v>873</v>
      </c>
      <c r="L236" s="5" t="s">
        <v>183</v>
      </c>
      <c r="M236" s="23" t="s">
        <v>184</v>
      </c>
    </row>
    <row r="237" spans="2:13" ht="16" x14ac:dyDescent="0.3">
      <c r="B237" s="4">
        <v>231</v>
      </c>
      <c r="C237" s="4" t="s">
        <v>874</v>
      </c>
      <c r="D237" s="4" t="s">
        <v>875</v>
      </c>
      <c r="E237" s="4" t="s">
        <v>181</v>
      </c>
      <c r="F237" s="22">
        <v>2305082.1189999999</v>
      </c>
      <c r="G237" s="22">
        <v>585802.78899999999</v>
      </c>
      <c r="H237" s="11">
        <v>5.27</v>
      </c>
      <c r="I237" s="11">
        <v>4.42</v>
      </c>
      <c r="J237" s="6">
        <f t="shared" si="3"/>
        <v>0.84999999999999964</v>
      </c>
      <c r="K237" s="4" t="s">
        <v>876</v>
      </c>
      <c r="L237" s="5" t="s">
        <v>183</v>
      </c>
      <c r="M237" s="23" t="s">
        <v>184</v>
      </c>
    </row>
    <row r="238" spans="2:13" ht="16" x14ac:dyDescent="0.3">
      <c r="B238" s="4">
        <v>232</v>
      </c>
      <c r="C238" s="4" t="s">
        <v>877</v>
      </c>
      <c r="D238" s="4" t="s">
        <v>878</v>
      </c>
      <c r="E238" s="4" t="s">
        <v>181</v>
      </c>
      <c r="F238" s="22">
        <v>2305065.4109999998</v>
      </c>
      <c r="G238" s="22">
        <v>585777.87199999997</v>
      </c>
      <c r="H238" s="11">
        <v>5.31</v>
      </c>
      <c r="I238" s="11">
        <v>4.46</v>
      </c>
      <c r="J238" s="6">
        <f t="shared" si="3"/>
        <v>0.84999999999999964</v>
      </c>
      <c r="K238" s="4" t="s">
        <v>879</v>
      </c>
      <c r="L238" s="5" t="s">
        <v>183</v>
      </c>
      <c r="M238" s="23" t="s">
        <v>184</v>
      </c>
    </row>
    <row r="239" spans="2:13" ht="16" x14ac:dyDescent="0.3">
      <c r="B239" s="4">
        <v>233</v>
      </c>
      <c r="C239" s="4" t="s">
        <v>880</v>
      </c>
      <c r="D239" s="4" t="s">
        <v>881</v>
      </c>
      <c r="E239" s="4" t="s">
        <v>181</v>
      </c>
      <c r="F239" s="22">
        <v>2305055.7919999999</v>
      </c>
      <c r="G239" s="22">
        <v>585763.85400000005</v>
      </c>
      <c r="H239" s="11">
        <v>5.31</v>
      </c>
      <c r="I239" s="11">
        <v>4.46</v>
      </c>
      <c r="J239" s="6">
        <f t="shared" si="3"/>
        <v>0.84999999999999964</v>
      </c>
      <c r="K239" s="4" t="s">
        <v>882</v>
      </c>
      <c r="L239" s="5" t="s">
        <v>183</v>
      </c>
      <c r="M239" s="23" t="s">
        <v>184</v>
      </c>
    </row>
    <row r="240" spans="2:13" ht="16" x14ac:dyDescent="0.3">
      <c r="B240" s="4">
        <v>234</v>
      </c>
      <c r="C240" s="4" t="s">
        <v>883</v>
      </c>
      <c r="D240" s="4" t="s">
        <v>884</v>
      </c>
      <c r="E240" s="4" t="s">
        <v>181</v>
      </c>
      <c r="F240" s="22">
        <v>2305043.5389999999</v>
      </c>
      <c r="G240" s="22">
        <v>585745.58200000005</v>
      </c>
      <c r="H240" s="11">
        <v>5.27</v>
      </c>
      <c r="I240" s="11">
        <v>4.42</v>
      </c>
      <c r="J240" s="6">
        <f t="shared" si="3"/>
        <v>0.84999999999999964</v>
      </c>
      <c r="K240" s="4" t="s">
        <v>885</v>
      </c>
      <c r="L240" s="5" t="s">
        <v>183</v>
      </c>
      <c r="M240" s="23" t="s">
        <v>184</v>
      </c>
    </row>
    <row r="241" spans="2:13" ht="16" x14ac:dyDescent="0.3">
      <c r="B241" s="4">
        <v>235</v>
      </c>
      <c r="C241" s="4" t="s">
        <v>886</v>
      </c>
      <c r="D241" s="4" t="s">
        <v>887</v>
      </c>
      <c r="E241" s="4" t="s">
        <v>181</v>
      </c>
      <c r="F241" s="22">
        <v>2305037.4130000002</v>
      </c>
      <c r="G241" s="22">
        <v>585736.446</v>
      </c>
      <c r="H241" s="11">
        <v>5.27</v>
      </c>
      <c r="I241" s="11">
        <v>4.42</v>
      </c>
      <c r="J241" s="6">
        <f t="shared" si="3"/>
        <v>0.84999999999999964</v>
      </c>
      <c r="K241" s="4" t="s">
        <v>888</v>
      </c>
      <c r="L241" s="5" t="s">
        <v>183</v>
      </c>
      <c r="M241" s="23" t="s">
        <v>184</v>
      </c>
    </row>
    <row r="242" spans="2:13" ht="16" x14ac:dyDescent="0.3">
      <c r="B242" s="4">
        <v>236</v>
      </c>
      <c r="C242" s="4" t="s">
        <v>889</v>
      </c>
      <c r="D242" s="4" t="s">
        <v>890</v>
      </c>
      <c r="E242" s="4" t="s">
        <v>181</v>
      </c>
      <c r="F242" s="22">
        <v>2305025.2170000002</v>
      </c>
      <c r="G242" s="22">
        <v>585718.25899999996</v>
      </c>
      <c r="H242" s="11">
        <v>5.27</v>
      </c>
      <c r="I242" s="11">
        <v>4.42</v>
      </c>
      <c r="J242" s="6">
        <f t="shared" si="3"/>
        <v>0.84999999999999964</v>
      </c>
      <c r="K242" s="4" t="s">
        <v>891</v>
      </c>
      <c r="L242" s="5" t="s">
        <v>183</v>
      </c>
      <c r="M242" s="23" t="s">
        <v>184</v>
      </c>
    </row>
    <row r="243" spans="2:13" ht="16" x14ac:dyDescent="0.3">
      <c r="B243" s="4">
        <v>237</v>
      </c>
      <c r="C243" s="4" t="s">
        <v>892</v>
      </c>
      <c r="D243" s="4" t="s">
        <v>893</v>
      </c>
      <c r="E243" s="4" t="s">
        <v>181</v>
      </c>
      <c r="F243" s="22">
        <v>2305070.5320000001</v>
      </c>
      <c r="G243" s="22">
        <v>585674.50399999996</v>
      </c>
      <c r="H243" s="11">
        <v>5.27</v>
      </c>
      <c r="I243" s="11">
        <v>4.42</v>
      </c>
      <c r="J243" s="6">
        <f t="shared" si="3"/>
        <v>0.84999999999999964</v>
      </c>
      <c r="K243" s="4" t="s">
        <v>894</v>
      </c>
      <c r="L243" s="5" t="s">
        <v>183</v>
      </c>
      <c r="M243" s="23" t="s">
        <v>184</v>
      </c>
    </row>
    <row r="244" spans="2:13" ht="16" x14ac:dyDescent="0.3">
      <c r="B244" s="4">
        <v>238</v>
      </c>
      <c r="C244" s="4" t="s">
        <v>895</v>
      </c>
      <c r="D244" s="4" t="s">
        <v>896</v>
      </c>
      <c r="E244" s="4" t="s">
        <v>181</v>
      </c>
      <c r="F244" s="22">
        <v>2305058.2749999999</v>
      </c>
      <c r="G244" s="22">
        <v>585656.23499999999</v>
      </c>
      <c r="H244" s="11">
        <v>5.27</v>
      </c>
      <c r="I244" s="11">
        <v>4.42</v>
      </c>
      <c r="J244" s="6">
        <f t="shared" si="3"/>
        <v>0.84999999999999964</v>
      </c>
      <c r="K244" s="4" t="s">
        <v>897</v>
      </c>
      <c r="L244" s="5" t="s">
        <v>183</v>
      </c>
      <c r="M244" s="23" t="s">
        <v>184</v>
      </c>
    </row>
    <row r="245" spans="2:13" ht="16" x14ac:dyDescent="0.3">
      <c r="B245" s="4">
        <v>239</v>
      </c>
      <c r="C245" s="4" t="s">
        <v>898</v>
      </c>
      <c r="D245" s="4" t="s">
        <v>899</v>
      </c>
      <c r="E245" s="4" t="s">
        <v>181</v>
      </c>
      <c r="F245" s="22">
        <v>2305052.1490000002</v>
      </c>
      <c r="G245" s="22">
        <v>585647.09900000005</v>
      </c>
      <c r="H245" s="11">
        <v>5.27</v>
      </c>
      <c r="I245" s="11">
        <v>4.42</v>
      </c>
      <c r="J245" s="6">
        <f t="shared" si="3"/>
        <v>0.84999999999999964</v>
      </c>
      <c r="K245" s="4" t="s">
        <v>900</v>
      </c>
      <c r="L245" s="5" t="s">
        <v>183</v>
      </c>
      <c r="M245" s="23" t="s">
        <v>184</v>
      </c>
    </row>
    <row r="246" spans="2:13" ht="16" x14ac:dyDescent="0.3">
      <c r="B246" s="4">
        <v>240</v>
      </c>
      <c r="C246" s="4" t="s">
        <v>901</v>
      </c>
      <c r="D246" s="4" t="s">
        <v>902</v>
      </c>
      <c r="E246" s="4" t="s">
        <v>181</v>
      </c>
      <c r="F246" s="22">
        <v>2305039.8930000002</v>
      </c>
      <c r="G246" s="22">
        <v>585628.84199999995</v>
      </c>
      <c r="H246" s="11">
        <v>5.27</v>
      </c>
      <c r="I246" s="11">
        <v>4.42</v>
      </c>
      <c r="J246" s="6">
        <f t="shared" si="3"/>
        <v>0.84999999999999964</v>
      </c>
      <c r="K246" s="4" t="s">
        <v>903</v>
      </c>
      <c r="L246" s="5" t="s">
        <v>183</v>
      </c>
      <c r="M246" s="23" t="s">
        <v>184</v>
      </c>
    </row>
    <row r="247" spans="2:13" ht="16" x14ac:dyDescent="0.3">
      <c r="B247" s="4">
        <v>241</v>
      </c>
      <c r="C247" s="4" t="s">
        <v>904</v>
      </c>
      <c r="D247" s="4" t="s">
        <v>905</v>
      </c>
      <c r="E247" s="4" t="s">
        <v>181</v>
      </c>
      <c r="F247" s="22">
        <v>2305033.7549999999</v>
      </c>
      <c r="G247" s="22">
        <v>585619.68799999997</v>
      </c>
      <c r="H247" s="11">
        <v>5.27</v>
      </c>
      <c r="I247" s="11">
        <v>4.42</v>
      </c>
      <c r="J247" s="6">
        <f t="shared" si="3"/>
        <v>0.84999999999999964</v>
      </c>
      <c r="K247" s="4" t="s">
        <v>906</v>
      </c>
      <c r="L247" s="5" t="s">
        <v>183</v>
      </c>
      <c r="M247" s="23" t="s">
        <v>184</v>
      </c>
    </row>
    <row r="248" spans="2:13" ht="16" x14ac:dyDescent="0.3">
      <c r="B248" s="4">
        <v>242</v>
      </c>
      <c r="C248" s="4" t="s">
        <v>907</v>
      </c>
      <c r="D248" s="4" t="s">
        <v>908</v>
      </c>
      <c r="E248" s="4" t="s">
        <v>181</v>
      </c>
      <c r="F248" s="22">
        <v>2305021.514</v>
      </c>
      <c r="G248" s="22">
        <v>585601.43400000001</v>
      </c>
      <c r="H248" s="11">
        <v>5.27</v>
      </c>
      <c r="I248" s="11">
        <v>4.42</v>
      </c>
      <c r="J248" s="6">
        <f t="shared" si="3"/>
        <v>0.84999999999999964</v>
      </c>
      <c r="K248" s="4" t="s">
        <v>909</v>
      </c>
      <c r="L248" s="5" t="s">
        <v>183</v>
      </c>
      <c r="M248" s="23" t="s">
        <v>184</v>
      </c>
    </row>
    <row r="249" spans="2:13" ht="16" x14ac:dyDescent="0.3">
      <c r="B249" s="4">
        <v>243</v>
      </c>
      <c r="C249" s="4" t="s">
        <v>910</v>
      </c>
      <c r="D249" s="4" t="s">
        <v>911</v>
      </c>
      <c r="E249" s="4" t="s">
        <v>181</v>
      </c>
      <c r="F249" s="22">
        <v>2305015.3879999998</v>
      </c>
      <c r="G249" s="22">
        <v>585592.29799999995</v>
      </c>
      <c r="H249" s="11">
        <v>5.27</v>
      </c>
      <c r="I249" s="11">
        <v>4.42</v>
      </c>
      <c r="J249" s="6">
        <f t="shared" si="3"/>
        <v>0.84999999999999964</v>
      </c>
      <c r="K249" s="4" t="s">
        <v>912</v>
      </c>
      <c r="L249" s="5" t="s">
        <v>183</v>
      </c>
      <c r="M249" s="23" t="s">
        <v>184</v>
      </c>
    </row>
    <row r="250" spans="2:13" ht="16" x14ac:dyDescent="0.3">
      <c r="B250" s="4">
        <v>244</v>
      </c>
      <c r="C250" s="4" t="s">
        <v>913</v>
      </c>
      <c r="D250" s="4" t="s">
        <v>914</v>
      </c>
      <c r="E250" s="4" t="s">
        <v>181</v>
      </c>
      <c r="F250" s="22">
        <v>2304950.838</v>
      </c>
      <c r="G250" s="22">
        <v>585609.08200000005</v>
      </c>
      <c r="H250" s="11">
        <v>5.27</v>
      </c>
      <c r="I250" s="11">
        <v>4.42</v>
      </c>
      <c r="J250" s="6">
        <f t="shared" si="3"/>
        <v>0.84999999999999964</v>
      </c>
      <c r="K250" s="4" t="s">
        <v>915</v>
      </c>
      <c r="L250" s="5" t="s">
        <v>183</v>
      </c>
      <c r="M250" s="23" t="s">
        <v>184</v>
      </c>
    </row>
    <row r="251" spans="2:13" ht="16" x14ac:dyDescent="0.3">
      <c r="B251" s="4">
        <v>245</v>
      </c>
      <c r="C251" s="4" t="s">
        <v>916</v>
      </c>
      <c r="D251" s="4" t="s">
        <v>917</v>
      </c>
      <c r="E251" s="4" t="s">
        <v>181</v>
      </c>
      <c r="F251" s="22">
        <v>2304945.517</v>
      </c>
      <c r="G251" s="22">
        <v>585599.40500000003</v>
      </c>
      <c r="H251" s="11">
        <v>5.27</v>
      </c>
      <c r="I251" s="11">
        <v>4.42</v>
      </c>
      <c r="J251" s="6">
        <f t="shared" si="3"/>
        <v>0.84999999999999964</v>
      </c>
      <c r="K251" s="4" t="s">
        <v>918</v>
      </c>
      <c r="L251" s="5" t="s">
        <v>183</v>
      </c>
      <c r="M251" s="23" t="s">
        <v>184</v>
      </c>
    </row>
    <row r="252" spans="2:13" ht="16" x14ac:dyDescent="0.3">
      <c r="B252" s="4">
        <v>246</v>
      </c>
      <c r="C252" s="4" t="s">
        <v>919</v>
      </c>
      <c r="D252" s="4" t="s">
        <v>920</v>
      </c>
      <c r="E252" s="4" t="s">
        <v>181</v>
      </c>
      <c r="F252" s="22">
        <v>2304933.31</v>
      </c>
      <c r="G252" s="22">
        <v>585581.19999999995</v>
      </c>
      <c r="H252" s="11">
        <v>5.27</v>
      </c>
      <c r="I252" s="11">
        <v>4.42</v>
      </c>
      <c r="J252" s="6">
        <f t="shared" si="3"/>
        <v>0.84999999999999964</v>
      </c>
      <c r="K252" s="4" t="s">
        <v>921</v>
      </c>
      <c r="L252" s="5" t="s">
        <v>183</v>
      </c>
      <c r="M252" s="23" t="s">
        <v>184</v>
      </c>
    </row>
    <row r="253" spans="2:13" ht="16" x14ac:dyDescent="0.3">
      <c r="B253" s="4">
        <v>247</v>
      </c>
      <c r="C253" s="4" t="s">
        <v>922</v>
      </c>
      <c r="D253" s="4" t="s">
        <v>923</v>
      </c>
      <c r="E253" s="4" t="s">
        <v>181</v>
      </c>
      <c r="F253" s="22">
        <v>2304800.5589999999</v>
      </c>
      <c r="G253" s="22">
        <v>585621.96</v>
      </c>
      <c r="H253" s="11">
        <v>5.1100000000000003</v>
      </c>
      <c r="I253" s="11">
        <v>4.26</v>
      </c>
      <c r="J253" s="6">
        <f t="shared" si="3"/>
        <v>0.85000000000000053</v>
      </c>
      <c r="K253" s="4" t="s">
        <v>924</v>
      </c>
      <c r="L253" s="5" t="s">
        <v>183</v>
      </c>
      <c r="M253" s="23" t="s">
        <v>184</v>
      </c>
    </row>
    <row r="254" spans="2:13" ht="16" x14ac:dyDescent="0.3">
      <c r="B254" s="4">
        <v>248</v>
      </c>
      <c r="C254" s="4" t="s">
        <v>925</v>
      </c>
      <c r="D254" s="4" t="s">
        <v>926</v>
      </c>
      <c r="E254" s="4" t="s">
        <v>181</v>
      </c>
      <c r="F254" s="22">
        <v>2305024.5660000001</v>
      </c>
      <c r="G254" s="22">
        <v>585960.57999999996</v>
      </c>
      <c r="H254" s="11">
        <v>5.17</v>
      </c>
      <c r="I254" s="11">
        <v>4.32</v>
      </c>
      <c r="J254" s="6">
        <f t="shared" si="3"/>
        <v>0.84999999999999964</v>
      </c>
      <c r="K254" s="4" t="s">
        <v>927</v>
      </c>
      <c r="L254" s="5" t="s">
        <v>183</v>
      </c>
      <c r="M254" s="23" t="s">
        <v>184</v>
      </c>
    </row>
    <row r="255" spans="2:13" ht="16" x14ac:dyDescent="0.3">
      <c r="B255" s="4">
        <v>249</v>
      </c>
      <c r="C255" s="4" t="s">
        <v>928</v>
      </c>
      <c r="D255" s="4" t="s">
        <v>929</v>
      </c>
      <c r="E255" s="4" t="s">
        <v>181</v>
      </c>
      <c r="F255" s="22">
        <v>2305012.3130000001</v>
      </c>
      <c r="G255" s="22">
        <v>585942.30799999996</v>
      </c>
      <c r="H255" s="11">
        <v>5.17</v>
      </c>
      <c r="I255" s="11">
        <v>4.32</v>
      </c>
      <c r="J255" s="6">
        <f t="shared" si="3"/>
        <v>0.84999999999999964</v>
      </c>
      <c r="K255" s="4" t="s">
        <v>930</v>
      </c>
      <c r="L255" s="5" t="s">
        <v>183</v>
      </c>
      <c r="M255" s="23" t="s">
        <v>184</v>
      </c>
    </row>
    <row r="256" spans="2:13" ht="16" x14ac:dyDescent="0.3">
      <c r="B256" s="4">
        <v>250</v>
      </c>
      <c r="C256" s="4" t="s">
        <v>931</v>
      </c>
      <c r="D256" s="4" t="s">
        <v>932</v>
      </c>
      <c r="E256" s="4" t="s">
        <v>181</v>
      </c>
      <c r="F256" s="22">
        <v>2305006.1869999999</v>
      </c>
      <c r="G256" s="22">
        <v>585933.17200000002</v>
      </c>
      <c r="H256" s="11">
        <v>5.17</v>
      </c>
      <c r="I256" s="11">
        <v>4.32</v>
      </c>
      <c r="J256" s="6">
        <f t="shared" si="3"/>
        <v>0.84999999999999964</v>
      </c>
      <c r="K256" s="4" t="s">
        <v>933</v>
      </c>
      <c r="L256" s="5" t="s">
        <v>183</v>
      </c>
      <c r="M256" s="23" t="s">
        <v>184</v>
      </c>
    </row>
    <row r="257" spans="2:13" ht="16" x14ac:dyDescent="0.3">
      <c r="B257" s="4">
        <v>251</v>
      </c>
      <c r="C257" s="4" t="s">
        <v>934</v>
      </c>
      <c r="D257" s="4" t="s">
        <v>935</v>
      </c>
      <c r="E257" s="4" t="s">
        <v>181</v>
      </c>
      <c r="F257" s="22">
        <v>2304993.9419999998</v>
      </c>
      <c r="G257" s="22">
        <v>585914.91200000001</v>
      </c>
      <c r="H257" s="11">
        <v>5.17</v>
      </c>
      <c r="I257" s="11">
        <v>4.32</v>
      </c>
      <c r="J257" s="6">
        <f t="shared" si="3"/>
        <v>0.84999999999999964</v>
      </c>
      <c r="K257" s="4" t="s">
        <v>936</v>
      </c>
      <c r="L257" s="5" t="s">
        <v>183</v>
      </c>
      <c r="M257" s="23" t="s">
        <v>184</v>
      </c>
    </row>
    <row r="258" spans="2:13" ht="16" x14ac:dyDescent="0.3">
      <c r="B258" s="4">
        <v>252</v>
      </c>
      <c r="C258" s="4" t="s">
        <v>937</v>
      </c>
      <c r="D258" s="4" t="s">
        <v>938</v>
      </c>
      <c r="E258" s="4" t="s">
        <v>181</v>
      </c>
      <c r="F258" s="22">
        <v>2304987.807</v>
      </c>
      <c r="G258" s="22">
        <v>585905.76399999997</v>
      </c>
      <c r="H258" s="11">
        <v>5.17</v>
      </c>
      <c r="I258" s="11">
        <v>4.32</v>
      </c>
      <c r="J258" s="6">
        <f t="shared" si="3"/>
        <v>0.84999999999999964</v>
      </c>
      <c r="K258" s="4" t="s">
        <v>939</v>
      </c>
      <c r="L258" s="5" t="s">
        <v>183</v>
      </c>
      <c r="M258" s="23" t="s">
        <v>184</v>
      </c>
    </row>
    <row r="259" spans="2:13" ht="16" x14ac:dyDescent="0.3">
      <c r="B259" s="4">
        <v>253</v>
      </c>
      <c r="C259" s="4" t="s">
        <v>940</v>
      </c>
      <c r="D259" s="4" t="s">
        <v>941</v>
      </c>
      <c r="E259" s="4" t="s">
        <v>181</v>
      </c>
      <c r="F259" s="22">
        <v>2304975.5550000002</v>
      </c>
      <c r="G259" s="22">
        <v>585887.49199999997</v>
      </c>
      <c r="H259" s="11">
        <v>5.17</v>
      </c>
      <c r="I259" s="11">
        <v>4.32</v>
      </c>
      <c r="J259" s="6">
        <f t="shared" si="3"/>
        <v>0.84999999999999964</v>
      </c>
      <c r="K259" s="4" t="s">
        <v>942</v>
      </c>
      <c r="L259" s="5" t="s">
        <v>183</v>
      </c>
      <c r="M259" s="23" t="s">
        <v>184</v>
      </c>
    </row>
    <row r="260" spans="2:13" ht="16" x14ac:dyDescent="0.3">
      <c r="B260" s="4">
        <v>254</v>
      </c>
      <c r="C260" s="4" t="s">
        <v>943</v>
      </c>
      <c r="D260" s="4" t="s">
        <v>944</v>
      </c>
      <c r="E260" s="4" t="s">
        <v>181</v>
      </c>
      <c r="F260" s="22">
        <v>2304971.7540000002</v>
      </c>
      <c r="G260" s="22">
        <v>585876.81299999997</v>
      </c>
      <c r="H260" s="11">
        <v>5.17</v>
      </c>
      <c r="I260" s="11">
        <v>4.32</v>
      </c>
      <c r="J260" s="6">
        <f t="shared" si="3"/>
        <v>0.84999999999999964</v>
      </c>
      <c r="K260" s="4" t="s">
        <v>945</v>
      </c>
      <c r="L260" s="5" t="s">
        <v>183</v>
      </c>
      <c r="M260" s="23" t="s">
        <v>184</v>
      </c>
    </row>
    <row r="261" spans="2:13" ht="16" x14ac:dyDescent="0.3">
      <c r="B261" s="4">
        <v>255</v>
      </c>
      <c r="C261" s="4" t="s">
        <v>946</v>
      </c>
      <c r="D261" s="4" t="s">
        <v>947</v>
      </c>
      <c r="E261" s="4" t="s">
        <v>181</v>
      </c>
      <c r="F261" s="22">
        <v>2304955.0460000001</v>
      </c>
      <c r="G261" s="22">
        <v>585851.897</v>
      </c>
      <c r="H261" s="11">
        <v>5.21</v>
      </c>
      <c r="I261" s="11">
        <v>4.3600000000000003</v>
      </c>
      <c r="J261" s="6">
        <f t="shared" si="3"/>
        <v>0.84999999999999964</v>
      </c>
      <c r="K261" s="4" t="s">
        <v>948</v>
      </c>
      <c r="L261" s="5" t="s">
        <v>183</v>
      </c>
      <c r="M261" s="23" t="s">
        <v>184</v>
      </c>
    </row>
    <row r="262" spans="2:13" ht="16" x14ac:dyDescent="0.3">
      <c r="B262" s="4">
        <v>256</v>
      </c>
      <c r="C262" s="4" t="s">
        <v>949</v>
      </c>
      <c r="D262" s="4" t="s">
        <v>950</v>
      </c>
      <c r="E262" s="4" t="s">
        <v>181</v>
      </c>
      <c r="F262" s="22">
        <v>2304945.3790000002</v>
      </c>
      <c r="G262" s="22">
        <v>585837.91099999996</v>
      </c>
      <c r="H262" s="11">
        <v>5.21</v>
      </c>
      <c r="I262" s="11">
        <v>4.3600000000000003</v>
      </c>
      <c r="J262" s="6">
        <f t="shared" si="3"/>
        <v>0.84999999999999964</v>
      </c>
      <c r="K262" s="4" t="s">
        <v>951</v>
      </c>
      <c r="L262" s="5" t="s">
        <v>183</v>
      </c>
      <c r="M262" s="23" t="s">
        <v>184</v>
      </c>
    </row>
    <row r="263" spans="2:13" ht="16" x14ac:dyDescent="0.3">
      <c r="B263" s="4">
        <v>257</v>
      </c>
      <c r="C263" s="4" t="s">
        <v>952</v>
      </c>
      <c r="D263" s="4" t="s">
        <v>953</v>
      </c>
      <c r="E263" s="4" t="s">
        <v>181</v>
      </c>
      <c r="F263" s="22">
        <v>2304933.1230000001</v>
      </c>
      <c r="G263" s="22">
        <v>585819.62399999995</v>
      </c>
      <c r="H263" s="11">
        <v>5.17</v>
      </c>
      <c r="I263" s="11">
        <v>4.32</v>
      </c>
      <c r="J263" s="6">
        <f t="shared" ref="J263:J326" si="4">H263-I263</f>
        <v>0.84999999999999964</v>
      </c>
      <c r="K263" s="4" t="s">
        <v>954</v>
      </c>
      <c r="L263" s="5" t="s">
        <v>183</v>
      </c>
      <c r="M263" s="23" t="s">
        <v>184</v>
      </c>
    </row>
    <row r="264" spans="2:13" ht="16" x14ac:dyDescent="0.3">
      <c r="B264" s="4">
        <v>258</v>
      </c>
      <c r="C264" s="4" t="s">
        <v>955</v>
      </c>
      <c r="D264" s="4" t="s">
        <v>956</v>
      </c>
      <c r="E264" s="4" t="s">
        <v>181</v>
      </c>
      <c r="F264" s="22">
        <v>2304906.5019999999</v>
      </c>
      <c r="G264" s="22">
        <v>585784.51500000001</v>
      </c>
      <c r="H264" s="11">
        <v>5.17</v>
      </c>
      <c r="I264" s="11">
        <v>4.32</v>
      </c>
      <c r="J264" s="6">
        <f t="shared" si="4"/>
        <v>0.84999999999999964</v>
      </c>
      <c r="K264" s="4" t="s">
        <v>957</v>
      </c>
      <c r="L264" s="5" t="s">
        <v>183</v>
      </c>
      <c r="M264" s="23" t="s">
        <v>184</v>
      </c>
    </row>
    <row r="265" spans="2:13" ht="16" x14ac:dyDescent="0.3">
      <c r="B265" s="4">
        <v>259</v>
      </c>
      <c r="C265" s="4" t="s">
        <v>958</v>
      </c>
      <c r="D265" s="4" t="s">
        <v>959</v>
      </c>
      <c r="E265" s="4" t="s">
        <v>181</v>
      </c>
      <c r="F265" s="22">
        <v>2304894.2409999999</v>
      </c>
      <c r="G265" s="22">
        <v>585766.23100000003</v>
      </c>
      <c r="H265" s="11">
        <v>5.17</v>
      </c>
      <c r="I265" s="11">
        <v>4.32</v>
      </c>
      <c r="J265" s="6">
        <f t="shared" si="4"/>
        <v>0.84999999999999964</v>
      </c>
      <c r="K265" s="4" t="s">
        <v>960</v>
      </c>
      <c r="L265" s="5" t="s">
        <v>183</v>
      </c>
      <c r="M265" s="23" t="s">
        <v>184</v>
      </c>
    </row>
    <row r="266" spans="2:13" ht="16" x14ac:dyDescent="0.3">
      <c r="B266" s="4">
        <v>260</v>
      </c>
      <c r="C266" s="4" t="s">
        <v>961</v>
      </c>
      <c r="D266" s="4" t="s">
        <v>962</v>
      </c>
      <c r="E266" s="4" t="s">
        <v>181</v>
      </c>
      <c r="F266" s="22">
        <v>2304888.1150000002</v>
      </c>
      <c r="G266" s="22">
        <v>585757.09499999997</v>
      </c>
      <c r="H266" s="11">
        <v>5.17</v>
      </c>
      <c r="I266" s="11">
        <v>4.32</v>
      </c>
      <c r="J266" s="6">
        <f t="shared" si="4"/>
        <v>0.84999999999999964</v>
      </c>
      <c r="K266" s="4" t="s">
        <v>963</v>
      </c>
      <c r="L266" s="5" t="s">
        <v>183</v>
      </c>
      <c r="M266" s="23" t="s">
        <v>184</v>
      </c>
    </row>
    <row r="267" spans="2:13" ht="16" x14ac:dyDescent="0.3">
      <c r="B267" s="4">
        <v>261</v>
      </c>
      <c r="C267" s="4" t="s">
        <v>964</v>
      </c>
      <c r="D267" s="4" t="s">
        <v>965</v>
      </c>
      <c r="E267" s="4" t="s">
        <v>181</v>
      </c>
      <c r="F267" s="22">
        <v>2304875.8620000002</v>
      </c>
      <c r="G267" s="22">
        <v>585738.82299999997</v>
      </c>
      <c r="H267" s="11">
        <v>5.17</v>
      </c>
      <c r="I267" s="11">
        <v>4.32</v>
      </c>
      <c r="J267" s="6">
        <f t="shared" si="4"/>
        <v>0.84999999999999964</v>
      </c>
      <c r="K267" s="4" t="s">
        <v>966</v>
      </c>
      <c r="L267" s="5" t="s">
        <v>183</v>
      </c>
      <c r="M267" s="23" t="s">
        <v>184</v>
      </c>
    </row>
    <row r="268" spans="2:13" ht="16" x14ac:dyDescent="0.3">
      <c r="B268" s="4">
        <v>262</v>
      </c>
      <c r="C268" s="4" t="s">
        <v>967</v>
      </c>
      <c r="D268" s="4" t="s">
        <v>968</v>
      </c>
      <c r="E268" s="4" t="s">
        <v>181</v>
      </c>
      <c r="F268" s="22">
        <v>2304869.736</v>
      </c>
      <c r="G268" s="22">
        <v>585729.68700000003</v>
      </c>
      <c r="H268" s="11">
        <v>5.17</v>
      </c>
      <c r="I268" s="11">
        <v>4.32</v>
      </c>
      <c r="J268" s="6">
        <f t="shared" si="4"/>
        <v>0.84999999999999964</v>
      </c>
      <c r="K268" s="4" t="s">
        <v>969</v>
      </c>
      <c r="L268" s="5" t="s">
        <v>183</v>
      </c>
      <c r="M268" s="23" t="s">
        <v>184</v>
      </c>
    </row>
    <row r="269" spans="2:13" ht="16" x14ac:dyDescent="0.3">
      <c r="B269" s="4">
        <v>263</v>
      </c>
      <c r="C269" s="4" t="s">
        <v>970</v>
      </c>
      <c r="D269" s="4" t="s">
        <v>971</v>
      </c>
      <c r="E269" s="4" t="s">
        <v>181</v>
      </c>
      <c r="F269" s="22">
        <v>2304857.483</v>
      </c>
      <c r="G269" s="22">
        <v>585711.41500000004</v>
      </c>
      <c r="H269" s="11">
        <v>5.17</v>
      </c>
      <c r="I269" s="11">
        <v>4.32</v>
      </c>
      <c r="J269" s="6">
        <f t="shared" si="4"/>
        <v>0.84999999999999964</v>
      </c>
      <c r="K269" s="4" t="s">
        <v>972</v>
      </c>
      <c r="L269" s="5" t="s">
        <v>183</v>
      </c>
      <c r="M269" s="23" t="s">
        <v>184</v>
      </c>
    </row>
    <row r="270" spans="2:13" ht="16" x14ac:dyDescent="0.3">
      <c r="B270" s="4">
        <v>264</v>
      </c>
      <c r="C270" s="4" t="s">
        <v>973</v>
      </c>
      <c r="D270" s="4" t="s">
        <v>974</v>
      </c>
      <c r="E270" s="4" t="s">
        <v>181</v>
      </c>
      <c r="F270" s="22">
        <v>2304851.3569999998</v>
      </c>
      <c r="G270" s="22">
        <v>585702.27899999998</v>
      </c>
      <c r="H270" s="11">
        <v>5.17</v>
      </c>
      <c r="I270" s="11">
        <v>4.32</v>
      </c>
      <c r="J270" s="6">
        <f t="shared" si="4"/>
        <v>0.84999999999999964</v>
      </c>
      <c r="K270" s="4" t="s">
        <v>975</v>
      </c>
      <c r="L270" s="5" t="s">
        <v>183</v>
      </c>
      <c r="M270" s="23" t="s">
        <v>184</v>
      </c>
    </row>
    <row r="271" spans="2:13" ht="16" x14ac:dyDescent="0.3">
      <c r="B271" s="4">
        <v>265</v>
      </c>
      <c r="C271" s="4" t="s">
        <v>976</v>
      </c>
      <c r="D271" s="4" t="s">
        <v>977</v>
      </c>
      <c r="E271" s="4" t="s">
        <v>181</v>
      </c>
      <c r="F271" s="22">
        <v>2304839.1039999998</v>
      </c>
      <c r="G271" s="22">
        <v>585684.00699999998</v>
      </c>
      <c r="H271" s="11">
        <v>5.17</v>
      </c>
      <c r="I271" s="11">
        <v>4.32</v>
      </c>
      <c r="J271" s="6">
        <f t="shared" si="4"/>
        <v>0.84999999999999964</v>
      </c>
      <c r="K271" s="4" t="s">
        <v>978</v>
      </c>
      <c r="L271" s="5" t="s">
        <v>183</v>
      </c>
      <c r="M271" s="23" t="s">
        <v>184</v>
      </c>
    </row>
    <row r="272" spans="2:13" ht="16" x14ac:dyDescent="0.3">
      <c r="B272" s="4">
        <v>266</v>
      </c>
      <c r="C272" s="4" t="s">
        <v>979</v>
      </c>
      <c r="D272" s="4" t="s">
        <v>980</v>
      </c>
      <c r="E272" s="4" t="s">
        <v>181</v>
      </c>
      <c r="F272" s="22">
        <v>2304832.9780000001</v>
      </c>
      <c r="G272" s="22">
        <v>585674.87100000004</v>
      </c>
      <c r="H272" s="11">
        <v>5.17</v>
      </c>
      <c r="I272" s="11">
        <v>4.32</v>
      </c>
      <c r="J272" s="6">
        <f t="shared" si="4"/>
        <v>0.84999999999999964</v>
      </c>
      <c r="K272" s="4" t="s">
        <v>981</v>
      </c>
      <c r="L272" s="5" t="s">
        <v>183</v>
      </c>
      <c r="M272" s="23" t="s">
        <v>184</v>
      </c>
    </row>
    <row r="273" spans="2:13" ht="16" x14ac:dyDescent="0.3">
      <c r="B273" s="4">
        <v>267</v>
      </c>
      <c r="C273" s="4" t="s">
        <v>982</v>
      </c>
      <c r="D273" s="4" t="s">
        <v>983</v>
      </c>
      <c r="E273" s="4" t="s">
        <v>181</v>
      </c>
      <c r="F273" s="22">
        <v>2304820.733</v>
      </c>
      <c r="G273" s="22">
        <v>585656.61</v>
      </c>
      <c r="H273" s="11">
        <v>5.17</v>
      </c>
      <c r="I273" s="11">
        <v>4.32</v>
      </c>
      <c r="J273" s="6">
        <f t="shared" si="4"/>
        <v>0.84999999999999964</v>
      </c>
      <c r="K273" s="4" t="s">
        <v>984</v>
      </c>
      <c r="L273" s="5" t="s">
        <v>183</v>
      </c>
      <c r="M273" s="23" t="s">
        <v>184</v>
      </c>
    </row>
    <row r="274" spans="2:13" ht="16" x14ac:dyDescent="0.3">
      <c r="B274" s="4">
        <v>268</v>
      </c>
      <c r="C274" s="4" t="s">
        <v>985</v>
      </c>
      <c r="D274" s="4" t="s">
        <v>986</v>
      </c>
      <c r="E274" s="4" t="s">
        <v>181</v>
      </c>
      <c r="F274" s="22">
        <v>2304816.716</v>
      </c>
      <c r="G274" s="22">
        <v>585646.05900000001</v>
      </c>
      <c r="H274" s="11">
        <v>5.17</v>
      </c>
      <c r="I274" s="11">
        <v>4.32</v>
      </c>
      <c r="J274" s="6">
        <f t="shared" si="4"/>
        <v>0.84999999999999964</v>
      </c>
      <c r="K274" s="4" t="s">
        <v>987</v>
      </c>
      <c r="L274" s="5" t="s">
        <v>183</v>
      </c>
      <c r="M274" s="23" t="s">
        <v>184</v>
      </c>
    </row>
    <row r="275" spans="2:13" ht="16" x14ac:dyDescent="0.3">
      <c r="B275" s="4">
        <v>269</v>
      </c>
      <c r="C275" s="4" t="s">
        <v>988</v>
      </c>
      <c r="D275" s="4" t="s">
        <v>989</v>
      </c>
      <c r="E275" s="4" t="s">
        <v>181</v>
      </c>
      <c r="F275" s="22">
        <v>2304912.639</v>
      </c>
      <c r="G275" s="22">
        <v>585793.64399999997</v>
      </c>
      <c r="H275" s="11">
        <v>5.17</v>
      </c>
      <c r="I275" s="11">
        <v>4.32</v>
      </c>
      <c r="J275" s="6">
        <f t="shared" si="4"/>
        <v>0.84999999999999964</v>
      </c>
      <c r="K275" s="4" t="s">
        <v>990</v>
      </c>
      <c r="L275" s="5" t="s">
        <v>183</v>
      </c>
      <c r="M275" s="23" t="s">
        <v>184</v>
      </c>
    </row>
    <row r="276" spans="2:13" ht="16" x14ac:dyDescent="0.3">
      <c r="B276" s="4">
        <v>270</v>
      </c>
      <c r="C276" s="4" t="s">
        <v>991</v>
      </c>
      <c r="D276" s="4" t="s">
        <v>992</v>
      </c>
      <c r="E276" s="4" t="s">
        <v>181</v>
      </c>
      <c r="F276" s="22">
        <v>2305525.5079999999</v>
      </c>
      <c r="G276" s="22">
        <v>585223.72600000002</v>
      </c>
      <c r="H276" s="11">
        <v>5.17</v>
      </c>
      <c r="I276" s="11">
        <v>4.32</v>
      </c>
      <c r="J276" s="6">
        <f t="shared" si="4"/>
        <v>0.84999999999999964</v>
      </c>
      <c r="K276" s="4" t="s">
        <v>993</v>
      </c>
      <c r="L276" s="5" t="s">
        <v>183</v>
      </c>
      <c r="M276" s="23" t="s">
        <v>184</v>
      </c>
    </row>
    <row r="277" spans="2:13" ht="16" x14ac:dyDescent="0.3">
      <c r="B277" s="4">
        <v>271</v>
      </c>
      <c r="C277" s="4" t="s">
        <v>994</v>
      </c>
      <c r="D277" s="4" t="s">
        <v>995</v>
      </c>
      <c r="E277" s="4" t="s">
        <v>181</v>
      </c>
      <c r="F277" s="22">
        <v>2305519.4180000001</v>
      </c>
      <c r="G277" s="22">
        <v>585214.56499999994</v>
      </c>
      <c r="H277" s="11">
        <v>5.17</v>
      </c>
      <c r="I277" s="11">
        <v>4.32</v>
      </c>
      <c r="J277" s="6">
        <f t="shared" si="4"/>
        <v>0.84999999999999964</v>
      </c>
      <c r="K277" s="4" t="s">
        <v>996</v>
      </c>
      <c r="L277" s="5" t="s">
        <v>183</v>
      </c>
      <c r="M277" s="23" t="s">
        <v>184</v>
      </c>
    </row>
    <row r="278" spans="2:13" ht="16" x14ac:dyDescent="0.3">
      <c r="B278" s="4">
        <v>272</v>
      </c>
      <c r="C278" s="4" t="s">
        <v>997</v>
      </c>
      <c r="D278" s="4" t="s">
        <v>998</v>
      </c>
      <c r="E278" s="4" t="s">
        <v>181</v>
      </c>
      <c r="F278" s="22">
        <v>2305507.128</v>
      </c>
      <c r="G278" s="22">
        <v>585196.31799999997</v>
      </c>
      <c r="H278" s="11">
        <v>5.17</v>
      </c>
      <c r="I278" s="11">
        <v>4.32</v>
      </c>
      <c r="J278" s="6">
        <f t="shared" si="4"/>
        <v>0.84999999999999964</v>
      </c>
      <c r="K278" s="4" t="s">
        <v>999</v>
      </c>
      <c r="L278" s="5" t="s">
        <v>183</v>
      </c>
      <c r="M278" s="23" t="s">
        <v>184</v>
      </c>
    </row>
    <row r="279" spans="2:13" ht="16" x14ac:dyDescent="0.3">
      <c r="B279" s="4">
        <v>273</v>
      </c>
      <c r="C279" s="4" t="s">
        <v>1000</v>
      </c>
      <c r="D279" s="4" t="s">
        <v>1001</v>
      </c>
      <c r="E279" s="4" t="s">
        <v>181</v>
      </c>
      <c r="F279" s="22">
        <v>2305500.6469999999</v>
      </c>
      <c r="G279" s="22">
        <v>585187.42000000004</v>
      </c>
      <c r="H279" s="11">
        <v>5.17</v>
      </c>
      <c r="I279" s="11">
        <v>4.32</v>
      </c>
      <c r="J279" s="6">
        <f t="shared" si="4"/>
        <v>0.84999999999999964</v>
      </c>
      <c r="K279" s="4" t="s">
        <v>1002</v>
      </c>
      <c r="L279" s="5" t="s">
        <v>183</v>
      </c>
      <c r="M279" s="23" t="s">
        <v>184</v>
      </c>
    </row>
    <row r="280" spans="2:13" ht="16" x14ac:dyDescent="0.3">
      <c r="B280" s="4">
        <v>274</v>
      </c>
      <c r="C280" s="4" t="s">
        <v>1003</v>
      </c>
      <c r="D280" s="4" t="s">
        <v>1004</v>
      </c>
      <c r="E280" s="4" t="s">
        <v>181</v>
      </c>
      <c r="F280" s="22">
        <v>2305657.5019999999</v>
      </c>
      <c r="G280" s="22">
        <v>585420.56599999999</v>
      </c>
      <c r="H280" s="11">
        <v>5.17</v>
      </c>
      <c r="I280" s="11">
        <v>4.32</v>
      </c>
      <c r="J280" s="6">
        <f t="shared" si="4"/>
        <v>0.84999999999999964</v>
      </c>
      <c r="K280" s="4" t="s">
        <v>1005</v>
      </c>
      <c r="L280" s="5" t="s">
        <v>183</v>
      </c>
      <c r="M280" s="23" t="s">
        <v>184</v>
      </c>
    </row>
    <row r="281" spans="2:13" ht="16" x14ac:dyDescent="0.3">
      <c r="B281" s="4">
        <v>275</v>
      </c>
      <c r="C281" s="4" t="s">
        <v>1006</v>
      </c>
      <c r="D281" s="4" t="s">
        <v>1007</v>
      </c>
      <c r="E281" s="4" t="s">
        <v>181</v>
      </c>
      <c r="F281" s="22">
        <v>2305650.96</v>
      </c>
      <c r="G281" s="22">
        <v>585411.70799999998</v>
      </c>
      <c r="H281" s="11">
        <v>5.17</v>
      </c>
      <c r="I281" s="11">
        <v>4.32</v>
      </c>
      <c r="J281" s="6">
        <f t="shared" si="4"/>
        <v>0.84999999999999964</v>
      </c>
      <c r="K281" s="4" t="s">
        <v>1008</v>
      </c>
      <c r="L281" s="5" t="s">
        <v>183</v>
      </c>
      <c r="M281" s="23" t="s">
        <v>184</v>
      </c>
    </row>
    <row r="282" spans="2:13" ht="16" x14ac:dyDescent="0.3">
      <c r="B282" s="4">
        <v>276</v>
      </c>
      <c r="C282" s="4" t="s">
        <v>1009</v>
      </c>
      <c r="D282" s="4" t="s">
        <v>1010</v>
      </c>
      <c r="E282" s="4" t="s">
        <v>181</v>
      </c>
      <c r="F282" s="22">
        <v>2305638.7480000001</v>
      </c>
      <c r="G282" s="22">
        <v>585393.44499999995</v>
      </c>
      <c r="H282" s="11">
        <v>5.31</v>
      </c>
      <c r="I282" s="11">
        <v>4.46</v>
      </c>
      <c r="J282" s="6">
        <f t="shared" si="4"/>
        <v>0.84999999999999964</v>
      </c>
      <c r="K282" s="4" t="s">
        <v>1011</v>
      </c>
      <c r="L282" s="5" t="s">
        <v>183</v>
      </c>
      <c r="M282" s="23" t="s">
        <v>184</v>
      </c>
    </row>
    <row r="283" spans="2:13" ht="16" x14ac:dyDescent="0.3">
      <c r="B283" s="4">
        <v>277</v>
      </c>
      <c r="C283" s="4" t="s">
        <v>1012</v>
      </c>
      <c r="D283" s="4" t="s">
        <v>1013</v>
      </c>
      <c r="E283" s="4" t="s">
        <v>181</v>
      </c>
      <c r="F283" s="22">
        <v>2305629.2439999999</v>
      </c>
      <c r="G283" s="22">
        <v>585379.29599999997</v>
      </c>
      <c r="H283" s="11">
        <v>5.31</v>
      </c>
      <c r="I283" s="11">
        <v>4.46</v>
      </c>
      <c r="J283" s="6">
        <f t="shared" si="4"/>
        <v>0.84999999999999964</v>
      </c>
      <c r="K283" s="4" t="s">
        <v>1014</v>
      </c>
      <c r="L283" s="5" t="s">
        <v>183</v>
      </c>
      <c r="M283" s="23" t="s">
        <v>184</v>
      </c>
    </row>
    <row r="284" spans="2:13" ht="16" x14ac:dyDescent="0.3">
      <c r="B284" s="4">
        <v>278</v>
      </c>
      <c r="C284" s="4" t="s">
        <v>1015</v>
      </c>
      <c r="D284" s="4" t="s">
        <v>1016</v>
      </c>
      <c r="E284" s="4" t="s">
        <v>181</v>
      </c>
      <c r="F284" s="22">
        <v>2305616.9870000002</v>
      </c>
      <c r="G284" s="22">
        <v>585361.04399999999</v>
      </c>
      <c r="H284" s="11">
        <v>5.17</v>
      </c>
      <c r="I284" s="11">
        <v>4.32</v>
      </c>
      <c r="J284" s="6">
        <f t="shared" si="4"/>
        <v>0.84999999999999964</v>
      </c>
      <c r="K284" s="4" t="s">
        <v>1017</v>
      </c>
      <c r="L284" s="5" t="s">
        <v>183</v>
      </c>
      <c r="M284" s="23" t="s">
        <v>184</v>
      </c>
    </row>
    <row r="285" spans="2:13" ht="16" x14ac:dyDescent="0.3">
      <c r="B285" s="4">
        <v>279</v>
      </c>
      <c r="C285" s="4" t="s">
        <v>1018</v>
      </c>
      <c r="D285" s="4" t="s">
        <v>1019</v>
      </c>
      <c r="E285" s="4" t="s">
        <v>181</v>
      </c>
      <c r="F285" s="22">
        <v>2305611.3229999999</v>
      </c>
      <c r="G285" s="22">
        <v>585351.598</v>
      </c>
      <c r="H285" s="11">
        <v>5.17</v>
      </c>
      <c r="I285" s="11">
        <v>4.32</v>
      </c>
      <c r="J285" s="6">
        <f t="shared" si="4"/>
        <v>0.84999999999999964</v>
      </c>
      <c r="K285" s="4" t="s">
        <v>1020</v>
      </c>
      <c r="L285" s="5" t="s">
        <v>183</v>
      </c>
      <c r="M285" s="23" t="s">
        <v>184</v>
      </c>
    </row>
    <row r="286" spans="2:13" ht="16" x14ac:dyDescent="0.3">
      <c r="B286" s="4">
        <v>280</v>
      </c>
      <c r="C286" s="4" t="s">
        <v>1021</v>
      </c>
      <c r="D286" s="4" t="s">
        <v>1022</v>
      </c>
      <c r="E286" s="4" t="s">
        <v>181</v>
      </c>
      <c r="F286" s="22">
        <v>2305599.0699999998</v>
      </c>
      <c r="G286" s="22">
        <v>585333.326</v>
      </c>
      <c r="H286" s="11">
        <v>5.17</v>
      </c>
      <c r="I286" s="11">
        <v>4.32</v>
      </c>
      <c r="J286" s="6">
        <f t="shared" si="4"/>
        <v>0.84999999999999964</v>
      </c>
      <c r="K286" s="4" t="s">
        <v>1023</v>
      </c>
      <c r="L286" s="5" t="s">
        <v>183</v>
      </c>
      <c r="M286" s="23" t="s">
        <v>184</v>
      </c>
    </row>
    <row r="287" spans="2:13" ht="16" x14ac:dyDescent="0.3">
      <c r="B287" s="4">
        <v>281</v>
      </c>
      <c r="C287" s="4" t="s">
        <v>1024</v>
      </c>
      <c r="D287" s="4" t="s">
        <v>1025</v>
      </c>
      <c r="E287" s="4" t="s">
        <v>181</v>
      </c>
      <c r="F287" s="22">
        <v>2305221.6129999999</v>
      </c>
      <c r="G287" s="22">
        <v>585699.61600000004</v>
      </c>
      <c r="H287" s="11">
        <v>5.27</v>
      </c>
      <c r="I287" s="11">
        <v>4.42</v>
      </c>
      <c r="J287" s="6">
        <f t="shared" si="4"/>
        <v>0.84999999999999964</v>
      </c>
      <c r="K287" s="4" t="s">
        <v>1026</v>
      </c>
      <c r="L287" s="5" t="s">
        <v>183</v>
      </c>
      <c r="M287" s="23" t="s">
        <v>184</v>
      </c>
    </row>
    <row r="288" spans="2:13" ht="16" x14ac:dyDescent="0.3">
      <c r="B288" s="4">
        <v>282</v>
      </c>
      <c r="C288" s="4" t="s">
        <v>1027</v>
      </c>
      <c r="D288" s="4" t="s">
        <v>1028</v>
      </c>
      <c r="E288" s="4" t="s">
        <v>181</v>
      </c>
      <c r="F288" s="22">
        <v>2305209.3560000001</v>
      </c>
      <c r="G288" s="22">
        <v>585681.36499999999</v>
      </c>
      <c r="H288" s="11">
        <v>5.31</v>
      </c>
      <c r="I288" s="11">
        <v>4.46</v>
      </c>
      <c r="J288" s="6">
        <f t="shared" si="4"/>
        <v>0.84999999999999964</v>
      </c>
      <c r="K288" s="4" t="s">
        <v>1029</v>
      </c>
      <c r="L288" s="5" t="s">
        <v>183</v>
      </c>
      <c r="M288" s="23" t="s">
        <v>184</v>
      </c>
    </row>
    <row r="289" spans="2:13" ht="16" x14ac:dyDescent="0.3">
      <c r="B289" s="4">
        <v>283</v>
      </c>
      <c r="C289" s="4" t="s">
        <v>1030</v>
      </c>
      <c r="D289" s="4" t="s">
        <v>1031</v>
      </c>
      <c r="E289" s="4" t="s">
        <v>181</v>
      </c>
      <c r="F289" s="22">
        <v>2305199.8820000002</v>
      </c>
      <c r="G289" s="22">
        <v>585667.21400000004</v>
      </c>
      <c r="H289" s="11">
        <v>5.31</v>
      </c>
      <c r="I289" s="11">
        <v>4.46</v>
      </c>
      <c r="J289" s="6">
        <f t="shared" si="4"/>
        <v>0.84999999999999964</v>
      </c>
      <c r="K289" s="4" t="s">
        <v>1032</v>
      </c>
      <c r="L289" s="5" t="s">
        <v>183</v>
      </c>
      <c r="M289" s="23" t="s">
        <v>184</v>
      </c>
    </row>
    <row r="290" spans="2:13" ht="16" x14ac:dyDescent="0.3">
      <c r="B290" s="4">
        <v>284</v>
      </c>
      <c r="C290" s="4" t="s">
        <v>1033</v>
      </c>
      <c r="D290" s="4" t="s">
        <v>1034</v>
      </c>
      <c r="E290" s="4" t="s">
        <v>181</v>
      </c>
      <c r="F290" s="22">
        <v>2305187.65</v>
      </c>
      <c r="G290" s="22">
        <v>585648.946</v>
      </c>
      <c r="H290" s="11">
        <v>5.27</v>
      </c>
      <c r="I290" s="11">
        <v>4.42</v>
      </c>
      <c r="J290" s="6">
        <f t="shared" si="4"/>
        <v>0.84999999999999964</v>
      </c>
      <c r="K290" s="4" t="s">
        <v>1035</v>
      </c>
      <c r="L290" s="5" t="s">
        <v>183</v>
      </c>
      <c r="M290" s="23" t="s">
        <v>184</v>
      </c>
    </row>
    <row r="291" spans="2:13" ht="16" x14ac:dyDescent="0.3">
      <c r="B291" s="4">
        <v>285</v>
      </c>
      <c r="C291" s="4" t="s">
        <v>1036</v>
      </c>
      <c r="D291" s="4" t="s">
        <v>1037</v>
      </c>
      <c r="E291" s="4" t="s">
        <v>181</v>
      </c>
      <c r="F291" s="22">
        <v>2305169.2609999999</v>
      </c>
      <c r="G291" s="22">
        <v>585621.54500000004</v>
      </c>
      <c r="H291" s="11">
        <v>5.27</v>
      </c>
      <c r="I291" s="11">
        <v>4.42</v>
      </c>
      <c r="J291" s="6">
        <f t="shared" si="4"/>
        <v>0.84999999999999964</v>
      </c>
      <c r="K291" s="4" t="s">
        <v>1038</v>
      </c>
      <c r="L291" s="5" t="s">
        <v>183</v>
      </c>
      <c r="M291" s="23" t="s">
        <v>184</v>
      </c>
    </row>
    <row r="292" spans="2:13" ht="16" x14ac:dyDescent="0.3">
      <c r="B292" s="4">
        <v>286</v>
      </c>
      <c r="C292" s="4" t="s">
        <v>1039</v>
      </c>
      <c r="D292" s="4" t="s">
        <v>1040</v>
      </c>
      <c r="E292" s="4" t="s">
        <v>181</v>
      </c>
      <c r="F292" s="22">
        <v>2305089.6179999998</v>
      </c>
      <c r="G292" s="22">
        <v>585502.77599999995</v>
      </c>
      <c r="H292" s="11">
        <v>5.27</v>
      </c>
      <c r="I292" s="11">
        <v>4.42</v>
      </c>
      <c r="J292" s="6">
        <f t="shared" si="4"/>
        <v>0.84999999999999964</v>
      </c>
      <c r="K292" s="4" t="s">
        <v>1041</v>
      </c>
      <c r="L292" s="5" t="s">
        <v>183</v>
      </c>
      <c r="M292" s="23" t="s">
        <v>184</v>
      </c>
    </row>
    <row r="293" spans="2:13" ht="16" x14ac:dyDescent="0.3">
      <c r="B293" s="4">
        <v>287</v>
      </c>
      <c r="C293" s="4" t="s">
        <v>1042</v>
      </c>
      <c r="D293" s="4" t="s">
        <v>1043</v>
      </c>
      <c r="E293" s="4" t="s">
        <v>181</v>
      </c>
      <c r="F293" s="22">
        <v>2305077.3650000002</v>
      </c>
      <c r="G293" s="22">
        <v>585484.50300000003</v>
      </c>
      <c r="H293" s="11">
        <v>5.27</v>
      </c>
      <c r="I293" s="11">
        <v>4.42</v>
      </c>
      <c r="J293" s="6">
        <f t="shared" si="4"/>
        <v>0.84999999999999964</v>
      </c>
      <c r="K293" s="4" t="s">
        <v>1044</v>
      </c>
      <c r="L293" s="5" t="s">
        <v>183</v>
      </c>
      <c r="M293" s="23" t="s">
        <v>184</v>
      </c>
    </row>
    <row r="294" spans="2:13" ht="16" x14ac:dyDescent="0.3">
      <c r="B294" s="4">
        <v>288</v>
      </c>
      <c r="C294" s="4" t="s">
        <v>1045</v>
      </c>
      <c r="D294" s="4" t="s">
        <v>1046</v>
      </c>
      <c r="E294" s="4" t="s">
        <v>181</v>
      </c>
      <c r="F294" s="22">
        <v>2304656.673</v>
      </c>
      <c r="G294" s="22">
        <v>585388.54399999999</v>
      </c>
      <c r="H294" s="11">
        <v>5.17</v>
      </c>
      <c r="I294" s="11">
        <v>4.32</v>
      </c>
      <c r="J294" s="6">
        <f t="shared" si="4"/>
        <v>0.84999999999999964</v>
      </c>
      <c r="K294" s="4" t="s">
        <v>1047</v>
      </c>
      <c r="L294" s="5" t="s">
        <v>183</v>
      </c>
      <c r="M294" s="23" t="s">
        <v>184</v>
      </c>
    </row>
    <row r="295" spans="2:13" ht="16" x14ac:dyDescent="0.3">
      <c r="B295" s="4">
        <v>289</v>
      </c>
      <c r="C295" s="4" t="s">
        <v>1048</v>
      </c>
      <c r="D295" s="4" t="s">
        <v>1049</v>
      </c>
      <c r="E295" s="4" t="s">
        <v>181</v>
      </c>
      <c r="F295" s="22">
        <v>2304700.9739999999</v>
      </c>
      <c r="G295" s="22">
        <v>585372.08200000005</v>
      </c>
      <c r="H295" s="11">
        <v>5.17</v>
      </c>
      <c r="I295" s="11">
        <v>4.32</v>
      </c>
      <c r="J295" s="6">
        <f t="shared" si="4"/>
        <v>0.84999999999999964</v>
      </c>
      <c r="K295" s="4" t="s">
        <v>1050</v>
      </c>
      <c r="L295" s="5" t="s">
        <v>183</v>
      </c>
      <c r="M295" s="23" t="s">
        <v>184</v>
      </c>
    </row>
    <row r="296" spans="2:13" ht="16" x14ac:dyDescent="0.3">
      <c r="B296" s="4">
        <v>290</v>
      </c>
      <c r="C296" s="4" t="s">
        <v>1051</v>
      </c>
      <c r="D296" s="4" t="s">
        <v>1052</v>
      </c>
      <c r="E296" s="4" t="s">
        <v>181</v>
      </c>
      <c r="F296" s="22">
        <v>2304676.2620000001</v>
      </c>
      <c r="G296" s="22">
        <v>585413.33499999996</v>
      </c>
      <c r="H296" s="11">
        <v>5.17</v>
      </c>
      <c r="I296" s="11">
        <v>4.32</v>
      </c>
      <c r="J296" s="6">
        <f t="shared" si="4"/>
        <v>0.84999999999999964</v>
      </c>
      <c r="K296" s="4" t="s">
        <v>1053</v>
      </c>
      <c r="L296" s="5" t="s">
        <v>183</v>
      </c>
      <c r="M296" s="23" t="s">
        <v>184</v>
      </c>
    </row>
    <row r="297" spans="2:13" ht="16" x14ac:dyDescent="0.3">
      <c r="B297" s="4">
        <v>291</v>
      </c>
      <c r="C297" s="4" t="s">
        <v>1054</v>
      </c>
      <c r="D297" s="4" t="s">
        <v>1055</v>
      </c>
      <c r="E297" s="4" t="s">
        <v>181</v>
      </c>
      <c r="F297" s="22">
        <v>2304685.398</v>
      </c>
      <c r="G297" s="22">
        <v>585407.20900000003</v>
      </c>
      <c r="H297" s="11">
        <v>5.17</v>
      </c>
      <c r="I297" s="11">
        <v>4.32</v>
      </c>
      <c r="J297" s="6">
        <f t="shared" si="4"/>
        <v>0.84999999999999964</v>
      </c>
      <c r="K297" s="4" t="s">
        <v>1056</v>
      </c>
      <c r="L297" s="5" t="s">
        <v>183</v>
      </c>
      <c r="M297" s="23" t="s">
        <v>184</v>
      </c>
    </row>
    <row r="298" spans="2:13" ht="16" x14ac:dyDescent="0.3">
      <c r="B298" s="4">
        <v>292</v>
      </c>
      <c r="C298" s="4" t="s">
        <v>1057</v>
      </c>
      <c r="D298" s="4" t="s">
        <v>1058</v>
      </c>
      <c r="E298" s="4" t="s">
        <v>181</v>
      </c>
      <c r="F298" s="22">
        <v>2304772.8130000001</v>
      </c>
      <c r="G298" s="22">
        <v>585323.90500000003</v>
      </c>
      <c r="H298" s="11">
        <v>5.17</v>
      </c>
      <c r="I298" s="11">
        <v>4.32</v>
      </c>
      <c r="J298" s="6">
        <f t="shared" si="4"/>
        <v>0.84999999999999964</v>
      </c>
      <c r="K298" s="4" t="s">
        <v>1059</v>
      </c>
      <c r="L298" s="5" t="s">
        <v>183</v>
      </c>
      <c r="M298" s="23" t="s">
        <v>184</v>
      </c>
    </row>
    <row r="299" spans="2:13" ht="16" x14ac:dyDescent="0.3">
      <c r="B299" s="4">
        <v>293</v>
      </c>
      <c r="C299" s="4" t="s">
        <v>1060</v>
      </c>
      <c r="D299" s="4" t="s">
        <v>1061</v>
      </c>
      <c r="E299" s="4" t="s">
        <v>181</v>
      </c>
      <c r="F299" s="22">
        <v>2304879.5329999998</v>
      </c>
      <c r="G299" s="22">
        <v>585488.33400000003</v>
      </c>
      <c r="H299" s="11">
        <v>5.17</v>
      </c>
      <c r="I299" s="11">
        <v>4.32</v>
      </c>
      <c r="J299" s="6">
        <f t="shared" si="4"/>
        <v>0.84999999999999964</v>
      </c>
      <c r="K299" s="4" t="s">
        <v>1062</v>
      </c>
      <c r="L299" s="5" t="s">
        <v>183</v>
      </c>
      <c r="M299" s="23" t="s">
        <v>184</v>
      </c>
    </row>
    <row r="300" spans="2:13" ht="16" x14ac:dyDescent="0.3">
      <c r="B300" s="4">
        <v>294</v>
      </c>
      <c r="C300" s="4" t="s">
        <v>1063</v>
      </c>
      <c r="D300" s="4" t="s">
        <v>1064</v>
      </c>
      <c r="E300" s="4" t="s">
        <v>181</v>
      </c>
      <c r="F300" s="22">
        <v>2305286.1680000001</v>
      </c>
      <c r="G300" s="22">
        <v>584920.67200000002</v>
      </c>
      <c r="H300" s="11">
        <v>5.1100000000000003</v>
      </c>
      <c r="I300" s="11">
        <v>4.18</v>
      </c>
      <c r="J300" s="6">
        <f t="shared" si="4"/>
        <v>0.9300000000000006</v>
      </c>
      <c r="K300" s="4" t="s">
        <v>1065</v>
      </c>
      <c r="L300" s="5" t="s">
        <v>183</v>
      </c>
      <c r="M300" s="23" t="s">
        <v>184</v>
      </c>
    </row>
    <row r="301" spans="2:13" ht="16" x14ac:dyDescent="0.3">
      <c r="B301" s="4">
        <v>295</v>
      </c>
      <c r="C301" s="4" t="s">
        <v>1066</v>
      </c>
      <c r="D301" s="4" t="s">
        <v>1067</v>
      </c>
      <c r="E301" s="4" t="s">
        <v>181</v>
      </c>
      <c r="F301" s="22">
        <v>2305266.2349999999</v>
      </c>
      <c r="G301" s="22">
        <v>584934.03799999994</v>
      </c>
      <c r="H301" s="11">
        <v>5.1100000000000003</v>
      </c>
      <c r="I301" s="11">
        <v>4.0999999999999996</v>
      </c>
      <c r="J301" s="6">
        <f t="shared" si="4"/>
        <v>1.0100000000000007</v>
      </c>
      <c r="K301" s="4" t="s">
        <v>1068</v>
      </c>
      <c r="L301" s="5" t="s">
        <v>183</v>
      </c>
      <c r="M301" s="23" t="s">
        <v>184</v>
      </c>
    </row>
    <row r="302" spans="2:13" ht="16" x14ac:dyDescent="0.3">
      <c r="B302" s="4">
        <v>296</v>
      </c>
      <c r="C302" s="4" t="s">
        <v>1069</v>
      </c>
      <c r="D302" s="4" t="s">
        <v>1070</v>
      </c>
      <c r="E302" s="4" t="s">
        <v>181</v>
      </c>
      <c r="F302" s="22">
        <v>2305246.318</v>
      </c>
      <c r="G302" s="22">
        <v>584947.32200000004</v>
      </c>
      <c r="H302" s="11">
        <v>5.1100000000000003</v>
      </c>
      <c r="I302" s="11">
        <v>4.0199999999999996</v>
      </c>
      <c r="J302" s="6">
        <f t="shared" si="4"/>
        <v>1.0900000000000007</v>
      </c>
      <c r="K302" s="4" t="s">
        <v>1071</v>
      </c>
      <c r="L302" s="5" t="s">
        <v>183</v>
      </c>
      <c r="M302" s="23" t="s">
        <v>184</v>
      </c>
    </row>
    <row r="303" spans="2:13" ht="16" x14ac:dyDescent="0.3">
      <c r="B303" s="4">
        <v>297</v>
      </c>
      <c r="C303" s="4" t="s">
        <v>1072</v>
      </c>
      <c r="D303" s="4" t="s">
        <v>1073</v>
      </c>
      <c r="E303" s="4" t="s">
        <v>181</v>
      </c>
      <c r="F303" s="22">
        <v>2305233.0129999998</v>
      </c>
      <c r="G303" s="22">
        <v>584956.31599999999</v>
      </c>
      <c r="H303" s="11">
        <v>5.1100000000000003</v>
      </c>
      <c r="I303" s="11">
        <v>3.97</v>
      </c>
      <c r="J303" s="6">
        <f t="shared" si="4"/>
        <v>1.1400000000000001</v>
      </c>
      <c r="K303" s="4" t="s">
        <v>1074</v>
      </c>
      <c r="L303" s="5" t="s">
        <v>183</v>
      </c>
      <c r="M303" s="23" t="s">
        <v>184</v>
      </c>
    </row>
    <row r="304" spans="2:13" ht="16" x14ac:dyDescent="0.3">
      <c r="B304" s="4">
        <v>298</v>
      </c>
      <c r="C304" s="4" t="s">
        <v>1075</v>
      </c>
      <c r="D304" s="4" t="s">
        <v>1076</v>
      </c>
      <c r="E304" s="4" t="s">
        <v>181</v>
      </c>
      <c r="F304" s="22">
        <v>2305223.6889999998</v>
      </c>
      <c r="G304" s="22">
        <v>584985.402</v>
      </c>
      <c r="H304" s="11">
        <v>5.1100000000000003</v>
      </c>
      <c r="I304" s="11">
        <v>3.84</v>
      </c>
      <c r="J304" s="6">
        <f t="shared" si="4"/>
        <v>1.2700000000000005</v>
      </c>
      <c r="K304" s="4" t="s">
        <v>1077</v>
      </c>
      <c r="L304" s="5" t="s">
        <v>183</v>
      </c>
      <c r="M304" s="23" t="s">
        <v>184</v>
      </c>
    </row>
    <row r="305" spans="2:13" ht="16" x14ac:dyDescent="0.3">
      <c r="B305" s="4">
        <v>299</v>
      </c>
      <c r="C305" s="4" t="s">
        <v>1078</v>
      </c>
      <c r="D305" s="4" t="s">
        <v>1079</v>
      </c>
      <c r="E305" s="4" t="s">
        <v>181</v>
      </c>
      <c r="F305" s="22">
        <v>2305307.3319999999</v>
      </c>
      <c r="G305" s="22">
        <v>584952.23300000001</v>
      </c>
      <c r="H305" s="11">
        <v>5.07</v>
      </c>
      <c r="I305" s="11">
        <v>4.1399999999999997</v>
      </c>
      <c r="J305" s="6">
        <f t="shared" si="4"/>
        <v>0.9300000000000006</v>
      </c>
      <c r="K305" s="4" t="s">
        <v>1080</v>
      </c>
      <c r="L305" s="5" t="s">
        <v>183</v>
      </c>
      <c r="M305" s="23" t="s">
        <v>184</v>
      </c>
    </row>
    <row r="306" spans="2:13" ht="16" x14ac:dyDescent="0.3">
      <c r="B306" s="4">
        <v>300</v>
      </c>
      <c r="C306" s="4" t="s">
        <v>1081</v>
      </c>
      <c r="D306" s="4" t="s">
        <v>1082</v>
      </c>
      <c r="E306" s="4" t="s">
        <v>181</v>
      </c>
      <c r="F306" s="22">
        <v>2305287.3990000002</v>
      </c>
      <c r="G306" s="22">
        <v>584965.59900000005</v>
      </c>
      <c r="H306" s="11">
        <v>5.07</v>
      </c>
      <c r="I306" s="11">
        <v>4.0599999999999996</v>
      </c>
      <c r="J306" s="6">
        <f t="shared" si="4"/>
        <v>1.0100000000000007</v>
      </c>
      <c r="K306" s="4" t="s">
        <v>1083</v>
      </c>
      <c r="L306" s="5" t="s">
        <v>183</v>
      </c>
      <c r="M306" s="23" t="s">
        <v>184</v>
      </c>
    </row>
    <row r="307" spans="2:13" ht="16" x14ac:dyDescent="0.3">
      <c r="B307" s="4">
        <v>301</v>
      </c>
      <c r="C307" s="4" t="s">
        <v>1084</v>
      </c>
      <c r="D307" s="4" t="s">
        <v>1085</v>
      </c>
      <c r="E307" s="4" t="s">
        <v>181</v>
      </c>
      <c r="F307" s="22">
        <v>2305267.466</v>
      </c>
      <c r="G307" s="22">
        <v>584978.96600000001</v>
      </c>
      <c r="H307" s="11">
        <v>5.07</v>
      </c>
      <c r="I307" s="11">
        <v>3.98</v>
      </c>
      <c r="J307" s="6">
        <f t="shared" si="4"/>
        <v>1.0900000000000003</v>
      </c>
      <c r="K307" s="4" t="s">
        <v>1086</v>
      </c>
      <c r="L307" s="5" t="s">
        <v>183</v>
      </c>
      <c r="M307" s="23" t="s">
        <v>184</v>
      </c>
    </row>
    <row r="308" spans="2:13" ht="16" x14ac:dyDescent="0.3">
      <c r="B308" s="4">
        <v>302</v>
      </c>
      <c r="C308" s="4" t="s">
        <v>1087</v>
      </c>
      <c r="D308" s="4" t="s">
        <v>1088</v>
      </c>
      <c r="E308" s="4" t="s">
        <v>181</v>
      </c>
      <c r="F308" s="22">
        <v>2305254.1770000001</v>
      </c>
      <c r="G308" s="22">
        <v>584987.87699999998</v>
      </c>
      <c r="H308" s="11">
        <v>5.07</v>
      </c>
      <c r="I308" s="11">
        <v>3.93</v>
      </c>
      <c r="J308" s="6">
        <f t="shared" si="4"/>
        <v>1.1400000000000001</v>
      </c>
      <c r="K308" s="4" t="s">
        <v>1089</v>
      </c>
      <c r="L308" s="5" t="s">
        <v>183</v>
      </c>
      <c r="M308" s="23" t="s">
        <v>184</v>
      </c>
    </row>
    <row r="309" spans="2:13" ht="16" x14ac:dyDescent="0.3">
      <c r="B309" s="4">
        <v>303</v>
      </c>
      <c r="C309" s="4" t="s">
        <v>1090</v>
      </c>
      <c r="D309" s="4" t="s">
        <v>1091</v>
      </c>
      <c r="E309" s="4" t="s">
        <v>181</v>
      </c>
      <c r="F309" s="22">
        <v>2305313.4580000001</v>
      </c>
      <c r="G309" s="22">
        <v>584961.36899999995</v>
      </c>
      <c r="H309" s="11">
        <v>5.07</v>
      </c>
      <c r="I309" s="11">
        <v>4.1399999999999997</v>
      </c>
      <c r="J309" s="6">
        <f t="shared" si="4"/>
        <v>0.9300000000000006</v>
      </c>
      <c r="K309" s="4" t="s">
        <v>1092</v>
      </c>
      <c r="L309" s="5" t="s">
        <v>183</v>
      </c>
      <c r="M309" s="23" t="s">
        <v>184</v>
      </c>
    </row>
    <row r="310" spans="2:13" ht="16" x14ac:dyDescent="0.3">
      <c r="B310" s="4">
        <v>304</v>
      </c>
      <c r="C310" s="4" t="s">
        <v>1093</v>
      </c>
      <c r="D310" s="4" t="s">
        <v>1094</v>
      </c>
      <c r="E310" s="4" t="s">
        <v>181</v>
      </c>
      <c r="F310" s="22">
        <v>2305293.5249999999</v>
      </c>
      <c r="G310" s="22">
        <v>584974.73600000003</v>
      </c>
      <c r="H310" s="11">
        <v>5.07</v>
      </c>
      <c r="I310" s="11">
        <v>4.0599999999999996</v>
      </c>
      <c r="J310" s="6">
        <f t="shared" si="4"/>
        <v>1.0100000000000007</v>
      </c>
      <c r="K310" s="4" t="s">
        <v>1095</v>
      </c>
      <c r="L310" s="5" t="s">
        <v>183</v>
      </c>
      <c r="M310" s="23" t="s">
        <v>184</v>
      </c>
    </row>
    <row r="311" spans="2:13" ht="16" x14ac:dyDescent="0.3">
      <c r="B311" s="4">
        <v>305</v>
      </c>
      <c r="C311" s="4" t="s">
        <v>1096</v>
      </c>
      <c r="D311" s="4" t="s">
        <v>1097</v>
      </c>
      <c r="E311" s="4" t="s">
        <v>181</v>
      </c>
      <c r="F311" s="22">
        <v>2305273.5920000002</v>
      </c>
      <c r="G311" s="22">
        <v>584988.10199999996</v>
      </c>
      <c r="H311" s="11">
        <v>5.07</v>
      </c>
      <c r="I311" s="11">
        <v>3.98</v>
      </c>
      <c r="J311" s="6">
        <f t="shared" si="4"/>
        <v>1.0900000000000003</v>
      </c>
      <c r="K311" s="4" t="s">
        <v>1098</v>
      </c>
      <c r="L311" s="5" t="s">
        <v>183</v>
      </c>
      <c r="M311" s="23" t="s">
        <v>184</v>
      </c>
    </row>
    <row r="312" spans="2:13" ht="16" x14ac:dyDescent="0.3">
      <c r="B312" s="4">
        <v>306</v>
      </c>
      <c r="C312" s="4" t="s">
        <v>1099</v>
      </c>
      <c r="D312" s="4" t="s">
        <v>1100</v>
      </c>
      <c r="E312" s="4" t="s">
        <v>181</v>
      </c>
      <c r="F312" s="22">
        <v>2305260.3029999998</v>
      </c>
      <c r="G312" s="22">
        <v>584997.01300000004</v>
      </c>
      <c r="H312" s="11">
        <v>5.07</v>
      </c>
      <c r="I312" s="11">
        <v>3.93</v>
      </c>
      <c r="J312" s="6">
        <f t="shared" si="4"/>
        <v>1.1400000000000001</v>
      </c>
      <c r="K312" s="4" t="s">
        <v>1101</v>
      </c>
      <c r="L312" s="5" t="s">
        <v>183</v>
      </c>
      <c r="M312" s="23" t="s">
        <v>184</v>
      </c>
    </row>
    <row r="313" spans="2:13" ht="16" x14ac:dyDescent="0.3">
      <c r="B313" s="4">
        <v>307</v>
      </c>
      <c r="C313" s="4" t="s">
        <v>1102</v>
      </c>
      <c r="D313" s="4" t="s">
        <v>1103</v>
      </c>
      <c r="E313" s="4" t="s">
        <v>181</v>
      </c>
      <c r="F313" s="22">
        <v>2305334.622</v>
      </c>
      <c r="G313" s="22">
        <v>584992.93000000005</v>
      </c>
      <c r="H313" s="11">
        <v>5.07</v>
      </c>
      <c r="I313" s="11">
        <v>4.1399999999999997</v>
      </c>
      <c r="J313" s="6">
        <f t="shared" si="4"/>
        <v>0.9300000000000006</v>
      </c>
      <c r="K313" s="4" t="s">
        <v>1104</v>
      </c>
      <c r="L313" s="5" t="s">
        <v>183</v>
      </c>
      <c r="M313" s="23" t="s">
        <v>184</v>
      </c>
    </row>
    <row r="314" spans="2:13" ht="16" x14ac:dyDescent="0.3">
      <c r="B314" s="4">
        <v>308</v>
      </c>
      <c r="C314" s="4" t="s">
        <v>1105</v>
      </c>
      <c r="D314" s="4" t="s">
        <v>1106</v>
      </c>
      <c r="E314" s="4" t="s">
        <v>181</v>
      </c>
      <c r="F314" s="22">
        <v>2305314.7209999999</v>
      </c>
      <c r="G314" s="22">
        <v>585006.34499999997</v>
      </c>
      <c r="H314" s="11">
        <v>5.07</v>
      </c>
      <c r="I314" s="11">
        <v>4.0599999999999996</v>
      </c>
      <c r="J314" s="6">
        <f t="shared" si="4"/>
        <v>1.0100000000000007</v>
      </c>
      <c r="K314" s="4" t="s">
        <v>1107</v>
      </c>
      <c r="L314" s="5" t="s">
        <v>183</v>
      </c>
      <c r="M314" s="23" t="s">
        <v>184</v>
      </c>
    </row>
    <row r="315" spans="2:13" ht="16" x14ac:dyDescent="0.3">
      <c r="B315" s="4">
        <v>309</v>
      </c>
      <c r="C315" s="4" t="s">
        <v>1108</v>
      </c>
      <c r="D315" s="4" t="s">
        <v>1109</v>
      </c>
      <c r="E315" s="4" t="s">
        <v>181</v>
      </c>
      <c r="F315" s="22">
        <v>2305294.7880000002</v>
      </c>
      <c r="G315" s="22">
        <v>585019.71100000001</v>
      </c>
      <c r="H315" s="11">
        <v>5.07</v>
      </c>
      <c r="I315" s="11">
        <v>3.98</v>
      </c>
      <c r="J315" s="6">
        <f t="shared" si="4"/>
        <v>1.0900000000000003</v>
      </c>
      <c r="K315" s="4" t="s">
        <v>1110</v>
      </c>
      <c r="L315" s="5" t="s">
        <v>183</v>
      </c>
      <c r="M315" s="23" t="s">
        <v>184</v>
      </c>
    </row>
    <row r="316" spans="2:13" ht="16" x14ac:dyDescent="0.3">
      <c r="B316" s="4">
        <v>310</v>
      </c>
      <c r="C316" s="4" t="s">
        <v>1111</v>
      </c>
      <c r="D316" s="4" t="s">
        <v>1112</v>
      </c>
      <c r="E316" s="4" t="s">
        <v>181</v>
      </c>
      <c r="F316" s="22">
        <v>2305281.4190000002</v>
      </c>
      <c r="G316" s="22">
        <v>585028.39</v>
      </c>
      <c r="H316" s="11">
        <v>5.07</v>
      </c>
      <c r="I316" s="11">
        <v>3.93</v>
      </c>
      <c r="J316" s="6">
        <f t="shared" si="4"/>
        <v>1.1400000000000001</v>
      </c>
      <c r="K316" s="4" t="s">
        <v>1113</v>
      </c>
      <c r="L316" s="5" t="s">
        <v>183</v>
      </c>
      <c r="M316" s="23" t="s">
        <v>184</v>
      </c>
    </row>
    <row r="317" spans="2:13" ht="16" x14ac:dyDescent="0.3">
      <c r="B317" s="4">
        <v>311</v>
      </c>
      <c r="C317" s="4" t="s">
        <v>1114</v>
      </c>
      <c r="D317" s="4" t="s">
        <v>1115</v>
      </c>
      <c r="E317" s="4" t="s">
        <v>181</v>
      </c>
      <c r="F317" s="22">
        <v>2305340.7489999998</v>
      </c>
      <c r="G317" s="22">
        <v>585002.06599999999</v>
      </c>
      <c r="H317" s="11">
        <v>5.07</v>
      </c>
      <c r="I317" s="11">
        <v>4.1399999999999997</v>
      </c>
      <c r="J317" s="6">
        <f t="shared" si="4"/>
        <v>0.9300000000000006</v>
      </c>
      <c r="K317" s="4" t="s">
        <v>1116</v>
      </c>
      <c r="L317" s="5" t="s">
        <v>183</v>
      </c>
      <c r="M317" s="23" t="s">
        <v>184</v>
      </c>
    </row>
    <row r="318" spans="2:13" ht="16" x14ac:dyDescent="0.3">
      <c r="B318" s="4">
        <v>312</v>
      </c>
      <c r="C318" s="4" t="s">
        <v>1117</v>
      </c>
      <c r="D318" s="4" t="s">
        <v>1118</v>
      </c>
      <c r="E318" s="4" t="s">
        <v>181</v>
      </c>
      <c r="F318" s="22">
        <v>2305320.844</v>
      </c>
      <c r="G318" s="22">
        <v>585015.47499999998</v>
      </c>
      <c r="H318" s="11">
        <v>5.07</v>
      </c>
      <c r="I318" s="11">
        <v>4.0599999999999996</v>
      </c>
      <c r="J318" s="6">
        <f t="shared" si="4"/>
        <v>1.0100000000000007</v>
      </c>
      <c r="K318" s="4" t="s">
        <v>1119</v>
      </c>
      <c r="L318" s="5" t="s">
        <v>183</v>
      </c>
      <c r="M318" s="23" t="s">
        <v>184</v>
      </c>
    </row>
    <row r="319" spans="2:13" ht="16" x14ac:dyDescent="0.3">
      <c r="B319" s="4">
        <v>313</v>
      </c>
      <c r="C319" s="4" t="s">
        <v>1120</v>
      </c>
      <c r="D319" s="4" t="s">
        <v>1121</v>
      </c>
      <c r="E319" s="4" t="s">
        <v>181</v>
      </c>
      <c r="F319" s="22">
        <v>2305300.8820000002</v>
      </c>
      <c r="G319" s="22">
        <v>585028.799</v>
      </c>
      <c r="H319" s="11">
        <v>5.07</v>
      </c>
      <c r="I319" s="11">
        <v>3.98</v>
      </c>
      <c r="J319" s="6">
        <f t="shared" si="4"/>
        <v>1.0900000000000003</v>
      </c>
      <c r="K319" s="4" t="s">
        <v>1122</v>
      </c>
      <c r="L319" s="5" t="s">
        <v>183</v>
      </c>
      <c r="M319" s="23" t="s">
        <v>184</v>
      </c>
    </row>
    <row r="320" spans="2:13" ht="16" x14ac:dyDescent="0.3">
      <c r="B320" s="4">
        <v>314</v>
      </c>
      <c r="C320" s="4" t="s">
        <v>1123</v>
      </c>
      <c r="D320" s="4" t="s">
        <v>1124</v>
      </c>
      <c r="E320" s="4" t="s">
        <v>181</v>
      </c>
      <c r="F320" s="22">
        <v>2305287.5929999999</v>
      </c>
      <c r="G320" s="22">
        <v>585037.71</v>
      </c>
      <c r="H320" s="11">
        <v>5.07</v>
      </c>
      <c r="I320" s="11">
        <v>3.93</v>
      </c>
      <c r="J320" s="6">
        <f t="shared" si="4"/>
        <v>1.1400000000000001</v>
      </c>
      <c r="K320" s="4" t="s">
        <v>1125</v>
      </c>
      <c r="L320" s="5" t="s">
        <v>183</v>
      </c>
      <c r="M320" s="23" t="s">
        <v>184</v>
      </c>
    </row>
    <row r="321" spans="2:13" ht="16" x14ac:dyDescent="0.3">
      <c r="B321" s="4">
        <v>315</v>
      </c>
      <c r="C321" s="4" t="s">
        <v>1126</v>
      </c>
      <c r="D321" s="4" t="s">
        <v>1127</v>
      </c>
      <c r="E321" s="4" t="s">
        <v>181</v>
      </c>
      <c r="F321" s="22">
        <v>2305361.8990000002</v>
      </c>
      <c r="G321" s="22">
        <v>585033.696</v>
      </c>
      <c r="H321" s="11">
        <v>5.07</v>
      </c>
      <c r="I321" s="11">
        <v>4.1399999999999997</v>
      </c>
      <c r="J321" s="6">
        <f t="shared" si="4"/>
        <v>0.9300000000000006</v>
      </c>
      <c r="K321" s="4" t="s">
        <v>1128</v>
      </c>
      <c r="L321" s="5" t="s">
        <v>183</v>
      </c>
      <c r="M321" s="23" t="s">
        <v>184</v>
      </c>
    </row>
    <row r="322" spans="2:13" ht="16" x14ac:dyDescent="0.3">
      <c r="B322" s="4">
        <v>316</v>
      </c>
      <c r="C322" s="4" t="s">
        <v>1129</v>
      </c>
      <c r="D322" s="4" t="s">
        <v>1130</v>
      </c>
      <c r="E322" s="4" t="s">
        <v>181</v>
      </c>
      <c r="F322" s="22">
        <v>2305341.966</v>
      </c>
      <c r="G322" s="22">
        <v>585047.06200000003</v>
      </c>
      <c r="H322" s="11">
        <v>5.07</v>
      </c>
      <c r="I322" s="11">
        <v>4.0599999999999996</v>
      </c>
      <c r="J322" s="6">
        <f t="shared" si="4"/>
        <v>1.0100000000000007</v>
      </c>
      <c r="K322" s="4" t="s">
        <v>1131</v>
      </c>
      <c r="L322" s="5" t="s">
        <v>183</v>
      </c>
      <c r="M322" s="23" t="s">
        <v>184</v>
      </c>
    </row>
    <row r="323" spans="2:13" ht="16" x14ac:dyDescent="0.3">
      <c r="B323" s="4">
        <v>317</v>
      </c>
      <c r="C323" s="4" t="s">
        <v>1132</v>
      </c>
      <c r="D323" s="4" t="s">
        <v>1133</v>
      </c>
      <c r="E323" s="4" t="s">
        <v>181</v>
      </c>
      <c r="F323" s="22">
        <v>2305322.0320000001</v>
      </c>
      <c r="G323" s="22">
        <v>585060.429</v>
      </c>
      <c r="H323" s="11">
        <v>5.07</v>
      </c>
      <c r="I323" s="11">
        <v>3.98</v>
      </c>
      <c r="J323" s="6">
        <f t="shared" si="4"/>
        <v>1.0900000000000003</v>
      </c>
      <c r="K323" s="4" t="s">
        <v>1134</v>
      </c>
      <c r="L323" s="5" t="s">
        <v>183</v>
      </c>
      <c r="M323" s="23" t="s">
        <v>184</v>
      </c>
    </row>
    <row r="324" spans="2:13" ht="16" x14ac:dyDescent="0.3">
      <c r="B324" s="4">
        <v>318</v>
      </c>
      <c r="C324" s="4" t="s">
        <v>1135</v>
      </c>
      <c r="D324" s="4" t="s">
        <v>1136</v>
      </c>
      <c r="E324" s="4" t="s">
        <v>181</v>
      </c>
      <c r="F324" s="22">
        <v>2305308.716</v>
      </c>
      <c r="G324" s="22">
        <v>585069.299</v>
      </c>
      <c r="H324" s="11">
        <v>5.07</v>
      </c>
      <c r="I324" s="11">
        <v>3.93</v>
      </c>
      <c r="J324" s="6">
        <f t="shared" si="4"/>
        <v>1.1400000000000001</v>
      </c>
      <c r="K324" s="4" t="s">
        <v>1137</v>
      </c>
      <c r="L324" s="5" t="s">
        <v>183</v>
      </c>
      <c r="M324" s="23" t="s">
        <v>184</v>
      </c>
    </row>
    <row r="325" spans="2:13" ht="16" x14ac:dyDescent="0.3">
      <c r="B325" s="4">
        <v>319</v>
      </c>
      <c r="C325" s="4" t="s">
        <v>1138</v>
      </c>
      <c r="D325" s="4" t="s">
        <v>1139</v>
      </c>
      <c r="E325" s="4" t="s">
        <v>181</v>
      </c>
      <c r="F325" s="22">
        <v>2305368.02</v>
      </c>
      <c r="G325" s="22">
        <v>585042.77599999995</v>
      </c>
      <c r="H325" s="11">
        <v>5.07</v>
      </c>
      <c r="I325" s="11">
        <v>4.1399999999999997</v>
      </c>
      <c r="J325" s="6">
        <f t="shared" si="4"/>
        <v>0.9300000000000006</v>
      </c>
      <c r="K325" s="4" t="s">
        <v>1140</v>
      </c>
      <c r="L325" s="5" t="s">
        <v>183</v>
      </c>
      <c r="M325" s="23" t="s">
        <v>184</v>
      </c>
    </row>
    <row r="326" spans="2:13" ht="16" x14ac:dyDescent="0.3">
      <c r="B326" s="4">
        <v>320</v>
      </c>
      <c r="C326" s="4" t="s">
        <v>1141</v>
      </c>
      <c r="D326" s="4" t="s">
        <v>1142</v>
      </c>
      <c r="E326" s="4" t="s">
        <v>181</v>
      </c>
      <c r="F326" s="22">
        <v>2305348.0860000001</v>
      </c>
      <c r="G326" s="22">
        <v>585056.14199999999</v>
      </c>
      <c r="H326" s="11">
        <v>5.07</v>
      </c>
      <c r="I326" s="11">
        <v>4.0599999999999996</v>
      </c>
      <c r="J326" s="6">
        <f t="shared" si="4"/>
        <v>1.0100000000000007</v>
      </c>
      <c r="K326" s="4" t="s">
        <v>1143</v>
      </c>
      <c r="L326" s="5" t="s">
        <v>183</v>
      </c>
      <c r="M326" s="23" t="s">
        <v>184</v>
      </c>
    </row>
    <row r="327" spans="2:13" ht="16" x14ac:dyDescent="0.3">
      <c r="B327" s="4">
        <v>321</v>
      </c>
      <c r="C327" s="4" t="s">
        <v>1144</v>
      </c>
      <c r="D327" s="4" t="s">
        <v>1145</v>
      </c>
      <c r="E327" s="4" t="s">
        <v>181</v>
      </c>
      <c r="F327" s="22">
        <v>2305328.1239999998</v>
      </c>
      <c r="G327" s="22">
        <v>585069.46499999997</v>
      </c>
      <c r="H327" s="11">
        <v>5.07</v>
      </c>
      <c r="I327" s="11">
        <v>3.98</v>
      </c>
      <c r="J327" s="6">
        <f t="shared" ref="J327:J390" si="5">H327-I327</f>
        <v>1.0900000000000003</v>
      </c>
      <c r="K327" s="4" t="s">
        <v>1146</v>
      </c>
      <c r="L327" s="5" t="s">
        <v>183</v>
      </c>
      <c r="M327" s="23" t="s">
        <v>184</v>
      </c>
    </row>
    <row r="328" spans="2:13" ht="16" x14ac:dyDescent="0.3">
      <c r="B328" s="4">
        <v>322</v>
      </c>
      <c r="C328" s="4" t="s">
        <v>1147</v>
      </c>
      <c r="D328" s="4" t="s">
        <v>1148</v>
      </c>
      <c r="E328" s="4" t="s">
        <v>181</v>
      </c>
      <c r="F328" s="22">
        <v>2305314.8509999998</v>
      </c>
      <c r="G328" s="22">
        <v>585078.29299999995</v>
      </c>
      <c r="H328" s="11">
        <v>5.07</v>
      </c>
      <c r="I328" s="11">
        <v>3.93</v>
      </c>
      <c r="J328" s="6">
        <f t="shared" si="5"/>
        <v>1.1400000000000001</v>
      </c>
      <c r="K328" s="4" t="s">
        <v>1149</v>
      </c>
      <c r="L328" s="5" t="s">
        <v>183</v>
      </c>
      <c r="M328" s="23" t="s">
        <v>184</v>
      </c>
    </row>
    <row r="329" spans="2:13" ht="16" x14ac:dyDescent="0.3">
      <c r="B329" s="4">
        <v>323</v>
      </c>
      <c r="C329" s="4" t="s">
        <v>1150</v>
      </c>
      <c r="D329" s="4" t="s">
        <v>1151</v>
      </c>
      <c r="E329" s="4" t="s">
        <v>181</v>
      </c>
      <c r="F329" s="22">
        <v>2305389.2319999998</v>
      </c>
      <c r="G329" s="22">
        <v>585074.30500000005</v>
      </c>
      <c r="H329" s="11">
        <v>5.17</v>
      </c>
      <c r="I329" s="11">
        <v>4.24</v>
      </c>
      <c r="J329" s="6">
        <f t="shared" si="5"/>
        <v>0.92999999999999972</v>
      </c>
      <c r="K329" s="4" t="s">
        <v>1152</v>
      </c>
      <c r="L329" s="5" t="s">
        <v>183</v>
      </c>
      <c r="M329" s="23" t="s">
        <v>184</v>
      </c>
    </row>
    <row r="330" spans="2:13" ht="16" x14ac:dyDescent="0.3">
      <c r="B330" s="4">
        <v>324</v>
      </c>
      <c r="C330" s="4" t="s">
        <v>1153</v>
      </c>
      <c r="D330" s="4" t="s">
        <v>1154</v>
      </c>
      <c r="E330" s="4" t="s">
        <v>181</v>
      </c>
      <c r="F330" s="22">
        <v>2305369.298</v>
      </c>
      <c r="G330" s="22">
        <v>585087.67099999997</v>
      </c>
      <c r="H330" s="11">
        <v>5.17</v>
      </c>
      <c r="I330" s="11">
        <v>4.16</v>
      </c>
      <c r="J330" s="6">
        <f t="shared" si="5"/>
        <v>1.0099999999999998</v>
      </c>
      <c r="K330" s="4" t="s">
        <v>1155</v>
      </c>
      <c r="L330" s="5" t="s">
        <v>183</v>
      </c>
      <c r="M330" s="23" t="s">
        <v>184</v>
      </c>
    </row>
    <row r="331" spans="2:13" ht="16" x14ac:dyDescent="0.3">
      <c r="B331" s="4">
        <v>325</v>
      </c>
      <c r="C331" s="4" t="s">
        <v>1156</v>
      </c>
      <c r="D331" s="4" t="s">
        <v>1157</v>
      </c>
      <c r="E331" s="4" t="s">
        <v>181</v>
      </c>
      <c r="F331" s="22">
        <v>2305349.3650000002</v>
      </c>
      <c r="G331" s="22">
        <v>585101.03799999994</v>
      </c>
      <c r="H331" s="11">
        <v>5.17</v>
      </c>
      <c r="I331" s="11">
        <v>4.08</v>
      </c>
      <c r="J331" s="6">
        <f t="shared" si="5"/>
        <v>1.0899999999999999</v>
      </c>
      <c r="K331" s="4" t="s">
        <v>1158</v>
      </c>
      <c r="L331" s="5" t="s">
        <v>183</v>
      </c>
      <c r="M331" s="23" t="s">
        <v>184</v>
      </c>
    </row>
    <row r="332" spans="2:13" ht="16" x14ac:dyDescent="0.3">
      <c r="B332" s="4">
        <v>326</v>
      </c>
      <c r="C332" s="4" t="s">
        <v>1159</v>
      </c>
      <c r="D332" s="4" t="s">
        <v>1160</v>
      </c>
      <c r="E332" s="4" t="s">
        <v>181</v>
      </c>
      <c r="F332" s="22">
        <v>2305336.0759999999</v>
      </c>
      <c r="G332" s="22">
        <v>585109.94900000002</v>
      </c>
      <c r="H332" s="11">
        <v>5.17</v>
      </c>
      <c r="I332" s="11">
        <v>4.03</v>
      </c>
      <c r="J332" s="6">
        <f t="shared" si="5"/>
        <v>1.1399999999999997</v>
      </c>
      <c r="K332" s="4" t="s">
        <v>1161</v>
      </c>
      <c r="L332" s="5" t="s">
        <v>183</v>
      </c>
      <c r="M332" s="23" t="s">
        <v>184</v>
      </c>
    </row>
    <row r="333" spans="2:13" ht="16" x14ac:dyDescent="0.3">
      <c r="B333" s="4">
        <v>327</v>
      </c>
      <c r="C333" s="4" t="s">
        <v>1162</v>
      </c>
      <c r="D333" s="4" t="s">
        <v>1163</v>
      </c>
      <c r="E333" s="4" t="s">
        <v>181</v>
      </c>
      <c r="F333" s="22">
        <v>2305395.3289999999</v>
      </c>
      <c r="G333" s="22">
        <v>585083.46</v>
      </c>
      <c r="H333" s="11">
        <v>5.17</v>
      </c>
      <c r="I333" s="11">
        <v>4.24</v>
      </c>
      <c r="J333" s="6">
        <f t="shared" si="5"/>
        <v>0.92999999999999972</v>
      </c>
      <c r="K333" s="4" t="s">
        <v>1164</v>
      </c>
      <c r="L333" s="5" t="s">
        <v>183</v>
      </c>
      <c r="M333" s="23" t="s">
        <v>184</v>
      </c>
    </row>
    <row r="334" spans="2:13" ht="16" x14ac:dyDescent="0.3">
      <c r="B334" s="4">
        <v>328</v>
      </c>
      <c r="C334" s="4" t="s">
        <v>1165</v>
      </c>
      <c r="D334" s="4" t="s">
        <v>1166</v>
      </c>
      <c r="E334" s="4" t="s">
        <v>181</v>
      </c>
      <c r="F334" s="22">
        <v>2305375.3960000002</v>
      </c>
      <c r="G334" s="22">
        <v>585096.82700000005</v>
      </c>
      <c r="H334" s="11">
        <v>5.17</v>
      </c>
      <c r="I334" s="11">
        <v>4.16</v>
      </c>
      <c r="J334" s="6">
        <f t="shared" si="5"/>
        <v>1.0099999999999998</v>
      </c>
      <c r="K334" s="4" t="s">
        <v>1167</v>
      </c>
      <c r="L334" s="5" t="s">
        <v>183</v>
      </c>
      <c r="M334" s="23" t="s">
        <v>184</v>
      </c>
    </row>
    <row r="335" spans="2:13" ht="16" x14ac:dyDescent="0.3">
      <c r="B335" s="4">
        <v>329</v>
      </c>
      <c r="C335" s="4" t="s">
        <v>1168</v>
      </c>
      <c r="D335" s="4" t="s">
        <v>1169</v>
      </c>
      <c r="E335" s="4" t="s">
        <v>181</v>
      </c>
      <c r="F335" s="22">
        <v>2305355.4619999998</v>
      </c>
      <c r="G335" s="22">
        <v>585110.19299999997</v>
      </c>
      <c r="H335" s="11">
        <v>5.17</v>
      </c>
      <c r="I335" s="11">
        <v>4.08</v>
      </c>
      <c r="J335" s="6">
        <f t="shared" si="5"/>
        <v>1.0899999999999999</v>
      </c>
      <c r="K335" s="4" t="s">
        <v>1170</v>
      </c>
      <c r="L335" s="5" t="s">
        <v>183</v>
      </c>
      <c r="M335" s="23" t="s">
        <v>184</v>
      </c>
    </row>
    <row r="336" spans="2:13" ht="16" x14ac:dyDescent="0.3">
      <c r="B336" s="4">
        <v>330</v>
      </c>
      <c r="C336" s="4" t="s">
        <v>1171</v>
      </c>
      <c r="D336" s="4" t="s">
        <v>1172</v>
      </c>
      <c r="E336" s="4" t="s">
        <v>181</v>
      </c>
      <c r="F336" s="22">
        <v>2305342.1740000001</v>
      </c>
      <c r="G336" s="22">
        <v>585119.10400000005</v>
      </c>
      <c r="H336" s="11">
        <v>5.17</v>
      </c>
      <c r="I336" s="11">
        <v>4.03</v>
      </c>
      <c r="J336" s="6">
        <f t="shared" si="5"/>
        <v>1.1399999999999997</v>
      </c>
      <c r="K336" s="4" t="s">
        <v>1173</v>
      </c>
      <c r="L336" s="5" t="s">
        <v>183</v>
      </c>
      <c r="M336" s="23" t="s">
        <v>184</v>
      </c>
    </row>
    <row r="337" spans="2:13" ht="16" x14ac:dyDescent="0.3">
      <c r="B337" s="4">
        <v>331</v>
      </c>
      <c r="C337" s="4" t="s">
        <v>1174</v>
      </c>
      <c r="D337" s="4" t="s">
        <v>1175</v>
      </c>
      <c r="E337" s="4" t="s">
        <v>181</v>
      </c>
      <c r="F337" s="22">
        <v>2305416.4929999998</v>
      </c>
      <c r="G337" s="22">
        <v>585115.02099999995</v>
      </c>
      <c r="H337" s="11">
        <v>5.17</v>
      </c>
      <c r="I337" s="11">
        <v>4.24</v>
      </c>
      <c r="J337" s="6">
        <f t="shared" si="5"/>
        <v>0.92999999999999972</v>
      </c>
      <c r="K337" s="4" t="s">
        <v>1176</v>
      </c>
      <c r="L337" s="5" t="s">
        <v>183</v>
      </c>
      <c r="M337" s="23" t="s">
        <v>184</v>
      </c>
    </row>
    <row r="338" spans="2:13" ht="16" x14ac:dyDescent="0.3">
      <c r="B338" s="4">
        <v>332</v>
      </c>
      <c r="C338" s="4" t="s">
        <v>1177</v>
      </c>
      <c r="D338" s="4" t="s">
        <v>1178</v>
      </c>
      <c r="E338" s="4" t="s">
        <v>181</v>
      </c>
      <c r="F338" s="22">
        <v>2305396.5589999999</v>
      </c>
      <c r="G338" s="22">
        <v>585128.38800000004</v>
      </c>
      <c r="H338" s="11">
        <v>5.17</v>
      </c>
      <c r="I338" s="11">
        <v>4.16</v>
      </c>
      <c r="J338" s="6">
        <f t="shared" si="5"/>
        <v>1.0099999999999998</v>
      </c>
      <c r="K338" s="4" t="s">
        <v>1179</v>
      </c>
      <c r="L338" s="5" t="s">
        <v>183</v>
      </c>
      <c r="M338" s="23" t="s">
        <v>184</v>
      </c>
    </row>
    <row r="339" spans="2:13" ht="16" x14ac:dyDescent="0.3">
      <c r="B339" s="4">
        <v>333</v>
      </c>
      <c r="C339" s="4" t="s">
        <v>1180</v>
      </c>
      <c r="D339" s="4" t="s">
        <v>1181</v>
      </c>
      <c r="E339" s="4" t="s">
        <v>181</v>
      </c>
      <c r="F339" s="22">
        <v>2305376.6260000002</v>
      </c>
      <c r="G339" s="22">
        <v>585141.75399999996</v>
      </c>
      <c r="H339" s="11">
        <v>5.17</v>
      </c>
      <c r="I339" s="11">
        <v>4.08</v>
      </c>
      <c r="J339" s="6">
        <f t="shared" si="5"/>
        <v>1.0899999999999999</v>
      </c>
      <c r="K339" s="4" t="s">
        <v>1182</v>
      </c>
      <c r="L339" s="5" t="s">
        <v>183</v>
      </c>
      <c r="M339" s="23" t="s">
        <v>184</v>
      </c>
    </row>
    <row r="340" spans="2:13" ht="16" x14ac:dyDescent="0.3">
      <c r="B340" s="4">
        <v>334</v>
      </c>
      <c r="C340" s="4" t="s">
        <v>1183</v>
      </c>
      <c r="D340" s="4" t="s">
        <v>1184</v>
      </c>
      <c r="E340" s="4" t="s">
        <v>181</v>
      </c>
      <c r="F340" s="22">
        <v>2305363.3369999998</v>
      </c>
      <c r="G340" s="22">
        <v>585150.66500000004</v>
      </c>
      <c r="H340" s="11">
        <v>5.17</v>
      </c>
      <c r="I340" s="11">
        <v>4.03</v>
      </c>
      <c r="J340" s="6">
        <f t="shared" si="5"/>
        <v>1.1399999999999997</v>
      </c>
      <c r="K340" s="4" t="s">
        <v>1185</v>
      </c>
      <c r="L340" s="5" t="s">
        <v>183</v>
      </c>
      <c r="M340" s="23" t="s">
        <v>184</v>
      </c>
    </row>
    <row r="341" spans="2:13" ht="16" x14ac:dyDescent="0.3">
      <c r="B341" s="4">
        <v>335</v>
      </c>
      <c r="C341" s="4" t="s">
        <v>1186</v>
      </c>
      <c r="D341" s="4" t="s">
        <v>1187</v>
      </c>
      <c r="E341" s="4" t="s">
        <v>181</v>
      </c>
      <c r="F341" s="22">
        <v>2305422.6189999999</v>
      </c>
      <c r="G341" s="22">
        <v>585124.15700000001</v>
      </c>
      <c r="H341" s="11">
        <v>5.17</v>
      </c>
      <c r="I341" s="11">
        <v>4.24</v>
      </c>
      <c r="J341" s="6">
        <f t="shared" si="5"/>
        <v>0.92999999999999972</v>
      </c>
      <c r="K341" s="4" t="s">
        <v>1188</v>
      </c>
      <c r="L341" s="5" t="s">
        <v>183</v>
      </c>
      <c r="M341" s="23" t="s">
        <v>184</v>
      </c>
    </row>
    <row r="342" spans="2:13" ht="16" x14ac:dyDescent="0.3">
      <c r="B342" s="4">
        <v>336</v>
      </c>
      <c r="C342" s="4" t="s">
        <v>1189</v>
      </c>
      <c r="D342" s="4" t="s">
        <v>1190</v>
      </c>
      <c r="E342" s="4" t="s">
        <v>181</v>
      </c>
      <c r="F342" s="22">
        <v>2305402.6860000002</v>
      </c>
      <c r="G342" s="22">
        <v>585137.52399999998</v>
      </c>
      <c r="H342" s="11">
        <v>5.17</v>
      </c>
      <c r="I342" s="11">
        <v>4.16</v>
      </c>
      <c r="J342" s="6">
        <f t="shared" si="5"/>
        <v>1.0099999999999998</v>
      </c>
      <c r="K342" s="4" t="s">
        <v>1191</v>
      </c>
      <c r="L342" s="5" t="s">
        <v>183</v>
      </c>
      <c r="M342" s="23" t="s">
        <v>184</v>
      </c>
    </row>
    <row r="343" spans="2:13" ht="16" x14ac:dyDescent="0.3">
      <c r="B343" s="4">
        <v>337</v>
      </c>
      <c r="C343" s="4" t="s">
        <v>1192</v>
      </c>
      <c r="D343" s="4" t="s">
        <v>1193</v>
      </c>
      <c r="E343" s="4" t="s">
        <v>181</v>
      </c>
      <c r="F343" s="22">
        <v>2305382.753</v>
      </c>
      <c r="G343" s="22">
        <v>585150.89</v>
      </c>
      <c r="H343" s="11">
        <v>5.17</v>
      </c>
      <c r="I343" s="11">
        <v>4.08</v>
      </c>
      <c r="J343" s="6">
        <f t="shared" si="5"/>
        <v>1.0899999999999999</v>
      </c>
      <c r="K343" s="4" t="s">
        <v>1194</v>
      </c>
      <c r="L343" s="5" t="s">
        <v>183</v>
      </c>
      <c r="M343" s="23" t="s">
        <v>184</v>
      </c>
    </row>
    <row r="344" spans="2:13" ht="16" x14ac:dyDescent="0.3">
      <c r="B344" s="4">
        <v>338</v>
      </c>
      <c r="C344" s="4" t="s">
        <v>1195</v>
      </c>
      <c r="D344" s="4" t="s">
        <v>1196</v>
      </c>
      <c r="E344" s="4" t="s">
        <v>181</v>
      </c>
      <c r="F344" s="22">
        <v>2305369.4640000002</v>
      </c>
      <c r="G344" s="22">
        <v>585159.80099999998</v>
      </c>
      <c r="H344" s="11">
        <v>5.17</v>
      </c>
      <c r="I344" s="11">
        <v>4.03</v>
      </c>
      <c r="J344" s="6">
        <f t="shared" si="5"/>
        <v>1.1399999999999997</v>
      </c>
      <c r="K344" s="4" t="s">
        <v>1197</v>
      </c>
      <c r="L344" s="5" t="s">
        <v>183</v>
      </c>
      <c r="M344" s="23" t="s">
        <v>184</v>
      </c>
    </row>
    <row r="345" spans="2:13" ht="16" x14ac:dyDescent="0.3">
      <c r="B345" s="4">
        <v>339</v>
      </c>
      <c r="C345" s="4" t="s">
        <v>1198</v>
      </c>
      <c r="D345" s="4" t="s">
        <v>1199</v>
      </c>
      <c r="E345" s="4" t="s">
        <v>181</v>
      </c>
      <c r="F345" s="22">
        <v>2305444.8450000002</v>
      </c>
      <c r="G345" s="22">
        <v>585157.30099999998</v>
      </c>
      <c r="H345" s="11">
        <v>5.21</v>
      </c>
      <c r="I345" s="11">
        <v>4.24</v>
      </c>
      <c r="J345" s="6">
        <f t="shared" si="5"/>
        <v>0.96999999999999975</v>
      </c>
      <c r="K345" s="4" t="s">
        <v>1200</v>
      </c>
      <c r="L345" s="5" t="s">
        <v>183</v>
      </c>
      <c r="M345" s="23" t="s">
        <v>184</v>
      </c>
    </row>
    <row r="346" spans="2:13" ht="16" x14ac:dyDescent="0.3">
      <c r="B346" s="4">
        <v>340</v>
      </c>
      <c r="C346" s="4" t="s">
        <v>1201</v>
      </c>
      <c r="D346" s="4" t="s">
        <v>1202</v>
      </c>
      <c r="E346" s="4" t="s">
        <v>181</v>
      </c>
      <c r="F346" s="22">
        <v>2305424.9640000002</v>
      </c>
      <c r="G346" s="22">
        <v>585170.74600000004</v>
      </c>
      <c r="H346" s="11">
        <v>5.21</v>
      </c>
      <c r="I346" s="11">
        <v>4.16</v>
      </c>
      <c r="J346" s="6">
        <f t="shared" si="5"/>
        <v>1.0499999999999998</v>
      </c>
      <c r="K346" s="4" t="s">
        <v>1203</v>
      </c>
      <c r="L346" s="5" t="s">
        <v>183</v>
      </c>
      <c r="M346" s="23" t="s">
        <v>184</v>
      </c>
    </row>
    <row r="347" spans="2:13" ht="16" x14ac:dyDescent="0.3">
      <c r="B347" s="4">
        <v>341</v>
      </c>
      <c r="C347" s="4" t="s">
        <v>1204</v>
      </c>
      <c r="D347" s="4" t="s">
        <v>1205</v>
      </c>
      <c r="E347" s="4" t="s">
        <v>181</v>
      </c>
      <c r="F347" s="22">
        <v>2305404.9780000001</v>
      </c>
      <c r="G347" s="22">
        <v>585184.03399999999</v>
      </c>
      <c r="H347" s="11">
        <v>5.21</v>
      </c>
      <c r="I347" s="11">
        <v>4.08</v>
      </c>
      <c r="J347" s="6">
        <f t="shared" si="5"/>
        <v>1.1299999999999999</v>
      </c>
      <c r="K347" s="4" t="s">
        <v>1206</v>
      </c>
      <c r="L347" s="5" t="s">
        <v>183</v>
      </c>
      <c r="M347" s="23" t="s">
        <v>184</v>
      </c>
    </row>
    <row r="348" spans="2:13" ht="16" x14ac:dyDescent="0.3">
      <c r="B348" s="4">
        <v>342</v>
      </c>
      <c r="C348" s="4" t="s">
        <v>1207</v>
      </c>
      <c r="D348" s="4" t="s">
        <v>1208</v>
      </c>
      <c r="E348" s="4" t="s">
        <v>181</v>
      </c>
      <c r="F348" s="22">
        <v>2305391.7409999999</v>
      </c>
      <c r="G348" s="22">
        <v>585193.02300000004</v>
      </c>
      <c r="H348" s="11">
        <v>5.21</v>
      </c>
      <c r="I348" s="11">
        <v>4.03</v>
      </c>
      <c r="J348" s="6">
        <f t="shared" si="5"/>
        <v>1.1799999999999997</v>
      </c>
      <c r="K348" s="4" t="s">
        <v>1209</v>
      </c>
      <c r="L348" s="5" t="s">
        <v>183</v>
      </c>
      <c r="M348" s="23" t="s">
        <v>184</v>
      </c>
    </row>
    <row r="349" spans="2:13" ht="16" x14ac:dyDescent="0.3">
      <c r="B349" s="4">
        <v>343</v>
      </c>
      <c r="C349" s="4" t="s">
        <v>1210</v>
      </c>
      <c r="D349" s="4" t="s">
        <v>1211</v>
      </c>
      <c r="E349" s="4" t="s">
        <v>181</v>
      </c>
      <c r="F349" s="22">
        <v>2305511.1690000002</v>
      </c>
      <c r="G349" s="22">
        <v>585155.10800000001</v>
      </c>
      <c r="H349" s="11">
        <v>5.16</v>
      </c>
      <c r="I349" s="11">
        <v>2.13</v>
      </c>
      <c r="J349" s="6">
        <f t="shared" si="5"/>
        <v>3.0300000000000002</v>
      </c>
      <c r="K349" s="4" t="s">
        <v>1212</v>
      </c>
      <c r="L349" s="5" t="s">
        <v>300</v>
      </c>
      <c r="M349" s="23" t="s">
        <v>184</v>
      </c>
    </row>
    <row r="350" spans="2:13" ht="16" x14ac:dyDescent="0.3">
      <c r="B350" s="4">
        <v>344</v>
      </c>
      <c r="C350" s="4" t="s">
        <v>1213</v>
      </c>
      <c r="D350" s="4" t="s">
        <v>1214</v>
      </c>
      <c r="E350" s="4" t="s">
        <v>181</v>
      </c>
      <c r="F350" s="22">
        <v>2305484.4559999998</v>
      </c>
      <c r="G350" s="22">
        <v>585163.36</v>
      </c>
      <c r="H350" s="11">
        <v>5.21</v>
      </c>
      <c r="I350" s="11">
        <v>2.09</v>
      </c>
      <c r="J350" s="6">
        <f t="shared" si="5"/>
        <v>3.12</v>
      </c>
      <c r="K350" s="4" t="s">
        <v>1215</v>
      </c>
      <c r="L350" s="5" t="s">
        <v>300</v>
      </c>
      <c r="M350" s="23" t="s">
        <v>184</v>
      </c>
    </row>
    <row r="351" spans="2:13" ht="16" x14ac:dyDescent="0.3">
      <c r="B351" s="4">
        <v>345</v>
      </c>
      <c r="C351" s="4" t="s">
        <v>1216</v>
      </c>
      <c r="D351" s="4" t="s">
        <v>1217</v>
      </c>
      <c r="E351" s="4" t="s">
        <v>181</v>
      </c>
      <c r="F351" s="22">
        <v>2305463.6919999998</v>
      </c>
      <c r="G351" s="22">
        <v>585177.28399999999</v>
      </c>
      <c r="H351" s="11">
        <v>5.21</v>
      </c>
      <c r="I351" s="11">
        <v>2.0499999999999998</v>
      </c>
      <c r="J351" s="6">
        <f t="shared" si="5"/>
        <v>3.16</v>
      </c>
      <c r="K351" s="4" t="s">
        <v>1218</v>
      </c>
      <c r="L351" s="5" t="s">
        <v>300</v>
      </c>
      <c r="M351" s="23" t="s">
        <v>184</v>
      </c>
    </row>
    <row r="352" spans="2:13" ht="16" x14ac:dyDescent="0.3">
      <c r="B352" s="4">
        <v>346</v>
      </c>
      <c r="C352" s="4" t="s">
        <v>1219</v>
      </c>
      <c r="D352" s="4" t="s">
        <v>1220</v>
      </c>
      <c r="E352" s="4" t="s">
        <v>181</v>
      </c>
      <c r="F352" s="22">
        <v>2305446.2510000002</v>
      </c>
      <c r="G352" s="22">
        <v>585188.98</v>
      </c>
      <c r="H352" s="11">
        <v>5.21</v>
      </c>
      <c r="I352" s="11">
        <v>2.0299999999999998</v>
      </c>
      <c r="J352" s="6">
        <f t="shared" si="5"/>
        <v>3.18</v>
      </c>
      <c r="K352" s="4" t="s">
        <v>1221</v>
      </c>
      <c r="L352" s="5" t="s">
        <v>300</v>
      </c>
      <c r="M352" s="23" t="s">
        <v>184</v>
      </c>
    </row>
    <row r="353" spans="2:13" ht="16" x14ac:dyDescent="0.3">
      <c r="B353" s="4">
        <v>347</v>
      </c>
      <c r="C353" s="4" t="s">
        <v>1222</v>
      </c>
      <c r="D353" s="4" t="s">
        <v>1223</v>
      </c>
      <c r="E353" s="4" t="s">
        <v>181</v>
      </c>
      <c r="F353" s="22">
        <v>2305425.4870000002</v>
      </c>
      <c r="G353" s="22">
        <v>585202.90300000005</v>
      </c>
      <c r="H353" s="11">
        <v>5.21</v>
      </c>
      <c r="I353" s="11">
        <v>1.99</v>
      </c>
      <c r="J353" s="6">
        <f t="shared" si="5"/>
        <v>3.2199999999999998</v>
      </c>
      <c r="K353" s="4" t="s">
        <v>1224</v>
      </c>
      <c r="L353" s="5" t="s">
        <v>300</v>
      </c>
      <c r="M353" s="23" t="s">
        <v>184</v>
      </c>
    </row>
    <row r="354" spans="2:13" ht="16" x14ac:dyDescent="0.3">
      <c r="B354" s="4">
        <v>348</v>
      </c>
      <c r="C354" s="4" t="s">
        <v>1225</v>
      </c>
      <c r="D354" s="4" t="s">
        <v>1226</v>
      </c>
      <c r="E354" s="4" t="s">
        <v>181</v>
      </c>
      <c r="F354" s="22">
        <v>2305408.0449999999</v>
      </c>
      <c r="G354" s="22">
        <v>585214.59900000005</v>
      </c>
      <c r="H354" s="11">
        <v>5.21</v>
      </c>
      <c r="I354" s="11">
        <v>1.97</v>
      </c>
      <c r="J354" s="6">
        <f t="shared" si="5"/>
        <v>3.24</v>
      </c>
      <c r="K354" s="4" t="s">
        <v>1227</v>
      </c>
      <c r="L354" s="5" t="s">
        <v>300</v>
      </c>
      <c r="M354" s="23" t="s">
        <v>184</v>
      </c>
    </row>
    <row r="355" spans="2:13" ht="16" x14ac:dyDescent="0.3">
      <c r="B355" s="4">
        <v>349</v>
      </c>
      <c r="C355" s="4" t="s">
        <v>1228</v>
      </c>
      <c r="D355" s="4" t="s">
        <v>1229</v>
      </c>
      <c r="E355" s="4" t="s">
        <v>181</v>
      </c>
      <c r="F355" s="22">
        <v>2305479.5449999999</v>
      </c>
      <c r="G355" s="22">
        <v>585200.96799999999</v>
      </c>
      <c r="H355" s="11">
        <v>5.17</v>
      </c>
      <c r="I355" s="11">
        <v>4.24</v>
      </c>
      <c r="J355" s="6">
        <f t="shared" si="5"/>
        <v>0.92999999999999972</v>
      </c>
      <c r="K355" s="4" t="s">
        <v>1230</v>
      </c>
      <c r="L355" s="5" t="s">
        <v>183</v>
      </c>
      <c r="M355" s="23" t="s">
        <v>184</v>
      </c>
    </row>
    <row r="356" spans="2:13" ht="16" x14ac:dyDescent="0.3">
      <c r="B356" s="4">
        <v>350</v>
      </c>
      <c r="C356" s="4" t="s">
        <v>1231</v>
      </c>
      <c r="D356" s="4" t="s">
        <v>1232</v>
      </c>
      <c r="E356" s="4" t="s">
        <v>181</v>
      </c>
      <c r="F356" s="22">
        <v>2305462.3810000001</v>
      </c>
      <c r="G356" s="22">
        <v>585213.07900000003</v>
      </c>
      <c r="H356" s="11">
        <v>5.17</v>
      </c>
      <c r="I356" s="11">
        <v>4.17</v>
      </c>
      <c r="J356" s="6">
        <f t="shared" si="5"/>
        <v>1</v>
      </c>
      <c r="K356" s="4" t="s">
        <v>1233</v>
      </c>
      <c r="L356" s="5" t="s">
        <v>183</v>
      </c>
      <c r="M356" s="23" t="s">
        <v>184</v>
      </c>
    </row>
    <row r="357" spans="2:13" ht="16" x14ac:dyDescent="0.3">
      <c r="B357" s="4">
        <v>351</v>
      </c>
      <c r="C357" s="4" t="s">
        <v>1234</v>
      </c>
      <c r="D357" s="4" t="s">
        <v>1235</v>
      </c>
      <c r="E357" s="4" t="s">
        <v>181</v>
      </c>
      <c r="F357" s="22">
        <v>2305441.6179999998</v>
      </c>
      <c r="G357" s="22">
        <v>585227.00300000003</v>
      </c>
      <c r="H357" s="11">
        <v>5.17</v>
      </c>
      <c r="I357" s="11">
        <v>4.09</v>
      </c>
      <c r="J357" s="6">
        <f t="shared" si="5"/>
        <v>1.08</v>
      </c>
      <c r="K357" s="4" t="s">
        <v>1236</v>
      </c>
      <c r="L357" s="5" t="s">
        <v>183</v>
      </c>
      <c r="M357" s="23" t="s">
        <v>184</v>
      </c>
    </row>
    <row r="358" spans="2:13" ht="16" x14ac:dyDescent="0.3">
      <c r="B358" s="4">
        <v>352</v>
      </c>
      <c r="C358" s="4" t="s">
        <v>1237</v>
      </c>
      <c r="D358" s="4" t="s">
        <v>1238</v>
      </c>
      <c r="E358" s="4" t="s">
        <v>181</v>
      </c>
      <c r="F358" s="22">
        <v>2305424.176</v>
      </c>
      <c r="G358" s="22">
        <v>585238.69900000002</v>
      </c>
      <c r="H358" s="11">
        <v>5.17</v>
      </c>
      <c r="I358" s="11">
        <v>4.0199999999999996</v>
      </c>
      <c r="J358" s="6">
        <f t="shared" si="5"/>
        <v>1.1500000000000004</v>
      </c>
      <c r="K358" s="4" t="s">
        <v>1239</v>
      </c>
      <c r="L358" s="5" t="s">
        <v>183</v>
      </c>
      <c r="M358" s="23" t="s">
        <v>184</v>
      </c>
    </row>
    <row r="359" spans="2:13" ht="16" x14ac:dyDescent="0.3">
      <c r="B359" s="4">
        <v>353</v>
      </c>
      <c r="C359" s="4" t="s">
        <v>1240</v>
      </c>
      <c r="D359" s="4" t="s">
        <v>1241</v>
      </c>
      <c r="E359" s="4" t="s">
        <v>181</v>
      </c>
      <c r="F359" s="22">
        <v>2305488.0260000001</v>
      </c>
      <c r="G359" s="22">
        <v>585209.12699999998</v>
      </c>
      <c r="H359" s="11">
        <v>5.17</v>
      </c>
      <c r="I359" s="11">
        <v>4.24</v>
      </c>
      <c r="J359" s="6">
        <f t="shared" si="5"/>
        <v>0.92999999999999972</v>
      </c>
      <c r="K359" s="4" t="s">
        <v>1242</v>
      </c>
      <c r="L359" s="5" t="s">
        <v>183</v>
      </c>
      <c r="M359" s="23" t="s">
        <v>184</v>
      </c>
    </row>
    <row r="360" spans="2:13" ht="16" x14ac:dyDescent="0.3">
      <c r="B360" s="4">
        <v>354</v>
      </c>
      <c r="C360" s="4" t="s">
        <v>1243</v>
      </c>
      <c r="D360" s="4" t="s">
        <v>1244</v>
      </c>
      <c r="E360" s="4" t="s">
        <v>181</v>
      </c>
      <c r="F360" s="22">
        <v>2305468.923</v>
      </c>
      <c r="G360" s="22">
        <v>585221.93700000003</v>
      </c>
      <c r="H360" s="11">
        <v>5.17</v>
      </c>
      <c r="I360" s="11">
        <v>4.17</v>
      </c>
      <c r="J360" s="6">
        <f t="shared" si="5"/>
        <v>1</v>
      </c>
      <c r="K360" s="4" t="s">
        <v>1245</v>
      </c>
      <c r="L360" s="5" t="s">
        <v>183</v>
      </c>
      <c r="M360" s="23" t="s">
        <v>184</v>
      </c>
    </row>
    <row r="361" spans="2:13" ht="16" x14ac:dyDescent="0.3">
      <c r="B361" s="4">
        <v>355</v>
      </c>
      <c r="C361" s="4" t="s">
        <v>1246</v>
      </c>
      <c r="D361" s="4" t="s">
        <v>1247</v>
      </c>
      <c r="E361" s="4" t="s">
        <v>181</v>
      </c>
      <c r="F361" s="22">
        <v>2305447.3289999999</v>
      </c>
      <c r="G361" s="22">
        <v>585236.41799999995</v>
      </c>
      <c r="H361" s="11">
        <v>5.17</v>
      </c>
      <c r="I361" s="11">
        <v>4.08</v>
      </c>
      <c r="J361" s="6">
        <f t="shared" si="5"/>
        <v>1.0899999999999999</v>
      </c>
      <c r="K361" s="4" t="s">
        <v>1248</v>
      </c>
      <c r="L361" s="5" t="s">
        <v>183</v>
      </c>
      <c r="M361" s="23" t="s">
        <v>184</v>
      </c>
    </row>
    <row r="362" spans="2:13" ht="16" x14ac:dyDescent="0.3">
      <c r="B362" s="4">
        <v>356</v>
      </c>
      <c r="C362" s="4" t="s">
        <v>1249</v>
      </c>
      <c r="D362" s="4" t="s">
        <v>1250</v>
      </c>
      <c r="E362" s="4" t="s">
        <v>181</v>
      </c>
      <c r="F362" s="22">
        <v>2305430.7179999999</v>
      </c>
      <c r="G362" s="22">
        <v>585247.55599999998</v>
      </c>
      <c r="H362" s="11">
        <v>5.17</v>
      </c>
      <c r="I362" s="11">
        <v>4.0199999999999996</v>
      </c>
      <c r="J362" s="6">
        <f t="shared" si="5"/>
        <v>1.1500000000000004</v>
      </c>
      <c r="K362" s="4" t="s">
        <v>1251</v>
      </c>
      <c r="L362" s="5" t="s">
        <v>183</v>
      </c>
      <c r="M362" s="23" t="s">
        <v>184</v>
      </c>
    </row>
    <row r="363" spans="2:13" ht="16" x14ac:dyDescent="0.3">
      <c r="B363" s="4">
        <v>357</v>
      </c>
      <c r="C363" s="4" t="s">
        <v>1252</v>
      </c>
      <c r="D363" s="4" t="s">
        <v>1253</v>
      </c>
      <c r="E363" s="4" t="s">
        <v>181</v>
      </c>
      <c r="F363" s="22">
        <v>2305500.2779999999</v>
      </c>
      <c r="G363" s="22">
        <v>585227.39899999998</v>
      </c>
      <c r="H363" s="11">
        <v>5.17</v>
      </c>
      <c r="I363" s="11">
        <v>4.24</v>
      </c>
      <c r="J363" s="6">
        <f t="shared" si="5"/>
        <v>0.92999999999999972</v>
      </c>
      <c r="K363" s="4" t="s">
        <v>1254</v>
      </c>
      <c r="L363" s="5" t="s">
        <v>183</v>
      </c>
      <c r="M363" s="23" t="s">
        <v>184</v>
      </c>
    </row>
    <row r="364" spans="2:13" ht="16" x14ac:dyDescent="0.3">
      <c r="B364" s="4">
        <v>358</v>
      </c>
      <c r="C364" s="4" t="s">
        <v>1255</v>
      </c>
      <c r="D364" s="4" t="s">
        <v>1256</v>
      </c>
      <c r="E364" s="4" t="s">
        <v>181</v>
      </c>
      <c r="F364" s="22">
        <v>2305481.176</v>
      </c>
      <c r="G364" s="22">
        <v>585240.20900000003</v>
      </c>
      <c r="H364" s="11">
        <v>5.17</v>
      </c>
      <c r="I364" s="11">
        <v>4.17</v>
      </c>
      <c r="J364" s="6">
        <f t="shared" si="5"/>
        <v>1</v>
      </c>
      <c r="K364" s="4" t="s">
        <v>1257</v>
      </c>
      <c r="L364" s="5" t="s">
        <v>183</v>
      </c>
      <c r="M364" s="23" t="s">
        <v>184</v>
      </c>
    </row>
    <row r="365" spans="2:13" ht="16" x14ac:dyDescent="0.3">
      <c r="B365" s="4">
        <v>359</v>
      </c>
      <c r="C365" s="4" t="s">
        <v>1258</v>
      </c>
      <c r="D365" s="4" t="s">
        <v>1259</v>
      </c>
      <c r="E365" s="4" t="s">
        <v>181</v>
      </c>
      <c r="F365" s="22">
        <v>2305459.5819999999</v>
      </c>
      <c r="G365" s="22">
        <v>585254.68999999994</v>
      </c>
      <c r="H365" s="11">
        <v>5.17</v>
      </c>
      <c r="I365" s="11">
        <v>4.08</v>
      </c>
      <c r="J365" s="6">
        <f t="shared" si="5"/>
        <v>1.0899999999999999</v>
      </c>
      <c r="K365" s="4" t="s">
        <v>1260</v>
      </c>
      <c r="L365" s="5" t="s">
        <v>183</v>
      </c>
      <c r="M365" s="23" t="s">
        <v>184</v>
      </c>
    </row>
    <row r="366" spans="2:13" ht="16" x14ac:dyDescent="0.3">
      <c r="B366" s="4">
        <v>360</v>
      </c>
      <c r="C366" s="4" t="s">
        <v>1261</v>
      </c>
      <c r="D366" s="4" t="s">
        <v>1262</v>
      </c>
      <c r="E366" s="4" t="s">
        <v>181</v>
      </c>
      <c r="F366" s="22">
        <v>2305442.9700000002</v>
      </c>
      <c r="G366" s="22">
        <v>585265.82799999998</v>
      </c>
      <c r="H366" s="11">
        <v>5.17</v>
      </c>
      <c r="I366" s="11">
        <v>4.0199999999999996</v>
      </c>
      <c r="J366" s="6">
        <f t="shared" si="5"/>
        <v>1.1500000000000004</v>
      </c>
      <c r="K366" s="4" t="s">
        <v>1263</v>
      </c>
      <c r="L366" s="5" t="s">
        <v>183</v>
      </c>
      <c r="M366" s="23" t="s">
        <v>184</v>
      </c>
    </row>
    <row r="367" spans="2:13" ht="16" x14ac:dyDescent="0.3">
      <c r="B367" s="4">
        <v>361</v>
      </c>
      <c r="C367" s="4" t="s">
        <v>1264</v>
      </c>
      <c r="D367" s="4" t="s">
        <v>1265</v>
      </c>
      <c r="E367" s="4" t="s">
        <v>181</v>
      </c>
      <c r="F367" s="22">
        <v>2305592.8969999999</v>
      </c>
      <c r="G367" s="22">
        <v>585324.223</v>
      </c>
      <c r="H367" s="11">
        <v>5.17</v>
      </c>
      <c r="I367" s="11">
        <v>4.32</v>
      </c>
      <c r="J367" s="6">
        <f t="shared" si="5"/>
        <v>0.84999999999999964</v>
      </c>
      <c r="K367" s="4" t="s">
        <v>1266</v>
      </c>
      <c r="L367" s="5" t="s">
        <v>183</v>
      </c>
      <c r="M367" s="23" t="s">
        <v>184</v>
      </c>
    </row>
    <row r="368" spans="2:13" ht="16" x14ac:dyDescent="0.3">
      <c r="B368" s="4">
        <v>362</v>
      </c>
      <c r="C368" s="4" t="s">
        <v>1267</v>
      </c>
      <c r="D368" s="4" t="s">
        <v>1268</v>
      </c>
      <c r="E368" s="4" t="s">
        <v>181</v>
      </c>
      <c r="F368" s="22">
        <v>2305573.7949999999</v>
      </c>
      <c r="G368" s="22">
        <v>585337.03200000001</v>
      </c>
      <c r="H368" s="11">
        <v>5.17</v>
      </c>
      <c r="I368" s="11">
        <v>4.24</v>
      </c>
      <c r="J368" s="6">
        <f t="shared" si="5"/>
        <v>0.92999999999999972</v>
      </c>
      <c r="K368" s="4" t="s">
        <v>1269</v>
      </c>
      <c r="L368" s="5" t="s">
        <v>183</v>
      </c>
      <c r="M368" s="23" t="s">
        <v>184</v>
      </c>
    </row>
    <row r="369" spans="2:13" ht="16" x14ac:dyDescent="0.3">
      <c r="B369" s="4">
        <v>363</v>
      </c>
      <c r="C369" s="4" t="s">
        <v>1270</v>
      </c>
      <c r="D369" s="4" t="s">
        <v>1271</v>
      </c>
      <c r="E369" s="4" t="s">
        <v>181</v>
      </c>
      <c r="F369" s="22">
        <v>2305551.0729999999</v>
      </c>
      <c r="G369" s="22">
        <v>585352.26899999997</v>
      </c>
      <c r="H369" s="11">
        <v>5.17</v>
      </c>
      <c r="I369" s="11">
        <v>4.1500000000000004</v>
      </c>
      <c r="J369" s="6">
        <f t="shared" si="5"/>
        <v>1.0199999999999996</v>
      </c>
      <c r="K369" s="4" t="s">
        <v>1272</v>
      </c>
      <c r="L369" s="5" t="s">
        <v>183</v>
      </c>
      <c r="M369" s="23" t="s">
        <v>184</v>
      </c>
    </row>
    <row r="370" spans="2:13" ht="16" x14ac:dyDescent="0.3">
      <c r="B370" s="4">
        <v>364</v>
      </c>
      <c r="C370" s="4" t="s">
        <v>1273</v>
      </c>
      <c r="D370" s="4" t="s">
        <v>1274</v>
      </c>
      <c r="E370" s="4" t="s">
        <v>181</v>
      </c>
      <c r="F370" s="22">
        <v>2305538.8199999998</v>
      </c>
      <c r="G370" s="22">
        <v>585333.99699999997</v>
      </c>
      <c r="H370" s="11">
        <v>5.17</v>
      </c>
      <c r="I370" s="11">
        <v>4.07</v>
      </c>
      <c r="J370" s="6">
        <f t="shared" si="5"/>
        <v>1.0999999999999996</v>
      </c>
      <c r="K370" s="4" t="s">
        <v>1275</v>
      </c>
      <c r="L370" s="5" t="s">
        <v>183</v>
      </c>
      <c r="M370" s="23" t="s">
        <v>184</v>
      </c>
    </row>
    <row r="371" spans="2:13" ht="16" x14ac:dyDescent="0.3">
      <c r="B371" s="4">
        <v>365</v>
      </c>
      <c r="C371" s="4" t="s">
        <v>1276</v>
      </c>
      <c r="D371" s="4" t="s">
        <v>1277</v>
      </c>
      <c r="E371" s="4" t="s">
        <v>181</v>
      </c>
      <c r="F371" s="22">
        <v>2305532.6940000001</v>
      </c>
      <c r="G371" s="22">
        <v>585324.86100000003</v>
      </c>
      <c r="H371" s="11">
        <v>5.17</v>
      </c>
      <c r="I371" s="11">
        <v>4.03</v>
      </c>
      <c r="J371" s="6">
        <f t="shared" si="5"/>
        <v>1.1399999999999997</v>
      </c>
      <c r="K371" s="4" t="s">
        <v>1278</v>
      </c>
      <c r="L371" s="5" t="s">
        <v>183</v>
      </c>
      <c r="M371" s="23" t="s">
        <v>184</v>
      </c>
    </row>
    <row r="372" spans="2:13" ht="16" x14ac:dyDescent="0.3">
      <c r="B372" s="4">
        <v>366</v>
      </c>
      <c r="C372" s="4" t="s">
        <v>1279</v>
      </c>
      <c r="D372" s="4" t="s">
        <v>1280</v>
      </c>
      <c r="E372" s="4" t="s">
        <v>181</v>
      </c>
      <c r="F372" s="22">
        <v>2305520.5529999998</v>
      </c>
      <c r="G372" s="22">
        <v>585306.51399999997</v>
      </c>
      <c r="H372" s="11">
        <v>5.17</v>
      </c>
      <c r="I372" s="11">
        <v>3.95</v>
      </c>
      <c r="J372" s="6">
        <f t="shared" si="5"/>
        <v>1.2199999999999998</v>
      </c>
      <c r="K372" s="4" t="s">
        <v>1281</v>
      </c>
      <c r="L372" s="5" t="s">
        <v>183</v>
      </c>
      <c r="M372" s="23" t="s">
        <v>184</v>
      </c>
    </row>
    <row r="373" spans="2:13" ht="16" x14ac:dyDescent="0.3">
      <c r="B373" s="4">
        <v>367</v>
      </c>
      <c r="C373" s="4" t="s">
        <v>1282</v>
      </c>
      <c r="D373" s="4" t="s">
        <v>1283</v>
      </c>
      <c r="E373" s="4" t="s">
        <v>181</v>
      </c>
      <c r="F373" s="22">
        <v>2305514.426</v>
      </c>
      <c r="G373" s="22">
        <v>585297.37800000003</v>
      </c>
      <c r="H373" s="11">
        <v>5.17</v>
      </c>
      <c r="I373" s="11">
        <v>3.91</v>
      </c>
      <c r="J373" s="6">
        <f t="shared" si="5"/>
        <v>1.2599999999999998</v>
      </c>
      <c r="K373" s="4" t="s">
        <v>1284</v>
      </c>
      <c r="L373" s="5" t="s">
        <v>183</v>
      </c>
      <c r="M373" s="23" t="s">
        <v>184</v>
      </c>
    </row>
    <row r="374" spans="2:13" ht="16" x14ac:dyDescent="0.3">
      <c r="B374" s="4">
        <v>368</v>
      </c>
      <c r="C374" s="4" t="s">
        <v>1285</v>
      </c>
      <c r="D374" s="4" t="s">
        <v>1286</v>
      </c>
      <c r="E374" s="4" t="s">
        <v>181</v>
      </c>
      <c r="F374" s="22">
        <v>2305502.0619999999</v>
      </c>
      <c r="G374" s="22">
        <v>585279.18000000005</v>
      </c>
      <c r="H374" s="11">
        <v>5.17</v>
      </c>
      <c r="I374" s="11">
        <v>3.82</v>
      </c>
      <c r="J374" s="6">
        <f t="shared" si="5"/>
        <v>1.35</v>
      </c>
      <c r="K374" s="4" t="s">
        <v>1287</v>
      </c>
      <c r="L374" s="5" t="s">
        <v>183</v>
      </c>
      <c r="M374" s="23" t="s">
        <v>184</v>
      </c>
    </row>
    <row r="375" spans="2:13" ht="16" x14ac:dyDescent="0.3">
      <c r="B375" s="4">
        <v>369</v>
      </c>
      <c r="C375" s="4" t="s">
        <v>1288</v>
      </c>
      <c r="D375" s="4" t="s">
        <v>1289</v>
      </c>
      <c r="E375" s="4" t="s">
        <v>181</v>
      </c>
      <c r="F375" s="22">
        <v>2305495.9360000002</v>
      </c>
      <c r="G375" s="22">
        <v>585270.04399999999</v>
      </c>
      <c r="H375" s="11">
        <v>5.17</v>
      </c>
      <c r="I375" s="11">
        <v>3.79</v>
      </c>
      <c r="J375" s="6">
        <f t="shared" si="5"/>
        <v>1.38</v>
      </c>
      <c r="K375" s="4" t="s">
        <v>1290</v>
      </c>
      <c r="L375" s="5" t="s">
        <v>183</v>
      </c>
      <c r="M375" s="23" t="s">
        <v>184</v>
      </c>
    </row>
    <row r="376" spans="2:13" ht="16" x14ac:dyDescent="0.3">
      <c r="B376" s="4">
        <v>370</v>
      </c>
      <c r="C376" s="4" t="s">
        <v>1291</v>
      </c>
      <c r="D376" s="4" t="s">
        <v>1292</v>
      </c>
      <c r="E376" s="4" t="s">
        <v>181</v>
      </c>
      <c r="F376" s="22">
        <v>2305482.4279999998</v>
      </c>
      <c r="G376" s="22">
        <v>585258.13500000001</v>
      </c>
      <c r="H376" s="11">
        <v>5.17</v>
      </c>
      <c r="I376" s="11">
        <v>3.73</v>
      </c>
      <c r="J376" s="6">
        <f t="shared" si="5"/>
        <v>1.44</v>
      </c>
      <c r="K376" s="4" t="s">
        <v>1293</v>
      </c>
      <c r="L376" s="5" t="s">
        <v>183</v>
      </c>
      <c r="M376" s="23" t="s">
        <v>184</v>
      </c>
    </row>
    <row r="377" spans="2:13" ht="16" x14ac:dyDescent="0.3">
      <c r="B377" s="4">
        <v>371</v>
      </c>
      <c r="C377" s="4" t="s">
        <v>1294</v>
      </c>
      <c r="D377" s="4" t="s">
        <v>1295</v>
      </c>
      <c r="E377" s="4" t="s">
        <v>181</v>
      </c>
      <c r="F377" s="22">
        <v>2305458.159</v>
      </c>
      <c r="G377" s="22">
        <v>585268.88800000004</v>
      </c>
      <c r="H377" s="11">
        <v>5.17</v>
      </c>
      <c r="I377" s="11">
        <v>3.64</v>
      </c>
      <c r="J377" s="6">
        <f t="shared" si="5"/>
        <v>1.5299999999999998</v>
      </c>
      <c r="K377" s="4" t="s">
        <v>1296</v>
      </c>
      <c r="L377" s="5" t="s">
        <v>254</v>
      </c>
      <c r="M377" s="23" t="s">
        <v>184</v>
      </c>
    </row>
    <row r="378" spans="2:13" ht="16" x14ac:dyDescent="0.3">
      <c r="B378" s="4">
        <v>372</v>
      </c>
      <c r="C378" s="4" t="s">
        <v>1297</v>
      </c>
      <c r="D378" s="4" t="s">
        <v>1298</v>
      </c>
      <c r="E378" s="4" t="s">
        <v>181</v>
      </c>
      <c r="F378" s="22">
        <v>2305580.645</v>
      </c>
      <c r="G378" s="22">
        <v>585305.951</v>
      </c>
      <c r="H378" s="11">
        <v>5.17</v>
      </c>
      <c r="I378" s="11">
        <v>4.32</v>
      </c>
      <c r="J378" s="6">
        <f t="shared" si="5"/>
        <v>0.84999999999999964</v>
      </c>
      <c r="K378" s="4" t="s">
        <v>1299</v>
      </c>
      <c r="L378" s="5" t="s">
        <v>183</v>
      </c>
      <c r="M378" s="23" t="s">
        <v>184</v>
      </c>
    </row>
    <row r="379" spans="2:13" ht="16" x14ac:dyDescent="0.3">
      <c r="B379" s="4">
        <v>373</v>
      </c>
      <c r="C379" s="4" t="s">
        <v>1300</v>
      </c>
      <c r="D379" s="4" t="s">
        <v>1301</v>
      </c>
      <c r="E379" s="4" t="s">
        <v>181</v>
      </c>
      <c r="F379" s="22">
        <v>2305561.5419999999</v>
      </c>
      <c r="G379" s="22">
        <v>585318.76</v>
      </c>
      <c r="H379" s="11">
        <v>5.17</v>
      </c>
      <c r="I379" s="11">
        <v>4.24</v>
      </c>
      <c r="J379" s="6">
        <f t="shared" si="5"/>
        <v>0.92999999999999972</v>
      </c>
      <c r="K379" s="4" t="s">
        <v>1302</v>
      </c>
      <c r="L379" s="5" t="s">
        <v>183</v>
      </c>
      <c r="M379" s="23" t="s">
        <v>184</v>
      </c>
    </row>
    <row r="380" spans="2:13" ht="16" x14ac:dyDescent="0.3">
      <c r="B380" s="4">
        <v>374</v>
      </c>
      <c r="C380" s="4" t="s">
        <v>1303</v>
      </c>
      <c r="D380" s="4" t="s">
        <v>1304</v>
      </c>
      <c r="E380" s="4" t="s">
        <v>181</v>
      </c>
      <c r="F380" s="22">
        <v>2305574.5180000002</v>
      </c>
      <c r="G380" s="22">
        <v>585296.81499999994</v>
      </c>
      <c r="H380" s="11">
        <v>5.17</v>
      </c>
      <c r="I380" s="11">
        <v>4.32</v>
      </c>
      <c r="J380" s="6">
        <f t="shared" si="5"/>
        <v>0.84999999999999964</v>
      </c>
      <c r="K380" s="4" t="s">
        <v>1305</v>
      </c>
      <c r="L380" s="5" t="s">
        <v>183</v>
      </c>
      <c r="M380" s="23" t="s">
        <v>184</v>
      </c>
    </row>
    <row r="381" spans="2:13" ht="16" x14ac:dyDescent="0.3">
      <c r="B381" s="4">
        <v>375</v>
      </c>
      <c r="C381" s="4" t="s">
        <v>1306</v>
      </c>
      <c r="D381" s="4" t="s">
        <v>1307</v>
      </c>
      <c r="E381" s="4" t="s">
        <v>181</v>
      </c>
      <c r="F381" s="22">
        <v>2305555.602</v>
      </c>
      <c r="G381" s="22">
        <v>585309.90300000005</v>
      </c>
      <c r="H381" s="11">
        <v>5.17</v>
      </c>
      <c r="I381" s="11">
        <v>4.24</v>
      </c>
      <c r="J381" s="6">
        <f t="shared" si="5"/>
        <v>0.92999999999999972</v>
      </c>
      <c r="K381" s="4" t="s">
        <v>1308</v>
      </c>
      <c r="L381" s="5" t="s">
        <v>183</v>
      </c>
      <c r="M381" s="23" t="s">
        <v>184</v>
      </c>
    </row>
    <row r="382" spans="2:13" ht="16" x14ac:dyDescent="0.3">
      <c r="B382" s="4">
        <v>376</v>
      </c>
      <c r="C382" s="4" t="s">
        <v>1309</v>
      </c>
      <c r="D382" s="4" t="s">
        <v>1310</v>
      </c>
      <c r="E382" s="4" t="s">
        <v>181</v>
      </c>
      <c r="F382" s="22">
        <v>2305562.2659999998</v>
      </c>
      <c r="G382" s="22">
        <v>585278.54200000002</v>
      </c>
      <c r="H382" s="11">
        <v>5.17</v>
      </c>
      <c r="I382" s="11">
        <v>4.32</v>
      </c>
      <c r="J382" s="6">
        <f t="shared" si="5"/>
        <v>0.84999999999999964</v>
      </c>
      <c r="K382" s="4" t="s">
        <v>1311</v>
      </c>
      <c r="L382" s="5" t="s">
        <v>183</v>
      </c>
      <c r="M382" s="23" t="s">
        <v>184</v>
      </c>
    </row>
    <row r="383" spans="2:13" ht="16" x14ac:dyDescent="0.3">
      <c r="B383" s="4">
        <v>377</v>
      </c>
      <c r="C383" s="4" t="s">
        <v>1312</v>
      </c>
      <c r="D383" s="4" t="s">
        <v>1313</v>
      </c>
      <c r="E383" s="4" t="s">
        <v>181</v>
      </c>
      <c r="F383" s="22">
        <v>2305543.1630000002</v>
      </c>
      <c r="G383" s="22">
        <v>585291.35199999996</v>
      </c>
      <c r="H383" s="11">
        <v>5.17</v>
      </c>
      <c r="I383" s="11">
        <v>4.24</v>
      </c>
      <c r="J383" s="6">
        <f t="shared" si="5"/>
        <v>0.92999999999999972</v>
      </c>
      <c r="K383" s="4" t="s">
        <v>1314</v>
      </c>
      <c r="L383" s="5" t="s">
        <v>183</v>
      </c>
      <c r="M383" s="23" t="s">
        <v>184</v>
      </c>
    </row>
    <row r="384" spans="2:13" ht="16" x14ac:dyDescent="0.3">
      <c r="B384" s="4">
        <v>378</v>
      </c>
      <c r="C384" s="4" t="s">
        <v>1315</v>
      </c>
      <c r="D384" s="4" t="s">
        <v>1316</v>
      </c>
      <c r="E384" s="4" t="s">
        <v>181</v>
      </c>
      <c r="F384" s="22">
        <v>2305556.139</v>
      </c>
      <c r="G384" s="22">
        <v>585269.40599999996</v>
      </c>
      <c r="H384" s="11">
        <v>5.17</v>
      </c>
      <c r="I384" s="11">
        <v>4.32</v>
      </c>
      <c r="J384" s="6">
        <f t="shared" si="5"/>
        <v>0.84999999999999964</v>
      </c>
      <c r="K384" s="4" t="s">
        <v>1317</v>
      </c>
      <c r="L384" s="5" t="s">
        <v>183</v>
      </c>
      <c r="M384" s="23" t="s">
        <v>184</v>
      </c>
    </row>
    <row r="385" spans="2:13" ht="16" x14ac:dyDescent="0.3">
      <c r="B385" s="4">
        <v>379</v>
      </c>
      <c r="C385" s="4" t="s">
        <v>1318</v>
      </c>
      <c r="D385" s="4" t="s">
        <v>1319</v>
      </c>
      <c r="E385" s="4" t="s">
        <v>181</v>
      </c>
      <c r="F385" s="22">
        <v>2305537.037</v>
      </c>
      <c r="G385" s="22">
        <v>585282.21600000001</v>
      </c>
      <c r="H385" s="11">
        <v>5.17</v>
      </c>
      <c r="I385" s="11">
        <v>4.24</v>
      </c>
      <c r="J385" s="6">
        <f t="shared" si="5"/>
        <v>0.92999999999999972</v>
      </c>
      <c r="K385" s="4" t="s">
        <v>1320</v>
      </c>
      <c r="L385" s="5" t="s">
        <v>183</v>
      </c>
      <c r="M385" s="23" t="s">
        <v>184</v>
      </c>
    </row>
    <row r="386" spans="2:13" ht="16" x14ac:dyDescent="0.3">
      <c r="B386" s="4">
        <v>380</v>
      </c>
      <c r="C386" s="4" t="s">
        <v>1321</v>
      </c>
      <c r="D386" s="4" t="s">
        <v>1322</v>
      </c>
      <c r="E386" s="4" t="s">
        <v>181</v>
      </c>
      <c r="F386" s="22">
        <v>2305543.8870000001</v>
      </c>
      <c r="G386" s="22">
        <v>585251.13399999996</v>
      </c>
      <c r="H386" s="11">
        <v>5.17</v>
      </c>
      <c r="I386" s="11">
        <v>4.32</v>
      </c>
      <c r="J386" s="6">
        <f t="shared" si="5"/>
        <v>0.84999999999999964</v>
      </c>
      <c r="K386" s="4" t="s">
        <v>1323</v>
      </c>
      <c r="L386" s="5" t="s">
        <v>183</v>
      </c>
      <c r="M386" s="23" t="s">
        <v>184</v>
      </c>
    </row>
    <row r="387" spans="2:13" ht="16" x14ac:dyDescent="0.3">
      <c r="B387" s="4">
        <v>381</v>
      </c>
      <c r="C387" s="4" t="s">
        <v>1324</v>
      </c>
      <c r="D387" s="4" t="s">
        <v>1325</v>
      </c>
      <c r="E387" s="4" t="s">
        <v>181</v>
      </c>
      <c r="F387" s="22">
        <v>2305524.784</v>
      </c>
      <c r="G387" s="22">
        <v>585263.94400000002</v>
      </c>
      <c r="H387" s="11">
        <v>5.17</v>
      </c>
      <c r="I387" s="11">
        <v>4.24</v>
      </c>
      <c r="J387" s="6">
        <f t="shared" si="5"/>
        <v>0.92999999999999972</v>
      </c>
      <c r="K387" s="4" t="s">
        <v>1326</v>
      </c>
      <c r="L387" s="5" t="s">
        <v>183</v>
      </c>
      <c r="M387" s="23" t="s">
        <v>184</v>
      </c>
    </row>
    <row r="388" spans="2:13" ht="16" x14ac:dyDescent="0.3">
      <c r="B388" s="4">
        <v>382</v>
      </c>
      <c r="C388" s="4" t="s">
        <v>1327</v>
      </c>
      <c r="D388" s="4" t="s">
        <v>1328</v>
      </c>
      <c r="E388" s="4" t="s">
        <v>181</v>
      </c>
      <c r="F388" s="22">
        <v>2305537.6839999999</v>
      </c>
      <c r="G388" s="22">
        <v>585241.88500000001</v>
      </c>
      <c r="H388" s="11">
        <v>5.17</v>
      </c>
      <c r="I388" s="11">
        <v>4.32</v>
      </c>
      <c r="J388" s="6">
        <f t="shared" si="5"/>
        <v>0.84999999999999964</v>
      </c>
      <c r="K388" s="4" t="s">
        <v>1329</v>
      </c>
      <c r="L388" s="5" t="s">
        <v>183</v>
      </c>
      <c r="M388" s="23" t="s">
        <v>184</v>
      </c>
    </row>
    <row r="389" spans="2:13" ht="16" x14ac:dyDescent="0.3">
      <c r="B389" s="4">
        <v>383</v>
      </c>
      <c r="C389" s="4" t="s">
        <v>1330</v>
      </c>
      <c r="D389" s="4" t="s">
        <v>1331</v>
      </c>
      <c r="E389" s="4" t="s">
        <v>181</v>
      </c>
      <c r="F389" s="22">
        <v>2305518.6570000001</v>
      </c>
      <c r="G389" s="22">
        <v>585254.80799999996</v>
      </c>
      <c r="H389" s="11">
        <v>5.17</v>
      </c>
      <c r="I389" s="11">
        <v>4.24</v>
      </c>
      <c r="J389" s="6">
        <f t="shared" si="5"/>
        <v>0.92999999999999972</v>
      </c>
      <c r="K389" s="4" t="s">
        <v>1332</v>
      </c>
      <c r="L389" s="5" t="s">
        <v>183</v>
      </c>
      <c r="M389" s="23" t="s">
        <v>184</v>
      </c>
    </row>
    <row r="390" spans="2:13" ht="16" x14ac:dyDescent="0.3">
      <c r="B390" s="4">
        <v>384</v>
      </c>
      <c r="C390" s="4" t="s">
        <v>1333</v>
      </c>
      <c r="D390" s="4" t="s">
        <v>1334</v>
      </c>
      <c r="E390" s="4" t="s">
        <v>181</v>
      </c>
      <c r="F390" s="22">
        <v>2305506.4049999998</v>
      </c>
      <c r="G390" s="22">
        <v>585236.53599999996</v>
      </c>
      <c r="H390" s="11">
        <v>5.17</v>
      </c>
      <c r="I390" s="11">
        <v>4.24</v>
      </c>
      <c r="J390" s="6">
        <f t="shared" si="5"/>
        <v>0.92999999999999972</v>
      </c>
      <c r="K390" s="4" t="s">
        <v>1335</v>
      </c>
      <c r="L390" s="5" t="s">
        <v>183</v>
      </c>
      <c r="M390" s="23" t="s">
        <v>184</v>
      </c>
    </row>
    <row r="391" spans="2:13" ht="16" x14ac:dyDescent="0.3">
      <c r="B391" s="4">
        <v>385</v>
      </c>
      <c r="C391" s="4" t="s">
        <v>1336</v>
      </c>
      <c r="D391" s="4" t="s">
        <v>1337</v>
      </c>
      <c r="E391" s="4" t="s">
        <v>181</v>
      </c>
      <c r="F391" s="22">
        <v>2305575.4</v>
      </c>
      <c r="G391" s="22">
        <v>585349.19999999995</v>
      </c>
      <c r="H391" s="11">
        <v>5.17</v>
      </c>
      <c r="I391" s="11">
        <v>4.2300000000000004</v>
      </c>
      <c r="J391" s="6">
        <f t="shared" ref="J391:J454" si="6">H391-I391</f>
        <v>0.9399999999999995</v>
      </c>
      <c r="K391" s="4" t="s">
        <v>1338</v>
      </c>
      <c r="L391" s="5" t="s">
        <v>183</v>
      </c>
      <c r="M391" s="23" t="s">
        <v>184</v>
      </c>
    </row>
    <row r="392" spans="2:13" ht="16" x14ac:dyDescent="0.3">
      <c r="B392" s="4">
        <v>386</v>
      </c>
      <c r="C392" s="4" t="s">
        <v>1339</v>
      </c>
      <c r="D392" s="4" t="s">
        <v>1340</v>
      </c>
      <c r="E392" s="4" t="s">
        <v>181</v>
      </c>
      <c r="F392" s="22">
        <v>2305552.6069999998</v>
      </c>
      <c r="G392" s="22">
        <v>585364.48300000001</v>
      </c>
      <c r="H392" s="11">
        <v>5.17</v>
      </c>
      <c r="I392" s="11">
        <v>4.1399999999999997</v>
      </c>
      <c r="J392" s="6">
        <f t="shared" si="6"/>
        <v>1.0300000000000002</v>
      </c>
      <c r="K392" s="4" t="s">
        <v>1341</v>
      </c>
      <c r="L392" s="5" t="s">
        <v>183</v>
      </c>
      <c r="M392" s="23" t="s">
        <v>184</v>
      </c>
    </row>
    <row r="393" spans="2:13" ht="16" x14ac:dyDescent="0.3">
      <c r="B393" s="4">
        <v>387</v>
      </c>
      <c r="C393" s="4" t="s">
        <v>1342</v>
      </c>
      <c r="D393" s="4" t="s">
        <v>1343</v>
      </c>
      <c r="E393" s="4" t="s">
        <v>181</v>
      </c>
      <c r="F393" s="22">
        <v>2305526.86</v>
      </c>
      <c r="G393" s="22">
        <v>585381.74800000002</v>
      </c>
      <c r="H393" s="11">
        <v>5.17</v>
      </c>
      <c r="I393" s="11">
        <v>4.03</v>
      </c>
      <c r="J393" s="6">
        <f t="shared" si="6"/>
        <v>1.1399999999999997</v>
      </c>
      <c r="K393" s="4" t="s">
        <v>1344</v>
      </c>
      <c r="L393" s="5" t="s">
        <v>183</v>
      </c>
      <c r="M393" s="23" t="s">
        <v>184</v>
      </c>
    </row>
    <row r="394" spans="2:13" ht="16" x14ac:dyDescent="0.3">
      <c r="B394" s="4">
        <v>388</v>
      </c>
      <c r="C394" s="4" t="s">
        <v>1345</v>
      </c>
      <c r="D394" s="4" t="s">
        <v>1346</v>
      </c>
      <c r="E394" s="4" t="s">
        <v>181</v>
      </c>
      <c r="F394" s="22">
        <v>2305588.0690000001</v>
      </c>
      <c r="G394" s="22">
        <v>585367.19200000004</v>
      </c>
      <c r="H394" s="11">
        <v>5.17</v>
      </c>
      <c r="I394" s="11">
        <v>4.2300000000000004</v>
      </c>
      <c r="J394" s="6">
        <f t="shared" si="6"/>
        <v>0.9399999999999995</v>
      </c>
      <c r="K394" s="4" t="s">
        <v>1347</v>
      </c>
      <c r="L394" s="5" t="s">
        <v>183</v>
      </c>
      <c r="M394" s="23" t="s">
        <v>184</v>
      </c>
    </row>
    <row r="395" spans="2:13" ht="16" x14ac:dyDescent="0.3">
      <c r="B395" s="4">
        <v>389</v>
      </c>
      <c r="C395" s="4" t="s">
        <v>1348</v>
      </c>
      <c r="D395" s="4" t="s">
        <v>1349</v>
      </c>
      <c r="E395" s="4" t="s">
        <v>181</v>
      </c>
      <c r="F395" s="22">
        <v>2305564.8119999999</v>
      </c>
      <c r="G395" s="22">
        <v>585382.78700000001</v>
      </c>
      <c r="H395" s="11">
        <v>5.17</v>
      </c>
      <c r="I395" s="11">
        <v>4.1399999999999997</v>
      </c>
      <c r="J395" s="6">
        <f t="shared" si="6"/>
        <v>1.0300000000000002</v>
      </c>
      <c r="K395" s="4" t="s">
        <v>1350</v>
      </c>
      <c r="L395" s="5" t="s">
        <v>183</v>
      </c>
      <c r="M395" s="23" t="s">
        <v>184</v>
      </c>
    </row>
    <row r="396" spans="2:13" ht="16" x14ac:dyDescent="0.3">
      <c r="B396" s="4">
        <v>390</v>
      </c>
      <c r="C396" s="4" t="s">
        <v>1351</v>
      </c>
      <c r="D396" s="4" t="s">
        <v>1352</v>
      </c>
      <c r="E396" s="4" t="s">
        <v>181</v>
      </c>
      <c r="F396" s="22">
        <v>2305539.0660000001</v>
      </c>
      <c r="G396" s="22">
        <v>585400.05299999996</v>
      </c>
      <c r="H396" s="11">
        <v>5.17</v>
      </c>
      <c r="I396" s="11">
        <v>4.03</v>
      </c>
      <c r="J396" s="6">
        <f t="shared" si="6"/>
        <v>1.1399999999999997</v>
      </c>
      <c r="K396" s="4" t="s">
        <v>1353</v>
      </c>
      <c r="L396" s="5" t="s">
        <v>183</v>
      </c>
      <c r="M396" s="23" t="s">
        <v>184</v>
      </c>
    </row>
    <row r="397" spans="2:13" ht="16" x14ac:dyDescent="0.3">
      <c r="B397" s="4">
        <v>391</v>
      </c>
      <c r="C397" s="4" t="s">
        <v>1354</v>
      </c>
      <c r="D397" s="4" t="s">
        <v>1355</v>
      </c>
      <c r="E397" s="4" t="s">
        <v>181</v>
      </c>
      <c r="F397" s="22">
        <v>2305593.733</v>
      </c>
      <c r="G397" s="22">
        <v>585376.64099999995</v>
      </c>
      <c r="H397" s="11">
        <v>5.17</v>
      </c>
      <c r="I397" s="11">
        <v>4.2300000000000004</v>
      </c>
      <c r="J397" s="6">
        <f t="shared" si="6"/>
        <v>0.9399999999999995</v>
      </c>
      <c r="K397" s="4" t="s">
        <v>1356</v>
      </c>
      <c r="L397" s="5" t="s">
        <v>183</v>
      </c>
      <c r="M397" s="23" t="s">
        <v>184</v>
      </c>
    </row>
    <row r="398" spans="2:13" ht="16" x14ac:dyDescent="0.3">
      <c r="B398" s="4">
        <v>392</v>
      </c>
      <c r="C398" s="4" t="s">
        <v>1357</v>
      </c>
      <c r="D398" s="4" t="s">
        <v>1358</v>
      </c>
      <c r="E398" s="4" t="s">
        <v>181</v>
      </c>
      <c r="F398" s="22">
        <v>2305574.6290000002</v>
      </c>
      <c r="G398" s="22">
        <v>585389.44799999997</v>
      </c>
      <c r="H398" s="11">
        <v>5.17</v>
      </c>
      <c r="I398" s="11">
        <v>4.1500000000000004</v>
      </c>
      <c r="J398" s="6">
        <f t="shared" si="6"/>
        <v>1.0199999999999996</v>
      </c>
      <c r="K398" s="4" t="s">
        <v>1359</v>
      </c>
      <c r="L398" s="5" t="s">
        <v>183</v>
      </c>
      <c r="M398" s="23" t="s">
        <v>184</v>
      </c>
    </row>
    <row r="399" spans="2:13" ht="16" x14ac:dyDescent="0.3">
      <c r="B399" s="4">
        <v>393</v>
      </c>
      <c r="C399" s="4" t="s">
        <v>1360</v>
      </c>
      <c r="D399" s="4" t="s">
        <v>1361</v>
      </c>
      <c r="E399" s="4" t="s">
        <v>181</v>
      </c>
      <c r="F399" s="22">
        <v>2305548.8829999999</v>
      </c>
      <c r="G399" s="22">
        <v>585406.71600000001</v>
      </c>
      <c r="H399" s="11">
        <v>5.17</v>
      </c>
      <c r="I399" s="11">
        <v>4.05</v>
      </c>
      <c r="J399" s="6">
        <f t="shared" si="6"/>
        <v>1.1200000000000001</v>
      </c>
      <c r="K399" s="4" t="s">
        <v>1362</v>
      </c>
      <c r="L399" s="5" t="s">
        <v>183</v>
      </c>
      <c r="M399" s="23" t="s">
        <v>184</v>
      </c>
    </row>
    <row r="400" spans="2:13" ht="16" x14ac:dyDescent="0.3">
      <c r="B400" s="4">
        <v>394</v>
      </c>
      <c r="C400" s="4" t="s">
        <v>1363</v>
      </c>
      <c r="D400" s="4" t="s">
        <v>1364</v>
      </c>
      <c r="E400" s="4" t="s">
        <v>181</v>
      </c>
      <c r="F400" s="22">
        <v>2305605.9550000001</v>
      </c>
      <c r="G400" s="22">
        <v>585394.91299999994</v>
      </c>
      <c r="H400" s="11">
        <v>5.31</v>
      </c>
      <c r="I400" s="11">
        <v>4.37</v>
      </c>
      <c r="J400" s="6">
        <f t="shared" si="6"/>
        <v>0.9399999999999995</v>
      </c>
      <c r="K400" s="4" t="s">
        <v>1365</v>
      </c>
      <c r="L400" s="5" t="s">
        <v>183</v>
      </c>
      <c r="M400" s="23" t="s">
        <v>184</v>
      </c>
    </row>
    <row r="401" spans="2:13" ht="16" x14ac:dyDescent="0.3">
      <c r="B401" s="4">
        <v>395</v>
      </c>
      <c r="C401" s="4" t="s">
        <v>1366</v>
      </c>
      <c r="D401" s="4" t="s">
        <v>1367</v>
      </c>
      <c r="E401" s="4" t="s">
        <v>181</v>
      </c>
      <c r="F401" s="22">
        <v>2305586.8530000001</v>
      </c>
      <c r="G401" s="22">
        <v>585407.72199999995</v>
      </c>
      <c r="H401" s="11">
        <v>5.31</v>
      </c>
      <c r="I401" s="11">
        <v>4.29</v>
      </c>
      <c r="J401" s="6">
        <f t="shared" si="6"/>
        <v>1.0199999999999996</v>
      </c>
      <c r="K401" s="4" t="s">
        <v>1368</v>
      </c>
      <c r="L401" s="5" t="s">
        <v>183</v>
      </c>
      <c r="M401" s="23" t="s">
        <v>184</v>
      </c>
    </row>
    <row r="402" spans="2:13" ht="16" x14ac:dyDescent="0.3">
      <c r="B402" s="4">
        <v>396</v>
      </c>
      <c r="C402" s="4" t="s">
        <v>1369</v>
      </c>
      <c r="D402" s="4" t="s">
        <v>1370</v>
      </c>
      <c r="E402" s="4" t="s">
        <v>181</v>
      </c>
      <c r="F402" s="22">
        <v>2305561.1060000001</v>
      </c>
      <c r="G402" s="22">
        <v>585424.98699999996</v>
      </c>
      <c r="H402" s="11">
        <v>5.31</v>
      </c>
      <c r="I402" s="11">
        <v>4.1900000000000004</v>
      </c>
      <c r="J402" s="6">
        <f t="shared" si="6"/>
        <v>1.1199999999999992</v>
      </c>
      <c r="K402" s="4" t="s">
        <v>1371</v>
      </c>
      <c r="L402" s="5" t="s">
        <v>183</v>
      </c>
      <c r="M402" s="23" t="s">
        <v>184</v>
      </c>
    </row>
    <row r="403" spans="2:13" ht="16" x14ac:dyDescent="0.3">
      <c r="B403" s="4">
        <v>397</v>
      </c>
      <c r="C403" s="4" t="s">
        <v>1372</v>
      </c>
      <c r="D403" s="4" t="s">
        <v>1373</v>
      </c>
      <c r="E403" s="4" t="s">
        <v>181</v>
      </c>
      <c r="F403" s="22">
        <v>2305617.13</v>
      </c>
      <c r="G403" s="22">
        <v>585407.94099999999</v>
      </c>
      <c r="H403" s="11">
        <v>5.31</v>
      </c>
      <c r="I403" s="11">
        <v>4.37</v>
      </c>
      <c r="J403" s="6">
        <f t="shared" si="6"/>
        <v>0.9399999999999995</v>
      </c>
      <c r="K403" s="4" t="s">
        <v>1374</v>
      </c>
      <c r="L403" s="5" t="s">
        <v>183</v>
      </c>
      <c r="M403" s="23" t="s">
        <v>184</v>
      </c>
    </row>
    <row r="404" spans="2:13" ht="16" x14ac:dyDescent="0.3">
      <c r="B404" s="4">
        <v>398</v>
      </c>
      <c r="C404" s="4" t="s">
        <v>1375</v>
      </c>
      <c r="D404" s="4" t="s">
        <v>1376</v>
      </c>
      <c r="E404" s="4" t="s">
        <v>181</v>
      </c>
      <c r="F404" s="22">
        <v>2305596.35</v>
      </c>
      <c r="G404" s="22">
        <v>585421.84100000001</v>
      </c>
      <c r="H404" s="11">
        <v>5.31</v>
      </c>
      <c r="I404" s="11">
        <v>4.29</v>
      </c>
      <c r="J404" s="6">
        <f t="shared" si="6"/>
        <v>1.0199999999999996</v>
      </c>
      <c r="K404" s="4" t="s">
        <v>1377</v>
      </c>
      <c r="L404" s="5" t="s">
        <v>183</v>
      </c>
      <c r="M404" s="23" t="s">
        <v>184</v>
      </c>
    </row>
    <row r="405" spans="2:13" ht="16" x14ac:dyDescent="0.3">
      <c r="B405" s="4">
        <v>399</v>
      </c>
      <c r="C405" s="4" t="s">
        <v>1378</v>
      </c>
      <c r="D405" s="4" t="s">
        <v>1379</v>
      </c>
      <c r="E405" s="4" t="s">
        <v>181</v>
      </c>
      <c r="F405" s="22">
        <v>2305570.6030000001</v>
      </c>
      <c r="G405" s="22">
        <v>585439.10600000003</v>
      </c>
      <c r="H405" s="11">
        <v>5.31</v>
      </c>
      <c r="I405" s="11">
        <v>4.1900000000000004</v>
      </c>
      <c r="J405" s="6">
        <f t="shared" si="6"/>
        <v>1.1199999999999992</v>
      </c>
      <c r="K405" s="4" t="s">
        <v>1380</v>
      </c>
      <c r="L405" s="5" t="s">
        <v>183</v>
      </c>
      <c r="M405" s="23" t="s">
        <v>184</v>
      </c>
    </row>
    <row r="406" spans="2:13" ht="16" x14ac:dyDescent="0.3">
      <c r="B406" s="4">
        <v>400</v>
      </c>
      <c r="C406" s="4" t="s">
        <v>1381</v>
      </c>
      <c r="D406" s="4" t="s">
        <v>1382</v>
      </c>
      <c r="E406" s="4" t="s">
        <v>181</v>
      </c>
      <c r="F406" s="22">
        <v>2305629.3590000002</v>
      </c>
      <c r="G406" s="22">
        <v>585426.19400000002</v>
      </c>
      <c r="H406" s="11">
        <v>5.17</v>
      </c>
      <c r="I406" s="11">
        <v>4.2300000000000004</v>
      </c>
      <c r="J406" s="6">
        <f t="shared" si="6"/>
        <v>0.9399999999999995</v>
      </c>
      <c r="K406" s="4" t="s">
        <v>1383</v>
      </c>
      <c r="L406" s="5" t="s">
        <v>183</v>
      </c>
      <c r="M406" s="23" t="s">
        <v>184</v>
      </c>
    </row>
    <row r="407" spans="2:13" ht="16" x14ac:dyDescent="0.3">
      <c r="B407" s="4">
        <v>401</v>
      </c>
      <c r="C407" s="4" t="s">
        <v>1384</v>
      </c>
      <c r="D407" s="4" t="s">
        <v>1385</v>
      </c>
      <c r="E407" s="4" t="s">
        <v>181</v>
      </c>
      <c r="F407" s="22">
        <v>2305608.5950000002</v>
      </c>
      <c r="G407" s="22">
        <v>585440.11699999997</v>
      </c>
      <c r="H407" s="11">
        <v>5.17</v>
      </c>
      <c r="I407" s="11">
        <v>4.1500000000000004</v>
      </c>
      <c r="J407" s="6">
        <f t="shared" si="6"/>
        <v>1.0199999999999996</v>
      </c>
      <c r="K407" s="4" t="s">
        <v>1386</v>
      </c>
      <c r="L407" s="5" t="s">
        <v>183</v>
      </c>
      <c r="M407" s="23" t="s">
        <v>184</v>
      </c>
    </row>
    <row r="408" spans="2:13" ht="16" x14ac:dyDescent="0.3">
      <c r="B408" s="4">
        <v>402</v>
      </c>
      <c r="C408" s="4" t="s">
        <v>1387</v>
      </c>
      <c r="D408" s="4" t="s">
        <v>1388</v>
      </c>
      <c r="E408" s="4" t="s">
        <v>181</v>
      </c>
      <c r="F408" s="22">
        <v>2305582.8429999999</v>
      </c>
      <c r="G408" s="22">
        <v>585457.375</v>
      </c>
      <c r="H408" s="11">
        <v>5.17</v>
      </c>
      <c r="I408" s="11">
        <v>4.05</v>
      </c>
      <c r="J408" s="6">
        <f t="shared" si="6"/>
        <v>1.1200000000000001</v>
      </c>
      <c r="K408" s="4" t="s">
        <v>1389</v>
      </c>
      <c r="L408" s="5" t="s">
        <v>183</v>
      </c>
      <c r="M408" s="23" t="s">
        <v>184</v>
      </c>
    </row>
    <row r="409" spans="2:13" ht="16" x14ac:dyDescent="0.3">
      <c r="B409" s="4">
        <v>403</v>
      </c>
      <c r="C409" s="4" t="s">
        <v>1390</v>
      </c>
      <c r="D409" s="4" t="s">
        <v>1391</v>
      </c>
      <c r="E409" s="4" t="s">
        <v>181</v>
      </c>
      <c r="F409" s="22">
        <v>2305713.486</v>
      </c>
      <c r="G409" s="22">
        <v>585502.22400000005</v>
      </c>
      <c r="H409" s="11">
        <v>5.17</v>
      </c>
      <c r="I409" s="11">
        <v>4.32</v>
      </c>
      <c r="J409" s="6">
        <f t="shared" si="6"/>
        <v>0.84999999999999964</v>
      </c>
      <c r="K409" s="4" t="s">
        <v>1392</v>
      </c>
      <c r="L409" s="5" t="s">
        <v>183</v>
      </c>
      <c r="M409" s="23" t="s">
        <v>184</v>
      </c>
    </row>
    <row r="410" spans="2:13" ht="16" x14ac:dyDescent="0.3">
      <c r="B410" s="4">
        <v>404</v>
      </c>
      <c r="C410" s="4" t="s">
        <v>1393</v>
      </c>
      <c r="D410" s="4" t="s">
        <v>1394</v>
      </c>
      <c r="E410" s="4" t="s">
        <v>181</v>
      </c>
      <c r="F410" s="22">
        <v>2305687.713</v>
      </c>
      <c r="G410" s="22">
        <v>585519.48400000005</v>
      </c>
      <c r="H410" s="11">
        <v>5.17</v>
      </c>
      <c r="I410" s="11">
        <v>4.22</v>
      </c>
      <c r="J410" s="6">
        <f t="shared" si="6"/>
        <v>0.95000000000000018</v>
      </c>
      <c r="K410" s="4" t="s">
        <v>1395</v>
      </c>
      <c r="L410" s="5" t="s">
        <v>183</v>
      </c>
      <c r="M410" s="23" t="s">
        <v>184</v>
      </c>
    </row>
    <row r="411" spans="2:13" ht="16" x14ac:dyDescent="0.3">
      <c r="B411" s="4">
        <v>405</v>
      </c>
      <c r="C411" s="4" t="s">
        <v>1396</v>
      </c>
      <c r="D411" s="4" t="s">
        <v>1397</v>
      </c>
      <c r="E411" s="4" t="s">
        <v>181</v>
      </c>
      <c r="F411" s="22">
        <v>2305666.96</v>
      </c>
      <c r="G411" s="22">
        <v>585533.42299999995</v>
      </c>
      <c r="H411" s="11">
        <v>5.17</v>
      </c>
      <c r="I411" s="11">
        <v>4.1399999999999997</v>
      </c>
      <c r="J411" s="6">
        <f t="shared" si="6"/>
        <v>1.0300000000000002</v>
      </c>
      <c r="K411" s="4" t="s">
        <v>1398</v>
      </c>
      <c r="L411" s="5" t="s">
        <v>183</v>
      </c>
      <c r="M411" s="23" t="s">
        <v>184</v>
      </c>
    </row>
    <row r="412" spans="2:13" ht="16" x14ac:dyDescent="0.3">
      <c r="B412" s="4">
        <v>406</v>
      </c>
      <c r="C412" s="4" t="s">
        <v>1399</v>
      </c>
      <c r="D412" s="4" t="s">
        <v>1400</v>
      </c>
      <c r="E412" s="4" t="s">
        <v>181</v>
      </c>
      <c r="F412" s="22">
        <v>2305645.3650000002</v>
      </c>
      <c r="G412" s="22">
        <v>585547.90399999998</v>
      </c>
      <c r="H412" s="11">
        <v>5.17</v>
      </c>
      <c r="I412" s="11">
        <v>4.05</v>
      </c>
      <c r="J412" s="6">
        <f t="shared" si="6"/>
        <v>1.1200000000000001</v>
      </c>
      <c r="K412" s="4" t="s">
        <v>1401</v>
      </c>
      <c r="L412" s="5" t="s">
        <v>183</v>
      </c>
      <c r="M412" s="23" t="s">
        <v>184</v>
      </c>
    </row>
    <row r="413" spans="2:13" ht="16" x14ac:dyDescent="0.3">
      <c r="B413" s="4">
        <v>407</v>
      </c>
      <c r="C413" s="4" t="s">
        <v>1402</v>
      </c>
      <c r="D413" s="4" t="s">
        <v>1403</v>
      </c>
      <c r="E413" s="4" t="s">
        <v>181</v>
      </c>
      <c r="F413" s="22">
        <v>2305706.4730000002</v>
      </c>
      <c r="G413" s="22">
        <v>585493.62899999996</v>
      </c>
      <c r="H413" s="11">
        <v>5.17</v>
      </c>
      <c r="I413" s="11">
        <v>4.32</v>
      </c>
      <c r="J413" s="6">
        <f t="shared" si="6"/>
        <v>0.84999999999999964</v>
      </c>
      <c r="K413" s="4" t="s">
        <v>1404</v>
      </c>
      <c r="L413" s="5" t="s">
        <v>183</v>
      </c>
      <c r="M413" s="23" t="s">
        <v>184</v>
      </c>
    </row>
    <row r="414" spans="2:13" ht="16" x14ac:dyDescent="0.3">
      <c r="B414" s="4">
        <v>408</v>
      </c>
      <c r="C414" s="4" t="s">
        <v>1405</v>
      </c>
      <c r="D414" s="4" t="s">
        <v>1406</v>
      </c>
      <c r="E414" s="4" t="s">
        <v>181</v>
      </c>
      <c r="F414" s="22">
        <v>2305635.906</v>
      </c>
      <c r="G414" s="22">
        <v>585435.04700000002</v>
      </c>
      <c r="H414" s="11">
        <v>5.17</v>
      </c>
      <c r="I414" s="11">
        <v>4.2300000000000004</v>
      </c>
      <c r="J414" s="6">
        <f t="shared" si="6"/>
        <v>0.9399999999999995</v>
      </c>
      <c r="K414" s="4" t="s">
        <v>1407</v>
      </c>
      <c r="L414" s="5" t="s">
        <v>183</v>
      </c>
      <c r="M414" s="23" t="s">
        <v>184</v>
      </c>
    </row>
    <row r="415" spans="2:13" ht="16" x14ac:dyDescent="0.3">
      <c r="B415" s="4">
        <v>409</v>
      </c>
      <c r="C415" s="4" t="s">
        <v>1408</v>
      </c>
      <c r="D415" s="4" t="s">
        <v>1409</v>
      </c>
      <c r="E415" s="4" t="s">
        <v>181</v>
      </c>
      <c r="F415" s="22">
        <v>2305590.7349999999</v>
      </c>
      <c r="G415" s="22">
        <v>585465.33799999999</v>
      </c>
      <c r="H415" s="11">
        <v>5.17</v>
      </c>
      <c r="I415" s="11">
        <v>3.85</v>
      </c>
      <c r="J415" s="6">
        <f t="shared" si="6"/>
        <v>1.3199999999999998</v>
      </c>
      <c r="K415" s="4" t="s">
        <v>1410</v>
      </c>
      <c r="L415" s="5" t="s">
        <v>183</v>
      </c>
      <c r="M415" s="23" t="s">
        <v>184</v>
      </c>
    </row>
    <row r="416" spans="2:13" ht="16" x14ac:dyDescent="0.3">
      <c r="B416" s="4">
        <v>410</v>
      </c>
      <c r="C416" s="4" t="s">
        <v>1411</v>
      </c>
      <c r="D416" s="4" t="s">
        <v>1412</v>
      </c>
      <c r="E416" s="4" t="s">
        <v>181</v>
      </c>
      <c r="F416" s="22">
        <v>2305620.1519999998</v>
      </c>
      <c r="G416" s="22">
        <v>585564.81099999999</v>
      </c>
      <c r="H416" s="11">
        <v>5.17</v>
      </c>
      <c r="I416" s="11">
        <v>3.95</v>
      </c>
      <c r="J416" s="6">
        <f t="shared" si="6"/>
        <v>1.2199999999999998</v>
      </c>
      <c r="K416" s="4" t="s">
        <v>1413</v>
      </c>
      <c r="L416" s="5" t="s">
        <v>183</v>
      </c>
      <c r="M416" s="23" t="s">
        <v>184</v>
      </c>
    </row>
    <row r="417" spans="2:13" ht="16" x14ac:dyDescent="0.3">
      <c r="B417" s="4">
        <v>411</v>
      </c>
      <c r="C417" s="4" t="s">
        <v>1414</v>
      </c>
      <c r="D417" s="4" t="s">
        <v>1415</v>
      </c>
      <c r="E417" s="4" t="s">
        <v>181</v>
      </c>
      <c r="F417" s="22">
        <v>2305600.3050000002</v>
      </c>
      <c r="G417" s="22">
        <v>585547.03799999994</v>
      </c>
      <c r="H417" s="11">
        <v>5.31</v>
      </c>
      <c r="I417" s="11">
        <v>3.86</v>
      </c>
      <c r="J417" s="6">
        <f t="shared" si="6"/>
        <v>1.4499999999999997</v>
      </c>
      <c r="K417" s="4" t="s">
        <v>1416</v>
      </c>
      <c r="L417" s="5" t="s">
        <v>183</v>
      </c>
      <c r="M417" s="23" t="s">
        <v>184</v>
      </c>
    </row>
    <row r="418" spans="2:13" ht="16" x14ac:dyDescent="0.3">
      <c r="B418" s="4">
        <v>412</v>
      </c>
      <c r="C418" s="4" t="s">
        <v>1417</v>
      </c>
      <c r="D418" s="4" t="s">
        <v>1418</v>
      </c>
      <c r="E418" s="4" t="s">
        <v>181</v>
      </c>
      <c r="F418" s="22">
        <v>2305585.267</v>
      </c>
      <c r="G418" s="22">
        <v>585524.61300000001</v>
      </c>
      <c r="H418" s="11">
        <v>5.31</v>
      </c>
      <c r="I418" s="11">
        <v>3.77</v>
      </c>
      <c r="J418" s="6">
        <f t="shared" si="6"/>
        <v>1.5399999999999996</v>
      </c>
      <c r="K418" s="4" t="s">
        <v>1419</v>
      </c>
      <c r="L418" s="5" t="s">
        <v>254</v>
      </c>
      <c r="M418" s="23" t="s">
        <v>184</v>
      </c>
    </row>
    <row r="419" spans="2:13" ht="16" x14ac:dyDescent="0.3">
      <c r="B419" s="4">
        <v>413</v>
      </c>
      <c r="C419" s="4" t="s">
        <v>1420</v>
      </c>
      <c r="D419" s="4" t="s">
        <v>1421</v>
      </c>
      <c r="E419" s="4" t="s">
        <v>181</v>
      </c>
      <c r="F419" s="22">
        <v>2305570.23</v>
      </c>
      <c r="G419" s="22">
        <v>585502.18799999997</v>
      </c>
      <c r="H419" s="11">
        <v>5.31</v>
      </c>
      <c r="I419" s="11">
        <v>3.68</v>
      </c>
      <c r="J419" s="6">
        <f t="shared" si="6"/>
        <v>1.6299999999999994</v>
      </c>
      <c r="K419" s="4" t="s">
        <v>1422</v>
      </c>
      <c r="L419" s="5" t="s">
        <v>254</v>
      </c>
      <c r="M419" s="23" t="s">
        <v>184</v>
      </c>
    </row>
    <row r="420" spans="2:13" ht="16" x14ac:dyDescent="0.3">
      <c r="B420" s="4">
        <v>414</v>
      </c>
      <c r="C420" s="4" t="s">
        <v>1423</v>
      </c>
      <c r="D420" s="4" t="s">
        <v>1424</v>
      </c>
      <c r="E420" s="4" t="s">
        <v>181</v>
      </c>
      <c r="F420" s="22">
        <v>2305267.4109999998</v>
      </c>
      <c r="G420" s="22">
        <v>585155.99300000002</v>
      </c>
      <c r="H420" s="11">
        <v>5.07</v>
      </c>
      <c r="I420" s="11">
        <v>4.13</v>
      </c>
      <c r="J420" s="6">
        <f t="shared" si="6"/>
        <v>0.94000000000000039</v>
      </c>
      <c r="K420" s="4" t="s">
        <v>1425</v>
      </c>
      <c r="L420" s="5" t="s">
        <v>183</v>
      </c>
      <c r="M420" s="23" t="s">
        <v>184</v>
      </c>
    </row>
    <row r="421" spans="2:13" ht="16" x14ac:dyDescent="0.3">
      <c r="B421" s="4">
        <v>415</v>
      </c>
      <c r="C421" s="4" t="s">
        <v>1426</v>
      </c>
      <c r="D421" s="4" t="s">
        <v>1427</v>
      </c>
      <c r="E421" s="4" t="s">
        <v>181</v>
      </c>
      <c r="F421" s="22">
        <v>2305244.156</v>
      </c>
      <c r="G421" s="22">
        <v>585171.58799999999</v>
      </c>
      <c r="H421" s="11">
        <v>5.07</v>
      </c>
      <c r="I421" s="11">
        <v>4.04</v>
      </c>
      <c r="J421" s="6">
        <f t="shared" si="6"/>
        <v>1.0300000000000002</v>
      </c>
      <c r="K421" s="4" t="s">
        <v>1428</v>
      </c>
      <c r="L421" s="5" t="s">
        <v>183</v>
      </c>
      <c r="M421" s="23" t="s">
        <v>184</v>
      </c>
    </row>
    <row r="422" spans="2:13" ht="16" x14ac:dyDescent="0.3">
      <c r="B422" s="4">
        <v>416</v>
      </c>
      <c r="C422" s="4" t="s">
        <v>1429</v>
      </c>
      <c r="D422" s="4" t="s">
        <v>1430</v>
      </c>
      <c r="E422" s="4" t="s">
        <v>181</v>
      </c>
      <c r="F422" s="22">
        <v>2305220.9010000001</v>
      </c>
      <c r="G422" s="22">
        <v>585187.18200000003</v>
      </c>
      <c r="H422" s="11">
        <v>5.07</v>
      </c>
      <c r="I422" s="11">
        <v>3.95</v>
      </c>
      <c r="J422" s="6">
        <f t="shared" si="6"/>
        <v>1.1200000000000001</v>
      </c>
      <c r="K422" s="4" t="s">
        <v>1431</v>
      </c>
      <c r="L422" s="5" t="s">
        <v>183</v>
      </c>
      <c r="M422" s="23" t="s">
        <v>184</v>
      </c>
    </row>
    <row r="423" spans="2:13" ht="16" x14ac:dyDescent="0.3">
      <c r="B423" s="4">
        <v>417</v>
      </c>
      <c r="C423" s="4" t="s">
        <v>1432</v>
      </c>
      <c r="D423" s="4" t="s">
        <v>1433</v>
      </c>
      <c r="E423" s="4" t="s">
        <v>181</v>
      </c>
      <c r="F423" s="22">
        <v>2305244</v>
      </c>
      <c r="G423" s="22">
        <v>585126.10400000005</v>
      </c>
      <c r="H423" s="11">
        <v>5.07</v>
      </c>
      <c r="I423" s="11">
        <v>4.12</v>
      </c>
      <c r="J423" s="6">
        <f t="shared" si="6"/>
        <v>0.95000000000000018</v>
      </c>
      <c r="K423" s="4" t="s">
        <v>1434</v>
      </c>
      <c r="L423" s="5" t="s">
        <v>183</v>
      </c>
      <c r="M423" s="23" t="s">
        <v>184</v>
      </c>
    </row>
    <row r="424" spans="2:13" ht="16" x14ac:dyDescent="0.3">
      <c r="B424" s="4">
        <v>418</v>
      </c>
      <c r="C424" s="4" t="s">
        <v>1435</v>
      </c>
      <c r="D424" s="4" t="s">
        <v>1436</v>
      </c>
      <c r="E424" s="4" t="s">
        <v>181</v>
      </c>
      <c r="F424" s="22">
        <v>2305222.3369999998</v>
      </c>
      <c r="G424" s="22">
        <v>585140.48199999996</v>
      </c>
      <c r="H424" s="11">
        <v>5.07</v>
      </c>
      <c r="I424" s="11">
        <v>4.04</v>
      </c>
      <c r="J424" s="6">
        <f t="shared" si="6"/>
        <v>1.0300000000000002</v>
      </c>
      <c r="K424" s="4" t="s">
        <v>1437</v>
      </c>
      <c r="L424" s="5" t="s">
        <v>183</v>
      </c>
      <c r="M424" s="23" t="s">
        <v>184</v>
      </c>
    </row>
    <row r="425" spans="2:13" ht="16" x14ac:dyDescent="0.3">
      <c r="B425" s="4">
        <v>419</v>
      </c>
      <c r="C425" s="4" t="s">
        <v>1438</v>
      </c>
      <c r="D425" s="4" t="s">
        <v>1439</v>
      </c>
      <c r="E425" s="4" t="s">
        <v>181</v>
      </c>
      <c r="F425" s="22">
        <v>2305205.7940000002</v>
      </c>
      <c r="G425" s="22">
        <v>585151.723</v>
      </c>
      <c r="H425" s="11">
        <v>5.07</v>
      </c>
      <c r="I425" s="11">
        <v>3.97</v>
      </c>
      <c r="J425" s="6">
        <f t="shared" si="6"/>
        <v>1.1000000000000001</v>
      </c>
      <c r="K425" s="4" t="s">
        <v>1440</v>
      </c>
      <c r="L425" s="5" t="s">
        <v>183</v>
      </c>
      <c r="M425" s="23" t="s">
        <v>184</v>
      </c>
    </row>
    <row r="426" spans="2:13" ht="16" x14ac:dyDescent="0.3">
      <c r="B426" s="4">
        <v>420</v>
      </c>
      <c r="C426" s="4" t="s">
        <v>1441</v>
      </c>
      <c r="D426" s="4" t="s">
        <v>1442</v>
      </c>
      <c r="E426" s="4" t="s">
        <v>181</v>
      </c>
      <c r="F426" s="22">
        <v>2305233.2239999999</v>
      </c>
      <c r="G426" s="22">
        <v>585119.92099999997</v>
      </c>
      <c r="H426" s="11">
        <v>5.07</v>
      </c>
      <c r="I426" s="11">
        <v>4.13</v>
      </c>
      <c r="J426" s="6">
        <f t="shared" si="6"/>
        <v>0.94000000000000039</v>
      </c>
      <c r="K426" s="4" t="s">
        <v>1443</v>
      </c>
      <c r="L426" s="5" t="s">
        <v>183</v>
      </c>
      <c r="M426" s="23" t="s">
        <v>184</v>
      </c>
    </row>
    <row r="427" spans="2:13" ht="16" x14ac:dyDescent="0.3">
      <c r="B427" s="4">
        <v>421</v>
      </c>
      <c r="C427" s="4" t="s">
        <v>1444</v>
      </c>
      <c r="D427" s="4" t="s">
        <v>1445</v>
      </c>
      <c r="E427" s="4" t="s">
        <v>181</v>
      </c>
      <c r="F427" s="22">
        <v>2305210.7990000001</v>
      </c>
      <c r="G427" s="22">
        <v>585134.95900000003</v>
      </c>
      <c r="H427" s="11">
        <v>5.07</v>
      </c>
      <c r="I427" s="11">
        <v>4.04</v>
      </c>
      <c r="J427" s="6">
        <f t="shared" si="6"/>
        <v>1.0300000000000002</v>
      </c>
      <c r="K427" s="4" t="s">
        <v>1446</v>
      </c>
      <c r="L427" s="5" t="s">
        <v>183</v>
      </c>
      <c r="M427" s="23" t="s">
        <v>184</v>
      </c>
    </row>
    <row r="428" spans="2:13" ht="16" x14ac:dyDescent="0.3">
      <c r="B428" s="4">
        <v>422</v>
      </c>
      <c r="C428" s="4" t="s">
        <v>1447</v>
      </c>
      <c r="D428" s="4" t="s">
        <v>1448</v>
      </c>
      <c r="E428" s="4" t="s">
        <v>181</v>
      </c>
      <c r="F428" s="22">
        <v>2305195.8489999999</v>
      </c>
      <c r="G428" s="22">
        <v>585144.98400000005</v>
      </c>
      <c r="H428" s="11">
        <v>5.07</v>
      </c>
      <c r="I428" s="11">
        <v>3.98</v>
      </c>
      <c r="J428" s="6">
        <f t="shared" si="6"/>
        <v>1.0900000000000003</v>
      </c>
      <c r="K428" s="4" t="s">
        <v>1449</v>
      </c>
      <c r="L428" s="5" t="s">
        <v>183</v>
      </c>
      <c r="M428" s="23" t="s">
        <v>184</v>
      </c>
    </row>
    <row r="429" spans="2:13" ht="16" x14ac:dyDescent="0.3">
      <c r="B429" s="4">
        <v>423</v>
      </c>
      <c r="C429" s="4" t="s">
        <v>1450</v>
      </c>
      <c r="D429" s="4" t="s">
        <v>1451</v>
      </c>
      <c r="E429" s="4" t="s">
        <v>181</v>
      </c>
      <c r="F429" s="22">
        <v>2305212.077</v>
      </c>
      <c r="G429" s="22">
        <v>585088.34900000005</v>
      </c>
      <c r="H429" s="11">
        <v>5.07</v>
      </c>
      <c r="I429" s="11">
        <v>4.13</v>
      </c>
      <c r="J429" s="6">
        <f t="shared" si="6"/>
        <v>0.94000000000000039</v>
      </c>
      <c r="K429" s="4" t="s">
        <v>1452</v>
      </c>
      <c r="L429" s="5" t="s">
        <v>183</v>
      </c>
      <c r="M429" s="23" t="s">
        <v>184</v>
      </c>
    </row>
    <row r="430" spans="2:13" ht="16" x14ac:dyDescent="0.3">
      <c r="B430" s="4">
        <v>424</v>
      </c>
      <c r="C430" s="4" t="s">
        <v>1453</v>
      </c>
      <c r="D430" s="4" t="s">
        <v>1454</v>
      </c>
      <c r="E430" s="4" t="s">
        <v>181</v>
      </c>
      <c r="F430" s="22">
        <v>2305189.7280000001</v>
      </c>
      <c r="G430" s="22">
        <v>585103.5</v>
      </c>
      <c r="H430" s="11">
        <v>5.07</v>
      </c>
      <c r="I430" s="11">
        <v>4.04</v>
      </c>
      <c r="J430" s="6">
        <f t="shared" si="6"/>
        <v>1.0300000000000002</v>
      </c>
      <c r="K430" s="4" t="s">
        <v>1455</v>
      </c>
      <c r="L430" s="5" t="s">
        <v>183</v>
      </c>
      <c r="M430" s="23" t="s">
        <v>184</v>
      </c>
    </row>
    <row r="431" spans="2:13" ht="16" x14ac:dyDescent="0.3">
      <c r="B431" s="4">
        <v>425</v>
      </c>
      <c r="C431" s="4" t="s">
        <v>1456</v>
      </c>
      <c r="D431" s="4" t="s">
        <v>1457</v>
      </c>
      <c r="E431" s="4" t="s">
        <v>181</v>
      </c>
      <c r="F431" s="22">
        <v>2305174.702</v>
      </c>
      <c r="G431" s="22">
        <v>585113.41200000001</v>
      </c>
      <c r="H431" s="11">
        <v>5.07</v>
      </c>
      <c r="I431" s="11">
        <v>3.98</v>
      </c>
      <c r="J431" s="6">
        <f t="shared" si="6"/>
        <v>1.0900000000000003</v>
      </c>
      <c r="K431" s="4" t="s">
        <v>1458</v>
      </c>
      <c r="L431" s="5" t="s">
        <v>183</v>
      </c>
      <c r="M431" s="23" t="s">
        <v>184</v>
      </c>
    </row>
    <row r="432" spans="2:13" ht="16" x14ac:dyDescent="0.3">
      <c r="B432" s="4">
        <v>426</v>
      </c>
      <c r="C432" s="4" t="s">
        <v>1459</v>
      </c>
      <c r="D432" s="4" t="s">
        <v>1460</v>
      </c>
      <c r="E432" s="4" t="s">
        <v>181</v>
      </c>
      <c r="F432" s="22">
        <v>2305165.73</v>
      </c>
      <c r="G432" s="22">
        <v>585142.26199999999</v>
      </c>
      <c r="H432" s="11">
        <v>5.07</v>
      </c>
      <c r="I432" s="11">
        <v>3.34</v>
      </c>
      <c r="J432" s="6">
        <f t="shared" si="6"/>
        <v>1.7300000000000004</v>
      </c>
      <c r="K432" s="4" t="s">
        <v>1461</v>
      </c>
      <c r="L432" s="5" t="s">
        <v>254</v>
      </c>
      <c r="M432" s="23" t="s">
        <v>184</v>
      </c>
    </row>
    <row r="433" spans="2:13" ht="16" x14ac:dyDescent="0.3">
      <c r="B433" s="4">
        <v>427</v>
      </c>
      <c r="C433" s="4" t="s">
        <v>1462</v>
      </c>
      <c r="D433" s="4" t="s">
        <v>1463</v>
      </c>
      <c r="E433" s="4" t="s">
        <v>181</v>
      </c>
      <c r="F433" s="22">
        <v>2305205.9500000002</v>
      </c>
      <c r="G433" s="22">
        <v>585079.21299999999</v>
      </c>
      <c r="H433" s="11">
        <v>5.07</v>
      </c>
      <c r="I433" s="11">
        <v>4.13</v>
      </c>
      <c r="J433" s="6">
        <f t="shared" si="6"/>
        <v>0.94000000000000039</v>
      </c>
      <c r="K433" s="4" t="s">
        <v>1464</v>
      </c>
      <c r="L433" s="5" t="s">
        <v>183</v>
      </c>
      <c r="M433" s="23" t="s">
        <v>184</v>
      </c>
    </row>
    <row r="434" spans="2:13" ht="16" x14ac:dyDescent="0.3">
      <c r="B434" s="4">
        <v>428</v>
      </c>
      <c r="C434" s="4" t="s">
        <v>1465</v>
      </c>
      <c r="D434" s="4" t="s">
        <v>1466</v>
      </c>
      <c r="E434" s="4" t="s">
        <v>181</v>
      </c>
      <c r="F434" s="22">
        <v>2305183.5019999999</v>
      </c>
      <c r="G434" s="22">
        <v>585094.21499999997</v>
      </c>
      <c r="H434" s="11">
        <v>5.07</v>
      </c>
      <c r="I434" s="11">
        <v>4.04</v>
      </c>
      <c r="J434" s="6">
        <f t="shared" si="6"/>
        <v>1.0300000000000002</v>
      </c>
      <c r="K434" s="4" t="s">
        <v>1467</v>
      </c>
      <c r="L434" s="5" t="s">
        <v>183</v>
      </c>
      <c r="M434" s="23" t="s">
        <v>184</v>
      </c>
    </row>
    <row r="435" spans="2:13" ht="16" x14ac:dyDescent="0.3">
      <c r="B435" s="4">
        <v>429</v>
      </c>
      <c r="C435" s="4" t="s">
        <v>1468</v>
      </c>
      <c r="D435" s="4" t="s">
        <v>1469</v>
      </c>
      <c r="E435" s="4" t="s">
        <v>181</v>
      </c>
      <c r="F435" s="22">
        <v>2305168.5750000002</v>
      </c>
      <c r="G435" s="22">
        <v>585104.27599999995</v>
      </c>
      <c r="H435" s="11">
        <v>5.07</v>
      </c>
      <c r="I435" s="11">
        <v>3.98</v>
      </c>
      <c r="J435" s="6">
        <f t="shared" si="6"/>
        <v>1.0900000000000003</v>
      </c>
      <c r="K435" s="4" t="s">
        <v>1470</v>
      </c>
      <c r="L435" s="5" t="s">
        <v>183</v>
      </c>
      <c r="M435" s="23" t="s">
        <v>184</v>
      </c>
    </row>
    <row r="436" spans="2:13" ht="16" x14ac:dyDescent="0.3">
      <c r="B436" s="4">
        <v>430</v>
      </c>
      <c r="C436" s="4" t="s">
        <v>1471</v>
      </c>
      <c r="D436" s="4" t="s">
        <v>1472</v>
      </c>
      <c r="E436" s="4" t="s">
        <v>181</v>
      </c>
      <c r="F436" s="22">
        <v>2305184.781</v>
      </c>
      <c r="G436" s="22">
        <v>585047.679</v>
      </c>
      <c r="H436" s="11">
        <v>5.07</v>
      </c>
      <c r="I436" s="11">
        <v>4.13</v>
      </c>
      <c r="J436" s="6">
        <f t="shared" si="6"/>
        <v>0.94000000000000039</v>
      </c>
      <c r="K436" s="4" t="s">
        <v>1473</v>
      </c>
      <c r="L436" s="5" t="s">
        <v>183</v>
      </c>
      <c r="M436" s="23" t="s">
        <v>184</v>
      </c>
    </row>
    <row r="437" spans="2:13" ht="16" x14ac:dyDescent="0.3">
      <c r="B437" s="4">
        <v>431</v>
      </c>
      <c r="C437" s="4" t="s">
        <v>1474</v>
      </c>
      <c r="D437" s="4" t="s">
        <v>1475</v>
      </c>
      <c r="E437" s="4" t="s">
        <v>181</v>
      </c>
      <c r="F437" s="22">
        <v>2305162.3560000001</v>
      </c>
      <c r="G437" s="22">
        <v>585062.93299999996</v>
      </c>
      <c r="H437" s="11">
        <v>5.07</v>
      </c>
      <c r="I437" s="11">
        <v>4.04</v>
      </c>
      <c r="J437" s="6">
        <f t="shared" si="6"/>
        <v>1.0300000000000002</v>
      </c>
      <c r="K437" s="4" t="s">
        <v>1476</v>
      </c>
      <c r="L437" s="5" t="s">
        <v>183</v>
      </c>
      <c r="M437" s="23" t="s">
        <v>184</v>
      </c>
    </row>
    <row r="438" spans="2:13" ht="16" x14ac:dyDescent="0.3">
      <c r="B438" s="4">
        <v>432</v>
      </c>
      <c r="C438" s="4" t="s">
        <v>1477</v>
      </c>
      <c r="D438" s="4" t="s">
        <v>1478</v>
      </c>
      <c r="E438" s="4" t="s">
        <v>181</v>
      </c>
      <c r="F438" s="22">
        <v>2305147.4500000002</v>
      </c>
      <c r="G438" s="22">
        <v>585072.73600000003</v>
      </c>
      <c r="H438" s="11">
        <v>5.07</v>
      </c>
      <c r="I438" s="11">
        <v>3.98</v>
      </c>
      <c r="J438" s="6">
        <f t="shared" si="6"/>
        <v>1.0900000000000003</v>
      </c>
      <c r="K438" s="4" t="s">
        <v>1479</v>
      </c>
      <c r="L438" s="5" t="s">
        <v>183</v>
      </c>
      <c r="M438" s="23" t="s">
        <v>184</v>
      </c>
    </row>
    <row r="439" spans="2:13" ht="16" x14ac:dyDescent="0.3">
      <c r="B439" s="4">
        <v>433</v>
      </c>
      <c r="C439" s="4" t="s">
        <v>1480</v>
      </c>
      <c r="D439" s="4" t="s">
        <v>1481</v>
      </c>
      <c r="E439" s="4" t="s">
        <v>181</v>
      </c>
      <c r="F439" s="22">
        <v>2305178.66</v>
      </c>
      <c r="G439" s="22">
        <v>585038.51599999995</v>
      </c>
      <c r="H439" s="11">
        <v>5.07</v>
      </c>
      <c r="I439" s="11">
        <v>4.13</v>
      </c>
      <c r="J439" s="6">
        <f t="shared" si="6"/>
        <v>0.94000000000000039</v>
      </c>
      <c r="K439" s="4" t="s">
        <v>1482</v>
      </c>
      <c r="L439" s="5" t="s">
        <v>183</v>
      </c>
      <c r="M439" s="23" t="s">
        <v>184</v>
      </c>
    </row>
    <row r="440" spans="2:13" ht="16" x14ac:dyDescent="0.3">
      <c r="B440" s="4">
        <v>434</v>
      </c>
      <c r="C440" s="4" t="s">
        <v>1483</v>
      </c>
      <c r="D440" s="4" t="s">
        <v>1484</v>
      </c>
      <c r="E440" s="4" t="s">
        <v>181</v>
      </c>
      <c r="F440" s="22">
        <v>2305156.2349999999</v>
      </c>
      <c r="G440" s="22">
        <v>585053.554</v>
      </c>
      <c r="H440" s="11">
        <v>5.07</v>
      </c>
      <c r="I440" s="11">
        <v>4.04</v>
      </c>
      <c r="J440" s="6">
        <f t="shared" si="6"/>
        <v>1.0300000000000002</v>
      </c>
      <c r="K440" s="4" t="s">
        <v>1485</v>
      </c>
      <c r="L440" s="5" t="s">
        <v>183</v>
      </c>
      <c r="M440" s="23" t="s">
        <v>184</v>
      </c>
    </row>
    <row r="441" spans="2:13" ht="16" x14ac:dyDescent="0.3">
      <c r="B441" s="4">
        <v>435</v>
      </c>
      <c r="C441" s="4" t="s">
        <v>1486</v>
      </c>
      <c r="D441" s="4" t="s">
        <v>1487</v>
      </c>
      <c r="E441" s="4" t="s">
        <v>181</v>
      </c>
      <c r="F441" s="22">
        <v>2305141.2850000001</v>
      </c>
      <c r="G441" s="22">
        <v>585063.57900000003</v>
      </c>
      <c r="H441" s="11">
        <v>5.07</v>
      </c>
      <c r="I441" s="11">
        <v>3.98</v>
      </c>
      <c r="J441" s="6">
        <f t="shared" si="6"/>
        <v>1.0900000000000003</v>
      </c>
      <c r="K441" s="4" t="s">
        <v>1488</v>
      </c>
      <c r="L441" s="5" t="s">
        <v>183</v>
      </c>
      <c r="M441" s="23" t="s">
        <v>184</v>
      </c>
    </row>
    <row r="442" spans="2:13" ht="16" x14ac:dyDescent="0.3">
      <c r="B442" s="4">
        <v>436</v>
      </c>
      <c r="C442" s="4" t="s">
        <v>1489</v>
      </c>
      <c r="D442" s="4" t="s">
        <v>1490</v>
      </c>
      <c r="E442" s="4" t="s">
        <v>181</v>
      </c>
      <c r="F442" s="22">
        <v>2305196.477</v>
      </c>
      <c r="G442" s="22">
        <v>585216.84199999995</v>
      </c>
      <c r="H442" s="11">
        <v>5.07</v>
      </c>
      <c r="I442" s="11">
        <v>3.11</v>
      </c>
      <c r="J442" s="6">
        <f t="shared" si="6"/>
        <v>1.9600000000000004</v>
      </c>
      <c r="K442" s="4" t="s">
        <v>1491</v>
      </c>
      <c r="L442" s="5" t="s">
        <v>254</v>
      </c>
      <c r="M442" s="23" t="s">
        <v>184</v>
      </c>
    </row>
    <row r="443" spans="2:13" ht="16" x14ac:dyDescent="0.3">
      <c r="B443" s="4">
        <v>437</v>
      </c>
      <c r="C443" s="4" t="s">
        <v>1492</v>
      </c>
      <c r="D443" s="4" t="s">
        <v>1493</v>
      </c>
      <c r="E443" s="4" t="s">
        <v>181</v>
      </c>
      <c r="F443" s="22">
        <v>2305190.25</v>
      </c>
      <c r="G443" s="22">
        <v>585207.55700000003</v>
      </c>
      <c r="H443" s="11">
        <v>5.07</v>
      </c>
      <c r="I443" s="11">
        <v>3.07</v>
      </c>
      <c r="J443" s="6">
        <f t="shared" si="6"/>
        <v>2.0000000000000004</v>
      </c>
      <c r="K443" s="4" t="s">
        <v>1494</v>
      </c>
      <c r="L443" s="5" t="s">
        <v>254</v>
      </c>
      <c r="M443" s="23" t="s">
        <v>184</v>
      </c>
    </row>
    <row r="444" spans="2:13" ht="16" x14ac:dyDescent="0.3">
      <c r="B444" s="4">
        <v>438</v>
      </c>
      <c r="C444" s="4" t="s">
        <v>1495</v>
      </c>
      <c r="D444" s="4" t="s">
        <v>1496</v>
      </c>
      <c r="E444" s="4" t="s">
        <v>181</v>
      </c>
      <c r="F444" s="22">
        <v>2305164.8110000002</v>
      </c>
      <c r="G444" s="22">
        <v>585224.83200000005</v>
      </c>
      <c r="H444" s="11">
        <v>5.07</v>
      </c>
      <c r="I444" s="11">
        <v>2.97</v>
      </c>
      <c r="J444" s="6">
        <f t="shared" si="6"/>
        <v>2.1</v>
      </c>
      <c r="K444" s="4" t="s">
        <v>1497</v>
      </c>
      <c r="L444" s="5" t="s">
        <v>254</v>
      </c>
      <c r="M444" s="23" t="s">
        <v>184</v>
      </c>
    </row>
    <row r="445" spans="2:13" ht="16" x14ac:dyDescent="0.3">
      <c r="B445" s="4">
        <v>439</v>
      </c>
      <c r="C445" s="4" t="s">
        <v>1498</v>
      </c>
      <c r="D445" s="4" t="s">
        <v>1499</v>
      </c>
      <c r="E445" s="4" t="s">
        <v>181</v>
      </c>
      <c r="F445" s="22">
        <v>2305144.4879999999</v>
      </c>
      <c r="G445" s="22">
        <v>585238.51500000001</v>
      </c>
      <c r="H445" s="11">
        <v>5.07</v>
      </c>
      <c r="I445" s="11">
        <v>2.89</v>
      </c>
      <c r="J445" s="6">
        <f t="shared" si="6"/>
        <v>2.1800000000000002</v>
      </c>
      <c r="K445" s="4" t="s">
        <v>1500</v>
      </c>
      <c r="L445" s="5" t="s">
        <v>254</v>
      </c>
      <c r="M445" s="23" t="s">
        <v>184</v>
      </c>
    </row>
    <row r="446" spans="2:13" ht="16" x14ac:dyDescent="0.3">
      <c r="B446" s="4">
        <v>440</v>
      </c>
      <c r="C446" s="4" t="s">
        <v>1501</v>
      </c>
      <c r="D446" s="4" t="s">
        <v>1502</v>
      </c>
      <c r="E446" s="4" t="s">
        <v>181</v>
      </c>
      <c r="F446" s="22">
        <v>2305124.1140000001</v>
      </c>
      <c r="G446" s="22">
        <v>585252.12199999997</v>
      </c>
      <c r="H446" s="11">
        <v>5.07</v>
      </c>
      <c r="I446" s="11">
        <v>2.81</v>
      </c>
      <c r="J446" s="6">
        <f t="shared" si="6"/>
        <v>2.2600000000000002</v>
      </c>
      <c r="K446" s="4" t="s">
        <v>1503</v>
      </c>
      <c r="L446" s="5" t="s">
        <v>254</v>
      </c>
      <c r="M446" s="23" t="s">
        <v>184</v>
      </c>
    </row>
    <row r="447" spans="2:13" ht="16" x14ac:dyDescent="0.3">
      <c r="B447" s="4">
        <v>441</v>
      </c>
      <c r="C447" s="4" t="s">
        <v>1504</v>
      </c>
      <c r="D447" s="4" t="s">
        <v>1505</v>
      </c>
      <c r="E447" s="4" t="s">
        <v>181</v>
      </c>
      <c r="F447" s="22">
        <v>2305141.7609999999</v>
      </c>
      <c r="G447" s="22">
        <v>585194.49800000002</v>
      </c>
      <c r="H447" s="11">
        <v>5.07</v>
      </c>
      <c r="I447" s="11">
        <v>4.1399999999999997</v>
      </c>
      <c r="J447" s="6">
        <f t="shared" si="6"/>
        <v>0.9300000000000006</v>
      </c>
      <c r="K447" s="4" t="s">
        <v>1506</v>
      </c>
      <c r="L447" s="5" t="s">
        <v>183</v>
      </c>
      <c r="M447" s="23" t="s">
        <v>184</v>
      </c>
    </row>
    <row r="448" spans="2:13" ht="16" x14ac:dyDescent="0.3">
      <c r="B448" s="4">
        <v>442</v>
      </c>
      <c r="C448" s="4" t="s">
        <v>1507</v>
      </c>
      <c r="D448" s="4" t="s">
        <v>1508</v>
      </c>
      <c r="E448" s="4" t="s">
        <v>181</v>
      </c>
      <c r="F448" s="22">
        <v>2305124.037</v>
      </c>
      <c r="G448" s="22">
        <v>585206.33100000001</v>
      </c>
      <c r="H448" s="11">
        <v>5.07</v>
      </c>
      <c r="I448" s="11">
        <v>4.07</v>
      </c>
      <c r="J448" s="6">
        <f t="shared" si="6"/>
        <v>1</v>
      </c>
      <c r="K448" s="4" t="s">
        <v>1509</v>
      </c>
      <c r="L448" s="5" t="s">
        <v>183</v>
      </c>
      <c r="M448" s="23" t="s">
        <v>184</v>
      </c>
    </row>
    <row r="449" spans="2:13" ht="16" x14ac:dyDescent="0.3">
      <c r="B449" s="4">
        <v>443</v>
      </c>
      <c r="C449" s="4" t="s">
        <v>1510</v>
      </c>
      <c r="D449" s="4" t="s">
        <v>1511</v>
      </c>
      <c r="E449" s="4" t="s">
        <v>181</v>
      </c>
      <c r="F449" s="22">
        <v>2305103.5550000002</v>
      </c>
      <c r="G449" s="22">
        <v>585220.11699999997</v>
      </c>
      <c r="H449" s="11">
        <v>5.07</v>
      </c>
      <c r="I449" s="11">
        <v>3.99</v>
      </c>
      <c r="J449" s="6">
        <f t="shared" si="6"/>
        <v>1.08</v>
      </c>
      <c r="K449" s="4" t="s">
        <v>1512</v>
      </c>
      <c r="L449" s="5" t="s">
        <v>183</v>
      </c>
      <c r="M449" s="23" t="s">
        <v>184</v>
      </c>
    </row>
    <row r="450" spans="2:13" ht="16" x14ac:dyDescent="0.3">
      <c r="B450" s="4">
        <v>444</v>
      </c>
      <c r="C450" s="4" t="s">
        <v>1513</v>
      </c>
      <c r="D450" s="4" t="s">
        <v>1514</v>
      </c>
      <c r="E450" s="4" t="s">
        <v>181</v>
      </c>
      <c r="F450" s="22">
        <v>2305080.3760000002</v>
      </c>
      <c r="G450" s="22">
        <v>585235.64099999995</v>
      </c>
      <c r="H450" s="11">
        <v>5.07</v>
      </c>
      <c r="I450" s="11">
        <v>3.23</v>
      </c>
      <c r="J450" s="6">
        <f t="shared" si="6"/>
        <v>1.8400000000000003</v>
      </c>
      <c r="K450" s="4" t="s">
        <v>1515</v>
      </c>
      <c r="L450" s="5" t="s">
        <v>254</v>
      </c>
      <c r="M450" s="23" t="s">
        <v>184</v>
      </c>
    </row>
    <row r="451" spans="2:13" ht="16" x14ac:dyDescent="0.3">
      <c r="B451" s="4">
        <v>445</v>
      </c>
      <c r="C451" s="4" t="s">
        <v>1516</v>
      </c>
      <c r="D451" s="4" t="s">
        <v>1517</v>
      </c>
      <c r="E451" s="4" t="s">
        <v>181</v>
      </c>
      <c r="F451" s="22">
        <v>2305125.6860000002</v>
      </c>
      <c r="G451" s="22">
        <v>585192.03300000005</v>
      </c>
      <c r="H451" s="11">
        <v>5.07</v>
      </c>
      <c r="I451" s="11">
        <v>4.13</v>
      </c>
      <c r="J451" s="6">
        <f t="shared" si="6"/>
        <v>0.94000000000000039</v>
      </c>
      <c r="K451" s="4" t="s">
        <v>1518</v>
      </c>
      <c r="L451" s="5" t="s">
        <v>183</v>
      </c>
      <c r="M451" s="23" t="s">
        <v>184</v>
      </c>
    </row>
    <row r="452" spans="2:13" ht="16" x14ac:dyDescent="0.3">
      <c r="B452" s="4">
        <v>446</v>
      </c>
      <c r="C452" s="4" t="s">
        <v>1519</v>
      </c>
      <c r="D452" s="4" t="s">
        <v>1520</v>
      </c>
      <c r="E452" s="4" t="s">
        <v>181</v>
      </c>
      <c r="F452" s="22">
        <v>2305103.2609999999</v>
      </c>
      <c r="G452" s="22">
        <v>585207.06999999995</v>
      </c>
      <c r="H452" s="11">
        <v>5.07</v>
      </c>
      <c r="I452" s="11">
        <v>4.04</v>
      </c>
      <c r="J452" s="6">
        <f t="shared" si="6"/>
        <v>1.0300000000000002</v>
      </c>
      <c r="K452" s="4" t="s">
        <v>1521</v>
      </c>
      <c r="L452" s="5" t="s">
        <v>183</v>
      </c>
      <c r="M452" s="23" t="s">
        <v>184</v>
      </c>
    </row>
    <row r="453" spans="2:13" ht="16" x14ac:dyDescent="0.3">
      <c r="B453" s="4">
        <v>447</v>
      </c>
      <c r="C453" s="4" t="s">
        <v>1522</v>
      </c>
      <c r="D453" s="4" t="s">
        <v>1523</v>
      </c>
      <c r="E453" s="4" t="s">
        <v>181</v>
      </c>
      <c r="F453" s="22">
        <v>2305088.3110000002</v>
      </c>
      <c r="G453" s="22">
        <v>585217.09499999997</v>
      </c>
      <c r="H453" s="11">
        <v>5.07</v>
      </c>
      <c r="I453" s="11">
        <v>3.98</v>
      </c>
      <c r="J453" s="6">
        <f t="shared" si="6"/>
        <v>1.0900000000000003</v>
      </c>
      <c r="K453" s="4" t="s">
        <v>1524</v>
      </c>
      <c r="L453" s="5" t="s">
        <v>183</v>
      </c>
      <c r="M453" s="23" t="s">
        <v>184</v>
      </c>
    </row>
    <row r="454" spans="2:13" ht="16" x14ac:dyDescent="0.3">
      <c r="B454" s="4">
        <v>448</v>
      </c>
      <c r="C454" s="4" t="s">
        <v>1525</v>
      </c>
      <c r="D454" s="4" t="s">
        <v>1526</v>
      </c>
      <c r="E454" s="4" t="s">
        <v>181</v>
      </c>
      <c r="F454" s="22">
        <v>2305104.5040000002</v>
      </c>
      <c r="G454" s="22">
        <v>585160.48400000005</v>
      </c>
      <c r="H454" s="11">
        <v>5.07</v>
      </c>
      <c r="I454" s="11">
        <v>4.13</v>
      </c>
      <c r="J454" s="6">
        <f t="shared" si="6"/>
        <v>0.94000000000000039</v>
      </c>
      <c r="K454" s="4" t="s">
        <v>1527</v>
      </c>
      <c r="L454" s="5" t="s">
        <v>183</v>
      </c>
      <c r="M454" s="23" t="s">
        <v>184</v>
      </c>
    </row>
    <row r="455" spans="2:13" ht="16" x14ac:dyDescent="0.3">
      <c r="B455" s="4">
        <v>449</v>
      </c>
      <c r="C455" s="4" t="s">
        <v>1528</v>
      </c>
      <c r="D455" s="4" t="s">
        <v>1529</v>
      </c>
      <c r="E455" s="4" t="s">
        <v>181</v>
      </c>
      <c r="F455" s="22">
        <v>2305082.0789999999</v>
      </c>
      <c r="G455" s="22">
        <v>585175.522</v>
      </c>
      <c r="H455" s="11">
        <v>5.07</v>
      </c>
      <c r="I455" s="11">
        <v>4.04</v>
      </c>
      <c r="J455" s="6">
        <f t="shared" ref="J455:J518" si="7">H455-I455</f>
        <v>1.0300000000000002</v>
      </c>
      <c r="K455" s="4" t="s">
        <v>1530</v>
      </c>
      <c r="L455" s="5" t="s">
        <v>183</v>
      </c>
      <c r="M455" s="23" t="s">
        <v>184</v>
      </c>
    </row>
    <row r="456" spans="2:13" ht="16" x14ac:dyDescent="0.3">
      <c r="B456" s="4">
        <v>450</v>
      </c>
      <c r="C456" s="4" t="s">
        <v>1531</v>
      </c>
      <c r="D456" s="4" t="s">
        <v>1532</v>
      </c>
      <c r="E456" s="4" t="s">
        <v>181</v>
      </c>
      <c r="F456" s="22">
        <v>2305067.1290000002</v>
      </c>
      <c r="G456" s="22">
        <v>585185.54700000002</v>
      </c>
      <c r="H456" s="11">
        <v>5.07</v>
      </c>
      <c r="I456" s="11">
        <v>3.98</v>
      </c>
      <c r="J456" s="6">
        <f t="shared" si="7"/>
        <v>1.0900000000000003</v>
      </c>
      <c r="K456" s="4" t="s">
        <v>1533</v>
      </c>
      <c r="L456" s="5" t="s">
        <v>183</v>
      </c>
      <c r="M456" s="23" t="s">
        <v>184</v>
      </c>
    </row>
    <row r="457" spans="2:13" ht="16" x14ac:dyDescent="0.3">
      <c r="B457" s="4">
        <v>451</v>
      </c>
      <c r="C457" s="4" t="s">
        <v>1534</v>
      </c>
      <c r="D457" s="4" t="s">
        <v>1535</v>
      </c>
      <c r="E457" s="4" t="s">
        <v>181</v>
      </c>
      <c r="F457" s="22">
        <v>2305053.0959999999</v>
      </c>
      <c r="G457" s="22">
        <v>585194.93500000006</v>
      </c>
      <c r="H457" s="11">
        <v>5.07</v>
      </c>
      <c r="I457" s="11">
        <v>3.41</v>
      </c>
      <c r="J457" s="6">
        <f t="shared" si="7"/>
        <v>1.6600000000000001</v>
      </c>
      <c r="K457" s="4" t="s">
        <v>1536</v>
      </c>
      <c r="L457" s="5" t="s">
        <v>254</v>
      </c>
      <c r="M457" s="23" t="s">
        <v>184</v>
      </c>
    </row>
    <row r="458" spans="2:13" ht="16" x14ac:dyDescent="0.3">
      <c r="B458" s="4">
        <v>452</v>
      </c>
      <c r="C458" s="4" t="s">
        <v>1537</v>
      </c>
      <c r="D458" s="4" t="s">
        <v>1538</v>
      </c>
      <c r="E458" s="4" t="s">
        <v>181</v>
      </c>
      <c r="F458" s="22">
        <v>2305098.3659999999</v>
      </c>
      <c r="G458" s="22">
        <v>585151.32999999996</v>
      </c>
      <c r="H458" s="11">
        <v>5.07</v>
      </c>
      <c r="I458" s="11">
        <v>4.13</v>
      </c>
      <c r="J458" s="6">
        <f t="shared" si="7"/>
        <v>0.94000000000000039</v>
      </c>
      <c r="K458" s="4" t="s">
        <v>1539</v>
      </c>
      <c r="L458" s="5" t="s">
        <v>183</v>
      </c>
      <c r="M458" s="23" t="s">
        <v>184</v>
      </c>
    </row>
    <row r="459" spans="2:13" ht="16" x14ac:dyDescent="0.3">
      <c r="B459" s="4">
        <v>453</v>
      </c>
      <c r="C459" s="4" t="s">
        <v>1540</v>
      </c>
      <c r="D459" s="4" t="s">
        <v>1541</v>
      </c>
      <c r="E459" s="4" t="s">
        <v>181</v>
      </c>
      <c r="F459" s="22">
        <v>2305075.9410000001</v>
      </c>
      <c r="G459" s="22">
        <v>585166.36699999997</v>
      </c>
      <c r="H459" s="11">
        <v>5.07</v>
      </c>
      <c r="I459" s="11">
        <v>4.04</v>
      </c>
      <c r="J459" s="6">
        <f t="shared" si="7"/>
        <v>1.0300000000000002</v>
      </c>
      <c r="K459" s="4" t="s">
        <v>1542</v>
      </c>
      <c r="L459" s="5" t="s">
        <v>183</v>
      </c>
      <c r="M459" s="23" t="s">
        <v>184</v>
      </c>
    </row>
    <row r="460" spans="2:13" ht="16" x14ac:dyDescent="0.3">
      <c r="B460" s="4">
        <v>454</v>
      </c>
      <c r="C460" s="4" t="s">
        <v>1543</v>
      </c>
      <c r="D460" s="4" t="s">
        <v>1544</v>
      </c>
      <c r="E460" s="4" t="s">
        <v>181</v>
      </c>
      <c r="F460" s="22">
        <v>2305060.9909999999</v>
      </c>
      <c r="G460" s="22">
        <v>585176.39199999999</v>
      </c>
      <c r="H460" s="11">
        <v>5.07</v>
      </c>
      <c r="I460" s="11">
        <v>3.98</v>
      </c>
      <c r="J460" s="6">
        <f t="shared" si="7"/>
        <v>1.0900000000000003</v>
      </c>
      <c r="K460" s="4" t="s">
        <v>1545</v>
      </c>
      <c r="L460" s="5" t="s">
        <v>183</v>
      </c>
      <c r="M460" s="23" t="s">
        <v>184</v>
      </c>
    </row>
    <row r="461" spans="2:13" ht="16" x14ac:dyDescent="0.3">
      <c r="B461" s="4">
        <v>455</v>
      </c>
      <c r="C461" s="4" t="s">
        <v>1546</v>
      </c>
      <c r="D461" s="4" t="s">
        <v>1547</v>
      </c>
      <c r="E461" s="4" t="s">
        <v>181</v>
      </c>
      <c r="F461" s="22">
        <v>2305077.2319999998</v>
      </c>
      <c r="G461" s="22">
        <v>585119.77500000002</v>
      </c>
      <c r="H461" s="11">
        <v>5.07</v>
      </c>
      <c r="I461" s="11">
        <v>4.13</v>
      </c>
      <c r="J461" s="6">
        <f t="shared" si="7"/>
        <v>0.94000000000000039</v>
      </c>
      <c r="K461" s="4" t="s">
        <v>1548</v>
      </c>
      <c r="L461" s="5" t="s">
        <v>183</v>
      </c>
      <c r="M461" s="23" t="s">
        <v>184</v>
      </c>
    </row>
    <row r="462" spans="2:13" ht="16" x14ac:dyDescent="0.3">
      <c r="B462" s="4">
        <v>456</v>
      </c>
      <c r="C462" s="4" t="s">
        <v>1549</v>
      </c>
      <c r="D462" s="4" t="s">
        <v>1550</v>
      </c>
      <c r="E462" s="4" t="s">
        <v>181</v>
      </c>
      <c r="F462" s="22">
        <v>2305054.807</v>
      </c>
      <c r="G462" s="22">
        <v>585134.81200000003</v>
      </c>
      <c r="H462" s="11">
        <v>5.07</v>
      </c>
      <c r="I462" s="11">
        <v>4.04</v>
      </c>
      <c r="J462" s="6">
        <f t="shared" si="7"/>
        <v>1.0300000000000002</v>
      </c>
      <c r="K462" s="4" t="s">
        <v>1551</v>
      </c>
      <c r="L462" s="5" t="s">
        <v>183</v>
      </c>
      <c r="M462" s="23" t="s">
        <v>184</v>
      </c>
    </row>
    <row r="463" spans="2:13" ht="16" x14ac:dyDescent="0.3">
      <c r="B463" s="4">
        <v>457</v>
      </c>
      <c r="C463" s="4" t="s">
        <v>1552</v>
      </c>
      <c r="D463" s="4" t="s">
        <v>1553</v>
      </c>
      <c r="E463" s="4" t="s">
        <v>181</v>
      </c>
      <c r="F463" s="22">
        <v>2305039.8569999998</v>
      </c>
      <c r="G463" s="22">
        <v>585144.83700000006</v>
      </c>
      <c r="H463" s="11">
        <v>5.07</v>
      </c>
      <c r="I463" s="11">
        <v>3.98</v>
      </c>
      <c r="J463" s="6">
        <f t="shared" si="7"/>
        <v>1.0900000000000003</v>
      </c>
      <c r="K463" s="4" t="s">
        <v>1554</v>
      </c>
      <c r="L463" s="5" t="s">
        <v>183</v>
      </c>
      <c r="M463" s="23" t="s">
        <v>184</v>
      </c>
    </row>
    <row r="464" spans="2:13" ht="16" x14ac:dyDescent="0.3">
      <c r="B464" s="4">
        <v>458</v>
      </c>
      <c r="C464" s="4" t="s">
        <v>1555</v>
      </c>
      <c r="D464" s="4" t="s">
        <v>1556</v>
      </c>
      <c r="E464" s="4" t="s">
        <v>181</v>
      </c>
      <c r="F464" s="22">
        <v>2305025.8250000002</v>
      </c>
      <c r="G464" s="22">
        <v>585154.24699999997</v>
      </c>
      <c r="H464" s="11">
        <v>5.07</v>
      </c>
      <c r="I464" s="11">
        <v>3.59</v>
      </c>
      <c r="J464" s="6">
        <f t="shared" si="7"/>
        <v>1.4800000000000004</v>
      </c>
      <c r="K464" s="4" t="s">
        <v>1557</v>
      </c>
      <c r="L464" s="5" t="s">
        <v>183</v>
      </c>
      <c r="M464" s="23" t="s">
        <v>184</v>
      </c>
    </row>
    <row r="465" spans="2:13" ht="16" x14ac:dyDescent="0.3">
      <c r="B465" s="4">
        <v>459</v>
      </c>
      <c r="C465" s="4" t="s">
        <v>1558</v>
      </c>
      <c r="D465" s="4" t="s">
        <v>1559</v>
      </c>
      <c r="E465" s="4" t="s">
        <v>181</v>
      </c>
      <c r="F465" s="22">
        <v>2305071.0589999999</v>
      </c>
      <c r="G465" s="22">
        <v>585110.67000000004</v>
      </c>
      <c r="H465" s="11">
        <v>5.07</v>
      </c>
      <c r="I465" s="11">
        <v>4.13</v>
      </c>
      <c r="J465" s="6">
        <f t="shared" si="7"/>
        <v>0.94000000000000039</v>
      </c>
      <c r="K465" s="4" t="s">
        <v>1560</v>
      </c>
      <c r="L465" s="5" t="s">
        <v>183</v>
      </c>
      <c r="M465" s="23" t="s">
        <v>184</v>
      </c>
    </row>
    <row r="466" spans="2:13" ht="16" x14ac:dyDescent="0.3">
      <c r="B466" s="4">
        <v>460</v>
      </c>
      <c r="C466" s="4" t="s">
        <v>1561</v>
      </c>
      <c r="D466" s="4" t="s">
        <v>1562</v>
      </c>
      <c r="E466" s="4" t="s">
        <v>181</v>
      </c>
      <c r="F466" s="22">
        <v>2305048.6340000001</v>
      </c>
      <c r="G466" s="22">
        <v>585125.70700000005</v>
      </c>
      <c r="H466" s="11">
        <v>5.07</v>
      </c>
      <c r="I466" s="11">
        <v>4.04</v>
      </c>
      <c r="J466" s="6">
        <f t="shared" si="7"/>
        <v>1.0300000000000002</v>
      </c>
      <c r="K466" s="4" t="s">
        <v>1563</v>
      </c>
      <c r="L466" s="5" t="s">
        <v>183</v>
      </c>
      <c r="M466" s="23" t="s">
        <v>184</v>
      </c>
    </row>
    <row r="467" spans="2:13" ht="16" x14ac:dyDescent="0.3">
      <c r="B467" s="4">
        <v>461</v>
      </c>
      <c r="C467" s="4" t="s">
        <v>1564</v>
      </c>
      <c r="D467" s="4" t="s">
        <v>1565</v>
      </c>
      <c r="E467" s="4" t="s">
        <v>181</v>
      </c>
      <c r="F467" s="22">
        <v>2305033.716</v>
      </c>
      <c r="G467" s="22">
        <v>585135.77899999998</v>
      </c>
      <c r="H467" s="11">
        <v>5.07</v>
      </c>
      <c r="I467" s="11">
        <v>3.98</v>
      </c>
      <c r="J467" s="6">
        <f t="shared" si="7"/>
        <v>1.0900000000000003</v>
      </c>
      <c r="K467" s="4" t="s">
        <v>1566</v>
      </c>
      <c r="L467" s="5" t="s">
        <v>183</v>
      </c>
      <c r="M467" s="23" t="s">
        <v>184</v>
      </c>
    </row>
    <row r="468" spans="2:13" ht="16" x14ac:dyDescent="0.3">
      <c r="B468" s="4">
        <v>462</v>
      </c>
      <c r="C468" s="4" t="s">
        <v>1567</v>
      </c>
      <c r="D468" s="4" t="s">
        <v>1568</v>
      </c>
      <c r="E468" s="4" t="s">
        <v>181</v>
      </c>
      <c r="F468" s="22">
        <v>2305506.537</v>
      </c>
      <c r="G468" s="22">
        <v>585395.37699999998</v>
      </c>
      <c r="H468" s="11">
        <v>5.17</v>
      </c>
      <c r="I468" s="11">
        <v>3.28</v>
      </c>
      <c r="J468" s="6">
        <f t="shared" si="7"/>
        <v>1.8900000000000001</v>
      </c>
      <c r="K468" s="4" t="s">
        <v>1569</v>
      </c>
      <c r="L468" s="5" t="s">
        <v>254</v>
      </c>
      <c r="M468" s="23" t="s">
        <v>184</v>
      </c>
    </row>
    <row r="469" spans="2:13" ht="16" x14ac:dyDescent="0.3">
      <c r="B469" s="4">
        <v>463</v>
      </c>
      <c r="C469" s="4" t="s">
        <v>1570</v>
      </c>
      <c r="D469" s="4" t="s">
        <v>1571</v>
      </c>
      <c r="E469" s="4" t="s">
        <v>181</v>
      </c>
      <c r="F469" s="22">
        <v>2305486.693</v>
      </c>
      <c r="G469" s="22">
        <v>585377.61199999996</v>
      </c>
      <c r="H469" s="11">
        <v>5.31</v>
      </c>
      <c r="I469" s="11">
        <v>3.19</v>
      </c>
      <c r="J469" s="6">
        <f t="shared" si="7"/>
        <v>2.1199999999999997</v>
      </c>
      <c r="K469" s="4" t="s">
        <v>1572</v>
      </c>
      <c r="L469" s="5" t="s">
        <v>254</v>
      </c>
      <c r="M469" s="23" t="s">
        <v>184</v>
      </c>
    </row>
    <row r="470" spans="2:13" ht="16" x14ac:dyDescent="0.3">
      <c r="B470" s="4">
        <v>464</v>
      </c>
      <c r="C470" s="4" t="s">
        <v>1573</v>
      </c>
      <c r="D470" s="4" t="s">
        <v>1574</v>
      </c>
      <c r="E470" s="4" t="s">
        <v>181</v>
      </c>
      <c r="F470" s="22">
        <v>2305471.6549999998</v>
      </c>
      <c r="G470" s="22">
        <v>585355.18700000003</v>
      </c>
      <c r="H470" s="11">
        <v>5.31</v>
      </c>
      <c r="I470" s="11">
        <v>3.1</v>
      </c>
      <c r="J470" s="6">
        <f t="shared" si="7"/>
        <v>2.2099999999999995</v>
      </c>
      <c r="K470" s="4" t="s">
        <v>1575</v>
      </c>
      <c r="L470" s="5" t="s">
        <v>254</v>
      </c>
      <c r="M470" s="23" t="s">
        <v>184</v>
      </c>
    </row>
    <row r="471" spans="2:13" ht="16" x14ac:dyDescent="0.3">
      <c r="B471" s="4">
        <v>465</v>
      </c>
      <c r="C471" s="4" t="s">
        <v>1576</v>
      </c>
      <c r="D471" s="4" t="s">
        <v>1577</v>
      </c>
      <c r="E471" s="4" t="s">
        <v>181</v>
      </c>
      <c r="F471" s="22">
        <v>2305456.6179999998</v>
      </c>
      <c r="G471" s="22">
        <v>585332.76199999999</v>
      </c>
      <c r="H471" s="11">
        <v>5.31</v>
      </c>
      <c r="I471" s="11">
        <v>3.01</v>
      </c>
      <c r="J471" s="6">
        <f t="shared" si="7"/>
        <v>2.2999999999999998</v>
      </c>
      <c r="K471" s="4" t="s">
        <v>1578</v>
      </c>
      <c r="L471" s="5" t="s">
        <v>254</v>
      </c>
      <c r="M471" s="23" t="s">
        <v>184</v>
      </c>
    </row>
    <row r="472" spans="2:13" ht="16" x14ac:dyDescent="0.3">
      <c r="B472" s="4">
        <v>466</v>
      </c>
      <c r="C472" s="4" t="s">
        <v>1579</v>
      </c>
      <c r="D472" s="4" t="s">
        <v>1580</v>
      </c>
      <c r="E472" s="4" t="s">
        <v>181</v>
      </c>
      <c r="F472" s="22">
        <v>2305586.8489999999</v>
      </c>
      <c r="G472" s="22">
        <v>585583.53099999996</v>
      </c>
      <c r="H472" s="11">
        <v>5.27</v>
      </c>
      <c r="I472" s="11">
        <v>4.42</v>
      </c>
      <c r="J472" s="6">
        <f t="shared" si="7"/>
        <v>0.84999999999999964</v>
      </c>
      <c r="K472" s="4" t="s">
        <v>1581</v>
      </c>
      <c r="L472" s="5" t="s">
        <v>183</v>
      </c>
      <c r="M472" s="23" t="s">
        <v>184</v>
      </c>
    </row>
    <row r="473" spans="2:13" ht="16" x14ac:dyDescent="0.3">
      <c r="B473" s="4">
        <v>467</v>
      </c>
      <c r="C473" s="4" t="s">
        <v>1582</v>
      </c>
      <c r="D473" s="4" t="s">
        <v>1583</v>
      </c>
      <c r="E473" s="4" t="s">
        <v>181</v>
      </c>
      <c r="F473" s="22">
        <v>2305566.085</v>
      </c>
      <c r="G473" s="22">
        <v>585597.45400000003</v>
      </c>
      <c r="H473" s="11">
        <v>5.27</v>
      </c>
      <c r="I473" s="11">
        <v>4.34</v>
      </c>
      <c r="J473" s="6">
        <f t="shared" si="7"/>
        <v>0.92999999999999972</v>
      </c>
      <c r="K473" s="4" t="s">
        <v>1584</v>
      </c>
      <c r="L473" s="5" t="s">
        <v>183</v>
      </c>
      <c r="M473" s="23" t="s">
        <v>184</v>
      </c>
    </row>
    <row r="474" spans="2:13" ht="16" x14ac:dyDescent="0.3">
      <c r="B474" s="4">
        <v>468</v>
      </c>
      <c r="C474" s="4" t="s">
        <v>1585</v>
      </c>
      <c r="D474" s="4" t="s">
        <v>1586</v>
      </c>
      <c r="E474" s="4" t="s">
        <v>181</v>
      </c>
      <c r="F474" s="22">
        <v>2305544.4909999999</v>
      </c>
      <c r="G474" s="22">
        <v>585611.93500000006</v>
      </c>
      <c r="H474" s="11">
        <v>5.27</v>
      </c>
      <c r="I474" s="11">
        <v>4.25</v>
      </c>
      <c r="J474" s="6">
        <f t="shared" si="7"/>
        <v>1.0199999999999996</v>
      </c>
      <c r="K474" s="4" t="s">
        <v>1587</v>
      </c>
      <c r="L474" s="5" t="s">
        <v>183</v>
      </c>
      <c r="M474" s="23" t="s">
        <v>184</v>
      </c>
    </row>
    <row r="475" spans="2:13" ht="16" x14ac:dyDescent="0.3">
      <c r="B475" s="4">
        <v>469</v>
      </c>
      <c r="C475" s="4" t="s">
        <v>1588</v>
      </c>
      <c r="D475" s="4" t="s">
        <v>1589</v>
      </c>
      <c r="E475" s="4" t="s">
        <v>181</v>
      </c>
      <c r="F475" s="22">
        <v>2305523.727</v>
      </c>
      <c r="G475" s="22">
        <v>585625.85800000001</v>
      </c>
      <c r="H475" s="11">
        <v>5.27</v>
      </c>
      <c r="I475" s="11">
        <v>4.17</v>
      </c>
      <c r="J475" s="6">
        <f t="shared" si="7"/>
        <v>1.0999999999999996</v>
      </c>
      <c r="K475" s="4" t="s">
        <v>1590</v>
      </c>
      <c r="L475" s="5" t="s">
        <v>183</v>
      </c>
      <c r="M475" s="23" t="s">
        <v>184</v>
      </c>
    </row>
    <row r="476" spans="2:13" ht="16" x14ac:dyDescent="0.3">
      <c r="B476" s="4">
        <v>470</v>
      </c>
      <c r="C476" s="4" t="s">
        <v>1591</v>
      </c>
      <c r="D476" s="4" t="s">
        <v>1592</v>
      </c>
      <c r="E476" s="4" t="s">
        <v>181</v>
      </c>
      <c r="F476" s="22">
        <v>2305570.1409999998</v>
      </c>
      <c r="G476" s="22">
        <v>585558.61399999994</v>
      </c>
      <c r="H476" s="11">
        <v>5.27</v>
      </c>
      <c r="I476" s="11">
        <v>4.42</v>
      </c>
      <c r="J476" s="6">
        <f t="shared" si="7"/>
        <v>0.84999999999999964</v>
      </c>
      <c r="K476" s="4" t="s">
        <v>1593</v>
      </c>
      <c r="L476" s="5" t="s">
        <v>183</v>
      </c>
      <c r="M476" s="23" t="s">
        <v>184</v>
      </c>
    </row>
    <row r="477" spans="2:13" ht="16" x14ac:dyDescent="0.3">
      <c r="B477" s="4">
        <v>471</v>
      </c>
      <c r="C477" s="4" t="s">
        <v>1594</v>
      </c>
      <c r="D477" s="4" t="s">
        <v>1595</v>
      </c>
      <c r="E477" s="4" t="s">
        <v>181</v>
      </c>
      <c r="F477" s="22">
        <v>2305549.3769999999</v>
      </c>
      <c r="G477" s="22">
        <v>585572.53799999994</v>
      </c>
      <c r="H477" s="11">
        <v>5.27</v>
      </c>
      <c r="I477" s="11">
        <v>3.96</v>
      </c>
      <c r="J477" s="6">
        <f t="shared" si="7"/>
        <v>1.3099999999999996</v>
      </c>
      <c r="K477" s="4" t="s">
        <v>1596</v>
      </c>
      <c r="L477" s="5" t="s">
        <v>183</v>
      </c>
      <c r="M477" s="23" t="s">
        <v>184</v>
      </c>
    </row>
    <row r="478" spans="2:13" ht="16" x14ac:dyDescent="0.3">
      <c r="B478" s="4">
        <v>472</v>
      </c>
      <c r="C478" s="4" t="s">
        <v>1597</v>
      </c>
      <c r="D478" s="4" t="s">
        <v>1598</v>
      </c>
      <c r="E478" s="4" t="s">
        <v>181</v>
      </c>
      <c r="F478" s="22">
        <v>2305527.8829999999</v>
      </c>
      <c r="G478" s="22">
        <v>585587.16799999995</v>
      </c>
      <c r="H478" s="11">
        <v>5.27</v>
      </c>
      <c r="I478" s="11">
        <v>3.96</v>
      </c>
      <c r="J478" s="6">
        <f t="shared" si="7"/>
        <v>1.3099999999999996</v>
      </c>
      <c r="K478" s="4" t="s">
        <v>1599</v>
      </c>
      <c r="L478" s="5" t="s">
        <v>183</v>
      </c>
      <c r="M478" s="23" t="s">
        <v>184</v>
      </c>
    </row>
    <row r="479" spans="2:13" ht="16" x14ac:dyDescent="0.3">
      <c r="B479" s="4">
        <v>473</v>
      </c>
      <c r="C479" s="4" t="s">
        <v>1600</v>
      </c>
      <c r="D479" s="4" t="s">
        <v>1601</v>
      </c>
      <c r="E479" s="4" t="s">
        <v>181</v>
      </c>
      <c r="F479" s="22">
        <v>2305507.0189999999</v>
      </c>
      <c r="G479" s="22">
        <v>585600.94200000004</v>
      </c>
      <c r="H479" s="11">
        <v>5.27</v>
      </c>
      <c r="I479" s="11">
        <v>3.96</v>
      </c>
      <c r="J479" s="6">
        <f t="shared" si="7"/>
        <v>1.3099999999999996</v>
      </c>
      <c r="K479" s="4" t="s">
        <v>1602</v>
      </c>
      <c r="L479" s="5" t="s">
        <v>183</v>
      </c>
      <c r="M479" s="23" t="s">
        <v>184</v>
      </c>
    </row>
    <row r="480" spans="2:13" ht="16" x14ac:dyDescent="0.3">
      <c r="B480" s="4">
        <v>474</v>
      </c>
      <c r="C480" s="4" t="s">
        <v>1603</v>
      </c>
      <c r="D480" s="4" t="s">
        <v>1604</v>
      </c>
      <c r="E480" s="4" t="s">
        <v>181</v>
      </c>
      <c r="F480" s="22">
        <v>2305563.5989999999</v>
      </c>
      <c r="G480" s="22">
        <v>585549.75699999998</v>
      </c>
      <c r="H480" s="11">
        <v>5.27</v>
      </c>
      <c r="I480" s="11">
        <v>4.42</v>
      </c>
      <c r="J480" s="6">
        <f t="shared" si="7"/>
        <v>0.84999999999999964</v>
      </c>
      <c r="K480" s="4" t="s">
        <v>1605</v>
      </c>
      <c r="L480" s="5" t="s">
        <v>183</v>
      </c>
      <c r="M480" s="23" t="s">
        <v>184</v>
      </c>
    </row>
    <row r="481" spans="2:13" ht="16" x14ac:dyDescent="0.3">
      <c r="B481" s="4">
        <v>475</v>
      </c>
      <c r="C481" s="4" t="s">
        <v>1606</v>
      </c>
      <c r="D481" s="4" t="s">
        <v>1607</v>
      </c>
      <c r="E481" s="4" t="s">
        <v>181</v>
      </c>
      <c r="F481" s="22">
        <v>2305538.6830000002</v>
      </c>
      <c r="G481" s="22">
        <v>585566.46499999997</v>
      </c>
      <c r="H481" s="11">
        <v>5.27</v>
      </c>
      <c r="I481" s="11">
        <v>4.32</v>
      </c>
      <c r="J481" s="6">
        <f t="shared" si="7"/>
        <v>0.94999999999999929</v>
      </c>
      <c r="K481" s="4" t="s">
        <v>1608</v>
      </c>
      <c r="L481" s="5" t="s">
        <v>183</v>
      </c>
      <c r="M481" s="23" t="s">
        <v>184</v>
      </c>
    </row>
    <row r="482" spans="2:13" ht="16" x14ac:dyDescent="0.3">
      <c r="B482" s="4">
        <v>476</v>
      </c>
      <c r="C482" s="4" t="s">
        <v>1609</v>
      </c>
      <c r="D482" s="4" t="s">
        <v>1610</v>
      </c>
      <c r="E482" s="4" t="s">
        <v>181</v>
      </c>
      <c r="F482" s="22">
        <v>2305513.7659999998</v>
      </c>
      <c r="G482" s="22">
        <v>585583.17299999995</v>
      </c>
      <c r="H482" s="11">
        <v>5.27</v>
      </c>
      <c r="I482" s="11">
        <v>4.22</v>
      </c>
      <c r="J482" s="6">
        <f t="shared" si="7"/>
        <v>1.0499999999999998</v>
      </c>
      <c r="K482" s="4" t="s">
        <v>1611</v>
      </c>
      <c r="L482" s="5" t="s">
        <v>183</v>
      </c>
      <c r="M482" s="23" t="s">
        <v>184</v>
      </c>
    </row>
    <row r="483" spans="2:13" ht="16" x14ac:dyDescent="0.3">
      <c r="B483" s="4">
        <v>477</v>
      </c>
      <c r="C483" s="4" t="s">
        <v>1612</v>
      </c>
      <c r="D483" s="4" t="s">
        <v>1613</v>
      </c>
      <c r="E483" s="4" t="s">
        <v>181</v>
      </c>
      <c r="F483" s="22">
        <v>2305485.65</v>
      </c>
      <c r="G483" s="22">
        <v>585602.027</v>
      </c>
      <c r="H483" s="11">
        <v>5.27</v>
      </c>
      <c r="I483" s="11">
        <v>3.96</v>
      </c>
      <c r="J483" s="6">
        <f t="shared" si="7"/>
        <v>1.3099999999999996</v>
      </c>
      <c r="K483" s="4" t="s">
        <v>1614</v>
      </c>
      <c r="L483" s="5" t="s">
        <v>183</v>
      </c>
      <c r="M483" s="23" t="s">
        <v>184</v>
      </c>
    </row>
    <row r="484" spans="2:13" ht="16" x14ac:dyDescent="0.3">
      <c r="B484" s="4">
        <v>478</v>
      </c>
      <c r="C484" s="4" t="s">
        <v>1615</v>
      </c>
      <c r="D484" s="4" t="s">
        <v>1616</v>
      </c>
      <c r="E484" s="4" t="s">
        <v>181</v>
      </c>
      <c r="F484" s="22">
        <v>2305463.1740000001</v>
      </c>
      <c r="G484" s="22">
        <v>585617.09900000005</v>
      </c>
      <c r="H484" s="11">
        <v>5.27</v>
      </c>
      <c r="I484" s="11">
        <v>3.87</v>
      </c>
      <c r="J484" s="6">
        <f t="shared" si="7"/>
        <v>1.3999999999999995</v>
      </c>
      <c r="K484" s="4" t="s">
        <v>1617</v>
      </c>
      <c r="L484" s="5" t="s">
        <v>183</v>
      </c>
      <c r="M484" s="23" t="s">
        <v>184</v>
      </c>
    </row>
    <row r="485" spans="2:13" ht="16" x14ac:dyDescent="0.3">
      <c r="B485" s="4">
        <v>479</v>
      </c>
      <c r="C485" s="4" t="s">
        <v>1618</v>
      </c>
      <c r="D485" s="4" t="s">
        <v>1619</v>
      </c>
      <c r="E485" s="4" t="s">
        <v>181</v>
      </c>
      <c r="F485" s="22">
        <v>2305440.7489999998</v>
      </c>
      <c r="G485" s="22">
        <v>585632.13600000006</v>
      </c>
      <c r="H485" s="11">
        <v>5.27</v>
      </c>
      <c r="I485" s="11">
        <v>3.78</v>
      </c>
      <c r="J485" s="6">
        <f t="shared" si="7"/>
        <v>1.4899999999999998</v>
      </c>
      <c r="K485" s="4" t="s">
        <v>1620</v>
      </c>
      <c r="L485" s="5" t="s">
        <v>183</v>
      </c>
      <c r="M485" s="23" t="s">
        <v>184</v>
      </c>
    </row>
    <row r="486" spans="2:13" ht="16" x14ac:dyDescent="0.3">
      <c r="B486" s="4">
        <v>480</v>
      </c>
      <c r="C486" s="4" t="s">
        <v>1621</v>
      </c>
      <c r="D486" s="4" t="s">
        <v>1622</v>
      </c>
      <c r="E486" s="4" t="s">
        <v>181</v>
      </c>
      <c r="F486" s="22">
        <v>2305418.324</v>
      </c>
      <c r="G486" s="22">
        <v>585647.174</v>
      </c>
      <c r="H486" s="11">
        <v>5.27</v>
      </c>
      <c r="I486" s="11">
        <v>3.69</v>
      </c>
      <c r="J486" s="6">
        <f t="shared" si="7"/>
        <v>1.5799999999999996</v>
      </c>
      <c r="K486" s="4" t="s">
        <v>1623</v>
      </c>
      <c r="L486" s="5" t="s">
        <v>254</v>
      </c>
      <c r="M486" s="23" t="s">
        <v>184</v>
      </c>
    </row>
    <row r="487" spans="2:13" ht="16" x14ac:dyDescent="0.3">
      <c r="B487" s="4">
        <v>481</v>
      </c>
      <c r="C487" s="4" t="s">
        <v>1624</v>
      </c>
      <c r="D487" s="4" t="s">
        <v>1625</v>
      </c>
      <c r="E487" s="4" t="s">
        <v>181</v>
      </c>
      <c r="F487" s="22">
        <v>2305395.8990000002</v>
      </c>
      <c r="G487" s="22">
        <v>585662.21100000001</v>
      </c>
      <c r="H487" s="11">
        <v>5.27</v>
      </c>
      <c r="I487" s="11">
        <v>3.61</v>
      </c>
      <c r="J487" s="6">
        <f t="shared" si="7"/>
        <v>1.6599999999999997</v>
      </c>
      <c r="K487" s="4" t="s">
        <v>1626</v>
      </c>
      <c r="L487" s="5" t="s">
        <v>254</v>
      </c>
      <c r="M487" s="23" t="s">
        <v>184</v>
      </c>
    </row>
    <row r="488" spans="2:13" ht="16" x14ac:dyDescent="0.3">
      <c r="B488" s="4">
        <v>482</v>
      </c>
      <c r="C488" s="4" t="s">
        <v>1627</v>
      </c>
      <c r="D488" s="4" t="s">
        <v>1628</v>
      </c>
      <c r="E488" s="4" t="s">
        <v>181</v>
      </c>
      <c r="F488" s="22">
        <v>2305464.8629999999</v>
      </c>
      <c r="G488" s="22">
        <v>585678.57499999995</v>
      </c>
      <c r="H488" s="11">
        <v>5.27</v>
      </c>
      <c r="I488" s="11">
        <v>4.34</v>
      </c>
      <c r="J488" s="6">
        <f t="shared" si="7"/>
        <v>0.92999999999999972</v>
      </c>
      <c r="K488" s="4" t="s">
        <v>1629</v>
      </c>
      <c r="L488" s="5" t="s">
        <v>183</v>
      </c>
      <c r="M488" s="23" t="s">
        <v>184</v>
      </c>
    </row>
    <row r="489" spans="2:13" ht="16" x14ac:dyDescent="0.3">
      <c r="B489" s="4">
        <v>483</v>
      </c>
      <c r="C489" s="4" t="s">
        <v>1630</v>
      </c>
      <c r="D489" s="4" t="s">
        <v>1631</v>
      </c>
      <c r="E489" s="4" t="s">
        <v>181</v>
      </c>
      <c r="F489" s="22">
        <v>2305438.7919999999</v>
      </c>
      <c r="G489" s="22">
        <v>585696.25600000005</v>
      </c>
      <c r="H489" s="11">
        <v>5.27</v>
      </c>
      <c r="I489" s="11">
        <v>4.24</v>
      </c>
      <c r="J489" s="6">
        <f t="shared" si="7"/>
        <v>1.0299999999999994</v>
      </c>
      <c r="K489" s="4" t="s">
        <v>1632</v>
      </c>
      <c r="L489" s="5" t="s">
        <v>183</v>
      </c>
      <c r="M489" s="23" t="s">
        <v>184</v>
      </c>
    </row>
    <row r="490" spans="2:13" ht="16" x14ac:dyDescent="0.3">
      <c r="B490" s="4">
        <v>484</v>
      </c>
      <c r="C490" s="4" t="s">
        <v>1633</v>
      </c>
      <c r="D490" s="4" t="s">
        <v>1634</v>
      </c>
      <c r="E490" s="4" t="s">
        <v>181</v>
      </c>
      <c r="F490" s="22">
        <v>2305415.4449999998</v>
      </c>
      <c r="G490" s="22">
        <v>585711.71299999999</v>
      </c>
      <c r="H490" s="11">
        <v>5.27</v>
      </c>
      <c r="I490" s="11">
        <v>4.1399999999999997</v>
      </c>
      <c r="J490" s="6">
        <f t="shared" si="7"/>
        <v>1.1299999999999999</v>
      </c>
      <c r="K490" s="4" t="s">
        <v>1635</v>
      </c>
      <c r="L490" s="5" t="s">
        <v>183</v>
      </c>
      <c r="M490" s="23" t="s">
        <v>184</v>
      </c>
    </row>
    <row r="491" spans="2:13" ht="16" x14ac:dyDescent="0.3">
      <c r="B491" s="4">
        <v>485</v>
      </c>
      <c r="C491" s="4" t="s">
        <v>1636</v>
      </c>
      <c r="D491" s="4" t="s">
        <v>1637</v>
      </c>
      <c r="E491" s="4" t="s">
        <v>181</v>
      </c>
      <c r="F491" s="22">
        <v>2305406.9580000001</v>
      </c>
      <c r="G491" s="22">
        <v>585704.16</v>
      </c>
      <c r="H491" s="11">
        <v>5.27</v>
      </c>
      <c r="I491" s="11">
        <v>4.1100000000000003</v>
      </c>
      <c r="J491" s="6">
        <f t="shared" si="7"/>
        <v>1.1599999999999993</v>
      </c>
      <c r="K491" s="4" t="s">
        <v>1638</v>
      </c>
      <c r="L491" s="5" t="s">
        <v>183</v>
      </c>
      <c r="M491" s="23" t="s">
        <v>184</v>
      </c>
    </row>
    <row r="492" spans="2:13" ht="16" x14ac:dyDescent="0.3">
      <c r="B492" s="4">
        <v>486</v>
      </c>
      <c r="C492" s="4" t="s">
        <v>1639</v>
      </c>
      <c r="D492" s="4" t="s">
        <v>1640</v>
      </c>
      <c r="E492" s="4" t="s">
        <v>181</v>
      </c>
      <c r="F492" s="22">
        <v>2305385.6749999998</v>
      </c>
      <c r="G492" s="22">
        <v>585702.77899999998</v>
      </c>
      <c r="H492" s="11">
        <v>5.31</v>
      </c>
      <c r="I492" s="11">
        <v>4.0199999999999996</v>
      </c>
      <c r="J492" s="6">
        <f t="shared" si="7"/>
        <v>1.29</v>
      </c>
      <c r="K492" s="4" t="s">
        <v>1641</v>
      </c>
      <c r="L492" s="5" t="s">
        <v>183</v>
      </c>
      <c r="M492" s="23" t="s">
        <v>184</v>
      </c>
    </row>
    <row r="493" spans="2:13" ht="16" x14ac:dyDescent="0.3">
      <c r="B493" s="4">
        <v>487</v>
      </c>
      <c r="C493" s="4" t="s">
        <v>1642</v>
      </c>
      <c r="D493" s="4" t="s">
        <v>1643</v>
      </c>
      <c r="E493" s="4" t="s">
        <v>181</v>
      </c>
      <c r="F493" s="22">
        <v>2305381.6770000001</v>
      </c>
      <c r="G493" s="22">
        <v>585684.99199999997</v>
      </c>
      <c r="H493" s="11">
        <v>5.27</v>
      </c>
      <c r="I493" s="11">
        <v>3.95</v>
      </c>
      <c r="J493" s="6">
        <f t="shared" si="7"/>
        <v>1.3199999999999994</v>
      </c>
      <c r="K493" s="4" t="s">
        <v>1644</v>
      </c>
      <c r="L493" s="5" t="s">
        <v>183</v>
      </c>
      <c r="M493" s="23" t="s">
        <v>184</v>
      </c>
    </row>
    <row r="494" spans="2:13" ht="16" x14ac:dyDescent="0.3">
      <c r="B494" s="4">
        <v>488</v>
      </c>
      <c r="C494" s="4" t="s">
        <v>1645</v>
      </c>
      <c r="D494" s="4" t="s">
        <v>1646</v>
      </c>
      <c r="E494" s="4" t="s">
        <v>181</v>
      </c>
      <c r="F494" s="22">
        <v>2305483.3470000001</v>
      </c>
      <c r="G494" s="22">
        <v>585652.93599999999</v>
      </c>
      <c r="H494" s="11">
        <v>5.27</v>
      </c>
      <c r="I494" s="11">
        <v>4.42</v>
      </c>
      <c r="J494" s="6">
        <f t="shared" si="7"/>
        <v>0.84999999999999964</v>
      </c>
      <c r="K494" s="4" t="s">
        <v>1647</v>
      </c>
      <c r="L494" s="5" t="s">
        <v>183</v>
      </c>
      <c r="M494" s="23" t="s">
        <v>184</v>
      </c>
    </row>
    <row r="495" spans="2:13" ht="16" x14ac:dyDescent="0.3">
      <c r="B495" s="4">
        <v>489</v>
      </c>
      <c r="C495" s="4" t="s">
        <v>1648</v>
      </c>
      <c r="D495" s="4" t="s">
        <v>1649</v>
      </c>
      <c r="E495" s="4" t="s">
        <v>181</v>
      </c>
      <c r="F495" s="22">
        <v>2305461.8020000001</v>
      </c>
      <c r="G495" s="22">
        <v>585667.38300000003</v>
      </c>
      <c r="H495" s="11">
        <v>5.27</v>
      </c>
      <c r="I495" s="11">
        <v>4.33</v>
      </c>
      <c r="J495" s="6">
        <f t="shared" si="7"/>
        <v>0.9399999999999995</v>
      </c>
      <c r="K495" s="4" t="s">
        <v>1650</v>
      </c>
      <c r="L495" s="5" t="s">
        <v>183</v>
      </c>
      <c r="M495" s="23" t="s">
        <v>184</v>
      </c>
    </row>
    <row r="496" spans="2:13" ht="16" x14ac:dyDescent="0.3">
      <c r="B496" s="4">
        <v>490</v>
      </c>
      <c r="C496" s="4" t="s">
        <v>1651</v>
      </c>
      <c r="D496" s="4" t="s">
        <v>1652</v>
      </c>
      <c r="E496" s="4" t="s">
        <v>181</v>
      </c>
      <c r="F496" s="22">
        <v>2305441.0380000002</v>
      </c>
      <c r="G496" s="22">
        <v>585681.30700000003</v>
      </c>
      <c r="H496" s="11">
        <v>5.27</v>
      </c>
      <c r="I496" s="11">
        <v>4.25</v>
      </c>
      <c r="J496" s="6">
        <f t="shared" si="7"/>
        <v>1.0199999999999996</v>
      </c>
      <c r="K496" s="4" t="s">
        <v>1653</v>
      </c>
      <c r="L496" s="5" t="s">
        <v>183</v>
      </c>
      <c r="M496" s="23" t="s">
        <v>184</v>
      </c>
    </row>
    <row r="497" spans="2:13" ht="16" x14ac:dyDescent="0.3">
      <c r="B497" s="4">
        <v>491</v>
      </c>
      <c r="C497" s="4" t="s">
        <v>1654</v>
      </c>
      <c r="D497" s="4" t="s">
        <v>1655</v>
      </c>
      <c r="E497" s="4" t="s">
        <v>181</v>
      </c>
      <c r="F497" s="22">
        <v>2305423.5970000001</v>
      </c>
      <c r="G497" s="22">
        <v>585693.00300000003</v>
      </c>
      <c r="H497" s="11">
        <v>5.27</v>
      </c>
      <c r="I497" s="11">
        <v>4.18</v>
      </c>
      <c r="J497" s="6">
        <f t="shared" si="7"/>
        <v>1.0899999999999999</v>
      </c>
      <c r="K497" s="4" t="s">
        <v>1656</v>
      </c>
      <c r="L497" s="5" t="s">
        <v>183</v>
      </c>
      <c r="M497" s="23" t="s">
        <v>184</v>
      </c>
    </row>
    <row r="498" spans="2:13" ht="16" x14ac:dyDescent="0.3">
      <c r="B498" s="4">
        <v>492</v>
      </c>
      <c r="C498" s="4" t="s">
        <v>1657</v>
      </c>
      <c r="D498" s="4" t="s">
        <v>1658</v>
      </c>
      <c r="E498" s="4" t="s">
        <v>181</v>
      </c>
      <c r="F498" s="22">
        <v>2305466.6379999998</v>
      </c>
      <c r="G498" s="22">
        <v>585628.02</v>
      </c>
      <c r="H498" s="11">
        <v>5.27</v>
      </c>
      <c r="I498" s="11">
        <v>4.42</v>
      </c>
      <c r="J498" s="6">
        <f t="shared" si="7"/>
        <v>0.84999999999999964</v>
      </c>
      <c r="K498" s="4" t="s">
        <v>1659</v>
      </c>
      <c r="L498" s="5" t="s">
        <v>183</v>
      </c>
      <c r="M498" s="23" t="s">
        <v>184</v>
      </c>
    </row>
    <row r="499" spans="2:13" ht="16" x14ac:dyDescent="0.3">
      <c r="B499" s="4">
        <v>493</v>
      </c>
      <c r="C499" s="4" t="s">
        <v>1660</v>
      </c>
      <c r="D499" s="4" t="s">
        <v>1661</v>
      </c>
      <c r="E499" s="4" t="s">
        <v>181</v>
      </c>
      <c r="F499" s="22">
        <v>2305445.094</v>
      </c>
      <c r="G499" s="22">
        <v>585642.46699999995</v>
      </c>
      <c r="H499" s="11">
        <v>5.27</v>
      </c>
      <c r="I499" s="11">
        <v>4.33</v>
      </c>
      <c r="J499" s="6">
        <f t="shared" si="7"/>
        <v>0.9399999999999995</v>
      </c>
      <c r="K499" s="4" t="s">
        <v>1662</v>
      </c>
      <c r="L499" s="5" t="s">
        <v>183</v>
      </c>
      <c r="M499" s="23" t="s">
        <v>184</v>
      </c>
    </row>
    <row r="500" spans="2:13" ht="16" x14ac:dyDescent="0.3">
      <c r="B500" s="4">
        <v>494</v>
      </c>
      <c r="C500" s="4" t="s">
        <v>1663</v>
      </c>
      <c r="D500" s="4" t="s">
        <v>1664</v>
      </c>
      <c r="E500" s="4" t="s">
        <v>181</v>
      </c>
      <c r="F500" s="22">
        <v>2305424.33</v>
      </c>
      <c r="G500" s="22">
        <v>585656.39</v>
      </c>
      <c r="H500" s="11">
        <v>5.27</v>
      </c>
      <c r="I500" s="11">
        <v>4.25</v>
      </c>
      <c r="J500" s="6">
        <f t="shared" si="7"/>
        <v>1.0199999999999996</v>
      </c>
      <c r="K500" s="4" t="s">
        <v>1665</v>
      </c>
      <c r="L500" s="5" t="s">
        <v>183</v>
      </c>
      <c r="M500" s="23" t="s">
        <v>184</v>
      </c>
    </row>
    <row r="501" spans="2:13" ht="16" x14ac:dyDescent="0.3">
      <c r="B501" s="4">
        <v>495</v>
      </c>
      <c r="C501" s="4" t="s">
        <v>1666</v>
      </c>
      <c r="D501" s="4" t="s">
        <v>1667</v>
      </c>
      <c r="E501" s="4" t="s">
        <v>181</v>
      </c>
      <c r="F501" s="22">
        <v>2305402.736</v>
      </c>
      <c r="G501" s="22">
        <v>585670.87100000004</v>
      </c>
      <c r="H501" s="11">
        <v>5.27</v>
      </c>
      <c r="I501" s="11">
        <v>4.17</v>
      </c>
      <c r="J501" s="6">
        <f t="shared" si="7"/>
        <v>1.0999999999999996</v>
      </c>
      <c r="K501" s="4" t="s">
        <v>1668</v>
      </c>
      <c r="L501" s="5" t="s">
        <v>183</v>
      </c>
      <c r="M501" s="23" t="s">
        <v>184</v>
      </c>
    </row>
    <row r="502" spans="2:13" ht="16" x14ac:dyDescent="0.3">
      <c r="B502" s="4">
        <v>496</v>
      </c>
      <c r="C502" s="4" t="s">
        <v>1669</v>
      </c>
      <c r="D502" s="4" t="s">
        <v>1670</v>
      </c>
      <c r="E502" s="4" t="s">
        <v>181</v>
      </c>
      <c r="F502" s="22">
        <v>2305355.6</v>
      </c>
      <c r="G502" s="22">
        <v>585657.93000000005</v>
      </c>
      <c r="H502" s="11">
        <v>5.31</v>
      </c>
      <c r="I502" s="11">
        <v>3.43</v>
      </c>
      <c r="J502" s="6">
        <f t="shared" si="7"/>
        <v>1.8799999999999994</v>
      </c>
      <c r="K502" s="4" t="s">
        <v>1671</v>
      </c>
      <c r="L502" s="5" t="s">
        <v>254</v>
      </c>
      <c r="M502" s="23" t="s">
        <v>184</v>
      </c>
    </row>
    <row r="503" spans="2:13" ht="16" x14ac:dyDescent="0.3">
      <c r="B503" s="4">
        <v>497</v>
      </c>
      <c r="C503" s="4" t="s">
        <v>1672</v>
      </c>
      <c r="D503" s="4" t="s">
        <v>1673</v>
      </c>
      <c r="E503" s="4" t="s">
        <v>181</v>
      </c>
      <c r="F503" s="22">
        <v>2305341.12</v>
      </c>
      <c r="G503" s="22">
        <v>585636.33499999996</v>
      </c>
      <c r="H503" s="11">
        <v>5.31</v>
      </c>
      <c r="I503" s="11">
        <v>3.34</v>
      </c>
      <c r="J503" s="6">
        <f t="shared" si="7"/>
        <v>1.9699999999999998</v>
      </c>
      <c r="K503" s="4" t="s">
        <v>1674</v>
      </c>
      <c r="L503" s="5" t="s">
        <v>254</v>
      </c>
      <c r="M503" s="23" t="s">
        <v>184</v>
      </c>
    </row>
    <row r="504" spans="2:13" ht="16" x14ac:dyDescent="0.3">
      <c r="B504" s="4">
        <v>498</v>
      </c>
      <c r="C504" s="4" t="s">
        <v>1675</v>
      </c>
      <c r="D504" s="4" t="s">
        <v>1676</v>
      </c>
      <c r="E504" s="4" t="s">
        <v>181</v>
      </c>
      <c r="F504" s="22">
        <v>2305327.196</v>
      </c>
      <c r="G504" s="22">
        <v>585615.57200000004</v>
      </c>
      <c r="H504" s="11">
        <v>5.31</v>
      </c>
      <c r="I504" s="11">
        <v>3.26</v>
      </c>
      <c r="J504" s="6">
        <f t="shared" si="7"/>
        <v>2.0499999999999998</v>
      </c>
      <c r="K504" s="4" t="s">
        <v>1677</v>
      </c>
      <c r="L504" s="5" t="s">
        <v>254</v>
      </c>
      <c r="M504" s="23" t="s">
        <v>184</v>
      </c>
    </row>
    <row r="505" spans="2:13" ht="16" x14ac:dyDescent="0.3">
      <c r="B505" s="4">
        <v>499</v>
      </c>
      <c r="C505" s="4" t="s">
        <v>1678</v>
      </c>
      <c r="D505" s="4" t="s">
        <v>1679</v>
      </c>
      <c r="E505" s="4" t="s">
        <v>181</v>
      </c>
      <c r="F505" s="22">
        <v>2305309.452</v>
      </c>
      <c r="G505" s="22">
        <v>585589.11100000003</v>
      </c>
      <c r="H505" s="11">
        <v>5.31</v>
      </c>
      <c r="I505" s="11">
        <v>3.16</v>
      </c>
      <c r="J505" s="6">
        <f t="shared" si="7"/>
        <v>2.1499999999999995</v>
      </c>
      <c r="K505" s="4" t="s">
        <v>1680</v>
      </c>
      <c r="L505" s="5" t="s">
        <v>254</v>
      </c>
      <c r="M505" s="23" t="s">
        <v>184</v>
      </c>
    </row>
    <row r="506" spans="2:13" ht="16" x14ac:dyDescent="0.3">
      <c r="B506" s="4">
        <v>500</v>
      </c>
      <c r="C506" s="4" t="s">
        <v>1681</v>
      </c>
      <c r="D506" s="4" t="s">
        <v>1682</v>
      </c>
      <c r="E506" s="4" t="s">
        <v>181</v>
      </c>
      <c r="F506" s="22">
        <v>2305292.3870000001</v>
      </c>
      <c r="G506" s="22">
        <v>585563.66200000001</v>
      </c>
      <c r="H506" s="11">
        <v>5.31</v>
      </c>
      <c r="I506" s="11">
        <v>3.06</v>
      </c>
      <c r="J506" s="6">
        <f t="shared" si="7"/>
        <v>2.2499999999999996</v>
      </c>
      <c r="K506" s="4" t="s">
        <v>1683</v>
      </c>
      <c r="L506" s="5" t="s">
        <v>254</v>
      </c>
      <c r="M506" s="23" t="s">
        <v>184</v>
      </c>
    </row>
    <row r="507" spans="2:13" ht="16" x14ac:dyDescent="0.3">
      <c r="B507" s="4">
        <v>501</v>
      </c>
      <c r="C507" s="4" t="s">
        <v>1684</v>
      </c>
      <c r="D507" s="4" t="s">
        <v>1685</v>
      </c>
      <c r="E507" s="4" t="s">
        <v>181</v>
      </c>
      <c r="F507" s="22">
        <v>2305277.9070000001</v>
      </c>
      <c r="G507" s="22">
        <v>585542.06799999997</v>
      </c>
      <c r="H507" s="11">
        <v>5.31</v>
      </c>
      <c r="I507" s="11">
        <v>2.97</v>
      </c>
      <c r="J507" s="6">
        <f t="shared" si="7"/>
        <v>2.3399999999999994</v>
      </c>
      <c r="K507" s="4" t="s">
        <v>1686</v>
      </c>
      <c r="L507" s="5" t="s">
        <v>254</v>
      </c>
      <c r="M507" s="23" t="s">
        <v>184</v>
      </c>
    </row>
    <row r="508" spans="2:13" ht="16" x14ac:dyDescent="0.3">
      <c r="B508" s="4">
        <v>502</v>
      </c>
      <c r="C508" s="4" t="s">
        <v>1687</v>
      </c>
      <c r="D508" s="4" t="s">
        <v>1688</v>
      </c>
      <c r="E508" s="4" t="s">
        <v>181</v>
      </c>
      <c r="F508" s="22">
        <v>2305260.6150000002</v>
      </c>
      <c r="G508" s="22">
        <v>585516.45700000005</v>
      </c>
      <c r="H508" s="11">
        <v>5.31</v>
      </c>
      <c r="I508" s="11">
        <v>2.87</v>
      </c>
      <c r="J508" s="6">
        <f t="shared" si="7"/>
        <v>2.4399999999999995</v>
      </c>
      <c r="K508" s="4" t="s">
        <v>1689</v>
      </c>
      <c r="L508" s="5" t="s">
        <v>254</v>
      </c>
      <c r="M508" s="23" t="s">
        <v>184</v>
      </c>
    </row>
    <row r="509" spans="2:13" ht="16" x14ac:dyDescent="0.3">
      <c r="B509" s="4">
        <v>503</v>
      </c>
      <c r="C509" s="4" t="s">
        <v>1690</v>
      </c>
      <c r="D509" s="4" t="s">
        <v>1691</v>
      </c>
      <c r="E509" s="4" t="s">
        <v>181</v>
      </c>
      <c r="F509" s="22">
        <v>2305249.6570000001</v>
      </c>
      <c r="G509" s="22">
        <v>585488.27399999998</v>
      </c>
      <c r="H509" s="11">
        <v>5.27</v>
      </c>
      <c r="I509" s="11">
        <v>2.76</v>
      </c>
      <c r="J509" s="6">
        <f t="shared" si="7"/>
        <v>2.5099999999999998</v>
      </c>
      <c r="K509" s="4" t="s">
        <v>1692</v>
      </c>
      <c r="L509" s="5" t="s">
        <v>300</v>
      </c>
      <c r="M509" s="23" t="s">
        <v>184</v>
      </c>
    </row>
    <row r="510" spans="2:13" ht="16" x14ac:dyDescent="0.3">
      <c r="B510" s="4">
        <v>504</v>
      </c>
      <c r="C510" s="4" t="s">
        <v>1693</v>
      </c>
      <c r="D510" s="4" t="s">
        <v>1694</v>
      </c>
      <c r="E510" s="4" t="s">
        <v>181</v>
      </c>
      <c r="F510" s="22">
        <v>2305232.074</v>
      </c>
      <c r="G510" s="22">
        <v>585473.71900000004</v>
      </c>
      <c r="H510" s="11">
        <v>5.31</v>
      </c>
      <c r="I510" s="11">
        <v>2.69</v>
      </c>
      <c r="J510" s="6">
        <f t="shared" si="7"/>
        <v>2.6199999999999997</v>
      </c>
      <c r="K510" s="4" t="s">
        <v>1695</v>
      </c>
      <c r="L510" s="5" t="s">
        <v>300</v>
      </c>
      <c r="M510" s="23" t="s">
        <v>184</v>
      </c>
    </row>
    <row r="511" spans="2:13" ht="16" x14ac:dyDescent="0.3">
      <c r="B511" s="4">
        <v>505</v>
      </c>
      <c r="C511" s="4" t="s">
        <v>1696</v>
      </c>
      <c r="D511" s="4" t="s">
        <v>1697</v>
      </c>
      <c r="E511" s="4" t="s">
        <v>181</v>
      </c>
      <c r="F511" s="22">
        <v>2305218.1170000001</v>
      </c>
      <c r="G511" s="22">
        <v>585452.90599999996</v>
      </c>
      <c r="H511" s="11">
        <v>5.31</v>
      </c>
      <c r="I511" s="11">
        <v>2.6</v>
      </c>
      <c r="J511" s="6">
        <f t="shared" si="7"/>
        <v>2.7099999999999995</v>
      </c>
      <c r="K511" s="4" t="s">
        <v>1698</v>
      </c>
      <c r="L511" s="5" t="s">
        <v>300</v>
      </c>
      <c r="M511" s="23" t="s">
        <v>184</v>
      </c>
    </row>
    <row r="512" spans="2:13" ht="16" x14ac:dyDescent="0.3">
      <c r="B512" s="4">
        <v>506</v>
      </c>
      <c r="C512" s="4" t="s">
        <v>1699</v>
      </c>
      <c r="D512" s="4" t="s">
        <v>1700</v>
      </c>
      <c r="E512" s="4" t="s">
        <v>181</v>
      </c>
      <c r="F512" s="22">
        <v>2305203.6320000002</v>
      </c>
      <c r="G512" s="22">
        <v>585431.304</v>
      </c>
      <c r="H512" s="11">
        <v>5.31</v>
      </c>
      <c r="I512" s="11">
        <v>2.52</v>
      </c>
      <c r="J512" s="6">
        <f t="shared" si="7"/>
        <v>2.7899999999999996</v>
      </c>
      <c r="K512" s="4" t="s">
        <v>1701</v>
      </c>
      <c r="L512" s="5" t="s">
        <v>300</v>
      </c>
      <c r="M512" s="23" t="s">
        <v>184</v>
      </c>
    </row>
    <row r="513" spans="2:13" ht="16" x14ac:dyDescent="0.3">
      <c r="B513" s="4">
        <v>507</v>
      </c>
      <c r="C513" s="4" t="s">
        <v>1702</v>
      </c>
      <c r="D513" s="4" t="s">
        <v>1703</v>
      </c>
      <c r="E513" s="4" t="s">
        <v>181</v>
      </c>
      <c r="F513" s="22">
        <v>2305189.7280000001</v>
      </c>
      <c r="G513" s="22">
        <v>585410.57299999997</v>
      </c>
      <c r="H513" s="11">
        <v>5.31</v>
      </c>
      <c r="I513" s="11">
        <v>2.44</v>
      </c>
      <c r="J513" s="6">
        <f t="shared" si="7"/>
        <v>2.8699999999999997</v>
      </c>
      <c r="K513" s="4" t="s">
        <v>1704</v>
      </c>
      <c r="L513" s="5" t="s">
        <v>300</v>
      </c>
      <c r="M513" s="23" t="s">
        <v>184</v>
      </c>
    </row>
    <row r="514" spans="2:13" ht="16" x14ac:dyDescent="0.3">
      <c r="B514" s="4">
        <v>508</v>
      </c>
      <c r="C514" s="4" t="s">
        <v>1705</v>
      </c>
      <c r="D514" s="4" t="s">
        <v>1706</v>
      </c>
      <c r="E514" s="4" t="s">
        <v>181</v>
      </c>
      <c r="F514" s="22">
        <v>2305282.8769999999</v>
      </c>
      <c r="G514" s="22">
        <v>585790.97699999996</v>
      </c>
      <c r="H514" s="11">
        <v>5.27</v>
      </c>
      <c r="I514" s="11">
        <v>4.42</v>
      </c>
      <c r="J514" s="6">
        <f t="shared" si="7"/>
        <v>0.84999999999999964</v>
      </c>
      <c r="K514" s="4" t="s">
        <v>1707</v>
      </c>
      <c r="L514" s="5" t="s">
        <v>183</v>
      </c>
      <c r="M514" s="23" t="s">
        <v>184</v>
      </c>
    </row>
    <row r="515" spans="2:13" ht="16" x14ac:dyDescent="0.3">
      <c r="B515" s="4">
        <v>509</v>
      </c>
      <c r="C515" s="4" t="s">
        <v>1708</v>
      </c>
      <c r="D515" s="4" t="s">
        <v>1709</v>
      </c>
      <c r="E515" s="4" t="s">
        <v>181</v>
      </c>
      <c r="F515" s="22">
        <v>2305306.1320000002</v>
      </c>
      <c r="G515" s="22">
        <v>585775.38300000003</v>
      </c>
      <c r="H515" s="11">
        <v>5.27</v>
      </c>
      <c r="I515" s="11">
        <v>4.33</v>
      </c>
      <c r="J515" s="6">
        <f t="shared" si="7"/>
        <v>0.9399999999999995</v>
      </c>
      <c r="K515" s="4" t="s">
        <v>1710</v>
      </c>
      <c r="L515" s="5" t="s">
        <v>183</v>
      </c>
      <c r="M515" s="23" t="s">
        <v>184</v>
      </c>
    </row>
    <row r="516" spans="2:13" ht="16" x14ac:dyDescent="0.3">
      <c r="B516" s="4">
        <v>510</v>
      </c>
      <c r="C516" s="4" t="s">
        <v>1711</v>
      </c>
      <c r="D516" s="4" t="s">
        <v>1712</v>
      </c>
      <c r="E516" s="4" t="s">
        <v>181</v>
      </c>
      <c r="F516" s="22">
        <v>2305325.2349999999</v>
      </c>
      <c r="G516" s="22">
        <v>585762.57299999997</v>
      </c>
      <c r="H516" s="11">
        <v>5.27</v>
      </c>
      <c r="I516" s="11">
        <v>4.25</v>
      </c>
      <c r="J516" s="6">
        <f t="shared" si="7"/>
        <v>1.0199999999999996</v>
      </c>
      <c r="K516" s="4" t="s">
        <v>1713</v>
      </c>
      <c r="L516" s="5" t="s">
        <v>183</v>
      </c>
      <c r="M516" s="23" t="s">
        <v>184</v>
      </c>
    </row>
    <row r="517" spans="2:13" ht="16" x14ac:dyDescent="0.3">
      <c r="B517" s="4">
        <v>511</v>
      </c>
      <c r="C517" s="4" t="s">
        <v>1714</v>
      </c>
      <c r="D517" s="4" t="s">
        <v>1715</v>
      </c>
      <c r="E517" s="4" t="s">
        <v>181</v>
      </c>
      <c r="F517" s="22">
        <v>2305350.9819999998</v>
      </c>
      <c r="G517" s="22">
        <v>585745.30799999996</v>
      </c>
      <c r="H517" s="11">
        <v>5.27</v>
      </c>
      <c r="I517" s="11">
        <v>4.1500000000000004</v>
      </c>
      <c r="J517" s="6">
        <f t="shared" si="7"/>
        <v>1.1199999999999992</v>
      </c>
      <c r="K517" s="4" t="s">
        <v>1716</v>
      </c>
      <c r="L517" s="5" t="s">
        <v>183</v>
      </c>
      <c r="M517" s="23" t="s">
        <v>184</v>
      </c>
    </row>
    <row r="518" spans="2:13" ht="16" x14ac:dyDescent="0.3">
      <c r="B518" s="4">
        <v>512</v>
      </c>
      <c r="C518" s="4" t="s">
        <v>1717</v>
      </c>
      <c r="D518" s="4" t="s">
        <v>1718</v>
      </c>
      <c r="E518" s="4" t="s">
        <v>181</v>
      </c>
      <c r="F518" s="22">
        <v>2305297.9300000002</v>
      </c>
      <c r="G518" s="22">
        <v>585767.63899999997</v>
      </c>
      <c r="H518" s="11">
        <v>5.27</v>
      </c>
      <c r="I518" s="11">
        <v>4.33</v>
      </c>
      <c r="J518" s="6">
        <f t="shared" si="7"/>
        <v>0.9399999999999995</v>
      </c>
      <c r="K518" s="4" t="s">
        <v>1719</v>
      </c>
      <c r="L518" s="5" t="s">
        <v>183</v>
      </c>
      <c r="M518" s="23" t="s">
        <v>184</v>
      </c>
    </row>
    <row r="519" spans="2:13" ht="16" x14ac:dyDescent="0.3">
      <c r="B519" s="4">
        <v>513</v>
      </c>
      <c r="C519" s="4" t="s">
        <v>1720</v>
      </c>
      <c r="D519" s="4" t="s">
        <v>1721</v>
      </c>
      <c r="E519" s="4" t="s">
        <v>181</v>
      </c>
      <c r="F519" s="22">
        <v>2305318.2069999999</v>
      </c>
      <c r="G519" s="22">
        <v>585754.04200000002</v>
      </c>
      <c r="H519" s="11">
        <v>5.27</v>
      </c>
      <c r="I519" s="11">
        <v>4.25</v>
      </c>
      <c r="J519" s="6">
        <f t="shared" ref="J519:J582" si="8">H519-I519</f>
        <v>1.0199999999999996</v>
      </c>
      <c r="K519" s="4" t="s">
        <v>1722</v>
      </c>
      <c r="L519" s="5" t="s">
        <v>183</v>
      </c>
      <c r="M519" s="23" t="s">
        <v>184</v>
      </c>
    </row>
    <row r="520" spans="2:13" ht="16" x14ac:dyDescent="0.3">
      <c r="B520" s="4">
        <v>514</v>
      </c>
      <c r="C520" s="4" t="s">
        <v>1723</v>
      </c>
      <c r="D520" s="4" t="s">
        <v>1724</v>
      </c>
      <c r="E520" s="4" t="s">
        <v>181</v>
      </c>
      <c r="F520" s="22">
        <v>2305305.926</v>
      </c>
      <c r="G520" s="22">
        <v>585735.67500000005</v>
      </c>
      <c r="H520" s="11">
        <v>5.27</v>
      </c>
      <c r="I520" s="11">
        <v>4.17</v>
      </c>
      <c r="J520" s="6">
        <f t="shared" si="8"/>
        <v>1.0999999999999996</v>
      </c>
      <c r="K520" s="4" t="s">
        <v>1725</v>
      </c>
      <c r="L520" s="5" t="s">
        <v>183</v>
      </c>
      <c r="M520" s="23" t="s">
        <v>184</v>
      </c>
    </row>
    <row r="521" spans="2:13" ht="16" x14ac:dyDescent="0.3">
      <c r="B521" s="4">
        <v>515</v>
      </c>
      <c r="C521" s="4" t="s">
        <v>1726</v>
      </c>
      <c r="D521" s="4" t="s">
        <v>1727</v>
      </c>
      <c r="E521" s="4" t="s">
        <v>181</v>
      </c>
      <c r="F521" s="22">
        <v>2305299.8360000001</v>
      </c>
      <c r="G521" s="22">
        <v>585726.59199999995</v>
      </c>
      <c r="H521" s="11">
        <v>5.27</v>
      </c>
      <c r="I521" s="11">
        <v>4.13</v>
      </c>
      <c r="J521" s="6">
        <f t="shared" si="8"/>
        <v>1.1399999999999997</v>
      </c>
      <c r="K521" s="4" t="s">
        <v>1728</v>
      </c>
      <c r="L521" s="5" t="s">
        <v>183</v>
      </c>
      <c r="M521" s="23" t="s">
        <v>184</v>
      </c>
    </row>
    <row r="522" spans="2:13" ht="16" x14ac:dyDescent="0.3">
      <c r="B522" s="4">
        <v>516</v>
      </c>
      <c r="C522" s="4" t="s">
        <v>1729</v>
      </c>
      <c r="D522" s="4" t="s">
        <v>1730</v>
      </c>
      <c r="E522" s="4" t="s">
        <v>181</v>
      </c>
      <c r="F522" s="22">
        <v>2305287.5750000002</v>
      </c>
      <c r="G522" s="22">
        <v>585708.36100000003</v>
      </c>
      <c r="H522" s="11">
        <v>5.27</v>
      </c>
      <c r="I522" s="11">
        <v>4.05</v>
      </c>
      <c r="J522" s="6">
        <f t="shared" si="8"/>
        <v>1.2199999999999998</v>
      </c>
      <c r="K522" s="4" t="s">
        <v>1731</v>
      </c>
      <c r="L522" s="5" t="s">
        <v>183</v>
      </c>
      <c r="M522" s="23" t="s">
        <v>184</v>
      </c>
    </row>
    <row r="523" spans="2:13" ht="16" x14ac:dyDescent="0.3">
      <c r="B523" s="4">
        <v>517</v>
      </c>
      <c r="C523" s="4" t="s">
        <v>1732</v>
      </c>
      <c r="D523" s="4" t="s">
        <v>1733</v>
      </c>
      <c r="E523" s="4" t="s">
        <v>181</v>
      </c>
      <c r="F523" s="22">
        <v>2305281.449</v>
      </c>
      <c r="G523" s="22">
        <v>585699.22499999998</v>
      </c>
      <c r="H523" s="11">
        <v>5.27</v>
      </c>
      <c r="I523" s="11">
        <v>4.01</v>
      </c>
      <c r="J523" s="6">
        <f t="shared" si="8"/>
        <v>1.2599999999999998</v>
      </c>
      <c r="K523" s="4" t="s">
        <v>1734</v>
      </c>
      <c r="L523" s="5" t="s">
        <v>183</v>
      </c>
      <c r="M523" s="23" t="s">
        <v>184</v>
      </c>
    </row>
    <row r="524" spans="2:13" ht="16" x14ac:dyDescent="0.3">
      <c r="B524" s="4">
        <v>518</v>
      </c>
      <c r="C524" s="4" t="s">
        <v>1735</v>
      </c>
      <c r="D524" s="4" t="s">
        <v>1736</v>
      </c>
      <c r="E524" s="4" t="s">
        <v>181</v>
      </c>
      <c r="F524" s="22">
        <v>2305269.196</v>
      </c>
      <c r="G524" s="22">
        <v>585680.95299999998</v>
      </c>
      <c r="H524" s="11">
        <v>5.27</v>
      </c>
      <c r="I524" s="11">
        <v>3.93</v>
      </c>
      <c r="J524" s="6">
        <f t="shared" si="8"/>
        <v>1.3399999999999994</v>
      </c>
      <c r="K524" s="4" t="s">
        <v>1737</v>
      </c>
      <c r="L524" s="5" t="s">
        <v>183</v>
      </c>
      <c r="M524" s="23" t="s">
        <v>184</v>
      </c>
    </row>
    <row r="525" spans="2:13" ht="16" x14ac:dyDescent="0.3">
      <c r="B525" s="4">
        <v>519</v>
      </c>
      <c r="C525" s="4" t="s">
        <v>1738</v>
      </c>
      <c r="D525" s="4" t="s">
        <v>1739</v>
      </c>
      <c r="E525" s="4" t="s">
        <v>181</v>
      </c>
      <c r="F525" s="22">
        <v>2305264.2179999999</v>
      </c>
      <c r="G525" s="22">
        <v>585763.75600000005</v>
      </c>
      <c r="H525" s="11">
        <v>5.27</v>
      </c>
      <c r="I525" s="11">
        <v>4.42</v>
      </c>
      <c r="J525" s="6">
        <f t="shared" si="8"/>
        <v>0.84999999999999964</v>
      </c>
      <c r="K525" s="4" t="s">
        <v>1740</v>
      </c>
      <c r="L525" s="5" t="s">
        <v>183</v>
      </c>
      <c r="M525" s="23" t="s">
        <v>184</v>
      </c>
    </row>
    <row r="526" spans="2:13" ht="16" x14ac:dyDescent="0.3">
      <c r="B526" s="4">
        <v>520</v>
      </c>
      <c r="C526" s="4" t="s">
        <v>1741</v>
      </c>
      <c r="D526" s="4" t="s">
        <v>1742</v>
      </c>
      <c r="E526" s="4" t="s">
        <v>181</v>
      </c>
      <c r="F526" s="22">
        <v>2305285.6770000001</v>
      </c>
      <c r="G526" s="22">
        <v>585749.36699999997</v>
      </c>
      <c r="H526" s="11">
        <v>5.27</v>
      </c>
      <c r="I526" s="11">
        <v>4.33</v>
      </c>
      <c r="J526" s="6">
        <f t="shared" si="8"/>
        <v>0.9399999999999995</v>
      </c>
      <c r="K526" s="4" t="s">
        <v>1743</v>
      </c>
      <c r="L526" s="5" t="s">
        <v>183</v>
      </c>
      <c r="M526" s="23" t="s">
        <v>184</v>
      </c>
    </row>
    <row r="527" spans="2:13" ht="16" x14ac:dyDescent="0.3">
      <c r="B527" s="4">
        <v>521</v>
      </c>
      <c r="C527" s="4" t="s">
        <v>1744</v>
      </c>
      <c r="D527" s="4" t="s">
        <v>1745</v>
      </c>
      <c r="E527" s="4" t="s">
        <v>181</v>
      </c>
      <c r="F527" s="22">
        <v>2305257.9559999998</v>
      </c>
      <c r="G527" s="22">
        <v>585754.71100000001</v>
      </c>
      <c r="H527" s="11">
        <v>5.27</v>
      </c>
      <c r="I527" s="11">
        <v>4.42</v>
      </c>
      <c r="J527" s="6">
        <f t="shared" si="8"/>
        <v>0.84999999999999964</v>
      </c>
      <c r="K527" s="4" t="s">
        <v>1746</v>
      </c>
      <c r="L527" s="5" t="s">
        <v>183</v>
      </c>
      <c r="M527" s="23" t="s">
        <v>184</v>
      </c>
    </row>
    <row r="528" spans="2:13" ht="16" x14ac:dyDescent="0.3">
      <c r="B528" s="4">
        <v>522</v>
      </c>
      <c r="C528" s="4" t="s">
        <v>1747</v>
      </c>
      <c r="D528" s="4" t="s">
        <v>1748</v>
      </c>
      <c r="E528" s="4" t="s">
        <v>181</v>
      </c>
      <c r="F528" s="22">
        <v>2305279.5499999998</v>
      </c>
      <c r="G528" s="22">
        <v>585740.23100000003</v>
      </c>
      <c r="H528" s="11">
        <v>5.27</v>
      </c>
      <c r="I528" s="11">
        <v>4.33</v>
      </c>
      <c r="J528" s="6">
        <f t="shared" si="8"/>
        <v>0.9399999999999995</v>
      </c>
      <c r="K528" s="4" t="s">
        <v>1749</v>
      </c>
      <c r="L528" s="5" t="s">
        <v>183</v>
      </c>
      <c r="M528" s="23" t="s">
        <v>184</v>
      </c>
    </row>
    <row r="529" spans="2:13" ht="16" x14ac:dyDescent="0.3">
      <c r="B529" s="4">
        <v>523</v>
      </c>
      <c r="C529" s="4" t="s">
        <v>1750</v>
      </c>
      <c r="D529" s="4" t="s">
        <v>1751</v>
      </c>
      <c r="E529" s="4" t="s">
        <v>181</v>
      </c>
      <c r="F529" s="22">
        <v>2305245.7030000002</v>
      </c>
      <c r="G529" s="22">
        <v>585736.43900000001</v>
      </c>
      <c r="H529" s="11">
        <v>5.27</v>
      </c>
      <c r="I529" s="11">
        <v>4.42</v>
      </c>
      <c r="J529" s="6">
        <f t="shared" si="8"/>
        <v>0.84999999999999964</v>
      </c>
      <c r="K529" s="4" t="s">
        <v>1752</v>
      </c>
      <c r="L529" s="5" t="s">
        <v>183</v>
      </c>
      <c r="M529" s="23" t="s">
        <v>184</v>
      </c>
    </row>
    <row r="530" spans="2:13" ht="16" x14ac:dyDescent="0.3">
      <c r="B530" s="4">
        <v>524</v>
      </c>
      <c r="C530" s="4" t="s">
        <v>1753</v>
      </c>
      <c r="D530" s="4" t="s">
        <v>1754</v>
      </c>
      <c r="E530" s="4" t="s">
        <v>181</v>
      </c>
      <c r="F530" s="22">
        <v>2305267.298</v>
      </c>
      <c r="G530" s="22">
        <v>585721.95900000003</v>
      </c>
      <c r="H530" s="11">
        <v>5.27</v>
      </c>
      <c r="I530" s="11">
        <v>4.33</v>
      </c>
      <c r="J530" s="6">
        <f t="shared" si="8"/>
        <v>0.9399999999999995</v>
      </c>
      <c r="K530" s="4" t="s">
        <v>1755</v>
      </c>
      <c r="L530" s="5" t="s">
        <v>183</v>
      </c>
      <c r="M530" s="23" t="s">
        <v>184</v>
      </c>
    </row>
    <row r="531" spans="2:13" ht="16" x14ac:dyDescent="0.3">
      <c r="B531" s="4">
        <v>525</v>
      </c>
      <c r="C531" s="4" t="s">
        <v>1756</v>
      </c>
      <c r="D531" s="4" t="s">
        <v>1757</v>
      </c>
      <c r="E531" s="4" t="s">
        <v>181</v>
      </c>
      <c r="F531" s="22">
        <v>2305239.577</v>
      </c>
      <c r="G531" s="22">
        <v>585727.30299999996</v>
      </c>
      <c r="H531" s="11">
        <v>5.27</v>
      </c>
      <c r="I531" s="11">
        <v>4.42</v>
      </c>
      <c r="J531" s="6">
        <f t="shared" si="8"/>
        <v>0.84999999999999964</v>
      </c>
      <c r="K531" s="4" t="s">
        <v>1758</v>
      </c>
      <c r="L531" s="5" t="s">
        <v>183</v>
      </c>
      <c r="M531" s="23" t="s">
        <v>184</v>
      </c>
    </row>
    <row r="532" spans="2:13" ht="16" x14ac:dyDescent="0.3">
      <c r="B532" s="4">
        <v>526</v>
      </c>
      <c r="C532" s="4" t="s">
        <v>1759</v>
      </c>
      <c r="D532" s="4" t="s">
        <v>1760</v>
      </c>
      <c r="E532" s="4" t="s">
        <v>181</v>
      </c>
      <c r="F532" s="22">
        <v>2305261.1710000001</v>
      </c>
      <c r="G532" s="22">
        <v>585712.82200000004</v>
      </c>
      <c r="H532" s="11">
        <v>5.27</v>
      </c>
      <c r="I532" s="11">
        <v>4.33</v>
      </c>
      <c r="J532" s="6">
        <f t="shared" si="8"/>
        <v>0.9399999999999995</v>
      </c>
      <c r="K532" s="4" t="s">
        <v>1761</v>
      </c>
      <c r="L532" s="5" t="s">
        <v>183</v>
      </c>
      <c r="M532" s="23" t="s">
        <v>184</v>
      </c>
    </row>
    <row r="533" spans="2:13" ht="16" x14ac:dyDescent="0.3">
      <c r="B533" s="4">
        <v>527</v>
      </c>
      <c r="C533" s="4" t="s">
        <v>1762</v>
      </c>
      <c r="D533" s="4" t="s">
        <v>1763</v>
      </c>
      <c r="E533" s="4" t="s">
        <v>181</v>
      </c>
      <c r="F533" s="22">
        <v>2305227.324</v>
      </c>
      <c r="G533" s="22">
        <v>585709.03099999996</v>
      </c>
      <c r="H533" s="11">
        <v>5.27</v>
      </c>
      <c r="I533" s="11">
        <v>4.42</v>
      </c>
      <c r="J533" s="6">
        <f t="shared" si="8"/>
        <v>0.84999999999999964</v>
      </c>
      <c r="K533" s="4" t="s">
        <v>1764</v>
      </c>
      <c r="L533" s="5" t="s">
        <v>183</v>
      </c>
      <c r="M533" s="23" t="s">
        <v>184</v>
      </c>
    </row>
    <row r="534" spans="2:13" ht="16" x14ac:dyDescent="0.3">
      <c r="B534" s="4">
        <v>528</v>
      </c>
      <c r="C534" s="4" t="s">
        <v>1765</v>
      </c>
      <c r="D534" s="4" t="s">
        <v>1766</v>
      </c>
      <c r="E534" s="4" t="s">
        <v>181</v>
      </c>
      <c r="F534" s="22">
        <v>2305248.9190000002</v>
      </c>
      <c r="G534" s="22">
        <v>585694.55000000005</v>
      </c>
      <c r="H534" s="11">
        <v>5.27</v>
      </c>
      <c r="I534" s="11">
        <v>4.33</v>
      </c>
      <c r="J534" s="6">
        <f t="shared" si="8"/>
        <v>0.9399999999999995</v>
      </c>
      <c r="K534" s="4" t="s">
        <v>1767</v>
      </c>
      <c r="L534" s="5" t="s">
        <v>183</v>
      </c>
      <c r="M534" s="23" t="s">
        <v>184</v>
      </c>
    </row>
    <row r="535" spans="2:13" ht="16" x14ac:dyDescent="0.3">
      <c r="B535" s="4">
        <v>529</v>
      </c>
      <c r="C535" s="4" t="s">
        <v>1768</v>
      </c>
      <c r="D535" s="4" t="s">
        <v>1769</v>
      </c>
      <c r="E535" s="4" t="s">
        <v>181</v>
      </c>
      <c r="F535" s="22">
        <v>2305242.7919999999</v>
      </c>
      <c r="G535" s="22">
        <v>585685.41399999999</v>
      </c>
      <c r="H535" s="11">
        <v>5.27</v>
      </c>
      <c r="I535" s="11">
        <v>4.34</v>
      </c>
      <c r="J535" s="6">
        <f t="shared" si="8"/>
        <v>0.92999999999999972</v>
      </c>
      <c r="K535" s="4" t="s">
        <v>1770</v>
      </c>
      <c r="L535" s="5" t="s">
        <v>183</v>
      </c>
      <c r="M535" s="23" t="s">
        <v>184</v>
      </c>
    </row>
    <row r="536" spans="2:13" ht="16" x14ac:dyDescent="0.3">
      <c r="B536" s="4">
        <v>530</v>
      </c>
      <c r="C536" s="4" t="s">
        <v>1771</v>
      </c>
      <c r="D536" s="4" t="s">
        <v>1772</v>
      </c>
      <c r="E536" s="4" t="s">
        <v>181</v>
      </c>
      <c r="F536" s="22">
        <v>2305263.9350000001</v>
      </c>
      <c r="G536" s="22">
        <v>585671.23499999999</v>
      </c>
      <c r="H536" s="11">
        <v>5.27</v>
      </c>
      <c r="I536" s="11">
        <v>3.89</v>
      </c>
      <c r="J536" s="6">
        <f t="shared" si="8"/>
        <v>1.3799999999999994</v>
      </c>
      <c r="K536" s="4" t="s">
        <v>1773</v>
      </c>
      <c r="L536" s="5" t="s">
        <v>183</v>
      </c>
      <c r="M536" s="23" t="s">
        <v>184</v>
      </c>
    </row>
    <row r="537" spans="2:13" ht="16" x14ac:dyDescent="0.3">
      <c r="B537" s="4">
        <v>531</v>
      </c>
      <c r="C537" s="4" t="s">
        <v>1774</v>
      </c>
      <c r="D537" s="4" t="s">
        <v>1775</v>
      </c>
      <c r="E537" s="4" t="s">
        <v>181</v>
      </c>
      <c r="F537" s="22">
        <v>2305289.7179999999</v>
      </c>
      <c r="G537" s="22">
        <v>585653.946</v>
      </c>
      <c r="H537" s="11">
        <v>5.27</v>
      </c>
      <c r="I537" s="11">
        <v>3.8</v>
      </c>
      <c r="J537" s="6">
        <f t="shared" si="8"/>
        <v>1.4699999999999998</v>
      </c>
      <c r="K537" s="4" t="s">
        <v>1776</v>
      </c>
      <c r="L537" s="5" t="s">
        <v>183</v>
      </c>
      <c r="M537" s="23" t="s">
        <v>184</v>
      </c>
    </row>
    <row r="538" spans="2:13" ht="16" x14ac:dyDescent="0.3">
      <c r="B538" s="4">
        <v>532</v>
      </c>
      <c r="C538" s="4" t="s">
        <v>1777</v>
      </c>
      <c r="D538" s="4" t="s">
        <v>1778</v>
      </c>
      <c r="E538" s="4" t="s">
        <v>181</v>
      </c>
      <c r="F538" s="22">
        <v>2305230.9509999999</v>
      </c>
      <c r="G538" s="22">
        <v>585666.88399999996</v>
      </c>
      <c r="H538" s="11">
        <v>5.31</v>
      </c>
      <c r="I538" s="11">
        <v>4.37</v>
      </c>
      <c r="J538" s="6">
        <f t="shared" si="8"/>
        <v>0.9399999999999995</v>
      </c>
      <c r="K538" s="4" t="s">
        <v>1779</v>
      </c>
      <c r="L538" s="5" t="s">
        <v>183</v>
      </c>
      <c r="M538" s="23" t="s">
        <v>184</v>
      </c>
    </row>
    <row r="539" spans="2:13" ht="16" x14ac:dyDescent="0.3">
      <c r="B539" s="4">
        <v>533</v>
      </c>
      <c r="C539" s="4" t="s">
        <v>1780</v>
      </c>
      <c r="D539" s="4" t="s">
        <v>1781</v>
      </c>
      <c r="E539" s="4" t="s">
        <v>181</v>
      </c>
      <c r="F539" s="22">
        <v>2305251.679</v>
      </c>
      <c r="G539" s="22">
        <v>585652.98400000005</v>
      </c>
      <c r="H539" s="11">
        <v>5.31</v>
      </c>
      <c r="I539" s="11">
        <v>4.29</v>
      </c>
      <c r="J539" s="6">
        <f t="shared" si="8"/>
        <v>1.0199999999999996</v>
      </c>
      <c r="K539" s="4" t="s">
        <v>1782</v>
      </c>
      <c r="L539" s="5" t="s">
        <v>183</v>
      </c>
      <c r="M539" s="23" t="s">
        <v>184</v>
      </c>
    </row>
    <row r="540" spans="2:13" ht="16" x14ac:dyDescent="0.3">
      <c r="B540" s="4">
        <v>534</v>
      </c>
      <c r="C540" s="4" t="s">
        <v>1783</v>
      </c>
      <c r="D540" s="4" t="s">
        <v>1784</v>
      </c>
      <c r="E540" s="4" t="s">
        <v>181</v>
      </c>
      <c r="F540" s="22">
        <v>2305277.4619999998</v>
      </c>
      <c r="G540" s="22">
        <v>585635.69499999995</v>
      </c>
      <c r="H540" s="11">
        <v>5.31</v>
      </c>
      <c r="I540" s="11">
        <v>4.1900000000000004</v>
      </c>
      <c r="J540" s="6">
        <f t="shared" si="8"/>
        <v>1.1199999999999992</v>
      </c>
      <c r="K540" s="4" t="s">
        <v>1785</v>
      </c>
      <c r="L540" s="5" t="s">
        <v>183</v>
      </c>
      <c r="M540" s="23" t="s">
        <v>184</v>
      </c>
    </row>
    <row r="541" spans="2:13" ht="16" x14ac:dyDescent="0.3">
      <c r="B541" s="4">
        <v>535</v>
      </c>
      <c r="C541" s="4" t="s">
        <v>1786</v>
      </c>
      <c r="D541" s="4" t="s">
        <v>1787</v>
      </c>
      <c r="E541" s="4" t="s">
        <v>181</v>
      </c>
      <c r="F541" s="22">
        <v>2305223.1150000002</v>
      </c>
      <c r="G541" s="22">
        <v>585651.63500000001</v>
      </c>
      <c r="H541" s="11">
        <v>5.31</v>
      </c>
      <c r="I541" s="11">
        <v>4.37</v>
      </c>
      <c r="J541" s="6">
        <f t="shared" si="8"/>
        <v>0.9399999999999995</v>
      </c>
      <c r="K541" s="4" t="s">
        <v>1788</v>
      </c>
      <c r="L541" s="5" t="s">
        <v>183</v>
      </c>
      <c r="M541" s="23" t="s">
        <v>184</v>
      </c>
    </row>
    <row r="542" spans="2:13" ht="16" x14ac:dyDescent="0.3">
      <c r="B542" s="4">
        <v>536</v>
      </c>
      <c r="C542" s="4" t="s">
        <v>1789</v>
      </c>
      <c r="D542" s="4" t="s">
        <v>1790</v>
      </c>
      <c r="E542" s="4" t="s">
        <v>181</v>
      </c>
      <c r="F542" s="22">
        <v>2305242.1830000002</v>
      </c>
      <c r="G542" s="22">
        <v>585638.84900000005</v>
      </c>
      <c r="H542" s="11">
        <v>5.31</v>
      </c>
      <c r="I542" s="11">
        <v>4.29</v>
      </c>
      <c r="J542" s="6">
        <f t="shared" si="8"/>
        <v>1.0199999999999996</v>
      </c>
      <c r="K542" s="4" t="s">
        <v>1791</v>
      </c>
      <c r="L542" s="5" t="s">
        <v>183</v>
      </c>
      <c r="M542" s="23" t="s">
        <v>184</v>
      </c>
    </row>
    <row r="543" spans="2:13" ht="16" x14ac:dyDescent="0.3">
      <c r="B543" s="4">
        <v>537</v>
      </c>
      <c r="C543" s="4" t="s">
        <v>1792</v>
      </c>
      <c r="D543" s="4" t="s">
        <v>1793</v>
      </c>
      <c r="E543" s="4" t="s">
        <v>181</v>
      </c>
      <c r="F543" s="22">
        <v>2305267.9649999999</v>
      </c>
      <c r="G543" s="22">
        <v>585621.56000000006</v>
      </c>
      <c r="H543" s="11">
        <v>5.31</v>
      </c>
      <c r="I543" s="11">
        <v>4.1900000000000004</v>
      </c>
      <c r="J543" s="6">
        <f t="shared" si="8"/>
        <v>1.1199999999999992</v>
      </c>
      <c r="K543" s="4" t="s">
        <v>1794</v>
      </c>
      <c r="L543" s="5" t="s">
        <v>183</v>
      </c>
      <c r="M543" s="23" t="s">
        <v>184</v>
      </c>
    </row>
    <row r="544" spans="2:13" ht="16" x14ac:dyDescent="0.3">
      <c r="B544" s="4">
        <v>538</v>
      </c>
      <c r="C544" s="4" t="s">
        <v>1795</v>
      </c>
      <c r="D544" s="4" t="s">
        <v>1796</v>
      </c>
      <c r="E544" s="4" t="s">
        <v>181</v>
      </c>
      <c r="F544" s="22">
        <v>2305210.895</v>
      </c>
      <c r="G544" s="22">
        <v>585633.35800000001</v>
      </c>
      <c r="H544" s="11">
        <v>5.27</v>
      </c>
      <c r="I544" s="11">
        <v>4.33</v>
      </c>
      <c r="J544" s="6">
        <f t="shared" si="8"/>
        <v>0.9399999999999995</v>
      </c>
      <c r="K544" s="4" t="s">
        <v>1797</v>
      </c>
      <c r="L544" s="5" t="s">
        <v>183</v>
      </c>
      <c r="M544" s="23" t="s">
        <v>184</v>
      </c>
    </row>
    <row r="545" spans="2:13" ht="16" x14ac:dyDescent="0.3">
      <c r="B545" s="4">
        <v>539</v>
      </c>
      <c r="C545" s="4" t="s">
        <v>1798</v>
      </c>
      <c r="D545" s="4" t="s">
        <v>1799</v>
      </c>
      <c r="E545" s="4" t="s">
        <v>181</v>
      </c>
      <c r="F545" s="22">
        <v>2305229.963</v>
      </c>
      <c r="G545" s="22">
        <v>585620.57200000004</v>
      </c>
      <c r="H545" s="11">
        <v>5.27</v>
      </c>
      <c r="I545" s="11">
        <v>4.25</v>
      </c>
      <c r="J545" s="6">
        <f t="shared" si="8"/>
        <v>1.0199999999999996</v>
      </c>
      <c r="K545" s="4" t="s">
        <v>1800</v>
      </c>
      <c r="L545" s="5" t="s">
        <v>183</v>
      </c>
      <c r="M545" s="23" t="s">
        <v>184</v>
      </c>
    </row>
    <row r="546" spans="2:13" ht="16" x14ac:dyDescent="0.3">
      <c r="B546" s="4">
        <v>540</v>
      </c>
      <c r="C546" s="4" t="s">
        <v>1801</v>
      </c>
      <c r="D546" s="4" t="s">
        <v>1802</v>
      </c>
      <c r="E546" s="4" t="s">
        <v>181</v>
      </c>
      <c r="F546" s="22">
        <v>2305255.7450000001</v>
      </c>
      <c r="G546" s="22">
        <v>585603.28399999999</v>
      </c>
      <c r="H546" s="11">
        <v>5.27</v>
      </c>
      <c r="I546" s="11">
        <v>4.1500000000000004</v>
      </c>
      <c r="J546" s="6">
        <f t="shared" si="8"/>
        <v>1.1199999999999992</v>
      </c>
      <c r="K546" s="4" t="s">
        <v>1803</v>
      </c>
      <c r="L546" s="5" t="s">
        <v>183</v>
      </c>
      <c r="M546" s="23" t="s">
        <v>184</v>
      </c>
    </row>
    <row r="547" spans="2:13" ht="16" x14ac:dyDescent="0.3">
      <c r="B547" s="4">
        <v>541</v>
      </c>
      <c r="C547" s="4" t="s">
        <v>1804</v>
      </c>
      <c r="D547" s="4" t="s">
        <v>1805</v>
      </c>
      <c r="E547" s="4" t="s">
        <v>181</v>
      </c>
      <c r="F547" s="22">
        <v>2305192.5159999998</v>
      </c>
      <c r="G547" s="22">
        <v>585605.94999999995</v>
      </c>
      <c r="H547" s="11">
        <v>5.27</v>
      </c>
      <c r="I547" s="11">
        <v>4.33</v>
      </c>
      <c r="J547" s="6">
        <f t="shared" si="8"/>
        <v>0.9399999999999995</v>
      </c>
      <c r="K547" s="4" t="s">
        <v>1806</v>
      </c>
      <c r="L547" s="5" t="s">
        <v>183</v>
      </c>
      <c r="M547" s="23" t="s">
        <v>184</v>
      </c>
    </row>
    <row r="548" spans="2:13" ht="16" x14ac:dyDescent="0.3">
      <c r="B548" s="4">
        <v>542</v>
      </c>
      <c r="C548" s="4" t="s">
        <v>1807</v>
      </c>
      <c r="D548" s="4" t="s">
        <v>1808</v>
      </c>
      <c r="E548" s="4" t="s">
        <v>181</v>
      </c>
      <c r="F548" s="22">
        <v>2305211.5839999998</v>
      </c>
      <c r="G548" s="22">
        <v>585593.16399999999</v>
      </c>
      <c r="H548" s="11">
        <v>5.27</v>
      </c>
      <c r="I548" s="11">
        <v>4.25</v>
      </c>
      <c r="J548" s="6">
        <f t="shared" si="8"/>
        <v>1.0199999999999996</v>
      </c>
      <c r="K548" s="4" t="s">
        <v>1809</v>
      </c>
      <c r="L548" s="5" t="s">
        <v>183</v>
      </c>
      <c r="M548" s="23" t="s">
        <v>184</v>
      </c>
    </row>
    <row r="549" spans="2:13" ht="16" x14ac:dyDescent="0.3">
      <c r="B549" s="4">
        <v>543</v>
      </c>
      <c r="C549" s="4" t="s">
        <v>1810</v>
      </c>
      <c r="D549" s="4" t="s">
        <v>1811</v>
      </c>
      <c r="E549" s="4" t="s">
        <v>181</v>
      </c>
      <c r="F549" s="22">
        <v>2305237.3659999999</v>
      </c>
      <c r="G549" s="22">
        <v>585575.875</v>
      </c>
      <c r="H549" s="11">
        <v>5.27</v>
      </c>
      <c r="I549" s="11">
        <v>4.1500000000000004</v>
      </c>
      <c r="J549" s="6">
        <f t="shared" si="8"/>
        <v>1.1199999999999992</v>
      </c>
      <c r="K549" s="4" t="s">
        <v>1812</v>
      </c>
      <c r="L549" s="5" t="s">
        <v>183</v>
      </c>
      <c r="M549" s="23" t="s">
        <v>184</v>
      </c>
    </row>
    <row r="550" spans="2:13" ht="16" x14ac:dyDescent="0.3">
      <c r="B550" s="4">
        <v>544</v>
      </c>
      <c r="C550" s="4" t="s">
        <v>1813</v>
      </c>
      <c r="D550" s="4" t="s">
        <v>1706</v>
      </c>
      <c r="E550" s="4" t="s">
        <v>181</v>
      </c>
      <c r="F550" s="22">
        <v>2305181.5129999998</v>
      </c>
      <c r="G550" s="22">
        <v>585639.81700000004</v>
      </c>
      <c r="H550" s="11">
        <v>5.27</v>
      </c>
      <c r="I550" s="11">
        <v>4.42</v>
      </c>
      <c r="J550" s="6">
        <f t="shared" si="8"/>
        <v>0.84999999999999964</v>
      </c>
      <c r="K550" s="4" t="s">
        <v>1814</v>
      </c>
      <c r="L550" s="5" t="s">
        <v>183</v>
      </c>
      <c r="M550" s="23" t="s">
        <v>184</v>
      </c>
    </row>
    <row r="551" spans="2:13" ht="16" x14ac:dyDescent="0.3">
      <c r="B551" s="4">
        <v>545</v>
      </c>
      <c r="C551" s="4" t="s">
        <v>1815</v>
      </c>
      <c r="D551" s="4" t="s">
        <v>1709</v>
      </c>
      <c r="E551" s="4" t="s">
        <v>181</v>
      </c>
      <c r="F551" s="22">
        <v>2305204.7689999999</v>
      </c>
      <c r="G551" s="22">
        <v>585624.22199999995</v>
      </c>
      <c r="H551" s="11">
        <v>5.27</v>
      </c>
      <c r="I551" s="11">
        <v>4.33</v>
      </c>
      <c r="J551" s="6">
        <f t="shared" si="8"/>
        <v>0.9399999999999995</v>
      </c>
      <c r="K551" s="4" t="s">
        <v>1816</v>
      </c>
      <c r="L551" s="5" t="s">
        <v>183</v>
      </c>
      <c r="M551" s="23" t="s">
        <v>184</v>
      </c>
    </row>
    <row r="552" spans="2:13" ht="16" x14ac:dyDescent="0.3">
      <c r="B552" s="4">
        <v>546</v>
      </c>
      <c r="C552" s="4" t="s">
        <v>1817</v>
      </c>
      <c r="D552" s="4" t="s">
        <v>1712</v>
      </c>
      <c r="E552" s="4" t="s">
        <v>181</v>
      </c>
      <c r="F552" s="22">
        <v>2305223.8360000001</v>
      </c>
      <c r="G552" s="22">
        <v>585611.43599999999</v>
      </c>
      <c r="H552" s="11">
        <v>5.27</v>
      </c>
      <c r="I552" s="11">
        <v>4.25</v>
      </c>
      <c r="J552" s="6">
        <f t="shared" si="8"/>
        <v>1.0199999999999996</v>
      </c>
      <c r="K552" s="4" t="s">
        <v>1818</v>
      </c>
      <c r="L552" s="5" t="s">
        <v>183</v>
      </c>
      <c r="M552" s="23" t="s">
        <v>184</v>
      </c>
    </row>
    <row r="553" spans="2:13" ht="16" x14ac:dyDescent="0.3">
      <c r="B553" s="4">
        <v>547</v>
      </c>
      <c r="C553" s="4" t="s">
        <v>1819</v>
      </c>
      <c r="D553" s="4" t="s">
        <v>1715</v>
      </c>
      <c r="E553" s="4" t="s">
        <v>181</v>
      </c>
      <c r="F553" s="22">
        <v>2305249.6189999999</v>
      </c>
      <c r="G553" s="22">
        <v>585594.147</v>
      </c>
      <c r="H553" s="11">
        <v>5.27</v>
      </c>
      <c r="I553" s="11">
        <v>4.1500000000000004</v>
      </c>
      <c r="J553" s="6">
        <f t="shared" si="8"/>
        <v>1.1199999999999992</v>
      </c>
      <c r="K553" s="4" t="s">
        <v>1820</v>
      </c>
      <c r="L553" s="5" t="s">
        <v>183</v>
      </c>
      <c r="M553" s="23" t="s">
        <v>184</v>
      </c>
    </row>
    <row r="554" spans="2:13" ht="16" x14ac:dyDescent="0.3">
      <c r="B554" s="4">
        <v>548</v>
      </c>
      <c r="C554" s="4" t="s">
        <v>1821</v>
      </c>
      <c r="D554" s="4" t="s">
        <v>1822</v>
      </c>
      <c r="E554" s="4" t="s">
        <v>181</v>
      </c>
      <c r="F554" s="22">
        <v>2305261.2439999999</v>
      </c>
      <c r="G554" s="22">
        <v>585559.86300000001</v>
      </c>
      <c r="H554" s="11">
        <v>5.27</v>
      </c>
      <c r="I554" s="11">
        <v>3.32</v>
      </c>
      <c r="J554" s="6">
        <f t="shared" si="8"/>
        <v>1.9499999999999997</v>
      </c>
      <c r="K554" s="4" t="s">
        <v>1823</v>
      </c>
      <c r="L554" s="5" t="s">
        <v>254</v>
      </c>
      <c r="M554" s="23" t="s">
        <v>184</v>
      </c>
    </row>
    <row r="555" spans="2:13" ht="16" x14ac:dyDescent="0.3">
      <c r="B555" s="4">
        <v>549</v>
      </c>
      <c r="C555" s="4" t="s">
        <v>1824</v>
      </c>
      <c r="D555" s="4" t="s">
        <v>1825</v>
      </c>
      <c r="E555" s="4" t="s">
        <v>181</v>
      </c>
      <c r="F555" s="22">
        <v>2305252.477</v>
      </c>
      <c r="G555" s="22">
        <v>585534.66899999999</v>
      </c>
      <c r="H555" s="11">
        <v>5.31</v>
      </c>
      <c r="I555" s="11">
        <v>3.23</v>
      </c>
      <c r="J555" s="6">
        <f t="shared" si="8"/>
        <v>2.0799999999999996</v>
      </c>
      <c r="K555" s="4" t="s">
        <v>1826</v>
      </c>
      <c r="L555" s="5" t="s">
        <v>254</v>
      </c>
      <c r="M555" s="23" t="s">
        <v>184</v>
      </c>
    </row>
    <row r="556" spans="2:13" ht="16" x14ac:dyDescent="0.3">
      <c r="B556" s="4">
        <v>550</v>
      </c>
      <c r="C556" s="4" t="s">
        <v>1827</v>
      </c>
      <c r="D556" s="4" t="s">
        <v>1828</v>
      </c>
      <c r="E556" s="4" t="s">
        <v>181</v>
      </c>
      <c r="F556" s="22">
        <v>2305237.44</v>
      </c>
      <c r="G556" s="22">
        <v>585512.24399999995</v>
      </c>
      <c r="H556" s="11">
        <v>5.31</v>
      </c>
      <c r="I556" s="11">
        <v>3.14</v>
      </c>
      <c r="J556" s="6">
        <f t="shared" si="8"/>
        <v>2.1699999999999995</v>
      </c>
      <c r="K556" s="4" t="s">
        <v>1829</v>
      </c>
      <c r="L556" s="5" t="s">
        <v>254</v>
      </c>
      <c r="M556" s="23" t="s">
        <v>184</v>
      </c>
    </row>
    <row r="557" spans="2:13" ht="16" x14ac:dyDescent="0.3">
      <c r="B557" s="4">
        <v>551</v>
      </c>
      <c r="C557" s="4" t="s">
        <v>1830</v>
      </c>
      <c r="D557" s="4" t="s">
        <v>1831</v>
      </c>
      <c r="E557" s="4" t="s">
        <v>181</v>
      </c>
      <c r="F557" s="22">
        <v>2305222.4019999998</v>
      </c>
      <c r="G557" s="22">
        <v>585489.81900000002</v>
      </c>
      <c r="H557" s="11">
        <v>5.31</v>
      </c>
      <c r="I557" s="11">
        <v>3.06</v>
      </c>
      <c r="J557" s="6">
        <f t="shared" si="8"/>
        <v>2.2499999999999996</v>
      </c>
      <c r="K557" s="4" t="s">
        <v>1832</v>
      </c>
      <c r="L557" s="5" t="s">
        <v>254</v>
      </c>
      <c r="M557" s="23" t="s">
        <v>184</v>
      </c>
    </row>
    <row r="558" spans="2:13" ht="16" x14ac:dyDescent="0.3">
      <c r="B558" s="4">
        <v>552</v>
      </c>
      <c r="C558" s="4" t="s">
        <v>1833</v>
      </c>
      <c r="D558" s="4" t="s">
        <v>1834</v>
      </c>
      <c r="E558" s="4" t="s">
        <v>181</v>
      </c>
      <c r="F558" s="22">
        <v>2305493.9040000001</v>
      </c>
      <c r="G558" s="22">
        <v>585418.88500000001</v>
      </c>
      <c r="H558" s="11">
        <v>5.31</v>
      </c>
      <c r="I558" s="11">
        <v>4.37</v>
      </c>
      <c r="J558" s="6">
        <f t="shared" si="8"/>
        <v>0.9399999999999995</v>
      </c>
      <c r="K558" s="4" t="s">
        <v>1835</v>
      </c>
      <c r="L558" s="5" t="s">
        <v>183</v>
      </c>
      <c r="M558" s="23" t="s">
        <v>184</v>
      </c>
    </row>
    <row r="559" spans="2:13" ht="16" x14ac:dyDescent="0.3">
      <c r="B559" s="4">
        <v>553</v>
      </c>
      <c r="C559" s="4" t="s">
        <v>1836</v>
      </c>
      <c r="D559" s="4" t="s">
        <v>1837</v>
      </c>
      <c r="E559" s="4" t="s">
        <v>181</v>
      </c>
      <c r="F559" s="22">
        <v>2305479.9789999998</v>
      </c>
      <c r="G559" s="22">
        <v>585398.12</v>
      </c>
      <c r="H559" s="11">
        <v>5.31</v>
      </c>
      <c r="I559" s="11">
        <v>4.29</v>
      </c>
      <c r="J559" s="6">
        <f t="shared" si="8"/>
        <v>1.0199999999999996</v>
      </c>
      <c r="K559" s="4" t="s">
        <v>1838</v>
      </c>
      <c r="L559" s="5" t="s">
        <v>183</v>
      </c>
      <c r="M559" s="23" t="s">
        <v>184</v>
      </c>
    </row>
    <row r="560" spans="2:13" ht="16" x14ac:dyDescent="0.3">
      <c r="B560" s="4">
        <v>554</v>
      </c>
      <c r="C560" s="4" t="s">
        <v>1839</v>
      </c>
      <c r="D560" s="4" t="s">
        <v>1840</v>
      </c>
      <c r="E560" s="4" t="s">
        <v>181</v>
      </c>
      <c r="F560" s="22">
        <v>2305466.6140000001</v>
      </c>
      <c r="G560" s="22">
        <v>585378.18799999997</v>
      </c>
      <c r="H560" s="11">
        <v>5.31</v>
      </c>
      <c r="I560" s="11">
        <v>4.21</v>
      </c>
      <c r="J560" s="6">
        <f t="shared" si="8"/>
        <v>1.0999999999999996</v>
      </c>
      <c r="K560" s="4" t="s">
        <v>1841</v>
      </c>
      <c r="L560" s="5" t="s">
        <v>183</v>
      </c>
      <c r="M560" s="23" t="s">
        <v>184</v>
      </c>
    </row>
    <row r="561" spans="2:13" ht="16" x14ac:dyDescent="0.3">
      <c r="B561" s="4">
        <v>555</v>
      </c>
      <c r="C561" s="4" t="s">
        <v>1842</v>
      </c>
      <c r="D561" s="4" t="s">
        <v>1843</v>
      </c>
      <c r="E561" s="4" t="s">
        <v>181</v>
      </c>
      <c r="F561" s="22">
        <v>2305475.6349999998</v>
      </c>
      <c r="G561" s="22">
        <v>585431.14300000004</v>
      </c>
      <c r="H561" s="11">
        <v>5.27</v>
      </c>
      <c r="I561" s="11">
        <v>4.33</v>
      </c>
      <c r="J561" s="6">
        <f t="shared" si="8"/>
        <v>0.9399999999999995</v>
      </c>
      <c r="K561" s="4" t="s">
        <v>1844</v>
      </c>
      <c r="L561" s="5" t="s">
        <v>183</v>
      </c>
      <c r="M561" s="23" t="s">
        <v>184</v>
      </c>
    </row>
    <row r="562" spans="2:13" ht="16" x14ac:dyDescent="0.3">
      <c r="B562" s="4">
        <v>556</v>
      </c>
      <c r="C562" s="4" t="s">
        <v>1845</v>
      </c>
      <c r="D562" s="4" t="s">
        <v>1846</v>
      </c>
      <c r="E562" s="4" t="s">
        <v>181</v>
      </c>
      <c r="F562" s="22">
        <v>2305461.71</v>
      </c>
      <c r="G562" s="22">
        <v>585410.39599999995</v>
      </c>
      <c r="H562" s="11">
        <v>5.27</v>
      </c>
      <c r="I562" s="11">
        <v>4.25</v>
      </c>
      <c r="J562" s="6">
        <f t="shared" si="8"/>
        <v>1.0199999999999996</v>
      </c>
      <c r="K562" s="4" t="s">
        <v>1847</v>
      </c>
      <c r="L562" s="5" t="s">
        <v>183</v>
      </c>
      <c r="M562" s="23" t="s">
        <v>184</v>
      </c>
    </row>
    <row r="563" spans="2:13" ht="16" x14ac:dyDescent="0.3">
      <c r="B563" s="4">
        <v>557</v>
      </c>
      <c r="C563" s="4" t="s">
        <v>1848</v>
      </c>
      <c r="D563" s="4" t="s">
        <v>1849</v>
      </c>
      <c r="E563" s="4" t="s">
        <v>181</v>
      </c>
      <c r="F563" s="22">
        <v>2305448.358</v>
      </c>
      <c r="G563" s="22">
        <v>585390.46799999999</v>
      </c>
      <c r="H563" s="11">
        <v>5.27</v>
      </c>
      <c r="I563" s="11">
        <v>4.17</v>
      </c>
      <c r="J563" s="6">
        <f t="shared" si="8"/>
        <v>1.0999999999999996</v>
      </c>
      <c r="K563" s="4" t="s">
        <v>1850</v>
      </c>
      <c r="L563" s="5" t="s">
        <v>183</v>
      </c>
      <c r="M563" s="23" t="s">
        <v>184</v>
      </c>
    </row>
    <row r="564" spans="2:13" ht="16" x14ac:dyDescent="0.3">
      <c r="B564" s="4">
        <v>558</v>
      </c>
      <c r="C564" s="4" t="s">
        <v>1851</v>
      </c>
      <c r="D564" s="4" t="s">
        <v>1852</v>
      </c>
      <c r="E564" s="4" t="s">
        <v>181</v>
      </c>
      <c r="F564" s="22">
        <v>2305461.6549999998</v>
      </c>
      <c r="G564" s="22">
        <v>585430.05200000003</v>
      </c>
      <c r="H564" s="11">
        <v>5.27</v>
      </c>
      <c r="I564" s="11">
        <v>4.33</v>
      </c>
      <c r="J564" s="6">
        <f t="shared" si="8"/>
        <v>0.9399999999999995</v>
      </c>
      <c r="K564" s="4" t="s">
        <v>1853</v>
      </c>
      <c r="L564" s="5" t="s">
        <v>183</v>
      </c>
      <c r="M564" s="23" t="s">
        <v>184</v>
      </c>
    </row>
    <row r="565" spans="2:13" ht="16" x14ac:dyDescent="0.3">
      <c r="B565" s="4">
        <v>559</v>
      </c>
      <c r="C565" s="4" t="s">
        <v>1854</v>
      </c>
      <c r="D565" s="4" t="s">
        <v>1855</v>
      </c>
      <c r="E565" s="4" t="s">
        <v>181</v>
      </c>
      <c r="F565" s="22">
        <v>2305446.4589999998</v>
      </c>
      <c r="G565" s="22">
        <v>585407.37399999995</v>
      </c>
      <c r="H565" s="11">
        <v>5.27</v>
      </c>
      <c r="I565" s="11">
        <v>4.24</v>
      </c>
      <c r="J565" s="6">
        <f t="shared" si="8"/>
        <v>1.0299999999999994</v>
      </c>
      <c r="K565" s="4" t="s">
        <v>1856</v>
      </c>
      <c r="L565" s="5" t="s">
        <v>183</v>
      </c>
      <c r="M565" s="23" t="s">
        <v>184</v>
      </c>
    </row>
    <row r="566" spans="2:13" ht="16" x14ac:dyDescent="0.3">
      <c r="B566" s="4">
        <v>560</v>
      </c>
      <c r="C566" s="4" t="s">
        <v>1857</v>
      </c>
      <c r="D566" s="4" t="s">
        <v>1858</v>
      </c>
      <c r="E566" s="4" t="s">
        <v>181</v>
      </c>
      <c r="F566" s="22">
        <v>2305436.42</v>
      </c>
      <c r="G566" s="22">
        <v>585392.42099999997</v>
      </c>
      <c r="H566" s="11">
        <v>5.27</v>
      </c>
      <c r="I566" s="11">
        <v>4.18</v>
      </c>
      <c r="J566" s="6">
        <f t="shared" si="8"/>
        <v>1.0899999999999999</v>
      </c>
      <c r="K566" s="4" t="s">
        <v>1859</v>
      </c>
      <c r="L566" s="5" t="s">
        <v>183</v>
      </c>
      <c r="M566" s="23" t="s">
        <v>184</v>
      </c>
    </row>
    <row r="567" spans="2:13" ht="16" x14ac:dyDescent="0.3">
      <c r="B567" s="4">
        <v>561</v>
      </c>
      <c r="C567" s="4" t="s">
        <v>1860</v>
      </c>
      <c r="D567" s="4" t="s">
        <v>1861</v>
      </c>
      <c r="E567" s="4" t="s">
        <v>181</v>
      </c>
      <c r="F567" s="22">
        <v>2305425.3319999999</v>
      </c>
      <c r="G567" s="22">
        <v>585375.88500000001</v>
      </c>
      <c r="H567" s="11">
        <v>5.27</v>
      </c>
      <c r="I567" s="11">
        <v>4</v>
      </c>
      <c r="J567" s="6">
        <f t="shared" si="8"/>
        <v>1.2699999999999996</v>
      </c>
      <c r="K567" s="4" t="s">
        <v>1862</v>
      </c>
      <c r="L567" s="5" t="s">
        <v>183</v>
      </c>
      <c r="M567" s="23" t="s">
        <v>184</v>
      </c>
    </row>
    <row r="568" spans="2:13" ht="16" x14ac:dyDescent="0.3">
      <c r="B568" s="4">
        <v>562</v>
      </c>
      <c r="C568" s="4" t="s">
        <v>1863</v>
      </c>
      <c r="D568" s="4" t="s">
        <v>1864</v>
      </c>
      <c r="E568" s="4" t="s">
        <v>181</v>
      </c>
      <c r="F568" s="22">
        <v>2305429.9279999998</v>
      </c>
      <c r="G568" s="22">
        <v>585450.96400000004</v>
      </c>
      <c r="H568" s="11">
        <v>5.27</v>
      </c>
      <c r="I568" s="11">
        <v>4.33</v>
      </c>
      <c r="J568" s="6">
        <f t="shared" si="8"/>
        <v>0.9399999999999995</v>
      </c>
      <c r="K568" s="4" t="s">
        <v>1865</v>
      </c>
      <c r="L568" s="5" t="s">
        <v>183</v>
      </c>
      <c r="M568" s="23" t="s">
        <v>184</v>
      </c>
    </row>
    <row r="569" spans="2:13" ht="16" x14ac:dyDescent="0.3">
      <c r="B569" s="4">
        <v>563</v>
      </c>
      <c r="C569" s="4" t="s">
        <v>1866</v>
      </c>
      <c r="D569" s="4" t="s">
        <v>1867</v>
      </c>
      <c r="E569" s="4" t="s">
        <v>181</v>
      </c>
      <c r="F569" s="22">
        <v>2305414.81</v>
      </c>
      <c r="G569" s="22">
        <v>585428.59499999997</v>
      </c>
      <c r="H569" s="11">
        <v>5.27</v>
      </c>
      <c r="I569" s="11">
        <v>4.24</v>
      </c>
      <c r="J569" s="6">
        <f t="shared" si="8"/>
        <v>1.0299999999999994</v>
      </c>
      <c r="K569" s="4" t="s">
        <v>1868</v>
      </c>
      <c r="L569" s="5" t="s">
        <v>183</v>
      </c>
      <c r="M569" s="23" t="s">
        <v>184</v>
      </c>
    </row>
    <row r="570" spans="2:13" ht="16" x14ac:dyDescent="0.3">
      <c r="B570" s="4">
        <v>564</v>
      </c>
      <c r="C570" s="4" t="s">
        <v>1869</v>
      </c>
      <c r="D570" s="4" t="s">
        <v>1870</v>
      </c>
      <c r="E570" s="4" t="s">
        <v>181</v>
      </c>
      <c r="F570" s="22">
        <v>2305404.861</v>
      </c>
      <c r="G570" s="22">
        <v>585413.58100000001</v>
      </c>
      <c r="H570" s="11">
        <v>5.27</v>
      </c>
      <c r="I570" s="11">
        <v>4.18</v>
      </c>
      <c r="J570" s="6">
        <f t="shared" si="8"/>
        <v>1.0899999999999999</v>
      </c>
      <c r="K570" s="4" t="s">
        <v>1871</v>
      </c>
      <c r="L570" s="5" t="s">
        <v>183</v>
      </c>
      <c r="M570" s="23" t="s">
        <v>184</v>
      </c>
    </row>
    <row r="571" spans="2:13" ht="16" x14ac:dyDescent="0.3">
      <c r="B571" s="4">
        <v>565</v>
      </c>
      <c r="C571" s="4" t="s">
        <v>1872</v>
      </c>
      <c r="D571" s="4" t="s">
        <v>1873</v>
      </c>
      <c r="E571" s="4" t="s">
        <v>181</v>
      </c>
      <c r="F571" s="22">
        <v>2305420.7740000002</v>
      </c>
      <c r="G571" s="22">
        <v>585457.10199999996</v>
      </c>
      <c r="H571" s="11">
        <v>5.27</v>
      </c>
      <c r="I571" s="11">
        <v>4.33</v>
      </c>
      <c r="J571" s="6">
        <f t="shared" si="8"/>
        <v>0.9399999999999995</v>
      </c>
      <c r="K571" s="4" t="s">
        <v>1874</v>
      </c>
      <c r="L571" s="5" t="s">
        <v>183</v>
      </c>
      <c r="M571" s="23" t="s">
        <v>184</v>
      </c>
    </row>
    <row r="572" spans="2:13" ht="16" x14ac:dyDescent="0.3">
      <c r="B572" s="4">
        <v>566</v>
      </c>
      <c r="C572" s="4" t="s">
        <v>1875</v>
      </c>
      <c r="D572" s="4" t="s">
        <v>1876</v>
      </c>
      <c r="E572" s="4" t="s">
        <v>181</v>
      </c>
      <c r="F572" s="22">
        <v>2305405.7620000001</v>
      </c>
      <c r="G572" s="22">
        <v>585434.66299999994</v>
      </c>
      <c r="H572" s="11">
        <v>5.27</v>
      </c>
      <c r="I572" s="11">
        <v>4.24</v>
      </c>
      <c r="J572" s="6">
        <f t="shared" si="8"/>
        <v>1.0299999999999994</v>
      </c>
      <c r="K572" s="4" t="s">
        <v>1877</v>
      </c>
      <c r="L572" s="5" t="s">
        <v>183</v>
      </c>
      <c r="M572" s="23" t="s">
        <v>184</v>
      </c>
    </row>
    <row r="573" spans="2:13" ht="16" x14ac:dyDescent="0.3">
      <c r="B573" s="4">
        <v>567</v>
      </c>
      <c r="C573" s="4" t="s">
        <v>1878</v>
      </c>
      <c r="D573" s="4" t="s">
        <v>1879</v>
      </c>
      <c r="E573" s="4" t="s">
        <v>181</v>
      </c>
      <c r="F573" s="22">
        <v>2305395.7349999999</v>
      </c>
      <c r="G573" s="22">
        <v>585419.72699999996</v>
      </c>
      <c r="H573" s="11">
        <v>5.27</v>
      </c>
      <c r="I573" s="11">
        <v>4.18</v>
      </c>
      <c r="J573" s="6">
        <f t="shared" si="8"/>
        <v>1.0899999999999999</v>
      </c>
      <c r="K573" s="4" t="s">
        <v>1880</v>
      </c>
      <c r="L573" s="5" t="s">
        <v>183</v>
      </c>
      <c r="M573" s="23" t="s">
        <v>184</v>
      </c>
    </row>
    <row r="574" spans="2:13" ht="16" x14ac:dyDescent="0.3">
      <c r="B574" s="4">
        <v>568</v>
      </c>
      <c r="C574" s="4" t="s">
        <v>1881</v>
      </c>
      <c r="D574" s="4" t="s">
        <v>1882</v>
      </c>
      <c r="E574" s="4" t="s">
        <v>181</v>
      </c>
      <c r="F574" s="22">
        <v>2305384.6349999998</v>
      </c>
      <c r="G574" s="22">
        <v>585403.174</v>
      </c>
      <c r="H574" s="11">
        <v>5.27</v>
      </c>
      <c r="I574" s="11">
        <v>3.83</v>
      </c>
      <c r="J574" s="6">
        <f t="shared" si="8"/>
        <v>1.4399999999999995</v>
      </c>
      <c r="K574" s="4" t="s">
        <v>1883</v>
      </c>
      <c r="L574" s="5" t="s">
        <v>183</v>
      </c>
      <c r="M574" s="23" t="s">
        <v>184</v>
      </c>
    </row>
    <row r="575" spans="2:13" ht="16" x14ac:dyDescent="0.3">
      <c r="B575" s="4">
        <v>569</v>
      </c>
      <c r="C575" s="4" t="s">
        <v>1884</v>
      </c>
      <c r="D575" s="4" t="s">
        <v>1885</v>
      </c>
      <c r="E575" s="4" t="s">
        <v>181</v>
      </c>
      <c r="F575" s="22">
        <v>2305389.2149999999</v>
      </c>
      <c r="G575" s="22">
        <v>585478.25</v>
      </c>
      <c r="H575" s="11">
        <v>5.27</v>
      </c>
      <c r="I575" s="11">
        <v>4.33</v>
      </c>
      <c r="J575" s="6">
        <f t="shared" si="8"/>
        <v>0.9399999999999995</v>
      </c>
      <c r="K575" s="4" t="s">
        <v>1886</v>
      </c>
      <c r="L575" s="5" t="s">
        <v>183</v>
      </c>
      <c r="M575" s="23" t="s">
        <v>184</v>
      </c>
    </row>
    <row r="576" spans="2:13" ht="16" x14ac:dyDescent="0.3">
      <c r="B576" s="4">
        <v>570</v>
      </c>
      <c r="C576" s="4" t="s">
        <v>1887</v>
      </c>
      <c r="D576" s="4" t="s">
        <v>1888</v>
      </c>
      <c r="E576" s="4" t="s">
        <v>181</v>
      </c>
      <c r="F576" s="22">
        <v>2305374.1869999999</v>
      </c>
      <c r="G576" s="22">
        <v>585455.83700000006</v>
      </c>
      <c r="H576" s="11">
        <v>5.27</v>
      </c>
      <c r="I576" s="11">
        <v>4.24</v>
      </c>
      <c r="J576" s="6">
        <f t="shared" si="8"/>
        <v>1.0299999999999994</v>
      </c>
      <c r="K576" s="4" t="s">
        <v>1889</v>
      </c>
      <c r="L576" s="5" t="s">
        <v>183</v>
      </c>
      <c r="M576" s="23" t="s">
        <v>184</v>
      </c>
    </row>
    <row r="577" spans="2:13" ht="16" x14ac:dyDescent="0.3">
      <c r="B577" s="4">
        <v>571</v>
      </c>
      <c r="C577" s="4" t="s">
        <v>1890</v>
      </c>
      <c r="D577" s="4" t="s">
        <v>1891</v>
      </c>
      <c r="E577" s="4" t="s">
        <v>181</v>
      </c>
      <c r="F577" s="22">
        <v>2305364.3139999998</v>
      </c>
      <c r="G577" s="22">
        <v>585440.91700000002</v>
      </c>
      <c r="H577" s="11">
        <v>5.27</v>
      </c>
      <c r="I577" s="11">
        <v>4.18</v>
      </c>
      <c r="J577" s="6">
        <f t="shared" si="8"/>
        <v>1.0899999999999999</v>
      </c>
      <c r="K577" s="4" t="s">
        <v>1892</v>
      </c>
      <c r="L577" s="5" t="s">
        <v>183</v>
      </c>
      <c r="M577" s="23" t="s">
        <v>184</v>
      </c>
    </row>
    <row r="578" spans="2:13" ht="16" x14ac:dyDescent="0.3">
      <c r="B578" s="4">
        <v>572</v>
      </c>
      <c r="C578" s="4" t="s">
        <v>1893</v>
      </c>
      <c r="D578" s="4" t="s">
        <v>1894</v>
      </c>
      <c r="E578" s="4" t="s">
        <v>181</v>
      </c>
      <c r="F578" s="22">
        <v>2305380.0950000002</v>
      </c>
      <c r="G578" s="22">
        <v>585484.38199999998</v>
      </c>
      <c r="H578" s="11">
        <v>5.27</v>
      </c>
      <c r="I578" s="11">
        <v>4.33</v>
      </c>
      <c r="J578" s="6">
        <f t="shared" si="8"/>
        <v>0.9399999999999995</v>
      </c>
      <c r="K578" s="4" t="s">
        <v>1895</v>
      </c>
      <c r="L578" s="5" t="s">
        <v>183</v>
      </c>
      <c r="M578" s="23" t="s">
        <v>184</v>
      </c>
    </row>
    <row r="579" spans="2:13" ht="16" x14ac:dyDescent="0.3">
      <c r="B579" s="4">
        <v>573</v>
      </c>
      <c r="C579" s="4" t="s">
        <v>1896</v>
      </c>
      <c r="D579" s="4" t="s">
        <v>1897</v>
      </c>
      <c r="E579" s="4" t="s">
        <v>181</v>
      </c>
      <c r="F579" s="22">
        <v>2305365.0660000001</v>
      </c>
      <c r="G579" s="22">
        <v>585461.95200000005</v>
      </c>
      <c r="H579" s="11">
        <v>5.27</v>
      </c>
      <c r="I579" s="11">
        <v>4.24</v>
      </c>
      <c r="J579" s="6">
        <f t="shared" si="8"/>
        <v>1.0299999999999994</v>
      </c>
      <c r="K579" s="4" t="s">
        <v>1898</v>
      </c>
      <c r="L579" s="5" t="s">
        <v>183</v>
      </c>
      <c r="M579" s="23" t="s">
        <v>184</v>
      </c>
    </row>
    <row r="580" spans="2:13" ht="16" x14ac:dyDescent="0.3">
      <c r="B580" s="4">
        <v>574</v>
      </c>
      <c r="C580" s="4" t="s">
        <v>1899</v>
      </c>
      <c r="D580" s="4" t="s">
        <v>1900</v>
      </c>
      <c r="E580" s="4" t="s">
        <v>181</v>
      </c>
      <c r="F580" s="22">
        <v>2305355.0380000002</v>
      </c>
      <c r="G580" s="22">
        <v>585447.01599999995</v>
      </c>
      <c r="H580" s="11">
        <v>5.27</v>
      </c>
      <c r="I580" s="11">
        <v>4.18</v>
      </c>
      <c r="J580" s="6">
        <f t="shared" si="8"/>
        <v>1.0899999999999999</v>
      </c>
      <c r="K580" s="4" t="s">
        <v>1901</v>
      </c>
      <c r="L580" s="5" t="s">
        <v>183</v>
      </c>
      <c r="M580" s="23" t="s">
        <v>184</v>
      </c>
    </row>
    <row r="581" spans="2:13" ht="16" x14ac:dyDescent="0.3">
      <c r="B581" s="4">
        <v>575</v>
      </c>
      <c r="C581" s="4" t="s">
        <v>1902</v>
      </c>
      <c r="D581" s="4" t="s">
        <v>1903</v>
      </c>
      <c r="E581" s="4" t="s">
        <v>181</v>
      </c>
      <c r="F581" s="22">
        <v>2305348.5350000001</v>
      </c>
      <c r="G581" s="22">
        <v>585505.54500000004</v>
      </c>
      <c r="H581" s="11">
        <v>5.27</v>
      </c>
      <c r="I581" s="11">
        <v>4.33</v>
      </c>
      <c r="J581" s="6">
        <f t="shared" si="8"/>
        <v>0.9399999999999995</v>
      </c>
      <c r="K581" s="4" t="s">
        <v>1904</v>
      </c>
      <c r="L581" s="5" t="s">
        <v>183</v>
      </c>
      <c r="M581" s="23" t="s">
        <v>184</v>
      </c>
    </row>
    <row r="582" spans="2:13" ht="16" x14ac:dyDescent="0.3">
      <c r="B582" s="4">
        <v>576</v>
      </c>
      <c r="C582" s="4" t="s">
        <v>1905</v>
      </c>
      <c r="D582" s="4" t="s">
        <v>1906</v>
      </c>
      <c r="E582" s="4" t="s">
        <v>181</v>
      </c>
      <c r="F582" s="22">
        <v>2305333.5660000001</v>
      </c>
      <c r="G582" s="22">
        <v>585483.14199999999</v>
      </c>
      <c r="H582" s="11">
        <v>5.27</v>
      </c>
      <c r="I582" s="11">
        <v>4.24</v>
      </c>
      <c r="J582" s="6">
        <f t="shared" si="8"/>
        <v>1.0299999999999994</v>
      </c>
      <c r="K582" s="4" t="s">
        <v>1907</v>
      </c>
      <c r="L582" s="5" t="s">
        <v>183</v>
      </c>
      <c r="M582" s="23" t="s">
        <v>184</v>
      </c>
    </row>
    <row r="583" spans="2:13" ht="16" x14ac:dyDescent="0.3">
      <c r="B583" s="4">
        <v>577</v>
      </c>
      <c r="C583" s="4" t="s">
        <v>1908</v>
      </c>
      <c r="D583" s="4" t="s">
        <v>1909</v>
      </c>
      <c r="E583" s="4" t="s">
        <v>181</v>
      </c>
      <c r="F583" s="22">
        <v>2305323.4980000001</v>
      </c>
      <c r="G583" s="22">
        <v>585468.20900000003</v>
      </c>
      <c r="H583" s="11">
        <v>5.27</v>
      </c>
      <c r="I583" s="11">
        <v>4.18</v>
      </c>
      <c r="J583" s="6">
        <f t="shared" ref="J583:J646" si="9">H583-I583</f>
        <v>1.0899999999999999</v>
      </c>
      <c r="K583" s="4" t="s">
        <v>1910</v>
      </c>
      <c r="L583" s="5" t="s">
        <v>183</v>
      </c>
      <c r="M583" s="23" t="s">
        <v>184</v>
      </c>
    </row>
    <row r="584" spans="2:13" ht="16" x14ac:dyDescent="0.3">
      <c r="B584" s="4">
        <v>578</v>
      </c>
      <c r="C584" s="4" t="s">
        <v>1911</v>
      </c>
      <c r="D584" s="4" t="s">
        <v>1912</v>
      </c>
      <c r="E584" s="4" t="s">
        <v>181</v>
      </c>
      <c r="F584" s="22">
        <v>2305339.395</v>
      </c>
      <c r="G584" s="22">
        <v>585511.67000000004</v>
      </c>
      <c r="H584" s="11">
        <v>5.27</v>
      </c>
      <c r="I584" s="11">
        <v>4.33</v>
      </c>
      <c r="J584" s="6">
        <f t="shared" si="9"/>
        <v>0.9399999999999995</v>
      </c>
      <c r="K584" s="4" t="s">
        <v>1913</v>
      </c>
      <c r="L584" s="5" t="s">
        <v>183</v>
      </c>
      <c r="M584" s="23" t="s">
        <v>184</v>
      </c>
    </row>
    <row r="585" spans="2:13" ht="16" x14ac:dyDescent="0.3">
      <c r="B585" s="4">
        <v>579</v>
      </c>
      <c r="C585" s="4" t="s">
        <v>1914</v>
      </c>
      <c r="D585" s="4" t="s">
        <v>1915</v>
      </c>
      <c r="E585" s="4" t="s">
        <v>181</v>
      </c>
      <c r="F585" s="22">
        <v>2305324.3679999998</v>
      </c>
      <c r="G585" s="22">
        <v>585489.24399999995</v>
      </c>
      <c r="H585" s="11">
        <v>5.27</v>
      </c>
      <c r="I585" s="11">
        <v>4.24</v>
      </c>
      <c r="J585" s="6">
        <f t="shared" si="9"/>
        <v>1.0299999999999994</v>
      </c>
      <c r="K585" s="4" t="s">
        <v>1916</v>
      </c>
      <c r="L585" s="5" t="s">
        <v>183</v>
      </c>
      <c r="M585" s="23" t="s">
        <v>184</v>
      </c>
    </row>
    <row r="586" spans="2:13" ht="16" x14ac:dyDescent="0.3">
      <c r="B586" s="4">
        <v>580</v>
      </c>
      <c r="C586" s="4" t="s">
        <v>1917</v>
      </c>
      <c r="D586" s="4" t="s">
        <v>1918</v>
      </c>
      <c r="E586" s="4" t="s">
        <v>181</v>
      </c>
      <c r="F586" s="22">
        <v>2305314.33</v>
      </c>
      <c r="G586" s="22">
        <v>585474.29099999997</v>
      </c>
      <c r="H586" s="11">
        <v>5.27</v>
      </c>
      <c r="I586" s="11">
        <v>4.18</v>
      </c>
      <c r="J586" s="6">
        <f t="shared" si="9"/>
        <v>1.0899999999999999</v>
      </c>
      <c r="K586" s="4" t="s">
        <v>1919</v>
      </c>
      <c r="L586" s="5" t="s">
        <v>183</v>
      </c>
      <c r="M586" s="23" t="s">
        <v>184</v>
      </c>
    </row>
    <row r="587" spans="2:13" ht="16" x14ac:dyDescent="0.3">
      <c r="B587" s="4">
        <v>581</v>
      </c>
      <c r="C587" s="4" t="s">
        <v>1920</v>
      </c>
      <c r="D587" s="4" t="s">
        <v>1921</v>
      </c>
      <c r="E587" s="4" t="s">
        <v>181</v>
      </c>
      <c r="F587" s="22">
        <v>2305303.2480000001</v>
      </c>
      <c r="G587" s="22">
        <v>585457.76599999995</v>
      </c>
      <c r="H587" s="11">
        <v>5.27</v>
      </c>
      <c r="I587" s="11">
        <v>3.48</v>
      </c>
      <c r="J587" s="6">
        <f t="shared" si="9"/>
        <v>1.7899999999999996</v>
      </c>
      <c r="K587" s="4" t="s">
        <v>1922</v>
      </c>
      <c r="L587" s="5" t="s">
        <v>254</v>
      </c>
      <c r="M587" s="23" t="s">
        <v>184</v>
      </c>
    </row>
    <row r="588" spans="2:13" ht="16" x14ac:dyDescent="0.3">
      <c r="B588" s="4">
        <v>582</v>
      </c>
      <c r="C588" s="4" t="s">
        <v>1923</v>
      </c>
      <c r="D588" s="4" t="s">
        <v>1924</v>
      </c>
      <c r="E588" s="4" t="s">
        <v>181</v>
      </c>
      <c r="F588" s="22">
        <v>2305307.8339999998</v>
      </c>
      <c r="G588" s="22">
        <v>585532.83200000005</v>
      </c>
      <c r="H588" s="11">
        <v>5.27</v>
      </c>
      <c r="I588" s="11">
        <v>4.33</v>
      </c>
      <c r="J588" s="6">
        <f t="shared" si="9"/>
        <v>0.9399999999999995</v>
      </c>
      <c r="K588" s="4" t="s">
        <v>1925</v>
      </c>
      <c r="L588" s="5" t="s">
        <v>183</v>
      </c>
      <c r="M588" s="23" t="s">
        <v>184</v>
      </c>
    </row>
    <row r="589" spans="2:13" ht="16" x14ac:dyDescent="0.3">
      <c r="B589" s="4">
        <v>583</v>
      </c>
      <c r="C589" s="4" t="s">
        <v>1926</v>
      </c>
      <c r="D589" s="4" t="s">
        <v>1927</v>
      </c>
      <c r="E589" s="4" t="s">
        <v>181</v>
      </c>
      <c r="F589" s="22">
        <v>2305292.7919999999</v>
      </c>
      <c r="G589" s="22">
        <v>585510.41500000004</v>
      </c>
      <c r="H589" s="11">
        <v>5.27</v>
      </c>
      <c r="I589" s="11">
        <v>4.24</v>
      </c>
      <c r="J589" s="6">
        <f t="shared" si="9"/>
        <v>1.0299999999999994</v>
      </c>
      <c r="K589" s="4" t="s">
        <v>1928</v>
      </c>
      <c r="L589" s="5" t="s">
        <v>183</v>
      </c>
      <c r="M589" s="23" t="s">
        <v>184</v>
      </c>
    </row>
    <row r="590" spans="2:13" ht="16" x14ac:dyDescent="0.3">
      <c r="B590" s="4">
        <v>584</v>
      </c>
      <c r="C590" s="4" t="s">
        <v>1929</v>
      </c>
      <c r="D590" s="4" t="s">
        <v>1930</v>
      </c>
      <c r="E590" s="4" t="s">
        <v>181</v>
      </c>
      <c r="F590" s="22">
        <v>2305282.7799999998</v>
      </c>
      <c r="G590" s="22">
        <v>585495.46799999999</v>
      </c>
      <c r="H590" s="11">
        <v>5.27</v>
      </c>
      <c r="I590" s="11">
        <v>4.18</v>
      </c>
      <c r="J590" s="6">
        <f t="shared" si="9"/>
        <v>1.0899999999999999</v>
      </c>
      <c r="K590" s="4" t="s">
        <v>1931</v>
      </c>
      <c r="L590" s="5" t="s">
        <v>183</v>
      </c>
      <c r="M590" s="23" t="s">
        <v>184</v>
      </c>
    </row>
    <row r="591" spans="2:13" ht="16" x14ac:dyDescent="0.3">
      <c r="B591" s="4">
        <v>585</v>
      </c>
      <c r="C591" s="4" t="s">
        <v>1932</v>
      </c>
      <c r="D591" s="4" t="s">
        <v>1933</v>
      </c>
      <c r="E591" s="4" t="s">
        <v>181</v>
      </c>
      <c r="F591" s="22">
        <v>2305421.3130000001</v>
      </c>
      <c r="G591" s="22">
        <v>585310.63600000006</v>
      </c>
      <c r="H591" s="11">
        <v>5.31</v>
      </c>
      <c r="I591" s="11">
        <v>4.38</v>
      </c>
      <c r="J591" s="6">
        <f t="shared" si="9"/>
        <v>0.92999999999999972</v>
      </c>
      <c r="K591" s="4" t="s">
        <v>1934</v>
      </c>
      <c r="L591" s="5" t="s">
        <v>183</v>
      </c>
      <c r="M591" s="23" t="s">
        <v>184</v>
      </c>
    </row>
    <row r="592" spans="2:13" ht="16" x14ac:dyDescent="0.3">
      <c r="B592" s="4">
        <v>586</v>
      </c>
      <c r="C592" s="4" t="s">
        <v>1935</v>
      </c>
      <c r="D592" s="4" t="s">
        <v>1936</v>
      </c>
      <c r="E592" s="4" t="s">
        <v>181</v>
      </c>
      <c r="F592" s="22">
        <v>2305406.8319999999</v>
      </c>
      <c r="G592" s="22">
        <v>585289.04099999997</v>
      </c>
      <c r="H592" s="11">
        <v>5.31</v>
      </c>
      <c r="I592" s="11">
        <v>4.29</v>
      </c>
      <c r="J592" s="6">
        <f t="shared" si="9"/>
        <v>1.0199999999999996</v>
      </c>
      <c r="K592" s="4" t="s">
        <v>1937</v>
      </c>
      <c r="L592" s="5" t="s">
        <v>183</v>
      </c>
      <c r="M592" s="23" t="s">
        <v>184</v>
      </c>
    </row>
    <row r="593" spans="2:13" ht="16" x14ac:dyDescent="0.3">
      <c r="B593" s="4">
        <v>587</v>
      </c>
      <c r="C593" s="4" t="s">
        <v>1938</v>
      </c>
      <c r="D593" s="4" t="s">
        <v>1939</v>
      </c>
      <c r="E593" s="4" t="s">
        <v>181</v>
      </c>
      <c r="F593" s="22">
        <v>2305392.9079999998</v>
      </c>
      <c r="G593" s="22">
        <v>585268.27800000005</v>
      </c>
      <c r="H593" s="11">
        <v>5.31</v>
      </c>
      <c r="I593" s="11">
        <v>4.21</v>
      </c>
      <c r="J593" s="6">
        <f t="shared" si="9"/>
        <v>1.0999999999999996</v>
      </c>
      <c r="K593" s="4" t="s">
        <v>1940</v>
      </c>
      <c r="L593" s="5" t="s">
        <v>183</v>
      </c>
      <c r="M593" s="23" t="s">
        <v>184</v>
      </c>
    </row>
    <row r="594" spans="2:13" ht="16" x14ac:dyDescent="0.3">
      <c r="B594" s="4">
        <v>588</v>
      </c>
      <c r="C594" s="4" t="s">
        <v>1941</v>
      </c>
      <c r="D594" s="4" t="s">
        <v>1942</v>
      </c>
      <c r="E594" s="4" t="s">
        <v>181</v>
      </c>
      <c r="F594" s="22">
        <v>2305404.233</v>
      </c>
      <c r="G594" s="22">
        <v>585324.61199999996</v>
      </c>
      <c r="H594" s="11">
        <v>5.27</v>
      </c>
      <c r="I594" s="11">
        <v>4.34</v>
      </c>
      <c r="J594" s="6">
        <f t="shared" si="9"/>
        <v>0.92999999999999972</v>
      </c>
      <c r="K594" s="4" t="s">
        <v>1943</v>
      </c>
      <c r="L594" s="5" t="s">
        <v>183</v>
      </c>
      <c r="M594" s="23" t="s">
        <v>184</v>
      </c>
    </row>
    <row r="595" spans="2:13" ht="16" x14ac:dyDescent="0.3">
      <c r="B595" s="4">
        <v>589</v>
      </c>
      <c r="C595" s="4" t="s">
        <v>1944</v>
      </c>
      <c r="D595" s="4" t="s">
        <v>1945</v>
      </c>
      <c r="E595" s="4" t="s">
        <v>181</v>
      </c>
      <c r="F595" s="22">
        <v>2305390.31</v>
      </c>
      <c r="G595" s="22">
        <v>585303.848</v>
      </c>
      <c r="H595" s="11">
        <v>5.27</v>
      </c>
      <c r="I595" s="11">
        <v>4.26</v>
      </c>
      <c r="J595" s="6">
        <f t="shared" si="9"/>
        <v>1.0099999999999998</v>
      </c>
      <c r="K595" s="4" t="s">
        <v>1946</v>
      </c>
      <c r="L595" s="5" t="s">
        <v>183</v>
      </c>
      <c r="M595" s="23" t="s">
        <v>184</v>
      </c>
    </row>
    <row r="596" spans="2:13" ht="16" x14ac:dyDescent="0.3">
      <c r="B596" s="4">
        <v>590</v>
      </c>
      <c r="C596" s="4" t="s">
        <v>1947</v>
      </c>
      <c r="D596" s="4" t="s">
        <v>1948</v>
      </c>
      <c r="E596" s="4" t="s">
        <v>181</v>
      </c>
      <c r="F596" s="22">
        <v>2305375.6660000002</v>
      </c>
      <c r="G596" s="22">
        <v>585282.06400000001</v>
      </c>
      <c r="H596" s="11">
        <v>5.27</v>
      </c>
      <c r="I596" s="11">
        <v>4.17</v>
      </c>
      <c r="J596" s="6">
        <f t="shared" si="9"/>
        <v>1.0999999999999996</v>
      </c>
      <c r="K596" s="4" t="s">
        <v>1949</v>
      </c>
      <c r="L596" s="5" t="s">
        <v>183</v>
      </c>
      <c r="M596" s="23" t="s">
        <v>184</v>
      </c>
    </row>
    <row r="597" spans="2:13" ht="16" x14ac:dyDescent="0.3">
      <c r="B597" s="4">
        <v>591</v>
      </c>
      <c r="C597" s="4" t="s">
        <v>1950</v>
      </c>
      <c r="D597" s="4" t="s">
        <v>1951</v>
      </c>
      <c r="E597" s="4" t="s">
        <v>181</v>
      </c>
      <c r="F597" s="22">
        <v>2305388.7420000001</v>
      </c>
      <c r="G597" s="22">
        <v>585321.31900000002</v>
      </c>
      <c r="H597" s="11">
        <v>5.27</v>
      </c>
      <c r="I597" s="11">
        <v>4.33</v>
      </c>
      <c r="J597" s="6">
        <f t="shared" si="9"/>
        <v>0.9399999999999995</v>
      </c>
      <c r="K597" s="4" t="s">
        <v>1952</v>
      </c>
      <c r="L597" s="5" t="s">
        <v>183</v>
      </c>
      <c r="M597" s="23" t="s">
        <v>184</v>
      </c>
    </row>
    <row r="598" spans="2:13" ht="16" x14ac:dyDescent="0.3">
      <c r="B598" s="4">
        <v>592</v>
      </c>
      <c r="C598" s="4" t="s">
        <v>1953</v>
      </c>
      <c r="D598" s="4" t="s">
        <v>1954</v>
      </c>
      <c r="E598" s="4" t="s">
        <v>181</v>
      </c>
      <c r="F598" s="22">
        <v>2305373.7039999999</v>
      </c>
      <c r="G598" s="22">
        <v>585298.89399999997</v>
      </c>
      <c r="H598" s="11">
        <v>5.27</v>
      </c>
      <c r="I598" s="11">
        <v>4.24</v>
      </c>
      <c r="J598" s="6">
        <f t="shared" si="9"/>
        <v>1.0299999999999994</v>
      </c>
      <c r="K598" s="4" t="s">
        <v>1955</v>
      </c>
      <c r="L598" s="5" t="s">
        <v>183</v>
      </c>
      <c r="M598" s="23" t="s">
        <v>184</v>
      </c>
    </row>
    <row r="599" spans="2:13" ht="16" x14ac:dyDescent="0.3">
      <c r="B599" s="4">
        <v>593</v>
      </c>
      <c r="C599" s="4" t="s">
        <v>1956</v>
      </c>
      <c r="D599" s="4" t="s">
        <v>1957</v>
      </c>
      <c r="E599" s="4" t="s">
        <v>181</v>
      </c>
      <c r="F599" s="22">
        <v>2305363.7179999999</v>
      </c>
      <c r="G599" s="22">
        <v>585284.04500000004</v>
      </c>
      <c r="H599" s="11">
        <v>5.27</v>
      </c>
      <c r="I599" s="11">
        <v>4.18</v>
      </c>
      <c r="J599" s="6">
        <f t="shared" si="9"/>
        <v>1.0899999999999999</v>
      </c>
      <c r="K599" s="4" t="s">
        <v>1958</v>
      </c>
      <c r="L599" s="5" t="s">
        <v>183</v>
      </c>
      <c r="M599" s="23" t="s">
        <v>184</v>
      </c>
    </row>
    <row r="600" spans="2:13" ht="16" x14ac:dyDescent="0.3">
      <c r="B600" s="4">
        <v>594</v>
      </c>
      <c r="C600" s="4" t="s">
        <v>1959</v>
      </c>
      <c r="D600" s="4" t="s">
        <v>1960</v>
      </c>
      <c r="E600" s="4" t="s">
        <v>181</v>
      </c>
      <c r="F600" s="22">
        <v>2305353.4870000002</v>
      </c>
      <c r="G600" s="22">
        <v>585268.74399999995</v>
      </c>
      <c r="H600" s="11">
        <v>5.27</v>
      </c>
      <c r="I600" s="11">
        <v>1.85</v>
      </c>
      <c r="J600" s="6">
        <f t="shared" si="9"/>
        <v>3.4199999999999995</v>
      </c>
      <c r="K600" s="4" t="s">
        <v>1961</v>
      </c>
      <c r="L600" s="5" t="s">
        <v>300</v>
      </c>
      <c r="M600" s="23" t="s">
        <v>184</v>
      </c>
    </row>
    <row r="601" spans="2:13" ht="16" x14ac:dyDescent="0.3">
      <c r="B601" s="4">
        <v>595</v>
      </c>
      <c r="C601" s="4" t="s">
        <v>1962</v>
      </c>
      <c r="D601" s="4" t="s">
        <v>1963</v>
      </c>
      <c r="E601" s="4" t="s">
        <v>181</v>
      </c>
      <c r="F601" s="22">
        <v>2305357.173</v>
      </c>
      <c r="G601" s="22">
        <v>585342.46600000001</v>
      </c>
      <c r="H601" s="11">
        <v>5.27</v>
      </c>
      <c r="I601" s="11">
        <v>4.33</v>
      </c>
      <c r="J601" s="6">
        <f t="shared" si="9"/>
        <v>0.9399999999999995</v>
      </c>
      <c r="K601" s="4" t="s">
        <v>1964</v>
      </c>
      <c r="L601" s="5" t="s">
        <v>183</v>
      </c>
      <c r="M601" s="23" t="s">
        <v>184</v>
      </c>
    </row>
    <row r="602" spans="2:13" ht="16" x14ac:dyDescent="0.3">
      <c r="B602" s="4">
        <v>596</v>
      </c>
      <c r="C602" s="4" t="s">
        <v>1965</v>
      </c>
      <c r="D602" s="4" t="s">
        <v>1966</v>
      </c>
      <c r="E602" s="4" t="s">
        <v>181</v>
      </c>
      <c r="F602" s="22">
        <v>2305342.1359999999</v>
      </c>
      <c r="G602" s="22">
        <v>585320.04099999997</v>
      </c>
      <c r="H602" s="11">
        <v>5.27</v>
      </c>
      <c r="I602" s="11">
        <v>4.24</v>
      </c>
      <c r="J602" s="6">
        <f t="shared" si="9"/>
        <v>1.0299999999999994</v>
      </c>
      <c r="K602" s="4" t="s">
        <v>1967</v>
      </c>
      <c r="L602" s="5" t="s">
        <v>183</v>
      </c>
      <c r="M602" s="23" t="s">
        <v>184</v>
      </c>
    </row>
    <row r="603" spans="2:13" ht="16" x14ac:dyDescent="0.3">
      <c r="B603" s="4">
        <v>597</v>
      </c>
      <c r="C603" s="4" t="s">
        <v>1968</v>
      </c>
      <c r="D603" s="4" t="s">
        <v>1969</v>
      </c>
      <c r="E603" s="4" t="s">
        <v>181</v>
      </c>
      <c r="F603" s="22">
        <v>2305332.176</v>
      </c>
      <c r="G603" s="22">
        <v>585305.18599999999</v>
      </c>
      <c r="H603" s="11">
        <v>5.27</v>
      </c>
      <c r="I603" s="11">
        <v>4.18</v>
      </c>
      <c r="J603" s="6">
        <f t="shared" si="9"/>
        <v>1.0899999999999999</v>
      </c>
      <c r="K603" s="4" t="s">
        <v>1970</v>
      </c>
      <c r="L603" s="5" t="s">
        <v>183</v>
      </c>
      <c r="M603" s="23" t="s">
        <v>184</v>
      </c>
    </row>
    <row r="604" spans="2:13" ht="16" x14ac:dyDescent="0.3">
      <c r="B604" s="4">
        <v>598</v>
      </c>
      <c r="C604" s="4" t="s">
        <v>1971</v>
      </c>
      <c r="D604" s="4" t="s">
        <v>1972</v>
      </c>
      <c r="E604" s="4" t="s">
        <v>181</v>
      </c>
      <c r="F604" s="22">
        <v>2305348.0359999998</v>
      </c>
      <c r="G604" s="22">
        <v>585348.625</v>
      </c>
      <c r="H604" s="11">
        <v>5.27</v>
      </c>
      <c r="I604" s="11">
        <v>4.33</v>
      </c>
      <c r="J604" s="6">
        <f t="shared" si="9"/>
        <v>0.9399999999999995</v>
      </c>
      <c r="K604" s="4" t="s">
        <v>1973</v>
      </c>
      <c r="L604" s="5" t="s">
        <v>183</v>
      </c>
      <c r="M604" s="23" t="s">
        <v>184</v>
      </c>
    </row>
    <row r="605" spans="2:13" ht="16" x14ac:dyDescent="0.3">
      <c r="B605" s="4">
        <v>599</v>
      </c>
      <c r="C605" s="4" t="s">
        <v>1974</v>
      </c>
      <c r="D605" s="4" t="s">
        <v>1975</v>
      </c>
      <c r="E605" s="4" t="s">
        <v>181</v>
      </c>
      <c r="F605" s="22">
        <v>2305332.9980000001</v>
      </c>
      <c r="G605" s="22">
        <v>585326.19999999995</v>
      </c>
      <c r="H605" s="11">
        <v>5.27</v>
      </c>
      <c r="I605" s="11">
        <v>4.24</v>
      </c>
      <c r="J605" s="6">
        <f t="shared" si="9"/>
        <v>1.0299999999999994</v>
      </c>
      <c r="K605" s="4" t="s">
        <v>1976</v>
      </c>
      <c r="L605" s="5" t="s">
        <v>183</v>
      </c>
      <c r="M605" s="23" t="s">
        <v>184</v>
      </c>
    </row>
    <row r="606" spans="2:13" ht="16" x14ac:dyDescent="0.3">
      <c r="B606" s="4">
        <v>600</v>
      </c>
      <c r="C606" s="4" t="s">
        <v>1977</v>
      </c>
      <c r="D606" s="4" t="s">
        <v>1978</v>
      </c>
      <c r="E606" s="4" t="s">
        <v>181</v>
      </c>
      <c r="F606" s="22">
        <v>2305323.037</v>
      </c>
      <c r="G606" s="22">
        <v>585311.34600000002</v>
      </c>
      <c r="H606" s="11">
        <v>5.27</v>
      </c>
      <c r="I606" s="11">
        <v>4.18</v>
      </c>
      <c r="J606" s="6">
        <f t="shared" si="9"/>
        <v>1.0899999999999999</v>
      </c>
      <c r="K606" s="4" t="s">
        <v>1979</v>
      </c>
      <c r="L606" s="5" t="s">
        <v>183</v>
      </c>
      <c r="M606" s="23" t="s">
        <v>184</v>
      </c>
    </row>
    <row r="607" spans="2:13" ht="16" x14ac:dyDescent="0.3">
      <c r="B607" s="4">
        <v>601</v>
      </c>
      <c r="C607" s="4" t="s">
        <v>1980</v>
      </c>
      <c r="D607" s="4" t="s">
        <v>1981</v>
      </c>
      <c r="E607" s="4" t="s">
        <v>181</v>
      </c>
      <c r="F607" s="22">
        <v>2305312.983</v>
      </c>
      <c r="G607" s="22">
        <v>585296.09100000001</v>
      </c>
      <c r="H607" s="11">
        <v>5.27</v>
      </c>
      <c r="I607" s="11">
        <v>1.78</v>
      </c>
      <c r="J607" s="6">
        <f t="shared" si="9"/>
        <v>3.4899999999999993</v>
      </c>
      <c r="K607" s="4" t="s">
        <v>1982</v>
      </c>
      <c r="L607" s="5" t="s">
        <v>300</v>
      </c>
      <c r="M607" s="23" t="s">
        <v>184</v>
      </c>
    </row>
    <row r="608" spans="2:13" ht="16" x14ac:dyDescent="0.3">
      <c r="B608" s="4">
        <v>602</v>
      </c>
      <c r="C608" s="4" t="s">
        <v>1983</v>
      </c>
      <c r="D608" s="4" t="s">
        <v>1984</v>
      </c>
      <c r="E608" s="4" t="s">
        <v>181</v>
      </c>
      <c r="F608" s="22">
        <v>2305316.486</v>
      </c>
      <c r="G608" s="22">
        <v>585369.77099999995</v>
      </c>
      <c r="H608" s="11">
        <v>5.27</v>
      </c>
      <c r="I608" s="11">
        <v>4.33</v>
      </c>
      <c r="J608" s="6">
        <f t="shared" si="9"/>
        <v>0.9399999999999995</v>
      </c>
      <c r="K608" s="4" t="s">
        <v>1985</v>
      </c>
      <c r="L608" s="5" t="s">
        <v>183</v>
      </c>
      <c r="M608" s="23" t="s">
        <v>184</v>
      </c>
    </row>
    <row r="609" spans="2:13" ht="16" x14ac:dyDescent="0.3">
      <c r="B609" s="4">
        <v>603</v>
      </c>
      <c r="C609" s="4" t="s">
        <v>1986</v>
      </c>
      <c r="D609" s="4" t="s">
        <v>1987</v>
      </c>
      <c r="E609" s="4" t="s">
        <v>181</v>
      </c>
      <c r="F609" s="22">
        <v>2305301.449</v>
      </c>
      <c r="G609" s="22">
        <v>585347.34600000002</v>
      </c>
      <c r="H609" s="11">
        <v>5.27</v>
      </c>
      <c r="I609" s="11">
        <v>4.24</v>
      </c>
      <c r="J609" s="6">
        <f t="shared" si="9"/>
        <v>1.0299999999999994</v>
      </c>
      <c r="K609" s="4" t="s">
        <v>1988</v>
      </c>
      <c r="L609" s="5" t="s">
        <v>183</v>
      </c>
      <c r="M609" s="23" t="s">
        <v>184</v>
      </c>
    </row>
    <row r="610" spans="2:13" ht="16" x14ac:dyDescent="0.3">
      <c r="B610" s="4">
        <v>604</v>
      </c>
      <c r="C610" s="4" t="s">
        <v>1989</v>
      </c>
      <c r="D610" s="4" t="s">
        <v>1990</v>
      </c>
      <c r="E610" s="4" t="s">
        <v>181</v>
      </c>
      <c r="F610" s="22">
        <v>2305291.4879999999</v>
      </c>
      <c r="G610" s="22">
        <v>585332.49199999997</v>
      </c>
      <c r="H610" s="11">
        <v>5.27</v>
      </c>
      <c r="I610" s="11">
        <v>4.18</v>
      </c>
      <c r="J610" s="6">
        <f t="shared" si="9"/>
        <v>1.0899999999999999</v>
      </c>
      <c r="K610" s="4" t="s">
        <v>1991</v>
      </c>
      <c r="L610" s="5" t="s">
        <v>183</v>
      </c>
      <c r="M610" s="23" t="s">
        <v>184</v>
      </c>
    </row>
    <row r="611" spans="2:13" ht="16" x14ac:dyDescent="0.3">
      <c r="B611" s="4">
        <v>605</v>
      </c>
      <c r="C611" s="4" t="s">
        <v>1992</v>
      </c>
      <c r="D611" s="4" t="s">
        <v>1993</v>
      </c>
      <c r="E611" s="4" t="s">
        <v>181</v>
      </c>
      <c r="F611" s="22">
        <v>2305307.3480000002</v>
      </c>
      <c r="G611" s="22">
        <v>585375.89899999998</v>
      </c>
      <c r="H611" s="11">
        <v>5.27</v>
      </c>
      <c r="I611" s="11">
        <v>4.33</v>
      </c>
      <c r="J611" s="6">
        <f t="shared" si="9"/>
        <v>0.9399999999999995</v>
      </c>
      <c r="K611" s="4" t="s">
        <v>1994</v>
      </c>
      <c r="L611" s="5" t="s">
        <v>183</v>
      </c>
      <c r="M611" s="23" t="s">
        <v>184</v>
      </c>
    </row>
    <row r="612" spans="2:13" ht="16" x14ac:dyDescent="0.3">
      <c r="B612" s="4">
        <v>606</v>
      </c>
      <c r="C612" s="4" t="s">
        <v>1995</v>
      </c>
      <c r="D612" s="4" t="s">
        <v>1996</v>
      </c>
      <c r="E612" s="4" t="s">
        <v>181</v>
      </c>
      <c r="F612" s="22">
        <v>2305292.31</v>
      </c>
      <c r="G612" s="22">
        <v>585353.47400000005</v>
      </c>
      <c r="H612" s="11">
        <v>5.27</v>
      </c>
      <c r="I612" s="11">
        <v>4.24</v>
      </c>
      <c r="J612" s="6">
        <f t="shared" si="9"/>
        <v>1.0299999999999994</v>
      </c>
      <c r="K612" s="4" t="s">
        <v>1997</v>
      </c>
      <c r="L612" s="5" t="s">
        <v>183</v>
      </c>
      <c r="M612" s="23" t="s">
        <v>184</v>
      </c>
    </row>
    <row r="613" spans="2:13" ht="16" x14ac:dyDescent="0.3">
      <c r="B613" s="4">
        <v>607</v>
      </c>
      <c r="C613" s="4" t="s">
        <v>1998</v>
      </c>
      <c r="D613" s="4" t="s">
        <v>1999</v>
      </c>
      <c r="E613" s="4" t="s">
        <v>181</v>
      </c>
      <c r="F613" s="22">
        <v>2305282.3489999999</v>
      </c>
      <c r="G613" s="22">
        <v>585338.62</v>
      </c>
      <c r="H613" s="11">
        <v>5.27</v>
      </c>
      <c r="I613" s="11">
        <v>4.18</v>
      </c>
      <c r="J613" s="6">
        <f t="shared" si="9"/>
        <v>1.0899999999999999</v>
      </c>
      <c r="K613" s="4" t="s">
        <v>2000</v>
      </c>
      <c r="L613" s="5" t="s">
        <v>183</v>
      </c>
      <c r="M613" s="23" t="s">
        <v>184</v>
      </c>
    </row>
    <row r="614" spans="2:13" ht="16" x14ac:dyDescent="0.3">
      <c r="B614" s="4">
        <v>608</v>
      </c>
      <c r="C614" s="4" t="s">
        <v>2001</v>
      </c>
      <c r="D614" s="4" t="s">
        <v>2002</v>
      </c>
      <c r="E614" s="4" t="s">
        <v>181</v>
      </c>
      <c r="F614" s="22">
        <v>2305272.1340000001</v>
      </c>
      <c r="G614" s="22">
        <v>585323.38600000006</v>
      </c>
      <c r="H614" s="11">
        <v>5.27</v>
      </c>
      <c r="I614" s="11">
        <v>1.71</v>
      </c>
      <c r="J614" s="6">
        <f t="shared" si="9"/>
        <v>3.5599999999999996</v>
      </c>
      <c r="K614" s="4" t="s">
        <v>2003</v>
      </c>
      <c r="L614" s="5" t="s">
        <v>300</v>
      </c>
      <c r="M614" s="24" t="s">
        <v>304</v>
      </c>
    </row>
    <row r="615" spans="2:13" ht="16" x14ac:dyDescent="0.3">
      <c r="B615" s="4">
        <v>609</v>
      </c>
      <c r="C615" s="4" t="s">
        <v>2004</v>
      </c>
      <c r="D615" s="4" t="s">
        <v>2005</v>
      </c>
      <c r="E615" s="4" t="s">
        <v>181</v>
      </c>
      <c r="F615" s="22">
        <v>2305275.804</v>
      </c>
      <c r="G615" s="22">
        <v>585397.05099999998</v>
      </c>
      <c r="H615" s="11">
        <v>5.27</v>
      </c>
      <c r="I615" s="11">
        <v>4.33</v>
      </c>
      <c r="J615" s="6">
        <f t="shared" si="9"/>
        <v>0.9399999999999995</v>
      </c>
      <c r="K615" s="4" t="s">
        <v>2006</v>
      </c>
      <c r="L615" s="5" t="s">
        <v>183</v>
      </c>
      <c r="M615" s="23" t="s">
        <v>184</v>
      </c>
    </row>
    <row r="616" spans="2:13" ht="16" x14ac:dyDescent="0.3">
      <c r="B616" s="4">
        <v>610</v>
      </c>
      <c r="C616" s="4" t="s">
        <v>2007</v>
      </c>
      <c r="D616" s="4" t="s">
        <v>2008</v>
      </c>
      <c r="E616" s="4" t="s">
        <v>181</v>
      </c>
      <c r="F616" s="22">
        <v>2305260.7659999998</v>
      </c>
      <c r="G616" s="22">
        <v>585374.62699999998</v>
      </c>
      <c r="H616" s="11">
        <v>5.27</v>
      </c>
      <c r="I616" s="11">
        <v>4.24</v>
      </c>
      <c r="J616" s="6">
        <f t="shared" si="9"/>
        <v>1.0299999999999994</v>
      </c>
      <c r="K616" s="4" t="s">
        <v>2009</v>
      </c>
      <c r="L616" s="5" t="s">
        <v>183</v>
      </c>
      <c r="M616" s="23" t="s">
        <v>184</v>
      </c>
    </row>
    <row r="617" spans="2:13" ht="16" x14ac:dyDescent="0.3">
      <c r="B617" s="4">
        <v>611</v>
      </c>
      <c r="C617" s="4" t="s">
        <v>2010</v>
      </c>
      <c r="D617" s="4" t="s">
        <v>2011</v>
      </c>
      <c r="E617" s="4" t="s">
        <v>181</v>
      </c>
      <c r="F617" s="22">
        <v>2305250.7919999999</v>
      </c>
      <c r="G617" s="22">
        <v>585359.78099999996</v>
      </c>
      <c r="H617" s="11">
        <v>5.27</v>
      </c>
      <c r="I617" s="11">
        <v>4.18</v>
      </c>
      <c r="J617" s="6">
        <f t="shared" si="9"/>
        <v>1.0899999999999999</v>
      </c>
      <c r="K617" s="4" t="s">
        <v>2012</v>
      </c>
      <c r="L617" s="5" t="s">
        <v>183</v>
      </c>
      <c r="M617" s="23" t="s">
        <v>184</v>
      </c>
    </row>
    <row r="618" spans="2:13" ht="16" x14ac:dyDescent="0.3">
      <c r="B618" s="4">
        <v>612</v>
      </c>
      <c r="C618" s="4" t="s">
        <v>2013</v>
      </c>
      <c r="D618" s="4" t="s">
        <v>2014</v>
      </c>
      <c r="E618" s="4" t="s">
        <v>181</v>
      </c>
      <c r="F618" s="22">
        <v>2305266.6460000002</v>
      </c>
      <c r="G618" s="22">
        <v>585403.18200000003</v>
      </c>
      <c r="H618" s="11">
        <v>5.27</v>
      </c>
      <c r="I618" s="11">
        <v>4.33</v>
      </c>
      <c r="J618" s="6">
        <f t="shared" si="9"/>
        <v>0.9399999999999995</v>
      </c>
      <c r="K618" s="4" t="s">
        <v>2015</v>
      </c>
      <c r="L618" s="5" t="s">
        <v>183</v>
      </c>
      <c r="M618" s="23" t="s">
        <v>184</v>
      </c>
    </row>
    <row r="619" spans="2:13" ht="16" x14ac:dyDescent="0.3">
      <c r="B619" s="4">
        <v>613</v>
      </c>
      <c r="C619" s="4" t="s">
        <v>2016</v>
      </c>
      <c r="D619" s="4" t="s">
        <v>2017</v>
      </c>
      <c r="E619" s="4" t="s">
        <v>181</v>
      </c>
      <c r="F619" s="22">
        <v>2305251.6090000002</v>
      </c>
      <c r="G619" s="22">
        <v>585380.75699999998</v>
      </c>
      <c r="H619" s="11">
        <v>5.27</v>
      </c>
      <c r="I619" s="11">
        <v>4.24</v>
      </c>
      <c r="J619" s="6">
        <f t="shared" si="9"/>
        <v>1.0299999999999994</v>
      </c>
      <c r="K619" s="4" t="s">
        <v>2018</v>
      </c>
      <c r="L619" s="5" t="s">
        <v>183</v>
      </c>
      <c r="M619" s="23" t="s">
        <v>184</v>
      </c>
    </row>
    <row r="620" spans="2:13" ht="16" x14ac:dyDescent="0.3">
      <c r="B620" s="4">
        <v>614</v>
      </c>
      <c r="C620" s="4" t="s">
        <v>2019</v>
      </c>
      <c r="D620" s="4" t="s">
        <v>2020</v>
      </c>
      <c r="E620" s="4" t="s">
        <v>181</v>
      </c>
      <c r="F620" s="22">
        <v>2305241.648</v>
      </c>
      <c r="G620" s="22">
        <v>585365.90300000005</v>
      </c>
      <c r="H620" s="11">
        <v>5.27</v>
      </c>
      <c r="I620" s="11">
        <v>4.18</v>
      </c>
      <c r="J620" s="6">
        <f t="shared" si="9"/>
        <v>1.0899999999999999</v>
      </c>
      <c r="K620" s="4" t="s">
        <v>2021</v>
      </c>
      <c r="L620" s="5" t="s">
        <v>183</v>
      </c>
      <c r="M620" s="23" t="s">
        <v>184</v>
      </c>
    </row>
    <row r="621" spans="2:13" ht="16" x14ac:dyDescent="0.3">
      <c r="B621" s="4">
        <v>615</v>
      </c>
      <c r="C621" s="4" t="s">
        <v>2022</v>
      </c>
      <c r="D621" s="4" t="s">
        <v>2023</v>
      </c>
      <c r="E621" s="4" t="s">
        <v>181</v>
      </c>
      <c r="F621" s="22">
        <v>2305231.2999999998</v>
      </c>
      <c r="G621" s="22">
        <v>585350.66899999999</v>
      </c>
      <c r="H621" s="11">
        <v>5.27</v>
      </c>
      <c r="I621" s="11">
        <v>1.64</v>
      </c>
      <c r="J621" s="6">
        <f t="shared" si="9"/>
        <v>3.63</v>
      </c>
      <c r="K621" s="4" t="s">
        <v>2024</v>
      </c>
      <c r="L621" s="5" t="s">
        <v>300</v>
      </c>
      <c r="M621" s="24" t="s">
        <v>304</v>
      </c>
    </row>
    <row r="622" spans="2:13" ht="16" x14ac:dyDescent="0.3">
      <c r="B622" s="4">
        <v>616</v>
      </c>
      <c r="C622" s="4" t="s">
        <v>2025</v>
      </c>
      <c r="D622" s="4" t="s">
        <v>2026</v>
      </c>
      <c r="E622" s="4" t="s">
        <v>181</v>
      </c>
      <c r="F622" s="22">
        <v>2305235.0920000002</v>
      </c>
      <c r="G622" s="22">
        <v>585424.35100000002</v>
      </c>
      <c r="H622" s="11">
        <v>5.27</v>
      </c>
      <c r="I622" s="11">
        <v>4.33</v>
      </c>
      <c r="J622" s="6">
        <f t="shared" si="9"/>
        <v>0.9399999999999995</v>
      </c>
      <c r="K622" s="4" t="s">
        <v>2027</v>
      </c>
      <c r="L622" s="5" t="s">
        <v>183</v>
      </c>
      <c r="M622" s="23" t="s">
        <v>184</v>
      </c>
    </row>
    <row r="623" spans="2:13" ht="16" x14ac:dyDescent="0.3">
      <c r="B623" s="4">
        <v>617</v>
      </c>
      <c r="C623" s="4" t="s">
        <v>2028</v>
      </c>
      <c r="D623" s="4" t="s">
        <v>2029</v>
      </c>
      <c r="E623" s="4" t="s">
        <v>181</v>
      </c>
      <c r="F623" s="22">
        <v>2305220.0550000002</v>
      </c>
      <c r="G623" s="22">
        <v>585401.92700000003</v>
      </c>
      <c r="H623" s="11">
        <v>5.27</v>
      </c>
      <c r="I623" s="11">
        <v>4.24</v>
      </c>
      <c r="J623" s="6">
        <f t="shared" si="9"/>
        <v>1.0299999999999994</v>
      </c>
      <c r="K623" s="4" t="s">
        <v>2030</v>
      </c>
      <c r="L623" s="5" t="s">
        <v>183</v>
      </c>
      <c r="M623" s="23" t="s">
        <v>184</v>
      </c>
    </row>
    <row r="624" spans="2:13" ht="16" x14ac:dyDescent="0.3">
      <c r="B624" s="4">
        <v>618</v>
      </c>
      <c r="C624" s="4" t="s">
        <v>2031</v>
      </c>
      <c r="D624" s="4" t="s">
        <v>2032</v>
      </c>
      <c r="E624" s="4" t="s">
        <v>181</v>
      </c>
      <c r="F624" s="22">
        <v>2305210.094</v>
      </c>
      <c r="G624" s="22">
        <v>585387.07200000004</v>
      </c>
      <c r="H624" s="11">
        <v>5.27</v>
      </c>
      <c r="I624" s="11">
        <v>4.18</v>
      </c>
      <c r="J624" s="6">
        <f t="shared" si="9"/>
        <v>1.0899999999999999</v>
      </c>
      <c r="K624" s="4" t="s">
        <v>2033</v>
      </c>
      <c r="L624" s="5" t="s">
        <v>183</v>
      </c>
      <c r="M624" s="23" t="s">
        <v>184</v>
      </c>
    </row>
    <row r="625" spans="2:13" ht="16" x14ac:dyDescent="0.3">
      <c r="B625" s="4">
        <v>619</v>
      </c>
      <c r="C625" s="4" t="s">
        <v>2034</v>
      </c>
      <c r="D625" s="4" t="s">
        <v>2035</v>
      </c>
      <c r="E625" s="4" t="s">
        <v>181</v>
      </c>
      <c r="F625" s="22">
        <v>2305162.719</v>
      </c>
      <c r="G625" s="22">
        <v>585612.68700000003</v>
      </c>
      <c r="H625" s="11">
        <v>5.27</v>
      </c>
      <c r="I625" s="11">
        <v>4.42</v>
      </c>
      <c r="J625" s="6">
        <f t="shared" si="9"/>
        <v>0.84999999999999964</v>
      </c>
      <c r="K625" s="4" t="s">
        <v>2036</v>
      </c>
      <c r="L625" s="5" t="s">
        <v>183</v>
      </c>
      <c r="M625" s="23" t="s">
        <v>184</v>
      </c>
    </row>
    <row r="626" spans="2:13" ht="16" x14ac:dyDescent="0.3">
      <c r="B626" s="4">
        <v>620</v>
      </c>
      <c r="C626" s="4" t="s">
        <v>2037</v>
      </c>
      <c r="D626" s="4" t="s">
        <v>2038</v>
      </c>
      <c r="E626" s="4" t="s">
        <v>181</v>
      </c>
      <c r="F626" s="22">
        <v>2305184.3130000001</v>
      </c>
      <c r="G626" s="22">
        <v>585598.20600000001</v>
      </c>
      <c r="H626" s="11">
        <v>5.27</v>
      </c>
      <c r="I626" s="11">
        <v>4.33</v>
      </c>
      <c r="J626" s="6">
        <f t="shared" si="9"/>
        <v>0.9399999999999995</v>
      </c>
      <c r="K626" s="4" t="s">
        <v>2039</v>
      </c>
      <c r="L626" s="5" t="s">
        <v>183</v>
      </c>
      <c r="M626" s="23" t="s">
        <v>184</v>
      </c>
    </row>
    <row r="627" spans="2:13" ht="16" x14ac:dyDescent="0.3">
      <c r="B627" s="4">
        <v>621</v>
      </c>
      <c r="C627" s="4" t="s">
        <v>2040</v>
      </c>
      <c r="D627" s="4" t="s">
        <v>2041</v>
      </c>
      <c r="E627" s="4" t="s">
        <v>181</v>
      </c>
      <c r="F627" s="22">
        <v>2305204.591</v>
      </c>
      <c r="G627" s="22">
        <v>585584.60900000005</v>
      </c>
      <c r="H627" s="11">
        <v>5.27</v>
      </c>
      <c r="I627" s="11">
        <v>4.25</v>
      </c>
      <c r="J627" s="6">
        <f t="shared" si="9"/>
        <v>1.0199999999999996</v>
      </c>
      <c r="K627" s="4" t="s">
        <v>2042</v>
      </c>
      <c r="L627" s="5" t="s">
        <v>183</v>
      </c>
      <c r="M627" s="23" t="s">
        <v>184</v>
      </c>
    </row>
    <row r="628" spans="2:13" ht="16" x14ac:dyDescent="0.3">
      <c r="B628" s="4">
        <v>622</v>
      </c>
      <c r="C628" s="4" t="s">
        <v>2043</v>
      </c>
      <c r="D628" s="4" t="s">
        <v>2044</v>
      </c>
      <c r="E628" s="4" t="s">
        <v>181</v>
      </c>
      <c r="F628" s="22">
        <v>2305192.338</v>
      </c>
      <c r="G628" s="22">
        <v>585566.33700000006</v>
      </c>
      <c r="H628" s="11">
        <v>5.27</v>
      </c>
      <c r="I628" s="11">
        <v>4.17</v>
      </c>
      <c r="J628" s="6">
        <f t="shared" si="9"/>
        <v>1.0999999999999996</v>
      </c>
      <c r="K628" s="4" t="s">
        <v>2045</v>
      </c>
      <c r="L628" s="5" t="s">
        <v>183</v>
      </c>
      <c r="M628" s="23" t="s">
        <v>184</v>
      </c>
    </row>
    <row r="629" spans="2:13" ht="16" x14ac:dyDescent="0.3">
      <c r="B629" s="4">
        <v>623</v>
      </c>
      <c r="C629" s="4" t="s">
        <v>2046</v>
      </c>
      <c r="D629" s="4" t="s">
        <v>2047</v>
      </c>
      <c r="E629" s="4" t="s">
        <v>181</v>
      </c>
      <c r="F629" s="22">
        <v>2305186.2119999998</v>
      </c>
      <c r="G629" s="22">
        <v>585557.201</v>
      </c>
      <c r="H629" s="11">
        <v>5.27</v>
      </c>
      <c r="I629" s="11">
        <v>4.13</v>
      </c>
      <c r="J629" s="6">
        <f t="shared" si="9"/>
        <v>1.1399999999999997</v>
      </c>
      <c r="K629" s="4" t="s">
        <v>2048</v>
      </c>
      <c r="L629" s="5" t="s">
        <v>183</v>
      </c>
      <c r="M629" s="23" t="s">
        <v>184</v>
      </c>
    </row>
    <row r="630" spans="2:13" ht="16" x14ac:dyDescent="0.3">
      <c r="B630" s="4">
        <v>624</v>
      </c>
      <c r="C630" s="4" t="s">
        <v>2049</v>
      </c>
      <c r="D630" s="4" t="s">
        <v>2050</v>
      </c>
      <c r="E630" s="4" t="s">
        <v>181</v>
      </c>
      <c r="F630" s="22">
        <v>2305173.875</v>
      </c>
      <c r="G630" s="22">
        <v>585538.804</v>
      </c>
      <c r="H630" s="11">
        <v>5.27</v>
      </c>
      <c r="I630" s="11">
        <v>4.05</v>
      </c>
      <c r="J630" s="6">
        <f t="shared" si="9"/>
        <v>1.2199999999999998</v>
      </c>
      <c r="K630" s="4" t="s">
        <v>2051</v>
      </c>
      <c r="L630" s="5" t="s">
        <v>183</v>
      </c>
      <c r="M630" s="23" t="s">
        <v>184</v>
      </c>
    </row>
    <row r="631" spans="2:13" ht="16" x14ac:dyDescent="0.3">
      <c r="B631" s="4">
        <v>625</v>
      </c>
      <c r="C631" s="4" t="s">
        <v>2052</v>
      </c>
      <c r="D631" s="4" t="s">
        <v>2053</v>
      </c>
      <c r="E631" s="4" t="s">
        <v>181</v>
      </c>
      <c r="F631" s="22">
        <v>2305167.8330000001</v>
      </c>
      <c r="G631" s="22">
        <v>585529.79299999995</v>
      </c>
      <c r="H631" s="11">
        <v>5.27</v>
      </c>
      <c r="I631" s="11">
        <v>4.01</v>
      </c>
      <c r="J631" s="6">
        <f t="shared" si="9"/>
        <v>1.2599999999999998</v>
      </c>
      <c r="K631" s="4" t="s">
        <v>2054</v>
      </c>
      <c r="L631" s="5" t="s">
        <v>183</v>
      </c>
      <c r="M631" s="23" t="s">
        <v>184</v>
      </c>
    </row>
    <row r="632" spans="2:13" ht="16" x14ac:dyDescent="0.3">
      <c r="B632" s="4">
        <v>626</v>
      </c>
      <c r="C632" s="4" t="s">
        <v>2055</v>
      </c>
      <c r="D632" s="4" t="s">
        <v>2056</v>
      </c>
      <c r="E632" s="4" t="s">
        <v>181</v>
      </c>
      <c r="F632" s="22">
        <v>2305155.58</v>
      </c>
      <c r="G632" s="22">
        <v>585511.52099999995</v>
      </c>
      <c r="H632" s="11">
        <v>5.27</v>
      </c>
      <c r="I632" s="11">
        <v>3.93</v>
      </c>
      <c r="J632" s="6">
        <f t="shared" si="9"/>
        <v>1.3399999999999994</v>
      </c>
      <c r="K632" s="4" t="s">
        <v>2057</v>
      </c>
      <c r="L632" s="5" t="s">
        <v>183</v>
      </c>
      <c r="M632" s="23" t="s">
        <v>184</v>
      </c>
    </row>
    <row r="633" spans="2:13" ht="16" x14ac:dyDescent="0.3">
      <c r="B633" s="4">
        <v>627</v>
      </c>
      <c r="C633" s="4" t="s">
        <v>2058</v>
      </c>
      <c r="D633" s="4" t="s">
        <v>2059</v>
      </c>
      <c r="E633" s="4" t="s">
        <v>181</v>
      </c>
      <c r="F633" s="22">
        <v>2305149.4530000002</v>
      </c>
      <c r="G633" s="22">
        <v>585502.38399999996</v>
      </c>
      <c r="H633" s="11">
        <v>5.27</v>
      </c>
      <c r="I633" s="11">
        <v>3.89</v>
      </c>
      <c r="J633" s="6">
        <f t="shared" si="9"/>
        <v>1.3799999999999994</v>
      </c>
      <c r="K633" s="4" t="s">
        <v>2060</v>
      </c>
      <c r="L633" s="5" t="s">
        <v>183</v>
      </c>
      <c r="M633" s="23" t="s">
        <v>184</v>
      </c>
    </row>
    <row r="634" spans="2:13" ht="16" x14ac:dyDescent="0.3">
      <c r="B634" s="4">
        <v>628</v>
      </c>
      <c r="C634" s="4" t="s">
        <v>2061</v>
      </c>
      <c r="D634" s="4" t="s">
        <v>2062</v>
      </c>
      <c r="E634" s="4" t="s">
        <v>181</v>
      </c>
      <c r="F634" s="22">
        <v>2305143.5630000001</v>
      </c>
      <c r="G634" s="22">
        <v>585485.36699999997</v>
      </c>
      <c r="H634" s="11">
        <v>5.27</v>
      </c>
      <c r="I634" s="11">
        <v>3.83</v>
      </c>
      <c r="J634" s="6">
        <f t="shared" si="9"/>
        <v>1.4399999999999995</v>
      </c>
      <c r="K634" s="4" t="s">
        <v>2063</v>
      </c>
      <c r="L634" s="5" t="s">
        <v>183</v>
      </c>
      <c r="M634" s="23" t="s">
        <v>184</v>
      </c>
    </row>
    <row r="635" spans="2:13" ht="16" x14ac:dyDescent="0.3">
      <c r="B635" s="4">
        <v>629</v>
      </c>
      <c r="C635" s="4" t="s">
        <v>2064</v>
      </c>
      <c r="D635" s="4" t="s">
        <v>2065</v>
      </c>
      <c r="E635" s="4" t="s">
        <v>181</v>
      </c>
      <c r="F635" s="22">
        <v>2305150.466</v>
      </c>
      <c r="G635" s="22">
        <v>585594.41500000004</v>
      </c>
      <c r="H635" s="11">
        <v>5.27</v>
      </c>
      <c r="I635" s="11">
        <v>4.42</v>
      </c>
      <c r="J635" s="6">
        <f t="shared" si="9"/>
        <v>0.84999999999999964</v>
      </c>
      <c r="K635" s="4" t="s">
        <v>2066</v>
      </c>
      <c r="L635" s="5" t="s">
        <v>183</v>
      </c>
      <c r="M635" s="23" t="s">
        <v>184</v>
      </c>
    </row>
    <row r="636" spans="2:13" ht="16" x14ac:dyDescent="0.3">
      <c r="B636" s="4">
        <v>630</v>
      </c>
      <c r="C636" s="4" t="s">
        <v>2067</v>
      </c>
      <c r="D636" s="4" t="s">
        <v>2068</v>
      </c>
      <c r="E636" s="4" t="s">
        <v>181</v>
      </c>
      <c r="F636" s="22">
        <v>2305172.0610000002</v>
      </c>
      <c r="G636" s="22">
        <v>585579.93400000001</v>
      </c>
      <c r="H636" s="11">
        <v>5.27</v>
      </c>
      <c r="I636" s="11">
        <v>4.33</v>
      </c>
      <c r="J636" s="6">
        <f t="shared" si="9"/>
        <v>0.9399999999999995</v>
      </c>
      <c r="K636" s="4" t="s">
        <v>2069</v>
      </c>
      <c r="L636" s="5" t="s">
        <v>183</v>
      </c>
      <c r="M636" s="23" t="s">
        <v>184</v>
      </c>
    </row>
    <row r="637" spans="2:13" ht="16" x14ac:dyDescent="0.3">
      <c r="B637" s="4">
        <v>631</v>
      </c>
      <c r="C637" s="4" t="s">
        <v>2070</v>
      </c>
      <c r="D637" s="4" t="s">
        <v>2071</v>
      </c>
      <c r="E637" s="4" t="s">
        <v>181</v>
      </c>
      <c r="F637" s="22">
        <v>2305144.34</v>
      </c>
      <c r="G637" s="22">
        <v>585585.27899999998</v>
      </c>
      <c r="H637" s="11">
        <v>5.27</v>
      </c>
      <c r="I637" s="11">
        <v>4.42</v>
      </c>
      <c r="J637" s="6">
        <f t="shared" si="9"/>
        <v>0.84999999999999964</v>
      </c>
      <c r="K637" s="4" t="s">
        <v>2072</v>
      </c>
      <c r="L637" s="5" t="s">
        <v>183</v>
      </c>
      <c r="M637" s="23" t="s">
        <v>184</v>
      </c>
    </row>
    <row r="638" spans="2:13" ht="16" x14ac:dyDescent="0.3">
      <c r="B638" s="4">
        <v>632</v>
      </c>
      <c r="C638" s="4" t="s">
        <v>2073</v>
      </c>
      <c r="D638" s="4" t="s">
        <v>2074</v>
      </c>
      <c r="E638" s="4" t="s">
        <v>181</v>
      </c>
      <c r="F638" s="22">
        <v>2305165.9339999999</v>
      </c>
      <c r="G638" s="22">
        <v>585570.79799999995</v>
      </c>
      <c r="H638" s="11">
        <v>5.27</v>
      </c>
      <c r="I638" s="11">
        <v>4.33</v>
      </c>
      <c r="J638" s="6">
        <f t="shared" si="9"/>
        <v>0.9399999999999995</v>
      </c>
      <c r="K638" s="4" t="s">
        <v>2075</v>
      </c>
      <c r="L638" s="5" t="s">
        <v>183</v>
      </c>
      <c r="M638" s="23" t="s">
        <v>184</v>
      </c>
    </row>
    <row r="639" spans="2:13" ht="16" x14ac:dyDescent="0.3">
      <c r="B639" s="4">
        <v>633</v>
      </c>
      <c r="C639" s="4" t="s">
        <v>2076</v>
      </c>
      <c r="D639" s="4" t="s">
        <v>2077</v>
      </c>
      <c r="E639" s="4" t="s">
        <v>181</v>
      </c>
      <c r="F639" s="22">
        <v>2305132.0869999998</v>
      </c>
      <c r="G639" s="22">
        <v>585567.00699999998</v>
      </c>
      <c r="H639" s="11">
        <v>5.27</v>
      </c>
      <c r="I639" s="11">
        <v>4.42</v>
      </c>
      <c r="J639" s="6">
        <f t="shared" si="9"/>
        <v>0.84999999999999964</v>
      </c>
      <c r="K639" s="4" t="s">
        <v>2078</v>
      </c>
      <c r="L639" s="5" t="s">
        <v>183</v>
      </c>
      <c r="M639" s="23" t="s">
        <v>184</v>
      </c>
    </row>
    <row r="640" spans="2:13" ht="16" x14ac:dyDescent="0.3">
      <c r="B640" s="4">
        <v>634</v>
      </c>
      <c r="C640" s="4" t="s">
        <v>2079</v>
      </c>
      <c r="D640" s="4" t="s">
        <v>2080</v>
      </c>
      <c r="E640" s="4" t="s">
        <v>181</v>
      </c>
      <c r="F640" s="22">
        <v>2305153.682</v>
      </c>
      <c r="G640" s="22">
        <v>585552.52599999995</v>
      </c>
      <c r="H640" s="11">
        <v>5.27</v>
      </c>
      <c r="I640" s="11">
        <v>4.33</v>
      </c>
      <c r="J640" s="6">
        <f t="shared" si="9"/>
        <v>0.9399999999999995</v>
      </c>
      <c r="K640" s="4" t="s">
        <v>2081</v>
      </c>
      <c r="L640" s="5" t="s">
        <v>183</v>
      </c>
      <c r="M640" s="23" t="s">
        <v>184</v>
      </c>
    </row>
    <row r="641" spans="2:13" ht="16" x14ac:dyDescent="0.3">
      <c r="B641" s="4">
        <v>635</v>
      </c>
      <c r="C641" s="4" t="s">
        <v>2082</v>
      </c>
      <c r="D641" s="4" t="s">
        <v>2083</v>
      </c>
      <c r="E641" s="4" t="s">
        <v>181</v>
      </c>
      <c r="F641" s="22">
        <v>2305125.9610000001</v>
      </c>
      <c r="G641" s="22">
        <v>585557.87</v>
      </c>
      <c r="H641" s="11">
        <v>5.27</v>
      </c>
      <c r="I641" s="11">
        <v>4.42</v>
      </c>
      <c r="J641" s="6">
        <f t="shared" si="9"/>
        <v>0.84999999999999964</v>
      </c>
      <c r="K641" s="4" t="s">
        <v>2084</v>
      </c>
      <c r="L641" s="5" t="s">
        <v>183</v>
      </c>
      <c r="M641" s="23" t="s">
        <v>184</v>
      </c>
    </row>
    <row r="642" spans="2:13" ht="16" x14ac:dyDescent="0.3">
      <c r="B642" s="4">
        <v>636</v>
      </c>
      <c r="C642" s="4" t="s">
        <v>2085</v>
      </c>
      <c r="D642" s="4" t="s">
        <v>2086</v>
      </c>
      <c r="E642" s="4" t="s">
        <v>181</v>
      </c>
      <c r="F642" s="22">
        <v>2305147.5550000002</v>
      </c>
      <c r="G642" s="22">
        <v>585543.39</v>
      </c>
      <c r="H642" s="11">
        <v>5.27</v>
      </c>
      <c r="I642" s="11">
        <v>4.33</v>
      </c>
      <c r="J642" s="6">
        <f t="shared" si="9"/>
        <v>0.9399999999999995</v>
      </c>
      <c r="K642" s="4" t="s">
        <v>2087</v>
      </c>
      <c r="L642" s="5" t="s">
        <v>183</v>
      </c>
      <c r="M642" s="23" t="s">
        <v>184</v>
      </c>
    </row>
    <row r="643" spans="2:13" ht="16" x14ac:dyDescent="0.3">
      <c r="B643" s="4">
        <v>637</v>
      </c>
      <c r="C643" s="4" t="s">
        <v>2088</v>
      </c>
      <c r="D643" s="4" t="s">
        <v>2089</v>
      </c>
      <c r="E643" s="4" t="s">
        <v>181</v>
      </c>
      <c r="F643" s="22">
        <v>2305113.7080000001</v>
      </c>
      <c r="G643" s="22">
        <v>585539.598</v>
      </c>
      <c r="H643" s="11">
        <v>5.27</v>
      </c>
      <c r="I643" s="11">
        <v>4.42</v>
      </c>
      <c r="J643" s="6">
        <f t="shared" si="9"/>
        <v>0.84999999999999964</v>
      </c>
      <c r="K643" s="4" t="s">
        <v>2090</v>
      </c>
      <c r="L643" s="5" t="s">
        <v>183</v>
      </c>
      <c r="M643" s="23" t="s">
        <v>184</v>
      </c>
    </row>
    <row r="644" spans="2:13" ht="16" x14ac:dyDescent="0.3">
      <c r="B644" s="4">
        <v>638</v>
      </c>
      <c r="C644" s="4" t="s">
        <v>2091</v>
      </c>
      <c r="D644" s="4" t="s">
        <v>2092</v>
      </c>
      <c r="E644" s="4" t="s">
        <v>181</v>
      </c>
      <c r="F644" s="22">
        <v>2305135.3029999998</v>
      </c>
      <c r="G644" s="22">
        <v>585525.11800000002</v>
      </c>
      <c r="H644" s="11">
        <v>5.27</v>
      </c>
      <c r="I644" s="11">
        <v>4.33</v>
      </c>
      <c r="J644" s="6">
        <f t="shared" si="9"/>
        <v>0.9399999999999995</v>
      </c>
      <c r="K644" s="4" t="s">
        <v>2093</v>
      </c>
      <c r="L644" s="5" t="s">
        <v>183</v>
      </c>
      <c r="M644" s="23" t="s">
        <v>184</v>
      </c>
    </row>
    <row r="645" spans="2:13" ht="16" x14ac:dyDescent="0.3">
      <c r="B645" s="4">
        <v>639</v>
      </c>
      <c r="C645" s="4" t="s">
        <v>2094</v>
      </c>
      <c r="D645" s="4" t="s">
        <v>2095</v>
      </c>
      <c r="E645" s="4" t="s">
        <v>181</v>
      </c>
      <c r="F645" s="22">
        <v>2305107.5819999999</v>
      </c>
      <c r="G645" s="22">
        <v>585530.46200000006</v>
      </c>
      <c r="H645" s="11">
        <v>5.27</v>
      </c>
      <c r="I645" s="11">
        <v>4.42</v>
      </c>
      <c r="J645" s="6">
        <f t="shared" si="9"/>
        <v>0.84999999999999964</v>
      </c>
      <c r="K645" s="4" t="s">
        <v>2096</v>
      </c>
      <c r="L645" s="5" t="s">
        <v>183</v>
      </c>
      <c r="M645" s="23" t="s">
        <v>184</v>
      </c>
    </row>
    <row r="646" spans="2:13" ht="16" x14ac:dyDescent="0.3">
      <c r="B646" s="4">
        <v>640</v>
      </c>
      <c r="C646" s="4" t="s">
        <v>2097</v>
      </c>
      <c r="D646" s="4" t="s">
        <v>2098</v>
      </c>
      <c r="E646" s="4" t="s">
        <v>181</v>
      </c>
      <c r="F646" s="22">
        <v>2305129.176</v>
      </c>
      <c r="G646" s="22">
        <v>585515.98199999996</v>
      </c>
      <c r="H646" s="11">
        <v>5.27</v>
      </c>
      <c r="I646" s="11">
        <v>4.33</v>
      </c>
      <c r="J646" s="6">
        <f t="shared" si="9"/>
        <v>0.9399999999999995</v>
      </c>
      <c r="K646" s="4" t="s">
        <v>2099</v>
      </c>
      <c r="L646" s="5" t="s">
        <v>183</v>
      </c>
      <c r="M646" s="23" t="s">
        <v>184</v>
      </c>
    </row>
    <row r="647" spans="2:13" ht="16" x14ac:dyDescent="0.3">
      <c r="B647" s="4">
        <v>641</v>
      </c>
      <c r="C647" s="4" t="s">
        <v>2100</v>
      </c>
      <c r="D647" s="4" t="s">
        <v>2101</v>
      </c>
      <c r="E647" s="4" t="s">
        <v>181</v>
      </c>
      <c r="F647" s="22">
        <v>2305095.3289999999</v>
      </c>
      <c r="G647" s="22">
        <v>585512.18999999994</v>
      </c>
      <c r="H647" s="11">
        <v>5.27</v>
      </c>
      <c r="I647" s="11">
        <v>4.42</v>
      </c>
      <c r="J647" s="6">
        <f t="shared" ref="J647:J710" si="10">H647-I647</f>
        <v>0.84999999999999964</v>
      </c>
      <c r="K647" s="4" t="s">
        <v>2102</v>
      </c>
      <c r="L647" s="5" t="s">
        <v>183</v>
      </c>
      <c r="M647" s="23" t="s">
        <v>184</v>
      </c>
    </row>
    <row r="648" spans="2:13" ht="16" x14ac:dyDescent="0.3">
      <c r="B648" s="4">
        <v>642</v>
      </c>
      <c r="C648" s="4" t="s">
        <v>2103</v>
      </c>
      <c r="D648" s="4" t="s">
        <v>2104</v>
      </c>
      <c r="E648" s="4" t="s">
        <v>181</v>
      </c>
      <c r="F648" s="22">
        <v>2305116.923</v>
      </c>
      <c r="G648" s="22">
        <v>585497.71</v>
      </c>
      <c r="H648" s="11">
        <v>5.27</v>
      </c>
      <c r="I648" s="11">
        <v>4.33</v>
      </c>
      <c r="J648" s="6">
        <f t="shared" si="10"/>
        <v>0.9399999999999995</v>
      </c>
      <c r="K648" s="4" t="s">
        <v>2105</v>
      </c>
      <c r="L648" s="5" t="s">
        <v>183</v>
      </c>
      <c r="M648" s="23" t="s">
        <v>184</v>
      </c>
    </row>
    <row r="649" spans="2:13" ht="16" x14ac:dyDescent="0.3">
      <c r="B649" s="4">
        <v>643</v>
      </c>
      <c r="C649" s="4" t="s">
        <v>2106</v>
      </c>
      <c r="D649" s="4" t="s">
        <v>2107</v>
      </c>
      <c r="E649" s="4" t="s">
        <v>181</v>
      </c>
      <c r="F649" s="22">
        <v>2305374.997</v>
      </c>
      <c r="G649" s="22">
        <v>585729.20400000003</v>
      </c>
      <c r="H649" s="11">
        <v>5.27</v>
      </c>
      <c r="I649" s="11">
        <v>4.05</v>
      </c>
      <c r="J649" s="6">
        <f t="shared" si="10"/>
        <v>1.2199999999999998</v>
      </c>
      <c r="K649" s="4" t="s">
        <v>2108</v>
      </c>
      <c r="L649" s="5" t="s">
        <v>183</v>
      </c>
      <c r="M649" s="23" t="s">
        <v>184</v>
      </c>
    </row>
    <row r="650" spans="2:13" ht="16" x14ac:dyDescent="0.3">
      <c r="B650" s="4">
        <v>644</v>
      </c>
      <c r="C650" s="4" t="s">
        <v>2109</v>
      </c>
      <c r="D650" s="4" t="s">
        <v>2110</v>
      </c>
      <c r="E650" s="4" t="s">
        <v>181</v>
      </c>
      <c r="F650" s="22">
        <v>2305371.2510000002</v>
      </c>
      <c r="G650" s="22">
        <v>585711.60100000002</v>
      </c>
      <c r="H650" s="11">
        <v>5.31</v>
      </c>
      <c r="I650" s="11">
        <v>4</v>
      </c>
      <c r="J650" s="6">
        <f t="shared" si="10"/>
        <v>1.3099999999999996</v>
      </c>
      <c r="K650" s="4" t="s">
        <v>2111</v>
      </c>
      <c r="L650" s="5" t="s">
        <v>183</v>
      </c>
      <c r="M650" s="23" t="s">
        <v>184</v>
      </c>
    </row>
    <row r="651" spans="2:13" ht="16" x14ac:dyDescent="0.3">
      <c r="B651" s="4">
        <v>645</v>
      </c>
      <c r="C651" s="4" t="s">
        <v>2112</v>
      </c>
      <c r="D651" s="4" t="s">
        <v>2113</v>
      </c>
      <c r="E651" s="4" t="s">
        <v>181</v>
      </c>
      <c r="F651" s="22">
        <v>2305354.5040000002</v>
      </c>
      <c r="G651" s="22">
        <v>585686.50199999998</v>
      </c>
      <c r="H651" s="11">
        <v>5.31</v>
      </c>
      <c r="I651" s="11">
        <v>3.9</v>
      </c>
      <c r="J651" s="6">
        <f t="shared" si="10"/>
        <v>1.4099999999999997</v>
      </c>
      <c r="K651" s="4" t="s">
        <v>2114</v>
      </c>
      <c r="L651" s="5" t="s">
        <v>183</v>
      </c>
      <c r="M651" s="23" t="s">
        <v>184</v>
      </c>
    </row>
    <row r="652" spans="2:13" ht="16" x14ac:dyDescent="0.3">
      <c r="B652" s="4">
        <v>646</v>
      </c>
      <c r="C652" s="4" t="s">
        <v>2115</v>
      </c>
      <c r="D652" s="4" t="s">
        <v>2116</v>
      </c>
      <c r="E652" s="4" t="s">
        <v>181</v>
      </c>
      <c r="F652" s="22">
        <v>2305337.784</v>
      </c>
      <c r="G652" s="22">
        <v>585661.56700000004</v>
      </c>
      <c r="H652" s="11">
        <v>5.31</v>
      </c>
      <c r="I652" s="11">
        <v>3.8</v>
      </c>
      <c r="J652" s="6">
        <f t="shared" si="10"/>
        <v>1.5099999999999998</v>
      </c>
      <c r="K652" s="4" t="s">
        <v>2117</v>
      </c>
      <c r="L652" s="5" t="s">
        <v>254</v>
      </c>
      <c r="M652" s="23" t="s">
        <v>184</v>
      </c>
    </row>
    <row r="653" spans="2:13" ht="16" x14ac:dyDescent="0.3">
      <c r="B653" s="4">
        <v>647</v>
      </c>
      <c r="C653" s="4" t="s">
        <v>2118</v>
      </c>
      <c r="D653" s="4" t="s">
        <v>2119</v>
      </c>
      <c r="E653" s="4" t="s">
        <v>181</v>
      </c>
      <c r="F653" s="22">
        <v>2305115.3650000002</v>
      </c>
      <c r="G653" s="22">
        <v>585485.51</v>
      </c>
      <c r="H653" s="11">
        <v>5.27</v>
      </c>
      <c r="I653" s="11">
        <v>4.32</v>
      </c>
      <c r="J653" s="6">
        <f t="shared" si="10"/>
        <v>0.94999999999999929</v>
      </c>
      <c r="K653" s="4" t="s">
        <v>2120</v>
      </c>
      <c r="L653" s="5" t="s">
        <v>183</v>
      </c>
      <c r="M653" s="23" t="s">
        <v>184</v>
      </c>
    </row>
    <row r="654" spans="2:13" ht="16" x14ac:dyDescent="0.3">
      <c r="B654" s="4">
        <v>648</v>
      </c>
      <c r="C654" s="4" t="s">
        <v>2121</v>
      </c>
      <c r="D654" s="4" t="s">
        <v>2122</v>
      </c>
      <c r="E654" s="4" t="s">
        <v>181</v>
      </c>
      <c r="F654" s="22">
        <v>2305138.52</v>
      </c>
      <c r="G654" s="22">
        <v>585469.98400000005</v>
      </c>
      <c r="H654" s="11">
        <v>5.27</v>
      </c>
      <c r="I654" s="11">
        <v>4.2300000000000004</v>
      </c>
      <c r="J654" s="6">
        <f t="shared" si="10"/>
        <v>1.0399999999999991</v>
      </c>
      <c r="K654" s="4" t="s">
        <v>2123</v>
      </c>
      <c r="L654" s="5" t="s">
        <v>183</v>
      </c>
      <c r="M654" s="23" t="s">
        <v>184</v>
      </c>
    </row>
    <row r="655" spans="2:13" ht="16" x14ac:dyDescent="0.3">
      <c r="B655" s="4">
        <v>649</v>
      </c>
      <c r="C655" s="4" t="s">
        <v>2124</v>
      </c>
      <c r="D655" s="4" t="s">
        <v>2125</v>
      </c>
      <c r="E655" s="4" t="s">
        <v>181</v>
      </c>
      <c r="F655" s="22">
        <v>2305161.8760000002</v>
      </c>
      <c r="G655" s="22">
        <v>585454.32200000004</v>
      </c>
      <c r="H655" s="11">
        <v>5.27</v>
      </c>
      <c r="I655" s="11">
        <v>4.13</v>
      </c>
      <c r="J655" s="6">
        <f t="shared" si="10"/>
        <v>1.1399999999999997</v>
      </c>
      <c r="K655" s="4" t="s">
        <v>2126</v>
      </c>
      <c r="L655" s="5" t="s">
        <v>183</v>
      </c>
      <c r="M655" s="23" t="s">
        <v>184</v>
      </c>
    </row>
    <row r="656" spans="2:13" ht="16" x14ac:dyDescent="0.3">
      <c r="B656" s="4">
        <v>650</v>
      </c>
      <c r="C656" s="4" t="s">
        <v>2127</v>
      </c>
      <c r="D656" s="4" t="s">
        <v>1043</v>
      </c>
      <c r="E656" s="4" t="s">
        <v>181</v>
      </c>
      <c r="F656" s="22">
        <v>2305103.1120000002</v>
      </c>
      <c r="G656" s="22">
        <v>585467.23800000001</v>
      </c>
      <c r="H656" s="11">
        <v>5.27</v>
      </c>
      <c r="I656" s="11">
        <v>4.32</v>
      </c>
      <c r="J656" s="6">
        <f t="shared" si="10"/>
        <v>0.94999999999999929</v>
      </c>
      <c r="K656" s="4" t="s">
        <v>2128</v>
      </c>
      <c r="L656" s="5" t="s">
        <v>183</v>
      </c>
      <c r="M656" s="23" t="s">
        <v>184</v>
      </c>
    </row>
    <row r="657" spans="2:13" ht="16" x14ac:dyDescent="0.3">
      <c r="B657" s="4">
        <v>651</v>
      </c>
      <c r="C657" s="4" t="s">
        <v>2129</v>
      </c>
      <c r="D657" s="4" t="s">
        <v>1043</v>
      </c>
      <c r="E657" s="4" t="s">
        <v>181</v>
      </c>
      <c r="F657" s="22">
        <v>2305126.267</v>
      </c>
      <c r="G657" s="22">
        <v>585451.71100000001</v>
      </c>
      <c r="H657" s="11">
        <v>5.27</v>
      </c>
      <c r="I657" s="11">
        <v>4.2300000000000004</v>
      </c>
      <c r="J657" s="6">
        <f t="shared" si="10"/>
        <v>1.0399999999999991</v>
      </c>
      <c r="K657" s="4" t="s">
        <v>2130</v>
      </c>
      <c r="L657" s="5" t="s">
        <v>183</v>
      </c>
      <c r="M657" s="23" t="s">
        <v>184</v>
      </c>
    </row>
    <row r="658" spans="2:13" ht="16" x14ac:dyDescent="0.3">
      <c r="B658" s="4">
        <v>652</v>
      </c>
      <c r="C658" s="4" t="s">
        <v>2131</v>
      </c>
      <c r="D658" s="4" t="s">
        <v>1043</v>
      </c>
      <c r="E658" s="4" t="s">
        <v>181</v>
      </c>
      <c r="F658" s="22">
        <v>2305149.6230000001</v>
      </c>
      <c r="G658" s="22">
        <v>585436.049</v>
      </c>
      <c r="H658" s="11">
        <v>5.27</v>
      </c>
      <c r="I658" s="11">
        <v>4.13</v>
      </c>
      <c r="J658" s="6">
        <f t="shared" si="10"/>
        <v>1.1399999999999997</v>
      </c>
      <c r="K658" s="4" t="s">
        <v>2132</v>
      </c>
      <c r="L658" s="5" t="s">
        <v>183</v>
      </c>
      <c r="M658" s="23" t="s">
        <v>184</v>
      </c>
    </row>
    <row r="659" spans="2:13" ht="16" x14ac:dyDescent="0.3">
      <c r="B659" s="4">
        <v>653</v>
      </c>
      <c r="C659" s="4" t="s">
        <v>2133</v>
      </c>
      <c r="D659" s="4" t="s">
        <v>2134</v>
      </c>
      <c r="E659" s="4" t="s">
        <v>181</v>
      </c>
      <c r="F659" s="22">
        <v>2304911.0010000002</v>
      </c>
      <c r="G659" s="22">
        <v>585547.924</v>
      </c>
      <c r="H659" s="11">
        <v>5.21</v>
      </c>
      <c r="I659" s="11">
        <v>4.3600000000000003</v>
      </c>
      <c r="J659" s="6">
        <f t="shared" si="10"/>
        <v>0.84999999999999964</v>
      </c>
      <c r="K659" s="4" t="s">
        <v>2135</v>
      </c>
      <c r="L659" s="5" t="s">
        <v>183</v>
      </c>
      <c r="M659" s="23" t="s">
        <v>184</v>
      </c>
    </row>
    <row r="660" spans="2:13" ht="16" x14ac:dyDescent="0.3">
      <c r="B660" s="4">
        <v>654</v>
      </c>
      <c r="C660" s="4" t="s">
        <v>2136</v>
      </c>
      <c r="D660" s="4" t="s">
        <v>2137</v>
      </c>
      <c r="E660" s="4" t="s">
        <v>181</v>
      </c>
      <c r="F660" s="22">
        <v>2304931.77</v>
      </c>
      <c r="G660" s="22">
        <v>585533.97400000005</v>
      </c>
      <c r="H660" s="11">
        <v>5.21</v>
      </c>
      <c r="I660" s="11">
        <v>4.28</v>
      </c>
      <c r="J660" s="6">
        <f t="shared" si="10"/>
        <v>0.92999999999999972</v>
      </c>
      <c r="K660" s="4" t="s">
        <v>2138</v>
      </c>
      <c r="L660" s="5" t="s">
        <v>183</v>
      </c>
      <c r="M660" s="23" t="s">
        <v>184</v>
      </c>
    </row>
    <row r="661" spans="2:13" ht="16" x14ac:dyDescent="0.3">
      <c r="B661" s="4">
        <v>655</v>
      </c>
      <c r="C661" s="4" t="s">
        <v>2139</v>
      </c>
      <c r="D661" s="4" t="s">
        <v>2140</v>
      </c>
      <c r="E661" s="4" t="s">
        <v>181</v>
      </c>
      <c r="F661" s="22">
        <v>2304953.375</v>
      </c>
      <c r="G661" s="22">
        <v>585519.50899999996</v>
      </c>
      <c r="H661" s="11">
        <v>5.21</v>
      </c>
      <c r="I661" s="11">
        <v>4.1900000000000004</v>
      </c>
      <c r="J661" s="6">
        <f t="shared" si="10"/>
        <v>1.0199999999999996</v>
      </c>
      <c r="K661" s="4" t="s">
        <v>2141</v>
      </c>
      <c r="L661" s="5" t="s">
        <v>183</v>
      </c>
      <c r="M661" s="23" t="s">
        <v>184</v>
      </c>
    </row>
    <row r="662" spans="2:13" ht="16" x14ac:dyDescent="0.3">
      <c r="B662" s="4">
        <v>656</v>
      </c>
      <c r="C662" s="4" t="s">
        <v>2142</v>
      </c>
      <c r="D662" s="4" t="s">
        <v>2143</v>
      </c>
      <c r="E662" s="4" t="s">
        <v>181</v>
      </c>
      <c r="F662" s="22">
        <v>2304974.969</v>
      </c>
      <c r="G662" s="22">
        <v>585505.02899999998</v>
      </c>
      <c r="H662" s="11">
        <v>5.21</v>
      </c>
      <c r="I662" s="11">
        <v>4.1100000000000003</v>
      </c>
      <c r="J662" s="6">
        <f t="shared" si="10"/>
        <v>1.0999999999999996</v>
      </c>
      <c r="K662" s="4" t="s">
        <v>2144</v>
      </c>
      <c r="L662" s="5" t="s">
        <v>183</v>
      </c>
      <c r="M662" s="23" t="s">
        <v>184</v>
      </c>
    </row>
    <row r="663" spans="2:13" ht="16" x14ac:dyDescent="0.3">
      <c r="B663" s="4">
        <v>657</v>
      </c>
      <c r="C663" s="4" t="s">
        <v>2145</v>
      </c>
      <c r="D663" s="4" t="s">
        <v>2146</v>
      </c>
      <c r="E663" s="4" t="s">
        <v>181</v>
      </c>
      <c r="F663" s="22">
        <v>2304998.5690000001</v>
      </c>
      <c r="G663" s="22">
        <v>585489.20400000003</v>
      </c>
      <c r="H663" s="11">
        <v>5.21</v>
      </c>
      <c r="I663" s="11">
        <v>4.01</v>
      </c>
      <c r="J663" s="6">
        <f t="shared" si="10"/>
        <v>1.2000000000000002</v>
      </c>
      <c r="K663" s="4" t="s">
        <v>2147</v>
      </c>
      <c r="L663" s="5" t="s">
        <v>183</v>
      </c>
      <c r="M663" s="23" t="s">
        <v>184</v>
      </c>
    </row>
    <row r="664" spans="2:13" ht="16" x14ac:dyDescent="0.3">
      <c r="B664" s="4">
        <v>658</v>
      </c>
      <c r="C664" s="4" t="s">
        <v>2148</v>
      </c>
      <c r="D664" s="4" t="s">
        <v>2149</v>
      </c>
      <c r="E664" s="4" t="s">
        <v>181</v>
      </c>
      <c r="F664" s="22">
        <v>2305017.6260000002</v>
      </c>
      <c r="G664" s="22">
        <v>585505.79799999995</v>
      </c>
      <c r="H664" s="11">
        <v>5.27</v>
      </c>
      <c r="I664" s="11">
        <v>2.3199999999999998</v>
      </c>
      <c r="J664" s="6">
        <f t="shared" si="10"/>
        <v>2.9499999999999997</v>
      </c>
      <c r="K664" s="4" t="s">
        <v>2150</v>
      </c>
      <c r="L664" s="5" t="s">
        <v>300</v>
      </c>
      <c r="M664" s="23" t="s">
        <v>184</v>
      </c>
    </row>
    <row r="665" spans="2:13" ht="16" x14ac:dyDescent="0.3">
      <c r="B665" s="4">
        <v>659</v>
      </c>
      <c r="C665" s="4" t="s">
        <v>2151</v>
      </c>
      <c r="D665" s="4" t="s">
        <v>2152</v>
      </c>
      <c r="E665" s="4" t="s">
        <v>181</v>
      </c>
      <c r="F665" s="22">
        <v>2305048.6839999999</v>
      </c>
      <c r="G665" s="22">
        <v>585488.70400000003</v>
      </c>
      <c r="H665" s="11">
        <v>5.18</v>
      </c>
      <c r="I665" s="11">
        <v>2.2000000000000002</v>
      </c>
      <c r="J665" s="6">
        <f t="shared" si="10"/>
        <v>2.9799999999999995</v>
      </c>
      <c r="K665" s="4" t="s">
        <v>2153</v>
      </c>
      <c r="L665" s="5" t="s">
        <v>300</v>
      </c>
      <c r="M665" s="23" t="s">
        <v>184</v>
      </c>
    </row>
    <row r="666" spans="2:13" ht="16" x14ac:dyDescent="0.3">
      <c r="B666" s="4">
        <v>660</v>
      </c>
      <c r="C666" s="4" t="s">
        <v>2154</v>
      </c>
      <c r="D666" s="4" t="s">
        <v>2155</v>
      </c>
      <c r="E666" s="4" t="s">
        <v>181</v>
      </c>
      <c r="F666" s="22">
        <v>2305071.2590000001</v>
      </c>
      <c r="G666" s="22">
        <v>585475.35400000005</v>
      </c>
      <c r="H666" s="11">
        <v>5.27</v>
      </c>
      <c r="I666" s="11">
        <v>2.11</v>
      </c>
      <c r="J666" s="6">
        <f t="shared" si="10"/>
        <v>3.1599999999999997</v>
      </c>
      <c r="K666" s="4" t="s">
        <v>2156</v>
      </c>
      <c r="L666" s="5" t="s">
        <v>300</v>
      </c>
      <c r="M666" s="23" t="s">
        <v>184</v>
      </c>
    </row>
    <row r="667" spans="2:13" ht="16" x14ac:dyDescent="0.3">
      <c r="B667" s="4">
        <v>661</v>
      </c>
      <c r="C667" s="4" t="s">
        <v>2157</v>
      </c>
      <c r="D667" s="4" t="s">
        <v>2158</v>
      </c>
      <c r="E667" s="4" t="s">
        <v>181</v>
      </c>
      <c r="F667" s="22">
        <v>2305094.514</v>
      </c>
      <c r="G667" s="22">
        <v>585459.76</v>
      </c>
      <c r="H667" s="11">
        <v>5.27</v>
      </c>
      <c r="I667" s="11">
        <v>2.02</v>
      </c>
      <c r="J667" s="6">
        <f t="shared" si="10"/>
        <v>3.2499999999999996</v>
      </c>
      <c r="K667" s="4" t="s">
        <v>2159</v>
      </c>
      <c r="L667" s="5" t="s">
        <v>300</v>
      </c>
      <c r="M667" s="23" t="s">
        <v>184</v>
      </c>
    </row>
    <row r="668" spans="2:13" ht="16" x14ac:dyDescent="0.3">
      <c r="B668" s="4">
        <v>662</v>
      </c>
      <c r="C668" s="4" t="s">
        <v>2160</v>
      </c>
      <c r="D668" s="4" t="s">
        <v>2161</v>
      </c>
      <c r="E668" s="4" t="s">
        <v>181</v>
      </c>
      <c r="F668" s="22">
        <v>2305117.7689999999</v>
      </c>
      <c r="G668" s="22">
        <v>585444.16599999997</v>
      </c>
      <c r="H668" s="11">
        <v>5.27</v>
      </c>
      <c r="I668" s="11">
        <v>1.93</v>
      </c>
      <c r="J668" s="6">
        <f t="shared" si="10"/>
        <v>3.34</v>
      </c>
      <c r="K668" s="4" t="s">
        <v>2162</v>
      </c>
      <c r="L668" s="5" t="s">
        <v>300</v>
      </c>
      <c r="M668" s="23" t="s">
        <v>184</v>
      </c>
    </row>
    <row r="669" spans="2:13" ht="16" x14ac:dyDescent="0.3">
      <c r="B669" s="4">
        <v>663</v>
      </c>
      <c r="C669" s="4" t="s">
        <v>2163</v>
      </c>
      <c r="D669" s="4" t="s">
        <v>2164</v>
      </c>
      <c r="E669" s="4" t="s">
        <v>181</v>
      </c>
      <c r="F669" s="22">
        <v>2305143.517</v>
      </c>
      <c r="G669" s="22">
        <v>585426.9</v>
      </c>
      <c r="H669" s="11">
        <v>5.27</v>
      </c>
      <c r="I669" s="11">
        <v>1.83</v>
      </c>
      <c r="J669" s="6">
        <f t="shared" si="10"/>
        <v>3.4399999999999995</v>
      </c>
      <c r="K669" s="4" t="s">
        <v>2165</v>
      </c>
      <c r="L669" s="5" t="s">
        <v>300</v>
      </c>
      <c r="M669" s="23" t="s">
        <v>184</v>
      </c>
    </row>
    <row r="670" spans="2:13" ht="16" x14ac:dyDescent="0.3">
      <c r="B670" s="4">
        <v>664</v>
      </c>
      <c r="C670" s="4" t="s">
        <v>2166</v>
      </c>
      <c r="D670" s="4" t="s">
        <v>2167</v>
      </c>
      <c r="E670" s="4" t="s">
        <v>181</v>
      </c>
      <c r="F670" s="22">
        <v>2305055.3080000002</v>
      </c>
      <c r="G670" s="22">
        <v>585451.15599999996</v>
      </c>
      <c r="H670" s="11">
        <v>5.21</v>
      </c>
      <c r="I670" s="11">
        <v>4.3600000000000003</v>
      </c>
      <c r="J670" s="6">
        <f t="shared" si="10"/>
        <v>0.84999999999999964</v>
      </c>
      <c r="K670" s="4" t="s">
        <v>2168</v>
      </c>
      <c r="L670" s="5" t="s">
        <v>183</v>
      </c>
      <c r="M670" s="23" t="s">
        <v>184</v>
      </c>
    </row>
    <row r="671" spans="2:13" ht="16" x14ac:dyDescent="0.3">
      <c r="B671" s="4">
        <v>665</v>
      </c>
      <c r="C671" s="4" t="s">
        <v>2169</v>
      </c>
      <c r="D671" s="4" t="s">
        <v>2170</v>
      </c>
      <c r="E671" s="4" t="s">
        <v>181</v>
      </c>
      <c r="F671" s="22">
        <v>2305078.3840000001</v>
      </c>
      <c r="G671" s="22">
        <v>585435.56499999994</v>
      </c>
      <c r="H671" s="11">
        <v>5.21</v>
      </c>
      <c r="I671" s="11">
        <v>4.2699999999999996</v>
      </c>
      <c r="J671" s="6">
        <f t="shared" si="10"/>
        <v>0.94000000000000039</v>
      </c>
      <c r="K671" s="4" t="s">
        <v>2171</v>
      </c>
      <c r="L671" s="5" t="s">
        <v>183</v>
      </c>
      <c r="M671" s="23" t="s">
        <v>184</v>
      </c>
    </row>
    <row r="672" spans="2:13" ht="16" x14ac:dyDescent="0.3">
      <c r="B672" s="4">
        <v>666</v>
      </c>
      <c r="C672" s="4" t="s">
        <v>2172</v>
      </c>
      <c r="D672" s="4" t="s">
        <v>2173</v>
      </c>
      <c r="E672" s="4" t="s">
        <v>181</v>
      </c>
      <c r="F672" s="22">
        <v>2305101.6290000002</v>
      </c>
      <c r="G672" s="22">
        <v>585420.09499999997</v>
      </c>
      <c r="H672" s="11">
        <v>5.21</v>
      </c>
      <c r="I672" s="11">
        <v>4.18</v>
      </c>
      <c r="J672" s="6">
        <f t="shared" si="10"/>
        <v>1.0300000000000002</v>
      </c>
      <c r="K672" s="4" t="s">
        <v>2174</v>
      </c>
      <c r="L672" s="5" t="s">
        <v>183</v>
      </c>
      <c r="M672" s="23" t="s">
        <v>184</v>
      </c>
    </row>
    <row r="673" spans="2:13" ht="16" x14ac:dyDescent="0.3">
      <c r="B673" s="4">
        <v>667</v>
      </c>
      <c r="C673" s="4" t="s">
        <v>2175</v>
      </c>
      <c r="D673" s="4" t="s">
        <v>2176</v>
      </c>
      <c r="E673" s="4" t="s">
        <v>181</v>
      </c>
      <c r="F673" s="22">
        <v>2305127.3650000002</v>
      </c>
      <c r="G673" s="22">
        <v>585402.81400000001</v>
      </c>
      <c r="H673" s="11">
        <v>5.21</v>
      </c>
      <c r="I673" s="11">
        <v>4.07</v>
      </c>
      <c r="J673" s="6">
        <f t="shared" si="10"/>
        <v>1.1399999999999997</v>
      </c>
      <c r="K673" s="4" t="s">
        <v>2177</v>
      </c>
      <c r="L673" s="5" t="s">
        <v>183</v>
      </c>
      <c r="M673" s="23" t="s">
        <v>184</v>
      </c>
    </row>
    <row r="674" spans="2:13" ht="16" x14ac:dyDescent="0.3">
      <c r="B674" s="4">
        <v>668</v>
      </c>
      <c r="C674" s="4" t="s">
        <v>2178</v>
      </c>
      <c r="D674" s="4" t="s">
        <v>2179</v>
      </c>
      <c r="E674" s="4" t="s">
        <v>181</v>
      </c>
      <c r="F674" s="22">
        <v>2305158.2659999998</v>
      </c>
      <c r="G674" s="22">
        <v>585394.13300000003</v>
      </c>
      <c r="H674" s="11">
        <v>5.31</v>
      </c>
      <c r="I674" s="11">
        <v>1.68</v>
      </c>
      <c r="J674" s="6">
        <f t="shared" si="10"/>
        <v>3.63</v>
      </c>
      <c r="K674" s="4" t="s">
        <v>2180</v>
      </c>
      <c r="L674" s="5" t="s">
        <v>300</v>
      </c>
      <c r="M674" s="24" t="s">
        <v>304</v>
      </c>
    </row>
    <row r="675" spans="2:13" ht="16" x14ac:dyDescent="0.3">
      <c r="B675" s="4">
        <v>669</v>
      </c>
      <c r="C675" s="4" t="s">
        <v>2181</v>
      </c>
      <c r="D675" s="4" t="s">
        <v>2182</v>
      </c>
      <c r="E675" s="4" t="s">
        <v>181</v>
      </c>
      <c r="F675" s="22">
        <v>2305207.3650000002</v>
      </c>
      <c r="G675" s="22">
        <v>585467.39300000004</v>
      </c>
      <c r="H675" s="11">
        <v>5.31</v>
      </c>
      <c r="I675" s="11">
        <v>2.97</v>
      </c>
      <c r="J675" s="6">
        <f t="shared" si="10"/>
        <v>2.3399999999999994</v>
      </c>
      <c r="K675" s="4" t="s">
        <v>2183</v>
      </c>
      <c r="L675" s="5" t="s">
        <v>254</v>
      </c>
      <c r="M675" s="23" t="s">
        <v>184</v>
      </c>
    </row>
    <row r="676" spans="2:13" ht="16" x14ac:dyDescent="0.3">
      <c r="B676" s="4">
        <v>670</v>
      </c>
      <c r="C676" s="4" t="s">
        <v>2184</v>
      </c>
      <c r="D676" s="4" t="s">
        <v>2185</v>
      </c>
      <c r="E676" s="4" t="s">
        <v>181</v>
      </c>
      <c r="F676" s="22">
        <v>2305162.4709999999</v>
      </c>
      <c r="G676" s="22">
        <v>585467.16700000002</v>
      </c>
      <c r="H676" s="11">
        <v>5.27</v>
      </c>
      <c r="I676" s="11">
        <v>3.74</v>
      </c>
      <c r="J676" s="6">
        <f t="shared" si="10"/>
        <v>1.5299999999999994</v>
      </c>
      <c r="K676" s="4" t="s">
        <v>2186</v>
      </c>
      <c r="L676" s="5" t="s">
        <v>254</v>
      </c>
      <c r="M676" s="23" t="s">
        <v>184</v>
      </c>
    </row>
    <row r="677" spans="2:13" ht="16" x14ac:dyDescent="0.3">
      <c r="B677" s="4">
        <v>671</v>
      </c>
      <c r="C677" s="4" t="s">
        <v>2187</v>
      </c>
      <c r="D677" s="4" t="s">
        <v>2188</v>
      </c>
      <c r="E677" s="4" t="s">
        <v>181</v>
      </c>
      <c r="F677" s="22">
        <v>2304821.327</v>
      </c>
      <c r="G677" s="22">
        <v>585608.01699999999</v>
      </c>
      <c r="H677" s="11">
        <v>5.1100000000000003</v>
      </c>
      <c r="I677" s="11">
        <v>4.18</v>
      </c>
      <c r="J677" s="6">
        <f t="shared" si="10"/>
        <v>0.9300000000000006</v>
      </c>
      <c r="K677" s="4" t="s">
        <v>2189</v>
      </c>
      <c r="L677" s="5" t="s">
        <v>183</v>
      </c>
      <c r="M677" s="23" t="s">
        <v>184</v>
      </c>
    </row>
    <row r="678" spans="2:13" ht="16" x14ac:dyDescent="0.3">
      <c r="B678" s="4">
        <v>672</v>
      </c>
      <c r="C678" s="4" t="s">
        <v>2190</v>
      </c>
      <c r="D678" s="4" t="s">
        <v>2191</v>
      </c>
      <c r="E678" s="4" t="s">
        <v>181</v>
      </c>
      <c r="F678" s="22">
        <v>2304842.929</v>
      </c>
      <c r="G678" s="22">
        <v>585593.54799999995</v>
      </c>
      <c r="H678" s="11">
        <v>5.1100000000000003</v>
      </c>
      <c r="I678" s="11">
        <v>4.09</v>
      </c>
      <c r="J678" s="6">
        <f t="shared" si="10"/>
        <v>1.0200000000000005</v>
      </c>
      <c r="K678" s="4" t="s">
        <v>2192</v>
      </c>
      <c r="L678" s="5" t="s">
        <v>183</v>
      </c>
      <c r="M678" s="23" t="s">
        <v>184</v>
      </c>
    </row>
    <row r="679" spans="2:13" ht="16" x14ac:dyDescent="0.3">
      <c r="B679" s="4">
        <v>673</v>
      </c>
      <c r="C679" s="4" t="s">
        <v>2193</v>
      </c>
      <c r="D679" s="4" t="s">
        <v>2194</v>
      </c>
      <c r="E679" s="4" t="s">
        <v>181</v>
      </c>
      <c r="F679" s="22">
        <v>2304864.5159999998</v>
      </c>
      <c r="G679" s="22">
        <v>585579.05599999998</v>
      </c>
      <c r="H679" s="11">
        <v>5.1100000000000003</v>
      </c>
      <c r="I679" s="11">
        <v>4.01</v>
      </c>
      <c r="J679" s="6">
        <f t="shared" si="10"/>
        <v>1.1000000000000005</v>
      </c>
      <c r="K679" s="4" t="s">
        <v>2195</v>
      </c>
      <c r="L679" s="5" t="s">
        <v>183</v>
      </c>
      <c r="M679" s="23" t="s">
        <v>184</v>
      </c>
    </row>
    <row r="680" spans="2:13" ht="16" x14ac:dyDescent="0.3">
      <c r="B680" s="4">
        <v>674</v>
      </c>
      <c r="C680" s="4" t="s">
        <v>2196</v>
      </c>
      <c r="D680" s="4" t="s">
        <v>2197</v>
      </c>
      <c r="E680" s="4" t="s">
        <v>181</v>
      </c>
      <c r="F680" s="22">
        <v>2304883.9939999999</v>
      </c>
      <c r="G680" s="22">
        <v>585566.01199999999</v>
      </c>
      <c r="H680" s="11">
        <v>5.1100000000000003</v>
      </c>
      <c r="I680" s="11">
        <v>3.93</v>
      </c>
      <c r="J680" s="6">
        <f t="shared" si="10"/>
        <v>1.1800000000000002</v>
      </c>
      <c r="K680" s="4" t="s">
        <v>2198</v>
      </c>
      <c r="L680" s="5" t="s">
        <v>183</v>
      </c>
      <c r="M680" s="23" t="s">
        <v>184</v>
      </c>
    </row>
    <row r="681" spans="2:13" ht="16" x14ac:dyDescent="0.3">
      <c r="B681" s="4">
        <v>675</v>
      </c>
      <c r="C681" s="4" t="s">
        <v>2199</v>
      </c>
      <c r="D681" s="4" t="s">
        <v>2200</v>
      </c>
      <c r="E681" s="4" t="s">
        <v>181</v>
      </c>
      <c r="F681" s="22">
        <v>2304903.014</v>
      </c>
      <c r="G681" s="22">
        <v>585582.60199999996</v>
      </c>
      <c r="H681" s="11">
        <v>5.17</v>
      </c>
      <c r="I681" s="11">
        <v>2.78</v>
      </c>
      <c r="J681" s="6">
        <f t="shared" si="10"/>
        <v>2.39</v>
      </c>
      <c r="K681" s="4" t="s">
        <v>2201</v>
      </c>
      <c r="L681" s="5" t="s">
        <v>254</v>
      </c>
      <c r="M681" s="23" t="s">
        <v>184</v>
      </c>
    </row>
    <row r="682" spans="2:13" ht="16" x14ac:dyDescent="0.3">
      <c r="B682" s="4">
        <v>676</v>
      </c>
      <c r="C682" s="4" t="s">
        <v>2202</v>
      </c>
      <c r="D682" s="4" t="s">
        <v>2203</v>
      </c>
      <c r="E682" s="4" t="s">
        <v>181</v>
      </c>
      <c r="F682" s="22">
        <v>2304927.1310000001</v>
      </c>
      <c r="G682" s="22">
        <v>585571.98499999999</v>
      </c>
      <c r="H682" s="11">
        <v>5.27</v>
      </c>
      <c r="I682" s="11">
        <v>2.69</v>
      </c>
      <c r="J682" s="6">
        <f t="shared" si="10"/>
        <v>2.5799999999999996</v>
      </c>
      <c r="K682" s="4" t="s">
        <v>2204</v>
      </c>
      <c r="L682" s="5" t="s">
        <v>300</v>
      </c>
      <c r="M682" s="23" t="s">
        <v>184</v>
      </c>
    </row>
    <row r="683" spans="2:13" ht="16" x14ac:dyDescent="0.3">
      <c r="B683" s="4">
        <v>677</v>
      </c>
      <c r="C683" s="4" t="s">
        <v>2205</v>
      </c>
      <c r="D683" s="4" t="s">
        <v>2206</v>
      </c>
      <c r="E683" s="4" t="s">
        <v>181</v>
      </c>
      <c r="F683" s="22">
        <v>2304947.8939999999</v>
      </c>
      <c r="G683" s="22">
        <v>585558.06200000003</v>
      </c>
      <c r="H683" s="11">
        <v>5.27</v>
      </c>
      <c r="I683" s="11">
        <v>2.61</v>
      </c>
      <c r="J683" s="6">
        <f t="shared" si="10"/>
        <v>2.6599999999999997</v>
      </c>
      <c r="K683" s="4" t="s">
        <v>2207</v>
      </c>
      <c r="L683" s="5" t="s">
        <v>300</v>
      </c>
      <c r="M683" s="23" t="s">
        <v>184</v>
      </c>
    </row>
    <row r="684" spans="2:13" ht="16" x14ac:dyDescent="0.3">
      <c r="B684" s="4">
        <v>678</v>
      </c>
      <c r="C684" s="4" t="s">
        <v>2208</v>
      </c>
      <c r="D684" s="4" t="s">
        <v>2209</v>
      </c>
      <c r="E684" s="4" t="s">
        <v>181</v>
      </c>
      <c r="F684" s="22">
        <v>2304969.4890000001</v>
      </c>
      <c r="G684" s="22">
        <v>585543.58100000001</v>
      </c>
      <c r="H684" s="11">
        <v>5.27</v>
      </c>
      <c r="I684" s="11">
        <v>2.52</v>
      </c>
      <c r="J684" s="6">
        <f t="shared" si="10"/>
        <v>2.7499999999999996</v>
      </c>
      <c r="K684" s="4" t="s">
        <v>2210</v>
      </c>
      <c r="L684" s="5" t="s">
        <v>300</v>
      </c>
      <c r="M684" s="23" t="s">
        <v>184</v>
      </c>
    </row>
    <row r="685" spans="2:13" ht="16" x14ac:dyDescent="0.3">
      <c r="B685" s="4">
        <v>679</v>
      </c>
      <c r="C685" s="4" t="s">
        <v>2211</v>
      </c>
      <c r="D685" s="4" t="s">
        <v>2212</v>
      </c>
      <c r="E685" s="4" t="s">
        <v>181</v>
      </c>
      <c r="F685" s="22">
        <v>2304991.0830000001</v>
      </c>
      <c r="G685" s="22">
        <v>585529.10100000002</v>
      </c>
      <c r="H685" s="11">
        <v>5.27</v>
      </c>
      <c r="I685" s="11">
        <v>2.44</v>
      </c>
      <c r="J685" s="6">
        <f t="shared" si="10"/>
        <v>2.8299999999999996</v>
      </c>
      <c r="K685" s="4" t="s">
        <v>2213</v>
      </c>
      <c r="L685" s="5" t="s">
        <v>300</v>
      </c>
      <c r="M685" s="23" t="s">
        <v>184</v>
      </c>
    </row>
    <row r="686" spans="2:13" ht="16" x14ac:dyDescent="0.3">
      <c r="B686" s="4">
        <v>680</v>
      </c>
      <c r="C686" s="4" t="s">
        <v>2214</v>
      </c>
      <c r="D686" s="4" t="s">
        <v>2215</v>
      </c>
      <c r="E686" s="4" t="s">
        <v>181</v>
      </c>
      <c r="F686" s="22">
        <v>2304975.7080000001</v>
      </c>
      <c r="G686" s="22">
        <v>585592.40399999998</v>
      </c>
      <c r="H686" s="11">
        <v>5.27</v>
      </c>
      <c r="I686" s="11">
        <v>4.32</v>
      </c>
      <c r="J686" s="6">
        <f t="shared" si="10"/>
        <v>0.94999999999999929</v>
      </c>
      <c r="K686" s="4" t="s">
        <v>2216</v>
      </c>
      <c r="L686" s="5" t="s">
        <v>183</v>
      </c>
      <c r="M686" s="23" t="s">
        <v>184</v>
      </c>
    </row>
    <row r="687" spans="2:13" ht="16" x14ac:dyDescent="0.3">
      <c r="B687" s="4">
        <v>681</v>
      </c>
      <c r="C687" s="4" t="s">
        <v>2217</v>
      </c>
      <c r="D687" s="4" t="s">
        <v>2218</v>
      </c>
      <c r="E687" s="4" t="s">
        <v>181</v>
      </c>
      <c r="F687" s="22">
        <v>2305003.125</v>
      </c>
      <c r="G687" s="22">
        <v>585574.02</v>
      </c>
      <c r="H687" s="11">
        <v>5.27</v>
      </c>
      <c r="I687" s="11">
        <v>4.21</v>
      </c>
      <c r="J687" s="6">
        <f t="shared" si="10"/>
        <v>1.0599999999999996</v>
      </c>
      <c r="K687" s="4" t="s">
        <v>2219</v>
      </c>
      <c r="L687" s="5" t="s">
        <v>183</v>
      </c>
      <c r="M687" s="23" t="s">
        <v>184</v>
      </c>
    </row>
    <row r="688" spans="2:13" ht="16" x14ac:dyDescent="0.3">
      <c r="B688" s="4">
        <v>682</v>
      </c>
      <c r="C688" s="4" t="s">
        <v>2220</v>
      </c>
      <c r="D688" s="4" t="s">
        <v>2221</v>
      </c>
      <c r="E688" s="4" t="s">
        <v>181</v>
      </c>
      <c r="F688" s="22">
        <v>2305024.6749999998</v>
      </c>
      <c r="G688" s="22">
        <v>585559.56900000002</v>
      </c>
      <c r="H688" s="11">
        <v>5.27</v>
      </c>
      <c r="I688" s="11">
        <v>4.13</v>
      </c>
      <c r="J688" s="6">
        <f t="shared" si="10"/>
        <v>1.1399999999999997</v>
      </c>
      <c r="K688" s="4" t="s">
        <v>2222</v>
      </c>
      <c r="L688" s="5" t="s">
        <v>183</v>
      </c>
      <c r="M688" s="23" t="s">
        <v>184</v>
      </c>
    </row>
    <row r="689" spans="2:13" ht="16" x14ac:dyDescent="0.3">
      <c r="B689" s="4">
        <v>683</v>
      </c>
      <c r="C689" s="4" t="s">
        <v>2223</v>
      </c>
      <c r="D689" s="4" t="s">
        <v>2224</v>
      </c>
      <c r="E689" s="4" t="s">
        <v>181</v>
      </c>
      <c r="F689" s="22">
        <v>2304954.1060000001</v>
      </c>
      <c r="G689" s="22">
        <v>585567.25399999996</v>
      </c>
      <c r="H689" s="11">
        <v>5.27</v>
      </c>
      <c r="I689" s="11">
        <v>4.34</v>
      </c>
      <c r="J689" s="6">
        <f t="shared" si="10"/>
        <v>0.92999999999999972</v>
      </c>
      <c r="K689" s="4" t="s">
        <v>2225</v>
      </c>
      <c r="L689" s="5" t="s">
        <v>183</v>
      </c>
      <c r="M689" s="23" t="s">
        <v>184</v>
      </c>
    </row>
    <row r="690" spans="2:13" ht="16" x14ac:dyDescent="0.3">
      <c r="B690" s="4">
        <v>684</v>
      </c>
      <c r="C690" s="4" t="s">
        <v>2226</v>
      </c>
      <c r="D690" s="4" t="s">
        <v>2227</v>
      </c>
      <c r="E690" s="4" t="s">
        <v>181</v>
      </c>
      <c r="F690" s="22">
        <v>2304975.656</v>
      </c>
      <c r="G690" s="22">
        <v>585552.70700000005</v>
      </c>
      <c r="H690" s="11">
        <v>5.27</v>
      </c>
      <c r="I690" s="11">
        <v>4.25</v>
      </c>
      <c r="J690" s="6">
        <f t="shared" si="10"/>
        <v>1.0199999999999996</v>
      </c>
      <c r="K690" s="4" t="s">
        <v>2228</v>
      </c>
      <c r="L690" s="5" t="s">
        <v>183</v>
      </c>
      <c r="M690" s="23" t="s">
        <v>184</v>
      </c>
    </row>
    <row r="691" spans="2:13" ht="16" x14ac:dyDescent="0.3">
      <c r="B691" s="4">
        <v>685</v>
      </c>
      <c r="C691" s="4" t="s">
        <v>2229</v>
      </c>
      <c r="D691" s="4" t="s">
        <v>2230</v>
      </c>
      <c r="E691" s="4" t="s">
        <v>181</v>
      </c>
      <c r="F691" s="22">
        <v>2304997.25</v>
      </c>
      <c r="G691" s="22">
        <v>585538.22600000002</v>
      </c>
      <c r="H691" s="11">
        <v>5.27</v>
      </c>
      <c r="I691" s="11">
        <v>4.17</v>
      </c>
      <c r="J691" s="6">
        <f t="shared" si="10"/>
        <v>1.0999999999999996</v>
      </c>
      <c r="K691" s="4" t="s">
        <v>2231</v>
      </c>
      <c r="L691" s="5" t="s">
        <v>183</v>
      </c>
      <c r="M691" s="23" t="s">
        <v>184</v>
      </c>
    </row>
    <row r="692" spans="2:13" ht="16" x14ac:dyDescent="0.3">
      <c r="B692" s="4">
        <v>686</v>
      </c>
      <c r="C692" s="4" t="s">
        <v>2232</v>
      </c>
      <c r="D692" s="4" t="s">
        <v>2233</v>
      </c>
      <c r="E692" s="4" t="s">
        <v>181</v>
      </c>
      <c r="F692" s="22">
        <v>2304966.281</v>
      </c>
      <c r="G692" s="22">
        <v>585585.48100000003</v>
      </c>
      <c r="H692" s="11">
        <v>5.27</v>
      </c>
      <c r="I692" s="11">
        <v>4.34</v>
      </c>
      <c r="J692" s="6">
        <f t="shared" si="10"/>
        <v>0.92999999999999972</v>
      </c>
      <c r="K692" s="4" t="s">
        <v>2234</v>
      </c>
      <c r="L692" s="5" t="s">
        <v>183</v>
      </c>
      <c r="M692" s="23" t="s">
        <v>184</v>
      </c>
    </row>
    <row r="693" spans="2:13" ht="16" x14ac:dyDescent="0.3">
      <c r="B693" s="4">
        <v>687</v>
      </c>
      <c r="C693" s="4" t="s">
        <v>2235</v>
      </c>
      <c r="D693" s="4" t="s">
        <v>2236</v>
      </c>
      <c r="E693" s="4" t="s">
        <v>181</v>
      </c>
      <c r="F693" s="22">
        <v>2304987.875</v>
      </c>
      <c r="G693" s="22">
        <v>585571.00100000005</v>
      </c>
      <c r="H693" s="11">
        <v>5.27</v>
      </c>
      <c r="I693" s="11">
        <v>4.25</v>
      </c>
      <c r="J693" s="6">
        <f t="shared" si="10"/>
        <v>1.0199999999999996</v>
      </c>
      <c r="K693" s="4" t="s">
        <v>2237</v>
      </c>
      <c r="L693" s="5" t="s">
        <v>183</v>
      </c>
      <c r="M693" s="23" t="s">
        <v>184</v>
      </c>
    </row>
    <row r="694" spans="2:13" ht="16" x14ac:dyDescent="0.3">
      <c r="B694" s="4">
        <v>688</v>
      </c>
      <c r="C694" s="4" t="s">
        <v>2238</v>
      </c>
      <c r="D694" s="4" t="s">
        <v>2239</v>
      </c>
      <c r="E694" s="4" t="s">
        <v>181</v>
      </c>
      <c r="F694" s="22">
        <v>2305009.4700000002</v>
      </c>
      <c r="G694" s="22">
        <v>585556.52</v>
      </c>
      <c r="H694" s="11">
        <v>5.27</v>
      </c>
      <c r="I694" s="11">
        <v>4.17</v>
      </c>
      <c r="J694" s="6">
        <f t="shared" si="10"/>
        <v>1.0999999999999996</v>
      </c>
      <c r="K694" s="4" t="s">
        <v>2240</v>
      </c>
      <c r="L694" s="5" t="s">
        <v>183</v>
      </c>
      <c r="M694" s="23" t="s">
        <v>184</v>
      </c>
    </row>
    <row r="695" spans="2:13" ht="16" x14ac:dyDescent="0.3">
      <c r="B695" s="4">
        <v>689</v>
      </c>
      <c r="C695" s="4" t="s">
        <v>2241</v>
      </c>
      <c r="D695" s="4" t="s">
        <v>2242</v>
      </c>
      <c r="E695" s="4" t="s">
        <v>181</v>
      </c>
      <c r="F695" s="22">
        <v>2305032.8319999999</v>
      </c>
      <c r="G695" s="22">
        <v>585580.58700000006</v>
      </c>
      <c r="H695" s="11">
        <v>5.27</v>
      </c>
      <c r="I695" s="11">
        <v>4.3499999999999996</v>
      </c>
      <c r="J695" s="6">
        <f t="shared" si="10"/>
        <v>0.91999999999999993</v>
      </c>
      <c r="K695" s="4" t="s">
        <v>2243</v>
      </c>
      <c r="L695" s="5" t="s">
        <v>183</v>
      </c>
      <c r="M695" s="23" t="s">
        <v>184</v>
      </c>
    </row>
    <row r="696" spans="2:13" ht="16" x14ac:dyDescent="0.3">
      <c r="B696" s="4">
        <v>690</v>
      </c>
      <c r="C696" s="4" t="s">
        <v>2244</v>
      </c>
      <c r="D696" s="4" t="s">
        <v>2245</v>
      </c>
      <c r="E696" s="4" t="s">
        <v>181</v>
      </c>
      <c r="F696" s="22">
        <v>2305038.9649999999</v>
      </c>
      <c r="G696" s="22">
        <v>585589.73199999996</v>
      </c>
      <c r="H696" s="11">
        <v>5.27</v>
      </c>
      <c r="I696" s="11">
        <v>4.3499999999999996</v>
      </c>
      <c r="J696" s="6">
        <f t="shared" si="10"/>
        <v>0.91999999999999993</v>
      </c>
      <c r="K696" s="4" t="s">
        <v>2246</v>
      </c>
      <c r="L696" s="5" t="s">
        <v>183</v>
      </c>
      <c r="M696" s="23" t="s">
        <v>184</v>
      </c>
    </row>
    <row r="697" spans="2:13" ht="16" x14ac:dyDescent="0.3">
      <c r="B697" s="4">
        <v>691</v>
      </c>
      <c r="C697" s="4" t="s">
        <v>2247</v>
      </c>
      <c r="D697" s="4" t="s">
        <v>2248</v>
      </c>
      <c r="E697" s="4" t="s">
        <v>181</v>
      </c>
      <c r="F697" s="22">
        <v>2305051.2110000001</v>
      </c>
      <c r="G697" s="22">
        <v>585607.995</v>
      </c>
      <c r="H697" s="11">
        <v>5.27</v>
      </c>
      <c r="I697" s="11">
        <v>4.3499999999999996</v>
      </c>
      <c r="J697" s="6">
        <f t="shared" si="10"/>
        <v>0.91999999999999993</v>
      </c>
      <c r="K697" s="4" t="s">
        <v>2249</v>
      </c>
      <c r="L697" s="5" t="s">
        <v>183</v>
      </c>
      <c r="M697" s="23" t="s">
        <v>184</v>
      </c>
    </row>
    <row r="698" spans="2:13" ht="16" x14ac:dyDescent="0.3">
      <c r="B698" s="4">
        <v>692</v>
      </c>
      <c r="C698" s="4" t="s">
        <v>2250</v>
      </c>
      <c r="D698" s="4" t="s">
        <v>2251</v>
      </c>
      <c r="E698" s="4" t="s">
        <v>181</v>
      </c>
      <c r="F698" s="22">
        <v>2305057.338</v>
      </c>
      <c r="G698" s="22">
        <v>585617.13100000005</v>
      </c>
      <c r="H698" s="11">
        <v>5.27</v>
      </c>
      <c r="I698" s="11">
        <v>4.3499999999999996</v>
      </c>
      <c r="J698" s="6">
        <f t="shared" si="10"/>
        <v>0.91999999999999993</v>
      </c>
      <c r="K698" s="4" t="s">
        <v>2252</v>
      </c>
      <c r="L698" s="5" t="s">
        <v>183</v>
      </c>
      <c r="M698" s="23" t="s">
        <v>184</v>
      </c>
    </row>
    <row r="699" spans="2:13" ht="16" x14ac:dyDescent="0.3">
      <c r="B699" s="4">
        <v>693</v>
      </c>
      <c r="C699" s="4" t="s">
        <v>2253</v>
      </c>
      <c r="D699" s="4" t="s">
        <v>2254</v>
      </c>
      <c r="E699" s="4" t="s">
        <v>181</v>
      </c>
      <c r="F699" s="22">
        <v>2305069.59</v>
      </c>
      <c r="G699" s="22">
        <v>585635.40300000005</v>
      </c>
      <c r="H699" s="11">
        <v>5.27</v>
      </c>
      <c r="I699" s="11">
        <v>4.3499999999999996</v>
      </c>
      <c r="J699" s="6">
        <f t="shared" si="10"/>
        <v>0.91999999999999993</v>
      </c>
      <c r="K699" s="4" t="s">
        <v>2255</v>
      </c>
      <c r="L699" s="5" t="s">
        <v>183</v>
      </c>
      <c r="M699" s="23" t="s">
        <v>184</v>
      </c>
    </row>
    <row r="700" spans="2:13" ht="16" x14ac:dyDescent="0.3">
      <c r="B700" s="4">
        <v>694</v>
      </c>
      <c r="C700" s="4" t="s">
        <v>2256</v>
      </c>
      <c r="D700" s="4" t="s">
        <v>2257</v>
      </c>
      <c r="E700" s="4" t="s">
        <v>181</v>
      </c>
      <c r="F700" s="22">
        <v>2305075.7170000002</v>
      </c>
      <c r="G700" s="22">
        <v>585644.53899999999</v>
      </c>
      <c r="H700" s="11">
        <v>5.27</v>
      </c>
      <c r="I700" s="11">
        <v>4.3499999999999996</v>
      </c>
      <c r="J700" s="6">
        <f t="shared" si="10"/>
        <v>0.91999999999999993</v>
      </c>
      <c r="K700" s="4" t="s">
        <v>2258</v>
      </c>
      <c r="L700" s="5" t="s">
        <v>183</v>
      </c>
      <c r="M700" s="23" t="s">
        <v>184</v>
      </c>
    </row>
    <row r="701" spans="2:13" ht="16" x14ac:dyDescent="0.3">
      <c r="B701" s="4">
        <v>695</v>
      </c>
      <c r="C701" s="4" t="s">
        <v>2259</v>
      </c>
      <c r="D701" s="4" t="s">
        <v>2260</v>
      </c>
      <c r="E701" s="4" t="s">
        <v>181</v>
      </c>
      <c r="F701" s="22">
        <v>2305087.969</v>
      </c>
      <c r="G701" s="22">
        <v>585662.81200000003</v>
      </c>
      <c r="H701" s="11">
        <v>5.27</v>
      </c>
      <c r="I701" s="11">
        <v>4.3499999999999996</v>
      </c>
      <c r="J701" s="6">
        <f t="shared" si="10"/>
        <v>0.91999999999999993</v>
      </c>
      <c r="K701" s="4" t="s">
        <v>2261</v>
      </c>
      <c r="L701" s="5" t="s">
        <v>183</v>
      </c>
      <c r="M701" s="23" t="s">
        <v>184</v>
      </c>
    </row>
    <row r="702" spans="2:13" ht="16" x14ac:dyDescent="0.3">
      <c r="B702" s="4">
        <v>696</v>
      </c>
      <c r="C702" s="4" t="s">
        <v>2262</v>
      </c>
      <c r="D702" s="4" t="s">
        <v>2263</v>
      </c>
      <c r="E702" s="4" t="s">
        <v>181</v>
      </c>
      <c r="F702" s="22">
        <v>2305045.9240000001</v>
      </c>
      <c r="G702" s="22">
        <v>585704.25</v>
      </c>
      <c r="H702" s="11">
        <v>5.27</v>
      </c>
      <c r="I702" s="11">
        <v>4.34</v>
      </c>
      <c r="J702" s="6">
        <f t="shared" si="10"/>
        <v>0.92999999999999972</v>
      </c>
      <c r="K702" s="4" t="s">
        <v>2264</v>
      </c>
      <c r="L702" s="5" t="s">
        <v>183</v>
      </c>
      <c r="M702" s="23" t="s">
        <v>184</v>
      </c>
    </row>
    <row r="703" spans="2:13" ht="16" x14ac:dyDescent="0.3">
      <c r="B703" s="4">
        <v>697</v>
      </c>
      <c r="C703" s="4" t="s">
        <v>2265</v>
      </c>
      <c r="D703" s="4" t="s">
        <v>2266</v>
      </c>
      <c r="E703" s="4" t="s">
        <v>181</v>
      </c>
      <c r="F703" s="22">
        <v>2305067.5180000002</v>
      </c>
      <c r="G703" s="22">
        <v>585689.77</v>
      </c>
      <c r="H703" s="11">
        <v>5.27</v>
      </c>
      <c r="I703" s="11">
        <v>4.25</v>
      </c>
      <c r="J703" s="6">
        <f t="shared" si="10"/>
        <v>1.0199999999999996</v>
      </c>
      <c r="K703" s="4" t="s">
        <v>2267</v>
      </c>
      <c r="L703" s="5" t="s">
        <v>183</v>
      </c>
      <c r="M703" s="23" t="s">
        <v>184</v>
      </c>
    </row>
    <row r="704" spans="2:13" ht="16" x14ac:dyDescent="0.3">
      <c r="B704" s="4">
        <v>698</v>
      </c>
      <c r="C704" s="4" t="s">
        <v>2268</v>
      </c>
      <c r="D704" s="4" t="s">
        <v>2269</v>
      </c>
      <c r="E704" s="4" t="s">
        <v>181</v>
      </c>
      <c r="F704" s="22">
        <v>2305090.7740000002</v>
      </c>
      <c r="G704" s="22">
        <v>585674.17500000005</v>
      </c>
      <c r="H704" s="11">
        <v>5.27</v>
      </c>
      <c r="I704" s="11">
        <v>4.16</v>
      </c>
      <c r="J704" s="6">
        <f t="shared" si="10"/>
        <v>1.1099999999999994</v>
      </c>
      <c r="K704" s="4" t="s">
        <v>2270</v>
      </c>
      <c r="L704" s="5" t="s">
        <v>183</v>
      </c>
      <c r="M704" s="23" t="s">
        <v>184</v>
      </c>
    </row>
    <row r="705" spans="2:13" ht="16" x14ac:dyDescent="0.3">
      <c r="B705" s="4">
        <v>699</v>
      </c>
      <c r="C705" s="4" t="s">
        <v>2271</v>
      </c>
      <c r="D705" s="4" t="s">
        <v>2272</v>
      </c>
      <c r="E705" s="4" t="s">
        <v>181</v>
      </c>
      <c r="F705" s="22">
        <v>2305058.1770000001</v>
      </c>
      <c r="G705" s="22">
        <v>585722.522</v>
      </c>
      <c r="H705" s="11">
        <v>5.27</v>
      </c>
      <c r="I705" s="11">
        <v>4.34</v>
      </c>
      <c r="J705" s="6">
        <f t="shared" si="10"/>
        <v>0.92999999999999972</v>
      </c>
      <c r="K705" s="4" t="s">
        <v>2273</v>
      </c>
      <c r="L705" s="5" t="s">
        <v>183</v>
      </c>
      <c r="M705" s="23" t="s">
        <v>184</v>
      </c>
    </row>
    <row r="706" spans="2:13" ht="16" x14ac:dyDescent="0.3">
      <c r="B706" s="4">
        <v>700</v>
      </c>
      <c r="C706" s="4" t="s">
        <v>2274</v>
      </c>
      <c r="D706" s="4" t="s">
        <v>2275</v>
      </c>
      <c r="E706" s="4" t="s">
        <v>181</v>
      </c>
      <c r="F706" s="22">
        <v>2305079.7710000002</v>
      </c>
      <c r="G706" s="22">
        <v>585708.04200000002</v>
      </c>
      <c r="H706" s="11">
        <v>5.27</v>
      </c>
      <c r="I706" s="11">
        <v>4.25</v>
      </c>
      <c r="J706" s="6">
        <f t="shared" si="10"/>
        <v>1.0199999999999996</v>
      </c>
      <c r="K706" s="4" t="s">
        <v>2276</v>
      </c>
      <c r="L706" s="5" t="s">
        <v>183</v>
      </c>
      <c r="M706" s="23" t="s">
        <v>184</v>
      </c>
    </row>
    <row r="707" spans="2:13" ht="16" x14ac:dyDescent="0.3">
      <c r="B707" s="4">
        <v>701</v>
      </c>
      <c r="C707" s="4" t="s">
        <v>2277</v>
      </c>
      <c r="D707" s="4" t="s">
        <v>2278</v>
      </c>
      <c r="E707" s="4" t="s">
        <v>181</v>
      </c>
      <c r="F707" s="22">
        <v>2305103.0260000001</v>
      </c>
      <c r="G707" s="22">
        <v>585692.44799999997</v>
      </c>
      <c r="H707" s="11">
        <v>5.27</v>
      </c>
      <c r="I707" s="11">
        <v>4.16</v>
      </c>
      <c r="J707" s="6">
        <f t="shared" si="10"/>
        <v>1.1099999999999994</v>
      </c>
      <c r="K707" s="4" t="s">
        <v>2279</v>
      </c>
      <c r="L707" s="5" t="s">
        <v>183</v>
      </c>
      <c r="M707" s="23" t="s">
        <v>184</v>
      </c>
    </row>
    <row r="708" spans="2:13" ht="16" x14ac:dyDescent="0.3">
      <c r="B708" s="4">
        <v>702</v>
      </c>
      <c r="C708" s="4" t="s">
        <v>2280</v>
      </c>
      <c r="D708" s="4" t="s">
        <v>2281</v>
      </c>
      <c r="E708" s="4" t="s">
        <v>181</v>
      </c>
      <c r="F708" s="22">
        <v>2305064.3029999998</v>
      </c>
      <c r="G708" s="22">
        <v>585731.65800000005</v>
      </c>
      <c r="H708" s="11">
        <v>5.27</v>
      </c>
      <c r="I708" s="11">
        <v>4.34</v>
      </c>
      <c r="J708" s="6">
        <f t="shared" si="10"/>
        <v>0.92999999999999972</v>
      </c>
      <c r="K708" s="4" t="s">
        <v>2282</v>
      </c>
      <c r="L708" s="5" t="s">
        <v>183</v>
      </c>
      <c r="M708" s="23" t="s">
        <v>184</v>
      </c>
    </row>
    <row r="709" spans="2:13" ht="16" x14ac:dyDescent="0.3">
      <c r="B709" s="4">
        <v>703</v>
      </c>
      <c r="C709" s="4" t="s">
        <v>2283</v>
      </c>
      <c r="D709" s="4" t="s">
        <v>2284</v>
      </c>
      <c r="E709" s="4" t="s">
        <v>181</v>
      </c>
      <c r="F709" s="22">
        <v>2305085.8969999999</v>
      </c>
      <c r="G709" s="22">
        <v>585717.17799999996</v>
      </c>
      <c r="H709" s="11">
        <v>5.27</v>
      </c>
      <c r="I709" s="11">
        <v>4.25</v>
      </c>
      <c r="J709" s="6">
        <f t="shared" si="10"/>
        <v>1.0199999999999996</v>
      </c>
      <c r="K709" s="4" t="s">
        <v>2285</v>
      </c>
      <c r="L709" s="5" t="s">
        <v>183</v>
      </c>
      <c r="M709" s="23" t="s">
        <v>184</v>
      </c>
    </row>
    <row r="710" spans="2:13" ht="16" x14ac:dyDescent="0.3">
      <c r="B710" s="4">
        <v>704</v>
      </c>
      <c r="C710" s="4" t="s">
        <v>2286</v>
      </c>
      <c r="D710" s="4" t="s">
        <v>2287</v>
      </c>
      <c r="E710" s="4" t="s">
        <v>181</v>
      </c>
      <c r="F710" s="22">
        <v>2305107.4920000001</v>
      </c>
      <c r="G710" s="22">
        <v>585702.69799999997</v>
      </c>
      <c r="H710" s="11">
        <v>5.27</v>
      </c>
      <c r="I710" s="11">
        <v>4.17</v>
      </c>
      <c r="J710" s="6">
        <f t="shared" si="10"/>
        <v>1.0999999999999996</v>
      </c>
      <c r="K710" s="4" t="s">
        <v>2288</v>
      </c>
      <c r="L710" s="5" t="s">
        <v>183</v>
      </c>
      <c r="M710" s="23" t="s">
        <v>184</v>
      </c>
    </row>
    <row r="711" spans="2:13" ht="16" x14ac:dyDescent="0.3">
      <c r="B711" s="4">
        <v>705</v>
      </c>
      <c r="C711" s="4" t="s">
        <v>2289</v>
      </c>
      <c r="D711" s="4" t="s">
        <v>2290</v>
      </c>
      <c r="E711" s="4" t="s">
        <v>181</v>
      </c>
      <c r="F711" s="22">
        <v>2305076.5559999999</v>
      </c>
      <c r="G711" s="22">
        <v>585749.93099999998</v>
      </c>
      <c r="H711" s="11">
        <v>5.31</v>
      </c>
      <c r="I711" s="11">
        <v>4.38</v>
      </c>
      <c r="J711" s="6">
        <f t="shared" ref="J711:J774" si="11">H711-I711</f>
        <v>0.92999999999999972</v>
      </c>
      <c r="K711" s="4" t="s">
        <v>2291</v>
      </c>
      <c r="L711" s="5" t="s">
        <v>183</v>
      </c>
      <c r="M711" s="23" t="s">
        <v>184</v>
      </c>
    </row>
    <row r="712" spans="2:13" ht="16" x14ac:dyDescent="0.3">
      <c r="B712" s="4">
        <v>706</v>
      </c>
      <c r="C712" s="4" t="s">
        <v>2292</v>
      </c>
      <c r="D712" s="4" t="s">
        <v>2293</v>
      </c>
      <c r="E712" s="4" t="s">
        <v>181</v>
      </c>
      <c r="F712" s="22">
        <v>2305098.15</v>
      </c>
      <c r="G712" s="22">
        <v>585735.44999999995</v>
      </c>
      <c r="H712" s="11">
        <v>5.31</v>
      </c>
      <c r="I712" s="11">
        <v>4.29</v>
      </c>
      <c r="J712" s="6">
        <f t="shared" si="11"/>
        <v>1.0199999999999996</v>
      </c>
      <c r="K712" s="4" t="s">
        <v>2294</v>
      </c>
      <c r="L712" s="5" t="s">
        <v>183</v>
      </c>
      <c r="M712" s="23" t="s">
        <v>184</v>
      </c>
    </row>
    <row r="713" spans="2:13" ht="16" x14ac:dyDescent="0.3">
      <c r="B713" s="4">
        <v>707</v>
      </c>
      <c r="C713" s="4" t="s">
        <v>2295</v>
      </c>
      <c r="D713" s="4" t="s">
        <v>2296</v>
      </c>
      <c r="E713" s="4" t="s">
        <v>181</v>
      </c>
      <c r="F713" s="22">
        <v>2305119.588</v>
      </c>
      <c r="G713" s="22">
        <v>585720.73699999996</v>
      </c>
      <c r="H713" s="11">
        <v>5.31</v>
      </c>
      <c r="I713" s="11">
        <v>4.21</v>
      </c>
      <c r="J713" s="6">
        <f t="shared" si="11"/>
        <v>1.0999999999999996</v>
      </c>
      <c r="K713" s="4" t="s">
        <v>2297</v>
      </c>
      <c r="L713" s="5" t="s">
        <v>183</v>
      </c>
      <c r="M713" s="23" t="s">
        <v>184</v>
      </c>
    </row>
    <row r="714" spans="2:13" ht="16" x14ac:dyDescent="0.3">
      <c r="B714" s="4">
        <v>708</v>
      </c>
      <c r="C714" s="4" t="s">
        <v>2298</v>
      </c>
      <c r="D714" s="4" t="s">
        <v>2299</v>
      </c>
      <c r="E714" s="4" t="s">
        <v>181</v>
      </c>
      <c r="F714" s="22">
        <v>2305086.0240000002</v>
      </c>
      <c r="G714" s="22">
        <v>585764.05000000005</v>
      </c>
      <c r="H714" s="11">
        <v>5.31</v>
      </c>
      <c r="I714" s="11">
        <v>4.38</v>
      </c>
      <c r="J714" s="6">
        <f t="shared" si="11"/>
        <v>0.92999999999999972</v>
      </c>
      <c r="K714" s="4" t="s">
        <v>2300</v>
      </c>
      <c r="L714" s="5" t="s">
        <v>183</v>
      </c>
      <c r="M714" s="23" t="s">
        <v>184</v>
      </c>
    </row>
    <row r="715" spans="2:13" ht="16" x14ac:dyDescent="0.3">
      <c r="B715" s="4">
        <v>709</v>
      </c>
      <c r="C715" s="4" t="s">
        <v>2301</v>
      </c>
      <c r="D715" s="4" t="s">
        <v>2302</v>
      </c>
      <c r="E715" s="4" t="s">
        <v>181</v>
      </c>
      <c r="F715" s="22">
        <v>2305107.6179999998</v>
      </c>
      <c r="G715" s="22">
        <v>585749.56999999995</v>
      </c>
      <c r="H715" s="11">
        <v>5.31</v>
      </c>
      <c r="I715" s="11">
        <v>4.29</v>
      </c>
      <c r="J715" s="6">
        <f t="shared" si="11"/>
        <v>1.0199999999999996</v>
      </c>
      <c r="K715" s="4" t="s">
        <v>2303</v>
      </c>
      <c r="L715" s="5" t="s">
        <v>183</v>
      </c>
      <c r="M715" s="23" t="s">
        <v>184</v>
      </c>
    </row>
    <row r="716" spans="2:13" ht="16" x14ac:dyDescent="0.3">
      <c r="B716" s="4">
        <v>710</v>
      </c>
      <c r="C716" s="4" t="s">
        <v>2304</v>
      </c>
      <c r="D716" s="4" t="s">
        <v>2305</v>
      </c>
      <c r="E716" s="4" t="s">
        <v>181</v>
      </c>
      <c r="F716" s="22">
        <v>2305129.2119999998</v>
      </c>
      <c r="G716" s="22">
        <v>585735.08900000004</v>
      </c>
      <c r="H716" s="11">
        <v>5.31</v>
      </c>
      <c r="I716" s="11">
        <v>4.21</v>
      </c>
      <c r="J716" s="6">
        <f t="shared" si="11"/>
        <v>1.0999999999999996</v>
      </c>
      <c r="K716" s="4" t="s">
        <v>2306</v>
      </c>
      <c r="L716" s="5" t="s">
        <v>183</v>
      </c>
      <c r="M716" s="23" t="s">
        <v>184</v>
      </c>
    </row>
    <row r="717" spans="2:13" ht="16" x14ac:dyDescent="0.3">
      <c r="B717" s="4">
        <v>711</v>
      </c>
      <c r="C717" s="4" t="s">
        <v>2307</v>
      </c>
      <c r="D717" s="4" t="s">
        <v>2308</v>
      </c>
      <c r="E717" s="4" t="s">
        <v>181</v>
      </c>
      <c r="F717" s="22">
        <v>2305102.7319999998</v>
      </c>
      <c r="G717" s="22">
        <v>585788.96699999995</v>
      </c>
      <c r="H717" s="11">
        <v>5.27</v>
      </c>
      <c r="I717" s="11">
        <v>4.34</v>
      </c>
      <c r="J717" s="6">
        <f t="shared" si="11"/>
        <v>0.92999999999999972</v>
      </c>
      <c r="K717" s="4" t="s">
        <v>2309</v>
      </c>
      <c r="L717" s="5" t="s">
        <v>183</v>
      </c>
      <c r="M717" s="23" t="s">
        <v>184</v>
      </c>
    </row>
    <row r="718" spans="2:13" ht="16" x14ac:dyDescent="0.3">
      <c r="B718" s="4">
        <v>712</v>
      </c>
      <c r="C718" s="4" t="s">
        <v>2310</v>
      </c>
      <c r="D718" s="4" t="s">
        <v>2311</v>
      </c>
      <c r="E718" s="4" t="s">
        <v>181</v>
      </c>
      <c r="F718" s="22">
        <v>2305124.3259999999</v>
      </c>
      <c r="G718" s="22">
        <v>585774.48600000003</v>
      </c>
      <c r="H718" s="11">
        <v>5.27</v>
      </c>
      <c r="I718" s="11">
        <v>4.25</v>
      </c>
      <c r="J718" s="6">
        <f t="shared" si="11"/>
        <v>1.0199999999999996</v>
      </c>
      <c r="K718" s="4" t="s">
        <v>2312</v>
      </c>
      <c r="L718" s="5" t="s">
        <v>183</v>
      </c>
      <c r="M718" s="23" t="s">
        <v>184</v>
      </c>
    </row>
    <row r="719" spans="2:13" ht="16" x14ac:dyDescent="0.3">
      <c r="B719" s="4">
        <v>713</v>
      </c>
      <c r="C719" s="4" t="s">
        <v>2313</v>
      </c>
      <c r="D719" s="4" t="s">
        <v>2314</v>
      </c>
      <c r="E719" s="4" t="s">
        <v>181</v>
      </c>
      <c r="F719" s="22">
        <v>2305145.9210000001</v>
      </c>
      <c r="G719" s="22">
        <v>585760.00600000005</v>
      </c>
      <c r="H719" s="11">
        <v>5.27</v>
      </c>
      <c r="I719" s="11">
        <v>4.17</v>
      </c>
      <c r="J719" s="6">
        <f t="shared" si="11"/>
        <v>1.0999999999999996</v>
      </c>
      <c r="K719" s="4" t="s">
        <v>2315</v>
      </c>
      <c r="L719" s="5" t="s">
        <v>183</v>
      </c>
      <c r="M719" s="23" t="s">
        <v>184</v>
      </c>
    </row>
    <row r="720" spans="2:13" ht="16" x14ac:dyDescent="0.3">
      <c r="B720" s="4">
        <v>714</v>
      </c>
      <c r="C720" s="4" t="s">
        <v>2316</v>
      </c>
      <c r="D720" s="4" t="s">
        <v>2317</v>
      </c>
      <c r="E720" s="4" t="s">
        <v>181</v>
      </c>
      <c r="F720" s="22">
        <v>2305112.216</v>
      </c>
      <c r="G720" s="22">
        <v>585795.85100000002</v>
      </c>
      <c r="H720" s="11">
        <v>5.27</v>
      </c>
      <c r="I720" s="11">
        <v>4.32</v>
      </c>
      <c r="J720" s="6">
        <f t="shared" si="11"/>
        <v>0.94999999999999929</v>
      </c>
      <c r="K720" s="4" t="s">
        <v>2318</v>
      </c>
      <c r="L720" s="5" t="s">
        <v>183</v>
      </c>
      <c r="M720" s="23" t="s">
        <v>184</v>
      </c>
    </row>
    <row r="721" spans="2:13" ht="16" x14ac:dyDescent="0.3">
      <c r="B721" s="4">
        <v>715</v>
      </c>
      <c r="C721" s="4" t="s">
        <v>2319</v>
      </c>
      <c r="D721" s="4" t="s">
        <v>2320</v>
      </c>
      <c r="E721" s="4" t="s">
        <v>181</v>
      </c>
      <c r="F721" s="22">
        <v>2305135.4360000002</v>
      </c>
      <c r="G721" s="22">
        <v>585780.28</v>
      </c>
      <c r="H721" s="11">
        <v>5.27</v>
      </c>
      <c r="I721" s="11">
        <v>4.2300000000000004</v>
      </c>
      <c r="J721" s="6">
        <f t="shared" si="11"/>
        <v>1.0399999999999991</v>
      </c>
      <c r="K721" s="4" t="s">
        <v>2321</v>
      </c>
      <c r="L721" s="5" t="s">
        <v>183</v>
      </c>
      <c r="M721" s="23" t="s">
        <v>184</v>
      </c>
    </row>
    <row r="722" spans="2:13" ht="16" x14ac:dyDescent="0.3">
      <c r="B722" s="4">
        <v>716</v>
      </c>
      <c r="C722" s="4" t="s">
        <v>2322</v>
      </c>
      <c r="D722" s="4" t="s">
        <v>2323</v>
      </c>
      <c r="E722" s="4" t="s">
        <v>181</v>
      </c>
      <c r="F722" s="22">
        <v>2305157.0299999998</v>
      </c>
      <c r="G722" s="22">
        <v>585765.80000000005</v>
      </c>
      <c r="H722" s="11">
        <v>5.27</v>
      </c>
      <c r="I722" s="11">
        <v>4.1399999999999997</v>
      </c>
      <c r="J722" s="6">
        <f t="shared" si="11"/>
        <v>1.1299999999999999</v>
      </c>
      <c r="K722" s="4" t="s">
        <v>2324</v>
      </c>
      <c r="L722" s="5" t="s">
        <v>183</v>
      </c>
      <c r="M722" s="23" t="s">
        <v>184</v>
      </c>
    </row>
    <row r="723" spans="2:13" ht="16" x14ac:dyDescent="0.3">
      <c r="B723" s="4">
        <v>717</v>
      </c>
      <c r="C723" s="4" t="s">
        <v>2325</v>
      </c>
      <c r="D723" s="4" t="s">
        <v>2326</v>
      </c>
      <c r="E723" s="4" t="s">
        <v>181</v>
      </c>
      <c r="F723" s="22">
        <v>2305169.2949999999</v>
      </c>
      <c r="G723" s="22">
        <v>585784.06400000001</v>
      </c>
      <c r="H723" s="11">
        <v>5.27</v>
      </c>
      <c r="I723" s="11">
        <v>4.3499999999999996</v>
      </c>
      <c r="J723" s="6">
        <f t="shared" si="11"/>
        <v>0.91999999999999993</v>
      </c>
      <c r="K723" s="4" t="s">
        <v>2327</v>
      </c>
      <c r="L723" s="5" t="s">
        <v>183</v>
      </c>
      <c r="M723" s="23" t="s">
        <v>184</v>
      </c>
    </row>
    <row r="724" spans="2:13" ht="16" x14ac:dyDescent="0.3">
      <c r="B724" s="4">
        <v>718</v>
      </c>
      <c r="C724" s="4" t="s">
        <v>2328</v>
      </c>
      <c r="D724" s="4" t="s">
        <v>2329</v>
      </c>
      <c r="E724" s="4" t="s">
        <v>181</v>
      </c>
      <c r="F724" s="22">
        <v>2305175.4339999999</v>
      </c>
      <c r="G724" s="22">
        <v>585793.19099999999</v>
      </c>
      <c r="H724" s="11">
        <v>5.27</v>
      </c>
      <c r="I724" s="11">
        <v>4.3499999999999996</v>
      </c>
      <c r="J724" s="6">
        <f t="shared" si="11"/>
        <v>0.91999999999999993</v>
      </c>
      <c r="K724" s="4" t="s">
        <v>2330</v>
      </c>
      <c r="L724" s="5" t="s">
        <v>183</v>
      </c>
      <c r="M724" s="23" t="s">
        <v>184</v>
      </c>
    </row>
    <row r="725" spans="2:13" ht="16" x14ac:dyDescent="0.3">
      <c r="B725" s="4">
        <v>719</v>
      </c>
      <c r="C725" s="4" t="s">
        <v>2331</v>
      </c>
      <c r="D725" s="4" t="s">
        <v>2332</v>
      </c>
      <c r="E725" s="4" t="s">
        <v>181</v>
      </c>
      <c r="F725" s="22">
        <v>2305187.662</v>
      </c>
      <c r="G725" s="22">
        <v>585811.48</v>
      </c>
      <c r="H725" s="11">
        <v>5.27</v>
      </c>
      <c r="I725" s="11">
        <v>4.3499999999999996</v>
      </c>
      <c r="J725" s="6">
        <f t="shared" si="11"/>
        <v>0.91999999999999993</v>
      </c>
      <c r="K725" s="4" t="s">
        <v>2333</v>
      </c>
      <c r="L725" s="5" t="s">
        <v>183</v>
      </c>
      <c r="M725" s="23" t="s">
        <v>184</v>
      </c>
    </row>
    <row r="726" spans="2:13" ht="16" x14ac:dyDescent="0.3">
      <c r="B726" s="4">
        <v>720</v>
      </c>
      <c r="C726" s="4" t="s">
        <v>2334</v>
      </c>
      <c r="D726" s="4" t="s">
        <v>2335</v>
      </c>
      <c r="E726" s="4" t="s">
        <v>181</v>
      </c>
      <c r="F726" s="22">
        <v>2305193.7590000001</v>
      </c>
      <c r="G726" s="22">
        <v>585820.63600000006</v>
      </c>
      <c r="H726" s="11">
        <v>5.27</v>
      </c>
      <c r="I726" s="11">
        <v>4.3499999999999996</v>
      </c>
      <c r="J726" s="6">
        <f t="shared" si="11"/>
        <v>0.91999999999999993</v>
      </c>
      <c r="K726" s="4" t="s">
        <v>2336</v>
      </c>
      <c r="L726" s="5" t="s">
        <v>183</v>
      </c>
      <c r="M726" s="23" t="s">
        <v>184</v>
      </c>
    </row>
    <row r="727" spans="2:13" ht="16" x14ac:dyDescent="0.3">
      <c r="B727" s="4">
        <v>721</v>
      </c>
      <c r="C727" s="4" t="s">
        <v>2337</v>
      </c>
      <c r="D727" s="4" t="s">
        <v>2338</v>
      </c>
      <c r="E727" s="4" t="s">
        <v>181</v>
      </c>
      <c r="F727" s="22">
        <v>2305148.6540000001</v>
      </c>
      <c r="G727" s="22">
        <v>585890.61499999999</v>
      </c>
      <c r="H727" s="11">
        <v>5.27</v>
      </c>
      <c r="I727" s="11">
        <v>4.42</v>
      </c>
      <c r="J727" s="6">
        <f t="shared" si="11"/>
        <v>0.84999999999999964</v>
      </c>
      <c r="K727" s="4" t="s">
        <v>2339</v>
      </c>
      <c r="L727" s="5" t="s">
        <v>183</v>
      </c>
      <c r="M727" s="23" t="s">
        <v>184</v>
      </c>
    </row>
    <row r="728" spans="2:13" ht="16" x14ac:dyDescent="0.3">
      <c r="B728" s="4">
        <v>722</v>
      </c>
      <c r="C728" s="4" t="s">
        <v>2340</v>
      </c>
      <c r="D728" s="4" t="s">
        <v>2341</v>
      </c>
      <c r="E728" s="4" t="s">
        <v>181</v>
      </c>
      <c r="F728" s="22">
        <v>2305171.909</v>
      </c>
      <c r="G728" s="22">
        <v>585875.02</v>
      </c>
      <c r="H728" s="11">
        <v>5.27</v>
      </c>
      <c r="I728" s="11">
        <v>4.33</v>
      </c>
      <c r="J728" s="6">
        <f t="shared" si="11"/>
        <v>0.9399999999999995</v>
      </c>
      <c r="K728" s="4" t="s">
        <v>2342</v>
      </c>
      <c r="L728" s="5" t="s">
        <v>183</v>
      </c>
      <c r="M728" s="23" t="s">
        <v>184</v>
      </c>
    </row>
    <row r="729" spans="2:13" ht="16" x14ac:dyDescent="0.3">
      <c r="B729" s="4">
        <v>723</v>
      </c>
      <c r="C729" s="4" t="s">
        <v>2343</v>
      </c>
      <c r="D729" s="4" t="s">
        <v>2344</v>
      </c>
      <c r="E729" s="4" t="s">
        <v>181</v>
      </c>
      <c r="F729" s="22">
        <v>2305189.3509999998</v>
      </c>
      <c r="G729" s="22">
        <v>585863.32499999995</v>
      </c>
      <c r="H729" s="11">
        <v>5.27</v>
      </c>
      <c r="I729" s="11">
        <v>4.26</v>
      </c>
      <c r="J729" s="6">
        <f t="shared" si="11"/>
        <v>1.0099999999999998</v>
      </c>
      <c r="K729" s="4" t="s">
        <v>2345</v>
      </c>
      <c r="L729" s="5" t="s">
        <v>183</v>
      </c>
      <c r="M729" s="23" t="s">
        <v>184</v>
      </c>
    </row>
    <row r="730" spans="2:13" ht="16" x14ac:dyDescent="0.3">
      <c r="B730" s="4">
        <v>724</v>
      </c>
      <c r="C730" s="4" t="s">
        <v>2346</v>
      </c>
      <c r="D730" s="4" t="s">
        <v>2347</v>
      </c>
      <c r="E730" s="4" t="s">
        <v>181</v>
      </c>
      <c r="F730" s="22">
        <v>2305212.6060000001</v>
      </c>
      <c r="G730" s="22">
        <v>585847.73</v>
      </c>
      <c r="H730" s="11">
        <v>5.27</v>
      </c>
      <c r="I730" s="11">
        <v>4.17</v>
      </c>
      <c r="J730" s="6">
        <f t="shared" si="11"/>
        <v>1.0999999999999996</v>
      </c>
      <c r="K730" s="4" t="s">
        <v>2348</v>
      </c>
      <c r="L730" s="5" t="s">
        <v>183</v>
      </c>
      <c r="M730" s="23" t="s">
        <v>184</v>
      </c>
    </row>
    <row r="731" spans="2:13" ht="16" x14ac:dyDescent="0.3">
      <c r="B731" s="4">
        <v>725</v>
      </c>
      <c r="C731" s="4" t="s">
        <v>2349</v>
      </c>
      <c r="D731" s="4" t="s">
        <v>2350</v>
      </c>
      <c r="E731" s="4" t="s">
        <v>181</v>
      </c>
      <c r="F731" s="22">
        <v>2305232.4449999998</v>
      </c>
      <c r="G731" s="22">
        <v>585834.42700000003</v>
      </c>
      <c r="H731" s="11">
        <v>5.27</v>
      </c>
      <c r="I731" s="11">
        <v>4.09</v>
      </c>
      <c r="J731" s="6">
        <f t="shared" si="11"/>
        <v>1.1799999999999997</v>
      </c>
      <c r="K731" s="4" t="s">
        <v>2351</v>
      </c>
      <c r="L731" s="5" t="s">
        <v>183</v>
      </c>
      <c r="M731" s="23" t="s">
        <v>184</v>
      </c>
    </row>
    <row r="732" spans="2:13" ht="16" x14ac:dyDescent="0.3">
      <c r="B732" s="4">
        <v>726</v>
      </c>
      <c r="C732" s="4" t="s">
        <v>2352</v>
      </c>
      <c r="D732" s="4" t="s">
        <v>2353</v>
      </c>
      <c r="E732" s="4" t="s">
        <v>181</v>
      </c>
      <c r="F732" s="22">
        <v>2305188.514</v>
      </c>
      <c r="G732" s="22">
        <v>585850.64099999995</v>
      </c>
      <c r="H732" s="11">
        <v>5.27</v>
      </c>
      <c r="I732" s="11">
        <v>4.42</v>
      </c>
      <c r="J732" s="6">
        <f t="shared" si="11"/>
        <v>0.84999999999999964</v>
      </c>
      <c r="K732" s="4" t="s">
        <v>2354</v>
      </c>
      <c r="L732" s="5" t="s">
        <v>183</v>
      </c>
      <c r="M732" s="23" t="s">
        <v>184</v>
      </c>
    </row>
    <row r="733" spans="2:13" ht="16" x14ac:dyDescent="0.3">
      <c r="B733" s="4">
        <v>727</v>
      </c>
      <c r="C733" s="4" t="s">
        <v>2355</v>
      </c>
      <c r="D733" s="4" t="s">
        <v>2356</v>
      </c>
      <c r="E733" s="4" t="s">
        <v>181</v>
      </c>
      <c r="F733" s="22">
        <v>2305206.0410000002</v>
      </c>
      <c r="G733" s="22">
        <v>585838.88899999997</v>
      </c>
      <c r="H733" s="11">
        <v>5.27</v>
      </c>
      <c r="I733" s="11">
        <v>4.3499999999999996</v>
      </c>
      <c r="J733" s="6">
        <f t="shared" si="11"/>
        <v>0.91999999999999993</v>
      </c>
      <c r="K733" s="4" t="s">
        <v>2357</v>
      </c>
      <c r="L733" s="5" t="s">
        <v>183</v>
      </c>
      <c r="M733" s="23" t="s">
        <v>184</v>
      </c>
    </row>
    <row r="734" spans="2:13" ht="16" x14ac:dyDescent="0.3">
      <c r="B734" s="4">
        <v>728</v>
      </c>
      <c r="C734" s="4" t="s">
        <v>2358</v>
      </c>
      <c r="D734" s="4" t="s">
        <v>2359</v>
      </c>
      <c r="E734" s="4" t="s">
        <v>181</v>
      </c>
      <c r="F734" s="22">
        <v>2305056.486</v>
      </c>
      <c r="G734" s="22">
        <v>585952.41899999999</v>
      </c>
      <c r="H734" s="11">
        <v>5.17</v>
      </c>
      <c r="I734" s="11">
        <v>4.24</v>
      </c>
      <c r="J734" s="6">
        <f t="shared" si="11"/>
        <v>0.92999999999999972</v>
      </c>
      <c r="K734" s="4" t="s">
        <v>2360</v>
      </c>
      <c r="L734" s="5" t="s">
        <v>183</v>
      </c>
      <c r="M734" s="23" t="s">
        <v>184</v>
      </c>
    </row>
    <row r="735" spans="2:13" ht="16" x14ac:dyDescent="0.3">
      <c r="B735" s="4">
        <v>729</v>
      </c>
      <c r="C735" s="4" t="s">
        <v>2361</v>
      </c>
      <c r="D735" s="4" t="s">
        <v>2362</v>
      </c>
      <c r="E735" s="4" t="s">
        <v>181</v>
      </c>
      <c r="F735" s="22">
        <v>2305076.835</v>
      </c>
      <c r="G735" s="22">
        <v>585938.77399999998</v>
      </c>
      <c r="H735" s="11">
        <v>5.17</v>
      </c>
      <c r="I735" s="11">
        <v>4.16</v>
      </c>
      <c r="J735" s="6">
        <f t="shared" si="11"/>
        <v>1.0099999999999998</v>
      </c>
      <c r="K735" s="4" t="s">
        <v>2363</v>
      </c>
      <c r="L735" s="5" t="s">
        <v>183</v>
      </c>
      <c r="M735" s="23" t="s">
        <v>184</v>
      </c>
    </row>
    <row r="736" spans="2:13" ht="16" x14ac:dyDescent="0.3">
      <c r="B736" s="4">
        <v>730</v>
      </c>
      <c r="C736" s="4" t="s">
        <v>2364</v>
      </c>
      <c r="D736" s="4" t="s">
        <v>2365</v>
      </c>
      <c r="E736" s="4" t="s">
        <v>181</v>
      </c>
      <c r="F736" s="22">
        <v>2305100.09</v>
      </c>
      <c r="G736" s="22">
        <v>585923.18000000005</v>
      </c>
      <c r="H736" s="11">
        <v>5.17</v>
      </c>
      <c r="I736" s="11">
        <v>4.07</v>
      </c>
      <c r="J736" s="6">
        <f t="shared" si="11"/>
        <v>1.0999999999999996</v>
      </c>
      <c r="K736" s="4" t="s">
        <v>2366</v>
      </c>
      <c r="L736" s="5" t="s">
        <v>183</v>
      </c>
      <c r="M736" s="23" t="s">
        <v>184</v>
      </c>
    </row>
    <row r="737" spans="2:13" ht="16" x14ac:dyDescent="0.3">
      <c r="B737" s="4">
        <v>731</v>
      </c>
      <c r="C737" s="4" t="s">
        <v>2367</v>
      </c>
      <c r="D737" s="4" t="s">
        <v>2368</v>
      </c>
      <c r="E737" s="4" t="s">
        <v>181</v>
      </c>
      <c r="F737" s="22">
        <v>2305045.3289999999</v>
      </c>
      <c r="G737" s="22">
        <v>585946.65700000001</v>
      </c>
      <c r="H737" s="11">
        <v>5.17</v>
      </c>
      <c r="I737" s="11">
        <v>4.24</v>
      </c>
      <c r="J737" s="6">
        <f t="shared" si="11"/>
        <v>0.92999999999999972</v>
      </c>
      <c r="K737" s="4" t="s">
        <v>2369</v>
      </c>
      <c r="L737" s="5" t="s">
        <v>183</v>
      </c>
      <c r="M737" s="23" t="s">
        <v>184</v>
      </c>
    </row>
    <row r="738" spans="2:13" ht="16" x14ac:dyDescent="0.3">
      <c r="B738" s="4">
        <v>732</v>
      </c>
      <c r="C738" s="4" t="s">
        <v>2370</v>
      </c>
      <c r="D738" s="4" t="s">
        <v>2371</v>
      </c>
      <c r="E738" s="4" t="s">
        <v>181</v>
      </c>
      <c r="F738" s="22">
        <v>2305066.9240000001</v>
      </c>
      <c r="G738" s="22">
        <v>585932.17599999998</v>
      </c>
      <c r="H738" s="11">
        <v>5.17</v>
      </c>
      <c r="I738" s="11">
        <v>4.1500000000000004</v>
      </c>
      <c r="J738" s="6">
        <f t="shared" si="11"/>
        <v>1.0199999999999996</v>
      </c>
      <c r="K738" s="4" t="s">
        <v>2372</v>
      </c>
      <c r="L738" s="5" t="s">
        <v>183</v>
      </c>
      <c r="M738" s="23" t="s">
        <v>184</v>
      </c>
    </row>
    <row r="739" spans="2:13" ht="16" x14ac:dyDescent="0.3">
      <c r="B739" s="4">
        <v>733</v>
      </c>
      <c r="C739" s="4" t="s">
        <v>2373</v>
      </c>
      <c r="D739" s="4" t="s">
        <v>2374</v>
      </c>
      <c r="E739" s="4" t="s">
        <v>181</v>
      </c>
      <c r="F739" s="22">
        <v>2305088.5180000002</v>
      </c>
      <c r="G739" s="22">
        <v>585917.696</v>
      </c>
      <c r="H739" s="11">
        <v>5.17</v>
      </c>
      <c r="I739" s="11">
        <v>4.07</v>
      </c>
      <c r="J739" s="6">
        <f t="shared" si="11"/>
        <v>1.0999999999999996</v>
      </c>
      <c r="K739" s="4" t="s">
        <v>2375</v>
      </c>
      <c r="L739" s="5" t="s">
        <v>183</v>
      </c>
      <c r="M739" s="23" t="s">
        <v>184</v>
      </c>
    </row>
    <row r="740" spans="2:13" ht="16" x14ac:dyDescent="0.3">
      <c r="B740" s="4">
        <v>734</v>
      </c>
      <c r="C740" s="4" t="s">
        <v>2376</v>
      </c>
      <c r="D740" s="4" t="s">
        <v>2377</v>
      </c>
      <c r="E740" s="4" t="s">
        <v>181</v>
      </c>
      <c r="F740" s="22">
        <v>2305033.077</v>
      </c>
      <c r="G740" s="22">
        <v>585928.38500000001</v>
      </c>
      <c r="H740" s="11">
        <v>5.17</v>
      </c>
      <c r="I740" s="11">
        <v>4.24</v>
      </c>
      <c r="J740" s="6">
        <f t="shared" si="11"/>
        <v>0.92999999999999972</v>
      </c>
      <c r="K740" s="4" t="s">
        <v>2378</v>
      </c>
      <c r="L740" s="5" t="s">
        <v>183</v>
      </c>
      <c r="M740" s="23" t="s">
        <v>184</v>
      </c>
    </row>
    <row r="741" spans="2:13" ht="16" x14ac:dyDescent="0.3">
      <c r="B741" s="4">
        <v>735</v>
      </c>
      <c r="C741" s="4" t="s">
        <v>2379</v>
      </c>
      <c r="D741" s="4" t="s">
        <v>2380</v>
      </c>
      <c r="E741" s="4" t="s">
        <v>181</v>
      </c>
      <c r="F741" s="22">
        <v>2305054.6710000001</v>
      </c>
      <c r="G741" s="22">
        <v>585913.90399999998</v>
      </c>
      <c r="H741" s="11">
        <v>5.17</v>
      </c>
      <c r="I741" s="11">
        <v>4.1500000000000004</v>
      </c>
      <c r="J741" s="6">
        <f t="shared" si="11"/>
        <v>1.0199999999999996</v>
      </c>
      <c r="K741" s="4" t="s">
        <v>2381</v>
      </c>
      <c r="L741" s="5" t="s">
        <v>183</v>
      </c>
      <c r="M741" s="23" t="s">
        <v>184</v>
      </c>
    </row>
    <row r="742" spans="2:13" ht="16" x14ac:dyDescent="0.3">
      <c r="B742" s="4">
        <v>736</v>
      </c>
      <c r="C742" s="4" t="s">
        <v>2382</v>
      </c>
      <c r="D742" s="4" t="s">
        <v>2383</v>
      </c>
      <c r="E742" s="4" t="s">
        <v>181</v>
      </c>
      <c r="F742" s="22">
        <v>2305076.2650000001</v>
      </c>
      <c r="G742" s="22">
        <v>585899.424</v>
      </c>
      <c r="H742" s="11">
        <v>5.17</v>
      </c>
      <c r="I742" s="11">
        <v>4.07</v>
      </c>
      <c r="J742" s="6">
        <f t="shared" si="11"/>
        <v>1.0999999999999996</v>
      </c>
      <c r="K742" s="4" t="s">
        <v>2384</v>
      </c>
      <c r="L742" s="5" t="s">
        <v>183</v>
      </c>
      <c r="M742" s="23" t="s">
        <v>184</v>
      </c>
    </row>
    <row r="743" spans="2:13" ht="16" x14ac:dyDescent="0.3">
      <c r="B743" s="4">
        <v>737</v>
      </c>
      <c r="C743" s="4" t="s">
        <v>2385</v>
      </c>
      <c r="D743" s="4" t="s">
        <v>2386</v>
      </c>
      <c r="E743" s="4" t="s">
        <v>181</v>
      </c>
      <c r="F743" s="22">
        <v>2305026.9500000002</v>
      </c>
      <c r="G743" s="22">
        <v>585919.24899999995</v>
      </c>
      <c r="H743" s="11">
        <v>5.17</v>
      </c>
      <c r="I743" s="11">
        <v>4.24</v>
      </c>
      <c r="J743" s="6">
        <f t="shared" si="11"/>
        <v>0.92999999999999972</v>
      </c>
      <c r="K743" s="4" t="s">
        <v>2387</v>
      </c>
      <c r="L743" s="5" t="s">
        <v>183</v>
      </c>
      <c r="M743" s="23" t="s">
        <v>184</v>
      </c>
    </row>
    <row r="744" spans="2:13" ht="16" x14ac:dyDescent="0.3">
      <c r="B744" s="4">
        <v>738</v>
      </c>
      <c r="C744" s="4" t="s">
        <v>2388</v>
      </c>
      <c r="D744" s="4" t="s">
        <v>2389</v>
      </c>
      <c r="E744" s="4" t="s">
        <v>181</v>
      </c>
      <c r="F744" s="22">
        <v>2305048.5449999999</v>
      </c>
      <c r="G744" s="22">
        <v>585904.76800000004</v>
      </c>
      <c r="H744" s="11">
        <v>5.17</v>
      </c>
      <c r="I744" s="11">
        <v>4.1500000000000004</v>
      </c>
      <c r="J744" s="6">
        <f t="shared" si="11"/>
        <v>1.0199999999999996</v>
      </c>
      <c r="K744" s="4" t="s">
        <v>2390</v>
      </c>
      <c r="L744" s="5" t="s">
        <v>183</v>
      </c>
      <c r="M744" s="23" t="s">
        <v>184</v>
      </c>
    </row>
    <row r="745" spans="2:13" ht="16" x14ac:dyDescent="0.3">
      <c r="B745" s="4">
        <v>739</v>
      </c>
      <c r="C745" s="4" t="s">
        <v>2391</v>
      </c>
      <c r="D745" s="4" t="s">
        <v>2392</v>
      </c>
      <c r="E745" s="4" t="s">
        <v>181</v>
      </c>
      <c r="F745" s="22">
        <v>2305070.139</v>
      </c>
      <c r="G745" s="22">
        <v>585890.28799999994</v>
      </c>
      <c r="H745" s="11">
        <v>5.17</v>
      </c>
      <c r="I745" s="11">
        <v>4.07</v>
      </c>
      <c r="J745" s="6">
        <f t="shared" si="11"/>
        <v>1.0999999999999996</v>
      </c>
      <c r="K745" s="4" t="s">
        <v>2393</v>
      </c>
      <c r="L745" s="5" t="s">
        <v>183</v>
      </c>
      <c r="M745" s="23" t="s">
        <v>184</v>
      </c>
    </row>
    <row r="746" spans="2:13" ht="16" x14ac:dyDescent="0.3">
      <c r="B746" s="4">
        <v>740</v>
      </c>
      <c r="C746" s="4" t="s">
        <v>2394</v>
      </c>
      <c r="D746" s="4" t="s">
        <v>2395</v>
      </c>
      <c r="E746" s="4" t="s">
        <v>181</v>
      </c>
      <c r="F746" s="22">
        <v>2305014.7050000001</v>
      </c>
      <c r="G746" s="22">
        <v>585900.98800000001</v>
      </c>
      <c r="H746" s="11">
        <v>5.17</v>
      </c>
      <c r="I746" s="11">
        <v>4.24</v>
      </c>
      <c r="J746" s="6">
        <f t="shared" si="11"/>
        <v>0.92999999999999972</v>
      </c>
      <c r="K746" s="4" t="s">
        <v>2396</v>
      </c>
      <c r="L746" s="5" t="s">
        <v>183</v>
      </c>
      <c r="M746" s="23" t="s">
        <v>184</v>
      </c>
    </row>
    <row r="747" spans="2:13" ht="16" x14ac:dyDescent="0.3">
      <c r="B747" s="4">
        <v>741</v>
      </c>
      <c r="C747" s="4" t="s">
        <v>2397</v>
      </c>
      <c r="D747" s="4" t="s">
        <v>2398</v>
      </c>
      <c r="E747" s="4" t="s">
        <v>181</v>
      </c>
      <c r="F747" s="22">
        <v>2305036.2999999998</v>
      </c>
      <c r="G747" s="22">
        <v>585886.50800000003</v>
      </c>
      <c r="H747" s="11">
        <v>5.17</v>
      </c>
      <c r="I747" s="11">
        <v>4.1500000000000004</v>
      </c>
      <c r="J747" s="6">
        <f t="shared" si="11"/>
        <v>1.0199999999999996</v>
      </c>
      <c r="K747" s="4" t="s">
        <v>2399</v>
      </c>
      <c r="L747" s="5" t="s">
        <v>183</v>
      </c>
      <c r="M747" s="23" t="s">
        <v>184</v>
      </c>
    </row>
    <row r="748" spans="2:13" ht="16" x14ac:dyDescent="0.3">
      <c r="B748" s="4">
        <v>742</v>
      </c>
      <c r="C748" s="4" t="s">
        <v>2400</v>
      </c>
      <c r="D748" s="4" t="s">
        <v>2401</v>
      </c>
      <c r="E748" s="4" t="s">
        <v>181</v>
      </c>
      <c r="F748" s="22">
        <v>2305057.8939999999</v>
      </c>
      <c r="G748" s="22">
        <v>585872.027</v>
      </c>
      <c r="H748" s="11">
        <v>5.17</v>
      </c>
      <c r="I748" s="11">
        <v>4.07</v>
      </c>
      <c r="J748" s="6">
        <f t="shared" si="11"/>
        <v>1.0999999999999996</v>
      </c>
      <c r="K748" s="4" t="s">
        <v>2402</v>
      </c>
      <c r="L748" s="5" t="s">
        <v>183</v>
      </c>
      <c r="M748" s="23" t="s">
        <v>184</v>
      </c>
    </row>
    <row r="749" spans="2:13" ht="16" x14ac:dyDescent="0.3">
      <c r="B749" s="4">
        <v>743</v>
      </c>
      <c r="C749" s="4" t="s">
        <v>2403</v>
      </c>
      <c r="D749" s="4" t="s">
        <v>2404</v>
      </c>
      <c r="E749" s="4" t="s">
        <v>181</v>
      </c>
      <c r="F749" s="22">
        <v>2305008.571</v>
      </c>
      <c r="G749" s="22">
        <v>585891.83999999997</v>
      </c>
      <c r="H749" s="11">
        <v>5.17</v>
      </c>
      <c r="I749" s="11">
        <v>4.24</v>
      </c>
      <c r="J749" s="6">
        <f t="shared" si="11"/>
        <v>0.92999999999999972</v>
      </c>
      <c r="K749" s="4" t="s">
        <v>2405</v>
      </c>
      <c r="L749" s="5" t="s">
        <v>183</v>
      </c>
      <c r="M749" s="23" t="s">
        <v>184</v>
      </c>
    </row>
    <row r="750" spans="2:13" ht="16" x14ac:dyDescent="0.3">
      <c r="B750" s="4">
        <v>744</v>
      </c>
      <c r="C750" s="4" t="s">
        <v>2406</v>
      </c>
      <c r="D750" s="4" t="s">
        <v>2407</v>
      </c>
      <c r="E750" s="4" t="s">
        <v>181</v>
      </c>
      <c r="F750" s="22">
        <v>2305030.1660000002</v>
      </c>
      <c r="G750" s="22">
        <v>585877.36</v>
      </c>
      <c r="H750" s="11">
        <v>5.17</v>
      </c>
      <c r="I750" s="11">
        <v>4.1500000000000004</v>
      </c>
      <c r="J750" s="6">
        <f t="shared" si="11"/>
        <v>1.0199999999999996</v>
      </c>
      <c r="K750" s="4" t="s">
        <v>2408</v>
      </c>
      <c r="L750" s="5" t="s">
        <v>183</v>
      </c>
      <c r="M750" s="23" t="s">
        <v>184</v>
      </c>
    </row>
    <row r="751" spans="2:13" ht="16" x14ac:dyDescent="0.3">
      <c r="B751" s="4">
        <v>745</v>
      </c>
      <c r="C751" s="4" t="s">
        <v>2409</v>
      </c>
      <c r="D751" s="4" t="s">
        <v>2410</v>
      </c>
      <c r="E751" s="4" t="s">
        <v>181</v>
      </c>
      <c r="F751" s="22">
        <v>2305051.7599999998</v>
      </c>
      <c r="G751" s="22">
        <v>585862.87899999996</v>
      </c>
      <c r="H751" s="11">
        <v>5.17</v>
      </c>
      <c r="I751" s="11">
        <v>4.07</v>
      </c>
      <c r="J751" s="6">
        <f t="shared" si="11"/>
        <v>1.0999999999999996</v>
      </c>
      <c r="K751" s="4" t="s">
        <v>2411</v>
      </c>
      <c r="L751" s="5" t="s">
        <v>183</v>
      </c>
      <c r="M751" s="23" t="s">
        <v>184</v>
      </c>
    </row>
    <row r="752" spans="2:13" ht="16" x14ac:dyDescent="0.3">
      <c r="B752" s="4">
        <v>746</v>
      </c>
      <c r="C752" s="4" t="s">
        <v>2412</v>
      </c>
      <c r="D752" s="4" t="s">
        <v>2413</v>
      </c>
      <c r="E752" s="4" t="s">
        <v>181</v>
      </c>
      <c r="F752" s="22">
        <v>2304996.3190000001</v>
      </c>
      <c r="G752" s="22">
        <v>585873.56799999997</v>
      </c>
      <c r="H752" s="11">
        <v>5.17</v>
      </c>
      <c r="I752" s="11">
        <v>4.24</v>
      </c>
      <c r="J752" s="6">
        <f t="shared" si="11"/>
        <v>0.92999999999999972</v>
      </c>
      <c r="K752" s="4" t="s">
        <v>2414</v>
      </c>
      <c r="L752" s="5" t="s">
        <v>183</v>
      </c>
      <c r="M752" s="23" t="s">
        <v>184</v>
      </c>
    </row>
    <row r="753" spans="2:13" ht="16" x14ac:dyDescent="0.3">
      <c r="B753" s="4">
        <v>747</v>
      </c>
      <c r="C753" s="4" t="s">
        <v>2415</v>
      </c>
      <c r="D753" s="4" t="s">
        <v>2416</v>
      </c>
      <c r="E753" s="4" t="s">
        <v>181</v>
      </c>
      <c r="F753" s="22">
        <v>2305017.9130000002</v>
      </c>
      <c r="G753" s="22">
        <v>585859.08799999999</v>
      </c>
      <c r="H753" s="11">
        <v>5.17</v>
      </c>
      <c r="I753" s="11">
        <v>4.1500000000000004</v>
      </c>
      <c r="J753" s="6">
        <f t="shared" si="11"/>
        <v>1.0199999999999996</v>
      </c>
      <c r="K753" s="4" t="s">
        <v>2417</v>
      </c>
      <c r="L753" s="5" t="s">
        <v>183</v>
      </c>
      <c r="M753" s="23" t="s">
        <v>184</v>
      </c>
    </row>
    <row r="754" spans="2:13" ht="16" x14ac:dyDescent="0.3">
      <c r="B754" s="4">
        <v>748</v>
      </c>
      <c r="C754" s="4" t="s">
        <v>2418</v>
      </c>
      <c r="D754" s="4" t="s">
        <v>2419</v>
      </c>
      <c r="E754" s="4" t="s">
        <v>181</v>
      </c>
      <c r="F754" s="22">
        <v>2305039.5070000002</v>
      </c>
      <c r="G754" s="22">
        <v>585844.60699999996</v>
      </c>
      <c r="H754" s="11">
        <v>5.17</v>
      </c>
      <c r="I754" s="11">
        <v>4.07</v>
      </c>
      <c r="J754" s="6">
        <f t="shared" si="11"/>
        <v>1.0999999999999996</v>
      </c>
      <c r="K754" s="4" t="s">
        <v>2420</v>
      </c>
      <c r="L754" s="5" t="s">
        <v>183</v>
      </c>
      <c r="M754" s="23" t="s">
        <v>184</v>
      </c>
    </row>
    <row r="755" spans="2:13" ht="16" x14ac:dyDescent="0.3">
      <c r="B755" s="4">
        <v>749</v>
      </c>
      <c r="C755" s="4" t="s">
        <v>2421</v>
      </c>
      <c r="D755" s="4" t="s">
        <v>2422</v>
      </c>
      <c r="E755" s="4" t="s">
        <v>181</v>
      </c>
      <c r="F755" s="22">
        <v>2304992.3160000001</v>
      </c>
      <c r="G755" s="22">
        <v>585863.00800000003</v>
      </c>
      <c r="H755" s="11">
        <v>5.17</v>
      </c>
      <c r="I755" s="11">
        <v>4.24</v>
      </c>
      <c r="J755" s="6">
        <f t="shared" si="11"/>
        <v>0.92999999999999972</v>
      </c>
      <c r="K755" s="4" t="s">
        <v>2423</v>
      </c>
      <c r="L755" s="5" t="s">
        <v>183</v>
      </c>
      <c r="M755" s="23" t="s">
        <v>184</v>
      </c>
    </row>
    <row r="756" spans="2:13" ht="16" x14ac:dyDescent="0.3">
      <c r="B756" s="4">
        <v>750</v>
      </c>
      <c r="C756" s="4" t="s">
        <v>2424</v>
      </c>
      <c r="D756" s="4" t="s">
        <v>2425</v>
      </c>
      <c r="E756" s="4" t="s">
        <v>181</v>
      </c>
      <c r="F756" s="22">
        <v>2305013.9180000001</v>
      </c>
      <c r="G756" s="22">
        <v>585848.53899999999</v>
      </c>
      <c r="H756" s="11">
        <v>5.17</v>
      </c>
      <c r="I756" s="11">
        <v>4.1500000000000004</v>
      </c>
      <c r="J756" s="6">
        <f t="shared" si="11"/>
        <v>1.0199999999999996</v>
      </c>
      <c r="K756" s="4" t="s">
        <v>2426</v>
      </c>
      <c r="L756" s="5" t="s">
        <v>183</v>
      </c>
      <c r="M756" s="23" t="s">
        <v>184</v>
      </c>
    </row>
    <row r="757" spans="2:13" ht="16" x14ac:dyDescent="0.3">
      <c r="B757" s="4">
        <v>751</v>
      </c>
      <c r="C757" s="4" t="s">
        <v>2427</v>
      </c>
      <c r="D757" s="4" t="s">
        <v>2428</v>
      </c>
      <c r="E757" s="4" t="s">
        <v>181</v>
      </c>
      <c r="F757" s="22">
        <v>2305035.5120000001</v>
      </c>
      <c r="G757" s="22">
        <v>585834.05900000001</v>
      </c>
      <c r="H757" s="11">
        <v>5.17</v>
      </c>
      <c r="I757" s="11">
        <v>4.07</v>
      </c>
      <c r="J757" s="6">
        <f t="shared" si="11"/>
        <v>1.0999999999999996</v>
      </c>
      <c r="K757" s="4" t="s">
        <v>2429</v>
      </c>
      <c r="L757" s="5" t="s">
        <v>183</v>
      </c>
      <c r="M757" s="23" t="s">
        <v>184</v>
      </c>
    </row>
    <row r="758" spans="2:13" ht="16" x14ac:dyDescent="0.3">
      <c r="B758" s="4">
        <v>752</v>
      </c>
      <c r="C758" s="4" t="s">
        <v>2430</v>
      </c>
      <c r="D758" s="4" t="s">
        <v>2431</v>
      </c>
      <c r="E758" s="4" t="s">
        <v>181</v>
      </c>
      <c r="F758" s="22">
        <v>2304975.6189999999</v>
      </c>
      <c r="G758" s="22">
        <v>585838.10100000002</v>
      </c>
      <c r="H758" s="11">
        <v>5.21</v>
      </c>
      <c r="I758" s="11">
        <v>4.28</v>
      </c>
      <c r="J758" s="6">
        <f t="shared" si="11"/>
        <v>0.92999999999999972</v>
      </c>
      <c r="K758" s="4" t="s">
        <v>2432</v>
      </c>
      <c r="L758" s="5" t="s">
        <v>183</v>
      </c>
      <c r="M758" s="23" t="s">
        <v>184</v>
      </c>
    </row>
    <row r="759" spans="2:13" ht="16" x14ac:dyDescent="0.3">
      <c r="B759" s="4">
        <v>753</v>
      </c>
      <c r="C759" s="4" t="s">
        <v>2433</v>
      </c>
      <c r="D759" s="4" t="s">
        <v>2434</v>
      </c>
      <c r="E759" s="4" t="s">
        <v>181</v>
      </c>
      <c r="F759" s="22">
        <v>2304997.213</v>
      </c>
      <c r="G759" s="22">
        <v>585823.62</v>
      </c>
      <c r="H759" s="11">
        <v>5.21</v>
      </c>
      <c r="I759" s="11">
        <v>4.1900000000000004</v>
      </c>
      <c r="J759" s="6">
        <f t="shared" si="11"/>
        <v>1.0199999999999996</v>
      </c>
      <c r="K759" s="4" t="s">
        <v>2435</v>
      </c>
      <c r="L759" s="5" t="s">
        <v>183</v>
      </c>
      <c r="M759" s="23" t="s">
        <v>184</v>
      </c>
    </row>
    <row r="760" spans="2:13" ht="16" x14ac:dyDescent="0.3">
      <c r="B760" s="4">
        <v>754</v>
      </c>
      <c r="C760" s="4" t="s">
        <v>2436</v>
      </c>
      <c r="D760" s="4" t="s">
        <v>2437</v>
      </c>
      <c r="E760" s="4" t="s">
        <v>181</v>
      </c>
      <c r="F760" s="22">
        <v>2305018.807</v>
      </c>
      <c r="G760" s="22">
        <v>585809.14</v>
      </c>
      <c r="H760" s="11">
        <v>5.21</v>
      </c>
      <c r="I760" s="11">
        <v>4.1100000000000003</v>
      </c>
      <c r="J760" s="6">
        <f t="shared" si="11"/>
        <v>1.0999999999999996</v>
      </c>
      <c r="K760" s="4" t="s">
        <v>2438</v>
      </c>
      <c r="L760" s="5" t="s">
        <v>183</v>
      </c>
      <c r="M760" s="23" t="s">
        <v>184</v>
      </c>
    </row>
    <row r="761" spans="2:13" ht="16" x14ac:dyDescent="0.3">
      <c r="B761" s="4">
        <v>755</v>
      </c>
      <c r="C761" s="4" t="s">
        <v>2439</v>
      </c>
      <c r="D761" s="4" t="s">
        <v>2440</v>
      </c>
      <c r="E761" s="4" t="s">
        <v>181</v>
      </c>
      <c r="F761" s="22">
        <v>2304966.159</v>
      </c>
      <c r="G761" s="22">
        <v>585823.97600000002</v>
      </c>
      <c r="H761" s="11">
        <v>5.21</v>
      </c>
      <c r="I761" s="11">
        <v>4.28</v>
      </c>
      <c r="J761" s="6">
        <f t="shared" si="11"/>
        <v>0.92999999999999972</v>
      </c>
      <c r="K761" s="4" t="s">
        <v>2441</v>
      </c>
      <c r="L761" s="5" t="s">
        <v>183</v>
      </c>
      <c r="M761" s="23" t="s">
        <v>184</v>
      </c>
    </row>
    <row r="762" spans="2:13" ht="16" x14ac:dyDescent="0.3">
      <c r="B762" s="4">
        <v>756</v>
      </c>
      <c r="C762" s="4" t="s">
        <v>2442</v>
      </c>
      <c r="D762" s="4" t="s">
        <v>2443</v>
      </c>
      <c r="E762" s="4" t="s">
        <v>181</v>
      </c>
      <c r="F762" s="22">
        <v>2304987.7459999998</v>
      </c>
      <c r="G762" s="22">
        <v>585809.48400000005</v>
      </c>
      <c r="H762" s="11">
        <v>5.21</v>
      </c>
      <c r="I762" s="11">
        <v>4.1900000000000004</v>
      </c>
      <c r="J762" s="6">
        <f t="shared" si="11"/>
        <v>1.0199999999999996</v>
      </c>
      <c r="K762" s="4" t="s">
        <v>2444</v>
      </c>
      <c r="L762" s="5" t="s">
        <v>183</v>
      </c>
      <c r="M762" s="23" t="s">
        <v>184</v>
      </c>
    </row>
    <row r="763" spans="2:13" ht="16" x14ac:dyDescent="0.3">
      <c r="B763" s="4">
        <v>757</v>
      </c>
      <c r="C763" s="4" t="s">
        <v>2445</v>
      </c>
      <c r="D763" s="4" t="s">
        <v>2446</v>
      </c>
      <c r="E763" s="4" t="s">
        <v>181</v>
      </c>
      <c r="F763" s="22">
        <v>2305009.34</v>
      </c>
      <c r="G763" s="22">
        <v>585795.00399999996</v>
      </c>
      <c r="H763" s="11">
        <v>5.21</v>
      </c>
      <c r="I763" s="11">
        <v>4.1100000000000003</v>
      </c>
      <c r="J763" s="6">
        <f t="shared" si="11"/>
        <v>1.0999999999999996</v>
      </c>
      <c r="K763" s="4" t="s">
        <v>2447</v>
      </c>
      <c r="L763" s="5" t="s">
        <v>183</v>
      </c>
      <c r="M763" s="23" t="s">
        <v>184</v>
      </c>
    </row>
    <row r="764" spans="2:13" ht="16" x14ac:dyDescent="0.3">
      <c r="B764" s="4">
        <v>758</v>
      </c>
      <c r="C764" s="4" t="s">
        <v>2448</v>
      </c>
      <c r="D764" s="4" t="s">
        <v>2449</v>
      </c>
      <c r="E764" s="4" t="s">
        <v>181</v>
      </c>
      <c r="F764" s="22">
        <v>2304905.8229999999</v>
      </c>
      <c r="G764" s="22">
        <v>585175.72</v>
      </c>
      <c r="H764" s="11">
        <v>4.91</v>
      </c>
      <c r="I764" s="11">
        <v>3.98</v>
      </c>
      <c r="J764" s="6">
        <f t="shared" si="11"/>
        <v>0.93000000000000016</v>
      </c>
      <c r="K764" s="4" t="s">
        <v>2450</v>
      </c>
      <c r="L764" s="5" t="s">
        <v>183</v>
      </c>
      <c r="M764" s="23" t="s">
        <v>184</v>
      </c>
    </row>
    <row r="765" spans="2:13" ht="16" x14ac:dyDescent="0.3">
      <c r="B765" s="4">
        <v>759</v>
      </c>
      <c r="C765" s="4" t="s">
        <v>2451</v>
      </c>
      <c r="D765" s="4" t="s">
        <v>2452</v>
      </c>
      <c r="E765" s="4" t="s">
        <v>181</v>
      </c>
      <c r="F765" s="22">
        <v>2304925.7560000001</v>
      </c>
      <c r="G765" s="22">
        <v>585162.353</v>
      </c>
      <c r="H765" s="11">
        <v>4.91</v>
      </c>
      <c r="I765" s="11">
        <v>3.9</v>
      </c>
      <c r="J765" s="6">
        <f t="shared" si="11"/>
        <v>1.0100000000000002</v>
      </c>
      <c r="K765" s="4" t="s">
        <v>2453</v>
      </c>
      <c r="L765" s="5" t="s">
        <v>183</v>
      </c>
      <c r="M765" s="23" t="s">
        <v>184</v>
      </c>
    </row>
    <row r="766" spans="2:13" ht="16" x14ac:dyDescent="0.3">
      <c r="B766" s="4">
        <v>760</v>
      </c>
      <c r="C766" s="4" t="s">
        <v>2454</v>
      </c>
      <c r="D766" s="4" t="s">
        <v>2455</v>
      </c>
      <c r="E766" s="4" t="s">
        <v>181</v>
      </c>
      <c r="F766" s="22">
        <v>2304945.69</v>
      </c>
      <c r="G766" s="22">
        <v>585148.98600000003</v>
      </c>
      <c r="H766" s="11">
        <v>4.91</v>
      </c>
      <c r="I766" s="11">
        <v>3.82</v>
      </c>
      <c r="J766" s="6">
        <f t="shared" si="11"/>
        <v>1.0900000000000003</v>
      </c>
      <c r="K766" s="4" t="s">
        <v>2456</v>
      </c>
      <c r="L766" s="5" t="s">
        <v>183</v>
      </c>
      <c r="M766" s="23" t="s">
        <v>184</v>
      </c>
    </row>
    <row r="767" spans="2:13" ht="16" x14ac:dyDescent="0.3">
      <c r="B767" s="4">
        <v>761</v>
      </c>
      <c r="C767" s="4" t="s">
        <v>2457</v>
      </c>
      <c r="D767" s="4" t="s">
        <v>2458</v>
      </c>
      <c r="E767" s="4" t="s">
        <v>181</v>
      </c>
      <c r="F767" s="22">
        <v>2304989.4980000001</v>
      </c>
      <c r="G767" s="22">
        <v>585142.49600000004</v>
      </c>
      <c r="H767" s="11">
        <v>4.91</v>
      </c>
      <c r="I767" s="11">
        <v>3.64</v>
      </c>
      <c r="J767" s="6">
        <f t="shared" si="11"/>
        <v>1.27</v>
      </c>
      <c r="K767" s="4" t="s">
        <v>2459</v>
      </c>
      <c r="L767" s="5" t="s">
        <v>183</v>
      </c>
      <c r="M767" s="23" t="s">
        <v>184</v>
      </c>
    </row>
    <row r="768" spans="2:13" ht="16" x14ac:dyDescent="0.3">
      <c r="B768" s="4">
        <v>762</v>
      </c>
      <c r="C768" s="4" t="s">
        <v>2460</v>
      </c>
      <c r="D768" s="4" t="s">
        <v>2461</v>
      </c>
      <c r="E768" s="4" t="s">
        <v>181</v>
      </c>
      <c r="F768" s="22">
        <v>2304926.9870000002</v>
      </c>
      <c r="G768" s="22">
        <v>585207.28</v>
      </c>
      <c r="H768" s="11">
        <v>5.07</v>
      </c>
      <c r="I768" s="11">
        <v>4.1399999999999997</v>
      </c>
      <c r="J768" s="6">
        <f t="shared" si="11"/>
        <v>0.9300000000000006</v>
      </c>
      <c r="K768" s="4" t="s">
        <v>2462</v>
      </c>
      <c r="L768" s="5" t="s">
        <v>183</v>
      </c>
      <c r="M768" s="23" t="s">
        <v>184</v>
      </c>
    </row>
    <row r="769" spans="2:13" ht="16" x14ac:dyDescent="0.3">
      <c r="B769" s="4">
        <v>763</v>
      </c>
      <c r="C769" s="4" t="s">
        <v>2463</v>
      </c>
      <c r="D769" s="4" t="s">
        <v>2464</v>
      </c>
      <c r="E769" s="4" t="s">
        <v>181</v>
      </c>
      <c r="F769" s="22">
        <v>2304946.92</v>
      </c>
      <c r="G769" s="22">
        <v>585193.91399999999</v>
      </c>
      <c r="H769" s="11">
        <v>5.07</v>
      </c>
      <c r="I769" s="11">
        <v>4.0599999999999996</v>
      </c>
      <c r="J769" s="6">
        <f t="shared" si="11"/>
        <v>1.0100000000000007</v>
      </c>
      <c r="K769" s="4" t="s">
        <v>2465</v>
      </c>
      <c r="L769" s="5" t="s">
        <v>183</v>
      </c>
      <c r="M769" s="23" t="s">
        <v>184</v>
      </c>
    </row>
    <row r="770" spans="2:13" ht="16" x14ac:dyDescent="0.3">
      <c r="B770" s="4">
        <v>764</v>
      </c>
      <c r="C770" s="4" t="s">
        <v>2466</v>
      </c>
      <c r="D770" s="4" t="s">
        <v>2467</v>
      </c>
      <c r="E770" s="4" t="s">
        <v>181</v>
      </c>
      <c r="F770" s="22">
        <v>2304966.8530000001</v>
      </c>
      <c r="G770" s="22">
        <v>585180.54700000002</v>
      </c>
      <c r="H770" s="11">
        <v>5.07</v>
      </c>
      <c r="I770" s="11">
        <v>3.98</v>
      </c>
      <c r="J770" s="6">
        <f t="shared" si="11"/>
        <v>1.0900000000000003</v>
      </c>
      <c r="K770" s="4" t="s">
        <v>2468</v>
      </c>
      <c r="L770" s="5" t="s">
        <v>183</v>
      </c>
      <c r="M770" s="23" t="s">
        <v>184</v>
      </c>
    </row>
    <row r="771" spans="2:13" ht="16" x14ac:dyDescent="0.3">
      <c r="B771" s="4">
        <v>765</v>
      </c>
      <c r="C771" s="4" t="s">
        <v>2469</v>
      </c>
      <c r="D771" s="4" t="s">
        <v>2470</v>
      </c>
      <c r="E771" s="4" t="s">
        <v>181</v>
      </c>
      <c r="F771" s="22">
        <v>2304933.1129999999</v>
      </c>
      <c r="G771" s="22">
        <v>585216.41700000002</v>
      </c>
      <c r="H771" s="11">
        <v>5.07</v>
      </c>
      <c r="I771" s="11">
        <v>4.1399999999999997</v>
      </c>
      <c r="J771" s="6">
        <f t="shared" si="11"/>
        <v>0.9300000000000006</v>
      </c>
      <c r="K771" s="4" t="s">
        <v>2471</v>
      </c>
      <c r="L771" s="5" t="s">
        <v>183</v>
      </c>
      <c r="M771" s="23" t="s">
        <v>184</v>
      </c>
    </row>
    <row r="772" spans="2:13" ht="16" x14ac:dyDescent="0.3">
      <c r="B772" s="4">
        <v>766</v>
      </c>
      <c r="C772" s="4" t="s">
        <v>2472</v>
      </c>
      <c r="D772" s="4" t="s">
        <v>2473</v>
      </c>
      <c r="E772" s="4" t="s">
        <v>181</v>
      </c>
      <c r="F772" s="22">
        <v>2304953.0460000001</v>
      </c>
      <c r="G772" s="22">
        <v>585203.05000000005</v>
      </c>
      <c r="H772" s="11">
        <v>5.07</v>
      </c>
      <c r="I772" s="11">
        <v>4.0599999999999996</v>
      </c>
      <c r="J772" s="6">
        <f t="shared" si="11"/>
        <v>1.0100000000000007</v>
      </c>
      <c r="K772" s="4" t="s">
        <v>2474</v>
      </c>
      <c r="L772" s="5" t="s">
        <v>183</v>
      </c>
      <c r="M772" s="23" t="s">
        <v>184</v>
      </c>
    </row>
    <row r="773" spans="2:13" ht="16" x14ac:dyDescent="0.3">
      <c r="B773" s="4">
        <v>767</v>
      </c>
      <c r="C773" s="4" t="s">
        <v>2475</v>
      </c>
      <c r="D773" s="4" t="s">
        <v>2476</v>
      </c>
      <c r="E773" s="4" t="s">
        <v>181</v>
      </c>
      <c r="F773" s="22">
        <v>2304972.98</v>
      </c>
      <c r="G773" s="22">
        <v>585189.68299999996</v>
      </c>
      <c r="H773" s="11">
        <v>5.07</v>
      </c>
      <c r="I773" s="11">
        <v>3.98</v>
      </c>
      <c r="J773" s="6">
        <f t="shared" si="11"/>
        <v>1.0900000000000003</v>
      </c>
      <c r="K773" s="4" t="s">
        <v>2477</v>
      </c>
      <c r="L773" s="5" t="s">
        <v>183</v>
      </c>
      <c r="M773" s="23" t="s">
        <v>184</v>
      </c>
    </row>
    <row r="774" spans="2:13" ht="16" x14ac:dyDescent="0.3">
      <c r="B774" s="4">
        <v>768</v>
      </c>
      <c r="C774" s="4" t="s">
        <v>2478</v>
      </c>
      <c r="D774" s="4" t="s">
        <v>2479</v>
      </c>
      <c r="E774" s="4" t="s">
        <v>181</v>
      </c>
      <c r="F774" s="22">
        <v>2304954.2769999998</v>
      </c>
      <c r="G774" s="22">
        <v>585247.978</v>
      </c>
      <c r="H774" s="11">
        <v>5.07</v>
      </c>
      <c r="I774" s="11">
        <v>4.1399999999999997</v>
      </c>
      <c r="J774" s="6">
        <f t="shared" si="11"/>
        <v>0.9300000000000006</v>
      </c>
      <c r="K774" s="4" t="s">
        <v>2480</v>
      </c>
      <c r="L774" s="5" t="s">
        <v>183</v>
      </c>
      <c r="M774" s="23" t="s">
        <v>184</v>
      </c>
    </row>
    <row r="775" spans="2:13" ht="16" x14ac:dyDescent="0.3">
      <c r="B775" s="4">
        <v>769</v>
      </c>
      <c r="C775" s="4" t="s">
        <v>2481</v>
      </c>
      <c r="D775" s="4" t="s">
        <v>2482</v>
      </c>
      <c r="E775" s="4" t="s">
        <v>181</v>
      </c>
      <c r="F775" s="22">
        <v>2304974.21</v>
      </c>
      <c r="G775" s="22">
        <v>585234.61100000003</v>
      </c>
      <c r="H775" s="11">
        <v>5.07</v>
      </c>
      <c r="I775" s="11">
        <v>4.0599999999999996</v>
      </c>
      <c r="J775" s="6">
        <f t="shared" ref="J775:J838" si="12">H775-I775</f>
        <v>1.0100000000000007</v>
      </c>
      <c r="K775" s="4" t="s">
        <v>2483</v>
      </c>
      <c r="L775" s="5" t="s">
        <v>183</v>
      </c>
      <c r="M775" s="23" t="s">
        <v>184</v>
      </c>
    </row>
    <row r="776" spans="2:13" ht="16" x14ac:dyDescent="0.3">
      <c r="B776" s="4">
        <v>770</v>
      </c>
      <c r="C776" s="4" t="s">
        <v>2484</v>
      </c>
      <c r="D776" s="4" t="s">
        <v>2485</v>
      </c>
      <c r="E776" s="4" t="s">
        <v>181</v>
      </c>
      <c r="F776" s="22">
        <v>2304994.1430000002</v>
      </c>
      <c r="G776" s="22">
        <v>585221.24399999995</v>
      </c>
      <c r="H776" s="11">
        <v>5.07</v>
      </c>
      <c r="I776" s="11">
        <v>3.98</v>
      </c>
      <c r="J776" s="6">
        <f t="shared" si="12"/>
        <v>1.0900000000000003</v>
      </c>
      <c r="K776" s="4" t="s">
        <v>2486</v>
      </c>
      <c r="L776" s="5" t="s">
        <v>183</v>
      </c>
      <c r="M776" s="23" t="s">
        <v>184</v>
      </c>
    </row>
    <row r="777" spans="2:13" ht="16" x14ac:dyDescent="0.3">
      <c r="B777" s="4">
        <v>771</v>
      </c>
      <c r="C777" s="4" t="s">
        <v>2487</v>
      </c>
      <c r="D777" s="4" t="s">
        <v>2488</v>
      </c>
      <c r="E777" s="4" t="s">
        <v>181</v>
      </c>
      <c r="F777" s="22">
        <v>2304958.9780000001</v>
      </c>
      <c r="G777" s="22">
        <v>585140.07499999995</v>
      </c>
      <c r="H777" s="11">
        <v>4.91</v>
      </c>
      <c r="I777" s="11">
        <v>3.77</v>
      </c>
      <c r="J777" s="6">
        <f t="shared" si="12"/>
        <v>1.1400000000000001</v>
      </c>
      <c r="K777" s="4" t="s">
        <v>2489</v>
      </c>
      <c r="L777" s="5" t="s">
        <v>183</v>
      </c>
      <c r="M777" s="23" t="s">
        <v>184</v>
      </c>
    </row>
    <row r="778" spans="2:13" ht="16" x14ac:dyDescent="0.3">
      <c r="B778" s="4">
        <v>772</v>
      </c>
      <c r="C778" s="4" t="s">
        <v>2490</v>
      </c>
      <c r="D778" s="4" t="s">
        <v>2491</v>
      </c>
      <c r="E778" s="4" t="s">
        <v>181</v>
      </c>
      <c r="F778" s="22">
        <v>2305007.4049999998</v>
      </c>
      <c r="G778" s="22">
        <v>585212.47</v>
      </c>
      <c r="H778" s="11">
        <v>5.07</v>
      </c>
      <c r="I778" s="11">
        <v>3.93</v>
      </c>
      <c r="J778" s="6">
        <f t="shared" si="12"/>
        <v>1.1400000000000001</v>
      </c>
      <c r="K778" s="4" t="s">
        <v>2492</v>
      </c>
      <c r="L778" s="5" t="s">
        <v>183</v>
      </c>
      <c r="M778" s="23" t="s">
        <v>184</v>
      </c>
    </row>
    <row r="779" spans="2:13" ht="16" x14ac:dyDescent="0.3">
      <c r="B779" s="4">
        <v>773</v>
      </c>
      <c r="C779" s="4" t="s">
        <v>2493</v>
      </c>
      <c r="D779" s="4" t="s">
        <v>2494</v>
      </c>
      <c r="E779" s="4" t="s">
        <v>181</v>
      </c>
      <c r="F779" s="22">
        <v>2304960.4029999999</v>
      </c>
      <c r="G779" s="22">
        <v>585257.11399999994</v>
      </c>
      <c r="H779" s="11">
        <v>5.07</v>
      </c>
      <c r="I779" s="11">
        <v>4.1399999999999997</v>
      </c>
      <c r="J779" s="6">
        <f t="shared" si="12"/>
        <v>0.9300000000000006</v>
      </c>
      <c r="K779" s="4" t="s">
        <v>2495</v>
      </c>
      <c r="L779" s="5" t="s">
        <v>183</v>
      </c>
      <c r="M779" s="23" t="s">
        <v>184</v>
      </c>
    </row>
    <row r="780" spans="2:13" ht="16" x14ac:dyDescent="0.3">
      <c r="B780" s="4">
        <v>774</v>
      </c>
      <c r="C780" s="4" t="s">
        <v>2496</v>
      </c>
      <c r="D780" s="4" t="s">
        <v>2497</v>
      </c>
      <c r="E780" s="4" t="s">
        <v>181</v>
      </c>
      <c r="F780" s="22">
        <v>2304980.3369999998</v>
      </c>
      <c r="G780" s="22">
        <v>585243.74699999997</v>
      </c>
      <c r="H780" s="11">
        <v>5.07</v>
      </c>
      <c r="I780" s="11">
        <v>4.0599999999999996</v>
      </c>
      <c r="J780" s="6">
        <f t="shared" si="12"/>
        <v>1.0100000000000007</v>
      </c>
      <c r="K780" s="4" t="s">
        <v>2498</v>
      </c>
      <c r="L780" s="5" t="s">
        <v>183</v>
      </c>
      <c r="M780" s="23" t="s">
        <v>184</v>
      </c>
    </row>
    <row r="781" spans="2:13" ht="16" x14ac:dyDescent="0.3">
      <c r="B781" s="4">
        <v>775</v>
      </c>
      <c r="C781" s="4" t="s">
        <v>2499</v>
      </c>
      <c r="D781" s="4" t="s">
        <v>2500</v>
      </c>
      <c r="E781" s="4" t="s">
        <v>181</v>
      </c>
      <c r="F781" s="22">
        <v>2305000.27</v>
      </c>
      <c r="G781" s="22">
        <v>585230.38</v>
      </c>
      <c r="H781" s="11">
        <v>5.07</v>
      </c>
      <c r="I781" s="11">
        <v>3.98</v>
      </c>
      <c r="J781" s="6">
        <f t="shared" si="12"/>
        <v>1.0900000000000003</v>
      </c>
      <c r="K781" s="4" t="s">
        <v>2501</v>
      </c>
      <c r="L781" s="5" t="s">
        <v>183</v>
      </c>
      <c r="M781" s="23" t="s">
        <v>184</v>
      </c>
    </row>
    <row r="782" spans="2:13" ht="16" x14ac:dyDescent="0.3">
      <c r="B782" s="4">
        <v>776</v>
      </c>
      <c r="C782" s="4" t="s">
        <v>2502</v>
      </c>
      <c r="D782" s="4" t="s">
        <v>2503</v>
      </c>
      <c r="E782" s="4" t="s">
        <v>181</v>
      </c>
      <c r="F782" s="22">
        <v>2305013.5589999999</v>
      </c>
      <c r="G782" s="22">
        <v>585221.46900000004</v>
      </c>
      <c r="H782" s="11">
        <v>5.07</v>
      </c>
      <c r="I782" s="11">
        <v>3.93</v>
      </c>
      <c r="J782" s="6">
        <f t="shared" si="12"/>
        <v>1.1400000000000001</v>
      </c>
      <c r="K782" s="4" t="s">
        <v>2504</v>
      </c>
      <c r="L782" s="5" t="s">
        <v>183</v>
      </c>
      <c r="M782" s="23" t="s">
        <v>184</v>
      </c>
    </row>
    <row r="783" spans="2:13" ht="16" x14ac:dyDescent="0.3">
      <c r="B783" s="4">
        <v>777</v>
      </c>
      <c r="C783" s="4" t="s">
        <v>2505</v>
      </c>
      <c r="D783" s="4" t="s">
        <v>2506</v>
      </c>
      <c r="E783" s="4" t="s">
        <v>181</v>
      </c>
      <c r="F783" s="22">
        <v>2304981.5669999998</v>
      </c>
      <c r="G783" s="22">
        <v>585288.67500000005</v>
      </c>
      <c r="H783" s="11">
        <v>5.07</v>
      </c>
      <c r="I783" s="11">
        <v>4.1399999999999997</v>
      </c>
      <c r="J783" s="6">
        <f t="shared" si="12"/>
        <v>0.9300000000000006</v>
      </c>
      <c r="K783" s="4" t="s">
        <v>2507</v>
      </c>
      <c r="L783" s="5" t="s">
        <v>183</v>
      </c>
      <c r="M783" s="23" t="s">
        <v>184</v>
      </c>
    </row>
    <row r="784" spans="2:13" ht="16" x14ac:dyDescent="0.3">
      <c r="B784" s="4">
        <v>778</v>
      </c>
      <c r="C784" s="4" t="s">
        <v>2508</v>
      </c>
      <c r="D784" s="4" t="s">
        <v>2509</v>
      </c>
      <c r="E784" s="4" t="s">
        <v>181</v>
      </c>
      <c r="F784" s="22">
        <v>2305001.5</v>
      </c>
      <c r="G784" s="22">
        <v>585275.30799999996</v>
      </c>
      <c r="H784" s="11">
        <v>5.07</v>
      </c>
      <c r="I784" s="11">
        <v>4.0599999999999996</v>
      </c>
      <c r="J784" s="6">
        <f t="shared" si="12"/>
        <v>1.0100000000000007</v>
      </c>
      <c r="K784" s="4" t="s">
        <v>2510</v>
      </c>
      <c r="L784" s="5" t="s">
        <v>183</v>
      </c>
      <c r="M784" s="23" t="s">
        <v>184</v>
      </c>
    </row>
    <row r="785" spans="2:13" ht="16" x14ac:dyDescent="0.3">
      <c r="B785" s="4">
        <v>779</v>
      </c>
      <c r="C785" s="4" t="s">
        <v>2511</v>
      </c>
      <c r="D785" s="4" t="s">
        <v>2512</v>
      </c>
      <c r="E785" s="4" t="s">
        <v>181</v>
      </c>
      <c r="F785" s="22">
        <v>2305021.4339999999</v>
      </c>
      <c r="G785" s="22">
        <v>585261.94099999999</v>
      </c>
      <c r="H785" s="11">
        <v>5.07</v>
      </c>
      <c r="I785" s="11">
        <v>3.98</v>
      </c>
      <c r="J785" s="6">
        <f t="shared" si="12"/>
        <v>1.0900000000000003</v>
      </c>
      <c r="K785" s="4" t="s">
        <v>2513</v>
      </c>
      <c r="L785" s="5" t="s">
        <v>183</v>
      </c>
      <c r="M785" s="23" t="s">
        <v>184</v>
      </c>
    </row>
    <row r="786" spans="2:13" ht="16" x14ac:dyDescent="0.3">
      <c r="B786" s="4">
        <v>780</v>
      </c>
      <c r="C786" s="4" t="s">
        <v>2514</v>
      </c>
      <c r="D786" s="4" t="s">
        <v>2515</v>
      </c>
      <c r="E786" s="4" t="s">
        <v>181</v>
      </c>
      <c r="F786" s="22">
        <v>2305034.7220000001</v>
      </c>
      <c r="G786" s="22">
        <v>585253.03</v>
      </c>
      <c r="H786" s="11">
        <v>5.07</v>
      </c>
      <c r="I786" s="11">
        <v>3.93</v>
      </c>
      <c r="J786" s="6">
        <f t="shared" si="12"/>
        <v>1.1400000000000001</v>
      </c>
      <c r="K786" s="4" t="s">
        <v>2516</v>
      </c>
      <c r="L786" s="5" t="s">
        <v>183</v>
      </c>
      <c r="M786" s="23" t="s">
        <v>184</v>
      </c>
    </row>
    <row r="787" spans="2:13" ht="16" x14ac:dyDescent="0.3">
      <c r="B787" s="4">
        <v>781</v>
      </c>
      <c r="C787" s="4" t="s">
        <v>2517</v>
      </c>
      <c r="D787" s="4" t="s">
        <v>2518</v>
      </c>
      <c r="E787" s="4" t="s">
        <v>181</v>
      </c>
      <c r="F787" s="22">
        <v>2304986.1719999998</v>
      </c>
      <c r="G787" s="22">
        <v>585180.75300000003</v>
      </c>
      <c r="H787" s="11">
        <v>5.07</v>
      </c>
      <c r="I787" s="11">
        <v>3.93</v>
      </c>
      <c r="J787" s="6">
        <f t="shared" si="12"/>
        <v>1.1400000000000001</v>
      </c>
      <c r="K787" s="4" t="s">
        <v>2519</v>
      </c>
      <c r="L787" s="5" t="s">
        <v>183</v>
      </c>
      <c r="M787" s="23" t="s">
        <v>184</v>
      </c>
    </row>
    <row r="788" spans="2:13" ht="16" x14ac:dyDescent="0.3">
      <c r="B788" s="4">
        <v>782</v>
      </c>
      <c r="C788" s="4" t="s">
        <v>2520</v>
      </c>
      <c r="D788" s="4" t="s">
        <v>2521</v>
      </c>
      <c r="E788" s="4" t="s">
        <v>181</v>
      </c>
      <c r="F788" s="22">
        <v>2305028.0219999999</v>
      </c>
      <c r="G788" s="22">
        <v>585211.77099999995</v>
      </c>
      <c r="H788" s="11">
        <v>5.07</v>
      </c>
      <c r="I788" s="11">
        <v>3.35</v>
      </c>
      <c r="J788" s="6">
        <f t="shared" si="12"/>
        <v>1.7200000000000002</v>
      </c>
      <c r="K788" s="4" t="s">
        <v>2522</v>
      </c>
      <c r="L788" s="5" t="s">
        <v>254</v>
      </c>
      <c r="M788" s="23" t="s">
        <v>184</v>
      </c>
    </row>
    <row r="789" spans="2:13" ht="16" x14ac:dyDescent="0.3">
      <c r="B789" s="4">
        <v>783</v>
      </c>
      <c r="C789" s="4" t="s">
        <v>2523</v>
      </c>
      <c r="D789" s="4" t="s">
        <v>2524</v>
      </c>
      <c r="E789" s="4" t="s">
        <v>181</v>
      </c>
      <c r="F789" s="22">
        <v>2304987.6940000001</v>
      </c>
      <c r="G789" s="22">
        <v>585297.81099999999</v>
      </c>
      <c r="H789" s="11">
        <v>5.07</v>
      </c>
      <c r="I789" s="11">
        <v>4.1399999999999997</v>
      </c>
      <c r="J789" s="6">
        <f t="shared" si="12"/>
        <v>0.9300000000000006</v>
      </c>
      <c r="K789" s="4" t="s">
        <v>2525</v>
      </c>
      <c r="L789" s="5" t="s">
        <v>183</v>
      </c>
      <c r="M789" s="23" t="s">
        <v>184</v>
      </c>
    </row>
    <row r="790" spans="2:13" ht="16" x14ac:dyDescent="0.3">
      <c r="B790" s="4">
        <v>784</v>
      </c>
      <c r="C790" s="4" t="s">
        <v>2526</v>
      </c>
      <c r="D790" s="4" t="s">
        <v>2527</v>
      </c>
      <c r="E790" s="4" t="s">
        <v>181</v>
      </c>
      <c r="F790" s="22">
        <v>2305007.6269999999</v>
      </c>
      <c r="G790" s="22">
        <v>585284.44400000002</v>
      </c>
      <c r="H790" s="11">
        <v>5.07</v>
      </c>
      <c r="I790" s="11">
        <v>4.0599999999999996</v>
      </c>
      <c r="J790" s="6">
        <f t="shared" si="12"/>
        <v>1.0100000000000007</v>
      </c>
      <c r="K790" s="4" t="s">
        <v>2528</v>
      </c>
      <c r="L790" s="5" t="s">
        <v>183</v>
      </c>
      <c r="M790" s="23" t="s">
        <v>184</v>
      </c>
    </row>
    <row r="791" spans="2:13" ht="16" x14ac:dyDescent="0.3">
      <c r="B791" s="4">
        <v>785</v>
      </c>
      <c r="C791" s="4" t="s">
        <v>2529</v>
      </c>
      <c r="D791" s="4" t="s">
        <v>2530</v>
      </c>
      <c r="E791" s="4" t="s">
        <v>181</v>
      </c>
      <c r="F791" s="22">
        <v>2305027.56</v>
      </c>
      <c r="G791" s="22">
        <v>585271.07700000005</v>
      </c>
      <c r="H791" s="11">
        <v>5.07</v>
      </c>
      <c r="I791" s="11">
        <v>3.98</v>
      </c>
      <c r="J791" s="6">
        <f t="shared" si="12"/>
        <v>1.0900000000000003</v>
      </c>
      <c r="K791" s="4" t="s">
        <v>2531</v>
      </c>
      <c r="L791" s="5" t="s">
        <v>183</v>
      </c>
      <c r="M791" s="23" t="s">
        <v>184</v>
      </c>
    </row>
    <row r="792" spans="2:13" ht="16" x14ac:dyDescent="0.3">
      <c r="B792" s="4">
        <v>786</v>
      </c>
      <c r="C792" s="4" t="s">
        <v>2532</v>
      </c>
      <c r="D792" s="4" t="s">
        <v>2533</v>
      </c>
      <c r="E792" s="4" t="s">
        <v>181</v>
      </c>
      <c r="F792" s="22">
        <v>2305040.8489999999</v>
      </c>
      <c r="G792" s="22">
        <v>585262.16599999997</v>
      </c>
      <c r="H792" s="11">
        <v>5.07</v>
      </c>
      <c r="I792" s="11">
        <v>3.93</v>
      </c>
      <c r="J792" s="6">
        <f t="shared" si="12"/>
        <v>1.1400000000000001</v>
      </c>
      <c r="K792" s="4" t="s">
        <v>2534</v>
      </c>
      <c r="L792" s="5" t="s">
        <v>183</v>
      </c>
      <c r="M792" s="23" t="s">
        <v>184</v>
      </c>
    </row>
    <row r="793" spans="2:13" ht="16" x14ac:dyDescent="0.3">
      <c r="B793" s="4">
        <v>787</v>
      </c>
      <c r="C793" s="4" t="s">
        <v>2535</v>
      </c>
      <c r="D793" s="4" t="s">
        <v>2536</v>
      </c>
      <c r="E793" s="4" t="s">
        <v>181</v>
      </c>
      <c r="F793" s="22">
        <v>2305055.3119999999</v>
      </c>
      <c r="G793" s="22">
        <v>585252.46799999999</v>
      </c>
      <c r="H793" s="11">
        <v>5.07</v>
      </c>
      <c r="I793" s="11">
        <v>3.17</v>
      </c>
      <c r="J793" s="6">
        <f t="shared" si="12"/>
        <v>1.9000000000000004</v>
      </c>
      <c r="K793" s="4" t="s">
        <v>2537</v>
      </c>
      <c r="L793" s="5" t="s">
        <v>254</v>
      </c>
      <c r="M793" s="23" t="s">
        <v>184</v>
      </c>
    </row>
    <row r="794" spans="2:13" ht="16" x14ac:dyDescent="0.3">
      <c r="B794" s="4">
        <v>788</v>
      </c>
      <c r="C794" s="4" t="s">
        <v>2538</v>
      </c>
      <c r="D794" s="4" t="s">
        <v>2539</v>
      </c>
      <c r="E794" s="4" t="s">
        <v>181</v>
      </c>
      <c r="F794" s="22">
        <v>2305008.8569999998</v>
      </c>
      <c r="G794" s="22">
        <v>585329.37199999997</v>
      </c>
      <c r="H794" s="11">
        <v>5.07</v>
      </c>
      <c r="I794" s="11">
        <v>4.1399999999999997</v>
      </c>
      <c r="J794" s="6">
        <f t="shared" si="12"/>
        <v>0.9300000000000006</v>
      </c>
      <c r="K794" s="4" t="s">
        <v>2540</v>
      </c>
      <c r="L794" s="5" t="s">
        <v>183</v>
      </c>
      <c r="M794" s="23" t="s">
        <v>184</v>
      </c>
    </row>
    <row r="795" spans="2:13" ht="16" x14ac:dyDescent="0.3">
      <c r="B795" s="4">
        <v>789</v>
      </c>
      <c r="C795" s="4" t="s">
        <v>2541</v>
      </c>
      <c r="D795" s="4" t="s">
        <v>2542</v>
      </c>
      <c r="E795" s="4" t="s">
        <v>181</v>
      </c>
      <c r="F795" s="22">
        <v>2305028.7910000002</v>
      </c>
      <c r="G795" s="22">
        <v>585316.005</v>
      </c>
      <c r="H795" s="11">
        <v>5.07</v>
      </c>
      <c r="I795" s="11">
        <v>4.0599999999999996</v>
      </c>
      <c r="J795" s="6">
        <f t="shared" si="12"/>
        <v>1.0100000000000007</v>
      </c>
      <c r="K795" s="4" t="s">
        <v>2543</v>
      </c>
      <c r="L795" s="5" t="s">
        <v>183</v>
      </c>
      <c r="M795" s="23" t="s">
        <v>184</v>
      </c>
    </row>
    <row r="796" spans="2:13" ht="16" x14ac:dyDescent="0.3">
      <c r="B796" s="4">
        <v>790</v>
      </c>
      <c r="C796" s="4" t="s">
        <v>2544</v>
      </c>
      <c r="D796" s="4" t="s">
        <v>2545</v>
      </c>
      <c r="E796" s="4" t="s">
        <v>181</v>
      </c>
      <c r="F796" s="22">
        <v>2305048.7239999999</v>
      </c>
      <c r="G796" s="22">
        <v>585302.63800000004</v>
      </c>
      <c r="H796" s="11">
        <v>5.07</v>
      </c>
      <c r="I796" s="11">
        <v>3.98</v>
      </c>
      <c r="J796" s="6">
        <f t="shared" si="12"/>
        <v>1.0900000000000003</v>
      </c>
      <c r="K796" s="4" t="s">
        <v>2546</v>
      </c>
      <c r="L796" s="5" t="s">
        <v>183</v>
      </c>
      <c r="M796" s="23" t="s">
        <v>184</v>
      </c>
    </row>
    <row r="797" spans="2:13" ht="16" x14ac:dyDescent="0.3">
      <c r="B797" s="4">
        <v>791</v>
      </c>
      <c r="C797" s="4" t="s">
        <v>2547</v>
      </c>
      <c r="D797" s="4" t="s">
        <v>2548</v>
      </c>
      <c r="E797" s="4" t="s">
        <v>181</v>
      </c>
      <c r="F797" s="22">
        <v>2305062.0129999998</v>
      </c>
      <c r="G797" s="22">
        <v>585293.72699999996</v>
      </c>
      <c r="H797" s="11">
        <v>5.07</v>
      </c>
      <c r="I797" s="11">
        <v>3.93</v>
      </c>
      <c r="J797" s="6">
        <f t="shared" si="12"/>
        <v>1.1400000000000001</v>
      </c>
      <c r="K797" s="4" t="s">
        <v>2549</v>
      </c>
      <c r="L797" s="5" t="s">
        <v>183</v>
      </c>
      <c r="M797" s="23" t="s">
        <v>184</v>
      </c>
    </row>
    <row r="798" spans="2:13" ht="16" x14ac:dyDescent="0.3">
      <c r="B798" s="4">
        <v>792</v>
      </c>
      <c r="C798" s="4" t="s">
        <v>2550</v>
      </c>
      <c r="D798" s="4" t="s">
        <v>2551</v>
      </c>
      <c r="E798" s="4" t="s">
        <v>181</v>
      </c>
      <c r="F798" s="22">
        <v>2305014.9840000002</v>
      </c>
      <c r="G798" s="22">
        <v>585338.50800000003</v>
      </c>
      <c r="H798" s="11">
        <v>5.07</v>
      </c>
      <c r="I798" s="11">
        <v>4.1399999999999997</v>
      </c>
      <c r="J798" s="6">
        <f t="shared" si="12"/>
        <v>0.9300000000000006</v>
      </c>
      <c r="K798" s="4" t="s">
        <v>2552</v>
      </c>
      <c r="L798" s="5" t="s">
        <v>183</v>
      </c>
      <c r="M798" s="23" t="s">
        <v>184</v>
      </c>
    </row>
    <row r="799" spans="2:13" ht="16" x14ac:dyDescent="0.3">
      <c r="B799" s="4">
        <v>793</v>
      </c>
      <c r="C799" s="4" t="s">
        <v>2553</v>
      </c>
      <c r="D799" s="4" t="s">
        <v>2554</v>
      </c>
      <c r="E799" s="4" t="s">
        <v>181</v>
      </c>
      <c r="F799" s="22">
        <v>2305034.9169999999</v>
      </c>
      <c r="G799" s="22">
        <v>585325.14099999995</v>
      </c>
      <c r="H799" s="11">
        <v>5.07</v>
      </c>
      <c r="I799" s="11">
        <v>4.0599999999999996</v>
      </c>
      <c r="J799" s="6">
        <f t="shared" si="12"/>
        <v>1.0100000000000007</v>
      </c>
      <c r="K799" s="4" t="s">
        <v>2555</v>
      </c>
      <c r="L799" s="5" t="s">
        <v>183</v>
      </c>
      <c r="M799" s="23" t="s">
        <v>184</v>
      </c>
    </row>
    <row r="800" spans="2:13" ht="16" x14ac:dyDescent="0.3">
      <c r="B800" s="4">
        <v>794</v>
      </c>
      <c r="C800" s="4" t="s">
        <v>2556</v>
      </c>
      <c r="D800" s="4" t="s">
        <v>2557</v>
      </c>
      <c r="E800" s="4" t="s">
        <v>181</v>
      </c>
      <c r="F800" s="22">
        <v>2305054.85</v>
      </c>
      <c r="G800" s="22">
        <v>585311.77399999998</v>
      </c>
      <c r="H800" s="11">
        <v>5.07</v>
      </c>
      <c r="I800" s="11">
        <v>3.98</v>
      </c>
      <c r="J800" s="6">
        <f t="shared" si="12"/>
        <v>1.0900000000000003</v>
      </c>
      <c r="K800" s="4" t="s">
        <v>2558</v>
      </c>
      <c r="L800" s="5" t="s">
        <v>183</v>
      </c>
      <c r="M800" s="23" t="s">
        <v>184</v>
      </c>
    </row>
    <row r="801" spans="2:13" ht="16" x14ac:dyDescent="0.3">
      <c r="B801" s="4">
        <v>795</v>
      </c>
      <c r="C801" s="4" t="s">
        <v>2559</v>
      </c>
      <c r="D801" s="4" t="s">
        <v>2560</v>
      </c>
      <c r="E801" s="4" t="s">
        <v>181</v>
      </c>
      <c r="F801" s="22">
        <v>2305068.139</v>
      </c>
      <c r="G801" s="22">
        <v>585302.86300000001</v>
      </c>
      <c r="H801" s="11">
        <v>5.07</v>
      </c>
      <c r="I801" s="11">
        <v>3.93</v>
      </c>
      <c r="J801" s="6">
        <f t="shared" si="12"/>
        <v>1.1400000000000001</v>
      </c>
      <c r="K801" s="4" t="s">
        <v>2561</v>
      </c>
      <c r="L801" s="5" t="s">
        <v>183</v>
      </c>
      <c r="M801" s="23" t="s">
        <v>184</v>
      </c>
    </row>
    <row r="802" spans="2:13" ht="16" x14ac:dyDescent="0.3">
      <c r="B802" s="4">
        <v>796</v>
      </c>
      <c r="C802" s="4" t="s">
        <v>2562</v>
      </c>
      <c r="D802" s="4" t="s">
        <v>2563</v>
      </c>
      <c r="E802" s="4" t="s">
        <v>181</v>
      </c>
      <c r="F802" s="22">
        <v>2305082.5499999998</v>
      </c>
      <c r="G802" s="22">
        <v>585293.19900000002</v>
      </c>
      <c r="H802" s="11">
        <v>5.07</v>
      </c>
      <c r="I802" s="11">
        <v>2.99</v>
      </c>
      <c r="J802" s="6">
        <f t="shared" si="12"/>
        <v>2.08</v>
      </c>
      <c r="K802" s="4" t="s">
        <v>2564</v>
      </c>
      <c r="L802" s="5" t="s">
        <v>254</v>
      </c>
      <c r="M802" s="23" t="s">
        <v>184</v>
      </c>
    </row>
    <row r="803" spans="2:13" ht="16" x14ac:dyDescent="0.3">
      <c r="B803" s="4">
        <v>797</v>
      </c>
      <c r="C803" s="4" t="s">
        <v>2565</v>
      </c>
      <c r="D803" s="4" t="s">
        <v>2566</v>
      </c>
      <c r="E803" s="4" t="s">
        <v>181</v>
      </c>
      <c r="F803" s="22">
        <v>2305036.1469999999</v>
      </c>
      <c r="G803" s="22">
        <v>585370.06900000002</v>
      </c>
      <c r="H803" s="11">
        <v>5.17</v>
      </c>
      <c r="I803" s="11">
        <v>4.1399999999999997</v>
      </c>
      <c r="J803" s="6">
        <f t="shared" si="12"/>
        <v>1.0300000000000002</v>
      </c>
      <c r="K803" s="4" t="s">
        <v>2567</v>
      </c>
      <c r="L803" s="5" t="s">
        <v>183</v>
      </c>
      <c r="M803" s="23" t="s">
        <v>184</v>
      </c>
    </row>
    <row r="804" spans="2:13" ht="16" x14ac:dyDescent="0.3">
      <c r="B804" s="4">
        <v>798</v>
      </c>
      <c r="C804" s="4" t="s">
        <v>2568</v>
      </c>
      <c r="D804" s="4" t="s">
        <v>2569</v>
      </c>
      <c r="E804" s="4" t="s">
        <v>181</v>
      </c>
      <c r="F804" s="22">
        <v>2305056.0809999998</v>
      </c>
      <c r="G804" s="22">
        <v>585356.70200000005</v>
      </c>
      <c r="H804" s="11">
        <v>5.17</v>
      </c>
      <c r="I804" s="11">
        <v>4.0599999999999996</v>
      </c>
      <c r="J804" s="6">
        <f t="shared" si="12"/>
        <v>1.1100000000000003</v>
      </c>
      <c r="K804" s="4" t="s">
        <v>2570</v>
      </c>
      <c r="L804" s="5" t="s">
        <v>183</v>
      </c>
      <c r="M804" s="23" t="s">
        <v>184</v>
      </c>
    </row>
    <row r="805" spans="2:13" ht="16" x14ac:dyDescent="0.3">
      <c r="B805" s="4">
        <v>799</v>
      </c>
      <c r="C805" s="4" t="s">
        <v>2571</v>
      </c>
      <c r="D805" s="4" t="s">
        <v>2572</v>
      </c>
      <c r="E805" s="4" t="s">
        <v>181</v>
      </c>
      <c r="F805" s="22">
        <v>2305076.014</v>
      </c>
      <c r="G805" s="22">
        <v>585343.33499999996</v>
      </c>
      <c r="H805" s="11">
        <v>5.17</v>
      </c>
      <c r="I805" s="11">
        <v>3.98</v>
      </c>
      <c r="J805" s="6">
        <f t="shared" si="12"/>
        <v>1.19</v>
      </c>
      <c r="K805" s="4" t="s">
        <v>2573</v>
      </c>
      <c r="L805" s="5" t="s">
        <v>183</v>
      </c>
      <c r="M805" s="23" t="s">
        <v>184</v>
      </c>
    </row>
    <row r="806" spans="2:13" ht="16" x14ac:dyDescent="0.3">
      <c r="B806" s="4">
        <v>800</v>
      </c>
      <c r="C806" s="4" t="s">
        <v>2574</v>
      </c>
      <c r="D806" s="4" t="s">
        <v>2575</v>
      </c>
      <c r="E806" s="4" t="s">
        <v>181</v>
      </c>
      <c r="F806" s="22">
        <v>2305089.3029999998</v>
      </c>
      <c r="G806" s="22">
        <v>585334.424</v>
      </c>
      <c r="H806" s="11">
        <v>5.17</v>
      </c>
      <c r="I806" s="11">
        <v>3.93</v>
      </c>
      <c r="J806" s="6">
        <f t="shared" si="12"/>
        <v>1.2399999999999998</v>
      </c>
      <c r="K806" s="4" t="s">
        <v>2576</v>
      </c>
      <c r="L806" s="5" t="s">
        <v>183</v>
      </c>
      <c r="M806" s="23" t="s">
        <v>184</v>
      </c>
    </row>
    <row r="807" spans="2:13" ht="16" x14ac:dyDescent="0.3">
      <c r="B807" s="4">
        <v>801</v>
      </c>
      <c r="C807" s="4" t="s">
        <v>2577</v>
      </c>
      <c r="D807" s="4" t="s">
        <v>2578</v>
      </c>
      <c r="E807" s="4" t="s">
        <v>181</v>
      </c>
      <c r="F807" s="22">
        <v>2305042.2740000002</v>
      </c>
      <c r="G807" s="22">
        <v>585379.20499999996</v>
      </c>
      <c r="H807" s="11">
        <v>5.17</v>
      </c>
      <c r="I807" s="11">
        <v>4.1399999999999997</v>
      </c>
      <c r="J807" s="6">
        <f t="shared" si="12"/>
        <v>1.0300000000000002</v>
      </c>
      <c r="K807" s="4" t="s">
        <v>2579</v>
      </c>
      <c r="L807" s="5" t="s">
        <v>183</v>
      </c>
      <c r="M807" s="23" t="s">
        <v>184</v>
      </c>
    </row>
    <row r="808" spans="2:13" ht="16" x14ac:dyDescent="0.3">
      <c r="B808" s="4">
        <v>802</v>
      </c>
      <c r="C808" s="4" t="s">
        <v>2580</v>
      </c>
      <c r="D808" s="4" t="s">
        <v>2581</v>
      </c>
      <c r="E808" s="4" t="s">
        <v>181</v>
      </c>
      <c r="F808" s="22">
        <v>2305062.2069999999</v>
      </c>
      <c r="G808" s="22">
        <v>585365.83799999999</v>
      </c>
      <c r="H808" s="11">
        <v>5.17</v>
      </c>
      <c r="I808" s="11">
        <v>4.0599999999999996</v>
      </c>
      <c r="J808" s="6">
        <f t="shared" si="12"/>
        <v>1.1100000000000003</v>
      </c>
      <c r="K808" s="4" t="s">
        <v>2582</v>
      </c>
      <c r="L808" s="5" t="s">
        <v>183</v>
      </c>
      <c r="M808" s="23" t="s">
        <v>184</v>
      </c>
    </row>
    <row r="809" spans="2:13" ht="16" x14ac:dyDescent="0.3">
      <c r="B809" s="4">
        <v>803</v>
      </c>
      <c r="C809" s="4" t="s">
        <v>2583</v>
      </c>
      <c r="D809" s="4" t="s">
        <v>2584</v>
      </c>
      <c r="E809" s="4" t="s">
        <v>181</v>
      </c>
      <c r="F809" s="22">
        <v>2305082.14</v>
      </c>
      <c r="G809" s="22">
        <v>585352.47100000002</v>
      </c>
      <c r="H809" s="11">
        <v>5.17</v>
      </c>
      <c r="I809" s="11">
        <v>3.98</v>
      </c>
      <c r="J809" s="6">
        <f t="shared" si="12"/>
        <v>1.19</v>
      </c>
      <c r="K809" s="4" t="s">
        <v>2585</v>
      </c>
      <c r="L809" s="5" t="s">
        <v>183</v>
      </c>
      <c r="M809" s="23" t="s">
        <v>184</v>
      </c>
    </row>
    <row r="810" spans="2:13" ht="16" x14ac:dyDescent="0.3">
      <c r="B810" s="4">
        <v>804</v>
      </c>
      <c r="C810" s="4" t="s">
        <v>2586</v>
      </c>
      <c r="D810" s="4" t="s">
        <v>2587</v>
      </c>
      <c r="E810" s="4" t="s">
        <v>181</v>
      </c>
      <c r="F810" s="22">
        <v>2305095.429</v>
      </c>
      <c r="G810" s="22">
        <v>585343.56000000006</v>
      </c>
      <c r="H810" s="11">
        <v>5.17</v>
      </c>
      <c r="I810" s="11">
        <v>3.93</v>
      </c>
      <c r="J810" s="6">
        <f t="shared" si="12"/>
        <v>1.2399999999999998</v>
      </c>
      <c r="K810" s="4" t="s">
        <v>2588</v>
      </c>
      <c r="L810" s="5" t="s">
        <v>183</v>
      </c>
      <c r="M810" s="23" t="s">
        <v>184</v>
      </c>
    </row>
    <row r="811" spans="2:13" ht="16" x14ac:dyDescent="0.3">
      <c r="B811" s="4">
        <v>805</v>
      </c>
      <c r="C811" s="4" t="s">
        <v>2589</v>
      </c>
      <c r="D811" s="4" t="s">
        <v>2590</v>
      </c>
      <c r="E811" s="4" t="s">
        <v>181</v>
      </c>
      <c r="F811" s="22">
        <v>2304657.9339999999</v>
      </c>
      <c r="G811" s="22">
        <v>585341.946</v>
      </c>
      <c r="H811" s="11">
        <v>4.91</v>
      </c>
      <c r="I811" s="11">
        <v>3.97</v>
      </c>
      <c r="J811" s="6">
        <f t="shared" si="12"/>
        <v>0.94</v>
      </c>
      <c r="K811" s="4" t="s">
        <v>2591</v>
      </c>
      <c r="L811" s="5" t="s">
        <v>183</v>
      </c>
      <c r="M811" s="23" t="s">
        <v>184</v>
      </c>
    </row>
    <row r="812" spans="2:13" ht="16" x14ac:dyDescent="0.3">
      <c r="B812" s="4">
        <v>806</v>
      </c>
      <c r="C812" s="4" t="s">
        <v>2592</v>
      </c>
      <c r="D812" s="4" t="s">
        <v>2593</v>
      </c>
      <c r="E812" s="4" t="s">
        <v>181</v>
      </c>
      <c r="F812" s="22">
        <v>2304680.3590000002</v>
      </c>
      <c r="G812" s="22">
        <v>585326.90899999999</v>
      </c>
      <c r="H812" s="11">
        <v>4.91</v>
      </c>
      <c r="I812" s="11">
        <v>3.88</v>
      </c>
      <c r="J812" s="6">
        <f t="shared" si="12"/>
        <v>1.0300000000000002</v>
      </c>
      <c r="K812" s="4" t="s">
        <v>2594</v>
      </c>
      <c r="L812" s="5" t="s">
        <v>183</v>
      </c>
      <c r="M812" s="23" t="s">
        <v>184</v>
      </c>
    </row>
    <row r="813" spans="2:13" ht="16" x14ac:dyDescent="0.3">
      <c r="B813" s="4">
        <v>807</v>
      </c>
      <c r="C813" s="4" t="s">
        <v>2595</v>
      </c>
      <c r="D813" s="4" t="s">
        <v>2596</v>
      </c>
      <c r="E813" s="4" t="s">
        <v>181</v>
      </c>
      <c r="F813" s="22">
        <v>2304702.784</v>
      </c>
      <c r="G813" s="22">
        <v>585311.87100000004</v>
      </c>
      <c r="H813" s="11">
        <v>4.91</v>
      </c>
      <c r="I813" s="11">
        <v>3.79</v>
      </c>
      <c r="J813" s="6">
        <f t="shared" si="12"/>
        <v>1.1200000000000001</v>
      </c>
      <c r="K813" s="4" t="s">
        <v>2597</v>
      </c>
      <c r="L813" s="5" t="s">
        <v>183</v>
      </c>
      <c r="M813" s="23" t="s">
        <v>184</v>
      </c>
    </row>
    <row r="814" spans="2:13" ht="16" x14ac:dyDescent="0.3">
      <c r="B814" s="4">
        <v>808</v>
      </c>
      <c r="C814" s="4" t="s">
        <v>2598</v>
      </c>
      <c r="D814" s="4" t="s">
        <v>2599</v>
      </c>
      <c r="E814" s="4" t="s">
        <v>181</v>
      </c>
      <c r="F814" s="22">
        <v>2304726.2609999999</v>
      </c>
      <c r="G814" s="22">
        <v>585319.005</v>
      </c>
      <c r="H814" s="11">
        <v>4.87</v>
      </c>
      <c r="I814" s="11">
        <v>3.69</v>
      </c>
      <c r="J814" s="6">
        <f t="shared" si="12"/>
        <v>1.1800000000000002</v>
      </c>
      <c r="K814" s="4" t="s">
        <v>2600</v>
      </c>
      <c r="L814" s="5" t="s">
        <v>183</v>
      </c>
      <c r="M814" s="23" t="s">
        <v>184</v>
      </c>
    </row>
    <row r="815" spans="2:13" ht="16" x14ac:dyDescent="0.3">
      <c r="B815" s="4">
        <v>809</v>
      </c>
      <c r="C815" s="4" t="s">
        <v>2601</v>
      </c>
      <c r="D815" s="4" t="s">
        <v>2602</v>
      </c>
      <c r="E815" s="4" t="s">
        <v>181</v>
      </c>
      <c r="F815" s="22">
        <v>2304679.0980000002</v>
      </c>
      <c r="G815" s="22">
        <v>585373.50699999998</v>
      </c>
      <c r="H815" s="11">
        <v>5.17</v>
      </c>
      <c r="I815" s="11">
        <v>4.2300000000000004</v>
      </c>
      <c r="J815" s="6">
        <f t="shared" si="12"/>
        <v>0.9399999999999995</v>
      </c>
      <c r="K815" s="4" t="s">
        <v>2603</v>
      </c>
      <c r="L815" s="5" t="s">
        <v>183</v>
      </c>
      <c r="M815" s="23" t="s">
        <v>184</v>
      </c>
    </row>
    <row r="816" spans="2:13" ht="16" x14ac:dyDescent="0.3">
      <c r="B816" s="4">
        <v>810</v>
      </c>
      <c r="C816" s="4" t="s">
        <v>2604</v>
      </c>
      <c r="D816" s="4" t="s">
        <v>2605</v>
      </c>
      <c r="E816" s="4" t="s">
        <v>181</v>
      </c>
      <c r="F816" s="22">
        <v>2304701.523</v>
      </c>
      <c r="G816" s="22">
        <v>585358.46900000004</v>
      </c>
      <c r="H816" s="11">
        <v>5.17</v>
      </c>
      <c r="I816" s="11">
        <v>4.1399999999999997</v>
      </c>
      <c r="J816" s="6">
        <f t="shared" si="12"/>
        <v>1.0300000000000002</v>
      </c>
      <c r="K816" s="4" t="s">
        <v>2606</v>
      </c>
      <c r="L816" s="5" t="s">
        <v>183</v>
      </c>
      <c r="M816" s="23" t="s">
        <v>184</v>
      </c>
    </row>
    <row r="817" spans="2:13" ht="16" x14ac:dyDescent="0.3">
      <c r="B817" s="4">
        <v>811</v>
      </c>
      <c r="C817" s="4" t="s">
        <v>2607</v>
      </c>
      <c r="D817" s="4" t="s">
        <v>2608</v>
      </c>
      <c r="E817" s="4" t="s">
        <v>181</v>
      </c>
      <c r="F817" s="22">
        <v>2304716.4730000002</v>
      </c>
      <c r="G817" s="22">
        <v>585348.44499999995</v>
      </c>
      <c r="H817" s="11">
        <v>5.17</v>
      </c>
      <c r="I817" s="11">
        <v>4.08</v>
      </c>
      <c r="J817" s="6">
        <f t="shared" si="12"/>
        <v>1.0899999999999999</v>
      </c>
      <c r="K817" s="4" t="s">
        <v>2609</v>
      </c>
      <c r="L817" s="5" t="s">
        <v>183</v>
      </c>
      <c r="M817" s="23" t="s">
        <v>184</v>
      </c>
    </row>
    <row r="818" spans="2:13" ht="16" x14ac:dyDescent="0.3">
      <c r="B818" s="4">
        <v>812</v>
      </c>
      <c r="C818" s="4" t="s">
        <v>2610</v>
      </c>
      <c r="D818" s="4" t="s">
        <v>2611</v>
      </c>
      <c r="E818" s="4" t="s">
        <v>181</v>
      </c>
      <c r="F818" s="22">
        <v>2304723.3990000002</v>
      </c>
      <c r="G818" s="22">
        <v>585357.04399999999</v>
      </c>
      <c r="H818" s="11">
        <v>5.17</v>
      </c>
      <c r="I818" s="11">
        <v>4.2300000000000004</v>
      </c>
      <c r="J818" s="6">
        <f t="shared" si="12"/>
        <v>0.9399999999999995</v>
      </c>
      <c r="K818" s="4" t="s">
        <v>2612</v>
      </c>
      <c r="L818" s="5" t="s">
        <v>183</v>
      </c>
      <c r="M818" s="23" t="s">
        <v>184</v>
      </c>
    </row>
    <row r="819" spans="2:13" ht="16" x14ac:dyDescent="0.3">
      <c r="B819" s="4">
        <v>813</v>
      </c>
      <c r="C819" s="4" t="s">
        <v>2613</v>
      </c>
      <c r="D819" s="4" t="s">
        <v>2614</v>
      </c>
      <c r="E819" s="4" t="s">
        <v>181</v>
      </c>
      <c r="F819" s="22">
        <v>2304739.2719999999</v>
      </c>
      <c r="G819" s="22">
        <v>585346.50199999998</v>
      </c>
      <c r="H819" s="11">
        <v>5.17</v>
      </c>
      <c r="I819" s="11">
        <v>3.59</v>
      </c>
      <c r="J819" s="6">
        <f t="shared" si="12"/>
        <v>1.58</v>
      </c>
      <c r="K819" s="4" t="s">
        <v>2615</v>
      </c>
      <c r="L819" s="5" t="s">
        <v>254</v>
      </c>
      <c r="M819" s="23" t="s">
        <v>184</v>
      </c>
    </row>
    <row r="820" spans="2:13" ht="16" x14ac:dyDescent="0.3">
      <c r="B820" s="4">
        <v>814</v>
      </c>
      <c r="C820" s="4" t="s">
        <v>2616</v>
      </c>
      <c r="D820" s="4" t="s">
        <v>2617</v>
      </c>
      <c r="E820" s="4" t="s">
        <v>181</v>
      </c>
      <c r="F820" s="22">
        <v>2304756.8829999999</v>
      </c>
      <c r="G820" s="22">
        <v>585364.87</v>
      </c>
      <c r="H820" s="11">
        <v>5.17</v>
      </c>
      <c r="I820" s="11">
        <v>3.5</v>
      </c>
      <c r="J820" s="6">
        <f t="shared" si="12"/>
        <v>1.67</v>
      </c>
      <c r="K820" s="4" t="s">
        <v>2618</v>
      </c>
      <c r="L820" s="5" t="s">
        <v>254</v>
      </c>
      <c r="M820" s="23" t="s">
        <v>184</v>
      </c>
    </row>
    <row r="821" spans="2:13" ht="16" x14ac:dyDescent="0.3">
      <c r="B821" s="4">
        <v>815</v>
      </c>
      <c r="C821" s="4" t="s">
        <v>2619</v>
      </c>
      <c r="D821" s="4" t="s">
        <v>2620</v>
      </c>
      <c r="E821" s="4" t="s">
        <v>181</v>
      </c>
      <c r="F821" s="22">
        <v>2304771.932</v>
      </c>
      <c r="G821" s="22">
        <v>585387.28700000001</v>
      </c>
      <c r="H821" s="11">
        <v>5.17</v>
      </c>
      <c r="I821" s="11">
        <v>3.41</v>
      </c>
      <c r="J821" s="6">
        <f t="shared" si="12"/>
        <v>1.7599999999999998</v>
      </c>
      <c r="K821" s="4" t="s">
        <v>2621</v>
      </c>
      <c r="L821" s="5" t="s">
        <v>254</v>
      </c>
      <c r="M821" s="23" t="s">
        <v>184</v>
      </c>
    </row>
    <row r="822" spans="2:13" ht="16" x14ac:dyDescent="0.3">
      <c r="B822" s="4">
        <v>816</v>
      </c>
      <c r="C822" s="4" t="s">
        <v>2622</v>
      </c>
      <c r="D822" s="4" t="s">
        <v>2623</v>
      </c>
      <c r="E822" s="4" t="s">
        <v>181</v>
      </c>
      <c r="F822" s="22">
        <v>2304786.98</v>
      </c>
      <c r="G822" s="22">
        <v>585409.70400000003</v>
      </c>
      <c r="H822" s="11">
        <v>5.17</v>
      </c>
      <c r="I822" s="11">
        <v>3.32</v>
      </c>
      <c r="J822" s="6">
        <f t="shared" si="12"/>
        <v>1.85</v>
      </c>
      <c r="K822" s="4" t="s">
        <v>2624</v>
      </c>
      <c r="L822" s="5" t="s">
        <v>254</v>
      </c>
      <c r="M822" s="23" t="s">
        <v>184</v>
      </c>
    </row>
    <row r="823" spans="2:13" ht="16" x14ac:dyDescent="0.3">
      <c r="B823" s="4">
        <v>817</v>
      </c>
      <c r="C823" s="4" t="s">
        <v>2625</v>
      </c>
      <c r="D823" s="4" t="s">
        <v>2626</v>
      </c>
      <c r="E823" s="4" t="s">
        <v>181</v>
      </c>
      <c r="F823" s="22">
        <v>2304802.0290000001</v>
      </c>
      <c r="G823" s="22">
        <v>585432.12199999997</v>
      </c>
      <c r="H823" s="11">
        <v>5.17</v>
      </c>
      <c r="I823" s="11">
        <v>3.23</v>
      </c>
      <c r="J823" s="6">
        <f t="shared" si="12"/>
        <v>1.94</v>
      </c>
      <c r="K823" s="4" t="s">
        <v>2627</v>
      </c>
      <c r="L823" s="5" t="s">
        <v>254</v>
      </c>
      <c r="M823" s="23" t="s">
        <v>184</v>
      </c>
    </row>
    <row r="824" spans="2:13" ht="16" x14ac:dyDescent="0.3">
      <c r="B824" s="4">
        <v>818</v>
      </c>
      <c r="C824" s="4" t="s">
        <v>2628</v>
      </c>
      <c r="D824" s="4" t="s">
        <v>2629</v>
      </c>
      <c r="E824" s="4" t="s">
        <v>181</v>
      </c>
      <c r="F824" s="22">
        <v>2304817.0780000002</v>
      </c>
      <c r="G824" s="22">
        <v>585454.53899999999</v>
      </c>
      <c r="H824" s="11">
        <v>5.17</v>
      </c>
      <c r="I824" s="11">
        <v>3.14</v>
      </c>
      <c r="J824" s="6">
        <f t="shared" si="12"/>
        <v>2.0299999999999998</v>
      </c>
      <c r="K824" s="4" t="s">
        <v>2630</v>
      </c>
      <c r="L824" s="5" t="s">
        <v>254</v>
      </c>
      <c r="M824" s="23" t="s">
        <v>184</v>
      </c>
    </row>
    <row r="825" spans="2:13" ht="16" x14ac:dyDescent="0.3">
      <c r="B825" s="4">
        <v>819</v>
      </c>
      <c r="C825" s="4" t="s">
        <v>2631</v>
      </c>
      <c r="D825" s="4" t="s">
        <v>2632</v>
      </c>
      <c r="E825" s="4" t="s">
        <v>181</v>
      </c>
      <c r="F825" s="22">
        <v>2304700.4709999999</v>
      </c>
      <c r="G825" s="22">
        <v>585429.68500000006</v>
      </c>
      <c r="H825" s="11">
        <v>5.17</v>
      </c>
      <c r="I825" s="11">
        <v>4.2300000000000004</v>
      </c>
      <c r="J825" s="6">
        <f t="shared" si="12"/>
        <v>0.9399999999999995</v>
      </c>
      <c r="K825" s="4" t="s">
        <v>2633</v>
      </c>
      <c r="L825" s="5" t="s">
        <v>183</v>
      </c>
      <c r="M825" s="23" t="s">
        <v>184</v>
      </c>
    </row>
    <row r="826" spans="2:13" ht="16" x14ac:dyDescent="0.3">
      <c r="B826" s="4">
        <v>820</v>
      </c>
      <c r="C826" s="4" t="s">
        <v>2634</v>
      </c>
      <c r="D826" s="4" t="s">
        <v>2635</v>
      </c>
      <c r="E826" s="4" t="s">
        <v>181</v>
      </c>
      <c r="F826" s="22">
        <v>2304715.5079999999</v>
      </c>
      <c r="G826" s="22">
        <v>585452.11</v>
      </c>
      <c r="H826" s="11">
        <v>5.17</v>
      </c>
      <c r="I826" s="11">
        <v>4.1399999999999997</v>
      </c>
      <c r="J826" s="6">
        <f t="shared" si="12"/>
        <v>1.0300000000000002</v>
      </c>
      <c r="K826" s="4" t="s">
        <v>2636</v>
      </c>
      <c r="L826" s="5" t="s">
        <v>183</v>
      </c>
      <c r="M826" s="23" t="s">
        <v>184</v>
      </c>
    </row>
    <row r="827" spans="2:13" ht="16" x14ac:dyDescent="0.3">
      <c r="B827" s="4">
        <v>821</v>
      </c>
      <c r="C827" s="4" t="s">
        <v>2637</v>
      </c>
      <c r="D827" s="4" t="s">
        <v>2638</v>
      </c>
      <c r="E827" s="4" t="s">
        <v>181</v>
      </c>
      <c r="F827" s="22">
        <v>2304730.5460000001</v>
      </c>
      <c r="G827" s="22">
        <v>585474.53500000003</v>
      </c>
      <c r="H827" s="11">
        <v>5.17</v>
      </c>
      <c r="I827" s="11">
        <v>4.05</v>
      </c>
      <c r="J827" s="6">
        <f t="shared" si="12"/>
        <v>1.1200000000000001</v>
      </c>
      <c r="K827" s="4" t="s">
        <v>2639</v>
      </c>
      <c r="L827" s="5" t="s">
        <v>183</v>
      </c>
      <c r="M827" s="23" t="s">
        <v>184</v>
      </c>
    </row>
    <row r="828" spans="2:13" ht="16" x14ac:dyDescent="0.3">
      <c r="B828" s="4">
        <v>822</v>
      </c>
      <c r="C828" s="4" t="s">
        <v>2640</v>
      </c>
      <c r="D828" s="4" t="s">
        <v>2641</v>
      </c>
      <c r="E828" s="4" t="s">
        <v>181</v>
      </c>
      <c r="F828" s="22">
        <v>2304745.5830000001</v>
      </c>
      <c r="G828" s="22">
        <v>585496.96</v>
      </c>
      <c r="H828" s="11">
        <v>5.17</v>
      </c>
      <c r="I828" s="11">
        <v>3.96</v>
      </c>
      <c r="J828" s="6">
        <f t="shared" si="12"/>
        <v>1.21</v>
      </c>
      <c r="K828" s="4" t="s">
        <v>2642</v>
      </c>
      <c r="L828" s="5" t="s">
        <v>183</v>
      </c>
      <c r="M828" s="23" t="s">
        <v>184</v>
      </c>
    </row>
    <row r="829" spans="2:13" ht="16" x14ac:dyDescent="0.3">
      <c r="B829" s="4">
        <v>823</v>
      </c>
      <c r="C829" s="4" t="s">
        <v>2643</v>
      </c>
      <c r="D829" s="4" t="s">
        <v>2644</v>
      </c>
      <c r="E829" s="4" t="s">
        <v>181</v>
      </c>
      <c r="F829" s="22">
        <v>2304760.62</v>
      </c>
      <c r="G829" s="22">
        <v>585519.38500000001</v>
      </c>
      <c r="H829" s="11">
        <v>5.17</v>
      </c>
      <c r="I829" s="11">
        <v>3.88</v>
      </c>
      <c r="J829" s="6">
        <f t="shared" si="12"/>
        <v>1.29</v>
      </c>
      <c r="K829" s="4" t="s">
        <v>2645</v>
      </c>
      <c r="L829" s="5" t="s">
        <v>183</v>
      </c>
      <c r="M829" s="23" t="s">
        <v>184</v>
      </c>
    </row>
    <row r="830" spans="2:13" ht="16" x14ac:dyDescent="0.3">
      <c r="B830" s="4">
        <v>824</v>
      </c>
      <c r="C830" s="4" t="s">
        <v>2646</v>
      </c>
      <c r="D830" s="4" t="s">
        <v>2647</v>
      </c>
      <c r="E830" s="4" t="s">
        <v>181</v>
      </c>
      <c r="F830" s="22">
        <v>2304691.2999999998</v>
      </c>
      <c r="G830" s="22">
        <v>585435.76</v>
      </c>
      <c r="H830" s="11">
        <v>5.17</v>
      </c>
      <c r="I830" s="11">
        <v>4.2300000000000004</v>
      </c>
      <c r="J830" s="6">
        <f t="shared" si="12"/>
        <v>0.9399999999999995</v>
      </c>
      <c r="K830" s="4" t="s">
        <v>2648</v>
      </c>
      <c r="L830" s="5" t="s">
        <v>183</v>
      </c>
      <c r="M830" s="23" t="s">
        <v>184</v>
      </c>
    </row>
    <row r="831" spans="2:13" ht="16" x14ac:dyDescent="0.3">
      <c r="B831" s="4">
        <v>825</v>
      </c>
      <c r="C831" s="4" t="s">
        <v>2649</v>
      </c>
      <c r="D831" s="4" t="s">
        <v>2650</v>
      </c>
      <c r="E831" s="4" t="s">
        <v>181</v>
      </c>
      <c r="F831" s="22">
        <v>2304706.3369999998</v>
      </c>
      <c r="G831" s="22">
        <v>585458.18500000006</v>
      </c>
      <c r="H831" s="11">
        <v>5.17</v>
      </c>
      <c r="I831" s="11">
        <v>4.1399999999999997</v>
      </c>
      <c r="J831" s="6">
        <f t="shared" si="12"/>
        <v>1.0300000000000002</v>
      </c>
      <c r="K831" s="4" t="s">
        <v>2651</v>
      </c>
      <c r="L831" s="5" t="s">
        <v>183</v>
      </c>
      <c r="M831" s="23" t="s">
        <v>184</v>
      </c>
    </row>
    <row r="832" spans="2:13" ht="16" x14ac:dyDescent="0.3">
      <c r="B832" s="4">
        <v>826</v>
      </c>
      <c r="C832" s="4" t="s">
        <v>2652</v>
      </c>
      <c r="D832" s="4" t="s">
        <v>2653</v>
      </c>
      <c r="E832" s="4" t="s">
        <v>181</v>
      </c>
      <c r="F832" s="22">
        <v>2304721.375</v>
      </c>
      <c r="G832" s="22">
        <v>585480.61</v>
      </c>
      <c r="H832" s="11">
        <v>5.17</v>
      </c>
      <c r="I832" s="11">
        <v>4.05</v>
      </c>
      <c r="J832" s="6">
        <f t="shared" si="12"/>
        <v>1.1200000000000001</v>
      </c>
      <c r="K832" s="4" t="s">
        <v>2654</v>
      </c>
      <c r="L832" s="5" t="s">
        <v>183</v>
      </c>
      <c r="M832" s="23" t="s">
        <v>184</v>
      </c>
    </row>
    <row r="833" spans="2:13" ht="16" x14ac:dyDescent="0.3">
      <c r="B833" s="4">
        <v>827</v>
      </c>
      <c r="C833" s="4" t="s">
        <v>2655</v>
      </c>
      <c r="D833" s="4" t="s">
        <v>2656</v>
      </c>
      <c r="E833" s="4" t="s">
        <v>181</v>
      </c>
      <c r="F833" s="22">
        <v>2304736.412</v>
      </c>
      <c r="G833" s="22">
        <v>585503.03500000003</v>
      </c>
      <c r="H833" s="11">
        <v>5.17</v>
      </c>
      <c r="I833" s="11">
        <v>3.96</v>
      </c>
      <c r="J833" s="6">
        <f t="shared" si="12"/>
        <v>1.21</v>
      </c>
      <c r="K833" s="4" t="s">
        <v>2657</v>
      </c>
      <c r="L833" s="5" t="s">
        <v>183</v>
      </c>
      <c r="M833" s="23" t="s">
        <v>184</v>
      </c>
    </row>
    <row r="834" spans="2:13" ht="16" x14ac:dyDescent="0.3">
      <c r="B834" s="4">
        <v>828</v>
      </c>
      <c r="C834" s="4" t="s">
        <v>2658</v>
      </c>
      <c r="D834" s="4" t="s">
        <v>2659</v>
      </c>
      <c r="E834" s="4" t="s">
        <v>181</v>
      </c>
      <c r="F834" s="22">
        <v>2304751.4500000002</v>
      </c>
      <c r="G834" s="22">
        <v>585525.46</v>
      </c>
      <c r="H834" s="11">
        <v>5.17</v>
      </c>
      <c r="I834" s="11">
        <v>3.87</v>
      </c>
      <c r="J834" s="6">
        <f t="shared" si="12"/>
        <v>1.2999999999999998</v>
      </c>
      <c r="K834" s="4" t="s">
        <v>2660</v>
      </c>
      <c r="L834" s="5" t="s">
        <v>183</v>
      </c>
      <c r="M834" s="23" t="s">
        <v>184</v>
      </c>
    </row>
    <row r="835" spans="2:13" ht="16" x14ac:dyDescent="0.3">
      <c r="B835" s="4">
        <v>829</v>
      </c>
      <c r="C835" s="4" t="s">
        <v>2661</v>
      </c>
      <c r="D835" s="4" t="s">
        <v>2662</v>
      </c>
      <c r="E835" s="4" t="s">
        <v>181</v>
      </c>
      <c r="F835" s="22">
        <v>2304659.7390000001</v>
      </c>
      <c r="G835" s="22">
        <v>585456.924</v>
      </c>
      <c r="H835" s="11">
        <v>5.39</v>
      </c>
      <c r="I835" s="11">
        <v>4.3899999999999997</v>
      </c>
      <c r="J835" s="6">
        <f t="shared" si="12"/>
        <v>1</v>
      </c>
      <c r="K835" s="4" t="s">
        <v>2663</v>
      </c>
      <c r="L835" s="5" t="s">
        <v>183</v>
      </c>
      <c r="M835" s="23" t="s">
        <v>184</v>
      </c>
    </row>
    <row r="836" spans="2:13" ht="16" x14ac:dyDescent="0.3">
      <c r="B836" s="4">
        <v>830</v>
      </c>
      <c r="C836" s="4" t="s">
        <v>2664</v>
      </c>
      <c r="D836" s="4" t="s">
        <v>2665</v>
      </c>
      <c r="E836" s="4" t="s">
        <v>181</v>
      </c>
      <c r="F836" s="22">
        <v>2304674.7719999999</v>
      </c>
      <c r="G836" s="22">
        <v>585479.35800000001</v>
      </c>
      <c r="H836" s="11">
        <v>5.43</v>
      </c>
      <c r="I836" s="11">
        <v>4.3</v>
      </c>
      <c r="J836" s="6">
        <f t="shared" si="12"/>
        <v>1.1299999999999999</v>
      </c>
      <c r="K836" s="4" t="s">
        <v>2666</v>
      </c>
      <c r="L836" s="5" t="s">
        <v>183</v>
      </c>
      <c r="M836" s="23" t="s">
        <v>184</v>
      </c>
    </row>
    <row r="837" spans="2:13" ht="16" x14ac:dyDescent="0.3">
      <c r="B837" s="4">
        <v>831</v>
      </c>
      <c r="C837" s="4" t="s">
        <v>2667</v>
      </c>
      <c r="D837" s="4" t="s">
        <v>2668</v>
      </c>
      <c r="E837" s="4" t="s">
        <v>181</v>
      </c>
      <c r="F837" s="22">
        <v>2304689.8029999998</v>
      </c>
      <c r="G837" s="22">
        <v>585501.77399999998</v>
      </c>
      <c r="H837" s="11">
        <v>5.47</v>
      </c>
      <c r="I837" s="11">
        <v>4.21</v>
      </c>
      <c r="J837" s="6">
        <f t="shared" si="12"/>
        <v>1.2599999999999998</v>
      </c>
      <c r="K837" s="4" t="s">
        <v>2669</v>
      </c>
      <c r="L837" s="5" t="s">
        <v>183</v>
      </c>
      <c r="M837" s="23" t="s">
        <v>184</v>
      </c>
    </row>
    <row r="838" spans="2:13" ht="16" x14ac:dyDescent="0.3">
      <c r="B838" s="4">
        <v>832</v>
      </c>
      <c r="C838" s="4" t="s">
        <v>2670</v>
      </c>
      <c r="D838" s="4" t="s">
        <v>2671</v>
      </c>
      <c r="E838" s="4" t="s">
        <v>181</v>
      </c>
      <c r="F838" s="22">
        <v>2304704.8489999999</v>
      </c>
      <c r="G838" s="22">
        <v>585524.19999999995</v>
      </c>
      <c r="H838" s="11">
        <v>5.51</v>
      </c>
      <c r="I838" s="11">
        <v>4.12</v>
      </c>
      <c r="J838" s="6">
        <f t="shared" si="12"/>
        <v>1.3899999999999997</v>
      </c>
      <c r="K838" s="4" t="s">
        <v>2672</v>
      </c>
      <c r="L838" s="5" t="s">
        <v>183</v>
      </c>
      <c r="M838" s="23" t="s">
        <v>184</v>
      </c>
    </row>
    <row r="839" spans="2:13" ht="16" x14ac:dyDescent="0.3">
      <c r="B839" s="4">
        <v>833</v>
      </c>
      <c r="C839" s="4" t="s">
        <v>2673</v>
      </c>
      <c r="D839" s="4" t="s">
        <v>2674</v>
      </c>
      <c r="E839" s="4" t="s">
        <v>181</v>
      </c>
      <c r="F839" s="22">
        <v>2304719.889</v>
      </c>
      <c r="G839" s="22">
        <v>585546.62300000002</v>
      </c>
      <c r="H839" s="11">
        <v>5.53</v>
      </c>
      <c r="I839" s="11">
        <v>4.03</v>
      </c>
      <c r="J839" s="6">
        <f t="shared" ref="J839:J902" si="13">H839-I839</f>
        <v>1.5</v>
      </c>
      <c r="K839" s="4" t="s">
        <v>2675</v>
      </c>
      <c r="L839" s="5" t="s">
        <v>183</v>
      </c>
      <c r="M839" s="23" t="s">
        <v>184</v>
      </c>
    </row>
    <row r="840" spans="2:13" ht="16" x14ac:dyDescent="0.3">
      <c r="B840" s="4">
        <v>834</v>
      </c>
      <c r="C840" s="4" t="s">
        <v>2676</v>
      </c>
      <c r="D840" s="4" t="s">
        <v>2677</v>
      </c>
      <c r="E840" s="4" t="s">
        <v>181</v>
      </c>
      <c r="F840" s="22">
        <v>2304771.9580000001</v>
      </c>
      <c r="G840" s="22">
        <v>585560.46</v>
      </c>
      <c r="H840" s="11">
        <v>5.17</v>
      </c>
      <c r="I840" s="11">
        <v>4.32</v>
      </c>
      <c r="J840" s="6">
        <f t="shared" si="13"/>
        <v>0.84999999999999964</v>
      </c>
      <c r="K840" s="4" t="s">
        <v>2678</v>
      </c>
      <c r="L840" s="5" t="s">
        <v>183</v>
      </c>
      <c r="M840" s="23" t="s">
        <v>184</v>
      </c>
    </row>
    <row r="841" spans="2:13" ht="16" x14ac:dyDescent="0.3">
      <c r="B841" s="4">
        <v>835</v>
      </c>
      <c r="C841" s="4" t="s">
        <v>2679</v>
      </c>
      <c r="D841" s="4" t="s">
        <v>2680</v>
      </c>
      <c r="E841" s="4" t="s">
        <v>181</v>
      </c>
      <c r="F841" s="22">
        <v>2304792.7829999998</v>
      </c>
      <c r="G841" s="22">
        <v>585533.23300000001</v>
      </c>
      <c r="H841" s="11">
        <v>5.17</v>
      </c>
      <c r="I841" s="11">
        <v>3.68</v>
      </c>
      <c r="J841" s="6">
        <f t="shared" si="13"/>
        <v>1.4899999999999998</v>
      </c>
      <c r="K841" s="4" t="s">
        <v>2681</v>
      </c>
      <c r="L841" s="5" t="s">
        <v>183</v>
      </c>
      <c r="M841" s="23" t="s">
        <v>184</v>
      </c>
    </row>
    <row r="842" spans="2:13" ht="16" x14ac:dyDescent="0.3">
      <c r="B842" s="4">
        <v>836</v>
      </c>
      <c r="C842" s="4" t="s">
        <v>2682</v>
      </c>
      <c r="D842" s="4" t="s">
        <v>2683</v>
      </c>
      <c r="E842" s="4" t="s">
        <v>181</v>
      </c>
      <c r="F842" s="22">
        <v>2304811.483</v>
      </c>
      <c r="G842" s="22">
        <v>585520.72199999995</v>
      </c>
      <c r="H842" s="11">
        <v>5.17</v>
      </c>
      <c r="I842" s="11">
        <v>3.61</v>
      </c>
      <c r="J842" s="6">
        <f t="shared" si="13"/>
        <v>1.56</v>
      </c>
      <c r="K842" s="4" t="s">
        <v>2684</v>
      </c>
      <c r="L842" s="5" t="s">
        <v>254</v>
      </c>
      <c r="M842" s="23" t="s">
        <v>184</v>
      </c>
    </row>
    <row r="843" spans="2:13" ht="16" x14ac:dyDescent="0.3">
      <c r="B843" s="4">
        <v>837</v>
      </c>
      <c r="C843" s="4" t="s">
        <v>2685</v>
      </c>
      <c r="D843" s="4" t="s">
        <v>2686</v>
      </c>
      <c r="E843" s="4" t="s">
        <v>181</v>
      </c>
      <c r="F843" s="22">
        <v>2304826.4330000002</v>
      </c>
      <c r="G843" s="22">
        <v>585510.696</v>
      </c>
      <c r="H843" s="11">
        <v>5.17</v>
      </c>
      <c r="I843" s="11">
        <v>3.55</v>
      </c>
      <c r="J843" s="6">
        <f t="shared" si="13"/>
        <v>1.62</v>
      </c>
      <c r="K843" s="4" t="s">
        <v>2687</v>
      </c>
      <c r="L843" s="5" t="s">
        <v>254</v>
      </c>
      <c r="M843" s="23" t="s">
        <v>184</v>
      </c>
    </row>
    <row r="844" spans="2:13" ht="16" x14ac:dyDescent="0.3">
      <c r="B844" s="4">
        <v>838</v>
      </c>
      <c r="C844" s="4" t="s">
        <v>2688</v>
      </c>
      <c r="D844" s="4" t="s">
        <v>2689</v>
      </c>
      <c r="E844" s="4" t="s">
        <v>181</v>
      </c>
      <c r="F844" s="22">
        <v>2304732.094</v>
      </c>
      <c r="G844" s="22">
        <v>585564.82400000002</v>
      </c>
      <c r="H844" s="11">
        <v>5.53</v>
      </c>
      <c r="I844" s="11">
        <v>3.96</v>
      </c>
      <c r="J844" s="6">
        <f t="shared" si="13"/>
        <v>1.5700000000000003</v>
      </c>
      <c r="K844" s="4" t="s">
        <v>2690</v>
      </c>
      <c r="L844" s="5" t="s">
        <v>254</v>
      </c>
      <c r="M844" s="23" t="s">
        <v>184</v>
      </c>
    </row>
    <row r="845" spans="2:13" ht="16" x14ac:dyDescent="0.3">
      <c r="B845" s="4">
        <v>839</v>
      </c>
      <c r="C845" s="4" t="s">
        <v>2691</v>
      </c>
      <c r="D845" s="4" t="s">
        <v>2692</v>
      </c>
      <c r="E845" s="4" t="s">
        <v>181</v>
      </c>
      <c r="F845" s="22">
        <v>2304752.1069999998</v>
      </c>
      <c r="G845" s="22">
        <v>585560.54500000004</v>
      </c>
      <c r="H845" s="11">
        <v>5.17</v>
      </c>
      <c r="I845" s="11">
        <v>3.89</v>
      </c>
      <c r="J845" s="6">
        <f t="shared" si="13"/>
        <v>1.2799999999999998</v>
      </c>
      <c r="K845" s="4" t="s">
        <v>2693</v>
      </c>
      <c r="L845" s="5" t="s">
        <v>183</v>
      </c>
      <c r="M845" s="23" t="s">
        <v>184</v>
      </c>
    </row>
    <row r="846" spans="2:13" ht="16" x14ac:dyDescent="0.3">
      <c r="B846" s="4">
        <v>840</v>
      </c>
      <c r="C846" s="4" t="s">
        <v>2694</v>
      </c>
      <c r="D846" s="4" t="s">
        <v>2695</v>
      </c>
      <c r="E846" s="4" t="s">
        <v>181</v>
      </c>
      <c r="F846" s="22">
        <v>2304794.39</v>
      </c>
      <c r="G846" s="22">
        <v>585545.41799999995</v>
      </c>
      <c r="H846" s="11">
        <v>5.17</v>
      </c>
      <c r="I846" s="11">
        <v>4.2300000000000004</v>
      </c>
      <c r="J846" s="6">
        <f t="shared" si="13"/>
        <v>0.9399999999999995</v>
      </c>
      <c r="K846" s="4" t="s">
        <v>2696</v>
      </c>
      <c r="L846" s="5" t="s">
        <v>183</v>
      </c>
      <c r="M846" s="23" t="s">
        <v>184</v>
      </c>
    </row>
    <row r="847" spans="2:13" ht="16" x14ac:dyDescent="0.3">
      <c r="B847" s="4">
        <v>841</v>
      </c>
      <c r="C847" s="4" t="s">
        <v>2697</v>
      </c>
      <c r="D847" s="4" t="s">
        <v>2698</v>
      </c>
      <c r="E847" s="4" t="s">
        <v>181</v>
      </c>
      <c r="F847" s="22">
        <v>2304816.81</v>
      </c>
      <c r="G847" s="22">
        <v>585530.37399999995</v>
      </c>
      <c r="H847" s="11">
        <v>5.17</v>
      </c>
      <c r="I847" s="11">
        <v>4.1399999999999997</v>
      </c>
      <c r="J847" s="6">
        <f t="shared" si="13"/>
        <v>1.0300000000000002</v>
      </c>
      <c r="K847" s="4" t="s">
        <v>2699</v>
      </c>
      <c r="L847" s="5" t="s">
        <v>183</v>
      </c>
      <c r="M847" s="23" t="s">
        <v>184</v>
      </c>
    </row>
    <row r="848" spans="2:13" ht="16" x14ac:dyDescent="0.3">
      <c r="B848" s="4">
        <v>842</v>
      </c>
      <c r="C848" s="4" t="s">
        <v>2700</v>
      </c>
      <c r="D848" s="4" t="s">
        <v>2701</v>
      </c>
      <c r="E848" s="4" t="s">
        <v>181</v>
      </c>
      <c r="F848" s="22">
        <v>2304831.7650000001</v>
      </c>
      <c r="G848" s="22">
        <v>585520.35600000003</v>
      </c>
      <c r="H848" s="11">
        <v>5.17</v>
      </c>
      <c r="I848" s="11">
        <v>4.08</v>
      </c>
      <c r="J848" s="6">
        <f t="shared" si="13"/>
        <v>1.0899999999999999</v>
      </c>
      <c r="K848" s="4" t="s">
        <v>2702</v>
      </c>
      <c r="L848" s="5" t="s">
        <v>183</v>
      </c>
      <c r="M848" s="23" t="s">
        <v>184</v>
      </c>
    </row>
    <row r="849" spans="2:13" ht="16" x14ac:dyDescent="0.3">
      <c r="B849" s="4">
        <v>843</v>
      </c>
      <c r="C849" s="4" t="s">
        <v>2703</v>
      </c>
      <c r="D849" s="4" t="s">
        <v>2704</v>
      </c>
      <c r="E849" s="4" t="s">
        <v>181</v>
      </c>
      <c r="F849" s="22">
        <v>2304794.2379999999</v>
      </c>
      <c r="G849" s="22">
        <v>585593.69099999999</v>
      </c>
      <c r="H849" s="11">
        <v>5.1100000000000003</v>
      </c>
      <c r="I849" s="11">
        <v>4.26</v>
      </c>
      <c r="J849" s="6">
        <f t="shared" si="13"/>
        <v>0.85000000000000053</v>
      </c>
      <c r="K849" s="4" t="s">
        <v>2705</v>
      </c>
      <c r="L849" s="5" t="s">
        <v>183</v>
      </c>
      <c r="M849" s="23" t="s">
        <v>184</v>
      </c>
    </row>
    <row r="850" spans="2:13" ht="16" x14ac:dyDescent="0.3">
      <c r="B850" s="4">
        <v>844</v>
      </c>
      <c r="C850" s="4" t="s">
        <v>2706</v>
      </c>
      <c r="D850" s="4" t="s">
        <v>2707</v>
      </c>
      <c r="E850" s="4" t="s">
        <v>181</v>
      </c>
      <c r="F850" s="22">
        <v>2304816.6630000002</v>
      </c>
      <c r="G850" s="22">
        <v>585578.65300000005</v>
      </c>
      <c r="H850" s="11">
        <v>5.1100000000000003</v>
      </c>
      <c r="I850" s="11">
        <v>4.17</v>
      </c>
      <c r="J850" s="6">
        <f t="shared" si="13"/>
        <v>0.94000000000000039</v>
      </c>
      <c r="K850" s="4" t="s">
        <v>2708</v>
      </c>
      <c r="L850" s="5" t="s">
        <v>183</v>
      </c>
      <c r="M850" s="23" t="s">
        <v>184</v>
      </c>
    </row>
    <row r="851" spans="2:13" ht="16" x14ac:dyDescent="0.3">
      <c r="B851" s="4">
        <v>845</v>
      </c>
      <c r="C851" s="4" t="s">
        <v>2709</v>
      </c>
      <c r="D851" s="4" t="s">
        <v>2710</v>
      </c>
      <c r="E851" s="4" t="s">
        <v>181</v>
      </c>
      <c r="F851" s="22">
        <v>2304839.088</v>
      </c>
      <c r="G851" s="22">
        <v>585563.61600000004</v>
      </c>
      <c r="H851" s="11">
        <v>5.1100000000000003</v>
      </c>
      <c r="I851" s="11">
        <v>4.08</v>
      </c>
      <c r="J851" s="6">
        <f t="shared" si="13"/>
        <v>1.0300000000000002</v>
      </c>
      <c r="K851" s="4" t="s">
        <v>2711</v>
      </c>
      <c r="L851" s="5" t="s">
        <v>183</v>
      </c>
      <c r="M851" s="23" t="s">
        <v>184</v>
      </c>
    </row>
    <row r="852" spans="2:13" ht="16" x14ac:dyDescent="0.3">
      <c r="B852" s="4">
        <v>846</v>
      </c>
      <c r="C852" s="4" t="s">
        <v>2712</v>
      </c>
      <c r="D852" s="4" t="s">
        <v>2713</v>
      </c>
      <c r="E852" s="4" t="s">
        <v>181</v>
      </c>
      <c r="F852" s="22">
        <v>2304854.0380000002</v>
      </c>
      <c r="G852" s="22">
        <v>585553.59100000001</v>
      </c>
      <c r="H852" s="11">
        <v>5.1100000000000003</v>
      </c>
      <c r="I852" s="11">
        <v>4.0199999999999996</v>
      </c>
      <c r="J852" s="6">
        <f t="shared" si="13"/>
        <v>1.0900000000000007</v>
      </c>
      <c r="K852" s="4" t="s">
        <v>2714</v>
      </c>
      <c r="L852" s="5" t="s">
        <v>183</v>
      </c>
      <c r="M852" s="23" t="s">
        <v>184</v>
      </c>
    </row>
    <row r="853" spans="2:13" ht="16" x14ac:dyDescent="0.3">
      <c r="B853" s="4">
        <v>847</v>
      </c>
      <c r="C853" s="4" t="s">
        <v>2715</v>
      </c>
      <c r="D853" s="4" t="s">
        <v>2716</v>
      </c>
      <c r="E853" s="4" t="s">
        <v>181</v>
      </c>
      <c r="F853" s="22">
        <v>2304901.9870000002</v>
      </c>
      <c r="G853" s="22">
        <v>585473.277</v>
      </c>
      <c r="H853" s="11">
        <v>5.17</v>
      </c>
      <c r="I853" s="11">
        <v>4.2300000000000004</v>
      </c>
      <c r="J853" s="6">
        <f t="shared" si="13"/>
        <v>0.9399999999999995</v>
      </c>
      <c r="K853" s="4" t="s">
        <v>2717</v>
      </c>
      <c r="L853" s="5" t="s">
        <v>183</v>
      </c>
      <c r="M853" s="23" t="s">
        <v>184</v>
      </c>
    </row>
    <row r="854" spans="2:13" ht="16" x14ac:dyDescent="0.3">
      <c r="B854" s="4">
        <v>848</v>
      </c>
      <c r="C854" s="4" t="s">
        <v>2718</v>
      </c>
      <c r="D854" s="4" t="s">
        <v>2719</v>
      </c>
      <c r="E854" s="4" t="s">
        <v>181</v>
      </c>
      <c r="F854" s="22">
        <v>2304924.412</v>
      </c>
      <c r="G854" s="22">
        <v>585458.23899999994</v>
      </c>
      <c r="H854" s="11">
        <v>5.17</v>
      </c>
      <c r="I854" s="11">
        <v>4.1399999999999997</v>
      </c>
      <c r="J854" s="6">
        <f t="shared" si="13"/>
        <v>1.0300000000000002</v>
      </c>
      <c r="K854" s="4" t="s">
        <v>2720</v>
      </c>
      <c r="L854" s="5" t="s">
        <v>183</v>
      </c>
      <c r="M854" s="23" t="s">
        <v>184</v>
      </c>
    </row>
    <row r="855" spans="2:13" ht="16" x14ac:dyDescent="0.3">
      <c r="B855" s="4">
        <v>849</v>
      </c>
      <c r="C855" s="4" t="s">
        <v>2721</v>
      </c>
      <c r="D855" s="4" t="s">
        <v>2722</v>
      </c>
      <c r="E855" s="4" t="s">
        <v>181</v>
      </c>
      <c r="F855" s="22">
        <v>2304946.8560000001</v>
      </c>
      <c r="G855" s="22">
        <v>585443.23100000003</v>
      </c>
      <c r="H855" s="11">
        <v>5.17</v>
      </c>
      <c r="I855" s="11">
        <v>4.05</v>
      </c>
      <c r="J855" s="6">
        <f t="shared" si="13"/>
        <v>1.1200000000000001</v>
      </c>
      <c r="K855" s="4" t="s">
        <v>2723</v>
      </c>
      <c r="L855" s="5" t="s">
        <v>183</v>
      </c>
      <c r="M855" s="23" t="s">
        <v>184</v>
      </c>
    </row>
    <row r="856" spans="2:13" ht="16" x14ac:dyDescent="0.3">
      <c r="B856" s="4">
        <v>850</v>
      </c>
      <c r="C856" s="4" t="s">
        <v>2724</v>
      </c>
      <c r="D856" s="4" t="s">
        <v>2725</v>
      </c>
      <c r="E856" s="4" t="s">
        <v>181</v>
      </c>
      <c r="F856" s="22">
        <v>2304795.2370000002</v>
      </c>
      <c r="G856" s="22">
        <v>585308.86699999997</v>
      </c>
      <c r="H856" s="11">
        <v>5.17</v>
      </c>
      <c r="I856" s="11">
        <v>4.2300000000000004</v>
      </c>
      <c r="J856" s="6">
        <f t="shared" si="13"/>
        <v>0.9399999999999995</v>
      </c>
      <c r="K856" s="4" t="s">
        <v>2726</v>
      </c>
      <c r="L856" s="5" t="s">
        <v>183</v>
      </c>
      <c r="M856" s="23" t="s">
        <v>184</v>
      </c>
    </row>
    <row r="857" spans="2:13" ht="16" x14ac:dyDescent="0.3">
      <c r="B857" s="4">
        <v>851</v>
      </c>
      <c r="C857" s="4" t="s">
        <v>2727</v>
      </c>
      <c r="D857" s="4" t="s">
        <v>2728</v>
      </c>
      <c r="E857" s="4" t="s">
        <v>181</v>
      </c>
      <c r="F857" s="22">
        <v>2304819.6779999998</v>
      </c>
      <c r="G857" s="22">
        <v>585292.50100000005</v>
      </c>
      <c r="H857" s="11">
        <v>5.17</v>
      </c>
      <c r="I857" s="11">
        <v>4.13</v>
      </c>
      <c r="J857" s="6">
        <f t="shared" si="13"/>
        <v>1.04</v>
      </c>
      <c r="K857" s="4" t="s">
        <v>2729</v>
      </c>
      <c r="L857" s="5" t="s">
        <v>183</v>
      </c>
      <c r="M857" s="23" t="s">
        <v>184</v>
      </c>
    </row>
    <row r="858" spans="2:13" ht="16" x14ac:dyDescent="0.3">
      <c r="B858" s="4">
        <v>852</v>
      </c>
      <c r="C858" s="4" t="s">
        <v>2730</v>
      </c>
      <c r="D858" s="4" t="s">
        <v>2731</v>
      </c>
      <c r="E858" s="4" t="s">
        <v>181</v>
      </c>
      <c r="F858" s="22">
        <v>2304834.0690000001</v>
      </c>
      <c r="G858" s="22">
        <v>585305.728</v>
      </c>
      <c r="H858" s="11">
        <v>5.17</v>
      </c>
      <c r="I858" s="11">
        <v>4.0599999999999996</v>
      </c>
      <c r="J858" s="6">
        <f t="shared" si="13"/>
        <v>1.1100000000000003</v>
      </c>
      <c r="K858" s="4" t="s">
        <v>2732</v>
      </c>
      <c r="L858" s="5" t="s">
        <v>183</v>
      </c>
      <c r="M858" s="23" t="s">
        <v>184</v>
      </c>
    </row>
    <row r="859" spans="2:13" ht="16" x14ac:dyDescent="0.3">
      <c r="B859" s="4">
        <v>853</v>
      </c>
      <c r="C859" s="4" t="s">
        <v>2733</v>
      </c>
      <c r="D859" s="4" t="s">
        <v>2734</v>
      </c>
      <c r="E859" s="4" t="s">
        <v>181</v>
      </c>
      <c r="F859" s="22">
        <v>2304840.8420000002</v>
      </c>
      <c r="G859" s="22">
        <v>585324.06200000003</v>
      </c>
      <c r="H859" s="11">
        <v>5.17</v>
      </c>
      <c r="I859" s="11">
        <v>3.99</v>
      </c>
      <c r="J859" s="6">
        <f t="shared" si="13"/>
        <v>1.1799999999999997</v>
      </c>
      <c r="K859" s="4" t="s">
        <v>2735</v>
      </c>
      <c r="L859" s="5" t="s">
        <v>183</v>
      </c>
      <c r="M859" s="23" t="s">
        <v>184</v>
      </c>
    </row>
    <row r="860" spans="2:13" ht="16" x14ac:dyDescent="0.3">
      <c r="B860" s="4">
        <v>854</v>
      </c>
      <c r="C860" s="4" t="s">
        <v>2736</v>
      </c>
      <c r="D860" s="4" t="s">
        <v>2737</v>
      </c>
      <c r="E860" s="4" t="s">
        <v>181</v>
      </c>
      <c r="F860" s="22">
        <v>2304846.9679999999</v>
      </c>
      <c r="G860" s="22">
        <v>585333.19799999997</v>
      </c>
      <c r="H860" s="11">
        <v>5.17</v>
      </c>
      <c r="I860" s="11">
        <v>3.96</v>
      </c>
      <c r="J860" s="6">
        <f t="shared" si="13"/>
        <v>1.21</v>
      </c>
      <c r="K860" s="4" t="s">
        <v>2738</v>
      </c>
      <c r="L860" s="5" t="s">
        <v>183</v>
      </c>
      <c r="M860" s="23" t="s">
        <v>184</v>
      </c>
    </row>
    <row r="861" spans="2:13" ht="16" x14ac:dyDescent="0.3">
      <c r="B861" s="4">
        <v>855</v>
      </c>
      <c r="C861" s="4" t="s">
        <v>2739</v>
      </c>
      <c r="D861" s="4" t="s">
        <v>2740</v>
      </c>
      <c r="E861" s="4" t="s">
        <v>181</v>
      </c>
      <c r="F861" s="22">
        <v>2304861.3590000002</v>
      </c>
      <c r="G861" s="22">
        <v>585346.42500000005</v>
      </c>
      <c r="H861" s="11">
        <v>5.17</v>
      </c>
      <c r="I861" s="11">
        <v>3.89</v>
      </c>
      <c r="J861" s="6">
        <f t="shared" si="13"/>
        <v>1.2799999999999998</v>
      </c>
      <c r="K861" s="4" t="s">
        <v>2741</v>
      </c>
      <c r="L861" s="5" t="s">
        <v>183</v>
      </c>
      <c r="M861" s="23" t="s">
        <v>184</v>
      </c>
    </row>
    <row r="862" spans="2:13" ht="16" x14ac:dyDescent="0.3">
      <c r="B862" s="4">
        <v>856</v>
      </c>
      <c r="C862" s="4" t="s">
        <v>2742</v>
      </c>
      <c r="D862" s="4" t="s">
        <v>2743</v>
      </c>
      <c r="E862" s="4" t="s">
        <v>181</v>
      </c>
      <c r="F862" s="22">
        <v>2304868.1320000002</v>
      </c>
      <c r="G862" s="22">
        <v>585364.75899999996</v>
      </c>
      <c r="H862" s="11">
        <v>5.17</v>
      </c>
      <c r="I862" s="11">
        <v>3.82</v>
      </c>
      <c r="J862" s="6">
        <f t="shared" si="13"/>
        <v>1.35</v>
      </c>
      <c r="K862" s="4" t="s">
        <v>2744</v>
      </c>
      <c r="L862" s="5" t="s">
        <v>183</v>
      </c>
      <c r="M862" s="23" t="s">
        <v>184</v>
      </c>
    </row>
    <row r="863" spans="2:13" ht="16" x14ac:dyDescent="0.3">
      <c r="B863" s="4">
        <v>857</v>
      </c>
      <c r="C863" s="4" t="s">
        <v>2745</v>
      </c>
      <c r="D863" s="4" t="s">
        <v>2746</v>
      </c>
      <c r="E863" s="4" t="s">
        <v>181</v>
      </c>
      <c r="F863" s="22">
        <v>2304874.2590000001</v>
      </c>
      <c r="G863" s="22">
        <v>585373.89500000002</v>
      </c>
      <c r="H863" s="11">
        <v>5.17</v>
      </c>
      <c r="I863" s="11">
        <v>3.78</v>
      </c>
      <c r="J863" s="6">
        <f t="shared" si="13"/>
        <v>1.3900000000000001</v>
      </c>
      <c r="K863" s="4" t="s">
        <v>2747</v>
      </c>
      <c r="L863" s="5" t="s">
        <v>183</v>
      </c>
      <c r="M863" s="23" t="s">
        <v>184</v>
      </c>
    </row>
    <row r="864" spans="2:13" ht="16" x14ac:dyDescent="0.3">
      <c r="B864" s="4">
        <v>858</v>
      </c>
      <c r="C864" s="4" t="s">
        <v>2748</v>
      </c>
      <c r="D864" s="4" t="s">
        <v>2749</v>
      </c>
      <c r="E864" s="4" t="s">
        <v>181</v>
      </c>
      <c r="F864" s="22">
        <v>2304888.6490000002</v>
      </c>
      <c r="G864" s="22">
        <v>585387.12199999997</v>
      </c>
      <c r="H864" s="11">
        <v>5.17</v>
      </c>
      <c r="I864" s="11">
        <v>3.71</v>
      </c>
      <c r="J864" s="6">
        <f t="shared" si="13"/>
        <v>1.46</v>
      </c>
      <c r="K864" s="4" t="s">
        <v>2750</v>
      </c>
      <c r="L864" s="5" t="s">
        <v>183</v>
      </c>
      <c r="M864" s="23" t="s">
        <v>184</v>
      </c>
    </row>
    <row r="865" spans="2:13" ht="16" x14ac:dyDescent="0.3">
      <c r="B865" s="4">
        <v>859</v>
      </c>
      <c r="C865" s="4" t="s">
        <v>2751</v>
      </c>
      <c r="D865" s="4" t="s">
        <v>2752</v>
      </c>
      <c r="E865" s="4" t="s">
        <v>181</v>
      </c>
      <c r="F865" s="22">
        <v>2304895.4219999998</v>
      </c>
      <c r="G865" s="22">
        <v>585405.45600000001</v>
      </c>
      <c r="H865" s="11">
        <v>5.17</v>
      </c>
      <c r="I865" s="11">
        <v>3.64</v>
      </c>
      <c r="J865" s="6">
        <f t="shared" si="13"/>
        <v>1.5299999999999998</v>
      </c>
      <c r="K865" s="4" t="s">
        <v>2753</v>
      </c>
      <c r="L865" s="5" t="s">
        <v>254</v>
      </c>
      <c r="M865" s="23" t="s">
        <v>184</v>
      </c>
    </row>
    <row r="866" spans="2:13" ht="16" x14ac:dyDescent="0.3">
      <c r="B866" s="4">
        <v>860</v>
      </c>
      <c r="C866" s="4" t="s">
        <v>2754</v>
      </c>
      <c r="D866" s="4" t="s">
        <v>2755</v>
      </c>
      <c r="E866" s="4" t="s">
        <v>181</v>
      </c>
      <c r="F866" s="22">
        <v>2304901.5490000001</v>
      </c>
      <c r="G866" s="22">
        <v>585414.59199999995</v>
      </c>
      <c r="H866" s="11">
        <v>5.17</v>
      </c>
      <c r="I866" s="11">
        <v>3.61</v>
      </c>
      <c r="J866" s="6">
        <f t="shared" si="13"/>
        <v>1.56</v>
      </c>
      <c r="K866" s="4" t="s">
        <v>2756</v>
      </c>
      <c r="L866" s="5" t="s">
        <v>254</v>
      </c>
      <c r="M866" s="23" t="s">
        <v>184</v>
      </c>
    </row>
    <row r="867" spans="2:13" ht="16" x14ac:dyDescent="0.3">
      <c r="B867" s="4">
        <v>861</v>
      </c>
      <c r="C867" s="4" t="s">
        <v>2757</v>
      </c>
      <c r="D867" s="4" t="s">
        <v>2758</v>
      </c>
      <c r="E867" s="4" t="s">
        <v>181</v>
      </c>
      <c r="F867" s="22">
        <v>2304923.7990000001</v>
      </c>
      <c r="G867" s="22">
        <v>585439.53899999999</v>
      </c>
      <c r="H867" s="11">
        <v>5.17</v>
      </c>
      <c r="I867" s="11">
        <v>3.49</v>
      </c>
      <c r="J867" s="6">
        <f t="shared" si="13"/>
        <v>1.6799999999999997</v>
      </c>
      <c r="K867" s="4" t="s">
        <v>2759</v>
      </c>
      <c r="L867" s="5" t="s">
        <v>254</v>
      </c>
      <c r="M867" s="23" t="s">
        <v>184</v>
      </c>
    </row>
    <row r="868" spans="2:13" ht="16" x14ac:dyDescent="0.3">
      <c r="B868" s="4">
        <v>862</v>
      </c>
      <c r="C868" s="4" t="s">
        <v>2760</v>
      </c>
      <c r="D868" s="4" t="s">
        <v>2761</v>
      </c>
      <c r="E868" s="4" t="s">
        <v>181</v>
      </c>
      <c r="F868" s="22">
        <v>2304939.7519999999</v>
      </c>
      <c r="G868" s="22">
        <v>585434.72699999996</v>
      </c>
      <c r="H868" s="11">
        <v>5.17</v>
      </c>
      <c r="I868" s="11">
        <v>3.44</v>
      </c>
      <c r="J868" s="6">
        <f t="shared" si="13"/>
        <v>1.73</v>
      </c>
      <c r="K868" s="4" t="s">
        <v>2762</v>
      </c>
      <c r="L868" s="5" t="s">
        <v>254</v>
      </c>
      <c r="M868" s="23" t="s">
        <v>184</v>
      </c>
    </row>
    <row r="869" spans="2:13" ht="16" x14ac:dyDescent="0.3">
      <c r="B869" s="4">
        <v>863</v>
      </c>
      <c r="C869" s="4" t="s">
        <v>2763</v>
      </c>
      <c r="D869" s="4" t="s">
        <v>2764</v>
      </c>
      <c r="E869" s="4" t="s">
        <v>181</v>
      </c>
      <c r="F869" s="22">
        <v>2304875.858</v>
      </c>
      <c r="G869" s="22">
        <v>585477.57299999997</v>
      </c>
      <c r="H869" s="11">
        <v>5.17</v>
      </c>
      <c r="I869" s="11">
        <v>4.32</v>
      </c>
      <c r="J869" s="6">
        <f t="shared" si="13"/>
        <v>0.84999999999999964</v>
      </c>
      <c r="K869" s="4" t="s">
        <v>2765</v>
      </c>
      <c r="L869" s="5" t="s">
        <v>183</v>
      </c>
      <c r="M869" s="23" t="s">
        <v>184</v>
      </c>
    </row>
    <row r="870" spans="2:13" ht="16" x14ac:dyDescent="0.3">
      <c r="B870" s="4">
        <v>864</v>
      </c>
      <c r="C870" s="4" t="s">
        <v>2766</v>
      </c>
      <c r="D870" s="4" t="s">
        <v>2767</v>
      </c>
      <c r="E870" s="4" t="s">
        <v>181</v>
      </c>
      <c r="F870" s="22">
        <v>2304898.2820000001</v>
      </c>
      <c r="G870" s="22">
        <v>585462.53500000003</v>
      </c>
      <c r="H870" s="11">
        <v>5.17</v>
      </c>
      <c r="I870" s="11">
        <v>4.2300000000000004</v>
      </c>
      <c r="J870" s="6">
        <f t="shared" si="13"/>
        <v>0.9399999999999995</v>
      </c>
      <c r="K870" s="4" t="s">
        <v>2768</v>
      </c>
      <c r="L870" s="5" t="s">
        <v>183</v>
      </c>
      <c r="M870" s="23" t="s">
        <v>184</v>
      </c>
    </row>
    <row r="871" spans="2:13" ht="16" x14ac:dyDescent="0.3">
      <c r="B871" s="4">
        <v>865</v>
      </c>
      <c r="C871" s="4" t="s">
        <v>2769</v>
      </c>
      <c r="D871" s="4" t="s">
        <v>2770</v>
      </c>
      <c r="E871" s="4" t="s">
        <v>181</v>
      </c>
      <c r="F871" s="22">
        <v>2304854.537</v>
      </c>
      <c r="G871" s="22">
        <v>585446.11699999997</v>
      </c>
      <c r="H871" s="11">
        <v>5.17</v>
      </c>
      <c r="I871" s="11">
        <v>4.32</v>
      </c>
      <c r="J871" s="6">
        <f t="shared" si="13"/>
        <v>0.84999999999999964</v>
      </c>
      <c r="K871" s="4" t="s">
        <v>2771</v>
      </c>
      <c r="L871" s="5" t="s">
        <v>183</v>
      </c>
      <c r="M871" s="23" t="s">
        <v>184</v>
      </c>
    </row>
    <row r="872" spans="2:13" ht="16" x14ac:dyDescent="0.3">
      <c r="B872" s="4">
        <v>866</v>
      </c>
      <c r="C872" s="4" t="s">
        <v>2772</v>
      </c>
      <c r="D872" s="4" t="s">
        <v>2773</v>
      </c>
      <c r="E872" s="4" t="s">
        <v>181</v>
      </c>
      <c r="F872" s="22">
        <v>2304877.1189999999</v>
      </c>
      <c r="G872" s="22">
        <v>585430.97400000005</v>
      </c>
      <c r="H872" s="11">
        <v>5.17</v>
      </c>
      <c r="I872" s="11">
        <v>4.2300000000000004</v>
      </c>
      <c r="J872" s="6">
        <f t="shared" si="13"/>
        <v>0.9399999999999995</v>
      </c>
      <c r="K872" s="4" t="s">
        <v>2774</v>
      </c>
      <c r="L872" s="5" t="s">
        <v>183</v>
      </c>
      <c r="M872" s="23" t="s">
        <v>184</v>
      </c>
    </row>
    <row r="873" spans="2:13" ht="16" x14ac:dyDescent="0.3">
      <c r="B873" s="4">
        <v>867</v>
      </c>
      <c r="C873" s="4" t="s">
        <v>2775</v>
      </c>
      <c r="D873" s="4" t="s">
        <v>2776</v>
      </c>
      <c r="E873" s="4" t="s">
        <v>181</v>
      </c>
      <c r="F873" s="22">
        <v>2304848.5669999998</v>
      </c>
      <c r="G873" s="22">
        <v>585436.87600000005</v>
      </c>
      <c r="H873" s="11">
        <v>5.17</v>
      </c>
      <c r="I873" s="11">
        <v>4.32</v>
      </c>
      <c r="J873" s="6">
        <f t="shared" si="13"/>
        <v>0.84999999999999964</v>
      </c>
      <c r="K873" s="4" t="s">
        <v>2777</v>
      </c>
      <c r="L873" s="5" t="s">
        <v>183</v>
      </c>
      <c r="M873" s="23" t="s">
        <v>184</v>
      </c>
    </row>
    <row r="874" spans="2:13" ht="16" x14ac:dyDescent="0.3">
      <c r="B874" s="4">
        <v>868</v>
      </c>
      <c r="C874" s="4" t="s">
        <v>2778</v>
      </c>
      <c r="D874" s="4" t="s">
        <v>2779</v>
      </c>
      <c r="E874" s="4" t="s">
        <v>181</v>
      </c>
      <c r="F874" s="22">
        <v>2304870.9920000001</v>
      </c>
      <c r="G874" s="22">
        <v>585421.83799999999</v>
      </c>
      <c r="H874" s="11">
        <v>5.17</v>
      </c>
      <c r="I874" s="11">
        <v>4.2300000000000004</v>
      </c>
      <c r="J874" s="6">
        <f t="shared" si="13"/>
        <v>0.9399999999999995</v>
      </c>
      <c r="K874" s="4" t="s">
        <v>2780</v>
      </c>
      <c r="L874" s="5" t="s">
        <v>183</v>
      </c>
      <c r="M874" s="23" t="s">
        <v>184</v>
      </c>
    </row>
    <row r="875" spans="2:13" ht="16" x14ac:dyDescent="0.3">
      <c r="B875" s="4">
        <v>869</v>
      </c>
      <c r="C875" s="4" t="s">
        <v>2781</v>
      </c>
      <c r="D875" s="4" t="s">
        <v>2782</v>
      </c>
      <c r="E875" s="4" t="s">
        <v>181</v>
      </c>
      <c r="F875" s="22">
        <v>2304827.247</v>
      </c>
      <c r="G875" s="22">
        <v>585405.42000000004</v>
      </c>
      <c r="H875" s="11">
        <v>5.17</v>
      </c>
      <c r="I875" s="11">
        <v>4.32</v>
      </c>
      <c r="J875" s="6">
        <f t="shared" si="13"/>
        <v>0.84999999999999964</v>
      </c>
      <c r="K875" s="4" t="s">
        <v>2783</v>
      </c>
      <c r="L875" s="5" t="s">
        <v>183</v>
      </c>
      <c r="M875" s="23" t="s">
        <v>184</v>
      </c>
    </row>
    <row r="876" spans="2:13" ht="16" x14ac:dyDescent="0.3">
      <c r="B876" s="4">
        <v>870</v>
      </c>
      <c r="C876" s="4" t="s">
        <v>2784</v>
      </c>
      <c r="D876" s="4" t="s">
        <v>2785</v>
      </c>
      <c r="E876" s="4" t="s">
        <v>181</v>
      </c>
      <c r="F876" s="22">
        <v>2304849.8289999999</v>
      </c>
      <c r="G876" s="22">
        <v>585390.277</v>
      </c>
      <c r="H876" s="11">
        <v>5.17</v>
      </c>
      <c r="I876" s="11">
        <v>4.2300000000000004</v>
      </c>
      <c r="J876" s="6">
        <f t="shared" si="13"/>
        <v>0.9399999999999995</v>
      </c>
      <c r="K876" s="4" t="s">
        <v>2786</v>
      </c>
      <c r="L876" s="5" t="s">
        <v>183</v>
      </c>
      <c r="M876" s="23" t="s">
        <v>184</v>
      </c>
    </row>
    <row r="877" spans="2:13" ht="16" x14ac:dyDescent="0.3">
      <c r="B877" s="4">
        <v>871</v>
      </c>
      <c r="C877" s="4" t="s">
        <v>2787</v>
      </c>
      <c r="D877" s="4" t="s">
        <v>2788</v>
      </c>
      <c r="E877" s="4" t="s">
        <v>181</v>
      </c>
      <c r="F877" s="22">
        <v>2304821.2769999998</v>
      </c>
      <c r="G877" s="22">
        <v>585396.179</v>
      </c>
      <c r="H877" s="11">
        <v>5.17</v>
      </c>
      <c r="I877" s="11">
        <v>4.32</v>
      </c>
      <c r="J877" s="6">
        <f t="shared" si="13"/>
        <v>0.84999999999999964</v>
      </c>
      <c r="K877" s="4" t="s">
        <v>2789</v>
      </c>
      <c r="L877" s="5" t="s">
        <v>183</v>
      </c>
      <c r="M877" s="23" t="s">
        <v>184</v>
      </c>
    </row>
    <row r="878" spans="2:13" ht="16" x14ac:dyDescent="0.3">
      <c r="B878" s="4">
        <v>872</v>
      </c>
      <c r="C878" s="4" t="s">
        <v>2790</v>
      </c>
      <c r="D878" s="4" t="s">
        <v>2791</v>
      </c>
      <c r="E878" s="4" t="s">
        <v>181</v>
      </c>
      <c r="F878" s="22">
        <v>2304843.702</v>
      </c>
      <c r="G878" s="22">
        <v>585381.14099999995</v>
      </c>
      <c r="H878" s="11">
        <v>5.17</v>
      </c>
      <c r="I878" s="11">
        <v>4.2300000000000004</v>
      </c>
      <c r="J878" s="6">
        <f t="shared" si="13"/>
        <v>0.9399999999999995</v>
      </c>
      <c r="K878" s="4" t="s">
        <v>2792</v>
      </c>
      <c r="L878" s="5" t="s">
        <v>183</v>
      </c>
      <c r="M878" s="23" t="s">
        <v>184</v>
      </c>
    </row>
    <row r="879" spans="2:13" ht="16" x14ac:dyDescent="0.3">
      <c r="B879" s="4">
        <v>873</v>
      </c>
      <c r="C879" s="4" t="s">
        <v>2793</v>
      </c>
      <c r="D879" s="4" t="s">
        <v>2794</v>
      </c>
      <c r="E879" s="4" t="s">
        <v>181</v>
      </c>
      <c r="F879" s="22">
        <v>2304799.9569999999</v>
      </c>
      <c r="G879" s="22">
        <v>585364.723</v>
      </c>
      <c r="H879" s="11">
        <v>5.17</v>
      </c>
      <c r="I879" s="11">
        <v>4.32</v>
      </c>
      <c r="J879" s="6">
        <f t="shared" si="13"/>
        <v>0.84999999999999964</v>
      </c>
      <c r="K879" s="4" t="s">
        <v>2795</v>
      </c>
      <c r="L879" s="5" t="s">
        <v>183</v>
      </c>
      <c r="M879" s="23" t="s">
        <v>184</v>
      </c>
    </row>
    <row r="880" spans="2:13" ht="16" x14ac:dyDescent="0.3">
      <c r="B880" s="4">
        <v>874</v>
      </c>
      <c r="C880" s="4" t="s">
        <v>2796</v>
      </c>
      <c r="D880" s="4" t="s">
        <v>2797</v>
      </c>
      <c r="E880" s="4" t="s">
        <v>181</v>
      </c>
      <c r="F880" s="22">
        <v>2304822.5380000002</v>
      </c>
      <c r="G880" s="22">
        <v>585349.57999999996</v>
      </c>
      <c r="H880" s="11">
        <v>5.17</v>
      </c>
      <c r="I880" s="11">
        <v>4.2300000000000004</v>
      </c>
      <c r="J880" s="6">
        <f t="shared" si="13"/>
        <v>0.9399999999999995</v>
      </c>
      <c r="K880" s="4" t="s">
        <v>2798</v>
      </c>
      <c r="L880" s="5" t="s">
        <v>183</v>
      </c>
      <c r="M880" s="23" t="s">
        <v>184</v>
      </c>
    </row>
    <row r="881" spans="2:13" ht="16" x14ac:dyDescent="0.3">
      <c r="B881" s="4">
        <v>875</v>
      </c>
      <c r="C881" s="4" t="s">
        <v>2799</v>
      </c>
      <c r="D881" s="4" t="s">
        <v>2800</v>
      </c>
      <c r="E881" s="4" t="s">
        <v>181</v>
      </c>
      <c r="F881" s="22">
        <v>2304793.9870000002</v>
      </c>
      <c r="G881" s="22">
        <v>585355.48199999996</v>
      </c>
      <c r="H881" s="11">
        <v>5.17</v>
      </c>
      <c r="I881" s="11">
        <v>4.32</v>
      </c>
      <c r="J881" s="6">
        <f t="shared" si="13"/>
        <v>0.84999999999999964</v>
      </c>
      <c r="K881" s="4" t="s">
        <v>2801</v>
      </c>
      <c r="L881" s="5" t="s">
        <v>183</v>
      </c>
      <c r="M881" s="23" t="s">
        <v>184</v>
      </c>
    </row>
    <row r="882" spans="2:13" ht="16" x14ac:dyDescent="0.3">
      <c r="B882" s="4">
        <v>876</v>
      </c>
      <c r="C882" s="4" t="s">
        <v>2802</v>
      </c>
      <c r="D882" s="4" t="s">
        <v>2803</v>
      </c>
      <c r="E882" s="4" t="s">
        <v>181</v>
      </c>
      <c r="F882" s="22">
        <v>2304816.412</v>
      </c>
      <c r="G882" s="22">
        <v>585340.44400000002</v>
      </c>
      <c r="H882" s="11">
        <v>5.17</v>
      </c>
      <c r="I882" s="11">
        <v>4.2300000000000004</v>
      </c>
      <c r="J882" s="6">
        <f t="shared" si="13"/>
        <v>0.9399999999999995</v>
      </c>
      <c r="K882" s="4" t="s">
        <v>2804</v>
      </c>
      <c r="L882" s="5" t="s">
        <v>183</v>
      </c>
      <c r="M882" s="23" t="s">
        <v>184</v>
      </c>
    </row>
    <row r="883" spans="2:13" ht="16" x14ac:dyDescent="0.3">
      <c r="B883" s="4">
        <v>877</v>
      </c>
      <c r="C883" s="4" t="s">
        <v>2805</v>
      </c>
      <c r="D883" s="4" t="s">
        <v>2806</v>
      </c>
      <c r="E883" s="4" t="s">
        <v>181</v>
      </c>
      <c r="F883" s="22">
        <v>2304765.5070000002</v>
      </c>
      <c r="G883" s="22">
        <v>585269.81099999999</v>
      </c>
      <c r="H883" s="11">
        <v>4.91</v>
      </c>
      <c r="I883" s="11">
        <v>3.97</v>
      </c>
      <c r="J883" s="6">
        <f t="shared" si="13"/>
        <v>0.94</v>
      </c>
      <c r="K883" s="4" t="s">
        <v>2807</v>
      </c>
      <c r="L883" s="5" t="s">
        <v>183</v>
      </c>
      <c r="M883" s="23" t="s">
        <v>184</v>
      </c>
    </row>
    <row r="884" spans="2:13" ht="16" x14ac:dyDescent="0.3">
      <c r="B884" s="4">
        <v>878</v>
      </c>
      <c r="C884" s="4" t="s">
        <v>2808</v>
      </c>
      <c r="D884" s="4" t="s">
        <v>2809</v>
      </c>
      <c r="E884" s="4" t="s">
        <v>181</v>
      </c>
      <c r="F884" s="22">
        <v>2304787.932</v>
      </c>
      <c r="G884" s="22">
        <v>585254.77399999998</v>
      </c>
      <c r="H884" s="11">
        <v>4.91</v>
      </c>
      <c r="I884" s="11">
        <v>3.88</v>
      </c>
      <c r="J884" s="6">
        <f t="shared" si="13"/>
        <v>1.0300000000000002</v>
      </c>
      <c r="K884" s="4" t="s">
        <v>2810</v>
      </c>
      <c r="L884" s="5" t="s">
        <v>183</v>
      </c>
      <c r="M884" s="23" t="s">
        <v>184</v>
      </c>
    </row>
    <row r="885" spans="2:13" ht="16" x14ac:dyDescent="0.3">
      <c r="B885" s="4">
        <v>879</v>
      </c>
      <c r="C885" s="4" t="s">
        <v>2811</v>
      </c>
      <c r="D885" s="4" t="s">
        <v>2812</v>
      </c>
      <c r="E885" s="4" t="s">
        <v>181</v>
      </c>
      <c r="F885" s="22">
        <v>2304810.3569999998</v>
      </c>
      <c r="G885" s="22">
        <v>585239.73600000003</v>
      </c>
      <c r="H885" s="11">
        <v>4.91</v>
      </c>
      <c r="I885" s="11">
        <v>3.79</v>
      </c>
      <c r="J885" s="6">
        <f t="shared" si="13"/>
        <v>1.1200000000000001</v>
      </c>
      <c r="K885" s="4" t="s">
        <v>2813</v>
      </c>
      <c r="L885" s="5" t="s">
        <v>183</v>
      </c>
      <c r="M885" s="23" t="s">
        <v>184</v>
      </c>
    </row>
    <row r="886" spans="2:13" ht="16" x14ac:dyDescent="0.3">
      <c r="B886" s="4">
        <v>880</v>
      </c>
      <c r="C886" s="4" t="s">
        <v>2814</v>
      </c>
      <c r="D886" s="4" t="s">
        <v>2815</v>
      </c>
      <c r="E886" s="4" t="s">
        <v>181</v>
      </c>
      <c r="F886" s="22">
        <v>2304824.773</v>
      </c>
      <c r="G886" s="22">
        <v>585230.06900000002</v>
      </c>
      <c r="H886" s="11">
        <v>4.91</v>
      </c>
      <c r="I886" s="11">
        <v>3.74</v>
      </c>
      <c r="J886" s="6">
        <f t="shared" si="13"/>
        <v>1.17</v>
      </c>
      <c r="K886" s="4" t="s">
        <v>2816</v>
      </c>
      <c r="L886" s="5" t="s">
        <v>183</v>
      </c>
      <c r="M886" s="23" t="s">
        <v>184</v>
      </c>
    </row>
    <row r="887" spans="2:13" ht="16" x14ac:dyDescent="0.3">
      <c r="B887" s="4">
        <v>881</v>
      </c>
      <c r="C887" s="4" t="s">
        <v>2817</v>
      </c>
      <c r="D887" s="4" t="s">
        <v>2818</v>
      </c>
      <c r="E887" s="4" t="s">
        <v>181</v>
      </c>
      <c r="F887" s="22">
        <v>2304764.2960000001</v>
      </c>
      <c r="G887" s="22">
        <v>585316.37600000005</v>
      </c>
      <c r="H887" s="11">
        <v>5.17</v>
      </c>
      <c r="I887" s="11">
        <v>4.32</v>
      </c>
      <c r="J887" s="6">
        <f t="shared" si="13"/>
        <v>0.84999999999999964</v>
      </c>
      <c r="K887" s="4" t="s">
        <v>2819</v>
      </c>
      <c r="L887" s="5" t="s">
        <v>183</v>
      </c>
      <c r="M887" s="23" t="s">
        <v>184</v>
      </c>
    </row>
    <row r="888" spans="2:13" ht="16" x14ac:dyDescent="0.3">
      <c r="B888" s="4">
        <v>882</v>
      </c>
      <c r="C888" s="4" t="s">
        <v>2820</v>
      </c>
      <c r="D888" s="4" t="s">
        <v>2821</v>
      </c>
      <c r="E888" s="4" t="s">
        <v>181</v>
      </c>
      <c r="F888" s="22">
        <v>2304786.6710000001</v>
      </c>
      <c r="G888" s="22">
        <v>585301.37199999997</v>
      </c>
      <c r="H888" s="11">
        <v>5.17</v>
      </c>
      <c r="I888" s="11">
        <v>4.2300000000000004</v>
      </c>
      <c r="J888" s="6">
        <f t="shared" si="13"/>
        <v>0.9399999999999995</v>
      </c>
      <c r="K888" s="4" t="s">
        <v>2822</v>
      </c>
      <c r="L888" s="5" t="s">
        <v>183</v>
      </c>
      <c r="M888" s="23" t="s">
        <v>184</v>
      </c>
    </row>
    <row r="889" spans="2:13" ht="16" x14ac:dyDescent="0.3">
      <c r="B889" s="4">
        <v>883</v>
      </c>
      <c r="C889" s="4" t="s">
        <v>2823</v>
      </c>
      <c r="D889" s="4" t="s">
        <v>2824</v>
      </c>
      <c r="E889" s="4" t="s">
        <v>181</v>
      </c>
      <c r="F889" s="22">
        <v>2304809.0959999999</v>
      </c>
      <c r="G889" s="22">
        <v>585286.33400000003</v>
      </c>
      <c r="H889" s="11">
        <v>5.17</v>
      </c>
      <c r="I889" s="11">
        <v>4.1399999999999997</v>
      </c>
      <c r="J889" s="6">
        <f t="shared" si="13"/>
        <v>1.0300000000000002</v>
      </c>
      <c r="K889" s="4" t="s">
        <v>2825</v>
      </c>
      <c r="L889" s="5" t="s">
        <v>183</v>
      </c>
      <c r="M889" s="23" t="s">
        <v>184</v>
      </c>
    </row>
    <row r="890" spans="2:13" ht="16" x14ac:dyDescent="0.3">
      <c r="B890" s="4">
        <v>884</v>
      </c>
      <c r="C890" s="4" t="s">
        <v>2826</v>
      </c>
      <c r="D890" s="4" t="s">
        <v>2827</v>
      </c>
      <c r="E890" s="4" t="s">
        <v>181</v>
      </c>
      <c r="F890" s="22">
        <v>2304831.5210000002</v>
      </c>
      <c r="G890" s="22">
        <v>585271.29700000002</v>
      </c>
      <c r="H890" s="11">
        <v>4.97</v>
      </c>
      <c r="I890" s="11">
        <v>4.05</v>
      </c>
      <c r="J890" s="6">
        <f t="shared" si="13"/>
        <v>0.91999999999999993</v>
      </c>
      <c r="K890" s="4" t="s">
        <v>2828</v>
      </c>
      <c r="L890" s="5" t="s">
        <v>183</v>
      </c>
      <c r="M890" s="23" t="s">
        <v>184</v>
      </c>
    </row>
    <row r="891" spans="2:13" ht="16" x14ac:dyDescent="0.3">
      <c r="B891" s="4">
        <v>885</v>
      </c>
      <c r="C891" s="4" t="s">
        <v>2829</v>
      </c>
      <c r="D891" s="4" t="s">
        <v>2830</v>
      </c>
      <c r="E891" s="4" t="s">
        <v>181</v>
      </c>
      <c r="F891" s="22">
        <v>2304840.8289999999</v>
      </c>
      <c r="G891" s="22">
        <v>585242.179</v>
      </c>
      <c r="H891" s="11">
        <v>4.97</v>
      </c>
      <c r="I891" s="11">
        <v>3.66</v>
      </c>
      <c r="J891" s="6">
        <f t="shared" si="13"/>
        <v>1.3099999999999996</v>
      </c>
      <c r="K891" s="4" t="s">
        <v>2831</v>
      </c>
      <c r="L891" s="5" t="s">
        <v>183</v>
      </c>
      <c r="M891" s="23" t="s">
        <v>184</v>
      </c>
    </row>
    <row r="892" spans="2:13" ht="16" x14ac:dyDescent="0.3">
      <c r="B892" s="4">
        <v>886</v>
      </c>
      <c r="C892" s="4" t="s">
        <v>2832</v>
      </c>
      <c r="D892" s="4" t="s">
        <v>2833</v>
      </c>
      <c r="E892" s="4" t="s">
        <v>181</v>
      </c>
      <c r="F892" s="22">
        <v>2304876.423</v>
      </c>
      <c r="G892" s="22">
        <v>585277.31499999994</v>
      </c>
      <c r="H892" s="11">
        <v>5.21</v>
      </c>
      <c r="I892" s="11">
        <v>3.47</v>
      </c>
      <c r="J892" s="6">
        <f t="shared" si="13"/>
        <v>1.7399999999999998</v>
      </c>
      <c r="K892" s="4" t="s">
        <v>2834</v>
      </c>
      <c r="L892" s="5" t="s">
        <v>254</v>
      </c>
      <c r="M892" s="23" t="s">
        <v>184</v>
      </c>
    </row>
    <row r="893" spans="2:13" ht="16" x14ac:dyDescent="0.3">
      <c r="B893" s="4">
        <v>887</v>
      </c>
      <c r="C893" s="4" t="s">
        <v>2835</v>
      </c>
      <c r="D893" s="4" t="s">
        <v>2836</v>
      </c>
      <c r="E893" s="4" t="s">
        <v>181</v>
      </c>
      <c r="F893" s="22">
        <v>2304893.1310000001</v>
      </c>
      <c r="G893" s="22">
        <v>585302.23199999996</v>
      </c>
      <c r="H893" s="11">
        <v>5.21</v>
      </c>
      <c r="I893" s="11">
        <v>3.37</v>
      </c>
      <c r="J893" s="6">
        <f t="shared" si="13"/>
        <v>1.8399999999999999</v>
      </c>
      <c r="K893" s="4" t="s">
        <v>2837</v>
      </c>
      <c r="L893" s="5" t="s">
        <v>254</v>
      </c>
      <c r="M893" s="23" t="s">
        <v>184</v>
      </c>
    </row>
    <row r="894" spans="2:13" ht="16" x14ac:dyDescent="0.3">
      <c r="B894" s="4">
        <v>888</v>
      </c>
      <c r="C894" s="4" t="s">
        <v>2838</v>
      </c>
      <c r="D894" s="4" t="s">
        <v>2839</v>
      </c>
      <c r="E894" s="4" t="s">
        <v>181</v>
      </c>
      <c r="F894" s="22">
        <v>2304909.8390000002</v>
      </c>
      <c r="G894" s="22">
        <v>585327.14800000004</v>
      </c>
      <c r="H894" s="11">
        <v>5.21</v>
      </c>
      <c r="I894" s="11">
        <v>3.27</v>
      </c>
      <c r="J894" s="6">
        <f t="shared" si="13"/>
        <v>1.94</v>
      </c>
      <c r="K894" s="4" t="s">
        <v>2840</v>
      </c>
      <c r="L894" s="5" t="s">
        <v>254</v>
      </c>
      <c r="M894" s="23" t="s">
        <v>184</v>
      </c>
    </row>
    <row r="895" spans="2:13" ht="16" x14ac:dyDescent="0.3">
      <c r="B895" s="4">
        <v>889</v>
      </c>
      <c r="C895" s="4" t="s">
        <v>2841</v>
      </c>
      <c r="D895" s="4" t="s">
        <v>2842</v>
      </c>
      <c r="E895" s="4" t="s">
        <v>181</v>
      </c>
      <c r="F895" s="22">
        <v>2304926.5469999998</v>
      </c>
      <c r="G895" s="22">
        <v>585352.06499999994</v>
      </c>
      <c r="H895" s="11">
        <v>5.21</v>
      </c>
      <c r="I895" s="11">
        <v>3.17</v>
      </c>
      <c r="J895" s="6">
        <f t="shared" si="13"/>
        <v>2.04</v>
      </c>
      <c r="K895" s="4" t="s">
        <v>2843</v>
      </c>
      <c r="L895" s="5" t="s">
        <v>254</v>
      </c>
      <c r="M895" s="23" t="s">
        <v>184</v>
      </c>
    </row>
    <row r="896" spans="2:13" ht="16" x14ac:dyDescent="0.3">
      <c r="B896" s="4">
        <v>890</v>
      </c>
      <c r="C896" s="4" t="s">
        <v>2844</v>
      </c>
      <c r="D896" s="4" t="s">
        <v>2845</v>
      </c>
      <c r="E896" s="4" t="s">
        <v>181</v>
      </c>
      <c r="F896" s="22">
        <v>2304943.2560000001</v>
      </c>
      <c r="G896" s="22">
        <v>585376.98100000003</v>
      </c>
      <c r="H896" s="11">
        <v>5.21</v>
      </c>
      <c r="I896" s="11">
        <v>3.07</v>
      </c>
      <c r="J896" s="6">
        <f t="shared" si="13"/>
        <v>2.14</v>
      </c>
      <c r="K896" s="4" t="s">
        <v>2846</v>
      </c>
      <c r="L896" s="5" t="s">
        <v>254</v>
      </c>
      <c r="M896" s="23" t="s">
        <v>184</v>
      </c>
    </row>
    <row r="897" spans="2:13" ht="16" x14ac:dyDescent="0.3">
      <c r="B897" s="4">
        <v>891</v>
      </c>
      <c r="C897" s="4" t="s">
        <v>2847</v>
      </c>
      <c r="D897" s="4" t="s">
        <v>2848</v>
      </c>
      <c r="E897" s="4" t="s">
        <v>181</v>
      </c>
      <c r="F897" s="22">
        <v>2304958.2889999999</v>
      </c>
      <c r="G897" s="22">
        <v>585399.40099999995</v>
      </c>
      <c r="H897" s="11">
        <v>5.21</v>
      </c>
      <c r="I897" s="11">
        <v>2.99</v>
      </c>
      <c r="J897" s="6">
        <f t="shared" si="13"/>
        <v>2.2199999999999998</v>
      </c>
      <c r="K897" s="4" t="s">
        <v>2849</v>
      </c>
      <c r="L897" s="5" t="s">
        <v>254</v>
      </c>
      <c r="M897" s="23" t="s">
        <v>184</v>
      </c>
    </row>
    <row r="898" spans="2:13" ht="16" x14ac:dyDescent="0.3">
      <c r="B898" s="4">
        <v>892</v>
      </c>
      <c r="C898" s="4" t="s">
        <v>2850</v>
      </c>
      <c r="D898" s="4" t="s">
        <v>2851</v>
      </c>
      <c r="E898" s="4" t="s">
        <v>181</v>
      </c>
      <c r="F898" s="22">
        <v>2304901.7570000002</v>
      </c>
      <c r="G898" s="22">
        <v>585521.47499999998</v>
      </c>
      <c r="H898" s="11">
        <v>5.21</v>
      </c>
      <c r="I898" s="11">
        <v>2.7</v>
      </c>
      <c r="J898" s="6">
        <f t="shared" si="13"/>
        <v>2.5099999999999998</v>
      </c>
      <c r="K898" s="4" t="s">
        <v>2852</v>
      </c>
      <c r="L898" s="5" t="s">
        <v>300</v>
      </c>
      <c r="M898" s="23" t="s">
        <v>184</v>
      </c>
    </row>
    <row r="899" spans="2:13" ht="16" x14ac:dyDescent="0.3">
      <c r="B899" s="4">
        <v>893</v>
      </c>
      <c r="C899" s="4" t="s">
        <v>2853</v>
      </c>
      <c r="D899" s="4" t="s">
        <v>2854</v>
      </c>
      <c r="E899" s="4" t="s">
        <v>181</v>
      </c>
      <c r="F899" s="22">
        <v>2304924.236</v>
      </c>
      <c r="G899" s="22">
        <v>585506.51800000004</v>
      </c>
      <c r="H899" s="11">
        <v>5.21</v>
      </c>
      <c r="I899" s="11">
        <v>2.61</v>
      </c>
      <c r="J899" s="6">
        <f t="shared" si="13"/>
        <v>2.6</v>
      </c>
      <c r="K899" s="4" t="s">
        <v>2855</v>
      </c>
      <c r="L899" s="5" t="s">
        <v>300</v>
      </c>
      <c r="M899" s="23" t="s">
        <v>184</v>
      </c>
    </row>
    <row r="900" spans="2:13" ht="16" x14ac:dyDescent="0.3">
      <c r="B900" s="4">
        <v>894</v>
      </c>
      <c r="C900" s="4" t="s">
        <v>2856</v>
      </c>
      <c r="D900" s="4" t="s">
        <v>2857</v>
      </c>
      <c r="E900" s="4" t="s">
        <v>181</v>
      </c>
      <c r="F900" s="22">
        <v>2304946.6609999998</v>
      </c>
      <c r="G900" s="22">
        <v>585491.48100000003</v>
      </c>
      <c r="H900" s="11">
        <v>5.21</v>
      </c>
      <c r="I900" s="11">
        <v>2.52</v>
      </c>
      <c r="J900" s="6">
        <f t="shared" si="13"/>
        <v>2.69</v>
      </c>
      <c r="K900" s="4" t="s">
        <v>2858</v>
      </c>
      <c r="L900" s="5" t="s">
        <v>300</v>
      </c>
      <c r="M900" s="23" t="s">
        <v>184</v>
      </c>
    </row>
    <row r="901" spans="2:13" ht="16" x14ac:dyDescent="0.3">
      <c r="B901" s="4">
        <v>895</v>
      </c>
      <c r="C901" s="4" t="s">
        <v>2859</v>
      </c>
      <c r="D901" s="4" t="s">
        <v>2860</v>
      </c>
      <c r="E901" s="4" t="s">
        <v>181</v>
      </c>
      <c r="F901" s="22">
        <v>2304969.085</v>
      </c>
      <c r="G901" s="22">
        <v>585476.44299999997</v>
      </c>
      <c r="H901" s="11">
        <v>5.21</v>
      </c>
      <c r="I901" s="11">
        <v>2.4300000000000002</v>
      </c>
      <c r="J901" s="6">
        <f t="shared" si="13"/>
        <v>2.78</v>
      </c>
      <c r="K901" s="4" t="s">
        <v>2861</v>
      </c>
      <c r="L901" s="5" t="s">
        <v>300</v>
      </c>
      <c r="M901" s="23" t="s">
        <v>184</v>
      </c>
    </row>
    <row r="902" spans="2:13" ht="16" x14ac:dyDescent="0.3">
      <c r="B902" s="4">
        <v>896</v>
      </c>
      <c r="C902" s="4" t="s">
        <v>2862</v>
      </c>
      <c r="D902" s="4" t="s">
        <v>2863</v>
      </c>
      <c r="E902" s="4" t="s">
        <v>181</v>
      </c>
      <c r="F902" s="22">
        <v>2305012.9</v>
      </c>
      <c r="G902" s="22">
        <v>585436.98899999994</v>
      </c>
      <c r="H902" s="11">
        <v>5.21</v>
      </c>
      <c r="I902" s="11">
        <v>2.23</v>
      </c>
      <c r="J902" s="6">
        <f t="shared" si="13"/>
        <v>2.98</v>
      </c>
      <c r="K902" s="4" t="s">
        <v>2864</v>
      </c>
      <c r="L902" s="5" t="s">
        <v>300</v>
      </c>
      <c r="M902" s="23" t="s">
        <v>184</v>
      </c>
    </row>
    <row r="903" spans="2:13" ht="16" x14ac:dyDescent="0.3">
      <c r="B903" s="4">
        <v>897</v>
      </c>
      <c r="C903" s="4" t="s">
        <v>2865</v>
      </c>
      <c r="D903" s="4" t="s">
        <v>2866</v>
      </c>
      <c r="E903" s="4" t="s">
        <v>181</v>
      </c>
      <c r="F903" s="22">
        <v>2305038.2230000002</v>
      </c>
      <c r="G903" s="22">
        <v>585430.08200000005</v>
      </c>
      <c r="H903" s="11">
        <v>5.21</v>
      </c>
      <c r="I903" s="11">
        <v>2.14</v>
      </c>
      <c r="J903" s="6">
        <f t="shared" ref="J903:J966" si="14">H903-I903</f>
        <v>3.07</v>
      </c>
      <c r="K903" s="4" t="s">
        <v>2867</v>
      </c>
      <c r="L903" s="5" t="s">
        <v>300</v>
      </c>
      <c r="M903" s="23" t="s">
        <v>184</v>
      </c>
    </row>
    <row r="904" spans="2:13" ht="16" x14ac:dyDescent="0.3">
      <c r="B904" s="4">
        <v>898</v>
      </c>
      <c r="C904" s="4" t="s">
        <v>2868</v>
      </c>
      <c r="D904" s="4" t="s">
        <v>2869</v>
      </c>
      <c r="E904" s="4" t="s">
        <v>181</v>
      </c>
      <c r="F904" s="22">
        <v>2305057.8829999999</v>
      </c>
      <c r="G904" s="22">
        <v>585416.89899999998</v>
      </c>
      <c r="H904" s="11">
        <v>5.21</v>
      </c>
      <c r="I904" s="11">
        <v>2.0699999999999998</v>
      </c>
      <c r="J904" s="6">
        <f t="shared" si="14"/>
        <v>3.14</v>
      </c>
      <c r="K904" s="4" t="s">
        <v>2870</v>
      </c>
      <c r="L904" s="5" t="s">
        <v>300</v>
      </c>
      <c r="M904" s="23" t="s">
        <v>184</v>
      </c>
    </row>
    <row r="905" spans="2:13" ht="16" x14ac:dyDescent="0.3">
      <c r="B905" s="4">
        <v>899</v>
      </c>
      <c r="C905" s="4" t="s">
        <v>2871</v>
      </c>
      <c r="D905" s="4" t="s">
        <v>2872</v>
      </c>
      <c r="E905" s="4" t="s">
        <v>181</v>
      </c>
      <c r="F905" s="22">
        <v>2305077.8160000001</v>
      </c>
      <c r="G905" s="22">
        <v>585403.53200000001</v>
      </c>
      <c r="H905" s="11">
        <v>5.21</v>
      </c>
      <c r="I905" s="11">
        <v>1.99</v>
      </c>
      <c r="J905" s="6">
        <f t="shared" si="14"/>
        <v>3.2199999999999998</v>
      </c>
      <c r="K905" s="4" t="s">
        <v>2873</v>
      </c>
      <c r="L905" s="5" t="s">
        <v>300</v>
      </c>
      <c r="M905" s="23" t="s">
        <v>184</v>
      </c>
    </row>
    <row r="906" spans="2:13" ht="16" x14ac:dyDescent="0.3">
      <c r="B906" s="4">
        <v>900</v>
      </c>
      <c r="C906" s="4" t="s">
        <v>2874</v>
      </c>
      <c r="D906" s="4" t="s">
        <v>2875</v>
      </c>
      <c r="E906" s="4" t="s">
        <v>181</v>
      </c>
      <c r="F906" s="22">
        <v>2305097.7489999998</v>
      </c>
      <c r="G906" s="22">
        <v>585390.16500000004</v>
      </c>
      <c r="H906" s="11">
        <v>5.21</v>
      </c>
      <c r="I906" s="11">
        <v>1.91</v>
      </c>
      <c r="J906" s="6">
        <f t="shared" si="14"/>
        <v>3.3</v>
      </c>
      <c r="K906" s="4" t="s">
        <v>2876</v>
      </c>
      <c r="L906" s="5" t="s">
        <v>300</v>
      </c>
      <c r="M906" s="23" t="s">
        <v>184</v>
      </c>
    </row>
    <row r="907" spans="2:13" ht="16" x14ac:dyDescent="0.3">
      <c r="B907" s="4">
        <v>901</v>
      </c>
      <c r="C907" s="4" t="s">
        <v>2877</v>
      </c>
      <c r="D907" s="4" t="s">
        <v>2878</v>
      </c>
      <c r="E907" s="4" t="s">
        <v>181</v>
      </c>
      <c r="F907" s="22">
        <v>2305117.7069999999</v>
      </c>
      <c r="G907" s="22">
        <v>585376.78200000001</v>
      </c>
      <c r="H907" s="11">
        <v>5.21</v>
      </c>
      <c r="I907" s="11">
        <v>1.83</v>
      </c>
      <c r="J907" s="6">
        <f t="shared" si="14"/>
        <v>3.38</v>
      </c>
      <c r="K907" s="4" t="s">
        <v>2879</v>
      </c>
      <c r="L907" s="5" t="s">
        <v>300</v>
      </c>
      <c r="M907" s="23" t="s">
        <v>184</v>
      </c>
    </row>
    <row r="908" spans="2:13" ht="16" x14ac:dyDescent="0.3">
      <c r="B908" s="4">
        <v>902</v>
      </c>
      <c r="C908" s="4" t="s">
        <v>2880</v>
      </c>
      <c r="D908" s="4" t="s">
        <v>2881</v>
      </c>
      <c r="E908" s="4" t="s">
        <v>181</v>
      </c>
      <c r="F908" s="22">
        <v>2305106.068</v>
      </c>
      <c r="G908" s="22">
        <v>585285.82400000002</v>
      </c>
      <c r="H908" s="11">
        <v>5.16</v>
      </c>
      <c r="I908" s="11">
        <v>2.66</v>
      </c>
      <c r="J908" s="6">
        <f t="shared" si="14"/>
        <v>2.5</v>
      </c>
      <c r="K908" s="4" t="s">
        <v>2882</v>
      </c>
      <c r="L908" s="5" t="s">
        <v>254</v>
      </c>
      <c r="M908" s="23" t="s">
        <v>184</v>
      </c>
    </row>
    <row r="909" spans="2:13" ht="16" x14ac:dyDescent="0.3">
      <c r="B909" s="4">
        <v>903</v>
      </c>
      <c r="C909" s="4" t="s">
        <v>2883</v>
      </c>
      <c r="D909" s="4" t="s">
        <v>2884</v>
      </c>
      <c r="E909" s="4" t="s">
        <v>181</v>
      </c>
      <c r="F909" s="22">
        <v>2305122.7719999999</v>
      </c>
      <c r="G909" s="22">
        <v>585310.75600000005</v>
      </c>
      <c r="H909" s="11">
        <v>5.21</v>
      </c>
      <c r="I909" s="11">
        <v>2.56</v>
      </c>
      <c r="J909" s="6">
        <f t="shared" si="14"/>
        <v>2.65</v>
      </c>
      <c r="K909" s="4" t="s">
        <v>2885</v>
      </c>
      <c r="L909" s="5" t="s">
        <v>300</v>
      </c>
      <c r="M909" s="23" t="s">
        <v>184</v>
      </c>
    </row>
    <row r="910" spans="2:13" ht="16" x14ac:dyDescent="0.3">
      <c r="B910" s="4">
        <v>904</v>
      </c>
      <c r="C910" s="4" t="s">
        <v>2886</v>
      </c>
      <c r="D910" s="4" t="s">
        <v>2887</v>
      </c>
      <c r="E910" s="4" t="s">
        <v>181</v>
      </c>
      <c r="F910" s="22">
        <v>2304837.523</v>
      </c>
      <c r="G910" s="22">
        <v>585632.12600000005</v>
      </c>
      <c r="H910" s="11">
        <v>5.17</v>
      </c>
      <c r="I910" s="11">
        <v>4.24</v>
      </c>
      <c r="J910" s="6">
        <f t="shared" si="14"/>
        <v>0.92999999999999972</v>
      </c>
      <c r="K910" s="4" t="s">
        <v>2888</v>
      </c>
      <c r="L910" s="5" t="s">
        <v>183</v>
      </c>
      <c r="M910" s="23" t="s">
        <v>184</v>
      </c>
    </row>
    <row r="911" spans="2:13" ht="16" x14ac:dyDescent="0.3">
      <c r="B911" s="4">
        <v>905</v>
      </c>
      <c r="C911" s="4" t="s">
        <v>2889</v>
      </c>
      <c r="D911" s="4" t="s">
        <v>2890</v>
      </c>
      <c r="E911" s="4" t="s">
        <v>181</v>
      </c>
      <c r="F911" s="22">
        <v>2304859.088</v>
      </c>
      <c r="G911" s="22">
        <v>585617.64599999995</v>
      </c>
      <c r="H911" s="11">
        <v>5.17</v>
      </c>
      <c r="I911" s="11">
        <v>4.1500000000000004</v>
      </c>
      <c r="J911" s="6">
        <f t="shared" si="14"/>
        <v>1.0199999999999996</v>
      </c>
      <c r="K911" s="4" t="s">
        <v>2891</v>
      </c>
      <c r="L911" s="5" t="s">
        <v>183</v>
      </c>
      <c r="M911" s="23" t="s">
        <v>184</v>
      </c>
    </row>
    <row r="912" spans="2:13" ht="16" x14ac:dyDescent="0.3">
      <c r="B912" s="4">
        <v>906</v>
      </c>
      <c r="C912" s="4" t="s">
        <v>2892</v>
      </c>
      <c r="D912" s="4" t="s">
        <v>2893</v>
      </c>
      <c r="E912" s="4" t="s">
        <v>181</v>
      </c>
      <c r="F912" s="22">
        <v>2304880.6830000002</v>
      </c>
      <c r="G912" s="22">
        <v>585603.16500000004</v>
      </c>
      <c r="H912" s="11">
        <v>5.17</v>
      </c>
      <c r="I912" s="11">
        <v>4.07</v>
      </c>
      <c r="J912" s="6">
        <f t="shared" si="14"/>
        <v>1.0999999999999996</v>
      </c>
      <c r="K912" s="4" t="s">
        <v>2894</v>
      </c>
      <c r="L912" s="5" t="s">
        <v>183</v>
      </c>
      <c r="M912" s="23" t="s">
        <v>184</v>
      </c>
    </row>
    <row r="913" spans="2:13" ht="16" x14ac:dyDescent="0.3">
      <c r="B913" s="4">
        <v>907</v>
      </c>
      <c r="C913" s="4" t="s">
        <v>2895</v>
      </c>
      <c r="D913" s="4" t="s">
        <v>2896</v>
      </c>
      <c r="E913" s="4" t="s">
        <v>181</v>
      </c>
      <c r="F913" s="22">
        <v>2304841.477</v>
      </c>
      <c r="G913" s="22">
        <v>585642.67000000004</v>
      </c>
      <c r="H913" s="11">
        <v>5.17</v>
      </c>
      <c r="I913" s="11">
        <v>4.24</v>
      </c>
      <c r="J913" s="6">
        <f t="shared" si="14"/>
        <v>0.92999999999999972</v>
      </c>
      <c r="K913" s="4" t="s">
        <v>2897</v>
      </c>
      <c r="L913" s="5" t="s">
        <v>183</v>
      </c>
      <c r="M913" s="23" t="s">
        <v>184</v>
      </c>
    </row>
    <row r="914" spans="2:13" ht="16" x14ac:dyDescent="0.3">
      <c r="B914" s="4">
        <v>908</v>
      </c>
      <c r="C914" s="4" t="s">
        <v>2898</v>
      </c>
      <c r="D914" s="4" t="s">
        <v>2899</v>
      </c>
      <c r="E914" s="4" t="s">
        <v>181</v>
      </c>
      <c r="F914" s="22">
        <v>2304863.071</v>
      </c>
      <c r="G914" s="22">
        <v>585628.18999999994</v>
      </c>
      <c r="H914" s="11">
        <v>5.17</v>
      </c>
      <c r="I914" s="11">
        <v>4.1500000000000004</v>
      </c>
      <c r="J914" s="6">
        <f t="shared" si="14"/>
        <v>1.0199999999999996</v>
      </c>
      <c r="K914" s="4" t="s">
        <v>2900</v>
      </c>
      <c r="L914" s="5" t="s">
        <v>183</v>
      </c>
      <c r="M914" s="23" t="s">
        <v>184</v>
      </c>
    </row>
    <row r="915" spans="2:13" ht="16" x14ac:dyDescent="0.3">
      <c r="B915" s="4">
        <v>909</v>
      </c>
      <c r="C915" s="4" t="s">
        <v>2901</v>
      </c>
      <c r="D915" s="4" t="s">
        <v>2902</v>
      </c>
      <c r="E915" s="4" t="s">
        <v>181</v>
      </c>
      <c r="F915" s="22">
        <v>2304884.665</v>
      </c>
      <c r="G915" s="22">
        <v>585613.71</v>
      </c>
      <c r="H915" s="11">
        <v>5.17</v>
      </c>
      <c r="I915" s="11">
        <v>4.07</v>
      </c>
      <c r="J915" s="6">
        <f t="shared" si="14"/>
        <v>1.0999999999999996</v>
      </c>
      <c r="K915" s="4" t="s">
        <v>2903</v>
      </c>
      <c r="L915" s="5" t="s">
        <v>183</v>
      </c>
      <c r="M915" s="23" t="s">
        <v>184</v>
      </c>
    </row>
    <row r="916" spans="2:13" ht="16" x14ac:dyDescent="0.3">
      <c r="B916" s="4">
        <v>910</v>
      </c>
      <c r="C916" s="4" t="s">
        <v>2904</v>
      </c>
      <c r="D916" s="4" t="s">
        <v>2905</v>
      </c>
      <c r="E916" s="4" t="s">
        <v>181</v>
      </c>
      <c r="F916" s="22">
        <v>2304853.7409999999</v>
      </c>
      <c r="G916" s="22">
        <v>585660.94700000004</v>
      </c>
      <c r="H916" s="11">
        <v>5.17</v>
      </c>
      <c r="I916" s="11">
        <v>4.24</v>
      </c>
      <c r="J916" s="6">
        <f t="shared" si="14"/>
        <v>0.92999999999999972</v>
      </c>
      <c r="K916" s="4" t="s">
        <v>2906</v>
      </c>
      <c r="L916" s="5" t="s">
        <v>183</v>
      </c>
      <c r="M916" s="23" t="s">
        <v>184</v>
      </c>
    </row>
    <row r="917" spans="2:13" ht="16" x14ac:dyDescent="0.3">
      <c r="B917" s="4">
        <v>911</v>
      </c>
      <c r="C917" s="4" t="s">
        <v>2907</v>
      </c>
      <c r="D917" s="4" t="s">
        <v>2908</v>
      </c>
      <c r="E917" s="4" t="s">
        <v>181</v>
      </c>
      <c r="F917" s="22">
        <v>2304875.3360000001</v>
      </c>
      <c r="G917" s="22">
        <v>585646.46699999995</v>
      </c>
      <c r="H917" s="11">
        <v>5.17</v>
      </c>
      <c r="I917" s="11">
        <v>4.1500000000000004</v>
      </c>
      <c r="J917" s="6">
        <f t="shared" si="14"/>
        <v>1.0199999999999996</v>
      </c>
      <c r="K917" s="4" t="s">
        <v>2909</v>
      </c>
      <c r="L917" s="5" t="s">
        <v>183</v>
      </c>
      <c r="M917" s="23" t="s">
        <v>184</v>
      </c>
    </row>
    <row r="918" spans="2:13" ht="16" x14ac:dyDescent="0.3">
      <c r="B918" s="4">
        <v>912</v>
      </c>
      <c r="C918" s="4" t="s">
        <v>2910</v>
      </c>
      <c r="D918" s="4" t="s">
        <v>2911</v>
      </c>
      <c r="E918" s="4" t="s">
        <v>181</v>
      </c>
      <c r="F918" s="22">
        <v>2304896.9300000002</v>
      </c>
      <c r="G918" s="22">
        <v>585631.98600000003</v>
      </c>
      <c r="H918" s="11">
        <v>5.17</v>
      </c>
      <c r="I918" s="11">
        <v>4.07</v>
      </c>
      <c r="J918" s="6">
        <f t="shared" si="14"/>
        <v>1.0999999999999996</v>
      </c>
      <c r="K918" s="4" t="s">
        <v>2912</v>
      </c>
      <c r="L918" s="5" t="s">
        <v>183</v>
      </c>
      <c r="M918" s="23" t="s">
        <v>184</v>
      </c>
    </row>
    <row r="919" spans="2:13" ht="16" x14ac:dyDescent="0.3">
      <c r="B919" s="4">
        <v>913</v>
      </c>
      <c r="C919" s="4" t="s">
        <v>2913</v>
      </c>
      <c r="D919" s="4" t="s">
        <v>2914</v>
      </c>
      <c r="E919" s="4" t="s">
        <v>181</v>
      </c>
      <c r="F919" s="22">
        <v>2304859.8679999998</v>
      </c>
      <c r="G919" s="22">
        <v>585670.08299999998</v>
      </c>
      <c r="H919" s="11">
        <v>5.17</v>
      </c>
      <c r="I919" s="11">
        <v>4.24</v>
      </c>
      <c r="J919" s="6">
        <f t="shared" si="14"/>
        <v>0.92999999999999972</v>
      </c>
      <c r="K919" s="4" t="s">
        <v>2915</v>
      </c>
      <c r="L919" s="5" t="s">
        <v>183</v>
      </c>
      <c r="M919" s="23" t="s">
        <v>184</v>
      </c>
    </row>
    <row r="920" spans="2:13" ht="16" x14ac:dyDescent="0.3">
      <c r="B920" s="4">
        <v>914</v>
      </c>
      <c r="C920" s="4" t="s">
        <v>2916</v>
      </c>
      <c r="D920" s="4" t="s">
        <v>2917</v>
      </c>
      <c r="E920" s="4" t="s">
        <v>181</v>
      </c>
      <c r="F920" s="22">
        <v>2304881.4619999998</v>
      </c>
      <c r="G920" s="22">
        <v>585655.603</v>
      </c>
      <c r="H920" s="11">
        <v>5.17</v>
      </c>
      <c r="I920" s="11">
        <v>4.1500000000000004</v>
      </c>
      <c r="J920" s="6">
        <f t="shared" si="14"/>
        <v>1.0199999999999996</v>
      </c>
      <c r="K920" s="4" t="s">
        <v>2918</v>
      </c>
      <c r="L920" s="5" t="s">
        <v>183</v>
      </c>
      <c r="M920" s="23" t="s">
        <v>184</v>
      </c>
    </row>
    <row r="921" spans="2:13" ht="16" x14ac:dyDescent="0.3">
      <c r="B921" s="4">
        <v>915</v>
      </c>
      <c r="C921" s="4" t="s">
        <v>2919</v>
      </c>
      <c r="D921" s="4" t="s">
        <v>2920</v>
      </c>
      <c r="E921" s="4" t="s">
        <v>181</v>
      </c>
      <c r="F921" s="22">
        <v>2304903.0559999999</v>
      </c>
      <c r="G921" s="22">
        <v>585641.12199999997</v>
      </c>
      <c r="H921" s="11">
        <v>5.17</v>
      </c>
      <c r="I921" s="11">
        <v>4.07</v>
      </c>
      <c r="J921" s="6">
        <f t="shared" si="14"/>
        <v>1.0999999999999996</v>
      </c>
      <c r="K921" s="4" t="s">
        <v>2921</v>
      </c>
      <c r="L921" s="5" t="s">
        <v>183</v>
      </c>
      <c r="M921" s="23" t="s">
        <v>184</v>
      </c>
    </row>
    <row r="922" spans="2:13" ht="16" x14ac:dyDescent="0.3">
      <c r="B922" s="4">
        <v>916</v>
      </c>
      <c r="C922" s="4" t="s">
        <v>2922</v>
      </c>
      <c r="D922" s="4" t="s">
        <v>2923</v>
      </c>
      <c r="E922" s="4" t="s">
        <v>181</v>
      </c>
      <c r="F922" s="22">
        <v>2304872.1209999998</v>
      </c>
      <c r="G922" s="22">
        <v>585688.35499999998</v>
      </c>
      <c r="H922" s="11">
        <v>5.17</v>
      </c>
      <c r="I922" s="11">
        <v>4.24</v>
      </c>
      <c r="J922" s="6">
        <f t="shared" si="14"/>
        <v>0.92999999999999972</v>
      </c>
      <c r="K922" s="4" t="s">
        <v>2924</v>
      </c>
      <c r="L922" s="5" t="s">
        <v>183</v>
      </c>
      <c r="M922" s="23" t="s">
        <v>184</v>
      </c>
    </row>
    <row r="923" spans="2:13" ht="16" x14ac:dyDescent="0.3">
      <c r="B923" s="4">
        <v>917</v>
      </c>
      <c r="C923" s="4" t="s">
        <v>2925</v>
      </c>
      <c r="D923" s="4" t="s">
        <v>2926</v>
      </c>
      <c r="E923" s="4" t="s">
        <v>181</v>
      </c>
      <c r="F923" s="22">
        <v>2304893.7149999999</v>
      </c>
      <c r="G923" s="22">
        <v>585673.875</v>
      </c>
      <c r="H923" s="11">
        <v>5.17</v>
      </c>
      <c r="I923" s="11">
        <v>4.1500000000000004</v>
      </c>
      <c r="J923" s="6">
        <f t="shared" si="14"/>
        <v>1.0199999999999996</v>
      </c>
      <c r="K923" s="4" t="s">
        <v>2927</v>
      </c>
      <c r="L923" s="5" t="s">
        <v>183</v>
      </c>
      <c r="M923" s="23" t="s">
        <v>184</v>
      </c>
    </row>
    <row r="924" spans="2:13" ht="16" x14ac:dyDescent="0.3">
      <c r="B924" s="4">
        <v>918</v>
      </c>
      <c r="C924" s="4" t="s">
        <v>2928</v>
      </c>
      <c r="D924" s="4" t="s">
        <v>2929</v>
      </c>
      <c r="E924" s="4" t="s">
        <v>181</v>
      </c>
      <c r="F924" s="22">
        <v>2304915.3089999999</v>
      </c>
      <c r="G924" s="22">
        <v>585659.39399999997</v>
      </c>
      <c r="H924" s="11">
        <v>5.17</v>
      </c>
      <c r="I924" s="11">
        <v>4.07</v>
      </c>
      <c r="J924" s="6">
        <f t="shared" si="14"/>
        <v>1.0999999999999996</v>
      </c>
      <c r="K924" s="4" t="s">
        <v>2930</v>
      </c>
      <c r="L924" s="5" t="s">
        <v>183</v>
      </c>
      <c r="M924" s="23" t="s">
        <v>184</v>
      </c>
    </row>
    <row r="925" spans="2:13" ht="16" x14ac:dyDescent="0.3">
      <c r="B925" s="4">
        <v>919</v>
      </c>
      <c r="C925" s="4" t="s">
        <v>2931</v>
      </c>
      <c r="D925" s="4" t="s">
        <v>2932</v>
      </c>
      <c r="E925" s="4" t="s">
        <v>181</v>
      </c>
      <c r="F925" s="22">
        <v>2304878.247</v>
      </c>
      <c r="G925" s="22">
        <v>585697.49100000004</v>
      </c>
      <c r="H925" s="11">
        <v>5.17</v>
      </c>
      <c r="I925" s="11">
        <v>4.24</v>
      </c>
      <c r="J925" s="6">
        <f t="shared" si="14"/>
        <v>0.92999999999999972</v>
      </c>
      <c r="K925" s="4" t="s">
        <v>2933</v>
      </c>
      <c r="L925" s="5" t="s">
        <v>183</v>
      </c>
      <c r="M925" s="23" t="s">
        <v>184</v>
      </c>
    </row>
    <row r="926" spans="2:13" ht="16" x14ac:dyDescent="0.3">
      <c r="B926" s="4">
        <v>920</v>
      </c>
      <c r="C926" s="4" t="s">
        <v>2934</v>
      </c>
      <c r="D926" s="4" t="s">
        <v>2935</v>
      </c>
      <c r="E926" s="4" t="s">
        <v>181</v>
      </c>
      <c r="F926" s="22">
        <v>2304899.841</v>
      </c>
      <c r="G926" s="22">
        <v>585683.01100000006</v>
      </c>
      <c r="H926" s="11">
        <v>5.17</v>
      </c>
      <c r="I926" s="11">
        <v>4.1500000000000004</v>
      </c>
      <c r="J926" s="6">
        <f t="shared" si="14"/>
        <v>1.0199999999999996</v>
      </c>
      <c r="K926" s="4" t="s">
        <v>2936</v>
      </c>
      <c r="L926" s="5" t="s">
        <v>183</v>
      </c>
      <c r="M926" s="23" t="s">
        <v>184</v>
      </c>
    </row>
    <row r="927" spans="2:13" ht="16" x14ac:dyDescent="0.3">
      <c r="B927" s="4">
        <v>921</v>
      </c>
      <c r="C927" s="4" t="s">
        <v>2937</v>
      </c>
      <c r="D927" s="4" t="s">
        <v>2938</v>
      </c>
      <c r="E927" s="4" t="s">
        <v>181</v>
      </c>
      <c r="F927" s="22">
        <v>2304921.4360000002</v>
      </c>
      <c r="G927" s="22">
        <v>585668.53</v>
      </c>
      <c r="H927" s="11">
        <v>5.17</v>
      </c>
      <c r="I927" s="11">
        <v>4.07</v>
      </c>
      <c r="J927" s="6">
        <f t="shared" si="14"/>
        <v>1.0999999999999996</v>
      </c>
      <c r="K927" s="4" t="s">
        <v>2939</v>
      </c>
      <c r="L927" s="5" t="s">
        <v>183</v>
      </c>
      <c r="M927" s="23" t="s">
        <v>184</v>
      </c>
    </row>
    <row r="928" spans="2:13" ht="16" x14ac:dyDescent="0.3">
      <c r="B928" s="4">
        <v>922</v>
      </c>
      <c r="C928" s="4" t="s">
        <v>2940</v>
      </c>
      <c r="D928" s="4" t="s">
        <v>2941</v>
      </c>
      <c r="E928" s="4" t="s">
        <v>181</v>
      </c>
      <c r="F928" s="22">
        <v>2304890.5109999999</v>
      </c>
      <c r="G928" s="22">
        <v>585715.75600000005</v>
      </c>
      <c r="H928" s="11">
        <v>5.17</v>
      </c>
      <c r="I928" s="11">
        <v>4.24</v>
      </c>
      <c r="J928" s="6">
        <f t="shared" si="14"/>
        <v>0.92999999999999972</v>
      </c>
      <c r="K928" s="4" t="s">
        <v>2942</v>
      </c>
      <c r="L928" s="5" t="s">
        <v>183</v>
      </c>
      <c r="M928" s="23" t="s">
        <v>184</v>
      </c>
    </row>
    <row r="929" spans="2:13" ht="16" x14ac:dyDescent="0.3">
      <c r="B929" s="4">
        <v>923</v>
      </c>
      <c r="C929" s="4" t="s">
        <v>2943</v>
      </c>
      <c r="D929" s="4" t="s">
        <v>2944</v>
      </c>
      <c r="E929" s="4" t="s">
        <v>181</v>
      </c>
      <c r="F929" s="22">
        <v>2304912.1060000001</v>
      </c>
      <c r="G929" s="22">
        <v>585701.27500000002</v>
      </c>
      <c r="H929" s="11">
        <v>5.17</v>
      </c>
      <c r="I929" s="11">
        <v>4.1500000000000004</v>
      </c>
      <c r="J929" s="6">
        <f t="shared" si="14"/>
        <v>1.0199999999999996</v>
      </c>
      <c r="K929" s="4" t="s">
        <v>2945</v>
      </c>
      <c r="L929" s="5" t="s">
        <v>183</v>
      </c>
      <c r="M929" s="23" t="s">
        <v>184</v>
      </c>
    </row>
    <row r="930" spans="2:13" ht="16" x14ac:dyDescent="0.3">
      <c r="B930" s="4">
        <v>924</v>
      </c>
      <c r="C930" s="4" t="s">
        <v>2946</v>
      </c>
      <c r="D930" s="4" t="s">
        <v>2947</v>
      </c>
      <c r="E930" s="4" t="s">
        <v>181</v>
      </c>
      <c r="F930" s="22">
        <v>2304933.7000000002</v>
      </c>
      <c r="G930" s="22">
        <v>585686.79500000004</v>
      </c>
      <c r="H930" s="11">
        <v>5.17</v>
      </c>
      <c r="I930" s="11">
        <v>4.07</v>
      </c>
      <c r="J930" s="6">
        <f t="shared" si="14"/>
        <v>1.0999999999999996</v>
      </c>
      <c r="K930" s="4" t="s">
        <v>2948</v>
      </c>
      <c r="L930" s="5" t="s">
        <v>183</v>
      </c>
      <c r="M930" s="23" t="s">
        <v>184</v>
      </c>
    </row>
    <row r="931" spans="2:13" ht="16" x14ac:dyDescent="0.3">
      <c r="B931" s="4">
        <v>925</v>
      </c>
      <c r="C931" s="4" t="s">
        <v>2949</v>
      </c>
      <c r="D931" s="4" t="s">
        <v>2950</v>
      </c>
      <c r="E931" s="4" t="s">
        <v>181</v>
      </c>
      <c r="F931" s="22">
        <v>2304896.6260000002</v>
      </c>
      <c r="G931" s="22">
        <v>585724.9</v>
      </c>
      <c r="H931" s="11">
        <v>5.17</v>
      </c>
      <c r="I931" s="11">
        <v>4.24</v>
      </c>
      <c r="J931" s="6">
        <f t="shared" si="14"/>
        <v>0.92999999999999972</v>
      </c>
      <c r="K931" s="4" t="s">
        <v>2951</v>
      </c>
      <c r="L931" s="5" t="s">
        <v>183</v>
      </c>
      <c r="M931" s="23" t="s">
        <v>184</v>
      </c>
    </row>
    <row r="932" spans="2:13" ht="16" x14ac:dyDescent="0.3">
      <c r="B932" s="4">
        <v>926</v>
      </c>
      <c r="C932" s="4" t="s">
        <v>2952</v>
      </c>
      <c r="D932" s="4" t="s">
        <v>2953</v>
      </c>
      <c r="E932" s="4" t="s">
        <v>181</v>
      </c>
      <c r="F932" s="22">
        <v>2304918.2200000002</v>
      </c>
      <c r="G932" s="22">
        <v>585710.41899999999</v>
      </c>
      <c r="H932" s="11">
        <v>5.17</v>
      </c>
      <c r="I932" s="11">
        <v>4.1500000000000004</v>
      </c>
      <c r="J932" s="6">
        <f t="shared" si="14"/>
        <v>1.0199999999999996</v>
      </c>
      <c r="K932" s="4" t="s">
        <v>2954</v>
      </c>
      <c r="L932" s="5" t="s">
        <v>183</v>
      </c>
      <c r="M932" s="23" t="s">
        <v>184</v>
      </c>
    </row>
    <row r="933" spans="2:13" ht="16" x14ac:dyDescent="0.3">
      <c r="B933" s="4">
        <v>927</v>
      </c>
      <c r="C933" s="4" t="s">
        <v>2955</v>
      </c>
      <c r="D933" s="4" t="s">
        <v>2956</v>
      </c>
      <c r="E933" s="4" t="s">
        <v>181</v>
      </c>
      <c r="F933" s="22">
        <v>2304939.8149999999</v>
      </c>
      <c r="G933" s="22">
        <v>585695.93900000001</v>
      </c>
      <c r="H933" s="11">
        <v>5.17</v>
      </c>
      <c r="I933" s="11">
        <v>4.07</v>
      </c>
      <c r="J933" s="6">
        <f t="shared" si="14"/>
        <v>1.0999999999999996</v>
      </c>
      <c r="K933" s="4" t="s">
        <v>2957</v>
      </c>
      <c r="L933" s="5" t="s">
        <v>183</v>
      </c>
      <c r="M933" s="23" t="s">
        <v>184</v>
      </c>
    </row>
    <row r="934" spans="2:13" ht="16" x14ac:dyDescent="0.3">
      <c r="B934" s="4">
        <v>928</v>
      </c>
      <c r="C934" s="4" t="s">
        <v>2958</v>
      </c>
      <c r="D934" s="4" t="s">
        <v>2959</v>
      </c>
      <c r="E934" s="4" t="s">
        <v>181</v>
      </c>
      <c r="F934" s="22">
        <v>2304908.8790000002</v>
      </c>
      <c r="G934" s="22">
        <v>585743.17200000002</v>
      </c>
      <c r="H934" s="11">
        <v>5.17</v>
      </c>
      <c r="I934" s="11">
        <v>4.24</v>
      </c>
      <c r="J934" s="6">
        <f t="shared" si="14"/>
        <v>0.92999999999999972</v>
      </c>
      <c r="K934" s="4" t="s">
        <v>2960</v>
      </c>
      <c r="L934" s="5" t="s">
        <v>183</v>
      </c>
      <c r="M934" s="23" t="s">
        <v>184</v>
      </c>
    </row>
    <row r="935" spans="2:13" ht="16" x14ac:dyDescent="0.3">
      <c r="B935" s="4">
        <v>929</v>
      </c>
      <c r="C935" s="4" t="s">
        <v>2961</v>
      </c>
      <c r="D935" s="4" t="s">
        <v>2962</v>
      </c>
      <c r="E935" s="4" t="s">
        <v>181</v>
      </c>
      <c r="F935" s="22">
        <v>2304930.4730000002</v>
      </c>
      <c r="G935" s="22">
        <v>585728.69099999999</v>
      </c>
      <c r="H935" s="11">
        <v>5.17</v>
      </c>
      <c r="I935" s="11">
        <v>4.1500000000000004</v>
      </c>
      <c r="J935" s="6">
        <f t="shared" si="14"/>
        <v>1.0199999999999996</v>
      </c>
      <c r="K935" s="4" t="s">
        <v>2963</v>
      </c>
      <c r="L935" s="5" t="s">
        <v>183</v>
      </c>
      <c r="M935" s="23" t="s">
        <v>184</v>
      </c>
    </row>
    <row r="936" spans="2:13" ht="16" x14ac:dyDescent="0.3">
      <c r="B936" s="4">
        <v>930</v>
      </c>
      <c r="C936" s="4" t="s">
        <v>2964</v>
      </c>
      <c r="D936" s="4" t="s">
        <v>2965</v>
      </c>
      <c r="E936" s="4" t="s">
        <v>181</v>
      </c>
      <c r="F936" s="22">
        <v>2304952.0669999998</v>
      </c>
      <c r="G936" s="22">
        <v>585714.21100000001</v>
      </c>
      <c r="H936" s="11">
        <v>5.17</v>
      </c>
      <c r="I936" s="11">
        <v>4.07</v>
      </c>
      <c r="J936" s="6">
        <f t="shared" si="14"/>
        <v>1.0999999999999996</v>
      </c>
      <c r="K936" s="4" t="s">
        <v>2966</v>
      </c>
      <c r="L936" s="5" t="s">
        <v>183</v>
      </c>
      <c r="M936" s="23" t="s">
        <v>184</v>
      </c>
    </row>
    <row r="937" spans="2:13" ht="16" x14ac:dyDescent="0.3">
      <c r="B937" s="4">
        <v>931</v>
      </c>
      <c r="C937" s="4" t="s">
        <v>2967</v>
      </c>
      <c r="D937" s="4" t="s">
        <v>2968</v>
      </c>
      <c r="E937" s="4" t="s">
        <v>181</v>
      </c>
      <c r="F937" s="22">
        <v>2304915.0049999999</v>
      </c>
      <c r="G937" s="22">
        <v>585752.30799999996</v>
      </c>
      <c r="H937" s="11">
        <v>5.17</v>
      </c>
      <c r="I937" s="11">
        <v>4.24</v>
      </c>
      <c r="J937" s="6">
        <f t="shared" si="14"/>
        <v>0.92999999999999972</v>
      </c>
      <c r="K937" s="4" t="s">
        <v>2969</v>
      </c>
      <c r="L937" s="5" t="s">
        <v>183</v>
      </c>
      <c r="M937" s="23" t="s">
        <v>184</v>
      </c>
    </row>
    <row r="938" spans="2:13" ht="16" x14ac:dyDescent="0.3">
      <c r="B938" s="4">
        <v>932</v>
      </c>
      <c r="C938" s="4" t="s">
        <v>2970</v>
      </c>
      <c r="D938" s="4" t="s">
        <v>2971</v>
      </c>
      <c r="E938" s="4" t="s">
        <v>181</v>
      </c>
      <c r="F938" s="22">
        <v>2304936.5989999999</v>
      </c>
      <c r="G938" s="22">
        <v>585737.82700000005</v>
      </c>
      <c r="H938" s="11">
        <v>5.17</v>
      </c>
      <c r="I938" s="11">
        <v>4.1500000000000004</v>
      </c>
      <c r="J938" s="6">
        <f t="shared" si="14"/>
        <v>1.0199999999999996</v>
      </c>
      <c r="K938" s="4" t="s">
        <v>2972</v>
      </c>
      <c r="L938" s="5" t="s">
        <v>183</v>
      </c>
      <c r="M938" s="23" t="s">
        <v>184</v>
      </c>
    </row>
    <row r="939" spans="2:13" ht="16" x14ac:dyDescent="0.3">
      <c r="B939" s="4">
        <v>933</v>
      </c>
      <c r="C939" s="4" t="s">
        <v>2973</v>
      </c>
      <c r="D939" s="4" t="s">
        <v>2974</v>
      </c>
      <c r="E939" s="4" t="s">
        <v>181</v>
      </c>
      <c r="F939" s="22">
        <v>2304958.1940000001</v>
      </c>
      <c r="G939" s="22">
        <v>585723.34699999995</v>
      </c>
      <c r="H939" s="11">
        <v>5.17</v>
      </c>
      <c r="I939" s="11">
        <v>4.07</v>
      </c>
      <c r="J939" s="6">
        <f t="shared" si="14"/>
        <v>1.0999999999999996</v>
      </c>
      <c r="K939" s="4" t="s">
        <v>2975</v>
      </c>
      <c r="L939" s="5" t="s">
        <v>183</v>
      </c>
      <c r="M939" s="23" t="s">
        <v>184</v>
      </c>
    </row>
    <row r="940" spans="2:13" ht="16" x14ac:dyDescent="0.3">
      <c r="B940" s="4">
        <v>934</v>
      </c>
      <c r="C940" s="4" t="s">
        <v>2976</v>
      </c>
      <c r="D940" s="4" t="s">
        <v>2977</v>
      </c>
      <c r="E940" s="4" t="s">
        <v>181</v>
      </c>
      <c r="F940" s="22">
        <v>2304927.2659999998</v>
      </c>
      <c r="G940" s="22">
        <v>585770.59100000001</v>
      </c>
      <c r="H940" s="11">
        <v>5.17</v>
      </c>
      <c r="I940" s="11">
        <v>4.24</v>
      </c>
      <c r="J940" s="6">
        <f t="shared" si="14"/>
        <v>0.92999999999999972</v>
      </c>
      <c r="K940" s="4" t="s">
        <v>2978</v>
      </c>
      <c r="L940" s="5" t="s">
        <v>183</v>
      </c>
      <c r="M940" s="23" t="s">
        <v>184</v>
      </c>
    </row>
    <row r="941" spans="2:13" ht="16" x14ac:dyDescent="0.3">
      <c r="B941" s="4">
        <v>935</v>
      </c>
      <c r="C941" s="4" t="s">
        <v>2979</v>
      </c>
      <c r="D941" s="4" t="s">
        <v>2980</v>
      </c>
      <c r="E941" s="4" t="s">
        <v>181</v>
      </c>
      <c r="F941" s="22">
        <v>2304948.86</v>
      </c>
      <c r="G941" s="22">
        <v>585756.11100000003</v>
      </c>
      <c r="H941" s="11">
        <v>5.17</v>
      </c>
      <c r="I941" s="11">
        <v>4.1500000000000004</v>
      </c>
      <c r="J941" s="6">
        <f t="shared" si="14"/>
        <v>1.0199999999999996</v>
      </c>
      <c r="K941" s="4" t="s">
        <v>2981</v>
      </c>
      <c r="L941" s="5" t="s">
        <v>183</v>
      </c>
      <c r="M941" s="23" t="s">
        <v>184</v>
      </c>
    </row>
    <row r="942" spans="2:13" ht="16" x14ac:dyDescent="0.3">
      <c r="B942" s="4">
        <v>936</v>
      </c>
      <c r="C942" s="4" t="s">
        <v>2982</v>
      </c>
      <c r="D942" s="4" t="s">
        <v>2983</v>
      </c>
      <c r="E942" s="4" t="s">
        <v>181</v>
      </c>
      <c r="F942" s="22">
        <v>2304970.446</v>
      </c>
      <c r="G942" s="22">
        <v>585741.61899999995</v>
      </c>
      <c r="H942" s="11">
        <v>5.17</v>
      </c>
      <c r="I942" s="11">
        <v>4.07</v>
      </c>
      <c r="J942" s="6">
        <f t="shared" si="14"/>
        <v>1.0999999999999996</v>
      </c>
      <c r="K942" s="4" t="s">
        <v>2984</v>
      </c>
      <c r="L942" s="5" t="s">
        <v>183</v>
      </c>
      <c r="M942" s="23" t="s">
        <v>184</v>
      </c>
    </row>
    <row r="943" spans="2:13" ht="16" x14ac:dyDescent="0.3">
      <c r="B943" s="4">
        <v>937</v>
      </c>
      <c r="C943" s="4" t="s">
        <v>2985</v>
      </c>
      <c r="D943" s="4" t="s">
        <v>2986</v>
      </c>
      <c r="E943" s="4" t="s">
        <v>181</v>
      </c>
      <c r="F943" s="22">
        <v>2304933.392</v>
      </c>
      <c r="G943" s="22">
        <v>585779.728</v>
      </c>
      <c r="H943" s="11">
        <v>5.17</v>
      </c>
      <c r="I943" s="11">
        <v>4.24</v>
      </c>
      <c r="J943" s="6">
        <f t="shared" si="14"/>
        <v>0.92999999999999972</v>
      </c>
      <c r="K943" s="4" t="s">
        <v>2987</v>
      </c>
      <c r="L943" s="5" t="s">
        <v>183</v>
      </c>
      <c r="M943" s="23" t="s">
        <v>184</v>
      </c>
    </row>
    <row r="944" spans="2:13" ht="16" x14ac:dyDescent="0.3">
      <c r="B944" s="4">
        <v>938</v>
      </c>
      <c r="C944" s="4" t="s">
        <v>2988</v>
      </c>
      <c r="D944" s="4" t="s">
        <v>2989</v>
      </c>
      <c r="E944" s="4" t="s">
        <v>181</v>
      </c>
      <c r="F944" s="22">
        <v>2304954.986</v>
      </c>
      <c r="G944" s="22">
        <v>585765.24699999997</v>
      </c>
      <c r="H944" s="11">
        <v>5.17</v>
      </c>
      <c r="I944" s="11">
        <v>4.1500000000000004</v>
      </c>
      <c r="J944" s="6">
        <f t="shared" si="14"/>
        <v>1.0199999999999996</v>
      </c>
      <c r="K944" s="4" t="s">
        <v>2990</v>
      </c>
      <c r="L944" s="5" t="s">
        <v>183</v>
      </c>
      <c r="M944" s="23" t="s">
        <v>184</v>
      </c>
    </row>
    <row r="945" spans="2:13" ht="16" x14ac:dyDescent="0.3">
      <c r="B945" s="4">
        <v>939</v>
      </c>
      <c r="C945" s="4" t="s">
        <v>2991</v>
      </c>
      <c r="D945" s="4" t="s">
        <v>2992</v>
      </c>
      <c r="E945" s="4" t="s">
        <v>181</v>
      </c>
      <c r="F945" s="22">
        <v>2304976.5809999998</v>
      </c>
      <c r="G945" s="22">
        <v>585750.76699999999</v>
      </c>
      <c r="H945" s="11">
        <v>5.17</v>
      </c>
      <c r="I945" s="11">
        <v>4.07</v>
      </c>
      <c r="J945" s="6">
        <f t="shared" si="14"/>
        <v>1.0999999999999996</v>
      </c>
      <c r="K945" s="4" t="s">
        <v>2993</v>
      </c>
      <c r="L945" s="5" t="s">
        <v>183</v>
      </c>
      <c r="M945" s="23" t="s">
        <v>184</v>
      </c>
    </row>
    <row r="946" spans="2:13" ht="16" x14ac:dyDescent="0.3">
      <c r="B946" s="4">
        <v>940</v>
      </c>
      <c r="C946" s="4" t="s">
        <v>2994</v>
      </c>
      <c r="D946" s="4" t="s">
        <v>2995</v>
      </c>
      <c r="E946" s="4" t="s">
        <v>181</v>
      </c>
      <c r="F946" s="22">
        <v>2304953.8870000001</v>
      </c>
      <c r="G946" s="22">
        <v>585805.69999999995</v>
      </c>
      <c r="H946" s="11">
        <v>5.17</v>
      </c>
      <c r="I946" s="11">
        <v>4.24</v>
      </c>
      <c r="J946" s="6">
        <f t="shared" si="14"/>
        <v>0.92999999999999972</v>
      </c>
      <c r="K946" s="4" t="s">
        <v>2996</v>
      </c>
      <c r="L946" s="5" t="s">
        <v>183</v>
      </c>
      <c r="M946" s="23" t="s">
        <v>184</v>
      </c>
    </row>
    <row r="947" spans="2:13" ht="16" x14ac:dyDescent="0.3">
      <c r="B947" s="4">
        <v>941</v>
      </c>
      <c r="C947" s="4" t="s">
        <v>2997</v>
      </c>
      <c r="D947" s="4" t="s">
        <v>2998</v>
      </c>
      <c r="E947" s="4" t="s">
        <v>181</v>
      </c>
      <c r="F947" s="22">
        <v>2304975.4810000001</v>
      </c>
      <c r="G947" s="22">
        <v>585791.22</v>
      </c>
      <c r="H947" s="11">
        <v>5.17</v>
      </c>
      <c r="I947" s="11">
        <v>4.1500000000000004</v>
      </c>
      <c r="J947" s="6">
        <f t="shared" si="14"/>
        <v>1.0199999999999996</v>
      </c>
      <c r="K947" s="4" t="s">
        <v>2999</v>
      </c>
      <c r="L947" s="5" t="s">
        <v>183</v>
      </c>
      <c r="M947" s="23" t="s">
        <v>184</v>
      </c>
    </row>
    <row r="948" spans="2:13" ht="16" x14ac:dyDescent="0.3">
      <c r="B948" s="4">
        <v>942</v>
      </c>
      <c r="C948" s="4" t="s">
        <v>3000</v>
      </c>
      <c r="D948" s="4" t="s">
        <v>3001</v>
      </c>
      <c r="E948" s="4" t="s">
        <v>181</v>
      </c>
      <c r="F948" s="22">
        <v>2304997.0759999999</v>
      </c>
      <c r="G948" s="22">
        <v>585776.73899999994</v>
      </c>
      <c r="H948" s="11">
        <v>5.17</v>
      </c>
      <c r="I948" s="11">
        <v>4.07</v>
      </c>
      <c r="J948" s="6">
        <f t="shared" si="14"/>
        <v>1.0999999999999996</v>
      </c>
      <c r="K948" s="4" t="s">
        <v>3002</v>
      </c>
      <c r="L948" s="5" t="s">
        <v>183</v>
      </c>
      <c r="M948" s="23" t="s">
        <v>184</v>
      </c>
    </row>
    <row r="949" spans="2:13" ht="16" x14ac:dyDescent="0.3">
      <c r="B949" s="4">
        <v>943</v>
      </c>
      <c r="C949" s="4" t="s">
        <v>3003</v>
      </c>
      <c r="D949" s="4" t="s">
        <v>3004</v>
      </c>
      <c r="E949" s="4" t="s">
        <v>181</v>
      </c>
      <c r="F949" s="22">
        <v>2305000.6239999998</v>
      </c>
      <c r="G949" s="22">
        <v>585171.06200000003</v>
      </c>
      <c r="H949" s="11">
        <v>5.07</v>
      </c>
      <c r="I949" s="11">
        <v>3.53</v>
      </c>
      <c r="J949" s="6">
        <f t="shared" si="14"/>
        <v>1.5400000000000005</v>
      </c>
      <c r="K949" s="4" t="s">
        <v>3005</v>
      </c>
      <c r="L949" s="5" t="s">
        <v>254</v>
      </c>
      <c r="M949" s="23" t="s">
        <v>184</v>
      </c>
    </row>
    <row r="950" spans="2:13" ht="16" x14ac:dyDescent="0.3">
      <c r="B950" s="4">
        <v>944</v>
      </c>
      <c r="C950" s="4" t="s">
        <v>3006</v>
      </c>
      <c r="D950" s="4" t="s">
        <v>3007</v>
      </c>
      <c r="E950" s="4" t="s">
        <v>181</v>
      </c>
      <c r="F950" s="22">
        <v>2304980.142</v>
      </c>
      <c r="G950" s="22">
        <v>585171.63600000006</v>
      </c>
      <c r="H950" s="11">
        <v>5.07</v>
      </c>
      <c r="I950" s="11">
        <v>3.93</v>
      </c>
      <c r="J950" s="6">
        <f t="shared" si="14"/>
        <v>1.1400000000000001</v>
      </c>
      <c r="K950" s="4" t="s">
        <v>3008</v>
      </c>
      <c r="L950" s="5" t="s">
        <v>183</v>
      </c>
      <c r="M950" s="23" t="s">
        <v>184</v>
      </c>
    </row>
    <row r="951" spans="2:13" ht="16" x14ac:dyDescent="0.3">
      <c r="B951" s="4">
        <v>945</v>
      </c>
      <c r="C951" s="4" t="s">
        <v>3009</v>
      </c>
      <c r="D951" s="4" t="s">
        <v>3010</v>
      </c>
      <c r="E951" s="4" t="s">
        <v>181</v>
      </c>
      <c r="F951" s="22">
        <v>2305684.96</v>
      </c>
      <c r="G951" s="22">
        <v>585508.174</v>
      </c>
      <c r="H951" s="11">
        <v>5.17</v>
      </c>
      <c r="I951" s="11">
        <v>4.32</v>
      </c>
      <c r="J951" s="6">
        <f t="shared" si="14"/>
        <v>0.84999999999999964</v>
      </c>
      <c r="K951" s="4" t="s">
        <v>3011</v>
      </c>
      <c r="L951" s="5" t="s">
        <v>183</v>
      </c>
      <c r="M951" s="23" t="s">
        <v>184</v>
      </c>
    </row>
    <row r="952" spans="2:13" ht="16" x14ac:dyDescent="0.3">
      <c r="B952" s="4">
        <v>946</v>
      </c>
      <c r="C952" s="4" t="s">
        <v>3012</v>
      </c>
      <c r="D952" s="4" t="s">
        <v>3013</v>
      </c>
      <c r="E952" s="4" t="s">
        <v>181</v>
      </c>
      <c r="F952" s="22">
        <v>2305665.057</v>
      </c>
      <c r="G952" s="22">
        <v>585521.50600000005</v>
      </c>
      <c r="H952" s="11">
        <v>5.17</v>
      </c>
      <c r="I952" s="11">
        <v>4.2300000000000004</v>
      </c>
      <c r="J952" s="6">
        <f t="shared" si="14"/>
        <v>0.9399999999999995</v>
      </c>
      <c r="K952" s="4" t="s">
        <v>3014</v>
      </c>
      <c r="L952" s="5" t="s">
        <v>183</v>
      </c>
      <c r="M952" s="23" t="s">
        <v>184</v>
      </c>
    </row>
    <row r="953" spans="2:13" ht="16" x14ac:dyDescent="0.3">
      <c r="B953" s="4">
        <v>947</v>
      </c>
      <c r="C953" s="4" t="s">
        <v>3015</v>
      </c>
      <c r="D953" s="4" t="s">
        <v>3016</v>
      </c>
      <c r="E953" s="4" t="s">
        <v>181</v>
      </c>
      <c r="F953" s="22">
        <v>2305652.46</v>
      </c>
      <c r="G953" s="22">
        <v>585503.46400000004</v>
      </c>
      <c r="H953" s="11">
        <v>5.17</v>
      </c>
      <c r="I953" s="11">
        <v>4.16</v>
      </c>
      <c r="J953" s="6">
        <f t="shared" si="14"/>
        <v>1.0099999999999998</v>
      </c>
      <c r="K953" s="4" t="s">
        <v>3017</v>
      </c>
      <c r="L953" s="5" t="s">
        <v>183</v>
      </c>
      <c r="M953" s="23" t="s">
        <v>184</v>
      </c>
    </row>
    <row r="954" spans="2:13" ht="16" x14ac:dyDescent="0.3">
      <c r="B954" s="4">
        <v>948</v>
      </c>
      <c r="C954" s="4" t="s">
        <v>3018</v>
      </c>
      <c r="D954" s="4" t="s">
        <v>3019</v>
      </c>
      <c r="E954" s="4" t="s">
        <v>181</v>
      </c>
      <c r="F954" s="22">
        <v>2305646.3539999998</v>
      </c>
      <c r="G954" s="22">
        <v>585494.31499999994</v>
      </c>
      <c r="H954" s="11">
        <v>5.17</v>
      </c>
      <c r="I954" s="11">
        <v>4.07</v>
      </c>
      <c r="J954" s="6">
        <f t="shared" si="14"/>
        <v>1.0999999999999996</v>
      </c>
      <c r="K954" s="4" t="s">
        <v>3020</v>
      </c>
      <c r="L954" s="5" t="s">
        <v>183</v>
      </c>
      <c r="M954" s="23" t="s">
        <v>184</v>
      </c>
    </row>
    <row r="955" spans="2:13" ht="16" x14ac:dyDescent="0.3">
      <c r="B955" s="4">
        <v>949</v>
      </c>
      <c r="C955" s="4" t="s">
        <v>3021</v>
      </c>
      <c r="D955" s="4" t="s">
        <v>3022</v>
      </c>
      <c r="E955" s="4" t="s">
        <v>181</v>
      </c>
      <c r="F955" s="22">
        <v>2305634.102</v>
      </c>
      <c r="G955" s="22">
        <v>585476.04200000002</v>
      </c>
      <c r="H955" s="11">
        <v>5.17</v>
      </c>
      <c r="I955" s="11">
        <v>4.03</v>
      </c>
      <c r="J955" s="6">
        <f t="shared" si="14"/>
        <v>1.1399999999999997</v>
      </c>
      <c r="K955" s="4" t="s">
        <v>3023</v>
      </c>
      <c r="L955" s="5" t="s">
        <v>183</v>
      </c>
      <c r="M955" s="23" t="s">
        <v>184</v>
      </c>
    </row>
    <row r="956" spans="2:13" ht="16" x14ac:dyDescent="0.3">
      <c r="B956" s="4">
        <v>950</v>
      </c>
      <c r="C956" s="4" t="s">
        <v>3024</v>
      </c>
      <c r="D956" s="4" t="s">
        <v>3025</v>
      </c>
      <c r="E956" s="4" t="s">
        <v>181</v>
      </c>
      <c r="F956" s="22">
        <v>2305627.9550000001</v>
      </c>
      <c r="G956" s="22">
        <v>585466.92000000004</v>
      </c>
      <c r="H956" s="11">
        <v>5.17</v>
      </c>
      <c r="I956" s="11">
        <v>3.95</v>
      </c>
      <c r="J956" s="6">
        <f t="shared" si="14"/>
        <v>1.2199999999999998</v>
      </c>
      <c r="K956" s="4" t="s">
        <v>3026</v>
      </c>
      <c r="L956" s="5" t="s">
        <v>183</v>
      </c>
      <c r="M956" s="23" t="s">
        <v>184</v>
      </c>
    </row>
    <row r="957" spans="2:13" ht="16" x14ac:dyDescent="0.3">
      <c r="B957" s="4">
        <v>951</v>
      </c>
      <c r="C957" s="4" t="s">
        <v>3027</v>
      </c>
      <c r="D957" s="4" t="s">
        <v>3028</v>
      </c>
      <c r="E957" s="4" t="s">
        <v>181</v>
      </c>
      <c r="F957" s="22">
        <v>2305614.4509999999</v>
      </c>
      <c r="G957" s="22">
        <v>585454.99399999995</v>
      </c>
      <c r="H957" s="11">
        <v>5.17</v>
      </c>
      <c r="I957" s="11">
        <v>3.91</v>
      </c>
      <c r="J957" s="6">
        <f t="shared" si="14"/>
        <v>1.2599999999999998</v>
      </c>
      <c r="K957" s="4" t="s">
        <v>3029</v>
      </c>
      <c r="L957" s="5" t="s">
        <v>183</v>
      </c>
      <c r="M957" s="23" t="s">
        <v>184</v>
      </c>
    </row>
    <row r="958" spans="2:13" ht="16" x14ac:dyDescent="0.3">
      <c r="B958" s="4">
        <v>952</v>
      </c>
      <c r="C958" s="4" t="s">
        <v>3030</v>
      </c>
      <c r="D958" s="4" t="s">
        <v>3031</v>
      </c>
      <c r="E958" s="4" t="s">
        <v>181</v>
      </c>
      <c r="F958" s="22">
        <v>2305694.0699999998</v>
      </c>
      <c r="G958" s="22">
        <v>585475.56200000003</v>
      </c>
      <c r="H958" s="11">
        <v>5.17</v>
      </c>
      <c r="I958" s="11">
        <v>4.32</v>
      </c>
      <c r="J958" s="6">
        <f t="shared" si="14"/>
        <v>0.84999999999999964</v>
      </c>
      <c r="K958" s="4" t="s">
        <v>3032</v>
      </c>
      <c r="L958" s="5" t="s">
        <v>183</v>
      </c>
      <c r="M958" s="23" t="s">
        <v>184</v>
      </c>
    </row>
    <row r="959" spans="2:13" ht="16" x14ac:dyDescent="0.3">
      <c r="B959" s="4">
        <v>953</v>
      </c>
      <c r="C959" s="4" t="s">
        <v>3033</v>
      </c>
      <c r="D959" s="4" t="s">
        <v>3034</v>
      </c>
      <c r="E959" s="4" t="s">
        <v>181</v>
      </c>
      <c r="F959" s="22">
        <v>2305672.7110000001</v>
      </c>
      <c r="G959" s="22">
        <v>585489.88500000001</v>
      </c>
      <c r="H959" s="11">
        <v>5.17</v>
      </c>
      <c r="I959" s="11">
        <v>4.24</v>
      </c>
      <c r="J959" s="6">
        <f t="shared" si="14"/>
        <v>0.92999999999999972</v>
      </c>
      <c r="K959" s="4" t="s">
        <v>3035</v>
      </c>
      <c r="L959" s="5" t="s">
        <v>183</v>
      </c>
      <c r="M959" s="23" t="s">
        <v>184</v>
      </c>
    </row>
    <row r="960" spans="2:13" ht="16" x14ac:dyDescent="0.3">
      <c r="B960" s="4">
        <v>954</v>
      </c>
      <c r="C960" s="4" t="s">
        <v>3036</v>
      </c>
      <c r="D960" s="4" t="s">
        <v>3037</v>
      </c>
      <c r="E960" s="4" t="s">
        <v>181</v>
      </c>
      <c r="F960" s="22">
        <v>2305688.142</v>
      </c>
      <c r="G960" s="22">
        <v>585466.29299999995</v>
      </c>
      <c r="H960" s="11">
        <v>5.17</v>
      </c>
      <c r="I960" s="11">
        <v>4.32</v>
      </c>
      <c r="J960" s="6">
        <f t="shared" si="14"/>
        <v>0.84999999999999964</v>
      </c>
      <c r="K960" s="4" t="s">
        <v>3038</v>
      </c>
      <c r="L960" s="5" t="s">
        <v>183</v>
      </c>
      <c r="M960" s="23" t="s">
        <v>184</v>
      </c>
    </row>
    <row r="961" spans="2:13" ht="16" x14ac:dyDescent="0.3">
      <c r="B961" s="4">
        <v>955</v>
      </c>
      <c r="C961" s="4" t="s">
        <v>3039</v>
      </c>
      <c r="D961" s="4" t="s">
        <v>3040</v>
      </c>
      <c r="E961" s="4" t="s">
        <v>181</v>
      </c>
      <c r="F961" s="22">
        <v>2305666.5639999998</v>
      </c>
      <c r="G961" s="22">
        <v>585480.76300000004</v>
      </c>
      <c r="H961" s="11">
        <v>5.17</v>
      </c>
      <c r="I961" s="11">
        <v>4.2300000000000004</v>
      </c>
      <c r="J961" s="6">
        <f t="shared" si="14"/>
        <v>0.9399999999999995</v>
      </c>
      <c r="K961" s="4" t="s">
        <v>3041</v>
      </c>
      <c r="L961" s="5" t="s">
        <v>183</v>
      </c>
      <c r="M961" s="23" t="s">
        <v>184</v>
      </c>
    </row>
    <row r="962" spans="2:13" ht="16" x14ac:dyDescent="0.3">
      <c r="B962" s="4">
        <v>956</v>
      </c>
      <c r="C962" s="4" t="s">
        <v>3042</v>
      </c>
      <c r="D962" s="4" t="s">
        <v>3043</v>
      </c>
      <c r="E962" s="4" t="s">
        <v>181</v>
      </c>
      <c r="F962" s="22">
        <v>2305675.889</v>
      </c>
      <c r="G962" s="22">
        <v>585447.98600000003</v>
      </c>
      <c r="H962" s="11">
        <v>5.17</v>
      </c>
      <c r="I962" s="11">
        <v>4.32</v>
      </c>
      <c r="J962" s="6">
        <f t="shared" si="14"/>
        <v>0.84999999999999964</v>
      </c>
      <c r="K962" s="4" t="s">
        <v>3044</v>
      </c>
      <c r="L962" s="5" t="s">
        <v>183</v>
      </c>
      <c r="M962" s="23" t="s">
        <v>184</v>
      </c>
    </row>
    <row r="963" spans="2:13" ht="16" x14ac:dyDescent="0.3">
      <c r="B963" s="4">
        <v>957</v>
      </c>
      <c r="C963" s="4" t="s">
        <v>3045</v>
      </c>
      <c r="D963" s="4" t="s">
        <v>3046</v>
      </c>
      <c r="E963" s="4" t="s">
        <v>181</v>
      </c>
      <c r="F963" s="22">
        <v>2305654.3319999999</v>
      </c>
      <c r="G963" s="22">
        <v>585462.47699999996</v>
      </c>
      <c r="H963" s="11">
        <v>5.17</v>
      </c>
      <c r="I963" s="11">
        <v>4.2300000000000004</v>
      </c>
      <c r="J963" s="6">
        <f t="shared" si="14"/>
        <v>0.9399999999999995</v>
      </c>
      <c r="K963" s="4" t="s">
        <v>3047</v>
      </c>
      <c r="L963" s="5" t="s">
        <v>183</v>
      </c>
      <c r="M963" s="23" t="s">
        <v>184</v>
      </c>
    </row>
    <row r="964" spans="2:13" ht="16" x14ac:dyDescent="0.3">
      <c r="B964" s="4">
        <v>958</v>
      </c>
      <c r="C964" s="4" t="s">
        <v>3048</v>
      </c>
      <c r="D964" s="4" t="s">
        <v>3049</v>
      </c>
      <c r="E964" s="4" t="s">
        <v>181</v>
      </c>
      <c r="F964" s="22">
        <v>2305669.7629999998</v>
      </c>
      <c r="G964" s="22">
        <v>585438.88500000001</v>
      </c>
      <c r="H964" s="11">
        <v>5.17</v>
      </c>
      <c r="I964" s="11">
        <v>4.32</v>
      </c>
      <c r="J964" s="6">
        <f t="shared" si="14"/>
        <v>0.84999999999999964</v>
      </c>
      <c r="K964" s="4" t="s">
        <v>3050</v>
      </c>
      <c r="L964" s="5" t="s">
        <v>183</v>
      </c>
      <c r="M964" s="23" t="s">
        <v>184</v>
      </c>
    </row>
    <row r="965" spans="2:13" ht="16" x14ac:dyDescent="0.3">
      <c r="B965" s="4">
        <v>959</v>
      </c>
      <c r="C965" s="4" t="s">
        <v>3051</v>
      </c>
      <c r="D965" s="4" t="s">
        <v>3052</v>
      </c>
      <c r="E965" s="4" t="s">
        <v>181</v>
      </c>
      <c r="F965" s="22">
        <v>2305648.1850000001</v>
      </c>
      <c r="G965" s="22">
        <v>585453.35400000005</v>
      </c>
      <c r="H965" s="11">
        <v>5.17</v>
      </c>
      <c r="I965" s="11">
        <v>4.2300000000000004</v>
      </c>
      <c r="J965" s="6">
        <f t="shared" si="14"/>
        <v>0.9399999999999995</v>
      </c>
      <c r="K965" s="4" t="s">
        <v>3053</v>
      </c>
      <c r="L965" s="5" t="s">
        <v>183</v>
      </c>
      <c r="M965" s="23" t="s">
        <v>184</v>
      </c>
    </row>
    <row r="966" spans="2:13" ht="16" x14ac:dyDescent="0.3">
      <c r="B966" s="4">
        <v>960</v>
      </c>
      <c r="C966" s="4" t="s">
        <v>3054</v>
      </c>
      <c r="D966" s="4" t="s">
        <v>1412</v>
      </c>
      <c r="E966" s="4" t="s">
        <v>181</v>
      </c>
      <c r="F966" s="22">
        <v>2305620.0520000001</v>
      </c>
      <c r="G966" s="22">
        <v>585565.53099999996</v>
      </c>
      <c r="H966" s="11">
        <v>5.17</v>
      </c>
      <c r="I966" s="11">
        <v>4.38</v>
      </c>
      <c r="J966" s="6">
        <f t="shared" si="14"/>
        <v>0.79</v>
      </c>
      <c r="K966" s="4" t="s">
        <v>3055</v>
      </c>
      <c r="L966" s="5" t="s">
        <v>183</v>
      </c>
      <c r="M966" s="23" t="s">
        <v>184</v>
      </c>
    </row>
    <row r="967" spans="2:13" ht="16" x14ac:dyDescent="0.3">
      <c r="B967" s="4">
        <v>961</v>
      </c>
      <c r="C967" s="4" t="s">
        <v>3056</v>
      </c>
      <c r="D967" s="4" t="s">
        <v>3057</v>
      </c>
      <c r="E967" s="4" t="s">
        <v>181</v>
      </c>
      <c r="F967" s="22">
        <v>2305245.8870000001</v>
      </c>
      <c r="G967" s="22">
        <v>585006.68000000005</v>
      </c>
      <c r="H967" s="11">
        <v>5.07</v>
      </c>
      <c r="I967" s="11">
        <v>3.73</v>
      </c>
      <c r="J967" s="6">
        <f t="shared" ref="J967:J996" si="15">H967-I967</f>
        <v>1.3400000000000003</v>
      </c>
      <c r="K967" s="4" t="s">
        <v>3058</v>
      </c>
      <c r="L967" s="5" t="s">
        <v>183</v>
      </c>
      <c r="M967" s="23" t="s">
        <v>184</v>
      </c>
    </row>
    <row r="968" spans="2:13" ht="16" x14ac:dyDescent="0.3">
      <c r="B968" s="4">
        <v>962</v>
      </c>
      <c r="C968" s="4" t="s">
        <v>3059</v>
      </c>
      <c r="D968" s="4" t="s">
        <v>3060</v>
      </c>
      <c r="E968" s="4" t="s">
        <v>181</v>
      </c>
      <c r="F968" s="22">
        <v>2305273.1770000001</v>
      </c>
      <c r="G968" s="22">
        <v>585047.37699999998</v>
      </c>
      <c r="H968" s="11">
        <v>5.07</v>
      </c>
      <c r="I968" s="11">
        <v>3.55</v>
      </c>
      <c r="J968" s="6">
        <f t="shared" si="15"/>
        <v>1.5200000000000005</v>
      </c>
      <c r="K968" s="4" t="s">
        <v>3061</v>
      </c>
      <c r="L968" s="5" t="s">
        <v>254</v>
      </c>
      <c r="M968" s="23" t="s">
        <v>184</v>
      </c>
    </row>
    <row r="969" spans="2:13" ht="16" x14ac:dyDescent="0.3">
      <c r="B969" s="4">
        <v>963</v>
      </c>
      <c r="C969" s="4" t="s">
        <v>3062</v>
      </c>
      <c r="D969" s="4" t="s">
        <v>3063</v>
      </c>
      <c r="E969" s="4" t="s">
        <v>181</v>
      </c>
      <c r="F969" s="22">
        <v>2305300.4670000002</v>
      </c>
      <c r="G969" s="22">
        <v>585088.07400000002</v>
      </c>
      <c r="H969" s="11">
        <v>5.07</v>
      </c>
      <c r="I969" s="11">
        <v>3.37</v>
      </c>
      <c r="J969" s="6">
        <f t="shared" si="15"/>
        <v>1.7000000000000002</v>
      </c>
      <c r="K969" s="4" t="s">
        <v>3064</v>
      </c>
      <c r="L969" s="5" t="s">
        <v>254</v>
      </c>
      <c r="M969" s="23" t="s">
        <v>184</v>
      </c>
    </row>
    <row r="970" spans="2:13" ht="16" x14ac:dyDescent="0.3">
      <c r="B970" s="4">
        <v>964</v>
      </c>
      <c r="C970" s="4" t="s">
        <v>3065</v>
      </c>
      <c r="D970" s="4" t="s">
        <v>3066</v>
      </c>
      <c r="E970" s="4" t="s">
        <v>181</v>
      </c>
      <c r="F970" s="22">
        <v>2305327.7570000002</v>
      </c>
      <c r="G970" s="22">
        <v>585128.77399999998</v>
      </c>
      <c r="H970" s="11">
        <v>5.17</v>
      </c>
      <c r="I970" s="11">
        <v>3.19</v>
      </c>
      <c r="J970" s="6">
        <f t="shared" si="15"/>
        <v>1.98</v>
      </c>
      <c r="K970" s="4" t="s">
        <v>3067</v>
      </c>
      <c r="L970" s="5" t="s">
        <v>254</v>
      </c>
      <c r="M970" s="23" t="s">
        <v>184</v>
      </c>
    </row>
    <row r="971" spans="2:13" ht="16" x14ac:dyDescent="0.3">
      <c r="B971" s="4">
        <v>965</v>
      </c>
      <c r="C971" s="4" t="s">
        <v>3068</v>
      </c>
      <c r="D971" s="4" t="s">
        <v>3069</v>
      </c>
      <c r="E971" s="4" t="s">
        <v>181</v>
      </c>
      <c r="F971" s="22">
        <v>2305355.048</v>
      </c>
      <c r="G971" s="22">
        <v>585169.46799999999</v>
      </c>
      <c r="H971" s="11">
        <v>5.17</v>
      </c>
      <c r="I971" s="11">
        <v>3.02</v>
      </c>
      <c r="J971" s="6">
        <f t="shared" si="15"/>
        <v>2.15</v>
      </c>
      <c r="K971" s="4" t="s">
        <v>3070</v>
      </c>
      <c r="L971" s="5" t="s">
        <v>254</v>
      </c>
      <c r="M971" s="23" t="s">
        <v>184</v>
      </c>
    </row>
    <row r="972" spans="2:13" ht="16" x14ac:dyDescent="0.3">
      <c r="B972" s="4">
        <v>966</v>
      </c>
      <c r="C972" s="4" t="s">
        <v>3071</v>
      </c>
      <c r="D972" s="4" t="s">
        <v>3072</v>
      </c>
      <c r="E972" s="4" t="s">
        <v>181</v>
      </c>
      <c r="F972" s="22">
        <v>2305157.5249999999</v>
      </c>
      <c r="G972" s="22">
        <v>585007.03399999999</v>
      </c>
      <c r="H972" s="11">
        <v>4.91</v>
      </c>
      <c r="I972" s="11">
        <v>3.97</v>
      </c>
      <c r="J972" s="6">
        <f t="shared" si="15"/>
        <v>0.94</v>
      </c>
      <c r="K972" s="4" t="s">
        <v>3073</v>
      </c>
      <c r="L972" s="5" t="s">
        <v>183</v>
      </c>
      <c r="M972" s="23" t="s">
        <v>184</v>
      </c>
    </row>
    <row r="973" spans="2:13" ht="16" x14ac:dyDescent="0.3">
      <c r="B973" s="4">
        <v>967</v>
      </c>
      <c r="C973" s="4" t="s">
        <v>3074</v>
      </c>
      <c r="D973" s="4" t="s">
        <v>3075</v>
      </c>
      <c r="E973" s="4" t="s">
        <v>181</v>
      </c>
      <c r="F973" s="22">
        <v>2305135.0350000001</v>
      </c>
      <c r="G973" s="22">
        <v>585022.01699999999</v>
      </c>
      <c r="H973" s="11">
        <v>4.91</v>
      </c>
      <c r="I973" s="11">
        <v>3.88</v>
      </c>
      <c r="J973" s="6">
        <f t="shared" si="15"/>
        <v>1.0300000000000002</v>
      </c>
      <c r="K973" s="4" t="s">
        <v>3076</v>
      </c>
      <c r="L973" s="5" t="s">
        <v>183</v>
      </c>
      <c r="M973" s="23" t="s">
        <v>184</v>
      </c>
    </row>
    <row r="974" spans="2:13" ht="16" x14ac:dyDescent="0.3">
      <c r="B974" s="4">
        <v>968</v>
      </c>
      <c r="C974" s="4" t="s">
        <v>3077</v>
      </c>
      <c r="D974" s="4" t="s">
        <v>3078</v>
      </c>
      <c r="E974" s="4" t="s">
        <v>181</v>
      </c>
      <c r="F974" s="22">
        <v>2305120.1120000002</v>
      </c>
      <c r="G974" s="22">
        <v>585032.08200000005</v>
      </c>
      <c r="H974" s="11">
        <v>4.91</v>
      </c>
      <c r="I974" s="11">
        <v>3.82</v>
      </c>
      <c r="J974" s="6">
        <f t="shared" si="15"/>
        <v>1.0900000000000003</v>
      </c>
      <c r="K974" s="4" t="s">
        <v>3079</v>
      </c>
      <c r="L974" s="5" t="s">
        <v>183</v>
      </c>
      <c r="M974" s="23" t="s">
        <v>184</v>
      </c>
    </row>
    <row r="975" spans="2:13" ht="16" x14ac:dyDescent="0.3">
      <c r="B975" s="4">
        <v>969</v>
      </c>
      <c r="C975" s="4" t="s">
        <v>3080</v>
      </c>
      <c r="D975" s="4" t="s">
        <v>3081</v>
      </c>
      <c r="E975" s="4" t="s">
        <v>181</v>
      </c>
      <c r="F975" s="22">
        <v>2305106.071</v>
      </c>
      <c r="G975" s="22">
        <v>585041.49199999997</v>
      </c>
      <c r="H975" s="11">
        <v>4.91</v>
      </c>
      <c r="I975" s="11">
        <v>3.77</v>
      </c>
      <c r="J975" s="6">
        <f t="shared" si="15"/>
        <v>1.1400000000000001</v>
      </c>
      <c r="K975" s="4" t="s">
        <v>3082</v>
      </c>
      <c r="L975" s="5" t="s">
        <v>183</v>
      </c>
      <c r="M975" s="23" t="s">
        <v>184</v>
      </c>
    </row>
    <row r="976" spans="2:13" ht="16" x14ac:dyDescent="0.3">
      <c r="B976" s="4">
        <v>970</v>
      </c>
      <c r="C976" s="4" t="s">
        <v>3083</v>
      </c>
      <c r="D976" s="4" t="s">
        <v>3084</v>
      </c>
      <c r="E976" s="4" t="s">
        <v>181</v>
      </c>
      <c r="F976" s="22">
        <v>2305111.1719999998</v>
      </c>
      <c r="G976" s="22">
        <v>585060.93299999996</v>
      </c>
      <c r="H976" s="11">
        <v>4.97</v>
      </c>
      <c r="I976" s="11">
        <v>3.69</v>
      </c>
      <c r="J976" s="6">
        <f t="shared" si="15"/>
        <v>1.2799999999999998</v>
      </c>
      <c r="K976" s="4" t="s">
        <v>3085</v>
      </c>
      <c r="L976" s="5" t="s">
        <v>183</v>
      </c>
      <c r="M976" s="23" t="s">
        <v>184</v>
      </c>
    </row>
    <row r="977" spans="2:13" ht="16" x14ac:dyDescent="0.3">
      <c r="B977" s="4">
        <v>971</v>
      </c>
      <c r="C977" s="4" t="s">
        <v>3086</v>
      </c>
      <c r="D977" s="4" t="s">
        <v>3087</v>
      </c>
      <c r="E977" s="4" t="s">
        <v>181</v>
      </c>
      <c r="F977" s="22">
        <v>2305131.6860000002</v>
      </c>
      <c r="G977" s="22">
        <v>585083.26</v>
      </c>
      <c r="H977" s="11">
        <v>5.07</v>
      </c>
      <c r="I977" s="11">
        <v>3.59</v>
      </c>
      <c r="J977" s="6">
        <f t="shared" si="15"/>
        <v>1.4800000000000004</v>
      </c>
      <c r="K977" s="4" t="s">
        <v>3088</v>
      </c>
      <c r="L977" s="5" t="s">
        <v>183</v>
      </c>
      <c r="M977" s="23" t="s">
        <v>184</v>
      </c>
    </row>
    <row r="978" spans="2:13" ht="16" x14ac:dyDescent="0.3">
      <c r="B978" s="4">
        <v>972</v>
      </c>
      <c r="C978" s="4" t="s">
        <v>3089</v>
      </c>
      <c r="D978" s="4" t="s">
        <v>3090</v>
      </c>
      <c r="E978" s="4" t="s">
        <v>181</v>
      </c>
      <c r="F978" s="22">
        <v>2305049.9240000001</v>
      </c>
      <c r="G978" s="22">
        <v>585079.09</v>
      </c>
      <c r="H978" s="11">
        <v>4.91</v>
      </c>
      <c r="I978" s="11">
        <v>3.97</v>
      </c>
      <c r="J978" s="6">
        <f t="shared" si="15"/>
        <v>0.94</v>
      </c>
      <c r="K978" s="4" t="s">
        <v>3091</v>
      </c>
      <c r="L978" s="5" t="s">
        <v>183</v>
      </c>
      <c r="M978" s="23" t="s">
        <v>184</v>
      </c>
    </row>
    <row r="979" spans="2:13" ht="16" x14ac:dyDescent="0.3">
      <c r="B979" s="4">
        <v>973</v>
      </c>
      <c r="C979" s="4" t="s">
        <v>3092</v>
      </c>
      <c r="D979" s="4" t="s">
        <v>3093</v>
      </c>
      <c r="E979" s="4" t="s">
        <v>181</v>
      </c>
      <c r="F979" s="22">
        <v>2305027.4989999998</v>
      </c>
      <c r="G979" s="22">
        <v>585094.12800000003</v>
      </c>
      <c r="H979" s="11">
        <v>4.91</v>
      </c>
      <c r="I979" s="11">
        <v>3.88</v>
      </c>
      <c r="J979" s="6">
        <f t="shared" si="15"/>
        <v>1.0300000000000002</v>
      </c>
      <c r="K979" s="4" t="s">
        <v>3094</v>
      </c>
      <c r="L979" s="5" t="s">
        <v>183</v>
      </c>
      <c r="M979" s="23" t="s">
        <v>184</v>
      </c>
    </row>
    <row r="980" spans="2:13" ht="16" x14ac:dyDescent="0.3">
      <c r="B980" s="4">
        <v>974</v>
      </c>
      <c r="C980" s="4" t="s">
        <v>3095</v>
      </c>
      <c r="D980" s="4" t="s">
        <v>3096</v>
      </c>
      <c r="E980" s="4" t="s">
        <v>181</v>
      </c>
      <c r="F980" s="22">
        <v>2305012.5490000001</v>
      </c>
      <c r="G980" s="22">
        <v>585104.152</v>
      </c>
      <c r="H980" s="11">
        <v>4.91</v>
      </c>
      <c r="I980" s="11">
        <v>3.82</v>
      </c>
      <c r="J980" s="6">
        <f t="shared" si="15"/>
        <v>1.0900000000000003</v>
      </c>
      <c r="K980" s="4" t="s">
        <v>3097</v>
      </c>
      <c r="L980" s="5" t="s">
        <v>183</v>
      </c>
      <c r="M980" s="23" t="s">
        <v>184</v>
      </c>
    </row>
    <row r="981" spans="2:13" ht="16" x14ac:dyDescent="0.3">
      <c r="B981" s="4">
        <v>975</v>
      </c>
      <c r="C981" s="4" t="s">
        <v>3098</v>
      </c>
      <c r="D981" s="4" t="s">
        <v>3099</v>
      </c>
      <c r="E981" s="4" t="s">
        <v>181</v>
      </c>
      <c r="F981" s="22">
        <v>2304998.5010000002</v>
      </c>
      <c r="G981" s="22">
        <v>585113.57299999997</v>
      </c>
      <c r="H981" s="11">
        <v>4.91</v>
      </c>
      <c r="I981" s="11">
        <v>3.77</v>
      </c>
      <c r="J981" s="6">
        <f t="shared" si="15"/>
        <v>1.1400000000000001</v>
      </c>
      <c r="K981" s="4" t="s">
        <v>3100</v>
      </c>
      <c r="L981" s="5" t="s">
        <v>183</v>
      </c>
      <c r="M981" s="23" t="s">
        <v>184</v>
      </c>
    </row>
    <row r="982" spans="2:13" ht="16" x14ac:dyDescent="0.3">
      <c r="B982" s="4">
        <v>976</v>
      </c>
      <c r="C982" s="4" t="s">
        <v>3101</v>
      </c>
      <c r="D982" s="4" t="s">
        <v>3102</v>
      </c>
      <c r="E982" s="4" t="s">
        <v>181</v>
      </c>
      <c r="F982" s="22">
        <v>2305003.6239999998</v>
      </c>
      <c r="G982" s="22">
        <v>585132.99199999997</v>
      </c>
      <c r="H982" s="11">
        <v>4.91</v>
      </c>
      <c r="I982" s="11">
        <v>3.69</v>
      </c>
      <c r="J982" s="6">
        <f t="shared" si="15"/>
        <v>1.2200000000000002</v>
      </c>
      <c r="K982" s="4" t="s">
        <v>3103</v>
      </c>
      <c r="L982" s="5" t="s">
        <v>183</v>
      </c>
      <c r="M982" s="23" t="s">
        <v>184</v>
      </c>
    </row>
    <row r="983" spans="2:13" ht="16" x14ac:dyDescent="0.3">
      <c r="B983" s="4">
        <v>977</v>
      </c>
      <c r="C983" s="4" t="s">
        <v>3104</v>
      </c>
      <c r="D983" s="4" t="s">
        <v>3105</v>
      </c>
      <c r="E983" s="4" t="s">
        <v>181</v>
      </c>
      <c r="F983" s="22">
        <v>2305343.9389999998</v>
      </c>
      <c r="G983" s="22">
        <v>585430.46400000004</v>
      </c>
      <c r="H983" s="11">
        <v>5.27</v>
      </c>
      <c r="I983" s="11">
        <v>3.66</v>
      </c>
      <c r="J983" s="6">
        <f t="shared" si="15"/>
        <v>1.6099999999999994</v>
      </c>
      <c r="K983" s="4" t="s">
        <v>3106</v>
      </c>
      <c r="L983" s="5" t="s">
        <v>254</v>
      </c>
      <c r="M983" s="23" t="s">
        <v>184</v>
      </c>
    </row>
    <row r="984" spans="2:13" ht="16" x14ac:dyDescent="0.3">
      <c r="B984" s="4">
        <v>978</v>
      </c>
      <c r="C984" s="4" t="s">
        <v>3107</v>
      </c>
      <c r="D984" s="4" t="s">
        <v>3108</v>
      </c>
      <c r="E984" s="4" t="s">
        <v>181</v>
      </c>
      <c r="F984" s="22">
        <v>2305018.1830000002</v>
      </c>
      <c r="G984" s="22">
        <v>585762.58499999996</v>
      </c>
      <c r="H984" s="11">
        <v>5.17</v>
      </c>
      <c r="I984" s="11">
        <v>3.53</v>
      </c>
      <c r="J984" s="6">
        <f t="shared" si="15"/>
        <v>1.6400000000000001</v>
      </c>
      <c r="K984" s="4" t="s">
        <v>3109</v>
      </c>
      <c r="L984" s="5" t="s">
        <v>254</v>
      </c>
      <c r="M984" s="23" t="s">
        <v>184</v>
      </c>
    </row>
    <row r="985" spans="2:13" ht="16" x14ac:dyDescent="0.3">
      <c r="B985" s="4">
        <v>979</v>
      </c>
      <c r="C985" s="4" t="s">
        <v>3110</v>
      </c>
      <c r="D985" s="4" t="s">
        <v>3111</v>
      </c>
      <c r="E985" s="4" t="s">
        <v>181</v>
      </c>
      <c r="F985" s="22">
        <v>2304924.8730000001</v>
      </c>
      <c r="G985" s="22">
        <v>585811.91200000001</v>
      </c>
      <c r="H985" s="11">
        <v>5.17</v>
      </c>
      <c r="I985" s="11">
        <v>4.32</v>
      </c>
      <c r="J985" s="6">
        <f t="shared" si="15"/>
        <v>0.84999999999999964</v>
      </c>
      <c r="K985" s="4" t="s">
        <v>3112</v>
      </c>
      <c r="L985" s="5" t="s">
        <v>183</v>
      </c>
      <c r="M985" s="23" t="s">
        <v>184</v>
      </c>
    </row>
    <row r="986" spans="2:13" ht="16" x14ac:dyDescent="0.3">
      <c r="B986" s="4">
        <v>980</v>
      </c>
      <c r="C986" s="4" t="s">
        <v>3113</v>
      </c>
      <c r="D986" s="4" t="s">
        <v>3114</v>
      </c>
      <c r="E986" s="4" t="s">
        <v>181</v>
      </c>
      <c r="F986" s="22">
        <v>2304945.6370000001</v>
      </c>
      <c r="G986" s="22">
        <v>585797.98800000001</v>
      </c>
      <c r="H986" s="11">
        <v>5.17</v>
      </c>
      <c r="I986" s="11">
        <v>4.24</v>
      </c>
      <c r="J986" s="6">
        <f t="shared" si="15"/>
        <v>0.92999999999999972</v>
      </c>
      <c r="K986" s="4" t="s">
        <v>3115</v>
      </c>
      <c r="L986" s="5" t="s">
        <v>183</v>
      </c>
      <c r="M986" s="23" t="s">
        <v>184</v>
      </c>
    </row>
    <row r="987" spans="2:13" ht="16" x14ac:dyDescent="0.3">
      <c r="B987" s="4">
        <v>981</v>
      </c>
      <c r="C987" s="4" t="s">
        <v>3116</v>
      </c>
      <c r="D987" s="4" t="s">
        <v>3117</v>
      </c>
      <c r="E987" s="4" t="s">
        <v>181</v>
      </c>
      <c r="F987" s="22">
        <v>2304967.2310000001</v>
      </c>
      <c r="G987" s="22">
        <v>585783.50800000003</v>
      </c>
      <c r="H987" s="11">
        <v>5.17</v>
      </c>
      <c r="I987" s="11">
        <v>4.1500000000000004</v>
      </c>
      <c r="J987" s="6">
        <f t="shared" si="15"/>
        <v>1.0199999999999996</v>
      </c>
      <c r="K987" s="4" t="s">
        <v>3118</v>
      </c>
      <c r="L987" s="5" t="s">
        <v>183</v>
      </c>
      <c r="M987" s="23" t="s">
        <v>184</v>
      </c>
    </row>
    <row r="988" spans="2:13" ht="16" x14ac:dyDescent="0.3">
      <c r="B988" s="4">
        <v>982</v>
      </c>
      <c r="C988" s="4" t="s">
        <v>3119</v>
      </c>
      <c r="D988" s="4" t="s">
        <v>3120</v>
      </c>
      <c r="E988" s="4" t="s">
        <v>181</v>
      </c>
      <c r="F988" s="22">
        <v>2304988.818</v>
      </c>
      <c r="G988" s="22">
        <v>585769.01599999995</v>
      </c>
      <c r="H988" s="11">
        <v>5.17</v>
      </c>
      <c r="I988" s="11">
        <v>4.07</v>
      </c>
      <c r="J988" s="6">
        <f t="shared" si="15"/>
        <v>1.0999999999999996</v>
      </c>
      <c r="K988" s="4" t="s">
        <v>3121</v>
      </c>
      <c r="L988" s="5" t="s">
        <v>183</v>
      </c>
      <c r="M988" s="23" t="s">
        <v>184</v>
      </c>
    </row>
    <row r="989" spans="2:13" ht="16" x14ac:dyDescent="0.3">
      <c r="B989" s="4">
        <v>983</v>
      </c>
      <c r="C989" s="4" t="s">
        <v>3122</v>
      </c>
      <c r="D989" s="4" t="s">
        <v>315</v>
      </c>
      <c r="E989" s="4" t="s">
        <v>181</v>
      </c>
      <c r="F989" s="22">
        <v>2305392.2209999999</v>
      </c>
      <c r="G989" s="22">
        <v>585225.21</v>
      </c>
      <c r="H989" s="11">
        <v>5.21</v>
      </c>
      <c r="I989" s="11">
        <v>2.78</v>
      </c>
      <c r="J989" s="6">
        <f t="shared" si="15"/>
        <v>2.4300000000000002</v>
      </c>
      <c r="K989" s="4" t="s">
        <v>3123</v>
      </c>
      <c r="L989" s="5" t="s">
        <v>254</v>
      </c>
      <c r="M989" s="23" t="s">
        <v>184</v>
      </c>
    </row>
    <row r="990" spans="2:13" ht="16" x14ac:dyDescent="0.3">
      <c r="B990" s="4">
        <v>984</v>
      </c>
      <c r="C990" s="4" t="s">
        <v>3124</v>
      </c>
      <c r="D990" s="4" t="s">
        <v>1412</v>
      </c>
      <c r="E990" s="4" t="s">
        <v>181</v>
      </c>
      <c r="F990" s="22">
        <v>2305620.1519999998</v>
      </c>
      <c r="G990" s="22">
        <v>585564.81099999999</v>
      </c>
      <c r="H990" s="11">
        <v>5.17</v>
      </c>
      <c r="I990" s="11">
        <v>3.92</v>
      </c>
      <c r="J990" s="6">
        <f t="shared" si="15"/>
        <v>1.25</v>
      </c>
      <c r="K990" s="4" t="s">
        <v>3125</v>
      </c>
      <c r="L990" s="5" t="s">
        <v>183</v>
      </c>
      <c r="M990" s="23" t="s">
        <v>184</v>
      </c>
    </row>
    <row r="991" spans="2:13" ht="16" x14ac:dyDescent="0.3">
      <c r="B991" s="4">
        <v>985</v>
      </c>
      <c r="C991" s="4" t="s">
        <v>3126</v>
      </c>
      <c r="D991" s="4" t="s">
        <v>3127</v>
      </c>
      <c r="E991" s="4" t="s">
        <v>181</v>
      </c>
      <c r="F991" s="22">
        <v>2305372.8190000001</v>
      </c>
      <c r="G991" s="22">
        <v>585251.21</v>
      </c>
      <c r="H991" s="11">
        <v>5.31</v>
      </c>
      <c r="I991" s="11">
        <v>1.88</v>
      </c>
      <c r="J991" s="6">
        <f t="shared" si="15"/>
        <v>3.4299999999999997</v>
      </c>
      <c r="K991" s="4" t="s">
        <v>3128</v>
      </c>
      <c r="L991" s="5" t="s">
        <v>300</v>
      </c>
      <c r="M991" s="23" t="s">
        <v>184</v>
      </c>
    </row>
    <row r="992" spans="2:13" ht="16" x14ac:dyDescent="0.3">
      <c r="B992" s="4">
        <v>986</v>
      </c>
      <c r="C992" s="4" t="s">
        <v>3129</v>
      </c>
      <c r="D992" s="4" t="s">
        <v>3130</v>
      </c>
      <c r="E992" s="4" t="s">
        <v>181</v>
      </c>
      <c r="F992" s="22">
        <v>2305364.943</v>
      </c>
      <c r="G992" s="22">
        <v>585256.47</v>
      </c>
      <c r="H992" s="11">
        <v>5.31</v>
      </c>
      <c r="I992" s="11">
        <v>1.87</v>
      </c>
      <c r="J992" s="6">
        <f t="shared" si="15"/>
        <v>3.4399999999999995</v>
      </c>
      <c r="K992" s="4" t="s">
        <v>3131</v>
      </c>
      <c r="L992" s="5" t="s">
        <v>300</v>
      </c>
      <c r="M992" s="23" t="s">
        <v>184</v>
      </c>
    </row>
    <row r="993" spans="2:13" ht="16" x14ac:dyDescent="0.3">
      <c r="B993" s="4">
        <v>987</v>
      </c>
      <c r="C993" s="4" t="s">
        <v>3132</v>
      </c>
      <c r="D993" s="4" t="s">
        <v>3133</v>
      </c>
      <c r="E993" s="4" t="s">
        <v>181</v>
      </c>
      <c r="F993" s="22">
        <v>2305353.4870000002</v>
      </c>
      <c r="G993" s="22">
        <v>585268.74399999995</v>
      </c>
      <c r="H993" s="11">
        <v>5.27</v>
      </c>
      <c r="I993" s="11">
        <v>1.84</v>
      </c>
      <c r="J993" s="6">
        <f t="shared" si="15"/>
        <v>3.4299999999999997</v>
      </c>
      <c r="K993" s="4" t="s">
        <v>3134</v>
      </c>
      <c r="L993" s="5" t="s">
        <v>300</v>
      </c>
      <c r="M993" s="23" t="s">
        <v>184</v>
      </c>
    </row>
    <row r="994" spans="2:13" ht="16" x14ac:dyDescent="0.3">
      <c r="B994" s="4">
        <v>988</v>
      </c>
      <c r="C994" s="4" t="s">
        <v>3135</v>
      </c>
      <c r="D994" s="4" t="s">
        <v>3136</v>
      </c>
      <c r="E994" s="4" t="s">
        <v>181</v>
      </c>
      <c r="F994" s="22">
        <v>2305272.1340000001</v>
      </c>
      <c r="G994" s="22">
        <v>585323.38600000006</v>
      </c>
      <c r="H994" s="11">
        <v>5.27</v>
      </c>
      <c r="I994" s="11">
        <v>1.7</v>
      </c>
      <c r="J994" s="6">
        <f t="shared" si="15"/>
        <v>3.5699999999999994</v>
      </c>
      <c r="K994" s="4" t="s">
        <v>3137</v>
      </c>
      <c r="L994" s="5" t="s">
        <v>300</v>
      </c>
      <c r="M994" s="24" t="s">
        <v>304</v>
      </c>
    </row>
    <row r="995" spans="2:13" ht="16" x14ac:dyDescent="0.3">
      <c r="B995" s="4">
        <v>989</v>
      </c>
      <c r="C995" s="4" t="s">
        <v>3138</v>
      </c>
      <c r="D995" s="4" t="s">
        <v>3139</v>
      </c>
      <c r="E995" s="4" t="s">
        <v>181</v>
      </c>
      <c r="F995" s="22">
        <v>2305312.983</v>
      </c>
      <c r="G995" s="22">
        <v>585296.09100000001</v>
      </c>
      <c r="H995" s="11">
        <v>5.27</v>
      </c>
      <c r="I995" s="11">
        <v>1.77</v>
      </c>
      <c r="J995" s="6">
        <f t="shared" si="15"/>
        <v>3.4999999999999996</v>
      </c>
      <c r="K995" s="4" t="s">
        <v>3140</v>
      </c>
      <c r="L995" s="5" t="s">
        <v>300</v>
      </c>
      <c r="M995" s="23" t="s">
        <v>184</v>
      </c>
    </row>
    <row r="996" spans="2:13" ht="16" x14ac:dyDescent="0.3">
      <c r="B996" s="4">
        <v>990</v>
      </c>
      <c r="C996" s="4" t="s">
        <v>3141</v>
      </c>
      <c r="D996" s="4" t="s">
        <v>3142</v>
      </c>
      <c r="E996" s="4" t="s">
        <v>181</v>
      </c>
      <c r="F996" s="22">
        <v>2305231.2999999998</v>
      </c>
      <c r="G996" s="22">
        <v>585350.66899999999</v>
      </c>
      <c r="H996" s="11">
        <v>5.27</v>
      </c>
      <c r="I996" s="11">
        <v>1.63</v>
      </c>
      <c r="J996" s="6">
        <f t="shared" si="15"/>
        <v>3.6399999999999997</v>
      </c>
      <c r="K996" s="4" t="s">
        <v>3143</v>
      </c>
      <c r="L996" s="5" t="s">
        <v>300</v>
      </c>
      <c r="M996" s="24" t="s">
        <v>304</v>
      </c>
    </row>
  </sheetData>
  <mergeCells count="2">
    <mergeCell ref="B2:L2"/>
    <mergeCell ref="B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973"/>
  <sheetViews>
    <sheetView workbookViewId="0">
      <selection activeCell="L17" sqref="L17"/>
    </sheetView>
  </sheetViews>
  <sheetFormatPr defaultRowHeight="14" x14ac:dyDescent="0.3"/>
  <cols>
    <col min="1" max="1" width="3" customWidth="1"/>
    <col min="2" max="2" width="6" customWidth="1"/>
    <col min="3" max="3" width="12" customWidth="1"/>
    <col min="4" max="4" width="28" customWidth="1"/>
    <col min="5" max="5" width="12" customWidth="1"/>
    <col min="6" max="6" width="26" customWidth="1"/>
    <col min="7" max="8" width="14" customWidth="1"/>
    <col min="9" max="12" width="20" customWidth="1"/>
    <col min="13" max="13" width="16" customWidth="1"/>
    <col min="14" max="17" width="14" customWidth="1"/>
    <col min="18" max="18" width="16" customWidth="1"/>
  </cols>
  <sheetData>
    <row r="2" spans="2:18" ht="20" x14ac:dyDescent="0.55000000000000004">
      <c r="B2" s="28" t="s">
        <v>3144</v>
      </c>
      <c r="C2" s="27"/>
      <c r="D2" s="27"/>
      <c r="E2" s="27"/>
      <c r="F2" t="s">
        <v>3145</v>
      </c>
      <c r="G2" s="25">
        <f>SUMIFS(M7:M973, D7:D973, "*qua đường*", E7:E973, 300)</f>
        <v>1601.1229999999991</v>
      </c>
    </row>
    <row r="3" spans="2:18" ht="16" x14ac:dyDescent="0.45">
      <c r="B3" s="26" t="s">
        <v>3146</v>
      </c>
      <c r="C3" s="27"/>
      <c r="D3" s="27"/>
      <c r="E3" s="27"/>
      <c r="F3" t="s">
        <v>3147</v>
      </c>
      <c r="G3" s="25">
        <f>SUMIFS(M7:M973, E7:E973, 800)</f>
        <v>175.70100000000002</v>
      </c>
    </row>
    <row r="4" spans="2:18" ht="16" x14ac:dyDescent="0.45">
      <c r="F4" t="s">
        <v>3148</v>
      </c>
      <c r="G4" s="25">
        <f>SUMIFS(M7:M973, D7:D973, "*vỉa hè*")</f>
        <v>20240.076999999914</v>
      </c>
    </row>
    <row r="6" spans="2:18" ht="28" customHeight="1" x14ac:dyDescent="0.3">
      <c r="B6" s="1" t="s">
        <v>3</v>
      </c>
      <c r="C6" s="1" t="s">
        <v>165</v>
      </c>
      <c r="D6" s="1" t="s">
        <v>3149</v>
      </c>
      <c r="E6" s="1" t="s">
        <v>3150</v>
      </c>
      <c r="F6" s="1" t="s">
        <v>3151</v>
      </c>
      <c r="G6" s="1" t="s">
        <v>3152</v>
      </c>
      <c r="H6" s="1" t="s">
        <v>3153</v>
      </c>
      <c r="I6" s="1" t="s">
        <v>3154</v>
      </c>
      <c r="J6" s="1" t="s">
        <v>3155</v>
      </c>
      <c r="K6" s="1" t="s">
        <v>3156</v>
      </c>
      <c r="L6" s="1" t="s">
        <v>3157</v>
      </c>
      <c r="M6" s="1" t="s">
        <v>3158</v>
      </c>
      <c r="N6" s="1" t="s">
        <v>3159</v>
      </c>
      <c r="O6" s="1" t="s">
        <v>3160</v>
      </c>
      <c r="P6" s="1" t="s">
        <v>3161</v>
      </c>
      <c r="Q6" s="1" t="s">
        <v>3162</v>
      </c>
      <c r="R6" s="1" t="s">
        <v>3163</v>
      </c>
    </row>
    <row r="7" spans="2:18" ht="16" x14ac:dyDescent="0.3">
      <c r="B7" s="4">
        <v>1</v>
      </c>
      <c r="C7" s="4" t="s">
        <v>3164</v>
      </c>
      <c r="D7" s="5" t="s">
        <v>3165</v>
      </c>
      <c r="E7" s="4">
        <v>800</v>
      </c>
      <c r="F7" s="5" t="s">
        <v>3166</v>
      </c>
      <c r="G7" s="4" t="s">
        <v>1211</v>
      </c>
      <c r="H7" s="4" t="s">
        <v>3167</v>
      </c>
      <c r="I7" s="22">
        <v>2305511.5980000002</v>
      </c>
      <c r="J7" s="22">
        <v>585155.03200000001</v>
      </c>
      <c r="K7" s="22">
        <v>2305539.355</v>
      </c>
      <c r="L7" s="22">
        <v>585136.55500000005</v>
      </c>
      <c r="M7" s="6">
        <v>33.344000000000001</v>
      </c>
      <c r="N7" s="11">
        <v>2.13</v>
      </c>
      <c r="O7" s="11"/>
      <c r="P7" s="11">
        <f t="shared" ref="P7:P70" si="0">IF(AND(ISNUMBER(N7),ISNUMBER(O7)),ABS(N7-O7),0)</f>
        <v>0</v>
      </c>
      <c r="Q7" s="11">
        <f t="shared" ref="Q7:Q70" si="1">IF(M7&gt;0,ROUND(P7/M7*100,3),0)</f>
        <v>0</v>
      </c>
      <c r="R7" s="11">
        <v>2.415</v>
      </c>
    </row>
    <row r="8" spans="2:18" ht="16" x14ac:dyDescent="0.3">
      <c r="B8" s="4">
        <v>2</v>
      </c>
      <c r="C8" s="4" t="s">
        <v>3168</v>
      </c>
      <c r="D8" s="5" t="s">
        <v>3165</v>
      </c>
      <c r="E8" s="4">
        <v>800</v>
      </c>
      <c r="F8" s="5" t="s">
        <v>3166</v>
      </c>
      <c r="G8" s="4" t="s">
        <v>321</v>
      </c>
      <c r="H8" s="4" t="s">
        <v>318</v>
      </c>
      <c r="I8" s="22">
        <v>2305382.8569999998</v>
      </c>
      <c r="J8" s="22">
        <v>585252.28300000005</v>
      </c>
      <c r="K8" s="22">
        <v>2305390.7069999999</v>
      </c>
      <c r="L8" s="22">
        <v>585235.70799999998</v>
      </c>
      <c r="M8" s="6">
        <v>18.341000000000001</v>
      </c>
      <c r="N8" s="11">
        <v>1.89</v>
      </c>
      <c r="O8" s="11">
        <v>1.92</v>
      </c>
      <c r="P8" s="11">
        <f t="shared" si="0"/>
        <v>3.0000000000000027E-2</v>
      </c>
      <c r="Q8" s="11">
        <f t="shared" si="1"/>
        <v>0.16400000000000001</v>
      </c>
      <c r="R8" s="11">
        <v>3.4049999999999998</v>
      </c>
    </row>
    <row r="9" spans="2:18" ht="16" x14ac:dyDescent="0.3">
      <c r="B9" s="4">
        <v>3</v>
      </c>
      <c r="C9" s="4" t="s">
        <v>3169</v>
      </c>
      <c r="D9" s="5" t="s">
        <v>3165</v>
      </c>
      <c r="E9" s="4">
        <v>800</v>
      </c>
      <c r="F9" s="5" t="s">
        <v>3166</v>
      </c>
      <c r="G9" s="4" t="s">
        <v>1960</v>
      </c>
      <c r="H9" s="4" t="s">
        <v>324</v>
      </c>
      <c r="I9" s="22">
        <v>2305354.2450000001</v>
      </c>
      <c r="J9" s="22">
        <v>585268.88800000004</v>
      </c>
      <c r="K9" s="22">
        <v>2305362.3459999999</v>
      </c>
      <c r="L9" s="22">
        <v>585263.44499999995</v>
      </c>
      <c r="M9" s="6">
        <v>9.76</v>
      </c>
      <c r="N9" s="11">
        <v>1.85</v>
      </c>
      <c r="O9" s="11">
        <v>1.86</v>
      </c>
      <c r="P9" s="11">
        <f t="shared" si="0"/>
        <v>1.0000000000000009E-2</v>
      </c>
      <c r="Q9" s="11">
        <f t="shared" si="1"/>
        <v>0.10199999999999999</v>
      </c>
      <c r="R9" s="11">
        <v>3.415</v>
      </c>
    </row>
    <row r="10" spans="2:18" ht="16" x14ac:dyDescent="0.3">
      <c r="B10" s="4">
        <v>4</v>
      </c>
      <c r="C10" s="4" t="s">
        <v>3170</v>
      </c>
      <c r="D10" s="5" t="s">
        <v>3165</v>
      </c>
      <c r="E10" s="4">
        <v>800</v>
      </c>
      <c r="F10" s="5" t="s">
        <v>3166</v>
      </c>
      <c r="G10" s="4" t="s">
        <v>1981</v>
      </c>
      <c r="H10" s="4" t="s">
        <v>330</v>
      </c>
      <c r="I10" s="22">
        <v>2305313.3569999998</v>
      </c>
      <c r="J10" s="22">
        <v>585296.44999999995</v>
      </c>
      <c r="K10" s="22">
        <v>2305321.821</v>
      </c>
      <c r="L10" s="22">
        <v>585290.70299999998</v>
      </c>
      <c r="M10" s="6">
        <v>10.231</v>
      </c>
      <c r="N10" s="11">
        <v>1.78</v>
      </c>
      <c r="O10" s="11">
        <v>1.79</v>
      </c>
      <c r="P10" s="11">
        <f t="shared" si="0"/>
        <v>1.0000000000000009E-2</v>
      </c>
      <c r="Q10" s="11">
        <f t="shared" si="1"/>
        <v>9.8000000000000004E-2</v>
      </c>
      <c r="R10" s="11">
        <v>3.4849999999999999</v>
      </c>
    </row>
    <row r="11" spans="2:18" ht="16" x14ac:dyDescent="0.3">
      <c r="B11" s="4">
        <v>5</v>
      </c>
      <c r="C11" s="4" t="s">
        <v>3171</v>
      </c>
      <c r="D11" s="5" t="s">
        <v>3165</v>
      </c>
      <c r="E11" s="4">
        <v>800</v>
      </c>
      <c r="F11" s="5" t="s">
        <v>3166</v>
      </c>
      <c r="G11" s="4" t="s">
        <v>2002</v>
      </c>
      <c r="H11" s="4" t="s">
        <v>336</v>
      </c>
      <c r="I11" s="22">
        <v>2305272.9010000001</v>
      </c>
      <c r="J11" s="22">
        <v>585323.522</v>
      </c>
      <c r="K11" s="22">
        <v>2305281.094</v>
      </c>
      <c r="L11" s="22">
        <v>585318.02800000005</v>
      </c>
      <c r="M11" s="6">
        <v>9.8650000000000002</v>
      </c>
      <c r="N11" s="11">
        <v>1.71</v>
      </c>
      <c r="O11" s="11">
        <v>1.72</v>
      </c>
      <c r="P11" s="11">
        <f t="shared" si="0"/>
        <v>1.0000000000000009E-2</v>
      </c>
      <c r="Q11" s="11">
        <f t="shared" si="1"/>
        <v>0.10100000000000001</v>
      </c>
      <c r="R11" s="11">
        <v>3.5550000000000002</v>
      </c>
    </row>
    <row r="12" spans="2:18" ht="16" x14ac:dyDescent="0.3">
      <c r="B12" s="4">
        <v>6</v>
      </c>
      <c r="C12" s="4" t="s">
        <v>3172</v>
      </c>
      <c r="D12" s="5" t="s">
        <v>3165</v>
      </c>
      <c r="E12" s="4">
        <v>800</v>
      </c>
      <c r="F12" s="5" t="s">
        <v>3166</v>
      </c>
      <c r="G12" s="4" t="s">
        <v>2023</v>
      </c>
      <c r="H12" s="4" t="s">
        <v>342</v>
      </c>
      <c r="I12" s="22">
        <v>2305231.9789999998</v>
      </c>
      <c r="J12" s="22">
        <v>585351.022</v>
      </c>
      <c r="K12" s="22">
        <v>2305240.676</v>
      </c>
      <c r="L12" s="22">
        <v>585345.68599999999</v>
      </c>
      <c r="M12" s="6">
        <v>10.202999999999999</v>
      </c>
      <c r="N12" s="11">
        <v>1.64</v>
      </c>
      <c r="O12" s="11">
        <v>1.65</v>
      </c>
      <c r="P12" s="11">
        <f t="shared" si="0"/>
        <v>1.0000000000000009E-2</v>
      </c>
      <c r="Q12" s="11">
        <f t="shared" si="1"/>
        <v>9.8000000000000004E-2</v>
      </c>
      <c r="R12" s="11">
        <v>3.625</v>
      </c>
    </row>
    <row r="13" spans="2:18" ht="16" x14ac:dyDescent="0.3">
      <c r="B13" s="4">
        <v>7</v>
      </c>
      <c r="C13" s="4" t="s">
        <v>3173</v>
      </c>
      <c r="D13" s="5" t="s">
        <v>3165</v>
      </c>
      <c r="E13" s="4">
        <v>800</v>
      </c>
      <c r="F13" s="5" t="s">
        <v>3166</v>
      </c>
      <c r="G13" s="4" t="s">
        <v>306</v>
      </c>
      <c r="H13" s="4" t="s">
        <v>309</v>
      </c>
      <c r="I13" s="22">
        <v>2305181.0430000001</v>
      </c>
      <c r="J13" s="22">
        <v>585378.06999999995</v>
      </c>
      <c r="K13" s="22">
        <v>2305147.9019999998</v>
      </c>
      <c r="L13" s="22">
        <v>585348.31099999999</v>
      </c>
      <c r="M13" s="6">
        <v>44.540999999999997</v>
      </c>
      <c r="N13" s="11">
        <v>1.56</v>
      </c>
      <c r="O13" s="11">
        <v>1.04</v>
      </c>
      <c r="P13" s="11">
        <f t="shared" si="0"/>
        <v>0.52</v>
      </c>
      <c r="Q13" s="11">
        <f t="shared" si="1"/>
        <v>1.167</v>
      </c>
      <c r="R13" s="11">
        <v>3.9649999999999999</v>
      </c>
    </row>
    <row r="14" spans="2:18" ht="16" x14ac:dyDescent="0.3">
      <c r="B14" s="4">
        <v>8</v>
      </c>
      <c r="C14" s="4" t="s">
        <v>3174</v>
      </c>
      <c r="D14" s="5" t="s">
        <v>3165</v>
      </c>
      <c r="E14" s="4">
        <v>800</v>
      </c>
      <c r="F14" s="5" t="s">
        <v>3166</v>
      </c>
      <c r="G14" s="4" t="s">
        <v>1211</v>
      </c>
      <c r="H14" s="4" t="s">
        <v>1214</v>
      </c>
      <c r="I14" s="22">
        <v>2305510.7680000002</v>
      </c>
      <c r="J14" s="22">
        <v>585155.58900000004</v>
      </c>
      <c r="K14" s="22">
        <v>2305490.3739999998</v>
      </c>
      <c r="L14" s="22">
        <v>585159.43599999999</v>
      </c>
      <c r="M14" s="6">
        <v>20.753</v>
      </c>
      <c r="N14" s="11">
        <v>2.13</v>
      </c>
      <c r="O14" s="11">
        <v>2.09</v>
      </c>
      <c r="P14" s="11">
        <f t="shared" si="0"/>
        <v>4.0000000000000036E-2</v>
      </c>
      <c r="Q14" s="11">
        <f t="shared" si="1"/>
        <v>0.193</v>
      </c>
      <c r="R14" s="11">
        <v>3.0750000000000002</v>
      </c>
    </row>
    <row r="15" spans="2:18" ht="16" x14ac:dyDescent="0.3">
      <c r="B15" s="4">
        <v>9</v>
      </c>
      <c r="C15" s="4" t="s">
        <v>3175</v>
      </c>
      <c r="D15" s="5" t="s">
        <v>3165</v>
      </c>
      <c r="E15" s="4">
        <v>800</v>
      </c>
      <c r="F15" s="5" t="s">
        <v>3166</v>
      </c>
      <c r="G15" s="4" t="s">
        <v>306</v>
      </c>
      <c r="H15" s="4" t="s">
        <v>348</v>
      </c>
      <c r="I15" s="22">
        <v>2305181.8810000001</v>
      </c>
      <c r="J15" s="22">
        <v>585378.15300000005</v>
      </c>
      <c r="K15" s="22">
        <v>2305199.6800000002</v>
      </c>
      <c r="L15" s="22">
        <v>585372.53899999999</v>
      </c>
      <c r="M15" s="6">
        <v>18.663</v>
      </c>
      <c r="N15" s="11">
        <v>1.56</v>
      </c>
      <c r="O15" s="11">
        <v>1.59</v>
      </c>
      <c r="P15" s="11">
        <f t="shared" si="0"/>
        <v>3.0000000000000027E-2</v>
      </c>
      <c r="Q15" s="11">
        <f t="shared" si="1"/>
        <v>0.161</v>
      </c>
      <c r="R15" s="11">
        <v>3.6949999999999998</v>
      </c>
    </row>
    <row r="16" spans="2:18" ht="16" x14ac:dyDescent="0.3">
      <c r="B16" s="4">
        <v>10</v>
      </c>
      <c r="C16" s="4" t="s">
        <v>3176</v>
      </c>
      <c r="D16" s="5" t="s">
        <v>3177</v>
      </c>
      <c r="E16" s="4">
        <v>300</v>
      </c>
      <c r="F16" s="5" t="s">
        <v>3166</v>
      </c>
      <c r="G16" s="4" t="s">
        <v>594</v>
      </c>
      <c r="H16" s="4" t="s">
        <v>3105</v>
      </c>
      <c r="I16" s="22">
        <v>2305353.2799999998</v>
      </c>
      <c r="J16" s="22">
        <v>585425.12399999995</v>
      </c>
      <c r="K16" s="22">
        <v>2305345.3509999998</v>
      </c>
      <c r="L16" s="22">
        <v>585432.10900000005</v>
      </c>
      <c r="M16" s="6">
        <v>10.567</v>
      </c>
      <c r="N16" s="11">
        <v>3.69</v>
      </c>
      <c r="O16" s="11">
        <v>3.66</v>
      </c>
      <c r="P16" s="11">
        <f t="shared" si="0"/>
        <v>2.9999999999999805E-2</v>
      </c>
      <c r="Q16" s="11">
        <f t="shared" si="1"/>
        <v>0.28399999999999997</v>
      </c>
      <c r="R16" s="11">
        <v>1.595</v>
      </c>
    </row>
    <row r="17" spans="2:18" ht="16" x14ac:dyDescent="0.3">
      <c r="B17" s="4">
        <v>11</v>
      </c>
      <c r="C17" s="4" t="s">
        <v>3178</v>
      </c>
      <c r="D17" s="5" t="s">
        <v>3177</v>
      </c>
      <c r="E17" s="4">
        <v>300</v>
      </c>
      <c r="F17" s="5" t="s">
        <v>3166</v>
      </c>
      <c r="G17" s="4" t="s">
        <v>582</v>
      </c>
      <c r="H17" s="4" t="s">
        <v>1861</v>
      </c>
      <c r="I17" s="22">
        <v>2305434.7149999999</v>
      </c>
      <c r="J17" s="22">
        <v>585370.75</v>
      </c>
      <c r="K17" s="22">
        <v>2305426.878</v>
      </c>
      <c r="L17" s="22">
        <v>585377.652</v>
      </c>
      <c r="M17" s="6">
        <v>10.443</v>
      </c>
      <c r="N17" s="11">
        <v>4.04</v>
      </c>
      <c r="O17" s="11">
        <v>4</v>
      </c>
      <c r="P17" s="11">
        <f t="shared" si="0"/>
        <v>4.0000000000000036E-2</v>
      </c>
      <c r="Q17" s="11">
        <f t="shared" si="1"/>
        <v>0.38300000000000001</v>
      </c>
      <c r="R17" s="11">
        <v>1.25</v>
      </c>
    </row>
    <row r="18" spans="2:18" ht="16" x14ac:dyDescent="0.3">
      <c r="B18" s="4">
        <v>12</v>
      </c>
      <c r="C18" s="4" t="s">
        <v>3179</v>
      </c>
      <c r="D18" s="5" t="s">
        <v>3177</v>
      </c>
      <c r="E18" s="4">
        <v>300</v>
      </c>
      <c r="F18" s="5" t="s">
        <v>3166</v>
      </c>
      <c r="G18" s="4" t="s">
        <v>1691</v>
      </c>
      <c r="H18" s="4" t="s">
        <v>1694</v>
      </c>
      <c r="I18" s="22">
        <v>2305249.1370000001</v>
      </c>
      <c r="J18" s="22">
        <v>585489.09600000002</v>
      </c>
      <c r="K18" s="22">
        <v>2305232.5279999999</v>
      </c>
      <c r="L18" s="22">
        <v>585474.12600000005</v>
      </c>
      <c r="M18" s="6">
        <v>22.382000000000001</v>
      </c>
      <c r="N18" s="11">
        <v>2.76</v>
      </c>
      <c r="O18" s="11">
        <v>2.69</v>
      </c>
      <c r="P18" s="11">
        <f t="shared" si="0"/>
        <v>6.999999999999984E-2</v>
      </c>
      <c r="Q18" s="11">
        <f t="shared" si="1"/>
        <v>0.313</v>
      </c>
      <c r="R18" s="11">
        <v>2.5649999999999999</v>
      </c>
    </row>
    <row r="19" spans="2:18" ht="16" x14ac:dyDescent="0.3">
      <c r="B19" s="4">
        <v>13</v>
      </c>
      <c r="C19" s="4" t="s">
        <v>3180</v>
      </c>
      <c r="D19" s="5" t="s">
        <v>3177</v>
      </c>
      <c r="E19" s="4">
        <v>300</v>
      </c>
      <c r="F19" s="5" t="s">
        <v>3166</v>
      </c>
      <c r="G19" s="4" t="s">
        <v>3057</v>
      </c>
      <c r="H19" s="4" t="s">
        <v>357</v>
      </c>
      <c r="I19" s="22">
        <v>2305248.0499999998</v>
      </c>
      <c r="J19" s="22">
        <v>585004.80700000003</v>
      </c>
      <c r="K19" s="22">
        <v>2305242.5649999999</v>
      </c>
      <c r="L19" s="22">
        <v>584996.09299999999</v>
      </c>
      <c r="M19" s="6">
        <v>10.295999999999999</v>
      </c>
      <c r="N19" s="11">
        <v>3.73</v>
      </c>
      <c r="O19" s="11">
        <v>3.77</v>
      </c>
      <c r="P19" s="11">
        <f t="shared" si="0"/>
        <v>4.0000000000000036E-2</v>
      </c>
      <c r="Q19" s="11">
        <f t="shared" si="1"/>
        <v>0.38900000000000001</v>
      </c>
      <c r="R19" s="11">
        <v>1.32</v>
      </c>
    </row>
    <row r="20" spans="2:18" ht="16" x14ac:dyDescent="0.3">
      <c r="B20" s="4">
        <v>14</v>
      </c>
      <c r="C20" s="4" t="s">
        <v>3181</v>
      </c>
      <c r="D20" s="5" t="s">
        <v>3177</v>
      </c>
      <c r="E20" s="4">
        <v>300</v>
      </c>
      <c r="F20" s="5" t="s">
        <v>3166</v>
      </c>
      <c r="G20" s="4" t="s">
        <v>3060</v>
      </c>
      <c r="H20" s="4" t="s">
        <v>363</v>
      </c>
      <c r="I20" s="22">
        <v>2305275.5099999998</v>
      </c>
      <c r="J20" s="22">
        <v>585045.39300000004</v>
      </c>
      <c r="K20" s="22">
        <v>2305269.9920000001</v>
      </c>
      <c r="L20" s="22">
        <v>585036.68999999994</v>
      </c>
      <c r="M20" s="6">
        <v>10.304</v>
      </c>
      <c r="N20" s="11">
        <v>3.55</v>
      </c>
      <c r="O20" s="11">
        <v>3.59</v>
      </c>
      <c r="P20" s="11">
        <f t="shared" si="0"/>
        <v>4.0000000000000036E-2</v>
      </c>
      <c r="Q20" s="11">
        <f t="shared" si="1"/>
        <v>0.38800000000000001</v>
      </c>
      <c r="R20" s="11">
        <v>1.5</v>
      </c>
    </row>
    <row r="21" spans="2:18" ht="16" x14ac:dyDescent="0.3">
      <c r="B21" s="4">
        <v>15</v>
      </c>
      <c r="C21" s="4" t="s">
        <v>3182</v>
      </c>
      <c r="D21" s="5" t="s">
        <v>3177</v>
      </c>
      <c r="E21" s="4">
        <v>300</v>
      </c>
      <c r="F21" s="5" t="s">
        <v>3166</v>
      </c>
      <c r="G21" s="4" t="s">
        <v>3063</v>
      </c>
      <c r="H21" s="4" t="s">
        <v>369</v>
      </c>
      <c r="I21" s="22">
        <v>2305302.7489999998</v>
      </c>
      <c r="J21" s="22">
        <v>585086.13</v>
      </c>
      <c r="K21" s="22">
        <v>2305296.929</v>
      </c>
      <c r="L21" s="22">
        <v>585077.62399999995</v>
      </c>
      <c r="M21" s="6">
        <v>10.305999999999999</v>
      </c>
      <c r="N21" s="11">
        <v>3.37</v>
      </c>
      <c r="O21" s="11">
        <v>3.41</v>
      </c>
      <c r="P21" s="11">
        <f t="shared" si="0"/>
        <v>4.0000000000000036E-2</v>
      </c>
      <c r="Q21" s="11">
        <f t="shared" si="1"/>
        <v>0.38800000000000001</v>
      </c>
      <c r="R21" s="11">
        <v>1.68</v>
      </c>
    </row>
    <row r="22" spans="2:18" ht="16" x14ac:dyDescent="0.3">
      <c r="B22" s="4">
        <v>16</v>
      </c>
      <c r="C22" s="4" t="s">
        <v>3183</v>
      </c>
      <c r="D22" s="5" t="s">
        <v>3177</v>
      </c>
      <c r="E22" s="4">
        <v>300</v>
      </c>
      <c r="F22" s="5" t="s">
        <v>3166</v>
      </c>
      <c r="G22" s="4" t="s">
        <v>3066</v>
      </c>
      <c r="H22" s="4" t="s">
        <v>375</v>
      </c>
      <c r="I22" s="22">
        <v>2305330.0329999998</v>
      </c>
      <c r="J22" s="22">
        <v>585126.83799999999</v>
      </c>
      <c r="K22" s="22">
        <v>2305324.338</v>
      </c>
      <c r="L22" s="22">
        <v>585118.25100000005</v>
      </c>
      <c r="M22" s="6">
        <v>10.303000000000001</v>
      </c>
      <c r="N22" s="11">
        <v>3.19</v>
      </c>
      <c r="O22" s="11">
        <v>3.23</v>
      </c>
      <c r="P22" s="11">
        <f t="shared" si="0"/>
        <v>4.0000000000000036E-2</v>
      </c>
      <c r="Q22" s="11">
        <f t="shared" si="1"/>
        <v>0.38800000000000001</v>
      </c>
      <c r="R22" s="11">
        <v>1.96</v>
      </c>
    </row>
    <row r="23" spans="2:18" ht="16" x14ac:dyDescent="0.3">
      <c r="B23" s="4">
        <v>17</v>
      </c>
      <c r="C23" s="4" t="s">
        <v>3184</v>
      </c>
      <c r="D23" s="5" t="s">
        <v>3177</v>
      </c>
      <c r="E23" s="4">
        <v>300</v>
      </c>
      <c r="F23" s="5" t="s">
        <v>3166</v>
      </c>
      <c r="G23" s="4" t="s">
        <v>3069</v>
      </c>
      <c r="H23" s="4" t="s">
        <v>381</v>
      </c>
      <c r="I23" s="22">
        <v>2305354.727</v>
      </c>
      <c r="J23" s="22">
        <v>585169.26300000004</v>
      </c>
      <c r="K23" s="22">
        <v>2305349.2409999999</v>
      </c>
      <c r="L23" s="22">
        <v>585160.53899999999</v>
      </c>
      <c r="M23" s="6">
        <v>10.305</v>
      </c>
      <c r="N23" s="11">
        <v>3.02</v>
      </c>
      <c r="O23" s="11">
        <v>3.05</v>
      </c>
      <c r="P23" s="11">
        <f t="shared" si="0"/>
        <v>2.9999999999999805E-2</v>
      </c>
      <c r="Q23" s="11">
        <f t="shared" si="1"/>
        <v>0.29099999999999998</v>
      </c>
      <c r="R23" s="11">
        <v>2.1349999999999998</v>
      </c>
    </row>
    <row r="24" spans="2:18" ht="16" x14ac:dyDescent="0.3">
      <c r="B24" s="4">
        <v>18</v>
      </c>
      <c r="C24" s="4" t="s">
        <v>3185</v>
      </c>
      <c r="D24" s="5" t="s">
        <v>3177</v>
      </c>
      <c r="E24" s="4">
        <v>300</v>
      </c>
      <c r="F24" s="5" t="s">
        <v>3166</v>
      </c>
      <c r="G24" s="4" t="s">
        <v>552</v>
      </c>
      <c r="H24" s="4" t="s">
        <v>555</v>
      </c>
      <c r="I24" s="22">
        <v>2305415.0780000002</v>
      </c>
      <c r="J24" s="22">
        <v>585257.62199999997</v>
      </c>
      <c r="K24" s="22">
        <v>2305409.503</v>
      </c>
      <c r="L24" s="22">
        <v>585248.95900000003</v>
      </c>
      <c r="M24" s="6">
        <v>10.302</v>
      </c>
      <c r="N24" s="11">
        <v>2.7</v>
      </c>
      <c r="O24" s="11">
        <v>2.67</v>
      </c>
      <c r="P24" s="11">
        <f t="shared" si="0"/>
        <v>3.0000000000000249E-2</v>
      </c>
      <c r="Q24" s="11">
        <f t="shared" si="1"/>
        <v>0.29099999999999998</v>
      </c>
      <c r="R24" s="11">
        <v>2.4849999999999999</v>
      </c>
    </row>
    <row r="25" spans="2:18" ht="16" x14ac:dyDescent="0.3">
      <c r="B25" s="4">
        <v>19</v>
      </c>
      <c r="C25" s="4" t="s">
        <v>3186</v>
      </c>
      <c r="D25" s="5" t="s">
        <v>3177</v>
      </c>
      <c r="E25" s="4">
        <v>300</v>
      </c>
      <c r="F25" s="5" t="s">
        <v>3166</v>
      </c>
      <c r="G25" s="4" t="s">
        <v>546</v>
      </c>
      <c r="H25" s="4" t="s">
        <v>549</v>
      </c>
      <c r="I25" s="22">
        <v>2305429.807</v>
      </c>
      <c r="J25" s="22">
        <v>585287.54500000004</v>
      </c>
      <c r="K25" s="22">
        <v>2305427.841</v>
      </c>
      <c r="L25" s="22">
        <v>585276.31299999997</v>
      </c>
      <c r="M25" s="6">
        <v>11.403</v>
      </c>
      <c r="N25" s="11">
        <v>2.83</v>
      </c>
      <c r="O25" s="11">
        <v>2.79</v>
      </c>
      <c r="P25" s="11">
        <f t="shared" si="0"/>
        <v>4.0000000000000036E-2</v>
      </c>
      <c r="Q25" s="11">
        <f t="shared" si="1"/>
        <v>0.35099999999999998</v>
      </c>
      <c r="R25" s="11">
        <v>2.36</v>
      </c>
    </row>
    <row r="26" spans="2:18" ht="16" x14ac:dyDescent="0.3">
      <c r="B26" s="4">
        <v>20</v>
      </c>
      <c r="C26" s="4" t="s">
        <v>3187</v>
      </c>
      <c r="D26" s="5" t="s">
        <v>3177</v>
      </c>
      <c r="E26" s="4">
        <v>300</v>
      </c>
      <c r="F26" s="5" t="s">
        <v>3166</v>
      </c>
      <c r="G26" s="4" t="s">
        <v>537</v>
      </c>
      <c r="H26" s="4" t="s">
        <v>540</v>
      </c>
      <c r="I26" s="22">
        <v>2305525.2940000002</v>
      </c>
      <c r="J26" s="22">
        <v>585422.11199999996</v>
      </c>
      <c r="K26" s="22">
        <v>2305519.784</v>
      </c>
      <c r="L26" s="22">
        <v>585413.40399999998</v>
      </c>
      <c r="M26" s="6">
        <v>10.304</v>
      </c>
      <c r="N26" s="11">
        <v>3.4</v>
      </c>
      <c r="O26" s="11">
        <v>3.37</v>
      </c>
      <c r="P26" s="11">
        <f t="shared" si="0"/>
        <v>2.9999999999999805E-2</v>
      </c>
      <c r="Q26" s="11">
        <f t="shared" si="1"/>
        <v>0.29099999999999998</v>
      </c>
      <c r="R26" s="11">
        <v>1.7849999999999999</v>
      </c>
    </row>
    <row r="27" spans="2:18" ht="16" x14ac:dyDescent="0.3">
      <c r="B27" s="4">
        <v>21</v>
      </c>
      <c r="C27" s="4" t="s">
        <v>3188</v>
      </c>
      <c r="D27" s="5" t="s">
        <v>3177</v>
      </c>
      <c r="E27" s="4">
        <v>300</v>
      </c>
      <c r="F27" s="5" t="s">
        <v>3166</v>
      </c>
      <c r="G27" s="4" t="s">
        <v>531</v>
      </c>
      <c r="H27" s="4" t="s">
        <v>534</v>
      </c>
      <c r="I27" s="22">
        <v>2305546.8670000001</v>
      </c>
      <c r="J27" s="22">
        <v>585454.58100000001</v>
      </c>
      <c r="K27" s="22">
        <v>2305537.4709999999</v>
      </c>
      <c r="L27" s="22">
        <v>585441.24100000004</v>
      </c>
      <c r="M27" s="6">
        <v>16.317</v>
      </c>
      <c r="N27" s="11">
        <v>3.53</v>
      </c>
      <c r="O27" s="11">
        <v>3.48</v>
      </c>
      <c r="P27" s="11">
        <f t="shared" si="0"/>
        <v>4.9999999999999822E-2</v>
      </c>
      <c r="Q27" s="11">
        <f t="shared" si="1"/>
        <v>0.30599999999999999</v>
      </c>
      <c r="R27" s="11">
        <v>1.8049999999999999</v>
      </c>
    </row>
    <row r="28" spans="2:18" ht="16" x14ac:dyDescent="0.3">
      <c r="B28" s="4">
        <v>22</v>
      </c>
      <c r="C28" s="4" t="s">
        <v>3189</v>
      </c>
      <c r="D28" s="5" t="s">
        <v>3177</v>
      </c>
      <c r="E28" s="4">
        <v>300</v>
      </c>
      <c r="F28" s="5" t="s">
        <v>3166</v>
      </c>
      <c r="G28" s="4" t="s">
        <v>525</v>
      </c>
      <c r="H28" s="4" t="s">
        <v>528</v>
      </c>
      <c r="I28" s="22">
        <v>2305564.7769999998</v>
      </c>
      <c r="J28" s="22">
        <v>585481.96299999999</v>
      </c>
      <c r="K28" s="22">
        <v>2305559.8629999999</v>
      </c>
      <c r="L28" s="22">
        <v>585473.16799999995</v>
      </c>
      <c r="M28" s="6">
        <v>10.074999999999999</v>
      </c>
      <c r="N28" s="11">
        <v>3.61</v>
      </c>
      <c r="O28" s="11">
        <v>3.57</v>
      </c>
      <c r="P28" s="11">
        <f t="shared" si="0"/>
        <v>4.0000000000000036E-2</v>
      </c>
      <c r="Q28" s="11">
        <f t="shared" si="1"/>
        <v>0.39700000000000002</v>
      </c>
      <c r="R28" s="11">
        <v>1.58</v>
      </c>
    </row>
    <row r="29" spans="2:18" ht="16" x14ac:dyDescent="0.3">
      <c r="B29" s="4">
        <v>23</v>
      </c>
      <c r="C29" s="4" t="s">
        <v>3190</v>
      </c>
      <c r="D29" s="5" t="s">
        <v>3177</v>
      </c>
      <c r="E29" s="4">
        <v>300</v>
      </c>
      <c r="F29" s="5" t="s">
        <v>3166</v>
      </c>
      <c r="G29" s="4" t="s">
        <v>3019</v>
      </c>
      <c r="H29" s="4" t="s">
        <v>3016</v>
      </c>
      <c r="I29" s="22">
        <v>2305648.2680000002</v>
      </c>
      <c r="J29" s="22">
        <v>585492.96299999999</v>
      </c>
      <c r="K29" s="22">
        <v>2305654.122</v>
      </c>
      <c r="L29" s="22">
        <v>585502.31499999994</v>
      </c>
      <c r="M29" s="6">
        <v>11.032999999999999</v>
      </c>
      <c r="N29" s="11">
        <v>4.07</v>
      </c>
      <c r="O29" s="11">
        <v>4.16</v>
      </c>
      <c r="P29" s="11">
        <f t="shared" si="0"/>
        <v>8.9999999999999858E-2</v>
      </c>
      <c r="Q29" s="11">
        <f t="shared" si="1"/>
        <v>0.81599999999999995</v>
      </c>
      <c r="R29" s="11">
        <v>1.0549999999999999</v>
      </c>
    </row>
    <row r="30" spans="2:18" ht="16" x14ac:dyDescent="0.3">
      <c r="B30" s="4">
        <v>24</v>
      </c>
      <c r="C30" s="4" t="s">
        <v>3191</v>
      </c>
      <c r="D30" s="5" t="s">
        <v>3177</v>
      </c>
      <c r="E30" s="4">
        <v>300</v>
      </c>
      <c r="F30" s="5" t="s">
        <v>3166</v>
      </c>
      <c r="G30" s="4" t="s">
        <v>3025</v>
      </c>
      <c r="H30" s="4" t="s">
        <v>3022</v>
      </c>
      <c r="I30" s="22">
        <v>2305629.9530000002</v>
      </c>
      <c r="J30" s="22">
        <v>585465.91899999999</v>
      </c>
      <c r="K30" s="22">
        <v>2305635.6609999998</v>
      </c>
      <c r="L30" s="22">
        <v>585474.522</v>
      </c>
      <c r="M30" s="6">
        <v>10.324999999999999</v>
      </c>
      <c r="N30" s="11">
        <v>3.95</v>
      </c>
      <c r="O30" s="11">
        <v>4.03</v>
      </c>
      <c r="P30" s="11">
        <f t="shared" si="0"/>
        <v>8.0000000000000071E-2</v>
      </c>
      <c r="Q30" s="11">
        <f t="shared" si="1"/>
        <v>0.77500000000000002</v>
      </c>
      <c r="R30" s="11">
        <v>1.18</v>
      </c>
    </row>
    <row r="31" spans="2:18" ht="16" x14ac:dyDescent="0.3">
      <c r="B31" s="4">
        <v>25</v>
      </c>
      <c r="C31" s="4" t="s">
        <v>3192</v>
      </c>
      <c r="D31" s="5" t="s">
        <v>3177</v>
      </c>
      <c r="E31" s="4">
        <v>300</v>
      </c>
      <c r="F31" s="5" t="s">
        <v>3166</v>
      </c>
      <c r="G31" s="4" t="s">
        <v>1613</v>
      </c>
      <c r="H31" s="4" t="s">
        <v>564</v>
      </c>
      <c r="I31" s="22">
        <v>2305486.5819999999</v>
      </c>
      <c r="J31" s="22">
        <v>585601.82299999997</v>
      </c>
      <c r="K31" s="22">
        <v>2305494.2599999998</v>
      </c>
      <c r="L31" s="22">
        <v>585609.11699999997</v>
      </c>
      <c r="M31" s="6">
        <v>10.59</v>
      </c>
      <c r="N31" s="11">
        <v>3.96</v>
      </c>
      <c r="O31" s="11">
        <v>4</v>
      </c>
      <c r="P31" s="11">
        <f t="shared" si="0"/>
        <v>4.0000000000000036E-2</v>
      </c>
      <c r="Q31" s="11">
        <f t="shared" si="1"/>
        <v>0.378</v>
      </c>
      <c r="R31" s="11">
        <v>1.29</v>
      </c>
    </row>
    <row r="32" spans="2:18" ht="16" x14ac:dyDescent="0.3">
      <c r="B32" s="4">
        <v>26</v>
      </c>
      <c r="C32" s="4" t="s">
        <v>3193</v>
      </c>
      <c r="D32" s="5" t="s">
        <v>3177</v>
      </c>
      <c r="E32" s="4">
        <v>300</v>
      </c>
      <c r="F32" s="5" t="s">
        <v>3166</v>
      </c>
      <c r="G32" s="4" t="s">
        <v>501</v>
      </c>
      <c r="H32" s="4" t="s">
        <v>2614</v>
      </c>
      <c r="I32" s="22">
        <v>2304733.65</v>
      </c>
      <c r="J32" s="22">
        <v>585336.47499999998</v>
      </c>
      <c r="K32" s="22">
        <v>2304738.2170000002</v>
      </c>
      <c r="L32" s="22">
        <v>585346.72600000002</v>
      </c>
      <c r="M32" s="6">
        <v>11.222</v>
      </c>
      <c r="N32" s="11">
        <v>3.62</v>
      </c>
      <c r="O32" s="11">
        <v>3.59</v>
      </c>
      <c r="P32" s="11">
        <f t="shared" si="0"/>
        <v>3.0000000000000249E-2</v>
      </c>
      <c r="Q32" s="11">
        <f t="shared" si="1"/>
        <v>0.26700000000000002</v>
      </c>
      <c r="R32" s="11">
        <v>1.5649999999999999</v>
      </c>
    </row>
    <row r="33" spans="2:18" ht="16" x14ac:dyDescent="0.3">
      <c r="B33" s="4">
        <v>27</v>
      </c>
      <c r="C33" s="4" t="s">
        <v>3194</v>
      </c>
      <c r="D33" s="5" t="s">
        <v>3177</v>
      </c>
      <c r="E33" s="4">
        <v>300</v>
      </c>
      <c r="F33" s="5" t="s">
        <v>3166</v>
      </c>
      <c r="G33" s="4" t="s">
        <v>480</v>
      </c>
      <c r="H33" s="4" t="s">
        <v>483</v>
      </c>
      <c r="I33" s="22">
        <v>2304845.5559999999</v>
      </c>
      <c r="J33" s="22">
        <v>585262.30700000003</v>
      </c>
      <c r="K33" s="22">
        <v>2304855.5520000001</v>
      </c>
      <c r="L33" s="22">
        <v>585268.005</v>
      </c>
      <c r="M33" s="6">
        <v>11.506</v>
      </c>
      <c r="N33" s="11">
        <v>3.59</v>
      </c>
      <c r="O33" s="11">
        <v>3.55</v>
      </c>
      <c r="P33" s="11">
        <f t="shared" si="0"/>
        <v>4.0000000000000036E-2</v>
      </c>
      <c r="Q33" s="11">
        <f t="shared" si="1"/>
        <v>0.34799999999999998</v>
      </c>
      <c r="R33" s="11">
        <v>1.4</v>
      </c>
    </row>
    <row r="34" spans="2:18" ht="16" x14ac:dyDescent="0.3">
      <c r="B34" s="4">
        <v>28</v>
      </c>
      <c r="C34" s="4" t="s">
        <v>3195</v>
      </c>
      <c r="D34" s="5" t="s">
        <v>3177</v>
      </c>
      <c r="E34" s="4">
        <v>300</v>
      </c>
      <c r="F34" s="5" t="s">
        <v>3166</v>
      </c>
      <c r="G34" s="4" t="s">
        <v>486</v>
      </c>
      <c r="H34" s="4" t="s">
        <v>489</v>
      </c>
      <c r="I34" s="22">
        <v>2304961.4029999999</v>
      </c>
      <c r="J34" s="22">
        <v>585420.61100000003</v>
      </c>
      <c r="K34" s="22">
        <v>2304960.1329999999</v>
      </c>
      <c r="L34" s="22">
        <v>585433.86100000003</v>
      </c>
      <c r="M34" s="6">
        <v>13.311</v>
      </c>
      <c r="N34" s="11">
        <v>2.89</v>
      </c>
      <c r="O34" s="11">
        <v>2.86</v>
      </c>
      <c r="P34" s="11">
        <f t="shared" si="0"/>
        <v>3.0000000000000249E-2</v>
      </c>
      <c r="Q34" s="11">
        <f t="shared" si="1"/>
        <v>0.22500000000000001</v>
      </c>
      <c r="R34" s="11">
        <v>2.2949999999999999</v>
      </c>
    </row>
    <row r="35" spans="2:18" ht="16" x14ac:dyDescent="0.3">
      <c r="B35" s="4">
        <v>29</v>
      </c>
      <c r="C35" s="4" t="s">
        <v>3196</v>
      </c>
      <c r="D35" s="5" t="s">
        <v>3177</v>
      </c>
      <c r="E35" s="4">
        <v>300</v>
      </c>
      <c r="F35" s="5" t="s">
        <v>3166</v>
      </c>
      <c r="G35" s="4" t="s">
        <v>2050</v>
      </c>
      <c r="H35" s="4" t="s">
        <v>2053</v>
      </c>
      <c r="I35" s="22">
        <v>2305172.9130000002</v>
      </c>
      <c r="J35" s="22">
        <v>585539.22</v>
      </c>
      <c r="K35" s="22">
        <v>2305167.4440000001</v>
      </c>
      <c r="L35" s="22">
        <v>585530.52899999998</v>
      </c>
      <c r="M35" s="6">
        <v>10.269</v>
      </c>
      <c r="N35" s="11">
        <v>4.05</v>
      </c>
      <c r="O35" s="11">
        <v>4.01</v>
      </c>
      <c r="P35" s="11">
        <f t="shared" si="0"/>
        <v>4.0000000000000036E-2</v>
      </c>
      <c r="Q35" s="11">
        <f t="shared" si="1"/>
        <v>0.39</v>
      </c>
      <c r="R35" s="11">
        <v>1.24</v>
      </c>
    </row>
    <row r="36" spans="2:18" ht="16" x14ac:dyDescent="0.3">
      <c r="B36" s="4">
        <v>30</v>
      </c>
      <c r="C36" s="4" t="s">
        <v>3197</v>
      </c>
      <c r="D36" s="5" t="s">
        <v>3177</v>
      </c>
      <c r="E36" s="4">
        <v>300</v>
      </c>
      <c r="F36" s="5" t="s">
        <v>3166</v>
      </c>
      <c r="G36" s="4" t="s">
        <v>2044</v>
      </c>
      <c r="H36" s="4" t="s">
        <v>2047</v>
      </c>
      <c r="I36" s="22">
        <v>2305191.281</v>
      </c>
      <c r="J36" s="22">
        <v>585566.62800000003</v>
      </c>
      <c r="K36" s="22">
        <v>2305185.7140000002</v>
      </c>
      <c r="L36" s="22">
        <v>585557.95700000005</v>
      </c>
      <c r="M36" s="6">
        <v>10.304</v>
      </c>
      <c r="N36" s="11">
        <v>4.17</v>
      </c>
      <c r="O36" s="11">
        <v>4.13</v>
      </c>
      <c r="P36" s="11">
        <f t="shared" si="0"/>
        <v>4.0000000000000036E-2</v>
      </c>
      <c r="Q36" s="11">
        <f t="shared" si="1"/>
        <v>0.38800000000000001</v>
      </c>
      <c r="R36" s="11">
        <v>1.1200000000000001</v>
      </c>
    </row>
    <row r="37" spans="2:18" ht="16" x14ac:dyDescent="0.3">
      <c r="B37" s="4">
        <v>31</v>
      </c>
      <c r="C37" s="4" t="s">
        <v>3198</v>
      </c>
      <c r="D37" s="5" t="s">
        <v>3177</v>
      </c>
      <c r="E37" s="4">
        <v>300</v>
      </c>
      <c r="F37" s="5" t="s">
        <v>3166</v>
      </c>
      <c r="G37" s="4" t="s">
        <v>468</v>
      </c>
      <c r="H37" s="4" t="s">
        <v>471</v>
      </c>
      <c r="I37" s="22">
        <v>2305101.426</v>
      </c>
      <c r="J37" s="22">
        <v>585326.72199999995</v>
      </c>
      <c r="K37" s="22">
        <v>2305106.9130000002</v>
      </c>
      <c r="L37" s="22">
        <v>585335.44299999997</v>
      </c>
      <c r="M37" s="6">
        <v>10.304</v>
      </c>
      <c r="N37" s="11">
        <v>2.85</v>
      </c>
      <c r="O37" s="11">
        <v>2.81</v>
      </c>
      <c r="P37" s="11">
        <f t="shared" si="0"/>
        <v>4.0000000000000036E-2</v>
      </c>
      <c r="Q37" s="11">
        <f t="shared" si="1"/>
        <v>0.38800000000000001</v>
      </c>
      <c r="R37" s="11">
        <v>2.2400000000000002</v>
      </c>
    </row>
    <row r="38" spans="2:18" ht="16" x14ac:dyDescent="0.3">
      <c r="B38" s="4">
        <v>32</v>
      </c>
      <c r="C38" s="4" t="s">
        <v>3199</v>
      </c>
      <c r="D38" s="5" t="s">
        <v>3177</v>
      </c>
      <c r="E38" s="4">
        <v>300</v>
      </c>
      <c r="F38" s="5" t="s">
        <v>3166</v>
      </c>
      <c r="G38" s="4" t="s">
        <v>456</v>
      </c>
      <c r="H38" s="4" t="s">
        <v>2536</v>
      </c>
      <c r="I38" s="22">
        <v>2305046.7910000002</v>
      </c>
      <c r="J38" s="22">
        <v>585245.196</v>
      </c>
      <c r="K38" s="22">
        <v>2305052.2779999999</v>
      </c>
      <c r="L38" s="22">
        <v>585253.91799999995</v>
      </c>
      <c r="M38" s="6">
        <v>10.304</v>
      </c>
      <c r="N38" s="11">
        <v>3.21</v>
      </c>
      <c r="O38" s="11">
        <v>3.17</v>
      </c>
      <c r="P38" s="11">
        <f t="shared" si="0"/>
        <v>4.0000000000000036E-2</v>
      </c>
      <c r="Q38" s="11">
        <f t="shared" si="1"/>
        <v>0.38800000000000001</v>
      </c>
      <c r="R38" s="11">
        <v>1.88</v>
      </c>
    </row>
    <row r="39" spans="2:18" ht="16" x14ac:dyDescent="0.3">
      <c r="B39" s="4">
        <v>33</v>
      </c>
      <c r="C39" s="4" t="s">
        <v>3200</v>
      </c>
      <c r="D39" s="5" t="s">
        <v>3177</v>
      </c>
      <c r="E39" s="4">
        <v>300</v>
      </c>
      <c r="F39" s="5" t="s">
        <v>3166</v>
      </c>
      <c r="G39" s="4" t="s">
        <v>450</v>
      </c>
      <c r="H39" s="4" t="s">
        <v>2521</v>
      </c>
      <c r="I39" s="22">
        <v>2305019.5449999999</v>
      </c>
      <c r="J39" s="22">
        <v>585204.62199999997</v>
      </c>
      <c r="K39" s="22">
        <v>2305025.0320000001</v>
      </c>
      <c r="L39" s="22">
        <v>585213.34299999999</v>
      </c>
      <c r="M39" s="6">
        <v>10.304</v>
      </c>
      <c r="N39" s="11">
        <v>3.39</v>
      </c>
      <c r="O39" s="11">
        <v>3.35</v>
      </c>
      <c r="P39" s="11">
        <f t="shared" si="0"/>
        <v>4.0000000000000036E-2</v>
      </c>
      <c r="Q39" s="11">
        <f t="shared" si="1"/>
        <v>0.38800000000000001</v>
      </c>
      <c r="R39" s="11">
        <v>1.7</v>
      </c>
    </row>
    <row r="40" spans="2:18" ht="16" x14ac:dyDescent="0.3">
      <c r="B40" s="4">
        <v>34</v>
      </c>
      <c r="C40" s="4" t="s">
        <v>3201</v>
      </c>
      <c r="D40" s="5" t="s">
        <v>3177</v>
      </c>
      <c r="E40" s="4">
        <v>300</v>
      </c>
      <c r="F40" s="5" t="s">
        <v>3166</v>
      </c>
      <c r="G40" s="4" t="s">
        <v>444</v>
      </c>
      <c r="H40" s="4" t="s">
        <v>3004</v>
      </c>
      <c r="I40" s="22">
        <v>2304992.3089999999</v>
      </c>
      <c r="J40" s="22">
        <v>585163.92799999996</v>
      </c>
      <c r="K40" s="22">
        <v>2304997.7740000002</v>
      </c>
      <c r="L40" s="22">
        <v>585172.65</v>
      </c>
      <c r="M40" s="6">
        <v>10.292999999999999</v>
      </c>
      <c r="N40" s="11">
        <v>3.57</v>
      </c>
      <c r="O40" s="11">
        <v>3.53</v>
      </c>
      <c r="P40" s="11">
        <f t="shared" si="0"/>
        <v>4.0000000000000036E-2</v>
      </c>
      <c r="Q40" s="11">
        <f t="shared" si="1"/>
        <v>0.38900000000000001</v>
      </c>
      <c r="R40" s="11">
        <v>1.52</v>
      </c>
    </row>
    <row r="41" spans="2:18" ht="16" x14ac:dyDescent="0.3">
      <c r="B41" s="4">
        <v>35</v>
      </c>
      <c r="C41" s="4" t="s">
        <v>3202</v>
      </c>
      <c r="D41" s="5" t="s">
        <v>3177</v>
      </c>
      <c r="E41" s="4">
        <v>300</v>
      </c>
      <c r="F41" s="5" t="s">
        <v>3166</v>
      </c>
      <c r="G41" s="4" t="s">
        <v>2152</v>
      </c>
      <c r="H41" s="4" t="s">
        <v>2155</v>
      </c>
      <c r="I41" s="22">
        <v>2305049.12</v>
      </c>
      <c r="J41" s="22">
        <v>585488.23</v>
      </c>
      <c r="K41" s="22">
        <v>2305070.8650000002</v>
      </c>
      <c r="L41" s="22">
        <v>585475.43799999997</v>
      </c>
      <c r="M41" s="6">
        <v>25.234999999999999</v>
      </c>
      <c r="N41" s="11">
        <v>2.2000000000000002</v>
      </c>
      <c r="O41" s="11">
        <v>2.11</v>
      </c>
      <c r="P41" s="11">
        <f t="shared" si="0"/>
        <v>9.0000000000000302E-2</v>
      </c>
      <c r="Q41" s="11">
        <f t="shared" si="1"/>
        <v>0.35699999999999998</v>
      </c>
      <c r="R41" s="11">
        <v>3.07</v>
      </c>
    </row>
    <row r="42" spans="2:18" ht="16" x14ac:dyDescent="0.3">
      <c r="B42" s="4">
        <v>36</v>
      </c>
      <c r="C42" s="4" t="s">
        <v>3203</v>
      </c>
      <c r="D42" s="5" t="s">
        <v>3177</v>
      </c>
      <c r="E42" s="4">
        <v>300</v>
      </c>
      <c r="F42" s="5" t="s">
        <v>3166</v>
      </c>
      <c r="G42" s="4" t="s">
        <v>2149</v>
      </c>
      <c r="H42" s="4" t="s">
        <v>2152</v>
      </c>
      <c r="I42" s="22">
        <v>2305014.3679999998</v>
      </c>
      <c r="J42" s="22">
        <v>585500.43999999994</v>
      </c>
      <c r="K42" s="22">
        <v>2305048.29</v>
      </c>
      <c r="L42" s="22">
        <v>585488.71699999995</v>
      </c>
      <c r="M42" s="6">
        <v>35.890999999999998</v>
      </c>
      <c r="N42" s="11">
        <v>2.3199999999999998</v>
      </c>
      <c r="O42" s="11">
        <v>2.2000000000000002</v>
      </c>
      <c r="P42" s="11">
        <f t="shared" si="0"/>
        <v>0.11999999999999966</v>
      </c>
      <c r="Q42" s="11">
        <f t="shared" si="1"/>
        <v>0.33400000000000002</v>
      </c>
      <c r="R42" s="11">
        <v>2.9649999999999999</v>
      </c>
    </row>
    <row r="43" spans="2:18" ht="16" x14ac:dyDescent="0.3">
      <c r="B43" s="4">
        <v>37</v>
      </c>
      <c r="C43" s="4" t="s">
        <v>3204</v>
      </c>
      <c r="D43" s="5" t="s">
        <v>3177</v>
      </c>
      <c r="E43" s="4">
        <v>300</v>
      </c>
      <c r="F43" s="5" t="s">
        <v>3166</v>
      </c>
      <c r="G43" s="4" t="s">
        <v>632</v>
      </c>
      <c r="H43" s="4" t="s">
        <v>302</v>
      </c>
      <c r="I43" s="22">
        <v>2305168.5329999998</v>
      </c>
      <c r="J43" s="22">
        <v>585422.92700000003</v>
      </c>
      <c r="K43" s="22">
        <v>2305163.0049999999</v>
      </c>
      <c r="L43" s="22">
        <v>585414.22600000002</v>
      </c>
      <c r="M43" s="6">
        <v>10.308</v>
      </c>
      <c r="N43" s="11">
        <v>2.75</v>
      </c>
      <c r="O43" s="11">
        <v>1.75</v>
      </c>
      <c r="P43" s="11">
        <f t="shared" si="0"/>
        <v>1</v>
      </c>
      <c r="Q43" s="11">
        <f t="shared" si="1"/>
        <v>9.7010000000000005</v>
      </c>
      <c r="R43" s="11">
        <v>3.02</v>
      </c>
    </row>
    <row r="44" spans="2:18" ht="16" x14ac:dyDescent="0.3">
      <c r="B44" s="4">
        <v>38</v>
      </c>
      <c r="C44" s="4" t="s">
        <v>3205</v>
      </c>
      <c r="D44" s="5" t="s">
        <v>3177</v>
      </c>
      <c r="E44" s="4">
        <v>300</v>
      </c>
      <c r="F44" s="5" t="s">
        <v>3166</v>
      </c>
      <c r="G44" s="4" t="s">
        <v>626</v>
      </c>
      <c r="H44" s="4" t="s">
        <v>629</v>
      </c>
      <c r="I44" s="22">
        <v>2305187.307</v>
      </c>
      <c r="J44" s="22">
        <v>585452.57499999995</v>
      </c>
      <c r="K44" s="22">
        <v>2305181.307</v>
      </c>
      <c r="L44" s="22">
        <v>585441.71499999997</v>
      </c>
      <c r="M44" s="6">
        <v>12.407</v>
      </c>
      <c r="N44" s="11">
        <v>2.87</v>
      </c>
      <c r="O44" s="11">
        <v>2.84</v>
      </c>
      <c r="P44" s="11">
        <f t="shared" si="0"/>
        <v>3.0000000000000249E-2</v>
      </c>
      <c r="Q44" s="11">
        <f t="shared" si="1"/>
        <v>0.24199999999999999</v>
      </c>
      <c r="R44" s="11">
        <v>2.415</v>
      </c>
    </row>
    <row r="45" spans="2:18" ht="16" x14ac:dyDescent="0.3">
      <c r="B45" s="4">
        <v>39</v>
      </c>
      <c r="C45" s="4" t="s">
        <v>3206</v>
      </c>
      <c r="D45" s="5" t="s">
        <v>3177</v>
      </c>
      <c r="E45" s="4">
        <v>300</v>
      </c>
      <c r="F45" s="5" t="s">
        <v>3166</v>
      </c>
      <c r="G45" s="4" t="s">
        <v>617</v>
      </c>
      <c r="H45" s="4" t="s">
        <v>620</v>
      </c>
      <c r="I45" s="22">
        <v>2305300.4939999999</v>
      </c>
      <c r="J45" s="22">
        <v>585619.84600000002</v>
      </c>
      <c r="K45" s="22">
        <v>2305291.6170000001</v>
      </c>
      <c r="L45" s="22">
        <v>585606.12300000002</v>
      </c>
      <c r="M45" s="6">
        <v>16.344000000000001</v>
      </c>
      <c r="N45" s="11">
        <v>3.6</v>
      </c>
      <c r="O45" s="11">
        <v>3.54</v>
      </c>
      <c r="P45" s="11">
        <f t="shared" si="0"/>
        <v>6.0000000000000053E-2</v>
      </c>
      <c r="Q45" s="11">
        <f t="shared" si="1"/>
        <v>0.36699999999999999</v>
      </c>
      <c r="R45" s="11">
        <v>1.74</v>
      </c>
    </row>
    <row r="46" spans="2:18" ht="16" x14ac:dyDescent="0.3">
      <c r="B46" s="4">
        <v>40</v>
      </c>
      <c r="C46" s="4" t="s">
        <v>3207</v>
      </c>
      <c r="D46" s="5" t="s">
        <v>3177</v>
      </c>
      <c r="E46" s="4">
        <v>300</v>
      </c>
      <c r="F46" s="5" t="s">
        <v>3166</v>
      </c>
      <c r="G46" s="4" t="s">
        <v>2116</v>
      </c>
      <c r="H46" s="4" t="s">
        <v>614</v>
      </c>
      <c r="I46" s="22">
        <v>2305335.176</v>
      </c>
      <c r="J46" s="22">
        <v>585662.55599999998</v>
      </c>
      <c r="K46" s="22">
        <v>2305313.335</v>
      </c>
      <c r="L46" s="22">
        <v>585638.55099999998</v>
      </c>
      <c r="M46" s="6">
        <v>32.56</v>
      </c>
      <c r="N46" s="11">
        <v>3.8</v>
      </c>
      <c r="O46" s="11">
        <v>3.69</v>
      </c>
      <c r="P46" s="11">
        <f t="shared" si="0"/>
        <v>0.10999999999999988</v>
      </c>
      <c r="Q46" s="11">
        <f t="shared" si="1"/>
        <v>0.33800000000000002</v>
      </c>
      <c r="R46" s="11">
        <v>1.5449999999999999</v>
      </c>
    </row>
    <row r="47" spans="2:18" ht="16" x14ac:dyDescent="0.3">
      <c r="B47" s="4">
        <v>41</v>
      </c>
      <c r="C47" s="4" t="s">
        <v>3208</v>
      </c>
      <c r="D47" s="5" t="s">
        <v>3177</v>
      </c>
      <c r="E47" s="4">
        <v>300</v>
      </c>
      <c r="F47" s="5" t="s">
        <v>3166</v>
      </c>
      <c r="G47" s="4" t="s">
        <v>2107</v>
      </c>
      <c r="H47" s="4" t="s">
        <v>2110</v>
      </c>
      <c r="I47" s="22">
        <v>2305371.426</v>
      </c>
      <c r="J47" s="22">
        <v>585731.17700000003</v>
      </c>
      <c r="K47" s="22">
        <v>2305368.2149999999</v>
      </c>
      <c r="L47" s="22">
        <v>585712.13300000003</v>
      </c>
      <c r="M47" s="6">
        <v>19.312999999999999</v>
      </c>
      <c r="N47" s="11">
        <v>4.05</v>
      </c>
      <c r="O47" s="11">
        <v>4</v>
      </c>
      <c r="P47" s="11">
        <f t="shared" si="0"/>
        <v>4.9999999999999822E-2</v>
      </c>
      <c r="Q47" s="11">
        <f t="shared" si="1"/>
        <v>0.25900000000000001</v>
      </c>
      <c r="R47" s="11">
        <v>1.2649999999999999</v>
      </c>
    </row>
    <row r="48" spans="2:18" ht="16" x14ac:dyDescent="0.3">
      <c r="B48" s="4">
        <v>42</v>
      </c>
      <c r="C48" s="4" t="s">
        <v>3209</v>
      </c>
      <c r="D48" s="5" t="s">
        <v>3177</v>
      </c>
      <c r="E48" s="4">
        <v>300</v>
      </c>
      <c r="F48" s="5" t="s">
        <v>3166</v>
      </c>
      <c r="G48" s="4" t="s">
        <v>495</v>
      </c>
      <c r="H48" s="4" t="s">
        <v>312</v>
      </c>
      <c r="I48" s="22">
        <v>2305133.1379999998</v>
      </c>
      <c r="J48" s="22">
        <v>585355.96100000001</v>
      </c>
      <c r="K48" s="22">
        <v>2305143.7659999998</v>
      </c>
      <c r="L48" s="22">
        <v>585343.15399999998</v>
      </c>
      <c r="M48" s="6">
        <v>16.641999999999999</v>
      </c>
      <c r="N48" s="11">
        <v>1.74</v>
      </c>
      <c r="O48" s="11">
        <v>2.4300000000000002</v>
      </c>
      <c r="P48" s="11">
        <f t="shared" si="0"/>
        <v>0.69000000000000017</v>
      </c>
      <c r="Q48" s="11">
        <f t="shared" si="1"/>
        <v>4.1459999999999999</v>
      </c>
      <c r="R48" s="11">
        <v>3.1749999999999998</v>
      </c>
    </row>
    <row r="49" spans="2:18" ht="16" x14ac:dyDescent="0.3">
      <c r="B49" s="4">
        <v>43</v>
      </c>
      <c r="C49" s="4" t="s">
        <v>3210</v>
      </c>
      <c r="D49" s="5" t="s">
        <v>3177</v>
      </c>
      <c r="E49" s="4">
        <v>300</v>
      </c>
      <c r="F49" s="5" t="s">
        <v>3166</v>
      </c>
      <c r="G49" s="4" t="s">
        <v>492</v>
      </c>
      <c r="H49" s="4" t="s">
        <v>2863</v>
      </c>
      <c r="I49" s="22">
        <v>2304984.2420000001</v>
      </c>
      <c r="J49" s="22">
        <v>585455.50399999996</v>
      </c>
      <c r="K49" s="22">
        <v>2305012.585</v>
      </c>
      <c r="L49" s="22">
        <v>585437.09499999997</v>
      </c>
      <c r="M49" s="6">
        <v>33.796999999999997</v>
      </c>
      <c r="N49" s="11">
        <v>2.35</v>
      </c>
      <c r="O49" s="11">
        <v>2.23</v>
      </c>
      <c r="P49" s="11">
        <f t="shared" si="0"/>
        <v>0.12000000000000011</v>
      </c>
      <c r="Q49" s="11">
        <f t="shared" si="1"/>
        <v>0.35499999999999998</v>
      </c>
      <c r="R49" s="11">
        <v>2.92</v>
      </c>
    </row>
    <row r="50" spans="2:18" ht="16" x14ac:dyDescent="0.3">
      <c r="B50" s="4">
        <v>44</v>
      </c>
      <c r="C50" s="4" t="s">
        <v>3211</v>
      </c>
      <c r="D50" s="5" t="s">
        <v>3177</v>
      </c>
      <c r="E50" s="4">
        <v>300</v>
      </c>
      <c r="F50" s="5" t="s">
        <v>3166</v>
      </c>
      <c r="G50" s="4" t="s">
        <v>698</v>
      </c>
      <c r="H50" s="4" t="s">
        <v>298</v>
      </c>
      <c r="I50" s="22">
        <v>2305017.6869999999</v>
      </c>
      <c r="J50" s="22">
        <v>585524.16099999996</v>
      </c>
      <c r="K50" s="22">
        <v>2305015.8879999998</v>
      </c>
      <c r="L50" s="22">
        <v>585512.89899999998</v>
      </c>
      <c r="M50" s="6">
        <v>11.404999999999999</v>
      </c>
      <c r="N50" s="11">
        <v>2.7</v>
      </c>
      <c r="O50" s="11">
        <v>2.34</v>
      </c>
      <c r="P50" s="11">
        <f t="shared" si="0"/>
        <v>0.36000000000000032</v>
      </c>
      <c r="Q50" s="11">
        <f t="shared" si="1"/>
        <v>3.157</v>
      </c>
      <c r="R50" s="11">
        <v>2.75</v>
      </c>
    </row>
    <row r="51" spans="2:18" ht="16" x14ac:dyDescent="0.3">
      <c r="B51" s="4">
        <v>45</v>
      </c>
      <c r="C51" s="4" t="s">
        <v>3212</v>
      </c>
      <c r="D51" s="5" t="s">
        <v>3177</v>
      </c>
      <c r="E51" s="4">
        <v>300</v>
      </c>
      <c r="F51" s="5" t="s">
        <v>3166</v>
      </c>
      <c r="G51" s="4" t="s">
        <v>686</v>
      </c>
      <c r="H51" s="4" t="s">
        <v>689</v>
      </c>
      <c r="I51" s="22">
        <v>2305055.25</v>
      </c>
      <c r="J51" s="22">
        <v>585578.37699999998</v>
      </c>
      <c r="K51" s="22">
        <v>2305051.389</v>
      </c>
      <c r="L51" s="22">
        <v>585568.57900000003</v>
      </c>
      <c r="M51" s="6">
        <v>10.532</v>
      </c>
      <c r="N51" s="11">
        <v>2.95</v>
      </c>
      <c r="O51" s="11">
        <v>2.91</v>
      </c>
      <c r="P51" s="11">
        <f t="shared" si="0"/>
        <v>4.0000000000000036E-2</v>
      </c>
      <c r="Q51" s="11">
        <f t="shared" si="1"/>
        <v>0.38</v>
      </c>
      <c r="R51" s="11">
        <v>2.34</v>
      </c>
    </row>
    <row r="52" spans="2:18" ht="16" x14ac:dyDescent="0.3">
      <c r="B52" s="4">
        <v>46</v>
      </c>
      <c r="C52" s="4" t="s">
        <v>3213</v>
      </c>
      <c r="D52" s="5" t="s">
        <v>3177</v>
      </c>
      <c r="E52" s="4">
        <v>300</v>
      </c>
      <c r="F52" s="5" t="s">
        <v>3166</v>
      </c>
      <c r="G52" s="4" t="s">
        <v>680</v>
      </c>
      <c r="H52" s="4" t="s">
        <v>683</v>
      </c>
      <c r="I52" s="22">
        <v>2305075.304</v>
      </c>
      <c r="J52" s="22">
        <v>585604.69200000004</v>
      </c>
      <c r="K52" s="22">
        <v>2305068.142</v>
      </c>
      <c r="L52" s="22">
        <v>585597.06400000001</v>
      </c>
      <c r="M52" s="6">
        <v>10.464</v>
      </c>
      <c r="N52" s="11">
        <v>3.07</v>
      </c>
      <c r="O52" s="11">
        <v>3.03</v>
      </c>
      <c r="P52" s="11">
        <f t="shared" si="0"/>
        <v>4.0000000000000036E-2</v>
      </c>
      <c r="Q52" s="11">
        <f t="shared" si="1"/>
        <v>0.38200000000000001</v>
      </c>
      <c r="R52" s="11">
        <v>2.2200000000000002</v>
      </c>
    </row>
    <row r="53" spans="2:18" ht="16" x14ac:dyDescent="0.3">
      <c r="B53" s="4">
        <v>47</v>
      </c>
      <c r="C53" s="4" t="s">
        <v>3214</v>
      </c>
      <c r="D53" s="5" t="s">
        <v>3177</v>
      </c>
      <c r="E53" s="4">
        <v>300</v>
      </c>
      <c r="F53" s="5" t="s">
        <v>3166</v>
      </c>
      <c r="G53" s="4" t="s">
        <v>674</v>
      </c>
      <c r="H53" s="4" t="s">
        <v>677</v>
      </c>
      <c r="I53" s="22">
        <v>2305093.656</v>
      </c>
      <c r="J53" s="22">
        <v>585632.07999999996</v>
      </c>
      <c r="K53" s="22">
        <v>2305086.537</v>
      </c>
      <c r="L53" s="22">
        <v>585624.49600000004</v>
      </c>
      <c r="M53" s="6">
        <v>10.401999999999999</v>
      </c>
      <c r="N53" s="11">
        <v>3.19</v>
      </c>
      <c r="O53" s="11">
        <v>3.15</v>
      </c>
      <c r="P53" s="11">
        <f t="shared" si="0"/>
        <v>4.0000000000000036E-2</v>
      </c>
      <c r="Q53" s="11">
        <f t="shared" si="1"/>
        <v>0.38500000000000001</v>
      </c>
      <c r="R53" s="11">
        <v>2.1</v>
      </c>
    </row>
    <row r="54" spans="2:18" ht="16" x14ac:dyDescent="0.3">
      <c r="B54" s="4">
        <v>48</v>
      </c>
      <c r="C54" s="4" t="s">
        <v>3215</v>
      </c>
      <c r="D54" s="5" t="s">
        <v>3177</v>
      </c>
      <c r="E54" s="4">
        <v>300</v>
      </c>
      <c r="F54" s="5" t="s">
        <v>3166</v>
      </c>
      <c r="G54" s="4" t="s">
        <v>650</v>
      </c>
      <c r="H54" s="4" t="s">
        <v>653</v>
      </c>
      <c r="I54" s="22">
        <v>2305173.31</v>
      </c>
      <c r="J54" s="22">
        <v>585754.43700000003</v>
      </c>
      <c r="K54" s="22">
        <v>2305170.7400000002</v>
      </c>
      <c r="L54" s="22">
        <v>585743.84699999995</v>
      </c>
      <c r="M54" s="6">
        <v>10.898</v>
      </c>
      <c r="N54" s="11">
        <v>3.73</v>
      </c>
      <c r="O54" s="11">
        <v>3.69</v>
      </c>
      <c r="P54" s="11">
        <f t="shared" si="0"/>
        <v>4.0000000000000036E-2</v>
      </c>
      <c r="Q54" s="11">
        <f t="shared" si="1"/>
        <v>0.36699999999999999</v>
      </c>
      <c r="R54" s="11">
        <v>1.56</v>
      </c>
    </row>
    <row r="55" spans="2:18" ht="16" x14ac:dyDescent="0.3">
      <c r="B55" s="4">
        <v>49</v>
      </c>
      <c r="C55" s="4" t="s">
        <v>3216</v>
      </c>
      <c r="D55" s="5" t="s">
        <v>3177</v>
      </c>
      <c r="E55" s="4">
        <v>300</v>
      </c>
      <c r="F55" s="5" t="s">
        <v>3166</v>
      </c>
      <c r="G55" s="4" t="s">
        <v>644</v>
      </c>
      <c r="H55" s="4" t="s">
        <v>647</v>
      </c>
      <c r="I55" s="22">
        <v>2305193.2790000001</v>
      </c>
      <c r="J55" s="22">
        <v>585780.83900000004</v>
      </c>
      <c r="K55" s="22">
        <v>2305186.2140000002</v>
      </c>
      <c r="L55" s="22">
        <v>585773.14</v>
      </c>
      <c r="M55" s="6">
        <v>10.449</v>
      </c>
      <c r="N55" s="11">
        <v>3.84</v>
      </c>
      <c r="O55" s="11">
        <v>3.81</v>
      </c>
      <c r="P55" s="11">
        <f t="shared" si="0"/>
        <v>2.9999999999999805E-2</v>
      </c>
      <c r="Q55" s="11">
        <f t="shared" si="1"/>
        <v>0.28699999999999998</v>
      </c>
      <c r="R55" s="11">
        <v>1.4450000000000001</v>
      </c>
    </row>
    <row r="56" spans="2:18" ht="16" x14ac:dyDescent="0.3">
      <c r="B56" s="4">
        <v>50</v>
      </c>
      <c r="C56" s="4" t="s">
        <v>3217</v>
      </c>
      <c r="D56" s="5" t="s">
        <v>3177</v>
      </c>
      <c r="E56" s="4">
        <v>300</v>
      </c>
      <c r="F56" s="5" t="s">
        <v>3166</v>
      </c>
      <c r="G56" s="4" t="s">
        <v>2203</v>
      </c>
      <c r="H56" s="4" t="s">
        <v>2200</v>
      </c>
      <c r="I56" s="22">
        <v>2304930.9169999999</v>
      </c>
      <c r="J56" s="22">
        <v>585569.28200000001</v>
      </c>
      <c r="K56" s="22">
        <v>2304902.9350000001</v>
      </c>
      <c r="L56" s="22">
        <v>585581.92500000005</v>
      </c>
      <c r="M56" s="6">
        <v>31.132000000000001</v>
      </c>
      <c r="N56" s="11">
        <v>2.69</v>
      </c>
      <c r="O56" s="11">
        <v>2.78</v>
      </c>
      <c r="P56" s="11">
        <f t="shared" si="0"/>
        <v>8.9999999999999858E-2</v>
      </c>
      <c r="Q56" s="11">
        <f t="shared" si="1"/>
        <v>0.28899999999999998</v>
      </c>
      <c r="R56" s="11">
        <v>2.4849999999999999</v>
      </c>
    </row>
    <row r="57" spans="2:18" ht="16" x14ac:dyDescent="0.3">
      <c r="B57" s="4">
        <v>51</v>
      </c>
      <c r="C57" s="4" t="s">
        <v>3218</v>
      </c>
      <c r="D57" s="5" t="s">
        <v>3177</v>
      </c>
      <c r="E57" s="4">
        <v>300</v>
      </c>
      <c r="F57" s="5" t="s">
        <v>3166</v>
      </c>
      <c r="G57" s="4" t="s">
        <v>228</v>
      </c>
      <c r="H57" s="4" t="s">
        <v>231</v>
      </c>
      <c r="I57" s="22">
        <v>2305116.952</v>
      </c>
      <c r="J57" s="22">
        <v>585911.47100000002</v>
      </c>
      <c r="K57" s="22">
        <v>2305111.2990000001</v>
      </c>
      <c r="L57" s="22">
        <v>585902.83200000005</v>
      </c>
      <c r="M57" s="6">
        <v>10.324999999999999</v>
      </c>
      <c r="N57" s="11">
        <v>4</v>
      </c>
      <c r="O57" s="11">
        <v>4.0999999999999996</v>
      </c>
      <c r="P57" s="11">
        <f t="shared" si="0"/>
        <v>9.9999999999999645E-2</v>
      </c>
      <c r="Q57" s="11">
        <f t="shared" si="1"/>
        <v>0.96899999999999997</v>
      </c>
      <c r="R57" s="11">
        <v>1.1200000000000001</v>
      </c>
    </row>
    <row r="58" spans="2:18" ht="16" x14ac:dyDescent="0.3">
      <c r="B58" s="4">
        <v>52</v>
      </c>
      <c r="C58" s="4" t="s">
        <v>3219</v>
      </c>
      <c r="D58" s="5" t="s">
        <v>3177</v>
      </c>
      <c r="E58" s="4">
        <v>300</v>
      </c>
      <c r="F58" s="5" t="s">
        <v>3166</v>
      </c>
      <c r="G58" s="4" t="s">
        <v>292</v>
      </c>
      <c r="H58" s="4" t="s">
        <v>295</v>
      </c>
      <c r="I58" s="22">
        <v>2304905.3879999998</v>
      </c>
      <c r="J58" s="22">
        <v>585599.44200000004</v>
      </c>
      <c r="K58" s="22">
        <v>2304893.4380000001</v>
      </c>
      <c r="L58" s="22">
        <v>585594.98499999999</v>
      </c>
      <c r="M58" s="6">
        <v>12.755000000000001</v>
      </c>
      <c r="N58" s="11">
        <v>2.84</v>
      </c>
      <c r="O58" s="11">
        <v>2.8</v>
      </c>
      <c r="P58" s="11">
        <f t="shared" si="0"/>
        <v>4.0000000000000036E-2</v>
      </c>
      <c r="Q58" s="11">
        <f t="shared" si="1"/>
        <v>0.314</v>
      </c>
      <c r="R58" s="11">
        <v>2.35</v>
      </c>
    </row>
    <row r="59" spans="2:18" ht="16" x14ac:dyDescent="0.3">
      <c r="B59" s="4">
        <v>53</v>
      </c>
      <c r="C59" s="4" t="s">
        <v>3220</v>
      </c>
      <c r="D59" s="5" t="s">
        <v>3177</v>
      </c>
      <c r="E59" s="4">
        <v>300</v>
      </c>
      <c r="F59" s="5" t="s">
        <v>3166</v>
      </c>
      <c r="G59" s="4" t="s">
        <v>286</v>
      </c>
      <c r="H59" s="4" t="s">
        <v>289</v>
      </c>
      <c r="I59" s="22">
        <v>2304923.7209999999</v>
      </c>
      <c r="J59" s="22">
        <v>585626.78200000001</v>
      </c>
      <c r="K59" s="22">
        <v>2304919.8259999999</v>
      </c>
      <c r="L59" s="22">
        <v>585617.15500000003</v>
      </c>
      <c r="M59" s="6">
        <v>10.385</v>
      </c>
      <c r="N59" s="11">
        <v>2.96</v>
      </c>
      <c r="O59" s="11">
        <v>2.92</v>
      </c>
      <c r="P59" s="11">
        <f t="shared" si="0"/>
        <v>4.0000000000000036E-2</v>
      </c>
      <c r="Q59" s="11">
        <f t="shared" si="1"/>
        <v>0.38500000000000001</v>
      </c>
      <c r="R59" s="11">
        <v>2.23</v>
      </c>
    </row>
    <row r="60" spans="2:18" ht="16" x14ac:dyDescent="0.3">
      <c r="B60" s="4">
        <v>54</v>
      </c>
      <c r="C60" s="4" t="s">
        <v>3221</v>
      </c>
      <c r="D60" s="5" t="s">
        <v>3177</v>
      </c>
      <c r="E60" s="4">
        <v>300</v>
      </c>
      <c r="F60" s="5" t="s">
        <v>3166</v>
      </c>
      <c r="G60" s="4" t="s">
        <v>280</v>
      </c>
      <c r="H60" s="4" t="s">
        <v>283</v>
      </c>
      <c r="I60" s="22">
        <v>2304942.13</v>
      </c>
      <c r="J60" s="22">
        <v>585654.23400000005</v>
      </c>
      <c r="K60" s="22">
        <v>2304932.2740000002</v>
      </c>
      <c r="L60" s="22">
        <v>585648.51300000004</v>
      </c>
      <c r="M60" s="6">
        <v>11.396000000000001</v>
      </c>
      <c r="N60" s="11">
        <v>3.08</v>
      </c>
      <c r="O60" s="11">
        <v>3.04</v>
      </c>
      <c r="P60" s="11">
        <f t="shared" si="0"/>
        <v>4.0000000000000036E-2</v>
      </c>
      <c r="Q60" s="11">
        <f t="shared" si="1"/>
        <v>0.35099999999999998</v>
      </c>
      <c r="R60" s="11">
        <v>2.11</v>
      </c>
    </row>
    <row r="61" spans="2:18" ht="16" x14ac:dyDescent="0.3">
      <c r="B61" s="4">
        <v>55</v>
      </c>
      <c r="C61" s="4" t="s">
        <v>3222</v>
      </c>
      <c r="D61" s="5" t="s">
        <v>3177</v>
      </c>
      <c r="E61" s="4">
        <v>300</v>
      </c>
      <c r="F61" s="5" t="s">
        <v>3166</v>
      </c>
      <c r="G61" s="4" t="s">
        <v>274</v>
      </c>
      <c r="H61" s="4" t="s">
        <v>277</v>
      </c>
      <c r="I61" s="22">
        <v>2304960.5150000001</v>
      </c>
      <c r="J61" s="22">
        <v>585681.652</v>
      </c>
      <c r="K61" s="22">
        <v>2304950.6329999999</v>
      </c>
      <c r="L61" s="22">
        <v>585675.89199999999</v>
      </c>
      <c r="M61" s="6">
        <v>11.439</v>
      </c>
      <c r="N61" s="11">
        <v>3.25</v>
      </c>
      <c r="O61" s="11">
        <v>3.17</v>
      </c>
      <c r="P61" s="11">
        <f t="shared" si="0"/>
        <v>8.0000000000000071E-2</v>
      </c>
      <c r="Q61" s="11">
        <f t="shared" si="1"/>
        <v>0.69899999999999995</v>
      </c>
      <c r="R61" s="11">
        <v>1.96</v>
      </c>
    </row>
    <row r="62" spans="2:18" ht="16" x14ac:dyDescent="0.3">
      <c r="B62" s="4">
        <v>56</v>
      </c>
      <c r="C62" s="4" t="s">
        <v>3223</v>
      </c>
      <c r="D62" s="5" t="s">
        <v>3177</v>
      </c>
      <c r="E62" s="4">
        <v>300</v>
      </c>
      <c r="F62" s="5" t="s">
        <v>3166</v>
      </c>
      <c r="G62" s="4" t="s">
        <v>268</v>
      </c>
      <c r="H62" s="4" t="s">
        <v>271</v>
      </c>
      <c r="I62" s="22">
        <v>2304978.94</v>
      </c>
      <c r="J62" s="22">
        <v>585709.12800000003</v>
      </c>
      <c r="K62" s="22">
        <v>2304969.014</v>
      </c>
      <c r="L62" s="22">
        <v>585703.30299999996</v>
      </c>
      <c r="M62" s="6">
        <v>11.507999999999999</v>
      </c>
      <c r="N62" s="11">
        <v>3.29</v>
      </c>
      <c r="O62" s="11">
        <v>3.29</v>
      </c>
      <c r="P62" s="11">
        <f t="shared" si="0"/>
        <v>0</v>
      </c>
      <c r="Q62" s="11">
        <f t="shared" si="1"/>
        <v>0</v>
      </c>
      <c r="R62" s="11">
        <v>1.88</v>
      </c>
    </row>
    <row r="63" spans="2:18" ht="16" x14ac:dyDescent="0.3">
      <c r="B63" s="4">
        <v>57</v>
      </c>
      <c r="C63" s="4" t="s">
        <v>3224</v>
      </c>
      <c r="D63" s="5" t="s">
        <v>3177</v>
      </c>
      <c r="E63" s="4">
        <v>300</v>
      </c>
      <c r="F63" s="5" t="s">
        <v>3166</v>
      </c>
      <c r="G63" s="4" t="s">
        <v>262</v>
      </c>
      <c r="H63" s="4" t="s">
        <v>265</v>
      </c>
      <c r="I63" s="22">
        <v>2304997.2590000001</v>
      </c>
      <c r="J63" s="22">
        <v>585736.44700000004</v>
      </c>
      <c r="K63" s="22">
        <v>2304987.3840000001</v>
      </c>
      <c r="L63" s="22">
        <v>585730.69700000004</v>
      </c>
      <c r="M63" s="6">
        <v>11.427</v>
      </c>
      <c r="N63" s="11">
        <v>3.41</v>
      </c>
      <c r="O63" s="11">
        <v>3.37</v>
      </c>
      <c r="P63" s="11">
        <f t="shared" si="0"/>
        <v>4.0000000000000036E-2</v>
      </c>
      <c r="Q63" s="11">
        <f t="shared" si="1"/>
        <v>0.35</v>
      </c>
      <c r="R63" s="11">
        <v>1.78</v>
      </c>
    </row>
    <row r="64" spans="2:18" ht="16" x14ac:dyDescent="0.3">
      <c r="B64" s="4">
        <v>58</v>
      </c>
      <c r="C64" s="4" t="s">
        <v>3225</v>
      </c>
      <c r="D64" s="5" t="s">
        <v>3177</v>
      </c>
      <c r="E64" s="4">
        <v>300</v>
      </c>
      <c r="F64" s="5" t="s">
        <v>3166</v>
      </c>
      <c r="G64" s="4" t="s">
        <v>252</v>
      </c>
      <c r="H64" s="4" t="s">
        <v>256</v>
      </c>
      <c r="I64" s="22">
        <v>2305037.1150000002</v>
      </c>
      <c r="J64" s="22">
        <v>585796.38199999998</v>
      </c>
      <c r="K64" s="22">
        <v>2305028.2880000002</v>
      </c>
      <c r="L64" s="22">
        <v>585782.69400000002</v>
      </c>
      <c r="M64" s="6">
        <v>16.286999999999999</v>
      </c>
      <c r="N64" s="11">
        <v>3.68</v>
      </c>
      <c r="O64" s="11">
        <v>3.62</v>
      </c>
      <c r="P64" s="11">
        <f t="shared" si="0"/>
        <v>6.0000000000000053E-2</v>
      </c>
      <c r="Q64" s="11">
        <f t="shared" si="1"/>
        <v>0.36799999999999999</v>
      </c>
      <c r="R64" s="11">
        <v>1.56</v>
      </c>
    </row>
    <row r="65" spans="2:18" ht="16" x14ac:dyDescent="0.3">
      <c r="B65" s="4">
        <v>59</v>
      </c>
      <c r="C65" s="4" t="s">
        <v>3226</v>
      </c>
      <c r="D65" s="5" t="s">
        <v>3177</v>
      </c>
      <c r="E65" s="4">
        <v>300</v>
      </c>
      <c r="F65" s="5" t="s">
        <v>3166</v>
      </c>
      <c r="G65" s="4" t="s">
        <v>246</v>
      </c>
      <c r="H65" s="4" t="s">
        <v>249</v>
      </c>
      <c r="I65" s="22">
        <v>2305059.9160000002</v>
      </c>
      <c r="J65" s="22">
        <v>585830.41899999999</v>
      </c>
      <c r="K65" s="22">
        <v>2305054.8169999998</v>
      </c>
      <c r="L65" s="22">
        <v>585821.53200000001</v>
      </c>
      <c r="M65" s="6">
        <v>10.246</v>
      </c>
      <c r="N65" s="11">
        <v>3.81</v>
      </c>
      <c r="O65" s="11">
        <v>3.78</v>
      </c>
      <c r="P65" s="11">
        <f t="shared" si="0"/>
        <v>3.0000000000000249E-2</v>
      </c>
      <c r="Q65" s="11">
        <f t="shared" si="1"/>
        <v>0.29299999999999998</v>
      </c>
      <c r="R65" s="11">
        <v>1.375</v>
      </c>
    </row>
    <row r="66" spans="2:18" ht="16" x14ac:dyDescent="0.3">
      <c r="B66" s="4">
        <v>60</v>
      </c>
      <c r="C66" s="4" t="s">
        <v>3227</v>
      </c>
      <c r="D66" s="5" t="s">
        <v>3177</v>
      </c>
      <c r="E66" s="4">
        <v>300</v>
      </c>
      <c r="F66" s="5" t="s">
        <v>3166</v>
      </c>
      <c r="G66" s="4" t="s">
        <v>240</v>
      </c>
      <c r="H66" s="4" t="s">
        <v>243</v>
      </c>
      <c r="I66" s="22">
        <v>2305078.3489999999</v>
      </c>
      <c r="J66" s="22">
        <v>585857.91200000001</v>
      </c>
      <c r="K66" s="22">
        <v>2305074.602</v>
      </c>
      <c r="L66" s="22">
        <v>585848.00699999998</v>
      </c>
      <c r="M66" s="6">
        <v>10.590999999999999</v>
      </c>
      <c r="N66" s="11">
        <v>3.92</v>
      </c>
      <c r="O66" s="11">
        <v>3.89</v>
      </c>
      <c r="P66" s="11">
        <f t="shared" si="0"/>
        <v>2.9999999999999805E-2</v>
      </c>
      <c r="Q66" s="11">
        <f t="shared" si="1"/>
        <v>0.28299999999999997</v>
      </c>
      <c r="R66" s="11">
        <v>1.2649999999999999</v>
      </c>
    </row>
    <row r="67" spans="2:18" ht="16" x14ac:dyDescent="0.3">
      <c r="B67" s="4">
        <v>61</v>
      </c>
      <c r="C67" s="4" t="s">
        <v>3228</v>
      </c>
      <c r="D67" s="5" t="s">
        <v>3177</v>
      </c>
      <c r="E67" s="4">
        <v>300</v>
      </c>
      <c r="F67" s="5" t="s">
        <v>3166</v>
      </c>
      <c r="G67" s="4" t="s">
        <v>234</v>
      </c>
      <c r="H67" s="4" t="s">
        <v>237</v>
      </c>
      <c r="I67" s="22">
        <v>2305096.7000000002</v>
      </c>
      <c r="J67" s="22">
        <v>585885.28200000001</v>
      </c>
      <c r="K67" s="22">
        <v>2305092.949</v>
      </c>
      <c r="L67" s="22">
        <v>585875.38399999996</v>
      </c>
      <c r="M67" s="6">
        <v>10.585000000000001</v>
      </c>
      <c r="N67" s="11">
        <v>4.03</v>
      </c>
      <c r="O67" s="11">
        <v>3.99</v>
      </c>
      <c r="P67" s="11">
        <f t="shared" si="0"/>
        <v>4.0000000000000036E-2</v>
      </c>
      <c r="Q67" s="11">
        <f t="shared" si="1"/>
        <v>0.378</v>
      </c>
      <c r="R67" s="11">
        <v>1.1599999999999999</v>
      </c>
    </row>
    <row r="68" spans="2:18" ht="16" x14ac:dyDescent="0.3">
      <c r="B68" s="4">
        <v>62</v>
      </c>
      <c r="C68" s="4" t="s">
        <v>3229</v>
      </c>
      <c r="D68" s="5" t="s">
        <v>3177</v>
      </c>
      <c r="E68" s="4">
        <v>300</v>
      </c>
      <c r="F68" s="5" t="s">
        <v>3166</v>
      </c>
      <c r="G68" s="4" t="s">
        <v>1679</v>
      </c>
      <c r="H68" s="4" t="s">
        <v>1676</v>
      </c>
      <c r="I68" s="22">
        <v>2305306.7969999998</v>
      </c>
      <c r="J68" s="22">
        <v>585584.88199999998</v>
      </c>
      <c r="K68" s="22">
        <v>2305327.1260000002</v>
      </c>
      <c r="L68" s="22">
        <v>585615.19700000004</v>
      </c>
      <c r="M68" s="6">
        <v>36.5</v>
      </c>
      <c r="N68" s="11">
        <v>3.16</v>
      </c>
      <c r="O68" s="11">
        <v>3.26</v>
      </c>
      <c r="P68" s="11">
        <f t="shared" si="0"/>
        <v>9.9999999999999645E-2</v>
      </c>
      <c r="Q68" s="11">
        <f t="shared" si="1"/>
        <v>0.27400000000000002</v>
      </c>
      <c r="R68" s="11">
        <v>2.1</v>
      </c>
    </row>
    <row r="69" spans="2:18" ht="16" x14ac:dyDescent="0.3">
      <c r="B69" s="4">
        <v>63</v>
      </c>
      <c r="C69" s="4" t="s">
        <v>3230</v>
      </c>
      <c r="D69" s="5" t="s">
        <v>3177</v>
      </c>
      <c r="E69" s="4">
        <v>300</v>
      </c>
      <c r="F69" s="5" t="s">
        <v>3166</v>
      </c>
      <c r="G69" s="4" t="s">
        <v>606</v>
      </c>
      <c r="H69" s="4" t="s">
        <v>1691</v>
      </c>
      <c r="I69" s="22">
        <v>2305271.4610000001</v>
      </c>
      <c r="J69" s="22">
        <v>585479.23699999996</v>
      </c>
      <c r="K69" s="22">
        <v>2305249.727</v>
      </c>
      <c r="L69" s="22">
        <v>585488.70700000005</v>
      </c>
      <c r="M69" s="6">
        <v>23.899000000000001</v>
      </c>
      <c r="N69" s="11">
        <v>3.34</v>
      </c>
      <c r="O69" s="11">
        <v>2.76</v>
      </c>
      <c r="P69" s="11">
        <f t="shared" si="0"/>
        <v>0.58000000000000007</v>
      </c>
      <c r="Q69" s="11">
        <f t="shared" si="1"/>
        <v>2.427</v>
      </c>
      <c r="R69" s="11">
        <v>2.2200000000000002</v>
      </c>
    </row>
    <row r="70" spans="2:18" ht="16" x14ac:dyDescent="0.3">
      <c r="B70" s="4">
        <v>64</v>
      </c>
      <c r="C70" s="4" t="s">
        <v>3231</v>
      </c>
      <c r="D70" s="5" t="s">
        <v>3177</v>
      </c>
      <c r="E70" s="4">
        <v>300</v>
      </c>
      <c r="F70" s="5" t="s">
        <v>3166</v>
      </c>
      <c r="G70" s="4" t="s">
        <v>519</v>
      </c>
      <c r="H70" s="4" t="s">
        <v>522</v>
      </c>
      <c r="I70" s="22">
        <v>2304765.14</v>
      </c>
      <c r="J70" s="22">
        <v>585545.255</v>
      </c>
      <c r="K70" s="22">
        <v>2304773.8080000002</v>
      </c>
      <c r="L70" s="22">
        <v>585539.61300000001</v>
      </c>
      <c r="M70" s="6">
        <v>10.343</v>
      </c>
      <c r="N70" s="11">
        <v>3.79</v>
      </c>
      <c r="O70" s="11">
        <v>3.75</v>
      </c>
      <c r="P70" s="11">
        <f t="shared" si="0"/>
        <v>4.0000000000000036E-2</v>
      </c>
      <c r="Q70" s="11">
        <f t="shared" si="1"/>
        <v>0.38700000000000001</v>
      </c>
      <c r="R70" s="11">
        <v>1.4</v>
      </c>
    </row>
    <row r="71" spans="2:18" ht="16" x14ac:dyDescent="0.3">
      <c r="B71" s="4">
        <v>65</v>
      </c>
      <c r="C71" s="4" t="s">
        <v>3232</v>
      </c>
      <c r="D71" s="5" t="s">
        <v>3177</v>
      </c>
      <c r="E71" s="4">
        <v>300</v>
      </c>
      <c r="F71" s="5" t="s">
        <v>3166</v>
      </c>
      <c r="G71" s="4" t="s">
        <v>1825</v>
      </c>
      <c r="H71" s="4" t="s">
        <v>1822</v>
      </c>
      <c r="I71" s="22">
        <v>2305250.4369999999</v>
      </c>
      <c r="J71" s="22">
        <v>585536.53200000001</v>
      </c>
      <c r="K71" s="22">
        <v>2305261.0490000001</v>
      </c>
      <c r="L71" s="22">
        <v>585559.56299999997</v>
      </c>
      <c r="M71" s="6">
        <v>25.422000000000001</v>
      </c>
      <c r="N71" s="11">
        <v>3.23</v>
      </c>
      <c r="O71" s="11">
        <v>3.32</v>
      </c>
      <c r="P71" s="11">
        <f t="shared" ref="P71:P134" si="2">IF(AND(ISNUMBER(N71),ISNUMBER(O71)),ABS(N71-O71),0)</f>
        <v>8.9999999999999858E-2</v>
      </c>
      <c r="Q71" s="11">
        <f t="shared" ref="Q71:Q134" si="3">IF(M71&gt;0,ROUND(P71/M71*100,3),0)</f>
        <v>0.35399999999999998</v>
      </c>
      <c r="R71" s="11">
        <v>2.0150000000000001</v>
      </c>
    </row>
    <row r="72" spans="2:18" ht="16" x14ac:dyDescent="0.3">
      <c r="B72" s="4">
        <v>66</v>
      </c>
      <c r="C72" s="4" t="s">
        <v>3233</v>
      </c>
      <c r="D72" s="5" t="s">
        <v>3177</v>
      </c>
      <c r="E72" s="4">
        <v>300</v>
      </c>
      <c r="F72" s="5" t="s">
        <v>3166</v>
      </c>
      <c r="G72" s="4" t="s">
        <v>2062</v>
      </c>
      <c r="H72" s="4" t="s">
        <v>2185</v>
      </c>
      <c r="I72" s="22">
        <v>2305143.781</v>
      </c>
      <c r="J72" s="22">
        <v>585485.08299999998</v>
      </c>
      <c r="K72" s="22">
        <v>2305163.091</v>
      </c>
      <c r="L72" s="22">
        <v>585469.50100000005</v>
      </c>
      <c r="M72" s="6">
        <v>24.838000000000001</v>
      </c>
      <c r="N72" s="11">
        <v>3.83</v>
      </c>
      <c r="O72" s="11">
        <v>3.74</v>
      </c>
      <c r="P72" s="11">
        <f t="shared" si="2"/>
        <v>8.9999999999999858E-2</v>
      </c>
      <c r="Q72" s="11">
        <f t="shared" si="3"/>
        <v>0.36199999999999999</v>
      </c>
      <c r="R72" s="11">
        <v>1.4850000000000001</v>
      </c>
    </row>
    <row r="73" spans="2:18" ht="16" x14ac:dyDescent="0.3">
      <c r="B73" s="4">
        <v>67</v>
      </c>
      <c r="C73" s="4" t="s">
        <v>3234</v>
      </c>
      <c r="D73" s="5" t="s">
        <v>3177</v>
      </c>
      <c r="E73" s="4">
        <v>300</v>
      </c>
      <c r="F73" s="5" t="s">
        <v>3166</v>
      </c>
      <c r="G73" s="4" t="s">
        <v>573</v>
      </c>
      <c r="H73" s="4" t="s">
        <v>2179</v>
      </c>
      <c r="I73" s="22">
        <v>2305178.4279999998</v>
      </c>
      <c r="J73" s="22">
        <v>585394.22199999995</v>
      </c>
      <c r="K73" s="22">
        <v>2305157.0269999998</v>
      </c>
      <c r="L73" s="22">
        <v>585391.71799999999</v>
      </c>
      <c r="M73" s="6">
        <v>21.547000000000001</v>
      </c>
      <c r="N73" s="11">
        <v>2.35</v>
      </c>
      <c r="O73" s="11">
        <v>1.68</v>
      </c>
      <c r="P73" s="11">
        <f t="shared" si="2"/>
        <v>0.67000000000000015</v>
      </c>
      <c r="Q73" s="11">
        <f t="shared" si="3"/>
        <v>3.109</v>
      </c>
      <c r="R73" s="11">
        <v>3.2949999999999999</v>
      </c>
    </row>
    <row r="74" spans="2:18" ht="16" x14ac:dyDescent="0.3">
      <c r="B74" s="4">
        <v>68</v>
      </c>
      <c r="C74" s="4" t="s">
        <v>3235</v>
      </c>
      <c r="D74" s="5" t="s">
        <v>3177</v>
      </c>
      <c r="E74" s="4">
        <v>300</v>
      </c>
      <c r="F74" s="5" t="s">
        <v>3166</v>
      </c>
      <c r="G74" s="4" t="s">
        <v>525</v>
      </c>
      <c r="H74" s="4" t="s">
        <v>1409</v>
      </c>
      <c r="I74" s="22">
        <v>2305565.0269999998</v>
      </c>
      <c r="J74" s="22">
        <v>585481.57200000004</v>
      </c>
      <c r="K74" s="22">
        <v>2305594.3739999998</v>
      </c>
      <c r="L74" s="22">
        <v>585461.603</v>
      </c>
      <c r="M74" s="6">
        <v>35.497</v>
      </c>
      <c r="N74" s="11">
        <v>3.61</v>
      </c>
      <c r="O74" s="11">
        <v>3.85</v>
      </c>
      <c r="P74" s="11">
        <f t="shared" si="2"/>
        <v>0.24000000000000021</v>
      </c>
      <c r="Q74" s="11">
        <f t="shared" si="3"/>
        <v>0.67600000000000005</v>
      </c>
      <c r="R74" s="11">
        <v>1.44</v>
      </c>
    </row>
    <row r="75" spans="2:18" ht="16" x14ac:dyDescent="0.3">
      <c r="B75" s="4">
        <v>69</v>
      </c>
      <c r="C75" s="4" t="s">
        <v>3236</v>
      </c>
      <c r="D75" s="5" t="s">
        <v>3177</v>
      </c>
      <c r="E75" s="4">
        <v>300</v>
      </c>
      <c r="F75" s="5" t="s">
        <v>3166</v>
      </c>
      <c r="G75" s="4" t="s">
        <v>1421</v>
      </c>
      <c r="H75" s="4" t="s">
        <v>525</v>
      </c>
      <c r="I75" s="22">
        <v>2305573.9330000002</v>
      </c>
      <c r="J75" s="22">
        <v>585511.94700000004</v>
      </c>
      <c r="K75" s="22">
        <v>2305564.1970000002</v>
      </c>
      <c r="L75" s="22">
        <v>585482.08700000006</v>
      </c>
      <c r="M75" s="6">
        <v>33.453000000000003</v>
      </c>
      <c r="N75" s="11">
        <v>3.68</v>
      </c>
      <c r="O75" s="11">
        <v>3.61</v>
      </c>
      <c r="P75" s="11">
        <f t="shared" si="2"/>
        <v>7.0000000000000284E-2</v>
      </c>
      <c r="Q75" s="11">
        <f t="shared" si="3"/>
        <v>0.20899999999999999</v>
      </c>
      <c r="R75" s="11">
        <v>1.595</v>
      </c>
    </row>
    <row r="76" spans="2:18" ht="16" x14ac:dyDescent="0.3">
      <c r="B76" s="4">
        <v>70</v>
      </c>
      <c r="C76" s="4" t="s">
        <v>3237</v>
      </c>
      <c r="D76" s="5" t="s">
        <v>3177</v>
      </c>
      <c r="E76" s="4">
        <v>300</v>
      </c>
      <c r="F76" s="5" t="s">
        <v>3166</v>
      </c>
      <c r="G76" s="4" t="s">
        <v>1418</v>
      </c>
      <c r="H76" s="4" t="s">
        <v>1421</v>
      </c>
      <c r="I76" s="22">
        <v>2305585.1970000002</v>
      </c>
      <c r="J76" s="22">
        <v>585524.23899999994</v>
      </c>
      <c r="K76" s="22">
        <v>2305574.5099999998</v>
      </c>
      <c r="L76" s="22">
        <v>585512.80799999996</v>
      </c>
      <c r="M76" s="6">
        <v>15.648</v>
      </c>
      <c r="N76" s="11">
        <v>3.77</v>
      </c>
      <c r="O76" s="11">
        <v>3.68</v>
      </c>
      <c r="P76" s="11">
        <f t="shared" si="2"/>
        <v>8.9999999999999858E-2</v>
      </c>
      <c r="Q76" s="11">
        <f t="shared" si="3"/>
        <v>0.57499999999999996</v>
      </c>
      <c r="R76" s="11">
        <v>1.585</v>
      </c>
    </row>
    <row r="77" spans="2:18" ht="16" x14ac:dyDescent="0.3">
      <c r="B77" s="4">
        <v>71</v>
      </c>
      <c r="C77" s="4" t="s">
        <v>3238</v>
      </c>
      <c r="D77" s="5" t="s">
        <v>3177</v>
      </c>
      <c r="E77" s="4">
        <v>300</v>
      </c>
      <c r="F77" s="5" t="s">
        <v>3166</v>
      </c>
      <c r="G77" s="4" t="s">
        <v>1412</v>
      </c>
      <c r="H77" s="4" t="s">
        <v>1415</v>
      </c>
      <c r="I77" s="22">
        <v>2305620.6009999998</v>
      </c>
      <c r="J77" s="22">
        <v>585564.09600000002</v>
      </c>
      <c r="K77" s="22">
        <v>2305604.727</v>
      </c>
      <c r="L77" s="22">
        <v>585553.36300000001</v>
      </c>
      <c r="M77" s="6">
        <v>19.161999999999999</v>
      </c>
      <c r="N77" s="11">
        <v>3.92</v>
      </c>
      <c r="O77" s="11">
        <v>3.86</v>
      </c>
      <c r="P77" s="11">
        <f t="shared" si="2"/>
        <v>6.0000000000000053E-2</v>
      </c>
      <c r="Q77" s="11">
        <f t="shared" si="3"/>
        <v>0.313</v>
      </c>
      <c r="R77" s="11">
        <v>1.35</v>
      </c>
    </row>
    <row r="78" spans="2:18" ht="16" x14ac:dyDescent="0.3">
      <c r="B78" s="4">
        <v>72</v>
      </c>
      <c r="C78" s="4" t="s">
        <v>3239</v>
      </c>
      <c r="D78" s="5" t="s">
        <v>3177</v>
      </c>
      <c r="E78" s="4">
        <v>300</v>
      </c>
      <c r="F78" s="5" t="s">
        <v>3166</v>
      </c>
      <c r="G78" s="4" t="s">
        <v>1637</v>
      </c>
      <c r="H78" s="4" t="s">
        <v>1634</v>
      </c>
      <c r="I78" s="22">
        <v>2305407.3050000002</v>
      </c>
      <c r="J78" s="22">
        <v>585704.34900000005</v>
      </c>
      <c r="K78" s="22">
        <v>2305415.165</v>
      </c>
      <c r="L78" s="22">
        <v>585711.56499999994</v>
      </c>
      <c r="M78" s="6">
        <v>10.67</v>
      </c>
      <c r="N78" s="11">
        <v>4.1100000000000003</v>
      </c>
      <c r="O78" s="11">
        <v>4.1399999999999997</v>
      </c>
      <c r="P78" s="11">
        <f t="shared" si="2"/>
        <v>2.9999999999999361E-2</v>
      </c>
      <c r="Q78" s="11">
        <f t="shared" si="3"/>
        <v>0.28100000000000003</v>
      </c>
      <c r="R78" s="11">
        <v>1.145</v>
      </c>
    </row>
    <row r="79" spans="2:18" ht="16" x14ac:dyDescent="0.3">
      <c r="B79" s="4">
        <v>73</v>
      </c>
      <c r="C79" s="4" t="s">
        <v>3240</v>
      </c>
      <c r="D79" s="5" t="s">
        <v>3177</v>
      </c>
      <c r="E79" s="4">
        <v>300</v>
      </c>
      <c r="F79" s="5" t="s">
        <v>3166</v>
      </c>
      <c r="G79" s="4" t="s">
        <v>567</v>
      </c>
      <c r="H79" s="4" t="s">
        <v>1643</v>
      </c>
      <c r="I79" s="22">
        <v>2305379.9160000002</v>
      </c>
      <c r="J79" s="22">
        <v>585673.45299999998</v>
      </c>
      <c r="K79" s="22">
        <v>2305385.81</v>
      </c>
      <c r="L79" s="22">
        <v>585681.81000000006</v>
      </c>
      <c r="M79" s="6">
        <v>10.226000000000001</v>
      </c>
      <c r="N79" s="11">
        <v>3.52</v>
      </c>
      <c r="O79" s="11">
        <v>3.95</v>
      </c>
      <c r="P79" s="11">
        <f t="shared" si="2"/>
        <v>0.43000000000000016</v>
      </c>
      <c r="Q79" s="11">
        <f t="shared" si="3"/>
        <v>4.2050000000000001</v>
      </c>
      <c r="R79" s="11">
        <v>1.5349999999999999</v>
      </c>
    </row>
    <row r="80" spans="2:18" ht="16" x14ac:dyDescent="0.3">
      <c r="B80" s="4">
        <v>74</v>
      </c>
      <c r="C80" s="4" t="s">
        <v>3241</v>
      </c>
      <c r="D80" s="5" t="s">
        <v>3177</v>
      </c>
      <c r="E80" s="4">
        <v>300</v>
      </c>
      <c r="F80" s="5" t="s">
        <v>3166</v>
      </c>
      <c r="G80" s="4" t="s">
        <v>1493</v>
      </c>
      <c r="H80" s="4" t="s">
        <v>411</v>
      </c>
      <c r="I80" s="22">
        <v>2305190.8930000002</v>
      </c>
      <c r="J80" s="22">
        <v>585205.93000000005</v>
      </c>
      <c r="K80" s="22">
        <v>2305200.3470000001</v>
      </c>
      <c r="L80" s="22">
        <v>585194.28200000001</v>
      </c>
      <c r="M80" s="6">
        <v>15.002000000000001</v>
      </c>
      <c r="N80" s="11">
        <v>3.07</v>
      </c>
      <c r="O80" s="11">
        <v>3.12</v>
      </c>
      <c r="P80" s="11">
        <f t="shared" si="2"/>
        <v>5.0000000000000266E-2</v>
      </c>
      <c r="Q80" s="11">
        <f t="shared" si="3"/>
        <v>0.33300000000000002</v>
      </c>
      <c r="R80" s="11">
        <v>1.9750000000000001</v>
      </c>
    </row>
    <row r="81" spans="2:18" ht="16" x14ac:dyDescent="0.3">
      <c r="B81" s="4">
        <v>75</v>
      </c>
      <c r="C81" s="4" t="s">
        <v>3242</v>
      </c>
      <c r="D81" s="5" t="s">
        <v>3177</v>
      </c>
      <c r="E81" s="4">
        <v>300</v>
      </c>
      <c r="F81" s="5" t="s">
        <v>3166</v>
      </c>
      <c r="G81" s="4" t="s">
        <v>405</v>
      </c>
      <c r="H81" s="4" t="s">
        <v>408</v>
      </c>
      <c r="I81" s="22">
        <v>2305182.4569999999</v>
      </c>
      <c r="J81" s="22">
        <v>585154.51599999995</v>
      </c>
      <c r="K81" s="22">
        <v>2305186.7510000002</v>
      </c>
      <c r="L81" s="22">
        <v>585163.91299999994</v>
      </c>
      <c r="M81" s="6">
        <v>10.331</v>
      </c>
      <c r="N81" s="11">
        <v>3.28</v>
      </c>
      <c r="O81" s="11">
        <v>3.24</v>
      </c>
      <c r="P81" s="11">
        <f t="shared" si="2"/>
        <v>3.9999999999999591E-2</v>
      </c>
      <c r="Q81" s="11">
        <f t="shared" si="3"/>
        <v>0.38700000000000001</v>
      </c>
      <c r="R81" s="11">
        <v>1.81</v>
      </c>
    </row>
    <row r="82" spans="2:18" ht="16" x14ac:dyDescent="0.3">
      <c r="B82" s="4">
        <v>76</v>
      </c>
      <c r="C82" s="4" t="s">
        <v>3243</v>
      </c>
      <c r="D82" s="5" t="s">
        <v>3177</v>
      </c>
      <c r="E82" s="4">
        <v>300</v>
      </c>
      <c r="F82" s="5" t="s">
        <v>3166</v>
      </c>
      <c r="G82" s="4" t="s">
        <v>399</v>
      </c>
      <c r="H82" s="4" t="s">
        <v>402</v>
      </c>
      <c r="I82" s="22">
        <v>2305152.145</v>
      </c>
      <c r="J82" s="22">
        <v>585115.00800000003</v>
      </c>
      <c r="K82" s="22">
        <v>2305158.5</v>
      </c>
      <c r="L82" s="22">
        <v>585124.80099999998</v>
      </c>
      <c r="M82" s="6">
        <v>11.673999999999999</v>
      </c>
      <c r="N82" s="11">
        <v>3.45</v>
      </c>
      <c r="O82" s="11">
        <v>3.41</v>
      </c>
      <c r="P82" s="11">
        <f t="shared" si="2"/>
        <v>4.0000000000000036E-2</v>
      </c>
      <c r="Q82" s="11">
        <f t="shared" si="3"/>
        <v>0.34300000000000003</v>
      </c>
      <c r="R82" s="11">
        <v>1.64</v>
      </c>
    </row>
    <row r="83" spans="2:18" ht="16" x14ac:dyDescent="0.3">
      <c r="B83" s="4">
        <v>77</v>
      </c>
      <c r="C83" s="4" t="s">
        <v>3244</v>
      </c>
      <c r="D83" s="5" t="s">
        <v>3177</v>
      </c>
      <c r="E83" s="4">
        <v>300</v>
      </c>
      <c r="F83" s="5" t="s">
        <v>3166</v>
      </c>
      <c r="G83" s="4" t="s">
        <v>393</v>
      </c>
      <c r="H83" s="4" t="s">
        <v>3087</v>
      </c>
      <c r="I83" s="22">
        <v>2305127.841</v>
      </c>
      <c r="J83" s="22">
        <v>585073.00800000003</v>
      </c>
      <c r="K83" s="22">
        <v>2305133.6120000002</v>
      </c>
      <c r="L83" s="22">
        <v>585081.61300000001</v>
      </c>
      <c r="M83" s="6">
        <v>10.361000000000001</v>
      </c>
      <c r="N83" s="11">
        <v>3.62</v>
      </c>
      <c r="O83" s="11">
        <v>3.59</v>
      </c>
      <c r="P83" s="11">
        <f t="shared" si="2"/>
        <v>3.0000000000000249E-2</v>
      </c>
      <c r="Q83" s="11">
        <f t="shared" si="3"/>
        <v>0.28999999999999998</v>
      </c>
      <c r="R83" s="11">
        <v>1.4650000000000001</v>
      </c>
    </row>
    <row r="84" spans="2:18" ht="16" x14ac:dyDescent="0.3">
      <c r="B84" s="4">
        <v>78</v>
      </c>
      <c r="C84" s="4" t="s">
        <v>3245</v>
      </c>
      <c r="D84" s="5" t="s">
        <v>3177</v>
      </c>
      <c r="E84" s="4">
        <v>300</v>
      </c>
      <c r="F84" s="5" t="s">
        <v>3166</v>
      </c>
      <c r="G84" s="4" t="s">
        <v>414</v>
      </c>
      <c r="H84" s="4" t="s">
        <v>2881</v>
      </c>
      <c r="I84" s="22">
        <v>2305106.969</v>
      </c>
      <c r="J84" s="22">
        <v>585263.99199999997</v>
      </c>
      <c r="K84" s="22">
        <v>2305108.531</v>
      </c>
      <c r="L84" s="22">
        <v>585284.74300000002</v>
      </c>
      <c r="M84" s="6">
        <v>20.81</v>
      </c>
      <c r="N84" s="11">
        <v>2.72</v>
      </c>
      <c r="O84" s="11">
        <v>2.66</v>
      </c>
      <c r="P84" s="11">
        <f t="shared" si="2"/>
        <v>6.0000000000000053E-2</v>
      </c>
      <c r="Q84" s="11">
        <f t="shared" si="3"/>
        <v>0.28799999999999998</v>
      </c>
      <c r="R84" s="11">
        <v>2.4249999999999998</v>
      </c>
    </row>
    <row r="85" spans="2:18" ht="16" x14ac:dyDescent="0.3">
      <c r="B85" s="4">
        <v>79</v>
      </c>
      <c r="C85" s="4" t="s">
        <v>3246</v>
      </c>
      <c r="D85" s="5" t="s">
        <v>3177</v>
      </c>
      <c r="E85" s="4">
        <v>300</v>
      </c>
      <c r="F85" s="5" t="s">
        <v>3166</v>
      </c>
      <c r="G85" s="4" t="s">
        <v>426</v>
      </c>
      <c r="H85" s="4" t="s">
        <v>1535</v>
      </c>
      <c r="I85" s="22">
        <v>2305048.889</v>
      </c>
      <c r="J85" s="22">
        <v>585184.92599999998</v>
      </c>
      <c r="K85" s="22">
        <v>2305054.3739999998</v>
      </c>
      <c r="L85" s="22">
        <v>585193.64899999998</v>
      </c>
      <c r="M85" s="6">
        <v>10.304</v>
      </c>
      <c r="N85" s="11">
        <v>3.44</v>
      </c>
      <c r="O85" s="11">
        <v>3.41</v>
      </c>
      <c r="P85" s="11">
        <f t="shared" si="2"/>
        <v>2.9999999999999805E-2</v>
      </c>
      <c r="Q85" s="11">
        <f t="shared" si="3"/>
        <v>0.29099999999999998</v>
      </c>
      <c r="R85" s="11">
        <v>1.645</v>
      </c>
    </row>
    <row r="86" spans="2:18" ht="16" x14ac:dyDescent="0.3">
      <c r="B86" s="4">
        <v>80</v>
      </c>
      <c r="C86" s="4" t="s">
        <v>3247</v>
      </c>
      <c r="D86" s="5" t="s">
        <v>3177</v>
      </c>
      <c r="E86" s="4">
        <v>300</v>
      </c>
      <c r="F86" s="5" t="s">
        <v>3166</v>
      </c>
      <c r="G86" s="4" t="s">
        <v>420</v>
      </c>
      <c r="H86" s="4" t="s">
        <v>1556</v>
      </c>
      <c r="I86" s="22">
        <v>2305021.2910000002</v>
      </c>
      <c r="J86" s="22">
        <v>585144.44200000004</v>
      </c>
      <c r="K86" s="22">
        <v>2305027.06</v>
      </c>
      <c r="L86" s="22">
        <v>585153.04599999997</v>
      </c>
      <c r="M86" s="6">
        <v>10.36</v>
      </c>
      <c r="N86" s="11">
        <v>3.62</v>
      </c>
      <c r="O86" s="11">
        <v>3.59</v>
      </c>
      <c r="P86" s="11">
        <f t="shared" si="2"/>
        <v>3.0000000000000249E-2</v>
      </c>
      <c r="Q86" s="11">
        <f t="shared" si="3"/>
        <v>0.28999999999999998</v>
      </c>
      <c r="R86" s="11">
        <v>1.4650000000000001</v>
      </c>
    </row>
    <row r="87" spans="2:18" ht="16" x14ac:dyDescent="0.3">
      <c r="B87" s="4">
        <v>81</v>
      </c>
      <c r="C87" s="4" t="s">
        <v>3248</v>
      </c>
      <c r="D87" s="5" t="s">
        <v>3177</v>
      </c>
      <c r="E87" s="4">
        <v>300</v>
      </c>
      <c r="F87" s="5" t="s">
        <v>3166</v>
      </c>
      <c r="G87" s="4" t="s">
        <v>1277</v>
      </c>
      <c r="H87" s="4" t="s">
        <v>1274</v>
      </c>
      <c r="I87" s="22">
        <v>2305533.2940000002</v>
      </c>
      <c r="J87" s="22">
        <v>585324.49600000004</v>
      </c>
      <c r="K87" s="22">
        <v>2305539.3539999998</v>
      </c>
      <c r="L87" s="22">
        <v>585333.59</v>
      </c>
      <c r="M87" s="6">
        <v>10.928000000000001</v>
      </c>
      <c r="N87" s="11">
        <v>4.03</v>
      </c>
      <c r="O87" s="11">
        <v>4.07</v>
      </c>
      <c r="P87" s="11">
        <f t="shared" si="2"/>
        <v>4.0000000000000036E-2</v>
      </c>
      <c r="Q87" s="11">
        <f t="shared" si="3"/>
        <v>0.36599999999999999</v>
      </c>
      <c r="R87" s="11">
        <v>1.1200000000000001</v>
      </c>
    </row>
    <row r="88" spans="2:18" ht="16" x14ac:dyDescent="0.3">
      <c r="B88" s="4">
        <v>82</v>
      </c>
      <c r="C88" s="4" t="s">
        <v>3249</v>
      </c>
      <c r="D88" s="5" t="s">
        <v>3177</v>
      </c>
      <c r="E88" s="4">
        <v>300</v>
      </c>
      <c r="F88" s="5" t="s">
        <v>3166</v>
      </c>
      <c r="G88" s="4" t="s">
        <v>1283</v>
      </c>
      <c r="H88" s="4" t="s">
        <v>1280</v>
      </c>
      <c r="I88" s="22">
        <v>2305516.3199999998</v>
      </c>
      <c r="J88" s="22">
        <v>585296.53899999999</v>
      </c>
      <c r="K88" s="22">
        <v>2305520.233</v>
      </c>
      <c r="L88" s="22">
        <v>585306.30700000003</v>
      </c>
      <c r="M88" s="6">
        <v>10.523</v>
      </c>
      <c r="N88" s="11">
        <v>3.91</v>
      </c>
      <c r="O88" s="11">
        <v>3.95</v>
      </c>
      <c r="P88" s="11">
        <f t="shared" si="2"/>
        <v>4.0000000000000036E-2</v>
      </c>
      <c r="Q88" s="11">
        <f t="shared" si="3"/>
        <v>0.38</v>
      </c>
      <c r="R88" s="11">
        <v>1.24</v>
      </c>
    </row>
    <row r="89" spans="2:18" ht="16" x14ac:dyDescent="0.3">
      <c r="B89" s="4">
        <v>83</v>
      </c>
      <c r="C89" s="4" t="s">
        <v>3250</v>
      </c>
      <c r="D89" s="5" t="s">
        <v>3177</v>
      </c>
      <c r="E89" s="4">
        <v>300</v>
      </c>
      <c r="F89" s="5" t="s">
        <v>3166</v>
      </c>
      <c r="G89" s="4" t="s">
        <v>1289</v>
      </c>
      <c r="H89" s="4" t="s">
        <v>1286</v>
      </c>
      <c r="I89" s="22">
        <v>2305498.1439999999</v>
      </c>
      <c r="J89" s="22">
        <v>585269.04299999995</v>
      </c>
      <c r="K89" s="22">
        <v>2305501.88</v>
      </c>
      <c r="L89" s="22">
        <v>585279</v>
      </c>
      <c r="M89" s="6">
        <v>10.635</v>
      </c>
      <c r="N89" s="11">
        <v>3.79</v>
      </c>
      <c r="O89" s="11">
        <v>3.82</v>
      </c>
      <c r="P89" s="11">
        <f t="shared" si="2"/>
        <v>2.9999999999999805E-2</v>
      </c>
      <c r="Q89" s="11">
        <f t="shared" si="3"/>
        <v>0.28199999999999997</v>
      </c>
      <c r="R89" s="11">
        <v>1.365</v>
      </c>
    </row>
    <row r="90" spans="2:18" ht="16" x14ac:dyDescent="0.3">
      <c r="B90" s="4">
        <v>84</v>
      </c>
      <c r="C90" s="4" t="s">
        <v>3251</v>
      </c>
      <c r="D90" s="5" t="s">
        <v>3177</v>
      </c>
      <c r="E90" s="4">
        <v>300</v>
      </c>
      <c r="F90" s="5" t="s">
        <v>3166</v>
      </c>
      <c r="G90" s="4" t="s">
        <v>2317</v>
      </c>
      <c r="H90" s="4" t="s">
        <v>2320</v>
      </c>
      <c r="I90" s="22">
        <v>2305112.6800000002</v>
      </c>
      <c r="J90" s="22">
        <v>585795.91399999999</v>
      </c>
      <c r="K90" s="22">
        <v>2305135.2880000002</v>
      </c>
      <c r="L90" s="22">
        <v>585780.75399999996</v>
      </c>
      <c r="M90" s="6">
        <v>27.22</v>
      </c>
      <c r="N90" s="11">
        <v>4.32</v>
      </c>
      <c r="O90" s="11">
        <v>4.2300000000000004</v>
      </c>
      <c r="P90" s="11">
        <f t="shared" si="2"/>
        <v>8.9999999999999858E-2</v>
      </c>
      <c r="Q90" s="11">
        <f t="shared" si="3"/>
        <v>0.33100000000000002</v>
      </c>
      <c r="R90" s="11">
        <v>0.995</v>
      </c>
    </row>
    <row r="91" spans="2:18" ht="16" x14ac:dyDescent="0.3">
      <c r="B91" s="4">
        <v>85</v>
      </c>
      <c r="C91" s="4" t="s">
        <v>3252</v>
      </c>
      <c r="D91" s="5" t="s">
        <v>3177</v>
      </c>
      <c r="E91" s="4">
        <v>300</v>
      </c>
      <c r="F91" s="5" t="s">
        <v>3166</v>
      </c>
      <c r="G91" s="4" t="s">
        <v>2215</v>
      </c>
      <c r="H91" s="4" t="s">
        <v>2218</v>
      </c>
      <c r="I91" s="22">
        <v>2304975.852</v>
      </c>
      <c r="J91" s="22">
        <v>585591.29700000002</v>
      </c>
      <c r="K91" s="22">
        <v>2305003.0649999999</v>
      </c>
      <c r="L91" s="22">
        <v>585574.43400000001</v>
      </c>
      <c r="M91" s="6">
        <v>32.014000000000003</v>
      </c>
      <c r="N91" s="11">
        <v>4.32</v>
      </c>
      <c r="O91" s="11">
        <v>4.21</v>
      </c>
      <c r="P91" s="11">
        <f t="shared" si="2"/>
        <v>0.11000000000000032</v>
      </c>
      <c r="Q91" s="11">
        <f t="shared" si="3"/>
        <v>0.34399999999999997</v>
      </c>
      <c r="R91" s="11">
        <v>1.0049999999999999</v>
      </c>
    </row>
    <row r="92" spans="2:18" ht="16" x14ac:dyDescent="0.3">
      <c r="B92" s="4">
        <v>86</v>
      </c>
      <c r="C92" s="4" t="s">
        <v>3253</v>
      </c>
      <c r="D92" s="5" t="s">
        <v>3177</v>
      </c>
      <c r="E92" s="4">
        <v>300</v>
      </c>
      <c r="F92" s="5" t="s">
        <v>3166</v>
      </c>
      <c r="G92" s="4" t="s">
        <v>2752</v>
      </c>
      <c r="H92" s="4" t="s">
        <v>2755</v>
      </c>
      <c r="I92" s="22">
        <v>2304894.9219999998</v>
      </c>
      <c r="J92" s="22">
        <v>585406.19400000002</v>
      </c>
      <c r="K92" s="22">
        <v>2304901.5419999999</v>
      </c>
      <c r="L92" s="22">
        <v>585414.57799999998</v>
      </c>
      <c r="M92" s="6">
        <v>10.683</v>
      </c>
      <c r="N92" s="11">
        <v>3.64</v>
      </c>
      <c r="O92" s="11">
        <v>3.61</v>
      </c>
      <c r="P92" s="11">
        <f t="shared" si="2"/>
        <v>3.0000000000000249E-2</v>
      </c>
      <c r="Q92" s="11">
        <f t="shared" si="3"/>
        <v>0.28100000000000003</v>
      </c>
      <c r="R92" s="11">
        <v>1.5449999999999999</v>
      </c>
    </row>
    <row r="93" spans="2:18" ht="16" x14ac:dyDescent="0.3">
      <c r="B93" s="4">
        <v>87</v>
      </c>
      <c r="C93" s="4" t="s">
        <v>3254</v>
      </c>
      <c r="D93" s="5" t="s">
        <v>3177</v>
      </c>
      <c r="E93" s="4">
        <v>300</v>
      </c>
      <c r="F93" s="5" t="s">
        <v>3166</v>
      </c>
      <c r="G93" s="4" t="s">
        <v>2743</v>
      </c>
      <c r="H93" s="4" t="s">
        <v>2746</v>
      </c>
      <c r="I93" s="22">
        <v>2304867.7400000002</v>
      </c>
      <c r="J93" s="22">
        <v>585365.42299999995</v>
      </c>
      <c r="K93" s="22">
        <v>2304874.2519999999</v>
      </c>
      <c r="L93" s="22">
        <v>585373.88100000005</v>
      </c>
      <c r="M93" s="6">
        <v>10.675000000000001</v>
      </c>
      <c r="N93" s="11">
        <v>3.82</v>
      </c>
      <c r="O93" s="11">
        <v>3.78</v>
      </c>
      <c r="P93" s="11">
        <f t="shared" si="2"/>
        <v>4.0000000000000036E-2</v>
      </c>
      <c r="Q93" s="11">
        <f t="shared" si="3"/>
        <v>0.375</v>
      </c>
      <c r="R93" s="11">
        <v>1.37</v>
      </c>
    </row>
    <row r="94" spans="2:18" ht="16" x14ac:dyDescent="0.3">
      <c r="B94" s="4">
        <v>88</v>
      </c>
      <c r="C94" s="4" t="s">
        <v>3255</v>
      </c>
      <c r="D94" s="5" t="s">
        <v>3177</v>
      </c>
      <c r="E94" s="4">
        <v>300</v>
      </c>
      <c r="F94" s="5" t="s">
        <v>3166</v>
      </c>
      <c r="G94" s="4" t="s">
        <v>2734</v>
      </c>
      <c r="H94" s="4" t="s">
        <v>2737</v>
      </c>
      <c r="I94" s="22">
        <v>2304840.3960000002</v>
      </c>
      <c r="J94" s="22">
        <v>585324.76100000006</v>
      </c>
      <c r="K94" s="22">
        <v>2304846.642</v>
      </c>
      <c r="L94" s="22">
        <v>585332.97699999996</v>
      </c>
      <c r="M94" s="6">
        <v>10.32</v>
      </c>
      <c r="N94" s="11">
        <v>3.99</v>
      </c>
      <c r="O94" s="11">
        <v>3.96</v>
      </c>
      <c r="P94" s="11">
        <f t="shared" si="2"/>
        <v>3.0000000000000249E-2</v>
      </c>
      <c r="Q94" s="11">
        <f t="shared" si="3"/>
        <v>0.29099999999999998</v>
      </c>
      <c r="R94" s="11">
        <v>1.1950000000000001</v>
      </c>
    </row>
    <row r="95" spans="2:18" ht="16" x14ac:dyDescent="0.3">
      <c r="B95" s="4">
        <v>89</v>
      </c>
      <c r="C95" s="4" t="s">
        <v>3256</v>
      </c>
      <c r="D95" s="5" t="s">
        <v>3177</v>
      </c>
      <c r="E95" s="4">
        <v>300</v>
      </c>
      <c r="F95" s="5" t="s">
        <v>3166</v>
      </c>
      <c r="G95" s="4" t="s">
        <v>1490</v>
      </c>
      <c r="H95" s="4" t="s">
        <v>1493</v>
      </c>
      <c r="I95" s="22">
        <v>2305197.6460000002</v>
      </c>
      <c r="J95" s="22">
        <v>585215.06299999997</v>
      </c>
      <c r="K95" s="22">
        <v>2305191.2510000002</v>
      </c>
      <c r="L95" s="22">
        <v>585206.54</v>
      </c>
      <c r="M95" s="6">
        <v>10.654999999999999</v>
      </c>
      <c r="N95" s="11">
        <v>3.11</v>
      </c>
      <c r="O95" s="11">
        <v>3.07</v>
      </c>
      <c r="P95" s="11">
        <f t="shared" si="2"/>
        <v>4.0000000000000036E-2</v>
      </c>
      <c r="Q95" s="11">
        <f t="shared" si="3"/>
        <v>0.375</v>
      </c>
      <c r="R95" s="11">
        <v>1.98</v>
      </c>
    </row>
    <row r="96" spans="2:18" ht="16" x14ac:dyDescent="0.3">
      <c r="B96" s="4">
        <v>90</v>
      </c>
      <c r="C96" s="4" t="s">
        <v>3257</v>
      </c>
      <c r="D96" s="5" t="s">
        <v>3177</v>
      </c>
      <c r="E96" s="4">
        <v>300</v>
      </c>
      <c r="F96" s="5" t="s">
        <v>3166</v>
      </c>
      <c r="G96" s="4" t="s">
        <v>462</v>
      </c>
      <c r="H96" s="4" t="s">
        <v>2563</v>
      </c>
      <c r="I96" s="22">
        <v>2305074.1340000001</v>
      </c>
      <c r="J96" s="22">
        <v>585286.07999999996</v>
      </c>
      <c r="K96" s="22">
        <v>2305079.6209999998</v>
      </c>
      <c r="L96" s="22">
        <v>585294.80200000003</v>
      </c>
      <c r="M96" s="6">
        <v>10.304</v>
      </c>
      <c r="N96" s="11">
        <v>3.03</v>
      </c>
      <c r="O96" s="11">
        <v>2.99</v>
      </c>
      <c r="P96" s="11">
        <f t="shared" si="2"/>
        <v>3.9999999999999591E-2</v>
      </c>
      <c r="Q96" s="11">
        <f t="shared" si="3"/>
        <v>0.38800000000000001</v>
      </c>
      <c r="R96" s="11">
        <v>2.06</v>
      </c>
    </row>
    <row r="97" spans="2:18" ht="16" x14ac:dyDescent="0.3">
      <c r="B97" s="4">
        <v>91</v>
      </c>
      <c r="C97" s="4" t="s">
        <v>3258</v>
      </c>
      <c r="D97" s="5" t="s">
        <v>3177</v>
      </c>
      <c r="E97" s="4">
        <v>300</v>
      </c>
      <c r="F97" s="5" t="s">
        <v>3166</v>
      </c>
      <c r="G97" s="4" t="s">
        <v>2761</v>
      </c>
      <c r="H97" s="4" t="s">
        <v>2758</v>
      </c>
      <c r="I97" s="22">
        <v>2304940.62</v>
      </c>
      <c r="J97" s="22">
        <v>585433.96299999999</v>
      </c>
      <c r="K97" s="22">
        <v>2304923.9720000001</v>
      </c>
      <c r="L97" s="22">
        <v>585441.21200000006</v>
      </c>
      <c r="M97" s="6">
        <v>18.158000000000001</v>
      </c>
      <c r="N97" s="11">
        <v>3.44</v>
      </c>
      <c r="O97" s="11">
        <v>3.49</v>
      </c>
      <c r="P97" s="11">
        <f t="shared" si="2"/>
        <v>5.0000000000000266E-2</v>
      </c>
      <c r="Q97" s="11">
        <f t="shared" si="3"/>
        <v>0.27500000000000002</v>
      </c>
      <c r="R97" s="11">
        <v>1.7050000000000001</v>
      </c>
    </row>
    <row r="98" spans="2:18" ht="16" x14ac:dyDescent="0.3">
      <c r="B98" s="4">
        <v>92</v>
      </c>
      <c r="C98" s="4" t="s">
        <v>3259</v>
      </c>
      <c r="D98" s="5" t="s">
        <v>3177</v>
      </c>
      <c r="E98" s="4">
        <v>300</v>
      </c>
      <c r="F98" s="5" t="s">
        <v>3166</v>
      </c>
      <c r="G98" s="4" t="s">
        <v>2851</v>
      </c>
      <c r="H98" s="4" t="s">
        <v>510</v>
      </c>
      <c r="I98" s="22">
        <v>2304901.4360000002</v>
      </c>
      <c r="J98" s="22">
        <v>585521.62600000005</v>
      </c>
      <c r="K98" s="22">
        <v>2304869.898</v>
      </c>
      <c r="L98" s="22">
        <v>585532.40500000003</v>
      </c>
      <c r="M98" s="6">
        <v>34.798999999999999</v>
      </c>
      <c r="N98" s="11">
        <v>2.7</v>
      </c>
      <c r="O98" s="11">
        <v>2.81</v>
      </c>
      <c r="P98" s="11">
        <f t="shared" si="2"/>
        <v>0.10999999999999988</v>
      </c>
      <c r="Q98" s="11">
        <f t="shared" si="3"/>
        <v>0.316</v>
      </c>
      <c r="R98" s="11">
        <v>2.4350000000000001</v>
      </c>
    </row>
    <row r="99" spans="2:18" ht="16" x14ac:dyDescent="0.3">
      <c r="B99" s="4">
        <v>93</v>
      </c>
      <c r="C99" s="4" t="s">
        <v>3260</v>
      </c>
      <c r="D99" s="5" t="s">
        <v>3177</v>
      </c>
      <c r="E99" s="4">
        <v>300</v>
      </c>
      <c r="F99" s="5" t="s">
        <v>3166</v>
      </c>
      <c r="G99" s="4" t="s">
        <v>507</v>
      </c>
      <c r="H99" s="4" t="s">
        <v>516</v>
      </c>
      <c r="I99" s="22">
        <v>2304842.6850000001</v>
      </c>
      <c r="J99" s="22">
        <v>585499.30500000005</v>
      </c>
      <c r="K99" s="22">
        <v>2304847.2409999999</v>
      </c>
      <c r="L99" s="22">
        <v>585509.49600000004</v>
      </c>
      <c r="M99" s="6">
        <v>11.163</v>
      </c>
      <c r="N99" s="11">
        <v>2.97</v>
      </c>
      <c r="O99" s="11">
        <v>2.93</v>
      </c>
      <c r="P99" s="11">
        <f t="shared" si="2"/>
        <v>4.0000000000000036E-2</v>
      </c>
      <c r="Q99" s="11">
        <f t="shared" si="3"/>
        <v>0.35799999999999998</v>
      </c>
      <c r="R99" s="11">
        <v>2.2200000000000002</v>
      </c>
    </row>
    <row r="100" spans="2:18" ht="16" x14ac:dyDescent="0.3">
      <c r="B100" s="4">
        <v>94</v>
      </c>
      <c r="C100" s="4" t="s">
        <v>3261</v>
      </c>
      <c r="D100" s="5" t="s">
        <v>3177</v>
      </c>
      <c r="E100" s="4">
        <v>300</v>
      </c>
      <c r="F100" s="5" t="s">
        <v>3166</v>
      </c>
      <c r="G100" s="4" t="s">
        <v>1295</v>
      </c>
      <c r="H100" s="4" t="s">
        <v>546</v>
      </c>
      <c r="I100" s="22">
        <v>2305457.1680000001</v>
      </c>
      <c r="J100" s="22">
        <v>585268.10400000005</v>
      </c>
      <c r="K100" s="22">
        <v>2305430.4780000001</v>
      </c>
      <c r="L100" s="22">
        <v>585287.321</v>
      </c>
      <c r="M100" s="6">
        <v>32.889000000000003</v>
      </c>
      <c r="N100" s="11">
        <v>3.64</v>
      </c>
      <c r="O100" s="11">
        <v>2.83</v>
      </c>
      <c r="P100" s="11">
        <f t="shared" si="2"/>
        <v>0.81</v>
      </c>
      <c r="Q100" s="11">
        <f t="shared" si="3"/>
        <v>2.4630000000000001</v>
      </c>
      <c r="R100" s="11">
        <v>1.9350000000000001</v>
      </c>
    </row>
    <row r="101" spans="2:18" ht="16" x14ac:dyDescent="0.3">
      <c r="B101" s="4">
        <v>95</v>
      </c>
      <c r="C101" s="4" t="s">
        <v>3262</v>
      </c>
      <c r="D101" s="5" t="s">
        <v>3177</v>
      </c>
      <c r="E101" s="4">
        <v>300</v>
      </c>
      <c r="F101" s="5" t="s">
        <v>3166</v>
      </c>
      <c r="G101" s="4" t="s">
        <v>558</v>
      </c>
      <c r="H101" s="4" t="s">
        <v>561</v>
      </c>
      <c r="I101" s="22">
        <v>2305516.111</v>
      </c>
      <c r="J101" s="22">
        <v>585643.81599999999</v>
      </c>
      <c r="K101" s="22">
        <v>2305511.608</v>
      </c>
      <c r="L101" s="22">
        <v>585634.45900000003</v>
      </c>
      <c r="M101" s="6">
        <v>10.384</v>
      </c>
      <c r="N101" s="11">
        <v>4.4400000000000004</v>
      </c>
      <c r="O101" s="11">
        <v>4.1100000000000003</v>
      </c>
      <c r="P101" s="11">
        <f t="shared" si="2"/>
        <v>0.33000000000000007</v>
      </c>
      <c r="Q101" s="11">
        <f t="shared" si="3"/>
        <v>3.1779999999999999</v>
      </c>
      <c r="R101" s="11">
        <v>0.995</v>
      </c>
    </row>
    <row r="102" spans="2:18" ht="16" x14ac:dyDescent="0.3">
      <c r="B102" s="4">
        <v>96</v>
      </c>
      <c r="C102" s="4" t="s">
        <v>3263</v>
      </c>
      <c r="D102" s="5" t="s">
        <v>3177</v>
      </c>
      <c r="E102" s="4">
        <v>300</v>
      </c>
      <c r="F102" s="5" t="s">
        <v>3166</v>
      </c>
      <c r="G102" s="4" t="s">
        <v>3108</v>
      </c>
      <c r="H102" s="4" t="s">
        <v>259</v>
      </c>
      <c r="I102" s="22">
        <v>2305017.21</v>
      </c>
      <c r="J102" s="22">
        <v>585762.83799999999</v>
      </c>
      <c r="K102" s="22">
        <v>2305005.7579999999</v>
      </c>
      <c r="L102" s="22">
        <v>585758.098</v>
      </c>
      <c r="M102" s="6">
        <v>12.394</v>
      </c>
      <c r="N102" s="11">
        <v>3.53</v>
      </c>
      <c r="O102" s="11">
        <v>3.5</v>
      </c>
      <c r="P102" s="11">
        <f t="shared" si="2"/>
        <v>2.9999999999999805E-2</v>
      </c>
      <c r="Q102" s="11">
        <f t="shared" si="3"/>
        <v>0.24199999999999999</v>
      </c>
      <c r="R102" s="11">
        <v>1.655</v>
      </c>
    </row>
    <row r="103" spans="2:18" ht="16" x14ac:dyDescent="0.3">
      <c r="B103" s="4">
        <v>97</v>
      </c>
      <c r="C103" s="4" t="s">
        <v>3264</v>
      </c>
      <c r="D103" s="5" t="s">
        <v>3177</v>
      </c>
      <c r="E103" s="4">
        <v>300</v>
      </c>
      <c r="F103" s="5" t="s">
        <v>3166</v>
      </c>
      <c r="G103" s="4" t="s">
        <v>635</v>
      </c>
      <c r="H103" s="4" t="s">
        <v>2350</v>
      </c>
      <c r="I103" s="22">
        <v>2305224.3849999998</v>
      </c>
      <c r="J103" s="22">
        <v>585827.06000000006</v>
      </c>
      <c r="K103" s="22">
        <v>2305229.7050000001</v>
      </c>
      <c r="L103" s="22">
        <v>585835.978</v>
      </c>
      <c r="M103" s="6">
        <v>10.384</v>
      </c>
      <c r="N103" s="11">
        <v>4.05</v>
      </c>
      <c r="O103" s="11">
        <v>4.09</v>
      </c>
      <c r="P103" s="11">
        <f t="shared" si="2"/>
        <v>4.0000000000000036E-2</v>
      </c>
      <c r="Q103" s="11">
        <f t="shared" si="3"/>
        <v>0.38500000000000001</v>
      </c>
      <c r="R103" s="11">
        <v>1.2</v>
      </c>
    </row>
    <row r="104" spans="2:18" ht="16" x14ac:dyDescent="0.3">
      <c r="B104" s="4">
        <v>98</v>
      </c>
      <c r="C104" s="4" t="s">
        <v>3265</v>
      </c>
      <c r="D104" s="5" t="s">
        <v>3177</v>
      </c>
      <c r="E104" s="4">
        <v>300</v>
      </c>
      <c r="F104" s="5" t="s">
        <v>3166</v>
      </c>
      <c r="G104" s="4" t="s">
        <v>656</v>
      </c>
      <c r="H104" s="4" t="s">
        <v>659</v>
      </c>
      <c r="I104" s="22">
        <v>2305151.7710000002</v>
      </c>
      <c r="J104" s="22">
        <v>585719.53099999996</v>
      </c>
      <c r="K104" s="22">
        <v>2305140.8169999998</v>
      </c>
      <c r="L104" s="22">
        <v>585707.23699999996</v>
      </c>
      <c r="M104" s="6">
        <v>16.466000000000001</v>
      </c>
      <c r="N104" s="11">
        <v>3.58</v>
      </c>
      <c r="O104" s="11">
        <v>3.52</v>
      </c>
      <c r="P104" s="11">
        <f t="shared" si="2"/>
        <v>6.0000000000000053E-2</v>
      </c>
      <c r="Q104" s="11">
        <f t="shared" si="3"/>
        <v>0.36399999999999999</v>
      </c>
      <c r="R104" s="11">
        <v>1.76</v>
      </c>
    </row>
    <row r="105" spans="2:18" ht="16" x14ac:dyDescent="0.3">
      <c r="B105" s="4">
        <v>99</v>
      </c>
      <c r="C105" s="4" t="s">
        <v>3266</v>
      </c>
      <c r="D105" s="5" t="s">
        <v>3177</v>
      </c>
      <c r="E105" s="4">
        <v>300</v>
      </c>
      <c r="F105" s="5" t="s">
        <v>3166</v>
      </c>
      <c r="G105" s="4" t="s">
        <v>662</v>
      </c>
      <c r="H105" s="4" t="s">
        <v>665</v>
      </c>
      <c r="I105" s="22">
        <v>2305127.929</v>
      </c>
      <c r="J105" s="22">
        <v>585688.55700000003</v>
      </c>
      <c r="K105" s="22">
        <v>2305126.1179999998</v>
      </c>
      <c r="L105" s="22">
        <v>585677.37300000002</v>
      </c>
      <c r="M105" s="6">
        <v>11.33</v>
      </c>
      <c r="N105" s="11">
        <v>3.43</v>
      </c>
      <c r="O105" s="11">
        <v>3.4</v>
      </c>
      <c r="P105" s="11">
        <f t="shared" si="2"/>
        <v>3.0000000000000249E-2</v>
      </c>
      <c r="Q105" s="11">
        <f t="shared" si="3"/>
        <v>0.26500000000000001</v>
      </c>
      <c r="R105" s="11">
        <v>1.855</v>
      </c>
    </row>
    <row r="106" spans="2:18" ht="16" x14ac:dyDescent="0.3">
      <c r="B106" s="4">
        <v>100</v>
      </c>
      <c r="C106" s="4" t="s">
        <v>3267</v>
      </c>
      <c r="D106" s="5" t="s">
        <v>3177</v>
      </c>
      <c r="E106" s="4">
        <v>300</v>
      </c>
      <c r="F106" s="5" t="s">
        <v>3166</v>
      </c>
      <c r="G106" s="4" t="s">
        <v>692</v>
      </c>
      <c r="H106" s="4" t="s">
        <v>695</v>
      </c>
      <c r="I106" s="22">
        <v>2305039.62</v>
      </c>
      <c r="J106" s="22">
        <v>585549.10199999996</v>
      </c>
      <c r="K106" s="22">
        <v>2305033.0980000002</v>
      </c>
      <c r="L106" s="22">
        <v>585541.11499999999</v>
      </c>
      <c r="M106" s="6">
        <v>10.311999999999999</v>
      </c>
      <c r="N106" s="11">
        <v>2.82</v>
      </c>
      <c r="O106" s="11">
        <v>2.79</v>
      </c>
      <c r="P106" s="11">
        <f t="shared" si="2"/>
        <v>2.9999999999999805E-2</v>
      </c>
      <c r="Q106" s="11">
        <f t="shared" si="3"/>
        <v>0.29099999999999998</v>
      </c>
      <c r="R106" s="11">
        <v>2.4649999999999999</v>
      </c>
    </row>
    <row r="107" spans="2:18" ht="16" x14ac:dyDescent="0.3">
      <c r="B107" s="4">
        <v>101</v>
      </c>
      <c r="C107" s="4" t="s">
        <v>3268</v>
      </c>
      <c r="D107" s="5" t="s">
        <v>3177</v>
      </c>
      <c r="E107" s="4">
        <v>300</v>
      </c>
      <c r="F107" s="5" t="s">
        <v>3166</v>
      </c>
      <c r="G107" s="4" t="s">
        <v>668</v>
      </c>
      <c r="H107" s="4" t="s">
        <v>671</v>
      </c>
      <c r="I107" s="22">
        <v>2305109.557</v>
      </c>
      <c r="J107" s="22">
        <v>585661.15899999999</v>
      </c>
      <c r="K107" s="22">
        <v>2305106.42</v>
      </c>
      <c r="L107" s="22">
        <v>585650.92799999996</v>
      </c>
      <c r="M107" s="6">
        <v>10.701000000000001</v>
      </c>
      <c r="N107" s="11">
        <v>3.31</v>
      </c>
      <c r="O107" s="11">
        <v>3.27</v>
      </c>
      <c r="P107" s="11">
        <f t="shared" si="2"/>
        <v>4.0000000000000036E-2</v>
      </c>
      <c r="Q107" s="11">
        <f t="shared" si="3"/>
        <v>0.374</v>
      </c>
      <c r="R107" s="11">
        <v>1.98</v>
      </c>
    </row>
    <row r="108" spans="2:18" ht="16" x14ac:dyDescent="0.3">
      <c r="B108" s="4">
        <v>102</v>
      </c>
      <c r="C108" s="4" t="s">
        <v>3269</v>
      </c>
      <c r="D108" s="5" t="s">
        <v>3177</v>
      </c>
      <c r="E108" s="4">
        <v>300</v>
      </c>
      <c r="F108" s="5" t="s">
        <v>3166</v>
      </c>
      <c r="G108" s="4" t="s">
        <v>1736</v>
      </c>
      <c r="H108" s="4" t="s">
        <v>1772</v>
      </c>
      <c r="I108" s="22">
        <v>2305266.852</v>
      </c>
      <c r="J108" s="22">
        <v>585682.13600000006</v>
      </c>
      <c r="K108" s="22">
        <v>2305260.1379999998</v>
      </c>
      <c r="L108" s="22">
        <v>585674.20400000003</v>
      </c>
      <c r="M108" s="6">
        <v>10.391999999999999</v>
      </c>
      <c r="N108" s="11">
        <v>3.93</v>
      </c>
      <c r="O108" s="11">
        <v>3.89</v>
      </c>
      <c r="P108" s="11">
        <f t="shared" si="2"/>
        <v>4.0000000000000036E-2</v>
      </c>
      <c r="Q108" s="11">
        <f t="shared" si="3"/>
        <v>0.38500000000000001</v>
      </c>
      <c r="R108" s="11">
        <v>1.36</v>
      </c>
    </row>
    <row r="109" spans="2:18" ht="16" x14ac:dyDescent="0.3">
      <c r="B109" s="4">
        <v>103</v>
      </c>
      <c r="C109" s="4" t="s">
        <v>3270</v>
      </c>
      <c r="D109" s="5" t="s">
        <v>3177</v>
      </c>
      <c r="E109" s="4">
        <v>300</v>
      </c>
      <c r="F109" s="5" t="s">
        <v>3166</v>
      </c>
      <c r="G109" s="4" t="s">
        <v>1730</v>
      </c>
      <c r="H109" s="4" t="s">
        <v>1733</v>
      </c>
      <c r="I109" s="22">
        <v>2305285.2009999999</v>
      </c>
      <c r="J109" s="22">
        <v>585709.522</v>
      </c>
      <c r="K109" s="22">
        <v>2305278.102</v>
      </c>
      <c r="L109" s="22">
        <v>585701.89099999995</v>
      </c>
      <c r="M109" s="6">
        <v>10.422000000000001</v>
      </c>
      <c r="N109" s="11">
        <v>4.05</v>
      </c>
      <c r="O109" s="11">
        <v>4.01</v>
      </c>
      <c r="P109" s="11">
        <f t="shared" si="2"/>
        <v>4.0000000000000036E-2</v>
      </c>
      <c r="Q109" s="11">
        <f t="shared" si="3"/>
        <v>0.38400000000000001</v>
      </c>
      <c r="R109" s="11">
        <v>1.24</v>
      </c>
    </row>
    <row r="110" spans="2:18" ht="16" x14ac:dyDescent="0.3">
      <c r="B110" s="4">
        <v>104</v>
      </c>
      <c r="C110" s="4" t="s">
        <v>3271</v>
      </c>
      <c r="D110" s="5" t="s">
        <v>3177</v>
      </c>
      <c r="E110" s="4">
        <v>300</v>
      </c>
      <c r="F110" s="5" t="s">
        <v>3166</v>
      </c>
      <c r="G110" s="4" t="s">
        <v>1724</v>
      </c>
      <c r="H110" s="4" t="s">
        <v>1727</v>
      </c>
      <c r="I110" s="22">
        <v>2305303.7140000002</v>
      </c>
      <c r="J110" s="22">
        <v>585736.86399999994</v>
      </c>
      <c r="K110" s="22">
        <v>2305296.4890000001</v>
      </c>
      <c r="L110" s="22">
        <v>585729.31099999999</v>
      </c>
      <c r="M110" s="6">
        <v>10.452</v>
      </c>
      <c r="N110" s="11">
        <v>4.17</v>
      </c>
      <c r="O110" s="11">
        <v>4.13</v>
      </c>
      <c r="P110" s="11">
        <f t="shared" si="2"/>
        <v>4.0000000000000036E-2</v>
      </c>
      <c r="Q110" s="11">
        <f t="shared" si="3"/>
        <v>0.38300000000000001</v>
      </c>
      <c r="R110" s="11">
        <v>1.1200000000000001</v>
      </c>
    </row>
    <row r="111" spans="2:18" ht="16" x14ac:dyDescent="0.3">
      <c r="B111" s="4">
        <v>105</v>
      </c>
      <c r="C111" s="4" t="s">
        <v>3272</v>
      </c>
      <c r="D111" s="5" t="s">
        <v>3177</v>
      </c>
      <c r="E111" s="4">
        <v>300</v>
      </c>
      <c r="F111" s="5" t="s">
        <v>3166</v>
      </c>
      <c r="G111" s="4" t="s">
        <v>611</v>
      </c>
      <c r="H111" s="4" t="s">
        <v>623</v>
      </c>
      <c r="I111" s="22">
        <v>2305273.2540000002</v>
      </c>
      <c r="J111" s="22">
        <v>585578.73300000001</v>
      </c>
      <c r="K111" s="22">
        <v>2305278.702</v>
      </c>
      <c r="L111" s="22">
        <v>585587.48300000001</v>
      </c>
      <c r="M111" s="6">
        <v>10.307</v>
      </c>
      <c r="N111" s="11">
        <v>3.41</v>
      </c>
      <c r="O111" s="11">
        <v>3.45</v>
      </c>
      <c r="P111" s="11">
        <f t="shared" si="2"/>
        <v>4.0000000000000036E-2</v>
      </c>
      <c r="Q111" s="11">
        <f t="shared" si="3"/>
        <v>0.38800000000000001</v>
      </c>
      <c r="R111" s="11">
        <v>1.84</v>
      </c>
    </row>
    <row r="112" spans="2:18" ht="16" x14ac:dyDescent="0.3">
      <c r="B112" s="4">
        <v>106</v>
      </c>
      <c r="C112" s="4" t="s">
        <v>3273</v>
      </c>
      <c r="D112" s="5" t="s">
        <v>3177</v>
      </c>
      <c r="E112" s="4">
        <v>300</v>
      </c>
      <c r="F112" s="5" t="s">
        <v>3166</v>
      </c>
      <c r="G112" s="4" t="s">
        <v>2059</v>
      </c>
      <c r="H112" s="4" t="s">
        <v>2056</v>
      </c>
      <c r="I112" s="22">
        <v>2305149.034</v>
      </c>
      <c r="J112" s="22">
        <v>585503.14300000004</v>
      </c>
      <c r="K112" s="22">
        <v>2305155.58</v>
      </c>
      <c r="L112" s="22">
        <v>585511.52099999995</v>
      </c>
      <c r="M112" s="6">
        <v>10.632</v>
      </c>
      <c r="N112" s="11">
        <v>3.89</v>
      </c>
      <c r="O112" s="11">
        <v>3.93</v>
      </c>
      <c r="P112" s="11">
        <f t="shared" si="2"/>
        <v>4.0000000000000036E-2</v>
      </c>
      <c r="Q112" s="11">
        <f t="shared" si="3"/>
        <v>0.376</v>
      </c>
      <c r="R112" s="11">
        <v>1.36</v>
      </c>
    </row>
    <row r="113" spans="2:18" ht="16" x14ac:dyDescent="0.3">
      <c r="B113" s="4">
        <v>107</v>
      </c>
      <c r="C113" s="4" t="s">
        <v>3274</v>
      </c>
      <c r="D113" s="5" t="s">
        <v>3177</v>
      </c>
      <c r="E113" s="4">
        <v>300</v>
      </c>
      <c r="F113" s="5" t="s">
        <v>3166</v>
      </c>
      <c r="G113" s="4" t="s">
        <v>588</v>
      </c>
      <c r="H113" s="4" t="s">
        <v>1882</v>
      </c>
      <c r="I113" s="22">
        <v>2305393.9109999998</v>
      </c>
      <c r="J113" s="22">
        <v>585397.88</v>
      </c>
      <c r="K113" s="22">
        <v>2305385.2769999998</v>
      </c>
      <c r="L113" s="22">
        <v>585403.67000000004</v>
      </c>
      <c r="M113" s="6">
        <v>10.395</v>
      </c>
      <c r="N113" s="11">
        <v>3.87</v>
      </c>
      <c r="O113" s="11">
        <v>3.83</v>
      </c>
      <c r="P113" s="11">
        <f t="shared" si="2"/>
        <v>4.0000000000000036E-2</v>
      </c>
      <c r="Q113" s="11">
        <f t="shared" si="3"/>
        <v>0.38500000000000001</v>
      </c>
      <c r="R113" s="11">
        <v>1.42</v>
      </c>
    </row>
    <row r="114" spans="2:18" ht="16" x14ac:dyDescent="0.3">
      <c r="B114" s="4">
        <v>108</v>
      </c>
      <c r="C114" s="4" t="s">
        <v>3275</v>
      </c>
      <c r="D114" s="5" t="s">
        <v>3177</v>
      </c>
      <c r="E114" s="4">
        <v>300</v>
      </c>
      <c r="F114" s="5" t="s">
        <v>3166</v>
      </c>
      <c r="G114" s="4" t="s">
        <v>600</v>
      </c>
      <c r="H114" s="4" t="s">
        <v>1921</v>
      </c>
      <c r="I114" s="22">
        <v>2305312.327</v>
      </c>
      <c r="J114" s="22">
        <v>585452.17799999996</v>
      </c>
      <c r="K114" s="22">
        <v>2305304.6439999999</v>
      </c>
      <c r="L114" s="22">
        <v>585459.27599999995</v>
      </c>
      <c r="M114" s="6">
        <v>10.46</v>
      </c>
      <c r="N114" s="11">
        <v>3.52</v>
      </c>
      <c r="O114" s="11">
        <v>3.48</v>
      </c>
      <c r="P114" s="11">
        <f t="shared" si="2"/>
        <v>4.0000000000000036E-2</v>
      </c>
      <c r="Q114" s="11">
        <f t="shared" si="3"/>
        <v>0.38200000000000001</v>
      </c>
      <c r="R114" s="11">
        <v>1.77</v>
      </c>
    </row>
    <row r="115" spans="2:18" ht="16" x14ac:dyDescent="0.3">
      <c r="B115" s="4">
        <v>109</v>
      </c>
      <c r="C115" s="4" t="s">
        <v>3276</v>
      </c>
      <c r="D115" s="5" t="s">
        <v>3177</v>
      </c>
      <c r="E115" s="4">
        <v>300</v>
      </c>
      <c r="F115" s="5" t="s">
        <v>3166</v>
      </c>
      <c r="G115" s="4" t="s">
        <v>638</v>
      </c>
      <c r="H115" s="4" t="s">
        <v>641</v>
      </c>
      <c r="I115" s="22">
        <v>2305211.929</v>
      </c>
      <c r="J115" s="22">
        <v>585808.049</v>
      </c>
      <c r="K115" s="22">
        <v>2305204.5929999999</v>
      </c>
      <c r="L115" s="22">
        <v>585800.549</v>
      </c>
      <c r="M115" s="6">
        <v>10.492000000000001</v>
      </c>
      <c r="N115" s="11">
        <v>3.97</v>
      </c>
      <c r="O115" s="11">
        <v>3.93</v>
      </c>
      <c r="P115" s="11">
        <f t="shared" si="2"/>
        <v>4.0000000000000036E-2</v>
      </c>
      <c r="Q115" s="11">
        <f t="shared" si="3"/>
        <v>0.38100000000000001</v>
      </c>
      <c r="R115" s="11">
        <v>1.32</v>
      </c>
    </row>
    <row r="116" spans="2:18" ht="16" x14ac:dyDescent="0.3">
      <c r="B116" s="4">
        <v>110</v>
      </c>
      <c r="C116" s="4" t="s">
        <v>3277</v>
      </c>
      <c r="D116" s="5" t="s">
        <v>3177</v>
      </c>
      <c r="E116" s="4">
        <v>300</v>
      </c>
      <c r="F116" s="5" t="s">
        <v>3166</v>
      </c>
      <c r="G116" s="4" t="s">
        <v>432</v>
      </c>
      <c r="H116" s="4" t="s">
        <v>1514</v>
      </c>
      <c r="I116" s="22">
        <v>2305076.0490000001</v>
      </c>
      <c r="J116" s="22">
        <v>585225.82799999998</v>
      </c>
      <c r="K116" s="22">
        <v>2305082.4780000001</v>
      </c>
      <c r="L116" s="22">
        <v>585233.84199999995</v>
      </c>
      <c r="M116" s="6">
        <v>10.273999999999999</v>
      </c>
      <c r="N116" s="11">
        <v>3.26</v>
      </c>
      <c r="O116" s="11">
        <v>3.23</v>
      </c>
      <c r="P116" s="11">
        <f t="shared" si="2"/>
        <v>2.9999999999999805E-2</v>
      </c>
      <c r="Q116" s="11">
        <f t="shared" si="3"/>
        <v>0.29199999999999998</v>
      </c>
      <c r="R116" s="11">
        <v>1.825</v>
      </c>
    </row>
    <row r="117" spans="2:18" ht="16" x14ac:dyDescent="0.3">
      <c r="B117" s="4">
        <v>111</v>
      </c>
      <c r="C117" s="4" t="s">
        <v>3278</v>
      </c>
      <c r="D117" s="5" t="s">
        <v>3177</v>
      </c>
      <c r="E117" s="4">
        <v>300</v>
      </c>
      <c r="F117" s="5" t="s">
        <v>3166</v>
      </c>
      <c r="G117" s="4" t="s">
        <v>387</v>
      </c>
      <c r="H117" s="4" t="s">
        <v>315</v>
      </c>
      <c r="I117" s="22">
        <v>2305378.287</v>
      </c>
      <c r="J117" s="22">
        <v>585202.50199999998</v>
      </c>
      <c r="K117" s="22">
        <v>2305392.5279999999</v>
      </c>
      <c r="L117" s="22">
        <v>585223.86</v>
      </c>
      <c r="M117" s="6">
        <v>26.001000000000001</v>
      </c>
      <c r="N117" s="11">
        <v>2.87</v>
      </c>
      <c r="O117" s="11">
        <v>2.78</v>
      </c>
      <c r="P117" s="11">
        <f t="shared" si="2"/>
        <v>9.0000000000000302E-2</v>
      </c>
      <c r="Q117" s="11">
        <f t="shared" si="3"/>
        <v>0.34599999999999997</v>
      </c>
      <c r="R117" s="11">
        <v>2.3849999999999998</v>
      </c>
    </row>
    <row r="118" spans="2:18" ht="16" x14ac:dyDescent="0.3">
      <c r="B118" s="4">
        <v>112</v>
      </c>
      <c r="C118" s="4" t="s">
        <v>3279</v>
      </c>
      <c r="D118" s="5" t="s">
        <v>3177</v>
      </c>
      <c r="E118" s="4">
        <v>300</v>
      </c>
      <c r="F118" s="5" t="s">
        <v>3166</v>
      </c>
      <c r="G118" s="4" t="s">
        <v>1295</v>
      </c>
      <c r="H118" s="4" t="s">
        <v>1292</v>
      </c>
      <c r="I118" s="22">
        <v>2305458.0290000001</v>
      </c>
      <c r="J118" s="22">
        <v>585267.52599999995</v>
      </c>
      <c r="K118" s="22">
        <v>2305484.159</v>
      </c>
      <c r="L118" s="22">
        <v>585251.03200000001</v>
      </c>
      <c r="M118" s="6">
        <v>31.289000000000001</v>
      </c>
      <c r="N118" s="11">
        <v>3.64</v>
      </c>
      <c r="O118" s="11">
        <v>3.73</v>
      </c>
      <c r="P118" s="11">
        <f t="shared" si="2"/>
        <v>8.9999999999999858E-2</v>
      </c>
      <c r="Q118" s="11">
        <f t="shared" si="3"/>
        <v>0.28799999999999998</v>
      </c>
      <c r="R118" s="11">
        <v>1.4850000000000001</v>
      </c>
    </row>
    <row r="119" spans="2:18" ht="16" x14ac:dyDescent="0.3">
      <c r="B119" s="4">
        <v>113</v>
      </c>
      <c r="C119" s="4" t="s">
        <v>3280</v>
      </c>
      <c r="D119" s="5" t="s">
        <v>3177</v>
      </c>
      <c r="E119" s="4">
        <v>300</v>
      </c>
      <c r="F119" s="5" t="s">
        <v>3166</v>
      </c>
      <c r="G119" s="4" t="s">
        <v>1568</v>
      </c>
      <c r="H119" s="4" t="s">
        <v>1571</v>
      </c>
      <c r="I119" s="22">
        <v>2305507.4550000001</v>
      </c>
      <c r="J119" s="22">
        <v>585394.32700000005</v>
      </c>
      <c r="K119" s="22">
        <v>2305490.9840000002</v>
      </c>
      <c r="L119" s="22">
        <v>585379.75</v>
      </c>
      <c r="M119" s="6">
        <v>21.995000000000001</v>
      </c>
      <c r="N119" s="11">
        <v>3.28</v>
      </c>
      <c r="O119" s="11">
        <v>3.19</v>
      </c>
      <c r="P119" s="11">
        <f t="shared" si="2"/>
        <v>8.9999999999999858E-2</v>
      </c>
      <c r="Q119" s="11">
        <f t="shared" si="3"/>
        <v>0.40899999999999997</v>
      </c>
      <c r="R119" s="11">
        <v>2.0049999999999999</v>
      </c>
    </row>
    <row r="120" spans="2:18" ht="16" x14ac:dyDescent="0.3">
      <c r="B120" s="4">
        <v>114</v>
      </c>
      <c r="C120" s="4" t="s">
        <v>3281</v>
      </c>
      <c r="D120" s="5" t="s">
        <v>3177</v>
      </c>
      <c r="E120" s="4">
        <v>300</v>
      </c>
      <c r="F120" s="5" t="s">
        <v>3166</v>
      </c>
      <c r="G120" s="4" t="s">
        <v>1409</v>
      </c>
      <c r="H120" s="4" t="s">
        <v>3028</v>
      </c>
      <c r="I120" s="22">
        <v>2305595.2069999999</v>
      </c>
      <c r="J120" s="22">
        <v>585461.04500000004</v>
      </c>
      <c r="K120" s="22">
        <v>2305615.355</v>
      </c>
      <c r="L120" s="22">
        <v>585456.95400000003</v>
      </c>
      <c r="M120" s="6">
        <v>20.559000000000001</v>
      </c>
      <c r="N120" s="11">
        <v>3.85</v>
      </c>
      <c r="O120" s="11">
        <v>3.91</v>
      </c>
      <c r="P120" s="11">
        <f t="shared" si="2"/>
        <v>6.0000000000000053E-2</v>
      </c>
      <c r="Q120" s="11">
        <f t="shared" si="3"/>
        <v>0.29199999999999998</v>
      </c>
      <c r="R120" s="11">
        <v>1.29</v>
      </c>
    </row>
    <row r="121" spans="2:18" ht="16" x14ac:dyDescent="0.3">
      <c r="B121" s="4">
        <v>115</v>
      </c>
      <c r="C121" s="4" t="s">
        <v>3282</v>
      </c>
      <c r="D121" s="5" t="s">
        <v>3177</v>
      </c>
      <c r="E121" s="4">
        <v>300</v>
      </c>
      <c r="F121" s="5" t="s">
        <v>3166</v>
      </c>
      <c r="G121" s="4" t="s">
        <v>2863</v>
      </c>
      <c r="H121" s="4" t="s">
        <v>2866</v>
      </c>
      <c r="I121" s="22">
        <v>2305013.4160000002</v>
      </c>
      <c r="J121" s="22">
        <v>585436.53799999994</v>
      </c>
      <c r="K121" s="22">
        <v>2305033.7710000002</v>
      </c>
      <c r="L121" s="22">
        <v>585432.92200000002</v>
      </c>
      <c r="M121" s="6">
        <v>20.673999999999999</v>
      </c>
      <c r="N121" s="11">
        <v>2.23</v>
      </c>
      <c r="O121" s="11">
        <v>2.14</v>
      </c>
      <c r="P121" s="11">
        <f t="shared" si="2"/>
        <v>8.9999999999999858E-2</v>
      </c>
      <c r="Q121" s="11">
        <f t="shared" si="3"/>
        <v>0.435</v>
      </c>
      <c r="R121" s="11">
        <v>3.0249999999999999</v>
      </c>
    </row>
    <row r="122" spans="2:18" ht="16" x14ac:dyDescent="0.3">
      <c r="B122" s="4">
        <v>116</v>
      </c>
      <c r="C122" s="4" t="s">
        <v>3283</v>
      </c>
      <c r="D122" s="5" t="s">
        <v>3284</v>
      </c>
      <c r="E122" s="4">
        <v>300</v>
      </c>
      <c r="F122" s="5" t="s">
        <v>3285</v>
      </c>
      <c r="G122" s="4" t="s">
        <v>573</v>
      </c>
      <c r="H122" s="4" t="s">
        <v>306</v>
      </c>
      <c r="I122" s="22">
        <v>2305178.5649999999</v>
      </c>
      <c r="J122" s="22">
        <v>585393.52800000005</v>
      </c>
      <c r="K122" s="22">
        <v>2305180.8650000002</v>
      </c>
      <c r="L122" s="22">
        <v>585378.97199999995</v>
      </c>
      <c r="M122" s="6">
        <v>16.768000000000001</v>
      </c>
      <c r="N122" s="11">
        <v>2.35</v>
      </c>
      <c r="O122" s="11">
        <v>1.56</v>
      </c>
      <c r="P122" s="11">
        <f t="shared" si="2"/>
        <v>0.79</v>
      </c>
      <c r="Q122" s="11">
        <f t="shared" si="3"/>
        <v>4.7110000000000003</v>
      </c>
      <c r="R122" s="11">
        <v>3.335</v>
      </c>
    </row>
    <row r="123" spans="2:18" ht="16" x14ac:dyDescent="0.3">
      <c r="B123" s="4">
        <v>117</v>
      </c>
      <c r="C123" s="4" t="s">
        <v>3286</v>
      </c>
      <c r="D123" s="5" t="s">
        <v>3284</v>
      </c>
      <c r="E123" s="4">
        <v>300</v>
      </c>
      <c r="F123" s="5" t="s">
        <v>3285</v>
      </c>
      <c r="G123" s="4" t="s">
        <v>1843</v>
      </c>
      <c r="H123" s="4" t="s">
        <v>803</v>
      </c>
      <c r="I123" s="22">
        <v>2305476.0830000001</v>
      </c>
      <c r="J123" s="22">
        <v>585431.26</v>
      </c>
      <c r="K123" s="22">
        <v>2305491.2919999999</v>
      </c>
      <c r="L123" s="22">
        <v>585453.94200000004</v>
      </c>
      <c r="M123" s="6">
        <v>27.309000000000001</v>
      </c>
      <c r="N123" s="11">
        <v>4.33</v>
      </c>
      <c r="O123" s="11">
        <v>4.42</v>
      </c>
      <c r="P123" s="11">
        <f t="shared" si="2"/>
        <v>8.9999999999999858E-2</v>
      </c>
      <c r="Q123" s="11">
        <f t="shared" si="3"/>
        <v>0.33</v>
      </c>
      <c r="R123" s="11">
        <v>0.89500000000000002</v>
      </c>
    </row>
    <row r="124" spans="2:18" ht="16" x14ac:dyDescent="0.3">
      <c r="B124" s="4">
        <v>118</v>
      </c>
      <c r="C124" s="4" t="s">
        <v>3287</v>
      </c>
      <c r="D124" s="5" t="s">
        <v>3284</v>
      </c>
      <c r="E124" s="4">
        <v>300</v>
      </c>
      <c r="F124" s="5" t="s">
        <v>3285</v>
      </c>
      <c r="G124" s="4" t="s">
        <v>1846</v>
      </c>
      <c r="H124" s="4" t="s">
        <v>1843</v>
      </c>
      <c r="I124" s="22">
        <v>2305463.2960000001</v>
      </c>
      <c r="J124" s="22">
        <v>585412.15</v>
      </c>
      <c r="K124" s="22">
        <v>2305475.699</v>
      </c>
      <c r="L124" s="22">
        <v>585430.67500000005</v>
      </c>
      <c r="M124" s="6">
        <v>22.294</v>
      </c>
      <c r="N124" s="11">
        <v>4.25</v>
      </c>
      <c r="O124" s="11">
        <v>4.33</v>
      </c>
      <c r="P124" s="11">
        <f t="shared" si="2"/>
        <v>8.0000000000000071E-2</v>
      </c>
      <c r="Q124" s="11">
        <f t="shared" si="3"/>
        <v>0.35899999999999999</v>
      </c>
      <c r="R124" s="11">
        <v>0.98</v>
      </c>
    </row>
    <row r="125" spans="2:18" ht="16" x14ac:dyDescent="0.3">
      <c r="B125" s="4">
        <v>119</v>
      </c>
      <c r="C125" s="4" t="s">
        <v>3288</v>
      </c>
      <c r="D125" s="5" t="s">
        <v>3284</v>
      </c>
      <c r="E125" s="4">
        <v>300</v>
      </c>
      <c r="F125" s="5" t="s">
        <v>3285</v>
      </c>
      <c r="G125" s="4" t="s">
        <v>1849</v>
      </c>
      <c r="H125" s="4" t="s">
        <v>1846</v>
      </c>
      <c r="I125" s="22">
        <v>2305448.7940000002</v>
      </c>
      <c r="J125" s="22">
        <v>585390.576</v>
      </c>
      <c r="K125" s="22">
        <v>2305462.8859999999</v>
      </c>
      <c r="L125" s="22">
        <v>585411.58200000005</v>
      </c>
      <c r="M125" s="6">
        <v>25.295000000000002</v>
      </c>
      <c r="N125" s="11">
        <v>4.17</v>
      </c>
      <c r="O125" s="11">
        <v>4.25</v>
      </c>
      <c r="P125" s="11">
        <f t="shared" si="2"/>
        <v>8.0000000000000071E-2</v>
      </c>
      <c r="Q125" s="11">
        <f t="shared" si="3"/>
        <v>0.316</v>
      </c>
      <c r="R125" s="11">
        <v>1.06</v>
      </c>
    </row>
    <row r="126" spans="2:18" ht="16" x14ac:dyDescent="0.3">
      <c r="B126" s="4">
        <v>120</v>
      </c>
      <c r="C126" s="4" t="s">
        <v>3289</v>
      </c>
      <c r="D126" s="5" t="s">
        <v>3284</v>
      </c>
      <c r="E126" s="4">
        <v>300</v>
      </c>
      <c r="F126" s="5" t="s">
        <v>3285</v>
      </c>
      <c r="G126" s="4" t="s">
        <v>582</v>
      </c>
      <c r="H126" s="4" t="s">
        <v>1849</v>
      </c>
      <c r="I126" s="22">
        <v>2305435.409</v>
      </c>
      <c r="J126" s="22">
        <v>585370.88699999999</v>
      </c>
      <c r="K126" s="22">
        <v>2305448.4019999998</v>
      </c>
      <c r="L126" s="22">
        <v>585389.99600000004</v>
      </c>
      <c r="M126" s="6">
        <v>23.108000000000001</v>
      </c>
      <c r="N126" s="11">
        <v>4.04</v>
      </c>
      <c r="O126" s="11">
        <v>4.17</v>
      </c>
      <c r="P126" s="11">
        <f t="shared" si="2"/>
        <v>0.12999999999999989</v>
      </c>
      <c r="Q126" s="11">
        <f t="shared" si="3"/>
        <v>0.56299999999999994</v>
      </c>
      <c r="R126" s="11">
        <v>1.165</v>
      </c>
    </row>
    <row r="127" spans="2:18" ht="16" x14ac:dyDescent="0.3">
      <c r="B127" s="4">
        <v>121</v>
      </c>
      <c r="C127" s="4" t="s">
        <v>3290</v>
      </c>
      <c r="D127" s="5" t="s">
        <v>3284</v>
      </c>
      <c r="E127" s="4">
        <v>300</v>
      </c>
      <c r="F127" s="5" t="s">
        <v>3285</v>
      </c>
      <c r="G127" s="4" t="s">
        <v>579</v>
      </c>
      <c r="H127" s="4" t="s">
        <v>582</v>
      </c>
      <c r="I127" s="22">
        <v>2305455.2030000002</v>
      </c>
      <c r="J127" s="22">
        <v>585361.35199999996</v>
      </c>
      <c r="K127" s="22">
        <v>2305434.852</v>
      </c>
      <c r="L127" s="22">
        <v>585370.05599999998</v>
      </c>
      <c r="M127" s="6">
        <v>28.998999999999999</v>
      </c>
      <c r="N127" s="11">
        <v>4.13</v>
      </c>
      <c r="O127" s="11">
        <v>4.04</v>
      </c>
      <c r="P127" s="11">
        <f t="shared" si="2"/>
        <v>8.9999999999999858E-2</v>
      </c>
      <c r="Q127" s="11">
        <f t="shared" si="3"/>
        <v>0.31</v>
      </c>
      <c r="R127" s="11">
        <v>1.2050000000000001</v>
      </c>
    </row>
    <row r="128" spans="2:18" ht="16" x14ac:dyDescent="0.3">
      <c r="B128" s="4">
        <v>122</v>
      </c>
      <c r="C128" s="4" t="s">
        <v>3291</v>
      </c>
      <c r="D128" s="5" t="s">
        <v>3284</v>
      </c>
      <c r="E128" s="4">
        <v>300</v>
      </c>
      <c r="F128" s="5" t="s">
        <v>3285</v>
      </c>
      <c r="G128" s="4" t="s">
        <v>1840</v>
      </c>
      <c r="H128" s="4" t="s">
        <v>579</v>
      </c>
      <c r="I128" s="22">
        <v>2305466.1749999998</v>
      </c>
      <c r="J128" s="22">
        <v>585378.07799999998</v>
      </c>
      <c r="K128" s="22">
        <v>2305455.7599999998</v>
      </c>
      <c r="L128" s="22">
        <v>585362.18299999996</v>
      </c>
      <c r="M128" s="6">
        <v>19.004000000000001</v>
      </c>
      <c r="N128" s="11">
        <v>4.21</v>
      </c>
      <c r="O128" s="11">
        <v>4.13</v>
      </c>
      <c r="P128" s="11">
        <f t="shared" si="2"/>
        <v>8.0000000000000071E-2</v>
      </c>
      <c r="Q128" s="11">
        <f t="shared" si="3"/>
        <v>0.42099999999999999</v>
      </c>
      <c r="R128" s="11">
        <v>1.1399999999999999</v>
      </c>
    </row>
    <row r="129" spans="2:18" ht="16" x14ac:dyDescent="0.3">
      <c r="B129" s="4">
        <v>123</v>
      </c>
      <c r="C129" s="4" t="s">
        <v>3292</v>
      </c>
      <c r="D129" s="5" t="s">
        <v>3284</v>
      </c>
      <c r="E129" s="4">
        <v>300</v>
      </c>
      <c r="F129" s="5" t="s">
        <v>3285</v>
      </c>
      <c r="G129" s="4" t="s">
        <v>1837</v>
      </c>
      <c r="H129" s="4" t="s">
        <v>1840</v>
      </c>
      <c r="I129" s="22">
        <v>2305480.5809999998</v>
      </c>
      <c r="J129" s="22">
        <v>585399.70700000005</v>
      </c>
      <c r="K129" s="22">
        <v>2305466.5630000001</v>
      </c>
      <c r="L129" s="22">
        <v>585378.66099999996</v>
      </c>
      <c r="M129" s="6">
        <v>25.288</v>
      </c>
      <c r="N129" s="11">
        <v>4.29</v>
      </c>
      <c r="O129" s="11">
        <v>4.21</v>
      </c>
      <c r="P129" s="11">
        <f t="shared" si="2"/>
        <v>8.0000000000000071E-2</v>
      </c>
      <c r="Q129" s="11">
        <f t="shared" si="3"/>
        <v>0.316</v>
      </c>
      <c r="R129" s="11">
        <v>1.06</v>
      </c>
    </row>
    <row r="130" spans="2:18" ht="16" x14ac:dyDescent="0.3">
      <c r="B130" s="4">
        <v>124</v>
      </c>
      <c r="C130" s="4" t="s">
        <v>3293</v>
      </c>
      <c r="D130" s="5" t="s">
        <v>3284</v>
      </c>
      <c r="E130" s="4">
        <v>300</v>
      </c>
      <c r="F130" s="5" t="s">
        <v>3285</v>
      </c>
      <c r="G130" s="4" t="s">
        <v>1834</v>
      </c>
      <c r="H130" s="4" t="s">
        <v>1837</v>
      </c>
      <c r="I130" s="22">
        <v>2305493.4470000002</v>
      </c>
      <c r="J130" s="22">
        <v>585418.77399999998</v>
      </c>
      <c r="K130" s="22">
        <v>2305480.969</v>
      </c>
      <c r="L130" s="22">
        <v>585400.29</v>
      </c>
      <c r="M130" s="6">
        <v>22.300999999999998</v>
      </c>
      <c r="N130" s="11">
        <v>4.37</v>
      </c>
      <c r="O130" s="11">
        <v>4.29</v>
      </c>
      <c r="P130" s="11">
        <f t="shared" si="2"/>
        <v>8.0000000000000071E-2</v>
      </c>
      <c r="Q130" s="11">
        <f t="shared" si="3"/>
        <v>0.35899999999999999</v>
      </c>
      <c r="R130" s="11">
        <v>0.98</v>
      </c>
    </row>
    <row r="131" spans="2:18" ht="16" x14ac:dyDescent="0.3">
      <c r="B131" s="4">
        <v>125</v>
      </c>
      <c r="C131" s="4" t="s">
        <v>3294</v>
      </c>
      <c r="D131" s="5" t="s">
        <v>3284</v>
      </c>
      <c r="E131" s="4">
        <v>300</v>
      </c>
      <c r="F131" s="5" t="s">
        <v>3285</v>
      </c>
      <c r="G131" s="4" t="s">
        <v>576</v>
      </c>
      <c r="H131" s="4" t="s">
        <v>1834</v>
      </c>
      <c r="I131" s="22">
        <v>2305509.0329999998</v>
      </c>
      <c r="J131" s="22">
        <v>585442.02399999998</v>
      </c>
      <c r="K131" s="22">
        <v>2305493.8420000002</v>
      </c>
      <c r="L131" s="22">
        <v>585419.35100000002</v>
      </c>
      <c r="M131" s="6">
        <v>27.292000000000002</v>
      </c>
      <c r="N131" s="11">
        <v>4.46</v>
      </c>
      <c r="O131" s="11">
        <v>4.37</v>
      </c>
      <c r="P131" s="11">
        <f t="shared" si="2"/>
        <v>8.9999999999999858E-2</v>
      </c>
      <c r="Q131" s="11">
        <f t="shared" si="3"/>
        <v>0.33</v>
      </c>
      <c r="R131" s="11">
        <v>0.89500000000000002</v>
      </c>
    </row>
    <row r="132" spans="2:18" ht="16" x14ac:dyDescent="0.3">
      <c r="B132" s="4">
        <v>126</v>
      </c>
      <c r="C132" s="4" t="s">
        <v>3295</v>
      </c>
      <c r="D132" s="5" t="s">
        <v>3284</v>
      </c>
      <c r="E132" s="4">
        <v>300</v>
      </c>
      <c r="F132" s="5" t="s">
        <v>3285</v>
      </c>
      <c r="G132" s="4" t="s">
        <v>1703</v>
      </c>
      <c r="H132" s="4" t="s">
        <v>573</v>
      </c>
      <c r="I132" s="22">
        <v>2305189.497</v>
      </c>
      <c r="J132" s="22">
        <v>585409.92099999997</v>
      </c>
      <c r="K132" s="22">
        <v>2305179.122</v>
      </c>
      <c r="L132" s="22">
        <v>585394.35900000005</v>
      </c>
      <c r="M132" s="6">
        <v>18.704000000000001</v>
      </c>
      <c r="N132" s="11">
        <v>2.44</v>
      </c>
      <c r="O132" s="11">
        <v>2.35</v>
      </c>
      <c r="P132" s="11">
        <f t="shared" si="2"/>
        <v>8.9999999999999858E-2</v>
      </c>
      <c r="Q132" s="11">
        <f t="shared" si="3"/>
        <v>0.48099999999999998</v>
      </c>
      <c r="R132" s="11">
        <v>2.915</v>
      </c>
    </row>
    <row r="133" spans="2:18" ht="16" x14ac:dyDescent="0.3">
      <c r="B133" s="4">
        <v>127</v>
      </c>
      <c r="C133" s="4" t="s">
        <v>3296</v>
      </c>
      <c r="D133" s="5" t="s">
        <v>3284</v>
      </c>
      <c r="E133" s="4">
        <v>300</v>
      </c>
      <c r="F133" s="5" t="s">
        <v>3285</v>
      </c>
      <c r="G133" s="4" t="s">
        <v>1700</v>
      </c>
      <c r="H133" s="4" t="s">
        <v>1703</v>
      </c>
      <c r="I133" s="22">
        <v>2305205.06</v>
      </c>
      <c r="J133" s="22">
        <v>585433.179</v>
      </c>
      <c r="K133" s="22">
        <v>2305190.077</v>
      </c>
      <c r="L133" s="22">
        <v>585410.73600000003</v>
      </c>
      <c r="M133" s="6">
        <v>26.984999999999999</v>
      </c>
      <c r="N133" s="11">
        <v>2.52</v>
      </c>
      <c r="O133" s="11">
        <v>2.44</v>
      </c>
      <c r="P133" s="11">
        <f t="shared" si="2"/>
        <v>8.0000000000000071E-2</v>
      </c>
      <c r="Q133" s="11">
        <f t="shared" si="3"/>
        <v>0.29599999999999999</v>
      </c>
      <c r="R133" s="11">
        <v>2.83</v>
      </c>
    </row>
    <row r="134" spans="2:18" ht="16" x14ac:dyDescent="0.3">
      <c r="B134" s="4">
        <v>128</v>
      </c>
      <c r="C134" s="4" t="s">
        <v>3297</v>
      </c>
      <c r="D134" s="5" t="s">
        <v>3284</v>
      </c>
      <c r="E134" s="4">
        <v>300</v>
      </c>
      <c r="F134" s="5" t="s">
        <v>3285</v>
      </c>
      <c r="G134" s="4" t="s">
        <v>1697</v>
      </c>
      <c r="H134" s="4" t="s">
        <v>1700</v>
      </c>
      <c r="I134" s="22">
        <v>2305217.929</v>
      </c>
      <c r="J134" s="22">
        <v>585452.24899999995</v>
      </c>
      <c r="K134" s="22">
        <v>2305205.6090000002</v>
      </c>
      <c r="L134" s="22">
        <v>585434.01399999997</v>
      </c>
      <c r="M134" s="6">
        <v>22.007000000000001</v>
      </c>
      <c r="N134" s="11">
        <v>2.6</v>
      </c>
      <c r="O134" s="11">
        <v>2.52</v>
      </c>
      <c r="P134" s="11">
        <f t="shared" si="2"/>
        <v>8.0000000000000071E-2</v>
      </c>
      <c r="Q134" s="11">
        <f t="shared" si="3"/>
        <v>0.36399999999999999</v>
      </c>
      <c r="R134" s="11">
        <v>2.75</v>
      </c>
    </row>
    <row r="135" spans="2:18" ht="16" x14ac:dyDescent="0.3">
      <c r="B135" s="4">
        <v>129</v>
      </c>
      <c r="C135" s="4" t="s">
        <v>3298</v>
      </c>
      <c r="D135" s="5" t="s">
        <v>3284</v>
      </c>
      <c r="E135" s="4">
        <v>300</v>
      </c>
      <c r="F135" s="5" t="s">
        <v>3285</v>
      </c>
      <c r="G135" s="4" t="s">
        <v>1694</v>
      </c>
      <c r="H135" s="4" t="s">
        <v>1697</v>
      </c>
      <c r="I135" s="22">
        <v>2305231.9709999999</v>
      </c>
      <c r="J135" s="22">
        <v>585473.29500000004</v>
      </c>
      <c r="K135" s="22">
        <v>2305218.486</v>
      </c>
      <c r="L135" s="22">
        <v>585453.07999999996</v>
      </c>
      <c r="M135" s="6">
        <v>24.3</v>
      </c>
      <c r="N135" s="11">
        <v>2.69</v>
      </c>
      <c r="O135" s="11">
        <v>2.6</v>
      </c>
      <c r="P135" s="11">
        <f t="shared" ref="P135:P198" si="4">IF(AND(ISNUMBER(N135),ISNUMBER(O135)),ABS(N135-O135),0)</f>
        <v>8.9999999999999858E-2</v>
      </c>
      <c r="Q135" s="11">
        <f t="shared" ref="Q135:Q198" si="5">IF(M135&gt;0,ROUND(P135/M135*100,3),0)</f>
        <v>0.37</v>
      </c>
      <c r="R135" s="11">
        <v>2.665</v>
      </c>
    </row>
    <row r="136" spans="2:18" ht="16" x14ac:dyDescent="0.3">
      <c r="B136" s="4">
        <v>130</v>
      </c>
      <c r="C136" s="4" t="s">
        <v>3299</v>
      </c>
      <c r="D136" s="5" t="s">
        <v>3284</v>
      </c>
      <c r="E136" s="4">
        <v>300</v>
      </c>
      <c r="F136" s="5" t="s">
        <v>3285</v>
      </c>
      <c r="G136" s="4" t="s">
        <v>1115</v>
      </c>
      <c r="H136" s="4" t="s">
        <v>710</v>
      </c>
      <c r="I136" s="22">
        <v>2305341.2119999998</v>
      </c>
      <c r="J136" s="22">
        <v>585002.12899999996</v>
      </c>
      <c r="K136" s="22">
        <v>2305360.5639999998</v>
      </c>
      <c r="L136" s="22">
        <v>584989.152</v>
      </c>
      <c r="M136" s="6">
        <v>23.3</v>
      </c>
      <c r="N136" s="11">
        <v>4.1399999999999997</v>
      </c>
      <c r="O136" s="11">
        <v>4.22</v>
      </c>
      <c r="P136" s="11">
        <f t="shared" si="4"/>
        <v>8.0000000000000071E-2</v>
      </c>
      <c r="Q136" s="11">
        <f t="shared" si="5"/>
        <v>0.34300000000000003</v>
      </c>
      <c r="R136" s="11">
        <v>0.89</v>
      </c>
    </row>
    <row r="137" spans="2:18" ht="16" x14ac:dyDescent="0.3">
      <c r="B137" s="4">
        <v>131</v>
      </c>
      <c r="C137" s="4" t="s">
        <v>3300</v>
      </c>
      <c r="D137" s="5" t="s">
        <v>3284</v>
      </c>
      <c r="E137" s="4">
        <v>300</v>
      </c>
      <c r="F137" s="5" t="s">
        <v>3285</v>
      </c>
      <c r="G137" s="4" t="s">
        <v>1118</v>
      </c>
      <c r="H137" s="4" t="s">
        <v>1115</v>
      </c>
      <c r="I137" s="22">
        <v>2305321.2790000001</v>
      </c>
      <c r="J137" s="22">
        <v>585015.49600000004</v>
      </c>
      <c r="K137" s="22">
        <v>2305340.6310000001</v>
      </c>
      <c r="L137" s="22">
        <v>585002.51899999997</v>
      </c>
      <c r="M137" s="6">
        <v>23.3</v>
      </c>
      <c r="N137" s="11">
        <v>4.0599999999999996</v>
      </c>
      <c r="O137" s="11">
        <v>4.1399999999999997</v>
      </c>
      <c r="P137" s="11">
        <f t="shared" si="4"/>
        <v>8.0000000000000071E-2</v>
      </c>
      <c r="Q137" s="11">
        <f t="shared" si="5"/>
        <v>0.34300000000000003</v>
      </c>
      <c r="R137" s="11">
        <v>0.97</v>
      </c>
    </row>
    <row r="138" spans="2:18" ht="16" x14ac:dyDescent="0.3">
      <c r="B138" s="4">
        <v>132</v>
      </c>
      <c r="C138" s="4" t="s">
        <v>3301</v>
      </c>
      <c r="D138" s="5" t="s">
        <v>3284</v>
      </c>
      <c r="E138" s="4">
        <v>300</v>
      </c>
      <c r="F138" s="5" t="s">
        <v>3285</v>
      </c>
      <c r="G138" s="4" t="s">
        <v>1121</v>
      </c>
      <c r="H138" s="4" t="s">
        <v>1118</v>
      </c>
      <c r="I138" s="22">
        <v>2305301.3459999999</v>
      </c>
      <c r="J138" s="22">
        <v>585028.86199999996</v>
      </c>
      <c r="K138" s="22">
        <v>2305320.6979999999</v>
      </c>
      <c r="L138" s="22">
        <v>585015.88500000001</v>
      </c>
      <c r="M138" s="6">
        <v>23.3</v>
      </c>
      <c r="N138" s="11">
        <v>3.98</v>
      </c>
      <c r="O138" s="11">
        <v>4.0599999999999996</v>
      </c>
      <c r="P138" s="11">
        <f t="shared" si="4"/>
        <v>7.9999999999999627E-2</v>
      </c>
      <c r="Q138" s="11">
        <f t="shared" si="5"/>
        <v>0.34300000000000003</v>
      </c>
      <c r="R138" s="11">
        <v>1.05</v>
      </c>
    </row>
    <row r="139" spans="2:18" ht="16" x14ac:dyDescent="0.3">
      <c r="B139" s="4">
        <v>133</v>
      </c>
      <c r="C139" s="4" t="s">
        <v>3302</v>
      </c>
      <c r="D139" s="5" t="s">
        <v>3284</v>
      </c>
      <c r="E139" s="4">
        <v>300</v>
      </c>
      <c r="F139" s="5" t="s">
        <v>3285</v>
      </c>
      <c r="G139" s="4" t="s">
        <v>1124</v>
      </c>
      <c r="H139" s="4" t="s">
        <v>1121</v>
      </c>
      <c r="I139" s="22">
        <v>2305288.057</v>
      </c>
      <c r="J139" s="22">
        <v>585037.77300000004</v>
      </c>
      <c r="K139" s="22">
        <v>2305300.764</v>
      </c>
      <c r="L139" s="22">
        <v>585029.25199999998</v>
      </c>
      <c r="M139" s="6">
        <v>15.3</v>
      </c>
      <c r="N139" s="11">
        <v>3.93</v>
      </c>
      <c r="O139" s="11">
        <v>3.98</v>
      </c>
      <c r="P139" s="11">
        <f t="shared" si="4"/>
        <v>4.9999999999999822E-2</v>
      </c>
      <c r="Q139" s="11">
        <f t="shared" si="5"/>
        <v>0.32700000000000001</v>
      </c>
      <c r="R139" s="11">
        <v>1.115</v>
      </c>
    </row>
    <row r="140" spans="2:18" ht="16" x14ac:dyDescent="0.3">
      <c r="B140" s="4">
        <v>134</v>
      </c>
      <c r="C140" s="4" t="s">
        <v>3303</v>
      </c>
      <c r="D140" s="5" t="s">
        <v>3284</v>
      </c>
      <c r="E140" s="4">
        <v>300</v>
      </c>
      <c r="F140" s="5" t="s">
        <v>3285</v>
      </c>
      <c r="G140" s="4" t="s">
        <v>3060</v>
      </c>
      <c r="H140" s="4" t="s">
        <v>1124</v>
      </c>
      <c r="I140" s="22">
        <v>2305276.1630000002</v>
      </c>
      <c r="J140" s="22">
        <v>585045.55099999998</v>
      </c>
      <c r="K140" s="22">
        <v>2305287.4759999998</v>
      </c>
      <c r="L140" s="22">
        <v>585038.16299999994</v>
      </c>
      <c r="M140" s="6">
        <v>13.512</v>
      </c>
      <c r="N140" s="11">
        <v>3.55</v>
      </c>
      <c r="O140" s="11">
        <v>3.93</v>
      </c>
      <c r="P140" s="11">
        <f t="shared" si="4"/>
        <v>0.38000000000000034</v>
      </c>
      <c r="Q140" s="11">
        <f t="shared" si="5"/>
        <v>2.8119999999999998</v>
      </c>
      <c r="R140" s="11">
        <v>1.33</v>
      </c>
    </row>
    <row r="141" spans="2:18" ht="16" x14ac:dyDescent="0.3">
      <c r="B141" s="4">
        <v>135</v>
      </c>
      <c r="C141" s="4" t="s">
        <v>3304</v>
      </c>
      <c r="D141" s="5" t="s">
        <v>3284</v>
      </c>
      <c r="E141" s="4">
        <v>300</v>
      </c>
      <c r="F141" s="5" t="s">
        <v>3285</v>
      </c>
      <c r="G141" s="4" t="s">
        <v>366</v>
      </c>
      <c r="H141" s="4" t="s">
        <v>3060</v>
      </c>
      <c r="I141" s="22">
        <v>2305278.1940000001</v>
      </c>
      <c r="J141" s="22">
        <v>585066.44499999995</v>
      </c>
      <c r="K141" s="22">
        <v>2305275.338</v>
      </c>
      <c r="L141" s="22">
        <v>585046.11699999997</v>
      </c>
      <c r="M141" s="6">
        <v>23.748000000000001</v>
      </c>
      <c r="N141" s="11">
        <v>3.48</v>
      </c>
      <c r="O141" s="11">
        <v>3.55</v>
      </c>
      <c r="P141" s="11">
        <f t="shared" si="4"/>
        <v>6.999999999999984E-2</v>
      </c>
      <c r="Q141" s="11">
        <f t="shared" si="5"/>
        <v>0.29499999999999998</v>
      </c>
      <c r="R141" s="11">
        <v>1.575</v>
      </c>
    </row>
    <row r="142" spans="2:18" ht="16" x14ac:dyDescent="0.3">
      <c r="B142" s="4">
        <v>136</v>
      </c>
      <c r="C142" s="4" t="s">
        <v>3305</v>
      </c>
      <c r="D142" s="5" t="s">
        <v>3284</v>
      </c>
      <c r="E142" s="4">
        <v>300</v>
      </c>
      <c r="F142" s="5" t="s">
        <v>3285</v>
      </c>
      <c r="G142" s="4" t="s">
        <v>369</v>
      </c>
      <c r="H142" s="4" t="s">
        <v>366</v>
      </c>
      <c r="I142" s="22">
        <v>2305296.2609999999</v>
      </c>
      <c r="J142" s="22">
        <v>585077.527</v>
      </c>
      <c r="K142" s="22">
        <v>2305278.7560000001</v>
      </c>
      <c r="L142" s="22">
        <v>585067.25600000005</v>
      </c>
      <c r="M142" s="6">
        <v>23.373000000000001</v>
      </c>
      <c r="N142" s="11">
        <v>3.41</v>
      </c>
      <c r="O142" s="11">
        <v>3.48</v>
      </c>
      <c r="P142" s="11">
        <f t="shared" si="4"/>
        <v>6.999999999999984E-2</v>
      </c>
      <c r="Q142" s="11">
        <f t="shared" si="5"/>
        <v>0.29899999999999999</v>
      </c>
      <c r="R142" s="11">
        <v>1.645</v>
      </c>
    </row>
    <row r="143" spans="2:18" ht="16" x14ac:dyDescent="0.3">
      <c r="B143" s="4">
        <v>137</v>
      </c>
      <c r="C143" s="4" t="s">
        <v>3306</v>
      </c>
      <c r="D143" s="5" t="s">
        <v>3284</v>
      </c>
      <c r="E143" s="4">
        <v>300</v>
      </c>
      <c r="F143" s="5" t="s">
        <v>3285</v>
      </c>
      <c r="G143" s="4" t="s">
        <v>1136</v>
      </c>
      <c r="H143" s="4" t="s">
        <v>369</v>
      </c>
      <c r="I143" s="22">
        <v>2305308.3160000001</v>
      </c>
      <c r="J143" s="22">
        <v>585069.20299999998</v>
      </c>
      <c r="K143" s="22">
        <v>2305297.0249999999</v>
      </c>
      <c r="L143" s="22">
        <v>585076.95799999998</v>
      </c>
      <c r="M143" s="6">
        <v>13.698</v>
      </c>
      <c r="N143" s="11">
        <v>3.93</v>
      </c>
      <c r="O143" s="11">
        <v>3.41</v>
      </c>
      <c r="P143" s="11">
        <f t="shared" si="4"/>
        <v>0.52</v>
      </c>
      <c r="Q143" s="11">
        <f t="shared" si="5"/>
        <v>3.7959999999999998</v>
      </c>
      <c r="R143" s="11">
        <v>1.4</v>
      </c>
    </row>
    <row r="144" spans="2:18" ht="16" x14ac:dyDescent="0.3">
      <c r="B144" s="4">
        <v>138</v>
      </c>
      <c r="C144" s="4" t="s">
        <v>3307</v>
      </c>
      <c r="D144" s="5" t="s">
        <v>3284</v>
      </c>
      <c r="E144" s="4">
        <v>300</v>
      </c>
      <c r="F144" s="5" t="s">
        <v>3285</v>
      </c>
      <c r="G144" s="4" t="s">
        <v>1133</v>
      </c>
      <c r="H144" s="4" t="s">
        <v>1136</v>
      </c>
      <c r="I144" s="22">
        <v>2305321.5819999999</v>
      </c>
      <c r="J144" s="22">
        <v>585060.29700000002</v>
      </c>
      <c r="K144" s="22">
        <v>2305308.88</v>
      </c>
      <c r="L144" s="22">
        <v>585068.81900000002</v>
      </c>
      <c r="M144" s="6">
        <v>15.297000000000001</v>
      </c>
      <c r="N144" s="11">
        <v>3.98</v>
      </c>
      <c r="O144" s="11">
        <v>3.93</v>
      </c>
      <c r="P144" s="11">
        <f t="shared" si="4"/>
        <v>4.9999999999999822E-2</v>
      </c>
      <c r="Q144" s="11">
        <f t="shared" si="5"/>
        <v>0.32700000000000001</v>
      </c>
      <c r="R144" s="11">
        <v>1.115</v>
      </c>
    </row>
    <row r="145" spans="2:18" ht="16" x14ac:dyDescent="0.3">
      <c r="B145" s="4">
        <v>139</v>
      </c>
      <c r="C145" s="4" t="s">
        <v>3308</v>
      </c>
      <c r="D145" s="5" t="s">
        <v>3284</v>
      </c>
      <c r="E145" s="4">
        <v>300</v>
      </c>
      <c r="F145" s="5" t="s">
        <v>3285</v>
      </c>
      <c r="G145" s="4" t="s">
        <v>1130</v>
      </c>
      <c r="H145" s="4" t="s">
        <v>1133</v>
      </c>
      <c r="I145" s="22">
        <v>2305341.5150000001</v>
      </c>
      <c r="J145" s="22">
        <v>585046.93000000005</v>
      </c>
      <c r="K145" s="22">
        <v>2305322.1639999999</v>
      </c>
      <c r="L145" s="22">
        <v>585059.90700000001</v>
      </c>
      <c r="M145" s="6">
        <v>23.3</v>
      </c>
      <c r="N145" s="11">
        <v>4.0599999999999996</v>
      </c>
      <c r="O145" s="11">
        <v>3.98</v>
      </c>
      <c r="P145" s="11">
        <f t="shared" si="4"/>
        <v>7.9999999999999627E-2</v>
      </c>
      <c r="Q145" s="11">
        <f t="shared" si="5"/>
        <v>0.34300000000000003</v>
      </c>
      <c r="R145" s="11">
        <v>1.05</v>
      </c>
    </row>
    <row r="146" spans="2:18" ht="16" x14ac:dyDescent="0.3">
      <c r="B146" s="4">
        <v>140</v>
      </c>
      <c r="C146" s="4" t="s">
        <v>3309</v>
      </c>
      <c r="D146" s="5" t="s">
        <v>3284</v>
      </c>
      <c r="E146" s="4">
        <v>300</v>
      </c>
      <c r="F146" s="5" t="s">
        <v>3285</v>
      </c>
      <c r="G146" s="4" t="s">
        <v>1127</v>
      </c>
      <c r="H146" s="4" t="s">
        <v>1130</v>
      </c>
      <c r="I146" s="22">
        <v>2305361.449</v>
      </c>
      <c r="J146" s="22">
        <v>585033.56400000001</v>
      </c>
      <c r="K146" s="22">
        <v>2305342.0970000001</v>
      </c>
      <c r="L146" s="22">
        <v>585046.54099999997</v>
      </c>
      <c r="M146" s="6">
        <v>23.3</v>
      </c>
      <c r="N146" s="11">
        <v>4.1399999999999997</v>
      </c>
      <c r="O146" s="11">
        <v>4.0599999999999996</v>
      </c>
      <c r="P146" s="11">
        <f t="shared" si="4"/>
        <v>8.0000000000000071E-2</v>
      </c>
      <c r="Q146" s="11">
        <f t="shared" si="5"/>
        <v>0.34300000000000003</v>
      </c>
      <c r="R146" s="11">
        <v>0.97</v>
      </c>
    </row>
    <row r="147" spans="2:18" ht="16" x14ac:dyDescent="0.3">
      <c r="B147" s="4">
        <v>141</v>
      </c>
      <c r="C147" s="4" t="s">
        <v>3310</v>
      </c>
      <c r="D147" s="5" t="s">
        <v>3284</v>
      </c>
      <c r="E147" s="4">
        <v>300</v>
      </c>
      <c r="F147" s="5" t="s">
        <v>3285</v>
      </c>
      <c r="G147" s="4" t="s">
        <v>713</v>
      </c>
      <c r="H147" s="4" t="s">
        <v>1127</v>
      </c>
      <c r="I147" s="22">
        <v>2305381.3820000002</v>
      </c>
      <c r="J147" s="22">
        <v>585020.19700000004</v>
      </c>
      <c r="K147" s="22">
        <v>2305362.0299999998</v>
      </c>
      <c r="L147" s="22">
        <v>585033.174</v>
      </c>
      <c r="M147" s="6">
        <v>23.3</v>
      </c>
      <c r="N147" s="11">
        <v>4.22</v>
      </c>
      <c r="O147" s="11">
        <v>4.1399999999999997</v>
      </c>
      <c r="P147" s="11">
        <f t="shared" si="4"/>
        <v>8.0000000000000071E-2</v>
      </c>
      <c r="Q147" s="11">
        <f t="shared" si="5"/>
        <v>0.34300000000000003</v>
      </c>
      <c r="R147" s="11">
        <v>0.89</v>
      </c>
    </row>
    <row r="148" spans="2:18" ht="16" x14ac:dyDescent="0.3">
      <c r="B148" s="4">
        <v>142</v>
      </c>
      <c r="C148" s="4" t="s">
        <v>3311</v>
      </c>
      <c r="D148" s="5" t="s">
        <v>3284</v>
      </c>
      <c r="E148" s="4">
        <v>300</v>
      </c>
      <c r="F148" s="5" t="s">
        <v>3285</v>
      </c>
      <c r="G148" s="4" t="s">
        <v>1139</v>
      </c>
      <c r="H148" s="4" t="s">
        <v>716</v>
      </c>
      <c r="I148" s="22">
        <v>2305368.5019999999</v>
      </c>
      <c r="J148" s="22">
        <v>585042.826</v>
      </c>
      <c r="K148" s="22">
        <v>2305387.8539999998</v>
      </c>
      <c r="L148" s="22">
        <v>585029.84900000005</v>
      </c>
      <c r="M148" s="6">
        <v>23.3</v>
      </c>
      <c r="N148" s="11">
        <v>4.1399999999999997</v>
      </c>
      <c r="O148" s="11">
        <v>4.22</v>
      </c>
      <c r="P148" s="11">
        <f t="shared" si="4"/>
        <v>8.0000000000000071E-2</v>
      </c>
      <c r="Q148" s="11">
        <f t="shared" si="5"/>
        <v>0.34300000000000003</v>
      </c>
      <c r="R148" s="11">
        <v>0.89</v>
      </c>
    </row>
    <row r="149" spans="2:18" ht="16" x14ac:dyDescent="0.3">
      <c r="B149" s="4">
        <v>143</v>
      </c>
      <c r="C149" s="4" t="s">
        <v>3312</v>
      </c>
      <c r="D149" s="5" t="s">
        <v>3284</v>
      </c>
      <c r="E149" s="4">
        <v>300</v>
      </c>
      <c r="F149" s="5" t="s">
        <v>3285</v>
      </c>
      <c r="G149" s="4" t="s">
        <v>1142</v>
      </c>
      <c r="H149" s="4" t="s">
        <v>1139</v>
      </c>
      <c r="I149" s="22">
        <v>2305348.5690000001</v>
      </c>
      <c r="J149" s="22">
        <v>585056.19299999997</v>
      </c>
      <c r="K149" s="22">
        <v>2305367.9210000001</v>
      </c>
      <c r="L149" s="22">
        <v>585043.21600000001</v>
      </c>
      <c r="M149" s="6">
        <v>23.3</v>
      </c>
      <c r="N149" s="11">
        <v>4.0599999999999996</v>
      </c>
      <c r="O149" s="11">
        <v>4.1399999999999997</v>
      </c>
      <c r="P149" s="11">
        <f t="shared" si="4"/>
        <v>8.0000000000000071E-2</v>
      </c>
      <c r="Q149" s="11">
        <f t="shared" si="5"/>
        <v>0.34300000000000003</v>
      </c>
      <c r="R149" s="11">
        <v>0.97</v>
      </c>
    </row>
    <row r="150" spans="2:18" ht="16" x14ac:dyDescent="0.3">
      <c r="B150" s="4">
        <v>144</v>
      </c>
      <c r="C150" s="4" t="s">
        <v>3313</v>
      </c>
      <c r="D150" s="5" t="s">
        <v>3284</v>
      </c>
      <c r="E150" s="4">
        <v>300</v>
      </c>
      <c r="F150" s="5" t="s">
        <v>3285</v>
      </c>
      <c r="G150" s="4" t="s">
        <v>1145</v>
      </c>
      <c r="H150" s="4" t="s">
        <v>1142</v>
      </c>
      <c r="I150" s="22">
        <v>2305328.6359999999</v>
      </c>
      <c r="J150" s="22">
        <v>585069.55900000001</v>
      </c>
      <c r="K150" s="22">
        <v>2305347.9879999999</v>
      </c>
      <c r="L150" s="22">
        <v>585056.58299999998</v>
      </c>
      <c r="M150" s="6">
        <v>23.3</v>
      </c>
      <c r="N150" s="11">
        <v>3.98</v>
      </c>
      <c r="O150" s="11">
        <v>4.0599999999999996</v>
      </c>
      <c r="P150" s="11">
        <f t="shared" si="4"/>
        <v>7.9999999999999627E-2</v>
      </c>
      <c r="Q150" s="11">
        <f t="shared" si="5"/>
        <v>0.34300000000000003</v>
      </c>
      <c r="R150" s="11">
        <v>1.05</v>
      </c>
    </row>
    <row r="151" spans="2:18" ht="16" x14ac:dyDescent="0.3">
      <c r="B151" s="4">
        <v>145</v>
      </c>
      <c r="C151" s="4" t="s">
        <v>3314</v>
      </c>
      <c r="D151" s="5" t="s">
        <v>3284</v>
      </c>
      <c r="E151" s="4">
        <v>300</v>
      </c>
      <c r="F151" s="5" t="s">
        <v>3285</v>
      </c>
      <c r="G151" s="4" t="s">
        <v>1148</v>
      </c>
      <c r="H151" s="4" t="s">
        <v>1145</v>
      </c>
      <c r="I151" s="22">
        <v>2305315.3470000001</v>
      </c>
      <c r="J151" s="22">
        <v>585078.473</v>
      </c>
      <c r="K151" s="22">
        <v>2305328.0550000002</v>
      </c>
      <c r="L151" s="22">
        <v>585069.94900000002</v>
      </c>
      <c r="M151" s="6">
        <v>15.302</v>
      </c>
      <c r="N151" s="11">
        <v>3.93</v>
      </c>
      <c r="O151" s="11">
        <v>3.98</v>
      </c>
      <c r="P151" s="11">
        <f t="shared" si="4"/>
        <v>4.9999999999999822E-2</v>
      </c>
      <c r="Q151" s="11">
        <f t="shared" si="5"/>
        <v>0.32700000000000001</v>
      </c>
      <c r="R151" s="11">
        <v>1.115</v>
      </c>
    </row>
    <row r="152" spans="2:18" ht="16" x14ac:dyDescent="0.3">
      <c r="B152" s="4">
        <v>146</v>
      </c>
      <c r="C152" s="4" t="s">
        <v>3315</v>
      </c>
      <c r="D152" s="5" t="s">
        <v>3284</v>
      </c>
      <c r="E152" s="4">
        <v>300</v>
      </c>
      <c r="F152" s="5" t="s">
        <v>3285</v>
      </c>
      <c r="G152" s="4" t="s">
        <v>3063</v>
      </c>
      <c r="H152" s="4" t="s">
        <v>1148</v>
      </c>
      <c r="I152" s="22">
        <v>2305303.44</v>
      </c>
      <c r="J152" s="22">
        <v>585086.255</v>
      </c>
      <c r="K152" s="22">
        <v>2305314.7629999998</v>
      </c>
      <c r="L152" s="22">
        <v>585078.85900000005</v>
      </c>
      <c r="M152" s="6">
        <v>13.523999999999999</v>
      </c>
      <c r="N152" s="11">
        <v>3.37</v>
      </c>
      <c r="O152" s="11">
        <v>3.93</v>
      </c>
      <c r="P152" s="11">
        <f t="shared" si="4"/>
        <v>0.56000000000000005</v>
      </c>
      <c r="Q152" s="11">
        <f t="shared" si="5"/>
        <v>4.141</v>
      </c>
      <c r="R152" s="11">
        <v>1.42</v>
      </c>
    </row>
    <row r="153" spans="2:18" ht="16" x14ac:dyDescent="0.3">
      <c r="B153" s="4">
        <v>147</v>
      </c>
      <c r="C153" s="4" t="s">
        <v>3316</v>
      </c>
      <c r="D153" s="5" t="s">
        <v>3284</v>
      </c>
      <c r="E153" s="4">
        <v>300</v>
      </c>
      <c r="F153" s="5" t="s">
        <v>3285</v>
      </c>
      <c r="G153" s="4" t="s">
        <v>372</v>
      </c>
      <c r="H153" s="4" t="s">
        <v>3063</v>
      </c>
      <c r="I153" s="22">
        <v>2305305.483</v>
      </c>
      <c r="J153" s="22">
        <v>585107.14399999997</v>
      </c>
      <c r="K153" s="22">
        <v>2305302.61</v>
      </c>
      <c r="L153" s="22">
        <v>585086.81200000003</v>
      </c>
      <c r="M153" s="6">
        <v>23.675000000000001</v>
      </c>
      <c r="N153" s="11">
        <v>3.3</v>
      </c>
      <c r="O153" s="11">
        <v>3.37</v>
      </c>
      <c r="P153" s="11">
        <f t="shared" si="4"/>
        <v>7.0000000000000284E-2</v>
      </c>
      <c r="Q153" s="11">
        <f t="shared" si="5"/>
        <v>0.29599999999999999</v>
      </c>
      <c r="R153" s="11">
        <v>1.7549999999999999</v>
      </c>
    </row>
    <row r="154" spans="2:18" ht="16" x14ac:dyDescent="0.3">
      <c r="B154" s="4">
        <v>148</v>
      </c>
      <c r="C154" s="4" t="s">
        <v>3317</v>
      </c>
      <c r="D154" s="5" t="s">
        <v>3284</v>
      </c>
      <c r="E154" s="4">
        <v>300</v>
      </c>
      <c r="F154" s="5" t="s">
        <v>3285</v>
      </c>
      <c r="G154" s="4" t="s">
        <v>375</v>
      </c>
      <c r="H154" s="4" t="s">
        <v>372</v>
      </c>
      <c r="I154" s="22">
        <v>2305323.6839999999</v>
      </c>
      <c r="J154" s="22">
        <v>585118.07499999995</v>
      </c>
      <c r="K154" s="22">
        <v>2305306.0430000001</v>
      </c>
      <c r="L154" s="22">
        <v>585107.97199999995</v>
      </c>
      <c r="M154" s="6">
        <v>23.582000000000001</v>
      </c>
      <c r="N154" s="11">
        <v>3.23</v>
      </c>
      <c r="O154" s="11">
        <v>3.3</v>
      </c>
      <c r="P154" s="11">
        <f t="shared" si="4"/>
        <v>6.999999999999984E-2</v>
      </c>
      <c r="Q154" s="11">
        <f t="shared" si="5"/>
        <v>0.29699999999999999</v>
      </c>
      <c r="R154" s="11">
        <v>1.875</v>
      </c>
    </row>
    <row r="155" spans="2:18" ht="16" x14ac:dyDescent="0.3">
      <c r="B155" s="4">
        <v>149</v>
      </c>
      <c r="C155" s="4" t="s">
        <v>3318</v>
      </c>
      <c r="D155" s="5" t="s">
        <v>3284</v>
      </c>
      <c r="E155" s="4">
        <v>300</v>
      </c>
      <c r="F155" s="5" t="s">
        <v>3285</v>
      </c>
      <c r="G155" s="4" t="s">
        <v>1160</v>
      </c>
      <c r="H155" s="4" t="s">
        <v>375</v>
      </c>
      <c r="I155" s="22">
        <v>2305335.534</v>
      </c>
      <c r="J155" s="22">
        <v>585109.83100000001</v>
      </c>
      <c r="K155" s="22">
        <v>2305324.48</v>
      </c>
      <c r="L155" s="22">
        <v>585117.56499999994</v>
      </c>
      <c r="M155" s="6">
        <v>13.491</v>
      </c>
      <c r="N155" s="11">
        <v>4.03</v>
      </c>
      <c r="O155" s="11">
        <v>3.23</v>
      </c>
      <c r="P155" s="11">
        <f t="shared" si="4"/>
        <v>0.80000000000000027</v>
      </c>
      <c r="Q155" s="11">
        <f t="shared" si="5"/>
        <v>5.93</v>
      </c>
      <c r="R155" s="11">
        <v>1.54</v>
      </c>
    </row>
    <row r="156" spans="2:18" ht="16" x14ac:dyDescent="0.3">
      <c r="B156" s="4">
        <v>150</v>
      </c>
      <c r="C156" s="4" t="s">
        <v>3319</v>
      </c>
      <c r="D156" s="5" t="s">
        <v>3284</v>
      </c>
      <c r="E156" s="4">
        <v>300</v>
      </c>
      <c r="F156" s="5" t="s">
        <v>3285</v>
      </c>
      <c r="G156" s="4" t="s">
        <v>1157</v>
      </c>
      <c r="H156" s="4" t="s">
        <v>1160</v>
      </c>
      <c r="I156" s="22">
        <v>2305348.8229999999</v>
      </c>
      <c r="J156" s="22">
        <v>585100.92000000004</v>
      </c>
      <c r="K156" s="22">
        <v>2305336.1150000002</v>
      </c>
      <c r="L156" s="22">
        <v>585109.44099999999</v>
      </c>
      <c r="M156" s="6">
        <v>15.3</v>
      </c>
      <c r="N156" s="11">
        <v>4.08</v>
      </c>
      <c r="O156" s="11">
        <v>4.03</v>
      </c>
      <c r="P156" s="11">
        <f t="shared" si="4"/>
        <v>4.9999999999999822E-2</v>
      </c>
      <c r="Q156" s="11">
        <f t="shared" si="5"/>
        <v>0.32700000000000001</v>
      </c>
      <c r="R156" s="11">
        <v>1.115</v>
      </c>
    </row>
    <row r="157" spans="2:18" ht="16" x14ac:dyDescent="0.3">
      <c r="B157" s="4">
        <v>151</v>
      </c>
      <c r="C157" s="4" t="s">
        <v>3320</v>
      </c>
      <c r="D157" s="5" t="s">
        <v>3284</v>
      </c>
      <c r="E157" s="4">
        <v>300</v>
      </c>
      <c r="F157" s="5" t="s">
        <v>3285</v>
      </c>
      <c r="G157" s="4" t="s">
        <v>1154</v>
      </c>
      <c r="H157" s="4" t="s">
        <v>1157</v>
      </c>
      <c r="I157" s="22">
        <v>2305368.7560000001</v>
      </c>
      <c r="J157" s="22">
        <v>585087.55299999996</v>
      </c>
      <c r="K157" s="22">
        <v>2305349.4040000001</v>
      </c>
      <c r="L157" s="22">
        <v>585100.53</v>
      </c>
      <c r="M157" s="6">
        <v>23.3</v>
      </c>
      <c r="N157" s="11">
        <v>4.16</v>
      </c>
      <c r="O157" s="11">
        <v>4.08</v>
      </c>
      <c r="P157" s="11">
        <f t="shared" si="4"/>
        <v>8.0000000000000071E-2</v>
      </c>
      <c r="Q157" s="11">
        <f t="shared" si="5"/>
        <v>0.34300000000000003</v>
      </c>
      <c r="R157" s="11">
        <v>1.05</v>
      </c>
    </row>
    <row r="158" spans="2:18" ht="16" x14ac:dyDescent="0.3">
      <c r="B158" s="4">
        <v>152</v>
      </c>
      <c r="C158" s="4" t="s">
        <v>3321</v>
      </c>
      <c r="D158" s="5" t="s">
        <v>3284</v>
      </c>
      <c r="E158" s="4">
        <v>300</v>
      </c>
      <c r="F158" s="5" t="s">
        <v>3285</v>
      </c>
      <c r="G158" s="4" t="s">
        <v>1151</v>
      </c>
      <c r="H158" s="4" t="s">
        <v>1154</v>
      </c>
      <c r="I158" s="22">
        <v>2305388.7390000001</v>
      </c>
      <c r="J158" s="22">
        <v>585074.26100000006</v>
      </c>
      <c r="K158" s="22">
        <v>2305369.3530000001</v>
      </c>
      <c r="L158" s="22">
        <v>585087.18700000003</v>
      </c>
      <c r="M158" s="6">
        <v>23.3</v>
      </c>
      <c r="N158" s="11">
        <v>4.24</v>
      </c>
      <c r="O158" s="11">
        <v>4.16</v>
      </c>
      <c r="P158" s="11">
        <f t="shared" si="4"/>
        <v>8.0000000000000071E-2</v>
      </c>
      <c r="Q158" s="11">
        <f t="shared" si="5"/>
        <v>0.34300000000000003</v>
      </c>
      <c r="R158" s="11">
        <v>0.97</v>
      </c>
    </row>
    <row r="159" spans="2:18" ht="16" x14ac:dyDescent="0.3">
      <c r="B159" s="4">
        <v>153</v>
      </c>
      <c r="C159" s="4" t="s">
        <v>3322</v>
      </c>
      <c r="D159" s="5" t="s">
        <v>3284</v>
      </c>
      <c r="E159" s="4">
        <v>300</v>
      </c>
      <c r="F159" s="5" t="s">
        <v>3285</v>
      </c>
      <c r="G159" s="4" t="s">
        <v>719</v>
      </c>
      <c r="H159" s="4" t="s">
        <v>1151</v>
      </c>
      <c r="I159" s="22">
        <v>2305408.6150000002</v>
      </c>
      <c r="J159" s="22">
        <v>585060.81000000006</v>
      </c>
      <c r="K159" s="22">
        <v>2305389.3199999998</v>
      </c>
      <c r="L159" s="22">
        <v>585073.87100000004</v>
      </c>
      <c r="M159" s="6">
        <v>23.298999999999999</v>
      </c>
      <c r="N159" s="11">
        <v>4.32</v>
      </c>
      <c r="O159" s="11">
        <v>4.24</v>
      </c>
      <c r="P159" s="11">
        <f t="shared" si="4"/>
        <v>8.0000000000000071E-2</v>
      </c>
      <c r="Q159" s="11">
        <f t="shared" si="5"/>
        <v>0.34300000000000003</v>
      </c>
      <c r="R159" s="11">
        <v>0.89</v>
      </c>
    </row>
    <row r="160" spans="2:18" ht="16" x14ac:dyDescent="0.3">
      <c r="B160" s="4">
        <v>154</v>
      </c>
      <c r="C160" s="4" t="s">
        <v>3323</v>
      </c>
      <c r="D160" s="5" t="s">
        <v>3284</v>
      </c>
      <c r="E160" s="4">
        <v>300</v>
      </c>
      <c r="F160" s="5" t="s">
        <v>3285</v>
      </c>
      <c r="G160" s="4" t="s">
        <v>1163</v>
      </c>
      <c r="H160" s="4" t="s">
        <v>722</v>
      </c>
      <c r="I160" s="22">
        <v>2305395.7930000001</v>
      </c>
      <c r="J160" s="22">
        <v>585083.52300000004</v>
      </c>
      <c r="K160" s="22">
        <v>2305415.1439999999</v>
      </c>
      <c r="L160" s="22">
        <v>585070.54599999997</v>
      </c>
      <c r="M160" s="6">
        <v>23.3</v>
      </c>
      <c r="N160" s="11">
        <v>4.24</v>
      </c>
      <c r="O160" s="11">
        <v>4.32</v>
      </c>
      <c r="P160" s="11">
        <f t="shared" si="4"/>
        <v>8.0000000000000071E-2</v>
      </c>
      <c r="Q160" s="11">
        <f t="shared" si="5"/>
        <v>0.34300000000000003</v>
      </c>
      <c r="R160" s="11">
        <v>0.89</v>
      </c>
    </row>
    <row r="161" spans="2:18" ht="16" x14ac:dyDescent="0.3">
      <c r="B161" s="4">
        <v>155</v>
      </c>
      <c r="C161" s="4" t="s">
        <v>3324</v>
      </c>
      <c r="D161" s="5" t="s">
        <v>3284</v>
      </c>
      <c r="E161" s="4">
        <v>300</v>
      </c>
      <c r="F161" s="5" t="s">
        <v>3285</v>
      </c>
      <c r="G161" s="4" t="s">
        <v>1166</v>
      </c>
      <c r="H161" s="4" t="s">
        <v>1163</v>
      </c>
      <c r="I161" s="22">
        <v>2305375.89</v>
      </c>
      <c r="J161" s="22">
        <v>585096.86899999995</v>
      </c>
      <c r="K161" s="22">
        <v>2305395.2110000001</v>
      </c>
      <c r="L161" s="22">
        <v>585083.91299999994</v>
      </c>
      <c r="M161" s="6">
        <v>23.263000000000002</v>
      </c>
      <c r="N161" s="11">
        <v>4.16</v>
      </c>
      <c r="O161" s="11">
        <v>4.24</v>
      </c>
      <c r="P161" s="11">
        <f t="shared" si="4"/>
        <v>8.0000000000000071E-2</v>
      </c>
      <c r="Q161" s="11">
        <f t="shared" si="5"/>
        <v>0.34399999999999997</v>
      </c>
      <c r="R161" s="11">
        <v>0.97</v>
      </c>
    </row>
    <row r="162" spans="2:18" ht="16" x14ac:dyDescent="0.3">
      <c r="B162" s="4">
        <v>156</v>
      </c>
      <c r="C162" s="4" t="s">
        <v>3325</v>
      </c>
      <c r="D162" s="5" t="s">
        <v>3284</v>
      </c>
      <c r="E162" s="4">
        <v>300</v>
      </c>
      <c r="F162" s="5" t="s">
        <v>3285</v>
      </c>
      <c r="G162" s="4" t="s">
        <v>1169</v>
      </c>
      <c r="H162" s="4" t="s">
        <v>1166</v>
      </c>
      <c r="I162" s="22">
        <v>2305355.926</v>
      </c>
      <c r="J162" s="22">
        <v>585110.25600000005</v>
      </c>
      <c r="K162" s="22">
        <v>2305375.2779999999</v>
      </c>
      <c r="L162" s="22">
        <v>585097.28</v>
      </c>
      <c r="M162" s="6">
        <v>23.3</v>
      </c>
      <c r="N162" s="11">
        <v>4.08</v>
      </c>
      <c r="O162" s="11">
        <v>4.16</v>
      </c>
      <c r="P162" s="11">
        <f t="shared" si="4"/>
        <v>8.0000000000000071E-2</v>
      </c>
      <c r="Q162" s="11">
        <f t="shared" si="5"/>
        <v>0.34300000000000003</v>
      </c>
      <c r="R162" s="11">
        <v>1.05</v>
      </c>
    </row>
    <row r="163" spans="2:18" ht="16" x14ac:dyDescent="0.3">
      <c r="B163" s="4">
        <v>157</v>
      </c>
      <c r="C163" s="4" t="s">
        <v>3326</v>
      </c>
      <c r="D163" s="5" t="s">
        <v>3284</v>
      </c>
      <c r="E163" s="4">
        <v>300</v>
      </c>
      <c r="F163" s="5" t="s">
        <v>3285</v>
      </c>
      <c r="G163" s="4" t="s">
        <v>1172</v>
      </c>
      <c r="H163" s="4" t="s">
        <v>1169</v>
      </c>
      <c r="I163" s="22">
        <v>2305342.6370000001</v>
      </c>
      <c r="J163" s="22">
        <v>585119.16700000002</v>
      </c>
      <c r="K163" s="22">
        <v>2305355.3450000002</v>
      </c>
      <c r="L163" s="22">
        <v>585110.64599999995</v>
      </c>
      <c r="M163" s="6">
        <v>15.3</v>
      </c>
      <c r="N163" s="11">
        <v>4.03</v>
      </c>
      <c r="O163" s="11">
        <v>4.08</v>
      </c>
      <c r="P163" s="11">
        <f t="shared" si="4"/>
        <v>4.9999999999999822E-2</v>
      </c>
      <c r="Q163" s="11">
        <f t="shared" si="5"/>
        <v>0.32700000000000001</v>
      </c>
      <c r="R163" s="11">
        <v>1.115</v>
      </c>
    </row>
    <row r="164" spans="2:18" ht="16" x14ac:dyDescent="0.3">
      <c r="B164" s="4">
        <v>158</v>
      </c>
      <c r="C164" s="4" t="s">
        <v>3327</v>
      </c>
      <c r="D164" s="5" t="s">
        <v>3284</v>
      </c>
      <c r="E164" s="4">
        <v>300</v>
      </c>
      <c r="F164" s="5" t="s">
        <v>3285</v>
      </c>
      <c r="G164" s="4" t="s">
        <v>3066</v>
      </c>
      <c r="H164" s="4" t="s">
        <v>1172</v>
      </c>
      <c r="I164" s="22">
        <v>2305330.7250000001</v>
      </c>
      <c r="J164" s="22">
        <v>585126.97199999995</v>
      </c>
      <c r="K164" s="22">
        <v>2305342.0559999999</v>
      </c>
      <c r="L164" s="22">
        <v>585119.55700000003</v>
      </c>
      <c r="M164" s="6">
        <v>13.542</v>
      </c>
      <c r="N164" s="11">
        <v>3.19</v>
      </c>
      <c r="O164" s="11">
        <v>4.03</v>
      </c>
      <c r="P164" s="11">
        <f t="shared" si="4"/>
        <v>0.8400000000000003</v>
      </c>
      <c r="Q164" s="11">
        <f t="shared" si="5"/>
        <v>6.2030000000000003</v>
      </c>
      <c r="R164" s="11">
        <v>1.56</v>
      </c>
    </row>
    <row r="165" spans="2:18" ht="16" x14ac:dyDescent="0.3">
      <c r="B165" s="4">
        <v>159</v>
      </c>
      <c r="C165" s="4" t="s">
        <v>3328</v>
      </c>
      <c r="D165" s="5" t="s">
        <v>3284</v>
      </c>
      <c r="E165" s="4">
        <v>300</v>
      </c>
      <c r="F165" s="5" t="s">
        <v>3285</v>
      </c>
      <c r="G165" s="4" t="s">
        <v>378</v>
      </c>
      <c r="H165" s="4" t="s">
        <v>3066</v>
      </c>
      <c r="I165" s="22">
        <v>2305332.773</v>
      </c>
      <c r="J165" s="22">
        <v>585147.84100000001</v>
      </c>
      <c r="K165" s="22">
        <v>2305329.89</v>
      </c>
      <c r="L165" s="22">
        <v>585127.522</v>
      </c>
      <c r="M165" s="6">
        <v>23.718</v>
      </c>
      <c r="N165" s="11">
        <v>3.12</v>
      </c>
      <c r="O165" s="11">
        <v>3.19</v>
      </c>
      <c r="P165" s="11">
        <f t="shared" si="4"/>
        <v>6.999999999999984E-2</v>
      </c>
      <c r="Q165" s="11">
        <f t="shared" si="5"/>
        <v>0.29499999999999998</v>
      </c>
      <c r="R165" s="11">
        <v>2.0350000000000001</v>
      </c>
    </row>
    <row r="166" spans="2:18" ht="16" x14ac:dyDescent="0.3">
      <c r="B166" s="4">
        <v>160</v>
      </c>
      <c r="C166" s="4" t="s">
        <v>3329</v>
      </c>
      <c r="D166" s="5" t="s">
        <v>3284</v>
      </c>
      <c r="E166" s="4">
        <v>300</v>
      </c>
      <c r="F166" s="5" t="s">
        <v>3285</v>
      </c>
      <c r="G166" s="4" t="s">
        <v>381</v>
      </c>
      <c r="H166" s="4" t="s">
        <v>378</v>
      </c>
      <c r="I166" s="22">
        <v>2305348.58</v>
      </c>
      <c r="J166" s="22">
        <v>585160.38100000005</v>
      </c>
      <c r="K166" s="22">
        <v>2305333.3330000001</v>
      </c>
      <c r="L166" s="22">
        <v>585148.66899999999</v>
      </c>
      <c r="M166" s="6">
        <v>20.771999999999998</v>
      </c>
      <c r="N166" s="11">
        <v>3.05</v>
      </c>
      <c r="O166" s="11">
        <v>3.12</v>
      </c>
      <c r="P166" s="11">
        <f t="shared" si="4"/>
        <v>7.0000000000000284E-2</v>
      </c>
      <c r="Q166" s="11">
        <f t="shared" si="5"/>
        <v>0.33700000000000002</v>
      </c>
      <c r="R166" s="11">
        <v>2.105</v>
      </c>
    </row>
    <row r="167" spans="2:18" ht="16" x14ac:dyDescent="0.3">
      <c r="B167" s="4">
        <v>161</v>
      </c>
      <c r="C167" s="4" t="s">
        <v>3330</v>
      </c>
      <c r="D167" s="5" t="s">
        <v>3284</v>
      </c>
      <c r="E167" s="4">
        <v>300</v>
      </c>
      <c r="F167" s="5" t="s">
        <v>3285</v>
      </c>
      <c r="G167" s="4" t="s">
        <v>1184</v>
      </c>
      <c r="H167" s="4" t="s">
        <v>381</v>
      </c>
      <c r="I167" s="22">
        <v>2305362.7140000002</v>
      </c>
      <c r="J167" s="22">
        <v>585150.90300000005</v>
      </c>
      <c r="K167" s="22">
        <v>2305349.378</v>
      </c>
      <c r="L167" s="22">
        <v>585159.84600000002</v>
      </c>
      <c r="M167" s="6">
        <v>16.056999999999999</v>
      </c>
      <c r="N167" s="11">
        <v>4.03</v>
      </c>
      <c r="O167" s="11">
        <v>3.05</v>
      </c>
      <c r="P167" s="11">
        <f t="shared" si="4"/>
        <v>0.98000000000000043</v>
      </c>
      <c r="Q167" s="11">
        <f t="shared" si="5"/>
        <v>6.1029999999999998</v>
      </c>
      <c r="R167" s="11">
        <v>1.63</v>
      </c>
    </row>
    <row r="168" spans="2:18" ht="16" x14ac:dyDescent="0.3">
      <c r="B168" s="4">
        <v>162</v>
      </c>
      <c r="C168" s="4" t="s">
        <v>3331</v>
      </c>
      <c r="D168" s="5" t="s">
        <v>3284</v>
      </c>
      <c r="E168" s="4">
        <v>300</v>
      </c>
      <c r="F168" s="5" t="s">
        <v>3285</v>
      </c>
      <c r="G168" s="4" t="s">
        <v>1181</v>
      </c>
      <c r="H168" s="4" t="s">
        <v>1184</v>
      </c>
      <c r="I168" s="22">
        <v>2305382.807</v>
      </c>
      <c r="J168" s="22">
        <v>585137.23600000003</v>
      </c>
      <c r="K168" s="22">
        <v>2305363.5449999999</v>
      </c>
      <c r="L168" s="22">
        <v>585150.34600000002</v>
      </c>
      <c r="M168" s="6">
        <v>23.300999999999998</v>
      </c>
      <c r="N168" s="11">
        <v>4.08</v>
      </c>
      <c r="O168" s="11">
        <v>4.03</v>
      </c>
      <c r="P168" s="11">
        <f t="shared" si="4"/>
        <v>4.9999999999999822E-2</v>
      </c>
      <c r="Q168" s="11">
        <f t="shared" si="5"/>
        <v>0.215</v>
      </c>
      <c r="R168" s="11">
        <v>1.115</v>
      </c>
    </row>
    <row r="169" spans="2:18" ht="16" x14ac:dyDescent="0.3">
      <c r="B169" s="4">
        <v>163</v>
      </c>
      <c r="C169" s="4" t="s">
        <v>3332</v>
      </c>
      <c r="D169" s="5" t="s">
        <v>3284</v>
      </c>
      <c r="E169" s="4">
        <v>300</v>
      </c>
      <c r="F169" s="5" t="s">
        <v>3285</v>
      </c>
      <c r="G169" s="4" t="s">
        <v>1178</v>
      </c>
      <c r="H169" s="4" t="s">
        <v>1181</v>
      </c>
      <c r="I169" s="22">
        <v>2305396.0959999999</v>
      </c>
      <c r="J169" s="22">
        <v>585128.32400000002</v>
      </c>
      <c r="K169" s="22">
        <v>2305383.3879999998</v>
      </c>
      <c r="L169" s="22">
        <v>585136.84600000002</v>
      </c>
      <c r="M169" s="6">
        <v>15.3</v>
      </c>
      <c r="N169" s="11">
        <v>4.16</v>
      </c>
      <c r="O169" s="11">
        <v>4.08</v>
      </c>
      <c r="P169" s="11">
        <f t="shared" si="4"/>
        <v>8.0000000000000071E-2</v>
      </c>
      <c r="Q169" s="11">
        <f t="shared" si="5"/>
        <v>0.52300000000000002</v>
      </c>
      <c r="R169" s="11">
        <v>1.05</v>
      </c>
    </row>
    <row r="170" spans="2:18" ht="16" x14ac:dyDescent="0.3">
      <c r="B170" s="4">
        <v>164</v>
      </c>
      <c r="C170" s="4" t="s">
        <v>3333</v>
      </c>
      <c r="D170" s="5" t="s">
        <v>3284</v>
      </c>
      <c r="E170" s="4">
        <v>300</v>
      </c>
      <c r="F170" s="5" t="s">
        <v>3285</v>
      </c>
      <c r="G170" s="4" t="s">
        <v>1175</v>
      </c>
      <c r="H170" s="4" t="s">
        <v>1178</v>
      </c>
      <c r="I170" s="22">
        <v>2305416.0290000001</v>
      </c>
      <c r="J170" s="22">
        <v>585114.95799999998</v>
      </c>
      <c r="K170" s="22">
        <v>2305396.6770000001</v>
      </c>
      <c r="L170" s="22">
        <v>585127.93500000006</v>
      </c>
      <c r="M170" s="6">
        <v>23.3</v>
      </c>
      <c r="N170" s="11">
        <v>4.24</v>
      </c>
      <c r="O170" s="11">
        <v>4.16</v>
      </c>
      <c r="P170" s="11">
        <f t="shared" si="4"/>
        <v>8.0000000000000071E-2</v>
      </c>
      <c r="Q170" s="11">
        <f t="shared" si="5"/>
        <v>0.34300000000000003</v>
      </c>
      <c r="R170" s="11">
        <v>0.97</v>
      </c>
    </row>
    <row r="171" spans="2:18" ht="16" x14ac:dyDescent="0.3">
      <c r="B171" s="4">
        <v>165</v>
      </c>
      <c r="C171" s="4" t="s">
        <v>3334</v>
      </c>
      <c r="D171" s="5" t="s">
        <v>3284</v>
      </c>
      <c r="E171" s="4">
        <v>300</v>
      </c>
      <c r="F171" s="5" t="s">
        <v>3285</v>
      </c>
      <c r="G171" s="4" t="s">
        <v>725</v>
      </c>
      <c r="H171" s="4" t="s">
        <v>1175</v>
      </c>
      <c r="I171" s="22">
        <v>2305435.9619999998</v>
      </c>
      <c r="J171" s="22">
        <v>585101.59100000001</v>
      </c>
      <c r="K171" s="22">
        <v>2305416.61</v>
      </c>
      <c r="L171" s="22">
        <v>585114.56799999997</v>
      </c>
      <c r="M171" s="6">
        <v>23.3</v>
      </c>
      <c r="N171" s="11">
        <v>4.32</v>
      </c>
      <c r="O171" s="11">
        <v>4.24</v>
      </c>
      <c r="P171" s="11">
        <f t="shared" si="4"/>
        <v>8.0000000000000071E-2</v>
      </c>
      <c r="Q171" s="11">
        <f t="shared" si="5"/>
        <v>0.34300000000000003</v>
      </c>
      <c r="R171" s="11">
        <v>0.89</v>
      </c>
    </row>
    <row r="172" spans="2:18" ht="16" x14ac:dyDescent="0.3">
      <c r="B172" s="4">
        <v>166</v>
      </c>
      <c r="C172" s="4" t="s">
        <v>3335</v>
      </c>
      <c r="D172" s="5" t="s">
        <v>3284</v>
      </c>
      <c r="E172" s="4">
        <v>300</v>
      </c>
      <c r="F172" s="5" t="s">
        <v>3285</v>
      </c>
      <c r="G172" s="4" t="s">
        <v>1187</v>
      </c>
      <c r="H172" s="4" t="s">
        <v>728</v>
      </c>
      <c r="I172" s="22">
        <v>2305423.0830000001</v>
      </c>
      <c r="J172" s="22">
        <v>585124.22</v>
      </c>
      <c r="K172" s="22">
        <v>2305442.4350000001</v>
      </c>
      <c r="L172" s="22">
        <v>585111.24300000002</v>
      </c>
      <c r="M172" s="6">
        <v>23.3</v>
      </c>
      <c r="N172" s="11">
        <v>4.24</v>
      </c>
      <c r="O172" s="11">
        <v>4.32</v>
      </c>
      <c r="P172" s="11">
        <f t="shared" si="4"/>
        <v>8.0000000000000071E-2</v>
      </c>
      <c r="Q172" s="11">
        <f t="shared" si="5"/>
        <v>0.34300000000000003</v>
      </c>
      <c r="R172" s="11">
        <v>0.89</v>
      </c>
    </row>
    <row r="173" spans="2:18" ht="16" x14ac:dyDescent="0.3">
      <c r="B173" s="4">
        <v>167</v>
      </c>
      <c r="C173" s="4" t="s">
        <v>3336</v>
      </c>
      <c r="D173" s="5" t="s">
        <v>3284</v>
      </c>
      <c r="E173" s="4">
        <v>300</v>
      </c>
      <c r="F173" s="5" t="s">
        <v>3285</v>
      </c>
      <c r="G173" s="4" t="s">
        <v>1190</v>
      </c>
      <c r="H173" s="4" t="s">
        <v>1187</v>
      </c>
      <c r="I173" s="22">
        <v>2305403.15</v>
      </c>
      <c r="J173" s="22">
        <v>585137.58700000006</v>
      </c>
      <c r="K173" s="22">
        <v>2305422.5010000002</v>
      </c>
      <c r="L173" s="22">
        <v>585124.61</v>
      </c>
      <c r="M173" s="6">
        <v>23.3</v>
      </c>
      <c r="N173" s="11">
        <v>4.16</v>
      </c>
      <c r="O173" s="11">
        <v>4.24</v>
      </c>
      <c r="P173" s="11">
        <f t="shared" si="4"/>
        <v>8.0000000000000071E-2</v>
      </c>
      <c r="Q173" s="11">
        <f t="shared" si="5"/>
        <v>0.34300000000000003</v>
      </c>
      <c r="R173" s="11">
        <v>0.97</v>
      </c>
    </row>
    <row r="174" spans="2:18" ht="16" x14ac:dyDescent="0.3">
      <c r="B174" s="4">
        <v>168</v>
      </c>
      <c r="C174" s="4" t="s">
        <v>3337</v>
      </c>
      <c r="D174" s="5" t="s">
        <v>3284</v>
      </c>
      <c r="E174" s="4">
        <v>300</v>
      </c>
      <c r="F174" s="5" t="s">
        <v>3285</v>
      </c>
      <c r="G174" s="4" t="s">
        <v>1193</v>
      </c>
      <c r="H174" s="4" t="s">
        <v>1190</v>
      </c>
      <c r="I174" s="22">
        <v>2305383.216</v>
      </c>
      <c r="J174" s="22">
        <v>585150.95299999998</v>
      </c>
      <c r="K174" s="22">
        <v>2305402.568</v>
      </c>
      <c r="L174" s="22">
        <v>585137.97699999996</v>
      </c>
      <c r="M174" s="6">
        <v>23.3</v>
      </c>
      <c r="N174" s="11">
        <v>4.08</v>
      </c>
      <c r="O174" s="11">
        <v>4.16</v>
      </c>
      <c r="P174" s="11">
        <f t="shared" si="4"/>
        <v>8.0000000000000071E-2</v>
      </c>
      <c r="Q174" s="11">
        <f t="shared" si="5"/>
        <v>0.34300000000000003</v>
      </c>
      <c r="R174" s="11">
        <v>1.05</v>
      </c>
    </row>
    <row r="175" spans="2:18" ht="16" x14ac:dyDescent="0.3">
      <c r="B175" s="4">
        <v>169</v>
      </c>
      <c r="C175" s="4" t="s">
        <v>3338</v>
      </c>
      <c r="D175" s="5" t="s">
        <v>3284</v>
      </c>
      <c r="E175" s="4">
        <v>300</v>
      </c>
      <c r="F175" s="5" t="s">
        <v>3285</v>
      </c>
      <c r="G175" s="4" t="s">
        <v>1196</v>
      </c>
      <c r="H175" s="4" t="s">
        <v>1193</v>
      </c>
      <c r="I175" s="22">
        <v>2305369.838</v>
      </c>
      <c r="J175" s="22">
        <v>585159.73100000003</v>
      </c>
      <c r="K175" s="22">
        <v>2305382.6349999998</v>
      </c>
      <c r="L175" s="22">
        <v>585151.34299999999</v>
      </c>
      <c r="M175" s="6">
        <v>15.301</v>
      </c>
      <c r="N175" s="11">
        <v>4.03</v>
      </c>
      <c r="O175" s="11">
        <v>4.08</v>
      </c>
      <c r="P175" s="11">
        <f t="shared" si="4"/>
        <v>4.9999999999999822E-2</v>
      </c>
      <c r="Q175" s="11">
        <f t="shared" si="5"/>
        <v>0.32700000000000001</v>
      </c>
      <c r="R175" s="11">
        <v>1.115</v>
      </c>
    </row>
    <row r="176" spans="2:18" ht="16" x14ac:dyDescent="0.3">
      <c r="B176" s="4">
        <v>170</v>
      </c>
      <c r="C176" s="4" t="s">
        <v>3339</v>
      </c>
      <c r="D176" s="5" t="s">
        <v>3284</v>
      </c>
      <c r="E176" s="4">
        <v>300</v>
      </c>
      <c r="F176" s="5" t="s">
        <v>3285</v>
      </c>
      <c r="G176" s="4" t="s">
        <v>3069</v>
      </c>
      <c r="H176" s="4" t="s">
        <v>1196</v>
      </c>
      <c r="I176" s="22">
        <v>2305355.4210000001</v>
      </c>
      <c r="J176" s="22">
        <v>585169.39500000002</v>
      </c>
      <c r="K176" s="22">
        <v>2305369.0070000002</v>
      </c>
      <c r="L176" s="22">
        <v>585160.28799999994</v>
      </c>
      <c r="M176" s="6">
        <v>16.356000000000002</v>
      </c>
      <c r="N176" s="11">
        <v>3.02</v>
      </c>
      <c r="O176" s="11">
        <v>4.03</v>
      </c>
      <c r="P176" s="11">
        <f t="shared" si="4"/>
        <v>1.0100000000000002</v>
      </c>
      <c r="Q176" s="11">
        <f t="shared" si="5"/>
        <v>6.1749999999999998</v>
      </c>
      <c r="R176" s="11">
        <v>1.645</v>
      </c>
    </row>
    <row r="177" spans="2:18" ht="16" x14ac:dyDescent="0.3">
      <c r="B177" s="4">
        <v>171</v>
      </c>
      <c r="C177" s="4" t="s">
        <v>3340</v>
      </c>
      <c r="D177" s="5" t="s">
        <v>3284</v>
      </c>
      <c r="E177" s="4">
        <v>300</v>
      </c>
      <c r="F177" s="5" t="s">
        <v>3285</v>
      </c>
      <c r="G177" s="4" t="s">
        <v>384</v>
      </c>
      <c r="H177" s="4" t="s">
        <v>3069</v>
      </c>
      <c r="I177" s="22">
        <v>2305360.0610000002</v>
      </c>
      <c r="J177" s="22">
        <v>585188.53799999994</v>
      </c>
      <c r="K177" s="22">
        <v>2305354.5950000002</v>
      </c>
      <c r="L177" s="22">
        <v>585169.95799999998</v>
      </c>
      <c r="M177" s="6">
        <v>20.797999999999998</v>
      </c>
      <c r="N177" s="11">
        <v>2.95</v>
      </c>
      <c r="O177" s="11">
        <v>3.02</v>
      </c>
      <c r="P177" s="11">
        <f t="shared" si="4"/>
        <v>6.999999999999984E-2</v>
      </c>
      <c r="Q177" s="11">
        <f t="shared" si="5"/>
        <v>0.33700000000000002</v>
      </c>
      <c r="R177" s="11">
        <v>2.2050000000000001</v>
      </c>
    </row>
    <row r="178" spans="2:18" ht="16" x14ac:dyDescent="0.3">
      <c r="B178" s="4">
        <v>172</v>
      </c>
      <c r="C178" s="4" t="s">
        <v>3341</v>
      </c>
      <c r="D178" s="5" t="s">
        <v>3284</v>
      </c>
      <c r="E178" s="4">
        <v>300</v>
      </c>
      <c r="F178" s="5" t="s">
        <v>3285</v>
      </c>
      <c r="G178" s="4" t="s">
        <v>387</v>
      </c>
      <c r="H178" s="4" t="s">
        <v>384</v>
      </c>
      <c r="I178" s="22">
        <v>2305377.594</v>
      </c>
      <c r="J178" s="22">
        <v>585202.36499999999</v>
      </c>
      <c r="K178" s="22">
        <v>2305360.6269999999</v>
      </c>
      <c r="L178" s="22">
        <v>585189.36300000001</v>
      </c>
      <c r="M178" s="6">
        <v>23.305</v>
      </c>
      <c r="N178" s="11">
        <v>2.87</v>
      </c>
      <c r="O178" s="11">
        <v>2.95</v>
      </c>
      <c r="P178" s="11">
        <f t="shared" si="4"/>
        <v>8.0000000000000071E-2</v>
      </c>
      <c r="Q178" s="11">
        <f t="shared" si="5"/>
        <v>0.34300000000000003</v>
      </c>
      <c r="R178" s="11">
        <v>2.2999999999999998</v>
      </c>
    </row>
    <row r="179" spans="2:18" ht="16" x14ac:dyDescent="0.3">
      <c r="B179" s="4">
        <v>173</v>
      </c>
      <c r="C179" s="4" t="s">
        <v>3342</v>
      </c>
      <c r="D179" s="5" t="s">
        <v>3284</v>
      </c>
      <c r="E179" s="4">
        <v>300</v>
      </c>
      <c r="F179" s="5" t="s">
        <v>3285</v>
      </c>
      <c r="G179" s="4" t="s">
        <v>1208</v>
      </c>
      <c r="H179" s="4" t="s">
        <v>387</v>
      </c>
      <c r="I179" s="22">
        <v>2305391.2779999999</v>
      </c>
      <c r="J179" s="22">
        <v>585192.95999999996</v>
      </c>
      <c r="K179" s="22">
        <v>2305378.4240000001</v>
      </c>
      <c r="L179" s="22">
        <v>585201.80799999996</v>
      </c>
      <c r="M179" s="6">
        <v>15.605</v>
      </c>
      <c r="N179" s="11">
        <v>4.03</v>
      </c>
      <c r="O179" s="11">
        <v>2.87</v>
      </c>
      <c r="P179" s="11">
        <f t="shared" si="4"/>
        <v>1.1600000000000001</v>
      </c>
      <c r="Q179" s="11">
        <f t="shared" si="5"/>
        <v>7.4340000000000002</v>
      </c>
      <c r="R179" s="11">
        <v>1.76</v>
      </c>
    </row>
    <row r="180" spans="2:18" ht="16" x14ac:dyDescent="0.3">
      <c r="B180" s="4">
        <v>174</v>
      </c>
      <c r="C180" s="4" t="s">
        <v>3343</v>
      </c>
      <c r="D180" s="5" t="s">
        <v>3284</v>
      </c>
      <c r="E180" s="4">
        <v>300</v>
      </c>
      <c r="F180" s="5" t="s">
        <v>3285</v>
      </c>
      <c r="G180" s="4" t="s">
        <v>1205</v>
      </c>
      <c r="H180" s="4" t="s">
        <v>1208</v>
      </c>
      <c r="I180" s="22">
        <v>2305404.5669999998</v>
      </c>
      <c r="J180" s="22">
        <v>585184.049</v>
      </c>
      <c r="K180" s="22">
        <v>2305391.8590000002</v>
      </c>
      <c r="L180" s="22">
        <v>585192.56999999995</v>
      </c>
      <c r="M180" s="6">
        <v>15.3</v>
      </c>
      <c r="N180" s="11">
        <v>4.08</v>
      </c>
      <c r="O180" s="11">
        <v>4.03</v>
      </c>
      <c r="P180" s="11">
        <f t="shared" si="4"/>
        <v>4.9999999999999822E-2</v>
      </c>
      <c r="Q180" s="11">
        <f t="shared" si="5"/>
        <v>0.32700000000000001</v>
      </c>
      <c r="R180" s="11">
        <v>1.155</v>
      </c>
    </row>
    <row r="181" spans="2:18" ht="16" x14ac:dyDescent="0.3">
      <c r="B181" s="4">
        <v>175</v>
      </c>
      <c r="C181" s="4" t="s">
        <v>3344</v>
      </c>
      <c r="D181" s="5" t="s">
        <v>3284</v>
      </c>
      <c r="E181" s="4">
        <v>300</v>
      </c>
      <c r="F181" s="5" t="s">
        <v>3285</v>
      </c>
      <c r="G181" s="4" t="s">
        <v>1202</v>
      </c>
      <c r="H181" s="4" t="s">
        <v>1205</v>
      </c>
      <c r="I181" s="22">
        <v>2305424.5</v>
      </c>
      <c r="J181" s="22">
        <v>585170.68299999996</v>
      </c>
      <c r="K181" s="22">
        <v>2305405.148</v>
      </c>
      <c r="L181" s="22">
        <v>585183.65899999999</v>
      </c>
      <c r="M181" s="6">
        <v>23.3</v>
      </c>
      <c r="N181" s="11">
        <v>4.16</v>
      </c>
      <c r="O181" s="11">
        <v>4.08</v>
      </c>
      <c r="P181" s="11">
        <f t="shared" si="4"/>
        <v>8.0000000000000071E-2</v>
      </c>
      <c r="Q181" s="11">
        <f t="shared" si="5"/>
        <v>0.34300000000000003</v>
      </c>
      <c r="R181" s="11">
        <v>1.0900000000000001</v>
      </c>
    </row>
    <row r="182" spans="2:18" ht="16" x14ac:dyDescent="0.3">
      <c r="B182" s="4">
        <v>176</v>
      </c>
      <c r="C182" s="4" t="s">
        <v>3345</v>
      </c>
      <c r="D182" s="5" t="s">
        <v>3284</v>
      </c>
      <c r="E182" s="4">
        <v>300</v>
      </c>
      <c r="F182" s="5" t="s">
        <v>3285</v>
      </c>
      <c r="G182" s="4" t="s">
        <v>1199</v>
      </c>
      <c r="H182" s="4" t="s">
        <v>1202</v>
      </c>
      <c r="I182" s="22">
        <v>2305444.4330000002</v>
      </c>
      <c r="J182" s="22">
        <v>585157.31599999999</v>
      </c>
      <c r="K182" s="22">
        <v>2305425.0809999998</v>
      </c>
      <c r="L182" s="22">
        <v>585170.29299999995</v>
      </c>
      <c r="M182" s="6">
        <v>23.3</v>
      </c>
      <c r="N182" s="11">
        <v>4.24</v>
      </c>
      <c r="O182" s="11">
        <v>4.16</v>
      </c>
      <c r="P182" s="11">
        <f t="shared" si="4"/>
        <v>8.0000000000000071E-2</v>
      </c>
      <c r="Q182" s="11">
        <f t="shared" si="5"/>
        <v>0.34300000000000003</v>
      </c>
      <c r="R182" s="11">
        <v>1.01</v>
      </c>
    </row>
    <row r="183" spans="2:18" ht="16" x14ac:dyDescent="0.3">
      <c r="B183" s="4">
        <v>177</v>
      </c>
      <c r="C183" s="4" t="s">
        <v>3346</v>
      </c>
      <c r="D183" s="5" t="s">
        <v>3284</v>
      </c>
      <c r="E183" s="4">
        <v>300</v>
      </c>
      <c r="F183" s="5" t="s">
        <v>3285</v>
      </c>
      <c r="G183" s="4" t="s">
        <v>731</v>
      </c>
      <c r="H183" s="4" t="s">
        <v>1199</v>
      </c>
      <c r="I183" s="22">
        <v>2305464.3659999999</v>
      </c>
      <c r="J183" s="22">
        <v>585143.94900000002</v>
      </c>
      <c r="K183" s="22">
        <v>2305445.014</v>
      </c>
      <c r="L183" s="22">
        <v>585156.92599999998</v>
      </c>
      <c r="M183" s="6">
        <v>23.3</v>
      </c>
      <c r="N183" s="11">
        <v>4.32</v>
      </c>
      <c r="O183" s="11">
        <v>4.24</v>
      </c>
      <c r="P183" s="11">
        <f t="shared" si="4"/>
        <v>8.0000000000000071E-2</v>
      </c>
      <c r="Q183" s="11">
        <f t="shared" si="5"/>
        <v>0.34300000000000003</v>
      </c>
      <c r="R183" s="11">
        <v>0.91</v>
      </c>
    </row>
    <row r="184" spans="2:18" ht="16" x14ac:dyDescent="0.3">
      <c r="B184" s="4">
        <v>178</v>
      </c>
      <c r="C184" s="4" t="s">
        <v>3347</v>
      </c>
      <c r="D184" s="5" t="s">
        <v>3284</v>
      </c>
      <c r="E184" s="4">
        <v>300</v>
      </c>
      <c r="F184" s="5" t="s">
        <v>3285</v>
      </c>
      <c r="G184" s="4" t="s">
        <v>1939</v>
      </c>
      <c r="H184" s="4" t="s">
        <v>321</v>
      </c>
      <c r="I184" s="22">
        <v>2305392.4279999998</v>
      </c>
      <c r="J184" s="22">
        <v>585267.81499999994</v>
      </c>
      <c r="K184" s="22">
        <v>2305382.6460000002</v>
      </c>
      <c r="L184" s="22">
        <v>585253.15899999999</v>
      </c>
      <c r="M184" s="6">
        <v>17.620999999999999</v>
      </c>
      <c r="N184" s="11">
        <v>4.21</v>
      </c>
      <c r="O184" s="11">
        <v>1.89</v>
      </c>
      <c r="P184" s="11">
        <f t="shared" si="4"/>
        <v>2.3200000000000003</v>
      </c>
      <c r="Q184" s="11">
        <f t="shared" si="5"/>
        <v>13.166</v>
      </c>
      <c r="R184" s="11">
        <v>2.2599999999999998</v>
      </c>
    </row>
    <row r="185" spans="2:18" ht="16" x14ac:dyDescent="0.3">
      <c r="B185" s="4">
        <v>179</v>
      </c>
      <c r="C185" s="4" t="s">
        <v>3348</v>
      </c>
      <c r="D185" s="5" t="s">
        <v>3284</v>
      </c>
      <c r="E185" s="4">
        <v>300</v>
      </c>
      <c r="F185" s="5" t="s">
        <v>3285</v>
      </c>
      <c r="G185" s="4" t="s">
        <v>1936</v>
      </c>
      <c r="H185" s="4" t="s">
        <v>1939</v>
      </c>
      <c r="I185" s="22">
        <v>2305406.38</v>
      </c>
      <c r="J185" s="22">
        <v>585288.92099999997</v>
      </c>
      <c r="K185" s="22">
        <v>2305392.9739999999</v>
      </c>
      <c r="L185" s="22">
        <v>585268.65300000005</v>
      </c>
      <c r="M185" s="6">
        <v>24.300999999999998</v>
      </c>
      <c r="N185" s="11">
        <v>4.29</v>
      </c>
      <c r="O185" s="11">
        <v>4.21</v>
      </c>
      <c r="P185" s="11">
        <f t="shared" si="4"/>
        <v>8.0000000000000071E-2</v>
      </c>
      <c r="Q185" s="11">
        <f t="shared" si="5"/>
        <v>0.32900000000000001</v>
      </c>
      <c r="R185" s="11">
        <v>1.06</v>
      </c>
    </row>
    <row r="186" spans="2:18" ht="16" x14ac:dyDescent="0.3">
      <c r="B186" s="4">
        <v>180</v>
      </c>
      <c r="C186" s="4" t="s">
        <v>3349</v>
      </c>
      <c r="D186" s="5" t="s">
        <v>3284</v>
      </c>
      <c r="E186" s="4">
        <v>300</v>
      </c>
      <c r="F186" s="5" t="s">
        <v>3285</v>
      </c>
      <c r="G186" s="4" t="s">
        <v>1933</v>
      </c>
      <c r="H186" s="4" t="s">
        <v>1936</v>
      </c>
      <c r="I186" s="22">
        <v>2305420.86</v>
      </c>
      <c r="J186" s="22">
        <v>585310.51599999995</v>
      </c>
      <c r="K186" s="22">
        <v>2305406.7659999998</v>
      </c>
      <c r="L186" s="22">
        <v>585289.505</v>
      </c>
      <c r="M186" s="6">
        <v>25.3</v>
      </c>
      <c r="N186" s="11">
        <v>4.38</v>
      </c>
      <c r="O186" s="11">
        <v>4.29</v>
      </c>
      <c r="P186" s="11">
        <f t="shared" si="4"/>
        <v>8.9999999999999858E-2</v>
      </c>
      <c r="Q186" s="11">
        <f t="shared" si="5"/>
        <v>0.35599999999999998</v>
      </c>
      <c r="R186" s="11">
        <v>0.97499999999999998</v>
      </c>
    </row>
    <row r="187" spans="2:18" ht="16" x14ac:dyDescent="0.3">
      <c r="B187" s="4">
        <v>181</v>
      </c>
      <c r="C187" s="4" t="s">
        <v>3350</v>
      </c>
      <c r="D187" s="5" t="s">
        <v>3284</v>
      </c>
      <c r="E187" s="4">
        <v>300</v>
      </c>
      <c r="F187" s="5" t="s">
        <v>3285</v>
      </c>
      <c r="G187" s="4" t="s">
        <v>857</v>
      </c>
      <c r="H187" s="4" t="s">
        <v>1933</v>
      </c>
      <c r="I187" s="22">
        <v>2305434.784</v>
      </c>
      <c r="J187" s="22">
        <v>585331.27899999998</v>
      </c>
      <c r="K187" s="22">
        <v>2305421.247</v>
      </c>
      <c r="L187" s="22">
        <v>585311.09900000005</v>
      </c>
      <c r="M187" s="6">
        <v>24.3</v>
      </c>
      <c r="N187" s="11">
        <v>4.46</v>
      </c>
      <c r="O187" s="11">
        <v>4.38</v>
      </c>
      <c r="P187" s="11">
        <f t="shared" si="4"/>
        <v>8.0000000000000071E-2</v>
      </c>
      <c r="Q187" s="11">
        <f t="shared" si="5"/>
        <v>0.32900000000000001</v>
      </c>
      <c r="R187" s="11">
        <v>0.89</v>
      </c>
    </row>
    <row r="188" spans="2:18" ht="16" x14ac:dyDescent="0.3">
      <c r="B188" s="4">
        <v>182</v>
      </c>
      <c r="C188" s="4" t="s">
        <v>3351</v>
      </c>
      <c r="D188" s="5" t="s">
        <v>3284</v>
      </c>
      <c r="E188" s="4">
        <v>300</v>
      </c>
      <c r="F188" s="5" t="s">
        <v>3285</v>
      </c>
      <c r="G188" s="4" t="s">
        <v>2602</v>
      </c>
      <c r="H188" s="4" t="s">
        <v>1046</v>
      </c>
      <c r="I188" s="22">
        <v>2304678.6340000001</v>
      </c>
      <c r="J188" s="22">
        <v>585373.44400000002</v>
      </c>
      <c r="K188" s="22">
        <v>2304656.7910000002</v>
      </c>
      <c r="L188" s="22">
        <v>585388.09100000001</v>
      </c>
      <c r="M188" s="6">
        <v>26.3</v>
      </c>
      <c r="N188" s="11">
        <v>4.2300000000000004</v>
      </c>
      <c r="O188" s="11">
        <v>4.32</v>
      </c>
      <c r="P188" s="11">
        <f t="shared" si="4"/>
        <v>8.9999999999999858E-2</v>
      </c>
      <c r="Q188" s="11">
        <f t="shared" si="5"/>
        <v>0.34200000000000003</v>
      </c>
      <c r="R188" s="11">
        <v>0.89500000000000002</v>
      </c>
    </row>
    <row r="189" spans="2:18" ht="16" x14ac:dyDescent="0.3">
      <c r="B189" s="4">
        <v>183</v>
      </c>
      <c r="C189" s="4" t="s">
        <v>3352</v>
      </c>
      <c r="D189" s="5" t="s">
        <v>3284</v>
      </c>
      <c r="E189" s="4">
        <v>300</v>
      </c>
      <c r="F189" s="5" t="s">
        <v>3285</v>
      </c>
      <c r="G189" s="4" t="s">
        <v>2605</v>
      </c>
      <c r="H189" s="4" t="s">
        <v>2602</v>
      </c>
      <c r="I189" s="22">
        <v>2304701.0589999999</v>
      </c>
      <c r="J189" s="22">
        <v>585358.40599999996</v>
      </c>
      <c r="K189" s="22">
        <v>2304679.216</v>
      </c>
      <c r="L189" s="22">
        <v>585373.054</v>
      </c>
      <c r="M189" s="6">
        <v>26.3</v>
      </c>
      <c r="N189" s="11">
        <v>4.1399999999999997</v>
      </c>
      <c r="O189" s="11">
        <v>4.2300000000000004</v>
      </c>
      <c r="P189" s="11">
        <f t="shared" si="4"/>
        <v>9.0000000000000746E-2</v>
      </c>
      <c r="Q189" s="11">
        <f t="shared" si="5"/>
        <v>0.34200000000000003</v>
      </c>
      <c r="R189" s="11">
        <v>0.98499999999999999</v>
      </c>
    </row>
    <row r="190" spans="2:18" ht="16" x14ac:dyDescent="0.3">
      <c r="B190" s="4">
        <v>184</v>
      </c>
      <c r="C190" s="4" t="s">
        <v>3353</v>
      </c>
      <c r="D190" s="5" t="s">
        <v>3284</v>
      </c>
      <c r="E190" s="4">
        <v>300</v>
      </c>
      <c r="F190" s="5" t="s">
        <v>3285</v>
      </c>
      <c r="G190" s="4" t="s">
        <v>2608</v>
      </c>
      <c r="H190" s="4" t="s">
        <v>2605</v>
      </c>
      <c r="I190" s="22">
        <v>2304716.0090000001</v>
      </c>
      <c r="J190" s="22">
        <v>585348.38100000005</v>
      </c>
      <c r="K190" s="22">
        <v>2304701.6409999998</v>
      </c>
      <c r="L190" s="22">
        <v>585358.01699999999</v>
      </c>
      <c r="M190" s="6">
        <v>17.3</v>
      </c>
      <c r="N190" s="11">
        <v>4.08</v>
      </c>
      <c r="O190" s="11">
        <v>4.1399999999999997</v>
      </c>
      <c r="P190" s="11">
        <f t="shared" si="4"/>
        <v>5.9999999999999609E-2</v>
      </c>
      <c r="Q190" s="11">
        <f t="shared" si="5"/>
        <v>0.34699999999999998</v>
      </c>
      <c r="R190" s="11">
        <v>1.06</v>
      </c>
    </row>
    <row r="191" spans="2:18" ht="16" x14ac:dyDescent="0.3">
      <c r="B191" s="4">
        <v>185</v>
      </c>
      <c r="C191" s="4" t="s">
        <v>3354</v>
      </c>
      <c r="D191" s="5" t="s">
        <v>3284</v>
      </c>
      <c r="E191" s="4">
        <v>300</v>
      </c>
      <c r="F191" s="5" t="s">
        <v>3285</v>
      </c>
      <c r="G191" s="4" t="s">
        <v>501</v>
      </c>
      <c r="H191" s="4" t="s">
        <v>2608</v>
      </c>
      <c r="I191" s="22">
        <v>2304733.0490000001</v>
      </c>
      <c r="J191" s="22">
        <v>585336.848</v>
      </c>
      <c r="K191" s="22">
        <v>2304716.591</v>
      </c>
      <c r="L191" s="22">
        <v>585347.99199999997</v>
      </c>
      <c r="M191" s="6">
        <v>19.876000000000001</v>
      </c>
      <c r="N191" s="11">
        <v>3.62</v>
      </c>
      <c r="O191" s="11">
        <v>4.08</v>
      </c>
      <c r="P191" s="11">
        <f t="shared" si="4"/>
        <v>0.45999999999999996</v>
      </c>
      <c r="Q191" s="11">
        <f t="shared" si="5"/>
        <v>2.3140000000000001</v>
      </c>
      <c r="R191" s="11">
        <v>1.32</v>
      </c>
    </row>
    <row r="192" spans="2:18" ht="16" x14ac:dyDescent="0.3">
      <c r="B192" s="4">
        <v>186</v>
      </c>
      <c r="C192" s="4" t="s">
        <v>3355</v>
      </c>
      <c r="D192" s="5" t="s">
        <v>3284</v>
      </c>
      <c r="E192" s="4">
        <v>300</v>
      </c>
      <c r="F192" s="5" t="s">
        <v>3285</v>
      </c>
      <c r="G192" s="4" t="s">
        <v>2599</v>
      </c>
      <c r="H192" s="4" t="s">
        <v>501</v>
      </c>
      <c r="I192" s="22">
        <v>2304726.3470000001</v>
      </c>
      <c r="J192" s="22">
        <v>585319.36800000002</v>
      </c>
      <c r="K192" s="22">
        <v>2304733.2769999998</v>
      </c>
      <c r="L192" s="22">
        <v>585335.87399999995</v>
      </c>
      <c r="M192" s="6">
        <v>19.010000000000002</v>
      </c>
      <c r="N192" s="11">
        <v>3.69</v>
      </c>
      <c r="O192" s="11">
        <v>3.62</v>
      </c>
      <c r="P192" s="11">
        <f t="shared" si="4"/>
        <v>6.999999999999984E-2</v>
      </c>
      <c r="Q192" s="11">
        <f t="shared" si="5"/>
        <v>0.36799999999999999</v>
      </c>
      <c r="R192" s="11">
        <v>1.365</v>
      </c>
    </row>
    <row r="193" spans="2:18" ht="16" x14ac:dyDescent="0.3">
      <c r="B193" s="4">
        <v>187</v>
      </c>
      <c r="C193" s="4" t="s">
        <v>3356</v>
      </c>
      <c r="D193" s="5" t="s">
        <v>3284</v>
      </c>
      <c r="E193" s="4">
        <v>300</v>
      </c>
      <c r="F193" s="5" t="s">
        <v>3285</v>
      </c>
      <c r="G193" s="4" t="s">
        <v>2596</v>
      </c>
      <c r="H193" s="4" t="s">
        <v>2599</v>
      </c>
      <c r="I193" s="22">
        <v>2304703.3369999998</v>
      </c>
      <c r="J193" s="22">
        <v>585311.23800000001</v>
      </c>
      <c r="K193" s="22">
        <v>2304725.8739999998</v>
      </c>
      <c r="L193" s="22">
        <v>585317.84499999997</v>
      </c>
      <c r="M193" s="6">
        <v>29.61</v>
      </c>
      <c r="N193" s="11">
        <v>3.79</v>
      </c>
      <c r="O193" s="11">
        <v>3.69</v>
      </c>
      <c r="P193" s="11">
        <f t="shared" si="4"/>
        <v>0.10000000000000009</v>
      </c>
      <c r="Q193" s="11">
        <f t="shared" si="5"/>
        <v>0.33800000000000002</v>
      </c>
      <c r="R193" s="11">
        <v>1.1499999999999999</v>
      </c>
    </row>
    <row r="194" spans="2:18" ht="16" x14ac:dyDescent="0.3">
      <c r="B194" s="4">
        <v>188</v>
      </c>
      <c r="C194" s="4" t="s">
        <v>3357</v>
      </c>
      <c r="D194" s="5" t="s">
        <v>3284</v>
      </c>
      <c r="E194" s="4">
        <v>300</v>
      </c>
      <c r="F194" s="5" t="s">
        <v>3285</v>
      </c>
      <c r="G194" s="4" t="s">
        <v>2593</v>
      </c>
      <c r="H194" s="4" t="s">
        <v>2596</v>
      </c>
      <c r="I194" s="22">
        <v>2304680.8229999999</v>
      </c>
      <c r="J194" s="22">
        <v>585326.97199999995</v>
      </c>
      <c r="K194" s="22">
        <v>2304702.6660000002</v>
      </c>
      <c r="L194" s="22">
        <v>585312.32400000002</v>
      </c>
      <c r="M194" s="6">
        <v>26.3</v>
      </c>
      <c r="N194" s="11">
        <v>3.88</v>
      </c>
      <c r="O194" s="11">
        <v>3.79</v>
      </c>
      <c r="P194" s="11">
        <f t="shared" si="4"/>
        <v>8.9999999999999858E-2</v>
      </c>
      <c r="Q194" s="11">
        <f t="shared" si="5"/>
        <v>0.34200000000000003</v>
      </c>
      <c r="R194" s="11">
        <v>1.075</v>
      </c>
    </row>
    <row r="195" spans="2:18" ht="16" x14ac:dyDescent="0.3">
      <c r="B195" s="4">
        <v>189</v>
      </c>
      <c r="C195" s="4" t="s">
        <v>3358</v>
      </c>
      <c r="D195" s="5" t="s">
        <v>3284</v>
      </c>
      <c r="E195" s="4">
        <v>300</v>
      </c>
      <c r="F195" s="5" t="s">
        <v>3285</v>
      </c>
      <c r="G195" s="4" t="s">
        <v>2590</v>
      </c>
      <c r="H195" s="4" t="s">
        <v>2593</v>
      </c>
      <c r="I195" s="22">
        <v>2304658.398</v>
      </c>
      <c r="J195" s="22">
        <v>585342.00899999996</v>
      </c>
      <c r="K195" s="22">
        <v>2304680.2420000001</v>
      </c>
      <c r="L195" s="22">
        <v>585327.36100000003</v>
      </c>
      <c r="M195" s="6">
        <v>26.3</v>
      </c>
      <c r="N195" s="11">
        <v>3.97</v>
      </c>
      <c r="O195" s="11">
        <v>3.88</v>
      </c>
      <c r="P195" s="11">
        <f t="shared" si="4"/>
        <v>9.0000000000000302E-2</v>
      </c>
      <c r="Q195" s="11">
        <f t="shared" si="5"/>
        <v>0.34200000000000003</v>
      </c>
      <c r="R195" s="11">
        <v>0.98499999999999999</v>
      </c>
    </row>
    <row r="196" spans="2:18" ht="16" x14ac:dyDescent="0.3">
      <c r="B196" s="4">
        <v>190</v>
      </c>
      <c r="C196" s="4" t="s">
        <v>3359</v>
      </c>
      <c r="D196" s="5" t="s">
        <v>3284</v>
      </c>
      <c r="E196" s="4">
        <v>300</v>
      </c>
      <c r="F196" s="5" t="s">
        <v>3285</v>
      </c>
      <c r="G196" s="4" t="s">
        <v>498</v>
      </c>
      <c r="H196" s="4" t="s">
        <v>2590</v>
      </c>
      <c r="I196" s="22">
        <v>2304636.0040000002</v>
      </c>
      <c r="J196" s="22">
        <v>585357.02599999995</v>
      </c>
      <c r="K196" s="22">
        <v>2304657.8169999998</v>
      </c>
      <c r="L196" s="22">
        <v>585342.39899999998</v>
      </c>
      <c r="M196" s="6">
        <v>26.263000000000002</v>
      </c>
      <c r="N196" s="11">
        <v>4.0599999999999996</v>
      </c>
      <c r="O196" s="11">
        <v>3.97</v>
      </c>
      <c r="P196" s="11">
        <f t="shared" si="4"/>
        <v>8.9999999999999414E-2</v>
      </c>
      <c r="Q196" s="11">
        <f t="shared" si="5"/>
        <v>0.34300000000000003</v>
      </c>
      <c r="R196" s="11">
        <v>0.89500000000000002</v>
      </c>
    </row>
    <row r="197" spans="2:18" ht="16" x14ac:dyDescent="0.3">
      <c r="B197" s="4">
        <v>191</v>
      </c>
      <c r="C197" s="4" t="s">
        <v>3360</v>
      </c>
      <c r="D197" s="5" t="s">
        <v>3284</v>
      </c>
      <c r="E197" s="4">
        <v>300</v>
      </c>
      <c r="F197" s="5" t="s">
        <v>3285</v>
      </c>
      <c r="G197" s="4" t="s">
        <v>2821</v>
      </c>
      <c r="H197" s="4" t="s">
        <v>2818</v>
      </c>
      <c r="I197" s="22">
        <v>2304786.2069999999</v>
      </c>
      <c r="J197" s="22">
        <v>585301.30900000001</v>
      </c>
      <c r="K197" s="22">
        <v>2304764.3640000001</v>
      </c>
      <c r="L197" s="22">
        <v>585315.95600000001</v>
      </c>
      <c r="M197" s="6">
        <v>26.3</v>
      </c>
      <c r="N197" s="11">
        <v>4.2300000000000004</v>
      </c>
      <c r="O197" s="11">
        <v>4.32</v>
      </c>
      <c r="P197" s="11">
        <f t="shared" si="4"/>
        <v>8.9999999999999858E-2</v>
      </c>
      <c r="Q197" s="11">
        <f t="shared" si="5"/>
        <v>0.34200000000000003</v>
      </c>
      <c r="R197" s="11">
        <v>0.89500000000000002</v>
      </c>
    </row>
    <row r="198" spans="2:18" ht="16" x14ac:dyDescent="0.3">
      <c r="B198" s="4">
        <v>192</v>
      </c>
      <c r="C198" s="4" t="s">
        <v>3361</v>
      </c>
      <c r="D198" s="5" t="s">
        <v>3284</v>
      </c>
      <c r="E198" s="4">
        <v>300</v>
      </c>
      <c r="F198" s="5" t="s">
        <v>3285</v>
      </c>
      <c r="G198" s="4" t="s">
        <v>2824</v>
      </c>
      <c r="H198" s="4" t="s">
        <v>2821</v>
      </c>
      <c r="I198" s="22">
        <v>2304808.6320000002</v>
      </c>
      <c r="J198" s="22">
        <v>585286.27099999995</v>
      </c>
      <c r="K198" s="22">
        <v>2304786.7889999999</v>
      </c>
      <c r="L198" s="22">
        <v>585300.91899999999</v>
      </c>
      <c r="M198" s="6">
        <v>26.3</v>
      </c>
      <c r="N198" s="11">
        <v>4.1399999999999997</v>
      </c>
      <c r="O198" s="11">
        <v>4.2300000000000004</v>
      </c>
      <c r="P198" s="11">
        <f t="shared" si="4"/>
        <v>9.0000000000000746E-2</v>
      </c>
      <c r="Q198" s="11">
        <f t="shared" si="5"/>
        <v>0.34200000000000003</v>
      </c>
      <c r="R198" s="11">
        <v>0.98499999999999999</v>
      </c>
    </row>
    <row r="199" spans="2:18" ht="16" x14ac:dyDescent="0.3">
      <c r="B199" s="4">
        <v>193</v>
      </c>
      <c r="C199" s="4" t="s">
        <v>3362</v>
      </c>
      <c r="D199" s="5" t="s">
        <v>3284</v>
      </c>
      <c r="E199" s="4">
        <v>300</v>
      </c>
      <c r="F199" s="5" t="s">
        <v>3285</v>
      </c>
      <c r="G199" s="4" t="s">
        <v>2827</v>
      </c>
      <c r="H199" s="4" t="s">
        <v>2824</v>
      </c>
      <c r="I199" s="22">
        <v>2304831.057</v>
      </c>
      <c r="J199" s="22">
        <v>585271.23400000005</v>
      </c>
      <c r="K199" s="22">
        <v>2304809.2140000002</v>
      </c>
      <c r="L199" s="22">
        <v>585285.88199999998</v>
      </c>
      <c r="M199" s="6">
        <v>26.3</v>
      </c>
      <c r="N199" s="11">
        <v>4.05</v>
      </c>
      <c r="O199" s="11">
        <v>4.1399999999999997</v>
      </c>
      <c r="P199" s="11">
        <f t="shared" ref="P199:P262" si="6">IF(AND(ISNUMBER(N199),ISNUMBER(O199)),ABS(N199-O199),0)</f>
        <v>8.9999999999999858E-2</v>
      </c>
      <c r="Q199" s="11">
        <f t="shared" ref="Q199:Q262" si="7">IF(M199&gt;0,ROUND(P199/M199*100,3),0)</f>
        <v>0.34200000000000003</v>
      </c>
      <c r="R199" s="11">
        <v>0.97499999999999998</v>
      </c>
    </row>
    <row r="200" spans="2:18" ht="16" x14ac:dyDescent="0.3">
      <c r="B200" s="4">
        <v>194</v>
      </c>
      <c r="C200" s="4" t="s">
        <v>3363</v>
      </c>
      <c r="D200" s="5" t="s">
        <v>3284</v>
      </c>
      <c r="E200" s="4">
        <v>300</v>
      </c>
      <c r="F200" s="5" t="s">
        <v>3285</v>
      </c>
      <c r="G200" s="4" t="s">
        <v>480</v>
      </c>
      <c r="H200" s="4" t="s">
        <v>2827</v>
      </c>
      <c r="I200" s="22">
        <v>2304844.8620000002</v>
      </c>
      <c r="J200" s="22">
        <v>585262.17000000004</v>
      </c>
      <c r="K200" s="22">
        <v>2304831.6379999998</v>
      </c>
      <c r="L200" s="22">
        <v>585270.84400000004</v>
      </c>
      <c r="M200" s="6">
        <v>15.815</v>
      </c>
      <c r="N200" s="11">
        <v>3.59</v>
      </c>
      <c r="O200" s="11">
        <v>4.05</v>
      </c>
      <c r="P200" s="11">
        <f t="shared" si="6"/>
        <v>0.45999999999999996</v>
      </c>
      <c r="Q200" s="11">
        <f t="shared" si="7"/>
        <v>2.9089999999999998</v>
      </c>
      <c r="R200" s="11">
        <v>1.1499999999999999</v>
      </c>
    </row>
    <row r="201" spans="2:18" ht="16" x14ac:dyDescent="0.3">
      <c r="B201" s="4">
        <v>195</v>
      </c>
      <c r="C201" s="4" t="s">
        <v>3364</v>
      </c>
      <c r="D201" s="5" t="s">
        <v>3284</v>
      </c>
      <c r="E201" s="4">
        <v>300</v>
      </c>
      <c r="F201" s="5" t="s">
        <v>3285</v>
      </c>
      <c r="G201" s="4" t="s">
        <v>2830</v>
      </c>
      <c r="H201" s="4" t="s">
        <v>480</v>
      </c>
      <c r="I201" s="22">
        <v>2304840.9</v>
      </c>
      <c r="J201" s="22">
        <v>585242.55299999996</v>
      </c>
      <c r="K201" s="22">
        <v>2304845.6690000002</v>
      </c>
      <c r="L201" s="22">
        <v>585261.57799999998</v>
      </c>
      <c r="M201" s="6">
        <v>21.382999999999999</v>
      </c>
      <c r="N201" s="11">
        <v>3.66</v>
      </c>
      <c r="O201" s="11">
        <v>3.59</v>
      </c>
      <c r="P201" s="11">
        <f t="shared" si="6"/>
        <v>7.0000000000000284E-2</v>
      </c>
      <c r="Q201" s="11">
        <f t="shared" si="7"/>
        <v>0.32700000000000001</v>
      </c>
      <c r="R201" s="11">
        <v>1.345</v>
      </c>
    </row>
    <row r="202" spans="2:18" ht="16" x14ac:dyDescent="0.3">
      <c r="B202" s="4">
        <v>196</v>
      </c>
      <c r="C202" s="4" t="s">
        <v>3365</v>
      </c>
      <c r="D202" s="5" t="s">
        <v>3284</v>
      </c>
      <c r="E202" s="4">
        <v>300</v>
      </c>
      <c r="F202" s="5" t="s">
        <v>3285</v>
      </c>
      <c r="G202" s="4" t="s">
        <v>2815</v>
      </c>
      <c r="H202" s="4" t="s">
        <v>2830</v>
      </c>
      <c r="I202" s="22">
        <v>2304824.4640000002</v>
      </c>
      <c r="J202" s="22">
        <v>585230.46400000004</v>
      </c>
      <c r="K202" s="22">
        <v>2304840.3429999999</v>
      </c>
      <c r="L202" s="22">
        <v>585241.72199999995</v>
      </c>
      <c r="M202" s="6">
        <v>21.315999999999999</v>
      </c>
      <c r="N202" s="11">
        <v>3.74</v>
      </c>
      <c r="O202" s="11">
        <v>3.66</v>
      </c>
      <c r="P202" s="11">
        <f t="shared" si="6"/>
        <v>8.0000000000000071E-2</v>
      </c>
      <c r="Q202" s="11">
        <f t="shared" si="7"/>
        <v>0.375</v>
      </c>
      <c r="R202" s="11">
        <v>1.24</v>
      </c>
    </row>
    <row r="203" spans="2:18" ht="16" x14ac:dyDescent="0.3">
      <c r="B203" s="4">
        <v>197</v>
      </c>
      <c r="C203" s="4" t="s">
        <v>3366</v>
      </c>
      <c r="D203" s="5" t="s">
        <v>3284</v>
      </c>
      <c r="E203" s="4">
        <v>300</v>
      </c>
      <c r="F203" s="5" t="s">
        <v>3285</v>
      </c>
      <c r="G203" s="4" t="s">
        <v>2812</v>
      </c>
      <c r="H203" s="4" t="s">
        <v>2815</v>
      </c>
      <c r="I203" s="22">
        <v>2304810.821</v>
      </c>
      <c r="J203" s="22">
        <v>585239.799</v>
      </c>
      <c r="K203" s="22">
        <v>2304823.6329999999</v>
      </c>
      <c r="L203" s="22">
        <v>585231.02099999995</v>
      </c>
      <c r="M203" s="6">
        <v>15.531000000000001</v>
      </c>
      <c r="N203" s="11">
        <v>3.79</v>
      </c>
      <c r="O203" s="11">
        <v>3.74</v>
      </c>
      <c r="P203" s="11">
        <f t="shared" si="6"/>
        <v>4.9999999999999822E-2</v>
      </c>
      <c r="Q203" s="11">
        <f t="shared" si="7"/>
        <v>0.32200000000000001</v>
      </c>
      <c r="R203" s="11">
        <v>1.145</v>
      </c>
    </row>
    <row r="204" spans="2:18" ht="16" x14ac:dyDescent="0.3">
      <c r="B204" s="4">
        <v>198</v>
      </c>
      <c r="C204" s="4" t="s">
        <v>3367</v>
      </c>
      <c r="D204" s="5" t="s">
        <v>3284</v>
      </c>
      <c r="E204" s="4">
        <v>300</v>
      </c>
      <c r="F204" s="5" t="s">
        <v>3285</v>
      </c>
      <c r="G204" s="4" t="s">
        <v>2809</v>
      </c>
      <c r="H204" s="4" t="s">
        <v>2812</v>
      </c>
      <c r="I204" s="22">
        <v>2304788.3960000002</v>
      </c>
      <c r="J204" s="22">
        <v>585254.83700000006</v>
      </c>
      <c r="K204" s="22">
        <v>2304810.2390000001</v>
      </c>
      <c r="L204" s="22">
        <v>585240.18900000001</v>
      </c>
      <c r="M204" s="6">
        <v>26.3</v>
      </c>
      <c r="N204" s="11">
        <v>3.88</v>
      </c>
      <c r="O204" s="11">
        <v>3.79</v>
      </c>
      <c r="P204" s="11">
        <f t="shared" si="6"/>
        <v>8.9999999999999858E-2</v>
      </c>
      <c r="Q204" s="11">
        <f t="shared" si="7"/>
        <v>0.34200000000000003</v>
      </c>
      <c r="R204" s="11">
        <v>1.075</v>
      </c>
    </row>
    <row r="205" spans="2:18" ht="16" x14ac:dyDescent="0.3">
      <c r="B205" s="4">
        <v>199</v>
      </c>
      <c r="C205" s="4" t="s">
        <v>3368</v>
      </c>
      <c r="D205" s="5" t="s">
        <v>3284</v>
      </c>
      <c r="E205" s="4">
        <v>300</v>
      </c>
      <c r="F205" s="5" t="s">
        <v>3285</v>
      </c>
      <c r="G205" s="4" t="s">
        <v>2806</v>
      </c>
      <c r="H205" s="4" t="s">
        <v>2809</v>
      </c>
      <c r="I205" s="22">
        <v>2304765.9709999999</v>
      </c>
      <c r="J205" s="22">
        <v>585269.87399999995</v>
      </c>
      <c r="K205" s="22">
        <v>2304787.8139999998</v>
      </c>
      <c r="L205" s="22">
        <v>585255.22600000002</v>
      </c>
      <c r="M205" s="6">
        <v>26.3</v>
      </c>
      <c r="N205" s="11">
        <v>3.97</v>
      </c>
      <c r="O205" s="11">
        <v>3.88</v>
      </c>
      <c r="P205" s="11">
        <f t="shared" si="6"/>
        <v>9.0000000000000302E-2</v>
      </c>
      <c r="Q205" s="11">
        <f t="shared" si="7"/>
        <v>0.34200000000000003</v>
      </c>
      <c r="R205" s="11">
        <v>0.98499999999999999</v>
      </c>
    </row>
    <row r="206" spans="2:18" ht="16" x14ac:dyDescent="0.3">
      <c r="B206" s="4">
        <v>200</v>
      </c>
      <c r="C206" s="4" t="s">
        <v>3369</v>
      </c>
      <c r="D206" s="5" t="s">
        <v>3284</v>
      </c>
      <c r="E206" s="4">
        <v>300</v>
      </c>
      <c r="F206" s="5" t="s">
        <v>3285</v>
      </c>
      <c r="G206" s="4" t="s">
        <v>474</v>
      </c>
      <c r="H206" s="4" t="s">
        <v>2806</v>
      </c>
      <c r="I206" s="22">
        <v>2304743.5460000001</v>
      </c>
      <c r="J206" s="22">
        <v>585284.91099999996</v>
      </c>
      <c r="K206" s="22">
        <v>2304765.39</v>
      </c>
      <c r="L206" s="22">
        <v>585270.26399999997</v>
      </c>
      <c r="M206" s="6">
        <v>26.3</v>
      </c>
      <c r="N206" s="11">
        <v>4.0599999999999996</v>
      </c>
      <c r="O206" s="11">
        <v>3.97</v>
      </c>
      <c r="P206" s="11">
        <f t="shared" si="6"/>
        <v>8.9999999999999414E-2</v>
      </c>
      <c r="Q206" s="11">
        <f t="shared" si="7"/>
        <v>0.34200000000000003</v>
      </c>
      <c r="R206" s="11">
        <v>0.89500000000000002</v>
      </c>
    </row>
    <row r="207" spans="2:18" ht="16" x14ac:dyDescent="0.3">
      <c r="B207" s="4">
        <v>201</v>
      </c>
      <c r="C207" s="4" t="s">
        <v>3370</v>
      </c>
      <c r="D207" s="5" t="s">
        <v>3284</v>
      </c>
      <c r="E207" s="4">
        <v>300</v>
      </c>
      <c r="F207" s="5" t="s">
        <v>3285</v>
      </c>
      <c r="G207" s="4" t="s">
        <v>2068</v>
      </c>
      <c r="H207" s="4" t="s">
        <v>2065</v>
      </c>
      <c r="I207" s="22">
        <v>2305171.943</v>
      </c>
      <c r="J207" s="22">
        <v>585580.38699999999</v>
      </c>
      <c r="K207" s="22">
        <v>2305150.9300000002</v>
      </c>
      <c r="L207" s="22">
        <v>585594.478</v>
      </c>
      <c r="M207" s="6">
        <v>25.3</v>
      </c>
      <c r="N207" s="11">
        <v>4.33</v>
      </c>
      <c r="O207" s="11">
        <v>4.42</v>
      </c>
      <c r="P207" s="11">
        <f t="shared" si="6"/>
        <v>8.9999999999999858E-2</v>
      </c>
      <c r="Q207" s="11">
        <f t="shared" si="7"/>
        <v>0.35599999999999998</v>
      </c>
      <c r="R207" s="11">
        <v>0.89500000000000002</v>
      </c>
    </row>
    <row r="208" spans="2:18" ht="16" x14ac:dyDescent="0.3">
      <c r="B208" s="4">
        <v>202</v>
      </c>
      <c r="C208" s="4" t="s">
        <v>3371</v>
      </c>
      <c r="D208" s="5" t="s">
        <v>3284</v>
      </c>
      <c r="E208" s="4">
        <v>300</v>
      </c>
      <c r="F208" s="5" t="s">
        <v>3285</v>
      </c>
      <c r="G208" s="4" t="s">
        <v>2044</v>
      </c>
      <c r="H208" s="4" t="s">
        <v>2068</v>
      </c>
      <c r="I208" s="22">
        <v>2305191.145</v>
      </c>
      <c r="J208" s="22">
        <v>585567.321</v>
      </c>
      <c r="K208" s="22">
        <v>2305172.5240000002</v>
      </c>
      <c r="L208" s="22">
        <v>585579.99699999997</v>
      </c>
      <c r="M208" s="6">
        <v>22.524999999999999</v>
      </c>
      <c r="N208" s="11">
        <v>4.17</v>
      </c>
      <c r="O208" s="11">
        <v>4.33</v>
      </c>
      <c r="P208" s="11">
        <f t="shared" si="6"/>
        <v>0.16000000000000014</v>
      </c>
      <c r="Q208" s="11">
        <f t="shared" si="7"/>
        <v>0.71</v>
      </c>
      <c r="R208" s="11">
        <v>1.02</v>
      </c>
    </row>
    <row r="209" spans="2:18" ht="16" x14ac:dyDescent="0.3">
      <c r="B209" s="4">
        <v>203</v>
      </c>
      <c r="C209" s="4" t="s">
        <v>3372</v>
      </c>
      <c r="D209" s="5" t="s">
        <v>3284</v>
      </c>
      <c r="E209" s="4">
        <v>300</v>
      </c>
      <c r="F209" s="5" t="s">
        <v>3285</v>
      </c>
      <c r="G209" s="4" t="s">
        <v>2041</v>
      </c>
      <c r="H209" s="4" t="s">
        <v>2044</v>
      </c>
      <c r="I209" s="22">
        <v>2305201.125</v>
      </c>
      <c r="J209" s="22">
        <v>585586.73899999994</v>
      </c>
      <c r="K209" s="22">
        <v>2305191.9750000001</v>
      </c>
      <c r="L209" s="22">
        <v>585566.76399999997</v>
      </c>
      <c r="M209" s="6">
        <v>30.157</v>
      </c>
      <c r="N209" s="11">
        <v>4.25</v>
      </c>
      <c r="O209" s="11">
        <v>4.17</v>
      </c>
      <c r="P209" s="11">
        <f t="shared" si="6"/>
        <v>8.0000000000000071E-2</v>
      </c>
      <c r="Q209" s="11">
        <f t="shared" si="7"/>
        <v>0.26500000000000001</v>
      </c>
      <c r="R209" s="11">
        <v>1.06</v>
      </c>
    </row>
    <row r="210" spans="2:18" ht="16" x14ac:dyDescent="0.3">
      <c r="B210" s="4">
        <v>204</v>
      </c>
      <c r="C210" s="4" t="s">
        <v>3373</v>
      </c>
      <c r="D210" s="5" t="s">
        <v>3284</v>
      </c>
      <c r="E210" s="4">
        <v>300</v>
      </c>
      <c r="F210" s="5" t="s">
        <v>3285</v>
      </c>
      <c r="G210" s="4" t="s">
        <v>2038</v>
      </c>
      <c r="H210" s="4" t="s">
        <v>2041</v>
      </c>
      <c r="I210" s="22">
        <v>2305184.4309999999</v>
      </c>
      <c r="J210" s="22">
        <v>585597.75300000003</v>
      </c>
      <c r="K210" s="22">
        <v>2305200.4879999999</v>
      </c>
      <c r="L210" s="22">
        <v>585587.04500000004</v>
      </c>
      <c r="M210" s="6">
        <v>19.3</v>
      </c>
      <c r="N210" s="11">
        <v>4.33</v>
      </c>
      <c r="O210" s="11">
        <v>4.25</v>
      </c>
      <c r="P210" s="11">
        <f t="shared" si="6"/>
        <v>8.0000000000000071E-2</v>
      </c>
      <c r="Q210" s="11">
        <f t="shared" si="7"/>
        <v>0.41499999999999998</v>
      </c>
      <c r="R210" s="11">
        <v>0.98</v>
      </c>
    </row>
    <row r="211" spans="2:18" ht="16" x14ac:dyDescent="0.3">
      <c r="B211" s="4">
        <v>205</v>
      </c>
      <c r="C211" s="4" t="s">
        <v>3374</v>
      </c>
      <c r="D211" s="5" t="s">
        <v>3284</v>
      </c>
      <c r="E211" s="4">
        <v>300</v>
      </c>
      <c r="F211" s="5" t="s">
        <v>3285</v>
      </c>
      <c r="G211" s="4" t="s">
        <v>2035</v>
      </c>
      <c r="H211" s="4" t="s">
        <v>2038</v>
      </c>
      <c r="I211" s="22">
        <v>2305162.8369999998</v>
      </c>
      <c r="J211" s="22">
        <v>585612.22100000002</v>
      </c>
      <c r="K211" s="22">
        <v>2305183.85</v>
      </c>
      <c r="L211" s="22">
        <v>585598.14300000004</v>
      </c>
      <c r="M211" s="6">
        <v>25.292999999999999</v>
      </c>
      <c r="N211" s="11">
        <v>4.42</v>
      </c>
      <c r="O211" s="11">
        <v>4.33</v>
      </c>
      <c r="P211" s="11">
        <f t="shared" si="6"/>
        <v>8.9999999999999858E-2</v>
      </c>
      <c r="Q211" s="11">
        <f t="shared" si="7"/>
        <v>0.35599999999999998</v>
      </c>
      <c r="R211" s="11">
        <v>0.89500000000000002</v>
      </c>
    </row>
    <row r="212" spans="2:18" ht="16" x14ac:dyDescent="0.3">
      <c r="B212" s="4">
        <v>206</v>
      </c>
      <c r="C212" s="4" t="s">
        <v>3375</v>
      </c>
      <c r="D212" s="5" t="s">
        <v>3284</v>
      </c>
      <c r="E212" s="4">
        <v>300</v>
      </c>
      <c r="F212" s="5" t="s">
        <v>3285</v>
      </c>
      <c r="G212" s="4" t="s">
        <v>2566</v>
      </c>
      <c r="H212" s="4" t="s">
        <v>797</v>
      </c>
      <c r="I212" s="22">
        <v>2305035.6839999999</v>
      </c>
      <c r="J212" s="22">
        <v>585370.00600000005</v>
      </c>
      <c r="K212" s="22">
        <v>2305016.3319999999</v>
      </c>
      <c r="L212" s="22">
        <v>585382.98199999996</v>
      </c>
      <c r="M212" s="6">
        <v>23.3</v>
      </c>
      <c r="N212" s="11">
        <v>4.1399999999999997</v>
      </c>
      <c r="O212" s="11">
        <v>4.22</v>
      </c>
      <c r="P212" s="11">
        <f t="shared" si="6"/>
        <v>8.0000000000000071E-2</v>
      </c>
      <c r="Q212" s="11">
        <f t="shared" si="7"/>
        <v>0.34300000000000003</v>
      </c>
      <c r="R212" s="11">
        <v>0.94</v>
      </c>
    </row>
    <row r="213" spans="2:18" ht="16" x14ac:dyDescent="0.3">
      <c r="B213" s="4">
        <v>207</v>
      </c>
      <c r="C213" s="4" t="s">
        <v>3376</v>
      </c>
      <c r="D213" s="5" t="s">
        <v>3284</v>
      </c>
      <c r="E213" s="4">
        <v>300</v>
      </c>
      <c r="F213" s="5" t="s">
        <v>3285</v>
      </c>
      <c r="G213" s="4" t="s">
        <v>2569</v>
      </c>
      <c r="H213" s="4" t="s">
        <v>2566</v>
      </c>
      <c r="I213" s="22">
        <v>2305055.6170000001</v>
      </c>
      <c r="J213" s="22">
        <v>585356.63899999997</v>
      </c>
      <c r="K213" s="22">
        <v>2305036.2650000001</v>
      </c>
      <c r="L213" s="22">
        <v>585369.61600000004</v>
      </c>
      <c r="M213" s="6">
        <v>23.3</v>
      </c>
      <c r="N213" s="11">
        <v>4.0599999999999996</v>
      </c>
      <c r="O213" s="11">
        <v>4.1399999999999997</v>
      </c>
      <c r="P213" s="11">
        <f t="shared" si="6"/>
        <v>8.0000000000000071E-2</v>
      </c>
      <c r="Q213" s="11">
        <f t="shared" si="7"/>
        <v>0.34300000000000003</v>
      </c>
      <c r="R213" s="11">
        <v>1.07</v>
      </c>
    </row>
    <row r="214" spans="2:18" ht="16" x14ac:dyDescent="0.3">
      <c r="B214" s="4">
        <v>208</v>
      </c>
      <c r="C214" s="4" t="s">
        <v>3377</v>
      </c>
      <c r="D214" s="5" t="s">
        <v>3284</v>
      </c>
      <c r="E214" s="4">
        <v>300</v>
      </c>
      <c r="F214" s="5" t="s">
        <v>3285</v>
      </c>
      <c r="G214" s="4" t="s">
        <v>2572</v>
      </c>
      <c r="H214" s="4" t="s">
        <v>2569</v>
      </c>
      <c r="I214" s="22">
        <v>2305075.5499999998</v>
      </c>
      <c r="J214" s="22">
        <v>585343.272</v>
      </c>
      <c r="K214" s="22">
        <v>2305056.1979999999</v>
      </c>
      <c r="L214" s="22">
        <v>585356.24899999995</v>
      </c>
      <c r="M214" s="6">
        <v>23.3</v>
      </c>
      <c r="N214" s="11">
        <v>3.98</v>
      </c>
      <c r="O214" s="11">
        <v>4.0599999999999996</v>
      </c>
      <c r="P214" s="11">
        <f t="shared" si="6"/>
        <v>7.9999999999999627E-2</v>
      </c>
      <c r="Q214" s="11">
        <f t="shared" si="7"/>
        <v>0.34300000000000003</v>
      </c>
      <c r="R214" s="11">
        <v>1.1499999999999999</v>
      </c>
    </row>
    <row r="215" spans="2:18" ht="16" x14ac:dyDescent="0.3">
      <c r="B215" s="4">
        <v>209</v>
      </c>
      <c r="C215" s="4" t="s">
        <v>3378</v>
      </c>
      <c r="D215" s="5" t="s">
        <v>3284</v>
      </c>
      <c r="E215" s="4">
        <v>300</v>
      </c>
      <c r="F215" s="5" t="s">
        <v>3285</v>
      </c>
      <c r="G215" s="4" t="s">
        <v>2575</v>
      </c>
      <c r="H215" s="4" t="s">
        <v>2572</v>
      </c>
      <c r="I215" s="22">
        <v>2305088.929</v>
      </c>
      <c r="J215" s="22">
        <v>585334.495</v>
      </c>
      <c r="K215" s="22">
        <v>2305076.1320000002</v>
      </c>
      <c r="L215" s="22">
        <v>585342.88199999998</v>
      </c>
      <c r="M215" s="6">
        <v>15.301</v>
      </c>
      <c r="N215" s="11">
        <v>3.93</v>
      </c>
      <c r="O215" s="11">
        <v>3.98</v>
      </c>
      <c r="P215" s="11">
        <f t="shared" si="6"/>
        <v>4.9999999999999822E-2</v>
      </c>
      <c r="Q215" s="11">
        <f t="shared" si="7"/>
        <v>0.32700000000000001</v>
      </c>
      <c r="R215" s="11">
        <v>1.2150000000000001</v>
      </c>
    </row>
    <row r="216" spans="2:18" ht="16" x14ac:dyDescent="0.3">
      <c r="B216" s="4">
        <v>210</v>
      </c>
      <c r="C216" s="4" t="s">
        <v>3379</v>
      </c>
      <c r="D216" s="5" t="s">
        <v>3284</v>
      </c>
      <c r="E216" s="4">
        <v>300</v>
      </c>
      <c r="F216" s="5" t="s">
        <v>3285</v>
      </c>
      <c r="G216" s="4" t="s">
        <v>468</v>
      </c>
      <c r="H216" s="4" t="s">
        <v>2575</v>
      </c>
      <c r="I216" s="22">
        <v>2305100.73</v>
      </c>
      <c r="J216" s="22">
        <v>585326.58100000001</v>
      </c>
      <c r="K216" s="22">
        <v>2305089.7590000001</v>
      </c>
      <c r="L216" s="22">
        <v>585333.93799999997</v>
      </c>
      <c r="M216" s="6">
        <v>13.209</v>
      </c>
      <c r="N216" s="11">
        <v>2.85</v>
      </c>
      <c r="O216" s="11">
        <v>3.93</v>
      </c>
      <c r="P216" s="11">
        <f t="shared" si="6"/>
        <v>1.08</v>
      </c>
      <c r="Q216" s="11">
        <f t="shared" si="7"/>
        <v>8.1760000000000002</v>
      </c>
      <c r="R216" s="11">
        <v>1.73</v>
      </c>
    </row>
    <row r="217" spans="2:18" ht="16" x14ac:dyDescent="0.3">
      <c r="B217" s="4">
        <v>211</v>
      </c>
      <c r="C217" s="4" t="s">
        <v>3380</v>
      </c>
      <c r="D217" s="5" t="s">
        <v>3284</v>
      </c>
      <c r="E217" s="4">
        <v>300</v>
      </c>
      <c r="F217" s="5" t="s">
        <v>3285</v>
      </c>
      <c r="G217" s="4" t="s">
        <v>465</v>
      </c>
      <c r="H217" s="4" t="s">
        <v>468</v>
      </c>
      <c r="I217" s="22">
        <v>2305098.7239999999</v>
      </c>
      <c r="J217" s="22">
        <v>585305.64800000004</v>
      </c>
      <c r="K217" s="22">
        <v>2305101.5630000001</v>
      </c>
      <c r="L217" s="22">
        <v>585326.02800000005</v>
      </c>
      <c r="M217" s="6">
        <v>23.942</v>
      </c>
      <c r="N217" s="11">
        <v>2.92</v>
      </c>
      <c r="O217" s="11">
        <v>2.85</v>
      </c>
      <c r="P217" s="11">
        <f t="shared" si="6"/>
        <v>6.999999999999984E-2</v>
      </c>
      <c r="Q217" s="11">
        <f t="shared" si="7"/>
        <v>0.29199999999999998</v>
      </c>
      <c r="R217" s="11">
        <v>2.23</v>
      </c>
    </row>
    <row r="218" spans="2:18" ht="16" x14ac:dyDescent="0.3">
      <c r="B218" s="4">
        <v>212</v>
      </c>
      <c r="C218" s="4" t="s">
        <v>3381</v>
      </c>
      <c r="D218" s="5" t="s">
        <v>3284</v>
      </c>
      <c r="E218" s="4">
        <v>300</v>
      </c>
      <c r="F218" s="5" t="s">
        <v>3285</v>
      </c>
      <c r="G218" s="4" t="s">
        <v>2563</v>
      </c>
      <c r="H218" s="4" t="s">
        <v>465</v>
      </c>
      <c r="I218" s="22">
        <v>2305080.3149999999</v>
      </c>
      <c r="J218" s="22">
        <v>585294.93799999997</v>
      </c>
      <c r="K218" s="22">
        <v>2305098.1639999999</v>
      </c>
      <c r="L218" s="22">
        <v>585304.81999999995</v>
      </c>
      <c r="M218" s="6">
        <v>23.751999999999999</v>
      </c>
      <c r="N218" s="11">
        <v>2.99</v>
      </c>
      <c r="O218" s="11">
        <v>2.92</v>
      </c>
      <c r="P218" s="11">
        <f t="shared" si="6"/>
        <v>7.0000000000000284E-2</v>
      </c>
      <c r="Q218" s="11">
        <f t="shared" si="7"/>
        <v>0.29499999999999998</v>
      </c>
      <c r="R218" s="11">
        <v>2.16</v>
      </c>
    </row>
    <row r="219" spans="2:18" ht="16" x14ac:dyDescent="0.3">
      <c r="B219" s="4">
        <v>213</v>
      </c>
      <c r="C219" s="4" t="s">
        <v>3382</v>
      </c>
      <c r="D219" s="5" t="s">
        <v>3284</v>
      </c>
      <c r="E219" s="4">
        <v>300</v>
      </c>
      <c r="F219" s="5" t="s">
        <v>3285</v>
      </c>
      <c r="G219" s="4" t="s">
        <v>2560</v>
      </c>
      <c r="H219" s="4" t="s">
        <v>2563</v>
      </c>
      <c r="I219" s="22">
        <v>2305068.7620000001</v>
      </c>
      <c r="J219" s="22">
        <v>585302.62600000005</v>
      </c>
      <c r="K219" s="22">
        <v>2305079.4840000002</v>
      </c>
      <c r="L219" s="22">
        <v>585295.495</v>
      </c>
      <c r="M219" s="6">
        <v>12.875999999999999</v>
      </c>
      <c r="N219" s="11">
        <v>3.93</v>
      </c>
      <c r="O219" s="11">
        <v>2.99</v>
      </c>
      <c r="P219" s="11">
        <f t="shared" si="6"/>
        <v>0.94</v>
      </c>
      <c r="Q219" s="11">
        <f t="shared" si="7"/>
        <v>7.3</v>
      </c>
      <c r="R219" s="11">
        <v>1.61</v>
      </c>
    </row>
    <row r="220" spans="2:18" ht="16" x14ac:dyDescent="0.3">
      <c r="B220" s="4">
        <v>214</v>
      </c>
      <c r="C220" s="4" t="s">
        <v>3383</v>
      </c>
      <c r="D220" s="5" t="s">
        <v>3284</v>
      </c>
      <c r="E220" s="4">
        <v>300</v>
      </c>
      <c r="F220" s="5" t="s">
        <v>3285</v>
      </c>
      <c r="G220" s="4" t="s">
        <v>2557</v>
      </c>
      <c r="H220" s="4" t="s">
        <v>2560</v>
      </c>
      <c r="I220" s="22">
        <v>2305055.3139999998</v>
      </c>
      <c r="J220" s="22">
        <v>585311.83700000006</v>
      </c>
      <c r="K220" s="22">
        <v>2305067.932</v>
      </c>
      <c r="L220" s="22">
        <v>585303.18299999996</v>
      </c>
      <c r="M220" s="6">
        <v>15.301</v>
      </c>
      <c r="N220" s="11">
        <v>3.98</v>
      </c>
      <c r="O220" s="11">
        <v>3.93</v>
      </c>
      <c r="P220" s="11">
        <f t="shared" si="6"/>
        <v>4.9999999999999822E-2</v>
      </c>
      <c r="Q220" s="11">
        <f t="shared" si="7"/>
        <v>0.32700000000000001</v>
      </c>
      <c r="R220" s="11">
        <v>1.115</v>
      </c>
    </row>
    <row r="221" spans="2:18" ht="16" x14ac:dyDescent="0.3">
      <c r="B221" s="4">
        <v>215</v>
      </c>
      <c r="C221" s="4" t="s">
        <v>3384</v>
      </c>
      <c r="D221" s="5" t="s">
        <v>3284</v>
      </c>
      <c r="E221" s="4">
        <v>300</v>
      </c>
      <c r="F221" s="5" t="s">
        <v>3285</v>
      </c>
      <c r="G221" s="4" t="s">
        <v>2554</v>
      </c>
      <c r="H221" s="4" t="s">
        <v>2557</v>
      </c>
      <c r="I221" s="22">
        <v>2305035.3810000001</v>
      </c>
      <c r="J221" s="22">
        <v>585325.20400000003</v>
      </c>
      <c r="K221" s="22">
        <v>2305054.7319999998</v>
      </c>
      <c r="L221" s="22">
        <v>585312.22699999996</v>
      </c>
      <c r="M221" s="6">
        <v>23.3</v>
      </c>
      <c r="N221" s="11">
        <v>4.0599999999999996</v>
      </c>
      <c r="O221" s="11">
        <v>3.98</v>
      </c>
      <c r="P221" s="11">
        <f t="shared" si="6"/>
        <v>7.9999999999999627E-2</v>
      </c>
      <c r="Q221" s="11">
        <f t="shared" si="7"/>
        <v>0.34300000000000003</v>
      </c>
      <c r="R221" s="11">
        <v>1.05</v>
      </c>
    </row>
    <row r="222" spans="2:18" ht="16" x14ac:dyDescent="0.3">
      <c r="B222" s="4">
        <v>216</v>
      </c>
      <c r="C222" s="4" t="s">
        <v>3385</v>
      </c>
      <c r="D222" s="5" t="s">
        <v>3284</v>
      </c>
      <c r="E222" s="4">
        <v>300</v>
      </c>
      <c r="F222" s="5" t="s">
        <v>3285</v>
      </c>
      <c r="G222" s="4" t="s">
        <v>2551</v>
      </c>
      <c r="H222" s="4" t="s">
        <v>2554</v>
      </c>
      <c r="I222" s="22">
        <v>2305015.4470000002</v>
      </c>
      <c r="J222" s="22">
        <v>585338.571</v>
      </c>
      <c r="K222" s="22">
        <v>2305034.7990000001</v>
      </c>
      <c r="L222" s="22">
        <v>585325.59400000004</v>
      </c>
      <c r="M222" s="6">
        <v>23.3</v>
      </c>
      <c r="N222" s="11">
        <v>4.1399999999999997</v>
      </c>
      <c r="O222" s="11">
        <v>4.0599999999999996</v>
      </c>
      <c r="P222" s="11">
        <f t="shared" si="6"/>
        <v>8.0000000000000071E-2</v>
      </c>
      <c r="Q222" s="11">
        <f t="shared" si="7"/>
        <v>0.34300000000000003</v>
      </c>
      <c r="R222" s="11">
        <v>0.97</v>
      </c>
    </row>
    <row r="223" spans="2:18" ht="16" x14ac:dyDescent="0.3">
      <c r="B223" s="4">
        <v>217</v>
      </c>
      <c r="C223" s="4" t="s">
        <v>3386</v>
      </c>
      <c r="D223" s="5" t="s">
        <v>3284</v>
      </c>
      <c r="E223" s="4">
        <v>300</v>
      </c>
      <c r="F223" s="5" t="s">
        <v>3285</v>
      </c>
      <c r="G223" s="4" t="s">
        <v>794</v>
      </c>
      <c r="H223" s="4" t="s">
        <v>2551</v>
      </c>
      <c r="I223" s="22">
        <v>2304995.4360000002</v>
      </c>
      <c r="J223" s="22">
        <v>585351.98899999994</v>
      </c>
      <c r="K223" s="22">
        <v>2305014.8659999999</v>
      </c>
      <c r="L223" s="22">
        <v>585338.96100000001</v>
      </c>
      <c r="M223" s="6">
        <v>23.393999999999998</v>
      </c>
      <c r="N223" s="11">
        <v>4.22</v>
      </c>
      <c r="O223" s="11">
        <v>4.1399999999999997</v>
      </c>
      <c r="P223" s="11">
        <f t="shared" si="6"/>
        <v>8.0000000000000071E-2</v>
      </c>
      <c r="Q223" s="11">
        <f t="shared" si="7"/>
        <v>0.34200000000000003</v>
      </c>
      <c r="R223" s="11">
        <v>0.89</v>
      </c>
    </row>
    <row r="224" spans="2:18" ht="16" x14ac:dyDescent="0.3">
      <c r="B224" s="4">
        <v>218</v>
      </c>
      <c r="C224" s="4" t="s">
        <v>3387</v>
      </c>
      <c r="D224" s="5" t="s">
        <v>3284</v>
      </c>
      <c r="E224" s="4">
        <v>300</v>
      </c>
      <c r="F224" s="5" t="s">
        <v>3285</v>
      </c>
      <c r="G224" s="4" t="s">
        <v>2539</v>
      </c>
      <c r="H224" s="4" t="s">
        <v>791</v>
      </c>
      <c r="I224" s="22">
        <v>2305008.3939999999</v>
      </c>
      <c r="J224" s="22">
        <v>585329.30799999996</v>
      </c>
      <c r="K224" s="22">
        <v>2304989.0419999999</v>
      </c>
      <c r="L224" s="22">
        <v>585342.28500000003</v>
      </c>
      <c r="M224" s="6">
        <v>23.3</v>
      </c>
      <c r="N224" s="11">
        <v>4.1399999999999997</v>
      </c>
      <c r="O224" s="11">
        <v>4.22</v>
      </c>
      <c r="P224" s="11">
        <f t="shared" si="6"/>
        <v>8.0000000000000071E-2</v>
      </c>
      <c r="Q224" s="11">
        <f t="shared" si="7"/>
        <v>0.34300000000000003</v>
      </c>
      <c r="R224" s="11">
        <v>0.89</v>
      </c>
    </row>
    <row r="225" spans="2:18" ht="16" x14ac:dyDescent="0.3">
      <c r="B225" s="4">
        <v>219</v>
      </c>
      <c r="C225" s="4" t="s">
        <v>3388</v>
      </c>
      <c r="D225" s="5" t="s">
        <v>3284</v>
      </c>
      <c r="E225" s="4">
        <v>300</v>
      </c>
      <c r="F225" s="5" t="s">
        <v>3285</v>
      </c>
      <c r="G225" s="4" t="s">
        <v>2542</v>
      </c>
      <c r="H225" s="4" t="s">
        <v>2539</v>
      </c>
      <c r="I225" s="22">
        <v>2305028.327</v>
      </c>
      <c r="J225" s="22">
        <v>585315.94200000004</v>
      </c>
      <c r="K225" s="22">
        <v>2305008.9750000001</v>
      </c>
      <c r="L225" s="22">
        <v>585328.91899999999</v>
      </c>
      <c r="M225" s="6">
        <v>23.3</v>
      </c>
      <c r="N225" s="11">
        <v>4.0599999999999996</v>
      </c>
      <c r="O225" s="11">
        <v>4.1399999999999997</v>
      </c>
      <c r="P225" s="11">
        <f t="shared" si="6"/>
        <v>8.0000000000000071E-2</v>
      </c>
      <c r="Q225" s="11">
        <f t="shared" si="7"/>
        <v>0.34300000000000003</v>
      </c>
      <c r="R225" s="11">
        <v>0.97</v>
      </c>
    </row>
    <row r="226" spans="2:18" ht="16" x14ac:dyDescent="0.3">
      <c r="B226" s="4">
        <v>220</v>
      </c>
      <c r="C226" s="4" t="s">
        <v>3389</v>
      </c>
      <c r="D226" s="5" t="s">
        <v>3284</v>
      </c>
      <c r="E226" s="4">
        <v>300</v>
      </c>
      <c r="F226" s="5" t="s">
        <v>3285</v>
      </c>
      <c r="G226" s="4" t="s">
        <v>2545</v>
      </c>
      <c r="H226" s="4" t="s">
        <v>2542</v>
      </c>
      <c r="I226" s="22">
        <v>2305048.2599999998</v>
      </c>
      <c r="J226" s="22">
        <v>585302.57499999995</v>
      </c>
      <c r="K226" s="22">
        <v>2305028.9079999998</v>
      </c>
      <c r="L226" s="22">
        <v>585315.55200000003</v>
      </c>
      <c r="M226" s="6">
        <v>23.3</v>
      </c>
      <c r="N226" s="11">
        <v>3.98</v>
      </c>
      <c r="O226" s="11">
        <v>4.0599999999999996</v>
      </c>
      <c r="P226" s="11">
        <f t="shared" si="6"/>
        <v>7.9999999999999627E-2</v>
      </c>
      <c r="Q226" s="11">
        <f t="shared" si="7"/>
        <v>0.34300000000000003</v>
      </c>
      <c r="R226" s="11">
        <v>1.05</v>
      </c>
    </row>
    <row r="227" spans="2:18" ht="16" x14ac:dyDescent="0.3">
      <c r="B227" s="4">
        <v>221</v>
      </c>
      <c r="C227" s="4" t="s">
        <v>3390</v>
      </c>
      <c r="D227" s="5" t="s">
        <v>3284</v>
      </c>
      <c r="E227" s="4">
        <v>300</v>
      </c>
      <c r="F227" s="5" t="s">
        <v>3285</v>
      </c>
      <c r="G227" s="4" t="s">
        <v>2548</v>
      </c>
      <c r="H227" s="4" t="s">
        <v>2545</v>
      </c>
      <c r="I227" s="22">
        <v>2305061.5490000001</v>
      </c>
      <c r="J227" s="22">
        <v>585293.66399999999</v>
      </c>
      <c r="K227" s="22">
        <v>2305048.841</v>
      </c>
      <c r="L227" s="22">
        <v>585302.18500000006</v>
      </c>
      <c r="M227" s="6">
        <v>15.3</v>
      </c>
      <c r="N227" s="11">
        <v>3.93</v>
      </c>
      <c r="O227" s="11">
        <v>3.98</v>
      </c>
      <c r="P227" s="11">
        <f t="shared" si="6"/>
        <v>4.9999999999999822E-2</v>
      </c>
      <c r="Q227" s="11">
        <f t="shared" si="7"/>
        <v>0.32700000000000001</v>
      </c>
      <c r="R227" s="11">
        <v>1.115</v>
      </c>
    </row>
    <row r="228" spans="2:18" ht="16" x14ac:dyDescent="0.3">
      <c r="B228" s="4">
        <v>222</v>
      </c>
      <c r="C228" s="4" t="s">
        <v>3391</v>
      </c>
      <c r="D228" s="5" t="s">
        <v>3284</v>
      </c>
      <c r="E228" s="4">
        <v>300</v>
      </c>
      <c r="F228" s="5" t="s">
        <v>3285</v>
      </c>
      <c r="G228" s="4" t="s">
        <v>462</v>
      </c>
      <c r="H228" s="4" t="s">
        <v>2548</v>
      </c>
      <c r="I228" s="22">
        <v>2305073.44</v>
      </c>
      <c r="J228" s="22">
        <v>585285.94299999997</v>
      </c>
      <c r="K228" s="22">
        <v>2305062.13</v>
      </c>
      <c r="L228" s="22">
        <v>585293.27399999998</v>
      </c>
      <c r="M228" s="6">
        <v>13.478</v>
      </c>
      <c r="N228" s="11">
        <v>3.03</v>
      </c>
      <c r="O228" s="11">
        <v>3.93</v>
      </c>
      <c r="P228" s="11">
        <f t="shared" si="6"/>
        <v>0.90000000000000036</v>
      </c>
      <c r="Q228" s="11">
        <f t="shared" si="7"/>
        <v>6.6779999999999999</v>
      </c>
      <c r="R228" s="11">
        <v>1.59</v>
      </c>
    </row>
    <row r="229" spans="2:18" ht="16" x14ac:dyDescent="0.3">
      <c r="B229" s="4">
        <v>223</v>
      </c>
      <c r="C229" s="4" t="s">
        <v>3392</v>
      </c>
      <c r="D229" s="5" t="s">
        <v>3284</v>
      </c>
      <c r="E229" s="4">
        <v>300</v>
      </c>
      <c r="F229" s="5" t="s">
        <v>3285</v>
      </c>
      <c r="G229" s="4" t="s">
        <v>459</v>
      </c>
      <c r="H229" s="4" t="s">
        <v>462</v>
      </c>
      <c r="I229" s="22">
        <v>2305071.4339999999</v>
      </c>
      <c r="J229" s="22">
        <v>585264.951</v>
      </c>
      <c r="K229" s="22">
        <v>2305074.27</v>
      </c>
      <c r="L229" s="22">
        <v>585285.38600000006</v>
      </c>
      <c r="M229" s="6">
        <v>23.972000000000001</v>
      </c>
      <c r="N229" s="11">
        <v>3.1</v>
      </c>
      <c r="O229" s="11">
        <v>3.03</v>
      </c>
      <c r="P229" s="11">
        <f t="shared" si="6"/>
        <v>7.0000000000000284E-2</v>
      </c>
      <c r="Q229" s="11">
        <f t="shared" si="7"/>
        <v>0.29199999999999998</v>
      </c>
      <c r="R229" s="11">
        <v>2.0249999999999999</v>
      </c>
    </row>
    <row r="230" spans="2:18" ht="16" x14ac:dyDescent="0.3">
      <c r="B230" s="4">
        <v>224</v>
      </c>
      <c r="C230" s="4" t="s">
        <v>3393</v>
      </c>
      <c r="D230" s="5" t="s">
        <v>3284</v>
      </c>
      <c r="E230" s="4">
        <v>300</v>
      </c>
      <c r="F230" s="5" t="s">
        <v>3285</v>
      </c>
      <c r="G230" s="4" t="s">
        <v>459</v>
      </c>
      <c r="H230" s="4" t="s">
        <v>459</v>
      </c>
      <c r="I230" s="22">
        <v>2305071.3620000002</v>
      </c>
      <c r="J230" s="22">
        <v>585264.57700000005</v>
      </c>
      <c r="K230" s="22">
        <v>2305071.3620000002</v>
      </c>
      <c r="L230" s="22">
        <v>585264.57700000005</v>
      </c>
      <c r="M230" s="6">
        <v>0</v>
      </c>
      <c r="N230" s="11">
        <v>3.1</v>
      </c>
      <c r="O230" s="11">
        <v>3.1</v>
      </c>
      <c r="P230" s="11">
        <f t="shared" si="6"/>
        <v>0</v>
      </c>
      <c r="Q230" s="11">
        <f t="shared" si="7"/>
        <v>0</v>
      </c>
      <c r="R230" s="11">
        <v>2.0099999999999998</v>
      </c>
    </row>
    <row r="231" spans="2:18" ht="16" x14ac:dyDescent="0.3">
      <c r="B231" s="4">
        <v>225</v>
      </c>
      <c r="C231" s="4" t="s">
        <v>3394</v>
      </c>
      <c r="D231" s="5" t="s">
        <v>3284</v>
      </c>
      <c r="E231" s="4">
        <v>300</v>
      </c>
      <c r="F231" s="5" t="s">
        <v>3285</v>
      </c>
      <c r="G231" s="4" t="s">
        <v>2536</v>
      </c>
      <c r="H231" s="4" t="s">
        <v>459</v>
      </c>
      <c r="I231" s="22">
        <v>2305052.9640000002</v>
      </c>
      <c r="J231" s="22">
        <v>585254.04200000002</v>
      </c>
      <c r="K231" s="22">
        <v>2305070.8739999998</v>
      </c>
      <c r="L231" s="22">
        <v>585264.12300000002</v>
      </c>
      <c r="M231" s="6">
        <v>23.902999999999999</v>
      </c>
      <c r="N231" s="11">
        <v>3.17</v>
      </c>
      <c r="O231" s="11">
        <v>3.1</v>
      </c>
      <c r="P231" s="11">
        <f t="shared" si="6"/>
        <v>6.999999999999984E-2</v>
      </c>
      <c r="Q231" s="11">
        <f t="shared" si="7"/>
        <v>0.29299999999999998</v>
      </c>
      <c r="R231" s="11">
        <v>1.9550000000000001</v>
      </c>
    </row>
    <row r="232" spans="2:18" ht="16" x14ac:dyDescent="0.3">
      <c r="B232" s="4">
        <v>226</v>
      </c>
      <c r="C232" s="4" t="s">
        <v>3395</v>
      </c>
      <c r="D232" s="5" t="s">
        <v>3284</v>
      </c>
      <c r="E232" s="4">
        <v>300</v>
      </c>
      <c r="F232" s="5" t="s">
        <v>3285</v>
      </c>
      <c r="G232" s="4" t="s">
        <v>2533</v>
      </c>
      <c r="H232" s="4" t="s">
        <v>2536</v>
      </c>
      <c r="I232" s="22">
        <v>2305041.4720000001</v>
      </c>
      <c r="J232" s="22">
        <v>585261.929</v>
      </c>
      <c r="K232" s="22">
        <v>2305052.1409999998</v>
      </c>
      <c r="L232" s="22">
        <v>585254.61100000003</v>
      </c>
      <c r="M232" s="6">
        <v>12.936999999999999</v>
      </c>
      <c r="N232" s="11">
        <v>3.93</v>
      </c>
      <c r="O232" s="11">
        <v>3.17</v>
      </c>
      <c r="P232" s="11">
        <f t="shared" si="6"/>
        <v>0.76000000000000023</v>
      </c>
      <c r="Q232" s="11">
        <f t="shared" si="7"/>
        <v>5.875</v>
      </c>
      <c r="R232" s="11">
        <v>1.52</v>
      </c>
    </row>
    <row r="233" spans="2:18" ht="16" x14ac:dyDescent="0.3">
      <c r="B233" s="4">
        <v>227</v>
      </c>
      <c r="C233" s="4" t="s">
        <v>3396</v>
      </c>
      <c r="D233" s="5" t="s">
        <v>3284</v>
      </c>
      <c r="E233" s="4">
        <v>300</v>
      </c>
      <c r="F233" s="5" t="s">
        <v>3285</v>
      </c>
      <c r="G233" s="4" t="s">
        <v>2530</v>
      </c>
      <c r="H233" s="4" t="s">
        <v>2533</v>
      </c>
      <c r="I233" s="22">
        <v>2305028.0240000002</v>
      </c>
      <c r="J233" s="22">
        <v>585271.14</v>
      </c>
      <c r="K233" s="22">
        <v>2305040.642</v>
      </c>
      <c r="L233" s="22">
        <v>585262.48600000003</v>
      </c>
      <c r="M233" s="6">
        <v>15.301</v>
      </c>
      <c r="N233" s="11">
        <v>3.98</v>
      </c>
      <c r="O233" s="11">
        <v>3.93</v>
      </c>
      <c r="P233" s="11">
        <f t="shared" si="6"/>
        <v>4.9999999999999822E-2</v>
      </c>
      <c r="Q233" s="11">
        <f t="shared" si="7"/>
        <v>0.32700000000000001</v>
      </c>
      <c r="R233" s="11">
        <v>1.115</v>
      </c>
    </row>
    <row r="234" spans="2:18" ht="16" x14ac:dyDescent="0.3">
      <c r="B234" s="4">
        <v>228</v>
      </c>
      <c r="C234" s="4" t="s">
        <v>3397</v>
      </c>
      <c r="D234" s="5" t="s">
        <v>3284</v>
      </c>
      <c r="E234" s="4">
        <v>300</v>
      </c>
      <c r="F234" s="5" t="s">
        <v>3285</v>
      </c>
      <c r="G234" s="4" t="s">
        <v>2527</v>
      </c>
      <c r="H234" s="4" t="s">
        <v>2530</v>
      </c>
      <c r="I234" s="22">
        <v>2305008.09</v>
      </c>
      <c r="J234" s="22">
        <v>585284.50699999998</v>
      </c>
      <c r="K234" s="22">
        <v>2305027.4419999998</v>
      </c>
      <c r="L234" s="22">
        <v>585271.53</v>
      </c>
      <c r="M234" s="6">
        <v>23.3</v>
      </c>
      <c r="N234" s="11">
        <v>4.0599999999999996</v>
      </c>
      <c r="O234" s="11">
        <v>3.98</v>
      </c>
      <c r="P234" s="11">
        <f t="shared" si="6"/>
        <v>7.9999999999999627E-2</v>
      </c>
      <c r="Q234" s="11">
        <f t="shared" si="7"/>
        <v>0.34300000000000003</v>
      </c>
      <c r="R234" s="11">
        <v>1.05</v>
      </c>
    </row>
    <row r="235" spans="2:18" ht="16" x14ac:dyDescent="0.3">
      <c r="B235" s="4">
        <v>229</v>
      </c>
      <c r="C235" s="4" t="s">
        <v>3398</v>
      </c>
      <c r="D235" s="5" t="s">
        <v>3284</v>
      </c>
      <c r="E235" s="4">
        <v>300</v>
      </c>
      <c r="F235" s="5" t="s">
        <v>3285</v>
      </c>
      <c r="G235" s="4" t="s">
        <v>2524</v>
      </c>
      <c r="H235" s="4" t="s">
        <v>2527</v>
      </c>
      <c r="I235" s="22">
        <v>2304988.1570000001</v>
      </c>
      <c r="J235" s="22">
        <v>585297.87399999995</v>
      </c>
      <c r="K235" s="22">
        <v>2305007.517</v>
      </c>
      <c r="L235" s="22">
        <v>585284.89199999999</v>
      </c>
      <c r="M235" s="6">
        <v>23.309000000000001</v>
      </c>
      <c r="N235" s="11">
        <v>4.1399999999999997</v>
      </c>
      <c r="O235" s="11">
        <v>4.0599999999999996</v>
      </c>
      <c r="P235" s="11">
        <f t="shared" si="6"/>
        <v>8.0000000000000071E-2</v>
      </c>
      <c r="Q235" s="11">
        <f t="shared" si="7"/>
        <v>0.34300000000000003</v>
      </c>
      <c r="R235" s="11">
        <v>0.97</v>
      </c>
    </row>
    <row r="236" spans="2:18" ht="16" x14ac:dyDescent="0.3">
      <c r="B236" s="4">
        <v>230</v>
      </c>
      <c r="C236" s="4" t="s">
        <v>3399</v>
      </c>
      <c r="D236" s="5" t="s">
        <v>3284</v>
      </c>
      <c r="E236" s="4">
        <v>300</v>
      </c>
      <c r="F236" s="5" t="s">
        <v>3285</v>
      </c>
      <c r="G236" s="4" t="s">
        <v>788</v>
      </c>
      <c r="H236" s="4" t="s">
        <v>2524</v>
      </c>
      <c r="I236" s="22">
        <v>2304968.1460000002</v>
      </c>
      <c r="J236" s="22">
        <v>585311.29200000002</v>
      </c>
      <c r="K236" s="22">
        <v>2304987.5759999999</v>
      </c>
      <c r="L236" s="22">
        <v>585298.26399999997</v>
      </c>
      <c r="M236" s="6">
        <v>23.393999999999998</v>
      </c>
      <c r="N236" s="11">
        <v>4.22</v>
      </c>
      <c r="O236" s="11">
        <v>4.1399999999999997</v>
      </c>
      <c r="P236" s="11">
        <f t="shared" si="6"/>
        <v>8.0000000000000071E-2</v>
      </c>
      <c r="Q236" s="11">
        <f t="shared" si="7"/>
        <v>0.34200000000000003</v>
      </c>
      <c r="R236" s="11">
        <v>0.89</v>
      </c>
    </row>
    <row r="237" spans="2:18" ht="16" x14ac:dyDescent="0.3">
      <c r="B237" s="4">
        <v>231</v>
      </c>
      <c r="C237" s="4" t="s">
        <v>3400</v>
      </c>
      <c r="D237" s="5" t="s">
        <v>3284</v>
      </c>
      <c r="E237" s="4">
        <v>300</v>
      </c>
      <c r="F237" s="5" t="s">
        <v>3285</v>
      </c>
      <c r="G237" s="4" t="s">
        <v>2479</v>
      </c>
      <c r="H237" s="4" t="s">
        <v>779</v>
      </c>
      <c r="I237" s="22">
        <v>2304953.8130000001</v>
      </c>
      <c r="J237" s="22">
        <v>585247.91399999999</v>
      </c>
      <c r="K237" s="22">
        <v>2304934.4610000001</v>
      </c>
      <c r="L237" s="22">
        <v>585260.89099999995</v>
      </c>
      <c r="M237" s="6">
        <v>23.3</v>
      </c>
      <c r="N237" s="11">
        <v>4.1399999999999997</v>
      </c>
      <c r="O237" s="11">
        <v>4.22</v>
      </c>
      <c r="P237" s="11">
        <f t="shared" si="6"/>
        <v>8.0000000000000071E-2</v>
      </c>
      <c r="Q237" s="11">
        <f t="shared" si="7"/>
        <v>0.34300000000000003</v>
      </c>
      <c r="R237" s="11">
        <v>0.89</v>
      </c>
    </row>
    <row r="238" spans="2:18" ht="16" x14ac:dyDescent="0.3">
      <c r="B238" s="4">
        <v>232</v>
      </c>
      <c r="C238" s="4" t="s">
        <v>3401</v>
      </c>
      <c r="D238" s="5" t="s">
        <v>3284</v>
      </c>
      <c r="E238" s="4">
        <v>300</v>
      </c>
      <c r="F238" s="5" t="s">
        <v>3285</v>
      </c>
      <c r="G238" s="4" t="s">
        <v>2482</v>
      </c>
      <c r="H238" s="4" t="s">
        <v>2479</v>
      </c>
      <c r="I238" s="22">
        <v>2304973.747</v>
      </c>
      <c r="J238" s="22">
        <v>585234.54799999995</v>
      </c>
      <c r="K238" s="22">
        <v>2304954.395</v>
      </c>
      <c r="L238" s="22">
        <v>585247.52500000002</v>
      </c>
      <c r="M238" s="6">
        <v>23.3</v>
      </c>
      <c r="N238" s="11">
        <v>4.0599999999999996</v>
      </c>
      <c r="O238" s="11">
        <v>4.1399999999999997</v>
      </c>
      <c r="P238" s="11">
        <f t="shared" si="6"/>
        <v>8.0000000000000071E-2</v>
      </c>
      <c r="Q238" s="11">
        <f t="shared" si="7"/>
        <v>0.34300000000000003</v>
      </c>
      <c r="R238" s="11">
        <v>0.97</v>
      </c>
    </row>
    <row r="239" spans="2:18" ht="16" x14ac:dyDescent="0.3">
      <c r="B239" s="4">
        <v>233</v>
      </c>
      <c r="C239" s="4" t="s">
        <v>3402</v>
      </c>
      <c r="D239" s="5" t="s">
        <v>3284</v>
      </c>
      <c r="E239" s="4">
        <v>300</v>
      </c>
      <c r="F239" s="5" t="s">
        <v>3285</v>
      </c>
      <c r="G239" s="4" t="s">
        <v>2485</v>
      </c>
      <c r="H239" s="4" t="s">
        <v>2482</v>
      </c>
      <c r="I239" s="22">
        <v>2304993.6800000002</v>
      </c>
      <c r="J239" s="22">
        <v>585221.18099999998</v>
      </c>
      <c r="K239" s="22">
        <v>2304974.3280000002</v>
      </c>
      <c r="L239" s="22">
        <v>585234.15800000005</v>
      </c>
      <c r="M239" s="6">
        <v>23.3</v>
      </c>
      <c r="N239" s="11">
        <v>3.98</v>
      </c>
      <c r="O239" s="11">
        <v>4.0599999999999996</v>
      </c>
      <c r="P239" s="11">
        <f t="shared" si="6"/>
        <v>7.9999999999999627E-2</v>
      </c>
      <c r="Q239" s="11">
        <f t="shared" si="7"/>
        <v>0.34300000000000003</v>
      </c>
      <c r="R239" s="11">
        <v>1.05</v>
      </c>
    </row>
    <row r="240" spans="2:18" ht="16" x14ac:dyDescent="0.3">
      <c r="B240" s="4">
        <v>234</v>
      </c>
      <c r="C240" s="4" t="s">
        <v>3403</v>
      </c>
      <c r="D240" s="5" t="s">
        <v>3284</v>
      </c>
      <c r="E240" s="4">
        <v>300</v>
      </c>
      <c r="F240" s="5" t="s">
        <v>3285</v>
      </c>
      <c r="G240" s="4" t="s">
        <v>2491</v>
      </c>
      <c r="H240" s="4" t="s">
        <v>2485</v>
      </c>
      <c r="I240" s="22">
        <v>2305007.0580000002</v>
      </c>
      <c r="J240" s="22">
        <v>585212.40399999998</v>
      </c>
      <c r="K240" s="22">
        <v>2304994.2609999999</v>
      </c>
      <c r="L240" s="22">
        <v>585220.79099999997</v>
      </c>
      <c r="M240" s="6">
        <v>15.301</v>
      </c>
      <c r="N240" s="11">
        <v>3.93</v>
      </c>
      <c r="O240" s="11">
        <v>3.98</v>
      </c>
      <c r="P240" s="11">
        <f t="shared" si="6"/>
        <v>4.9999999999999822E-2</v>
      </c>
      <c r="Q240" s="11">
        <f t="shared" si="7"/>
        <v>0.32700000000000001</v>
      </c>
      <c r="R240" s="11">
        <v>1.115</v>
      </c>
    </row>
    <row r="241" spans="2:18" ht="16" x14ac:dyDescent="0.3">
      <c r="B241" s="4">
        <v>235</v>
      </c>
      <c r="C241" s="4" t="s">
        <v>3404</v>
      </c>
      <c r="D241" s="5" t="s">
        <v>3284</v>
      </c>
      <c r="E241" s="4">
        <v>300</v>
      </c>
      <c r="F241" s="5" t="s">
        <v>3285</v>
      </c>
      <c r="G241" s="4" t="s">
        <v>450</v>
      </c>
      <c r="H241" s="4" t="s">
        <v>2491</v>
      </c>
      <c r="I241" s="22">
        <v>2305018.8509999998</v>
      </c>
      <c r="J241" s="22">
        <v>585204.48499999999</v>
      </c>
      <c r="K241" s="22">
        <v>2305007.889</v>
      </c>
      <c r="L241" s="22">
        <v>585211.84699999995</v>
      </c>
      <c r="M241" s="6">
        <v>13.205</v>
      </c>
      <c r="N241" s="11">
        <v>3.39</v>
      </c>
      <c r="O241" s="11">
        <v>3.93</v>
      </c>
      <c r="P241" s="11">
        <f t="shared" si="6"/>
        <v>0.54</v>
      </c>
      <c r="Q241" s="11">
        <f t="shared" si="7"/>
        <v>4.0890000000000004</v>
      </c>
      <c r="R241" s="11">
        <v>1.41</v>
      </c>
    </row>
    <row r="242" spans="2:18" ht="16" x14ac:dyDescent="0.3">
      <c r="B242" s="4">
        <v>236</v>
      </c>
      <c r="C242" s="4" t="s">
        <v>3405</v>
      </c>
      <c r="D242" s="5" t="s">
        <v>3284</v>
      </c>
      <c r="E242" s="4">
        <v>300</v>
      </c>
      <c r="F242" s="5" t="s">
        <v>3285</v>
      </c>
      <c r="G242" s="4" t="s">
        <v>447</v>
      </c>
      <c r="H242" s="4" t="s">
        <v>450</v>
      </c>
      <c r="I242" s="22">
        <v>2305016.8530000001</v>
      </c>
      <c r="J242" s="22">
        <v>585183.55700000003</v>
      </c>
      <c r="K242" s="22">
        <v>2305019.6809999999</v>
      </c>
      <c r="L242" s="22">
        <v>585203.92799999996</v>
      </c>
      <c r="M242" s="6">
        <v>23.946000000000002</v>
      </c>
      <c r="N242" s="11">
        <v>3.46</v>
      </c>
      <c r="O242" s="11">
        <v>3.39</v>
      </c>
      <c r="P242" s="11">
        <f t="shared" si="6"/>
        <v>6.999999999999984E-2</v>
      </c>
      <c r="Q242" s="11">
        <f t="shared" si="7"/>
        <v>0.29199999999999998</v>
      </c>
      <c r="R242" s="11">
        <v>1.665</v>
      </c>
    </row>
    <row r="243" spans="2:18" ht="16" x14ac:dyDescent="0.3">
      <c r="B243" s="4">
        <v>237</v>
      </c>
      <c r="C243" s="4" t="s">
        <v>3406</v>
      </c>
      <c r="D243" s="5" t="s">
        <v>3284</v>
      </c>
      <c r="E243" s="4">
        <v>300</v>
      </c>
      <c r="F243" s="5" t="s">
        <v>3285</v>
      </c>
      <c r="G243" s="4" t="s">
        <v>3004</v>
      </c>
      <c r="H243" s="4" t="s">
        <v>447</v>
      </c>
      <c r="I243" s="22">
        <v>2304998.4679999999</v>
      </c>
      <c r="J243" s="22">
        <v>585172.78599999996</v>
      </c>
      <c r="K243" s="22">
        <v>2305016.2930000001</v>
      </c>
      <c r="L243" s="22">
        <v>585182.72900000005</v>
      </c>
      <c r="M243" s="6">
        <v>23.733000000000001</v>
      </c>
      <c r="N243" s="11">
        <v>3.53</v>
      </c>
      <c r="O243" s="11">
        <v>3.46</v>
      </c>
      <c r="P243" s="11">
        <f t="shared" si="6"/>
        <v>6.999999999999984E-2</v>
      </c>
      <c r="Q243" s="11">
        <f t="shared" si="7"/>
        <v>0.29499999999999998</v>
      </c>
      <c r="R243" s="11">
        <v>1.595</v>
      </c>
    </row>
    <row r="244" spans="2:18" ht="16" x14ac:dyDescent="0.3">
      <c r="B244" s="4">
        <v>238</v>
      </c>
      <c r="C244" s="4" t="s">
        <v>3407</v>
      </c>
      <c r="D244" s="5" t="s">
        <v>3284</v>
      </c>
      <c r="E244" s="4">
        <v>300</v>
      </c>
      <c r="F244" s="5" t="s">
        <v>3285</v>
      </c>
      <c r="G244" s="4" t="s">
        <v>2518</v>
      </c>
      <c r="H244" s="4" t="s">
        <v>3004</v>
      </c>
      <c r="I244" s="22">
        <v>2304986.8990000002</v>
      </c>
      <c r="J244" s="22">
        <v>585180.54500000004</v>
      </c>
      <c r="K244" s="22">
        <v>2304997.6379999998</v>
      </c>
      <c r="L244" s="22">
        <v>585173.34299999999</v>
      </c>
      <c r="M244" s="6">
        <v>12.93</v>
      </c>
      <c r="N244" s="11">
        <v>3.93</v>
      </c>
      <c r="O244" s="11">
        <v>3.53</v>
      </c>
      <c r="P244" s="11">
        <f t="shared" si="6"/>
        <v>0.40000000000000036</v>
      </c>
      <c r="Q244" s="11">
        <f t="shared" si="7"/>
        <v>3.0939999999999999</v>
      </c>
      <c r="R244" s="11">
        <v>1.34</v>
      </c>
    </row>
    <row r="245" spans="2:18" ht="16" x14ac:dyDescent="0.3">
      <c r="B245" s="4">
        <v>239</v>
      </c>
      <c r="C245" s="4" t="s">
        <v>3408</v>
      </c>
      <c r="D245" s="5" t="s">
        <v>3284</v>
      </c>
      <c r="E245" s="4">
        <v>300</v>
      </c>
      <c r="F245" s="5" t="s">
        <v>3285</v>
      </c>
      <c r="G245" s="4" t="s">
        <v>2476</v>
      </c>
      <c r="H245" s="4" t="s">
        <v>2518</v>
      </c>
      <c r="I245" s="22">
        <v>2304973.443</v>
      </c>
      <c r="J245" s="22">
        <v>585189.74600000004</v>
      </c>
      <c r="K245" s="22">
        <v>2304986.0559999999</v>
      </c>
      <c r="L245" s="22">
        <v>585181.09600000002</v>
      </c>
      <c r="M245" s="6">
        <v>15.294</v>
      </c>
      <c r="N245" s="11">
        <v>3.98</v>
      </c>
      <c r="O245" s="11">
        <v>3.93</v>
      </c>
      <c r="P245" s="11">
        <f t="shared" si="6"/>
        <v>4.9999999999999822E-2</v>
      </c>
      <c r="Q245" s="11">
        <f t="shared" si="7"/>
        <v>0.32700000000000001</v>
      </c>
      <c r="R245" s="11">
        <v>1.115</v>
      </c>
    </row>
    <row r="246" spans="2:18" ht="16" x14ac:dyDescent="0.3">
      <c r="B246" s="4">
        <v>240</v>
      </c>
      <c r="C246" s="4" t="s">
        <v>3409</v>
      </c>
      <c r="D246" s="5" t="s">
        <v>3284</v>
      </c>
      <c r="E246" s="4">
        <v>300</v>
      </c>
      <c r="F246" s="5" t="s">
        <v>3285</v>
      </c>
      <c r="G246" s="4" t="s">
        <v>2473</v>
      </c>
      <c r="H246" s="4" t="s">
        <v>2476</v>
      </c>
      <c r="I246" s="22">
        <v>2304953.5099999998</v>
      </c>
      <c r="J246" s="22">
        <v>585203.11300000001</v>
      </c>
      <c r="K246" s="22">
        <v>2304972.8620000002</v>
      </c>
      <c r="L246" s="22">
        <v>585190.13600000006</v>
      </c>
      <c r="M246" s="6">
        <v>23.3</v>
      </c>
      <c r="N246" s="11">
        <v>4.0599999999999996</v>
      </c>
      <c r="O246" s="11">
        <v>3.98</v>
      </c>
      <c r="P246" s="11">
        <f t="shared" si="6"/>
        <v>7.9999999999999627E-2</v>
      </c>
      <c r="Q246" s="11">
        <f t="shared" si="7"/>
        <v>0.34300000000000003</v>
      </c>
      <c r="R246" s="11">
        <v>1.05</v>
      </c>
    </row>
    <row r="247" spans="2:18" ht="16" x14ac:dyDescent="0.3">
      <c r="B247" s="4">
        <v>241</v>
      </c>
      <c r="C247" s="4" t="s">
        <v>3410</v>
      </c>
      <c r="D247" s="5" t="s">
        <v>3284</v>
      </c>
      <c r="E247" s="4">
        <v>300</v>
      </c>
      <c r="F247" s="5" t="s">
        <v>3285</v>
      </c>
      <c r="G247" s="4" t="s">
        <v>2470</v>
      </c>
      <c r="H247" s="4" t="s">
        <v>2473</v>
      </c>
      <c r="I247" s="22">
        <v>2304933.577</v>
      </c>
      <c r="J247" s="22">
        <v>585216.48</v>
      </c>
      <c r="K247" s="22">
        <v>2304952.929</v>
      </c>
      <c r="L247" s="22">
        <v>585203.50300000003</v>
      </c>
      <c r="M247" s="6">
        <v>23.3</v>
      </c>
      <c r="N247" s="11">
        <v>4.1399999999999997</v>
      </c>
      <c r="O247" s="11">
        <v>4.0599999999999996</v>
      </c>
      <c r="P247" s="11">
        <f t="shared" si="6"/>
        <v>8.0000000000000071E-2</v>
      </c>
      <c r="Q247" s="11">
        <f t="shared" si="7"/>
        <v>0.34300000000000003</v>
      </c>
      <c r="R247" s="11">
        <v>0.97</v>
      </c>
    </row>
    <row r="248" spans="2:18" ht="16" x14ac:dyDescent="0.3">
      <c r="B248" s="4">
        <v>242</v>
      </c>
      <c r="C248" s="4" t="s">
        <v>3411</v>
      </c>
      <c r="D248" s="5" t="s">
        <v>3284</v>
      </c>
      <c r="E248" s="4">
        <v>300</v>
      </c>
      <c r="F248" s="5" t="s">
        <v>3285</v>
      </c>
      <c r="G248" s="4" t="s">
        <v>776</v>
      </c>
      <c r="H248" s="4" t="s">
        <v>2470</v>
      </c>
      <c r="I248" s="22">
        <v>2304913.6439999999</v>
      </c>
      <c r="J248" s="22">
        <v>585229.84600000002</v>
      </c>
      <c r="K248" s="22">
        <v>2304932.9959999998</v>
      </c>
      <c r="L248" s="22">
        <v>585216.86899999995</v>
      </c>
      <c r="M248" s="6">
        <v>23.3</v>
      </c>
      <c r="N248" s="11">
        <v>4.22</v>
      </c>
      <c r="O248" s="11">
        <v>4.1399999999999997</v>
      </c>
      <c r="P248" s="11">
        <f t="shared" si="6"/>
        <v>8.0000000000000071E-2</v>
      </c>
      <c r="Q248" s="11">
        <f t="shared" si="7"/>
        <v>0.34300000000000003</v>
      </c>
      <c r="R248" s="11">
        <v>0.89</v>
      </c>
    </row>
    <row r="249" spans="2:18" ht="16" x14ac:dyDescent="0.3">
      <c r="B249" s="4">
        <v>243</v>
      </c>
      <c r="C249" s="4" t="s">
        <v>3412</v>
      </c>
      <c r="D249" s="5" t="s">
        <v>3284</v>
      </c>
      <c r="E249" s="4">
        <v>300</v>
      </c>
      <c r="F249" s="5" t="s">
        <v>3285</v>
      </c>
      <c r="G249" s="4" t="s">
        <v>2461</v>
      </c>
      <c r="H249" s="4" t="s">
        <v>773</v>
      </c>
      <c r="I249" s="22">
        <v>2304926.523</v>
      </c>
      <c r="J249" s="22">
        <v>585207.21699999995</v>
      </c>
      <c r="K249" s="22">
        <v>2304907.1710000001</v>
      </c>
      <c r="L249" s="22">
        <v>585220.19400000002</v>
      </c>
      <c r="M249" s="6">
        <v>23.3</v>
      </c>
      <c r="N249" s="11">
        <v>4.1399999999999997</v>
      </c>
      <c r="O249" s="11">
        <v>4.22</v>
      </c>
      <c r="P249" s="11">
        <f t="shared" si="6"/>
        <v>8.0000000000000071E-2</v>
      </c>
      <c r="Q249" s="11">
        <f t="shared" si="7"/>
        <v>0.34300000000000003</v>
      </c>
      <c r="R249" s="11">
        <v>0.89</v>
      </c>
    </row>
    <row r="250" spans="2:18" ht="16" x14ac:dyDescent="0.3">
      <c r="B250" s="4">
        <v>244</v>
      </c>
      <c r="C250" s="4" t="s">
        <v>3413</v>
      </c>
      <c r="D250" s="5" t="s">
        <v>3284</v>
      </c>
      <c r="E250" s="4">
        <v>300</v>
      </c>
      <c r="F250" s="5" t="s">
        <v>3285</v>
      </c>
      <c r="G250" s="4" t="s">
        <v>2464</v>
      </c>
      <c r="H250" s="4" t="s">
        <v>2461</v>
      </c>
      <c r="I250" s="22">
        <v>2304946.4559999998</v>
      </c>
      <c r="J250" s="22">
        <v>585193.85100000002</v>
      </c>
      <c r="K250" s="22">
        <v>2304927.105</v>
      </c>
      <c r="L250" s="22">
        <v>585206.82799999998</v>
      </c>
      <c r="M250" s="6">
        <v>23.3</v>
      </c>
      <c r="N250" s="11">
        <v>4.0599999999999996</v>
      </c>
      <c r="O250" s="11">
        <v>4.1399999999999997</v>
      </c>
      <c r="P250" s="11">
        <f t="shared" si="6"/>
        <v>8.0000000000000071E-2</v>
      </c>
      <c r="Q250" s="11">
        <f t="shared" si="7"/>
        <v>0.34300000000000003</v>
      </c>
      <c r="R250" s="11">
        <v>0.97</v>
      </c>
    </row>
    <row r="251" spans="2:18" ht="16" x14ac:dyDescent="0.3">
      <c r="B251" s="4">
        <v>245</v>
      </c>
      <c r="C251" s="4" t="s">
        <v>3414</v>
      </c>
      <c r="D251" s="5" t="s">
        <v>3284</v>
      </c>
      <c r="E251" s="4">
        <v>300</v>
      </c>
      <c r="F251" s="5" t="s">
        <v>3285</v>
      </c>
      <c r="G251" s="4" t="s">
        <v>2467</v>
      </c>
      <c r="H251" s="4" t="s">
        <v>2464</v>
      </c>
      <c r="I251" s="22">
        <v>2304966.39</v>
      </c>
      <c r="J251" s="22">
        <v>585180.48400000005</v>
      </c>
      <c r="K251" s="22">
        <v>2304947.0380000002</v>
      </c>
      <c r="L251" s="22">
        <v>585193.46100000001</v>
      </c>
      <c r="M251" s="6">
        <v>23.3</v>
      </c>
      <c r="N251" s="11">
        <v>3.98</v>
      </c>
      <c r="O251" s="11">
        <v>4.0599999999999996</v>
      </c>
      <c r="P251" s="11">
        <f t="shared" si="6"/>
        <v>7.9999999999999627E-2</v>
      </c>
      <c r="Q251" s="11">
        <f t="shared" si="7"/>
        <v>0.34300000000000003</v>
      </c>
      <c r="R251" s="11">
        <v>1.05</v>
      </c>
    </row>
    <row r="252" spans="2:18" ht="16" x14ac:dyDescent="0.3">
      <c r="B252" s="4">
        <v>246</v>
      </c>
      <c r="C252" s="4" t="s">
        <v>3415</v>
      </c>
      <c r="D252" s="5" t="s">
        <v>3284</v>
      </c>
      <c r="E252" s="4">
        <v>300</v>
      </c>
      <c r="F252" s="5" t="s">
        <v>3285</v>
      </c>
      <c r="G252" s="4" t="s">
        <v>3007</v>
      </c>
      <c r="H252" s="4" t="s">
        <v>2467</v>
      </c>
      <c r="I252" s="22">
        <v>2304979.7680000002</v>
      </c>
      <c r="J252" s="22">
        <v>585171.70700000005</v>
      </c>
      <c r="K252" s="22">
        <v>2304966.9709999999</v>
      </c>
      <c r="L252" s="22">
        <v>585180.09400000004</v>
      </c>
      <c r="M252" s="6">
        <v>15.301</v>
      </c>
      <c r="N252" s="11">
        <v>3.93</v>
      </c>
      <c r="O252" s="11">
        <v>3.98</v>
      </c>
      <c r="P252" s="11">
        <f t="shared" si="6"/>
        <v>4.9999999999999822E-2</v>
      </c>
      <c r="Q252" s="11">
        <f t="shared" si="7"/>
        <v>0.32700000000000001</v>
      </c>
      <c r="R252" s="11">
        <v>1.115</v>
      </c>
    </row>
    <row r="253" spans="2:18" ht="16" x14ac:dyDescent="0.3">
      <c r="B253" s="4">
        <v>247</v>
      </c>
      <c r="C253" s="4" t="s">
        <v>3416</v>
      </c>
      <c r="D253" s="5" t="s">
        <v>3284</v>
      </c>
      <c r="E253" s="4">
        <v>300</v>
      </c>
      <c r="F253" s="5" t="s">
        <v>3285</v>
      </c>
      <c r="G253" s="4" t="s">
        <v>444</v>
      </c>
      <c r="H253" s="4" t="s">
        <v>3007</v>
      </c>
      <c r="I253" s="22">
        <v>2304991.5929999999</v>
      </c>
      <c r="J253" s="22">
        <v>585163.79099999997</v>
      </c>
      <c r="K253" s="22">
        <v>2304980.5980000002</v>
      </c>
      <c r="L253" s="22">
        <v>585171.15</v>
      </c>
      <c r="M253" s="6">
        <v>13.23</v>
      </c>
      <c r="N253" s="11">
        <v>3.57</v>
      </c>
      <c r="O253" s="11">
        <v>3.93</v>
      </c>
      <c r="P253" s="11">
        <f t="shared" si="6"/>
        <v>0.36000000000000032</v>
      </c>
      <c r="Q253" s="11">
        <f t="shared" si="7"/>
        <v>2.7210000000000001</v>
      </c>
      <c r="R253" s="11">
        <v>1.32</v>
      </c>
    </row>
    <row r="254" spans="2:18" ht="16" x14ac:dyDescent="0.3">
      <c r="B254" s="4">
        <v>248</v>
      </c>
      <c r="C254" s="4" t="s">
        <v>3417</v>
      </c>
      <c r="D254" s="5" t="s">
        <v>3284</v>
      </c>
      <c r="E254" s="4">
        <v>300</v>
      </c>
      <c r="F254" s="5" t="s">
        <v>3285</v>
      </c>
      <c r="G254" s="4" t="s">
        <v>2458</v>
      </c>
      <c r="H254" s="4" t="s">
        <v>444</v>
      </c>
      <c r="I254" s="22">
        <v>2304989.5630000001</v>
      </c>
      <c r="J254" s="22">
        <v>585142.86</v>
      </c>
      <c r="K254" s="22">
        <v>2304992.4240000001</v>
      </c>
      <c r="L254" s="22">
        <v>585163.23400000005</v>
      </c>
      <c r="M254" s="6">
        <v>23.92</v>
      </c>
      <c r="N254" s="11">
        <v>3.64</v>
      </c>
      <c r="O254" s="11">
        <v>3.57</v>
      </c>
      <c r="P254" s="11">
        <f t="shared" si="6"/>
        <v>7.0000000000000284E-2</v>
      </c>
      <c r="Q254" s="11">
        <f t="shared" si="7"/>
        <v>0.29299999999999998</v>
      </c>
      <c r="R254" s="11">
        <v>1.385</v>
      </c>
    </row>
    <row r="255" spans="2:18" ht="16" x14ac:dyDescent="0.3">
      <c r="B255" s="4">
        <v>249</v>
      </c>
      <c r="C255" s="4" t="s">
        <v>3418</v>
      </c>
      <c r="D255" s="5" t="s">
        <v>3284</v>
      </c>
      <c r="E255" s="4">
        <v>300</v>
      </c>
      <c r="F255" s="5" t="s">
        <v>3285</v>
      </c>
      <c r="G255" s="4" t="s">
        <v>441</v>
      </c>
      <c r="H255" s="4" t="s">
        <v>2458</v>
      </c>
      <c r="I255" s="22">
        <v>2304973.0970000001</v>
      </c>
      <c r="J255" s="22">
        <v>585130.821</v>
      </c>
      <c r="K255" s="22">
        <v>2304989.003</v>
      </c>
      <c r="L255" s="22">
        <v>585142.03200000001</v>
      </c>
      <c r="M255" s="6">
        <v>21.13</v>
      </c>
      <c r="N255" s="11">
        <v>3.71</v>
      </c>
      <c r="O255" s="11">
        <v>3.64</v>
      </c>
      <c r="P255" s="11">
        <f t="shared" si="6"/>
        <v>6.999999999999984E-2</v>
      </c>
      <c r="Q255" s="11">
        <f t="shared" si="7"/>
        <v>0.33100000000000002</v>
      </c>
      <c r="R255" s="11">
        <v>1.2350000000000001</v>
      </c>
    </row>
    <row r="256" spans="2:18" ht="16" x14ac:dyDescent="0.3">
      <c r="B256" s="4">
        <v>250</v>
      </c>
      <c r="C256" s="4" t="s">
        <v>3419</v>
      </c>
      <c r="D256" s="5" t="s">
        <v>3284</v>
      </c>
      <c r="E256" s="4">
        <v>300</v>
      </c>
      <c r="F256" s="5" t="s">
        <v>3285</v>
      </c>
      <c r="G256" s="4" t="s">
        <v>2488</v>
      </c>
      <c r="H256" s="4" t="s">
        <v>441</v>
      </c>
      <c r="I256" s="22">
        <v>2304959.3530000001</v>
      </c>
      <c r="J256" s="22">
        <v>585140.005</v>
      </c>
      <c r="K256" s="22">
        <v>2304972.2659999998</v>
      </c>
      <c r="L256" s="22">
        <v>585131.37800000003</v>
      </c>
      <c r="M256" s="6">
        <v>15.53</v>
      </c>
      <c r="N256" s="11">
        <v>3.77</v>
      </c>
      <c r="O256" s="11">
        <v>3.71</v>
      </c>
      <c r="P256" s="11">
        <f t="shared" si="6"/>
        <v>6.0000000000000053E-2</v>
      </c>
      <c r="Q256" s="11">
        <f t="shared" si="7"/>
        <v>0.38600000000000001</v>
      </c>
      <c r="R256" s="11">
        <v>1.17</v>
      </c>
    </row>
    <row r="257" spans="2:18" ht="16" x14ac:dyDescent="0.3">
      <c r="B257" s="4">
        <v>251</v>
      </c>
      <c r="C257" s="4" t="s">
        <v>3420</v>
      </c>
      <c r="D257" s="5" t="s">
        <v>3284</v>
      </c>
      <c r="E257" s="4">
        <v>300</v>
      </c>
      <c r="F257" s="5" t="s">
        <v>3285</v>
      </c>
      <c r="G257" s="4" t="s">
        <v>2455</v>
      </c>
      <c r="H257" s="4" t="s">
        <v>2488</v>
      </c>
      <c r="I257" s="22">
        <v>2304946.1529999999</v>
      </c>
      <c r="J257" s="22">
        <v>585149.049</v>
      </c>
      <c r="K257" s="22">
        <v>2304958.5219999999</v>
      </c>
      <c r="L257" s="22">
        <v>585140.56200000003</v>
      </c>
      <c r="M257" s="6">
        <v>15.000999999999999</v>
      </c>
      <c r="N257" s="11">
        <v>3.82</v>
      </c>
      <c r="O257" s="11">
        <v>3.77</v>
      </c>
      <c r="P257" s="11">
        <f t="shared" si="6"/>
        <v>4.9999999999999822E-2</v>
      </c>
      <c r="Q257" s="11">
        <f t="shared" si="7"/>
        <v>0.33300000000000002</v>
      </c>
      <c r="R257" s="11">
        <v>1.115</v>
      </c>
    </row>
    <row r="258" spans="2:18" ht="16" x14ac:dyDescent="0.3">
      <c r="B258" s="4">
        <v>252</v>
      </c>
      <c r="C258" s="4" t="s">
        <v>3421</v>
      </c>
      <c r="D258" s="5" t="s">
        <v>3284</v>
      </c>
      <c r="E258" s="4">
        <v>300</v>
      </c>
      <c r="F258" s="5" t="s">
        <v>3285</v>
      </c>
      <c r="G258" s="4" t="s">
        <v>2452</v>
      </c>
      <c r="H258" s="4" t="s">
        <v>2455</v>
      </c>
      <c r="I258" s="22">
        <v>2304926.2200000002</v>
      </c>
      <c r="J258" s="22">
        <v>585162.41599999997</v>
      </c>
      <c r="K258" s="22">
        <v>2304945.5720000002</v>
      </c>
      <c r="L258" s="22">
        <v>585149.43900000001</v>
      </c>
      <c r="M258" s="6">
        <v>23.3</v>
      </c>
      <c r="N258" s="11">
        <v>3.9</v>
      </c>
      <c r="O258" s="11">
        <v>3.82</v>
      </c>
      <c r="P258" s="11">
        <f t="shared" si="6"/>
        <v>8.0000000000000071E-2</v>
      </c>
      <c r="Q258" s="11">
        <f t="shared" si="7"/>
        <v>0.34300000000000003</v>
      </c>
      <c r="R258" s="11">
        <v>1.05</v>
      </c>
    </row>
    <row r="259" spans="2:18" ht="16" x14ac:dyDescent="0.3">
      <c r="B259" s="4">
        <v>253</v>
      </c>
      <c r="C259" s="4" t="s">
        <v>3422</v>
      </c>
      <c r="D259" s="5" t="s">
        <v>3284</v>
      </c>
      <c r="E259" s="4">
        <v>300</v>
      </c>
      <c r="F259" s="5" t="s">
        <v>3285</v>
      </c>
      <c r="G259" s="4" t="s">
        <v>2449</v>
      </c>
      <c r="H259" s="4" t="s">
        <v>2452</v>
      </c>
      <c r="I259" s="22">
        <v>2304906.287</v>
      </c>
      <c r="J259" s="22">
        <v>585175.78300000005</v>
      </c>
      <c r="K259" s="22">
        <v>2304925.639</v>
      </c>
      <c r="L259" s="22">
        <v>585162.80599999998</v>
      </c>
      <c r="M259" s="6">
        <v>23.3</v>
      </c>
      <c r="N259" s="11">
        <v>3.98</v>
      </c>
      <c r="O259" s="11">
        <v>3.9</v>
      </c>
      <c r="P259" s="11">
        <f t="shared" si="6"/>
        <v>8.0000000000000071E-2</v>
      </c>
      <c r="Q259" s="11">
        <f t="shared" si="7"/>
        <v>0.34300000000000003</v>
      </c>
      <c r="R259" s="11">
        <v>0.97</v>
      </c>
    </row>
    <row r="260" spans="2:18" ht="16" x14ac:dyDescent="0.3">
      <c r="B260" s="4">
        <v>254</v>
      </c>
      <c r="C260" s="4" t="s">
        <v>3423</v>
      </c>
      <c r="D260" s="5" t="s">
        <v>3284</v>
      </c>
      <c r="E260" s="4">
        <v>300</v>
      </c>
      <c r="F260" s="5" t="s">
        <v>3285</v>
      </c>
      <c r="G260" s="4" t="s">
        <v>438</v>
      </c>
      <c r="H260" s="4" t="s">
        <v>2449</v>
      </c>
      <c r="I260" s="22">
        <v>2304886.3539999998</v>
      </c>
      <c r="J260" s="22">
        <v>585189.14899999998</v>
      </c>
      <c r="K260" s="22">
        <v>2304905.7050000001</v>
      </c>
      <c r="L260" s="22">
        <v>585176.17200000002</v>
      </c>
      <c r="M260" s="6">
        <v>23.3</v>
      </c>
      <c r="N260" s="11">
        <v>4.0599999999999996</v>
      </c>
      <c r="O260" s="11">
        <v>3.98</v>
      </c>
      <c r="P260" s="11">
        <f t="shared" si="6"/>
        <v>7.9999999999999627E-2</v>
      </c>
      <c r="Q260" s="11">
        <f t="shared" si="7"/>
        <v>0.34300000000000003</v>
      </c>
      <c r="R260" s="11">
        <v>0.89</v>
      </c>
    </row>
    <row r="261" spans="2:18" ht="16" x14ac:dyDescent="0.3">
      <c r="B261" s="4">
        <v>255</v>
      </c>
      <c r="C261" s="4" t="s">
        <v>3424</v>
      </c>
      <c r="D261" s="5" t="s">
        <v>3284</v>
      </c>
      <c r="E261" s="4">
        <v>300</v>
      </c>
      <c r="F261" s="5" t="s">
        <v>3285</v>
      </c>
      <c r="G261" s="4" t="s">
        <v>302</v>
      </c>
      <c r="H261" s="4" t="s">
        <v>2179</v>
      </c>
      <c r="I261" s="22">
        <v>2305163.1549999998</v>
      </c>
      <c r="J261" s="22">
        <v>585413.55200000003</v>
      </c>
      <c r="K261" s="22">
        <v>2305156.89</v>
      </c>
      <c r="L261" s="22">
        <v>585392.41200000001</v>
      </c>
      <c r="M261" s="6">
        <v>23.925000000000001</v>
      </c>
      <c r="N261" s="11">
        <v>1.75</v>
      </c>
      <c r="O261" s="11">
        <v>1.68</v>
      </c>
      <c r="P261" s="11">
        <f t="shared" si="6"/>
        <v>7.0000000000000062E-2</v>
      </c>
      <c r="Q261" s="11">
        <f t="shared" si="7"/>
        <v>0.29299999999999998</v>
      </c>
      <c r="R261" s="11">
        <v>3.5750000000000002</v>
      </c>
    </row>
    <row r="262" spans="2:18" ht="16" x14ac:dyDescent="0.3">
      <c r="B262" s="4">
        <v>256</v>
      </c>
      <c r="C262" s="4" t="s">
        <v>3425</v>
      </c>
      <c r="D262" s="5" t="s">
        <v>3284</v>
      </c>
      <c r="E262" s="4">
        <v>300</v>
      </c>
      <c r="F262" s="5" t="s">
        <v>3285</v>
      </c>
      <c r="G262" s="4" t="s">
        <v>2164</v>
      </c>
      <c r="H262" s="4" t="s">
        <v>302</v>
      </c>
      <c r="I262" s="22">
        <v>2305147.8130000001</v>
      </c>
      <c r="J262" s="22">
        <v>585423.74699999997</v>
      </c>
      <c r="K262" s="22">
        <v>2305162.3119999999</v>
      </c>
      <c r="L262" s="22">
        <v>585414.08900000004</v>
      </c>
      <c r="M262" s="6">
        <v>17.420000000000002</v>
      </c>
      <c r="N262" s="11">
        <v>1.83</v>
      </c>
      <c r="O262" s="11">
        <v>1.75</v>
      </c>
      <c r="P262" s="11">
        <f t="shared" si="6"/>
        <v>8.0000000000000071E-2</v>
      </c>
      <c r="Q262" s="11">
        <f t="shared" si="7"/>
        <v>0.45900000000000002</v>
      </c>
      <c r="R262" s="11">
        <v>3.48</v>
      </c>
    </row>
    <row r="263" spans="2:18" ht="16" x14ac:dyDescent="0.3">
      <c r="B263" s="4">
        <v>257</v>
      </c>
      <c r="C263" s="4" t="s">
        <v>3426</v>
      </c>
      <c r="D263" s="5" t="s">
        <v>3284</v>
      </c>
      <c r="E263" s="4">
        <v>300</v>
      </c>
      <c r="F263" s="5" t="s">
        <v>3285</v>
      </c>
      <c r="G263" s="4" t="s">
        <v>2161</v>
      </c>
      <c r="H263" s="4" t="s">
        <v>2164</v>
      </c>
      <c r="I263" s="22">
        <v>2305122.3590000002</v>
      </c>
      <c r="J263" s="22">
        <v>585440.90700000001</v>
      </c>
      <c r="K263" s="22">
        <v>2305146.983</v>
      </c>
      <c r="L263" s="22">
        <v>585424.30299999996</v>
      </c>
      <c r="M263" s="6">
        <v>29.699000000000002</v>
      </c>
      <c r="N263" s="11">
        <v>1.93</v>
      </c>
      <c r="O263" s="11">
        <v>1.83</v>
      </c>
      <c r="P263" s="11">
        <f t="shared" ref="P263:P326" si="8">IF(AND(ISNUMBER(N263),ISNUMBER(O263)),ABS(N263-O263),0)</f>
        <v>9.9999999999999867E-2</v>
      </c>
      <c r="Q263" s="11">
        <f t="shared" ref="Q263:Q326" si="9">IF(M263&gt;0,ROUND(P263/M263*100,3),0)</f>
        <v>0.33700000000000002</v>
      </c>
      <c r="R263" s="11">
        <v>3.39</v>
      </c>
    </row>
    <row r="264" spans="2:18" ht="16" x14ac:dyDescent="0.3">
      <c r="B264" s="4">
        <v>258</v>
      </c>
      <c r="C264" s="4" t="s">
        <v>3427</v>
      </c>
      <c r="D264" s="5" t="s">
        <v>3284</v>
      </c>
      <c r="E264" s="4">
        <v>300</v>
      </c>
      <c r="F264" s="5" t="s">
        <v>3285</v>
      </c>
      <c r="G264" s="4" t="s">
        <v>2158</v>
      </c>
      <c r="H264" s="4" t="s">
        <v>2161</v>
      </c>
      <c r="I264" s="22">
        <v>2305094.9509999999</v>
      </c>
      <c r="J264" s="22">
        <v>585459.28599999996</v>
      </c>
      <c r="K264" s="22">
        <v>2305121.5279999999</v>
      </c>
      <c r="L264" s="22">
        <v>585441.46400000004</v>
      </c>
      <c r="M264" s="6">
        <v>32</v>
      </c>
      <c r="N264" s="11">
        <v>2.02</v>
      </c>
      <c r="O264" s="11">
        <v>1.93</v>
      </c>
      <c r="P264" s="11">
        <f t="shared" si="8"/>
        <v>9.000000000000008E-2</v>
      </c>
      <c r="Q264" s="11">
        <f t="shared" si="9"/>
        <v>0.28100000000000003</v>
      </c>
      <c r="R264" s="11">
        <v>3.2949999999999999</v>
      </c>
    </row>
    <row r="265" spans="2:18" ht="16" x14ac:dyDescent="0.3">
      <c r="B265" s="4">
        <v>259</v>
      </c>
      <c r="C265" s="4" t="s">
        <v>3428</v>
      </c>
      <c r="D265" s="5" t="s">
        <v>3284</v>
      </c>
      <c r="E265" s="4">
        <v>300</v>
      </c>
      <c r="F265" s="5" t="s">
        <v>3285</v>
      </c>
      <c r="G265" s="4" t="s">
        <v>2155</v>
      </c>
      <c r="H265" s="4" t="s">
        <v>2158</v>
      </c>
      <c r="I265" s="22">
        <v>2305071.6949999998</v>
      </c>
      <c r="J265" s="22">
        <v>585474.88100000005</v>
      </c>
      <c r="K265" s="22">
        <v>2305094.12</v>
      </c>
      <c r="L265" s="22">
        <v>585459.84299999999</v>
      </c>
      <c r="M265" s="6">
        <v>27</v>
      </c>
      <c r="N265" s="11">
        <v>2.11</v>
      </c>
      <c r="O265" s="11">
        <v>2.02</v>
      </c>
      <c r="P265" s="11">
        <f t="shared" si="8"/>
        <v>8.9999999999999858E-2</v>
      </c>
      <c r="Q265" s="11">
        <f t="shared" si="9"/>
        <v>0.33300000000000002</v>
      </c>
      <c r="R265" s="11">
        <v>3.2050000000000001</v>
      </c>
    </row>
    <row r="266" spans="2:18" ht="16" x14ac:dyDescent="0.3">
      <c r="B266" s="4">
        <v>260</v>
      </c>
      <c r="C266" s="4" t="s">
        <v>3429</v>
      </c>
      <c r="D266" s="5" t="s">
        <v>3284</v>
      </c>
      <c r="E266" s="4">
        <v>300</v>
      </c>
      <c r="F266" s="5" t="s">
        <v>3285</v>
      </c>
      <c r="G266" s="4" t="s">
        <v>2113</v>
      </c>
      <c r="H266" s="4" t="s">
        <v>2116</v>
      </c>
      <c r="I266" s="22">
        <v>2305351.773</v>
      </c>
      <c r="J266" s="22">
        <v>585687.54099999997</v>
      </c>
      <c r="K266" s="22">
        <v>2305335.727</v>
      </c>
      <c r="L266" s="22">
        <v>585663.39099999995</v>
      </c>
      <c r="M266" s="6">
        <v>28.995000000000001</v>
      </c>
      <c r="N266" s="11">
        <v>3.9</v>
      </c>
      <c r="O266" s="11">
        <v>3.8</v>
      </c>
      <c r="P266" s="11">
        <f t="shared" si="8"/>
        <v>0.10000000000000009</v>
      </c>
      <c r="Q266" s="11">
        <f t="shared" si="9"/>
        <v>0.34499999999999997</v>
      </c>
      <c r="R266" s="11">
        <v>1.46</v>
      </c>
    </row>
    <row r="267" spans="2:18" ht="16" x14ac:dyDescent="0.3">
      <c r="B267" s="4">
        <v>261</v>
      </c>
      <c r="C267" s="4" t="s">
        <v>3430</v>
      </c>
      <c r="D267" s="5" t="s">
        <v>3284</v>
      </c>
      <c r="E267" s="4">
        <v>300</v>
      </c>
      <c r="F267" s="5" t="s">
        <v>3285</v>
      </c>
      <c r="G267" s="4" t="s">
        <v>2110</v>
      </c>
      <c r="H267" s="4" t="s">
        <v>2113</v>
      </c>
      <c r="I267" s="22">
        <v>2305367.6549999998</v>
      </c>
      <c r="J267" s="22">
        <v>585711.29700000002</v>
      </c>
      <c r="K267" s="22">
        <v>2305352.3250000002</v>
      </c>
      <c r="L267" s="22">
        <v>585688.37399999995</v>
      </c>
      <c r="M267" s="6">
        <v>27.576000000000001</v>
      </c>
      <c r="N267" s="11">
        <v>4</v>
      </c>
      <c r="O267" s="11">
        <v>3.9</v>
      </c>
      <c r="P267" s="11">
        <f t="shared" si="8"/>
        <v>0.10000000000000009</v>
      </c>
      <c r="Q267" s="11">
        <f t="shared" si="9"/>
        <v>0.36299999999999999</v>
      </c>
      <c r="R267" s="11">
        <v>1.36</v>
      </c>
    </row>
    <row r="268" spans="2:18" ht="16" x14ac:dyDescent="0.3">
      <c r="B268" s="4">
        <v>262</v>
      </c>
      <c r="C268" s="4" t="s">
        <v>3431</v>
      </c>
      <c r="D268" s="5" t="s">
        <v>3284</v>
      </c>
      <c r="E268" s="4">
        <v>300</v>
      </c>
      <c r="F268" s="5" t="s">
        <v>3285</v>
      </c>
      <c r="G268" s="4" t="s">
        <v>2578</v>
      </c>
      <c r="H268" s="4" t="s">
        <v>800</v>
      </c>
      <c r="I268" s="22">
        <v>2305042.156</v>
      </c>
      <c r="J268" s="22">
        <v>585379.65800000005</v>
      </c>
      <c r="K268" s="22">
        <v>2305022.7259999998</v>
      </c>
      <c r="L268" s="22">
        <v>585392.68700000003</v>
      </c>
      <c r="M268" s="6">
        <v>23.393999999999998</v>
      </c>
      <c r="N268" s="11">
        <v>4.1399999999999997</v>
      </c>
      <c r="O268" s="11">
        <v>4.22</v>
      </c>
      <c r="P268" s="11">
        <f t="shared" si="8"/>
        <v>8.0000000000000071E-2</v>
      </c>
      <c r="Q268" s="11">
        <f t="shared" si="9"/>
        <v>0.34200000000000003</v>
      </c>
      <c r="R268" s="11">
        <v>0.94</v>
      </c>
    </row>
    <row r="269" spans="2:18" ht="16" x14ac:dyDescent="0.3">
      <c r="B269" s="4">
        <v>263</v>
      </c>
      <c r="C269" s="4" t="s">
        <v>3432</v>
      </c>
      <c r="D269" s="5" t="s">
        <v>3284</v>
      </c>
      <c r="E269" s="4">
        <v>300</v>
      </c>
      <c r="F269" s="5" t="s">
        <v>3285</v>
      </c>
      <c r="G269" s="4" t="s">
        <v>2581</v>
      </c>
      <c r="H269" s="4" t="s">
        <v>2578</v>
      </c>
      <c r="I269" s="22">
        <v>2305062.0890000002</v>
      </c>
      <c r="J269" s="22">
        <v>585366.29099999997</v>
      </c>
      <c r="K269" s="22">
        <v>2305042.7379999999</v>
      </c>
      <c r="L269" s="22">
        <v>585379.26800000004</v>
      </c>
      <c r="M269" s="6">
        <v>23.3</v>
      </c>
      <c r="N269" s="11">
        <v>4.0599999999999996</v>
      </c>
      <c r="O269" s="11">
        <v>4.1399999999999997</v>
      </c>
      <c r="P269" s="11">
        <f t="shared" si="8"/>
        <v>8.0000000000000071E-2</v>
      </c>
      <c r="Q269" s="11">
        <f t="shared" si="9"/>
        <v>0.34300000000000003</v>
      </c>
      <c r="R269" s="11">
        <v>1.07</v>
      </c>
    </row>
    <row r="270" spans="2:18" ht="16" x14ac:dyDescent="0.3">
      <c r="B270" s="4">
        <v>264</v>
      </c>
      <c r="C270" s="4" t="s">
        <v>3433</v>
      </c>
      <c r="D270" s="5" t="s">
        <v>3284</v>
      </c>
      <c r="E270" s="4">
        <v>300</v>
      </c>
      <c r="F270" s="5" t="s">
        <v>3285</v>
      </c>
      <c r="G270" s="4" t="s">
        <v>2584</v>
      </c>
      <c r="H270" s="4" t="s">
        <v>2581</v>
      </c>
      <c r="I270" s="22">
        <v>2305082.023</v>
      </c>
      <c r="J270" s="22">
        <v>585352.924</v>
      </c>
      <c r="K270" s="22">
        <v>2305062.6710000001</v>
      </c>
      <c r="L270" s="22">
        <v>585365.90099999995</v>
      </c>
      <c r="M270" s="6">
        <v>23.3</v>
      </c>
      <c r="N270" s="11">
        <v>3.98</v>
      </c>
      <c r="O270" s="11">
        <v>4.0599999999999996</v>
      </c>
      <c r="P270" s="11">
        <f t="shared" si="8"/>
        <v>7.9999999999999627E-2</v>
      </c>
      <c r="Q270" s="11">
        <f t="shared" si="9"/>
        <v>0.34300000000000003</v>
      </c>
      <c r="R270" s="11">
        <v>1.1499999999999999</v>
      </c>
    </row>
    <row r="271" spans="2:18" ht="16" x14ac:dyDescent="0.3">
      <c r="B271" s="4">
        <v>265</v>
      </c>
      <c r="C271" s="4" t="s">
        <v>3434</v>
      </c>
      <c r="D271" s="5" t="s">
        <v>3284</v>
      </c>
      <c r="E271" s="4">
        <v>300</v>
      </c>
      <c r="F271" s="5" t="s">
        <v>3285</v>
      </c>
      <c r="G271" s="4" t="s">
        <v>2587</v>
      </c>
      <c r="H271" s="4" t="s">
        <v>2584</v>
      </c>
      <c r="I271" s="22">
        <v>2305095.2220000001</v>
      </c>
      <c r="J271" s="22">
        <v>585343.88</v>
      </c>
      <c r="K271" s="22">
        <v>2305082.6039999998</v>
      </c>
      <c r="L271" s="22">
        <v>585352.53500000003</v>
      </c>
      <c r="M271" s="6">
        <v>15.301</v>
      </c>
      <c r="N271" s="11">
        <v>3.93</v>
      </c>
      <c r="O271" s="11">
        <v>3.98</v>
      </c>
      <c r="P271" s="11">
        <f t="shared" si="8"/>
        <v>4.9999999999999822E-2</v>
      </c>
      <c r="Q271" s="11">
        <f t="shared" si="9"/>
        <v>0.32700000000000001</v>
      </c>
      <c r="R271" s="11">
        <v>1.2150000000000001</v>
      </c>
    </row>
    <row r="272" spans="2:18" ht="16" x14ac:dyDescent="0.3">
      <c r="B272" s="4">
        <v>266</v>
      </c>
      <c r="C272" s="4" t="s">
        <v>3435</v>
      </c>
      <c r="D272" s="5" t="s">
        <v>3284</v>
      </c>
      <c r="E272" s="4">
        <v>300</v>
      </c>
      <c r="F272" s="5" t="s">
        <v>3285</v>
      </c>
      <c r="G272" s="4" t="s">
        <v>471</v>
      </c>
      <c r="H272" s="4" t="s">
        <v>2587</v>
      </c>
      <c r="I272" s="22">
        <v>2305106.7740000002</v>
      </c>
      <c r="J272" s="22">
        <v>585336.13399999996</v>
      </c>
      <c r="K272" s="22">
        <v>2305096.0529999998</v>
      </c>
      <c r="L272" s="22">
        <v>585343.32299999997</v>
      </c>
      <c r="M272" s="6">
        <v>12.909000000000001</v>
      </c>
      <c r="N272" s="11">
        <v>2.81</v>
      </c>
      <c r="O272" s="11">
        <v>3.93</v>
      </c>
      <c r="P272" s="11">
        <f t="shared" si="8"/>
        <v>1.1200000000000001</v>
      </c>
      <c r="Q272" s="11">
        <f t="shared" si="9"/>
        <v>8.6760000000000002</v>
      </c>
      <c r="R272" s="11">
        <v>1.75</v>
      </c>
    </row>
    <row r="273" spans="2:18" ht="16" x14ac:dyDescent="0.3">
      <c r="B273" s="4">
        <v>267</v>
      </c>
      <c r="C273" s="4" t="s">
        <v>3436</v>
      </c>
      <c r="D273" s="5" t="s">
        <v>3284</v>
      </c>
      <c r="E273" s="4">
        <v>300</v>
      </c>
      <c r="F273" s="5" t="s">
        <v>3285</v>
      </c>
      <c r="G273" s="4" t="s">
        <v>495</v>
      </c>
      <c r="H273" s="4" t="s">
        <v>471</v>
      </c>
      <c r="I273" s="22">
        <v>2305132.4240000001</v>
      </c>
      <c r="J273" s="22">
        <v>585355.83799999999</v>
      </c>
      <c r="K273" s="22">
        <v>2305107.6069999998</v>
      </c>
      <c r="L273" s="22">
        <v>585335.57999999996</v>
      </c>
      <c r="M273" s="6">
        <v>36.389000000000003</v>
      </c>
      <c r="N273" s="11">
        <v>1.74</v>
      </c>
      <c r="O273" s="11">
        <v>2.81</v>
      </c>
      <c r="P273" s="11">
        <f t="shared" si="8"/>
        <v>1.07</v>
      </c>
      <c r="Q273" s="11">
        <f t="shared" si="9"/>
        <v>2.94</v>
      </c>
      <c r="R273" s="11">
        <v>2.89</v>
      </c>
    </row>
    <row r="274" spans="2:18" ht="16" x14ac:dyDescent="0.3">
      <c r="B274" s="4">
        <v>268</v>
      </c>
      <c r="C274" s="4" t="s">
        <v>3437</v>
      </c>
      <c r="D274" s="5" t="s">
        <v>3284</v>
      </c>
      <c r="E274" s="4">
        <v>300</v>
      </c>
      <c r="F274" s="5" t="s">
        <v>3285</v>
      </c>
      <c r="G274" s="4" t="s">
        <v>2878</v>
      </c>
      <c r="H274" s="4" t="s">
        <v>495</v>
      </c>
      <c r="I274" s="22">
        <v>2305118.1630000002</v>
      </c>
      <c r="J274" s="22">
        <v>585376.29599999997</v>
      </c>
      <c r="K274" s="22">
        <v>2305133.0010000002</v>
      </c>
      <c r="L274" s="22">
        <v>585356.65500000003</v>
      </c>
      <c r="M274" s="6">
        <v>27.623999999999999</v>
      </c>
      <c r="N274" s="11">
        <v>1.83</v>
      </c>
      <c r="O274" s="11">
        <v>1.74</v>
      </c>
      <c r="P274" s="11">
        <f t="shared" si="8"/>
        <v>9.000000000000008E-2</v>
      </c>
      <c r="Q274" s="11">
        <f t="shared" si="9"/>
        <v>0.32600000000000001</v>
      </c>
      <c r="R274" s="11">
        <v>3.45</v>
      </c>
    </row>
    <row r="275" spans="2:18" ht="16" x14ac:dyDescent="0.3">
      <c r="B275" s="4">
        <v>269</v>
      </c>
      <c r="C275" s="4" t="s">
        <v>3438</v>
      </c>
      <c r="D275" s="5" t="s">
        <v>3284</v>
      </c>
      <c r="E275" s="4">
        <v>300</v>
      </c>
      <c r="F275" s="5" t="s">
        <v>3285</v>
      </c>
      <c r="G275" s="4" t="s">
        <v>2875</v>
      </c>
      <c r="H275" s="4" t="s">
        <v>2878</v>
      </c>
      <c r="I275" s="22">
        <v>2305098.23</v>
      </c>
      <c r="J275" s="22">
        <v>585389.66200000001</v>
      </c>
      <c r="K275" s="22">
        <v>2305117.3330000001</v>
      </c>
      <c r="L275" s="22">
        <v>585376.853</v>
      </c>
      <c r="M275" s="6">
        <v>23</v>
      </c>
      <c r="N275" s="11">
        <v>1.91</v>
      </c>
      <c r="O275" s="11">
        <v>1.83</v>
      </c>
      <c r="P275" s="11">
        <f t="shared" si="8"/>
        <v>7.9999999999999849E-2</v>
      </c>
      <c r="Q275" s="11">
        <f t="shared" si="9"/>
        <v>0.34799999999999998</v>
      </c>
      <c r="R275" s="11">
        <v>3.34</v>
      </c>
    </row>
    <row r="276" spans="2:18" ht="16" x14ac:dyDescent="0.3">
      <c r="B276" s="4">
        <v>270</v>
      </c>
      <c r="C276" s="4" t="s">
        <v>3439</v>
      </c>
      <c r="D276" s="5" t="s">
        <v>3284</v>
      </c>
      <c r="E276" s="4">
        <v>300</v>
      </c>
      <c r="F276" s="5" t="s">
        <v>3285</v>
      </c>
      <c r="G276" s="4" t="s">
        <v>2872</v>
      </c>
      <c r="H276" s="4" t="s">
        <v>2875</v>
      </c>
      <c r="I276" s="22">
        <v>2305078.2969999998</v>
      </c>
      <c r="J276" s="22">
        <v>585403.02899999998</v>
      </c>
      <c r="K276" s="22">
        <v>2305097.3990000002</v>
      </c>
      <c r="L276" s="22">
        <v>585390.21900000004</v>
      </c>
      <c r="M276" s="6">
        <v>23</v>
      </c>
      <c r="N276" s="11">
        <v>1.99</v>
      </c>
      <c r="O276" s="11">
        <v>1.91</v>
      </c>
      <c r="P276" s="11">
        <f t="shared" si="8"/>
        <v>8.0000000000000071E-2</v>
      </c>
      <c r="Q276" s="11">
        <f t="shared" si="9"/>
        <v>0.34799999999999998</v>
      </c>
      <c r="R276" s="11">
        <v>3.26</v>
      </c>
    </row>
    <row r="277" spans="2:18" ht="16" x14ac:dyDescent="0.3">
      <c r="B277" s="4">
        <v>271</v>
      </c>
      <c r="C277" s="4" t="s">
        <v>3440</v>
      </c>
      <c r="D277" s="5" t="s">
        <v>3284</v>
      </c>
      <c r="E277" s="4">
        <v>300</v>
      </c>
      <c r="F277" s="5" t="s">
        <v>3285</v>
      </c>
      <c r="G277" s="4" t="s">
        <v>2869</v>
      </c>
      <c r="H277" s="4" t="s">
        <v>2872</v>
      </c>
      <c r="I277" s="22">
        <v>2305058.3629999999</v>
      </c>
      <c r="J277" s="22">
        <v>585416.39599999995</v>
      </c>
      <c r="K277" s="22">
        <v>2305077.466</v>
      </c>
      <c r="L277" s="22">
        <v>585403.58600000001</v>
      </c>
      <c r="M277" s="6">
        <v>23</v>
      </c>
      <c r="N277" s="11">
        <v>2.0699999999999998</v>
      </c>
      <c r="O277" s="11">
        <v>1.99</v>
      </c>
      <c r="P277" s="11">
        <f t="shared" si="8"/>
        <v>7.9999999999999849E-2</v>
      </c>
      <c r="Q277" s="11">
        <f t="shared" si="9"/>
        <v>0.34799999999999998</v>
      </c>
      <c r="R277" s="11">
        <v>3.18</v>
      </c>
    </row>
    <row r="278" spans="2:18" ht="16" x14ac:dyDescent="0.3">
      <c r="B278" s="4">
        <v>272</v>
      </c>
      <c r="C278" s="4" t="s">
        <v>3441</v>
      </c>
      <c r="D278" s="5" t="s">
        <v>3284</v>
      </c>
      <c r="E278" s="4">
        <v>300</v>
      </c>
      <c r="F278" s="5" t="s">
        <v>3285</v>
      </c>
      <c r="G278" s="4" t="s">
        <v>2866</v>
      </c>
      <c r="H278" s="4" t="s">
        <v>2869</v>
      </c>
      <c r="I278" s="22">
        <v>2305034.6009999998</v>
      </c>
      <c r="J278" s="22">
        <v>585432.36499999999</v>
      </c>
      <c r="K278" s="22">
        <v>2305057.497</v>
      </c>
      <c r="L278" s="22">
        <v>585416.89899999998</v>
      </c>
      <c r="M278" s="6">
        <v>27.63</v>
      </c>
      <c r="N278" s="11">
        <v>2.14</v>
      </c>
      <c r="O278" s="11">
        <v>2.0699999999999998</v>
      </c>
      <c r="P278" s="11">
        <f t="shared" si="8"/>
        <v>7.0000000000000284E-2</v>
      </c>
      <c r="Q278" s="11">
        <f t="shared" si="9"/>
        <v>0.253</v>
      </c>
      <c r="R278" s="11">
        <v>3.105</v>
      </c>
    </row>
    <row r="279" spans="2:18" ht="16" x14ac:dyDescent="0.3">
      <c r="B279" s="4">
        <v>273</v>
      </c>
      <c r="C279" s="4" t="s">
        <v>3442</v>
      </c>
      <c r="D279" s="5" t="s">
        <v>3284</v>
      </c>
      <c r="E279" s="4">
        <v>300</v>
      </c>
      <c r="F279" s="5" t="s">
        <v>3285</v>
      </c>
      <c r="G279" s="4" t="s">
        <v>2887</v>
      </c>
      <c r="H279" s="4" t="s">
        <v>986</v>
      </c>
      <c r="I279" s="22">
        <v>2304839.5269999998</v>
      </c>
      <c r="J279" s="22">
        <v>585630.4</v>
      </c>
      <c r="K279" s="22">
        <v>2304816.84</v>
      </c>
      <c r="L279" s="22">
        <v>585645.58499999996</v>
      </c>
      <c r="M279" s="6">
        <v>27.3</v>
      </c>
      <c r="N279" s="11">
        <v>4.24</v>
      </c>
      <c r="O279" s="11">
        <v>4.32</v>
      </c>
      <c r="P279" s="11">
        <f t="shared" si="8"/>
        <v>8.0000000000000071E-2</v>
      </c>
      <c r="Q279" s="11">
        <f t="shared" si="9"/>
        <v>0.29299999999999998</v>
      </c>
      <c r="R279" s="11">
        <v>0.89</v>
      </c>
    </row>
    <row r="280" spans="2:18" ht="16" x14ac:dyDescent="0.3">
      <c r="B280" s="4">
        <v>274</v>
      </c>
      <c r="C280" s="4" t="s">
        <v>3443</v>
      </c>
      <c r="D280" s="5" t="s">
        <v>3284</v>
      </c>
      <c r="E280" s="4">
        <v>300</v>
      </c>
      <c r="F280" s="5" t="s">
        <v>3285</v>
      </c>
      <c r="G280" s="4" t="s">
        <v>2890</v>
      </c>
      <c r="H280" s="4" t="s">
        <v>2887</v>
      </c>
      <c r="I280" s="22">
        <v>2304858.6170000001</v>
      </c>
      <c r="J280" s="22">
        <v>585617.571</v>
      </c>
      <c r="K280" s="22">
        <v>2304840.108</v>
      </c>
      <c r="L280" s="22">
        <v>585630.01</v>
      </c>
      <c r="M280" s="6">
        <v>22.3</v>
      </c>
      <c r="N280" s="11">
        <v>4.1500000000000004</v>
      </c>
      <c r="O280" s="11">
        <v>4.24</v>
      </c>
      <c r="P280" s="11">
        <f t="shared" si="8"/>
        <v>8.9999999999999858E-2</v>
      </c>
      <c r="Q280" s="11">
        <f t="shared" si="9"/>
        <v>0.40400000000000003</v>
      </c>
      <c r="R280" s="11">
        <v>0.97499999999999998</v>
      </c>
    </row>
    <row r="281" spans="2:18" ht="16" x14ac:dyDescent="0.3">
      <c r="B281" s="4">
        <v>275</v>
      </c>
      <c r="C281" s="4" t="s">
        <v>3444</v>
      </c>
      <c r="D281" s="5" t="s">
        <v>3284</v>
      </c>
      <c r="E281" s="4">
        <v>300</v>
      </c>
      <c r="F281" s="5" t="s">
        <v>3285</v>
      </c>
      <c r="G281" s="4" t="s">
        <v>2893</v>
      </c>
      <c r="H281" s="4" t="s">
        <v>2890</v>
      </c>
      <c r="I281" s="22">
        <v>2304880.2110000001</v>
      </c>
      <c r="J281" s="22">
        <v>585603.09100000001</v>
      </c>
      <c r="K281" s="22">
        <v>2304859.1979999999</v>
      </c>
      <c r="L281" s="22">
        <v>585617.18099999998</v>
      </c>
      <c r="M281" s="6">
        <v>25.3</v>
      </c>
      <c r="N281" s="11">
        <v>4.07</v>
      </c>
      <c r="O281" s="11">
        <v>4.1500000000000004</v>
      </c>
      <c r="P281" s="11">
        <f t="shared" si="8"/>
        <v>8.0000000000000071E-2</v>
      </c>
      <c r="Q281" s="11">
        <f t="shared" si="9"/>
        <v>0.316</v>
      </c>
      <c r="R281" s="11">
        <v>1.06</v>
      </c>
    </row>
    <row r="282" spans="2:18" ht="16" x14ac:dyDescent="0.3">
      <c r="B282" s="4">
        <v>276</v>
      </c>
      <c r="C282" s="4" t="s">
        <v>3445</v>
      </c>
      <c r="D282" s="5" t="s">
        <v>3284</v>
      </c>
      <c r="E282" s="4">
        <v>300</v>
      </c>
      <c r="F282" s="5" t="s">
        <v>3285</v>
      </c>
      <c r="G282" s="4" t="s">
        <v>295</v>
      </c>
      <c r="H282" s="4" t="s">
        <v>2893</v>
      </c>
      <c r="I282" s="22">
        <v>2304892.7439999999</v>
      </c>
      <c r="J282" s="22">
        <v>585594.848</v>
      </c>
      <c r="K282" s="22">
        <v>2304880.7919999999</v>
      </c>
      <c r="L282" s="22">
        <v>585602.701</v>
      </c>
      <c r="M282" s="6">
        <v>14.301</v>
      </c>
      <c r="N282" s="11">
        <v>2.8</v>
      </c>
      <c r="O282" s="11">
        <v>4.07</v>
      </c>
      <c r="P282" s="11">
        <f t="shared" si="8"/>
        <v>1.2700000000000005</v>
      </c>
      <c r="Q282" s="11">
        <f t="shared" si="9"/>
        <v>8.8800000000000008</v>
      </c>
      <c r="R282" s="11">
        <v>1.7350000000000001</v>
      </c>
    </row>
    <row r="283" spans="2:18" ht="16" x14ac:dyDescent="0.3">
      <c r="B283" s="4">
        <v>277</v>
      </c>
      <c r="C283" s="4" t="s">
        <v>3446</v>
      </c>
      <c r="D283" s="5" t="s">
        <v>3284</v>
      </c>
      <c r="E283" s="4">
        <v>300</v>
      </c>
      <c r="F283" s="5" t="s">
        <v>3285</v>
      </c>
      <c r="G283" s="4" t="s">
        <v>2200</v>
      </c>
      <c r="H283" s="4" t="s">
        <v>295</v>
      </c>
      <c r="I283" s="22">
        <v>2304902.798</v>
      </c>
      <c r="J283" s="22">
        <v>585582.61899999995</v>
      </c>
      <c r="K283" s="22">
        <v>2304893.58</v>
      </c>
      <c r="L283" s="22">
        <v>585594.299</v>
      </c>
      <c r="M283" s="6">
        <v>16.03</v>
      </c>
      <c r="N283" s="11">
        <v>2.78</v>
      </c>
      <c r="O283" s="11">
        <v>2.8</v>
      </c>
      <c r="P283" s="11">
        <f t="shared" si="8"/>
        <v>2.0000000000000018E-2</v>
      </c>
      <c r="Q283" s="11">
        <f t="shared" si="9"/>
        <v>0.125</v>
      </c>
      <c r="R283" s="11">
        <v>2.38</v>
      </c>
    </row>
    <row r="284" spans="2:18" ht="16" x14ac:dyDescent="0.3">
      <c r="B284" s="4">
        <v>278</v>
      </c>
      <c r="C284" s="4" t="s">
        <v>3447</v>
      </c>
      <c r="D284" s="5" t="s">
        <v>3284</v>
      </c>
      <c r="E284" s="4">
        <v>300</v>
      </c>
      <c r="F284" s="5" t="s">
        <v>3285</v>
      </c>
      <c r="G284" s="4" t="s">
        <v>2197</v>
      </c>
      <c r="H284" s="4" t="s">
        <v>2200</v>
      </c>
      <c r="I284" s="22">
        <v>2304881.767</v>
      </c>
      <c r="J284" s="22">
        <v>585567.70499999996</v>
      </c>
      <c r="K284" s="22">
        <v>2304902.2409999999</v>
      </c>
      <c r="L284" s="22">
        <v>585581.78799999994</v>
      </c>
      <c r="M284" s="6">
        <v>28.751000000000001</v>
      </c>
      <c r="N284" s="11">
        <v>3.93</v>
      </c>
      <c r="O284" s="11">
        <v>2.78</v>
      </c>
      <c r="P284" s="11">
        <f t="shared" si="8"/>
        <v>1.1500000000000004</v>
      </c>
      <c r="Q284" s="11">
        <f t="shared" si="9"/>
        <v>4</v>
      </c>
      <c r="R284" s="11">
        <v>1.7849999999999999</v>
      </c>
    </row>
    <row r="285" spans="2:18" ht="16" x14ac:dyDescent="0.3">
      <c r="B285" s="4">
        <v>279</v>
      </c>
      <c r="C285" s="4" t="s">
        <v>3448</v>
      </c>
      <c r="D285" s="5" t="s">
        <v>3284</v>
      </c>
      <c r="E285" s="4">
        <v>300</v>
      </c>
      <c r="F285" s="5" t="s">
        <v>3285</v>
      </c>
      <c r="G285" s="4" t="s">
        <v>2194</v>
      </c>
      <c r="H285" s="4" t="s">
        <v>2197</v>
      </c>
      <c r="I285" s="22">
        <v>2304864.9870000002</v>
      </c>
      <c r="J285" s="22">
        <v>585579.13100000005</v>
      </c>
      <c r="K285" s="22">
        <v>2304880.9360000002</v>
      </c>
      <c r="L285" s="22">
        <v>585568.26199999999</v>
      </c>
      <c r="M285" s="6">
        <v>19.300999999999998</v>
      </c>
      <c r="N285" s="11">
        <v>4.01</v>
      </c>
      <c r="O285" s="11">
        <v>3.93</v>
      </c>
      <c r="P285" s="11">
        <f t="shared" si="8"/>
        <v>7.9999999999999627E-2</v>
      </c>
      <c r="Q285" s="11">
        <f t="shared" si="9"/>
        <v>0.41399999999999998</v>
      </c>
      <c r="R285" s="11">
        <v>1.1399999999999999</v>
      </c>
    </row>
    <row r="286" spans="2:18" ht="16" x14ac:dyDescent="0.3">
      <c r="B286" s="4">
        <v>280</v>
      </c>
      <c r="C286" s="4" t="s">
        <v>3449</v>
      </c>
      <c r="D286" s="5" t="s">
        <v>3284</v>
      </c>
      <c r="E286" s="4">
        <v>300</v>
      </c>
      <c r="F286" s="5" t="s">
        <v>3285</v>
      </c>
      <c r="G286" s="4" t="s">
        <v>2191</v>
      </c>
      <c r="H286" s="4" t="s">
        <v>2194</v>
      </c>
      <c r="I286" s="22">
        <v>2304843.3930000002</v>
      </c>
      <c r="J286" s="22">
        <v>585593.61100000003</v>
      </c>
      <c r="K286" s="22">
        <v>2304864.406</v>
      </c>
      <c r="L286" s="22">
        <v>585579.52099999995</v>
      </c>
      <c r="M286" s="6">
        <v>25.3</v>
      </c>
      <c r="N286" s="11">
        <v>4.09</v>
      </c>
      <c r="O286" s="11">
        <v>4.01</v>
      </c>
      <c r="P286" s="11">
        <f t="shared" si="8"/>
        <v>8.0000000000000071E-2</v>
      </c>
      <c r="Q286" s="11">
        <f t="shared" si="9"/>
        <v>0.316</v>
      </c>
      <c r="R286" s="11">
        <v>1.06</v>
      </c>
    </row>
    <row r="287" spans="2:18" ht="16" x14ac:dyDescent="0.3">
      <c r="B287" s="4">
        <v>281</v>
      </c>
      <c r="C287" s="4" t="s">
        <v>3450</v>
      </c>
      <c r="D287" s="5" t="s">
        <v>3284</v>
      </c>
      <c r="E287" s="4">
        <v>300</v>
      </c>
      <c r="F287" s="5" t="s">
        <v>3285</v>
      </c>
      <c r="G287" s="4" t="s">
        <v>2188</v>
      </c>
      <c r="H287" s="4" t="s">
        <v>2191</v>
      </c>
      <c r="I287" s="22">
        <v>2304824.281</v>
      </c>
      <c r="J287" s="22">
        <v>585606.40700000001</v>
      </c>
      <c r="K287" s="22">
        <v>2304842.8110000002</v>
      </c>
      <c r="L287" s="22">
        <v>585594.00100000005</v>
      </c>
      <c r="M287" s="6">
        <v>22.3</v>
      </c>
      <c r="N287" s="11">
        <v>4.18</v>
      </c>
      <c r="O287" s="11">
        <v>4.09</v>
      </c>
      <c r="P287" s="11">
        <f t="shared" si="8"/>
        <v>8.9999999999999858E-2</v>
      </c>
      <c r="Q287" s="11">
        <f t="shared" si="9"/>
        <v>0.40400000000000003</v>
      </c>
      <c r="R287" s="11">
        <v>0.97499999999999998</v>
      </c>
    </row>
    <row r="288" spans="2:18" ht="16" x14ac:dyDescent="0.3">
      <c r="B288" s="4">
        <v>282</v>
      </c>
      <c r="C288" s="4" t="s">
        <v>3451</v>
      </c>
      <c r="D288" s="5" t="s">
        <v>3284</v>
      </c>
      <c r="E288" s="4">
        <v>300</v>
      </c>
      <c r="F288" s="5" t="s">
        <v>3285</v>
      </c>
      <c r="G288" s="4" t="s">
        <v>923</v>
      </c>
      <c r="H288" s="4" t="s">
        <v>2188</v>
      </c>
      <c r="I288" s="22">
        <v>2304801.0350000001</v>
      </c>
      <c r="J288" s="22">
        <v>585622.01500000001</v>
      </c>
      <c r="K288" s="22">
        <v>2304823.699</v>
      </c>
      <c r="L288" s="22">
        <v>585606.79700000002</v>
      </c>
      <c r="M288" s="6">
        <v>27.3</v>
      </c>
      <c r="N288" s="11">
        <v>4.26</v>
      </c>
      <c r="O288" s="11">
        <v>4.18</v>
      </c>
      <c r="P288" s="11">
        <f t="shared" si="8"/>
        <v>8.0000000000000071E-2</v>
      </c>
      <c r="Q288" s="11">
        <f t="shared" si="9"/>
        <v>0.29299999999999998</v>
      </c>
      <c r="R288" s="11">
        <v>0.89</v>
      </c>
    </row>
    <row r="289" spans="2:18" ht="16" x14ac:dyDescent="0.3">
      <c r="B289" s="4">
        <v>283</v>
      </c>
      <c r="C289" s="4" t="s">
        <v>3452</v>
      </c>
      <c r="D289" s="5" t="s">
        <v>3284</v>
      </c>
      <c r="E289" s="4">
        <v>300</v>
      </c>
      <c r="F289" s="5" t="s">
        <v>3285</v>
      </c>
      <c r="G289" s="4" t="s">
        <v>2440</v>
      </c>
      <c r="H289" s="4" t="s">
        <v>950</v>
      </c>
      <c r="I289" s="22">
        <v>2304968.142</v>
      </c>
      <c r="J289" s="22">
        <v>585822.24399999995</v>
      </c>
      <c r="K289" s="22">
        <v>2304945.4890000001</v>
      </c>
      <c r="L289" s="22">
        <v>585837.446</v>
      </c>
      <c r="M289" s="6">
        <v>27.280999999999999</v>
      </c>
      <c r="N289" s="11">
        <v>4.28</v>
      </c>
      <c r="O289" s="11">
        <v>4.3600000000000003</v>
      </c>
      <c r="P289" s="11">
        <f t="shared" si="8"/>
        <v>8.0000000000000071E-2</v>
      </c>
      <c r="Q289" s="11">
        <f t="shared" si="9"/>
        <v>0.29299999999999998</v>
      </c>
      <c r="R289" s="11">
        <v>0.89</v>
      </c>
    </row>
    <row r="290" spans="2:18" ht="16" x14ac:dyDescent="0.3">
      <c r="B290" s="4">
        <v>284</v>
      </c>
      <c r="C290" s="4" t="s">
        <v>3453</v>
      </c>
      <c r="D290" s="5" t="s">
        <v>3284</v>
      </c>
      <c r="E290" s="4">
        <v>300</v>
      </c>
      <c r="F290" s="5" t="s">
        <v>3285</v>
      </c>
      <c r="G290" s="4" t="s">
        <v>2443</v>
      </c>
      <c r="H290" s="4" t="s">
        <v>2440</v>
      </c>
      <c r="I290" s="22">
        <v>2304987.27</v>
      </c>
      <c r="J290" s="22">
        <v>585809.429</v>
      </c>
      <c r="K290" s="22">
        <v>2304968.7289999998</v>
      </c>
      <c r="L290" s="22">
        <v>585821.86199999996</v>
      </c>
      <c r="M290" s="6">
        <v>22.324000000000002</v>
      </c>
      <c r="N290" s="11">
        <v>4.1900000000000004</v>
      </c>
      <c r="O290" s="11">
        <v>4.28</v>
      </c>
      <c r="P290" s="11">
        <f t="shared" si="8"/>
        <v>8.9999999999999858E-2</v>
      </c>
      <c r="Q290" s="11">
        <f t="shared" si="9"/>
        <v>0.40300000000000002</v>
      </c>
      <c r="R290" s="11">
        <v>0.97499999999999998</v>
      </c>
    </row>
    <row r="291" spans="2:18" ht="16" x14ac:dyDescent="0.3">
      <c r="B291" s="4">
        <v>285</v>
      </c>
      <c r="C291" s="4" t="s">
        <v>3454</v>
      </c>
      <c r="D291" s="5" t="s">
        <v>3284</v>
      </c>
      <c r="E291" s="4">
        <v>300</v>
      </c>
      <c r="F291" s="5" t="s">
        <v>3285</v>
      </c>
      <c r="G291" s="4" t="s">
        <v>2446</v>
      </c>
      <c r="H291" s="4" t="s">
        <v>2443</v>
      </c>
      <c r="I291" s="22">
        <v>2305008.8650000002</v>
      </c>
      <c r="J291" s="22">
        <v>585794.94799999997</v>
      </c>
      <c r="K291" s="22">
        <v>2304987.852</v>
      </c>
      <c r="L291" s="22">
        <v>585809.03899999999</v>
      </c>
      <c r="M291" s="6">
        <v>25.3</v>
      </c>
      <c r="N291" s="11">
        <v>4.1100000000000003</v>
      </c>
      <c r="O291" s="11">
        <v>4.1900000000000004</v>
      </c>
      <c r="P291" s="11">
        <f t="shared" si="8"/>
        <v>8.0000000000000071E-2</v>
      </c>
      <c r="Q291" s="11">
        <f t="shared" si="9"/>
        <v>0.316</v>
      </c>
      <c r="R291" s="11">
        <v>1.06</v>
      </c>
    </row>
    <row r="292" spans="2:18" ht="16" x14ac:dyDescent="0.3">
      <c r="B292" s="4">
        <v>286</v>
      </c>
      <c r="C292" s="4" t="s">
        <v>3455</v>
      </c>
      <c r="D292" s="5" t="s">
        <v>3284</v>
      </c>
      <c r="E292" s="4">
        <v>300</v>
      </c>
      <c r="F292" s="5" t="s">
        <v>3285</v>
      </c>
      <c r="G292" s="4" t="s">
        <v>256</v>
      </c>
      <c r="H292" s="4" t="s">
        <v>2446</v>
      </c>
      <c r="I292" s="22">
        <v>2305027.594</v>
      </c>
      <c r="J292" s="22">
        <v>585782.55799999996</v>
      </c>
      <c r="K292" s="22">
        <v>2305009.446</v>
      </c>
      <c r="L292" s="22">
        <v>585794.55799999996</v>
      </c>
      <c r="M292" s="6">
        <v>21.757000000000001</v>
      </c>
      <c r="N292" s="11">
        <v>3.62</v>
      </c>
      <c r="O292" s="11">
        <v>4.1100000000000003</v>
      </c>
      <c r="P292" s="11">
        <f t="shared" si="8"/>
        <v>0.49000000000000021</v>
      </c>
      <c r="Q292" s="11">
        <f t="shared" si="9"/>
        <v>2.2519999999999998</v>
      </c>
      <c r="R292" s="11">
        <v>1.345</v>
      </c>
    </row>
    <row r="293" spans="2:18" ht="16" x14ac:dyDescent="0.3">
      <c r="B293" s="4">
        <v>287</v>
      </c>
      <c r="C293" s="4" t="s">
        <v>3456</v>
      </c>
      <c r="D293" s="5" t="s">
        <v>3284</v>
      </c>
      <c r="E293" s="4">
        <v>300</v>
      </c>
      <c r="F293" s="5" t="s">
        <v>3285</v>
      </c>
      <c r="G293" s="4" t="s">
        <v>3108</v>
      </c>
      <c r="H293" s="4" t="s">
        <v>256</v>
      </c>
      <c r="I293" s="22">
        <v>2305017.8930000002</v>
      </c>
      <c r="J293" s="22">
        <v>585762.95700000005</v>
      </c>
      <c r="K293" s="22">
        <v>2305028.4249999998</v>
      </c>
      <c r="L293" s="22">
        <v>585782.00100000005</v>
      </c>
      <c r="M293" s="6">
        <v>26.274999999999999</v>
      </c>
      <c r="N293" s="11">
        <v>3.53</v>
      </c>
      <c r="O293" s="11">
        <v>3.62</v>
      </c>
      <c r="P293" s="11">
        <f t="shared" si="8"/>
        <v>9.0000000000000302E-2</v>
      </c>
      <c r="Q293" s="11">
        <f t="shared" si="9"/>
        <v>0.34300000000000003</v>
      </c>
      <c r="R293" s="11">
        <v>1.615</v>
      </c>
    </row>
    <row r="294" spans="2:18" ht="16" x14ac:dyDescent="0.3">
      <c r="B294" s="4">
        <v>288</v>
      </c>
      <c r="C294" s="4" t="s">
        <v>3457</v>
      </c>
      <c r="D294" s="5" t="s">
        <v>3284</v>
      </c>
      <c r="E294" s="4">
        <v>300</v>
      </c>
      <c r="F294" s="5" t="s">
        <v>3285</v>
      </c>
      <c r="G294" s="4" t="s">
        <v>3001</v>
      </c>
      <c r="H294" s="4" t="s">
        <v>3108</v>
      </c>
      <c r="I294" s="22">
        <v>2304997.5389999999</v>
      </c>
      <c r="J294" s="22">
        <v>585776.80200000003</v>
      </c>
      <c r="K294" s="22">
        <v>2305017.0729999999</v>
      </c>
      <c r="L294" s="22">
        <v>585763.53099999996</v>
      </c>
      <c r="M294" s="6">
        <v>23.616</v>
      </c>
      <c r="N294" s="11">
        <v>4.07</v>
      </c>
      <c r="O294" s="11">
        <v>3.53</v>
      </c>
      <c r="P294" s="11">
        <f t="shared" si="8"/>
        <v>0.54000000000000048</v>
      </c>
      <c r="Q294" s="11">
        <f t="shared" si="9"/>
        <v>2.2869999999999999</v>
      </c>
      <c r="R294" s="11">
        <v>1.37</v>
      </c>
    </row>
    <row r="295" spans="2:18" ht="16" x14ac:dyDescent="0.3">
      <c r="B295" s="4">
        <v>289</v>
      </c>
      <c r="C295" s="4" t="s">
        <v>3458</v>
      </c>
      <c r="D295" s="5" t="s">
        <v>3284</v>
      </c>
      <c r="E295" s="4">
        <v>300</v>
      </c>
      <c r="F295" s="5" t="s">
        <v>3285</v>
      </c>
      <c r="G295" s="4" t="s">
        <v>2998</v>
      </c>
      <c r="H295" s="4" t="s">
        <v>3001</v>
      </c>
      <c r="I295" s="22">
        <v>2304975.9449999998</v>
      </c>
      <c r="J295" s="22">
        <v>585791.28300000005</v>
      </c>
      <c r="K295" s="22">
        <v>2304996.9580000001</v>
      </c>
      <c r="L295" s="22">
        <v>585777.19200000004</v>
      </c>
      <c r="M295" s="6">
        <v>25.3</v>
      </c>
      <c r="N295" s="11">
        <v>4.1500000000000004</v>
      </c>
      <c r="O295" s="11">
        <v>4.07</v>
      </c>
      <c r="P295" s="11">
        <f t="shared" si="8"/>
        <v>8.0000000000000071E-2</v>
      </c>
      <c r="Q295" s="11">
        <f t="shared" si="9"/>
        <v>0.316</v>
      </c>
      <c r="R295" s="11">
        <v>1.06</v>
      </c>
    </row>
    <row r="296" spans="2:18" ht="16" x14ac:dyDescent="0.3">
      <c r="B296" s="4">
        <v>290</v>
      </c>
      <c r="C296" s="4" t="s">
        <v>3459</v>
      </c>
      <c r="D296" s="5" t="s">
        <v>3284</v>
      </c>
      <c r="E296" s="4">
        <v>300</v>
      </c>
      <c r="F296" s="5" t="s">
        <v>3285</v>
      </c>
      <c r="G296" s="4" t="s">
        <v>2995</v>
      </c>
      <c r="H296" s="4" t="s">
        <v>2998</v>
      </c>
      <c r="I296" s="22">
        <v>2304956.8509999998</v>
      </c>
      <c r="J296" s="22">
        <v>585804.10499999998</v>
      </c>
      <c r="K296" s="22">
        <v>2304975.3640000001</v>
      </c>
      <c r="L296" s="22">
        <v>585791.67200000002</v>
      </c>
      <c r="M296" s="6">
        <v>22.3</v>
      </c>
      <c r="N296" s="11">
        <v>4.24</v>
      </c>
      <c r="O296" s="11">
        <v>4.1500000000000004</v>
      </c>
      <c r="P296" s="11">
        <f t="shared" si="8"/>
        <v>8.9999999999999858E-2</v>
      </c>
      <c r="Q296" s="11">
        <f t="shared" si="9"/>
        <v>0.40400000000000003</v>
      </c>
      <c r="R296" s="11">
        <v>0.97499999999999998</v>
      </c>
    </row>
    <row r="297" spans="2:18" ht="16" x14ac:dyDescent="0.3">
      <c r="B297" s="4">
        <v>291</v>
      </c>
      <c r="C297" s="4" t="s">
        <v>3460</v>
      </c>
      <c r="D297" s="5" t="s">
        <v>3284</v>
      </c>
      <c r="E297" s="4">
        <v>300</v>
      </c>
      <c r="F297" s="5" t="s">
        <v>3285</v>
      </c>
      <c r="G297" s="4" t="s">
        <v>953</v>
      </c>
      <c r="H297" s="4" t="s">
        <v>2995</v>
      </c>
      <c r="I297" s="22">
        <v>2304933.5869999998</v>
      </c>
      <c r="J297" s="22">
        <v>585819.68700000003</v>
      </c>
      <c r="K297" s="22">
        <v>2304956.2609999999</v>
      </c>
      <c r="L297" s="22">
        <v>585804.48199999996</v>
      </c>
      <c r="M297" s="6">
        <v>27.3</v>
      </c>
      <c r="N297" s="11">
        <v>4.32</v>
      </c>
      <c r="O297" s="11">
        <v>4.24</v>
      </c>
      <c r="P297" s="11">
        <f t="shared" si="8"/>
        <v>8.0000000000000071E-2</v>
      </c>
      <c r="Q297" s="11">
        <f t="shared" si="9"/>
        <v>0.29299999999999998</v>
      </c>
      <c r="R297" s="11">
        <v>0.89</v>
      </c>
    </row>
    <row r="298" spans="2:18" ht="16" x14ac:dyDescent="0.3">
      <c r="B298" s="4">
        <v>292</v>
      </c>
      <c r="C298" s="4" t="s">
        <v>3461</v>
      </c>
      <c r="D298" s="5" t="s">
        <v>3284</v>
      </c>
      <c r="E298" s="4">
        <v>300</v>
      </c>
      <c r="F298" s="5" t="s">
        <v>3285</v>
      </c>
      <c r="G298" s="4" t="s">
        <v>2206</v>
      </c>
      <c r="H298" s="4" t="s">
        <v>2203</v>
      </c>
      <c r="I298" s="22">
        <v>2304947.486</v>
      </c>
      <c r="J298" s="22">
        <v>585558.17099999997</v>
      </c>
      <c r="K298" s="22">
        <v>2304931.747</v>
      </c>
      <c r="L298" s="22">
        <v>585568.72499999998</v>
      </c>
      <c r="M298" s="6">
        <v>18.95</v>
      </c>
      <c r="N298" s="11">
        <v>2.61</v>
      </c>
      <c r="O298" s="11">
        <v>2.69</v>
      </c>
      <c r="P298" s="11">
        <f t="shared" si="8"/>
        <v>8.0000000000000071E-2</v>
      </c>
      <c r="Q298" s="11">
        <f t="shared" si="9"/>
        <v>0.42199999999999999</v>
      </c>
      <c r="R298" s="11">
        <v>2.62</v>
      </c>
    </row>
    <row r="299" spans="2:18" ht="16" x14ac:dyDescent="0.3">
      <c r="B299" s="4">
        <v>293</v>
      </c>
      <c r="C299" s="4" t="s">
        <v>3462</v>
      </c>
      <c r="D299" s="5" t="s">
        <v>3284</v>
      </c>
      <c r="E299" s="4">
        <v>300</v>
      </c>
      <c r="F299" s="5" t="s">
        <v>3285</v>
      </c>
      <c r="G299" s="4" t="s">
        <v>2209</v>
      </c>
      <c r="H299" s="4" t="s">
        <v>2206</v>
      </c>
      <c r="I299" s="22">
        <v>2304969.122</v>
      </c>
      <c r="J299" s="22">
        <v>585543.66299999994</v>
      </c>
      <c r="K299" s="22">
        <v>2304948.358</v>
      </c>
      <c r="L299" s="22">
        <v>585557.58700000006</v>
      </c>
      <c r="M299" s="6">
        <v>25</v>
      </c>
      <c r="N299" s="11">
        <v>2.52</v>
      </c>
      <c r="O299" s="11">
        <v>2.61</v>
      </c>
      <c r="P299" s="11">
        <f t="shared" si="8"/>
        <v>8.9999999999999858E-2</v>
      </c>
      <c r="Q299" s="11">
        <f t="shared" si="9"/>
        <v>0.36</v>
      </c>
      <c r="R299" s="11">
        <v>2.7050000000000001</v>
      </c>
    </row>
    <row r="300" spans="2:18" ht="16" x14ac:dyDescent="0.3">
      <c r="B300" s="4">
        <v>294</v>
      </c>
      <c r="C300" s="4" t="s">
        <v>3463</v>
      </c>
      <c r="D300" s="5" t="s">
        <v>3284</v>
      </c>
      <c r="E300" s="4">
        <v>300</v>
      </c>
      <c r="F300" s="5" t="s">
        <v>3285</v>
      </c>
      <c r="G300" s="4" t="s">
        <v>2212</v>
      </c>
      <c r="H300" s="4" t="s">
        <v>2209</v>
      </c>
      <c r="I300" s="22">
        <v>2304990.6230000001</v>
      </c>
      <c r="J300" s="22">
        <v>585529.049</v>
      </c>
      <c r="K300" s="22">
        <v>2304969.9530000002</v>
      </c>
      <c r="L300" s="22">
        <v>585543.10600000003</v>
      </c>
      <c r="M300" s="6">
        <v>24.997</v>
      </c>
      <c r="N300" s="11">
        <v>2.44</v>
      </c>
      <c r="O300" s="11">
        <v>2.52</v>
      </c>
      <c r="P300" s="11">
        <f t="shared" si="8"/>
        <v>8.0000000000000071E-2</v>
      </c>
      <c r="Q300" s="11">
        <f t="shared" si="9"/>
        <v>0.32</v>
      </c>
      <c r="R300" s="11">
        <v>2.79</v>
      </c>
    </row>
    <row r="301" spans="2:18" ht="16" x14ac:dyDescent="0.3">
      <c r="B301" s="4">
        <v>295</v>
      </c>
      <c r="C301" s="4" t="s">
        <v>3464</v>
      </c>
      <c r="D301" s="5" t="s">
        <v>3284</v>
      </c>
      <c r="E301" s="4">
        <v>300</v>
      </c>
      <c r="F301" s="5" t="s">
        <v>3285</v>
      </c>
      <c r="G301" s="4" t="s">
        <v>298</v>
      </c>
      <c r="H301" s="4" t="s">
        <v>2212</v>
      </c>
      <c r="I301" s="22">
        <v>2305015.1940000001</v>
      </c>
      <c r="J301" s="22">
        <v>585512.76199999999</v>
      </c>
      <c r="K301" s="22">
        <v>2304991.2119999998</v>
      </c>
      <c r="L301" s="22">
        <v>585528.67500000005</v>
      </c>
      <c r="M301" s="6">
        <v>28.780999999999999</v>
      </c>
      <c r="N301" s="11">
        <v>2.34</v>
      </c>
      <c r="O301" s="11">
        <v>2.44</v>
      </c>
      <c r="P301" s="11">
        <f t="shared" si="8"/>
        <v>0.10000000000000009</v>
      </c>
      <c r="Q301" s="11">
        <f t="shared" si="9"/>
        <v>0.34699999999999998</v>
      </c>
      <c r="R301" s="11">
        <v>2.88</v>
      </c>
    </row>
    <row r="302" spans="2:18" ht="16" x14ac:dyDescent="0.3">
      <c r="B302" s="4">
        <v>296</v>
      </c>
      <c r="C302" s="4" t="s">
        <v>3465</v>
      </c>
      <c r="D302" s="5" t="s">
        <v>3284</v>
      </c>
      <c r="E302" s="4">
        <v>300</v>
      </c>
      <c r="F302" s="5" t="s">
        <v>3285</v>
      </c>
      <c r="G302" s="4" t="s">
        <v>2149</v>
      </c>
      <c r="H302" s="4" t="s">
        <v>298</v>
      </c>
      <c r="I302" s="22">
        <v>2305014.2310000001</v>
      </c>
      <c r="J302" s="22">
        <v>585501.13399999996</v>
      </c>
      <c r="K302" s="22">
        <v>2305016.0279999999</v>
      </c>
      <c r="L302" s="22">
        <v>585512.21</v>
      </c>
      <c r="M302" s="6">
        <v>12.358000000000001</v>
      </c>
      <c r="N302" s="11">
        <v>2.3199999999999998</v>
      </c>
      <c r="O302" s="11">
        <v>2.34</v>
      </c>
      <c r="P302" s="11">
        <f t="shared" si="8"/>
        <v>2.0000000000000018E-2</v>
      </c>
      <c r="Q302" s="11">
        <f t="shared" si="9"/>
        <v>0.16200000000000001</v>
      </c>
      <c r="R302" s="11">
        <v>2.94</v>
      </c>
    </row>
    <row r="303" spans="2:18" ht="16" x14ac:dyDescent="0.3">
      <c r="B303" s="4">
        <v>297</v>
      </c>
      <c r="C303" s="4" t="s">
        <v>3466</v>
      </c>
      <c r="D303" s="5" t="s">
        <v>3284</v>
      </c>
      <c r="E303" s="4">
        <v>300</v>
      </c>
      <c r="F303" s="5" t="s">
        <v>3285</v>
      </c>
      <c r="G303" s="4" t="s">
        <v>2146</v>
      </c>
      <c r="H303" s="4" t="s">
        <v>2149</v>
      </c>
      <c r="I303" s="22">
        <v>2304996.281</v>
      </c>
      <c r="J303" s="22">
        <v>585490.79</v>
      </c>
      <c r="K303" s="22">
        <v>2305013.6740000001</v>
      </c>
      <c r="L303" s="22">
        <v>585500.31700000004</v>
      </c>
      <c r="M303" s="6">
        <v>23.143000000000001</v>
      </c>
      <c r="N303" s="11">
        <v>4.01</v>
      </c>
      <c r="O303" s="11">
        <v>2.3199999999999998</v>
      </c>
      <c r="P303" s="11">
        <f t="shared" si="8"/>
        <v>1.69</v>
      </c>
      <c r="Q303" s="11">
        <f t="shared" si="9"/>
        <v>7.3019999999999996</v>
      </c>
      <c r="R303" s="11">
        <v>2.0750000000000002</v>
      </c>
    </row>
    <row r="304" spans="2:18" ht="16" x14ac:dyDescent="0.3">
      <c r="B304" s="4">
        <v>298</v>
      </c>
      <c r="C304" s="4" t="s">
        <v>3467</v>
      </c>
      <c r="D304" s="5" t="s">
        <v>3284</v>
      </c>
      <c r="E304" s="4">
        <v>300</v>
      </c>
      <c r="F304" s="5" t="s">
        <v>3285</v>
      </c>
      <c r="G304" s="4" t="s">
        <v>2143</v>
      </c>
      <c r="H304" s="4" t="s">
        <v>2146</v>
      </c>
      <c r="I304" s="22">
        <v>2304975.4029999999</v>
      </c>
      <c r="J304" s="22">
        <v>585505.08900000004</v>
      </c>
      <c r="K304" s="22">
        <v>2304995.4509999999</v>
      </c>
      <c r="L304" s="22">
        <v>585491.34699999995</v>
      </c>
      <c r="M304" s="6">
        <v>24.306000000000001</v>
      </c>
      <c r="N304" s="11">
        <v>4.1100000000000003</v>
      </c>
      <c r="O304" s="11">
        <v>4.01</v>
      </c>
      <c r="P304" s="11">
        <f t="shared" si="8"/>
        <v>0.10000000000000053</v>
      </c>
      <c r="Q304" s="11">
        <f t="shared" si="9"/>
        <v>0.41099999999999998</v>
      </c>
      <c r="R304" s="11">
        <v>1.1499999999999999</v>
      </c>
    </row>
    <row r="305" spans="2:18" ht="16" x14ac:dyDescent="0.3">
      <c r="B305" s="4">
        <v>299</v>
      </c>
      <c r="C305" s="4" t="s">
        <v>3468</v>
      </c>
      <c r="D305" s="5" t="s">
        <v>3284</v>
      </c>
      <c r="E305" s="4">
        <v>300</v>
      </c>
      <c r="F305" s="5" t="s">
        <v>3285</v>
      </c>
      <c r="G305" s="4" t="s">
        <v>2140</v>
      </c>
      <c r="H305" s="4" t="s">
        <v>2143</v>
      </c>
      <c r="I305" s="22">
        <v>2304953.8089999999</v>
      </c>
      <c r="J305" s="22">
        <v>585519.56999999995</v>
      </c>
      <c r="K305" s="22">
        <v>2304974.8220000002</v>
      </c>
      <c r="L305" s="22">
        <v>585505.47900000005</v>
      </c>
      <c r="M305" s="6">
        <v>25.3</v>
      </c>
      <c r="N305" s="11">
        <v>4.1900000000000004</v>
      </c>
      <c r="O305" s="11">
        <v>4.1100000000000003</v>
      </c>
      <c r="P305" s="11">
        <f t="shared" si="8"/>
        <v>8.0000000000000071E-2</v>
      </c>
      <c r="Q305" s="11">
        <f t="shared" si="9"/>
        <v>0.316</v>
      </c>
      <c r="R305" s="11">
        <v>1.06</v>
      </c>
    </row>
    <row r="306" spans="2:18" ht="16" x14ac:dyDescent="0.3">
      <c r="B306" s="4">
        <v>300</v>
      </c>
      <c r="C306" s="4" t="s">
        <v>3469</v>
      </c>
      <c r="D306" s="5" t="s">
        <v>3284</v>
      </c>
      <c r="E306" s="4">
        <v>300</v>
      </c>
      <c r="F306" s="5" t="s">
        <v>3285</v>
      </c>
      <c r="G306" s="4" t="s">
        <v>2137</v>
      </c>
      <c r="H306" s="4" t="s">
        <v>2140</v>
      </c>
      <c r="I306" s="22">
        <v>2304934.6880000001</v>
      </c>
      <c r="J306" s="22">
        <v>585532.353</v>
      </c>
      <c r="K306" s="22">
        <v>2304953.227</v>
      </c>
      <c r="L306" s="22">
        <v>585519.96400000004</v>
      </c>
      <c r="M306" s="6">
        <v>22.297999999999998</v>
      </c>
      <c r="N306" s="11">
        <v>4.28</v>
      </c>
      <c r="O306" s="11">
        <v>4.1900000000000004</v>
      </c>
      <c r="P306" s="11">
        <f t="shared" si="8"/>
        <v>8.9999999999999858E-2</v>
      </c>
      <c r="Q306" s="11">
        <f t="shared" si="9"/>
        <v>0.40400000000000003</v>
      </c>
      <c r="R306" s="11">
        <v>0.97499999999999998</v>
      </c>
    </row>
    <row r="307" spans="2:18" ht="16" x14ac:dyDescent="0.3">
      <c r="B307" s="4">
        <v>301</v>
      </c>
      <c r="C307" s="4" t="s">
        <v>3470</v>
      </c>
      <c r="D307" s="5" t="s">
        <v>3284</v>
      </c>
      <c r="E307" s="4">
        <v>300</v>
      </c>
      <c r="F307" s="5" t="s">
        <v>3285</v>
      </c>
      <c r="G307" s="4" t="s">
        <v>2134</v>
      </c>
      <c r="H307" s="4" t="s">
        <v>2137</v>
      </c>
      <c r="I307" s="22">
        <v>2304911.4509999999</v>
      </c>
      <c r="J307" s="22">
        <v>585547.97400000005</v>
      </c>
      <c r="K307" s="22">
        <v>2304934.1069999998</v>
      </c>
      <c r="L307" s="22">
        <v>585532.74300000002</v>
      </c>
      <c r="M307" s="6">
        <v>27.3</v>
      </c>
      <c r="N307" s="11">
        <v>4.3600000000000003</v>
      </c>
      <c r="O307" s="11">
        <v>4.28</v>
      </c>
      <c r="P307" s="11">
        <f t="shared" si="8"/>
        <v>8.0000000000000071E-2</v>
      </c>
      <c r="Q307" s="11">
        <f t="shared" si="9"/>
        <v>0.29299999999999998</v>
      </c>
      <c r="R307" s="11">
        <v>0.89</v>
      </c>
    </row>
    <row r="308" spans="2:18" ht="16" x14ac:dyDescent="0.3">
      <c r="B308" s="4">
        <v>302</v>
      </c>
      <c r="C308" s="4" t="s">
        <v>3471</v>
      </c>
      <c r="D308" s="5" t="s">
        <v>3284</v>
      </c>
      <c r="E308" s="4">
        <v>300</v>
      </c>
      <c r="F308" s="5" t="s">
        <v>3285</v>
      </c>
      <c r="G308" s="4" t="s">
        <v>2365</v>
      </c>
      <c r="H308" s="4" t="s">
        <v>228</v>
      </c>
      <c r="I308" s="22">
        <v>2305100.554</v>
      </c>
      <c r="J308" s="22">
        <v>585923.24300000002</v>
      </c>
      <c r="K308" s="22">
        <v>2305116.8149999999</v>
      </c>
      <c r="L308" s="22">
        <v>585912.16500000004</v>
      </c>
      <c r="M308" s="6">
        <v>19.675999999999998</v>
      </c>
      <c r="N308" s="11">
        <v>4.07</v>
      </c>
      <c r="O308" s="11">
        <v>4</v>
      </c>
      <c r="P308" s="11">
        <f t="shared" si="8"/>
        <v>7.0000000000000284E-2</v>
      </c>
      <c r="Q308" s="11">
        <f t="shared" si="9"/>
        <v>0.35599999999999998</v>
      </c>
      <c r="R308" s="11">
        <v>1.135</v>
      </c>
    </row>
    <row r="309" spans="2:18" ht="16" x14ac:dyDescent="0.3">
      <c r="B309" s="4">
        <v>303</v>
      </c>
      <c r="C309" s="4" t="s">
        <v>3472</v>
      </c>
      <c r="D309" s="5" t="s">
        <v>3284</v>
      </c>
      <c r="E309" s="4">
        <v>300</v>
      </c>
      <c r="F309" s="5" t="s">
        <v>3285</v>
      </c>
      <c r="G309" s="4" t="s">
        <v>2362</v>
      </c>
      <c r="H309" s="4" t="s">
        <v>2365</v>
      </c>
      <c r="I309" s="22">
        <v>2305077.2990000001</v>
      </c>
      <c r="J309" s="22">
        <v>585938.83700000006</v>
      </c>
      <c r="K309" s="22">
        <v>2305099.9730000002</v>
      </c>
      <c r="L309" s="22">
        <v>585923.63300000003</v>
      </c>
      <c r="M309" s="6">
        <v>27.3</v>
      </c>
      <c r="N309" s="11">
        <v>4.16</v>
      </c>
      <c r="O309" s="11">
        <v>4.07</v>
      </c>
      <c r="P309" s="11">
        <f t="shared" si="8"/>
        <v>8.9999999999999858E-2</v>
      </c>
      <c r="Q309" s="11">
        <f t="shared" si="9"/>
        <v>0.33</v>
      </c>
      <c r="R309" s="11">
        <v>1.0549999999999999</v>
      </c>
    </row>
    <row r="310" spans="2:18" ht="16" x14ac:dyDescent="0.3">
      <c r="B310" s="4">
        <v>304</v>
      </c>
      <c r="C310" s="4" t="s">
        <v>3473</v>
      </c>
      <c r="D310" s="5" t="s">
        <v>3284</v>
      </c>
      <c r="E310" s="4">
        <v>300</v>
      </c>
      <c r="F310" s="5" t="s">
        <v>3285</v>
      </c>
      <c r="G310" s="4" t="s">
        <v>2359</v>
      </c>
      <c r="H310" s="4" t="s">
        <v>2362</v>
      </c>
      <c r="I310" s="22">
        <v>2305056.9500000002</v>
      </c>
      <c r="J310" s="22">
        <v>585952.48300000001</v>
      </c>
      <c r="K310" s="22">
        <v>2305076.7170000002</v>
      </c>
      <c r="L310" s="22">
        <v>585939.22699999996</v>
      </c>
      <c r="M310" s="6">
        <v>23.8</v>
      </c>
      <c r="N310" s="11">
        <v>4.24</v>
      </c>
      <c r="O310" s="11">
        <v>4.16</v>
      </c>
      <c r="P310" s="11">
        <f t="shared" si="8"/>
        <v>8.0000000000000071E-2</v>
      </c>
      <c r="Q310" s="11">
        <f t="shared" si="9"/>
        <v>0.33600000000000002</v>
      </c>
      <c r="R310" s="11">
        <v>0.97</v>
      </c>
    </row>
    <row r="311" spans="2:18" ht="16" x14ac:dyDescent="0.3">
      <c r="B311" s="4">
        <v>305</v>
      </c>
      <c r="C311" s="4" t="s">
        <v>3474</v>
      </c>
      <c r="D311" s="5" t="s">
        <v>3284</v>
      </c>
      <c r="E311" s="4">
        <v>300</v>
      </c>
      <c r="F311" s="5" t="s">
        <v>3285</v>
      </c>
      <c r="G311" s="4" t="s">
        <v>225</v>
      </c>
      <c r="H311" s="4" t="s">
        <v>2359</v>
      </c>
      <c r="I311" s="22">
        <v>2305036.602</v>
      </c>
      <c r="J311" s="22">
        <v>585966.12800000003</v>
      </c>
      <c r="K311" s="22">
        <v>2305056.3689999999</v>
      </c>
      <c r="L311" s="22">
        <v>585952.87199999997</v>
      </c>
      <c r="M311" s="6">
        <v>23.8</v>
      </c>
      <c r="N311" s="11">
        <v>4.32</v>
      </c>
      <c r="O311" s="11">
        <v>4.24</v>
      </c>
      <c r="P311" s="11">
        <f t="shared" si="8"/>
        <v>8.0000000000000071E-2</v>
      </c>
      <c r="Q311" s="11">
        <f t="shared" si="9"/>
        <v>0.33600000000000002</v>
      </c>
      <c r="R311" s="11">
        <v>0.89</v>
      </c>
    </row>
    <row r="312" spans="2:18" ht="16" x14ac:dyDescent="0.3">
      <c r="B312" s="4">
        <v>306</v>
      </c>
      <c r="C312" s="4" t="s">
        <v>3475</v>
      </c>
      <c r="D312" s="5" t="s">
        <v>3284</v>
      </c>
      <c r="E312" s="4">
        <v>300</v>
      </c>
      <c r="F312" s="5" t="s">
        <v>3285</v>
      </c>
      <c r="G312" s="4" t="s">
        <v>2176</v>
      </c>
      <c r="H312" s="4" t="s">
        <v>2179</v>
      </c>
      <c r="I312" s="22">
        <v>2305127.7200000002</v>
      </c>
      <c r="J312" s="22">
        <v>585402.75699999998</v>
      </c>
      <c r="K312" s="22">
        <v>2305156.4010000001</v>
      </c>
      <c r="L312" s="22">
        <v>585391.53599999996</v>
      </c>
      <c r="M312" s="6">
        <v>32.978000000000002</v>
      </c>
      <c r="N312" s="11">
        <v>4.07</v>
      </c>
      <c r="O312" s="11">
        <v>1.68</v>
      </c>
      <c r="P312" s="11">
        <f t="shared" si="8"/>
        <v>2.3900000000000006</v>
      </c>
      <c r="Q312" s="11">
        <f t="shared" si="9"/>
        <v>7.2469999999999999</v>
      </c>
      <c r="R312" s="11">
        <v>2.3849999999999998</v>
      </c>
    </row>
    <row r="313" spans="2:18" ht="16" x14ac:dyDescent="0.3">
      <c r="B313" s="4">
        <v>307</v>
      </c>
      <c r="C313" s="4" t="s">
        <v>3476</v>
      </c>
      <c r="D313" s="5" t="s">
        <v>3284</v>
      </c>
      <c r="E313" s="4">
        <v>300</v>
      </c>
      <c r="F313" s="5" t="s">
        <v>3285</v>
      </c>
      <c r="G313" s="4" t="s">
        <v>2173</v>
      </c>
      <c r="H313" s="4" t="s">
        <v>2176</v>
      </c>
      <c r="I313" s="22">
        <v>2305102.0619999999</v>
      </c>
      <c r="J313" s="22">
        <v>585420.15599999996</v>
      </c>
      <c r="K313" s="22">
        <v>2305126.889</v>
      </c>
      <c r="L313" s="22">
        <v>585403.31400000001</v>
      </c>
      <c r="M313" s="6">
        <v>30</v>
      </c>
      <c r="N313" s="11">
        <v>4.18</v>
      </c>
      <c r="O313" s="11">
        <v>4.07</v>
      </c>
      <c r="P313" s="11">
        <f t="shared" si="8"/>
        <v>0.10999999999999943</v>
      </c>
      <c r="Q313" s="11">
        <f t="shared" si="9"/>
        <v>0.36699999999999999</v>
      </c>
      <c r="R313" s="11">
        <v>1.085</v>
      </c>
    </row>
    <row r="314" spans="2:18" ht="16" x14ac:dyDescent="0.3">
      <c r="B314" s="4">
        <v>308</v>
      </c>
      <c r="C314" s="4" t="s">
        <v>3477</v>
      </c>
      <c r="D314" s="5" t="s">
        <v>3284</v>
      </c>
      <c r="E314" s="4">
        <v>300</v>
      </c>
      <c r="F314" s="5" t="s">
        <v>3285</v>
      </c>
      <c r="G314" s="4" t="s">
        <v>2170</v>
      </c>
      <c r="H314" s="4" t="s">
        <v>2173</v>
      </c>
      <c r="I314" s="22">
        <v>2305078.807</v>
      </c>
      <c r="J314" s="22">
        <v>585435.75</v>
      </c>
      <c r="K314" s="22">
        <v>2305101.4810000001</v>
      </c>
      <c r="L314" s="22">
        <v>585420.54599999997</v>
      </c>
      <c r="M314" s="6">
        <v>27.3</v>
      </c>
      <c r="N314" s="11">
        <v>4.2699999999999996</v>
      </c>
      <c r="O314" s="11">
        <v>4.18</v>
      </c>
      <c r="P314" s="11">
        <f t="shared" si="8"/>
        <v>8.9999999999999858E-2</v>
      </c>
      <c r="Q314" s="11">
        <f t="shared" si="9"/>
        <v>0.33</v>
      </c>
      <c r="R314" s="11">
        <v>0.98499999999999999</v>
      </c>
    </row>
    <row r="315" spans="2:18" ht="16" x14ac:dyDescent="0.3">
      <c r="B315" s="4">
        <v>309</v>
      </c>
      <c r="C315" s="4" t="s">
        <v>3478</v>
      </c>
      <c r="D315" s="5" t="s">
        <v>3284</v>
      </c>
      <c r="E315" s="4">
        <v>300</v>
      </c>
      <c r="F315" s="5" t="s">
        <v>3285</v>
      </c>
      <c r="G315" s="4" t="s">
        <v>2167</v>
      </c>
      <c r="H315" s="4" t="s">
        <v>2170</v>
      </c>
      <c r="I315" s="22">
        <v>2305055.5359999998</v>
      </c>
      <c r="J315" s="22">
        <v>585451.35499999998</v>
      </c>
      <c r="K315" s="22">
        <v>2305078.2250000001</v>
      </c>
      <c r="L315" s="22">
        <v>585436.14</v>
      </c>
      <c r="M315" s="6">
        <v>27.318999999999999</v>
      </c>
      <c r="N315" s="11">
        <v>4.3600000000000003</v>
      </c>
      <c r="O315" s="11">
        <v>4.2699999999999996</v>
      </c>
      <c r="P315" s="11">
        <f t="shared" si="8"/>
        <v>9.0000000000000746E-2</v>
      </c>
      <c r="Q315" s="11">
        <f t="shared" si="9"/>
        <v>0.32900000000000001</v>
      </c>
      <c r="R315" s="11">
        <v>0.89500000000000002</v>
      </c>
    </row>
    <row r="316" spans="2:18" ht="16" x14ac:dyDescent="0.3">
      <c r="B316" s="4">
        <v>310</v>
      </c>
      <c r="C316" s="4" t="s">
        <v>3479</v>
      </c>
      <c r="D316" s="5" t="s">
        <v>3284</v>
      </c>
      <c r="E316" s="4">
        <v>300</v>
      </c>
      <c r="F316" s="5" t="s">
        <v>3285</v>
      </c>
      <c r="G316" s="4" t="s">
        <v>1616</v>
      </c>
      <c r="H316" s="4" t="s">
        <v>1613</v>
      </c>
      <c r="I316" s="22">
        <v>2305462.5699999998</v>
      </c>
      <c r="J316" s="22">
        <v>585617.32299999997</v>
      </c>
      <c r="K316" s="22">
        <v>2305485.889</v>
      </c>
      <c r="L316" s="22">
        <v>585601.68599999999</v>
      </c>
      <c r="M316" s="6">
        <v>28.076000000000001</v>
      </c>
      <c r="N316" s="11">
        <v>3.87</v>
      </c>
      <c r="O316" s="11">
        <v>3.96</v>
      </c>
      <c r="P316" s="11">
        <f t="shared" si="8"/>
        <v>8.9999999999999858E-2</v>
      </c>
      <c r="Q316" s="11">
        <f t="shared" si="9"/>
        <v>0.32100000000000001</v>
      </c>
      <c r="R316" s="11">
        <v>1.355</v>
      </c>
    </row>
    <row r="317" spans="2:18" ht="16" x14ac:dyDescent="0.3">
      <c r="B317" s="4">
        <v>311</v>
      </c>
      <c r="C317" s="4" t="s">
        <v>3480</v>
      </c>
      <c r="D317" s="5" t="s">
        <v>3284</v>
      </c>
      <c r="E317" s="4">
        <v>300</v>
      </c>
      <c r="F317" s="5" t="s">
        <v>3285</v>
      </c>
      <c r="G317" s="4" t="s">
        <v>1619</v>
      </c>
      <c r="H317" s="4" t="s">
        <v>1616</v>
      </c>
      <c r="I317" s="22">
        <v>2305441.2050000001</v>
      </c>
      <c r="J317" s="22">
        <v>585631.65</v>
      </c>
      <c r="K317" s="22">
        <v>2305461.713</v>
      </c>
      <c r="L317" s="22">
        <v>585617.84</v>
      </c>
      <c r="M317" s="6">
        <v>24.724</v>
      </c>
      <c r="N317" s="11">
        <v>3.78</v>
      </c>
      <c r="O317" s="11">
        <v>3.87</v>
      </c>
      <c r="P317" s="11">
        <f t="shared" si="8"/>
        <v>9.0000000000000302E-2</v>
      </c>
      <c r="Q317" s="11">
        <f t="shared" si="9"/>
        <v>0.36399999999999999</v>
      </c>
      <c r="R317" s="11">
        <v>1.4450000000000001</v>
      </c>
    </row>
    <row r="318" spans="2:18" ht="16" x14ac:dyDescent="0.3">
      <c r="B318" s="4">
        <v>312</v>
      </c>
      <c r="C318" s="4" t="s">
        <v>3481</v>
      </c>
      <c r="D318" s="5" t="s">
        <v>3284</v>
      </c>
      <c r="E318" s="4">
        <v>300</v>
      </c>
      <c r="F318" s="5" t="s">
        <v>3285</v>
      </c>
      <c r="G318" s="4" t="s">
        <v>1622</v>
      </c>
      <c r="H318" s="4" t="s">
        <v>1619</v>
      </c>
      <c r="I318" s="22">
        <v>2305423.4210000001</v>
      </c>
      <c r="J318" s="22">
        <v>585643.56400000001</v>
      </c>
      <c r="K318" s="22">
        <v>2305440.375</v>
      </c>
      <c r="L318" s="22">
        <v>585632.20700000005</v>
      </c>
      <c r="M318" s="6">
        <v>20.405999999999999</v>
      </c>
      <c r="N318" s="11">
        <v>3.69</v>
      </c>
      <c r="O318" s="11">
        <v>3.78</v>
      </c>
      <c r="P318" s="11">
        <f t="shared" si="8"/>
        <v>8.9999999999999858E-2</v>
      </c>
      <c r="Q318" s="11">
        <f t="shared" si="9"/>
        <v>0.441</v>
      </c>
      <c r="R318" s="11">
        <v>1.5349999999999999</v>
      </c>
    </row>
    <row r="319" spans="2:18" ht="16" x14ac:dyDescent="0.3">
      <c r="B319" s="4">
        <v>313</v>
      </c>
      <c r="C319" s="4" t="s">
        <v>3482</v>
      </c>
      <c r="D319" s="5" t="s">
        <v>3284</v>
      </c>
      <c r="E319" s="4">
        <v>300</v>
      </c>
      <c r="F319" s="5" t="s">
        <v>3285</v>
      </c>
      <c r="G319" s="4" t="s">
        <v>1625</v>
      </c>
      <c r="H319" s="4" t="s">
        <v>1622</v>
      </c>
      <c r="I319" s="22">
        <v>2305396.35</v>
      </c>
      <c r="J319" s="22">
        <v>585661.71699999995</v>
      </c>
      <c r="K319" s="22">
        <v>2305422.59</v>
      </c>
      <c r="L319" s="22">
        <v>585644.12100000004</v>
      </c>
      <c r="M319" s="6">
        <v>31.594000000000001</v>
      </c>
      <c r="N319" s="11">
        <v>3.61</v>
      </c>
      <c r="O319" s="11">
        <v>3.69</v>
      </c>
      <c r="P319" s="11">
        <f t="shared" si="8"/>
        <v>8.0000000000000071E-2</v>
      </c>
      <c r="Q319" s="11">
        <f t="shared" si="9"/>
        <v>0.253</v>
      </c>
      <c r="R319" s="11">
        <v>1.62</v>
      </c>
    </row>
    <row r="320" spans="2:18" ht="16" x14ac:dyDescent="0.3">
      <c r="B320" s="4">
        <v>314</v>
      </c>
      <c r="C320" s="4" t="s">
        <v>3483</v>
      </c>
      <c r="D320" s="5" t="s">
        <v>3284</v>
      </c>
      <c r="E320" s="4">
        <v>300</v>
      </c>
      <c r="F320" s="5" t="s">
        <v>3285</v>
      </c>
      <c r="G320" s="4" t="s">
        <v>567</v>
      </c>
      <c r="H320" s="4" t="s">
        <v>1625</v>
      </c>
      <c r="I320" s="22">
        <v>2305380.0529999998</v>
      </c>
      <c r="J320" s="22">
        <v>585672.75899999996</v>
      </c>
      <c r="K320" s="22">
        <v>2305395.5249999999</v>
      </c>
      <c r="L320" s="22">
        <v>585662.28099999996</v>
      </c>
      <c r="M320" s="6">
        <v>18.686</v>
      </c>
      <c r="N320" s="11">
        <v>3.52</v>
      </c>
      <c r="O320" s="11">
        <v>3.61</v>
      </c>
      <c r="P320" s="11">
        <f t="shared" si="8"/>
        <v>8.9999999999999858E-2</v>
      </c>
      <c r="Q320" s="11">
        <f t="shared" si="9"/>
        <v>0.48199999999999998</v>
      </c>
      <c r="R320" s="11">
        <v>1.7050000000000001</v>
      </c>
    </row>
    <row r="321" spans="2:18" ht="16" x14ac:dyDescent="0.3">
      <c r="B321" s="4">
        <v>315</v>
      </c>
      <c r="C321" s="4" t="s">
        <v>3484</v>
      </c>
      <c r="D321" s="5" t="s">
        <v>3284</v>
      </c>
      <c r="E321" s="4">
        <v>300</v>
      </c>
      <c r="F321" s="5" t="s">
        <v>3285</v>
      </c>
      <c r="G321" s="4" t="s">
        <v>1670</v>
      </c>
      <c r="H321" s="4" t="s">
        <v>567</v>
      </c>
      <c r="I321" s="22">
        <v>2305356.0869999998</v>
      </c>
      <c r="J321" s="22">
        <v>585658.38600000006</v>
      </c>
      <c r="K321" s="22">
        <v>2305379.2230000002</v>
      </c>
      <c r="L321" s="22">
        <v>585673.31599999999</v>
      </c>
      <c r="M321" s="6">
        <v>32.543999999999997</v>
      </c>
      <c r="N321" s="11">
        <v>3.43</v>
      </c>
      <c r="O321" s="11">
        <v>3.52</v>
      </c>
      <c r="P321" s="11">
        <f t="shared" si="8"/>
        <v>8.9999999999999858E-2</v>
      </c>
      <c r="Q321" s="11">
        <f t="shared" si="9"/>
        <v>0.27700000000000002</v>
      </c>
      <c r="R321" s="11">
        <v>1.8149999999999999</v>
      </c>
    </row>
    <row r="322" spans="2:18" ht="16" x14ac:dyDescent="0.3">
      <c r="B322" s="4">
        <v>316</v>
      </c>
      <c r="C322" s="4" t="s">
        <v>3485</v>
      </c>
      <c r="D322" s="5" t="s">
        <v>3284</v>
      </c>
      <c r="E322" s="4">
        <v>300</v>
      </c>
      <c r="F322" s="5" t="s">
        <v>3285</v>
      </c>
      <c r="G322" s="4" t="s">
        <v>1673</v>
      </c>
      <c r="H322" s="4" t="s">
        <v>1670</v>
      </c>
      <c r="I322" s="22">
        <v>2305341.6060000001</v>
      </c>
      <c r="J322" s="22">
        <v>585636.79200000002</v>
      </c>
      <c r="K322" s="22">
        <v>2305355.5299999998</v>
      </c>
      <c r="L322" s="22">
        <v>585657.55500000005</v>
      </c>
      <c r="M322" s="6">
        <v>25</v>
      </c>
      <c r="N322" s="11">
        <v>3.34</v>
      </c>
      <c r="O322" s="11">
        <v>3.43</v>
      </c>
      <c r="P322" s="11">
        <f t="shared" si="8"/>
        <v>9.0000000000000302E-2</v>
      </c>
      <c r="Q322" s="11">
        <f t="shared" si="9"/>
        <v>0.36</v>
      </c>
      <c r="R322" s="11">
        <v>1.925</v>
      </c>
    </row>
    <row r="323" spans="2:18" ht="16" x14ac:dyDescent="0.3">
      <c r="B323" s="4">
        <v>317</v>
      </c>
      <c r="C323" s="4" t="s">
        <v>3486</v>
      </c>
      <c r="D323" s="5" t="s">
        <v>3284</v>
      </c>
      <c r="E323" s="4">
        <v>300</v>
      </c>
      <c r="F323" s="5" t="s">
        <v>3285</v>
      </c>
      <c r="G323" s="4" t="s">
        <v>1676</v>
      </c>
      <c r="H323" s="4" t="s">
        <v>1673</v>
      </c>
      <c r="I323" s="22">
        <v>2305327.6830000002</v>
      </c>
      <c r="J323" s="22">
        <v>585616.02800000005</v>
      </c>
      <c r="K323" s="22">
        <v>2305341.0490000001</v>
      </c>
      <c r="L323" s="22">
        <v>585635.96100000001</v>
      </c>
      <c r="M323" s="6">
        <v>24</v>
      </c>
      <c r="N323" s="11">
        <v>3.26</v>
      </c>
      <c r="O323" s="11">
        <v>3.34</v>
      </c>
      <c r="P323" s="11">
        <f t="shared" si="8"/>
        <v>8.0000000000000071E-2</v>
      </c>
      <c r="Q323" s="11">
        <f t="shared" si="9"/>
        <v>0.33300000000000002</v>
      </c>
      <c r="R323" s="11">
        <v>2.0099999999999998</v>
      </c>
    </row>
    <row r="324" spans="2:18" ht="16" x14ac:dyDescent="0.3">
      <c r="B324" s="4">
        <v>318</v>
      </c>
      <c r="C324" s="4" t="s">
        <v>3487</v>
      </c>
      <c r="D324" s="5" t="s">
        <v>3284</v>
      </c>
      <c r="E324" s="4">
        <v>300</v>
      </c>
      <c r="F324" s="5" t="s">
        <v>3285</v>
      </c>
      <c r="G324" s="4" t="s">
        <v>1682</v>
      </c>
      <c r="H324" s="4" t="s">
        <v>1679</v>
      </c>
      <c r="I324" s="22">
        <v>2305292.8739999998</v>
      </c>
      <c r="J324" s="22">
        <v>585564.11800000002</v>
      </c>
      <c r="K324" s="22">
        <v>2305306.2400000002</v>
      </c>
      <c r="L324" s="22">
        <v>585584.05200000003</v>
      </c>
      <c r="M324" s="6">
        <v>24</v>
      </c>
      <c r="N324" s="11">
        <v>3.06</v>
      </c>
      <c r="O324" s="11">
        <v>3.16</v>
      </c>
      <c r="P324" s="11">
        <f t="shared" si="8"/>
        <v>0.10000000000000009</v>
      </c>
      <c r="Q324" s="11">
        <f t="shared" si="9"/>
        <v>0.41699999999999998</v>
      </c>
      <c r="R324" s="11">
        <v>2.2000000000000002</v>
      </c>
    </row>
    <row r="325" spans="2:18" ht="16" x14ac:dyDescent="0.3">
      <c r="B325" s="4">
        <v>319</v>
      </c>
      <c r="C325" s="4" t="s">
        <v>3488</v>
      </c>
      <c r="D325" s="5" t="s">
        <v>3284</v>
      </c>
      <c r="E325" s="4">
        <v>300</v>
      </c>
      <c r="F325" s="5" t="s">
        <v>3285</v>
      </c>
      <c r="G325" s="4" t="s">
        <v>1685</v>
      </c>
      <c r="H325" s="4" t="s">
        <v>1682</v>
      </c>
      <c r="I325" s="22">
        <v>2305278.3930000002</v>
      </c>
      <c r="J325" s="22">
        <v>585542.52399999998</v>
      </c>
      <c r="K325" s="22">
        <v>2305292.3169999998</v>
      </c>
      <c r="L325" s="22">
        <v>585563.28799999994</v>
      </c>
      <c r="M325" s="6">
        <v>25</v>
      </c>
      <c r="N325" s="11">
        <v>2.97</v>
      </c>
      <c r="O325" s="11">
        <v>3.06</v>
      </c>
      <c r="P325" s="11">
        <f t="shared" si="8"/>
        <v>8.9999999999999858E-2</v>
      </c>
      <c r="Q325" s="11">
        <f t="shared" si="9"/>
        <v>0.36</v>
      </c>
      <c r="R325" s="11">
        <v>2.2949999999999999</v>
      </c>
    </row>
    <row r="326" spans="2:18" ht="16" x14ac:dyDescent="0.3">
      <c r="B326" s="4">
        <v>320</v>
      </c>
      <c r="C326" s="4" t="s">
        <v>3489</v>
      </c>
      <c r="D326" s="5" t="s">
        <v>3284</v>
      </c>
      <c r="E326" s="4">
        <v>300</v>
      </c>
      <c r="F326" s="5" t="s">
        <v>3285</v>
      </c>
      <c r="G326" s="4" t="s">
        <v>1688</v>
      </c>
      <c r="H326" s="4" t="s">
        <v>1685</v>
      </c>
      <c r="I326" s="22">
        <v>2305260.696</v>
      </c>
      <c r="J326" s="22">
        <v>585516.40300000005</v>
      </c>
      <c r="K326" s="22">
        <v>2305277.8160000001</v>
      </c>
      <c r="L326" s="22">
        <v>585541.66299999994</v>
      </c>
      <c r="M326" s="6">
        <v>30.515000000000001</v>
      </c>
      <c r="N326" s="11">
        <v>2.87</v>
      </c>
      <c r="O326" s="11">
        <v>2.97</v>
      </c>
      <c r="P326" s="11">
        <f t="shared" si="8"/>
        <v>0.10000000000000009</v>
      </c>
      <c r="Q326" s="11">
        <f t="shared" si="9"/>
        <v>0.32800000000000001</v>
      </c>
      <c r="R326" s="11">
        <v>2.39</v>
      </c>
    </row>
    <row r="327" spans="2:18" ht="16" x14ac:dyDescent="0.3">
      <c r="B327" s="4">
        <v>321</v>
      </c>
      <c r="C327" s="4" t="s">
        <v>3490</v>
      </c>
      <c r="D327" s="5" t="s">
        <v>3284</v>
      </c>
      <c r="E327" s="4">
        <v>300</v>
      </c>
      <c r="F327" s="5" t="s">
        <v>3285</v>
      </c>
      <c r="G327" s="4" t="s">
        <v>1691</v>
      </c>
      <c r="H327" s="4" t="s">
        <v>1688</v>
      </c>
      <c r="I327" s="22">
        <v>2305249.5260000001</v>
      </c>
      <c r="J327" s="22">
        <v>585489.68599999999</v>
      </c>
      <c r="K327" s="22">
        <v>2305260.642</v>
      </c>
      <c r="L327" s="22">
        <v>585516.321</v>
      </c>
      <c r="M327" s="6">
        <v>30.693000000000001</v>
      </c>
      <c r="N327" s="11">
        <v>2.76</v>
      </c>
      <c r="O327" s="11">
        <v>2.87</v>
      </c>
      <c r="P327" s="11">
        <f t="shared" ref="P327:P390" si="10">IF(AND(ISNUMBER(N327),ISNUMBER(O327)),ABS(N327-O327),0)</f>
        <v>0.11000000000000032</v>
      </c>
      <c r="Q327" s="11">
        <f t="shared" ref="Q327:Q390" si="11">IF(M327&gt;0,ROUND(P327/M327*100,3),0)</f>
        <v>0.35799999999999998</v>
      </c>
      <c r="R327" s="11">
        <v>2.4750000000000001</v>
      </c>
    </row>
    <row r="328" spans="2:18" ht="16" x14ac:dyDescent="0.3">
      <c r="B328" s="4">
        <v>322</v>
      </c>
      <c r="C328" s="4" t="s">
        <v>3491</v>
      </c>
      <c r="D328" s="5" t="s">
        <v>3284</v>
      </c>
      <c r="E328" s="4">
        <v>300</v>
      </c>
      <c r="F328" s="5" t="s">
        <v>3285</v>
      </c>
      <c r="G328" s="4" t="s">
        <v>1607</v>
      </c>
      <c r="H328" s="4" t="s">
        <v>1604</v>
      </c>
      <c r="I328" s="22">
        <v>2305538.7999999998</v>
      </c>
      <c r="J328" s="22">
        <v>585566.01199999999</v>
      </c>
      <c r="K328" s="22">
        <v>2305563.1349999998</v>
      </c>
      <c r="L328" s="22">
        <v>585549.69299999997</v>
      </c>
      <c r="M328" s="6">
        <v>29.3</v>
      </c>
      <c r="N328" s="11">
        <v>4.32</v>
      </c>
      <c r="O328" s="11">
        <v>4.42</v>
      </c>
      <c r="P328" s="11">
        <f t="shared" si="10"/>
        <v>9.9999999999999645E-2</v>
      </c>
      <c r="Q328" s="11">
        <f t="shared" si="11"/>
        <v>0.34100000000000003</v>
      </c>
      <c r="R328" s="11">
        <v>0.9</v>
      </c>
    </row>
    <row r="329" spans="2:18" ht="16" x14ac:dyDescent="0.3">
      <c r="B329" s="4">
        <v>323</v>
      </c>
      <c r="C329" s="4" t="s">
        <v>3492</v>
      </c>
      <c r="D329" s="5" t="s">
        <v>3284</v>
      </c>
      <c r="E329" s="4">
        <v>300</v>
      </c>
      <c r="F329" s="5" t="s">
        <v>3285</v>
      </c>
      <c r="G329" s="4" t="s">
        <v>1610</v>
      </c>
      <c r="H329" s="4" t="s">
        <v>1607</v>
      </c>
      <c r="I329" s="22">
        <v>2305513.8840000001</v>
      </c>
      <c r="J329" s="22">
        <v>585582.72</v>
      </c>
      <c r="K329" s="22">
        <v>2305538.219</v>
      </c>
      <c r="L329" s="22">
        <v>585566.402</v>
      </c>
      <c r="M329" s="6">
        <v>29.3</v>
      </c>
      <c r="N329" s="11">
        <v>4.22</v>
      </c>
      <c r="O329" s="11">
        <v>4.32</v>
      </c>
      <c r="P329" s="11">
        <f t="shared" si="10"/>
        <v>0.10000000000000053</v>
      </c>
      <c r="Q329" s="11">
        <f t="shared" si="11"/>
        <v>0.34100000000000003</v>
      </c>
      <c r="R329" s="11">
        <v>1</v>
      </c>
    </row>
    <row r="330" spans="2:18" ht="16" x14ac:dyDescent="0.3">
      <c r="B330" s="4">
        <v>324</v>
      </c>
      <c r="C330" s="4" t="s">
        <v>3493</v>
      </c>
      <c r="D330" s="5" t="s">
        <v>3284</v>
      </c>
      <c r="E330" s="4">
        <v>300</v>
      </c>
      <c r="F330" s="5" t="s">
        <v>3285</v>
      </c>
      <c r="G330" s="4" t="s">
        <v>1613</v>
      </c>
      <c r="H330" s="4" t="s">
        <v>1610</v>
      </c>
      <c r="I330" s="22">
        <v>2305486.719</v>
      </c>
      <c r="J330" s="22">
        <v>585601.12899999996</v>
      </c>
      <c r="K330" s="22">
        <v>2305513.3020000001</v>
      </c>
      <c r="L330" s="22">
        <v>585583.11</v>
      </c>
      <c r="M330" s="6">
        <v>32.115000000000002</v>
      </c>
      <c r="N330" s="11">
        <v>3.96</v>
      </c>
      <c r="O330" s="11">
        <v>4.22</v>
      </c>
      <c r="P330" s="11">
        <f t="shared" si="10"/>
        <v>0.25999999999999979</v>
      </c>
      <c r="Q330" s="11">
        <f t="shared" si="11"/>
        <v>0.81</v>
      </c>
      <c r="R330" s="11">
        <v>1.18</v>
      </c>
    </row>
    <row r="331" spans="2:18" ht="16" x14ac:dyDescent="0.3">
      <c r="B331" s="4">
        <v>325</v>
      </c>
      <c r="C331" s="4" t="s">
        <v>3494</v>
      </c>
      <c r="D331" s="5" t="s">
        <v>3284</v>
      </c>
      <c r="E331" s="4">
        <v>300</v>
      </c>
      <c r="F331" s="5" t="s">
        <v>3285</v>
      </c>
      <c r="G331" s="4" t="s">
        <v>1394</v>
      </c>
      <c r="H331" s="4" t="s">
        <v>1391</v>
      </c>
      <c r="I331" s="22">
        <v>2305688.1869999999</v>
      </c>
      <c r="J331" s="22">
        <v>585519.56299999997</v>
      </c>
      <c r="K331" s="22">
        <v>2305713.3369999998</v>
      </c>
      <c r="L331" s="22">
        <v>585502.66399999999</v>
      </c>
      <c r="M331" s="6">
        <v>30.3</v>
      </c>
      <c r="N331" s="11">
        <v>4.22</v>
      </c>
      <c r="O331" s="11">
        <v>4.32</v>
      </c>
      <c r="P331" s="11">
        <f t="shared" si="10"/>
        <v>0.10000000000000053</v>
      </c>
      <c r="Q331" s="11">
        <f t="shared" si="11"/>
        <v>0.33</v>
      </c>
      <c r="R331" s="11">
        <v>0.9</v>
      </c>
    </row>
    <row r="332" spans="2:18" ht="16" x14ac:dyDescent="0.3">
      <c r="B332" s="4">
        <v>326</v>
      </c>
      <c r="C332" s="4" t="s">
        <v>3495</v>
      </c>
      <c r="D332" s="5" t="s">
        <v>3284</v>
      </c>
      <c r="E332" s="4">
        <v>300</v>
      </c>
      <c r="F332" s="5" t="s">
        <v>3285</v>
      </c>
      <c r="G332" s="4" t="s">
        <v>1397</v>
      </c>
      <c r="H332" s="4" t="s">
        <v>1394</v>
      </c>
      <c r="I332" s="22">
        <v>2305667.423</v>
      </c>
      <c r="J332" s="22">
        <v>585533.48600000003</v>
      </c>
      <c r="K332" s="22">
        <v>2305687.6060000001</v>
      </c>
      <c r="L332" s="22">
        <v>585519.95200000005</v>
      </c>
      <c r="M332" s="6">
        <v>24.3</v>
      </c>
      <c r="N332" s="11">
        <v>4.1399999999999997</v>
      </c>
      <c r="O332" s="11">
        <v>4.22</v>
      </c>
      <c r="P332" s="11">
        <f t="shared" si="10"/>
        <v>8.0000000000000071E-2</v>
      </c>
      <c r="Q332" s="11">
        <f t="shared" si="11"/>
        <v>0.32900000000000001</v>
      </c>
      <c r="R332" s="11">
        <v>0.99</v>
      </c>
    </row>
    <row r="333" spans="2:18" ht="16" x14ac:dyDescent="0.3">
      <c r="B333" s="4">
        <v>327</v>
      </c>
      <c r="C333" s="4" t="s">
        <v>3496</v>
      </c>
      <c r="D333" s="5" t="s">
        <v>3284</v>
      </c>
      <c r="E333" s="4">
        <v>300</v>
      </c>
      <c r="F333" s="5" t="s">
        <v>3285</v>
      </c>
      <c r="G333" s="4" t="s">
        <v>1400</v>
      </c>
      <c r="H333" s="4" t="s">
        <v>1397</v>
      </c>
      <c r="I333" s="22">
        <v>2305645.8289999999</v>
      </c>
      <c r="J333" s="22">
        <v>585547.96699999995</v>
      </c>
      <c r="K333" s="22">
        <v>2305666.8420000002</v>
      </c>
      <c r="L333" s="22">
        <v>585533.87600000005</v>
      </c>
      <c r="M333" s="6">
        <v>25.3</v>
      </c>
      <c r="N333" s="11">
        <v>4.05</v>
      </c>
      <c r="O333" s="11">
        <v>4.1399999999999997</v>
      </c>
      <c r="P333" s="11">
        <f t="shared" si="10"/>
        <v>8.9999999999999858E-2</v>
      </c>
      <c r="Q333" s="11">
        <f t="shared" si="11"/>
        <v>0.35599999999999998</v>
      </c>
      <c r="R333" s="11">
        <v>1.075</v>
      </c>
    </row>
    <row r="334" spans="2:18" ht="16" x14ac:dyDescent="0.3">
      <c r="B334" s="4">
        <v>328</v>
      </c>
      <c r="C334" s="4" t="s">
        <v>3497</v>
      </c>
      <c r="D334" s="5" t="s">
        <v>3284</v>
      </c>
      <c r="E334" s="4">
        <v>300</v>
      </c>
      <c r="F334" s="5" t="s">
        <v>3285</v>
      </c>
      <c r="G334" s="4" t="s">
        <v>1412</v>
      </c>
      <c r="H334" s="4" t="s">
        <v>1400</v>
      </c>
      <c r="I334" s="22">
        <v>2305621.2949999999</v>
      </c>
      <c r="J334" s="22">
        <v>585564.23300000001</v>
      </c>
      <c r="K334" s="22">
        <v>2305645.2480000001</v>
      </c>
      <c r="L334" s="22">
        <v>585548.35600000003</v>
      </c>
      <c r="M334" s="6">
        <v>28.736999999999998</v>
      </c>
      <c r="N334" s="11">
        <v>3.95</v>
      </c>
      <c r="O334" s="11">
        <v>4.05</v>
      </c>
      <c r="P334" s="11">
        <f t="shared" si="10"/>
        <v>9.9999999999999645E-2</v>
      </c>
      <c r="Q334" s="11">
        <f t="shared" si="11"/>
        <v>0.34799999999999998</v>
      </c>
      <c r="R334" s="11">
        <v>1.17</v>
      </c>
    </row>
    <row r="335" spans="2:18" ht="16" x14ac:dyDescent="0.3">
      <c r="B335" s="4">
        <v>329</v>
      </c>
      <c r="C335" s="4" t="s">
        <v>3498</v>
      </c>
      <c r="D335" s="5" t="s">
        <v>3284</v>
      </c>
      <c r="E335" s="4">
        <v>300</v>
      </c>
      <c r="F335" s="5" t="s">
        <v>3285</v>
      </c>
      <c r="G335" s="4" t="s">
        <v>222</v>
      </c>
      <c r="H335" s="4" t="s">
        <v>1412</v>
      </c>
      <c r="I335" s="22">
        <v>2305638.04</v>
      </c>
      <c r="J335" s="22">
        <v>585588.755</v>
      </c>
      <c r="K335" s="22">
        <v>2305620.4640000002</v>
      </c>
      <c r="L335" s="22">
        <v>585564.79</v>
      </c>
      <c r="M335" s="6">
        <v>36.228999999999999</v>
      </c>
      <c r="N335" s="11">
        <v>4.4000000000000004</v>
      </c>
      <c r="O335" s="11">
        <v>4.38</v>
      </c>
      <c r="P335" s="11">
        <f t="shared" si="10"/>
        <v>2.0000000000000462E-2</v>
      </c>
      <c r="Q335" s="11">
        <f t="shared" si="11"/>
        <v>5.5E-2</v>
      </c>
      <c r="R335" s="11">
        <v>1.03</v>
      </c>
    </row>
    <row r="336" spans="2:18" ht="16" x14ac:dyDescent="0.3">
      <c r="B336" s="4">
        <v>330</v>
      </c>
      <c r="C336" s="4" t="s">
        <v>3499</v>
      </c>
      <c r="D336" s="5" t="s">
        <v>3284</v>
      </c>
      <c r="E336" s="4">
        <v>300</v>
      </c>
      <c r="F336" s="5" t="s">
        <v>3285</v>
      </c>
      <c r="G336" s="4" t="s">
        <v>1742</v>
      </c>
      <c r="H336" s="4" t="s">
        <v>1739</v>
      </c>
      <c r="I336" s="22">
        <v>2305285.5589999999</v>
      </c>
      <c r="J336" s="22">
        <v>585749.81999999995</v>
      </c>
      <c r="K336" s="22">
        <v>2305264.5460000001</v>
      </c>
      <c r="L336" s="22">
        <v>585763.91</v>
      </c>
      <c r="M336" s="6">
        <v>25.3</v>
      </c>
      <c r="N336" s="11">
        <v>4.33</v>
      </c>
      <c r="O336" s="11">
        <v>4.42</v>
      </c>
      <c r="P336" s="11">
        <f t="shared" si="10"/>
        <v>8.9999999999999858E-2</v>
      </c>
      <c r="Q336" s="11">
        <f t="shared" si="11"/>
        <v>0.35599999999999998</v>
      </c>
      <c r="R336" s="11">
        <v>0.89500000000000002</v>
      </c>
    </row>
    <row r="337" spans="2:18" ht="16" x14ac:dyDescent="0.3">
      <c r="B337" s="4">
        <v>331</v>
      </c>
      <c r="C337" s="4" t="s">
        <v>3500</v>
      </c>
      <c r="D337" s="5" t="s">
        <v>3284</v>
      </c>
      <c r="E337" s="4">
        <v>300</v>
      </c>
      <c r="F337" s="5" t="s">
        <v>3285</v>
      </c>
      <c r="G337" s="4" t="s">
        <v>1724</v>
      </c>
      <c r="H337" s="4" t="s">
        <v>1742</v>
      </c>
      <c r="I337" s="22">
        <v>2305303.577</v>
      </c>
      <c r="J337" s="22">
        <v>585737.55700000003</v>
      </c>
      <c r="K337" s="22">
        <v>2305286.1409999998</v>
      </c>
      <c r="L337" s="22">
        <v>585749.43000000005</v>
      </c>
      <c r="M337" s="6">
        <v>21.094999999999999</v>
      </c>
      <c r="N337" s="11">
        <v>4.17</v>
      </c>
      <c r="O337" s="11">
        <v>4.33</v>
      </c>
      <c r="P337" s="11">
        <f t="shared" si="10"/>
        <v>0.16000000000000014</v>
      </c>
      <c r="Q337" s="11">
        <f t="shared" si="11"/>
        <v>0.75800000000000001</v>
      </c>
      <c r="R337" s="11">
        <v>1.02</v>
      </c>
    </row>
    <row r="338" spans="2:18" ht="16" x14ac:dyDescent="0.3">
      <c r="B338" s="4">
        <v>332</v>
      </c>
      <c r="C338" s="4" t="s">
        <v>3501</v>
      </c>
      <c r="D338" s="5" t="s">
        <v>3284</v>
      </c>
      <c r="E338" s="4">
        <v>300</v>
      </c>
      <c r="F338" s="5" t="s">
        <v>3285</v>
      </c>
      <c r="G338" s="4" t="s">
        <v>1721</v>
      </c>
      <c r="H338" s="4" t="s">
        <v>1724</v>
      </c>
      <c r="I338" s="22">
        <v>2305314.6340000001</v>
      </c>
      <c r="J338" s="22">
        <v>585756.01100000006</v>
      </c>
      <c r="K338" s="22">
        <v>2305304.4440000001</v>
      </c>
      <c r="L338" s="22">
        <v>585737.05500000005</v>
      </c>
      <c r="M338" s="6">
        <v>30.641999999999999</v>
      </c>
      <c r="N338" s="11">
        <v>4.25</v>
      </c>
      <c r="O338" s="11">
        <v>4.17</v>
      </c>
      <c r="P338" s="11">
        <f t="shared" si="10"/>
        <v>8.0000000000000071E-2</v>
      </c>
      <c r="Q338" s="11">
        <f t="shared" si="11"/>
        <v>0.26100000000000001</v>
      </c>
      <c r="R338" s="11">
        <v>1.06</v>
      </c>
    </row>
    <row r="339" spans="2:18" ht="16" x14ac:dyDescent="0.3">
      <c r="B339" s="4">
        <v>333</v>
      </c>
      <c r="C339" s="4" t="s">
        <v>3502</v>
      </c>
      <c r="D339" s="5" t="s">
        <v>3284</v>
      </c>
      <c r="E339" s="4">
        <v>300</v>
      </c>
      <c r="F339" s="5" t="s">
        <v>3285</v>
      </c>
      <c r="G339" s="4" t="s">
        <v>1718</v>
      </c>
      <c r="H339" s="4" t="s">
        <v>1721</v>
      </c>
      <c r="I339" s="22">
        <v>2305298.0469999998</v>
      </c>
      <c r="J339" s="22">
        <v>585767.18599999999</v>
      </c>
      <c r="K339" s="22">
        <v>2305314.0529999998</v>
      </c>
      <c r="L339" s="22">
        <v>585756.40099999995</v>
      </c>
      <c r="M339" s="6">
        <v>19.3</v>
      </c>
      <c r="N339" s="11">
        <v>4.33</v>
      </c>
      <c r="O339" s="11">
        <v>4.25</v>
      </c>
      <c r="P339" s="11">
        <f t="shared" si="10"/>
        <v>8.0000000000000071E-2</v>
      </c>
      <c r="Q339" s="11">
        <f t="shared" si="11"/>
        <v>0.41499999999999998</v>
      </c>
      <c r="R339" s="11">
        <v>0.98</v>
      </c>
    </row>
    <row r="340" spans="2:18" ht="16" x14ac:dyDescent="0.3">
      <c r="B340" s="4">
        <v>334</v>
      </c>
      <c r="C340" s="4" t="s">
        <v>3503</v>
      </c>
      <c r="D340" s="5" t="s">
        <v>3284</v>
      </c>
      <c r="E340" s="4">
        <v>300</v>
      </c>
      <c r="F340" s="5" t="s">
        <v>3285</v>
      </c>
      <c r="G340" s="4" t="s">
        <v>192</v>
      </c>
      <c r="H340" s="4" t="s">
        <v>1718</v>
      </c>
      <c r="I340" s="22">
        <v>2305276.4530000002</v>
      </c>
      <c r="J340" s="22">
        <v>585781.66599999997</v>
      </c>
      <c r="K340" s="22">
        <v>2305297.466</v>
      </c>
      <c r="L340" s="22">
        <v>585767.576</v>
      </c>
      <c r="M340" s="6">
        <v>25.3</v>
      </c>
      <c r="N340" s="11">
        <v>4.42</v>
      </c>
      <c r="O340" s="11">
        <v>4.33</v>
      </c>
      <c r="P340" s="11">
        <f t="shared" si="10"/>
        <v>8.9999999999999858E-2</v>
      </c>
      <c r="Q340" s="11">
        <f t="shared" si="11"/>
        <v>0.35599999999999998</v>
      </c>
      <c r="R340" s="11">
        <v>0.89500000000000002</v>
      </c>
    </row>
    <row r="341" spans="2:18" ht="16" x14ac:dyDescent="0.3">
      <c r="B341" s="4">
        <v>335</v>
      </c>
      <c r="C341" s="4" t="s">
        <v>3504</v>
      </c>
      <c r="D341" s="5" t="s">
        <v>3284</v>
      </c>
      <c r="E341" s="4">
        <v>300</v>
      </c>
      <c r="F341" s="5" t="s">
        <v>3285</v>
      </c>
      <c r="G341" s="4" t="s">
        <v>1828</v>
      </c>
      <c r="H341" s="4" t="s">
        <v>1825</v>
      </c>
      <c r="I341" s="22">
        <v>2305235.35</v>
      </c>
      <c r="J341" s="22">
        <v>585514.03300000005</v>
      </c>
      <c r="K341" s="22">
        <v>2305249.88</v>
      </c>
      <c r="L341" s="22">
        <v>585535.701</v>
      </c>
      <c r="M341" s="6">
        <v>26.088999999999999</v>
      </c>
      <c r="N341" s="11">
        <v>3.14</v>
      </c>
      <c r="O341" s="11">
        <v>3.23</v>
      </c>
      <c r="P341" s="11">
        <f t="shared" si="10"/>
        <v>8.9999999999999858E-2</v>
      </c>
      <c r="Q341" s="11">
        <f t="shared" si="11"/>
        <v>0.34499999999999997</v>
      </c>
      <c r="R341" s="11">
        <v>2.125</v>
      </c>
    </row>
    <row r="342" spans="2:18" ht="16" x14ac:dyDescent="0.3">
      <c r="B342" s="4">
        <v>336</v>
      </c>
      <c r="C342" s="4" t="s">
        <v>3505</v>
      </c>
      <c r="D342" s="5" t="s">
        <v>3284</v>
      </c>
      <c r="E342" s="4">
        <v>300</v>
      </c>
      <c r="F342" s="5" t="s">
        <v>3285</v>
      </c>
      <c r="G342" s="4" t="s">
        <v>1831</v>
      </c>
      <c r="H342" s="4" t="s">
        <v>1828</v>
      </c>
      <c r="I342" s="22">
        <v>2305220.37</v>
      </c>
      <c r="J342" s="22">
        <v>585491.68999999994</v>
      </c>
      <c r="K342" s="22">
        <v>2305234.8050000002</v>
      </c>
      <c r="L342" s="22">
        <v>585513.19499999995</v>
      </c>
      <c r="M342" s="6">
        <v>25.9</v>
      </c>
      <c r="N342" s="11">
        <v>3.06</v>
      </c>
      <c r="O342" s="11">
        <v>3.14</v>
      </c>
      <c r="P342" s="11">
        <f t="shared" si="10"/>
        <v>8.0000000000000071E-2</v>
      </c>
      <c r="Q342" s="11">
        <f t="shared" si="11"/>
        <v>0.309</v>
      </c>
      <c r="R342" s="11">
        <v>2.21</v>
      </c>
    </row>
    <row r="343" spans="2:18" ht="16" x14ac:dyDescent="0.3">
      <c r="B343" s="4">
        <v>337</v>
      </c>
      <c r="C343" s="4" t="s">
        <v>3506</v>
      </c>
      <c r="D343" s="5" t="s">
        <v>3284</v>
      </c>
      <c r="E343" s="4">
        <v>300</v>
      </c>
      <c r="F343" s="5" t="s">
        <v>3285</v>
      </c>
      <c r="G343" s="4" t="s">
        <v>2182</v>
      </c>
      <c r="H343" s="4" t="s">
        <v>1831</v>
      </c>
      <c r="I343" s="22">
        <v>2305205.145</v>
      </c>
      <c r="J343" s="22">
        <v>585468.98</v>
      </c>
      <c r="K343" s="22">
        <v>2305219.8130000001</v>
      </c>
      <c r="L343" s="22">
        <v>585490.85900000005</v>
      </c>
      <c r="M343" s="6">
        <v>26.341999999999999</v>
      </c>
      <c r="N343" s="11">
        <v>2.97</v>
      </c>
      <c r="O343" s="11">
        <v>3.06</v>
      </c>
      <c r="P343" s="11">
        <f t="shared" si="10"/>
        <v>8.9999999999999858E-2</v>
      </c>
      <c r="Q343" s="11">
        <f t="shared" si="11"/>
        <v>0.34200000000000003</v>
      </c>
      <c r="R343" s="11">
        <v>2.2949999999999999</v>
      </c>
    </row>
    <row r="344" spans="2:18" ht="16" x14ac:dyDescent="0.3">
      <c r="B344" s="4">
        <v>338</v>
      </c>
      <c r="C344" s="4" t="s">
        <v>3507</v>
      </c>
      <c r="D344" s="5" t="s">
        <v>3284</v>
      </c>
      <c r="E344" s="4">
        <v>300</v>
      </c>
      <c r="F344" s="5" t="s">
        <v>3285</v>
      </c>
      <c r="G344" s="4" t="s">
        <v>626</v>
      </c>
      <c r="H344" s="4" t="s">
        <v>2182</v>
      </c>
      <c r="I344" s="22">
        <v>2305188.0010000002</v>
      </c>
      <c r="J344" s="22">
        <v>585452.71100000001</v>
      </c>
      <c r="K344" s="22">
        <v>2305204.588</v>
      </c>
      <c r="L344" s="22">
        <v>585468.14899999998</v>
      </c>
      <c r="M344" s="6">
        <v>24.344999999999999</v>
      </c>
      <c r="N344" s="11">
        <v>2.87</v>
      </c>
      <c r="O344" s="11">
        <v>2.97</v>
      </c>
      <c r="P344" s="11">
        <f t="shared" si="10"/>
        <v>0.10000000000000009</v>
      </c>
      <c r="Q344" s="11">
        <f t="shared" si="11"/>
        <v>0.41099999999999998</v>
      </c>
      <c r="R344" s="11">
        <v>2.37</v>
      </c>
    </row>
    <row r="345" spans="2:18" ht="16" x14ac:dyDescent="0.3">
      <c r="B345" s="4">
        <v>339</v>
      </c>
      <c r="C345" s="4" t="s">
        <v>3508</v>
      </c>
      <c r="D345" s="5" t="s">
        <v>3284</v>
      </c>
      <c r="E345" s="4">
        <v>300</v>
      </c>
      <c r="F345" s="5" t="s">
        <v>3285</v>
      </c>
      <c r="G345" s="4" t="s">
        <v>2185</v>
      </c>
      <c r="H345" s="4" t="s">
        <v>626</v>
      </c>
      <c r="I345" s="22">
        <v>2305163.9989999998</v>
      </c>
      <c r="J345" s="22">
        <v>585468.93299999996</v>
      </c>
      <c r="K345" s="22">
        <v>2305187.17</v>
      </c>
      <c r="L345" s="22">
        <v>585453.26800000004</v>
      </c>
      <c r="M345" s="6">
        <v>27.97</v>
      </c>
      <c r="N345" s="11">
        <v>3.74</v>
      </c>
      <c r="O345" s="11">
        <v>2.87</v>
      </c>
      <c r="P345" s="11">
        <f t="shared" si="10"/>
        <v>0.87000000000000011</v>
      </c>
      <c r="Q345" s="11">
        <f t="shared" si="11"/>
        <v>3.11</v>
      </c>
      <c r="R345" s="11">
        <v>1.9650000000000001</v>
      </c>
    </row>
    <row r="346" spans="2:18" ht="16" x14ac:dyDescent="0.3">
      <c r="B346" s="4">
        <v>340</v>
      </c>
      <c r="C346" s="4" t="s">
        <v>3509</v>
      </c>
      <c r="D346" s="5" t="s">
        <v>3284</v>
      </c>
      <c r="E346" s="4">
        <v>300</v>
      </c>
      <c r="F346" s="5" t="s">
        <v>3285</v>
      </c>
      <c r="G346" s="4" t="s">
        <v>2098</v>
      </c>
      <c r="H346" s="4" t="s">
        <v>2095</v>
      </c>
      <c r="I346" s="22">
        <v>2305128.7119999998</v>
      </c>
      <c r="J346" s="22">
        <v>585515.91899999999</v>
      </c>
      <c r="K346" s="22">
        <v>2305107.7000000002</v>
      </c>
      <c r="L346" s="22">
        <v>585530.00899999996</v>
      </c>
      <c r="M346" s="6">
        <v>25.3</v>
      </c>
      <c r="N346" s="11">
        <v>4.33</v>
      </c>
      <c r="O346" s="11">
        <v>4.42</v>
      </c>
      <c r="P346" s="11">
        <f t="shared" si="10"/>
        <v>8.9999999999999858E-2</v>
      </c>
      <c r="Q346" s="11">
        <f t="shared" si="11"/>
        <v>0.35599999999999998</v>
      </c>
      <c r="R346" s="11">
        <v>0.89500000000000002</v>
      </c>
    </row>
    <row r="347" spans="2:18" ht="16" x14ac:dyDescent="0.3">
      <c r="B347" s="4">
        <v>341</v>
      </c>
      <c r="C347" s="4" t="s">
        <v>3510</v>
      </c>
      <c r="D347" s="5" t="s">
        <v>3284</v>
      </c>
      <c r="E347" s="4">
        <v>300</v>
      </c>
      <c r="F347" s="5" t="s">
        <v>3285</v>
      </c>
      <c r="G347" s="4" t="s">
        <v>2059</v>
      </c>
      <c r="H347" s="4" t="s">
        <v>2098</v>
      </c>
      <c r="I347" s="22">
        <v>2305148.34</v>
      </c>
      <c r="J347" s="22">
        <v>585503.00600000005</v>
      </c>
      <c r="K347" s="22">
        <v>2305129.2940000002</v>
      </c>
      <c r="L347" s="22">
        <v>585515.52899999998</v>
      </c>
      <c r="M347" s="6">
        <v>22.794</v>
      </c>
      <c r="N347" s="11">
        <v>3.89</v>
      </c>
      <c r="O347" s="11">
        <v>4.33</v>
      </c>
      <c r="P347" s="11">
        <f t="shared" si="10"/>
        <v>0.43999999999999995</v>
      </c>
      <c r="Q347" s="11">
        <f t="shared" si="11"/>
        <v>1.93</v>
      </c>
      <c r="R347" s="11">
        <v>1.1599999999999999</v>
      </c>
    </row>
    <row r="348" spans="2:18" ht="16" x14ac:dyDescent="0.3">
      <c r="B348" s="4">
        <v>342</v>
      </c>
      <c r="C348" s="4" t="s">
        <v>3511</v>
      </c>
      <c r="D348" s="5" t="s">
        <v>3284</v>
      </c>
      <c r="E348" s="4">
        <v>300</v>
      </c>
      <c r="F348" s="5" t="s">
        <v>3285</v>
      </c>
      <c r="G348" s="4" t="s">
        <v>2062</v>
      </c>
      <c r="H348" s="4" t="s">
        <v>2059</v>
      </c>
      <c r="I348" s="22">
        <v>2305143.64</v>
      </c>
      <c r="J348" s="22">
        <v>585485.73800000001</v>
      </c>
      <c r="K348" s="22">
        <v>2305149.17</v>
      </c>
      <c r="L348" s="22">
        <v>585502.44900000002</v>
      </c>
      <c r="M348" s="6">
        <v>19.088000000000001</v>
      </c>
      <c r="N348" s="11">
        <v>3.83</v>
      </c>
      <c r="O348" s="11">
        <v>3.89</v>
      </c>
      <c r="P348" s="11">
        <f t="shared" si="10"/>
        <v>6.0000000000000053E-2</v>
      </c>
      <c r="Q348" s="11">
        <f t="shared" si="11"/>
        <v>0.314</v>
      </c>
      <c r="R348" s="11">
        <v>1.41</v>
      </c>
    </row>
    <row r="349" spans="2:18" ht="16" x14ac:dyDescent="0.3">
      <c r="B349" s="4">
        <v>343</v>
      </c>
      <c r="C349" s="4" t="s">
        <v>3512</v>
      </c>
      <c r="D349" s="5" t="s">
        <v>3284</v>
      </c>
      <c r="E349" s="4">
        <v>300</v>
      </c>
      <c r="F349" s="5" t="s">
        <v>3285</v>
      </c>
      <c r="G349" s="4" t="s">
        <v>2104</v>
      </c>
      <c r="H349" s="4" t="s">
        <v>2062</v>
      </c>
      <c r="I349" s="22">
        <v>2305117.3870000001</v>
      </c>
      <c r="J349" s="22">
        <v>585497.77300000004</v>
      </c>
      <c r="K349" s="22">
        <v>2305143.0699999998</v>
      </c>
      <c r="L349" s="22">
        <v>585484.90500000003</v>
      </c>
      <c r="M349" s="6">
        <v>29.989000000000001</v>
      </c>
      <c r="N349" s="11">
        <v>4.33</v>
      </c>
      <c r="O349" s="11">
        <v>3.83</v>
      </c>
      <c r="P349" s="11">
        <f t="shared" si="10"/>
        <v>0.5</v>
      </c>
      <c r="Q349" s="11">
        <f t="shared" si="11"/>
        <v>1.667</v>
      </c>
      <c r="R349" s="11">
        <v>1.19</v>
      </c>
    </row>
    <row r="350" spans="2:18" ht="16" x14ac:dyDescent="0.3">
      <c r="B350" s="4">
        <v>344</v>
      </c>
      <c r="C350" s="4" t="s">
        <v>3513</v>
      </c>
      <c r="D350" s="5" t="s">
        <v>3284</v>
      </c>
      <c r="E350" s="4">
        <v>300</v>
      </c>
      <c r="F350" s="5" t="s">
        <v>3285</v>
      </c>
      <c r="G350" s="4" t="s">
        <v>2101</v>
      </c>
      <c r="H350" s="4" t="s">
        <v>2104</v>
      </c>
      <c r="I350" s="22">
        <v>2305095.7930000001</v>
      </c>
      <c r="J350" s="22">
        <v>585512.25300000003</v>
      </c>
      <c r="K350" s="22">
        <v>2305116.8059999999</v>
      </c>
      <c r="L350" s="22">
        <v>585498.16299999994</v>
      </c>
      <c r="M350" s="6">
        <v>25.3</v>
      </c>
      <c r="N350" s="11">
        <v>4.42</v>
      </c>
      <c r="O350" s="11">
        <v>4.33</v>
      </c>
      <c r="P350" s="11">
        <f t="shared" si="10"/>
        <v>8.9999999999999858E-2</v>
      </c>
      <c r="Q350" s="11">
        <f t="shared" si="11"/>
        <v>0.35599999999999998</v>
      </c>
      <c r="R350" s="11">
        <v>0.89500000000000002</v>
      </c>
    </row>
    <row r="351" spans="2:18" ht="16" x14ac:dyDescent="0.3">
      <c r="B351" s="4">
        <v>345</v>
      </c>
      <c r="C351" s="4" t="s">
        <v>3514</v>
      </c>
      <c r="D351" s="5" t="s">
        <v>3284</v>
      </c>
      <c r="E351" s="4">
        <v>300</v>
      </c>
      <c r="F351" s="5" t="s">
        <v>3285</v>
      </c>
      <c r="G351" s="4" t="s">
        <v>2281</v>
      </c>
      <c r="H351" s="4" t="s">
        <v>884</v>
      </c>
      <c r="I351" s="22">
        <v>2305066.6710000001</v>
      </c>
      <c r="J351" s="22">
        <v>585730.43200000003</v>
      </c>
      <c r="K351" s="22">
        <v>2305044.003</v>
      </c>
      <c r="L351" s="22">
        <v>585745.64500000002</v>
      </c>
      <c r="M351" s="6">
        <v>27.3</v>
      </c>
      <c r="N351" s="11">
        <v>4.34</v>
      </c>
      <c r="O351" s="11">
        <v>4.42</v>
      </c>
      <c r="P351" s="11">
        <f t="shared" si="10"/>
        <v>8.0000000000000071E-2</v>
      </c>
      <c r="Q351" s="11">
        <f t="shared" si="11"/>
        <v>0.29299999999999998</v>
      </c>
      <c r="R351" s="11">
        <v>0.89</v>
      </c>
    </row>
    <row r="352" spans="2:18" ht="16" x14ac:dyDescent="0.3">
      <c r="B352" s="4">
        <v>346</v>
      </c>
      <c r="C352" s="4" t="s">
        <v>3515</v>
      </c>
      <c r="D352" s="5" t="s">
        <v>3284</v>
      </c>
      <c r="E352" s="4">
        <v>300</v>
      </c>
      <c r="F352" s="5" t="s">
        <v>3285</v>
      </c>
      <c r="G352" s="4" t="s">
        <v>2284</v>
      </c>
      <c r="H352" s="4" t="s">
        <v>2281</v>
      </c>
      <c r="I352" s="22">
        <v>2305085.7799999998</v>
      </c>
      <c r="J352" s="22">
        <v>585717.63100000005</v>
      </c>
      <c r="K352" s="22">
        <v>2305067.253</v>
      </c>
      <c r="L352" s="22">
        <v>585730.049</v>
      </c>
      <c r="M352" s="6">
        <v>22.303000000000001</v>
      </c>
      <c r="N352" s="11">
        <v>4.25</v>
      </c>
      <c r="O352" s="11">
        <v>4.34</v>
      </c>
      <c r="P352" s="11">
        <f t="shared" si="10"/>
        <v>8.9999999999999858E-2</v>
      </c>
      <c r="Q352" s="11">
        <f t="shared" si="11"/>
        <v>0.40400000000000003</v>
      </c>
      <c r="R352" s="11">
        <v>0.97499999999999998</v>
      </c>
    </row>
    <row r="353" spans="2:18" ht="16" x14ac:dyDescent="0.3">
      <c r="B353" s="4">
        <v>347</v>
      </c>
      <c r="C353" s="4" t="s">
        <v>3516</v>
      </c>
      <c r="D353" s="5" t="s">
        <v>3284</v>
      </c>
      <c r="E353" s="4">
        <v>300</v>
      </c>
      <c r="F353" s="5" t="s">
        <v>3285</v>
      </c>
      <c r="G353" s="4" t="s">
        <v>2287</v>
      </c>
      <c r="H353" s="4" t="s">
        <v>2284</v>
      </c>
      <c r="I353" s="22">
        <v>2305107.3739999998</v>
      </c>
      <c r="J353" s="22">
        <v>585703.15</v>
      </c>
      <c r="K353" s="22">
        <v>2305086.4019999998</v>
      </c>
      <c r="L353" s="22">
        <v>585717.21299999999</v>
      </c>
      <c r="M353" s="6">
        <v>25.25</v>
      </c>
      <c r="N353" s="11">
        <v>4.17</v>
      </c>
      <c r="O353" s="11">
        <v>4.25</v>
      </c>
      <c r="P353" s="11">
        <f t="shared" si="10"/>
        <v>8.0000000000000071E-2</v>
      </c>
      <c r="Q353" s="11">
        <f t="shared" si="11"/>
        <v>0.317</v>
      </c>
      <c r="R353" s="11">
        <v>1.06</v>
      </c>
    </row>
    <row r="354" spans="2:18" ht="16" x14ac:dyDescent="0.3">
      <c r="B354" s="4">
        <v>348</v>
      </c>
      <c r="C354" s="4" t="s">
        <v>3517</v>
      </c>
      <c r="D354" s="5" t="s">
        <v>3284</v>
      </c>
      <c r="E354" s="4">
        <v>300</v>
      </c>
      <c r="F354" s="5" t="s">
        <v>3285</v>
      </c>
      <c r="G354" s="4" t="s">
        <v>662</v>
      </c>
      <c r="H354" s="4" t="s">
        <v>2287</v>
      </c>
      <c r="I354" s="22">
        <v>2305127.7930000001</v>
      </c>
      <c r="J354" s="22">
        <v>585689.25100000005</v>
      </c>
      <c r="K354" s="22">
        <v>2305107.9550000001</v>
      </c>
      <c r="L354" s="22">
        <v>585702.76100000006</v>
      </c>
      <c r="M354" s="6">
        <v>24.001000000000001</v>
      </c>
      <c r="N354" s="11">
        <v>3.43</v>
      </c>
      <c r="O354" s="11">
        <v>4.17</v>
      </c>
      <c r="P354" s="11">
        <f t="shared" si="10"/>
        <v>0.73999999999999977</v>
      </c>
      <c r="Q354" s="11">
        <f t="shared" si="11"/>
        <v>3.0830000000000002</v>
      </c>
      <c r="R354" s="11">
        <v>1.47</v>
      </c>
    </row>
    <row r="355" spans="2:18" ht="16" x14ac:dyDescent="0.3">
      <c r="B355" s="4">
        <v>349</v>
      </c>
      <c r="C355" s="4" t="s">
        <v>3518</v>
      </c>
      <c r="D355" s="5" t="s">
        <v>3284</v>
      </c>
      <c r="E355" s="4">
        <v>300</v>
      </c>
      <c r="F355" s="5" t="s">
        <v>3285</v>
      </c>
      <c r="G355" s="4" t="s">
        <v>659</v>
      </c>
      <c r="H355" s="4" t="s">
        <v>662</v>
      </c>
      <c r="I355" s="22">
        <v>2305140.9530000002</v>
      </c>
      <c r="J355" s="22">
        <v>585706.54299999995</v>
      </c>
      <c r="K355" s="22">
        <v>2305128.6230000001</v>
      </c>
      <c r="L355" s="22">
        <v>585688.69400000002</v>
      </c>
      <c r="M355" s="6">
        <v>34.655000000000001</v>
      </c>
      <c r="N355" s="11">
        <v>3.52</v>
      </c>
      <c r="O355" s="11">
        <v>3.43</v>
      </c>
      <c r="P355" s="11">
        <f t="shared" si="10"/>
        <v>8.9999999999999858E-2</v>
      </c>
      <c r="Q355" s="11">
        <f t="shared" si="11"/>
        <v>0.26</v>
      </c>
      <c r="R355" s="11">
        <v>1.8149999999999999</v>
      </c>
    </row>
    <row r="356" spans="2:18" ht="16" x14ac:dyDescent="0.3">
      <c r="B356" s="4">
        <v>350</v>
      </c>
      <c r="C356" s="4" t="s">
        <v>3519</v>
      </c>
      <c r="D356" s="5" t="s">
        <v>3284</v>
      </c>
      <c r="E356" s="4">
        <v>300</v>
      </c>
      <c r="F356" s="5" t="s">
        <v>3285</v>
      </c>
      <c r="G356" s="4" t="s">
        <v>2296</v>
      </c>
      <c r="H356" s="4" t="s">
        <v>659</v>
      </c>
      <c r="I356" s="22">
        <v>2305119.8480000002</v>
      </c>
      <c r="J356" s="22">
        <v>585720.5</v>
      </c>
      <c r="K356" s="22">
        <v>2305140.1230000001</v>
      </c>
      <c r="L356" s="22">
        <v>585707.1</v>
      </c>
      <c r="M356" s="6">
        <v>24.303000000000001</v>
      </c>
      <c r="N356" s="11">
        <v>4.21</v>
      </c>
      <c r="O356" s="11">
        <v>3.52</v>
      </c>
      <c r="P356" s="11">
        <f t="shared" si="10"/>
        <v>0.69</v>
      </c>
      <c r="Q356" s="11">
        <f t="shared" si="11"/>
        <v>2.839</v>
      </c>
      <c r="R356" s="11">
        <v>1.4450000000000001</v>
      </c>
    </row>
    <row r="357" spans="2:18" ht="16" x14ac:dyDescent="0.3">
      <c r="B357" s="4">
        <v>351</v>
      </c>
      <c r="C357" s="4" t="s">
        <v>3520</v>
      </c>
      <c r="D357" s="5" t="s">
        <v>3284</v>
      </c>
      <c r="E357" s="4">
        <v>300</v>
      </c>
      <c r="F357" s="5" t="s">
        <v>3285</v>
      </c>
      <c r="G357" s="4" t="s">
        <v>2293</v>
      </c>
      <c r="H357" s="4" t="s">
        <v>2296</v>
      </c>
      <c r="I357" s="22">
        <v>2305098.2680000002</v>
      </c>
      <c r="J357" s="22">
        <v>585734.99699999997</v>
      </c>
      <c r="K357" s="22">
        <v>2305119.25</v>
      </c>
      <c r="L357" s="22">
        <v>585720.88800000004</v>
      </c>
      <c r="M357" s="6">
        <v>25.285</v>
      </c>
      <c r="N357" s="11">
        <v>4.29</v>
      </c>
      <c r="O357" s="11">
        <v>4.21</v>
      </c>
      <c r="P357" s="11">
        <f t="shared" si="10"/>
        <v>8.0000000000000071E-2</v>
      </c>
      <c r="Q357" s="11">
        <f t="shared" si="11"/>
        <v>0.316</v>
      </c>
      <c r="R357" s="11">
        <v>1.06</v>
      </c>
    </row>
    <row r="358" spans="2:18" ht="16" x14ac:dyDescent="0.3">
      <c r="B358" s="4">
        <v>352</v>
      </c>
      <c r="C358" s="4" t="s">
        <v>3521</v>
      </c>
      <c r="D358" s="5" t="s">
        <v>3284</v>
      </c>
      <c r="E358" s="4">
        <v>300</v>
      </c>
      <c r="F358" s="5" t="s">
        <v>3285</v>
      </c>
      <c r="G358" s="4" t="s">
        <v>2290</v>
      </c>
      <c r="H358" s="4" t="s">
        <v>2293</v>
      </c>
      <c r="I358" s="22">
        <v>2305076.673</v>
      </c>
      <c r="J358" s="22">
        <v>585749.478</v>
      </c>
      <c r="K358" s="22">
        <v>2305097.6860000002</v>
      </c>
      <c r="L358" s="22">
        <v>585735.38699999999</v>
      </c>
      <c r="M358" s="6">
        <v>25.3</v>
      </c>
      <c r="N358" s="11">
        <v>4.38</v>
      </c>
      <c r="O358" s="11">
        <v>4.29</v>
      </c>
      <c r="P358" s="11">
        <f t="shared" si="10"/>
        <v>8.9999999999999858E-2</v>
      </c>
      <c r="Q358" s="11">
        <f t="shared" si="11"/>
        <v>0.35599999999999998</v>
      </c>
      <c r="R358" s="11">
        <v>0.97499999999999998</v>
      </c>
    </row>
    <row r="359" spans="2:18" ht="16" x14ac:dyDescent="0.3">
      <c r="B359" s="4">
        <v>353</v>
      </c>
      <c r="C359" s="4" t="s">
        <v>3522</v>
      </c>
      <c r="D359" s="5" t="s">
        <v>3284</v>
      </c>
      <c r="E359" s="4">
        <v>300</v>
      </c>
      <c r="F359" s="5" t="s">
        <v>3285</v>
      </c>
      <c r="G359" s="4" t="s">
        <v>881</v>
      </c>
      <c r="H359" s="4" t="s">
        <v>2290</v>
      </c>
      <c r="I359" s="22">
        <v>2305055.9130000002</v>
      </c>
      <c r="J359" s="22">
        <v>585763.40700000001</v>
      </c>
      <c r="K359" s="22">
        <v>2305076.0920000002</v>
      </c>
      <c r="L359" s="22">
        <v>585749.86800000002</v>
      </c>
      <c r="M359" s="6">
        <v>24.3</v>
      </c>
      <c r="N359" s="11">
        <v>4.46</v>
      </c>
      <c r="O359" s="11">
        <v>4.38</v>
      </c>
      <c r="P359" s="11">
        <f t="shared" si="10"/>
        <v>8.0000000000000071E-2</v>
      </c>
      <c r="Q359" s="11">
        <f t="shared" si="11"/>
        <v>0.32900000000000001</v>
      </c>
      <c r="R359" s="11">
        <v>0.89</v>
      </c>
    </row>
    <row r="360" spans="2:18" ht="16" x14ac:dyDescent="0.3">
      <c r="B360" s="4">
        <v>354</v>
      </c>
      <c r="C360" s="4" t="s">
        <v>3523</v>
      </c>
      <c r="D360" s="5" t="s">
        <v>3284</v>
      </c>
      <c r="E360" s="4">
        <v>300</v>
      </c>
      <c r="F360" s="5" t="s">
        <v>3285</v>
      </c>
      <c r="G360" s="4" t="s">
        <v>1064</v>
      </c>
      <c r="H360" s="4" t="s">
        <v>351</v>
      </c>
      <c r="I360" s="22">
        <v>2305286.682</v>
      </c>
      <c r="J360" s="22">
        <v>584920.80900000001</v>
      </c>
      <c r="K360" s="22">
        <v>2305306.034</v>
      </c>
      <c r="L360" s="22">
        <v>584907.83200000005</v>
      </c>
      <c r="M360" s="6">
        <v>23.3</v>
      </c>
      <c r="N360" s="11">
        <v>4.18</v>
      </c>
      <c r="O360" s="11">
        <v>4.26</v>
      </c>
      <c r="P360" s="11">
        <f t="shared" si="10"/>
        <v>8.0000000000000071E-2</v>
      </c>
      <c r="Q360" s="11">
        <f t="shared" si="11"/>
        <v>0.34300000000000003</v>
      </c>
      <c r="R360" s="11">
        <v>0.89</v>
      </c>
    </row>
    <row r="361" spans="2:18" ht="16" x14ac:dyDescent="0.3">
      <c r="B361" s="4">
        <v>355</v>
      </c>
      <c r="C361" s="4" t="s">
        <v>3524</v>
      </c>
      <c r="D361" s="5" t="s">
        <v>3284</v>
      </c>
      <c r="E361" s="4">
        <v>300</v>
      </c>
      <c r="F361" s="5" t="s">
        <v>3285</v>
      </c>
      <c r="G361" s="4" t="s">
        <v>1067</v>
      </c>
      <c r="H361" s="4" t="s">
        <v>1064</v>
      </c>
      <c r="I361" s="22">
        <v>2305266.7489999998</v>
      </c>
      <c r="J361" s="22">
        <v>584934.17599999998</v>
      </c>
      <c r="K361" s="22">
        <v>2305286.1</v>
      </c>
      <c r="L361" s="22">
        <v>584921.19900000002</v>
      </c>
      <c r="M361" s="6">
        <v>23.3</v>
      </c>
      <c r="N361" s="11">
        <v>4.0999999999999996</v>
      </c>
      <c r="O361" s="11">
        <v>4.18</v>
      </c>
      <c r="P361" s="11">
        <f t="shared" si="10"/>
        <v>8.0000000000000071E-2</v>
      </c>
      <c r="Q361" s="11">
        <f t="shared" si="11"/>
        <v>0.34300000000000003</v>
      </c>
      <c r="R361" s="11">
        <v>0.97</v>
      </c>
    </row>
    <row r="362" spans="2:18" ht="16" x14ac:dyDescent="0.3">
      <c r="B362" s="4">
        <v>356</v>
      </c>
      <c r="C362" s="4" t="s">
        <v>3525</v>
      </c>
      <c r="D362" s="5" t="s">
        <v>3284</v>
      </c>
      <c r="E362" s="4">
        <v>300</v>
      </c>
      <c r="F362" s="5" t="s">
        <v>3285</v>
      </c>
      <c r="G362" s="4" t="s">
        <v>1070</v>
      </c>
      <c r="H362" s="4" t="s">
        <v>1067</v>
      </c>
      <c r="I362" s="22">
        <v>2305246.8149999999</v>
      </c>
      <c r="J362" s="22">
        <v>584947.54200000002</v>
      </c>
      <c r="K362" s="22">
        <v>2305266.1669999999</v>
      </c>
      <c r="L362" s="22">
        <v>584934.56599999999</v>
      </c>
      <c r="M362" s="6">
        <v>23.3</v>
      </c>
      <c r="N362" s="11">
        <v>4.0199999999999996</v>
      </c>
      <c r="O362" s="11">
        <v>4.0999999999999996</v>
      </c>
      <c r="P362" s="11">
        <f t="shared" si="10"/>
        <v>8.0000000000000071E-2</v>
      </c>
      <c r="Q362" s="11">
        <f t="shared" si="11"/>
        <v>0.34300000000000003</v>
      </c>
      <c r="R362" s="11">
        <v>1.05</v>
      </c>
    </row>
    <row r="363" spans="2:18" ht="16" x14ac:dyDescent="0.3">
      <c r="B363" s="4">
        <v>357</v>
      </c>
      <c r="C363" s="4" t="s">
        <v>3526</v>
      </c>
      <c r="D363" s="5" t="s">
        <v>3284</v>
      </c>
      <c r="E363" s="4">
        <v>300</v>
      </c>
      <c r="F363" s="5" t="s">
        <v>3285</v>
      </c>
      <c r="G363" s="4" t="s">
        <v>1073</v>
      </c>
      <c r="H363" s="4" t="s">
        <v>1070</v>
      </c>
      <c r="I363" s="22">
        <v>2305233.39</v>
      </c>
      <c r="J363" s="22">
        <v>584956.24699999997</v>
      </c>
      <c r="K363" s="22">
        <v>2305246.2340000002</v>
      </c>
      <c r="L363" s="22">
        <v>584947.93200000003</v>
      </c>
      <c r="M363" s="6">
        <v>15.3</v>
      </c>
      <c r="N363" s="11">
        <v>3.97</v>
      </c>
      <c r="O363" s="11">
        <v>4.0199999999999996</v>
      </c>
      <c r="P363" s="11">
        <f t="shared" si="10"/>
        <v>4.9999999999999378E-2</v>
      </c>
      <c r="Q363" s="11">
        <f t="shared" si="11"/>
        <v>0.32700000000000001</v>
      </c>
      <c r="R363" s="11">
        <v>1.115</v>
      </c>
    </row>
    <row r="364" spans="2:18" ht="16" x14ac:dyDescent="0.3">
      <c r="B364" s="4">
        <v>358</v>
      </c>
      <c r="C364" s="4" t="s">
        <v>3527</v>
      </c>
      <c r="D364" s="5" t="s">
        <v>3284</v>
      </c>
      <c r="E364" s="4">
        <v>300</v>
      </c>
      <c r="F364" s="5" t="s">
        <v>3285</v>
      </c>
      <c r="G364" s="4" t="s">
        <v>354</v>
      </c>
      <c r="H364" s="4" t="s">
        <v>1073</v>
      </c>
      <c r="I364" s="22">
        <v>2305219.7080000001</v>
      </c>
      <c r="J364" s="22">
        <v>584965.41799999995</v>
      </c>
      <c r="K364" s="22">
        <v>2305232.5619999999</v>
      </c>
      <c r="L364" s="22">
        <v>584956.80700000003</v>
      </c>
      <c r="M364" s="6">
        <v>15.471</v>
      </c>
      <c r="N364" s="11">
        <v>3.91</v>
      </c>
      <c r="O364" s="11">
        <v>3.97</v>
      </c>
      <c r="P364" s="11">
        <f t="shared" si="10"/>
        <v>6.0000000000000053E-2</v>
      </c>
      <c r="Q364" s="11">
        <f t="shared" si="11"/>
        <v>0.38800000000000001</v>
      </c>
      <c r="R364" s="11">
        <v>1.17</v>
      </c>
    </row>
    <row r="365" spans="2:18" ht="16" x14ac:dyDescent="0.3">
      <c r="B365" s="4">
        <v>359</v>
      </c>
      <c r="C365" s="4" t="s">
        <v>3528</v>
      </c>
      <c r="D365" s="5" t="s">
        <v>3284</v>
      </c>
      <c r="E365" s="4">
        <v>300</v>
      </c>
      <c r="F365" s="5" t="s">
        <v>3285</v>
      </c>
      <c r="G365" s="4" t="s">
        <v>1076</v>
      </c>
      <c r="H365" s="4" t="s">
        <v>354</v>
      </c>
      <c r="I365" s="22">
        <v>2305223.6150000002</v>
      </c>
      <c r="J365" s="22">
        <v>584985.05200000003</v>
      </c>
      <c r="K365" s="22">
        <v>2305218.9909999999</v>
      </c>
      <c r="L365" s="22">
        <v>584965.84400000004</v>
      </c>
      <c r="M365" s="6">
        <v>21.484000000000002</v>
      </c>
      <c r="N365" s="11">
        <v>3.84</v>
      </c>
      <c r="O365" s="11">
        <v>3.91</v>
      </c>
      <c r="P365" s="11">
        <f t="shared" si="10"/>
        <v>7.0000000000000284E-2</v>
      </c>
      <c r="Q365" s="11">
        <f t="shared" si="11"/>
        <v>0.32600000000000001</v>
      </c>
      <c r="R365" s="11">
        <v>1.2350000000000001</v>
      </c>
    </row>
    <row r="366" spans="2:18" ht="16" x14ac:dyDescent="0.3">
      <c r="B366" s="4">
        <v>360</v>
      </c>
      <c r="C366" s="4" t="s">
        <v>3529</v>
      </c>
      <c r="D366" s="5" t="s">
        <v>3284</v>
      </c>
      <c r="E366" s="4">
        <v>300</v>
      </c>
      <c r="F366" s="5" t="s">
        <v>3285</v>
      </c>
      <c r="G366" s="4" t="s">
        <v>357</v>
      </c>
      <c r="H366" s="4" t="s">
        <v>1076</v>
      </c>
      <c r="I366" s="22">
        <v>2305241.8790000002</v>
      </c>
      <c r="J366" s="22">
        <v>584995.94200000004</v>
      </c>
      <c r="K366" s="22">
        <v>2305224.17</v>
      </c>
      <c r="L366" s="22">
        <v>584985.88399999996</v>
      </c>
      <c r="M366" s="6">
        <v>23.640999999999998</v>
      </c>
      <c r="N366" s="11">
        <v>3.77</v>
      </c>
      <c r="O366" s="11">
        <v>3.84</v>
      </c>
      <c r="P366" s="11">
        <f t="shared" si="10"/>
        <v>6.999999999999984E-2</v>
      </c>
      <c r="Q366" s="11">
        <f t="shared" si="11"/>
        <v>0.29599999999999999</v>
      </c>
      <c r="R366" s="11">
        <v>1.2849999999999999</v>
      </c>
    </row>
    <row r="367" spans="2:18" ht="16" x14ac:dyDescent="0.3">
      <c r="B367" s="4">
        <v>361</v>
      </c>
      <c r="C367" s="4" t="s">
        <v>3530</v>
      </c>
      <c r="D367" s="5" t="s">
        <v>3284</v>
      </c>
      <c r="E367" s="4">
        <v>300</v>
      </c>
      <c r="F367" s="5" t="s">
        <v>3285</v>
      </c>
      <c r="G367" s="4" t="s">
        <v>1088</v>
      </c>
      <c r="H367" s="4" t="s">
        <v>357</v>
      </c>
      <c r="I367" s="22">
        <v>2305253.8029999998</v>
      </c>
      <c r="J367" s="22">
        <v>584987.94700000004</v>
      </c>
      <c r="K367" s="22">
        <v>2305242.7239999999</v>
      </c>
      <c r="L367" s="22">
        <v>584995.38500000001</v>
      </c>
      <c r="M367" s="6">
        <v>13.343</v>
      </c>
      <c r="N367" s="11">
        <v>3.93</v>
      </c>
      <c r="O367" s="11">
        <v>3.77</v>
      </c>
      <c r="P367" s="11">
        <f t="shared" si="10"/>
        <v>0.16000000000000014</v>
      </c>
      <c r="Q367" s="11">
        <f t="shared" si="11"/>
        <v>1.1990000000000001</v>
      </c>
      <c r="R367" s="11">
        <v>1.22</v>
      </c>
    </row>
    <row r="368" spans="2:18" ht="16" x14ac:dyDescent="0.3">
      <c r="B368" s="4">
        <v>362</v>
      </c>
      <c r="C368" s="4" t="s">
        <v>3531</v>
      </c>
      <c r="D368" s="5" t="s">
        <v>3284</v>
      </c>
      <c r="E368" s="4">
        <v>300</v>
      </c>
      <c r="F368" s="5" t="s">
        <v>3285</v>
      </c>
      <c r="G368" s="4" t="s">
        <v>1085</v>
      </c>
      <c r="H368" s="4" t="s">
        <v>1088</v>
      </c>
      <c r="I368" s="22">
        <v>2305266.952</v>
      </c>
      <c r="J368" s="22">
        <v>584978.82900000003</v>
      </c>
      <c r="K368" s="22">
        <v>2305254.6329999999</v>
      </c>
      <c r="L368" s="22">
        <v>584987.39099999995</v>
      </c>
      <c r="M368" s="6">
        <v>15.002000000000001</v>
      </c>
      <c r="N368" s="11">
        <v>3.98</v>
      </c>
      <c r="O368" s="11">
        <v>3.93</v>
      </c>
      <c r="P368" s="11">
        <f t="shared" si="10"/>
        <v>4.9999999999999822E-2</v>
      </c>
      <c r="Q368" s="11">
        <f t="shared" si="11"/>
        <v>0.33300000000000002</v>
      </c>
      <c r="R368" s="11">
        <v>1.115</v>
      </c>
    </row>
    <row r="369" spans="2:18" ht="16" x14ac:dyDescent="0.3">
      <c r="B369" s="4">
        <v>363</v>
      </c>
      <c r="C369" s="4" t="s">
        <v>3532</v>
      </c>
      <c r="D369" s="5" t="s">
        <v>3284</v>
      </c>
      <c r="E369" s="4">
        <v>300</v>
      </c>
      <c r="F369" s="5" t="s">
        <v>3285</v>
      </c>
      <c r="G369" s="4" t="s">
        <v>1082</v>
      </c>
      <c r="H369" s="4" t="s">
        <v>1085</v>
      </c>
      <c r="I369" s="22">
        <v>2305286.8709999998</v>
      </c>
      <c r="J369" s="22">
        <v>584965.44099999999</v>
      </c>
      <c r="K369" s="22">
        <v>2305267.534</v>
      </c>
      <c r="L369" s="22">
        <v>584978.43900000001</v>
      </c>
      <c r="M369" s="6">
        <v>23.3</v>
      </c>
      <c r="N369" s="11">
        <v>4.0599999999999996</v>
      </c>
      <c r="O369" s="11">
        <v>3.98</v>
      </c>
      <c r="P369" s="11">
        <f t="shared" si="10"/>
        <v>7.9999999999999627E-2</v>
      </c>
      <c r="Q369" s="11">
        <f t="shared" si="11"/>
        <v>0.34300000000000003</v>
      </c>
      <c r="R369" s="11">
        <v>1.05</v>
      </c>
    </row>
    <row r="370" spans="2:18" ht="16" x14ac:dyDescent="0.3">
      <c r="B370" s="4">
        <v>364</v>
      </c>
      <c r="C370" s="4" t="s">
        <v>3533</v>
      </c>
      <c r="D370" s="5" t="s">
        <v>3284</v>
      </c>
      <c r="E370" s="4">
        <v>300</v>
      </c>
      <c r="F370" s="5" t="s">
        <v>3285</v>
      </c>
      <c r="G370" s="4" t="s">
        <v>1079</v>
      </c>
      <c r="H370" s="4" t="s">
        <v>1082</v>
      </c>
      <c r="I370" s="22">
        <v>2305306.8190000001</v>
      </c>
      <c r="J370" s="22">
        <v>584952.09600000002</v>
      </c>
      <c r="K370" s="22">
        <v>2305287.4670000002</v>
      </c>
      <c r="L370" s="22">
        <v>584965.07200000004</v>
      </c>
      <c r="M370" s="6">
        <v>23.3</v>
      </c>
      <c r="N370" s="11">
        <v>4.1399999999999997</v>
      </c>
      <c r="O370" s="11">
        <v>4.0599999999999996</v>
      </c>
      <c r="P370" s="11">
        <f t="shared" si="10"/>
        <v>8.0000000000000071E-2</v>
      </c>
      <c r="Q370" s="11">
        <f t="shared" si="11"/>
        <v>0.34300000000000003</v>
      </c>
      <c r="R370" s="11">
        <v>0.97</v>
      </c>
    </row>
    <row r="371" spans="2:18" ht="16" x14ac:dyDescent="0.3">
      <c r="B371" s="4">
        <v>365</v>
      </c>
      <c r="C371" s="4" t="s">
        <v>3534</v>
      </c>
      <c r="D371" s="5" t="s">
        <v>3284</v>
      </c>
      <c r="E371" s="4">
        <v>300</v>
      </c>
      <c r="F371" s="5" t="s">
        <v>3285</v>
      </c>
      <c r="G371" s="4" t="s">
        <v>701</v>
      </c>
      <c r="H371" s="4" t="s">
        <v>1079</v>
      </c>
      <c r="I371" s="22">
        <v>2305326.7579999999</v>
      </c>
      <c r="J371" s="22">
        <v>584938.73300000001</v>
      </c>
      <c r="K371" s="22">
        <v>2305307.4040000001</v>
      </c>
      <c r="L371" s="22">
        <v>584951.71100000001</v>
      </c>
      <c r="M371" s="6">
        <v>23.303000000000001</v>
      </c>
      <c r="N371" s="11">
        <v>4.22</v>
      </c>
      <c r="O371" s="11">
        <v>4.1399999999999997</v>
      </c>
      <c r="P371" s="11">
        <f t="shared" si="10"/>
        <v>8.0000000000000071E-2</v>
      </c>
      <c r="Q371" s="11">
        <f t="shared" si="11"/>
        <v>0.34300000000000003</v>
      </c>
      <c r="R371" s="11">
        <v>0.89</v>
      </c>
    </row>
    <row r="372" spans="2:18" ht="16" x14ac:dyDescent="0.3">
      <c r="B372" s="4">
        <v>366</v>
      </c>
      <c r="C372" s="4" t="s">
        <v>3535</v>
      </c>
      <c r="D372" s="5" t="s">
        <v>3284</v>
      </c>
      <c r="E372" s="4">
        <v>300</v>
      </c>
      <c r="F372" s="5" t="s">
        <v>3285</v>
      </c>
      <c r="G372" s="4" t="s">
        <v>1241</v>
      </c>
      <c r="H372" s="4" t="s">
        <v>998</v>
      </c>
      <c r="I372" s="22">
        <v>2305488.4890000001</v>
      </c>
      <c r="J372" s="22">
        <v>585209.19099999999</v>
      </c>
      <c r="K372" s="22">
        <v>2305507.0109999999</v>
      </c>
      <c r="L372" s="22">
        <v>585196.77099999995</v>
      </c>
      <c r="M372" s="6">
        <v>22.3</v>
      </c>
      <c r="N372" s="11">
        <v>4.24</v>
      </c>
      <c r="O372" s="11">
        <v>4.32</v>
      </c>
      <c r="P372" s="11">
        <f t="shared" si="10"/>
        <v>8.0000000000000071E-2</v>
      </c>
      <c r="Q372" s="11">
        <f t="shared" si="11"/>
        <v>0.35899999999999999</v>
      </c>
      <c r="R372" s="11">
        <v>0.89</v>
      </c>
    </row>
    <row r="373" spans="2:18" ht="16" x14ac:dyDescent="0.3">
      <c r="B373" s="4">
        <v>367</v>
      </c>
      <c r="C373" s="4" t="s">
        <v>3536</v>
      </c>
      <c r="D373" s="5" t="s">
        <v>3284</v>
      </c>
      <c r="E373" s="4">
        <v>300</v>
      </c>
      <c r="F373" s="5" t="s">
        <v>3285</v>
      </c>
      <c r="G373" s="4" t="s">
        <v>1244</v>
      </c>
      <c r="H373" s="4" t="s">
        <v>1241</v>
      </c>
      <c r="I373" s="22">
        <v>2305469.3870000001</v>
      </c>
      <c r="J373" s="22">
        <v>585222</v>
      </c>
      <c r="K373" s="22">
        <v>2305487.9079999998</v>
      </c>
      <c r="L373" s="22">
        <v>585209.57999999996</v>
      </c>
      <c r="M373" s="6">
        <v>22.3</v>
      </c>
      <c r="N373" s="11">
        <v>4.17</v>
      </c>
      <c r="O373" s="11">
        <v>4.24</v>
      </c>
      <c r="P373" s="11">
        <f t="shared" si="10"/>
        <v>7.0000000000000284E-2</v>
      </c>
      <c r="Q373" s="11">
        <f t="shared" si="11"/>
        <v>0.314</v>
      </c>
      <c r="R373" s="11">
        <v>0.96499999999999997</v>
      </c>
    </row>
    <row r="374" spans="2:18" ht="16" x14ac:dyDescent="0.3">
      <c r="B374" s="4">
        <v>368</v>
      </c>
      <c r="C374" s="4" t="s">
        <v>3537</v>
      </c>
      <c r="D374" s="5" t="s">
        <v>3284</v>
      </c>
      <c r="E374" s="4">
        <v>300</v>
      </c>
      <c r="F374" s="5" t="s">
        <v>3285</v>
      </c>
      <c r="G374" s="4" t="s">
        <v>1247</v>
      </c>
      <c r="H374" s="4" t="s">
        <v>1244</v>
      </c>
      <c r="I374" s="22">
        <v>2305447.7919999999</v>
      </c>
      <c r="J374" s="22">
        <v>585236.48100000003</v>
      </c>
      <c r="K374" s="22">
        <v>2305468.8050000002</v>
      </c>
      <c r="L374" s="22">
        <v>585222.39</v>
      </c>
      <c r="M374" s="6">
        <v>25.3</v>
      </c>
      <c r="N374" s="11">
        <v>4.08</v>
      </c>
      <c r="O374" s="11">
        <v>4.17</v>
      </c>
      <c r="P374" s="11">
        <f t="shared" si="10"/>
        <v>8.9999999999999858E-2</v>
      </c>
      <c r="Q374" s="11">
        <f t="shared" si="11"/>
        <v>0.35599999999999998</v>
      </c>
      <c r="R374" s="11">
        <v>1.0449999999999999</v>
      </c>
    </row>
    <row r="375" spans="2:18" ht="16" x14ac:dyDescent="0.3">
      <c r="B375" s="4">
        <v>369</v>
      </c>
      <c r="C375" s="4" t="s">
        <v>3538</v>
      </c>
      <c r="D375" s="5" t="s">
        <v>3284</v>
      </c>
      <c r="E375" s="4">
        <v>300</v>
      </c>
      <c r="F375" s="5" t="s">
        <v>3285</v>
      </c>
      <c r="G375" s="4" t="s">
        <v>1250</v>
      </c>
      <c r="H375" s="4" t="s">
        <v>1247</v>
      </c>
      <c r="I375" s="22">
        <v>2305431.0920000002</v>
      </c>
      <c r="J375" s="22">
        <v>585247.48600000003</v>
      </c>
      <c r="K375" s="22">
        <v>2305447.2110000001</v>
      </c>
      <c r="L375" s="22">
        <v>585236.87100000004</v>
      </c>
      <c r="M375" s="6">
        <v>19.300999999999998</v>
      </c>
      <c r="N375" s="11">
        <v>4.0199999999999996</v>
      </c>
      <c r="O375" s="11">
        <v>4.08</v>
      </c>
      <c r="P375" s="11">
        <f t="shared" si="10"/>
        <v>6.0000000000000497E-2</v>
      </c>
      <c r="Q375" s="11">
        <f t="shared" si="11"/>
        <v>0.311</v>
      </c>
      <c r="R375" s="11">
        <v>1.1200000000000001</v>
      </c>
    </row>
    <row r="376" spans="2:18" ht="16" x14ac:dyDescent="0.3">
      <c r="B376" s="4">
        <v>370</v>
      </c>
      <c r="C376" s="4" t="s">
        <v>3539</v>
      </c>
      <c r="D376" s="5" t="s">
        <v>3284</v>
      </c>
      <c r="E376" s="4">
        <v>300</v>
      </c>
      <c r="F376" s="5" t="s">
        <v>3285</v>
      </c>
      <c r="G376" s="4" t="s">
        <v>552</v>
      </c>
      <c r="H376" s="4" t="s">
        <v>1250</v>
      </c>
      <c r="I376" s="22">
        <v>2305415.7719999999</v>
      </c>
      <c r="J376" s="22">
        <v>585257.75899999996</v>
      </c>
      <c r="K376" s="22">
        <v>2305430.2609999999</v>
      </c>
      <c r="L376" s="22">
        <v>585248.04299999995</v>
      </c>
      <c r="M376" s="6">
        <v>17.445</v>
      </c>
      <c r="N376" s="11">
        <v>2.7</v>
      </c>
      <c r="O376" s="11">
        <v>4.0199999999999996</v>
      </c>
      <c r="P376" s="11">
        <f t="shared" si="10"/>
        <v>1.3199999999999994</v>
      </c>
      <c r="Q376" s="11">
        <f t="shared" si="11"/>
        <v>7.5670000000000002</v>
      </c>
      <c r="R376" s="11">
        <v>1.81</v>
      </c>
    </row>
    <row r="377" spans="2:18" ht="16" x14ac:dyDescent="0.3">
      <c r="B377" s="4">
        <v>371</v>
      </c>
      <c r="C377" s="4" t="s">
        <v>3540</v>
      </c>
      <c r="D377" s="5" t="s">
        <v>3284</v>
      </c>
      <c r="E377" s="4">
        <v>300</v>
      </c>
      <c r="F377" s="5" t="s">
        <v>3285</v>
      </c>
      <c r="G377" s="4" t="s">
        <v>549</v>
      </c>
      <c r="H377" s="4" t="s">
        <v>552</v>
      </c>
      <c r="I377" s="22">
        <v>2305427.162</v>
      </c>
      <c r="J377" s="22">
        <v>585276.19799999997</v>
      </c>
      <c r="K377" s="22">
        <v>2305414.9419999998</v>
      </c>
      <c r="L377" s="22">
        <v>585258.31599999999</v>
      </c>
      <c r="M377" s="6">
        <v>27.734999999999999</v>
      </c>
      <c r="N377" s="11">
        <v>2.79</v>
      </c>
      <c r="O377" s="11">
        <v>2.7</v>
      </c>
      <c r="P377" s="11">
        <f t="shared" si="10"/>
        <v>8.9999999999999858E-2</v>
      </c>
      <c r="Q377" s="11">
        <f t="shared" si="11"/>
        <v>0.32400000000000001</v>
      </c>
      <c r="R377" s="11">
        <v>2.4249999999999998</v>
      </c>
    </row>
    <row r="378" spans="2:18" ht="16" x14ac:dyDescent="0.3">
      <c r="B378" s="4">
        <v>372</v>
      </c>
      <c r="C378" s="4" t="s">
        <v>3541</v>
      </c>
      <c r="D378" s="5" t="s">
        <v>3284</v>
      </c>
      <c r="E378" s="4">
        <v>300</v>
      </c>
      <c r="F378" s="5" t="s">
        <v>3285</v>
      </c>
      <c r="G378" s="4" t="s">
        <v>1262</v>
      </c>
      <c r="H378" s="4" t="s">
        <v>549</v>
      </c>
      <c r="I378" s="22">
        <v>2305442.3470000001</v>
      </c>
      <c r="J378" s="22">
        <v>585266.06599999999</v>
      </c>
      <c r="K378" s="22">
        <v>2305427.9780000001</v>
      </c>
      <c r="L378" s="22">
        <v>585275.61899999995</v>
      </c>
      <c r="M378" s="6">
        <v>17.254999999999999</v>
      </c>
      <c r="N378" s="11">
        <v>4.0199999999999996</v>
      </c>
      <c r="O378" s="11">
        <v>2.79</v>
      </c>
      <c r="P378" s="11">
        <f t="shared" si="10"/>
        <v>1.2299999999999995</v>
      </c>
      <c r="Q378" s="11">
        <f t="shared" si="11"/>
        <v>7.1280000000000001</v>
      </c>
      <c r="R378" s="11">
        <v>1.7649999999999999</v>
      </c>
    </row>
    <row r="379" spans="2:18" ht="16" x14ac:dyDescent="0.3">
      <c r="B379" s="4">
        <v>373</v>
      </c>
      <c r="C379" s="4" t="s">
        <v>3542</v>
      </c>
      <c r="D379" s="5" t="s">
        <v>3284</v>
      </c>
      <c r="E379" s="4">
        <v>300</v>
      </c>
      <c r="F379" s="5" t="s">
        <v>3285</v>
      </c>
      <c r="G379" s="4" t="s">
        <v>1259</v>
      </c>
      <c r="H379" s="4" t="s">
        <v>1262</v>
      </c>
      <c r="I379" s="22">
        <v>2305459.1179999998</v>
      </c>
      <c r="J379" s="22">
        <v>585254.62699999998</v>
      </c>
      <c r="K379" s="22">
        <v>2305443.1779999998</v>
      </c>
      <c r="L379" s="22">
        <v>585265.50899999996</v>
      </c>
      <c r="M379" s="6">
        <v>19.300999999999998</v>
      </c>
      <c r="N379" s="11">
        <v>4.08</v>
      </c>
      <c r="O379" s="11">
        <v>4.0199999999999996</v>
      </c>
      <c r="P379" s="11">
        <f t="shared" si="10"/>
        <v>6.0000000000000497E-2</v>
      </c>
      <c r="Q379" s="11">
        <f t="shared" si="11"/>
        <v>0.311</v>
      </c>
      <c r="R379" s="11">
        <v>1.1200000000000001</v>
      </c>
    </row>
    <row r="380" spans="2:18" ht="16" x14ac:dyDescent="0.3">
      <c r="B380" s="4">
        <v>374</v>
      </c>
      <c r="C380" s="4" t="s">
        <v>3543</v>
      </c>
      <c r="D380" s="5" t="s">
        <v>3284</v>
      </c>
      <c r="E380" s="4">
        <v>300</v>
      </c>
      <c r="F380" s="5" t="s">
        <v>3285</v>
      </c>
      <c r="G380" s="4" t="s">
        <v>1256</v>
      </c>
      <c r="H380" s="4" t="s">
        <v>1259</v>
      </c>
      <c r="I380" s="22">
        <v>2305480.7119999998</v>
      </c>
      <c r="J380" s="22">
        <v>585240.14599999995</v>
      </c>
      <c r="K380" s="22">
        <v>2305459.699</v>
      </c>
      <c r="L380" s="22">
        <v>585254.23699999996</v>
      </c>
      <c r="M380" s="6">
        <v>25.3</v>
      </c>
      <c r="N380" s="11">
        <v>4.17</v>
      </c>
      <c r="O380" s="11">
        <v>4.08</v>
      </c>
      <c r="P380" s="11">
        <f t="shared" si="10"/>
        <v>8.9999999999999858E-2</v>
      </c>
      <c r="Q380" s="11">
        <f t="shared" si="11"/>
        <v>0.35599999999999998</v>
      </c>
      <c r="R380" s="11">
        <v>1.0449999999999999</v>
      </c>
    </row>
    <row r="381" spans="2:18" ht="16" x14ac:dyDescent="0.3">
      <c r="B381" s="4">
        <v>375</v>
      </c>
      <c r="C381" s="4" t="s">
        <v>3544</v>
      </c>
      <c r="D381" s="5" t="s">
        <v>3284</v>
      </c>
      <c r="E381" s="4">
        <v>300</v>
      </c>
      <c r="F381" s="5" t="s">
        <v>3285</v>
      </c>
      <c r="G381" s="4" t="s">
        <v>1253</v>
      </c>
      <c r="H381" s="4" t="s">
        <v>1256</v>
      </c>
      <c r="I381" s="22">
        <v>2305499.8149999999</v>
      </c>
      <c r="J381" s="22">
        <v>585227.33600000001</v>
      </c>
      <c r="K381" s="22">
        <v>2305481.2930000001</v>
      </c>
      <c r="L381" s="22">
        <v>585239.75600000005</v>
      </c>
      <c r="M381" s="6">
        <v>22.3</v>
      </c>
      <c r="N381" s="11">
        <v>4.24</v>
      </c>
      <c r="O381" s="11">
        <v>4.17</v>
      </c>
      <c r="P381" s="11">
        <f t="shared" si="10"/>
        <v>7.0000000000000284E-2</v>
      </c>
      <c r="Q381" s="11">
        <f t="shared" si="11"/>
        <v>0.314</v>
      </c>
      <c r="R381" s="11">
        <v>0.96499999999999997</v>
      </c>
    </row>
    <row r="382" spans="2:18" ht="16" x14ac:dyDescent="0.3">
      <c r="B382" s="4">
        <v>376</v>
      </c>
      <c r="C382" s="4" t="s">
        <v>3545</v>
      </c>
      <c r="D382" s="5" t="s">
        <v>3284</v>
      </c>
      <c r="E382" s="4">
        <v>300</v>
      </c>
      <c r="F382" s="5" t="s">
        <v>3285</v>
      </c>
      <c r="G382" s="4" t="s">
        <v>995</v>
      </c>
      <c r="H382" s="4" t="s">
        <v>1253</v>
      </c>
      <c r="I382" s="22">
        <v>2305518.9539999999</v>
      </c>
      <c r="J382" s="22">
        <v>585214.50199999998</v>
      </c>
      <c r="K382" s="22">
        <v>2305500.3960000002</v>
      </c>
      <c r="L382" s="22">
        <v>585226.94700000004</v>
      </c>
      <c r="M382" s="6">
        <v>22.344000000000001</v>
      </c>
      <c r="N382" s="11">
        <v>4.32</v>
      </c>
      <c r="O382" s="11">
        <v>4.24</v>
      </c>
      <c r="P382" s="11">
        <f t="shared" si="10"/>
        <v>8.0000000000000071E-2</v>
      </c>
      <c r="Q382" s="11">
        <f t="shared" si="11"/>
        <v>0.35799999999999998</v>
      </c>
      <c r="R382" s="11">
        <v>0.89</v>
      </c>
    </row>
    <row r="383" spans="2:18" ht="16" x14ac:dyDescent="0.3">
      <c r="B383" s="4">
        <v>377</v>
      </c>
      <c r="C383" s="4" t="s">
        <v>3546</v>
      </c>
      <c r="D383" s="5" t="s">
        <v>3284</v>
      </c>
      <c r="E383" s="4">
        <v>300</v>
      </c>
      <c r="F383" s="5" t="s">
        <v>3285</v>
      </c>
      <c r="G383" s="4" t="s">
        <v>1355</v>
      </c>
      <c r="H383" s="4" t="s">
        <v>1016</v>
      </c>
      <c r="I383" s="22">
        <v>2305594.196</v>
      </c>
      <c r="J383" s="22">
        <v>585376.70299999998</v>
      </c>
      <c r="K383" s="22">
        <v>2305616.87</v>
      </c>
      <c r="L383" s="22">
        <v>585361.49800000002</v>
      </c>
      <c r="M383" s="6">
        <v>27.3</v>
      </c>
      <c r="N383" s="11">
        <v>4.2300000000000004</v>
      </c>
      <c r="O383" s="11">
        <v>4.32</v>
      </c>
      <c r="P383" s="11">
        <f t="shared" si="10"/>
        <v>8.9999999999999858E-2</v>
      </c>
      <c r="Q383" s="11">
        <f t="shared" si="11"/>
        <v>0.33</v>
      </c>
      <c r="R383" s="11">
        <v>0.89500000000000002</v>
      </c>
    </row>
    <row r="384" spans="2:18" ht="16" x14ac:dyDescent="0.3">
      <c r="B384" s="4">
        <v>378</v>
      </c>
      <c r="C384" s="4" t="s">
        <v>3547</v>
      </c>
      <c r="D384" s="5" t="s">
        <v>3284</v>
      </c>
      <c r="E384" s="4">
        <v>300</v>
      </c>
      <c r="F384" s="5" t="s">
        <v>3285</v>
      </c>
      <c r="G384" s="4" t="s">
        <v>1358</v>
      </c>
      <c r="H384" s="4" t="s">
        <v>1355</v>
      </c>
      <c r="I384" s="22">
        <v>2305575.0929999999</v>
      </c>
      <c r="J384" s="22">
        <v>585389.51300000004</v>
      </c>
      <c r="K384" s="22">
        <v>2305593.6140000001</v>
      </c>
      <c r="L384" s="22">
        <v>585377.09299999999</v>
      </c>
      <c r="M384" s="6">
        <v>22.3</v>
      </c>
      <c r="N384" s="11">
        <v>4.1500000000000004</v>
      </c>
      <c r="O384" s="11">
        <v>4.2300000000000004</v>
      </c>
      <c r="P384" s="11">
        <f t="shared" si="10"/>
        <v>8.0000000000000071E-2</v>
      </c>
      <c r="Q384" s="11">
        <f t="shared" si="11"/>
        <v>0.35899999999999999</v>
      </c>
      <c r="R384" s="11">
        <v>0.98</v>
      </c>
    </row>
    <row r="385" spans="2:18" ht="16" x14ac:dyDescent="0.3">
      <c r="B385" s="4">
        <v>379</v>
      </c>
      <c r="C385" s="4" t="s">
        <v>3548</v>
      </c>
      <c r="D385" s="5" t="s">
        <v>3284</v>
      </c>
      <c r="E385" s="4">
        <v>300</v>
      </c>
      <c r="F385" s="5" t="s">
        <v>3285</v>
      </c>
      <c r="G385" s="4" t="s">
        <v>1361</v>
      </c>
      <c r="H385" s="4" t="s">
        <v>1358</v>
      </c>
      <c r="I385" s="22">
        <v>2305549.3459999999</v>
      </c>
      <c r="J385" s="22">
        <v>585406.77800000005</v>
      </c>
      <c r="K385" s="22">
        <v>2305574.5120000001</v>
      </c>
      <c r="L385" s="22">
        <v>585389.902</v>
      </c>
      <c r="M385" s="6">
        <v>30.3</v>
      </c>
      <c r="N385" s="11">
        <v>4.05</v>
      </c>
      <c r="O385" s="11">
        <v>4.1500000000000004</v>
      </c>
      <c r="P385" s="11">
        <f t="shared" si="10"/>
        <v>0.10000000000000053</v>
      </c>
      <c r="Q385" s="11">
        <f t="shared" si="11"/>
        <v>0.33</v>
      </c>
      <c r="R385" s="11">
        <v>1.07</v>
      </c>
    </row>
    <row r="386" spans="2:18" ht="16" x14ac:dyDescent="0.3">
      <c r="B386" s="4">
        <v>380</v>
      </c>
      <c r="C386" s="4" t="s">
        <v>3549</v>
      </c>
      <c r="D386" s="5" t="s">
        <v>3284</v>
      </c>
      <c r="E386" s="4">
        <v>300</v>
      </c>
      <c r="F386" s="5" t="s">
        <v>3285</v>
      </c>
      <c r="G386" s="4" t="s">
        <v>537</v>
      </c>
      <c r="H386" s="4" t="s">
        <v>1361</v>
      </c>
      <c r="I386" s="22">
        <v>2305525.9900000002</v>
      </c>
      <c r="J386" s="22">
        <v>585422.24800000002</v>
      </c>
      <c r="K386" s="22">
        <v>2305548.7650000001</v>
      </c>
      <c r="L386" s="22">
        <v>585407.16799999995</v>
      </c>
      <c r="M386" s="6">
        <v>27.315000000000001</v>
      </c>
      <c r="N386" s="11">
        <v>3.4</v>
      </c>
      <c r="O386" s="11">
        <v>4.05</v>
      </c>
      <c r="P386" s="11">
        <f t="shared" si="10"/>
        <v>0.64999999999999991</v>
      </c>
      <c r="Q386" s="11">
        <f t="shared" si="11"/>
        <v>2.38</v>
      </c>
      <c r="R386" s="11">
        <v>1.4450000000000001</v>
      </c>
    </row>
    <row r="387" spans="2:18" ht="16" x14ac:dyDescent="0.3">
      <c r="B387" s="4">
        <v>381</v>
      </c>
      <c r="C387" s="4" t="s">
        <v>3550</v>
      </c>
      <c r="D387" s="5" t="s">
        <v>3284</v>
      </c>
      <c r="E387" s="4">
        <v>300</v>
      </c>
      <c r="F387" s="5" t="s">
        <v>3285</v>
      </c>
      <c r="G387" s="4" t="s">
        <v>534</v>
      </c>
      <c r="H387" s="4" t="s">
        <v>537</v>
      </c>
      <c r="I387" s="22">
        <v>2305536.7769999998</v>
      </c>
      <c r="J387" s="22">
        <v>585441.10400000005</v>
      </c>
      <c r="K387" s="22">
        <v>2305525.1609999998</v>
      </c>
      <c r="L387" s="22">
        <v>585422.80700000003</v>
      </c>
      <c r="M387" s="6">
        <v>27.113</v>
      </c>
      <c r="N387" s="11">
        <v>3.48</v>
      </c>
      <c r="O387" s="11">
        <v>3.4</v>
      </c>
      <c r="P387" s="11">
        <f t="shared" si="10"/>
        <v>8.0000000000000071E-2</v>
      </c>
      <c r="Q387" s="11">
        <f t="shared" si="11"/>
        <v>0.29499999999999998</v>
      </c>
      <c r="R387" s="11">
        <v>1.8</v>
      </c>
    </row>
    <row r="388" spans="2:18" ht="16" x14ac:dyDescent="0.3">
      <c r="B388" s="4">
        <v>382</v>
      </c>
      <c r="C388" s="4" t="s">
        <v>3551</v>
      </c>
      <c r="D388" s="5" t="s">
        <v>3284</v>
      </c>
      <c r="E388" s="4">
        <v>300</v>
      </c>
      <c r="F388" s="5" t="s">
        <v>3285</v>
      </c>
      <c r="G388" s="4" t="s">
        <v>1370</v>
      </c>
      <c r="H388" s="4" t="s">
        <v>534</v>
      </c>
      <c r="I388" s="22">
        <v>2305560.6710000001</v>
      </c>
      <c r="J388" s="22">
        <v>585424.924</v>
      </c>
      <c r="K388" s="22">
        <v>2305537.608</v>
      </c>
      <c r="L388" s="22">
        <v>585440.54799999995</v>
      </c>
      <c r="M388" s="6">
        <v>27.858000000000001</v>
      </c>
      <c r="N388" s="11">
        <v>4.1900000000000004</v>
      </c>
      <c r="O388" s="11">
        <v>3.48</v>
      </c>
      <c r="P388" s="11">
        <f t="shared" si="10"/>
        <v>0.71000000000000041</v>
      </c>
      <c r="Q388" s="11">
        <f t="shared" si="11"/>
        <v>2.5489999999999999</v>
      </c>
      <c r="R388" s="11">
        <v>1.4750000000000001</v>
      </c>
    </row>
    <row r="389" spans="2:18" ht="16" x14ac:dyDescent="0.3">
      <c r="B389" s="4">
        <v>383</v>
      </c>
      <c r="C389" s="4" t="s">
        <v>3552</v>
      </c>
      <c r="D389" s="5" t="s">
        <v>3284</v>
      </c>
      <c r="E389" s="4">
        <v>300</v>
      </c>
      <c r="F389" s="5" t="s">
        <v>3285</v>
      </c>
      <c r="G389" s="4" t="s">
        <v>1367</v>
      </c>
      <c r="H389" s="4" t="s">
        <v>1370</v>
      </c>
      <c r="I389" s="22">
        <v>2305586.4190000002</v>
      </c>
      <c r="J389" s="22">
        <v>585407.65899999999</v>
      </c>
      <c r="K389" s="22">
        <v>2305561.253</v>
      </c>
      <c r="L389" s="22">
        <v>585424.53399999999</v>
      </c>
      <c r="M389" s="6">
        <v>30.3</v>
      </c>
      <c r="N389" s="11">
        <v>4.29</v>
      </c>
      <c r="O389" s="11">
        <v>4.1900000000000004</v>
      </c>
      <c r="P389" s="11">
        <f t="shared" si="10"/>
        <v>9.9999999999999645E-2</v>
      </c>
      <c r="Q389" s="11">
        <f t="shared" si="11"/>
        <v>0.33</v>
      </c>
      <c r="R389" s="11">
        <v>1.07</v>
      </c>
    </row>
    <row r="390" spans="2:18" ht="16" x14ac:dyDescent="0.3">
      <c r="B390" s="4">
        <v>384</v>
      </c>
      <c r="C390" s="4" t="s">
        <v>3553</v>
      </c>
      <c r="D390" s="5" t="s">
        <v>3284</v>
      </c>
      <c r="E390" s="4">
        <v>300</v>
      </c>
      <c r="F390" s="5" t="s">
        <v>3285</v>
      </c>
      <c r="G390" s="4" t="s">
        <v>1364</v>
      </c>
      <c r="H390" s="4" t="s">
        <v>1367</v>
      </c>
      <c r="I390" s="22">
        <v>2305605.5210000002</v>
      </c>
      <c r="J390" s="22">
        <v>585394.84900000005</v>
      </c>
      <c r="K390" s="22">
        <v>2305587</v>
      </c>
      <c r="L390" s="22">
        <v>585407.26899999997</v>
      </c>
      <c r="M390" s="6">
        <v>22.3</v>
      </c>
      <c r="N390" s="11">
        <v>4.37</v>
      </c>
      <c r="O390" s="11">
        <v>4.29</v>
      </c>
      <c r="P390" s="11">
        <f t="shared" si="10"/>
        <v>8.0000000000000071E-2</v>
      </c>
      <c r="Q390" s="11">
        <f t="shared" si="11"/>
        <v>0.35899999999999999</v>
      </c>
      <c r="R390" s="11">
        <v>0.98</v>
      </c>
    </row>
    <row r="391" spans="2:18" ht="16" x14ac:dyDescent="0.3">
      <c r="B391" s="4">
        <v>385</v>
      </c>
      <c r="C391" s="4" t="s">
        <v>3554</v>
      </c>
      <c r="D391" s="5" t="s">
        <v>3284</v>
      </c>
      <c r="E391" s="4">
        <v>300</v>
      </c>
      <c r="F391" s="5" t="s">
        <v>3285</v>
      </c>
      <c r="G391" s="4" t="s">
        <v>1013</v>
      </c>
      <c r="H391" s="4" t="s">
        <v>1364</v>
      </c>
      <c r="I391" s="22">
        <v>2305628.7769999998</v>
      </c>
      <c r="J391" s="22">
        <v>585379.25399999996</v>
      </c>
      <c r="K391" s="22">
        <v>2305606.1030000001</v>
      </c>
      <c r="L391" s="22">
        <v>585394.45900000003</v>
      </c>
      <c r="M391" s="6">
        <v>27.3</v>
      </c>
      <c r="N391" s="11">
        <v>4.46</v>
      </c>
      <c r="O391" s="11">
        <v>4.37</v>
      </c>
      <c r="P391" s="11">
        <f t="shared" ref="P391:P454" si="12">IF(AND(ISNUMBER(N391),ISNUMBER(O391)),ABS(N391-O391),0)</f>
        <v>8.9999999999999858E-2</v>
      </c>
      <c r="Q391" s="11">
        <f t="shared" ref="Q391:Q454" si="13">IF(M391&gt;0,ROUND(P391/M391*100,3),0)</f>
        <v>0.33</v>
      </c>
      <c r="R391" s="11">
        <v>0.89500000000000002</v>
      </c>
    </row>
    <row r="392" spans="2:18" ht="16" x14ac:dyDescent="0.3">
      <c r="B392" s="4">
        <v>386</v>
      </c>
      <c r="C392" s="4" t="s">
        <v>3555</v>
      </c>
      <c r="D392" s="5" t="s">
        <v>3284</v>
      </c>
      <c r="E392" s="4">
        <v>300</v>
      </c>
      <c r="F392" s="5" t="s">
        <v>3285</v>
      </c>
      <c r="G392" s="4" t="s">
        <v>1415</v>
      </c>
      <c r="H392" s="4" t="s">
        <v>1418</v>
      </c>
      <c r="I392" s="22">
        <v>2305604.17</v>
      </c>
      <c r="J392" s="22">
        <v>585552.53300000005</v>
      </c>
      <c r="K392" s="22">
        <v>2305585.7540000002</v>
      </c>
      <c r="L392" s="22">
        <v>585525.06900000002</v>
      </c>
      <c r="M392" s="6">
        <v>33.067</v>
      </c>
      <c r="N392" s="11">
        <v>3.86</v>
      </c>
      <c r="O392" s="11">
        <v>3.77</v>
      </c>
      <c r="P392" s="11">
        <f t="shared" si="12"/>
        <v>8.9999999999999858E-2</v>
      </c>
      <c r="Q392" s="11">
        <f t="shared" si="13"/>
        <v>0.27200000000000002</v>
      </c>
      <c r="R392" s="11">
        <v>1.4950000000000001</v>
      </c>
    </row>
    <row r="393" spans="2:18" ht="16" x14ac:dyDescent="0.3">
      <c r="B393" s="4">
        <v>387</v>
      </c>
      <c r="C393" s="4" t="s">
        <v>3556</v>
      </c>
      <c r="D393" s="5" t="s">
        <v>3284</v>
      </c>
      <c r="E393" s="4">
        <v>300</v>
      </c>
      <c r="F393" s="5" t="s">
        <v>3285</v>
      </c>
      <c r="G393" s="4" t="s">
        <v>3052</v>
      </c>
      <c r="H393" s="4" t="s">
        <v>3049</v>
      </c>
      <c r="I393" s="22">
        <v>2305648.2790000001</v>
      </c>
      <c r="J393" s="22">
        <v>585452.86600000004</v>
      </c>
      <c r="K393" s="22">
        <v>2305669.2919999999</v>
      </c>
      <c r="L393" s="22">
        <v>585438.77599999995</v>
      </c>
      <c r="M393" s="6">
        <v>25.3</v>
      </c>
      <c r="N393" s="11">
        <v>4.2300000000000004</v>
      </c>
      <c r="O393" s="11">
        <v>4.32</v>
      </c>
      <c r="P393" s="11">
        <f t="shared" si="12"/>
        <v>8.9999999999999858E-2</v>
      </c>
      <c r="Q393" s="11">
        <f t="shared" si="13"/>
        <v>0.35599999999999998</v>
      </c>
      <c r="R393" s="11">
        <v>0.89500000000000002</v>
      </c>
    </row>
    <row r="394" spans="2:18" ht="16" x14ac:dyDescent="0.3">
      <c r="B394" s="4">
        <v>388</v>
      </c>
      <c r="C394" s="4" t="s">
        <v>3557</v>
      </c>
      <c r="D394" s="5" t="s">
        <v>3284</v>
      </c>
      <c r="E394" s="4">
        <v>300</v>
      </c>
      <c r="F394" s="5" t="s">
        <v>3285</v>
      </c>
      <c r="G394" s="4" t="s">
        <v>3025</v>
      </c>
      <c r="H394" s="4" t="s">
        <v>3052</v>
      </c>
      <c r="I394" s="22">
        <v>2305630.09</v>
      </c>
      <c r="J394" s="22">
        <v>585465.22499999998</v>
      </c>
      <c r="K394" s="22">
        <v>2305647.6970000002</v>
      </c>
      <c r="L394" s="22">
        <v>585453.25600000005</v>
      </c>
      <c r="M394" s="6">
        <v>21.29</v>
      </c>
      <c r="N394" s="11">
        <v>3.95</v>
      </c>
      <c r="O394" s="11">
        <v>4.2300000000000004</v>
      </c>
      <c r="P394" s="11">
        <f t="shared" si="12"/>
        <v>0.28000000000000025</v>
      </c>
      <c r="Q394" s="11">
        <f t="shared" si="13"/>
        <v>1.3149999999999999</v>
      </c>
      <c r="R394" s="11">
        <v>1.08</v>
      </c>
    </row>
    <row r="395" spans="2:18" ht="16" x14ac:dyDescent="0.3">
      <c r="B395" s="4">
        <v>389</v>
      </c>
      <c r="C395" s="4" t="s">
        <v>3558</v>
      </c>
      <c r="D395" s="5" t="s">
        <v>3284</v>
      </c>
      <c r="E395" s="4">
        <v>300</v>
      </c>
      <c r="F395" s="5" t="s">
        <v>3285</v>
      </c>
      <c r="G395" s="4" t="s">
        <v>3028</v>
      </c>
      <c r="H395" s="4" t="s">
        <v>3025</v>
      </c>
      <c r="I395" s="22">
        <v>2305616.048</v>
      </c>
      <c r="J395" s="22">
        <v>585457.09</v>
      </c>
      <c r="K395" s="22">
        <v>2305629.2590000001</v>
      </c>
      <c r="L395" s="22">
        <v>585465.78200000001</v>
      </c>
      <c r="M395" s="6">
        <v>18.329999999999998</v>
      </c>
      <c r="N395" s="11">
        <v>3.91</v>
      </c>
      <c r="O395" s="11">
        <v>3.95</v>
      </c>
      <c r="P395" s="11">
        <f t="shared" si="12"/>
        <v>4.0000000000000036E-2</v>
      </c>
      <c r="Q395" s="11">
        <f t="shared" si="13"/>
        <v>0.218</v>
      </c>
      <c r="R395" s="11">
        <v>1.24</v>
      </c>
    </row>
    <row r="396" spans="2:18" ht="16" x14ac:dyDescent="0.3">
      <c r="B396" s="4">
        <v>390</v>
      </c>
      <c r="C396" s="4" t="s">
        <v>3559</v>
      </c>
      <c r="D396" s="5" t="s">
        <v>3284</v>
      </c>
      <c r="E396" s="4">
        <v>300</v>
      </c>
      <c r="F396" s="5" t="s">
        <v>3285</v>
      </c>
      <c r="G396" s="4" t="s">
        <v>1406</v>
      </c>
      <c r="H396" s="4" t="s">
        <v>3028</v>
      </c>
      <c r="I396" s="22">
        <v>2305635.7910000002</v>
      </c>
      <c r="J396" s="22">
        <v>585435.5</v>
      </c>
      <c r="K396" s="22">
        <v>2305615.4909999999</v>
      </c>
      <c r="L396" s="22">
        <v>585456.26</v>
      </c>
      <c r="M396" s="6">
        <v>31.995999999999999</v>
      </c>
      <c r="N396" s="11">
        <v>4.2300000000000004</v>
      </c>
      <c r="O396" s="11">
        <v>3.91</v>
      </c>
      <c r="P396" s="11">
        <f t="shared" si="12"/>
        <v>0.32000000000000028</v>
      </c>
      <c r="Q396" s="11">
        <f t="shared" si="13"/>
        <v>1</v>
      </c>
      <c r="R396" s="11">
        <v>1.1000000000000001</v>
      </c>
    </row>
    <row r="397" spans="2:18" ht="16" x14ac:dyDescent="0.3">
      <c r="B397" s="4">
        <v>391</v>
      </c>
      <c r="C397" s="4" t="s">
        <v>3560</v>
      </c>
      <c r="D397" s="5" t="s">
        <v>3284</v>
      </c>
      <c r="E397" s="4">
        <v>300</v>
      </c>
      <c r="F397" s="5" t="s">
        <v>3285</v>
      </c>
      <c r="G397" s="4" t="s">
        <v>1004</v>
      </c>
      <c r="H397" s="4" t="s">
        <v>1406</v>
      </c>
      <c r="I397" s="22">
        <v>2305657.3840000001</v>
      </c>
      <c r="J397" s="22">
        <v>585421.01800000004</v>
      </c>
      <c r="K397" s="22">
        <v>2305636.3709999998</v>
      </c>
      <c r="L397" s="22">
        <v>585435.10900000005</v>
      </c>
      <c r="M397" s="6">
        <v>25.3</v>
      </c>
      <c r="N397" s="11">
        <v>4.32</v>
      </c>
      <c r="O397" s="11">
        <v>4.2300000000000004</v>
      </c>
      <c r="P397" s="11">
        <f t="shared" si="12"/>
        <v>8.9999999999999858E-2</v>
      </c>
      <c r="Q397" s="11">
        <f t="shared" si="13"/>
        <v>0.35599999999999998</v>
      </c>
      <c r="R397" s="11">
        <v>0.89500000000000002</v>
      </c>
    </row>
    <row r="398" spans="2:18" ht="16" x14ac:dyDescent="0.3">
      <c r="B398" s="4">
        <v>392</v>
      </c>
      <c r="C398" s="4" t="s">
        <v>3561</v>
      </c>
      <c r="D398" s="5" t="s">
        <v>3284</v>
      </c>
      <c r="E398" s="4">
        <v>300</v>
      </c>
      <c r="F398" s="5" t="s">
        <v>3285</v>
      </c>
      <c r="G398" s="4" t="s">
        <v>3046</v>
      </c>
      <c r="H398" s="4" t="s">
        <v>3043</v>
      </c>
      <c r="I398" s="22">
        <v>2305654.7510000002</v>
      </c>
      <c r="J398" s="22">
        <v>585462.51800000004</v>
      </c>
      <c r="K398" s="22">
        <v>2305675.764</v>
      </c>
      <c r="L398" s="22">
        <v>585448.42799999996</v>
      </c>
      <c r="M398" s="6">
        <v>25.3</v>
      </c>
      <c r="N398" s="11">
        <v>4.2300000000000004</v>
      </c>
      <c r="O398" s="11">
        <v>4.32</v>
      </c>
      <c r="P398" s="11">
        <f t="shared" si="12"/>
        <v>8.9999999999999858E-2</v>
      </c>
      <c r="Q398" s="11">
        <f t="shared" si="13"/>
        <v>0.35599999999999998</v>
      </c>
      <c r="R398" s="11">
        <v>0.89500000000000002</v>
      </c>
    </row>
    <row r="399" spans="2:18" ht="16" x14ac:dyDescent="0.3">
      <c r="B399" s="4">
        <v>393</v>
      </c>
      <c r="C399" s="4" t="s">
        <v>3562</v>
      </c>
      <c r="D399" s="5" t="s">
        <v>3284</v>
      </c>
      <c r="E399" s="4">
        <v>300</v>
      </c>
      <c r="F399" s="5" t="s">
        <v>3285</v>
      </c>
      <c r="G399" s="4" t="s">
        <v>3022</v>
      </c>
      <c r="H399" s="4" t="s">
        <v>3046</v>
      </c>
      <c r="I399" s="22">
        <v>2305636.355</v>
      </c>
      <c r="J399" s="22">
        <v>585474.65899999999</v>
      </c>
      <c r="K399" s="22">
        <v>2305654.17</v>
      </c>
      <c r="L399" s="22">
        <v>585462.90800000005</v>
      </c>
      <c r="M399" s="6">
        <v>21.341000000000001</v>
      </c>
      <c r="N399" s="11">
        <v>4.03</v>
      </c>
      <c r="O399" s="11">
        <v>4.2300000000000004</v>
      </c>
      <c r="P399" s="11">
        <f t="shared" si="12"/>
        <v>0.20000000000000018</v>
      </c>
      <c r="Q399" s="11">
        <f t="shared" si="13"/>
        <v>0.93700000000000006</v>
      </c>
      <c r="R399" s="11">
        <v>1.04</v>
      </c>
    </row>
    <row r="400" spans="2:18" ht="16" x14ac:dyDescent="0.3">
      <c r="B400" s="4">
        <v>394</v>
      </c>
      <c r="C400" s="4" t="s">
        <v>3563</v>
      </c>
      <c r="D400" s="5" t="s">
        <v>3284</v>
      </c>
      <c r="E400" s="4">
        <v>300</v>
      </c>
      <c r="F400" s="5" t="s">
        <v>3285</v>
      </c>
      <c r="G400" s="4" t="s">
        <v>3019</v>
      </c>
      <c r="H400" s="4" t="s">
        <v>3022</v>
      </c>
      <c r="I400" s="22">
        <v>2305647.7820000001</v>
      </c>
      <c r="J400" s="22">
        <v>585492.86800000002</v>
      </c>
      <c r="K400" s="22">
        <v>2305635.5240000002</v>
      </c>
      <c r="L400" s="22">
        <v>585475.21600000001</v>
      </c>
      <c r="M400" s="6">
        <v>29.082999999999998</v>
      </c>
      <c r="N400" s="11">
        <v>4.07</v>
      </c>
      <c r="O400" s="11">
        <v>4.03</v>
      </c>
      <c r="P400" s="11">
        <f t="shared" si="12"/>
        <v>4.0000000000000036E-2</v>
      </c>
      <c r="Q400" s="11">
        <f t="shared" si="13"/>
        <v>0.13800000000000001</v>
      </c>
      <c r="R400" s="11">
        <v>1.1200000000000001</v>
      </c>
    </row>
    <row r="401" spans="2:18" ht="16" x14ac:dyDescent="0.3">
      <c r="B401" s="4">
        <v>395</v>
      </c>
      <c r="C401" s="4" t="s">
        <v>3564</v>
      </c>
      <c r="D401" s="5" t="s">
        <v>3284</v>
      </c>
      <c r="E401" s="4">
        <v>300</v>
      </c>
      <c r="F401" s="5" t="s">
        <v>3285</v>
      </c>
      <c r="G401" s="4" t="s">
        <v>3040</v>
      </c>
      <c r="H401" s="4" t="s">
        <v>3019</v>
      </c>
      <c r="I401" s="22">
        <v>2305666.0759999999</v>
      </c>
      <c r="J401" s="22">
        <v>585480.66399999999</v>
      </c>
      <c r="K401" s="22">
        <v>2305648.3629999999</v>
      </c>
      <c r="L401" s="22">
        <v>585492.478</v>
      </c>
      <c r="M401" s="6">
        <v>21.291</v>
      </c>
      <c r="N401" s="11">
        <v>4.2300000000000004</v>
      </c>
      <c r="O401" s="11">
        <v>4.07</v>
      </c>
      <c r="P401" s="11">
        <f t="shared" si="12"/>
        <v>0.16000000000000014</v>
      </c>
      <c r="Q401" s="11">
        <f t="shared" si="13"/>
        <v>0.751</v>
      </c>
      <c r="R401" s="11">
        <v>1.02</v>
      </c>
    </row>
    <row r="402" spans="2:18" ht="16" x14ac:dyDescent="0.3">
      <c r="B402" s="4">
        <v>396</v>
      </c>
      <c r="C402" s="4" t="s">
        <v>3565</v>
      </c>
      <c r="D402" s="5" t="s">
        <v>3284</v>
      </c>
      <c r="E402" s="4">
        <v>300</v>
      </c>
      <c r="F402" s="5" t="s">
        <v>3285</v>
      </c>
      <c r="G402" s="4" t="s">
        <v>3037</v>
      </c>
      <c r="H402" s="4" t="s">
        <v>3040</v>
      </c>
      <c r="I402" s="22">
        <v>2305687.6710000001</v>
      </c>
      <c r="J402" s="22">
        <v>585466.18400000001</v>
      </c>
      <c r="K402" s="22">
        <v>2305666.6579999998</v>
      </c>
      <c r="L402" s="22">
        <v>585480.27500000002</v>
      </c>
      <c r="M402" s="6">
        <v>25.3</v>
      </c>
      <c r="N402" s="11">
        <v>4.32</v>
      </c>
      <c r="O402" s="11">
        <v>4.2300000000000004</v>
      </c>
      <c r="P402" s="11">
        <f t="shared" si="12"/>
        <v>8.9999999999999858E-2</v>
      </c>
      <c r="Q402" s="11">
        <f t="shared" si="13"/>
        <v>0.35599999999999998</v>
      </c>
      <c r="R402" s="11">
        <v>0.89500000000000002</v>
      </c>
    </row>
    <row r="403" spans="2:18" ht="16" x14ac:dyDescent="0.3">
      <c r="B403" s="4">
        <v>397</v>
      </c>
      <c r="C403" s="4" t="s">
        <v>3566</v>
      </c>
      <c r="D403" s="5" t="s">
        <v>3284</v>
      </c>
      <c r="E403" s="4">
        <v>300</v>
      </c>
      <c r="F403" s="5" t="s">
        <v>3285</v>
      </c>
      <c r="G403" s="4" t="s">
        <v>1373</v>
      </c>
      <c r="H403" s="4" t="s">
        <v>1010</v>
      </c>
      <c r="I403" s="22">
        <v>2305613.4569999999</v>
      </c>
      <c r="J403" s="22">
        <v>585410.81299999997</v>
      </c>
      <c r="K403" s="22">
        <v>2305638.591</v>
      </c>
      <c r="L403" s="22">
        <v>585393.89</v>
      </c>
      <c r="M403" s="6">
        <v>30.3</v>
      </c>
      <c r="N403" s="11">
        <v>4.37</v>
      </c>
      <c r="O403" s="11">
        <v>4.46</v>
      </c>
      <c r="P403" s="11">
        <f t="shared" si="12"/>
        <v>8.9999999999999858E-2</v>
      </c>
      <c r="Q403" s="11">
        <f t="shared" si="13"/>
        <v>0.29699999999999999</v>
      </c>
      <c r="R403" s="11">
        <v>0.89500000000000002</v>
      </c>
    </row>
    <row r="404" spans="2:18" ht="16" x14ac:dyDescent="0.3">
      <c r="B404" s="4">
        <v>398</v>
      </c>
      <c r="C404" s="4" t="s">
        <v>3567</v>
      </c>
      <c r="D404" s="5" t="s">
        <v>3284</v>
      </c>
      <c r="E404" s="4">
        <v>300</v>
      </c>
      <c r="F404" s="5" t="s">
        <v>3285</v>
      </c>
      <c r="G404" s="4" t="s">
        <v>1376</v>
      </c>
      <c r="H404" s="4" t="s">
        <v>1373</v>
      </c>
      <c r="I404" s="22">
        <v>2305596.7990000001</v>
      </c>
      <c r="J404" s="22">
        <v>585421.90399999998</v>
      </c>
      <c r="K404" s="22">
        <v>2305612.875</v>
      </c>
      <c r="L404" s="22">
        <v>585411.20200000005</v>
      </c>
      <c r="M404" s="6">
        <v>19.312000000000001</v>
      </c>
      <c r="N404" s="11">
        <v>4.29</v>
      </c>
      <c r="O404" s="11">
        <v>4.37</v>
      </c>
      <c r="P404" s="11">
        <f t="shared" si="12"/>
        <v>8.0000000000000071E-2</v>
      </c>
      <c r="Q404" s="11">
        <f t="shared" si="13"/>
        <v>0.41399999999999998</v>
      </c>
      <c r="R404" s="11">
        <v>0.98</v>
      </c>
    </row>
    <row r="405" spans="2:18" ht="16" x14ac:dyDescent="0.3">
      <c r="B405" s="4">
        <v>399</v>
      </c>
      <c r="C405" s="4" t="s">
        <v>3568</v>
      </c>
      <c r="D405" s="5" t="s">
        <v>3284</v>
      </c>
      <c r="E405" s="4">
        <v>300</v>
      </c>
      <c r="F405" s="5" t="s">
        <v>3285</v>
      </c>
      <c r="G405" s="4" t="s">
        <v>1379</v>
      </c>
      <c r="H405" s="4" t="s">
        <v>1376</v>
      </c>
      <c r="I405" s="22">
        <v>2305571.0669999998</v>
      </c>
      <c r="J405" s="22">
        <v>585439.16899999999</v>
      </c>
      <c r="K405" s="22">
        <v>2305596.233</v>
      </c>
      <c r="L405" s="22">
        <v>585422.29399999999</v>
      </c>
      <c r="M405" s="6">
        <v>30.3</v>
      </c>
      <c r="N405" s="11">
        <v>4.1900000000000004</v>
      </c>
      <c r="O405" s="11">
        <v>4.29</v>
      </c>
      <c r="P405" s="11">
        <f t="shared" si="12"/>
        <v>9.9999999999999645E-2</v>
      </c>
      <c r="Q405" s="11">
        <f t="shared" si="13"/>
        <v>0.33</v>
      </c>
      <c r="R405" s="11">
        <v>1.07</v>
      </c>
    </row>
    <row r="406" spans="2:18" ht="16" x14ac:dyDescent="0.3">
      <c r="B406" s="4">
        <v>400</v>
      </c>
      <c r="C406" s="4" t="s">
        <v>3569</v>
      </c>
      <c r="D406" s="5" t="s">
        <v>3284</v>
      </c>
      <c r="E406" s="4">
        <v>300</v>
      </c>
      <c r="F406" s="5" t="s">
        <v>3285</v>
      </c>
      <c r="G406" s="4" t="s">
        <v>531</v>
      </c>
      <c r="H406" s="4" t="s">
        <v>1379</v>
      </c>
      <c r="I406" s="22">
        <v>2305547.5580000002</v>
      </c>
      <c r="J406" s="22">
        <v>585454.74899999995</v>
      </c>
      <c r="K406" s="22">
        <v>2305570.4849999999</v>
      </c>
      <c r="L406" s="22">
        <v>585439.55900000001</v>
      </c>
      <c r="M406" s="6">
        <v>27.501999999999999</v>
      </c>
      <c r="N406" s="11">
        <v>3.53</v>
      </c>
      <c r="O406" s="11">
        <v>4.1900000000000004</v>
      </c>
      <c r="P406" s="11">
        <f t="shared" si="12"/>
        <v>0.66000000000000059</v>
      </c>
      <c r="Q406" s="11">
        <f t="shared" si="13"/>
        <v>2.4</v>
      </c>
      <c r="R406" s="11">
        <v>1.45</v>
      </c>
    </row>
    <row r="407" spans="2:18" ht="16" x14ac:dyDescent="0.3">
      <c r="B407" s="4">
        <v>401</v>
      </c>
      <c r="C407" s="4" t="s">
        <v>3570</v>
      </c>
      <c r="D407" s="5" t="s">
        <v>3284</v>
      </c>
      <c r="E407" s="4">
        <v>300</v>
      </c>
      <c r="F407" s="5" t="s">
        <v>3285</v>
      </c>
      <c r="G407" s="4" t="s">
        <v>528</v>
      </c>
      <c r="H407" s="4" t="s">
        <v>531</v>
      </c>
      <c r="I407" s="22">
        <v>2305559.17</v>
      </c>
      <c r="J407" s="22">
        <v>585473.03099999996</v>
      </c>
      <c r="K407" s="22">
        <v>2305546.7080000001</v>
      </c>
      <c r="L407" s="22">
        <v>585455.27500000002</v>
      </c>
      <c r="M407" s="6">
        <v>27.581</v>
      </c>
      <c r="N407" s="11">
        <v>3.57</v>
      </c>
      <c r="O407" s="11">
        <v>3.53</v>
      </c>
      <c r="P407" s="11">
        <f t="shared" si="12"/>
        <v>4.0000000000000036E-2</v>
      </c>
      <c r="Q407" s="11">
        <f t="shared" si="13"/>
        <v>0.14499999999999999</v>
      </c>
      <c r="R407" s="11">
        <v>1.69</v>
      </c>
    </row>
    <row r="408" spans="2:18" ht="16" x14ac:dyDescent="0.3">
      <c r="B408" s="4">
        <v>402</v>
      </c>
      <c r="C408" s="4" t="s">
        <v>3571</v>
      </c>
      <c r="D408" s="5" t="s">
        <v>3284</v>
      </c>
      <c r="E408" s="4">
        <v>300</v>
      </c>
      <c r="F408" s="5" t="s">
        <v>3285</v>
      </c>
      <c r="G408" s="4" t="s">
        <v>1388</v>
      </c>
      <c r="H408" s="4" t="s">
        <v>528</v>
      </c>
      <c r="I408" s="22">
        <v>2305582.392</v>
      </c>
      <c r="J408" s="22">
        <v>585457.31499999994</v>
      </c>
      <c r="K408" s="22">
        <v>2305560</v>
      </c>
      <c r="L408" s="22">
        <v>585472.47400000005</v>
      </c>
      <c r="M408" s="6">
        <v>27.041</v>
      </c>
      <c r="N408" s="11">
        <v>4.05</v>
      </c>
      <c r="O408" s="11">
        <v>3.57</v>
      </c>
      <c r="P408" s="11">
        <f t="shared" si="12"/>
        <v>0.48</v>
      </c>
      <c r="Q408" s="11">
        <f t="shared" si="13"/>
        <v>1.7749999999999999</v>
      </c>
      <c r="R408" s="11">
        <v>1.36</v>
      </c>
    </row>
    <row r="409" spans="2:18" ht="16" x14ac:dyDescent="0.3">
      <c r="B409" s="4">
        <v>403</v>
      </c>
      <c r="C409" s="4" t="s">
        <v>3572</v>
      </c>
      <c r="D409" s="5" t="s">
        <v>3284</v>
      </c>
      <c r="E409" s="4">
        <v>300</v>
      </c>
      <c r="F409" s="5" t="s">
        <v>3285</v>
      </c>
      <c r="G409" s="4" t="s">
        <v>1385</v>
      </c>
      <c r="H409" s="4" t="s">
        <v>1388</v>
      </c>
      <c r="I409" s="22">
        <v>2305608.139</v>
      </c>
      <c r="J409" s="22">
        <v>585440.05000000005</v>
      </c>
      <c r="K409" s="22">
        <v>2305582.9739999999</v>
      </c>
      <c r="L409" s="22">
        <v>585456.92500000005</v>
      </c>
      <c r="M409" s="6">
        <v>30.3</v>
      </c>
      <c r="N409" s="11">
        <v>4.1500000000000004</v>
      </c>
      <c r="O409" s="11">
        <v>4.05</v>
      </c>
      <c r="P409" s="11">
        <f t="shared" si="12"/>
        <v>0.10000000000000053</v>
      </c>
      <c r="Q409" s="11">
        <f t="shared" si="13"/>
        <v>0.33</v>
      </c>
      <c r="R409" s="11">
        <v>1.07</v>
      </c>
    </row>
    <row r="410" spans="2:18" ht="16" x14ac:dyDescent="0.3">
      <c r="B410" s="4">
        <v>404</v>
      </c>
      <c r="C410" s="4" t="s">
        <v>3573</v>
      </c>
      <c r="D410" s="5" t="s">
        <v>3284</v>
      </c>
      <c r="E410" s="4">
        <v>300</v>
      </c>
      <c r="F410" s="5" t="s">
        <v>3285</v>
      </c>
      <c r="G410" s="4" t="s">
        <v>1382</v>
      </c>
      <c r="H410" s="4" t="s">
        <v>1385</v>
      </c>
      <c r="I410" s="22">
        <v>2305628.9029999999</v>
      </c>
      <c r="J410" s="22">
        <v>585426.12600000005</v>
      </c>
      <c r="K410" s="22">
        <v>2305608.7209999999</v>
      </c>
      <c r="L410" s="22">
        <v>585439.66</v>
      </c>
      <c r="M410" s="6">
        <v>24.3</v>
      </c>
      <c r="N410" s="11">
        <v>4.2300000000000004</v>
      </c>
      <c r="O410" s="11">
        <v>4.1500000000000004</v>
      </c>
      <c r="P410" s="11">
        <f t="shared" si="12"/>
        <v>8.0000000000000071E-2</v>
      </c>
      <c r="Q410" s="11">
        <f t="shared" si="13"/>
        <v>0.32900000000000001</v>
      </c>
      <c r="R410" s="11">
        <v>0.98</v>
      </c>
    </row>
    <row r="411" spans="2:18" ht="16" x14ac:dyDescent="0.3">
      <c r="B411" s="4">
        <v>405</v>
      </c>
      <c r="C411" s="4" t="s">
        <v>3574</v>
      </c>
      <c r="D411" s="5" t="s">
        <v>3284</v>
      </c>
      <c r="E411" s="4">
        <v>300</v>
      </c>
      <c r="F411" s="5" t="s">
        <v>3285</v>
      </c>
      <c r="G411" s="4" t="s">
        <v>1007</v>
      </c>
      <c r="H411" s="4" t="s">
        <v>1382</v>
      </c>
      <c r="I411" s="22">
        <v>2305650.497</v>
      </c>
      <c r="J411" s="22">
        <v>585411.64599999995</v>
      </c>
      <c r="K411" s="22">
        <v>2305629.4840000002</v>
      </c>
      <c r="L411" s="22">
        <v>585425.73699999996</v>
      </c>
      <c r="M411" s="6">
        <v>25.3</v>
      </c>
      <c r="N411" s="11">
        <v>4.32</v>
      </c>
      <c r="O411" s="11">
        <v>4.2300000000000004</v>
      </c>
      <c r="P411" s="11">
        <f t="shared" si="12"/>
        <v>8.9999999999999858E-2</v>
      </c>
      <c r="Q411" s="11">
        <f t="shared" si="13"/>
        <v>0.35599999999999998</v>
      </c>
      <c r="R411" s="11">
        <v>0.89500000000000002</v>
      </c>
    </row>
    <row r="412" spans="2:18" ht="16" x14ac:dyDescent="0.3">
      <c r="B412" s="4">
        <v>406</v>
      </c>
      <c r="C412" s="4" t="s">
        <v>3575</v>
      </c>
      <c r="D412" s="5" t="s">
        <v>3284</v>
      </c>
      <c r="E412" s="4">
        <v>300</v>
      </c>
      <c r="F412" s="5" t="s">
        <v>3285</v>
      </c>
      <c r="G412" s="4" t="s">
        <v>1628</v>
      </c>
      <c r="H412" s="4" t="s">
        <v>570</v>
      </c>
      <c r="I412" s="22">
        <v>2305465.3259999999</v>
      </c>
      <c r="J412" s="22">
        <v>585678.63800000004</v>
      </c>
      <c r="K412" s="22">
        <v>2305485.0630000001</v>
      </c>
      <c r="L412" s="22">
        <v>585665.40300000005</v>
      </c>
      <c r="M412" s="6">
        <v>23.763000000000002</v>
      </c>
      <c r="N412" s="11">
        <v>4.34</v>
      </c>
      <c r="O412" s="11">
        <v>4.42</v>
      </c>
      <c r="P412" s="11">
        <f t="shared" si="12"/>
        <v>8.0000000000000071E-2</v>
      </c>
      <c r="Q412" s="11">
        <f t="shared" si="13"/>
        <v>0.33700000000000002</v>
      </c>
      <c r="R412" s="11">
        <v>0.89</v>
      </c>
    </row>
    <row r="413" spans="2:18" ht="16" x14ac:dyDescent="0.3">
      <c r="B413" s="4">
        <v>407</v>
      </c>
      <c r="C413" s="4" t="s">
        <v>3576</v>
      </c>
      <c r="D413" s="5" t="s">
        <v>3284</v>
      </c>
      <c r="E413" s="4">
        <v>300</v>
      </c>
      <c r="F413" s="5" t="s">
        <v>3285</v>
      </c>
      <c r="G413" s="4" t="s">
        <v>1631</v>
      </c>
      <c r="H413" s="4" t="s">
        <v>1628</v>
      </c>
      <c r="I413" s="22">
        <v>2305439.1639999999</v>
      </c>
      <c r="J413" s="22">
        <v>585696.18200000003</v>
      </c>
      <c r="K413" s="22">
        <v>2305464.7450000001</v>
      </c>
      <c r="L413" s="22">
        <v>585679.02800000005</v>
      </c>
      <c r="M413" s="6">
        <v>30.8</v>
      </c>
      <c r="N413" s="11">
        <v>4.24</v>
      </c>
      <c r="O413" s="11">
        <v>4.34</v>
      </c>
      <c r="P413" s="11">
        <f t="shared" si="12"/>
        <v>9.9999999999999645E-2</v>
      </c>
      <c r="Q413" s="11">
        <f t="shared" si="13"/>
        <v>0.32500000000000001</v>
      </c>
      <c r="R413" s="11">
        <v>0.98</v>
      </c>
    </row>
    <row r="414" spans="2:18" ht="16" x14ac:dyDescent="0.3">
      <c r="B414" s="4">
        <v>408</v>
      </c>
      <c r="C414" s="4" t="s">
        <v>3577</v>
      </c>
      <c r="D414" s="5" t="s">
        <v>3284</v>
      </c>
      <c r="E414" s="4">
        <v>300</v>
      </c>
      <c r="F414" s="5" t="s">
        <v>3285</v>
      </c>
      <c r="G414" s="4" t="s">
        <v>1634</v>
      </c>
      <c r="H414" s="4" t="s">
        <v>1631</v>
      </c>
      <c r="I414" s="22">
        <v>2305415.8590000002</v>
      </c>
      <c r="J414" s="22">
        <v>585711.701</v>
      </c>
      <c r="K414" s="22">
        <v>2305438.5830000001</v>
      </c>
      <c r="L414" s="22">
        <v>585696.57200000004</v>
      </c>
      <c r="M414" s="6">
        <v>27.3</v>
      </c>
      <c r="N414" s="11">
        <v>4.1399999999999997</v>
      </c>
      <c r="O414" s="11">
        <v>4.24</v>
      </c>
      <c r="P414" s="11">
        <f t="shared" si="12"/>
        <v>0.10000000000000053</v>
      </c>
      <c r="Q414" s="11">
        <f t="shared" si="13"/>
        <v>0.36599999999999999</v>
      </c>
      <c r="R414" s="11">
        <v>1.08</v>
      </c>
    </row>
    <row r="415" spans="2:18" ht="16" x14ac:dyDescent="0.3">
      <c r="B415" s="4">
        <v>409</v>
      </c>
      <c r="C415" s="4" t="s">
        <v>3578</v>
      </c>
      <c r="D415" s="5" t="s">
        <v>3284</v>
      </c>
      <c r="E415" s="4">
        <v>300</v>
      </c>
      <c r="F415" s="5" t="s">
        <v>3285</v>
      </c>
      <c r="G415" s="4" t="s">
        <v>1583</v>
      </c>
      <c r="H415" s="4" t="s">
        <v>1580</v>
      </c>
      <c r="I415" s="22">
        <v>2305566.2030000002</v>
      </c>
      <c r="J415" s="22">
        <v>585597.00100000005</v>
      </c>
      <c r="K415" s="22">
        <v>2305586.3849999998</v>
      </c>
      <c r="L415" s="22">
        <v>585583.46799999999</v>
      </c>
      <c r="M415" s="6">
        <v>24.3</v>
      </c>
      <c r="N415" s="11">
        <v>4.34</v>
      </c>
      <c r="O415" s="11">
        <v>4.42</v>
      </c>
      <c r="P415" s="11">
        <f t="shared" si="12"/>
        <v>8.0000000000000071E-2</v>
      </c>
      <c r="Q415" s="11">
        <f t="shared" si="13"/>
        <v>0.32900000000000001</v>
      </c>
      <c r="R415" s="11">
        <v>0.89</v>
      </c>
    </row>
    <row r="416" spans="2:18" ht="16" x14ac:dyDescent="0.3">
      <c r="B416" s="4">
        <v>410</v>
      </c>
      <c r="C416" s="4" t="s">
        <v>3579</v>
      </c>
      <c r="D416" s="5" t="s">
        <v>3284</v>
      </c>
      <c r="E416" s="4">
        <v>300</v>
      </c>
      <c r="F416" s="5" t="s">
        <v>3285</v>
      </c>
      <c r="G416" s="4" t="s">
        <v>1586</v>
      </c>
      <c r="H416" s="4" t="s">
        <v>1583</v>
      </c>
      <c r="I416" s="22">
        <v>2305544.6090000002</v>
      </c>
      <c r="J416" s="22">
        <v>585611.48199999996</v>
      </c>
      <c r="K416" s="22">
        <v>2305565.622</v>
      </c>
      <c r="L416" s="22">
        <v>585597.39099999995</v>
      </c>
      <c r="M416" s="6">
        <v>25.3</v>
      </c>
      <c r="N416" s="11">
        <v>4.25</v>
      </c>
      <c r="O416" s="11">
        <v>4.34</v>
      </c>
      <c r="P416" s="11">
        <f t="shared" si="12"/>
        <v>8.9999999999999858E-2</v>
      </c>
      <c r="Q416" s="11">
        <f t="shared" si="13"/>
        <v>0.35599999999999998</v>
      </c>
      <c r="R416" s="11">
        <v>0.97499999999999998</v>
      </c>
    </row>
    <row r="417" spans="2:18" ht="16" x14ac:dyDescent="0.3">
      <c r="B417" s="4">
        <v>411</v>
      </c>
      <c r="C417" s="4" t="s">
        <v>3580</v>
      </c>
      <c r="D417" s="5" t="s">
        <v>3284</v>
      </c>
      <c r="E417" s="4">
        <v>300</v>
      </c>
      <c r="F417" s="5" t="s">
        <v>3285</v>
      </c>
      <c r="G417" s="4" t="s">
        <v>1589</v>
      </c>
      <c r="H417" s="4" t="s">
        <v>1586</v>
      </c>
      <c r="I417" s="22">
        <v>2305523.8450000002</v>
      </c>
      <c r="J417" s="22">
        <v>585625.40500000003</v>
      </c>
      <c r="K417" s="22">
        <v>2305544.0269999998</v>
      </c>
      <c r="L417" s="22">
        <v>585611.87199999997</v>
      </c>
      <c r="M417" s="6">
        <v>24.3</v>
      </c>
      <c r="N417" s="11">
        <v>4.17</v>
      </c>
      <c r="O417" s="11">
        <v>4.25</v>
      </c>
      <c r="P417" s="11">
        <f t="shared" si="12"/>
        <v>8.0000000000000071E-2</v>
      </c>
      <c r="Q417" s="11">
        <f t="shared" si="13"/>
        <v>0.32900000000000001</v>
      </c>
      <c r="R417" s="11">
        <v>1.06</v>
      </c>
    </row>
    <row r="418" spans="2:18" ht="16" x14ac:dyDescent="0.3">
      <c r="B418" s="4">
        <v>412</v>
      </c>
      <c r="C418" s="4" t="s">
        <v>3581</v>
      </c>
      <c r="D418" s="5" t="s">
        <v>3284</v>
      </c>
      <c r="E418" s="4">
        <v>300</v>
      </c>
      <c r="F418" s="5" t="s">
        <v>3285</v>
      </c>
      <c r="G418" s="4" t="s">
        <v>561</v>
      </c>
      <c r="H418" s="4" t="s">
        <v>1589</v>
      </c>
      <c r="I418" s="22">
        <v>2305511.7439999999</v>
      </c>
      <c r="J418" s="22">
        <v>585633.76599999995</v>
      </c>
      <c r="K418" s="22">
        <v>2305523.2629999998</v>
      </c>
      <c r="L418" s="22">
        <v>585625.79500000004</v>
      </c>
      <c r="M418" s="6">
        <v>14.007999999999999</v>
      </c>
      <c r="N418" s="11">
        <v>4.1100000000000003</v>
      </c>
      <c r="O418" s="11">
        <v>4.17</v>
      </c>
      <c r="P418" s="11">
        <f t="shared" si="12"/>
        <v>5.9999999999999609E-2</v>
      </c>
      <c r="Q418" s="11">
        <f t="shared" si="13"/>
        <v>0.42799999999999999</v>
      </c>
      <c r="R418" s="11">
        <v>1.1299999999999999</v>
      </c>
    </row>
    <row r="419" spans="2:18" ht="16" x14ac:dyDescent="0.3">
      <c r="B419" s="4">
        <v>413</v>
      </c>
      <c r="C419" s="4" t="s">
        <v>3582</v>
      </c>
      <c r="D419" s="5" t="s">
        <v>3284</v>
      </c>
      <c r="E419" s="4">
        <v>300</v>
      </c>
      <c r="F419" s="5" t="s">
        <v>3285</v>
      </c>
      <c r="G419" s="4" t="s">
        <v>564</v>
      </c>
      <c r="H419" s="4" t="s">
        <v>561</v>
      </c>
      <c r="I419" s="22">
        <v>2305494.1230000001</v>
      </c>
      <c r="J419" s="22">
        <v>585609.81099999999</v>
      </c>
      <c r="K419" s="22">
        <v>2305510.9139999999</v>
      </c>
      <c r="L419" s="22">
        <v>585634.32299999997</v>
      </c>
      <c r="M419" s="6">
        <v>39.628999999999998</v>
      </c>
      <c r="N419" s="11">
        <v>4</v>
      </c>
      <c r="O419" s="11">
        <v>4.1100000000000003</v>
      </c>
      <c r="P419" s="11">
        <f t="shared" si="12"/>
        <v>0.11000000000000032</v>
      </c>
      <c r="Q419" s="11">
        <f t="shared" si="13"/>
        <v>0.27800000000000002</v>
      </c>
      <c r="R419" s="11">
        <v>1.2150000000000001</v>
      </c>
    </row>
    <row r="420" spans="2:18" ht="16" x14ac:dyDescent="0.3">
      <c r="B420" s="4">
        <v>414</v>
      </c>
      <c r="C420" s="4" t="s">
        <v>3583</v>
      </c>
      <c r="D420" s="5" t="s">
        <v>3284</v>
      </c>
      <c r="E420" s="4">
        <v>300</v>
      </c>
      <c r="F420" s="5" t="s">
        <v>3285</v>
      </c>
      <c r="G420" s="4" t="s">
        <v>1601</v>
      </c>
      <c r="H420" s="4" t="s">
        <v>564</v>
      </c>
      <c r="I420" s="22">
        <v>2305506.9010000001</v>
      </c>
      <c r="J420" s="22">
        <v>585601.39500000002</v>
      </c>
      <c r="K420" s="22">
        <v>2305494.9539999999</v>
      </c>
      <c r="L420" s="22">
        <v>585609.25399999996</v>
      </c>
      <c r="M420" s="6">
        <v>14.301</v>
      </c>
      <c r="N420" s="11">
        <v>3.96</v>
      </c>
      <c r="O420" s="11">
        <v>4</v>
      </c>
      <c r="P420" s="11">
        <f t="shared" si="12"/>
        <v>4.0000000000000036E-2</v>
      </c>
      <c r="Q420" s="11">
        <f t="shared" si="13"/>
        <v>0.28000000000000003</v>
      </c>
      <c r="R420" s="11">
        <v>1.29</v>
      </c>
    </row>
    <row r="421" spans="2:18" ht="16" x14ac:dyDescent="0.3">
      <c r="B421" s="4">
        <v>415</v>
      </c>
      <c r="C421" s="4" t="s">
        <v>3584</v>
      </c>
      <c r="D421" s="5" t="s">
        <v>3284</v>
      </c>
      <c r="E421" s="4">
        <v>300</v>
      </c>
      <c r="F421" s="5" t="s">
        <v>3285</v>
      </c>
      <c r="G421" s="4" t="s">
        <v>1598</v>
      </c>
      <c r="H421" s="4" t="s">
        <v>1601</v>
      </c>
      <c r="I421" s="22">
        <v>2305527.727</v>
      </c>
      <c r="J421" s="22">
        <v>585587.52599999995</v>
      </c>
      <c r="K421" s="22">
        <v>2305507.483</v>
      </c>
      <c r="L421" s="22">
        <v>585601.005</v>
      </c>
      <c r="M421" s="6">
        <v>24.321000000000002</v>
      </c>
      <c r="N421" s="11">
        <v>3.96</v>
      </c>
      <c r="O421" s="11">
        <v>3.96</v>
      </c>
      <c r="P421" s="11">
        <f t="shared" si="12"/>
        <v>0</v>
      </c>
      <c r="Q421" s="11">
        <f t="shared" si="13"/>
        <v>0</v>
      </c>
      <c r="R421" s="11">
        <v>1.31</v>
      </c>
    </row>
    <row r="422" spans="2:18" ht="16" x14ac:dyDescent="0.3">
      <c r="B422" s="4">
        <v>416</v>
      </c>
      <c r="C422" s="4" t="s">
        <v>3585</v>
      </c>
      <c r="D422" s="5" t="s">
        <v>3284</v>
      </c>
      <c r="E422" s="4">
        <v>300</v>
      </c>
      <c r="F422" s="5" t="s">
        <v>3285</v>
      </c>
      <c r="G422" s="4" t="s">
        <v>1595</v>
      </c>
      <c r="H422" s="4" t="s">
        <v>1598</v>
      </c>
      <c r="I422" s="22">
        <v>2305549.2590000001</v>
      </c>
      <c r="J422" s="22">
        <v>585572.99100000004</v>
      </c>
      <c r="K422" s="22">
        <v>2305528.2910000002</v>
      </c>
      <c r="L422" s="22">
        <v>585587.14800000004</v>
      </c>
      <c r="M422" s="6">
        <v>25.3</v>
      </c>
      <c r="N422" s="11">
        <v>3.96</v>
      </c>
      <c r="O422" s="11">
        <v>3.96</v>
      </c>
      <c r="P422" s="11">
        <f t="shared" si="12"/>
        <v>0</v>
      </c>
      <c r="Q422" s="11">
        <f t="shared" si="13"/>
        <v>0</v>
      </c>
      <c r="R422" s="11">
        <v>1.31</v>
      </c>
    </row>
    <row r="423" spans="2:18" ht="16" x14ac:dyDescent="0.3">
      <c r="B423" s="4">
        <v>417</v>
      </c>
      <c r="C423" s="4" t="s">
        <v>3586</v>
      </c>
      <c r="D423" s="5" t="s">
        <v>3284</v>
      </c>
      <c r="E423" s="4">
        <v>300</v>
      </c>
      <c r="F423" s="5" t="s">
        <v>3285</v>
      </c>
      <c r="G423" s="4" t="s">
        <v>1592</v>
      </c>
      <c r="H423" s="4" t="s">
        <v>1595</v>
      </c>
      <c r="I423" s="22">
        <v>2305570.023</v>
      </c>
      <c r="J423" s="22">
        <v>585559.06700000004</v>
      </c>
      <c r="K423" s="22">
        <v>2305549.841</v>
      </c>
      <c r="L423" s="22">
        <v>585572.60100000002</v>
      </c>
      <c r="M423" s="6">
        <v>24.3</v>
      </c>
      <c r="N423" s="11">
        <v>4.42</v>
      </c>
      <c r="O423" s="11">
        <v>3.96</v>
      </c>
      <c r="P423" s="11">
        <f t="shared" si="12"/>
        <v>0.45999999999999996</v>
      </c>
      <c r="Q423" s="11">
        <f t="shared" si="13"/>
        <v>1.893</v>
      </c>
      <c r="R423" s="11">
        <v>1.08</v>
      </c>
    </row>
    <row r="424" spans="2:18" ht="16" x14ac:dyDescent="0.3">
      <c r="B424" s="4">
        <v>418</v>
      </c>
      <c r="C424" s="4" t="s">
        <v>3587</v>
      </c>
      <c r="D424" s="5" t="s">
        <v>3284</v>
      </c>
      <c r="E424" s="4">
        <v>300</v>
      </c>
      <c r="F424" s="5" t="s">
        <v>3285</v>
      </c>
      <c r="G424" s="4" t="s">
        <v>1463</v>
      </c>
      <c r="H424" s="4" t="s">
        <v>740</v>
      </c>
      <c r="I424" s="22">
        <v>2305206.0520000001</v>
      </c>
      <c r="J424" s="22">
        <v>585078.77099999995</v>
      </c>
      <c r="K424" s="22">
        <v>2305227.872</v>
      </c>
      <c r="L424" s="22">
        <v>585064.08799999999</v>
      </c>
      <c r="M424" s="6">
        <v>26.3</v>
      </c>
      <c r="N424" s="11">
        <v>4.13</v>
      </c>
      <c r="O424" s="11">
        <v>4.22</v>
      </c>
      <c r="P424" s="11">
        <f t="shared" si="12"/>
        <v>8.9999999999999858E-2</v>
      </c>
      <c r="Q424" s="11">
        <f t="shared" si="13"/>
        <v>0.34200000000000003</v>
      </c>
      <c r="R424" s="11">
        <v>0.89500000000000002</v>
      </c>
    </row>
    <row r="425" spans="2:18" ht="16" x14ac:dyDescent="0.3">
      <c r="B425" s="4">
        <v>419</v>
      </c>
      <c r="C425" s="4" t="s">
        <v>3588</v>
      </c>
      <c r="D425" s="5" t="s">
        <v>3284</v>
      </c>
      <c r="E425" s="4">
        <v>300</v>
      </c>
      <c r="F425" s="5" t="s">
        <v>3285</v>
      </c>
      <c r="G425" s="4" t="s">
        <v>1466</v>
      </c>
      <c r="H425" s="4" t="s">
        <v>1463</v>
      </c>
      <c r="I425" s="22">
        <v>2305183.6269999999</v>
      </c>
      <c r="J425" s="22">
        <v>585093.80900000001</v>
      </c>
      <c r="K425" s="22">
        <v>2305205.4700000002</v>
      </c>
      <c r="L425" s="22">
        <v>585079.16099999996</v>
      </c>
      <c r="M425" s="6">
        <v>26.3</v>
      </c>
      <c r="N425" s="11">
        <v>4.04</v>
      </c>
      <c r="O425" s="11">
        <v>4.13</v>
      </c>
      <c r="P425" s="11">
        <f t="shared" si="12"/>
        <v>8.9999999999999858E-2</v>
      </c>
      <c r="Q425" s="11">
        <f t="shared" si="13"/>
        <v>0.34200000000000003</v>
      </c>
      <c r="R425" s="11">
        <v>0.98499999999999999</v>
      </c>
    </row>
    <row r="426" spans="2:18" ht="16" x14ac:dyDescent="0.3">
      <c r="B426" s="4">
        <v>420</v>
      </c>
      <c r="C426" s="4" t="s">
        <v>3589</v>
      </c>
      <c r="D426" s="5" t="s">
        <v>3284</v>
      </c>
      <c r="E426" s="4">
        <v>300</v>
      </c>
      <c r="F426" s="5" t="s">
        <v>3285</v>
      </c>
      <c r="G426" s="4" t="s">
        <v>1469</v>
      </c>
      <c r="H426" s="4" t="s">
        <v>1466</v>
      </c>
      <c r="I426" s="22">
        <v>2305168.6770000001</v>
      </c>
      <c r="J426" s="22">
        <v>585103.83400000003</v>
      </c>
      <c r="K426" s="22">
        <v>2305183.0460000001</v>
      </c>
      <c r="L426" s="22">
        <v>585094.19799999997</v>
      </c>
      <c r="M426" s="6">
        <v>17.3</v>
      </c>
      <c r="N426" s="11">
        <v>3.98</v>
      </c>
      <c r="O426" s="11">
        <v>4.04</v>
      </c>
      <c r="P426" s="11">
        <f t="shared" si="12"/>
        <v>6.0000000000000053E-2</v>
      </c>
      <c r="Q426" s="11">
        <f t="shared" si="13"/>
        <v>0.34699999999999998</v>
      </c>
      <c r="R426" s="11">
        <v>1.06</v>
      </c>
    </row>
    <row r="427" spans="2:18" ht="16" x14ac:dyDescent="0.3">
      <c r="B427" s="4">
        <v>421</v>
      </c>
      <c r="C427" s="4" t="s">
        <v>3590</v>
      </c>
      <c r="D427" s="5" t="s">
        <v>3284</v>
      </c>
      <c r="E427" s="4">
        <v>300</v>
      </c>
      <c r="F427" s="5" t="s">
        <v>3285</v>
      </c>
      <c r="G427" s="4" t="s">
        <v>399</v>
      </c>
      <c r="H427" s="4" t="s">
        <v>1469</v>
      </c>
      <c r="I427" s="22">
        <v>2305152.7239999999</v>
      </c>
      <c r="J427" s="22">
        <v>585114.55700000003</v>
      </c>
      <c r="K427" s="22">
        <v>2305168.0959999999</v>
      </c>
      <c r="L427" s="22">
        <v>585104.223</v>
      </c>
      <c r="M427" s="6">
        <v>18.521999999999998</v>
      </c>
      <c r="N427" s="11">
        <v>3.45</v>
      </c>
      <c r="O427" s="11">
        <v>3.98</v>
      </c>
      <c r="P427" s="11">
        <f t="shared" si="12"/>
        <v>0.5299999999999998</v>
      </c>
      <c r="Q427" s="11">
        <f t="shared" si="13"/>
        <v>2.8610000000000002</v>
      </c>
      <c r="R427" s="11">
        <v>1.355</v>
      </c>
    </row>
    <row r="428" spans="2:18" ht="16" x14ac:dyDescent="0.3">
      <c r="B428" s="4">
        <v>422</v>
      </c>
      <c r="C428" s="4" t="s">
        <v>3591</v>
      </c>
      <c r="D428" s="5" t="s">
        <v>3284</v>
      </c>
      <c r="E428" s="4">
        <v>300</v>
      </c>
      <c r="F428" s="5" t="s">
        <v>3285</v>
      </c>
      <c r="G428" s="4" t="s">
        <v>396</v>
      </c>
      <c r="H428" s="4" t="s">
        <v>399</v>
      </c>
      <c r="I428" s="22">
        <v>2305138.923</v>
      </c>
      <c r="J428" s="22">
        <v>585102.04399999999</v>
      </c>
      <c r="K428" s="22">
        <v>2305151.73</v>
      </c>
      <c r="L428" s="22">
        <v>585114.43500000006</v>
      </c>
      <c r="M428" s="6">
        <v>19.170000000000002</v>
      </c>
      <c r="N428" s="11">
        <v>3.52</v>
      </c>
      <c r="O428" s="11">
        <v>3.45</v>
      </c>
      <c r="P428" s="11">
        <f t="shared" si="12"/>
        <v>6.999999999999984E-2</v>
      </c>
      <c r="Q428" s="11">
        <f t="shared" si="13"/>
        <v>0.36499999999999999</v>
      </c>
      <c r="R428" s="11">
        <v>1.585</v>
      </c>
    </row>
    <row r="429" spans="2:18" ht="16" x14ac:dyDescent="0.3">
      <c r="B429" s="4">
        <v>423</v>
      </c>
      <c r="C429" s="4" t="s">
        <v>3592</v>
      </c>
      <c r="D429" s="5" t="s">
        <v>3284</v>
      </c>
      <c r="E429" s="4">
        <v>300</v>
      </c>
      <c r="F429" s="5" t="s">
        <v>3285</v>
      </c>
      <c r="G429" s="4" t="s">
        <v>3087</v>
      </c>
      <c r="H429" s="4" t="s">
        <v>396</v>
      </c>
      <c r="I429" s="22">
        <v>2305133.4509999999</v>
      </c>
      <c r="J429" s="22">
        <v>585082.32200000004</v>
      </c>
      <c r="K429" s="22">
        <v>2305138.3629999999</v>
      </c>
      <c r="L429" s="22">
        <v>585101.223</v>
      </c>
      <c r="M429" s="6">
        <v>22.541</v>
      </c>
      <c r="N429" s="11">
        <v>3.59</v>
      </c>
      <c r="O429" s="11">
        <v>3.52</v>
      </c>
      <c r="P429" s="11">
        <f t="shared" si="12"/>
        <v>6.999999999999984E-2</v>
      </c>
      <c r="Q429" s="11">
        <f t="shared" si="13"/>
        <v>0.311</v>
      </c>
      <c r="R429" s="11">
        <v>1.5149999999999999</v>
      </c>
    </row>
    <row r="430" spans="2:18" ht="16" x14ac:dyDescent="0.3">
      <c r="B430" s="4">
        <v>424</v>
      </c>
      <c r="C430" s="4" t="s">
        <v>3593</v>
      </c>
      <c r="D430" s="5" t="s">
        <v>3284</v>
      </c>
      <c r="E430" s="4">
        <v>300</v>
      </c>
      <c r="F430" s="5" t="s">
        <v>3285</v>
      </c>
      <c r="G430" s="4" t="s">
        <v>1478</v>
      </c>
      <c r="H430" s="4" t="s">
        <v>3087</v>
      </c>
      <c r="I430" s="22">
        <v>2305147.2779999999</v>
      </c>
      <c r="J430" s="22">
        <v>585073.17799999996</v>
      </c>
      <c r="K430" s="22">
        <v>2305134.3620000002</v>
      </c>
      <c r="L430" s="22">
        <v>585081.88600000006</v>
      </c>
      <c r="M430" s="6">
        <v>15.577</v>
      </c>
      <c r="N430" s="11">
        <v>3.98</v>
      </c>
      <c r="O430" s="11">
        <v>3.59</v>
      </c>
      <c r="P430" s="11">
        <f t="shared" si="12"/>
        <v>0.39000000000000012</v>
      </c>
      <c r="Q430" s="11">
        <f t="shared" si="13"/>
        <v>2.504</v>
      </c>
      <c r="R430" s="11">
        <v>1.2849999999999999</v>
      </c>
    </row>
    <row r="431" spans="2:18" ht="16" x14ac:dyDescent="0.3">
      <c r="B431" s="4">
        <v>425</v>
      </c>
      <c r="C431" s="4" t="s">
        <v>3594</v>
      </c>
      <c r="D431" s="5" t="s">
        <v>3284</v>
      </c>
      <c r="E431" s="4">
        <v>300</v>
      </c>
      <c r="F431" s="5" t="s">
        <v>3285</v>
      </c>
      <c r="G431" s="4" t="s">
        <v>1475</v>
      </c>
      <c r="H431" s="4" t="s">
        <v>1478</v>
      </c>
      <c r="I431" s="22">
        <v>2305162.2940000002</v>
      </c>
      <c r="J431" s="22">
        <v>585063.25199999998</v>
      </c>
      <c r="K431" s="22">
        <v>2305147.8590000002</v>
      </c>
      <c r="L431" s="22">
        <v>585072.78899999999</v>
      </c>
      <c r="M431" s="6">
        <v>17.3</v>
      </c>
      <c r="N431" s="11">
        <v>4.04</v>
      </c>
      <c r="O431" s="11">
        <v>3.98</v>
      </c>
      <c r="P431" s="11">
        <f t="shared" si="12"/>
        <v>6.0000000000000053E-2</v>
      </c>
      <c r="Q431" s="11">
        <f t="shared" si="13"/>
        <v>0.34699999999999998</v>
      </c>
      <c r="R431" s="11">
        <v>1.06</v>
      </c>
    </row>
    <row r="432" spans="2:18" ht="16" x14ac:dyDescent="0.3">
      <c r="B432" s="4">
        <v>426</v>
      </c>
      <c r="C432" s="4" t="s">
        <v>3595</v>
      </c>
      <c r="D432" s="5" t="s">
        <v>3284</v>
      </c>
      <c r="E432" s="4">
        <v>300</v>
      </c>
      <c r="F432" s="5" t="s">
        <v>3285</v>
      </c>
      <c r="G432" s="4" t="s">
        <v>1472</v>
      </c>
      <c r="H432" s="4" t="s">
        <v>1475</v>
      </c>
      <c r="I432" s="22">
        <v>2305184.6529999999</v>
      </c>
      <c r="J432" s="22">
        <v>585048.11600000004</v>
      </c>
      <c r="K432" s="22">
        <v>2305162.875</v>
      </c>
      <c r="L432" s="22">
        <v>585062.86199999996</v>
      </c>
      <c r="M432" s="6">
        <v>26.3</v>
      </c>
      <c r="N432" s="11">
        <v>4.13</v>
      </c>
      <c r="O432" s="11">
        <v>4.04</v>
      </c>
      <c r="P432" s="11">
        <f t="shared" si="12"/>
        <v>8.9999999999999858E-2</v>
      </c>
      <c r="Q432" s="11">
        <f t="shared" si="13"/>
        <v>0.34200000000000003</v>
      </c>
      <c r="R432" s="11">
        <v>0.98499999999999999</v>
      </c>
    </row>
    <row r="433" spans="2:18" ht="16" x14ac:dyDescent="0.3">
      <c r="B433" s="4">
        <v>427</v>
      </c>
      <c r="C433" s="4" t="s">
        <v>3596</v>
      </c>
      <c r="D433" s="5" t="s">
        <v>3284</v>
      </c>
      <c r="E433" s="4">
        <v>300</v>
      </c>
      <c r="F433" s="5" t="s">
        <v>3285</v>
      </c>
      <c r="G433" s="4" t="s">
        <v>737</v>
      </c>
      <c r="H433" s="4" t="s">
        <v>1472</v>
      </c>
      <c r="I433" s="22">
        <v>2305207.0780000002</v>
      </c>
      <c r="J433" s="22">
        <v>585033.07900000003</v>
      </c>
      <c r="K433" s="22">
        <v>2305185.2340000002</v>
      </c>
      <c r="L433" s="22">
        <v>585047.72600000002</v>
      </c>
      <c r="M433" s="6">
        <v>26.3</v>
      </c>
      <c r="N433" s="11">
        <v>4.22</v>
      </c>
      <c r="O433" s="11">
        <v>4.13</v>
      </c>
      <c r="P433" s="11">
        <f t="shared" si="12"/>
        <v>8.9999999999999858E-2</v>
      </c>
      <c r="Q433" s="11">
        <f t="shared" si="13"/>
        <v>0.34200000000000003</v>
      </c>
      <c r="R433" s="11">
        <v>0.89500000000000002</v>
      </c>
    </row>
    <row r="434" spans="2:18" ht="16" x14ac:dyDescent="0.3">
      <c r="B434" s="4">
        <v>428</v>
      </c>
      <c r="C434" s="4" t="s">
        <v>3597</v>
      </c>
      <c r="D434" s="5" t="s">
        <v>3284</v>
      </c>
      <c r="E434" s="4">
        <v>300</v>
      </c>
      <c r="F434" s="5" t="s">
        <v>3285</v>
      </c>
      <c r="G434" s="4" t="s">
        <v>1442</v>
      </c>
      <c r="H434" s="4" t="s">
        <v>746</v>
      </c>
      <c r="I434" s="22">
        <v>2305233.3420000002</v>
      </c>
      <c r="J434" s="22">
        <v>585119.46799999999</v>
      </c>
      <c r="K434" s="22">
        <v>2305255.1850000001</v>
      </c>
      <c r="L434" s="22">
        <v>585104.821</v>
      </c>
      <c r="M434" s="6">
        <v>26.3</v>
      </c>
      <c r="N434" s="11">
        <v>4.13</v>
      </c>
      <c r="O434" s="11">
        <v>4.22</v>
      </c>
      <c r="P434" s="11">
        <f t="shared" si="12"/>
        <v>8.9999999999999858E-2</v>
      </c>
      <c r="Q434" s="11">
        <f t="shared" si="13"/>
        <v>0.34200000000000003</v>
      </c>
      <c r="R434" s="11">
        <v>0.89500000000000002</v>
      </c>
    </row>
    <row r="435" spans="2:18" ht="16" x14ac:dyDescent="0.3">
      <c r="B435" s="4">
        <v>429</v>
      </c>
      <c r="C435" s="4" t="s">
        <v>3598</v>
      </c>
      <c r="D435" s="5" t="s">
        <v>3284</v>
      </c>
      <c r="E435" s="4">
        <v>300</v>
      </c>
      <c r="F435" s="5" t="s">
        <v>3285</v>
      </c>
      <c r="G435" s="4" t="s">
        <v>1445</v>
      </c>
      <c r="H435" s="4" t="s">
        <v>1442</v>
      </c>
      <c r="I435" s="22">
        <v>2305210.9169999999</v>
      </c>
      <c r="J435" s="22">
        <v>585134.50600000005</v>
      </c>
      <c r="K435" s="22">
        <v>2305232.7609999999</v>
      </c>
      <c r="L435" s="22">
        <v>585119.85800000001</v>
      </c>
      <c r="M435" s="6">
        <v>26.3</v>
      </c>
      <c r="N435" s="11">
        <v>4.04</v>
      </c>
      <c r="O435" s="11">
        <v>4.13</v>
      </c>
      <c r="P435" s="11">
        <f t="shared" si="12"/>
        <v>8.9999999999999858E-2</v>
      </c>
      <c r="Q435" s="11">
        <f t="shared" si="13"/>
        <v>0.34200000000000003</v>
      </c>
      <c r="R435" s="11">
        <v>0.98499999999999999</v>
      </c>
    </row>
    <row r="436" spans="2:18" ht="16" x14ac:dyDescent="0.3">
      <c r="B436" s="4">
        <v>430</v>
      </c>
      <c r="C436" s="4" t="s">
        <v>3599</v>
      </c>
      <c r="D436" s="5" t="s">
        <v>3284</v>
      </c>
      <c r="E436" s="4">
        <v>300</v>
      </c>
      <c r="F436" s="5" t="s">
        <v>3285</v>
      </c>
      <c r="G436" s="4" t="s">
        <v>1448</v>
      </c>
      <c r="H436" s="4" t="s">
        <v>1445</v>
      </c>
      <c r="I436" s="22">
        <v>2305195.9670000002</v>
      </c>
      <c r="J436" s="22">
        <v>585144.53099999996</v>
      </c>
      <c r="K436" s="22">
        <v>2305210.3360000001</v>
      </c>
      <c r="L436" s="22">
        <v>585134.89599999995</v>
      </c>
      <c r="M436" s="6">
        <v>17.3</v>
      </c>
      <c r="N436" s="11">
        <v>3.98</v>
      </c>
      <c r="O436" s="11">
        <v>4.04</v>
      </c>
      <c r="P436" s="11">
        <f t="shared" si="12"/>
        <v>6.0000000000000053E-2</v>
      </c>
      <c r="Q436" s="11">
        <f t="shared" si="13"/>
        <v>0.34699999999999998</v>
      </c>
      <c r="R436" s="11">
        <v>1.06</v>
      </c>
    </row>
    <row r="437" spans="2:18" ht="16" x14ac:dyDescent="0.3">
      <c r="B437" s="4">
        <v>431</v>
      </c>
      <c r="C437" s="4" t="s">
        <v>3600</v>
      </c>
      <c r="D437" s="5" t="s">
        <v>3284</v>
      </c>
      <c r="E437" s="4">
        <v>300</v>
      </c>
      <c r="F437" s="5" t="s">
        <v>3285</v>
      </c>
      <c r="G437" s="4" t="s">
        <v>405</v>
      </c>
      <c r="H437" s="4" t="s">
        <v>1448</v>
      </c>
      <c r="I437" s="22">
        <v>2305182.5109999999</v>
      </c>
      <c r="J437" s="22">
        <v>585153.69799999997</v>
      </c>
      <c r="K437" s="22">
        <v>2305195.3859999999</v>
      </c>
      <c r="L437" s="22">
        <v>585144.92000000004</v>
      </c>
      <c r="M437" s="6">
        <v>15.583</v>
      </c>
      <c r="N437" s="11">
        <v>3.28</v>
      </c>
      <c r="O437" s="11">
        <v>3.98</v>
      </c>
      <c r="P437" s="11">
        <f t="shared" si="12"/>
        <v>0.70000000000000018</v>
      </c>
      <c r="Q437" s="11">
        <f t="shared" si="13"/>
        <v>4.492</v>
      </c>
      <c r="R437" s="11">
        <v>1.44</v>
      </c>
    </row>
    <row r="438" spans="2:18" ht="16" x14ac:dyDescent="0.3">
      <c r="B438" s="4">
        <v>432</v>
      </c>
      <c r="C438" s="4" t="s">
        <v>3601</v>
      </c>
      <c r="D438" s="5" t="s">
        <v>3284</v>
      </c>
      <c r="E438" s="4">
        <v>300</v>
      </c>
      <c r="F438" s="5" t="s">
        <v>3285</v>
      </c>
      <c r="G438" s="4" t="s">
        <v>1460</v>
      </c>
      <c r="H438" s="4" t="s">
        <v>405</v>
      </c>
      <c r="I438" s="22">
        <v>2305166.213</v>
      </c>
      <c r="J438" s="22">
        <v>585142.74100000004</v>
      </c>
      <c r="K438" s="22">
        <v>2305181.6800000002</v>
      </c>
      <c r="L438" s="22">
        <v>585154.255</v>
      </c>
      <c r="M438" s="6">
        <v>22.219000000000001</v>
      </c>
      <c r="N438" s="11">
        <v>3.34</v>
      </c>
      <c r="O438" s="11">
        <v>3.28</v>
      </c>
      <c r="P438" s="11">
        <f t="shared" si="12"/>
        <v>6.0000000000000053E-2</v>
      </c>
      <c r="Q438" s="11">
        <f t="shared" si="13"/>
        <v>0.27</v>
      </c>
      <c r="R438" s="11">
        <v>1.76</v>
      </c>
    </row>
    <row r="439" spans="2:18" ht="16" x14ac:dyDescent="0.3">
      <c r="B439" s="4">
        <v>433</v>
      </c>
      <c r="C439" s="4" t="s">
        <v>3602</v>
      </c>
      <c r="D439" s="5" t="s">
        <v>3284</v>
      </c>
      <c r="E439" s="4">
        <v>300</v>
      </c>
      <c r="F439" s="5" t="s">
        <v>3285</v>
      </c>
      <c r="G439" s="4" t="s">
        <v>402</v>
      </c>
      <c r="H439" s="4" t="s">
        <v>1460</v>
      </c>
      <c r="I439" s="22">
        <v>2305158.898</v>
      </c>
      <c r="J439" s="22">
        <v>585125.38500000001</v>
      </c>
      <c r="K439" s="22">
        <v>2305165.6529999999</v>
      </c>
      <c r="L439" s="22">
        <v>585141.91200000001</v>
      </c>
      <c r="M439" s="6">
        <v>19.192</v>
      </c>
      <c r="N439" s="11">
        <v>3.41</v>
      </c>
      <c r="O439" s="11">
        <v>3.34</v>
      </c>
      <c r="P439" s="11">
        <f t="shared" si="12"/>
        <v>7.0000000000000284E-2</v>
      </c>
      <c r="Q439" s="11">
        <f t="shared" si="13"/>
        <v>0.36499999999999999</v>
      </c>
      <c r="R439" s="11">
        <v>1.6950000000000001</v>
      </c>
    </row>
    <row r="440" spans="2:18" ht="16" x14ac:dyDescent="0.3">
      <c r="B440" s="4">
        <v>434</v>
      </c>
      <c r="C440" s="4" t="s">
        <v>3603</v>
      </c>
      <c r="D440" s="5" t="s">
        <v>3284</v>
      </c>
      <c r="E440" s="4">
        <v>300</v>
      </c>
      <c r="F440" s="5" t="s">
        <v>3285</v>
      </c>
      <c r="G440" s="4" t="s">
        <v>1457</v>
      </c>
      <c r="H440" s="4" t="s">
        <v>402</v>
      </c>
      <c r="I440" s="22">
        <v>2305174.568</v>
      </c>
      <c r="J440" s="22">
        <v>585113.87600000005</v>
      </c>
      <c r="K440" s="22">
        <v>2305159.0830000001</v>
      </c>
      <c r="L440" s="22">
        <v>585124.402</v>
      </c>
      <c r="M440" s="6">
        <v>18.724</v>
      </c>
      <c r="N440" s="11">
        <v>3.98</v>
      </c>
      <c r="O440" s="11">
        <v>3.41</v>
      </c>
      <c r="P440" s="11">
        <f t="shared" si="12"/>
        <v>0.56999999999999984</v>
      </c>
      <c r="Q440" s="11">
        <f t="shared" si="13"/>
        <v>3.044</v>
      </c>
      <c r="R440" s="11">
        <v>1.375</v>
      </c>
    </row>
    <row r="441" spans="2:18" ht="16" x14ac:dyDescent="0.3">
      <c r="B441" s="4">
        <v>435</v>
      </c>
      <c r="C441" s="4" t="s">
        <v>3604</v>
      </c>
      <c r="D441" s="5" t="s">
        <v>3284</v>
      </c>
      <c r="E441" s="4">
        <v>300</v>
      </c>
      <c r="F441" s="5" t="s">
        <v>3285</v>
      </c>
      <c r="G441" s="4" t="s">
        <v>1454</v>
      </c>
      <c r="H441" s="4" t="s">
        <v>1457</v>
      </c>
      <c r="I441" s="22">
        <v>2305189.5180000002</v>
      </c>
      <c r="J441" s="22">
        <v>585103.85100000002</v>
      </c>
      <c r="K441" s="22">
        <v>2305175.1490000002</v>
      </c>
      <c r="L441" s="22">
        <v>585113.48600000003</v>
      </c>
      <c r="M441" s="6">
        <v>17.3</v>
      </c>
      <c r="N441" s="11">
        <v>4.04</v>
      </c>
      <c r="O441" s="11">
        <v>3.98</v>
      </c>
      <c r="P441" s="11">
        <f t="shared" si="12"/>
        <v>6.0000000000000053E-2</v>
      </c>
      <c r="Q441" s="11">
        <f t="shared" si="13"/>
        <v>0.34699999999999998</v>
      </c>
      <c r="R441" s="11">
        <v>1.06</v>
      </c>
    </row>
    <row r="442" spans="2:18" ht="16" x14ac:dyDescent="0.3">
      <c r="B442" s="4">
        <v>436</v>
      </c>
      <c r="C442" s="4" t="s">
        <v>3605</v>
      </c>
      <c r="D442" s="5" t="s">
        <v>3284</v>
      </c>
      <c r="E442" s="4">
        <v>300</v>
      </c>
      <c r="F442" s="5" t="s">
        <v>3285</v>
      </c>
      <c r="G442" s="4" t="s">
        <v>1451</v>
      </c>
      <c r="H442" s="4" t="s">
        <v>1454</v>
      </c>
      <c r="I442" s="22">
        <v>2305211.943</v>
      </c>
      <c r="J442" s="22">
        <v>585088.81299999997</v>
      </c>
      <c r="K442" s="22">
        <v>2305190.0989999999</v>
      </c>
      <c r="L442" s="22">
        <v>585103.46100000001</v>
      </c>
      <c r="M442" s="6">
        <v>26.3</v>
      </c>
      <c r="N442" s="11">
        <v>4.13</v>
      </c>
      <c r="O442" s="11">
        <v>4.04</v>
      </c>
      <c r="P442" s="11">
        <f t="shared" si="12"/>
        <v>8.9999999999999858E-2</v>
      </c>
      <c r="Q442" s="11">
        <f t="shared" si="13"/>
        <v>0.34200000000000003</v>
      </c>
      <c r="R442" s="11">
        <v>0.98499999999999999</v>
      </c>
    </row>
    <row r="443" spans="2:18" ht="16" x14ac:dyDescent="0.3">
      <c r="B443" s="4">
        <v>437</v>
      </c>
      <c r="C443" s="4" t="s">
        <v>3606</v>
      </c>
      <c r="D443" s="5" t="s">
        <v>3284</v>
      </c>
      <c r="E443" s="4">
        <v>300</v>
      </c>
      <c r="F443" s="5" t="s">
        <v>3285</v>
      </c>
      <c r="G443" s="4" t="s">
        <v>743</v>
      </c>
      <c r="H443" s="4" t="s">
        <v>1451</v>
      </c>
      <c r="I443" s="22">
        <v>2305234.3640000001</v>
      </c>
      <c r="J443" s="22">
        <v>585073.77099999995</v>
      </c>
      <c r="K443" s="22">
        <v>2305212.5240000002</v>
      </c>
      <c r="L443" s="22">
        <v>585088.42299999995</v>
      </c>
      <c r="M443" s="6">
        <v>26.3</v>
      </c>
      <c r="N443" s="11">
        <v>4.22</v>
      </c>
      <c r="O443" s="11">
        <v>4.13</v>
      </c>
      <c r="P443" s="11">
        <f t="shared" si="12"/>
        <v>8.9999999999999858E-2</v>
      </c>
      <c r="Q443" s="11">
        <f t="shared" si="13"/>
        <v>0.34200000000000003</v>
      </c>
      <c r="R443" s="11">
        <v>0.89500000000000002</v>
      </c>
    </row>
    <row r="444" spans="2:18" ht="16" x14ac:dyDescent="0.3">
      <c r="B444" s="4">
        <v>438</v>
      </c>
      <c r="C444" s="4" t="s">
        <v>3607</v>
      </c>
      <c r="D444" s="5" t="s">
        <v>3284</v>
      </c>
      <c r="E444" s="4">
        <v>300</v>
      </c>
      <c r="F444" s="5" t="s">
        <v>3285</v>
      </c>
      <c r="G444" s="4" t="s">
        <v>1538</v>
      </c>
      <c r="H444" s="4" t="s">
        <v>764</v>
      </c>
      <c r="I444" s="22">
        <v>2305098.4950000001</v>
      </c>
      <c r="J444" s="22">
        <v>585150.89500000002</v>
      </c>
      <c r="K444" s="22">
        <v>2305120.361</v>
      </c>
      <c r="L444" s="22">
        <v>585136.23300000001</v>
      </c>
      <c r="M444" s="6">
        <v>26.326000000000001</v>
      </c>
      <c r="N444" s="11">
        <v>4.13</v>
      </c>
      <c r="O444" s="11">
        <v>4.22</v>
      </c>
      <c r="P444" s="11">
        <f t="shared" si="12"/>
        <v>8.9999999999999858E-2</v>
      </c>
      <c r="Q444" s="11">
        <f t="shared" si="13"/>
        <v>0.34200000000000003</v>
      </c>
      <c r="R444" s="11">
        <v>0.89500000000000002</v>
      </c>
    </row>
    <row r="445" spans="2:18" ht="16" x14ac:dyDescent="0.3">
      <c r="B445" s="4">
        <v>439</v>
      </c>
      <c r="C445" s="4" t="s">
        <v>3608</v>
      </c>
      <c r="D445" s="5" t="s">
        <v>3284</v>
      </c>
      <c r="E445" s="4">
        <v>300</v>
      </c>
      <c r="F445" s="5" t="s">
        <v>3285</v>
      </c>
      <c r="G445" s="4" t="s">
        <v>1541</v>
      </c>
      <c r="H445" s="4" t="s">
        <v>1538</v>
      </c>
      <c r="I445" s="22">
        <v>2305076.0699999998</v>
      </c>
      <c r="J445" s="22">
        <v>585165.93299999996</v>
      </c>
      <c r="K445" s="22">
        <v>2305097.9139999999</v>
      </c>
      <c r="L445" s="22">
        <v>585151.28500000003</v>
      </c>
      <c r="M445" s="6">
        <v>26.3</v>
      </c>
      <c r="N445" s="11">
        <v>4.04</v>
      </c>
      <c r="O445" s="11">
        <v>4.13</v>
      </c>
      <c r="P445" s="11">
        <f t="shared" si="12"/>
        <v>8.9999999999999858E-2</v>
      </c>
      <c r="Q445" s="11">
        <f t="shared" si="13"/>
        <v>0.34200000000000003</v>
      </c>
      <c r="R445" s="11">
        <v>0.98499999999999999</v>
      </c>
    </row>
    <row r="446" spans="2:18" ht="16" x14ac:dyDescent="0.3">
      <c r="B446" s="4">
        <v>440</v>
      </c>
      <c r="C446" s="4" t="s">
        <v>3609</v>
      </c>
      <c r="D446" s="5" t="s">
        <v>3284</v>
      </c>
      <c r="E446" s="4">
        <v>300</v>
      </c>
      <c r="F446" s="5" t="s">
        <v>3285</v>
      </c>
      <c r="G446" s="4" t="s">
        <v>1544</v>
      </c>
      <c r="H446" s="4" t="s">
        <v>1541</v>
      </c>
      <c r="I446" s="22">
        <v>2305061.1209999998</v>
      </c>
      <c r="J446" s="22">
        <v>585175.95799999998</v>
      </c>
      <c r="K446" s="22">
        <v>2305075.4890000001</v>
      </c>
      <c r="L446" s="22">
        <v>585166.32200000004</v>
      </c>
      <c r="M446" s="6">
        <v>17.3</v>
      </c>
      <c r="N446" s="11">
        <v>3.98</v>
      </c>
      <c r="O446" s="11">
        <v>4.04</v>
      </c>
      <c r="P446" s="11">
        <f t="shared" si="12"/>
        <v>6.0000000000000053E-2</v>
      </c>
      <c r="Q446" s="11">
        <f t="shared" si="13"/>
        <v>0.34699999999999998</v>
      </c>
      <c r="R446" s="11">
        <v>1.06</v>
      </c>
    </row>
    <row r="447" spans="2:18" ht="16" x14ac:dyDescent="0.3">
      <c r="B447" s="4">
        <v>441</v>
      </c>
      <c r="C447" s="4" t="s">
        <v>3610</v>
      </c>
      <c r="D447" s="5" t="s">
        <v>3284</v>
      </c>
      <c r="E447" s="4">
        <v>300</v>
      </c>
      <c r="F447" s="5" t="s">
        <v>3285</v>
      </c>
      <c r="G447" s="4" t="s">
        <v>426</v>
      </c>
      <c r="H447" s="4" t="s">
        <v>1544</v>
      </c>
      <c r="I447" s="22">
        <v>2305049.0249999999</v>
      </c>
      <c r="J447" s="22">
        <v>585184.23300000001</v>
      </c>
      <c r="K447" s="22">
        <v>2305060.5389999999</v>
      </c>
      <c r="L447" s="22">
        <v>585176.34699999995</v>
      </c>
      <c r="M447" s="6">
        <v>13.955</v>
      </c>
      <c r="N447" s="11">
        <v>3.44</v>
      </c>
      <c r="O447" s="11">
        <v>3.98</v>
      </c>
      <c r="P447" s="11">
        <f t="shared" si="12"/>
        <v>0.54</v>
      </c>
      <c r="Q447" s="11">
        <f t="shared" si="13"/>
        <v>3.87</v>
      </c>
      <c r="R447" s="11">
        <v>1.36</v>
      </c>
    </row>
    <row r="448" spans="2:18" ht="16" x14ac:dyDescent="0.3">
      <c r="B448" s="4">
        <v>442</v>
      </c>
      <c r="C448" s="4" t="s">
        <v>3611</v>
      </c>
      <c r="D448" s="5" t="s">
        <v>3284</v>
      </c>
      <c r="E448" s="4">
        <v>300</v>
      </c>
      <c r="F448" s="5" t="s">
        <v>3285</v>
      </c>
      <c r="G448" s="4" t="s">
        <v>423</v>
      </c>
      <c r="H448" s="4" t="s">
        <v>426</v>
      </c>
      <c r="I448" s="22">
        <v>2305031.3620000002</v>
      </c>
      <c r="J448" s="22">
        <v>585174.17299999995</v>
      </c>
      <c r="K448" s="22">
        <v>2305048.1949999998</v>
      </c>
      <c r="L448" s="22">
        <v>585184.79</v>
      </c>
      <c r="M448" s="6">
        <v>22.58</v>
      </c>
      <c r="N448" s="11">
        <v>3.52</v>
      </c>
      <c r="O448" s="11">
        <v>3.44</v>
      </c>
      <c r="P448" s="11">
        <f t="shared" si="12"/>
        <v>8.0000000000000071E-2</v>
      </c>
      <c r="Q448" s="11">
        <f t="shared" si="13"/>
        <v>0.35399999999999998</v>
      </c>
      <c r="R448" s="11">
        <v>1.61</v>
      </c>
    </row>
    <row r="449" spans="2:18" ht="16" x14ac:dyDescent="0.3">
      <c r="B449" s="4">
        <v>443</v>
      </c>
      <c r="C449" s="4" t="s">
        <v>3612</v>
      </c>
      <c r="D449" s="5" t="s">
        <v>3284</v>
      </c>
      <c r="E449" s="4">
        <v>300</v>
      </c>
      <c r="F449" s="5" t="s">
        <v>3285</v>
      </c>
      <c r="G449" s="4" t="s">
        <v>1556</v>
      </c>
      <c r="H449" s="4" t="s">
        <v>423</v>
      </c>
      <c r="I449" s="22">
        <v>2305026.9070000001</v>
      </c>
      <c r="J449" s="22">
        <v>585153.75100000005</v>
      </c>
      <c r="K449" s="22">
        <v>2305030.8110000002</v>
      </c>
      <c r="L449" s="22">
        <v>585173.33900000004</v>
      </c>
      <c r="M449" s="6">
        <v>22.38</v>
      </c>
      <c r="N449" s="11">
        <v>3.59</v>
      </c>
      <c r="O449" s="11">
        <v>3.52</v>
      </c>
      <c r="P449" s="11">
        <f t="shared" si="12"/>
        <v>6.999999999999984E-2</v>
      </c>
      <c r="Q449" s="11">
        <f t="shared" si="13"/>
        <v>0.313</v>
      </c>
      <c r="R449" s="11">
        <v>1.5349999999999999</v>
      </c>
    </row>
    <row r="450" spans="2:18" ht="16" x14ac:dyDescent="0.3">
      <c r="B450" s="4">
        <v>444</v>
      </c>
      <c r="C450" s="4" t="s">
        <v>3613</v>
      </c>
      <c r="D450" s="5" t="s">
        <v>3284</v>
      </c>
      <c r="E450" s="4">
        <v>300</v>
      </c>
      <c r="F450" s="5" t="s">
        <v>3285</v>
      </c>
      <c r="G450" s="4" t="s">
        <v>1553</v>
      </c>
      <c r="H450" s="4" t="s">
        <v>1556</v>
      </c>
      <c r="I450" s="22">
        <v>2305039.7209999999</v>
      </c>
      <c r="J450" s="22">
        <v>585145.30200000003</v>
      </c>
      <c r="K450" s="22">
        <v>2305027.7379999999</v>
      </c>
      <c r="L450" s="22">
        <v>585153.19400000002</v>
      </c>
      <c r="M450" s="6">
        <v>14.349</v>
      </c>
      <c r="N450" s="11">
        <v>3.98</v>
      </c>
      <c r="O450" s="11">
        <v>3.59</v>
      </c>
      <c r="P450" s="11">
        <f t="shared" si="12"/>
        <v>0.39000000000000012</v>
      </c>
      <c r="Q450" s="11">
        <f t="shared" si="13"/>
        <v>2.718</v>
      </c>
      <c r="R450" s="11">
        <v>1.2849999999999999</v>
      </c>
    </row>
    <row r="451" spans="2:18" ht="16" x14ac:dyDescent="0.3">
      <c r="B451" s="4">
        <v>445</v>
      </c>
      <c r="C451" s="4" t="s">
        <v>3614</v>
      </c>
      <c r="D451" s="5" t="s">
        <v>3284</v>
      </c>
      <c r="E451" s="4">
        <v>300</v>
      </c>
      <c r="F451" s="5" t="s">
        <v>3285</v>
      </c>
      <c r="G451" s="4" t="s">
        <v>1550</v>
      </c>
      <c r="H451" s="4" t="s">
        <v>1553</v>
      </c>
      <c r="I451" s="22">
        <v>2305054.6710000001</v>
      </c>
      <c r="J451" s="22">
        <v>585135.27800000005</v>
      </c>
      <c r="K451" s="22">
        <v>2305040.3029999998</v>
      </c>
      <c r="L451" s="22">
        <v>585144.91299999994</v>
      </c>
      <c r="M451" s="6">
        <v>17.3</v>
      </c>
      <c r="N451" s="11">
        <v>4.04</v>
      </c>
      <c r="O451" s="11">
        <v>3.98</v>
      </c>
      <c r="P451" s="11">
        <f t="shared" si="12"/>
        <v>6.0000000000000053E-2</v>
      </c>
      <c r="Q451" s="11">
        <f t="shared" si="13"/>
        <v>0.34699999999999998</v>
      </c>
      <c r="R451" s="11">
        <v>1.06</v>
      </c>
    </row>
    <row r="452" spans="2:18" ht="16" x14ac:dyDescent="0.3">
      <c r="B452" s="4">
        <v>446</v>
      </c>
      <c r="C452" s="4" t="s">
        <v>3615</v>
      </c>
      <c r="D452" s="5" t="s">
        <v>3284</v>
      </c>
      <c r="E452" s="4">
        <v>300</v>
      </c>
      <c r="F452" s="5" t="s">
        <v>3285</v>
      </c>
      <c r="G452" s="4" t="s">
        <v>1547</v>
      </c>
      <c r="H452" s="4" t="s">
        <v>1550</v>
      </c>
      <c r="I452" s="22">
        <v>2305077.0959999999</v>
      </c>
      <c r="J452" s="22">
        <v>585120.24</v>
      </c>
      <c r="K452" s="22">
        <v>2305055.253</v>
      </c>
      <c r="L452" s="22">
        <v>585134.88800000004</v>
      </c>
      <c r="M452" s="6">
        <v>26.3</v>
      </c>
      <c r="N452" s="11">
        <v>4.13</v>
      </c>
      <c r="O452" s="11">
        <v>4.04</v>
      </c>
      <c r="P452" s="11">
        <f t="shared" si="12"/>
        <v>8.9999999999999858E-2</v>
      </c>
      <c r="Q452" s="11">
        <f t="shared" si="13"/>
        <v>0.34200000000000003</v>
      </c>
      <c r="R452" s="11">
        <v>0.98499999999999999</v>
      </c>
    </row>
    <row r="453" spans="2:18" ht="16" x14ac:dyDescent="0.3">
      <c r="B453" s="4">
        <v>447</v>
      </c>
      <c r="C453" s="4" t="s">
        <v>3616</v>
      </c>
      <c r="D453" s="5" t="s">
        <v>3284</v>
      </c>
      <c r="E453" s="4">
        <v>300</v>
      </c>
      <c r="F453" s="5" t="s">
        <v>3285</v>
      </c>
      <c r="G453" s="4" t="s">
        <v>761</v>
      </c>
      <c r="H453" s="4" t="s">
        <v>1547</v>
      </c>
      <c r="I453" s="22">
        <v>2305099.537</v>
      </c>
      <c r="J453" s="22">
        <v>585105.19200000004</v>
      </c>
      <c r="K453" s="22">
        <v>2305077.6779999998</v>
      </c>
      <c r="L453" s="22">
        <v>585119.85</v>
      </c>
      <c r="M453" s="6">
        <v>26.318999999999999</v>
      </c>
      <c r="N453" s="11">
        <v>4.22</v>
      </c>
      <c r="O453" s="11">
        <v>4.13</v>
      </c>
      <c r="P453" s="11">
        <f t="shared" si="12"/>
        <v>8.9999999999999858E-2</v>
      </c>
      <c r="Q453" s="11">
        <f t="shared" si="13"/>
        <v>0.34200000000000003</v>
      </c>
      <c r="R453" s="11">
        <v>0.89500000000000002</v>
      </c>
    </row>
    <row r="454" spans="2:18" ht="16" x14ac:dyDescent="0.3">
      <c r="B454" s="4">
        <v>448</v>
      </c>
      <c r="C454" s="4" t="s">
        <v>3617</v>
      </c>
      <c r="D454" s="5" t="s">
        <v>3284</v>
      </c>
      <c r="E454" s="4">
        <v>300</v>
      </c>
      <c r="F454" s="5" t="s">
        <v>3285</v>
      </c>
      <c r="G454" s="4" t="s">
        <v>1517</v>
      </c>
      <c r="H454" s="4" t="s">
        <v>770</v>
      </c>
      <c r="I454" s="22">
        <v>2305125.7859999998</v>
      </c>
      <c r="J454" s="22">
        <v>585191.59199999995</v>
      </c>
      <c r="K454" s="22">
        <v>2305147.767</v>
      </c>
      <c r="L454" s="22">
        <v>585176.85199999996</v>
      </c>
      <c r="M454" s="6">
        <v>26.466000000000001</v>
      </c>
      <c r="N454" s="11">
        <v>4.13</v>
      </c>
      <c r="O454" s="11">
        <v>4.22</v>
      </c>
      <c r="P454" s="11">
        <f t="shared" si="12"/>
        <v>8.9999999999999858E-2</v>
      </c>
      <c r="Q454" s="11">
        <f t="shared" si="13"/>
        <v>0.34</v>
      </c>
      <c r="R454" s="11">
        <v>0.89500000000000002</v>
      </c>
    </row>
    <row r="455" spans="2:18" ht="16" x14ac:dyDescent="0.3">
      <c r="B455" s="4">
        <v>449</v>
      </c>
      <c r="C455" s="4" t="s">
        <v>3618</v>
      </c>
      <c r="D455" s="5" t="s">
        <v>3284</v>
      </c>
      <c r="E455" s="4">
        <v>300</v>
      </c>
      <c r="F455" s="5" t="s">
        <v>3285</v>
      </c>
      <c r="G455" s="4" t="s">
        <v>1520</v>
      </c>
      <c r="H455" s="4" t="s">
        <v>1517</v>
      </c>
      <c r="I455" s="22">
        <v>2305103.361</v>
      </c>
      <c r="J455" s="22">
        <v>585206.63</v>
      </c>
      <c r="K455" s="22">
        <v>2305125.2039999999</v>
      </c>
      <c r="L455" s="22">
        <v>585191.98199999996</v>
      </c>
      <c r="M455" s="6">
        <v>26.3</v>
      </c>
      <c r="N455" s="11">
        <v>4.04</v>
      </c>
      <c r="O455" s="11">
        <v>4.13</v>
      </c>
      <c r="P455" s="11">
        <f t="shared" ref="P455:P518" si="14">IF(AND(ISNUMBER(N455),ISNUMBER(O455)),ABS(N455-O455),0)</f>
        <v>8.9999999999999858E-2</v>
      </c>
      <c r="Q455" s="11">
        <f t="shared" ref="Q455:Q518" si="15">IF(M455&gt;0,ROUND(P455/M455*100,3),0)</f>
        <v>0.34200000000000003</v>
      </c>
      <c r="R455" s="11">
        <v>0.98499999999999999</v>
      </c>
    </row>
    <row r="456" spans="2:18" ht="16" x14ac:dyDescent="0.3">
      <c r="B456" s="4">
        <v>450</v>
      </c>
      <c r="C456" s="4" t="s">
        <v>3619</v>
      </c>
      <c r="D456" s="5" t="s">
        <v>3284</v>
      </c>
      <c r="E456" s="4">
        <v>300</v>
      </c>
      <c r="F456" s="5" t="s">
        <v>3285</v>
      </c>
      <c r="G456" s="4" t="s">
        <v>1523</v>
      </c>
      <c r="H456" s="4" t="s">
        <v>1520</v>
      </c>
      <c r="I456" s="22">
        <v>2305088.4109999998</v>
      </c>
      <c r="J456" s="22">
        <v>585216.65500000003</v>
      </c>
      <c r="K456" s="22">
        <v>2305102.7790000001</v>
      </c>
      <c r="L456" s="22">
        <v>585207.01899999997</v>
      </c>
      <c r="M456" s="6">
        <v>17.3</v>
      </c>
      <c r="N456" s="11">
        <v>3.98</v>
      </c>
      <c r="O456" s="11">
        <v>4.04</v>
      </c>
      <c r="P456" s="11">
        <f t="shared" si="14"/>
        <v>6.0000000000000053E-2</v>
      </c>
      <c r="Q456" s="11">
        <f t="shared" si="15"/>
        <v>0.34699999999999998</v>
      </c>
      <c r="R456" s="11">
        <v>1.06</v>
      </c>
    </row>
    <row r="457" spans="2:18" ht="16" x14ac:dyDescent="0.3">
      <c r="B457" s="4">
        <v>451</v>
      </c>
      <c r="C457" s="4" t="s">
        <v>3620</v>
      </c>
      <c r="D457" s="5" t="s">
        <v>3284</v>
      </c>
      <c r="E457" s="4">
        <v>300</v>
      </c>
      <c r="F457" s="5" t="s">
        <v>3285</v>
      </c>
      <c r="G457" s="4" t="s">
        <v>432</v>
      </c>
      <c r="H457" s="4" t="s">
        <v>1523</v>
      </c>
      <c r="I457" s="22">
        <v>2305076.1860000002</v>
      </c>
      <c r="J457" s="22">
        <v>585225.13399999996</v>
      </c>
      <c r="K457" s="22">
        <v>2305087.8289999999</v>
      </c>
      <c r="L457" s="22">
        <v>585217.04399999999</v>
      </c>
      <c r="M457" s="6">
        <v>14.177</v>
      </c>
      <c r="N457" s="11">
        <v>3.26</v>
      </c>
      <c r="O457" s="11">
        <v>3.98</v>
      </c>
      <c r="P457" s="11">
        <f t="shared" si="14"/>
        <v>0.7200000000000002</v>
      </c>
      <c r="Q457" s="11">
        <f t="shared" si="15"/>
        <v>5.0789999999999997</v>
      </c>
      <c r="R457" s="11">
        <v>1.45</v>
      </c>
    </row>
    <row r="458" spans="2:18" ht="16" x14ac:dyDescent="0.3">
      <c r="B458" s="4">
        <v>452</v>
      </c>
      <c r="C458" s="4" t="s">
        <v>3621</v>
      </c>
      <c r="D458" s="5" t="s">
        <v>3284</v>
      </c>
      <c r="E458" s="4">
        <v>300</v>
      </c>
      <c r="F458" s="5" t="s">
        <v>3285</v>
      </c>
      <c r="G458" s="4" t="s">
        <v>429</v>
      </c>
      <c r="H458" s="4" t="s">
        <v>432</v>
      </c>
      <c r="I458" s="22">
        <v>2305058.6570000001</v>
      </c>
      <c r="J458" s="22">
        <v>585214.86499999999</v>
      </c>
      <c r="K458" s="22">
        <v>2305075.3560000001</v>
      </c>
      <c r="L458" s="22">
        <v>585225.69099999999</v>
      </c>
      <c r="M458" s="6">
        <v>22.564</v>
      </c>
      <c r="N458" s="11">
        <v>3.34</v>
      </c>
      <c r="O458" s="11">
        <v>3.26</v>
      </c>
      <c r="P458" s="11">
        <f t="shared" si="14"/>
        <v>8.0000000000000071E-2</v>
      </c>
      <c r="Q458" s="11">
        <f t="shared" si="15"/>
        <v>0.35499999999999998</v>
      </c>
      <c r="R458" s="11">
        <v>1.79</v>
      </c>
    </row>
    <row r="459" spans="2:18" ht="16" x14ac:dyDescent="0.3">
      <c r="B459" s="4">
        <v>453</v>
      </c>
      <c r="C459" s="4" t="s">
        <v>3622</v>
      </c>
      <c r="D459" s="5" t="s">
        <v>3284</v>
      </c>
      <c r="E459" s="4">
        <v>300</v>
      </c>
      <c r="F459" s="5" t="s">
        <v>3285</v>
      </c>
      <c r="G459" s="4" t="s">
        <v>1535</v>
      </c>
      <c r="H459" s="4" t="s">
        <v>429</v>
      </c>
      <c r="I459" s="22">
        <v>2305054.2370000002</v>
      </c>
      <c r="J459" s="22">
        <v>585194.34299999999</v>
      </c>
      <c r="K459" s="22">
        <v>2305058.0970000001</v>
      </c>
      <c r="L459" s="22">
        <v>585214.03599999996</v>
      </c>
      <c r="M459" s="6">
        <v>22.446999999999999</v>
      </c>
      <c r="N459" s="11">
        <v>3.41</v>
      </c>
      <c r="O459" s="11">
        <v>3.34</v>
      </c>
      <c r="P459" s="11">
        <f t="shared" si="14"/>
        <v>7.0000000000000284E-2</v>
      </c>
      <c r="Q459" s="11">
        <f t="shared" si="15"/>
        <v>0.312</v>
      </c>
      <c r="R459" s="11">
        <v>1.7150000000000001</v>
      </c>
    </row>
    <row r="460" spans="2:18" ht="16" x14ac:dyDescent="0.3">
      <c r="B460" s="4">
        <v>454</v>
      </c>
      <c r="C460" s="4" t="s">
        <v>3623</v>
      </c>
      <c r="D460" s="5" t="s">
        <v>3284</v>
      </c>
      <c r="E460" s="4">
        <v>300</v>
      </c>
      <c r="F460" s="5" t="s">
        <v>3285</v>
      </c>
      <c r="G460" s="4" t="s">
        <v>1532</v>
      </c>
      <c r="H460" s="4" t="s">
        <v>1535</v>
      </c>
      <c r="I460" s="22">
        <v>2305067.0120000001</v>
      </c>
      <c r="J460" s="22">
        <v>585185.99899999995</v>
      </c>
      <c r="K460" s="22">
        <v>2305055.068</v>
      </c>
      <c r="L460" s="22">
        <v>585193.78599999996</v>
      </c>
      <c r="M460" s="6">
        <v>14.257999999999999</v>
      </c>
      <c r="N460" s="11">
        <v>3.98</v>
      </c>
      <c r="O460" s="11">
        <v>3.41</v>
      </c>
      <c r="P460" s="11">
        <f t="shared" si="14"/>
        <v>0.56999999999999984</v>
      </c>
      <c r="Q460" s="11">
        <f t="shared" si="15"/>
        <v>3.9980000000000002</v>
      </c>
      <c r="R460" s="11">
        <v>1.375</v>
      </c>
    </row>
    <row r="461" spans="2:18" ht="16" x14ac:dyDescent="0.3">
      <c r="B461" s="4">
        <v>455</v>
      </c>
      <c r="C461" s="4" t="s">
        <v>3624</v>
      </c>
      <c r="D461" s="5" t="s">
        <v>3284</v>
      </c>
      <c r="E461" s="4">
        <v>300</v>
      </c>
      <c r="F461" s="5" t="s">
        <v>3285</v>
      </c>
      <c r="G461" s="4" t="s">
        <v>1529</v>
      </c>
      <c r="H461" s="4" t="s">
        <v>1532</v>
      </c>
      <c r="I461" s="22">
        <v>2305081.9610000001</v>
      </c>
      <c r="J461" s="22">
        <v>585175.97499999998</v>
      </c>
      <c r="K461" s="22">
        <v>2305067.6150000002</v>
      </c>
      <c r="L461" s="22">
        <v>585185.64199999999</v>
      </c>
      <c r="M461" s="6">
        <v>17.3</v>
      </c>
      <c r="N461" s="11">
        <v>4.04</v>
      </c>
      <c r="O461" s="11">
        <v>3.98</v>
      </c>
      <c r="P461" s="11">
        <f t="shared" si="14"/>
        <v>6.0000000000000053E-2</v>
      </c>
      <c r="Q461" s="11">
        <f t="shared" si="15"/>
        <v>0.34699999999999998</v>
      </c>
      <c r="R461" s="11">
        <v>1.06</v>
      </c>
    </row>
    <row r="462" spans="2:18" ht="16" x14ac:dyDescent="0.3">
      <c r="B462" s="4">
        <v>456</v>
      </c>
      <c r="C462" s="4" t="s">
        <v>3625</v>
      </c>
      <c r="D462" s="5" t="s">
        <v>3284</v>
      </c>
      <c r="E462" s="4">
        <v>300</v>
      </c>
      <c r="F462" s="5" t="s">
        <v>3285</v>
      </c>
      <c r="G462" s="4" t="s">
        <v>1526</v>
      </c>
      <c r="H462" s="4" t="s">
        <v>1529</v>
      </c>
      <c r="I462" s="22">
        <v>2305104.3859999999</v>
      </c>
      <c r="J462" s="22">
        <v>585160.93700000003</v>
      </c>
      <c r="K462" s="22">
        <v>2305082.5430000001</v>
      </c>
      <c r="L462" s="22">
        <v>585175.58499999996</v>
      </c>
      <c r="M462" s="6">
        <v>26.3</v>
      </c>
      <c r="N462" s="11">
        <v>4.13</v>
      </c>
      <c r="O462" s="11">
        <v>4.04</v>
      </c>
      <c r="P462" s="11">
        <f t="shared" si="14"/>
        <v>8.9999999999999858E-2</v>
      </c>
      <c r="Q462" s="11">
        <f t="shared" si="15"/>
        <v>0.34200000000000003</v>
      </c>
      <c r="R462" s="11">
        <v>0.98499999999999999</v>
      </c>
    </row>
    <row r="463" spans="2:18" ht="16" x14ac:dyDescent="0.3">
      <c r="B463" s="4">
        <v>457</v>
      </c>
      <c r="C463" s="4" t="s">
        <v>3626</v>
      </c>
      <c r="D463" s="5" t="s">
        <v>3284</v>
      </c>
      <c r="E463" s="4">
        <v>300</v>
      </c>
      <c r="F463" s="5" t="s">
        <v>3285</v>
      </c>
      <c r="G463" s="4" t="s">
        <v>767</v>
      </c>
      <c r="H463" s="4" t="s">
        <v>1526</v>
      </c>
      <c r="I463" s="22">
        <v>2305126.8229999999</v>
      </c>
      <c r="J463" s="22">
        <v>585145.89199999999</v>
      </c>
      <c r="K463" s="22">
        <v>2305104.9679999999</v>
      </c>
      <c r="L463" s="22">
        <v>585160.54700000002</v>
      </c>
      <c r="M463" s="6">
        <v>26.315000000000001</v>
      </c>
      <c r="N463" s="11">
        <v>4.22</v>
      </c>
      <c r="O463" s="11">
        <v>4.13</v>
      </c>
      <c r="P463" s="11">
        <f t="shared" si="14"/>
        <v>8.9999999999999858E-2</v>
      </c>
      <c r="Q463" s="11">
        <f t="shared" si="15"/>
        <v>0.34200000000000003</v>
      </c>
      <c r="R463" s="11">
        <v>0.89500000000000002</v>
      </c>
    </row>
    <row r="464" spans="2:18" ht="16" x14ac:dyDescent="0.3">
      <c r="B464" s="4">
        <v>458</v>
      </c>
      <c r="C464" s="4" t="s">
        <v>3627</v>
      </c>
      <c r="D464" s="5" t="s">
        <v>3284</v>
      </c>
      <c r="E464" s="4">
        <v>300</v>
      </c>
      <c r="F464" s="5" t="s">
        <v>3285</v>
      </c>
      <c r="G464" s="4" t="s">
        <v>1496</v>
      </c>
      <c r="H464" s="4" t="s">
        <v>1493</v>
      </c>
      <c r="I464" s="22">
        <v>2305165.25</v>
      </c>
      <c r="J464" s="22">
        <v>585224.31900000002</v>
      </c>
      <c r="K464" s="22">
        <v>2305190.642</v>
      </c>
      <c r="L464" s="22">
        <v>585206.89800000004</v>
      </c>
      <c r="M464" s="6">
        <v>30.794</v>
      </c>
      <c r="N464" s="11">
        <v>2.97</v>
      </c>
      <c r="O464" s="11">
        <v>3.07</v>
      </c>
      <c r="P464" s="11">
        <f t="shared" si="14"/>
        <v>9.9999999999999645E-2</v>
      </c>
      <c r="Q464" s="11">
        <f t="shared" si="15"/>
        <v>0.32500000000000001</v>
      </c>
      <c r="R464" s="11">
        <v>2.0499999999999998</v>
      </c>
    </row>
    <row r="465" spans="2:18" ht="16" x14ac:dyDescent="0.3">
      <c r="B465" s="4">
        <v>459</v>
      </c>
      <c r="C465" s="4" t="s">
        <v>3628</v>
      </c>
      <c r="D465" s="5" t="s">
        <v>3284</v>
      </c>
      <c r="E465" s="4">
        <v>300</v>
      </c>
      <c r="F465" s="5" t="s">
        <v>3285</v>
      </c>
      <c r="G465" s="4" t="s">
        <v>1499</v>
      </c>
      <c r="H465" s="4" t="s">
        <v>1496</v>
      </c>
      <c r="I465" s="22">
        <v>2305144.3930000002</v>
      </c>
      <c r="J465" s="22">
        <v>585238.37399999995</v>
      </c>
      <c r="K465" s="22">
        <v>2305164.4190000002</v>
      </c>
      <c r="L465" s="22">
        <v>585224.87600000005</v>
      </c>
      <c r="M465" s="6">
        <v>24.15</v>
      </c>
      <c r="N465" s="11">
        <v>2.89</v>
      </c>
      <c r="O465" s="11">
        <v>2.97</v>
      </c>
      <c r="P465" s="11">
        <f t="shared" si="14"/>
        <v>8.0000000000000071E-2</v>
      </c>
      <c r="Q465" s="11">
        <f t="shared" si="15"/>
        <v>0.33100000000000002</v>
      </c>
      <c r="R465" s="11">
        <v>2.14</v>
      </c>
    </row>
    <row r="466" spans="2:18" ht="16" x14ac:dyDescent="0.3">
      <c r="B466" s="4">
        <v>460</v>
      </c>
      <c r="C466" s="4" t="s">
        <v>3629</v>
      </c>
      <c r="D466" s="5" t="s">
        <v>3284</v>
      </c>
      <c r="E466" s="4">
        <v>300</v>
      </c>
      <c r="F466" s="5" t="s">
        <v>3285</v>
      </c>
      <c r="G466" s="4" t="s">
        <v>1502</v>
      </c>
      <c r="H466" s="4" t="s">
        <v>1499</v>
      </c>
      <c r="I466" s="22">
        <v>2305124.5529999998</v>
      </c>
      <c r="J466" s="22">
        <v>585251.60900000005</v>
      </c>
      <c r="K466" s="22">
        <v>2305144.3930000002</v>
      </c>
      <c r="L466" s="22">
        <v>585238.37399999995</v>
      </c>
      <c r="M466" s="6">
        <v>23.85</v>
      </c>
      <c r="N466" s="11">
        <v>2.81</v>
      </c>
      <c r="O466" s="11">
        <v>2.89</v>
      </c>
      <c r="P466" s="11">
        <f t="shared" si="14"/>
        <v>8.0000000000000071E-2</v>
      </c>
      <c r="Q466" s="11">
        <f t="shared" si="15"/>
        <v>0.33500000000000002</v>
      </c>
      <c r="R466" s="11">
        <v>2.2200000000000002</v>
      </c>
    </row>
    <row r="467" spans="2:18" ht="16" x14ac:dyDescent="0.3">
      <c r="B467" s="4">
        <v>461</v>
      </c>
      <c r="C467" s="4" t="s">
        <v>3630</v>
      </c>
      <c r="D467" s="5" t="s">
        <v>3284</v>
      </c>
      <c r="E467" s="4">
        <v>300</v>
      </c>
      <c r="F467" s="5" t="s">
        <v>3285</v>
      </c>
      <c r="G467" s="4" t="s">
        <v>414</v>
      </c>
      <c r="H467" s="4" t="s">
        <v>1502</v>
      </c>
      <c r="I467" s="22">
        <v>2305107.1060000001</v>
      </c>
      <c r="J467" s="22">
        <v>585263.29799999995</v>
      </c>
      <c r="K467" s="22">
        <v>2305123.7170000002</v>
      </c>
      <c r="L467" s="22">
        <v>585252.15899999999</v>
      </c>
      <c r="M467" s="6">
        <v>20</v>
      </c>
      <c r="N467" s="11">
        <v>2.72</v>
      </c>
      <c r="O467" s="11">
        <v>2.81</v>
      </c>
      <c r="P467" s="11">
        <f t="shared" si="14"/>
        <v>8.9999999999999858E-2</v>
      </c>
      <c r="Q467" s="11">
        <f t="shared" si="15"/>
        <v>0.45</v>
      </c>
      <c r="R467" s="11">
        <v>2.3050000000000002</v>
      </c>
    </row>
    <row r="468" spans="2:18" ht="16" x14ac:dyDescent="0.3">
      <c r="B468" s="4">
        <v>462</v>
      </c>
      <c r="C468" s="4" t="s">
        <v>3631</v>
      </c>
      <c r="D468" s="5" t="s">
        <v>3284</v>
      </c>
      <c r="E468" s="4">
        <v>300</v>
      </c>
      <c r="F468" s="5" t="s">
        <v>3285</v>
      </c>
      <c r="G468" s="4" t="s">
        <v>435</v>
      </c>
      <c r="H468" s="4" t="s">
        <v>414</v>
      </c>
      <c r="I468" s="22">
        <v>2305082.4879999999</v>
      </c>
      <c r="J468" s="22">
        <v>585250.31999999995</v>
      </c>
      <c r="K468" s="22">
        <v>2305106.2760000001</v>
      </c>
      <c r="L468" s="22">
        <v>585263.85499999998</v>
      </c>
      <c r="M468" s="6">
        <v>33.003999999999998</v>
      </c>
      <c r="N468" s="11">
        <v>3.16</v>
      </c>
      <c r="O468" s="11">
        <v>2.72</v>
      </c>
      <c r="P468" s="11">
        <f t="shared" si="14"/>
        <v>0.43999999999999995</v>
      </c>
      <c r="Q468" s="11">
        <f t="shared" si="15"/>
        <v>1.333</v>
      </c>
      <c r="R468" s="11">
        <v>2.15</v>
      </c>
    </row>
    <row r="469" spans="2:18" ht="16" x14ac:dyDescent="0.3">
      <c r="B469" s="4">
        <v>463</v>
      </c>
      <c r="C469" s="4" t="s">
        <v>3632</v>
      </c>
      <c r="D469" s="5" t="s">
        <v>3284</v>
      </c>
      <c r="E469" s="4">
        <v>300</v>
      </c>
      <c r="F469" s="5" t="s">
        <v>3285</v>
      </c>
      <c r="G469" s="4" t="s">
        <v>1514</v>
      </c>
      <c r="H469" s="4" t="s">
        <v>435</v>
      </c>
      <c r="I469" s="22">
        <v>2305082.341</v>
      </c>
      <c r="J469" s="22">
        <v>585234.53500000003</v>
      </c>
      <c r="K469" s="22">
        <v>2305081.9279999998</v>
      </c>
      <c r="L469" s="22">
        <v>585249.49199999997</v>
      </c>
      <c r="M469" s="6">
        <v>17.167999999999999</v>
      </c>
      <c r="N469" s="11">
        <v>3.23</v>
      </c>
      <c r="O469" s="11">
        <v>3.16</v>
      </c>
      <c r="P469" s="11">
        <f t="shared" si="14"/>
        <v>6.999999999999984E-2</v>
      </c>
      <c r="Q469" s="11">
        <f t="shared" si="15"/>
        <v>0.40799999999999997</v>
      </c>
      <c r="R469" s="11">
        <v>1.895</v>
      </c>
    </row>
    <row r="470" spans="2:18" ht="16" x14ac:dyDescent="0.3">
      <c r="B470" s="4">
        <v>464</v>
      </c>
      <c r="C470" s="4" t="s">
        <v>3633</v>
      </c>
      <c r="D470" s="5" t="s">
        <v>3284</v>
      </c>
      <c r="E470" s="4">
        <v>300</v>
      </c>
      <c r="F470" s="5" t="s">
        <v>3285</v>
      </c>
      <c r="G470" s="4" t="s">
        <v>1511</v>
      </c>
      <c r="H470" s="4" t="s">
        <v>1514</v>
      </c>
      <c r="I470" s="22">
        <v>2305103.4380000001</v>
      </c>
      <c r="J470" s="22">
        <v>585220.56999999995</v>
      </c>
      <c r="K470" s="22">
        <v>2305083.1710000001</v>
      </c>
      <c r="L470" s="22">
        <v>585233.97900000005</v>
      </c>
      <c r="M470" s="6">
        <v>24.3</v>
      </c>
      <c r="N470" s="11">
        <v>3.99</v>
      </c>
      <c r="O470" s="11">
        <v>3.23</v>
      </c>
      <c r="P470" s="11">
        <f t="shared" si="14"/>
        <v>0.76000000000000023</v>
      </c>
      <c r="Q470" s="11">
        <f t="shared" si="15"/>
        <v>3.1280000000000001</v>
      </c>
      <c r="R470" s="11">
        <v>1.46</v>
      </c>
    </row>
    <row r="471" spans="2:18" ht="16" x14ac:dyDescent="0.3">
      <c r="B471" s="4">
        <v>465</v>
      </c>
      <c r="C471" s="4" t="s">
        <v>3634</v>
      </c>
      <c r="D471" s="5" t="s">
        <v>3284</v>
      </c>
      <c r="E471" s="4">
        <v>300</v>
      </c>
      <c r="F471" s="5" t="s">
        <v>3285</v>
      </c>
      <c r="G471" s="4" t="s">
        <v>1508</v>
      </c>
      <c r="H471" s="4" t="s">
        <v>1511</v>
      </c>
      <c r="I471" s="22">
        <v>2305121.7220000001</v>
      </c>
      <c r="J471" s="22">
        <v>585208.33700000006</v>
      </c>
      <c r="K471" s="22">
        <v>2305104.0189999999</v>
      </c>
      <c r="L471" s="22">
        <v>585220.18000000005</v>
      </c>
      <c r="M471" s="6">
        <v>21.298999999999999</v>
      </c>
      <c r="N471" s="11">
        <v>4.07</v>
      </c>
      <c r="O471" s="11">
        <v>3.99</v>
      </c>
      <c r="P471" s="11">
        <f t="shared" si="14"/>
        <v>8.0000000000000071E-2</v>
      </c>
      <c r="Q471" s="11">
        <f t="shared" si="15"/>
        <v>0.376</v>
      </c>
      <c r="R471" s="11">
        <v>1.04</v>
      </c>
    </row>
    <row r="472" spans="2:18" ht="16" x14ac:dyDescent="0.3">
      <c r="B472" s="4">
        <v>466</v>
      </c>
      <c r="C472" s="4" t="s">
        <v>3635</v>
      </c>
      <c r="D472" s="5" t="s">
        <v>3284</v>
      </c>
      <c r="E472" s="4">
        <v>300</v>
      </c>
      <c r="F472" s="5" t="s">
        <v>3285</v>
      </c>
      <c r="G472" s="4" t="s">
        <v>1505</v>
      </c>
      <c r="H472" s="4" t="s">
        <v>1508</v>
      </c>
      <c r="I472" s="22">
        <v>2305141.648</v>
      </c>
      <c r="J472" s="22">
        <v>585194.95700000005</v>
      </c>
      <c r="K472" s="22">
        <v>2305122.3050000002</v>
      </c>
      <c r="L472" s="22">
        <v>585207.94799999997</v>
      </c>
      <c r="M472" s="6">
        <v>23.300999999999998</v>
      </c>
      <c r="N472" s="11">
        <v>4.1399999999999997</v>
      </c>
      <c r="O472" s="11">
        <v>4.07</v>
      </c>
      <c r="P472" s="11">
        <f t="shared" si="14"/>
        <v>6.9999999999999396E-2</v>
      </c>
      <c r="Q472" s="11">
        <f t="shared" si="15"/>
        <v>0.3</v>
      </c>
      <c r="R472" s="11">
        <v>0.96499999999999997</v>
      </c>
    </row>
    <row r="473" spans="2:18" ht="16" x14ac:dyDescent="0.3">
      <c r="B473" s="4">
        <v>467</v>
      </c>
      <c r="C473" s="4" t="s">
        <v>3636</v>
      </c>
      <c r="D473" s="5" t="s">
        <v>3284</v>
      </c>
      <c r="E473" s="4">
        <v>300</v>
      </c>
      <c r="F473" s="5" t="s">
        <v>3285</v>
      </c>
      <c r="G473" s="4" t="s">
        <v>755</v>
      </c>
      <c r="H473" s="4" t="s">
        <v>1505</v>
      </c>
      <c r="I473" s="22">
        <v>2305162.4070000001</v>
      </c>
      <c r="J473" s="22">
        <v>585181.027</v>
      </c>
      <c r="K473" s="22">
        <v>2305142.2250000001</v>
      </c>
      <c r="L473" s="22">
        <v>585194.56099999999</v>
      </c>
      <c r="M473" s="6">
        <v>24.3</v>
      </c>
      <c r="N473" s="11">
        <v>4.22</v>
      </c>
      <c r="O473" s="11">
        <v>4.1399999999999997</v>
      </c>
      <c r="P473" s="11">
        <f t="shared" si="14"/>
        <v>8.0000000000000071E-2</v>
      </c>
      <c r="Q473" s="11">
        <f t="shared" si="15"/>
        <v>0.32900000000000001</v>
      </c>
      <c r="R473" s="11">
        <v>0.89</v>
      </c>
    </row>
    <row r="474" spans="2:18" ht="16" x14ac:dyDescent="0.3">
      <c r="B474" s="4">
        <v>468</v>
      </c>
      <c r="C474" s="4" t="s">
        <v>3637</v>
      </c>
      <c r="D474" s="5" t="s">
        <v>3284</v>
      </c>
      <c r="E474" s="4">
        <v>300</v>
      </c>
      <c r="F474" s="5" t="s">
        <v>3285</v>
      </c>
      <c r="G474" s="4" t="s">
        <v>1481</v>
      </c>
      <c r="H474" s="4" t="s">
        <v>734</v>
      </c>
      <c r="I474" s="22">
        <v>2305178.7620000001</v>
      </c>
      <c r="J474" s="22">
        <v>585038.07400000002</v>
      </c>
      <c r="K474" s="22">
        <v>2305200.605</v>
      </c>
      <c r="L474" s="22">
        <v>585023.42700000003</v>
      </c>
      <c r="M474" s="6">
        <v>26.3</v>
      </c>
      <c r="N474" s="11">
        <v>4.13</v>
      </c>
      <c r="O474" s="11">
        <v>4.22</v>
      </c>
      <c r="P474" s="11">
        <f t="shared" si="14"/>
        <v>8.9999999999999858E-2</v>
      </c>
      <c r="Q474" s="11">
        <f t="shared" si="15"/>
        <v>0.34200000000000003</v>
      </c>
      <c r="R474" s="11">
        <v>0.89500000000000002</v>
      </c>
    </row>
    <row r="475" spans="2:18" ht="16" x14ac:dyDescent="0.3">
      <c r="B475" s="4">
        <v>469</v>
      </c>
      <c r="C475" s="4" t="s">
        <v>3638</v>
      </c>
      <c r="D475" s="5" t="s">
        <v>3284</v>
      </c>
      <c r="E475" s="4">
        <v>300</v>
      </c>
      <c r="F475" s="5" t="s">
        <v>3285</v>
      </c>
      <c r="G475" s="4" t="s">
        <v>1484</v>
      </c>
      <c r="H475" s="4" t="s">
        <v>1481</v>
      </c>
      <c r="I475" s="22">
        <v>2305156.3369999998</v>
      </c>
      <c r="J475" s="22">
        <v>585053.11199999996</v>
      </c>
      <c r="K475" s="22">
        <v>2305178.1800000002</v>
      </c>
      <c r="L475" s="22">
        <v>585038.46400000004</v>
      </c>
      <c r="M475" s="6">
        <v>26.3</v>
      </c>
      <c r="N475" s="11">
        <v>4.04</v>
      </c>
      <c r="O475" s="11">
        <v>4.13</v>
      </c>
      <c r="P475" s="11">
        <f t="shared" si="14"/>
        <v>8.9999999999999858E-2</v>
      </c>
      <c r="Q475" s="11">
        <f t="shared" si="15"/>
        <v>0.34200000000000003</v>
      </c>
      <c r="R475" s="11">
        <v>0.98499999999999999</v>
      </c>
    </row>
    <row r="476" spans="2:18" ht="16" x14ac:dyDescent="0.3">
      <c r="B476" s="4">
        <v>470</v>
      </c>
      <c r="C476" s="4" t="s">
        <v>3639</v>
      </c>
      <c r="D476" s="5" t="s">
        <v>3284</v>
      </c>
      <c r="E476" s="4">
        <v>300</v>
      </c>
      <c r="F476" s="5" t="s">
        <v>3285</v>
      </c>
      <c r="G476" s="4" t="s">
        <v>1487</v>
      </c>
      <c r="H476" s="4" t="s">
        <v>1484</v>
      </c>
      <c r="I476" s="22">
        <v>2305141.3870000001</v>
      </c>
      <c r="J476" s="22">
        <v>585063.13699999999</v>
      </c>
      <c r="K476" s="22">
        <v>2305155.7549999999</v>
      </c>
      <c r="L476" s="22">
        <v>585053.50100000005</v>
      </c>
      <c r="M476" s="6">
        <v>17.3</v>
      </c>
      <c r="N476" s="11">
        <v>3.98</v>
      </c>
      <c r="O476" s="11">
        <v>4.04</v>
      </c>
      <c r="P476" s="11">
        <f t="shared" si="14"/>
        <v>6.0000000000000053E-2</v>
      </c>
      <c r="Q476" s="11">
        <f t="shared" si="15"/>
        <v>0.34699999999999998</v>
      </c>
      <c r="R476" s="11">
        <v>1.06</v>
      </c>
    </row>
    <row r="477" spans="2:18" ht="16" x14ac:dyDescent="0.3">
      <c r="B477" s="4">
        <v>471</v>
      </c>
      <c r="C477" s="4" t="s">
        <v>3640</v>
      </c>
      <c r="D477" s="5" t="s">
        <v>3284</v>
      </c>
      <c r="E477" s="4">
        <v>300</v>
      </c>
      <c r="F477" s="5" t="s">
        <v>3285</v>
      </c>
      <c r="G477" s="4" t="s">
        <v>393</v>
      </c>
      <c r="H477" s="4" t="s">
        <v>1487</v>
      </c>
      <c r="I477" s="22">
        <v>2305127.9780000001</v>
      </c>
      <c r="J477" s="22">
        <v>585072.31400000001</v>
      </c>
      <c r="K477" s="22">
        <v>2305140.8050000002</v>
      </c>
      <c r="L477" s="22">
        <v>585063.52599999995</v>
      </c>
      <c r="M477" s="6">
        <v>15.548999999999999</v>
      </c>
      <c r="N477" s="11">
        <v>3.62</v>
      </c>
      <c r="O477" s="11">
        <v>3.98</v>
      </c>
      <c r="P477" s="11">
        <f t="shared" si="14"/>
        <v>0.35999999999999988</v>
      </c>
      <c r="Q477" s="11">
        <f t="shared" si="15"/>
        <v>2.3149999999999999</v>
      </c>
      <c r="R477" s="11">
        <v>1.27</v>
      </c>
    </row>
    <row r="478" spans="2:18" ht="16" x14ac:dyDescent="0.3">
      <c r="B478" s="4">
        <v>472</v>
      </c>
      <c r="C478" s="4" t="s">
        <v>3641</v>
      </c>
      <c r="D478" s="5" t="s">
        <v>3284</v>
      </c>
      <c r="E478" s="4">
        <v>300</v>
      </c>
      <c r="F478" s="5" t="s">
        <v>3285</v>
      </c>
      <c r="G478" s="4" t="s">
        <v>3084</v>
      </c>
      <c r="H478" s="4" t="s">
        <v>393</v>
      </c>
      <c r="I478" s="22">
        <v>2305111.62</v>
      </c>
      <c r="J478" s="22">
        <v>585061.36</v>
      </c>
      <c r="K478" s="22">
        <v>2305127.148</v>
      </c>
      <c r="L478" s="22">
        <v>585072.87100000004</v>
      </c>
      <c r="M478" s="6">
        <v>21.963000000000001</v>
      </c>
      <c r="N478" s="11">
        <v>3.69</v>
      </c>
      <c r="O478" s="11">
        <v>3.62</v>
      </c>
      <c r="P478" s="11">
        <f t="shared" si="14"/>
        <v>6.999999999999984E-2</v>
      </c>
      <c r="Q478" s="11">
        <f t="shared" si="15"/>
        <v>0.31900000000000001</v>
      </c>
      <c r="R478" s="11">
        <v>1.365</v>
      </c>
    </row>
    <row r="479" spans="2:18" ht="16" x14ac:dyDescent="0.3">
      <c r="B479" s="4">
        <v>473</v>
      </c>
      <c r="C479" s="4" t="s">
        <v>3642</v>
      </c>
      <c r="D479" s="5" t="s">
        <v>3284</v>
      </c>
      <c r="E479" s="4">
        <v>300</v>
      </c>
      <c r="F479" s="5" t="s">
        <v>3285</v>
      </c>
      <c r="G479" s="4" t="s">
        <v>3081</v>
      </c>
      <c r="H479" s="4" t="s">
        <v>3084</v>
      </c>
      <c r="I479" s="22">
        <v>2305106.298</v>
      </c>
      <c r="J479" s="22">
        <v>585041.43900000001</v>
      </c>
      <c r="K479" s="22">
        <v>2305111.0830000001</v>
      </c>
      <c r="L479" s="22">
        <v>585060.51699999999</v>
      </c>
      <c r="M479" s="6">
        <v>21.388000000000002</v>
      </c>
      <c r="N479" s="11">
        <v>3.77</v>
      </c>
      <c r="O479" s="11">
        <v>3.69</v>
      </c>
      <c r="P479" s="11">
        <f t="shared" si="14"/>
        <v>8.0000000000000071E-2</v>
      </c>
      <c r="Q479" s="11">
        <f t="shared" si="15"/>
        <v>0.374</v>
      </c>
      <c r="R479" s="11">
        <v>1.21</v>
      </c>
    </row>
    <row r="480" spans="2:18" ht="16" x14ac:dyDescent="0.3">
      <c r="B480" s="4">
        <v>474</v>
      </c>
      <c r="C480" s="4" t="s">
        <v>3643</v>
      </c>
      <c r="D480" s="5" t="s">
        <v>3284</v>
      </c>
      <c r="E480" s="4">
        <v>300</v>
      </c>
      <c r="F480" s="5" t="s">
        <v>3285</v>
      </c>
      <c r="G480" s="4" t="s">
        <v>3078</v>
      </c>
      <c r="H480" s="4" t="s">
        <v>3081</v>
      </c>
      <c r="I480" s="22">
        <v>2305119.9739999999</v>
      </c>
      <c r="J480" s="22">
        <v>585032.46100000001</v>
      </c>
      <c r="K480" s="22">
        <v>2305107.1639999999</v>
      </c>
      <c r="L480" s="22">
        <v>585040.93599999999</v>
      </c>
      <c r="M480" s="6">
        <v>15.36</v>
      </c>
      <c r="N480" s="11">
        <v>3.82</v>
      </c>
      <c r="O480" s="11">
        <v>3.77</v>
      </c>
      <c r="P480" s="11">
        <f t="shared" si="14"/>
        <v>4.9999999999999822E-2</v>
      </c>
      <c r="Q480" s="11">
        <f t="shared" si="15"/>
        <v>0.32600000000000001</v>
      </c>
      <c r="R480" s="11">
        <v>1.115</v>
      </c>
    </row>
    <row r="481" spans="2:18" ht="16" x14ac:dyDescent="0.3">
      <c r="B481" s="4">
        <v>475</v>
      </c>
      <c r="C481" s="4" t="s">
        <v>3644</v>
      </c>
      <c r="D481" s="5" t="s">
        <v>3284</v>
      </c>
      <c r="E481" s="4">
        <v>300</v>
      </c>
      <c r="F481" s="5" t="s">
        <v>3285</v>
      </c>
      <c r="G481" s="4" t="s">
        <v>3075</v>
      </c>
      <c r="H481" s="4" t="s">
        <v>3078</v>
      </c>
      <c r="I481" s="22">
        <v>2305134.9240000001</v>
      </c>
      <c r="J481" s="22">
        <v>585022.43599999999</v>
      </c>
      <c r="K481" s="22">
        <v>2305120.5559999999</v>
      </c>
      <c r="L481" s="22">
        <v>585032.071</v>
      </c>
      <c r="M481" s="6">
        <v>17.3</v>
      </c>
      <c r="N481" s="11">
        <v>3.88</v>
      </c>
      <c r="O481" s="11">
        <v>3.82</v>
      </c>
      <c r="P481" s="11">
        <f t="shared" si="14"/>
        <v>6.0000000000000053E-2</v>
      </c>
      <c r="Q481" s="11">
        <f t="shared" si="15"/>
        <v>0.34699999999999998</v>
      </c>
      <c r="R481" s="11">
        <v>1.06</v>
      </c>
    </row>
    <row r="482" spans="2:18" ht="16" x14ac:dyDescent="0.3">
      <c r="B482" s="4">
        <v>476</v>
      </c>
      <c r="C482" s="4" t="s">
        <v>3645</v>
      </c>
      <c r="D482" s="5" t="s">
        <v>3284</v>
      </c>
      <c r="E482" s="4">
        <v>300</v>
      </c>
      <c r="F482" s="5" t="s">
        <v>3285</v>
      </c>
      <c r="G482" s="4" t="s">
        <v>3072</v>
      </c>
      <c r="H482" s="4" t="s">
        <v>3075</v>
      </c>
      <c r="I482" s="22">
        <v>2305157.3620000002</v>
      </c>
      <c r="J482" s="22">
        <v>585007.41899999999</v>
      </c>
      <c r="K482" s="22">
        <v>2305135.5060000001</v>
      </c>
      <c r="L482" s="22">
        <v>585022.04700000002</v>
      </c>
      <c r="M482" s="6">
        <v>26.3</v>
      </c>
      <c r="N482" s="11">
        <v>3.97</v>
      </c>
      <c r="O482" s="11">
        <v>3.88</v>
      </c>
      <c r="P482" s="11">
        <f t="shared" si="14"/>
        <v>9.0000000000000302E-2</v>
      </c>
      <c r="Q482" s="11">
        <f t="shared" si="15"/>
        <v>0.34200000000000003</v>
      </c>
      <c r="R482" s="11">
        <v>0.98499999999999999</v>
      </c>
    </row>
    <row r="483" spans="2:18" ht="16" x14ac:dyDescent="0.3">
      <c r="B483" s="4">
        <v>477</v>
      </c>
      <c r="C483" s="4" t="s">
        <v>3646</v>
      </c>
      <c r="D483" s="5" t="s">
        <v>3284</v>
      </c>
      <c r="E483" s="4">
        <v>300</v>
      </c>
      <c r="F483" s="5" t="s">
        <v>3285</v>
      </c>
      <c r="G483" s="4" t="s">
        <v>390</v>
      </c>
      <c r="H483" s="4" t="s">
        <v>3072</v>
      </c>
      <c r="I483" s="22">
        <v>2305179.787</v>
      </c>
      <c r="J483" s="22">
        <v>584992.38199999998</v>
      </c>
      <c r="K483" s="22">
        <v>2305157.9440000001</v>
      </c>
      <c r="L483" s="22">
        <v>585007.02899999998</v>
      </c>
      <c r="M483" s="6">
        <v>26.3</v>
      </c>
      <c r="N483" s="11">
        <v>4.0599999999999996</v>
      </c>
      <c r="O483" s="11">
        <v>3.97</v>
      </c>
      <c r="P483" s="11">
        <f t="shared" si="14"/>
        <v>8.9999999999999414E-2</v>
      </c>
      <c r="Q483" s="11">
        <f t="shared" si="15"/>
        <v>0.34200000000000003</v>
      </c>
      <c r="R483" s="11">
        <v>0.89500000000000002</v>
      </c>
    </row>
    <row r="484" spans="2:18" ht="16" x14ac:dyDescent="0.3">
      <c r="B484" s="4">
        <v>478</v>
      </c>
      <c r="C484" s="4" t="s">
        <v>3647</v>
      </c>
      <c r="D484" s="5" t="s">
        <v>3284</v>
      </c>
      <c r="E484" s="4">
        <v>300</v>
      </c>
      <c r="F484" s="5" t="s">
        <v>3285</v>
      </c>
      <c r="G484" s="4" t="s">
        <v>1433</v>
      </c>
      <c r="H484" s="4" t="s">
        <v>749</v>
      </c>
      <c r="I484" s="22">
        <v>2305244.3820000002</v>
      </c>
      <c r="J484" s="22">
        <v>585126.05700000003</v>
      </c>
      <c r="K484" s="22">
        <v>2305268.7179999999</v>
      </c>
      <c r="L484" s="22">
        <v>585109.73899999994</v>
      </c>
      <c r="M484" s="6">
        <v>29.3</v>
      </c>
      <c r="N484" s="11">
        <v>4.12</v>
      </c>
      <c r="O484" s="11">
        <v>4.22</v>
      </c>
      <c r="P484" s="11">
        <f t="shared" si="14"/>
        <v>9.9999999999999645E-2</v>
      </c>
      <c r="Q484" s="11">
        <f t="shared" si="15"/>
        <v>0.34100000000000003</v>
      </c>
      <c r="R484" s="11">
        <v>0.9</v>
      </c>
    </row>
    <row r="485" spans="2:18" ht="16" x14ac:dyDescent="0.3">
      <c r="B485" s="4">
        <v>479</v>
      </c>
      <c r="C485" s="4" t="s">
        <v>3648</v>
      </c>
      <c r="D485" s="5" t="s">
        <v>3284</v>
      </c>
      <c r="E485" s="4">
        <v>300</v>
      </c>
      <c r="F485" s="5" t="s">
        <v>3285</v>
      </c>
      <c r="G485" s="4" t="s">
        <v>1436</v>
      </c>
      <c r="H485" s="4" t="s">
        <v>1433</v>
      </c>
      <c r="I485" s="22">
        <v>2305222.7880000002</v>
      </c>
      <c r="J485" s="22">
        <v>585140.53799999994</v>
      </c>
      <c r="K485" s="22">
        <v>2305243.801</v>
      </c>
      <c r="L485" s="22">
        <v>585126.44700000004</v>
      </c>
      <c r="M485" s="6">
        <v>25.3</v>
      </c>
      <c r="N485" s="11">
        <v>4.04</v>
      </c>
      <c r="O485" s="11">
        <v>4.12</v>
      </c>
      <c r="P485" s="11">
        <f t="shared" si="14"/>
        <v>8.0000000000000071E-2</v>
      </c>
      <c r="Q485" s="11">
        <f t="shared" si="15"/>
        <v>0.316</v>
      </c>
      <c r="R485" s="11">
        <v>0.99</v>
      </c>
    </row>
    <row r="486" spans="2:18" ht="16" x14ac:dyDescent="0.3">
      <c r="B486" s="4">
        <v>480</v>
      </c>
      <c r="C486" s="4" t="s">
        <v>3649</v>
      </c>
      <c r="D486" s="5" t="s">
        <v>3284</v>
      </c>
      <c r="E486" s="4">
        <v>300</v>
      </c>
      <c r="F486" s="5" t="s">
        <v>3285</v>
      </c>
      <c r="G486" s="4" t="s">
        <v>1439</v>
      </c>
      <c r="H486" s="4" t="s">
        <v>1436</v>
      </c>
      <c r="I486" s="22">
        <v>2305206.1770000001</v>
      </c>
      <c r="J486" s="22">
        <v>585151.67599999998</v>
      </c>
      <c r="K486" s="22">
        <v>2305222.2069999999</v>
      </c>
      <c r="L486" s="22">
        <v>585140.92700000003</v>
      </c>
      <c r="M486" s="6">
        <v>19.3</v>
      </c>
      <c r="N486" s="11">
        <v>3.97</v>
      </c>
      <c r="O486" s="11">
        <v>4.04</v>
      </c>
      <c r="P486" s="11">
        <f t="shared" si="14"/>
        <v>6.999999999999984E-2</v>
      </c>
      <c r="Q486" s="11">
        <f t="shared" si="15"/>
        <v>0.36299999999999999</v>
      </c>
      <c r="R486" s="11">
        <v>1.0649999999999999</v>
      </c>
    </row>
    <row r="487" spans="2:18" ht="16" x14ac:dyDescent="0.3">
      <c r="B487" s="4">
        <v>481</v>
      </c>
      <c r="C487" s="4" t="s">
        <v>3650</v>
      </c>
      <c r="D487" s="5" t="s">
        <v>3284</v>
      </c>
      <c r="E487" s="4">
        <v>300</v>
      </c>
      <c r="F487" s="5" t="s">
        <v>3285</v>
      </c>
      <c r="G487" s="4" t="s">
        <v>408</v>
      </c>
      <c r="H487" s="4" t="s">
        <v>1439</v>
      </c>
      <c r="I487" s="22">
        <v>2305187.4449999998</v>
      </c>
      <c r="J487" s="22">
        <v>585164.05000000005</v>
      </c>
      <c r="K487" s="22">
        <v>2305205.5959999999</v>
      </c>
      <c r="L487" s="22">
        <v>585152.06599999999</v>
      </c>
      <c r="M487" s="6">
        <v>21.75</v>
      </c>
      <c r="N487" s="11">
        <v>3.24</v>
      </c>
      <c r="O487" s="11">
        <v>3.97</v>
      </c>
      <c r="P487" s="11">
        <f t="shared" si="14"/>
        <v>0.73</v>
      </c>
      <c r="Q487" s="11">
        <f t="shared" si="15"/>
        <v>3.3559999999999999</v>
      </c>
      <c r="R487" s="11">
        <v>1.4650000000000001</v>
      </c>
    </row>
    <row r="488" spans="2:18" ht="16" x14ac:dyDescent="0.3">
      <c r="B488" s="4">
        <v>482</v>
      </c>
      <c r="C488" s="4" t="s">
        <v>3651</v>
      </c>
      <c r="D488" s="5" t="s">
        <v>3284</v>
      </c>
      <c r="E488" s="4">
        <v>300</v>
      </c>
      <c r="F488" s="5" t="s">
        <v>3285</v>
      </c>
      <c r="G488" s="4" t="s">
        <v>411</v>
      </c>
      <c r="H488" s="4" t="s">
        <v>408</v>
      </c>
      <c r="I488" s="22">
        <v>2305200.4840000002</v>
      </c>
      <c r="J488" s="22">
        <v>585193.58900000004</v>
      </c>
      <c r="K488" s="22">
        <v>2305186.6140000001</v>
      </c>
      <c r="L488" s="22">
        <v>585164.60699999996</v>
      </c>
      <c r="M488" s="6">
        <v>34.045000000000002</v>
      </c>
      <c r="N488" s="11">
        <v>3.12</v>
      </c>
      <c r="O488" s="11">
        <v>3.24</v>
      </c>
      <c r="P488" s="11">
        <f t="shared" si="14"/>
        <v>0.12000000000000011</v>
      </c>
      <c r="Q488" s="11">
        <f t="shared" si="15"/>
        <v>0.35199999999999998</v>
      </c>
      <c r="R488" s="11">
        <v>1.89</v>
      </c>
    </row>
    <row r="489" spans="2:18" ht="16" x14ac:dyDescent="0.3">
      <c r="B489" s="4">
        <v>483</v>
      </c>
      <c r="C489" s="4" t="s">
        <v>3652</v>
      </c>
      <c r="D489" s="5" t="s">
        <v>3284</v>
      </c>
      <c r="E489" s="4">
        <v>300</v>
      </c>
      <c r="F489" s="5" t="s">
        <v>3285</v>
      </c>
      <c r="G489" s="4" t="s">
        <v>1430</v>
      </c>
      <c r="H489" s="4" t="s">
        <v>411</v>
      </c>
      <c r="I489" s="22">
        <v>2305220.392</v>
      </c>
      <c r="J489" s="22">
        <v>585187.14899999998</v>
      </c>
      <c r="K489" s="22">
        <v>2305201.0610000002</v>
      </c>
      <c r="L489" s="22">
        <v>585194.40500000003</v>
      </c>
      <c r="M489" s="6">
        <v>22.437999999999999</v>
      </c>
      <c r="N489" s="11">
        <v>3.95</v>
      </c>
      <c r="O489" s="11">
        <v>3.12</v>
      </c>
      <c r="P489" s="11">
        <f t="shared" si="14"/>
        <v>0.83000000000000007</v>
      </c>
      <c r="Q489" s="11">
        <f t="shared" si="15"/>
        <v>3.6989999999999998</v>
      </c>
      <c r="R489" s="11">
        <v>1.5349999999999999</v>
      </c>
    </row>
    <row r="490" spans="2:18" ht="16" x14ac:dyDescent="0.3">
      <c r="B490" s="4">
        <v>484</v>
      </c>
      <c r="C490" s="4" t="s">
        <v>3653</v>
      </c>
      <c r="D490" s="5" t="s">
        <v>3284</v>
      </c>
      <c r="E490" s="4">
        <v>300</v>
      </c>
      <c r="F490" s="5" t="s">
        <v>3285</v>
      </c>
      <c r="G490" s="4" t="s">
        <v>1427</v>
      </c>
      <c r="H490" s="4" t="s">
        <v>1430</v>
      </c>
      <c r="I490" s="22">
        <v>2305243.6469999999</v>
      </c>
      <c r="J490" s="22">
        <v>585171.55500000005</v>
      </c>
      <c r="K490" s="22">
        <v>2305220.9730000002</v>
      </c>
      <c r="L490" s="22">
        <v>585186.75899999996</v>
      </c>
      <c r="M490" s="6">
        <v>27.3</v>
      </c>
      <c r="N490" s="11">
        <v>4.04</v>
      </c>
      <c r="O490" s="11">
        <v>3.95</v>
      </c>
      <c r="P490" s="11">
        <f t="shared" si="14"/>
        <v>8.9999999999999858E-2</v>
      </c>
      <c r="Q490" s="11">
        <f t="shared" si="15"/>
        <v>0.33</v>
      </c>
      <c r="R490" s="11">
        <v>1.075</v>
      </c>
    </row>
    <row r="491" spans="2:18" ht="16" x14ac:dyDescent="0.3">
      <c r="B491" s="4">
        <v>485</v>
      </c>
      <c r="C491" s="4" t="s">
        <v>3654</v>
      </c>
      <c r="D491" s="5" t="s">
        <v>3284</v>
      </c>
      <c r="E491" s="4">
        <v>300</v>
      </c>
      <c r="F491" s="5" t="s">
        <v>3285</v>
      </c>
      <c r="G491" s="4" t="s">
        <v>1424</v>
      </c>
      <c r="H491" s="4" t="s">
        <v>1427</v>
      </c>
      <c r="I491" s="22">
        <v>2305266.9029999999</v>
      </c>
      <c r="J491" s="22">
        <v>585155.96</v>
      </c>
      <c r="K491" s="22">
        <v>2305244.2289999998</v>
      </c>
      <c r="L491" s="22">
        <v>585171.16500000004</v>
      </c>
      <c r="M491" s="6">
        <v>27.3</v>
      </c>
      <c r="N491" s="11">
        <v>4.13</v>
      </c>
      <c r="O491" s="11">
        <v>4.04</v>
      </c>
      <c r="P491" s="11">
        <f t="shared" si="14"/>
        <v>8.9999999999999858E-2</v>
      </c>
      <c r="Q491" s="11">
        <f t="shared" si="15"/>
        <v>0.33</v>
      </c>
      <c r="R491" s="11">
        <v>0.98499999999999999</v>
      </c>
    </row>
    <row r="492" spans="2:18" ht="16" x14ac:dyDescent="0.3">
      <c r="B492" s="4">
        <v>486</v>
      </c>
      <c r="C492" s="4" t="s">
        <v>3655</v>
      </c>
      <c r="D492" s="5" t="s">
        <v>3284</v>
      </c>
      <c r="E492" s="4">
        <v>300</v>
      </c>
      <c r="F492" s="5" t="s">
        <v>3285</v>
      </c>
      <c r="G492" s="4" t="s">
        <v>752</v>
      </c>
      <c r="H492" s="4" t="s">
        <v>1424</v>
      </c>
      <c r="I492" s="22">
        <v>2305290.1579999998</v>
      </c>
      <c r="J492" s="22">
        <v>585140.36600000004</v>
      </c>
      <c r="K492" s="22">
        <v>2305267.4840000002</v>
      </c>
      <c r="L492" s="22">
        <v>585155.56999999995</v>
      </c>
      <c r="M492" s="6">
        <v>27.3</v>
      </c>
      <c r="N492" s="11">
        <v>4.22</v>
      </c>
      <c r="O492" s="11">
        <v>4.13</v>
      </c>
      <c r="P492" s="11">
        <f t="shared" si="14"/>
        <v>8.9999999999999858E-2</v>
      </c>
      <c r="Q492" s="11">
        <f t="shared" si="15"/>
        <v>0.33</v>
      </c>
      <c r="R492" s="11">
        <v>0.89500000000000002</v>
      </c>
    </row>
    <row r="493" spans="2:18" ht="16" x14ac:dyDescent="0.3">
      <c r="B493" s="4">
        <v>487</v>
      </c>
      <c r="C493" s="4" t="s">
        <v>3656</v>
      </c>
      <c r="D493" s="5" t="s">
        <v>3284</v>
      </c>
      <c r="E493" s="4">
        <v>300</v>
      </c>
      <c r="F493" s="5" t="s">
        <v>3285</v>
      </c>
      <c r="G493" s="4" t="s">
        <v>1559</v>
      </c>
      <c r="H493" s="4" t="s">
        <v>758</v>
      </c>
      <c r="I493" s="22">
        <v>2305071.2050000001</v>
      </c>
      <c r="J493" s="22">
        <v>585110.19799999997</v>
      </c>
      <c r="K493" s="22">
        <v>2305093.0699999998</v>
      </c>
      <c r="L493" s="22">
        <v>585095.53599999996</v>
      </c>
      <c r="M493" s="6">
        <v>26.324999999999999</v>
      </c>
      <c r="N493" s="11">
        <v>4.13</v>
      </c>
      <c r="O493" s="11">
        <v>4.22</v>
      </c>
      <c r="P493" s="11">
        <f t="shared" si="14"/>
        <v>8.9999999999999858E-2</v>
      </c>
      <c r="Q493" s="11">
        <f t="shared" si="15"/>
        <v>0.34200000000000003</v>
      </c>
      <c r="R493" s="11">
        <v>0.89500000000000002</v>
      </c>
    </row>
    <row r="494" spans="2:18" ht="16" x14ac:dyDescent="0.3">
      <c r="B494" s="4">
        <v>488</v>
      </c>
      <c r="C494" s="4" t="s">
        <v>3657</v>
      </c>
      <c r="D494" s="5" t="s">
        <v>3284</v>
      </c>
      <c r="E494" s="4">
        <v>300</v>
      </c>
      <c r="F494" s="5" t="s">
        <v>3285</v>
      </c>
      <c r="G494" s="4" t="s">
        <v>1562</v>
      </c>
      <c r="H494" s="4" t="s">
        <v>1559</v>
      </c>
      <c r="I494" s="22">
        <v>2305048.7799999998</v>
      </c>
      <c r="J494" s="22">
        <v>585125.23600000003</v>
      </c>
      <c r="K494" s="22">
        <v>2305070.6239999998</v>
      </c>
      <c r="L494" s="22">
        <v>585110.58799999999</v>
      </c>
      <c r="M494" s="6">
        <v>26.3</v>
      </c>
      <c r="N494" s="11">
        <v>4.04</v>
      </c>
      <c r="O494" s="11">
        <v>4.13</v>
      </c>
      <c r="P494" s="11">
        <f t="shared" si="14"/>
        <v>8.9999999999999858E-2</v>
      </c>
      <c r="Q494" s="11">
        <f t="shared" si="15"/>
        <v>0.34200000000000003</v>
      </c>
      <c r="R494" s="11">
        <v>0.98499999999999999</v>
      </c>
    </row>
    <row r="495" spans="2:18" ht="16" x14ac:dyDescent="0.3">
      <c r="B495" s="4">
        <v>489</v>
      </c>
      <c r="C495" s="4" t="s">
        <v>3658</v>
      </c>
      <c r="D495" s="5" t="s">
        <v>3284</v>
      </c>
      <c r="E495" s="4">
        <v>300</v>
      </c>
      <c r="F495" s="5" t="s">
        <v>3285</v>
      </c>
      <c r="G495" s="4" t="s">
        <v>1565</v>
      </c>
      <c r="H495" s="4" t="s">
        <v>1562</v>
      </c>
      <c r="I495" s="22">
        <v>2305033.83</v>
      </c>
      <c r="J495" s="22">
        <v>585135.26100000006</v>
      </c>
      <c r="K495" s="22">
        <v>2305048.199</v>
      </c>
      <c r="L495" s="22">
        <v>585125.625</v>
      </c>
      <c r="M495" s="6">
        <v>17.3</v>
      </c>
      <c r="N495" s="11">
        <v>3.98</v>
      </c>
      <c r="O495" s="11">
        <v>4.04</v>
      </c>
      <c r="P495" s="11">
        <f t="shared" si="14"/>
        <v>6.0000000000000053E-2</v>
      </c>
      <c r="Q495" s="11">
        <f t="shared" si="15"/>
        <v>0.34699999999999998</v>
      </c>
      <c r="R495" s="11">
        <v>1.06</v>
      </c>
    </row>
    <row r="496" spans="2:18" ht="16" x14ac:dyDescent="0.3">
      <c r="B496" s="4">
        <v>490</v>
      </c>
      <c r="C496" s="4" t="s">
        <v>3659</v>
      </c>
      <c r="D496" s="5" t="s">
        <v>3284</v>
      </c>
      <c r="E496" s="4">
        <v>300</v>
      </c>
      <c r="F496" s="5" t="s">
        <v>3285</v>
      </c>
      <c r="G496" s="4" t="s">
        <v>420</v>
      </c>
      <c r="H496" s="4" t="s">
        <v>1565</v>
      </c>
      <c r="I496" s="22">
        <v>2305021.4270000001</v>
      </c>
      <c r="J496" s="22">
        <v>585143.74800000002</v>
      </c>
      <c r="K496" s="22">
        <v>2305033.2489999998</v>
      </c>
      <c r="L496" s="22">
        <v>585135.65</v>
      </c>
      <c r="M496" s="6">
        <v>14.329000000000001</v>
      </c>
      <c r="N496" s="11">
        <v>3.62</v>
      </c>
      <c r="O496" s="11">
        <v>3.98</v>
      </c>
      <c r="P496" s="11">
        <f t="shared" si="14"/>
        <v>0.35999999999999988</v>
      </c>
      <c r="Q496" s="11">
        <f t="shared" si="15"/>
        <v>2.512</v>
      </c>
      <c r="R496" s="11">
        <v>1.27</v>
      </c>
    </row>
    <row r="497" spans="2:18" ht="16" x14ac:dyDescent="0.3">
      <c r="B497" s="4">
        <v>491</v>
      </c>
      <c r="C497" s="4" t="s">
        <v>3660</v>
      </c>
      <c r="D497" s="5" t="s">
        <v>3284</v>
      </c>
      <c r="E497" s="4">
        <v>300</v>
      </c>
      <c r="F497" s="5" t="s">
        <v>3285</v>
      </c>
      <c r="G497" s="4" t="s">
        <v>3102</v>
      </c>
      <c r="H497" s="4" t="s">
        <v>420</v>
      </c>
      <c r="I497" s="22">
        <v>2305004.077</v>
      </c>
      <c r="J497" s="22">
        <v>585133.47100000002</v>
      </c>
      <c r="K497" s="22">
        <v>2305020.5970000001</v>
      </c>
      <c r="L497" s="22">
        <v>585144.30500000005</v>
      </c>
      <c r="M497" s="6">
        <v>22.192</v>
      </c>
      <c r="N497" s="11">
        <v>3.69</v>
      </c>
      <c r="O497" s="11">
        <v>3.62</v>
      </c>
      <c r="P497" s="11">
        <f t="shared" si="14"/>
        <v>6.999999999999984E-2</v>
      </c>
      <c r="Q497" s="11">
        <f t="shared" si="15"/>
        <v>0.315</v>
      </c>
      <c r="R497" s="11">
        <v>1.335</v>
      </c>
    </row>
    <row r="498" spans="2:18" ht="16" x14ac:dyDescent="0.3">
      <c r="B498" s="4">
        <v>492</v>
      </c>
      <c r="C498" s="4" t="s">
        <v>3661</v>
      </c>
      <c r="D498" s="5" t="s">
        <v>3284</v>
      </c>
      <c r="E498" s="4">
        <v>300</v>
      </c>
      <c r="F498" s="5" t="s">
        <v>3285</v>
      </c>
      <c r="G498" s="4" t="s">
        <v>3099</v>
      </c>
      <c r="H498" s="4" t="s">
        <v>3102</v>
      </c>
      <c r="I498" s="22">
        <v>2304999.1779999998</v>
      </c>
      <c r="J498" s="22">
        <v>585113.51300000004</v>
      </c>
      <c r="K498" s="22">
        <v>2305003.517</v>
      </c>
      <c r="L498" s="22">
        <v>585132.64199999999</v>
      </c>
      <c r="M498" s="6">
        <v>21.561</v>
      </c>
      <c r="N498" s="11">
        <v>3.77</v>
      </c>
      <c r="O498" s="11">
        <v>3.69</v>
      </c>
      <c r="P498" s="11">
        <f t="shared" si="14"/>
        <v>8.0000000000000071E-2</v>
      </c>
      <c r="Q498" s="11">
        <f t="shared" si="15"/>
        <v>0.371</v>
      </c>
      <c r="R498" s="11">
        <v>1.18</v>
      </c>
    </row>
    <row r="499" spans="2:18" ht="16" x14ac:dyDescent="0.3">
      <c r="B499" s="4">
        <v>493</v>
      </c>
      <c r="C499" s="4" t="s">
        <v>3662</v>
      </c>
      <c r="D499" s="5" t="s">
        <v>3284</v>
      </c>
      <c r="E499" s="4">
        <v>300</v>
      </c>
      <c r="F499" s="5" t="s">
        <v>3285</v>
      </c>
      <c r="G499" s="4" t="s">
        <v>3096</v>
      </c>
      <c r="H499" s="4" t="s">
        <v>3099</v>
      </c>
      <c r="I499" s="22">
        <v>2305012.4309999999</v>
      </c>
      <c r="J499" s="22">
        <v>585104.60499999998</v>
      </c>
      <c r="K499" s="22">
        <v>2304999.7689999999</v>
      </c>
      <c r="L499" s="22">
        <v>585113.13800000004</v>
      </c>
      <c r="M499" s="6">
        <v>15.268000000000001</v>
      </c>
      <c r="N499" s="11">
        <v>3.82</v>
      </c>
      <c r="O499" s="11">
        <v>3.77</v>
      </c>
      <c r="P499" s="11">
        <f t="shared" si="14"/>
        <v>4.9999999999999822E-2</v>
      </c>
      <c r="Q499" s="11">
        <f t="shared" si="15"/>
        <v>0.32700000000000001</v>
      </c>
      <c r="R499" s="11">
        <v>1.115</v>
      </c>
    </row>
    <row r="500" spans="2:18" ht="16" x14ac:dyDescent="0.3">
      <c r="B500" s="4">
        <v>494</v>
      </c>
      <c r="C500" s="4" t="s">
        <v>3663</v>
      </c>
      <c r="D500" s="5" t="s">
        <v>3284</v>
      </c>
      <c r="E500" s="4">
        <v>300</v>
      </c>
      <c r="F500" s="5" t="s">
        <v>3285</v>
      </c>
      <c r="G500" s="4" t="s">
        <v>3093</v>
      </c>
      <c r="H500" s="4" t="s">
        <v>3096</v>
      </c>
      <c r="I500" s="22">
        <v>2305027.3810000001</v>
      </c>
      <c r="J500" s="22">
        <v>585094.57999999996</v>
      </c>
      <c r="K500" s="22">
        <v>2305013.0129999998</v>
      </c>
      <c r="L500" s="22">
        <v>585104.21600000001</v>
      </c>
      <c r="M500" s="6">
        <v>17.3</v>
      </c>
      <c r="N500" s="11">
        <v>3.88</v>
      </c>
      <c r="O500" s="11">
        <v>3.82</v>
      </c>
      <c r="P500" s="11">
        <f t="shared" si="14"/>
        <v>6.0000000000000053E-2</v>
      </c>
      <c r="Q500" s="11">
        <f t="shared" si="15"/>
        <v>0.34699999999999998</v>
      </c>
      <c r="R500" s="11">
        <v>1.06</v>
      </c>
    </row>
    <row r="501" spans="2:18" ht="16" x14ac:dyDescent="0.3">
      <c r="B501" s="4">
        <v>495</v>
      </c>
      <c r="C501" s="4" t="s">
        <v>3664</v>
      </c>
      <c r="D501" s="5" t="s">
        <v>3284</v>
      </c>
      <c r="E501" s="4">
        <v>300</v>
      </c>
      <c r="F501" s="5" t="s">
        <v>3285</v>
      </c>
      <c r="G501" s="4" t="s">
        <v>3090</v>
      </c>
      <c r="H501" s="4" t="s">
        <v>3093</v>
      </c>
      <c r="I501" s="22">
        <v>2305049.8059999999</v>
      </c>
      <c r="J501" s="22">
        <v>585079.54299999995</v>
      </c>
      <c r="K501" s="22">
        <v>2305027.963</v>
      </c>
      <c r="L501" s="22">
        <v>585094.19099999999</v>
      </c>
      <c r="M501" s="6">
        <v>26.3</v>
      </c>
      <c r="N501" s="11">
        <v>3.97</v>
      </c>
      <c r="O501" s="11">
        <v>3.88</v>
      </c>
      <c r="P501" s="11">
        <f t="shared" si="14"/>
        <v>9.0000000000000302E-2</v>
      </c>
      <c r="Q501" s="11">
        <f t="shared" si="15"/>
        <v>0.34200000000000003</v>
      </c>
      <c r="R501" s="11">
        <v>0.98499999999999999</v>
      </c>
    </row>
    <row r="502" spans="2:18" ht="16" x14ac:dyDescent="0.3">
      <c r="B502" s="4">
        <v>496</v>
      </c>
      <c r="C502" s="4" t="s">
        <v>3665</v>
      </c>
      <c r="D502" s="5" t="s">
        <v>3284</v>
      </c>
      <c r="E502" s="4">
        <v>300</v>
      </c>
      <c r="F502" s="5" t="s">
        <v>3285</v>
      </c>
      <c r="G502" s="4" t="s">
        <v>417</v>
      </c>
      <c r="H502" s="4" t="s">
        <v>3090</v>
      </c>
      <c r="I502" s="22">
        <v>2305072.2310000001</v>
      </c>
      <c r="J502" s="22">
        <v>585064.50600000005</v>
      </c>
      <c r="K502" s="22">
        <v>2305050.3870000001</v>
      </c>
      <c r="L502" s="22">
        <v>585079.15300000005</v>
      </c>
      <c r="M502" s="6">
        <v>26.3</v>
      </c>
      <c r="N502" s="11">
        <v>4.0599999999999996</v>
      </c>
      <c r="O502" s="11">
        <v>3.97</v>
      </c>
      <c r="P502" s="11">
        <f t="shared" si="14"/>
        <v>8.9999999999999414E-2</v>
      </c>
      <c r="Q502" s="11">
        <f t="shared" si="15"/>
        <v>0.34200000000000003</v>
      </c>
      <c r="R502" s="11">
        <v>0.89500000000000002</v>
      </c>
    </row>
    <row r="503" spans="2:18" ht="16" x14ac:dyDescent="0.3">
      <c r="B503" s="4">
        <v>497</v>
      </c>
      <c r="C503" s="4" t="s">
        <v>3666</v>
      </c>
      <c r="D503" s="5" t="s">
        <v>3284</v>
      </c>
      <c r="E503" s="4">
        <v>300</v>
      </c>
      <c r="F503" s="5" t="s">
        <v>3285</v>
      </c>
      <c r="G503" s="4" t="s">
        <v>2884</v>
      </c>
      <c r="H503" s="4" t="s">
        <v>312</v>
      </c>
      <c r="I503" s="22">
        <v>2305125.3360000001</v>
      </c>
      <c r="J503" s="22">
        <v>585309.83400000003</v>
      </c>
      <c r="K503" s="22">
        <v>2305143.9270000001</v>
      </c>
      <c r="L503" s="22">
        <v>585342.26100000006</v>
      </c>
      <c r="M503" s="6">
        <v>37.378</v>
      </c>
      <c r="N503" s="11">
        <v>2.56</v>
      </c>
      <c r="O503" s="11">
        <v>2.4300000000000002</v>
      </c>
      <c r="P503" s="11">
        <f t="shared" si="14"/>
        <v>0.12999999999999989</v>
      </c>
      <c r="Q503" s="11">
        <f t="shared" si="15"/>
        <v>0.34799999999999998</v>
      </c>
      <c r="R503" s="11">
        <v>2.74</v>
      </c>
    </row>
    <row r="504" spans="2:18" ht="16" x14ac:dyDescent="0.3">
      <c r="B504" s="4">
        <v>498</v>
      </c>
      <c r="C504" s="4" t="s">
        <v>3667</v>
      </c>
      <c r="D504" s="5" t="s">
        <v>3284</v>
      </c>
      <c r="E504" s="4">
        <v>300</v>
      </c>
      <c r="F504" s="5" t="s">
        <v>3285</v>
      </c>
      <c r="G504" s="4" t="s">
        <v>2881</v>
      </c>
      <c r="H504" s="4" t="s">
        <v>2884</v>
      </c>
      <c r="I504" s="22">
        <v>2305109.1290000002</v>
      </c>
      <c r="J504" s="22">
        <v>585285.59</v>
      </c>
      <c r="K504" s="22">
        <v>2305124.7760000001</v>
      </c>
      <c r="L504" s="22">
        <v>585309.00600000005</v>
      </c>
      <c r="M504" s="6">
        <v>28.161999999999999</v>
      </c>
      <c r="N504" s="11">
        <v>2.66</v>
      </c>
      <c r="O504" s="11">
        <v>2.56</v>
      </c>
      <c r="P504" s="11">
        <f t="shared" si="14"/>
        <v>0.10000000000000009</v>
      </c>
      <c r="Q504" s="11">
        <f t="shared" si="15"/>
        <v>0.35499999999999998</v>
      </c>
      <c r="R504" s="11">
        <v>2.5750000000000002</v>
      </c>
    </row>
    <row r="505" spans="2:18" ht="16" x14ac:dyDescent="0.3">
      <c r="B505" s="4">
        <v>499</v>
      </c>
      <c r="C505" s="4" t="s">
        <v>3668</v>
      </c>
      <c r="D505" s="5" t="s">
        <v>3284</v>
      </c>
      <c r="E505" s="4">
        <v>300</v>
      </c>
      <c r="F505" s="5" t="s">
        <v>3285</v>
      </c>
      <c r="G505" s="4" t="s">
        <v>2026</v>
      </c>
      <c r="H505" s="4" t="s">
        <v>851</v>
      </c>
      <c r="I505" s="22">
        <v>2305235.6129999999</v>
      </c>
      <c r="J505" s="22">
        <v>585424.571</v>
      </c>
      <c r="K505" s="22">
        <v>2305250.2540000002</v>
      </c>
      <c r="L505" s="22">
        <v>585446.40399999998</v>
      </c>
      <c r="M505" s="6">
        <v>26.288</v>
      </c>
      <c r="N505" s="11">
        <v>4.33</v>
      </c>
      <c r="O505" s="11">
        <v>4.42</v>
      </c>
      <c r="P505" s="11">
        <f t="shared" si="14"/>
        <v>8.9999999999999858E-2</v>
      </c>
      <c r="Q505" s="11">
        <f t="shared" si="15"/>
        <v>0.34200000000000003</v>
      </c>
      <c r="R505" s="11">
        <v>0.89500000000000002</v>
      </c>
    </row>
    <row r="506" spans="2:18" ht="16" x14ac:dyDescent="0.3">
      <c r="B506" s="4">
        <v>500</v>
      </c>
      <c r="C506" s="4" t="s">
        <v>3669</v>
      </c>
      <c r="D506" s="5" t="s">
        <v>3284</v>
      </c>
      <c r="E506" s="4">
        <v>300</v>
      </c>
      <c r="F506" s="5" t="s">
        <v>3285</v>
      </c>
      <c r="G506" s="4" t="s">
        <v>2029</v>
      </c>
      <c r="H506" s="4" t="s">
        <v>2026</v>
      </c>
      <c r="I506" s="22">
        <v>2305220.6069999998</v>
      </c>
      <c r="J506" s="22">
        <v>585402.1</v>
      </c>
      <c r="K506" s="22">
        <v>2305235.2239999999</v>
      </c>
      <c r="L506" s="22">
        <v>585423.99</v>
      </c>
      <c r="M506" s="6">
        <v>26.321000000000002</v>
      </c>
      <c r="N506" s="11">
        <v>4.24</v>
      </c>
      <c r="O506" s="11">
        <v>4.33</v>
      </c>
      <c r="P506" s="11">
        <f t="shared" si="14"/>
        <v>8.9999999999999858E-2</v>
      </c>
      <c r="Q506" s="11">
        <f t="shared" si="15"/>
        <v>0.34200000000000003</v>
      </c>
      <c r="R506" s="11">
        <v>0.98499999999999999</v>
      </c>
    </row>
    <row r="507" spans="2:18" ht="16" x14ac:dyDescent="0.3">
      <c r="B507" s="4">
        <v>501</v>
      </c>
      <c r="C507" s="4" t="s">
        <v>3670</v>
      </c>
      <c r="D507" s="5" t="s">
        <v>3284</v>
      </c>
      <c r="E507" s="4">
        <v>300</v>
      </c>
      <c r="F507" s="5" t="s">
        <v>3285</v>
      </c>
      <c r="G507" s="4" t="s">
        <v>2032</v>
      </c>
      <c r="H507" s="4" t="s">
        <v>2029</v>
      </c>
      <c r="I507" s="22">
        <v>2305210.5469999998</v>
      </c>
      <c r="J507" s="22">
        <v>585387.18999999994</v>
      </c>
      <c r="K507" s="22">
        <v>2305220.2489999998</v>
      </c>
      <c r="L507" s="22">
        <v>585401.50100000005</v>
      </c>
      <c r="M507" s="6">
        <v>17.29</v>
      </c>
      <c r="N507" s="11">
        <v>4.18</v>
      </c>
      <c r="O507" s="11">
        <v>4.24</v>
      </c>
      <c r="P507" s="11">
        <f t="shared" si="14"/>
        <v>6.0000000000000497E-2</v>
      </c>
      <c r="Q507" s="11">
        <f t="shared" si="15"/>
        <v>0.34699999999999998</v>
      </c>
      <c r="R507" s="11">
        <v>1.06</v>
      </c>
    </row>
    <row r="508" spans="2:18" ht="16" x14ac:dyDescent="0.3">
      <c r="B508" s="4">
        <v>502</v>
      </c>
      <c r="C508" s="4" t="s">
        <v>3671</v>
      </c>
      <c r="D508" s="5" t="s">
        <v>3284</v>
      </c>
      <c r="E508" s="4">
        <v>300</v>
      </c>
      <c r="F508" s="5" t="s">
        <v>3285</v>
      </c>
      <c r="G508" s="4" t="s">
        <v>348</v>
      </c>
      <c r="H508" s="4" t="s">
        <v>2032</v>
      </c>
      <c r="I508" s="22">
        <v>2305200.548</v>
      </c>
      <c r="J508" s="22">
        <v>585372.75699999998</v>
      </c>
      <c r="K508" s="22">
        <v>2305210.1570000001</v>
      </c>
      <c r="L508" s="22">
        <v>585386.60800000001</v>
      </c>
      <c r="M508" s="6">
        <v>16.856999999999999</v>
      </c>
      <c r="N508" s="11">
        <v>1.59</v>
      </c>
      <c r="O508" s="11">
        <v>4.18</v>
      </c>
      <c r="P508" s="11">
        <f t="shared" si="14"/>
        <v>2.59</v>
      </c>
      <c r="Q508" s="11">
        <f t="shared" si="15"/>
        <v>15.365</v>
      </c>
      <c r="R508" s="11">
        <v>2.3849999999999998</v>
      </c>
    </row>
    <row r="509" spans="2:18" ht="16" x14ac:dyDescent="0.3">
      <c r="B509" s="4">
        <v>503</v>
      </c>
      <c r="C509" s="4" t="s">
        <v>3672</v>
      </c>
      <c r="D509" s="5" t="s">
        <v>3284</v>
      </c>
      <c r="E509" s="4">
        <v>300</v>
      </c>
      <c r="F509" s="5" t="s">
        <v>3285</v>
      </c>
      <c r="G509" s="4" t="s">
        <v>2014</v>
      </c>
      <c r="H509" s="4" t="s">
        <v>848</v>
      </c>
      <c r="I509" s="22">
        <v>2305266.6510000001</v>
      </c>
      <c r="J509" s="22">
        <v>585403.18900000001</v>
      </c>
      <c r="K509" s="22">
        <v>2305281.6880000001</v>
      </c>
      <c r="L509" s="22">
        <v>585425.61399999994</v>
      </c>
      <c r="M509" s="6">
        <v>27</v>
      </c>
      <c r="N509" s="11">
        <v>4.33</v>
      </c>
      <c r="O509" s="11">
        <v>4.42</v>
      </c>
      <c r="P509" s="11">
        <f t="shared" si="14"/>
        <v>8.9999999999999858E-2</v>
      </c>
      <c r="Q509" s="11">
        <f t="shared" si="15"/>
        <v>0.33300000000000002</v>
      </c>
      <c r="R509" s="11">
        <v>0.89500000000000002</v>
      </c>
    </row>
    <row r="510" spans="2:18" ht="16" x14ac:dyDescent="0.3">
      <c r="B510" s="4">
        <v>504</v>
      </c>
      <c r="C510" s="4" t="s">
        <v>3673</v>
      </c>
      <c r="D510" s="5" t="s">
        <v>3284</v>
      </c>
      <c r="E510" s="4">
        <v>300</v>
      </c>
      <c r="F510" s="5" t="s">
        <v>3285</v>
      </c>
      <c r="G510" s="4" t="s">
        <v>2017</v>
      </c>
      <c r="H510" s="4" t="s">
        <v>2014</v>
      </c>
      <c r="I510" s="22">
        <v>2305251.625</v>
      </c>
      <c r="J510" s="22">
        <v>585381.33900000004</v>
      </c>
      <c r="K510" s="22">
        <v>2305266.6460000002</v>
      </c>
      <c r="L510" s="22">
        <v>585403.18200000003</v>
      </c>
      <c r="M510" s="6">
        <v>26.51</v>
      </c>
      <c r="N510" s="11">
        <v>4.24</v>
      </c>
      <c r="O510" s="11">
        <v>4.33</v>
      </c>
      <c r="P510" s="11">
        <f t="shared" si="14"/>
        <v>8.9999999999999858E-2</v>
      </c>
      <c r="Q510" s="11">
        <f t="shared" si="15"/>
        <v>0.33900000000000002</v>
      </c>
      <c r="R510" s="11">
        <v>0.98499999999999999</v>
      </c>
    </row>
    <row r="511" spans="2:18" ht="16" x14ac:dyDescent="0.3">
      <c r="B511" s="4">
        <v>505</v>
      </c>
      <c r="C511" s="4" t="s">
        <v>3674</v>
      </c>
      <c r="D511" s="5" t="s">
        <v>3284</v>
      </c>
      <c r="E511" s="4">
        <v>300</v>
      </c>
      <c r="F511" s="5" t="s">
        <v>3285</v>
      </c>
      <c r="G511" s="4" t="s">
        <v>2020</v>
      </c>
      <c r="H511" s="4" t="s">
        <v>2017</v>
      </c>
      <c r="I511" s="22">
        <v>2305241.5890000002</v>
      </c>
      <c r="J511" s="22">
        <v>585366.37300000002</v>
      </c>
      <c r="K511" s="22">
        <v>2305251.2349999999</v>
      </c>
      <c r="L511" s="22">
        <v>585380.75699999998</v>
      </c>
      <c r="M511" s="6">
        <v>17.318999999999999</v>
      </c>
      <c r="N511" s="11">
        <v>4.18</v>
      </c>
      <c r="O511" s="11">
        <v>4.24</v>
      </c>
      <c r="P511" s="11">
        <f t="shared" si="14"/>
        <v>6.0000000000000497E-2</v>
      </c>
      <c r="Q511" s="11">
        <f t="shared" si="15"/>
        <v>0.34599999999999997</v>
      </c>
      <c r="R511" s="11">
        <v>1.06</v>
      </c>
    </row>
    <row r="512" spans="2:18" ht="16" x14ac:dyDescent="0.3">
      <c r="B512" s="4">
        <v>506</v>
      </c>
      <c r="C512" s="4" t="s">
        <v>3675</v>
      </c>
      <c r="D512" s="5" t="s">
        <v>3284</v>
      </c>
      <c r="E512" s="4">
        <v>300</v>
      </c>
      <c r="F512" s="5" t="s">
        <v>3285</v>
      </c>
      <c r="G512" s="4" t="s">
        <v>2023</v>
      </c>
      <c r="H512" s="4" t="s">
        <v>2020</v>
      </c>
      <c r="I512" s="22">
        <v>2305231.898</v>
      </c>
      <c r="J512" s="22">
        <v>585351.799</v>
      </c>
      <c r="K512" s="22">
        <v>2305241.199</v>
      </c>
      <c r="L512" s="22">
        <v>585365.79200000002</v>
      </c>
      <c r="M512" s="6">
        <v>16.802</v>
      </c>
      <c r="N512" s="11">
        <v>1.64</v>
      </c>
      <c r="O512" s="11">
        <v>4.18</v>
      </c>
      <c r="P512" s="11">
        <f t="shared" si="14"/>
        <v>2.54</v>
      </c>
      <c r="Q512" s="11">
        <f t="shared" si="15"/>
        <v>15.117000000000001</v>
      </c>
      <c r="R512" s="11">
        <v>2.36</v>
      </c>
    </row>
    <row r="513" spans="2:18" ht="16" x14ac:dyDescent="0.3">
      <c r="B513" s="4">
        <v>507</v>
      </c>
      <c r="C513" s="4" t="s">
        <v>3676</v>
      </c>
      <c r="D513" s="5" t="s">
        <v>3284</v>
      </c>
      <c r="E513" s="4">
        <v>300</v>
      </c>
      <c r="F513" s="5" t="s">
        <v>3285</v>
      </c>
      <c r="G513" s="4" t="s">
        <v>2005</v>
      </c>
      <c r="H513" s="4" t="s">
        <v>845</v>
      </c>
      <c r="I513" s="22">
        <v>2305276.3080000002</v>
      </c>
      <c r="J513" s="22">
        <v>585397.26699999999</v>
      </c>
      <c r="K513" s="22">
        <v>2305290.9730000002</v>
      </c>
      <c r="L513" s="22">
        <v>585419.08200000005</v>
      </c>
      <c r="M513" s="6">
        <v>26.286000000000001</v>
      </c>
      <c r="N513" s="11">
        <v>4.33</v>
      </c>
      <c r="O513" s="11">
        <v>4.42</v>
      </c>
      <c r="P513" s="11">
        <f t="shared" si="14"/>
        <v>8.9999999999999858E-2</v>
      </c>
      <c r="Q513" s="11">
        <f t="shared" si="15"/>
        <v>0.34200000000000003</v>
      </c>
      <c r="R513" s="11">
        <v>0.89500000000000002</v>
      </c>
    </row>
    <row r="514" spans="2:18" ht="16" x14ac:dyDescent="0.3">
      <c r="B514" s="4">
        <v>508</v>
      </c>
      <c r="C514" s="4" t="s">
        <v>3677</v>
      </c>
      <c r="D514" s="5" t="s">
        <v>3284</v>
      </c>
      <c r="E514" s="4">
        <v>300</v>
      </c>
      <c r="F514" s="5" t="s">
        <v>3285</v>
      </c>
      <c r="G514" s="4" t="s">
        <v>2008</v>
      </c>
      <c r="H514" s="4" t="s">
        <v>2005</v>
      </c>
      <c r="I514" s="22">
        <v>2305261.2540000002</v>
      </c>
      <c r="J514" s="22">
        <v>585374.82700000005</v>
      </c>
      <c r="K514" s="22">
        <v>2305275.9109999998</v>
      </c>
      <c r="L514" s="22">
        <v>585396.69099999999</v>
      </c>
      <c r="M514" s="6">
        <v>26.321999999999999</v>
      </c>
      <c r="N514" s="11">
        <v>4.24</v>
      </c>
      <c r="O514" s="11">
        <v>4.33</v>
      </c>
      <c r="P514" s="11">
        <f t="shared" si="14"/>
        <v>8.9999999999999858E-2</v>
      </c>
      <c r="Q514" s="11">
        <f t="shared" si="15"/>
        <v>0.34200000000000003</v>
      </c>
      <c r="R514" s="11">
        <v>0.98499999999999999</v>
      </c>
    </row>
    <row r="515" spans="2:18" ht="16" x14ac:dyDescent="0.3">
      <c r="B515" s="4">
        <v>509</v>
      </c>
      <c r="C515" s="4" t="s">
        <v>3678</v>
      </c>
      <c r="D515" s="5" t="s">
        <v>3284</v>
      </c>
      <c r="E515" s="4">
        <v>300</v>
      </c>
      <c r="F515" s="5" t="s">
        <v>3285</v>
      </c>
      <c r="G515" s="4" t="s">
        <v>2011</v>
      </c>
      <c r="H515" s="4" t="s">
        <v>2008</v>
      </c>
      <c r="I515" s="22">
        <v>2305251.2439999999</v>
      </c>
      <c r="J515" s="22">
        <v>585359.89899999998</v>
      </c>
      <c r="K515" s="22">
        <v>2305260.8640000001</v>
      </c>
      <c r="L515" s="22">
        <v>585374.24600000004</v>
      </c>
      <c r="M515" s="6">
        <v>17.274000000000001</v>
      </c>
      <c r="N515" s="11">
        <v>4.18</v>
      </c>
      <c r="O515" s="11">
        <v>4.24</v>
      </c>
      <c r="P515" s="11">
        <f t="shared" si="14"/>
        <v>6.0000000000000497E-2</v>
      </c>
      <c r="Q515" s="11">
        <f t="shared" si="15"/>
        <v>0.34699999999999998</v>
      </c>
      <c r="R515" s="11">
        <v>1.06</v>
      </c>
    </row>
    <row r="516" spans="2:18" ht="16" x14ac:dyDescent="0.3">
      <c r="B516" s="4">
        <v>510</v>
      </c>
      <c r="C516" s="4" t="s">
        <v>3679</v>
      </c>
      <c r="D516" s="5" t="s">
        <v>3284</v>
      </c>
      <c r="E516" s="4">
        <v>300</v>
      </c>
      <c r="F516" s="5" t="s">
        <v>3285</v>
      </c>
      <c r="G516" s="4" t="s">
        <v>342</v>
      </c>
      <c r="H516" s="4" t="s">
        <v>2011</v>
      </c>
      <c r="I516" s="22">
        <v>2305241.5780000002</v>
      </c>
      <c r="J516" s="22">
        <v>585345.86399999994</v>
      </c>
      <c r="K516" s="22">
        <v>2305250.8539999998</v>
      </c>
      <c r="L516" s="22">
        <v>585359.31799999997</v>
      </c>
      <c r="M516" s="6">
        <v>16.341999999999999</v>
      </c>
      <c r="N516" s="11">
        <v>1.65</v>
      </c>
      <c r="O516" s="11">
        <v>4.18</v>
      </c>
      <c r="P516" s="11">
        <f t="shared" si="14"/>
        <v>2.5299999999999998</v>
      </c>
      <c r="Q516" s="11">
        <f t="shared" si="15"/>
        <v>15.481999999999999</v>
      </c>
      <c r="R516" s="11">
        <v>2.355</v>
      </c>
    </row>
    <row r="517" spans="2:18" ht="16" x14ac:dyDescent="0.3">
      <c r="B517" s="4">
        <v>511</v>
      </c>
      <c r="C517" s="4" t="s">
        <v>3680</v>
      </c>
      <c r="D517" s="5" t="s">
        <v>3284</v>
      </c>
      <c r="E517" s="4">
        <v>300</v>
      </c>
      <c r="F517" s="5" t="s">
        <v>3285</v>
      </c>
      <c r="G517" s="4" t="s">
        <v>1993</v>
      </c>
      <c r="H517" s="4" t="s">
        <v>842</v>
      </c>
      <c r="I517" s="22">
        <v>2305312.3530000001</v>
      </c>
      <c r="J517" s="22">
        <v>585383.94700000004</v>
      </c>
      <c r="K517" s="22">
        <v>2305321.9240000001</v>
      </c>
      <c r="L517" s="22">
        <v>585398.33200000005</v>
      </c>
      <c r="M517" s="6">
        <v>17.277999999999999</v>
      </c>
      <c r="N517" s="11">
        <v>4.33</v>
      </c>
      <c r="O517" s="11">
        <v>4.42</v>
      </c>
      <c r="P517" s="11">
        <f t="shared" si="14"/>
        <v>8.9999999999999858E-2</v>
      </c>
      <c r="Q517" s="11">
        <f t="shared" si="15"/>
        <v>0.52100000000000002</v>
      </c>
      <c r="R517" s="11">
        <v>0.89500000000000002</v>
      </c>
    </row>
    <row r="518" spans="2:18" ht="16" x14ac:dyDescent="0.3">
      <c r="B518" s="4">
        <v>512</v>
      </c>
      <c r="C518" s="4" t="s">
        <v>3681</v>
      </c>
      <c r="D518" s="5" t="s">
        <v>3284</v>
      </c>
      <c r="E518" s="4">
        <v>300</v>
      </c>
      <c r="F518" s="5" t="s">
        <v>3285</v>
      </c>
      <c r="G518" s="4" t="s">
        <v>1996</v>
      </c>
      <c r="H518" s="4" t="s">
        <v>1993</v>
      </c>
      <c r="I518" s="22">
        <v>2305292.3319999999</v>
      </c>
      <c r="J518" s="22">
        <v>585354.05599999998</v>
      </c>
      <c r="K518" s="22">
        <v>2305311.9720000001</v>
      </c>
      <c r="L518" s="22">
        <v>585383.36</v>
      </c>
      <c r="M518" s="6">
        <v>35.276000000000003</v>
      </c>
      <c r="N518" s="11">
        <v>4.24</v>
      </c>
      <c r="O518" s="11">
        <v>4.33</v>
      </c>
      <c r="P518" s="11">
        <f t="shared" si="14"/>
        <v>8.9999999999999858E-2</v>
      </c>
      <c r="Q518" s="11">
        <f t="shared" si="15"/>
        <v>0.255</v>
      </c>
      <c r="R518" s="11">
        <v>0.98499999999999999</v>
      </c>
    </row>
    <row r="519" spans="2:18" ht="16" x14ac:dyDescent="0.3">
      <c r="B519" s="4">
        <v>513</v>
      </c>
      <c r="C519" s="4" t="s">
        <v>3682</v>
      </c>
      <c r="D519" s="5" t="s">
        <v>3284</v>
      </c>
      <c r="E519" s="4">
        <v>300</v>
      </c>
      <c r="F519" s="5" t="s">
        <v>3285</v>
      </c>
      <c r="G519" s="4" t="s">
        <v>1999</v>
      </c>
      <c r="H519" s="4" t="s">
        <v>1996</v>
      </c>
      <c r="I519" s="22">
        <v>2305282.2859999998</v>
      </c>
      <c r="J519" s="22">
        <v>585339.08299999998</v>
      </c>
      <c r="K519" s="22">
        <v>2305291.9440000001</v>
      </c>
      <c r="L519" s="22">
        <v>585353.47400000005</v>
      </c>
      <c r="M519" s="6">
        <v>17.331</v>
      </c>
      <c r="N519" s="11">
        <v>4.18</v>
      </c>
      <c r="O519" s="11">
        <v>4.24</v>
      </c>
      <c r="P519" s="11">
        <f t="shared" ref="P519:P582" si="16">IF(AND(ISNUMBER(N519),ISNUMBER(O519)),ABS(N519-O519),0)</f>
        <v>6.0000000000000497E-2</v>
      </c>
      <c r="Q519" s="11">
        <f t="shared" ref="Q519:Q582" si="17">IF(M519&gt;0,ROUND(P519/M519*100,3),0)</f>
        <v>0.34599999999999997</v>
      </c>
      <c r="R519" s="11">
        <v>1.06</v>
      </c>
    </row>
    <row r="520" spans="2:18" ht="16" x14ac:dyDescent="0.3">
      <c r="B520" s="4">
        <v>514</v>
      </c>
      <c r="C520" s="4" t="s">
        <v>3683</v>
      </c>
      <c r="D520" s="5" t="s">
        <v>3284</v>
      </c>
      <c r="E520" s="4">
        <v>300</v>
      </c>
      <c r="F520" s="5" t="s">
        <v>3285</v>
      </c>
      <c r="G520" s="4" t="s">
        <v>2002</v>
      </c>
      <c r="H520" s="4" t="s">
        <v>1999</v>
      </c>
      <c r="I520" s="22">
        <v>2305272.71</v>
      </c>
      <c r="J520" s="22">
        <v>585324.36100000003</v>
      </c>
      <c r="K520" s="22">
        <v>2305281.8960000002</v>
      </c>
      <c r="L520" s="22">
        <v>585338.50199999998</v>
      </c>
      <c r="M520" s="6">
        <v>16.863</v>
      </c>
      <c r="N520" s="11">
        <v>1.71</v>
      </c>
      <c r="O520" s="11">
        <v>4.18</v>
      </c>
      <c r="P520" s="11">
        <f t="shared" si="16"/>
        <v>2.4699999999999998</v>
      </c>
      <c r="Q520" s="11">
        <f t="shared" si="17"/>
        <v>14.647</v>
      </c>
      <c r="R520" s="11">
        <v>2.3250000000000002</v>
      </c>
    </row>
    <row r="521" spans="2:18" ht="16" x14ac:dyDescent="0.3">
      <c r="B521" s="4">
        <v>515</v>
      </c>
      <c r="C521" s="4" t="s">
        <v>3684</v>
      </c>
      <c r="D521" s="5" t="s">
        <v>3284</v>
      </c>
      <c r="E521" s="4">
        <v>300</v>
      </c>
      <c r="F521" s="5" t="s">
        <v>3285</v>
      </c>
      <c r="G521" s="4" t="s">
        <v>1984</v>
      </c>
      <c r="H521" s="4" t="s">
        <v>839</v>
      </c>
      <c r="I521" s="22">
        <v>2305316.9950000001</v>
      </c>
      <c r="J521" s="22">
        <v>585369.97199999995</v>
      </c>
      <c r="K521" s="22">
        <v>2305331.6409999998</v>
      </c>
      <c r="L521" s="22">
        <v>585391.81299999997</v>
      </c>
      <c r="M521" s="6">
        <v>26.297000000000001</v>
      </c>
      <c r="N521" s="11">
        <v>4.33</v>
      </c>
      <c r="O521" s="11">
        <v>4.42</v>
      </c>
      <c r="P521" s="11">
        <f t="shared" si="16"/>
        <v>8.9999999999999858E-2</v>
      </c>
      <c r="Q521" s="11">
        <f t="shared" si="17"/>
        <v>0.34200000000000003</v>
      </c>
      <c r="R521" s="11">
        <v>0.89500000000000002</v>
      </c>
    </row>
    <row r="522" spans="2:18" ht="16" x14ac:dyDescent="0.3">
      <c r="B522" s="4">
        <v>516</v>
      </c>
      <c r="C522" s="4" t="s">
        <v>3685</v>
      </c>
      <c r="D522" s="5" t="s">
        <v>3284</v>
      </c>
      <c r="E522" s="4">
        <v>300</v>
      </c>
      <c r="F522" s="5" t="s">
        <v>3285</v>
      </c>
      <c r="G522" s="4" t="s">
        <v>1987</v>
      </c>
      <c r="H522" s="4" t="s">
        <v>1984</v>
      </c>
      <c r="I522" s="22">
        <v>2305301.9730000002</v>
      </c>
      <c r="J522" s="22">
        <v>585347.571</v>
      </c>
      <c r="K522" s="22">
        <v>2305316.605</v>
      </c>
      <c r="L522" s="22">
        <v>585369.39099999995</v>
      </c>
      <c r="M522" s="6">
        <v>26.271000000000001</v>
      </c>
      <c r="N522" s="11">
        <v>4.24</v>
      </c>
      <c r="O522" s="11">
        <v>4.33</v>
      </c>
      <c r="P522" s="11">
        <f t="shared" si="16"/>
        <v>8.9999999999999858E-2</v>
      </c>
      <c r="Q522" s="11">
        <f t="shared" si="17"/>
        <v>0.34300000000000003</v>
      </c>
      <c r="R522" s="11">
        <v>0.98499999999999999</v>
      </c>
    </row>
    <row r="523" spans="2:18" ht="16" x14ac:dyDescent="0.3">
      <c r="B523" s="4">
        <v>517</v>
      </c>
      <c r="C523" s="4" t="s">
        <v>3686</v>
      </c>
      <c r="D523" s="5" t="s">
        <v>3284</v>
      </c>
      <c r="E523" s="4">
        <v>300</v>
      </c>
      <c r="F523" s="5" t="s">
        <v>3285</v>
      </c>
      <c r="G523" s="4" t="s">
        <v>1990</v>
      </c>
      <c r="H523" s="4" t="s">
        <v>1987</v>
      </c>
      <c r="I523" s="22">
        <v>2305291.9339999999</v>
      </c>
      <c r="J523" s="22">
        <v>585332.61399999994</v>
      </c>
      <c r="K523" s="22">
        <v>2305301.577</v>
      </c>
      <c r="L523" s="22">
        <v>585346.99399999995</v>
      </c>
      <c r="M523" s="6">
        <v>17.314</v>
      </c>
      <c r="N523" s="11">
        <v>4.18</v>
      </c>
      <c r="O523" s="11">
        <v>4.24</v>
      </c>
      <c r="P523" s="11">
        <f t="shared" si="16"/>
        <v>6.0000000000000497E-2</v>
      </c>
      <c r="Q523" s="11">
        <f t="shared" si="17"/>
        <v>0.34699999999999998</v>
      </c>
      <c r="R523" s="11">
        <v>1.06</v>
      </c>
    </row>
    <row r="524" spans="2:18" ht="16" x14ac:dyDescent="0.3">
      <c r="B524" s="4">
        <v>518</v>
      </c>
      <c r="C524" s="4" t="s">
        <v>3687</v>
      </c>
      <c r="D524" s="5" t="s">
        <v>3284</v>
      </c>
      <c r="E524" s="4">
        <v>300</v>
      </c>
      <c r="F524" s="5" t="s">
        <v>3285</v>
      </c>
      <c r="G524" s="4" t="s">
        <v>336</v>
      </c>
      <c r="H524" s="4" t="s">
        <v>1990</v>
      </c>
      <c r="I524" s="22">
        <v>2305281.9249999998</v>
      </c>
      <c r="J524" s="22">
        <v>585318.15899999999</v>
      </c>
      <c r="K524" s="22">
        <v>2305291.551</v>
      </c>
      <c r="L524" s="22">
        <v>585332.02800000005</v>
      </c>
      <c r="M524" s="6">
        <v>16.881</v>
      </c>
      <c r="N524" s="11">
        <v>1.72</v>
      </c>
      <c r="O524" s="11">
        <v>4.18</v>
      </c>
      <c r="P524" s="11">
        <f t="shared" si="16"/>
        <v>2.46</v>
      </c>
      <c r="Q524" s="11">
        <f t="shared" si="17"/>
        <v>14.573</v>
      </c>
      <c r="R524" s="11">
        <v>2.3199999999999998</v>
      </c>
    </row>
    <row r="525" spans="2:18" ht="16" x14ac:dyDescent="0.3">
      <c r="B525" s="4">
        <v>519</v>
      </c>
      <c r="C525" s="4" t="s">
        <v>3688</v>
      </c>
      <c r="D525" s="5" t="s">
        <v>3284</v>
      </c>
      <c r="E525" s="4">
        <v>300</v>
      </c>
      <c r="F525" s="5" t="s">
        <v>3285</v>
      </c>
      <c r="G525" s="4" t="s">
        <v>1972</v>
      </c>
      <c r="H525" s="4" t="s">
        <v>836</v>
      </c>
      <c r="I525" s="22">
        <v>2305348.0499999998</v>
      </c>
      <c r="J525" s="22">
        <v>585349.19200000004</v>
      </c>
      <c r="K525" s="22">
        <v>2305362.699</v>
      </c>
      <c r="L525" s="22">
        <v>585371.01899999997</v>
      </c>
      <c r="M525" s="6">
        <v>26.286999999999999</v>
      </c>
      <c r="N525" s="11">
        <v>4.33</v>
      </c>
      <c r="O525" s="11">
        <v>4.42</v>
      </c>
      <c r="P525" s="11">
        <f t="shared" si="16"/>
        <v>8.9999999999999858E-2</v>
      </c>
      <c r="Q525" s="11">
        <f t="shared" si="17"/>
        <v>0.34200000000000003</v>
      </c>
      <c r="R525" s="11">
        <v>0.89500000000000002</v>
      </c>
    </row>
    <row r="526" spans="2:18" ht="16" x14ac:dyDescent="0.3">
      <c r="B526" s="4">
        <v>520</v>
      </c>
      <c r="C526" s="4" t="s">
        <v>3689</v>
      </c>
      <c r="D526" s="5" t="s">
        <v>3284</v>
      </c>
      <c r="E526" s="4">
        <v>300</v>
      </c>
      <c r="F526" s="5" t="s">
        <v>3285</v>
      </c>
      <c r="G526" s="4" t="s">
        <v>1975</v>
      </c>
      <c r="H526" s="4" t="s">
        <v>1972</v>
      </c>
      <c r="I526" s="22">
        <v>2305333.0120000001</v>
      </c>
      <c r="J526" s="22">
        <v>585326.76899999997</v>
      </c>
      <c r="K526" s="22">
        <v>2305347.6680000001</v>
      </c>
      <c r="L526" s="22">
        <v>585348.60499999998</v>
      </c>
      <c r="M526" s="6">
        <v>26.298999999999999</v>
      </c>
      <c r="N526" s="11">
        <v>4.24</v>
      </c>
      <c r="O526" s="11">
        <v>4.33</v>
      </c>
      <c r="P526" s="11">
        <f t="shared" si="16"/>
        <v>8.9999999999999858E-2</v>
      </c>
      <c r="Q526" s="11">
        <f t="shared" si="17"/>
        <v>0.34200000000000003</v>
      </c>
      <c r="R526" s="11">
        <v>0.98499999999999999</v>
      </c>
    </row>
    <row r="527" spans="2:18" ht="16" x14ac:dyDescent="0.3">
      <c r="B527" s="4">
        <v>521</v>
      </c>
      <c r="C527" s="4" t="s">
        <v>3690</v>
      </c>
      <c r="D527" s="5" t="s">
        <v>3284</v>
      </c>
      <c r="E527" s="4">
        <v>300</v>
      </c>
      <c r="F527" s="5" t="s">
        <v>3285</v>
      </c>
      <c r="G527" s="4" t="s">
        <v>1978</v>
      </c>
      <c r="H527" s="4" t="s">
        <v>1975</v>
      </c>
      <c r="I527" s="22">
        <v>2305322.9679999999</v>
      </c>
      <c r="J527" s="22">
        <v>585311.79299999995</v>
      </c>
      <c r="K527" s="22">
        <v>2305332.6269999999</v>
      </c>
      <c r="L527" s="22">
        <v>585326.18400000001</v>
      </c>
      <c r="M527" s="6">
        <v>17.332000000000001</v>
      </c>
      <c r="N527" s="11">
        <v>4.18</v>
      </c>
      <c r="O527" s="11">
        <v>4.24</v>
      </c>
      <c r="P527" s="11">
        <f t="shared" si="16"/>
        <v>6.0000000000000497E-2</v>
      </c>
      <c r="Q527" s="11">
        <f t="shared" si="17"/>
        <v>0.34599999999999997</v>
      </c>
      <c r="R527" s="11">
        <v>1.06</v>
      </c>
    </row>
    <row r="528" spans="2:18" ht="16" x14ac:dyDescent="0.3">
      <c r="B528" s="4">
        <v>522</v>
      </c>
      <c r="C528" s="4" t="s">
        <v>3691</v>
      </c>
      <c r="D528" s="5" t="s">
        <v>3284</v>
      </c>
      <c r="E528" s="4">
        <v>300</v>
      </c>
      <c r="F528" s="5" t="s">
        <v>3285</v>
      </c>
      <c r="G528" s="4" t="s">
        <v>1981</v>
      </c>
      <c r="H528" s="4" t="s">
        <v>1978</v>
      </c>
      <c r="I528" s="22">
        <v>2305313.2749999999</v>
      </c>
      <c r="J528" s="22">
        <v>585297.22699999996</v>
      </c>
      <c r="K528" s="22">
        <v>2305322.5929999999</v>
      </c>
      <c r="L528" s="22">
        <v>585311.21200000006</v>
      </c>
      <c r="M528" s="6">
        <v>16.805</v>
      </c>
      <c r="N528" s="11">
        <v>1.78</v>
      </c>
      <c r="O528" s="11">
        <v>4.18</v>
      </c>
      <c r="P528" s="11">
        <f t="shared" si="16"/>
        <v>2.3999999999999995</v>
      </c>
      <c r="Q528" s="11">
        <f t="shared" si="17"/>
        <v>14.281000000000001</v>
      </c>
      <c r="R528" s="11">
        <v>2.29</v>
      </c>
    </row>
    <row r="529" spans="2:18" ht="16" x14ac:dyDescent="0.3">
      <c r="B529" s="4">
        <v>523</v>
      </c>
      <c r="C529" s="4" t="s">
        <v>3692</v>
      </c>
      <c r="D529" s="5" t="s">
        <v>3284</v>
      </c>
      <c r="E529" s="4">
        <v>300</v>
      </c>
      <c r="F529" s="5" t="s">
        <v>3285</v>
      </c>
      <c r="G529" s="4" t="s">
        <v>1963</v>
      </c>
      <c r="H529" s="4" t="s">
        <v>833</v>
      </c>
      <c r="I529" s="22">
        <v>2305357.7570000002</v>
      </c>
      <c r="J529" s="22">
        <v>585342.65599999996</v>
      </c>
      <c r="K529" s="22">
        <v>2305372.39</v>
      </c>
      <c r="L529" s="22">
        <v>585364.52599999995</v>
      </c>
      <c r="M529" s="6">
        <v>26.314</v>
      </c>
      <c r="N529" s="11">
        <v>4.33</v>
      </c>
      <c r="O529" s="11">
        <v>4.42</v>
      </c>
      <c r="P529" s="11">
        <f t="shared" si="16"/>
        <v>8.9999999999999858E-2</v>
      </c>
      <c r="Q529" s="11">
        <f t="shared" si="17"/>
        <v>0.34200000000000003</v>
      </c>
      <c r="R529" s="11">
        <v>0.89500000000000002</v>
      </c>
    </row>
    <row r="530" spans="2:18" ht="16" x14ac:dyDescent="0.3">
      <c r="B530" s="4">
        <v>524</v>
      </c>
      <c r="C530" s="4" t="s">
        <v>3693</v>
      </c>
      <c r="D530" s="5" t="s">
        <v>3284</v>
      </c>
      <c r="E530" s="4">
        <v>300</v>
      </c>
      <c r="F530" s="5" t="s">
        <v>3285</v>
      </c>
      <c r="G530" s="4" t="s">
        <v>1966</v>
      </c>
      <c r="H530" s="4" t="s">
        <v>1963</v>
      </c>
      <c r="I530" s="22">
        <v>2305342.6579999998</v>
      </c>
      <c r="J530" s="22">
        <v>585320.28399999999</v>
      </c>
      <c r="K530" s="22">
        <v>2305357.375</v>
      </c>
      <c r="L530" s="22">
        <v>585342.08600000001</v>
      </c>
      <c r="M530" s="6">
        <v>26.305</v>
      </c>
      <c r="N530" s="11">
        <v>4.24</v>
      </c>
      <c r="O530" s="11">
        <v>4.33</v>
      </c>
      <c r="P530" s="11">
        <f t="shared" si="16"/>
        <v>8.9999999999999858E-2</v>
      </c>
      <c r="Q530" s="11">
        <f t="shared" si="17"/>
        <v>0.34200000000000003</v>
      </c>
      <c r="R530" s="11">
        <v>0.98499999999999999</v>
      </c>
    </row>
    <row r="531" spans="2:18" ht="16" x14ac:dyDescent="0.3">
      <c r="B531" s="4">
        <v>525</v>
      </c>
      <c r="C531" s="4" t="s">
        <v>3694</v>
      </c>
      <c r="D531" s="5" t="s">
        <v>3284</v>
      </c>
      <c r="E531" s="4">
        <v>300</v>
      </c>
      <c r="F531" s="5" t="s">
        <v>3285</v>
      </c>
      <c r="G531" s="4" t="s">
        <v>1969</v>
      </c>
      <c r="H531" s="4" t="s">
        <v>1966</v>
      </c>
      <c r="I531" s="22">
        <v>2305332.6379999998</v>
      </c>
      <c r="J531" s="22">
        <v>585305.31900000002</v>
      </c>
      <c r="K531" s="22">
        <v>2305342.2779999999</v>
      </c>
      <c r="L531" s="22">
        <v>585319.696</v>
      </c>
      <c r="M531" s="6">
        <v>17.309999999999999</v>
      </c>
      <c r="N531" s="11">
        <v>4.18</v>
      </c>
      <c r="O531" s="11">
        <v>4.24</v>
      </c>
      <c r="P531" s="11">
        <f t="shared" si="16"/>
        <v>6.0000000000000497E-2</v>
      </c>
      <c r="Q531" s="11">
        <f t="shared" si="17"/>
        <v>0.34699999999999998</v>
      </c>
      <c r="R531" s="11">
        <v>1.06</v>
      </c>
    </row>
    <row r="532" spans="2:18" ht="16" x14ac:dyDescent="0.3">
      <c r="B532" s="4">
        <v>526</v>
      </c>
      <c r="C532" s="4" t="s">
        <v>3695</v>
      </c>
      <c r="D532" s="5" t="s">
        <v>3284</v>
      </c>
      <c r="E532" s="4">
        <v>300</v>
      </c>
      <c r="F532" s="5" t="s">
        <v>3285</v>
      </c>
      <c r="G532" s="4" t="s">
        <v>330</v>
      </c>
      <c r="H532" s="4" t="s">
        <v>1969</v>
      </c>
      <c r="I532" s="22">
        <v>2305322.6809999999</v>
      </c>
      <c r="J532" s="22">
        <v>585290.90899999999</v>
      </c>
      <c r="K532" s="22">
        <v>2305332.2480000001</v>
      </c>
      <c r="L532" s="22">
        <v>585304.73800000001</v>
      </c>
      <c r="M532" s="6">
        <v>16.815000000000001</v>
      </c>
      <c r="N532" s="11">
        <v>1.79</v>
      </c>
      <c r="O532" s="11">
        <v>4.18</v>
      </c>
      <c r="P532" s="11">
        <f t="shared" si="16"/>
        <v>2.3899999999999997</v>
      </c>
      <c r="Q532" s="11">
        <f t="shared" si="17"/>
        <v>14.212999999999999</v>
      </c>
      <c r="R532" s="11">
        <v>2.2850000000000001</v>
      </c>
    </row>
    <row r="533" spans="2:18" ht="16" x14ac:dyDescent="0.3">
      <c r="B533" s="4">
        <v>527</v>
      </c>
      <c r="C533" s="4" t="s">
        <v>3696</v>
      </c>
      <c r="D533" s="5" t="s">
        <v>3284</v>
      </c>
      <c r="E533" s="4">
        <v>300</v>
      </c>
      <c r="F533" s="5" t="s">
        <v>3285</v>
      </c>
      <c r="G533" s="4" t="s">
        <v>1951</v>
      </c>
      <c r="H533" s="4" t="s">
        <v>830</v>
      </c>
      <c r="I533" s="22">
        <v>2305388.7429999998</v>
      </c>
      <c r="J533" s="22">
        <v>585321.87800000003</v>
      </c>
      <c r="K533" s="22">
        <v>2305403.39</v>
      </c>
      <c r="L533" s="22">
        <v>585343.72100000002</v>
      </c>
      <c r="M533" s="6">
        <v>26.3</v>
      </c>
      <c r="N533" s="11">
        <v>4.33</v>
      </c>
      <c r="O533" s="11">
        <v>4.42</v>
      </c>
      <c r="P533" s="11">
        <f t="shared" si="16"/>
        <v>8.9999999999999858E-2</v>
      </c>
      <c r="Q533" s="11">
        <f t="shared" si="17"/>
        <v>0.34200000000000003</v>
      </c>
      <c r="R533" s="11">
        <v>0.89500000000000002</v>
      </c>
    </row>
    <row r="534" spans="2:18" ht="16" x14ac:dyDescent="0.3">
      <c r="B534" s="4">
        <v>528</v>
      </c>
      <c r="C534" s="4" t="s">
        <v>3697</v>
      </c>
      <c r="D534" s="5" t="s">
        <v>3284</v>
      </c>
      <c r="E534" s="4">
        <v>300</v>
      </c>
      <c r="F534" s="5" t="s">
        <v>3285</v>
      </c>
      <c r="G534" s="4" t="s">
        <v>1954</v>
      </c>
      <c r="H534" s="4" t="s">
        <v>1951</v>
      </c>
      <c r="I534" s="22">
        <v>2305373.7050000001</v>
      </c>
      <c r="J534" s="22">
        <v>585299.45299999998</v>
      </c>
      <c r="K534" s="22">
        <v>2305388.3530000001</v>
      </c>
      <c r="L534" s="22">
        <v>585321.29599999997</v>
      </c>
      <c r="M534" s="6">
        <v>26.3</v>
      </c>
      <c r="N534" s="11">
        <v>4.24</v>
      </c>
      <c r="O534" s="11">
        <v>4.33</v>
      </c>
      <c r="P534" s="11">
        <f t="shared" si="16"/>
        <v>8.9999999999999858E-2</v>
      </c>
      <c r="Q534" s="11">
        <f t="shared" si="17"/>
        <v>0.34200000000000003</v>
      </c>
      <c r="R534" s="11">
        <v>0.98499999999999999</v>
      </c>
    </row>
    <row r="535" spans="2:18" ht="16" x14ac:dyDescent="0.3">
      <c r="B535" s="4">
        <v>529</v>
      </c>
      <c r="C535" s="4" t="s">
        <v>3698</v>
      </c>
      <c r="D535" s="5" t="s">
        <v>3284</v>
      </c>
      <c r="E535" s="4">
        <v>300</v>
      </c>
      <c r="F535" s="5" t="s">
        <v>3285</v>
      </c>
      <c r="G535" s="4" t="s">
        <v>1957</v>
      </c>
      <c r="H535" s="4" t="s">
        <v>1954</v>
      </c>
      <c r="I535" s="22">
        <v>2305363.6800000002</v>
      </c>
      <c r="J535" s="22">
        <v>585284.50300000003</v>
      </c>
      <c r="K535" s="22">
        <v>2305373.33</v>
      </c>
      <c r="L535" s="22">
        <v>585298.89399999997</v>
      </c>
      <c r="M535" s="6">
        <v>17.327000000000002</v>
      </c>
      <c r="N535" s="11">
        <v>4.18</v>
      </c>
      <c r="O535" s="11">
        <v>4.24</v>
      </c>
      <c r="P535" s="11">
        <f t="shared" si="16"/>
        <v>6.0000000000000497E-2</v>
      </c>
      <c r="Q535" s="11">
        <f t="shared" si="17"/>
        <v>0.34599999999999997</v>
      </c>
      <c r="R535" s="11">
        <v>1.06</v>
      </c>
    </row>
    <row r="536" spans="2:18" ht="16" x14ac:dyDescent="0.3">
      <c r="B536" s="4">
        <v>530</v>
      </c>
      <c r="C536" s="4" t="s">
        <v>3699</v>
      </c>
      <c r="D536" s="5" t="s">
        <v>3284</v>
      </c>
      <c r="E536" s="4">
        <v>300</v>
      </c>
      <c r="F536" s="5" t="s">
        <v>3285</v>
      </c>
      <c r="G536" s="4" t="s">
        <v>1960</v>
      </c>
      <c r="H536" s="4" t="s">
        <v>1957</v>
      </c>
      <c r="I536" s="22">
        <v>2305354.0260000001</v>
      </c>
      <c r="J536" s="22">
        <v>585269.81799999997</v>
      </c>
      <c r="K536" s="22">
        <v>2305363.29</v>
      </c>
      <c r="L536" s="22">
        <v>585283.92200000002</v>
      </c>
      <c r="M536" s="6">
        <v>16.873999999999999</v>
      </c>
      <c r="N536" s="11">
        <v>1.85</v>
      </c>
      <c r="O536" s="11">
        <v>4.18</v>
      </c>
      <c r="P536" s="11">
        <f t="shared" si="16"/>
        <v>2.3299999999999996</v>
      </c>
      <c r="Q536" s="11">
        <f t="shared" si="17"/>
        <v>13.808</v>
      </c>
      <c r="R536" s="11">
        <v>2.2549999999999999</v>
      </c>
    </row>
    <row r="537" spans="2:18" ht="16" x14ac:dyDescent="0.3">
      <c r="B537" s="4">
        <v>531</v>
      </c>
      <c r="C537" s="4" t="s">
        <v>3700</v>
      </c>
      <c r="D537" s="5" t="s">
        <v>3284</v>
      </c>
      <c r="E537" s="4">
        <v>300</v>
      </c>
      <c r="F537" s="5" t="s">
        <v>3285</v>
      </c>
      <c r="G537" s="4" t="s">
        <v>1942</v>
      </c>
      <c r="H537" s="4" t="s">
        <v>854</v>
      </c>
      <c r="I537" s="22">
        <v>2305404.523</v>
      </c>
      <c r="J537" s="22">
        <v>585324.54</v>
      </c>
      <c r="K537" s="22">
        <v>2305418.057</v>
      </c>
      <c r="L537" s="22">
        <v>585344.72199999995</v>
      </c>
      <c r="M537" s="6">
        <v>24.3</v>
      </c>
      <c r="N537" s="11">
        <v>4.34</v>
      </c>
      <c r="O537" s="11">
        <v>4.42</v>
      </c>
      <c r="P537" s="11">
        <f t="shared" si="16"/>
        <v>8.0000000000000071E-2</v>
      </c>
      <c r="Q537" s="11">
        <f t="shared" si="17"/>
        <v>0.32900000000000001</v>
      </c>
      <c r="R537" s="11">
        <v>0.89</v>
      </c>
    </row>
    <row r="538" spans="2:18" ht="16" x14ac:dyDescent="0.3">
      <c r="B538" s="4">
        <v>532</v>
      </c>
      <c r="C538" s="4" t="s">
        <v>3701</v>
      </c>
      <c r="D538" s="5" t="s">
        <v>3284</v>
      </c>
      <c r="E538" s="4">
        <v>300</v>
      </c>
      <c r="F538" s="5" t="s">
        <v>3285</v>
      </c>
      <c r="G538" s="4" t="s">
        <v>1945</v>
      </c>
      <c r="H538" s="4" t="s">
        <v>1942</v>
      </c>
      <c r="I538" s="22">
        <v>2305390.108</v>
      </c>
      <c r="J538" s="22">
        <v>585302.89300000004</v>
      </c>
      <c r="K538" s="22">
        <v>2305404.1340000001</v>
      </c>
      <c r="L538" s="22">
        <v>585323.95799999998</v>
      </c>
      <c r="M538" s="6">
        <v>25.306999999999999</v>
      </c>
      <c r="N538" s="11">
        <v>4.26</v>
      </c>
      <c r="O538" s="11">
        <v>4.34</v>
      </c>
      <c r="P538" s="11">
        <f t="shared" si="16"/>
        <v>8.0000000000000071E-2</v>
      </c>
      <c r="Q538" s="11">
        <f t="shared" si="17"/>
        <v>0.316</v>
      </c>
      <c r="R538" s="11">
        <v>0.97</v>
      </c>
    </row>
    <row r="539" spans="2:18" ht="16" x14ac:dyDescent="0.3">
      <c r="B539" s="4">
        <v>533</v>
      </c>
      <c r="C539" s="4" t="s">
        <v>3702</v>
      </c>
      <c r="D539" s="5" t="s">
        <v>3284</v>
      </c>
      <c r="E539" s="4">
        <v>300</v>
      </c>
      <c r="F539" s="5" t="s">
        <v>3285</v>
      </c>
      <c r="G539" s="4" t="s">
        <v>1948</v>
      </c>
      <c r="H539" s="4" t="s">
        <v>1945</v>
      </c>
      <c r="I539" s="22">
        <v>2305376.1189999999</v>
      </c>
      <c r="J539" s="22">
        <v>585282.18200000003</v>
      </c>
      <c r="K539" s="22">
        <v>2305389.7220000001</v>
      </c>
      <c r="L539" s="22">
        <v>585302.30900000001</v>
      </c>
      <c r="M539" s="6">
        <v>24.292999999999999</v>
      </c>
      <c r="N539" s="11">
        <v>4.17</v>
      </c>
      <c r="O539" s="11">
        <v>4.26</v>
      </c>
      <c r="P539" s="11">
        <f t="shared" si="16"/>
        <v>8.9999999999999858E-2</v>
      </c>
      <c r="Q539" s="11">
        <f t="shared" si="17"/>
        <v>0.37</v>
      </c>
      <c r="R539" s="11">
        <v>1.0549999999999999</v>
      </c>
    </row>
    <row r="540" spans="2:18" ht="16" x14ac:dyDescent="0.3">
      <c r="B540" s="4">
        <v>534</v>
      </c>
      <c r="C540" s="4" t="s">
        <v>3703</v>
      </c>
      <c r="D540" s="5" t="s">
        <v>3284</v>
      </c>
      <c r="E540" s="4">
        <v>300</v>
      </c>
      <c r="F540" s="5" t="s">
        <v>3285</v>
      </c>
      <c r="G540" s="4" t="s">
        <v>324</v>
      </c>
      <c r="H540" s="4" t="s">
        <v>1948</v>
      </c>
      <c r="I540" s="22">
        <v>2305363.2220000001</v>
      </c>
      <c r="J540" s="22">
        <v>585263.64099999995</v>
      </c>
      <c r="K540" s="22">
        <v>2305375.7289999998</v>
      </c>
      <c r="L540" s="22">
        <v>585281.6</v>
      </c>
      <c r="M540" s="6">
        <v>21.885000000000002</v>
      </c>
      <c r="N540" s="11">
        <v>1.86</v>
      </c>
      <c r="O540" s="11">
        <v>4.17</v>
      </c>
      <c r="P540" s="11">
        <f t="shared" si="16"/>
        <v>2.3099999999999996</v>
      </c>
      <c r="Q540" s="11">
        <f t="shared" si="17"/>
        <v>10.555</v>
      </c>
      <c r="R540" s="11">
        <v>2.2549999999999999</v>
      </c>
    </row>
    <row r="541" spans="2:18" ht="16" x14ac:dyDescent="0.3">
      <c r="B541" s="4">
        <v>535</v>
      </c>
      <c r="C541" s="4" t="s">
        <v>3704</v>
      </c>
      <c r="D541" s="5" t="s">
        <v>3284</v>
      </c>
      <c r="E541" s="4">
        <v>300</v>
      </c>
      <c r="F541" s="5" t="s">
        <v>3285</v>
      </c>
      <c r="G541" s="4" t="s">
        <v>1894</v>
      </c>
      <c r="H541" s="4" t="s">
        <v>818</v>
      </c>
      <c r="I541" s="22">
        <v>2305380.031</v>
      </c>
      <c r="J541" s="22">
        <v>585484.84400000004</v>
      </c>
      <c r="K541" s="22">
        <v>2305394.8450000002</v>
      </c>
      <c r="L541" s="22">
        <v>585506.93900000001</v>
      </c>
      <c r="M541" s="6">
        <v>26.602</v>
      </c>
      <c r="N541" s="11">
        <v>4.33</v>
      </c>
      <c r="O541" s="11">
        <v>4.42</v>
      </c>
      <c r="P541" s="11">
        <f t="shared" si="16"/>
        <v>8.9999999999999858E-2</v>
      </c>
      <c r="Q541" s="11">
        <f t="shared" si="17"/>
        <v>0.33800000000000002</v>
      </c>
      <c r="R541" s="11">
        <v>0.89500000000000002</v>
      </c>
    </row>
    <row r="542" spans="2:18" ht="16" x14ac:dyDescent="0.3">
      <c r="B542" s="4">
        <v>536</v>
      </c>
      <c r="C542" s="4" t="s">
        <v>3705</v>
      </c>
      <c r="D542" s="5" t="s">
        <v>3284</v>
      </c>
      <c r="E542" s="4">
        <v>300</v>
      </c>
      <c r="F542" s="5" t="s">
        <v>3285</v>
      </c>
      <c r="G542" s="4" t="s">
        <v>1897</v>
      </c>
      <c r="H542" s="4" t="s">
        <v>1894</v>
      </c>
      <c r="I542" s="22">
        <v>2305365.0010000002</v>
      </c>
      <c r="J542" s="22">
        <v>585462.41700000002</v>
      </c>
      <c r="K542" s="22">
        <v>2305379.6469999999</v>
      </c>
      <c r="L542" s="22">
        <v>585484.25899999996</v>
      </c>
      <c r="M542" s="6">
        <v>26.297999999999998</v>
      </c>
      <c r="N542" s="11">
        <v>4.24</v>
      </c>
      <c r="O542" s="11">
        <v>4.33</v>
      </c>
      <c r="P542" s="11">
        <f t="shared" si="16"/>
        <v>8.9999999999999858E-2</v>
      </c>
      <c r="Q542" s="11">
        <f t="shared" si="17"/>
        <v>0.34200000000000003</v>
      </c>
      <c r="R542" s="11">
        <v>0.98499999999999999</v>
      </c>
    </row>
    <row r="543" spans="2:18" ht="16" x14ac:dyDescent="0.3">
      <c r="B543" s="4">
        <v>537</v>
      </c>
      <c r="C543" s="4" t="s">
        <v>3706</v>
      </c>
      <c r="D543" s="5" t="s">
        <v>3284</v>
      </c>
      <c r="E543" s="4">
        <v>300</v>
      </c>
      <c r="F543" s="5" t="s">
        <v>3285</v>
      </c>
      <c r="G543" s="4" t="s">
        <v>1900</v>
      </c>
      <c r="H543" s="4" t="s">
        <v>1897</v>
      </c>
      <c r="I543" s="22">
        <v>2305354.9759999998</v>
      </c>
      <c r="J543" s="22">
        <v>585447.46699999995</v>
      </c>
      <c r="K543" s="22">
        <v>2305364.6129999999</v>
      </c>
      <c r="L543" s="22">
        <v>585461.83499999996</v>
      </c>
      <c r="M543" s="6">
        <v>17.3</v>
      </c>
      <c r="N543" s="11">
        <v>4.18</v>
      </c>
      <c r="O543" s="11">
        <v>4.24</v>
      </c>
      <c r="P543" s="11">
        <f t="shared" si="16"/>
        <v>6.0000000000000497E-2</v>
      </c>
      <c r="Q543" s="11">
        <f t="shared" si="17"/>
        <v>0.34699999999999998</v>
      </c>
      <c r="R543" s="11">
        <v>1.06</v>
      </c>
    </row>
    <row r="544" spans="2:18" ht="16" x14ac:dyDescent="0.3">
      <c r="B544" s="4">
        <v>538</v>
      </c>
      <c r="C544" s="4" t="s">
        <v>3707</v>
      </c>
      <c r="D544" s="5" t="s">
        <v>3284</v>
      </c>
      <c r="E544" s="4">
        <v>300</v>
      </c>
      <c r="F544" s="5" t="s">
        <v>3285</v>
      </c>
      <c r="G544" s="4" t="s">
        <v>3105</v>
      </c>
      <c r="H544" s="4" t="s">
        <v>1900</v>
      </c>
      <c r="I544" s="22">
        <v>2305345.2140000002</v>
      </c>
      <c r="J544" s="22">
        <v>585432.80299999996</v>
      </c>
      <c r="K544" s="22">
        <v>2305354.588</v>
      </c>
      <c r="L544" s="22">
        <v>585446.88500000001</v>
      </c>
      <c r="M544" s="6">
        <v>16.916</v>
      </c>
      <c r="N544" s="11">
        <v>3.66</v>
      </c>
      <c r="O544" s="11">
        <v>4.18</v>
      </c>
      <c r="P544" s="11">
        <f t="shared" si="16"/>
        <v>0.51999999999999957</v>
      </c>
      <c r="Q544" s="11">
        <f t="shared" si="17"/>
        <v>3.0739999999999998</v>
      </c>
      <c r="R544" s="11">
        <v>1.35</v>
      </c>
    </row>
    <row r="545" spans="2:18" ht="16" x14ac:dyDescent="0.3">
      <c r="B545" s="4">
        <v>539</v>
      </c>
      <c r="C545" s="4" t="s">
        <v>3708</v>
      </c>
      <c r="D545" s="5" t="s">
        <v>3284</v>
      </c>
      <c r="E545" s="4">
        <v>300</v>
      </c>
      <c r="F545" s="5" t="s">
        <v>3285</v>
      </c>
      <c r="G545" s="4" t="s">
        <v>597</v>
      </c>
      <c r="H545" s="4" t="s">
        <v>3105</v>
      </c>
      <c r="I545" s="22">
        <v>2305326.0210000002</v>
      </c>
      <c r="J545" s="22">
        <v>585437.23</v>
      </c>
      <c r="K545" s="22">
        <v>2305344.6570000001</v>
      </c>
      <c r="L545" s="22">
        <v>585431.97199999995</v>
      </c>
      <c r="M545" s="6">
        <v>22.071999999999999</v>
      </c>
      <c r="N545" s="11">
        <v>3.59</v>
      </c>
      <c r="O545" s="11">
        <v>3.66</v>
      </c>
      <c r="P545" s="11">
        <f t="shared" si="16"/>
        <v>7.0000000000000284E-2</v>
      </c>
      <c r="Q545" s="11">
        <f t="shared" si="17"/>
        <v>0.317</v>
      </c>
      <c r="R545" s="11">
        <v>1.645</v>
      </c>
    </row>
    <row r="546" spans="2:18" ht="16" x14ac:dyDescent="0.3">
      <c r="B546" s="4">
        <v>540</v>
      </c>
      <c r="C546" s="4" t="s">
        <v>3709</v>
      </c>
      <c r="D546" s="5" t="s">
        <v>3284</v>
      </c>
      <c r="E546" s="4">
        <v>300</v>
      </c>
      <c r="F546" s="5" t="s">
        <v>3285</v>
      </c>
      <c r="G546" s="4" t="s">
        <v>600</v>
      </c>
      <c r="H546" s="4" t="s">
        <v>597</v>
      </c>
      <c r="I546" s="22">
        <v>2305312.4640000002</v>
      </c>
      <c r="J546" s="22">
        <v>585451.48400000005</v>
      </c>
      <c r="K546" s="22">
        <v>2305325.19</v>
      </c>
      <c r="L546" s="22">
        <v>585437.78700000001</v>
      </c>
      <c r="M546" s="6">
        <v>20.012</v>
      </c>
      <c r="N546" s="11">
        <v>3.52</v>
      </c>
      <c r="O546" s="11">
        <v>3.59</v>
      </c>
      <c r="P546" s="11">
        <f t="shared" si="16"/>
        <v>6.999999999999984E-2</v>
      </c>
      <c r="Q546" s="11">
        <f t="shared" si="17"/>
        <v>0.35</v>
      </c>
      <c r="R546" s="11">
        <v>1.7150000000000001</v>
      </c>
    </row>
    <row r="547" spans="2:18" ht="16" x14ac:dyDescent="0.3">
      <c r="B547" s="4">
        <v>541</v>
      </c>
      <c r="C547" s="4" t="s">
        <v>3710</v>
      </c>
      <c r="D547" s="5" t="s">
        <v>3284</v>
      </c>
      <c r="E547" s="4">
        <v>300</v>
      </c>
      <c r="F547" s="5" t="s">
        <v>3285</v>
      </c>
      <c r="G547" s="4" t="s">
        <v>1909</v>
      </c>
      <c r="H547" s="4" t="s">
        <v>600</v>
      </c>
      <c r="I547" s="22">
        <v>2305323.5269999998</v>
      </c>
      <c r="J547" s="22">
        <v>585467.71299999999</v>
      </c>
      <c r="K547" s="22">
        <v>2305313.0210000002</v>
      </c>
      <c r="L547" s="22">
        <v>585452.31400000001</v>
      </c>
      <c r="M547" s="6">
        <v>18.640999999999998</v>
      </c>
      <c r="N547" s="11">
        <v>4.18</v>
      </c>
      <c r="O547" s="11">
        <v>3.52</v>
      </c>
      <c r="P547" s="11">
        <f t="shared" si="16"/>
        <v>0.6599999999999997</v>
      </c>
      <c r="Q547" s="11">
        <f t="shared" si="17"/>
        <v>3.5409999999999999</v>
      </c>
      <c r="R547" s="11">
        <v>1.42</v>
      </c>
    </row>
    <row r="548" spans="2:18" ht="16" x14ac:dyDescent="0.3">
      <c r="B548" s="4">
        <v>542</v>
      </c>
      <c r="C548" s="4" t="s">
        <v>3711</v>
      </c>
      <c r="D548" s="5" t="s">
        <v>3284</v>
      </c>
      <c r="E548" s="4">
        <v>300</v>
      </c>
      <c r="F548" s="5" t="s">
        <v>3285</v>
      </c>
      <c r="G548" s="4" t="s">
        <v>1906</v>
      </c>
      <c r="H548" s="4" t="s">
        <v>1909</v>
      </c>
      <c r="I548" s="22">
        <v>2305333.5520000001</v>
      </c>
      <c r="J548" s="22">
        <v>585482.66299999994</v>
      </c>
      <c r="K548" s="22">
        <v>2305323.9190000002</v>
      </c>
      <c r="L548" s="22">
        <v>585468.29299999995</v>
      </c>
      <c r="M548" s="6">
        <v>17.3</v>
      </c>
      <c r="N548" s="11">
        <v>4.24</v>
      </c>
      <c r="O548" s="11">
        <v>4.18</v>
      </c>
      <c r="P548" s="11">
        <f t="shared" si="16"/>
        <v>6.0000000000000497E-2</v>
      </c>
      <c r="Q548" s="11">
        <f t="shared" si="17"/>
        <v>0.34699999999999998</v>
      </c>
      <c r="R548" s="11">
        <v>1.06</v>
      </c>
    </row>
    <row r="549" spans="2:18" ht="16" x14ac:dyDescent="0.3">
      <c r="B549" s="4">
        <v>543</v>
      </c>
      <c r="C549" s="4" t="s">
        <v>3712</v>
      </c>
      <c r="D549" s="5" t="s">
        <v>3284</v>
      </c>
      <c r="E549" s="4">
        <v>300</v>
      </c>
      <c r="F549" s="5" t="s">
        <v>3285</v>
      </c>
      <c r="G549" s="4" t="s">
        <v>1903</v>
      </c>
      <c r="H549" s="4" t="s">
        <v>1906</v>
      </c>
      <c r="I549" s="22">
        <v>2305348.5959999999</v>
      </c>
      <c r="J549" s="22">
        <v>585505.08100000001</v>
      </c>
      <c r="K549" s="22">
        <v>2305333.9440000001</v>
      </c>
      <c r="L549" s="22">
        <v>585483.24300000002</v>
      </c>
      <c r="M549" s="6">
        <v>26.297999999999998</v>
      </c>
      <c r="N549" s="11">
        <v>4.33</v>
      </c>
      <c r="O549" s="11">
        <v>4.24</v>
      </c>
      <c r="P549" s="11">
        <f t="shared" si="16"/>
        <v>8.9999999999999858E-2</v>
      </c>
      <c r="Q549" s="11">
        <f t="shared" si="17"/>
        <v>0.34200000000000003</v>
      </c>
      <c r="R549" s="11">
        <v>0.98499999999999999</v>
      </c>
    </row>
    <row r="550" spans="2:18" ht="16" x14ac:dyDescent="0.3">
      <c r="B550" s="4">
        <v>544</v>
      </c>
      <c r="C550" s="4" t="s">
        <v>3713</v>
      </c>
      <c r="D550" s="5" t="s">
        <v>3284</v>
      </c>
      <c r="E550" s="4">
        <v>300</v>
      </c>
      <c r="F550" s="5" t="s">
        <v>3285</v>
      </c>
      <c r="G550" s="4" t="s">
        <v>821</v>
      </c>
      <c r="H550" s="4" t="s">
        <v>1903</v>
      </c>
      <c r="I550" s="22">
        <v>2305363.6919999998</v>
      </c>
      <c r="J550" s="22">
        <v>585527.63100000005</v>
      </c>
      <c r="K550" s="22">
        <v>2305348.986</v>
      </c>
      <c r="L550" s="22">
        <v>585505.66200000001</v>
      </c>
      <c r="M550" s="6">
        <v>26.437000000000001</v>
      </c>
      <c r="N550" s="11">
        <v>4.42</v>
      </c>
      <c r="O550" s="11">
        <v>4.33</v>
      </c>
      <c r="P550" s="11">
        <f t="shared" si="16"/>
        <v>8.9999999999999858E-2</v>
      </c>
      <c r="Q550" s="11">
        <f t="shared" si="17"/>
        <v>0.34</v>
      </c>
      <c r="R550" s="11">
        <v>0.89500000000000002</v>
      </c>
    </row>
    <row r="551" spans="2:18" ht="16" x14ac:dyDescent="0.3">
      <c r="B551" s="4">
        <v>545</v>
      </c>
      <c r="C551" s="4" t="s">
        <v>3714</v>
      </c>
      <c r="D551" s="5" t="s">
        <v>3284</v>
      </c>
      <c r="E551" s="4">
        <v>300</v>
      </c>
      <c r="F551" s="5" t="s">
        <v>3285</v>
      </c>
      <c r="G551" s="4" t="s">
        <v>1852</v>
      </c>
      <c r="H551" s="4" t="s">
        <v>806</v>
      </c>
      <c r="I551" s="22">
        <v>2305461.4249999998</v>
      </c>
      <c r="J551" s="22">
        <v>585430.26599999995</v>
      </c>
      <c r="K551" s="22">
        <v>2305476.0780000002</v>
      </c>
      <c r="L551" s="22">
        <v>585452.11899999995</v>
      </c>
      <c r="M551" s="6">
        <v>26.311</v>
      </c>
      <c r="N551" s="11">
        <v>4.33</v>
      </c>
      <c r="O551" s="11">
        <v>4.42</v>
      </c>
      <c r="P551" s="11">
        <f t="shared" si="16"/>
        <v>8.9999999999999858E-2</v>
      </c>
      <c r="Q551" s="11">
        <f t="shared" si="17"/>
        <v>0.34200000000000003</v>
      </c>
      <c r="R551" s="11">
        <v>0.89500000000000002</v>
      </c>
    </row>
    <row r="552" spans="2:18" ht="16" x14ac:dyDescent="0.3">
      <c r="B552" s="4">
        <v>546</v>
      </c>
      <c r="C552" s="4" t="s">
        <v>3715</v>
      </c>
      <c r="D552" s="5" t="s">
        <v>3284</v>
      </c>
      <c r="E552" s="4">
        <v>300</v>
      </c>
      <c r="F552" s="5" t="s">
        <v>3285</v>
      </c>
      <c r="G552" s="4" t="s">
        <v>1855</v>
      </c>
      <c r="H552" s="4" t="s">
        <v>1852</v>
      </c>
      <c r="I552" s="22">
        <v>2305446.395</v>
      </c>
      <c r="J552" s="22">
        <v>585407.83700000006</v>
      </c>
      <c r="K552" s="22">
        <v>2305461.0249999999</v>
      </c>
      <c r="L552" s="22">
        <v>585429.69099999999</v>
      </c>
      <c r="M552" s="6">
        <v>26.298999999999999</v>
      </c>
      <c r="N552" s="11">
        <v>4.24</v>
      </c>
      <c r="O552" s="11">
        <v>4.33</v>
      </c>
      <c r="P552" s="11">
        <f t="shared" si="16"/>
        <v>8.9999999999999858E-2</v>
      </c>
      <c r="Q552" s="11">
        <f t="shared" si="17"/>
        <v>0.34200000000000003</v>
      </c>
      <c r="R552" s="11">
        <v>0.98499999999999999</v>
      </c>
    </row>
    <row r="553" spans="2:18" ht="16" x14ac:dyDescent="0.3">
      <c r="B553" s="4">
        <v>547</v>
      </c>
      <c r="C553" s="4" t="s">
        <v>3716</v>
      </c>
      <c r="D553" s="5" t="s">
        <v>3284</v>
      </c>
      <c r="E553" s="4">
        <v>300</v>
      </c>
      <c r="F553" s="5" t="s">
        <v>3285</v>
      </c>
      <c r="G553" s="4" t="s">
        <v>1858</v>
      </c>
      <c r="H553" s="4" t="s">
        <v>1855</v>
      </c>
      <c r="I553" s="22">
        <v>2305436.37</v>
      </c>
      <c r="J553" s="22">
        <v>585392.88699999999</v>
      </c>
      <c r="K553" s="22">
        <v>2305446.0070000002</v>
      </c>
      <c r="L553" s="22">
        <v>585407.25399999996</v>
      </c>
      <c r="M553" s="6">
        <v>17.3</v>
      </c>
      <c r="N553" s="11">
        <v>4.18</v>
      </c>
      <c r="O553" s="11">
        <v>4.24</v>
      </c>
      <c r="P553" s="11">
        <f t="shared" si="16"/>
        <v>6.0000000000000497E-2</v>
      </c>
      <c r="Q553" s="11">
        <f t="shared" si="17"/>
        <v>0.34699999999999998</v>
      </c>
      <c r="R553" s="11">
        <v>1.06</v>
      </c>
    </row>
    <row r="554" spans="2:18" ht="16" x14ac:dyDescent="0.3">
      <c r="B554" s="4">
        <v>548</v>
      </c>
      <c r="C554" s="4" t="s">
        <v>3717</v>
      </c>
      <c r="D554" s="5" t="s">
        <v>3284</v>
      </c>
      <c r="E554" s="4">
        <v>300</v>
      </c>
      <c r="F554" s="5" t="s">
        <v>3285</v>
      </c>
      <c r="G554" s="4" t="s">
        <v>1861</v>
      </c>
      <c r="H554" s="4" t="s">
        <v>1858</v>
      </c>
      <c r="I554" s="22">
        <v>2305426.7409999999</v>
      </c>
      <c r="J554" s="22">
        <v>585378.34600000002</v>
      </c>
      <c r="K554" s="22">
        <v>2305435.9819999998</v>
      </c>
      <c r="L554" s="22">
        <v>585392.304</v>
      </c>
      <c r="M554" s="6">
        <v>16.739999999999998</v>
      </c>
      <c r="N554" s="11">
        <v>4</v>
      </c>
      <c r="O554" s="11">
        <v>4.18</v>
      </c>
      <c r="P554" s="11">
        <f t="shared" si="16"/>
        <v>0.17999999999999972</v>
      </c>
      <c r="Q554" s="11">
        <f t="shared" si="17"/>
        <v>1.075</v>
      </c>
      <c r="R554" s="11">
        <v>1.18</v>
      </c>
    </row>
    <row r="555" spans="2:18" ht="16" x14ac:dyDescent="0.3">
      <c r="B555" s="4">
        <v>549</v>
      </c>
      <c r="C555" s="4" t="s">
        <v>3718</v>
      </c>
      <c r="D555" s="5" t="s">
        <v>3284</v>
      </c>
      <c r="E555" s="4">
        <v>300</v>
      </c>
      <c r="F555" s="5" t="s">
        <v>3285</v>
      </c>
      <c r="G555" s="4" t="s">
        <v>585</v>
      </c>
      <c r="H555" s="4" t="s">
        <v>1861</v>
      </c>
      <c r="I555" s="22">
        <v>2305407</v>
      </c>
      <c r="J555" s="22">
        <v>585382.65899999999</v>
      </c>
      <c r="K555" s="22">
        <v>2305426.1839999999</v>
      </c>
      <c r="L555" s="22">
        <v>585377.51500000001</v>
      </c>
      <c r="M555" s="6">
        <v>22.542999999999999</v>
      </c>
      <c r="N555" s="11">
        <v>3.93</v>
      </c>
      <c r="O555" s="11">
        <v>4</v>
      </c>
      <c r="P555" s="11">
        <f t="shared" si="16"/>
        <v>6.999999999999984E-2</v>
      </c>
      <c r="Q555" s="11">
        <f t="shared" si="17"/>
        <v>0.311</v>
      </c>
      <c r="R555" s="11">
        <v>1.3049999999999999</v>
      </c>
    </row>
    <row r="556" spans="2:18" ht="16" x14ac:dyDescent="0.3">
      <c r="B556" s="4">
        <v>550</v>
      </c>
      <c r="C556" s="4" t="s">
        <v>3719</v>
      </c>
      <c r="D556" s="5" t="s">
        <v>3284</v>
      </c>
      <c r="E556" s="4">
        <v>300</v>
      </c>
      <c r="F556" s="5" t="s">
        <v>3285</v>
      </c>
      <c r="G556" s="4" t="s">
        <v>588</v>
      </c>
      <c r="H556" s="4" t="s">
        <v>585</v>
      </c>
      <c r="I556" s="22">
        <v>2305394.0649999999</v>
      </c>
      <c r="J556" s="22">
        <v>585397.21299999999</v>
      </c>
      <c r="K556" s="22">
        <v>2305407</v>
      </c>
      <c r="L556" s="22">
        <v>585382.65899999999</v>
      </c>
      <c r="M556" s="6">
        <v>21.010999999999999</v>
      </c>
      <c r="N556" s="11">
        <v>3.87</v>
      </c>
      <c r="O556" s="11">
        <v>3.93</v>
      </c>
      <c r="P556" s="11">
        <f t="shared" si="16"/>
        <v>6.0000000000000053E-2</v>
      </c>
      <c r="Q556" s="11">
        <f t="shared" si="17"/>
        <v>0.28599999999999998</v>
      </c>
      <c r="R556" s="11">
        <v>1.37</v>
      </c>
    </row>
    <row r="557" spans="2:18" ht="16" x14ac:dyDescent="0.3">
      <c r="B557" s="4">
        <v>551</v>
      </c>
      <c r="C557" s="4" t="s">
        <v>3720</v>
      </c>
      <c r="D557" s="5" t="s">
        <v>3284</v>
      </c>
      <c r="E557" s="4">
        <v>300</v>
      </c>
      <c r="F557" s="5" t="s">
        <v>3285</v>
      </c>
      <c r="G557" s="4" t="s">
        <v>1870</v>
      </c>
      <c r="H557" s="4" t="s">
        <v>588</v>
      </c>
      <c r="I557" s="22">
        <v>2305404.7880000002</v>
      </c>
      <c r="J557" s="22">
        <v>585413.223</v>
      </c>
      <c r="K557" s="22">
        <v>2305394.622</v>
      </c>
      <c r="L557" s="22">
        <v>585398.04399999999</v>
      </c>
      <c r="M557" s="6">
        <v>18.268999999999998</v>
      </c>
      <c r="N557" s="11">
        <v>4.18</v>
      </c>
      <c r="O557" s="11">
        <v>3.87</v>
      </c>
      <c r="P557" s="11">
        <f t="shared" si="16"/>
        <v>0.30999999999999961</v>
      </c>
      <c r="Q557" s="11">
        <f t="shared" si="17"/>
        <v>1.6970000000000001</v>
      </c>
      <c r="R557" s="11">
        <v>1.2450000000000001</v>
      </c>
    </row>
    <row r="558" spans="2:18" ht="16" x14ac:dyDescent="0.3">
      <c r="B558" s="4">
        <v>552</v>
      </c>
      <c r="C558" s="4" t="s">
        <v>3721</v>
      </c>
      <c r="D558" s="5" t="s">
        <v>3284</v>
      </c>
      <c r="E558" s="4">
        <v>300</v>
      </c>
      <c r="F558" s="5" t="s">
        <v>3285</v>
      </c>
      <c r="G558" s="4" t="s">
        <v>1867</v>
      </c>
      <c r="H558" s="4" t="s">
        <v>1870</v>
      </c>
      <c r="I558" s="22">
        <v>2305414.946</v>
      </c>
      <c r="J558" s="22">
        <v>585428.08299999998</v>
      </c>
      <c r="K558" s="22">
        <v>2305405.3480000002</v>
      </c>
      <c r="L558" s="22">
        <v>585414.05099999998</v>
      </c>
      <c r="M558" s="6">
        <v>17</v>
      </c>
      <c r="N558" s="11">
        <v>4.24</v>
      </c>
      <c r="O558" s="11">
        <v>4.18</v>
      </c>
      <c r="P558" s="11">
        <f t="shared" si="16"/>
        <v>6.0000000000000497E-2</v>
      </c>
      <c r="Q558" s="11">
        <f t="shared" si="17"/>
        <v>0.35299999999999998</v>
      </c>
      <c r="R558" s="11">
        <v>1.06</v>
      </c>
    </row>
    <row r="559" spans="2:18" ht="16" x14ac:dyDescent="0.3">
      <c r="B559" s="4">
        <v>553</v>
      </c>
      <c r="C559" s="4" t="s">
        <v>3722</v>
      </c>
      <c r="D559" s="5" t="s">
        <v>3284</v>
      </c>
      <c r="E559" s="4">
        <v>300</v>
      </c>
      <c r="F559" s="5" t="s">
        <v>3285</v>
      </c>
      <c r="G559" s="4" t="s">
        <v>1864</v>
      </c>
      <c r="H559" s="4" t="s">
        <v>1867</v>
      </c>
      <c r="I559" s="22">
        <v>2305429.9840000002</v>
      </c>
      <c r="J559" s="22">
        <v>585450.505</v>
      </c>
      <c r="K559" s="22">
        <v>2305415.338</v>
      </c>
      <c r="L559" s="22">
        <v>585428.66299999994</v>
      </c>
      <c r="M559" s="6">
        <v>26.297000000000001</v>
      </c>
      <c r="N559" s="11">
        <v>4.33</v>
      </c>
      <c r="O559" s="11">
        <v>4.24</v>
      </c>
      <c r="P559" s="11">
        <f t="shared" si="16"/>
        <v>8.9999999999999858E-2</v>
      </c>
      <c r="Q559" s="11">
        <f t="shared" si="17"/>
        <v>0.34200000000000003</v>
      </c>
      <c r="R559" s="11">
        <v>0.98499999999999999</v>
      </c>
    </row>
    <row r="560" spans="2:18" ht="16" x14ac:dyDescent="0.3">
      <c r="B560" s="4">
        <v>554</v>
      </c>
      <c r="C560" s="4" t="s">
        <v>3723</v>
      </c>
      <c r="D560" s="5" t="s">
        <v>3284</v>
      </c>
      <c r="E560" s="4">
        <v>300</v>
      </c>
      <c r="F560" s="5" t="s">
        <v>3285</v>
      </c>
      <c r="G560" s="4" t="s">
        <v>809</v>
      </c>
      <c r="H560" s="4" t="s">
        <v>1864</v>
      </c>
      <c r="I560" s="22">
        <v>2305445.0499999998</v>
      </c>
      <c r="J560" s="22">
        <v>585472.95700000005</v>
      </c>
      <c r="K560" s="22">
        <v>2305430.3810000001</v>
      </c>
      <c r="L560" s="22">
        <v>585451.08100000001</v>
      </c>
      <c r="M560" s="6">
        <v>26.338999999999999</v>
      </c>
      <c r="N560" s="11">
        <v>4.42</v>
      </c>
      <c r="O560" s="11">
        <v>4.33</v>
      </c>
      <c r="P560" s="11">
        <f t="shared" si="16"/>
        <v>8.9999999999999858E-2</v>
      </c>
      <c r="Q560" s="11">
        <f t="shared" si="17"/>
        <v>0.34200000000000003</v>
      </c>
      <c r="R560" s="11">
        <v>0.89500000000000002</v>
      </c>
    </row>
    <row r="561" spans="2:18" ht="16" x14ac:dyDescent="0.3">
      <c r="B561" s="4">
        <v>555</v>
      </c>
      <c r="C561" s="4" t="s">
        <v>3724</v>
      </c>
      <c r="D561" s="5" t="s">
        <v>3284</v>
      </c>
      <c r="E561" s="4">
        <v>300</v>
      </c>
      <c r="F561" s="5" t="s">
        <v>3285</v>
      </c>
      <c r="G561" s="4" t="s">
        <v>1331</v>
      </c>
      <c r="H561" s="4" t="s">
        <v>1328</v>
      </c>
      <c r="I561" s="22">
        <v>2305518.7749999999</v>
      </c>
      <c r="J561" s="22">
        <v>585254.35499999998</v>
      </c>
      <c r="K561" s="22">
        <v>2305537.2969999998</v>
      </c>
      <c r="L561" s="22">
        <v>585241.93500000006</v>
      </c>
      <c r="M561" s="6">
        <v>22.3</v>
      </c>
      <c r="N561" s="11">
        <v>4.24</v>
      </c>
      <c r="O561" s="11">
        <v>4.32</v>
      </c>
      <c r="P561" s="11">
        <f t="shared" si="16"/>
        <v>8.0000000000000071E-2</v>
      </c>
      <c r="Q561" s="11">
        <f t="shared" si="17"/>
        <v>0.35899999999999999</v>
      </c>
      <c r="R561" s="11">
        <v>0.89</v>
      </c>
    </row>
    <row r="562" spans="2:18" ht="16" x14ac:dyDescent="0.3">
      <c r="B562" s="4">
        <v>556</v>
      </c>
      <c r="C562" s="4" t="s">
        <v>3725</v>
      </c>
      <c r="D562" s="5" t="s">
        <v>3284</v>
      </c>
      <c r="E562" s="4">
        <v>300</v>
      </c>
      <c r="F562" s="5" t="s">
        <v>3285</v>
      </c>
      <c r="G562" s="4" t="s">
        <v>1289</v>
      </c>
      <c r="H562" s="4" t="s">
        <v>1331</v>
      </c>
      <c r="I562" s="22">
        <v>2305498.281</v>
      </c>
      <c r="J562" s="22">
        <v>585268.34900000005</v>
      </c>
      <c r="K562" s="22">
        <v>2305518.1940000001</v>
      </c>
      <c r="L562" s="22">
        <v>585254.745</v>
      </c>
      <c r="M562" s="6">
        <v>24.117000000000001</v>
      </c>
      <c r="N562" s="11">
        <v>3.79</v>
      </c>
      <c r="O562" s="11">
        <v>4.24</v>
      </c>
      <c r="P562" s="11">
        <f t="shared" si="16"/>
        <v>0.45000000000000018</v>
      </c>
      <c r="Q562" s="11">
        <f t="shared" si="17"/>
        <v>1.8660000000000001</v>
      </c>
      <c r="R562" s="11">
        <v>1.155</v>
      </c>
    </row>
    <row r="563" spans="2:18" ht="16" x14ac:dyDescent="0.3">
      <c r="B563" s="4">
        <v>557</v>
      </c>
      <c r="C563" s="4" t="s">
        <v>3726</v>
      </c>
      <c r="D563" s="5" t="s">
        <v>3284</v>
      </c>
      <c r="E563" s="4">
        <v>300</v>
      </c>
      <c r="F563" s="5" t="s">
        <v>3285</v>
      </c>
      <c r="G563" s="4" t="s">
        <v>1292</v>
      </c>
      <c r="H563" s="4" t="s">
        <v>1289</v>
      </c>
      <c r="I563" s="22">
        <v>2305484.0269999998</v>
      </c>
      <c r="J563" s="22">
        <v>585251.72699999996</v>
      </c>
      <c r="K563" s="22">
        <v>2305497.4380000001</v>
      </c>
      <c r="L563" s="22">
        <v>585268.88699999999</v>
      </c>
      <c r="M563" s="6">
        <v>27.494</v>
      </c>
      <c r="N563" s="11">
        <v>3.73</v>
      </c>
      <c r="O563" s="11">
        <v>3.79</v>
      </c>
      <c r="P563" s="11">
        <f t="shared" si="16"/>
        <v>6.0000000000000053E-2</v>
      </c>
      <c r="Q563" s="11">
        <f t="shared" si="17"/>
        <v>0.218</v>
      </c>
      <c r="R563" s="11">
        <v>1.41</v>
      </c>
    </row>
    <row r="564" spans="2:18" ht="16" x14ac:dyDescent="0.3">
      <c r="B564" s="4">
        <v>558</v>
      </c>
      <c r="C564" s="4" t="s">
        <v>3727</v>
      </c>
      <c r="D564" s="5" t="s">
        <v>3284</v>
      </c>
      <c r="E564" s="4">
        <v>300</v>
      </c>
      <c r="F564" s="5" t="s">
        <v>3285</v>
      </c>
      <c r="G564" s="4" t="s">
        <v>1334</v>
      </c>
      <c r="H564" s="4" t="s">
        <v>1292</v>
      </c>
      <c r="I564" s="22">
        <v>2305506.287</v>
      </c>
      <c r="J564" s="22">
        <v>585236.98899999994</v>
      </c>
      <c r="K564" s="22">
        <v>2305484.858</v>
      </c>
      <c r="L564" s="22">
        <v>585251.17099999997</v>
      </c>
      <c r="M564" s="6">
        <v>25.696999999999999</v>
      </c>
      <c r="N564" s="11">
        <v>4.24</v>
      </c>
      <c r="O564" s="11">
        <v>3.73</v>
      </c>
      <c r="P564" s="11">
        <f t="shared" si="16"/>
        <v>0.51000000000000023</v>
      </c>
      <c r="Q564" s="11">
        <f t="shared" si="17"/>
        <v>1.9850000000000001</v>
      </c>
      <c r="R564" s="11">
        <v>1.1850000000000001</v>
      </c>
    </row>
    <row r="565" spans="2:18" ht="16" x14ac:dyDescent="0.3">
      <c r="B565" s="4">
        <v>559</v>
      </c>
      <c r="C565" s="4" t="s">
        <v>3728</v>
      </c>
      <c r="D565" s="5" t="s">
        <v>3284</v>
      </c>
      <c r="E565" s="4">
        <v>300</v>
      </c>
      <c r="F565" s="5" t="s">
        <v>3285</v>
      </c>
      <c r="G565" s="4" t="s">
        <v>992</v>
      </c>
      <c r="H565" s="4" t="s">
        <v>1334</v>
      </c>
      <c r="I565" s="22">
        <v>2305525.39</v>
      </c>
      <c r="J565" s="22">
        <v>585224.179</v>
      </c>
      <c r="K565" s="22">
        <v>2305506.8689999999</v>
      </c>
      <c r="L565" s="22">
        <v>585236.59900000005</v>
      </c>
      <c r="M565" s="6">
        <v>22.3</v>
      </c>
      <c r="N565" s="11">
        <v>4.32</v>
      </c>
      <c r="O565" s="11">
        <v>4.24</v>
      </c>
      <c r="P565" s="11">
        <f t="shared" si="16"/>
        <v>8.0000000000000071E-2</v>
      </c>
      <c r="Q565" s="11">
        <f t="shared" si="17"/>
        <v>0.35899999999999999</v>
      </c>
      <c r="R565" s="11">
        <v>0.89</v>
      </c>
    </row>
    <row r="566" spans="2:18" ht="16" x14ac:dyDescent="0.3">
      <c r="B566" s="4">
        <v>560</v>
      </c>
      <c r="C566" s="4" t="s">
        <v>3729</v>
      </c>
      <c r="D566" s="5" t="s">
        <v>3284</v>
      </c>
      <c r="E566" s="4">
        <v>300</v>
      </c>
      <c r="F566" s="5" t="s">
        <v>3285</v>
      </c>
      <c r="G566" s="4" t="s">
        <v>1319</v>
      </c>
      <c r="H566" s="4" t="s">
        <v>1316</v>
      </c>
      <c r="I566" s="22">
        <v>2305537.1540000001</v>
      </c>
      <c r="J566" s="22">
        <v>585281.76300000004</v>
      </c>
      <c r="K566" s="22">
        <v>2305555.676</v>
      </c>
      <c r="L566" s="22">
        <v>585269.34299999999</v>
      </c>
      <c r="M566" s="6">
        <v>22.3</v>
      </c>
      <c r="N566" s="11">
        <v>4.24</v>
      </c>
      <c r="O566" s="11">
        <v>4.32</v>
      </c>
      <c r="P566" s="11">
        <f t="shared" si="16"/>
        <v>8.0000000000000071E-2</v>
      </c>
      <c r="Q566" s="11">
        <f t="shared" si="17"/>
        <v>0.35899999999999999</v>
      </c>
      <c r="R566" s="11">
        <v>0.89</v>
      </c>
    </row>
    <row r="567" spans="2:18" ht="16" x14ac:dyDescent="0.3">
      <c r="B567" s="4">
        <v>561</v>
      </c>
      <c r="C567" s="4" t="s">
        <v>3730</v>
      </c>
      <c r="D567" s="5" t="s">
        <v>3284</v>
      </c>
      <c r="E567" s="4">
        <v>300</v>
      </c>
      <c r="F567" s="5" t="s">
        <v>3285</v>
      </c>
      <c r="G567" s="4" t="s">
        <v>1283</v>
      </c>
      <c r="H567" s="4" t="s">
        <v>1319</v>
      </c>
      <c r="I567" s="22">
        <v>2305516.4569999999</v>
      </c>
      <c r="J567" s="22">
        <v>585295.84499999997</v>
      </c>
      <c r="K567" s="22">
        <v>2305536.5729999999</v>
      </c>
      <c r="L567" s="22">
        <v>585282.15300000005</v>
      </c>
      <c r="M567" s="6">
        <v>24.334</v>
      </c>
      <c r="N567" s="11">
        <v>3.91</v>
      </c>
      <c r="O567" s="11">
        <v>4.24</v>
      </c>
      <c r="P567" s="11">
        <f t="shared" si="16"/>
        <v>0.33000000000000007</v>
      </c>
      <c r="Q567" s="11">
        <f t="shared" si="17"/>
        <v>1.3560000000000001</v>
      </c>
      <c r="R567" s="11">
        <v>1.095</v>
      </c>
    </row>
    <row r="568" spans="2:18" ht="16" x14ac:dyDescent="0.3">
      <c r="B568" s="4">
        <v>562</v>
      </c>
      <c r="C568" s="4" t="s">
        <v>3731</v>
      </c>
      <c r="D568" s="5" t="s">
        <v>3284</v>
      </c>
      <c r="E568" s="4">
        <v>300</v>
      </c>
      <c r="F568" s="5" t="s">
        <v>3285</v>
      </c>
      <c r="G568" s="4" t="s">
        <v>1286</v>
      </c>
      <c r="H568" s="4" t="s">
        <v>1283</v>
      </c>
      <c r="I568" s="22">
        <v>2305501.7429999998</v>
      </c>
      <c r="J568" s="22">
        <v>585279.69400000002</v>
      </c>
      <c r="K568" s="22">
        <v>2305515.622</v>
      </c>
      <c r="L568" s="22">
        <v>585296.39599999995</v>
      </c>
      <c r="M568" s="6">
        <v>26.867999999999999</v>
      </c>
      <c r="N568" s="11">
        <v>3.82</v>
      </c>
      <c r="O568" s="11">
        <v>3.91</v>
      </c>
      <c r="P568" s="11">
        <f t="shared" si="16"/>
        <v>9.0000000000000302E-2</v>
      </c>
      <c r="Q568" s="11">
        <f t="shared" si="17"/>
        <v>0.33500000000000002</v>
      </c>
      <c r="R568" s="11">
        <v>1.3049999999999999</v>
      </c>
    </row>
    <row r="569" spans="2:18" ht="16" x14ac:dyDescent="0.3">
      <c r="B569" s="4">
        <v>563</v>
      </c>
      <c r="C569" s="4" t="s">
        <v>3732</v>
      </c>
      <c r="D569" s="5" t="s">
        <v>3284</v>
      </c>
      <c r="E569" s="4">
        <v>300</v>
      </c>
      <c r="F569" s="5" t="s">
        <v>3285</v>
      </c>
      <c r="G569" s="4" t="s">
        <v>1325</v>
      </c>
      <c r="H569" s="4" t="s">
        <v>1286</v>
      </c>
      <c r="I569" s="22">
        <v>2305524.6660000002</v>
      </c>
      <c r="J569" s="22">
        <v>585264.397</v>
      </c>
      <c r="K569" s="22">
        <v>2305502.5729999999</v>
      </c>
      <c r="L569" s="22">
        <v>585279.13699999999</v>
      </c>
      <c r="M569" s="6">
        <v>26.559000000000001</v>
      </c>
      <c r="N569" s="11">
        <v>4.24</v>
      </c>
      <c r="O569" s="11">
        <v>3.82</v>
      </c>
      <c r="P569" s="11">
        <f t="shared" si="16"/>
        <v>0.42000000000000037</v>
      </c>
      <c r="Q569" s="11">
        <f t="shared" si="17"/>
        <v>1.581</v>
      </c>
      <c r="R569" s="11">
        <v>1.1399999999999999</v>
      </c>
    </row>
    <row r="570" spans="2:18" ht="16" x14ac:dyDescent="0.3">
      <c r="B570" s="4">
        <v>564</v>
      </c>
      <c r="C570" s="4" t="s">
        <v>3733</v>
      </c>
      <c r="D570" s="5" t="s">
        <v>3284</v>
      </c>
      <c r="E570" s="4">
        <v>300</v>
      </c>
      <c r="F570" s="5" t="s">
        <v>3285</v>
      </c>
      <c r="G570" s="4" t="s">
        <v>1322</v>
      </c>
      <c r="H570" s="4" t="s">
        <v>1325</v>
      </c>
      <c r="I570" s="22">
        <v>2305543.7689999999</v>
      </c>
      <c r="J570" s="22">
        <v>585251.58700000006</v>
      </c>
      <c r="K570" s="22">
        <v>2305525.2480000001</v>
      </c>
      <c r="L570" s="22">
        <v>585264.00699999998</v>
      </c>
      <c r="M570" s="6">
        <v>22.3</v>
      </c>
      <c r="N570" s="11">
        <v>4.32</v>
      </c>
      <c r="O570" s="11">
        <v>4.24</v>
      </c>
      <c r="P570" s="11">
        <f t="shared" si="16"/>
        <v>8.0000000000000071E-2</v>
      </c>
      <c r="Q570" s="11">
        <f t="shared" si="17"/>
        <v>0.35899999999999999</v>
      </c>
      <c r="R570" s="11">
        <v>0.89</v>
      </c>
    </row>
    <row r="571" spans="2:18" ht="16" x14ac:dyDescent="0.3">
      <c r="B571" s="4">
        <v>565</v>
      </c>
      <c r="C571" s="4" t="s">
        <v>3734</v>
      </c>
      <c r="D571" s="5" t="s">
        <v>3284</v>
      </c>
      <c r="E571" s="4">
        <v>300</v>
      </c>
      <c r="F571" s="5" t="s">
        <v>3285</v>
      </c>
      <c r="G571" s="4" t="s">
        <v>1307</v>
      </c>
      <c r="H571" s="4" t="s">
        <v>1304</v>
      </c>
      <c r="I571" s="22">
        <v>2305555.5329999998</v>
      </c>
      <c r="J571" s="22">
        <v>585309.17099999997</v>
      </c>
      <c r="K571" s="22">
        <v>2305574.0550000002</v>
      </c>
      <c r="L571" s="22">
        <v>585296.75100000005</v>
      </c>
      <c r="M571" s="6">
        <v>22.3</v>
      </c>
      <c r="N571" s="11">
        <v>4.24</v>
      </c>
      <c r="O571" s="11">
        <v>4.32</v>
      </c>
      <c r="P571" s="11">
        <f t="shared" si="16"/>
        <v>8.0000000000000071E-2</v>
      </c>
      <c r="Q571" s="11">
        <f t="shared" si="17"/>
        <v>0.35899999999999999</v>
      </c>
      <c r="R571" s="11">
        <v>0.89</v>
      </c>
    </row>
    <row r="572" spans="2:18" ht="16" x14ac:dyDescent="0.3">
      <c r="B572" s="4">
        <v>566</v>
      </c>
      <c r="C572" s="4" t="s">
        <v>3735</v>
      </c>
      <c r="D572" s="5" t="s">
        <v>3284</v>
      </c>
      <c r="E572" s="4">
        <v>300</v>
      </c>
      <c r="F572" s="5" t="s">
        <v>3285</v>
      </c>
      <c r="G572" s="4" t="s">
        <v>1277</v>
      </c>
      <c r="H572" s="4" t="s">
        <v>1307</v>
      </c>
      <c r="I572" s="22">
        <v>2305533.39</v>
      </c>
      <c r="J572" s="22">
        <v>585324.01</v>
      </c>
      <c r="K572" s="22">
        <v>2305554.952</v>
      </c>
      <c r="L572" s="22">
        <v>585309.56099999999</v>
      </c>
      <c r="M572" s="6">
        <v>25.956</v>
      </c>
      <c r="N572" s="11">
        <v>4.03</v>
      </c>
      <c r="O572" s="11">
        <v>4.24</v>
      </c>
      <c r="P572" s="11">
        <f t="shared" si="16"/>
        <v>0.20999999999999996</v>
      </c>
      <c r="Q572" s="11">
        <f t="shared" si="17"/>
        <v>0.80900000000000005</v>
      </c>
      <c r="R572" s="11">
        <v>1.0349999999999999</v>
      </c>
    </row>
    <row r="573" spans="2:18" ht="16" x14ac:dyDescent="0.3">
      <c r="B573" s="4">
        <v>567</v>
      </c>
      <c r="C573" s="4" t="s">
        <v>3736</v>
      </c>
      <c r="D573" s="5" t="s">
        <v>3284</v>
      </c>
      <c r="E573" s="4">
        <v>300</v>
      </c>
      <c r="F573" s="5" t="s">
        <v>3285</v>
      </c>
      <c r="G573" s="4" t="s">
        <v>1280</v>
      </c>
      <c r="H573" s="4" t="s">
        <v>1277</v>
      </c>
      <c r="I573" s="22">
        <v>2305520.1030000001</v>
      </c>
      <c r="J573" s="22">
        <v>585307.01</v>
      </c>
      <c r="K573" s="22">
        <v>2305532.8089999999</v>
      </c>
      <c r="L573" s="22">
        <v>585324.4</v>
      </c>
      <c r="M573" s="6">
        <v>25.366</v>
      </c>
      <c r="N573" s="11">
        <v>3.95</v>
      </c>
      <c r="O573" s="11">
        <v>4.03</v>
      </c>
      <c r="P573" s="11">
        <f t="shared" si="16"/>
        <v>8.0000000000000071E-2</v>
      </c>
      <c r="Q573" s="11">
        <f t="shared" si="17"/>
        <v>0.315</v>
      </c>
      <c r="R573" s="11">
        <v>1.18</v>
      </c>
    </row>
    <row r="574" spans="2:18" ht="16" x14ac:dyDescent="0.3">
      <c r="B574" s="4">
        <v>568</v>
      </c>
      <c r="C574" s="4" t="s">
        <v>3737</v>
      </c>
      <c r="D574" s="5" t="s">
        <v>3284</v>
      </c>
      <c r="E574" s="4">
        <v>300</v>
      </c>
      <c r="F574" s="5" t="s">
        <v>3285</v>
      </c>
      <c r="G574" s="4" t="s">
        <v>1313</v>
      </c>
      <c r="H574" s="4" t="s">
        <v>1280</v>
      </c>
      <c r="I574" s="22">
        <v>2305543.0449999999</v>
      </c>
      <c r="J574" s="22">
        <v>585291.80500000005</v>
      </c>
      <c r="K574" s="22">
        <v>2305520.9270000001</v>
      </c>
      <c r="L574" s="22">
        <v>585306.51399999997</v>
      </c>
      <c r="M574" s="6">
        <v>26.562000000000001</v>
      </c>
      <c r="N574" s="11">
        <v>4.24</v>
      </c>
      <c r="O574" s="11">
        <v>3.95</v>
      </c>
      <c r="P574" s="11">
        <f t="shared" si="16"/>
        <v>0.29000000000000004</v>
      </c>
      <c r="Q574" s="11">
        <f t="shared" si="17"/>
        <v>1.0920000000000001</v>
      </c>
      <c r="R574" s="11">
        <v>1.075</v>
      </c>
    </row>
    <row r="575" spans="2:18" ht="16" x14ac:dyDescent="0.3">
      <c r="B575" s="4">
        <v>569</v>
      </c>
      <c r="C575" s="4" t="s">
        <v>3738</v>
      </c>
      <c r="D575" s="5" t="s">
        <v>3284</v>
      </c>
      <c r="E575" s="4">
        <v>300</v>
      </c>
      <c r="F575" s="5" t="s">
        <v>3285</v>
      </c>
      <c r="G575" s="4" t="s">
        <v>1310</v>
      </c>
      <c r="H575" s="4" t="s">
        <v>1313</v>
      </c>
      <c r="I575" s="22">
        <v>2305562.148</v>
      </c>
      <c r="J575" s="22">
        <v>585278.995</v>
      </c>
      <c r="K575" s="22">
        <v>2305543.6269999999</v>
      </c>
      <c r="L575" s="22">
        <v>585291.41500000004</v>
      </c>
      <c r="M575" s="6">
        <v>22.3</v>
      </c>
      <c r="N575" s="11">
        <v>4.32</v>
      </c>
      <c r="O575" s="11">
        <v>4.24</v>
      </c>
      <c r="P575" s="11">
        <f t="shared" si="16"/>
        <v>8.0000000000000071E-2</v>
      </c>
      <c r="Q575" s="11">
        <f t="shared" si="17"/>
        <v>0.35899999999999999</v>
      </c>
      <c r="R575" s="11">
        <v>0.89</v>
      </c>
    </row>
    <row r="576" spans="2:18" ht="16" x14ac:dyDescent="0.3">
      <c r="B576" s="4">
        <v>570</v>
      </c>
      <c r="C576" s="4" t="s">
        <v>3739</v>
      </c>
      <c r="D576" s="5" t="s">
        <v>3284</v>
      </c>
      <c r="E576" s="4">
        <v>300</v>
      </c>
      <c r="F576" s="5" t="s">
        <v>3285</v>
      </c>
      <c r="G576" s="4" t="s">
        <v>1766</v>
      </c>
      <c r="H576" s="4" t="s">
        <v>1763</v>
      </c>
      <c r="I576" s="22">
        <v>2305248.801</v>
      </c>
      <c r="J576" s="22">
        <v>585695.00300000003</v>
      </c>
      <c r="K576" s="22">
        <v>2305227.7880000002</v>
      </c>
      <c r="L576" s="22">
        <v>585709.09400000004</v>
      </c>
      <c r="M576" s="6">
        <v>25.3</v>
      </c>
      <c r="N576" s="11">
        <v>4.33</v>
      </c>
      <c r="O576" s="11">
        <v>4.42</v>
      </c>
      <c r="P576" s="11">
        <f t="shared" si="16"/>
        <v>8.9999999999999858E-2</v>
      </c>
      <c r="Q576" s="11">
        <f t="shared" si="17"/>
        <v>0.35599999999999998</v>
      </c>
      <c r="R576" s="11">
        <v>0.89500000000000002</v>
      </c>
    </row>
    <row r="577" spans="2:18" ht="16" x14ac:dyDescent="0.3">
      <c r="B577" s="4">
        <v>571</v>
      </c>
      <c r="C577" s="4" t="s">
        <v>3740</v>
      </c>
      <c r="D577" s="5" t="s">
        <v>3284</v>
      </c>
      <c r="E577" s="4">
        <v>300</v>
      </c>
      <c r="F577" s="5" t="s">
        <v>3285</v>
      </c>
      <c r="G577" s="4" t="s">
        <v>1736</v>
      </c>
      <c r="H577" s="4" t="s">
        <v>1766</v>
      </c>
      <c r="I577" s="22">
        <v>2305266.6970000002</v>
      </c>
      <c r="J577" s="22">
        <v>585682.826</v>
      </c>
      <c r="K577" s="22">
        <v>2305249.3820000002</v>
      </c>
      <c r="L577" s="22">
        <v>585694.61300000001</v>
      </c>
      <c r="M577" s="6">
        <v>20.946000000000002</v>
      </c>
      <c r="N577" s="11">
        <v>3.93</v>
      </c>
      <c r="O577" s="11">
        <v>4.33</v>
      </c>
      <c r="P577" s="11">
        <f t="shared" si="16"/>
        <v>0.39999999999999991</v>
      </c>
      <c r="Q577" s="11">
        <f t="shared" si="17"/>
        <v>1.91</v>
      </c>
      <c r="R577" s="11">
        <v>1.1399999999999999</v>
      </c>
    </row>
    <row r="578" spans="2:18" ht="16" x14ac:dyDescent="0.3">
      <c r="B578" s="4">
        <v>572</v>
      </c>
      <c r="C578" s="4" t="s">
        <v>3741</v>
      </c>
      <c r="D578" s="5" t="s">
        <v>3284</v>
      </c>
      <c r="E578" s="4">
        <v>300</v>
      </c>
      <c r="F578" s="5" t="s">
        <v>3285</v>
      </c>
      <c r="G578" s="4" t="s">
        <v>1760</v>
      </c>
      <c r="H578" s="4" t="s">
        <v>1733</v>
      </c>
      <c r="I578" s="22">
        <v>2305261.2889999999</v>
      </c>
      <c r="J578" s="22">
        <v>585712.37</v>
      </c>
      <c r="K578" s="22">
        <v>2305277.4079999998</v>
      </c>
      <c r="L578" s="22">
        <v>585701.75399999996</v>
      </c>
      <c r="M578" s="6">
        <v>19.300999999999998</v>
      </c>
      <c r="N578" s="11">
        <v>4.33</v>
      </c>
      <c r="O578" s="11">
        <v>4.01</v>
      </c>
      <c r="P578" s="11">
        <f t="shared" si="16"/>
        <v>0.32000000000000028</v>
      </c>
      <c r="Q578" s="11">
        <f t="shared" si="17"/>
        <v>1.6579999999999999</v>
      </c>
      <c r="R578" s="11">
        <v>1.1000000000000001</v>
      </c>
    </row>
    <row r="579" spans="2:18" ht="16" x14ac:dyDescent="0.3">
      <c r="B579" s="4">
        <v>573</v>
      </c>
      <c r="C579" s="4" t="s">
        <v>3742</v>
      </c>
      <c r="D579" s="5" t="s">
        <v>3284</v>
      </c>
      <c r="E579" s="4">
        <v>300</v>
      </c>
      <c r="F579" s="5" t="s">
        <v>3285</v>
      </c>
      <c r="G579" s="4" t="s">
        <v>1757</v>
      </c>
      <c r="H579" s="4" t="s">
        <v>1760</v>
      </c>
      <c r="I579" s="22">
        <v>2305239.6949999998</v>
      </c>
      <c r="J579" s="22">
        <v>585726.85</v>
      </c>
      <c r="K579" s="22">
        <v>2305260.7080000001</v>
      </c>
      <c r="L579" s="22">
        <v>585712.75899999996</v>
      </c>
      <c r="M579" s="6">
        <v>25.3</v>
      </c>
      <c r="N579" s="11">
        <v>4.42</v>
      </c>
      <c r="O579" s="11">
        <v>4.33</v>
      </c>
      <c r="P579" s="11">
        <f t="shared" si="16"/>
        <v>8.9999999999999858E-2</v>
      </c>
      <c r="Q579" s="11">
        <f t="shared" si="17"/>
        <v>0.35599999999999998</v>
      </c>
      <c r="R579" s="11">
        <v>0.89500000000000002</v>
      </c>
    </row>
    <row r="580" spans="2:18" ht="16" x14ac:dyDescent="0.3">
      <c r="B580" s="4">
        <v>574</v>
      </c>
      <c r="C580" s="4" t="s">
        <v>3743</v>
      </c>
      <c r="D580" s="5" t="s">
        <v>3284</v>
      </c>
      <c r="E580" s="4">
        <v>300</v>
      </c>
      <c r="F580" s="5" t="s">
        <v>3285</v>
      </c>
      <c r="G580" s="4" t="s">
        <v>1778</v>
      </c>
      <c r="H580" s="4" t="s">
        <v>1028</v>
      </c>
      <c r="I580" s="22">
        <v>2305228.3539999998</v>
      </c>
      <c r="J580" s="22">
        <v>585669</v>
      </c>
      <c r="K580" s="22">
        <v>2305209.824</v>
      </c>
      <c r="L580" s="22">
        <v>585681.40700000001</v>
      </c>
      <c r="M580" s="6">
        <v>22.3</v>
      </c>
      <c r="N580" s="11">
        <v>4.37</v>
      </c>
      <c r="O580" s="11">
        <v>4.46</v>
      </c>
      <c r="P580" s="11">
        <f t="shared" si="16"/>
        <v>8.9999999999999858E-2</v>
      </c>
      <c r="Q580" s="11">
        <f t="shared" si="17"/>
        <v>0.40400000000000003</v>
      </c>
      <c r="R580" s="11">
        <v>0.89500000000000002</v>
      </c>
    </row>
    <row r="581" spans="2:18" ht="16" x14ac:dyDescent="0.3">
      <c r="B581" s="4">
        <v>575</v>
      </c>
      <c r="C581" s="4" t="s">
        <v>3744</v>
      </c>
      <c r="D581" s="5" t="s">
        <v>3284</v>
      </c>
      <c r="E581" s="4">
        <v>300</v>
      </c>
      <c r="F581" s="5" t="s">
        <v>3285</v>
      </c>
      <c r="G581" s="4" t="s">
        <v>1781</v>
      </c>
      <c r="H581" s="4" t="s">
        <v>1778</v>
      </c>
      <c r="I581" s="22">
        <v>2305251.5660000001</v>
      </c>
      <c r="J581" s="22">
        <v>585653.41700000002</v>
      </c>
      <c r="K581" s="22">
        <v>2305228.9360000002</v>
      </c>
      <c r="L581" s="22">
        <v>585668.61100000003</v>
      </c>
      <c r="M581" s="6">
        <v>27.257999999999999</v>
      </c>
      <c r="N581" s="11">
        <v>4.29</v>
      </c>
      <c r="O581" s="11">
        <v>4.37</v>
      </c>
      <c r="P581" s="11">
        <f t="shared" si="16"/>
        <v>8.0000000000000071E-2</v>
      </c>
      <c r="Q581" s="11">
        <f t="shared" si="17"/>
        <v>0.29299999999999998</v>
      </c>
      <c r="R581" s="11">
        <v>0.98</v>
      </c>
    </row>
    <row r="582" spans="2:18" ht="16" x14ac:dyDescent="0.3">
      <c r="B582" s="4">
        <v>576</v>
      </c>
      <c r="C582" s="4" t="s">
        <v>3745</v>
      </c>
      <c r="D582" s="5" t="s">
        <v>3284</v>
      </c>
      <c r="E582" s="4">
        <v>300</v>
      </c>
      <c r="F582" s="5" t="s">
        <v>3285</v>
      </c>
      <c r="G582" s="4" t="s">
        <v>1784</v>
      </c>
      <c r="H582" s="4" t="s">
        <v>1781</v>
      </c>
      <c r="I582" s="22">
        <v>2305277.3480000002</v>
      </c>
      <c r="J582" s="22">
        <v>585636.12800000003</v>
      </c>
      <c r="K582" s="22">
        <v>2305252.1469999999</v>
      </c>
      <c r="L582" s="22">
        <v>585653.027</v>
      </c>
      <c r="M582" s="6">
        <v>30.341999999999999</v>
      </c>
      <c r="N582" s="11">
        <v>4.1900000000000004</v>
      </c>
      <c r="O582" s="11">
        <v>4.29</v>
      </c>
      <c r="P582" s="11">
        <f t="shared" si="16"/>
        <v>9.9999999999999645E-2</v>
      </c>
      <c r="Q582" s="11">
        <f t="shared" si="17"/>
        <v>0.33</v>
      </c>
      <c r="R582" s="11">
        <v>1.07</v>
      </c>
    </row>
    <row r="583" spans="2:18" ht="16" x14ac:dyDescent="0.3">
      <c r="B583" s="4">
        <v>577</v>
      </c>
      <c r="C583" s="4" t="s">
        <v>3746</v>
      </c>
      <c r="D583" s="5" t="s">
        <v>3284</v>
      </c>
      <c r="E583" s="4">
        <v>300</v>
      </c>
      <c r="F583" s="5" t="s">
        <v>3285</v>
      </c>
      <c r="G583" s="4" t="s">
        <v>617</v>
      </c>
      <c r="H583" s="4" t="s">
        <v>1784</v>
      </c>
      <c r="I583" s="22">
        <v>2305300.3569999998</v>
      </c>
      <c r="J583" s="22">
        <v>585620.54</v>
      </c>
      <c r="K583" s="22">
        <v>2305277.929</v>
      </c>
      <c r="L583" s="22">
        <v>585635.73800000001</v>
      </c>
      <c r="M583" s="6">
        <v>27.091999999999999</v>
      </c>
      <c r="N583" s="11">
        <v>3.6</v>
      </c>
      <c r="O583" s="11">
        <v>4.1900000000000004</v>
      </c>
      <c r="P583" s="11">
        <f t="shared" ref="P583:P646" si="18">IF(AND(ISNUMBER(N583),ISNUMBER(O583)),ABS(N583-O583),0)</f>
        <v>0.5900000000000003</v>
      </c>
      <c r="Q583" s="11">
        <f t="shared" ref="Q583:Q646" si="19">IF(M583&gt;0,ROUND(P583/M583*100,3),0)</f>
        <v>2.1779999999999999</v>
      </c>
      <c r="R583" s="11">
        <v>1.415</v>
      </c>
    </row>
    <row r="584" spans="2:18" ht="16" x14ac:dyDescent="0.3">
      <c r="B584" s="4">
        <v>578</v>
      </c>
      <c r="C584" s="4" t="s">
        <v>3747</v>
      </c>
      <c r="D584" s="5" t="s">
        <v>3284</v>
      </c>
      <c r="E584" s="4">
        <v>300</v>
      </c>
      <c r="F584" s="5" t="s">
        <v>3285</v>
      </c>
      <c r="G584" s="4" t="s">
        <v>614</v>
      </c>
      <c r="H584" s="4" t="s">
        <v>617</v>
      </c>
      <c r="I584" s="22">
        <v>2305313.463</v>
      </c>
      <c r="J584" s="22">
        <v>585637.84400000004</v>
      </c>
      <c r="K584" s="22">
        <v>2305301.1880000001</v>
      </c>
      <c r="L584" s="22">
        <v>585619.98300000001</v>
      </c>
      <c r="M584" s="6">
        <v>27.731000000000002</v>
      </c>
      <c r="N584" s="11">
        <v>3.69</v>
      </c>
      <c r="O584" s="11">
        <v>3.6</v>
      </c>
      <c r="P584" s="11">
        <f t="shared" si="18"/>
        <v>8.9999999999999858E-2</v>
      </c>
      <c r="Q584" s="11">
        <f t="shared" si="19"/>
        <v>0.32500000000000001</v>
      </c>
      <c r="R584" s="11">
        <v>1.645</v>
      </c>
    </row>
    <row r="585" spans="2:18" ht="16" x14ac:dyDescent="0.3">
      <c r="B585" s="4">
        <v>579</v>
      </c>
      <c r="C585" s="4" t="s">
        <v>3748</v>
      </c>
      <c r="D585" s="5" t="s">
        <v>3284</v>
      </c>
      <c r="E585" s="4">
        <v>300</v>
      </c>
      <c r="F585" s="5" t="s">
        <v>3285</v>
      </c>
      <c r="G585" s="4" t="s">
        <v>1775</v>
      </c>
      <c r="H585" s="4" t="s">
        <v>614</v>
      </c>
      <c r="I585" s="22">
        <v>2305290.1749999998</v>
      </c>
      <c r="J585" s="22">
        <v>585653.46</v>
      </c>
      <c r="K585" s="22">
        <v>2305312.6320000002</v>
      </c>
      <c r="L585" s="22">
        <v>585638.40099999995</v>
      </c>
      <c r="M585" s="6">
        <v>27.039000000000001</v>
      </c>
      <c r="N585" s="11">
        <v>3.8</v>
      </c>
      <c r="O585" s="11">
        <v>3.69</v>
      </c>
      <c r="P585" s="11">
        <f t="shared" si="18"/>
        <v>0.10999999999999988</v>
      </c>
      <c r="Q585" s="11">
        <f t="shared" si="19"/>
        <v>0.40699999999999997</v>
      </c>
      <c r="R585" s="11">
        <v>1.5249999999999999</v>
      </c>
    </row>
    <row r="586" spans="2:18" ht="16" x14ac:dyDescent="0.3">
      <c r="B586" s="4">
        <v>580</v>
      </c>
      <c r="C586" s="4" t="s">
        <v>3749</v>
      </c>
      <c r="D586" s="5" t="s">
        <v>3284</v>
      </c>
      <c r="E586" s="4">
        <v>300</v>
      </c>
      <c r="F586" s="5" t="s">
        <v>3285</v>
      </c>
      <c r="G586" s="4" t="s">
        <v>1772</v>
      </c>
      <c r="H586" s="4" t="s">
        <v>1775</v>
      </c>
      <c r="I586" s="22">
        <v>2305260.2749999999</v>
      </c>
      <c r="J586" s="22">
        <v>585673.51</v>
      </c>
      <c r="K586" s="22">
        <v>2305289.3509999998</v>
      </c>
      <c r="L586" s="22">
        <v>585654.01300000004</v>
      </c>
      <c r="M586" s="6">
        <v>35.008000000000003</v>
      </c>
      <c r="N586" s="11">
        <v>3.89</v>
      </c>
      <c r="O586" s="11">
        <v>3.8</v>
      </c>
      <c r="P586" s="11">
        <f t="shared" si="18"/>
        <v>9.0000000000000302E-2</v>
      </c>
      <c r="Q586" s="11">
        <f t="shared" si="19"/>
        <v>0.25700000000000001</v>
      </c>
      <c r="R586" s="11">
        <v>1.425</v>
      </c>
    </row>
    <row r="587" spans="2:18" ht="16" x14ac:dyDescent="0.3">
      <c r="B587" s="4">
        <v>581</v>
      </c>
      <c r="C587" s="4" t="s">
        <v>3750</v>
      </c>
      <c r="D587" s="5" t="s">
        <v>3284</v>
      </c>
      <c r="E587" s="4">
        <v>300</v>
      </c>
      <c r="F587" s="5" t="s">
        <v>3285</v>
      </c>
      <c r="G587" s="4" t="s">
        <v>1769</v>
      </c>
      <c r="H587" s="4" t="s">
        <v>1772</v>
      </c>
      <c r="I587" s="22">
        <v>2305242.91</v>
      </c>
      <c r="J587" s="22">
        <v>585684.96100000001</v>
      </c>
      <c r="K587" s="22">
        <v>2305259.4440000001</v>
      </c>
      <c r="L587" s="22">
        <v>585674.06700000004</v>
      </c>
      <c r="M587" s="6">
        <v>19.800999999999998</v>
      </c>
      <c r="N587" s="11">
        <v>4.34</v>
      </c>
      <c r="O587" s="11">
        <v>3.89</v>
      </c>
      <c r="P587" s="11">
        <f t="shared" si="18"/>
        <v>0.44999999999999973</v>
      </c>
      <c r="Q587" s="11">
        <f t="shared" si="19"/>
        <v>2.2730000000000001</v>
      </c>
      <c r="R587" s="11">
        <v>1.155</v>
      </c>
    </row>
    <row r="588" spans="2:18" ht="16" x14ac:dyDescent="0.3">
      <c r="B588" s="4">
        <v>582</v>
      </c>
      <c r="C588" s="4" t="s">
        <v>3751</v>
      </c>
      <c r="D588" s="5" t="s">
        <v>3284</v>
      </c>
      <c r="E588" s="4">
        <v>300</v>
      </c>
      <c r="F588" s="5" t="s">
        <v>3285</v>
      </c>
      <c r="G588" s="4" t="s">
        <v>1025</v>
      </c>
      <c r="H588" s="4" t="s">
        <v>1769</v>
      </c>
      <c r="I588" s="22">
        <v>2305221.7310000001</v>
      </c>
      <c r="J588" s="22">
        <v>585699.16299999994</v>
      </c>
      <c r="K588" s="22">
        <v>2305242.3289999999</v>
      </c>
      <c r="L588" s="22">
        <v>585685.35100000002</v>
      </c>
      <c r="M588" s="6">
        <v>24.8</v>
      </c>
      <c r="N588" s="11">
        <v>4.42</v>
      </c>
      <c r="O588" s="11">
        <v>4.34</v>
      </c>
      <c r="P588" s="11">
        <f t="shared" si="18"/>
        <v>8.0000000000000071E-2</v>
      </c>
      <c r="Q588" s="11">
        <f t="shared" si="19"/>
        <v>0.32300000000000001</v>
      </c>
      <c r="R588" s="11">
        <v>0.89</v>
      </c>
    </row>
    <row r="589" spans="2:18" ht="16" x14ac:dyDescent="0.3">
      <c r="B589" s="4">
        <v>583</v>
      </c>
      <c r="C589" s="4" t="s">
        <v>3752</v>
      </c>
      <c r="D589" s="5" t="s">
        <v>3284</v>
      </c>
      <c r="E589" s="4">
        <v>300</v>
      </c>
      <c r="F589" s="5" t="s">
        <v>3285</v>
      </c>
      <c r="G589" s="4" t="s">
        <v>2080</v>
      </c>
      <c r="H589" s="4" t="s">
        <v>2077</v>
      </c>
      <c r="I589" s="22">
        <v>2305153.5639999998</v>
      </c>
      <c r="J589" s="22">
        <v>585552.97900000005</v>
      </c>
      <c r="K589" s="22">
        <v>2305132.551</v>
      </c>
      <c r="L589" s="22">
        <v>585567.06999999995</v>
      </c>
      <c r="M589" s="6">
        <v>25.3</v>
      </c>
      <c r="N589" s="11">
        <v>4.33</v>
      </c>
      <c r="O589" s="11">
        <v>4.42</v>
      </c>
      <c r="P589" s="11">
        <f t="shared" si="18"/>
        <v>8.9999999999999858E-2</v>
      </c>
      <c r="Q589" s="11">
        <f t="shared" si="19"/>
        <v>0.35599999999999998</v>
      </c>
      <c r="R589" s="11">
        <v>0.89500000000000002</v>
      </c>
    </row>
    <row r="590" spans="2:18" ht="16" x14ac:dyDescent="0.3">
      <c r="B590" s="4">
        <v>584</v>
      </c>
      <c r="C590" s="4" t="s">
        <v>3753</v>
      </c>
      <c r="D590" s="5" t="s">
        <v>3284</v>
      </c>
      <c r="E590" s="4">
        <v>300</v>
      </c>
      <c r="F590" s="5" t="s">
        <v>3285</v>
      </c>
      <c r="G590" s="4" t="s">
        <v>2050</v>
      </c>
      <c r="H590" s="4" t="s">
        <v>2080</v>
      </c>
      <c r="I590" s="22">
        <v>2305172.7760000001</v>
      </c>
      <c r="J590" s="22">
        <v>585539.91399999999</v>
      </c>
      <c r="K590" s="22">
        <v>2305154.145</v>
      </c>
      <c r="L590" s="22">
        <v>585552.58900000004</v>
      </c>
      <c r="M590" s="6">
        <v>22.533000000000001</v>
      </c>
      <c r="N590" s="11">
        <v>4.05</v>
      </c>
      <c r="O590" s="11">
        <v>4.33</v>
      </c>
      <c r="P590" s="11">
        <f t="shared" si="18"/>
        <v>0.28000000000000025</v>
      </c>
      <c r="Q590" s="11">
        <f t="shared" si="19"/>
        <v>1.2430000000000001</v>
      </c>
      <c r="R590" s="11">
        <v>1.08</v>
      </c>
    </row>
    <row r="591" spans="2:18" ht="16" x14ac:dyDescent="0.3">
      <c r="B591" s="4">
        <v>585</v>
      </c>
      <c r="C591" s="4" t="s">
        <v>3754</v>
      </c>
      <c r="D591" s="5" t="s">
        <v>3284</v>
      </c>
      <c r="E591" s="4">
        <v>300</v>
      </c>
      <c r="F591" s="5" t="s">
        <v>3285</v>
      </c>
      <c r="G591" s="4" t="s">
        <v>2047</v>
      </c>
      <c r="H591" s="4" t="s">
        <v>2050</v>
      </c>
      <c r="I591" s="22">
        <v>2305185.85</v>
      </c>
      <c r="J591" s="22">
        <v>585557.26399999997</v>
      </c>
      <c r="K591" s="22">
        <v>2305173.6060000001</v>
      </c>
      <c r="L591" s="22">
        <v>585539.35699999996</v>
      </c>
      <c r="M591" s="6">
        <v>26.22</v>
      </c>
      <c r="N591" s="11">
        <v>4.13</v>
      </c>
      <c r="O591" s="11">
        <v>4.05</v>
      </c>
      <c r="P591" s="11">
        <f t="shared" si="18"/>
        <v>8.0000000000000071E-2</v>
      </c>
      <c r="Q591" s="11">
        <f t="shared" si="19"/>
        <v>0.30499999999999999</v>
      </c>
      <c r="R591" s="11">
        <v>1.18</v>
      </c>
    </row>
    <row r="592" spans="2:18" ht="16" x14ac:dyDescent="0.3">
      <c r="B592" s="4">
        <v>586</v>
      </c>
      <c r="C592" s="4" t="s">
        <v>3755</v>
      </c>
      <c r="D592" s="5" t="s">
        <v>3284</v>
      </c>
      <c r="E592" s="4">
        <v>300</v>
      </c>
      <c r="F592" s="5" t="s">
        <v>3285</v>
      </c>
      <c r="G592" s="4" t="s">
        <v>2074</v>
      </c>
      <c r="H592" s="4" t="s">
        <v>2047</v>
      </c>
      <c r="I592" s="22">
        <v>2305166.0520000001</v>
      </c>
      <c r="J592" s="22">
        <v>585570.34499999997</v>
      </c>
      <c r="K592" s="22">
        <v>2305185.02</v>
      </c>
      <c r="L592" s="22">
        <v>585557.81999999995</v>
      </c>
      <c r="M592" s="6">
        <v>22.73</v>
      </c>
      <c r="N592" s="11">
        <v>4.33</v>
      </c>
      <c r="O592" s="11">
        <v>4.13</v>
      </c>
      <c r="P592" s="11">
        <f t="shared" si="18"/>
        <v>0.20000000000000018</v>
      </c>
      <c r="Q592" s="11">
        <f t="shared" si="19"/>
        <v>0.88</v>
      </c>
      <c r="R592" s="11">
        <v>1.04</v>
      </c>
    </row>
    <row r="593" spans="2:18" ht="16" x14ac:dyDescent="0.3">
      <c r="B593" s="4">
        <v>587</v>
      </c>
      <c r="C593" s="4" t="s">
        <v>3756</v>
      </c>
      <c r="D593" s="5" t="s">
        <v>3284</v>
      </c>
      <c r="E593" s="4">
        <v>300</v>
      </c>
      <c r="F593" s="5" t="s">
        <v>3285</v>
      </c>
      <c r="G593" s="4" t="s">
        <v>2071</v>
      </c>
      <c r="H593" s="4" t="s">
        <v>2074</v>
      </c>
      <c r="I593" s="22">
        <v>2305144.4580000001</v>
      </c>
      <c r="J593" s="22">
        <v>585584.826</v>
      </c>
      <c r="K593" s="22">
        <v>2305165.4709999999</v>
      </c>
      <c r="L593" s="22">
        <v>585570.73499999999</v>
      </c>
      <c r="M593" s="6">
        <v>25.3</v>
      </c>
      <c r="N593" s="11">
        <v>4.42</v>
      </c>
      <c r="O593" s="11">
        <v>4.33</v>
      </c>
      <c r="P593" s="11">
        <f t="shared" si="18"/>
        <v>8.9999999999999858E-2</v>
      </c>
      <c r="Q593" s="11">
        <f t="shared" si="19"/>
        <v>0.35599999999999998</v>
      </c>
      <c r="R593" s="11">
        <v>0.89500000000000002</v>
      </c>
    </row>
    <row r="594" spans="2:18" ht="16" x14ac:dyDescent="0.3">
      <c r="B594" s="4">
        <v>588</v>
      </c>
      <c r="C594" s="4" t="s">
        <v>3757</v>
      </c>
      <c r="D594" s="5" t="s">
        <v>3284</v>
      </c>
      <c r="E594" s="4">
        <v>300</v>
      </c>
      <c r="F594" s="5" t="s">
        <v>3285</v>
      </c>
      <c r="G594" s="4" t="s">
        <v>2092</v>
      </c>
      <c r="H594" s="4" t="s">
        <v>2089</v>
      </c>
      <c r="I594" s="22">
        <v>2305135.1850000001</v>
      </c>
      <c r="J594" s="22">
        <v>585525.571</v>
      </c>
      <c r="K594" s="22">
        <v>2305114.1719999998</v>
      </c>
      <c r="L594" s="22">
        <v>585539.66099999996</v>
      </c>
      <c r="M594" s="6">
        <v>25.3</v>
      </c>
      <c r="N594" s="11">
        <v>4.33</v>
      </c>
      <c r="O594" s="11">
        <v>4.42</v>
      </c>
      <c r="P594" s="11">
        <f t="shared" si="18"/>
        <v>8.9999999999999858E-2</v>
      </c>
      <c r="Q594" s="11">
        <f t="shared" si="19"/>
        <v>0.35599999999999998</v>
      </c>
      <c r="R594" s="11">
        <v>0.89500000000000002</v>
      </c>
    </row>
    <row r="595" spans="2:18" ht="16" x14ac:dyDescent="0.3">
      <c r="B595" s="4">
        <v>589</v>
      </c>
      <c r="C595" s="4" t="s">
        <v>3758</v>
      </c>
      <c r="D595" s="5" t="s">
        <v>3284</v>
      </c>
      <c r="E595" s="4">
        <v>300</v>
      </c>
      <c r="F595" s="5" t="s">
        <v>3285</v>
      </c>
      <c r="G595" s="4" t="s">
        <v>2056</v>
      </c>
      <c r="H595" s="4" t="s">
        <v>2092</v>
      </c>
      <c r="I595" s="22">
        <v>2305154.3939999999</v>
      </c>
      <c r="J595" s="22">
        <v>585512.46499999997</v>
      </c>
      <c r="K595" s="22">
        <v>2305135.7659999998</v>
      </c>
      <c r="L595" s="22">
        <v>585525.18099999998</v>
      </c>
      <c r="M595" s="6">
        <v>22.553999999999998</v>
      </c>
      <c r="N595" s="11">
        <v>3.93</v>
      </c>
      <c r="O595" s="11">
        <v>4.33</v>
      </c>
      <c r="P595" s="11">
        <f t="shared" si="18"/>
        <v>0.39999999999999991</v>
      </c>
      <c r="Q595" s="11">
        <f t="shared" si="19"/>
        <v>1.774</v>
      </c>
      <c r="R595" s="11">
        <v>1.1399999999999999</v>
      </c>
    </row>
    <row r="596" spans="2:18" ht="16" x14ac:dyDescent="0.3">
      <c r="B596" s="4">
        <v>590</v>
      </c>
      <c r="C596" s="4" t="s">
        <v>3759</v>
      </c>
      <c r="D596" s="5" t="s">
        <v>3284</v>
      </c>
      <c r="E596" s="4">
        <v>300</v>
      </c>
      <c r="F596" s="5" t="s">
        <v>3285</v>
      </c>
      <c r="G596" s="4" t="s">
        <v>2053</v>
      </c>
      <c r="H596" s="4" t="s">
        <v>2056</v>
      </c>
      <c r="I596" s="22">
        <v>2305167.58</v>
      </c>
      <c r="J596" s="22">
        <v>585529.83499999996</v>
      </c>
      <c r="K596" s="22">
        <v>2305155.2250000001</v>
      </c>
      <c r="L596" s="22">
        <v>585511.90899999999</v>
      </c>
      <c r="M596" s="6">
        <v>26.181999999999999</v>
      </c>
      <c r="N596" s="11">
        <v>4.01</v>
      </c>
      <c r="O596" s="11">
        <v>3.93</v>
      </c>
      <c r="P596" s="11">
        <f t="shared" si="18"/>
        <v>7.9999999999999627E-2</v>
      </c>
      <c r="Q596" s="11">
        <f t="shared" si="19"/>
        <v>0.30599999999999999</v>
      </c>
      <c r="R596" s="11">
        <v>1.3</v>
      </c>
    </row>
    <row r="597" spans="2:18" ht="16" x14ac:dyDescent="0.3">
      <c r="B597" s="4">
        <v>591</v>
      </c>
      <c r="C597" s="4" t="s">
        <v>3760</v>
      </c>
      <c r="D597" s="5" t="s">
        <v>3284</v>
      </c>
      <c r="E597" s="4">
        <v>300</v>
      </c>
      <c r="F597" s="5" t="s">
        <v>3285</v>
      </c>
      <c r="G597" s="4" t="s">
        <v>2086</v>
      </c>
      <c r="H597" s="4" t="s">
        <v>2053</v>
      </c>
      <c r="I597" s="22">
        <v>2305147.673</v>
      </c>
      <c r="J597" s="22">
        <v>585542.93700000003</v>
      </c>
      <c r="K597" s="22">
        <v>2305166.75</v>
      </c>
      <c r="L597" s="22">
        <v>585530.39199999999</v>
      </c>
      <c r="M597" s="6">
        <v>22.832000000000001</v>
      </c>
      <c r="N597" s="11">
        <v>4.33</v>
      </c>
      <c r="O597" s="11">
        <v>4.01</v>
      </c>
      <c r="P597" s="11">
        <f t="shared" si="18"/>
        <v>0.32000000000000028</v>
      </c>
      <c r="Q597" s="11">
        <f t="shared" si="19"/>
        <v>1.4019999999999999</v>
      </c>
      <c r="R597" s="11">
        <v>1.1000000000000001</v>
      </c>
    </row>
    <row r="598" spans="2:18" ht="16" x14ac:dyDescent="0.3">
      <c r="B598" s="4">
        <v>592</v>
      </c>
      <c r="C598" s="4" t="s">
        <v>3761</v>
      </c>
      <c r="D598" s="5" t="s">
        <v>3284</v>
      </c>
      <c r="E598" s="4">
        <v>300</v>
      </c>
      <c r="F598" s="5" t="s">
        <v>3285</v>
      </c>
      <c r="G598" s="4" t="s">
        <v>2083</v>
      </c>
      <c r="H598" s="4" t="s">
        <v>2086</v>
      </c>
      <c r="I598" s="22">
        <v>2305126.0789999999</v>
      </c>
      <c r="J598" s="22">
        <v>585557.41799999995</v>
      </c>
      <c r="K598" s="22">
        <v>2305147.0920000002</v>
      </c>
      <c r="L598" s="22">
        <v>585543.32700000005</v>
      </c>
      <c r="M598" s="6">
        <v>25.3</v>
      </c>
      <c r="N598" s="11">
        <v>4.42</v>
      </c>
      <c r="O598" s="11">
        <v>4.33</v>
      </c>
      <c r="P598" s="11">
        <f t="shared" si="18"/>
        <v>8.9999999999999858E-2</v>
      </c>
      <c r="Q598" s="11">
        <f t="shared" si="19"/>
        <v>0.35599999999999998</v>
      </c>
      <c r="R598" s="11">
        <v>0.89500000000000002</v>
      </c>
    </row>
    <row r="599" spans="2:18" ht="16" x14ac:dyDescent="0.3">
      <c r="B599" s="4">
        <v>593</v>
      </c>
      <c r="C599" s="4" t="s">
        <v>3762</v>
      </c>
      <c r="D599" s="5" t="s">
        <v>3284</v>
      </c>
      <c r="E599" s="4">
        <v>300</v>
      </c>
      <c r="F599" s="5" t="s">
        <v>3285</v>
      </c>
      <c r="G599" s="4" t="s">
        <v>1043</v>
      </c>
      <c r="H599" s="4" t="s">
        <v>1043</v>
      </c>
      <c r="I599" s="22">
        <v>2305102.9950000001</v>
      </c>
      <c r="J599" s="22">
        <v>585467.69099999999</v>
      </c>
      <c r="K599" s="22">
        <v>2305077.8670000001</v>
      </c>
      <c r="L599" s="22">
        <v>585484.57900000003</v>
      </c>
      <c r="M599" s="6">
        <v>30.276</v>
      </c>
      <c r="N599" s="11">
        <v>4.32</v>
      </c>
      <c r="O599" s="11">
        <v>4.42</v>
      </c>
      <c r="P599" s="11">
        <f t="shared" si="18"/>
        <v>9.9999999999999645E-2</v>
      </c>
      <c r="Q599" s="11">
        <f t="shared" si="19"/>
        <v>0.33</v>
      </c>
      <c r="R599" s="11">
        <v>0.9</v>
      </c>
    </row>
    <row r="600" spans="2:18" ht="16" x14ac:dyDescent="0.3">
      <c r="B600" s="4">
        <v>594</v>
      </c>
      <c r="C600" s="4" t="s">
        <v>3763</v>
      </c>
      <c r="D600" s="5" t="s">
        <v>3284</v>
      </c>
      <c r="E600" s="4">
        <v>300</v>
      </c>
      <c r="F600" s="5" t="s">
        <v>3285</v>
      </c>
      <c r="G600" s="4" t="s">
        <v>1043</v>
      </c>
      <c r="H600" s="4" t="s">
        <v>1043</v>
      </c>
      <c r="I600" s="22">
        <v>2305126.1490000002</v>
      </c>
      <c r="J600" s="22">
        <v>585452.16399999999</v>
      </c>
      <c r="K600" s="22">
        <v>2305103.5759999999</v>
      </c>
      <c r="L600" s="22">
        <v>585467.30099999998</v>
      </c>
      <c r="M600" s="6">
        <v>27.178999999999998</v>
      </c>
      <c r="N600" s="11">
        <v>4.2300000000000004</v>
      </c>
      <c r="O600" s="11">
        <v>4.32</v>
      </c>
      <c r="P600" s="11">
        <f t="shared" si="18"/>
        <v>8.9999999999999858E-2</v>
      </c>
      <c r="Q600" s="11">
        <f t="shared" si="19"/>
        <v>0.33100000000000002</v>
      </c>
      <c r="R600" s="11">
        <v>0.995</v>
      </c>
    </row>
    <row r="601" spans="2:18" ht="16" x14ac:dyDescent="0.3">
      <c r="B601" s="4">
        <v>595</v>
      </c>
      <c r="C601" s="4" t="s">
        <v>3764</v>
      </c>
      <c r="D601" s="5" t="s">
        <v>3284</v>
      </c>
      <c r="E601" s="4">
        <v>300</v>
      </c>
      <c r="F601" s="5" t="s">
        <v>3285</v>
      </c>
      <c r="G601" s="4" t="s">
        <v>1043</v>
      </c>
      <c r="H601" s="4" t="s">
        <v>1043</v>
      </c>
      <c r="I601" s="22">
        <v>2305149.5060000001</v>
      </c>
      <c r="J601" s="22">
        <v>585436.50199999998</v>
      </c>
      <c r="K601" s="22">
        <v>2305126.7310000001</v>
      </c>
      <c r="L601" s="22">
        <v>585451.77500000002</v>
      </c>
      <c r="M601" s="6">
        <v>27.420999999999999</v>
      </c>
      <c r="N601" s="11">
        <v>4.13</v>
      </c>
      <c r="O601" s="11">
        <v>4.2300000000000004</v>
      </c>
      <c r="P601" s="11">
        <f t="shared" si="18"/>
        <v>0.10000000000000053</v>
      </c>
      <c r="Q601" s="11">
        <f t="shared" si="19"/>
        <v>0.36499999999999999</v>
      </c>
      <c r="R601" s="11">
        <v>1.0900000000000001</v>
      </c>
    </row>
    <row r="602" spans="2:18" ht="16" x14ac:dyDescent="0.3">
      <c r="B602" s="4">
        <v>596</v>
      </c>
      <c r="C602" s="4" t="s">
        <v>3765</v>
      </c>
      <c r="D602" s="5" t="s">
        <v>3284</v>
      </c>
      <c r="E602" s="4">
        <v>300</v>
      </c>
      <c r="F602" s="5" t="s">
        <v>3285</v>
      </c>
      <c r="G602" s="4" t="s">
        <v>632</v>
      </c>
      <c r="H602" s="4" t="s">
        <v>1043</v>
      </c>
      <c r="I602" s="22">
        <v>2305168.3960000002</v>
      </c>
      <c r="J602" s="22">
        <v>585423.62</v>
      </c>
      <c r="K602" s="22">
        <v>2305150.0869999998</v>
      </c>
      <c r="L602" s="22">
        <v>585436.11300000001</v>
      </c>
      <c r="M602" s="6">
        <v>22.164999999999999</v>
      </c>
      <c r="N602" s="11">
        <v>2.75</v>
      </c>
      <c r="O602" s="11">
        <v>4.13</v>
      </c>
      <c r="P602" s="11">
        <f t="shared" si="18"/>
        <v>1.38</v>
      </c>
      <c r="Q602" s="11">
        <f t="shared" si="19"/>
        <v>6.226</v>
      </c>
      <c r="R602" s="11">
        <v>1.83</v>
      </c>
    </row>
    <row r="603" spans="2:18" ht="16" x14ac:dyDescent="0.3">
      <c r="B603" s="4">
        <v>597</v>
      </c>
      <c r="C603" s="4" t="s">
        <v>3766</v>
      </c>
      <c r="D603" s="5" t="s">
        <v>3284</v>
      </c>
      <c r="E603" s="4">
        <v>300</v>
      </c>
      <c r="F603" s="5" t="s">
        <v>3285</v>
      </c>
      <c r="G603" s="4" t="s">
        <v>629</v>
      </c>
      <c r="H603" s="4" t="s">
        <v>632</v>
      </c>
      <c r="I603" s="22">
        <v>2305181.4440000001</v>
      </c>
      <c r="J603" s="22">
        <v>585441.02099999995</v>
      </c>
      <c r="K603" s="22">
        <v>2305169.2259999998</v>
      </c>
      <c r="L603" s="22">
        <v>585423.06299999997</v>
      </c>
      <c r="M603" s="6">
        <v>27.731999999999999</v>
      </c>
      <c r="N603" s="11">
        <v>2.84</v>
      </c>
      <c r="O603" s="11">
        <v>2.75</v>
      </c>
      <c r="P603" s="11">
        <f t="shared" si="18"/>
        <v>8.9999999999999858E-2</v>
      </c>
      <c r="Q603" s="11">
        <f t="shared" si="19"/>
        <v>0.32500000000000001</v>
      </c>
      <c r="R603" s="11">
        <v>2.4750000000000001</v>
      </c>
    </row>
    <row r="604" spans="2:18" ht="16" x14ac:dyDescent="0.3">
      <c r="B604" s="4">
        <v>598</v>
      </c>
      <c r="C604" s="4" t="s">
        <v>3767</v>
      </c>
      <c r="D604" s="5" t="s">
        <v>3284</v>
      </c>
      <c r="E604" s="4">
        <v>300</v>
      </c>
      <c r="F604" s="5" t="s">
        <v>3285</v>
      </c>
      <c r="G604" s="4" t="s">
        <v>2125</v>
      </c>
      <c r="H604" s="4" t="s">
        <v>629</v>
      </c>
      <c r="I604" s="22">
        <v>2305161.9939999999</v>
      </c>
      <c r="J604" s="22">
        <v>585453.86899999995</v>
      </c>
      <c r="K604" s="22">
        <v>2305180.6129999999</v>
      </c>
      <c r="L604" s="22">
        <v>585441.57799999998</v>
      </c>
      <c r="M604" s="6">
        <v>22.31</v>
      </c>
      <c r="N604" s="11">
        <v>4.13</v>
      </c>
      <c r="O604" s="11">
        <v>2.84</v>
      </c>
      <c r="P604" s="11">
        <f t="shared" si="18"/>
        <v>1.29</v>
      </c>
      <c r="Q604" s="11">
        <f t="shared" si="19"/>
        <v>5.782</v>
      </c>
      <c r="R604" s="11">
        <v>1.7849999999999999</v>
      </c>
    </row>
    <row r="605" spans="2:18" ht="16" x14ac:dyDescent="0.3">
      <c r="B605" s="4">
        <v>599</v>
      </c>
      <c r="C605" s="4" t="s">
        <v>3768</v>
      </c>
      <c r="D605" s="5" t="s">
        <v>3284</v>
      </c>
      <c r="E605" s="4">
        <v>300</v>
      </c>
      <c r="F605" s="5" t="s">
        <v>3285</v>
      </c>
      <c r="G605" s="4" t="s">
        <v>2122</v>
      </c>
      <c r="H605" s="4" t="s">
        <v>2125</v>
      </c>
      <c r="I605" s="22">
        <v>2305138.6370000001</v>
      </c>
      <c r="J605" s="22">
        <v>585469.53099999996</v>
      </c>
      <c r="K605" s="22">
        <v>2305161.412</v>
      </c>
      <c r="L605" s="22">
        <v>585454.25899999996</v>
      </c>
      <c r="M605" s="6">
        <v>27.420999999999999</v>
      </c>
      <c r="N605" s="11">
        <v>4.2300000000000004</v>
      </c>
      <c r="O605" s="11">
        <v>4.13</v>
      </c>
      <c r="P605" s="11">
        <f t="shared" si="18"/>
        <v>0.10000000000000053</v>
      </c>
      <c r="Q605" s="11">
        <f t="shared" si="19"/>
        <v>0.36499999999999999</v>
      </c>
      <c r="R605" s="11">
        <v>1.0900000000000001</v>
      </c>
    </row>
    <row r="606" spans="2:18" ht="16" x14ac:dyDescent="0.3">
      <c r="B606" s="4">
        <v>600</v>
      </c>
      <c r="C606" s="4" t="s">
        <v>3769</v>
      </c>
      <c r="D606" s="5" t="s">
        <v>3284</v>
      </c>
      <c r="E606" s="4">
        <v>300</v>
      </c>
      <c r="F606" s="5" t="s">
        <v>3285</v>
      </c>
      <c r="G606" s="4" t="s">
        <v>2119</v>
      </c>
      <c r="H606" s="4" t="s">
        <v>2122</v>
      </c>
      <c r="I606" s="22">
        <v>2305115.483</v>
      </c>
      <c r="J606" s="22">
        <v>585485.05700000003</v>
      </c>
      <c r="K606" s="22">
        <v>2305138.0559999999</v>
      </c>
      <c r="L606" s="22">
        <v>585469.92099999997</v>
      </c>
      <c r="M606" s="6">
        <v>27.178999999999998</v>
      </c>
      <c r="N606" s="11">
        <v>4.32</v>
      </c>
      <c r="O606" s="11">
        <v>4.2300000000000004</v>
      </c>
      <c r="P606" s="11">
        <f t="shared" si="18"/>
        <v>8.9999999999999858E-2</v>
      </c>
      <c r="Q606" s="11">
        <f t="shared" si="19"/>
        <v>0.33100000000000002</v>
      </c>
      <c r="R606" s="11">
        <v>0.995</v>
      </c>
    </row>
    <row r="607" spans="2:18" ht="16" x14ac:dyDescent="0.3">
      <c r="B607" s="4">
        <v>601</v>
      </c>
      <c r="C607" s="4" t="s">
        <v>3770</v>
      </c>
      <c r="D607" s="5" t="s">
        <v>3284</v>
      </c>
      <c r="E607" s="4">
        <v>300</v>
      </c>
      <c r="F607" s="5" t="s">
        <v>3285</v>
      </c>
      <c r="G607" s="4" t="s">
        <v>1040</v>
      </c>
      <c r="H607" s="4" t="s">
        <v>2119</v>
      </c>
      <c r="I607" s="22">
        <v>2305089.75</v>
      </c>
      <c r="J607" s="22">
        <v>585502.34299999999</v>
      </c>
      <c r="K607" s="22">
        <v>2305114.915</v>
      </c>
      <c r="L607" s="22">
        <v>585485.46799999999</v>
      </c>
      <c r="M607" s="6">
        <v>30.3</v>
      </c>
      <c r="N607" s="11">
        <v>4.42</v>
      </c>
      <c r="O607" s="11">
        <v>4.32</v>
      </c>
      <c r="P607" s="11">
        <f t="shared" si="18"/>
        <v>9.9999999999999645E-2</v>
      </c>
      <c r="Q607" s="11">
        <f t="shared" si="19"/>
        <v>0.33</v>
      </c>
      <c r="R607" s="11">
        <v>0.9</v>
      </c>
    </row>
    <row r="608" spans="2:18" ht="16" x14ac:dyDescent="0.3">
      <c r="B608" s="4">
        <v>602</v>
      </c>
      <c r="C608" s="4" t="s">
        <v>3771</v>
      </c>
      <c r="D608" s="5" t="s">
        <v>3284</v>
      </c>
      <c r="E608" s="4">
        <v>300</v>
      </c>
      <c r="F608" s="5" t="s">
        <v>3285</v>
      </c>
      <c r="G608" s="4" t="s">
        <v>2332</v>
      </c>
      <c r="H608" s="4" t="s">
        <v>863</v>
      </c>
      <c r="I608" s="22">
        <v>2305184.6919999998</v>
      </c>
      <c r="J608" s="22">
        <v>585813.06599999999</v>
      </c>
      <c r="K608" s="22">
        <v>2305170.338</v>
      </c>
      <c r="L608" s="22">
        <v>585822.723</v>
      </c>
      <c r="M608" s="6">
        <v>17.3</v>
      </c>
      <c r="N608" s="11">
        <v>4.3499999999999996</v>
      </c>
      <c r="O608" s="11">
        <v>4.42</v>
      </c>
      <c r="P608" s="11">
        <f t="shared" si="18"/>
        <v>7.0000000000000284E-2</v>
      </c>
      <c r="Q608" s="11">
        <f t="shared" si="19"/>
        <v>0.40500000000000003</v>
      </c>
      <c r="R608" s="11">
        <v>0.88500000000000001</v>
      </c>
    </row>
    <row r="609" spans="2:18" ht="16" x14ac:dyDescent="0.3">
      <c r="B609" s="4">
        <v>603</v>
      </c>
      <c r="C609" s="4" t="s">
        <v>3772</v>
      </c>
      <c r="D609" s="5" t="s">
        <v>3284</v>
      </c>
      <c r="E609" s="4">
        <v>300</v>
      </c>
      <c r="F609" s="5" t="s">
        <v>3285</v>
      </c>
      <c r="G609" s="4" t="s">
        <v>641</v>
      </c>
      <c r="H609" s="4" t="s">
        <v>2332</v>
      </c>
      <c r="I609" s="22">
        <v>2305203.8990000002</v>
      </c>
      <c r="J609" s="22">
        <v>585800.41200000001</v>
      </c>
      <c r="K609" s="22">
        <v>2305185.273</v>
      </c>
      <c r="L609" s="22">
        <v>585812.67599999998</v>
      </c>
      <c r="M609" s="6">
        <v>22.300999999999998</v>
      </c>
      <c r="N609" s="11">
        <v>3.93</v>
      </c>
      <c r="O609" s="11">
        <v>4.3499999999999996</v>
      </c>
      <c r="P609" s="11">
        <f t="shared" si="18"/>
        <v>0.41999999999999948</v>
      </c>
      <c r="Q609" s="11">
        <f t="shared" si="19"/>
        <v>1.883</v>
      </c>
      <c r="R609" s="11">
        <v>1.1299999999999999</v>
      </c>
    </row>
    <row r="610" spans="2:18" ht="16" x14ac:dyDescent="0.3">
      <c r="B610" s="4">
        <v>604</v>
      </c>
      <c r="C610" s="4" t="s">
        <v>3773</v>
      </c>
      <c r="D610" s="5" t="s">
        <v>3284</v>
      </c>
      <c r="E610" s="4">
        <v>300</v>
      </c>
      <c r="F610" s="5" t="s">
        <v>3285</v>
      </c>
      <c r="G610" s="4" t="s">
        <v>644</v>
      </c>
      <c r="H610" s="4" t="s">
        <v>641</v>
      </c>
      <c r="I610" s="22">
        <v>2305193.9730000002</v>
      </c>
      <c r="J610" s="22">
        <v>585780.97600000002</v>
      </c>
      <c r="K610" s="22">
        <v>2305204.7289999998</v>
      </c>
      <c r="L610" s="22">
        <v>585799.85499999998</v>
      </c>
      <c r="M610" s="6">
        <v>31.757000000000001</v>
      </c>
      <c r="N610" s="11">
        <v>3.84</v>
      </c>
      <c r="O610" s="11">
        <v>3.93</v>
      </c>
      <c r="P610" s="11">
        <f t="shared" si="18"/>
        <v>9.0000000000000302E-2</v>
      </c>
      <c r="Q610" s="11">
        <f t="shared" si="19"/>
        <v>0.28299999999999997</v>
      </c>
      <c r="R610" s="11">
        <v>1.385</v>
      </c>
    </row>
    <row r="611" spans="2:18" ht="16" x14ac:dyDescent="0.3">
      <c r="B611" s="4">
        <v>605</v>
      </c>
      <c r="C611" s="4" t="s">
        <v>3774</v>
      </c>
      <c r="D611" s="5" t="s">
        <v>3284</v>
      </c>
      <c r="E611" s="4">
        <v>300</v>
      </c>
      <c r="F611" s="5" t="s">
        <v>3285</v>
      </c>
      <c r="G611" s="4" t="s">
        <v>2329</v>
      </c>
      <c r="H611" s="4" t="s">
        <v>644</v>
      </c>
      <c r="I611" s="22">
        <v>2305173.4049999998</v>
      </c>
      <c r="J611" s="22">
        <v>585794.97699999996</v>
      </c>
      <c r="K611" s="22">
        <v>2305193.142</v>
      </c>
      <c r="L611" s="22">
        <v>585781.53300000005</v>
      </c>
      <c r="M611" s="6">
        <v>23.881</v>
      </c>
      <c r="N611" s="11">
        <v>4.3499999999999996</v>
      </c>
      <c r="O611" s="11">
        <v>3.84</v>
      </c>
      <c r="P611" s="11">
        <f t="shared" si="18"/>
        <v>0.50999999999999979</v>
      </c>
      <c r="Q611" s="11">
        <f t="shared" si="19"/>
        <v>2.1360000000000001</v>
      </c>
      <c r="R611" s="11">
        <v>1.175</v>
      </c>
    </row>
    <row r="612" spans="2:18" ht="16" x14ac:dyDescent="0.3">
      <c r="B612" s="4">
        <v>606</v>
      </c>
      <c r="C612" s="4" t="s">
        <v>3775</v>
      </c>
      <c r="D612" s="5" t="s">
        <v>3284</v>
      </c>
      <c r="E612" s="4">
        <v>300</v>
      </c>
      <c r="F612" s="5" t="s">
        <v>3285</v>
      </c>
      <c r="G612" s="4" t="s">
        <v>866</v>
      </c>
      <c r="H612" s="4" t="s">
        <v>2329</v>
      </c>
      <c r="I612" s="22">
        <v>2305158.4309999999</v>
      </c>
      <c r="J612" s="22">
        <v>585804.96699999995</v>
      </c>
      <c r="K612" s="22">
        <v>2305172.8229999999</v>
      </c>
      <c r="L612" s="22">
        <v>585795.36699999997</v>
      </c>
      <c r="M612" s="6">
        <v>17.3</v>
      </c>
      <c r="N612" s="11">
        <v>4.42</v>
      </c>
      <c r="O612" s="11">
        <v>4.3499999999999996</v>
      </c>
      <c r="P612" s="11">
        <f t="shared" si="18"/>
        <v>7.0000000000000284E-2</v>
      </c>
      <c r="Q612" s="11">
        <f t="shared" si="19"/>
        <v>0.40500000000000003</v>
      </c>
      <c r="R612" s="11">
        <v>0.88500000000000001</v>
      </c>
    </row>
    <row r="613" spans="2:18" ht="16" x14ac:dyDescent="0.3">
      <c r="B613" s="4">
        <v>607</v>
      </c>
      <c r="C613" s="4" t="s">
        <v>3776</v>
      </c>
      <c r="D613" s="5" t="s">
        <v>3284</v>
      </c>
      <c r="E613" s="4">
        <v>300</v>
      </c>
      <c r="F613" s="5" t="s">
        <v>3285</v>
      </c>
      <c r="G613" s="4" t="s">
        <v>2326</v>
      </c>
      <c r="H613" s="4" t="s">
        <v>869</v>
      </c>
      <c r="I613" s="22">
        <v>2305172.977</v>
      </c>
      <c r="J613" s="22">
        <v>585781.23199999996</v>
      </c>
      <c r="K613" s="22">
        <v>2305151.9589999998</v>
      </c>
      <c r="L613" s="22">
        <v>585795.31499999994</v>
      </c>
      <c r="M613" s="6">
        <v>25.3</v>
      </c>
      <c r="N613" s="11">
        <v>4.3499999999999996</v>
      </c>
      <c r="O613" s="11">
        <v>4.42</v>
      </c>
      <c r="P613" s="11">
        <f t="shared" si="18"/>
        <v>7.0000000000000284E-2</v>
      </c>
      <c r="Q613" s="11">
        <f t="shared" si="19"/>
        <v>0.27700000000000002</v>
      </c>
      <c r="R613" s="11">
        <v>0.88500000000000001</v>
      </c>
    </row>
    <row r="614" spans="2:18" ht="16" x14ac:dyDescent="0.3">
      <c r="B614" s="4">
        <v>608</v>
      </c>
      <c r="C614" s="4" t="s">
        <v>3777</v>
      </c>
      <c r="D614" s="5" t="s">
        <v>3284</v>
      </c>
      <c r="E614" s="4">
        <v>300</v>
      </c>
      <c r="F614" s="5" t="s">
        <v>3285</v>
      </c>
      <c r="G614" s="4" t="s">
        <v>647</v>
      </c>
      <c r="H614" s="4" t="s">
        <v>2326</v>
      </c>
      <c r="I614" s="22">
        <v>2305185.52</v>
      </c>
      <c r="J614" s="22">
        <v>585773.00399999996</v>
      </c>
      <c r="K614" s="22">
        <v>2305173.5580000002</v>
      </c>
      <c r="L614" s="22">
        <v>585780.84199999995</v>
      </c>
      <c r="M614" s="6">
        <v>14.301</v>
      </c>
      <c r="N614" s="11">
        <v>3.81</v>
      </c>
      <c r="O614" s="11">
        <v>4.3499999999999996</v>
      </c>
      <c r="P614" s="11">
        <f t="shared" si="18"/>
        <v>0.53999999999999959</v>
      </c>
      <c r="Q614" s="11">
        <f t="shared" si="19"/>
        <v>3.7759999999999998</v>
      </c>
      <c r="R614" s="11">
        <v>1.19</v>
      </c>
    </row>
    <row r="615" spans="2:18" ht="16" x14ac:dyDescent="0.3">
      <c r="B615" s="4">
        <v>609</v>
      </c>
      <c r="C615" s="4" t="s">
        <v>3778</v>
      </c>
      <c r="D615" s="5" t="s">
        <v>3284</v>
      </c>
      <c r="E615" s="4">
        <v>300</v>
      </c>
      <c r="F615" s="5" t="s">
        <v>3285</v>
      </c>
      <c r="G615" s="4" t="s">
        <v>2323</v>
      </c>
      <c r="H615" s="4" t="s">
        <v>650</v>
      </c>
      <c r="I615" s="22">
        <v>2305155.0189999999</v>
      </c>
      <c r="J615" s="22">
        <v>585767.56000000006</v>
      </c>
      <c r="K615" s="22">
        <v>2305173.1740000001</v>
      </c>
      <c r="L615" s="22">
        <v>585755.13100000005</v>
      </c>
      <c r="M615" s="6">
        <v>22.001000000000001</v>
      </c>
      <c r="N615" s="11">
        <v>4.1399999999999997</v>
      </c>
      <c r="O615" s="11">
        <v>3.73</v>
      </c>
      <c r="P615" s="11">
        <f t="shared" si="18"/>
        <v>0.4099999999999997</v>
      </c>
      <c r="Q615" s="11">
        <f t="shared" si="19"/>
        <v>1.8640000000000001</v>
      </c>
      <c r="R615" s="11">
        <v>1.335</v>
      </c>
    </row>
    <row r="616" spans="2:18" ht="16" x14ac:dyDescent="0.3">
      <c r="B616" s="4">
        <v>610</v>
      </c>
      <c r="C616" s="4" t="s">
        <v>3779</v>
      </c>
      <c r="D616" s="5" t="s">
        <v>3284</v>
      </c>
      <c r="E616" s="4">
        <v>300</v>
      </c>
      <c r="F616" s="5" t="s">
        <v>3285</v>
      </c>
      <c r="G616" s="4" t="s">
        <v>2320</v>
      </c>
      <c r="H616" s="4" t="s">
        <v>2323</v>
      </c>
      <c r="I616" s="22">
        <v>2305135.9</v>
      </c>
      <c r="J616" s="22">
        <v>585780.34400000004</v>
      </c>
      <c r="K616" s="22">
        <v>2305154.4410000001</v>
      </c>
      <c r="L616" s="22">
        <v>585767.95400000003</v>
      </c>
      <c r="M616" s="6">
        <v>22.3</v>
      </c>
      <c r="N616" s="11">
        <v>4.2300000000000004</v>
      </c>
      <c r="O616" s="11">
        <v>4.1399999999999997</v>
      </c>
      <c r="P616" s="11">
        <f t="shared" si="18"/>
        <v>9.0000000000000746E-2</v>
      </c>
      <c r="Q616" s="11">
        <f t="shared" si="19"/>
        <v>0.40400000000000003</v>
      </c>
      <c r="R616" s="11">
        <v>1.085</v>
      </c>
    </row>
    <row r="617" spans="2:18" ht="16" x14ac:dyDescent="0.3">
      <c r="B617" s="4">
        <v>611</v>
      </c>
      <c r="C617" s="4" t="s">
        <v>3780</v>
      </c>
      <c r="D617" s="5" t="s">
        <v>3284</v>
      </c>
      <c r="E617" s="4">
        <v>300</v>
      </c>
      <c r="F617" s="5" t="s">
        <v>3285</v>
      </c>
      <c r="G617" s="4" t="s">
        <v>872</v>
      </c>
      <c r="H617" s="4" t="s">
        <v>2317</v>
      </c>
      <c r="I617" s="22">
        <v>2305087.7629999998</v>
      </c>
      <c r="J617" s="22">
        <v>585812.62199999997</v>
      </c>
      <c r="K617" s="22">
        <v>2305112.0980000002</v>
      </c>
      <c r="L617" s="22">
        <v>585796.304</v>
      </c>
      <c r="M617" s="6">
        <v>29.3</v>
      </c>
      <c r="N617" s="11">
        <v>4.42</v>
      </c>
      <c r="O617" s="11">
        <v>4.32</v>
      </c>
      <c r="P617" s="11">
        <f t="shared" si="18"/>
        <v>9.9999999999999645E-2</v>
      </c>
      <c r="Q617" s="11">
        <f t="shared" si="19"/>
        <v>0.34100000000000003</v>
      </c>
      <c r="R617" s="11">
        <v>0.9</v>
      </c>
    </row>
    <row r="618" spans="2:18" ht="16" x14ac:dyDescent="0.3">
      <c r="B618" s="4">
        <v>612</v>
      </c>
      <c r="C618" s="4" t="s">
        <v>3781</v>
      </c>
      <c r="D618" s="5" t="s">
        <v>3284</v>
      </c>
      <c r="E618" s="4">
        <v>300</v>
      </c>
      <c r="F618" s="5" t="s">
        <v>3285</v>
      </c>
      <c r="G618" s="4" t="s">
        <v>2308</v>
      </c>
      <c r="H618" s="4" t="s">
        <v>875</v>
      </c>
      <c r="I618" s="22">
        <v>2305102.2680000002</v>
      </c>
      <c r="J618" s="22">
        <v>585788.90300000005</v>
      </c>
      <c r="K618" s="22">
        <v>2305082.1230000001</v>
      </c>
      <c r="L618" s="22">
        <v>585802.41200000001</v>
      </c>
      <c r="M618" s="6">
        <v>24.254999999999999</v>
      </c>
      <c r="N618" s="11">
        <v>4.34</v>
      </c>
      <c r="O618" s="11">
        <v>4.42</v>
      </c>
      <c r="P618" s="11">
        <f t="shared" si="18"/>
        <v>8.0000000000000071E-2</v>
      </c>
      <c r="Q618" s="11">
        <f t="shared" si="19"/>
        <v>0.33</v>
      </c>
      <c r="R618" s="11">
        <v>0.89</v>
      </c>
    </row>
    <row r="619" spans="2:18" ht="16" x14ac:dyDescent="0.3">
      <c r="B619" s="4">
        <v>613</v>
      </c>
      <c r="C619" s="4" t="s">
        <v>3782</v>
      </c>
      <c r="D619" s="5" t="s">
        <v>3284</v>
      </c>
      <c r="E619" s="4">
        <v>300</v>
      </c>
      <c r="F619" s="5" t="s">
        <v>3285</v>
      </c>
      <c r="G619" s="4" t="s">
        <v>2311</v>
      </c>
      <c r="H619" s="4" t="s">
        <v>2308</v>
      </c>
      <c r="I619" s="22">
        <v>2305123.8629999999</v>
      </c>
      <c r="J619" s="22">
        <v>585774.42299999995</v>
      </c>
      <c r="K619" s="22">
        <v>2305102.85</v>
      </c>
      <c r="L619" s="22">
        <v>585788.51399999997</v>
      </c>
      <c r="M619" s="6">
        <v>25.3</v>
      </c>
      <c r="N619" s="11">
        <v>4.25</v>
      </c>
      <c r="O619" s="11">
        <v>4.34</v>
      </c>
      <c r="P619" s="11">
        <f t="shared" si="18"/>
        <v>8.9999999999999858E-2</v>
      </c>
      <c r="Q619" s="11">
        <f t="shared" si="19"/>
        <v>0.35599999999999998</v>
      </c>
      <c r="R619" s="11">
        <v>0.97499999999999998</v>
      </c>
    </row>
    <row r="620" spans="2:18" ht="16" x14ac:dyDescent="0.3">
      <c r="B620" s="4">
        <v>614</v>
      </c>
      <c r="C620" s="4" t="s">
        <v>3783</v>
      </c>
      <c r="D620" s="5" t="s">
        <v>3284</v>
      </c>
      <c r="E620" s="4">
        <v>300</v>
      </c>
      <c r="F620" s="5" t="s">
        <v>3285</v>
      </c>
      <c r="G620" s="4" t="s">
        <v>2314</v>
      </c>
      <c r="H620" s="4" t="s">
        <v>2311</v>
      </c>
      <c r="I620" s="22">
        <v>2305145.4569999999</v>
      </c>
      <c r="J620" s="22">
        <v>585759.94200000004</v>
      </c>
      <c r="K620" s="22">
        <v>2305124.4440000001</v>
      </c>
      <c r="L620" s="22">
        <v>585774.03300000005</v>
      </c>
      <c r="M620" s="6">
        <v>25.3</v>
      </c>
      <c r="N620" s="11">
        <v>4.17</v>
      </c>
      <c r="O620" s="11">
        <v>4.25</v>
      </c>
      <c r="P620" s="11">
        <f t="shared" si="18"/>
        <v>8.0000000000000071E-2</v>
      </c>
      <c r="Q620" s="11">
        <f t="shared" si="19"/>
        <v>0.316</v>
      </c>
      <c r="R620" s="11">
        <v>1.06</v>
      </c>
    </row>
    <row r="621" spans="2:18" ht="16" x14ac:dyDescent="0.3">
      <c r="B621" s="4">
        <v>615</v>
      </c>
      <c r="C621" s="4" t="s">
        <v>3784</v>
      </c>
      <c r="D621" s="5" t="s">
        <v>3284</v>
      </c>
      <c r="E621" s="4">
        <v>300</v>
      </c>
      <c r="F621" s="5" t="s">
        <v>3285</v>
      </c>
      <c r="G621" s="4" t="s">
        <v>653</v>
      </c>
      <c r="H621" s="4" t="s">
        <v>2314</v>
      </c>
      <c r="I621" s="22">
        <v>2305170.0460000001</v>
      </c>
      <c r="J621" s="22">
        <v>585743.71</v>
      </c>
      <c r="K621" s="22">
        <v>2305146.0380000002</v>
      </c>
      <c r="L621" s="22">
        <v>585759.55299999996</v>
      </c>
      <c r="M621" s="6">
        <v>28.763999999999999</v>
      </c>
      <c r="N621" s="11">
        <v>3.69</v>
      </c>
      <c r="O621" s="11">
        <v>4.17</v>
      </c>
      <c r="P621" s="11">
        <f t="shared" si="18"/>
        <v>0.48</v>
      </c>
      <c r="Q621" s="11">
        <f t="shared" si="19"/>
        <v>1.669</v>
      </c>
      <c r="R621" s="11">
        <v>1.34</v>
      </c>
    </row>
    <row r="622" spans="2:18" ht="16" x14ac:dyDescent="0.3">
      <c r="B622" s="4">
        <v>616</v>
      </c>
      <c r="C622" s="4" t="s">
        <v>3785</v>
      </c>
      <c r="D622" s="5" t="s">
        <v>3284</v>
      </c>
      <c r="E622" s="4">
        <v>300</v>
      </c>
      <c r="F622" s="5" t="s">
        <v>3285</v>
      </c>
      <c r="G622" s="4" t="s">
        <v>656</v>
      </c>
      <c r="H622" s="4" t="s">
        <v>653</v>
      </c>
      <c r="I622" s="22">
        <v>2305152.4649999999</v>
      </c>
      <c r="J622" s="22">
        <v>585719.66799999995</v>
      </c>
      <c r="K622" s="22">
        <v>2305170.8760000002</v>
      </c>
      <c r="L622" s="22">
        <v>585743.15300000005</v>
      </c>
      <c r="M622" s="6">
        <v>35.051000000000002</v>
      </c>
      <c r="N622" s="11">
        <v>3.58</v>
      </c>
      <c r="O622" s="11">
        <v>3.69</v>
      </c>
      <c r="P622" s="11">
        <f t="shared" si="18"/>
        <v>0.10999999999999988</v>
      </c>
      <c r="Q622" s="11">
        <f t="shared" si="19"/>
        <v>0.314</v>
      </c>
      <c r="R622" s="11">
        <v>1.655</v>
      </c>
    </row>
    <row r="623" spans="2:18" ht="16" x14ac:dyDescent="0.3">
      <c r="B623" s="4">
        <v>617</v>
      </c>
      <c r="C623" s="4" t="s">
        <v>3786</v>
      </c>
      <c r="D623" s="5" t="s">
        <v>3284</v>
      </c>
      <c r="E623" s="4">
        <v>300</v>
      </c>
      <c r="F623" s="5" t="s">
        <v>3285</v>
      </c>
      <c r="G623" s="4" t="s">
        <v>2305</v>
      </c>
      <c r="H623" s="4" t="s">
        <v>656</v>
      </c>
      <c r="I623" s="22">
        <v>2305129.676</v>
      </c>
      <c r="J623" s="22">
        <v>585735.152</v>
      </c>
      <c r="K623" s="22">
        <v>2305151.6340000001</v>
      </c>
      <c r="L623" s="22">
        <v>585720.22499999998</v>
      </c>
      <c r="M623" s="6">
        <v>26.555</v>
      </c>
      <c r="N623" s="11">
        <v>4.21</v>
      </c>
      <c r="O623" s="11">
        <v>3.58</v>
      </c>
      <c r="P623" s="11">
        <f t="shared" si="18"/>
        <v>0.62999999999999989</v>
      </c>
      <c r="Q623" s="11">
        <f t="shared" si="19"/>
        <v>2.3719999999999999</v>
      </c>
      <c r="R623" s="11">
        <v>1.415</v>
      </c>
    </row>
    <row r="624" spans="2:18" ht="16" x14ac:dyDescent="0.3">
      <c r="B624" s="4">
        <v>618</v>
      </c>
      <c r="C624" s="4" t="s">
        <v>3787</v>
      </c>
      <c r="D624" s="5" t="s">
        <v>3284</v>
      </c>
      <c r="E624" s="4">
        <v>300</v>
      </c>
      <c r="F624" s="5" t="s">
        <v>3285</v>
      </c>
      <c r="G624" s="4" t="s">
        <v>2302</v>
      </c>
      <c r="H624" s="4" t="s">
        <v>2305</v>
      </c>
      <c r="I624" s="22">
        <v>2305108.0819999999</v>
      </c>
      <c r="J624" s="22">
        <v>585749.63300000003</v>
      </c>
      <c r="K624" s="22">
        <v>2305129.0950000002</v>
      </c>
      <c r="L624" s="22">
        <v>585735.54200000002</v>
      </c>
      <c r="M624" s="6">
        <v>25.3</v>
      </c>
      <c r="N624" s="11">
        <v>4.29</v>
      </c>
      <c r="O624" s="11">
        <v>4.21</v>
      </c>
      <c r="P624" s="11">
        <f t="shared" si="18"/>
        <v>8.0000000000000071E-2</v>
      </c>
      <c r="Q624" s="11">
        <f t="shared" si="19"/>
        <v>0.316</v>
      </c>
      <c r="R624" s="11">
        <v>1.06</v>
      </c>
    </row>
    <row r="625" spans="2:18" ht="16" x14ac:dyDescent="0.3">
      <c r="B625" s="4">
        <v>619</v>
      </c>
      <c r="C625" s="4" t="s">
        <v>3788</v>
      </c>
      <c r="D625" s="5" t="s">
        <v>3284</v>
      </c>
      <c r="E625" s="4">
        <v>300</v>
      </c>
      <c r="F625" s="5" t="s">
        <v>3285</v>
      </c>
      <c r="G625" s="4" t="s">
        <v>2299</v>
      </c>
      <c r="H625" s="4" t="s">
        <v>2302</v>
      </c>
      <c r="I625" s="22">
        <v>2305086.4449999998</v>
      </c>
      <c r="J625" s="22">
        <v>585764.05000000005</v>
      </c>
      <c r="K625" s="22">
        <v>2305107.5</v>
      </c>
      <c r="L625" s="22">
        <v>585750.022</v>
      </c>
      <c r="M625" s="6">
        <v>25.3</v>
      </c>
      <c r="N625" s="11">
        <v>4.38</v>
      </c>
      <c r="O625" s="11">
        <v>4.29</v>
      </c>
      <c r="P625" s="11">
        <f t="shared" si="18"/>
        <v>8.9999999999999858E-2</v>
      </c>
      <c r="Q625" s="11">
        <f t="shared" si="19"/>
        <v>0.35599999999999998</v>
      </c>
      <c r="R625" s="11">
        <v>0.97499999999999998</v>
      </c>
    </row>
    <row r="626" spans="2:18" ht="16" x14ac:dyDescent="0.3">
      <c r="B626" s="4">
        <v>620</v>
      </c>
      <c r="C626" s="4" t="s">
        <v>3789</v>
      </c>
      <c r="D626" s="5" t="s">
        <v>3284</v>
      </c>
      <c r="E626" s="4">
        <v>300</v>
      </c>
      <c r="F626" s="5" t="s">
        <v>3285</v>
      </c>
      <c r="G626" s="4" t="s">
        <v>878</v>
      </c>
      <c r="H626" s="4" t="s">
        <v>2299</v>
      </c>
      <c r="I626" s="22">
        <v>2305065.773</v>
      </c>
      <c r="J626" s="22">
        <v>585778.11100000003</v>
      </c>
      <c r="K626" s="22">
        <v>2305085.906</v>
      </c>
      <c r="L626" s="22">
        <v>585764.50300000003</v>
      </c>
      <c r="M626" s="6">
        <v>24.3</v>
      </c>
      <c r="N626" s="11">
        <v>4.46</v>
      </c>
      <c r="O626" s="11">
        <v>4.38</v>
      </c>
      <c r="P626" s="11">
        <f t="shared" si="18"/>
        <v>8.0000000000000071E-2</v>
      </c>
      <c r="Q626" s="11">
        <f t="shared" si="19"/>
        <v>0.32900000000000001</v>
      </c>
      <c r="R626" s="11">
        <v>0.89</v>
      </c>
    </row>
    <row r="627" spans="2:18" ht="16" x14ac:dyDescent="0.3">
      <c r="B627" s="4">
        <v>621</v>
      </c>
      <c r="C627" s="4" t="s">
        <v>3790</v>
      </c>
      <c r="D627" s="5" t="s">
        <v>3284</v>
      </c>
      <c r="E627" s="4">
        <v>300</v>
      </c>
      <c r="F627" s="5" t="s">
        <v>3285</v>
      </c>
      <c r="G627" s="4" t="s">
        <v>2272</v>
      </c>
      <c r="H627" s="4" t="s">
        <v>887</v>
      </c>
      <c r="I627" s="22">
        <v>2305057.713</v>
      </c>
      <c r="J627" s="22">
        <v>585722.45900000003</v>
      </c>
      <c r="K627" s="22">
        <v>2305037.5299999998</v>
      </c>
      <c r="L627" s="22">
        <v>585735.99300000002</v>
      </c>
      <c r="M627" s="6">
        <v>24.3</v>
      </c>
      <c r="N627" s="11">
        <v>4.34</v>
      </c>
      <c r="O627" s="11">
        <v>4.42</v>
      </c>
      <c r="P627" s="11">
        <f t="shared" si="18"/>
        <v>8.0000000000000071E-2</v>
      </c>
      <c r="Q627" s="11">
        <f t="shared" si="19"/>
        <v>0.32900000000000001</v>
      </c>
      <c r="R627" s="11">
        <v>0.89</v>
      </c>
    </row>
    <row r="628" spans="2:18" ht="16" x14ac:dyDescent="0.3">
      <c r="B628" s="4">
        <v>622</v>
      </c>
      <c r="C628" s="4" t="s">
        <v>3791</v>
      </c>
      <c r="D628" s="5" t="s">
        <v>3284</v>
      </c>
      <c r="E628" s="4">
        <v>300</v>
      </c>
      <c r="F628" s="5" t="s">
        <v>3285</v>
      </c>
      <c r="G628" s="4" t="s">
        <v>2275</v>
      </c>
      <c r="H628" s="4" t="s">
        <v>2272</v>
      </c>
      <c r="I628" s="22">
        <v>2305079.307</v>
      </c>
      <c r="J628" s="22">
        <v>585707.97900000005</v>
      </c>
      <c r="K628" s="22">
        <v>2305058.2940000002</v>
      </c>
      <c r="L628" s="22">
        <v>585722.06900000002</v>
      </c>
      <c r="M628" s="6">
        <v>25.3</v>
      </c>
      <c r="N628" s="11">
        <v>4.25</v>
      </c>
      <c r="O628" s="11">
        <v>4.34</v>
      </c>
      <c r="P628" s="11">
        <f t="shared" si="18"/>
        <v>8.9999999999999858E-2</v>
      </c>
      <c r="Q628" s="11">
        <f t="shared" si="19"/>
        <v>0.35599999999999998</v>
      </c>
      <c r="R628" s="11">
        <v>0.97499999999999998</v>
      </c>
    </row>
    <row r="629" spans="2:18" ht="16" x14ac:dyDescent="0.3">
      <c r="B629" s="4">
        <v>623</v>
      </c>
      <c r="C629" s="4" t="s">
        <v>3792</v>
      </c>
      <c r="D629" s="5" t="s">
        <v>3284</v>
      </c>
      <c r="E629" s="4">
        <v>300</v>
      </c>
      <c r="F629" s="5" t="s">
        <v>3285</v>
      </c>
      <c r="G629" s="4" t="s">
        <v>2278</v>
      </c>
      <c r="H629" s="4" t="s">
        <v>2275</v>
      </c>
      <c r="I629" s="22">
        <v>2305102.5630000001</v>
      </c>
      <c r="J629" s="22">
        <v>585692.38399999996</v>
      </c>
      <c r="K629" s="22">
        <v>2305079.889</v>
      </c>
      <c r="L629" s="22">
        <v>585707.58900000004</v>
      </c>
      <c r="M629" s="6">
        <v>27.3</v>
      </c>
      <c r="N629" s="11">
        <v>4.16</v>
      </c>
      <c r="O629" s="11">
        <v>4.25</v>
      </c>
      <c r="P629" s="11">
        <f t="shared" si="18"/>
        <v>8.9999999999999858E-2</v>
      </c>
      <c r="Q629" s="11">
        <f t="shared" si="19"/>
        <v>0.33</v>
      </c>
      <c r="R629" s="11">
        <v>1.0649999999999999</v>
      </c>
    </row>
    <row r="630" spans="2:18" ht="16" x14ac:dyDescent="0.3">
      <c r="B630" s="4">
        <v>624</v>
      </c>
      <c r="C630" s="4" t="s">
        <v>3793</v>
      </c>
      <c r="D630" s="5" t="s">
        <v>3284</v>
      </c>
      <c r="E630" s="4">
        <v>300</v>
      </c>
      <c r="F630" s="5" t="s">
        <v>3285</v>
      </c>
      <c r="G630" s="4" t="s">
        <v>665</v>
      </c>
      <c r="H630" s="4" t="s">
        <v>2278</v>
      </c>
      <c r="I630" s="22">
        <v>2305125.4249999998</v>
      </c>
      <c r="J630" s="22">
        <v>585677.23600000003</v>
      </c>
      <c r="K630" s="22">
        <v>2305103.1439999999</v>
      </c>
      <c r="L630" s="22">
        <v>585691.995</v>
      </c>
      <c r="M630" s="6">
        <v>26.725000000000001</v>
      </c>
      <c r="N630" s="11">
        <v>3.4</v>
      </c>
      <c r="O630" s="11">
        <v>4.16</v>
      </c>
      <c r="P630" s="11">
        <f t="shared" si="18"/>
        <v>0.76000000000000023</v>
      </c>
      <c r="Q630" s="11">
        <f t="shared" si="19"/>
        <v>2.8439999999999999</v>
      </c>
      <c r="R630" s="11">
        <v>1.49</v>
      </c>
    </row>
    <row r="631" spans="2:18" ht="16" x14ac:dyDescent="0.3">
      <c r="B631" s="4">
        <v>625</v>
      </c>
      <c r="C631" s="4" t="s">
        <v>3794</v>
      </c>
      <c r="D631" s="5" t="s">
        <v>3284</v>
      </c>
      <c r="E631" s="4">
        <v>300</v>
      </c>
      <c r="F631" s="5" t="s">
        <v>3285</v>
      </c>
      <c r="G631" s="4" t="s">
        <v>668</v>
      </c>
      <c r="H631" s="4" t="s">
        <v>665</v>
      </c>
      <c r="I631" s="22">
        <v>2305110.2510000002</v>
      </c>
      <c r="J631" s="22">
        <v>585661.29500000004</v>
      </c>
      <c r="K631" s="22">
        <v>2305126.2549999999</v>
      </c>
      <c r="L631" s="22">
        <v>585676.679</v>
      </c>
      <c r="M631" s="6">
        <v>31.001999999999999</v>
      </c>
      <c r="N631" s="11">
        <v>3.31</v>
      </c>
      <c r="O631" s="11">
        <v>3.4</v>
      </c>
      <c r="P631" s="11">
        <f t="shared" si="18"/>
        <v>8.9999999999999858E-2</v>
      </c>
      <c r="Q631" s="11">
        <f t="shared" si="19"/>
        <v>0.28999999999999998</v>
      </c>
      <c r="R631" s="11">
        <v>1.915</v>
      </c>
    </row>
    <row r="632" spans="2:18" ht="16" x14ac:dyDescent="0.3">
      <c r="B632" s="4">
        <v>626</v>
      </c>
      <c r="C632" s="4" t="s">
        <v>3795</v>
      </c>
      <c r="D632" s="5" t="s">
        <v>3284</v>
      </c>
      <c r="E632" s="4">
        <v>300</v>
      </c>
      <c r="F632" s="5" t="s">
        <v>3285</v>
      </c>
      <c r="G632" s="4" t="s">
        <v>2269</v>
      </c>
      <c r="H632" s="4" t="s">
        <v>668</v>
      </c>
      <c r="I632" s="22">
        <v>2305091.2370000002</v>
      </c>
      <c r="J632" s="22">
        <v>585674.23899999994</v>
      </c>
      <c r="K632" s="22">
        <v>2305109.42</v>
      </c>
      <c r="L632" s="22">
        <v>585661.85199999996</v>
      </c>
      <c r="M632" s="6">
        <v>22.001000000000001</v>
      </c>
      <c r="N632" s="11">
        <v>4.16</v>
      </c>
      <c r="O632" s="11">
        <v>3.31</v>
      </c>
      <c r="P632" s="11">
        <f t="shared" si="18"/>
        <v>0.85000000000000009</v>
      </c>
      <c r="Q632" s="11">
        <f t="shared" si="19"/>
        <v>3.863</v>
      </c>
      <c r="R632" s="11">
        <v>1.5349999999999999</v>
      </c>
    </row>
    <row r="633" spans="2:18" ht="16" x14ac:dyDescent="0.3">
      <c r="B633" s="4">
        <v>627</v>
      </c>
      <c r="C633" s="4" t="s">
        <v>3796</v>
      </c>
      <c r="D633" s="5" t="s">
        <v>3284</v>
      </c>
      <c r="E633" s="4">
        <v>300</v>
      </c>
      <c r="F633" s="5" t="s">
        <v>3285</v>
      </c>
      <c r="G633" s="4" t="s">
        <v>2266</v>
      </c>
      <c r="H633" s="4" t="s">
        <v>2269</v>
      </c>
      <c r="I633" s="22">
        <v>2305067.9819999998</v>
      </c>
      <c r="J633" s="22">
        <v>585689.83299999998</v>
      </c>
      <c r="K633" s="22">
        <v>2305090.656</v>
      </c>
      <c r="L633" s="22">
        <v>585674.62800000003</v>
      </c>
      <c r="M633" s="6">
        <v>27.3</v>
      </c>
      <c r="N633" s="11">
        <v>4.25</v>
      </c>
      <c r="O633" s="11">
        <v>4.16</v>
      </c>
      <c r="P633" s="11">
        <f t="shared" si="18"/>
        <v>8.9999999999999858E-2</v>
      </c>
      <c r="Q633" s="11">
        <f t="shared" si="19"/>
        <v>0.33</v>
      </c>
      <c r="R633" s="11">
        <v>1.0649999999999999</v>
      </c>
    </row>
    <row r="634" spans="2:18" ht="16" x14ac:dyDescent="0.3">
      <c r="B634" s="4">
        <v>628</v>
      </c>
      <c r="C634" s="4" t="s">
        <v>3797</v>
      </c>
      <c r="D634" s="5" t="s">
        <v>3284</v>
      </c>
      <c r="E634" s="4">
        <v>300</v>
      </c>
      <c r="F634" s="5" t="s">
        <v>3285</v>
      </c>
      <c r="G634" s="4" t="s">
        <v>2263</v>
      </c>
      <c r="H634" s="4" t="s">
        <v>2266</v>
      </c>
      <c r="I634" s="22">
        <v>2305046.3879999998</v>
      </c>
      <c r="J634" s="22">
        <v>585704.31299999997</v>
      </c>
      <c r="K634" s="22">
        <v>2305067.4</v>
      </c>
      <c r="L634" s="22">
        <v>585690.223</v>
      </c>
      <c r="M634" s="6">
        <v>25.3</v>
      </c>
      <c r="N634" s="11">
        <v>4.34</v>
      </c>
      <c r="O634" s="11">
        <v>4.25</v>
      </c>
      <c r="P634" s="11">
        <f t="shared" si="18"/>
        <v>8.9999999999999858E-2</v>
      </c>
      <c r="Q634" s="11">
        <f t="shared" si="19"/>
        <v>0.35599999999999998</v>
      </c>
      <c r="R634" s="11">
        <v>0.97499999999999998</v>
      </c>
    </row>
    <row r="635" spans="2:18" ht="16" x14ac:dyDescent="0.3">
      <c r="B635" s="4">
        <v>629</v>
      </c>
      <c r="C635" s="4" t="s">
        <v>3798</v>
      </c>
      <c r="D635" s="5" t="s">
        <v>3284</v>
      </c>
      <c r="E635" s="4">
        <v>300</v>
      </c>
      <c r="F635" s="5" t="s">
        <v>3285</v>
      </c>
      <c r="G635" s="4" t="s">
        <v>890</v>
      </c>
      <c r="H635" s="4" t="s">
        <v>2263</v>
      </c>
      <c r="I635" s="22">
        <v>2305025.6239999998</v>
      </c>
      <c r="J635" s="22">
        <v>585718.23699999996</v>
      </c>
      <c r="K635" s="22">
        <v>2305045.8059999999</v>
      </c>
      <c r="L635" s="22">
        <v>585704.70299999998</v>
      </c>
      <c r="M635" s="6">
        <v>24.3</v>
      </c>
      <c r="N635" s="11">
        <v>4.42</v>
      </c>
      <c r="O635" s="11">
        <v>4.34</v>
      </c>
      <c r="P635" s="11">
        <f t="shared" si="18"/>
        <v>8.0000000000000071E-2</v>
      </c>
      <c r="Q635" s="11">
        <f t="shared" si="19"/>
        <v>0.32900000000000001</v>
      </c>
      <c r="R635" s="11">
        <v>0.89</v>
      </c>
    </row>
    <row r="636" spans="2:18" ht="16" x14ac:dyDescent="0.3">
      <c r="B636" s="4">
        <v>630</v>
      </c>
      <c r="C636" s="4" t="s">
        <v>3799</v>
      </c>
      <c r="D636" s="5" t="s">
        <v>3284</v>
      </c>
      <c r="E636" s="4">
        <v>300</v>
      </c>
      <c r="F636" s="5" t="s">
        <v>3285</v>
      </c>
      <c r="G636" s="4" t="s">
        <v>2260</v>
      </c>
      <c r="H636" s="4" t="s">
        <v>893</v>
      </c>
      <c r="I636" s="22">
        <v>2305085.0589999999</v>
      </c>
      <c r="J636" s="22">
        <v>585664.48600000003</v>
      </c>
      <c r="K636" s="22">
        <v>2305070.6460000002</v>
      </c>
      <c r="L636" s="22">
        <v>585674.054</v>
      </c>
      <c r="M636" s="6">
        <v>17.3</v>
      </c>
      <c r="N636" s="11">
        <v>4.3499999999999996</v>
      </c>
      <c r="O636" s="11">
        <v>4.42</v>
      </c>
      <c r="P636" s="11">
        <f t="shared" si="18"/>
        <v>7.0000000000000284E-2</v>
      </c>
      <c r="Q636" s="11">
        <f t="shared" si="19"/>
        <v>0.40500000000000003</v>
      </c>
      <c r="R636" s="11">
        <v>0.88500000000000001</v>
      </c>
    </row>
    <row r="637" spans="2:18" ht="16" x14ac:dyDescent="0.3">
      <c r="B637" s="4">
        <v>631</v>
      </c>
      <c r="C637" s="4" t="s">
        <v>3800</v>
      </c>
      <c r="D637" s="5" t="s">
        <v>3284</v>
      </c>
      <c r="E637" s="4">
        <v>300</v>
      </c>
      <c r="F637" s="5" t="s">
        <v>3285</v>
      </c>
      <c r="G637" s="4" t="s">
        <v>671</v>
      </c>
      <c r="H637" s="4" t="s">
        <v>2260</v>
      </c>
      <c r="I637" s="22">
        <v>2305105.7450000001</v>
      </c>
      <c r="J637" s="22">
        <v>585650.79099999997</v>
      </c>
      <c r="K637" s="22">
        <v>2305085.64</v>
      </c>
      <c r="L637" s="22">
        <v>585664.09600000002</v>
      </c>
      <c r="M637" s="6">
        <v>24.109000000000002</v>
      </c>
      <c r="N637" s="11">
        <v>3.27</v>
      </c>
      <c r="O637" s="11">
        <v>4.3499999999999996</v>
      </c>
      <c r="P637" s="11">
        <f t="shared" si="18"/>
        <v>1.0799999999999996</v>
      </c>
      <c r="Q637" s="11">
        <f t="shared" si="19"/>
        <v>4.4800000000000004</v>
      </c>
      <c r="R637" s="11">
        <v>1.46</v>
      </c>
    </row>
    <row r="638" spans="2:18" ht="16" x14ac:dyDescent="0.3">
      <c r="B638" s="4">
        <v>632</v>
      </c>
      <c r="C638" s="4" t="s">
        <v>3801</v>
      </c>
      <c r="D638" s="5" t="s">
        <v>3284</v>
      </c>
      <c r="E638" s="4">
        <v>300</v>
      </c>
      <c r="F638" s="5" t="s">
        <v>3285</v>
      </c>
      <c r="G638" s="4" t="s">
        <v>674</v>
      </c>
      <c r="H638" s="4" t="s">
        <v>671</v>
      </c>
      <c r="I638" s="22">
        <v>2305094.35</v>
      </c>
      <c r="J638" s="22">
        <v>585632.21699999995</v>
      </c>
      <c r="K638" s="22">
        <v>2305106.557</v>
      </c>
      <c r="L638" s="22">
        <v>585650.23400000005</v>
      </c>
      <c r="M638" s="6">
        <v>29.853000000000002</v>
      </c>
      <c r="N638" s="11">
        <v>3.19</v>
      </c>
      <c r="O638" s="11">
        <v>3.27</v>
      </c>
      <c r="P638" s="11">
        <f t="shared" si="18"/>
        <v>8.0000000000000071E-2</v>
      </c>
      <c r="Q638" s="11">
        <f t="shared" si="19"/>
        <v>0.26800000000000002</v>
      </c>
      <c r="R638" s="11">
        <v>2.04</v>
      </c>
    </row>
    <row r="639" spans="2:18" ht="16" x14ac:dyDescent="0.3">
      <c r="B639" s="4">
        <v>633</v>
      </c>
      <c r="C639" s="4" t="s">
        <v>3802</v>
      </c>
      <c r="D639" s="5" t="s">
        <v>3284</v>
      </c>
      <c r="E639" s="4">
        <v>300</v>
      </c>
      <c r="F639" s="5" t="s">
        <v>3285</v>
      </c>
      <c r="G639" s="4" t="s">
        <v>2257</v>
      </c>
      <c r="H639" s="4" t="s">
        <v>674</v>
      </c>
      <c r="I639" s="22">
        <v>2305073.682</v>
      </c>
      <c r="J639" s="22">
        <v>585646.26300000004</v>
      </c>
      <c r="K639" s="22">
        <v>2305093.5189999999</v>
      </c>
      <c r="L639" s="22">
        <v>585632.77399999998</v>
      </c>
      <c r="M639" s="6">
        <v>23.989000000000001</v>
      </c>
      <c r="N639" s="11">
        <v>4.3499999999999996</v>
      </c>
      <c r="O639" s="11">
        <v>3.19</v>
      </c>
      <c r="P639" s="11">
        <f t="shared" si="18"/>
        <v>1.1599999999999997</v>
      </c>
      <c r="Q639" s="11">
        <f t="shared" si="19"/>
        <v>4.8360000000000003</v>
      </c>
      <c r="R639" s="11">
        <v>1.5</v>
      </c>
    </row>
    <row r="640" spans="2:18" ht="16" x14ac:dyDescent="0.3">
      <c r="B640" s="4">
        <v>634</v>
      </c>
      <c r="C640" s="4" t="s">
        <v>3803</v>
      </c>
      <c r="D640" s="5" t="s">
        <v>3284</v>
      </c>
      <c r="E640" s="4">
        <v>300</v>
      </c>
      <c r="F640" s="5" t="s">
        <v>3285</v>
      </c>
      <c r="G640" s="4" t="s">
        <v>896</v>
      </c>
      <c r="H640" s="4" t="s">
        <v>2257</v>
      </c>
      <c r="I640" s="22">
        <v>2305058.7390000001</v>
      </c>
      <c r="J640" s="22">
        <v>585656.29799999995</v>
      </c>
      <c r="K640" s="22">
        <v>2305073.1</v>
      </c>
      <c r="L640" s="22">
        <v>585646.65300000005</v>
      </c>
      <c r="M640" s="6">
        <v>17.3</v>
      </c>
      <c r="N640" s="11">
        <v>4.42</v>
      </c>
      <c r="O640" s="11">
        <v>4.3499999999999996</v>
      </c>
      <c r="P640" s="11">
        <f t="shared" si="18"/>
        <v>7.0000000000000284E-2</v>
      </c>
      <c r="Q640" s="11">
        <f t="shared" si="19"/>
        <v>0.40500000000000003</v>
      </c>
      <c r="R640" s="11">
        <v>0.88500000000000001</v>
      </c>
    </row>
    <row r="641" spans="2:18" ht="16" x14ac:dyDescent="0.3">
      <c r="B641" s="4">
        <v>635</v>
      </c>
      <c r="C641" s="4" t="s">
        <v>3804</v>
      </c>
      <c r="D641" s="5" t="s">
        <v>3284</v>
      </c>
      <c r="E641" s="4">
        <v>300</v>
      </c>
      <c r="F641" s="5" t="s">
        <v>3285</v>
      </c>
      <c r="G641" s="4" t="s">
        <v>2254</v>
      </c>
      <c r="H641" s="4" t="s">
        <v>899</v>
      </c>
      <c r="I641" s="22">
        <v>2305066.62</v>
      </c>
      <c r="J641" s="22">
        <v>585636.98899999994</v>
      </c>
      <c r="K641" s="22">
        <v>2305052.2659999998</v>
      </c>
      <c r="L641" s="22">
        <v>585646.64599999995</v>
      </c>
      <c r="M641" s="6">
        <v>17.3</v>
      </c>
      <c r="N641" s="11">
        <v>4.3499999999999996</v>
      </c>
      <c r="O641" s="11">
        <v>4.42</v>
      </c>
      <c r="P641" s="11">
        <f t="shared" si="18"/>
        <v>7.0000000000000284E-2</v>
      </c>
      <c r="Q641" s="11">
        <f t="shared" si="19"/>
        <v>0.40500000000000003</v>
      </c>
      <c r="R641" s="11">
        <v>0.88500000000000001</v>
      </c>
    </row>
    <row r="642" spans="2:18" ht="16" x14ac:dyDescent="0.3">
      <c r="B642" s="4">
        <v>636</v>
      </c>
      <c r="C642" s="4" t="s">
        <v>3805</v>
      </c>
      <c r="D642" s="5" t="s">
        <v>3284</v>
      </c>
      <c r="E642" s="4">
        <v>300</v>
      </c>
      <c r="F642" s="5" t="s">
        <v>3285</v>
      </c>
      <c r="G642" s="4" t="s">
        <v>677</v>
      </c>
      <c r="H642" s="4" t="s">
        <v>2254</v>
      </c>
      <c r="I642" s="22">
        <v>2305085.8059999999</v>
      </c>
      <c r="J642" s="22">
        <v>585624.38399999996</v>
      </c>
      <c r="K642" s="22">
        <v>2305067.202</v>
      </c>
      <c r="L642" s="22">
        <v>585636.59900000005</v>
      </c>
      <c r="M642" s="6">
        <v>22.256</v>
      </c>
      <c r="N642" s="11">
        <v>3.15</v>
      </c>
      <c r="O642" s="11">
        <v>4.3499999999999996</v>
      </c>
      <c r="P642" s="11">
        <f t="shared" si="18"/>
        <v>1.1999999999999997</v>
      </c>
      <c r="Q642" s="11">
        <f t="shared" si="19"/>
        <v>5.3920000000000003</v>
      </c>
      <c r="R642" s="11">
        <v>1.52</v>
      </c>
    </row>
    <row r="643" spans="2:18" ht="16" x14ac:dyDescent="0.3">
      <c r="B643" s="4">
        <v>637</v>
      </c>
      <c r="C643" s="4" t="s">
        <v>3806</v>
      </c>
      <c r="D643" s="5" t="s">
        <v>3284</v>
      </c>
      <c r="E643" s="4">
        <v>300</v>
      </c>
      <c r="F643" s="5" t="s">
        <v>3285</v>
      </c>
      <c r="G643" s="4" t="s">
        <v>680</v>
      </c>
      <c r="H643" s="4" t="s">
        <v>677</v>
      </c>
      <c r="I643" s="22">
        <v>2305075.997</v>
      </c>
      <c r="J643" s="22">
        <v>585604.82900000003</v>
      </c>
      <c r="K643" s="22">
        <v>2305086.6740000001</v>
      </c>
      <c r="L643" s="22">
        <v>585623.80200000003</v>
      </c>
      <c r="M643" s="6">
        <v>31.637</v>
      </c>
      <c r="N643" s="11">
        <v>3.07</v>
      </c>
      <c r="O643" s="11">
        <v>3.15</v>
      </c>
      <c r="P643" s="11">
        <f t="shared" si="18"/>
        <v>8.0000000000000071E-2</v>
      </c>
      <c r="Q643" s="11">
        <f t="shared" si="19"/>
        <v>0.253</v>
      </c>
      <c r="R643" s="11">
        <v>2.16</v>
      </c>
    </row>
    <row r="644" spans="2:18" ht="16" x14ac:dyDescent="0.3">
      <c r="B644" s="4">
        <v>638</v>
      </c>
      <c r="C644" s="4" t="s">
        <v>3807</v>
      </c>
      <c r="D644" s="5" t="s">
        <v>3284</v>
      </c>
      <c r="E644" s="4">
        <v>300</v>
      </c>
      <c r="F644" s="5" t="s">
        <v>3285</v>
      </c>
      <c r="G644" s="4" t="s">
        <v>2251</v>
      </c>
      <c r="H644" s="4" t="s">
        <v>680</v>
      </c>
      <c r="I644" s="22">
        <v>2305057.801</v>
      </c>
      <c r="J644" s="22">
        <v>585617.19400000002</v>
      </c>
      <c r="K644" s="22">
        <v>2305075.1669999999</v>
      </c>
      <c r="L644" s="22">
        <v>585605.38600000006</v>
      </c>
      <c r="M644" s="6">
        <v>21</v>
      </c>
      <c r="N644" s="11">
        <v>4.3499999999999996</v>
      </c>
      <c r="O644" s="11">
        <v>3.07</v>
      </c>
      <c r="P644" s="11">
        <f t="shared" si="18"/>
        <v>1.2799999999999998</v>
      </c>
      <c r="Q644" s="11">
        <f t="shared" si="19"/>
        <v>6.0949999999999998</v>
      </c>
      <c r="R644" s="11">
        <v>1.56</v>
      </c>
    </row>
    <row r="645" spans="2:18" ht="16" x14ac:dyDescent="0.3">
      <c r="B645" s="4">
        <v>639</v>
      </c>
      <c r="C645" s="4" t="s">
        <v>3808</v>
      </c>
      <c r="D645" s="5" t="s">
        <v>3284</v>
      </c>
      <c r="E645" s="4">
        <v>300</v>
      </c>
      <c r="F645" s="5" t="s">
        <v>3285</v>
      </c>
      <c r="G645" s="4" t="s">
        <v>902</v>
      </c>
      <c r="H645" s="4" t="s">
        <v>2251</v>
      </c>
      <c r="I645" s="22">
        <v>2305040.36</v>
      </c>
      <c r="J645" s="22">
        <v>585628.89</v>
      </c>
      <c r="K645" s="22">
        <v>2305057.2200000002</v>
      </c>
      <c r="L645" s="22">
        <v>585617.58400000003</v>
      </c>
      <c r="M645" s="6">
        <v>20.3</v>
      </c>
      <c r="N645" s="11">
        <v>4.42</v>
      </c>
      <c r="O645" s="11">
        <v>4.3499999999999996</v>
      </c>
      <c r="P645" s="11">
        <f t="shared" si="18"/>
        <v>7.0000000000000284E-2</v>
      </c>
      <c r="Q645" s="11">
        <f t="shared" si="19"/>
        <v>0.34499999999999997</v>
      </c>
      <c r="R645" s="11">
        <v>0.88500000000000001</v>
      </c>
    </row>
    <row r="646" spans="2:18" ht="16" x14ac:dyDescent="0.3">
      <c r="B646" s="4">
        <v>640</v>
      </c>
      <c r="C646" s="4" t="s">
        <v>3809</v>
      </c>
      <c r="D646" s="5" t="s">
        <v>3284</v>
      </c>
      <c r="E646" s="4">
        <v>300</v>
      </c>
      <c r="F646" s="5" t="s">
        <v>3285</v>
      </c>
      <c r="G646" s="4" t="s">
        <v>2248</v>
      </c>
      <c r="H646" s="4" t="s">
        <v>905</v>
      </c>
      <c r="I646" s="22">
        <v>2305050.7480000001</v>
      </c>
      <c r="J646" s="22">
        <v>585607.93200000003</v>
      </c>
      <c r="K646" s="22">
        <v>2305033.9180000001</v>
      </c>
      <c r="L646" s="22">
        <v>585619.21699999995</v>
      </c>
      <c r="M646" s="6">
        <v>20.263000000000002</v>
      </c>
      <c r="N646" s="11">
        <v>4.3499999999999996</v>
      </c>
      <c r="O646" s="11">
        <v>4.42</v>
      </c>
      <c r="P646" s="11">
        <f t="shared" si="18"/>
        <v>7.0000000000000284E-2</v>
      </c>
      <c r="Q646" s="11">
        <f t="shared" si="19"/>
        <v>0.34499999999999997</v>
      </c>
      <c r="R646" s="11">
        <v>0.88500000000000001</v>
      </c>
    </row>
    <row r="647" spans="2:18" ht="16" x14ac:dyDescent="0.3">
      <c r="B647" s="4">
        <v>641</v>
      </c>
      <c r="C647" s="4" t="s">
        <v>3810</v>
      </c>
      <c r="D647" s="5" t="s">
        <v>3284</v>
      </c>
      <c r="E647" s="4">
        <v>300</v>
      </c>
      <c r="F647" s="5" t="s">
        <v>3285</v>
      </c>
      <c r="G647" s="4" t="s">
        <v>683</v>
      </c>
      <c r="H647" s="4" t="s">
        <v>2248</v>
      </c>
      <c r="I647" s="22">
        <v>2305067.4479999999</v>
      </c>
      <c r="J647" s="22">
        <v>585596.92700000003</v>
      </c>
      <c r="K647" s="22">
        <v>2305051.3289999999</v>
      </c>
      <c r="L647" s="22">
        <v>585607.54200000002</v>
      </c>
      <c r="M647" s="6">
        <v>19.300999999999998</v>
      </c>
      <c r="N647" s="11">
        <v>3.03</v>
      </c>
      <c r="O647" s="11">
        <v>4.3499999999999996</v>
      </c>
      <c r="P647" s="11">
        <f t="shared" ref="P647:P710" si="20">IF(AND(ISNUMBER(N647),ISNUMBER(O647)),ABS(N647-O647),0)</f>
        <v>1.3199999999999998</v>
      </c>
      <c r="Q647" s="11">
        <f t="shared" ref="Q647:Q710" si="21">IF(M647&gt;0,ROUND(P647/M647*100,3),0)</f>
        <v>6.8390000000000004</v>
      </c>
      <c r="R647" s="11">
        <v>1.58</v>
      </c>
    </row>
    <row r="648" spans="2:18" ht="16" x14ac:dyDescent="0.3">
      <c r="B648" s="4">
        <v>642</v>
      </c>
      <c r="C648" s="4" t="s">
        <v>3811</v>
      </c>
      <c r="D648" s="5" t="s">
        <v>3284</v>
      </c>
      <c r="E648" s="4">
        <v>300</v>
      </c>
      <c r="F648" s="5" t="s">
        <v>3285</v>
      </c>
      <c r="G648" s="4" t="s">
        <v>686</v>
      </c>
      <c r="H648" s="4" t="s">
        <v>683</v>
      </c>
      <c r="I648" s="22">
        <v>2305055.9440000001</v>
      </c>
      <c r="J648" s="22">
        <v>585578.51399999997</v>
      </c>
      <c r="K648" s="22">
        <v>2305068.2790000001</v>
      </c>
      <c r="L648" s="22">
        <v>585596.37</v>
      </c>
      <c r="M648" s="6">
        <v>33.633000000000003</v>
      </c>
      <c r="N648" s="11">
        <v>2.95</v>
      </c>
      <c r="O648" s="11">
        <v>3.03</v>
      </c>
      <c r="P648" s="11">
        <f t="shared" si="20"/>
        <v>7.9999999999999627E-2</v>
      </c>
      <c r="Q648" s="11">
        <f t="shared" si="21"/>
        <v>0.23799999999999999</v>
      </c>
      <c r="R648" s="11">
        <v>2.2799999999999998</v>
      </c>
    </row>
    <row r="649" spans="2:18" ht="16" x14ac:dyDescent="0.3">
      <c r="B649" s="4">
        <v>643</v>
      </c>
      <c r="C649" s="4" t="s">
        <v>3812</v>
      </c>
      <c r="D649" s="5" t="s">
        <v>3284</v>
      </c>
      <c r="E649" s="4">
        <v>300</v>
      </c>
      <c r="F649" s="5" t="s">
        <v>3285</v>
      </c>
      <c r="G649" s="4" t="s">
        <v>2245</v>
      </c>
      <c r="H649" s="4" t="s">
        <v>686</v>
      </c>
      <c r="I649" s="22">
        <v>2305039.4219999998</v>
      </c>
      <c r="J649" s="22">
        <v>585589.78599999996</v>
      </c>
      <c r="K649" s="22">
        <v>2305055.1129999999</v>
      </c>
      <c r="L649" s="22">
        <v>585579.071</v>
      </c>
      <c r="M649" s="6">
        <v>19.001000000000001</v>
      </c>
      <c r="N649" s="11">
        <v>4.3499999999999996</v>
      </c>
      <c r="O649" s="11">
        <v>2.95</v>
      </c>
      <c r="P649" s="11">
        <f t="shared" si="20"/>
        <v>1.3999999999999995</v>
      </c>
      <c r="Q649" s="11">
        <f t="shared" si="21"/>
        <v>7.3680000000000003</v>
      </c>
      <c r="R649" s="11">
        <v>1.62</v>
      </c>
    </row>
    <row r="650" spans="2:18" ht="16" x14ac:dyDescent="0.3">
      <c r="B650" s="4">
        <v>644</v>
      </c>
      <c r="C650" s="4" t="s">
        <v>3813</v>
      </c>
      <c r="D650" s="5" t="s">
        <v>3284</v>
      </c>
      <c r="E650" s="4">
        <v>300</v>
      </c>
      <c r="F650" s="5" t="s">
        <v>3285</v>
      </c>
      <c r="G650" s="4" t="s">
        <v>908</v>
      </c>
      <c r="H650" s="4" t="s">
        <v>2245</v>
      </c>
      <c r="I650" s="22">
        <v>2305021.9810000001</v>
      </c>
      <c r="J650" s="22">
        <v>585601.48199999996</v>
      </c>
      <c r="K650" s="22">
        <v>2305038.841</v>
      </c>
      <c r="L650" s="22">
        <v>585590.17599999998</v>
      </c>
      <c r="M650" s="6">
        <v>20.3</v>
      </c>
      <c r="N650" s="11">
        <v>4.42</v>
      </c>
      <c r="O650" s="11">
        <v>4.3499999999999996</v>
      </c>
      <c r="P650" s="11">
        <f t="shared" si="20"/>
        <v>7.0000000000000284E-2</v>
      </c>
      <c r="Q650" s="11">
        <f t="shared" si="21"/>
        <v>0.34499999999999997</v>
      </c>
      <c r="R650" s="11">
        <v>0.88500000000000001</v>
      </c>
    </row>
    <row r="651" spans="2:18" ht="16" x14ac:dyDescent="0.3">
      <c r="B651" s="4">
        <v>645</v>
      </c>
      <c r="C651" s="4" t="s">
        <v>3814</v>
      </c>
      <c r="D651" s="5" t="s">
        <v>3284</v>
      </c>
      <c r="E651" s="4">
        <v>300</v>
      </c>
      <c r="F651" s="5" t="s">
        <v>3285</v>
      </c>
      <c r="G651" s="4" t="s">
        <v>2242</v>
      </c>
      <c r="H651" s="4" t="s">
        <v>911</v>
      </c>
      <c r="I651" s="22">
        <v>2305032.3689999999</v>
      </c>
      <c r="J651" s="22">
        <v>585580.55200000003</v>
      </c>
      <c r="K651" s="22">
        <v>2305015.5210000002</v>
      </c>
      <c r="L651" s="22">
        <v>585591.84900000005</v>
      </c>
      <c r="M651" s="6">
        <v>20.283999999999999</v>
      </c>
      <c r="N651" s="11">
        <v>4.3499999999999996</v>
      </c>
      <c r="O651" s="11">
        <v>4.42</v>
      </c>
      <c r="P651" s="11">
        <f t="shared" si="20"/>
        <v>7.0000000000000284E-2</v>
      </c>
      <c r="Q651" s="11">
        <f t="shared" si="21"/>
        <v>0.34499999999999997</v>
      </c>
      <c r="R651" s="11">
        <v>0.88500000000000001</v>
      </c>
    </row>
    <row r="652" spans="2:18" ht="16" x14ac:dyDescent="0.3">
      <c r="B652" s="4">
        <v>646</v>
      </c>
      <c r="C652" s="4" t="s">
        <v>3815</v>
      </c>
      <c r="D652" s="5" t="s">
        <v>3284</v>
      </c>
      <c r="E652" s="4">
        <v>300</v>
      </c>
      <c r="F652" s="5" t="s">
        <v>3285</v>
      </c>
      <c r="G652" s="4" t="s">
        <v>689</v>
      </c>
      <c r="H652" s="4" t="s">
        <v>2242</v>
      </c>
      <c r="I652" s="22">
        <v>2305050.6949999998</v>
      </c>
      <c r="J652" s="22">
        <v>585568.44200000004</v>
      </c>
      <c r="K652" s="22">
        <v>2305032.9500000002</v>
      </c>
      <c r="L652" s="22">
        <v>585580.13399999996</v>
      </c>
      <c r="M652" s="6">
        <v>21.25</v>
      </c>
      <c r="N652" s="11">
        <v>2.91</v>
      </c>
      <c r="O652" s="11">
        <v>4.3499999999999996</v>
      </c>
      <c r="P652" s="11">
        <f t="shared" si="20"/>
        <v>1.4399999999999995</v>
      </c>
      <c r="Q652" s="11">
        <f t="shared" si="21"/>
        <v>6.7759999999999998</v>
      </c>
      <c r="R652" s="11">
        <v>1.64</v>
      </c>
    </row>
    <row r="653" spans="2:18" ht="16" x14ac:dyDescent="0.3">
      <c r="B653" s="4">
        <v>647</v>
      </c>
      <c r="C653" s="4" t="s">
        <v>3816</v>
      </c>
      <c r="D653" s="5" t="s">
        <v>3284</v>
      </c>
      <c r="E653" s="4">
        <v>300</v>
      </c>
      <c r="F653" s="5" t="s">
        <v>3285</v>
      </c>
      <c r="G653" s="4" t="s">
        <v>692</v>
      </c>
      <c r="H653" s="4" t="s">
        <v>689</v>
      </c>
      <c r="I653" s="22">
        <v>2305040.3139999998</v>
      </c>
      <c r="J653" s="22">
        <v>585549.23899999994</v>
      </c>
      <c r="K653" s="22">
        <v>2305051.5249999999</v>
      </c>
      <c r="L653" s="22">
        <v>585567.88500000001</v>
      </c>
      <c r="M653" s="6">
        <v>28.077999999999999</v>
      </c>
      <c r="N653" s="11">
        <v>2.82</v>
      </c>
      <c r="O653" s="11">
        <v>2.91</v>
      </c>
      <c r="P653" s="11">
        <f t="shared" si="20"/>
        <v>9.0000000000000302E-2</v>
      </c>
      <c r="Q653" s="11">
        <f t="shared" si="21"/>
        <v>0.32100000000000001</v>
      </c>
      <c r="R653" s="11">
        <v>2.4049999999999998</v>
      </c>
    </row>
    <row r="654" spans="2:18" ht="16" x14ac:dyDescent="0.3">
      <c r="B654" s="4">
        <v>648</v>
      </c>
      <c r="C654" s="4" t="s">
        <v>3817</v>
      </c>
      <c r="D654" s="5" t="s">
        <v>3284</v>
      </c>
      <c r="E654" s="4">
        <v>300</v>
      </c>
      <c r="F654" s="5" t="s">
        <v>3285</v>
      </c>
      <c r="G654" s="4" t="s">
        <v>2221</v>
      </c>
      <c r="H654" s="4" t="s">
        <v>692</v>
      </c>
      <c r="I654" s="22">
        <v>2305025.196</v>
      </c>
      <c r="J654" s="22">
        <v>585559.59299999999</v>
      </c>
      <c r="K654" s="22">
        <v>2305039.483</v>
      </c>
      <c r="L654" s="22">
        <v>585549.79599999997</v>
      </c>
      <c r="M654" s="6">
        <v>17.324000000000002</v>
      </c>
      <c r="N654" s="11">
        <v>4.13</v>
      </c>
      <c r="O654" s="11">
        <v>2.82</v>
      </c>
      <c r="P654" s="11">
        <f t="shared" si="20"/>
        <v>1.31</v>
      </c>
      <c r="Q654" s="11">
        <f t="shared" si="21"/>
        <v>7.5620000000000003</v>
      </c>
      <c r="R654" s="11">
        <v>1.7949999999999999</v>
      </c>
    </row>
    <row r="655" spans="2:18" ht="16" x14ac:dyDescent="0.3">
      <c r="B655" s="4">
        <v>649</v>
      </c>
      <c r="C655" s="4" t="s">
        <v>3818</v>
      </c>
      <c r="D655" s="5" t="s">
        <v>3284</v>
      </c>
      <c r="E655" s="4">
        <v>300</v>
      </c>
      <c r="F655" s="5" t="s">
        <v>3285</v>
      </c>
      <c r="G655" s="4" t="s">
        <v>2218</v>
      </c>
      <c r="H655" s="4" t="s">
        <v>2221</v>
      </c>
      <c r="I655" s="22">
        <v>2305003.6460000002</v>
      </c>
      <c r="J655" s="22">
        <v>585574.04399999999</v>
      </c>
      <c r="K655" s="22">
        <v>2305024.6150000002</v>
      </c>
      <c r="L655" s="22">
        <v>585559.98300000001</v>
      </c>
      <c r="M655" s="6">
        <v>25.247</v>
      </c>
      <c r="N655" s="11">
        <v>4.21</v>
      </c>
      <c r="O655" s="11">
        <v>4.13</v>
      </c>
      <c r="P655" s="11">
        <f t="shared" si="20"/>
        <v>8.0000000000000071E-2</v>
      </c>
      <c r="Q655" s="11">
        <f t="shared" si="21"/>
        <v>0.317</v>
      </c>
      <c r="R655" s="11">
        <v>1.1000000000000001</v>
      </c>
    </row>
    <row r="656" spans="2:18" ht="16" x14ac:dyDescent="0.3">
      <c r="B656" s="4">
        <v>650</v>
      </c>
      <c r="C656" s="4" t="s">
        <v>3819</v>
      </c>
      <c r="D656" s="5" t="s">
        <v>3284</v>
      </c>
      <c r="E656" s="4">
        <v>300</v>
      </c>
      <c r="F656" s="5" t="s">
        <v>3285</v>
      </c>
      <c r="G656" s="4" t="s">
        <v>914</v>
      </c>
      <c r="H656" s="4" t="s">
        <v>2215</v>
      </c>
      <c r="I656" s="22">
        <v>2304952.281</v>
      </c>
      <c r="J656" s="22">
        <v>585607.20900000003</v>
      </c>
      <c r="K656" s="22">
        <v>2304975.324</v>
      </c>
      <c r="L656" s="22">
        <v>585591.69200000004</v>
      </c>
      <c r="M656" s="6">
        <v>27.780999999999999</v>
      </c>
      <c r="N656" s="11">
        <v>4.42</v>
      </c>
      <c r="O656" s="11">
        <v>4.32</v>
      </c>
      <c r="P656" s="11">
        <f t="shared" si="20"/>
        <v>9.9999999999999645E-2</v>
      </c>
      <c r="Q656" s="11">
        <f t="shared" si="21"/>
        <v>0.36</v>
      </c>
      <c r="R656" s="11">
        <v>0.9</v>
      </c>
    </row>
    <row r="657" spans="2:18" ht="16" x14ac:dyDescent="0.3">
      <c r="B657" s="4">
        <v>651</v>
      </c>
      <c r="C657" s="4" t="s">
        <v>3820</v>
      </c>
      <c r="D657" s="5" t="s">
        <v>3284</v>
      </c>
      <c r="E657" s="4">
        <v>300</v>
      </c>
      <c r="F657" s="5" t="s">
        <v>3285</v>
      </c>
      <c r="G657" s="4" t="s">
        <v>2233</v>
      </c>
      <c r="H657" s="4" t="s">
        <v>917</v>
      </c>
      <c r="I657" s="22">
        <v>2304965.8169999998</v>
      </c>
      <c r="J657" s="22">
        <v>585585.41799999995</v>
      </c>
      <c r="K657" s="22">
        <v>2304945.6349999998</v>
      </c>
      <c r="L657" s="22">
        <v>585598.95200000005</v>
      </c>
      <c r="M657" s="6">
        <v>24.3</v>
      </c>
      <c r="N657" s="11">
        <v>4.34</v>
      </c>
      <c r="O657" s="11">
        <v>4.42</v>
      </c>
      <c r="P657" s="11">
        <f t="shared" si="20"/>
        <v>8.0000000000000071E-2</v>
      </c>
      <c r="Q657" s="11">
        <f t="shared" si="21"/>
        <v>0.32900000000000001</v>
      </c>
      <c r="R657" s="11">
        <v>0.89</v>
      </c>
    </row>
    <row r="658" spans="2:18" ht="16" x14ac:dyDescent="0.3">
      <c r="B658" s="4">
        <v>652</v>
      </c>
      <c r="C658" s="4" t="s">
        <v>3821</v>
      </c>
      <c r="D658" s="5" t="s">
        <v>3284</v>
      </c>
      <c r="E658" s="4">
        <v>300</v>
      </c>
      <c r="F658" s="5" t="s">
        <v>3285</v>
      </c>
      <c r="G658" s="4" t="s">
        <v>2236</v>
      </c>
      <c r="H658" s="4" t="s">
        <v>2233</v>
      </c>
      <c r="I658" s="22">
        <v>2304987.412</v>
      </c>
      <c r="J658" s="22">
        <v>585570.93799999997</v>
      </c>
      <c r="K658" s="22">
        <v>2304966.4300000002</v>
      </c>
      <c r="L658" s="22">
        <v>585585.00800000003</v>
      </c>
      <c r="M658" s="6">
        <v>25.263000000000002</v>
      </c>
      <c r="N658" s="11">
        <v>4.25</v>
      </c>
      <c r="O658" s="11">
        <v>4.34</v>
      </c>
      <c r="P658" s="11">
        <f t="shared" si="20"/>
        <v>8.9999999999999858E-2</v>
      </c>
      <c r="Q658" s="11">
        <f t="shared" si="21"/>
        <v>0.35599999999999998</v>
      </c>
      <c r="R658" s="11">
        <v>0.97499999999999998</v>
      </c>
    </row>
    <row r="659" spans="2:18" ht="16" x14ac:dyDescent="0.3">
      <c r="B659" s="4">
        <v>653</v>
      </c>
      <c r="C659" s="4" t="s">
        <v>3822</v>
      </c>
      <c r="D659" s="5" t="s">
        <v>3284</v>
      </c>
      <c r="E659" s="4">
        <v>300</v>
      </c>
      <c r="F659" s="5" t="s">
        <v>3285</v>
      </c>
      <c r="G659" s="4" t="s">
        <v>2239</v>
      </c>
      <c r="H659" s="4" t="s">
        <v>2236</v>
      </c>
      <c r="I659" s="22">
        <v>2305009.0060000001</v>
      </c>
      <c r="J659" s="22">
        <v>585556.45700000005</v>
      </c>
      <c r="K659" s="22">
        <v>2304987.9929999998</v>
      </c>
      <c r="L659" s="22">
        <v>585570.54799999995</v>
      </c>
      <c r="M659" s="6">
        <v>25.3</v>
      </c>
      <c r="N659" s="11">
        <v>4.17</v>
      </c>
      <c r="O659" s="11">
        <v>4.25</v>
      </c>
      <c r="P659" s="11">
        <f t="shared" si="20"/>
        <v>8.0000000000000071E-2</v>
      </c>
      <c r="Q659" s="11">
        <f t="shared" si="21"/>
        <v>0.316</v>
      </c>
      <c r="R659" s="11">
        <v>1.06</v>
      </c>
    </row>
    <row r="660" spans="2:18" ht="16" x14ac:dyDescent="0.3">
      <c r="B660" s="4">
        <v>654</v>
      </c>
      <c r="C660" s="4" t="s">
        <v>3823</v>
      </c>
      <c r="D660" s="5" t="s">
        <v>3284</v>
      </c>
      <c r="E660" s="4">
        <v>300</v>
      </c>
      <c r="F660" s="5" t="s">
        <v>3285</v>
      </c>
      <c r="G660" s="4" t="s">
        <v>695</v>
      </c>
      <c r="H660" s="4" t="s">
        <v>2239</v>
      </c>
      <c r="I660" s="22">
        <v>2305032.4049999998</v>
      </c>
      <c r="J660" s="22">
        <v>585540.978</v>
      </c>
      <c r="K660" s="22">
        <v>2305009.588</v>
      </c>
      <c r="L660" s="22">
        <v>585556.06799999997</v>
      </c>
      <c r="M660" s="6">
        <v>27.355</v>
      </c>
      <c r="N660" s="11">
        <v>2.79</v>
      </c>
      <c r="O660" s="11">
        <v>4.17</v>
      </c>
      <c r="P660" s="11">
        <f t="shared" si="20"/>
        <v>1.38</v>
      </c>
      <c r="Q660" s="11">
        <f t="shared" si="21"/>
        <v>5.0449999999999999</v>
      </c>
      <c r="R660" s="11">
        <v>1.79</v>
      </c>
    </row>
    <row r="661" spans="2:18" ht="16" x14ac:dyDescent="0.3">
      <c r="B661" s="4">
        <v>655</v>
      </c>
      <c r="C661" s="4" t="s">
        <v>3824</v>
      </c>
      <c r="D661" s="5" t="s">
        <v>3284</v>
      </c>
      <c r="E661" s="4">
        <v>300</v>
      </c>
      <c r="F661" s="5" t="s">
        <v>3285</v>
      </c>
      <c r="G661" s="4" t="s">
        <v>698</v>
      </c>
      <c r="H661" s="4" t="s">
        <v>695</v>
      </c>
      <c r="I661" s="22">
        <v>2305018.3810000001</v>
      </c>
      <c r="J661" s="22">
        <v>585524.29799999995</v>
      </c>
      <c r="K661" s="22">
        <v>2305033.2349999999</v>
      </c>
      <c r="L661" s="22">
        <v>585540.42099999997</v>
      </c>
      <c r="M661" s="6">
        <v>32.585000000000001</v>
      </c>
      <c r="N661" s="11">
        <v>2.7</v>
      </c>
      <c r="O661" s="11">
        <v>2.79</v>
      </c>
      <c r="P661" s="11">
        <f t="shared" si="20"/>
        <v>8.9999999999999858E-2</v>
      </c>
      <c r="Q661" s="11">
        <f t="shared" si="21"/>
        <v>0.27600000000000002</v>
      </c>
      <c r="R661" s="11">
        <v>2.5249999999999999</v>
      </c>
    </row>
    <row r="662" spans="2:18" ht="16" x14ac:dyDescent="0.3">
      <c r="B662" s="4">
        <v>656</v>
      </c>
      <c r="C662" s="4" t="s">
        <v>3825</v>
      </c>
      <c r="D662" s="5" t="s">
        <v>3284</v>
      </c>
      <c r="E662" s="4">
        <v>300</v>
      </c>
      <c r="F662" s="5" t="s">
        <v>3285</v>
      </c>
      <c r="G662" s="4" t="s">
        <v>2230</v>
      </c>
      <c r="H662" s="4" t="s">
        <v>698</v>
      </c>
      <c r="I662" s="22">
        <v>2304995.2179999999</v>
      </c>
      <c r="J662" s="22">
        <v>585540.02500000002</v>
      </c>
      <c r="K662" s="22">
        <v>2305017.5499999998</v>
      </c>
      <c r="L662" s="22">
        <v>585524.85400000005</v>
      </c>
      <c r="M662" s="6">
        <v>26.998000000000001</v>
      </c>
      <c r="N662" s="11">
        <v>4.17</v>
      </c>
      <c r="O662" s="11">
        <v>2.7</v>
      </c>
      <c r="P662" s="11">
        <f t="shared" si="20"/>
        <v>1.4699999999999998</v>
      </c>
      <c r="Q662" s="11">
        <f t="shared" si="21"/>
        <v>5.4450000000000003</v>
      </c>
      <c r="R662" s="11">
        <v>1.835</v>
      </c>
    </row>
    <row r="663" spans="2:18" ht="16" x14ac:dyDescent="0.3">
      <c r="B663" s="4">
        <v>657</v>
      </c>
      <c r="C663" s="4" t="s">
        <v>3826</v>
      </c>
      <c r="D663" s="5" t="s">
        <v>3284</v>
      </c>
      <c r="E663" s="4">
        <v>300</v>
      </c>
      <c r="F663" s="5" t="s">
        <v>3285</v>
      </c>
      <c r="G663" s="4" t="s">
        <v>2227</v>
      </c>
      <c r="H663" s="4" t="s">
        <v>2230</v>
      </c>
      <c r="I663" s="22">
        <v>2304976.0860000001</v>
      </c>
      <c r="J663" s="22">
        <v>585552.79200000002</v>
      </c>
      <c r="K663" s="22">
        <v>2304994.6370000001</v>
      </c>
      <c r="L663" s="22">
        <v>585540.41500000004</v>
      </c>
      <c r="M663" s="6">
        <v>22.3</v>
      </c>
      <c r="N663" s="11">
        <v>4.25</v>
      </c>
      <c r="O663" s="11">
        <v>4.17</v>
      </c>
      <c r="P663" s="11">
        <f t="shared" si="20"/>
        <v>8.0000000000000071E-2</v>
      </c>
      <c r="Q663" s="11">
        <f t="shared" si="21"/>
        <v>0.35899999999999999</v>
      </c>
      <c r="R663" s="11">
        <v>1.06</v>
      </c>
    </row>
    <row r="664" spans="2:18" ht="16" x14ac:dyDescent="0.3">
      <c r="B664" s="4">
        <v>658</v>
      </c>
      <c r="C664" s="4" t="s">
        <v>3827</v>
      </c>
      <c r="D664" s="5" t="s">
        <v>3284</v>
      </c>
      <c r="E664" s="4">
        <v>300</v>
      </c>
      <c r="F664" s="5" t="s">
        <v>3285</v>
      </c>
      <c r="G664" s="4" t="s">
        <v>2224</v>
      </c>
      <c r="H664" s="4" t="s">
        <v>2227</v>
      </c>
      <c r="I664" s="22">
        <v>2304954.4920000001</v>
      </c>
      <c r="J664" s="22">
        <v>585567.272</v>
      </c>
      <c r="K664" s="22">
        <v>2304975.5049999999</v>
      </c>
      <c r="L664" s="22">
        <v>585553.18200000003</v>
      </c>
      <c r="M664" s="6">
        <v>25.3</v>
      </c>
      <c r="N664" s="11">
        <v>4.34</v>
      </c>
      <c r="O664" s="11">
        <v>4.25</v>
      </c>
      <c r="P664" s="11">
        <f t="shared" si="20"/>
        <v>8.9999999999999858E-2</v>
      </c>
      <c r="Q664" s="11">
        <f t="shared" si="21"/>
        <v>0.35599999999999998</v>
      </c>
      <c r="R664" s="11">
        <v>0.97499999999999998</v>
      </c>
    </row>
    <row r="665" spans="2:18" ht="16" x14ac:dyDescent="0.3">
      <c r="B665" s="4">
        <v>659</v>
      </c>
      <c r="C665" s="4" t="s">
        <v>3828</v>
      </c>
      <c r="D665" s="5" t="s">
        <v>3284</v>
      </c>
      <c r="E665" s="4">
        <v>300</v>
      </c>
      <c r="F665" s="5" t="s">
        <v>3285</v>
      </c>
      <c r="G665" s="4" t="s">
        <v>920</v>
      </c>
      <c r="H665" s="4" t="s">
        <v>2224</v>
      </c>
      <c r="I665" s="22">
        <v>2304933.7779999999</v>
      </c>
      <c r="J665" s="22">
        <v>585581.27</v>
      </c>
      <c r="K665" s="22">
        <v>2304953.9109999998</v>
      </c>
      <c r="L665" s="22">
        <v>585567.66200000001</v>
      </c>
      <c r="M665" s="6">
        <v>24.3</v>
      </c>
      <c r="N665" s="11">
        <v>4.42</v>
      </c>
      <c r="O665" s="11">
        <v>4.34</v>
      </c>
      <c r="P665" s="11">
        <f t="shared" si="20"/>
        <v>8.0000000000000071E-2</v>
      </c>
      <c r="Q665" s="11">
        <f t="shared" si="21"/>
        <v>0.32900000000000001</v>
      </c>
      <c r="R665" s="11">
        <v>0.89</v>
      </c>
    </row>
    <row r="666" spans="2:18" ht="16" x14ac:dyDescent="0.3">
      <c r="B666" s="4">
        <v>660</v>
      </c>
      <c r="C666" s="4" t="s">
        <v>3829</v>
      </c>
      <c r="D666" s="5" t="s">
        <v>3284</v>
      </c>
      <c r="E666" s="4">
        <v>300</v>
      </c>
      <c r="F666" s="5" t="s">
        <v>3285</v>
      </c>
      <c r="G666" s="4" t="s">
        <v>2413</v>
      </c>
      <c r="H666" s="4" t="s">
        <v>941</v>
      </c>
      <c r="I666" s="22">
        <v>2304998.716</v>
      </c>
      <c r="J666" s="22">
        <v>585872.38500000001</v>
      </c>
      <c r="K666" s="22">
        <v>2304976.0180000002</v>
      </c>
      <c r="L666" s="22">
        <v>585887.55500000005</v>
      </c>
      <c r="M666" s="6">
        <v>27.3</v>
      </c>
      <c r="N666" s="11">
        <v>4.24</v>
      </c>
      <c r="O666" s="11">
        <v>4.32</v>
      </c>
      <c r="P666" s="11">
        <f t="shared" si="20"/>
        <v>8.0000000000000071E-2</v>
      </c>
      <c r="Q666" s="11">
        <f t="shared" si="21"/>
        <v>0.29299999999999998</v>
      </c>
      <c r="R666" s="11">
        <v>0.89</v>
      </c>
    </row>
    <row r="667" spans="2:18" ht="16" x14ac:dyDescent="0.3">
      <c r="B667" s="4">
        <v>661</v>
      </c>
      <c r="C667" s="4" t="s">
        <v>3830</v>
      </c>
      <c r="D667" s="5" t="s">
        <v>3284</v>
      </c>
      <c r="E667" s="4">
        <v>300</v>
      </c>
      <c r="F667" s="5" t="s">
        <v>3285</v>
      </c>
      <c r="G667" s="4" t="s">
        <v>2416</v>
      </c>
      <c r="H667" s="4" t="s">
        <v>2413</v>
      </c>
      <c r="I667" s="22">
        <v>2305017.7949999999</v>
      </c>
      <c r="J667" s="22">
        <v>585859.54099999997</v>
      </c>
      <c r="K667" s="22">
        <v>2304999.2969999998</v>
      </c>
      <c r="L667" s="22">
        <v>585871.99600000004</v>
      </c>
      <c r="M667" s="6">
        <v>22.3</v>
      </c>
      <c r="N667" s="11">
        <v>4.1500000000000004</v>
      </c>
      <c r="O667" s="11">
        <v>4.24</v>
      </c>
      <c r="P667" s="11">
        <f t="shared" si="20"/>
        <v>8.9999999999999858E-2</v>
      </c>
      <c r="Q667" s="11">
        <f t="shared" si="21"/>
        <v>0.40400000000000003</v>
      </c>
      <c r="R667" s="11">
        <v>0.97499999999999998</v>
      </c>
    </row>
    <row r="668" spans="2:18" ht="16" x14ac:dyDescent="0.3">
      <c r="B668" s="4">
        <v>662</v>
      </c>
      <c r="C668" s="4" t="s">
        <v>3831</v>
      </c>
      <c r="D668" s="5" t="s">
        <v>3284</v>
      </c>
      <c r="E668" s="4">
        <v>300</v>
      </c>
      <c r="F668" s="5" t="s">
        <v>3285</v>
      </c>
      <c r="G668" s="4" t="s">
        <v>2419</v>
      </c>
      <c r="H668" s="4" t="s">
        <v>2416</v>
      </c>
      <c r="I668" s="22">
        <v>2305039.39</v>
      </c>
      <c r="J668" s="22">
        <v>585845.06000000006</v>
      </c>
      <c r="K668" s="22">
        <v>2305018.3769999999</v>
      </c>
      <c r="L668" s="22">
        <v>585859.15099999995</v>
      </c>
      <c r="M668" s="6">
        <v>25.3</v>
      </c>
      <c r="N668" s="11">
        <v>4.07</v>
      </c>
      <c r="O668" s="11">
        <v>4.1500000000000004</v>
      </c>
      <c r="P668" s="11">
        <f t="shared" si="20"/>
        <v>8.0000000000000071E-2</v>
      </c>
      <c r="Q668" s="11">
        <f t="shared" si="21"/>
        <v>0.316</v>
      </c>
      <c r="R668" s="11">
        <v>1.06</v>
      </c>
    </row>
    <row r="669" spans="2:18" ht="16" x14ac:dyDescent="0.3">
      <c r="B669" s="4">
        <v>663</v>
      </c>
      <c r="C669" s="4" t="s">
        <v>3832</v>
      </c>
      <c r="D669" s="5" t="s">
        <v>3284</v>
      </c>
      <c r="E669" s="4">
        <v>300</v>
      </c>
      <c r="F669" s="5" t="s">
        <v>3285</v>
      </c>
      <c r="G669" s="4" t="s">
        <v>246</v>
      </c>
      <c r="H669" s="4" t="s">
        <v>2419</v>
      </c>
      <c r="I669" s="22">
        <v>2305059.7790000001</v>
      </c>
      <c r="J669" s="22">
        <v>585831.11199999996</v>
      </c>
      <c r="K669" s="22">
        <v>2305039.9709999999</v>
      </c>
      <c r="L669" s="22">
        <v>585844.67000000004</v>
      </c>
      <c r="M669" s="6">
        <v>24.004000000000001</v>
      </c>
      <c r="N669" s="11">
        <v>3.81</v>
      </c>
      <c r="O669" s="11">
        <v>4.07</v>
      </c>
      <c r="P669" s="11">
        <f t="shared" si="20"/>
        <v>0.26000000000000023</v>
      </c>
      <c r="Q669" s="11">
        <f t="shared" si="21"/>
        <v>1.083</v>
      </c>
      <c r="R669" s="11">
        <v>1.23</v>
      </c>
    </row>
    <row r="670" spans="2:18" ht="16" x14ac:dyDescent="0.3">
      <c r="B670" s="4">
        <v>664</v>
      </c>
      <c r="C670" s="4" t="s">
        <v>3833</v>
      </c>
      <c r="D670" s="5" t="s">
        <v>3284</v>
      </c>
      <c r="E670" s="4">
        <v>300</v>
      </c>
      <c r="F670" s="5" t="s">
        <v>3285</v>
      </c>
      <c r="G670" s="4" t="s">
        <v>243</v>
      </c>
      <c r="H670" s="4" t="s">
        <v>246</v>
      </c>
      <c r="I670" s="22">
        <v>2305074.7390000001</v>
      </c>
      <c r="J670" s="22">
        <v>585847.31299999997</v>
      </c>
      <c r="K670" s="22">
        <v>2305060.61</v>
      </c>
      <c r="L670" s="22">
        <v>585830.55500000005</v>
      </c>
      <c r="M670" s="6">
        <v>28.484000000000002</v>
      </c>
      <c r="N670" s="11">
        <v>3.89</v>
      </c>
      <c r="O670" s="11">
        <v>3.81</v>
      </c>
      <c r="P670" s="11">
        <f t="shared" si="20"/>
        <v>8.0000000000000071E-2</v>
      </c>
      <c r="Q670" s="11">
        <f t="shared" si="21"/>
        <v>0.28100000000000003</v>
      </c>
      <c r="R670" s="11">
        <v>1.32</v>
      </c>
    </row>
    <row r="671" spans="2:18" ht="16" x14ac:dyDescent="0.3">
      <c r="B671" s="4">
        <v>665</v>
      </c>
      <c r="C671" s="4" t="s">
        <v>3834</v>
      </c>
      <c r="D671" s="5" t="s">
        <v>3284</v>
      </c>
      <c r="E671" s="4">
        <v>300</v>
      </c>
      <c r="F671" s="5" t="s">
        <v>3285</v>
      </c>
      <c r="G671" s="4" t="s">
        <v>2410</v>
      </c>
      <c r="H671" s="4" t="s">
        <v>243</v>
      </c>
      <c r="I671" s="22">
        <v>2305051.878</v>
      </c>
      <c r="J671" s="22">
        <v>585862.42599999998</v>
      </c>
      <c r="K671" s="22">
        <v>2305073.9079999998</v>
      </c>
      <c r="L671" s="22">
        <v>585847.87</v>
      </c>
      <c r="M671" s="6">
        <v>26.405000000000001</v>
      </c>
      <c r="N671" s="11">
        <v>4.07</v>
      </c>
      <c r="O671" s="11">
        <v>3.89</v>
      </c>
      <c r="P671" s="11">
        <f t="shared" si="20"/>
        <v>0.18000000000000016</v>
      </c>
      <c r="Q671" s="11">
        <f t="shared" si="21"/>
        <v>0.68200000000000005</v>
      </c>
      <c r="R671" s="11">
        <v>1.19</v>
      </c>
    </row>
    <row r="672" spans="2:18" ht="16" x14ac:dyDescent="0.3">
      <c r="B672" s="4">
        <v>666</v>
      </c>
      <c r="C672" s="4" t="s">
        <v>3835</v>
      </c>
      <c r="D672" s="5" t="s">
        <v>3284</v>
      </c>
      <c r="E672" s="4">
        <v>300</v>
      </c>
      <c r="F672" s="5" t="s">
        <v>3285</v>
      </c>
      <c r="G672" s="4" t="s">
        <v>2407</v>
      </c>
      <c r="H672" s="4" t="s">
        <v>2410</v>
      </c>
      <c r="I672" s="22">
        <v>2305030.2829999998</v>
      </c>
      <c r="J672" s="22">
        <v>585876.90700000001</v>
      </c>
      <c r="K672" s="22">
        <v>2305051.2960000001</v>
      </c>
      <c r="L672" s="22">
        <v>585862.81599999999</v>
      </c>
      <c r="M672" s="6">
        <v>25.3</v>
      </c>
      <c r="N672" s="11">
        <v>4.1500000000000004</v>
      </c>
      <c r="O672" s="11">
        <v>4.07</v>
      </c>
      <c r="P672" s="11">
        <f t="shared" si="20"/>
        <v>8.0000000000000071E-2</v>
      </c>
      <c r="Q672" s="11">
        <f t="shared" si="21"/>
        <v>0.316</v>
      </c>
      <c r="R672" s="11">
        <v>1.06</v>
      </c>
    </row>
    <row r="673" spans="2:18" ht="16" x14ac:dyDescent="0.3">
      <c r="B673" s="4">
        <v>667</v>
      </c>
      <c r="C673" s="4" t="s">
        <v>3836</v>
      </c>
      <c r="D673" s="5" t="s">
        <v>3284</v>
      </c>
      <c r="E673" s="4">
        <v>300</v>
      </c>
      <c r="F673" s="5" t="s">
        <v>3285</v>
      </c>
      <c r="G673" s="4" t="s">
        <v>2404</v>
      </c>
      <c r="H673" s="4" t="s">
        <v>2407</v>
      </c>
      <c r="I673" s="22">
        <v>2305008.6889999998</v>
      </c>
      <c r="J673" s="22">
        <v>585891.38699999999</v>
      </c>
      <c r="K673" s="22">
        <v>2305029.702</v>
      </c>
      <c r="L673" s="22">
        <v>585877.29700000002</v>
      </c>
      <c r="M673" s="6">
        <v>25.3</v>
      </c>
      <c r="N673" s="11">
        <v>4.24</v>
      </c>
      <c r="O673" s="11">
        <v>4.1500000000000004</v>
      </c>
      <c r="P673" s="11">
        <f t="shared" si="20"/>
        <v>8.9999999999999858E-2</v>
      </c>
      <c r="Q673" s="11">
        <f t="shared" si="21"/>
        <v>0.35599999999999998</v>
      </c>
      <c r="R673" s="11">
        <v>0.97499999999999998</v>
      </c>
    </row>
    <row r="674" spans="2:18" ht="16" x14ac:dyDescent="0.3">
      <c r="B674" s="4">
        <v>668</v>
      </c>
      <c r="C674" s="4" t="s">
        <v>3837</v>
      </c>
      <c r="D674" s="5" t="s">
        <v>3284</v>
      </c>
      <c r="E674" s="4">
        <v>300</v>
      </c>
      <c r="F674" s="5" t="s">
        <v>3285</v>
      </c>
      <c r="G674" s="4" t="s">
        <v>938</v>
      </c>
      <c r="H674" s="4" t="s">
        <v>2404</v>
      </c>
      <c r="I674" s="22">
        <v>2304987.9249999998</v>
      </c>
      <c r="J674" s="22">
        <v>585905.31099999999</v>
      </c>
      <c r="K674" s="22">
        <v>2305008.108</v>
      </c>
      <c r="L674" s="22">
        <v>585891.777</v>
      </c>
      <c r="M674" s="6">
        <v>24.3</v>
      </c>
      <c r="N674" s="11">
        <v>4.32</v>
      </c>
      <c r="O674" s="11">
        <v>4.24</v>
      </c>
      <c r="P674" s="11">
        <f t="shared" si="20"/>
        <v>8.0000000000000071E-2</v>
      </c>
      <c r="Q674" s="11">
        <f t="shared" si="21"/>
        <v>0.32900000000000001</v>
      </c>
      <c r="R674" s="11">
        <v>0.89</v>
      </c>
    </row>
    <row r="675" spans="2:18" ht="16" x14ac:dyDescent="0.3">
      <c r="B675" s="4">
        <v>669</v>
      </c>
      <c r="C675" s="4" t="s">
        <v>3838</v>
      </c>
      <c r="D675" s="5" t="s">
        <v>3284</v>
      </c>
      <c r="E675" s="4">
        <v>300</v>
      </c>
      <c r="F675" s="5" t="s">
        <v>3285</v>
      </c>
      <c r="G675" s="4" t="s">
        <v>2968</v>
      </c>
      <c r="H675" s="4" t="s">
        <v>959</v>
      </c>
      <c r="I675" s="22">
        <v>2304917.4160000002</v>
      </c>
      <c r="J675" s="22">
        <v>585751.14500000002</v>
      </c>
      <c r="K675" s="22">
        <v>2304894.7050000001</v>
      </c>
      <c r="L675" s="22">
        <v>585766.29399999999</v>
      </c>
      <c r="M675" s="6">
        <v>27.3</v>
      </c>
      <c r="N675" s="11">
        <v>4.24</v>
      </c>
      <c r="O675" s="11">
        <v>4.32</v>
      </c>
      <c r="P675" s="11">
        <f t="shared" si="20"/>
        <v>8.0000000000000071E-2</v>
      </c>
      <c r="Q675" s="11">
        <f t="shared" si="21"/>
        <v>0.29299999999999998</v>
      </c>
      <c r="R675" s="11">
        <v>0.89</v>
      </c>
    </row>
    <row r="676" spans="2:18" ht="16" x14ac:dyDescent="0.3">
      <c r="B676" s="4">
        <v>670</v>
      </c>
      <c r="C676" s="4" t="s">
        <v>3839</v>
      </c>
      <c r="D676" s="5" t="s">
        <v>3284</v>
      </c>
      <c r="E676" s="4">
        <v>300</v>
      </c>
      <c r="F676" s="5" t="s">
        <v>3285</v>
      </c>
      <c r="G676" s="4" t="s">
        <v>2971</v>
      </c>
      <c r="H676" s="4" t="s">
        <v>2968</v>
      </c>
      <c r="I676" s="22">
        <v>2304936.4819999998</v>
      </c>
      <c r="J676" s="22">
        <v>585738.28</v>
      </c>
      <c r="K676" s="22">
        <v>2304917.997</v>
      </c>
      <c r="L676" s="22">
        <v>585750.755</v>
      </c>
      <c r="M676" s="6">
        <v>22.3</v>
      </c>
      <c r="N676" s="11">
        <v>4.1500000000000004</v>
      </c>
      <c r="O676" s="11">
        <v>4.24</v>
      </c>
      <c r="P676" s="11">
        <f t="shared" si="20"/>
        <v>8.9999999999999858E-2</v>
      </c>
      <c r="Q676" s="11">
        <f t="shared" si="21"/>
        <v>0.40400000000000003</v>
      </c>
      <c r="R676" s="11">
        <v>0.97499999999999998</v>
      </c>
    </row>
    <row r="677" spans="2:18" ht="16" x14ac:dyDescent="0.3">
      <c r="B677" s="4">
        <v>671</v>
      </c>
      <c r="C677" s="4" t="s">
        <v>3840</v>
      </c>
      <c r="D677" s="5" t="s">
        <v>3284</v>
      </c>
      <c r="E677" s="4">
        <v>300</v>
      </c>
      <c r="F677" s="5" t="s">
        <v>3285</v>
      </c>
      <c r="G677" s="4" t="s">
        <v>2974</v>
      </c>
      <c r="H677" s="4" t="s">
        <v>2971</v>
      </c>
      <c r="I677" s="22">
        <v>2304958.0759999999</v>
      </c>
      <c r="J677" s="22">
        <v>585723.80000000005</v>
      </c>
      <c r="K677" s="22">
        <v>2304937.0630000001</v>
      </c>
      <c r="L677" s="22">
        <v>585737.89</v>
      </c>
      <c r="M677" s="6">
        <v>25.3</v>
      </c>
      <c r="N677" s="11">
        <v>4.07</v>
      </c>
      <c r="O677" s="11">
        <v>4.1500000000000004</v>
      </c>
      <c r="P677" s="11">
        <f t="shared" si="20"/>
        <v>8.0000000000000071E-2</v>
      </c>
      <c r="Q677" s="11">
        <f t="shared" si="21"/>
        <v>0.316</v>
      </c>
      <c r="R677" s="11">
        <v>1.06</v>
      </c>
    </row>
    <row r="678" spans="2:18" ht="16" x14ac:dyDescent="0.3">
      <c r="B678" s="4">
        <v>672</v>
      </c>
      <c r="C678" s="4" t="s">
        <v>3841</v>
      </c>
      <c r="D678" s="5" t="s">
        <v>3284</v>
      </c>
      <c r="E678" s="4">
        <v>300</v>
      </c>
      <c r="F678" s="5" t="s">
        <v>3285</v>
      </c>
      <c r="G678" s="4" t="s">
        <v>268</v>
      </c>
      <c r="H678" s="4" t="s">
        <v>2974</v>
      </c>
      <c r="I678" s="22">
        <v>2304978.8029999998</v>
      </c>
      <c r="J678" s="22">
        <v>585709.821</v>
      </c>
      <c r="K678" s="22">
        <v>2304958.6570000001</v>
      </c>
      <c r="L678" s="22">
        <v>585723.41</v>
      </c>
      <c r="M678" s="6">
        <v>24.3</v>
      </c>
      <c r="N678" s="11">
        <v>3.29</v>
      </c>
      <c r="O678" s="11">
        <v>4.07</v>
      </c>
      <c r="P678" s="11">
        <f t="shared" si="20"/>
        <v>0.78000000000000025</v>
      </c>
      <c r="Q678" s="11">
        <f t="shared" si="21"/>
        <v>3.21</v>
      </c>
      <c r="R678" s="11">
        <v>1.49</v>
      </c>
    </row>
    <row r="679" spans="2:18" ht="16" x14ac:dyDescent="0.3">
      <c r="B679" s="4">
        <v>673</v>
      </c>
      <c r="C679" s="4" t="s">
        <v>3842</v>
      </c>
      <c r="D679" s="5" t="s">
        <v>3284</v>
      </c>
      <c r="E679" s="4">
        <v>300</v>
      </c>
      <c r="F679" s="5" t="s">
        <v>3285</v>
      </c>
      <c r="G679" s="4" t="s">
        <v>265</v>
      </c>
      <c r="H679" s="4" t="s">
        <v>268</v>
      </c>
      <c r="I679" s="22">
        <v>2304987.5210000002</v>
      </c>
      <c r="J679" s="22">
        <v>585730.00399999996</v>
      </c>
      <c r="K679" s="22">
        <v>2304979.6340000001</v>
      </c>
      <c r="L679" s="22">
        <v>585709.26399999997</v>
      </c>
      <c r="M679" s="6">
        <v>35.308</v>
      </c>
      <c r="N679" s="11">
        <v>3.37</v>
      </c>
      <c r="O679" s="11">
        <v>3.29</v>
      </c>
      <c r="P679" s="11">
        <f t="shared" si="20"/>
        <v>8.0000000000000071E-2</v>
      </c>
      <c r="Q679" s="11">
        <f t="shared" si="21"/>
        <v>0.22700000000000001</v>
      </c>
      <c r="R679" s="11">
        <v>1.84</v>
      </c>
    </row>
    <row r="680" spans="2:18" ht="16" x14ac:dyDescent="0.3">
      <c r="B680" s="4">
        <v>674</v>
      </c>
      <c r="C680" s="4" t="s">
        <v>3843</v>
      </c>
      <c r="D680" s="5" t="s">
        <v>3284</v>
      </c>
      <c r="E680" s="4">
        <v>300</v>
      </c>
      <c r="F680" s="5" t="s">
        <v>3285</v>
      </c>
      <c r="G680" s="4" t="s">
        <v>2983</v>
      </c>
      <c r="H680" s="4" t="s">
        <v>265</v>
      </c>
      <c r="I680" s="22">
        <v>2304970.5639999998</v>
      </c>
      <c r="J680" s="22">
        <v>585741.16599999997</v>
      </c>
      <c r="K680" s="22">
        <v>2304986.69</v>
      </c>
      <c r="L680" s="22">
        <v>585730.56099999999</v>
      </c>
      <c r="M680" s="6">
        <v>19.300999999999998</v>
      </c>
      <c r="N680" s="11">
        <v>4.07</v>
      </c>
      <c r="O680" s="11">
        <v>3.37</v>
      </c>
      <c r="P680" s="11">
        <f t="shared" si="20"/>
        <v>0.70000000000000018</v>
      </c>
      <c r="Q680" s="11">
        <f t="shared" si="21"/>
        <v>3.6269999999999998</v>
      </c>
      <c r="R680" s="11">
        <v>1.45</v>
      </c>
    </row>
    <row r="681" spans="2:18" ht="16" x14ac:dyDescent="0.3">
      <c r="B681" s="4">
        <v>675</v>
      </c>
      <c r="C681" s="4" t="s">
        <v>3844</v>
      </c>
      <c r="D681" s="5" t="s">
        <v>3284</v>
      </c>
      <c r="E681" s="4">
        <v>300</v>
      </c>
      <c r="F681" s="5" t="s">
        <v>3285</v>
      </c>
      <c r="G681" s="4" t="s">
        <v>2980</v>
      </c>
      <c r="H681" s="4" t="s">
        <v>2983</v>
      </c>
      <c r="I681" s="22">
        <v>2304948.9700000002</v>
      </c>
      <c r="J681" s="22">
        <v>585755.64599999995</v>
      </c>
      <c r="K681" s="22">
        <v>2304969.983</v>
      </c>
      <c r="L681" s="22">
        <v>585741.55599999998</v>
      </c>
      <c r="M681" s="6">
        <v>25.3</v>
      </c>
      <c r="N681" s="11">
        <v>4.1500000000000004</v>
      </c>
      <c r="O681" s="11">
        <v>4.07</v>
      </c>
      <c r="P681" s="11">
        <f t="shared" si="20"/>
        <v>8.0000000000000071E-2</v>
      </c>
      <c r="Q681" s="11">
        <f t="shared" si="21"/>
        <v>0.316</v>
      </c>
      <c r="R681" s="11">
        <v>1.06</v>
      </c>
    </row>
    <row r="682" spans="2:18" ht="16" x14ac:dyDescent="0.3">
      <c r="B682" s="4">
        <v>676</v>
      </c>
      <c r="C682" s="4" t="s">
        <v>3845</v>
      </c>
      <c r="D682" s="5" t="s">
        <v>3284</v>
      </c>
      <c r="E682" s="4">
        <v>300</v>
      </c>
      <c r="F682" s="5" t="s">
        <v>3285</v>
      </c>
      <c r="G682" s="4" t="s">
        <v>2977</v>
      </c>
      <c r="H682" s="4" t="s">
        <v>2980</v>
      </c>
      <c r="I682" s="22">
        <v>2304927.375</v>
      </c>
      <c r="J682" s="22">
        <v>585770.12699999998</v>
      </c>
      <c r="K682" s="22">
        <v>2304948.3879999998</v>
      </c>
      <c r="L682" s="22">
        <v>585756.03599999996</v>
      </c>
      <c r="M682" s="6">
        <v>25.3</v>
      </c>
      <c r="N682" s="11">
        <v>4.24</v>
      </c>
      <c r="O682" s="11">
        <v>4.1500000000000004</v>
      </c>
      <c r="P682" s="11">
        <f t="shared" si="20"/>
        <v>8.9999999999999858E-2</v>
      </c>
      <c r="Q682" s="11">
        <f t="shared" si="21"/>
        <v>0.35599999999999998</v>
      </c>
      <c r="R682" s="11">
        <v>0.97499999999999998</v>
      </c>
    </row>
    <row r="683" spans="2:18" ht="16" x14ac:dyDescent="0.3">
      <c r="B683" s="4">
        <v>677</v>
      </c>
      <c r="C683" s="4" t="s">
        <v>3846</v>
      </c>
      <c r="D683" s="5" t="s">
        <v>3284</v>
      </c>
      <c r="E683" s="4">
        <v>300</v>
      </c>
      <c r="F683" s="5" t="s">
        <v>3285</v>
      </c>
      <c r="G683" s="4" t="s">
        <v>956</v>
      </c>
      <c r="H683" s="4" t="s">
        <v>2977</v>
      </c>
      <c r="I683" s="22">
        <v>2304906.6120000002</v>
      </c>
      <c r="J683" s="22">
        <v>585784.05000000005</v>
      </c>
      <c r="K683" s="22">
        <v>2304926.7940000002</v>
      </c>
      <c r="L683" s="22">
        <v>585770.51699999999</v>
      </c>
      <c r="M683" s="6">
        <v>24.3</v>
      </c>
      <c r="N683" s="11">
        <v>4.32</v>
      </c>
      <c r="O683" s="11">
        <v>4.24</v>
      </c>
      <c r="P683" s="11">
        <f t="shared" si="20"/>
        <v>8.0000000000000071E-2</v>
      </c>
      <c r="Q683" s="11">
        <f t="shared" si="21"/>
        <v>0.32900000000000001</v>
      </c>
      <c r="R683" s="11">
        <v>0.89</v>
      </c>
    </row>
    <row r="684" spans="2:18" ht="16" x14ac:dyDescent="0.3">
      <c r="B684" s="4">
        <v>678</v>
      </c>
      <c r="C684" s="4" t="s">
        <v>3847</v>
      </c>
      <c r="D684" s="5" t="s">
        <v>3284</v>
      </c>
      <c r="E684" s="4">
        <v>300</v>
      </c>
      <c r="F684" s="5" t="s">
        <v>3285</v>
      </c>
      <c r="G684" s="4" t="s">
        <v>2950</v>
      </c>
      <c r="H684" s="4" t="s">
        <v>965</v>
      </c>
      <c r="I684" s="22">
        <v>2304899.0240000002</v>
      </c>
      <c r="J684" s="22">
        <v>585723.71699999995</v>
      </c>
      <c r="K684" s="22">
        <v>2304876.3259999999</v>
      </c>
      <c r="L684" s="22">
        <v>585738.88600000006</v>
      </c>
      <c r="M684" s="6">
        <v>27.3</v>
      </c>
      <c r="N684" s="11">
        <v>4.24</v>
      </c>
      <c r="O684" s="11">
        <v>4.32</v>
      </c>
      <c r="P684" s="11">
        <f t="shared" si="20"/>
        <v>8.0000000000000071E-2</v>
      </c>
      <c r="Q684" s="11">
        <f t="shared" si="21"/>
        <v>0.29299999999999998</v>
      </c>
      <c r="R684" s="11">
        <v>0.89</v>
      </c>
    </row>
    <row r="685" spans="2:18" ht="16" x14ac:dyDescent="0.3">
      <c r="B685" s="4">
        <v>679</v>
      </c>
      <c r="C685" s="4" t="s">
        <v>3848</v>
      </c>
      <c r="D685" s="5" t="s">
        <v>3284</v>
      </c>
      <c r="E685" s="4">
        <v>300</v>
      </c>
      <c r="F685" s="5" t="s">
        <v>3285</v>
      </c>
      <c r="G685" s="4" t="s">
        <v>2953</v>
      </c>
      <c r="H685" s="4" t="s">
        <v>2950</v>
      </c>
      <c r="I685" s="22">
        <v>2304918.1030000001</v>
      </c>
      <c r="J685" s="22">
        <v>585710.87199999997</v>
      </c>
      <c r="K685" s="22">
        <v>2304899.605</v>
      </c>
      <c r="L685" s="22">
        <v>585723.32700000005</v>
      </c>
      <c r="M685" s="6">
        <v>22.3</v>
      </c>
      <c r="N685" s="11">
        <v>4.1500000000000004</v>
      </c>
      <c r="O685" s="11">
        <v>4.24</v>
      </c>
      <c r="P685" s="11">
        <f t="shared" si="20"/>
        <v>8.9999999999999858E-2</v>
      </c>
      <c r="Q685" s="11">
        <f t="shared" si="21"/>
        <v>0.40400000000000003</v>
      </c>
      <c r="R685" s="11">
        <v>0.97499999999999998</v>
      </c>
    </row>
    <row r="686" spans="2:18" ht="16" x14ac:dyDescent="0.3">
      <c r="B686" s="4">
        <v>680</v>
      </c>
      <c r="C686" s="4" t="s">
        <v>3849</v>
      </c>
      <c r="D686" s="5" t="s">
        <v>3284</v>
      </c>
      <c r="E686" s="4">
        <v>300</v>
      </c>
      <c r="F686" s="5" t="s">
        <v>3285</v>
      </c>
      <c r="G686" s="4" t="s">
        <v>2956</v>
      </c>
      <c r="H686" s="4" t="s">
        <v>2953</v>
      </c>
      <c r="I686" s="22">
        <v>2304939.6970000002</v>
      </c>
      <c r="J686" s="22">
        <v>585696.39099999995</v>
      </c>
      <c r="K686" s="22">
        <v>2304918.6839999999</v>
      </c>
      <c r="L686" s="22">
        <v>585710.48199999996</v>
      </c>
      <c r="M686" s="6">
        <v>25.3</v>
      </c>
      <c r="N686" s="11">
        <v>4.07</v>
      </c>
      <c r="O686" s="11">
        <v>4.1500000000000004</v>
      </c>
      <c r="P686" s="11">
        <f t="shared" si="20"/>
        <v>8.0000000000000071E-2</v>
      </c>
      <c r="Q686" s="11">
        <f t="shared" si="21"/>
        <v>0.316</v>
      </c>
      <c r="R686" s="11">
        <v>1.06</v>
      </c>
    </row>
    <row r="687" spans="2:18" ht="16" x14ac:dyDescent="0.3">
      <c r="B687" s="4">
        <v>681</v>
      </c>
      <c r="C687" s="4" t="s">
        <v>3850</v>
      </c>
      <c r="D687" s="5" t="s">
        <v>3284</v>
      </c>
      <c r="E687" s="4">
        <v>300</v>
      </c>
      <c r="F687" s="5" t="s">
        <v>3285</v>
      </c>
      <c r="G687" s="4" t="s">
        <v>274</v>
      </c>
      <c r="H687" s="4" t="s">
        <v>2956</v>
      </c>
      <c r="I687" s="22">
        <v>2304960.3930000002</v>
      </c>
      <c r="J687" s="22">
        <v>585682.34499999997</v>
      </c>
      <c r="K687" s="22">
        <v>2304940.2779999999</v>
      </c>
      <c r="L687" s="22">
        <v>585696.00199999998</v>
      </c>
      <c r="M687" s="6">
        <v>24.312000000000001</v>
      </c>
      <c r="N687" s="11">
        <v>3.25</v>
      </c>
      <c r="O687" s="11">
        <v>4.07</v>
      </c>
      <c r="P687" s="11">
        <f t="shared" si="20"/>
        <v>0.82000000000000028</v>
      </c>
      <c r="Q687" s="11">
        <f t="shared" si="21"/>
        <v>3.3730000000000002</v>
      </c>
      <c r="R687" s="11">
        <v>1.51</v>
      </c>
    </row>
    <row r="688" spans="2:18" ht="16" x14ac:dyDescent="0.3">
      <c r="B688" s="4">
        <v>682</v>
      </c>
      <c r="C688" s="4" t="s">
        <v>3851</v>
      </c>
      <c r="D688" s="5" t="s">
        <v>3284</v>
      </c>
      <c r="E688" s="4">
        <v>300</v>
      </c>
      <c r="F688" s="5" t="s">
        <v>3285</v>
      </c>
      <c r="G688" s="4" t="s">
        <v>271</v>
      </c>
      <c r="H688" s="4" t="s">
        <v>274</v>
      </c>
      <c r="I688" s="22">
        <v>2304969.1510000001</v>
      </c>
      <c r="J688" s="22">
        <v>585702.61</v>
      </c>
      <c r="K688" s="22">
        <v>2304961.2089999998</v>
      </c>
      <c r="L688" s="22">
        <v>585681.78899999999</v>
      </c>
      <c r="M688" s="6">
        <v>35.448</v>
      </c>
      <c r="N688" s="11">
        <v>3.29</v>
      </c>
      <c r="O688" s="11">
        <v>3.25</v>
      </c>
      <c r="P688" s="11">
        <f t="shared" si="20"/>
        <v>4.0000000000000036E-2</v>
      </c>
      <c r="Q688" s="11">
        <f t="shared" si="21"/>
        <v>0.113</v>
      </c>
      <c r="R688" s="11">
        <v>1.9</v>
      </c>
    </row>
    <row r="689" spans="2:18" ht="16" x14ac:dyDescent="0.3">
      <c r="B689" s="4">
        <v>683</v>
      </c>
      <c r="C689" s="4" t="s">
        <v>3852</v>
      </c>
      <c r="D689" s="5" t="s">
        <v>3284</v>
      </c>
      <c r="E689" s="4">
        <v>300</v>
      </c>
      <c r="F689" s="5" t="s">
        <v>3285</v>
      </c>
      <c r="G689" s="4" t="s">
        <v>2965</v>
      </c>
      <c r="H689" s="4" t="s">
        <v>271</v>
      </c>
      <c r="I689" s="22">
        <v>2304952.1850000001</v>
      </c>
      <c r="J689" s="22">
        <v>585713.75800000003</v>
      </c>
      <c r="K689" s="22">
        <v>2304968.321</v>
      </c>
      <c r="L689" s="22">
        <v>585703.16700000002</v>
      </c>
      <c r="M689" s="6">
        <v>19.300999999999998</v>
      </c>
      <c r="N689" s="11">
        <v>4.07</v>
      </c>
      <c r="O689" s="11">
        <v>3.29</v>
      </c>
      <c r="P689" s="11">
        <f t="shared" si="20"/>
        <v>0.78000000000000025</v>
      </c>
      <c r="Q689" s="11">
        <f t="shared" si="21"/>
        <v>4.0410000000000004</v>
      </c>
      <c r="R689" s="11">
        <v>1.49</v>
      </c>
    </row>
    <row r="690" spans="2:18" ht="16" x14ac:dyDescent="0.3">
      <c r="B690" s="4">
        <v>684</v>
      </c>
      <c r="C690" s="4" t="s">
        <v>3853</v>
      </c>
      <c r="D690" s="5" t="s">
        <v>3284</v>
      </c>
      <c r="E690" s="4">
        <v>300</v>
      </c>
      <c r="F690" s="5" t="s">
        <v>3285</v>
      </c>
      <c r="G690" s="4" t="s">
        <v>2962</v>
      </c>
      <c r="H690" s="4" t="s">
        <v>2965</v>
      </c>
      <c r="I690" s="22">
        <v>2304930.591</v>
      </c>
      <c r="J690" s="22">
        <v>585728.23800000001</v>
      </c>
      <c r="K690" s="22">
        <v>2304951.6039999998</v>
      </c>
      <c r="L690" s="22">
        <v>585714.14800000004</v>
      </c>
      <c r="M690" s="6">
        <v>25.3</v>
      </c>
      <c r="N690" s="11">
        <v>4.1500000000000004</v>
      </c>
      <c r="O690" s="11">
        <v>4.07</v>
      </c>
      <c r="P690" s="11">
        <f t="shared" si="20"/>
        <v>8.0000000000000071E-2</v>
      </c>
      <c r="Q690" s="11">
        <f t="shared" si="21"/>
        <v>0.316</v>
      </c>
      <c r="R690" s="11">
        <v>1.06</v>
      </c>
    </row>
    <row r="691" spans="2:18" ht="16" x14ac:dyDescent="0.3">
      <c r="B691" s="4">
        <v>685</v>
      </c>
      <c r="C691" s="4" t="s">
        <v>3854</v>
      </c>
      <c r="D691" s="5" t="s">
        <v>3284</v>
      </c>
      <c r="E691" s="4">
        <v>300</v>
      </c>
      <c r="F691" s="5" t="s">
        <v>3285</v>
      </c>
      <c r="G691" s="4" t="s">
        <v>2959</v>
      </c>
      <c r="H691" s="4" t="s">
        <v>2962</v>
      </c>
      <c r="I691" s="22">
        <v>2304908.9959999998</v>
      </c>
      <c r="J691" s="22">
        <v>585742.71900000004</v>
      </c>
      <c r="K691" s="22">
        <v>2304930.0090000001</v>
      </c>
      <c r="L691" s="22">
        <v>585728.62800000003</v>
      </c>
      <c r="M691" s="6">
        <v>25.3</v>
      </c>
      <c r="N691" s="11">
        <v>4.24</v>
      </c>
      <c r="O691" s="11">
        <v>4.1500000000000004</v>
      </c>
      <c r="P691" s="11">
        <f t="shared" si="20"/>
        <v>8.9999999999999858E-2</v>
      </c>
      <c r="Q691" s="11">
        <f t="shared" si="21"/>
        <v>0.35599999999999998</v>
      </c>
      <c r="R691" s="11">
        <v>0.97499999999999998</v>
      </c>
    </row>
    <row r="692" spans="2:18" ht="16" x14ac:dyDescent="0.3">
      <c r="B692" s="4">
        <v>686</v>
      </c>
      <c r="C692" s="4" t="s">
        <v>3855</v>
      </c>
      <c r="D692" s="5" t="s">
        <v>3284</v>
      </c>
      <c r="E692" s="4">
        <v>300</v>
      </c>
      <c r="F692" s="5" t="s">
        <v>3285</v>
      </c>
      <c r="G692" s="4" t="s">
        <v>962</v>
      </c>
      <c r="H692" s="4" t="s">
        <v>2959</v>
      </c>
      <c r="I692" s="22">
        <v>2304888.233</v>
      </c>
      <c r="J692" s="22">
        <v>585756.64199999999</v>
      </c>
      <c r="K692" s="22">
        <v>2304908.415</v>
      </c>
      <c r="L692" s="22">
        <v>585743.10900000005</v>
      </c>
      <c r="M692" s="6">
        <v>24.3</v>
      </c>
      <c r="N692" s="11">
        <v>4.32</v>
      </c>
      <c r="O692" s="11">
        <v>4.24</v>
      </c>
      <c r="P692" s="11">
        <f t="shared" si="20"/>
        <v>8.0000000000000071E-2</v>
      </c>
      <c r="Q692" s="11">
        <f t="shared" si="21"/>
        <v>0.32900000000000001</v>
      </c>
      <c r="R692" s="11">
        <v>0.89</v>
      </c>
    </row>
    <row r="693" spans="2:18" ht="16" x14ac:dyDescent="0.3">
      <c r="B693" s="4">
        <v>687</v>
      </c>
      <c r="C693" s="4" t="s">
        <v>3856</v>
      </c>
      <c r="D693" s="5" t="s">
        <v>3284</v>
      </c>
      <c r="E693" s="4">
        <v>300</v>
      </c>
      <c r="F693" s="5" t="s">
        <v>3285</v>
      </c>
      <c r="G693" s="4" t="s">
        <v>2932</v>
      </c>
      <c r="H693" s="4" t="s">
        <v>971</v>
      </c>
      <c r="I693" s="22">
        <v>2304880.5989999999</v>
      </c>
      <c r="J693" s="22">
        <v>585696.24100000004</v>
      </c>
      <c r="K693" s="22">
        <v>2304857.9470000002</v>
      </c>
      <c r="L693" s="22">
        <v>585711.478</v>
      </c>
      <c r="M693" s="6">
        <v>27.3</v>
      </c>
      <c r="N693" s="11">
        <v>4.24</v>
      </c>
      <c r="O693" s="11">
        <v>4.32</v>
      </c>
      <c r="P693" s="11">
        <f t="shared" si="20"/>
        <v>8.0000000000000071E-2</v>
      </c>
      <c r="Q693" s="11">
        <f t="shared" si="21"/>
        <v>0.29299999999999998</v>
      </c>
      <c r="R693" s="11">
        <v>0.89</v>
      </c>
    </row>
    <row r="694" spans="2:18" ht="16" x14ac:dyDescent="0.3">
      <c r="B694" s="4">
        <v>688</v>
      </c>
      <c r="C694" s="4" t="s">
        <v>3857</v>
      </c>
      <c r="D694" s="5" t="s">
        <v>3284</v>
      </c>
      <c r="E694" s="4">
        <v>300</v>
      </c>
      <c r="F694" s="5" t="s">
        <v>3285</v>
      </c>
      <c r="G694" s="4" t="s">
        <v>2935</v>
      </c>
      <c r="H694" s="4" t="s">
        <v>2932</v>
      </c>
      <c r="I694" s="22">
        <v>2304899.7239999999</v>
      </c>
      <c r="J694" s="22">
        <v>585683.46400000004</v>
      </c>
      <c r="K694" s="22">
        <v>2304881.1800000002</v>
      </c>
      <c r="L694" s="22">
        <v>585695.85100000002</v>
      </c>
      <c r="M694" s="6">
        <v>22.3</v>
      </c>
      <c r="N694" s="11">
        <v>4.1500000000000004</v>
      </c>
      <c r="O694" s="11">
        <v>4.24</v>
      </c>
      <c r="P694" s="11">
        <f t="shared" si="20"/>
        <v>8.9999999999999858E-2</v>
      </c>
      <c r="Q694" s="11">
        <f t="shared" si="21"/>
        <v>0.40400000000000003</v>
      </c>
      <c r="R694" s="11">
        <v>0.97499999999999998</v>
      </c>
    </row>
    <row r="695" spans="2:18" ht="16" x14ac:dyDescent="0.3">
      <c r="B695" s="4">
        <v>689</v>
      </c>
      <c r="C695" s="4" t="s">
        <v>3858</v>
      </c>
      <c r="D695" s="5" t="s">
        <v>3284</v>
      </c>
      <c r="E695" s="4">
        <v>300</v>
      </c>
      <c r="F695" s="5" t="s">
        <v>3285</v>
      </c>
      <c r="G695" s="4" t="s">
        <v>2938</v>
      </c>
      <c r="H695" s="4" t="s">
        <v>2935</v>
      </c>
      <c r="I695" s="22">
        <v>2304921.318</v>
      </c>
      <c r="J695" s="22">
        <v>585668.98300000001</v>
      </c>
      <c r="K695" s="22">
        <v>2304900.3050000002</v>
      </c>
      <c r="L695" s="22">
        <v>585683.07400000002</v>
      </c>
      <c r="M695" s="6">
        <v>25.3</v>
      </c>
      <c r="N695" s="11">
        <v>4.07</v>
      </c>
      <c r="O695" s="11">
        <v>4.1500000000000004</v>
      </c>
      <c r="P695" s="11">
        <f t="shared" si="20"/>
        <v>8.0000000000000071E-2</v>
      </c>
      <c r="Q695" s="11">
        <f t="shared" si="21"/>
        <v>0.316</v>
      </c>
      <c r="R695" s="11">
        <v>1.06</v>
      </c>
    </row>
    <row r="696" spans="2:18" ht="16" x14ac:dyDescent="0.3">
      <c r="B696" s="4">
        <v>690</v>
      </c>
      <c r="C696" s="4" t="s">
        <v>3859</v>
      </c>
      <c r="D696" s="5" t="s">
        <v>3284</v>
      </c>
      <c r="E696" s="4">
        <v>300</v>
      </c>
      <c r="F696" s="5" t="s">
        <v>3285</v>
      </c>
      <c r="G696" s="4" t="s">
        <v>280</v>
      </c>
      <c r="H696" s="4" t="s">
        <v>2938</v>
      </c>
      <c r="I696" s="22">
        <v>2304941.9929999998</v>
      </c>
      <c r="J696" s="22">
        <v>585654.92700000003</v>
      </c>
      <c r="K696" s="22">
        <v>2304921.8990000002</v>
      </c>
      <c r="L696" s="22">
        <v>585668.59299999999</v>
      </c>
      <c r="M696" s="6">
        <v>24.300999999999998</v>
      </c>
      <c r="N696" s="11">
        <v>3.08</v>
      </c>
      <c r="O696" s="11">
        <v>4.07</v>
      </c>
      <c r="P696" s="11">
        <f t="shared" si="20"/>
        <v>0.99000000000000021</v>
      </c>
      <c r="Q696" s="11">
        <f t="shared" si="21"/>
        <v>4.0739999999999998</v>
      </c>
      <c r="R696" s="11">
        <v>1.595</v>
      </c>
    </row>
    <row r="697" spans="2:18" ht="16" x14ac:dyDescent="0.3">
      <c r="B697" s="4">
        <v>691</v>
      </c>
      <c r="C697" s="4" t="s">
        <v>3860</v>
      </c>
      <c r="D697" s="5" t="s">
        <v>3284</v>
      </c>
      <c r="E697" s="4">
        <v>300</v>
      </c>
      <c r="F697" s="5" t="s">
        <v>3285</v>
      </c>
      <c r="G697" s="4" t="s">
        <v>277</v>
      </c>
      <c r="H697" s="4" t="s">
        <v>280</v>
      </c>
      <c r="I697" s="22">
        <v>2304950.77</v>
      </c>
      <c r="J697" s="22">
        <v>585675.19799999997</v>
      </c>
      <c r="K697" s="22">
        <v>2304942.824</v>
      </c>
      <c r="L697" s="22">
        <v>585654.37100000004</v>
      </c>
      <c r="M697" s="6">
        <v>35.444000000000003</v>
      </c>
      <c r="N697" s="11">
        <v>3.17</v>
      </c>
      <c r="O697" s="11">
        <v>3.08</v>
      </c>
      <c r="P697" s="11">
        <f t="shared" si="20"/>
        <v>8.9999999999999858E-2</v>
      </c>
      <c r="Q697" s="11">
        <f t="shared" si="21"/>
        <v>0.254</v>
      </c>
      <c r="R697" s="11">
        <v>2.0449999999999999</v>
      </c>
    </row>
    <row r="698" spans="2:18" ht="16" x14ac:dyDescent="0.3">
      <c r="B698" s="4">
        <v>692</v>
      </c>
      <c r="C698" s="4" t="s">
        <v>3861</v>
      </c>
      <c r="D698" s="5" t="s">
        <v>3284</v>
      </c>
      <c r="E698" s="4">
        <v>300</v>
      </c>
      <c r="F698" s="5" t="s">
        <v>3285</v>
      </c>
      <c r="G698" s="4" t="s">
        <v>2947</v>
      </c>
      <c r="H698" s="4" t="s">
        <v>277</v>
      </c>
      <c r="I698" s="22">
        <v>2304933.8059999999</v>
      </c>
      <c r="J698" s="22">
        <v>585686.35</v>
      </c>
      <c r="K698" s="22">
        <v>2304949.9389999998</v>
      </c>
      <c r="L698" s="22">
        <v>585675.755</v>
      </c>
      <c r="M698" s="6">
        <v>19.300999999999998</v>
      </c>
      <c r="N698" s="11">
        <v>4.07</v>
      </c>
      <c r="O698" s="11">
        <v>3.17</v>
      </c>
      <c r="P698" s="11">
        <f t="shared" si="20"/>
        <v>0.90000000000000036</v>
      </c>
      <c r="Q698" s="11">
        <f t="shared" si="21"/>
        <v>4.6630000000000003</v>
      </c>
      <c r="R698" s="11">
        <v>1.55</v>
      </c>
    </row>
    <row r="699" spans="2:18" ht="16" x14ac:dyDescent="0.3">
      <c r="B699" s="4">
        <v>693</v>
      </c>
      <c r="C699" s="4" t="s">
        <v>3862</v>
      </c>
      <c r="D699" s="5" t="s">
        <v>3284</v>
      </c>
      <c r="E699" s="4">
        <v>300</v>
      </c>
      <c r="F699" s="5" t="s">
        <v>3285</v>
      </c>
      <c r="G699" s="4" t="s">
        <v>2944</v>
      </c>
      <c r="H699" s="4" t="s">
        <v>2947</v>
      </c>
      <c r="I699" s="22">
        <v>2304912.2119999998</v>
      </c>
      <c r="J699" s="22">
        <v>585700.82999999996</v>
      </c>
      <c r="K699" s="22">
        <v>2304933.2250000001</v>
      </c>
      <c r="L699" s="22">
        <v>585686.73899999994</v>
      </c>
      <c r="M699" s="6">
        <v>25.3</v>
      </c>
      <c r="N699" s="11">
        <v>4.1500000000000004</v>
      </c>
      <c r="O699" s="11">
        <v>4.07</v>
      </c>
      <c r="P699" s="11">
        <f t="shared" si="20"/>
        <v>8.0000000000000071E-2</v>
      </c>
      <c r="Q699" s="11">
        <f t="shared" si="21"/>
        <v>0.316</v>
      </c>
      <c r="R699" s="11">
        <v>1.06</v>
      </c>
    </row>
    <row r="700" spans="2:18" ht="16" x14ac:dyDescent="0.3">
      <c r="B700" s="4">
        <v>694</v>
      </c>
      <c r="C700" s="4" t="s">
        <v>3863</v>
      </c>
      <c r="D700" s="5" t="s">
        <v>3284</v>
      </c>
      <c r="E700" s="4">
        <v>300</v>
      </c>
      <c r="F700" s="5" t="s">
        <v>3285</v>
      </c>
      <c r="G700" s="4" t="s">
        <v>2941</v>
      </c>
      <c r="H700" s="4" t="s">
        <v>2944</v>
      </c>
      <c r="I700" s="22">
        <v>2304890.648</v>
      </c>
      <c r="J700" s="22">
        <v>585715.29</v>
      </c>
      <c r="K700" s="22">
        <v>2304911.63</v>
      </c>
      <c r="L700" s="22">
        <v>585701.22</v>
      </c>
      <c r="M700" s="6">
        <v>25.263000000000002</v>
      </c>
      <c r="N700" s="11">
        <v>4.24</v>
      </c>
      <c r="O700" s="11">
        <v>4.1500000000000004</v>
      </c>
      <c r="P700" s="11">
        <f t="shared" si="20"/>
        <v>8.9999999999999858E-2</v>
      </c>
      <c r="Q700" s="11">
        <f t="shared" si="21"/>
        <v>0.35599999999999998</v>
      </c>
      <c r="R700" s="11">
        <v>0.97499999999999998</v>
      </c>
    </row>
    <row r="701" spans="2:18" ht="16" x14ac:dyDescent="0.3">
      <c r="B701" s="4">
        <v>695</v>
      </c>
      <c r="C701" s="4" t="s">
        <v>3864</v>
      </c>
      <c r="D701" s="5" t="s">
        <v>3284</v>
      </c>
      <c r="E701" s="4">
        <v>300</v>
      </c>
      <c r="F701" s="5" t="s">
        <v>3285</v>
      </c>
      <c r="G701" s="4" t="s">
        <v>968</v>
      </c>
      <c r="H701" s="4" t="s">
        <v>2941</v>
      </c>
      <c r="I701" s="22">
        <v>2304869.8530000001</v>
      </c>
      <c r="J701" s="22">
        <v>585729.23400000005</v>
      </c>
      <c r="K701" s="22">
        <v>2304890.0359999998</v>
      </c>
      <c r="L701" s="22">
        <v>585715.69999999995</v>
      </c>
      <c r="M701" s="6">
        <v>24.3</v>
      </c>
      <c r="N701" s="11">
        <v>4.32</v>
      </c>
      <c r="O701" s="11">
        <v>4.24</v>
      </c>
      <c r="P701" s="11">
        <f t="shared" si="20"/>
        <v>8.0000000000000071E-2</v>
      </c>
      <c r="Q701" s="11">
        <f t="shared" si="21"/>
        <v>0.32900000000000001</v>
      </c>
      <c r="R701" s="11">
        <v>0.89</v>
      </c>
    </row>
    <row r="702" spans="2:18" ht="16" x14ac:dyDescent="0.3">
      <c r="B702" s="4">
        <v>696</v>
      </c>
      <c r="C702" s="4" t="s">
        <v>3865</v>
      </c>
      <c r="D702" s="5" t="s">
        <v>3284</v>
      </c>
      <c r="E702" s="4">
        <v>300</v>
      </c>
      <c r="F702" s="5" t="s">
        <v>3285</v>
      </c>
      <c r="G702" s="4" t="s">
        <v>2914</v>
      </c>
      <c r="H702" s="4" t="s">
        <v>977</v>
      </c>
      <c r="I702" s="22">
        <v>2304862.2740000002</v>
      </c>
      <c r="J702" s="22">
        <v>585668.91299999994</v>
      </c>
      <c r="K702" s="22">
        <v>2304839.568</v>
      </c>
      <c r="L702" s="22">
        <v>585684.06999999995</v>
      </c>
      <c r="M702" s="6">
        <v>27.3</v>
      </c>
      <c r="N702" s="11">
        <v>4.24</v>
      </c>
      <c r="O702" s="11">
        <v>4.32</v>
      </c>
      <c r="P702" s="11">
        <f t="shared" si="20"/>
        <v>8.0000000000000071E-2</v>
      </c>
      <c r="Q702" s="11">
        <f t="shared" si="21"/>
        <v>0.29299999999999998</v>
      </c>
      <c r="R702" s="11">
        <v>0.89</v>
      </c>
    </row>
    <row r="703" spans="2:18" ht="16" x14ac:dyDescent="0.3">
      <c r="B703" s="4">
        <v>697</v>
      </c>
      <c r="C703" s="4" t="s">
        <v>3866</v>
      </c>
      <c r="D703" s="5" t="s">
        <v>3284</v>
      </c>
      <c r="E703" s="4">
        <v>300</v>
      </c>
      <c r="F703" s="5" t="s">
        <v>3285</v>
      </c>
      <c r="G703" s="4" t="s">
        <v>2917</v>
      </c>
      <c r="H703" s="4" t="s">
        <v>2914</v>
      </c>
      <c r="I703" s="22">
        <v>2304881.344</v>
      </c>
      <c r="J703" s="22">
        <v>585656.05599999998</v>
      </c>
      <c r="K703" s="22">
        <v>2304862.855</v>
      </c>
      <c r="L703" s="22">
        <v>585668.52300000004</v>
      </c>
      <c r="M703" s="6">
        <v>22.3</v>
      </c>
      <c r="N703" s="11">
        <v>4.1500000000000004</v>
      </c>
      <c r="O703" s="11">
        <v>4.24</v>
      </c>
      <c r="P703" s="11">
        <f t="shared" si="20"/>
        <v>8.9999999999999858E-2</v>
      </c>
      <c r="Q703" s="11">
        <f t="shared" si="21"/>
        <v>0.40400000000000003</v>
      </c>
      <c r="R703" s="11">
        <v>0.97499999999999998</v>
      </c>
    </row>
    <row r="704" spans="2:18" ht="16" x14ac:dyDescent="0.3">
      <c r="B704" s="4">
        <v>698</v>
      </c>
      <c r="C704" s="4" t="s">
        <v>3867</v>
      </c>
      <c r="D704" s="5" t="s">
        <v>3284</v>
      </c>
      <c r="E704" s="4">
        <v>300</v>
      </c>
      <c r="F704" s="5" t="s">
        <v>3285</v>
      </c>
      <c r="G704" s="4" t="s">
        <v>2920</v>
      </c>
      <c r="H704" s="4" t="s">
        <v>2917</v>
      </c>
      <c r="I704" s="22">
        <v>2304902.9389999998</v>
      </c>
      <c r="J704" s="22">
        <v>585641.57499999995</v>
      </c>
      <c r="K704" s="22">
        <v>2304881.926</v>
      </c>
      <c r="L704" s="22">
        <v>585655.66599999997</v>
      </c>
      <c r="M704" s="6">
        <v>25.3</v>
      </c>
      <c r="N704" s="11">
        <v>4.07</v>
      </c>
      <c r="O704" s="11">
        <v>4.1500000000000004</v>
      </c>
      <c r="P704" s="11">
        <f t="shared" si="20"/>
        <v>8.0000000000000071E-2</v>
      </c>
      <c r="Q704" s="11">
        <f t="shared" si="21"/>
        <v>0.316</v>
      </c>
      <c r="R704" s="11">
        <v>1.06</v>
      </c>
    </row>
    <row r="705" spans="2:18" ht="16" x14ac:dyDescent="0.3">
      <c r="B705" s="4">
        <v>699</v>
      </c>
      <c r="C705" s="4" t="s">
        <v>3868</v>
      </c>
      <c r="D705" s="5" t="s">
        <v>3284</v>
      </c>
      <c r="E705" s="4">
        <v>300</v>
      </c>
      <c r="F705" s="5" t="s">
        <v>3285</v>
      </c>
      <c r="G705" s="4" t="s">
        <v>286</v>
      </c>
      <c r="H705" s="4" t="s">
        <v>2920</v>
      </c>
      <c r="I705" s="22">
        <v>2304923.5980000002</v>
      </c>
      <c r="J705" s="22">
        <v>585627.49600000004</v>
      </c>
      <c r="K705" s="22">
        <v>2304903.5070000002</v>
      </c>
      <c r="L705" s="22">
        <v>585641.18500000006</v>
      </c>
      <c r="M705" s="6">
        <v>24.312000000000001</v>
      </c>
      <c r="N705" s="11">
        <v>2.96</v>
      </c>
      <c r="O705" s="11">
        <v>4.07</v>
      </c>
      <c r="P705" s="11">
        <f t="shared" si="20"/>
        <v>1.1100000000000003</v>
      </c>
      <c r="Q705" s="11">
        <f t="shared" si="21"/>
        <v>4.5659999999999998</v>
      </c>
      <c r="R705" s="11">
        <v>1.655</v>
      </c>
    </row>
    <row r="706" spans="2:18" ht="16" x14ac:dyDescent="0.3">
      <c r="B706" s="4">
        <v>700</v>
      </c>
      <c r="C706" s="4" t="s">
        <v>3869</v>
      </c>
      <c r="D706" s="5" t="s">
        <v>3284</v>
      </c>
      <c r="E706" s="4">
        <v>300</v>
      </c>
      <c r="F706" s="5" t="s">
        <v>3285</v>
      </c>
      <c r="G706" s="4" t="s">
        <v>283</v>
      </c>
      <c r="H706" s="4" t="s">
        <v>286</v>
      </c>
      <c r="I706" s="22">
        <v>2304932.4109999998</v>
      </c>
      <c r="J706" s="22">
        <v>585647.81999999995</v>
      </c>
      <c r="K706" s="22">
        <v>2304924.415</v>
      </c>
      <c r="L706" s="22">
        <v>585626.91799999995</v>
      </c>
      <c r="M706" s="6">
        <v>35.435000000000002</v>
      </c>
      <c r="N706" s="11">
        <v>3.04</v>
      </c>
      <c r="O706" s="11">
        <v>2.96</v>
      </c>
      <c r="P706" s="11">
        <f t="shared" si="20"/>
        <v>8.0000000000000071E-2</v>
      </c>
      <c r="Q706" s="11">
        <f t="shared" si="21"/>
        <v>0.22600000000000001</v>
      </c>
      <c r="R706" s="11">
        <v>2.17</v>
      </c>
    </row>
    <row r="707" spans="2:18" ht="16" x14ac:dyDescent="0.3">
      <c r="B707" s="4">
        <v>701</v>
      </c>
      <c r="C707" s="4" t="s">
        <v>3870</v>
      </c>
      <c r="D707" s="5" t="s">
        <v>3284</v>
      </c>
      <c r="E707" s="4">
        <v>300</v>
      </c>
      <c r="F707" s="5" t="s">
        <v>3285</v>
      </c>
      <c r="G707" s="4" t="s">
        <v>2929</v>
      </c>
      <c r="H707" s="4" t="s">
        <v>283</v>
      </c>
      <c r="I707" s="22">
        <v>2304915.4270000001</v>
      </c>
      <c r="J707" s="22">
        <v>585658.94099999999</v>
      </c>
      <c r="K707" s="22">
        <v>2304931.58</v>
      </c>
      <c r="L707" s="22">
        <v>585648.37600000005</v>
      </c>
      <c r="M707" s="6">
        <v>19.300999999999998</v>
      </c>
      <c r="N707" s="11">
        <v>4.07</v>
      </c>
      <c r="O707" s="11">
        <v>3.04</v>
      </c>
      <c r="P707" s="11">
        <f t="shared" si="20"/>
        <v>1.0300000000000002</v>
      </c>
      <c r="Q707" s="11">
        <f t="shared" si="21"/>
        <v>5.3369999999999997</v>
      </c>
      <c r="R707" s="11">
        <v>1.615</v>
      </c>
    </row>
    <row r="708" spans="2:18" ht="16" x14ac:dyDescent="0.3">
      <c r="B708" s="4">
        <v>702</v>
      </c>
      <c r="C708" s="4" t="s">
        <v>3871</v>
      </c>
      <c r="D708" s="5" t="s">
        <v>3284</v>
      </c>
      <c r="E708" s="4">
        <v>300</v>
      </c>
      <c r="F708" s="5" t="s">
        <v>3285</v>
      </c>
      <c r="G708" s="4" t="s">
        <v>2926</v>
      </c>
      <c r="H708" s="4" t="s">
        <v>2929</v>
      </c>
      <c r="I708" s="22">
        <v>2304893.8330000001</v>
      </c>
      <c r="J708" s="22">
        <v>585673.42200000002</v>
      </c>
      <c r="K708" s="22">
        <v>2304914.8450000002</v>
      </c>
      <c r="L708" s="22">
        <v>585659.33100000001</v>
      </c>
      <c r="M708" s="6">
        <v>25.3</v>
      </c>
      <c r="N708" s="11">
        <v>4.1500000000000004</v>
      </c>
      <c r="O708" s="11">
        <v>4.07</v>
      </c>
      <c r="P708" s="11">
        <f t="shared" si="20"/>
        <v>8.0000000000000071E-2</v>
      </c>
      <c r="Q708" s="11">
        <f t="shared" si="21"/>
        <v>0.316</v>
      </c>
      <c r="R708" s="11">
        <v>1.06</v>
      </c>
    </row>
    <row r="709" spans="2:18" ht="16" x14ac:dyDescent="0.3">
      <c r="B709" s="4">
        <v>703</v>
      </c>
      <c r="C709" s="4" t="s">
        <v>3872</v>
      </c>
      <c r="D709" s="5" t="s">
        <v>3284</v>
      </c>
      <c r="E709" s="4">
        <v>300</v>
      </c>
      <c r="F709" s="5" t="s">
        <v>3285</v>
      </c>
      <c r="G709" s="4" t="s">
        <v>2923</v>
      </c>
      <c r="H709" s="4" t="s">
        <v>2926</v>
      </c>
      <c r="I709" s="22">
        <v>2304872.2379999999</v>
      </c>
      <c r="J709" s="22">
        <v>585687.902</v>
      </c>
      <c r="K709" s="22">
        <v>2304893.2510000002</v>
      </c>
      <c r="L709" s="22">
        <v>585673.81200000003</v>
      </c>
      <c r="M709" s="6">
        <v>25.3</v>
      </c>
      <c r="N709" s="11">
        <v>4.24</v>
      </c>
      <c r="O709" s="11">
        <v>4.1500000000000004</v>
      </c>
      <c r="P709" s="11">
        <f t="shared" si="20"/>
        <v>8.9999999999999858E-2</v>
      </c>
      <c r="Q709" s="11">
        <f t="shared" si="21"/>
        <v>0.35599999999999998</v>
      </c>
      <c r="R709" s="11">
        <v>0.97499999999999998</v>
      </c>
    </row>
    <row r="710" spans="2:18" ht="16" x14ac:dyDescent="0.3">
      <c r="B710" s="4">
        <v>704</v>
      </c>
      <c r="C710" s="4" t="s">
        <v>3873</v>
      </c>
      <c r="D710" s="5" t="s">
        <v>3284</v>
      </c>
      <c r="E710" s="4">
        <v>300</v>
      </c>
      <c r="F710" s="5" t="s">
        <v>3285</v>
      </c>
      <c r="G710" s="4" t="s">
        <v>974</v>
      </c>
      <c r="H710" s="4" t="s">
        <v>2923</v>
      </c>
      <c r="I710" s="22">
        <v>2304851.4739999999</v>
      </c>
      <c r="J710" s="22">
        <v>585701.826</v>
      </c>
      <c r="K710" s="22">
        <v>2304871.6570000001</v>
      </c>
      <c r="L710" s="22">
        <v>585688.29200000002</v>
      </c>
      <c r="M710" s="6">
        <v>24.3</v>
      </c>
      <c r="N710" s="11">
        <v>4.32</v>
      </c>
      <c r="O710" s="11">
        <v>4.24</v>
      </c>
      <c r="P710" s="11">
        <f t="shared" si="20"/>
        <v>8.0000000000000071E-2</v>
      </c>
      <c r="Q710" s="11">
        <f t="shared" si="21"/>
        <v>0.32900000000000001</v>
      </c>
      <c r="R710" s="11">
        <v>0.89</v>
      </c>
    </row>
    <row r="711" spans="2:18" ht="16" x14ac:dyDescent="0.3">
      <c r="B711" s="4">
        <v>705</v>
      </c>
      <c r="C711" s="4" t="s">
        <v>3874</v>
      </c>
      <c r="D711" s="5" t="s">
        <v>3284</v>
      </c>
      <c r="E711" s="4">
        <v>300</v>
      </c>
      <c r="F711" s="5" t="s">
        <v>3285</v>
      </c>
      <c r="G711" s="4" t="s">
        <v>2896</v>
      </c>
      <c r="H711" s="4" t="s">
        <v>983</v>
      </c>
      <c r="I711" s="22">
        <v>2304843.8590000002</v>
      </c>
      <c r="J711" s="22">
        <v>585641.451</v>
      </c>
      <c r="K711" s="22">
        <v>2304821.1889999998</v>
      </c>
      <c r="L711" s="22">
        <v>585656.66200000001</v>
      </c>
      <c r="M711" s="6">
        <v>27.3</v>
      </c>
      <c r="N711" s="11">
        <v>4.24</v>
      </c>
      <c r="O711" s="11">
        <v>4.32</v>
      </c>
      <c r="P711" s="11">
        <f t="shared" ref="P711:P774" si="22">IF(AND(ISNUMBER(N711),ISNUMBER(O711)),ABS(N711-O711),0)</f>
        <v>8.0000000000000071E-2</v>
      </c>
      <c r="Q711" s="11">
        <f t="shared" ref="Q711:Q774" si="23">IF(M711&gt;0,ROUND(P711/M711*100,3),0)</f>
        <v>0.29299999999999998</v>
      </c>
      <c r="R711" s="11">
        <v>0.89</v>
      </c>
    </row>
    <row r="712" spans="2:18" ht="16" x14ac:dyDescent="0.3">
      <c r="B712" s="4">
        <v>706</v>
      </c>
      <c r="C712" s="4" t="s">
        <v>3875</v>
      </c>
      <c r="D712" s="5" t="s">
        <v>3284</v>
      </c>
      <c r="E712" s="4">
        <v>300</v>
      </c>
      <c r="F712" s="5" t="s">
        <v>3285</v>
      </c>
      <c r="G712" s="4" t="s">
        <v>2899</v>
      </c>
      <c r="H712" s="4" t="s">
        <v>2896</v>
      </c>
      <c r="I712" s="22">
        <v>2304862.9610000001</v>
      </c>
      <c r="J712" s="22">
        <v>585628.64199999999</v>
      </c>
      <c r="K712" s="22">
        <v>2304844.44</v>
      </c>
      <c r="L712" s="22">
        <v>585641.06099999999</v>
      </c>
      <c r="M712" s="6">
        <v>22.3</v>
      </c>
      <c r="N712" s="11">
        <v>4.1500000000000004</v>
      </c>
      <c r="O712" s="11">
        <v>4.24</v>
      </c>
      <c r="P712" s="11">
        <f t="shared" si="22"/>
        <v>8.9999999999999858E-2</v>
      </c>
      <c r="Q712" s="11">
        <f t="shared" si="23"/>
        <v>0.40400000000000003</v>
      </c>
      <c r="R712" s="11">
        <v>0.97499999999999998</v>
      </c>
    </row>
    <row r="713" spans="2:18" ht="16" x14ac:dyDescent="0.3">
      <c r="B713" s="4">
        <v>707</v>
      </c>
      <c r="C713" s="4" t="s">
        <v>3876</v>
      </c>
      <c r="D713" s="5" t="s">
        <v>3284</v>
      </c>
      <c r="E713" s="4">
        <v>300</v>
      </c>
      <c r="F713" s="5" t="s">
        <v>3285</v>
      </c>
      <c r="G713" s="4" t="s">
        <v>2902</v>
      </c>
      <c r="H713" s="4" t="s">
        <v>2899</v>
      </c>
      <c r="I713" s="22">
        <v>2304884.56</v>
      </c>
      <c r="J713" s="22">
        <v>585614.16700000002</v>
      </c>
      <c r="K713" s="22">
        <v>2304863.5469999998</v>
      </c>
      <c r="L713" s="22">
        <v>585628.25800000003</v>
      </c>
      <c r="M713" s="6">
        <v>25.3</v>
      </c>
      <c r="N713" s="11">
        <v>4.07</v>
      </c>
      <c r="O713" s="11">
        <v>4.1500000000000004</v>
      </c>
      <c r="P713" s="11">
        <f t="shared" si="22"/>
        <v>8.0000000000000071E-2</v>
      </c>
      <c r="Q713" s="11">
        <f t="shared" si="23"/>
        <v>0.316</v>
      </c>
      <c r="R713" s="11">
        <v>1.06</v>
      </c>
    </row>
    <row r="714" spans="2:18" ht="16" x14ac:dyDescent="0.3">
      <c r="B714" s="4">
        <v>708</v>
      </c>
      <c r="C714" s="4" t="s">
        <v>3877</v>
      </c>
      <c r="D714" s="5" t="s">
        <v>3284</v>
      </c>
      <c r="E714" s="4">
        <v>300</v>
      </c>
      <c r="F714" s="5" t="s">
        <v>3285</v>
      </c>
      <c r="G714" s="4" t="s">
        <v>292</v>
      </c>
      <c r="H714" s="4" t="s">
        <v>2902</v>
      </c>
      <c r="I714" s="22">
        <v>2304905.2519999999</v>
      </c>
      <c r="J714" s="22">
        <v>585600.13600000006</v>
      </c>
      <c r="K714" s="22">
        <v>2304885.1409999998</v>
      </c>
      <c r="L714" s="22">
        <v>585613.777</v>
      </c>
      <c r="M714" s="6">
        <v>24.3</v>
      </c>
      <c r="N714" s="11">
        <v>2.84</v>
      </c>
      <c r="O714" s="11">
        <v>4.07</v>
      </c>
      <c r="P714" s="11">
        <f t="shared" si="22"/>
        <v>1.2300000000000004</v>
      </c>
      <c r="Q714" s="11">
        <f t="shared" si="23"/>
        <v>5.0620000000000003</v>
      </c>
      <c r="R714" s="11">
        <v>1.7150000000000001</v>
      </c>
    </row>
    <row r="715" spans="2:18" ht="16" x14ac:dyDescent="0.3">
      <c r="B715" s="4">
        <v>709</v>
      </c>
      <c r="C715" s="4" t="s">
        <v>3878</v>
      </c>
      <c r="D715" s="5" t="s">
        <v>3284</v>
      </c>
      <c r="E715" s="4">
        <v>300</v>
      </c>
      <c r="F715" s="5" t="s">
        <v>3285</v>
      </c>
      <c r="G715" s="4" t="s">
        <v>2911</v>
      </c>
      <c r="H715" s="4" t="s">
        <v>289</v>
      </c>
      <c r="I715" s="22">
        <v>2304897.048</v>
      </c>
      <c r="J715" s="22">
        <v>585631.53300000005</v>
      </c>
      <c r="K715" s="22">
        <v>2304919.1320000002</v>
      </c>
      <c r="L715" s="22">
        <v>585617.01800000004</v>
      </c>
      <c r="M715" s="6">
        <v>26.427</v>
      </c>
      <c r="N715" s="11">
        <v>4.07</v>
      </c>
      <c r="O715" s="11">
        <v>2.92</v>
      </c>
      <c r="P715" s="11">
        <f t="shared" si="22"/>
        <v>1.1500000000000004</v>
      </c>
      <c r="Q715" s="11">
        <f t="shared" si="23"/>
        <v>4.3520000000000003</v>
      </c>
      <c r="R715" s="11">
        <v>1.675</v>
      </c>
    </row>
    <row r="716" spans="2:18" ht="16" x14ac:dyDescent="0.3">
      <c r="B716" s="4">
        <v>710</v>
      </c>
      <c r="C716" s="4" t="s">
        <v>3879</v>
      </c>
      <c r="D716" s="5" t="s">
        <v>3284</v>
      </c>
      <c r="E716" s="4">
        <v>300</v>
      </c>
      <c r="F716" s="5" t="s">
        <v>3285</v>
      </c>
      <c r="G716" s="4" t="s">
        <v>2908</v>
      </c>
      <c r="H716" s="4" t="s">
        <v>2911</v>
      </c>
      <c r="I716" s="22">
        <v>2304875.4530000002</v>
      </c>
      <c r="J716" s="22">
        <v>585646.01399999997</v>
      </c>
      <c r="K716" s="22">
        <v>2304896.466</v>
      </c>
      <c r="L716" s="22">
        <v>585631.92299999995</v>
      </c>
      <c r="M716" s="6">
        <v>25.3</v>
      </c>
      <c r="N716" s="11">
        <v>4.1500000000000004</v>
      </c>
      <c r="O716" s="11">
        <v>4.07</v>
      </c>
      <c r="P716" s="11">
        <f t="shared" si="22"/>
        <v>8.0000000000000071E-2</v>
      </c>
      <c r="Q716" s="11">
        <f t="shared" si="23"/>
        <v>0.316</v>
      </c>
      <c r="R716" s="11">
        <v>1.06</v>
      </c>
    </row>
    <row r="717" spans="2:18" ht="16" x14ac:dyDescent="0.3">
      <c r="B717" s="4">
        <v>711</v>
      </c>
      <c r="C717" s="4" t="s">
        <v>3880</v>
      </c>
      <c r="D717" s="5" t="s">
        <v>3284</v>
      </c>
      <c r="E717" s="4">
        <v>300</v>
      </c>
      <c r="F717" s="5" t="s">
        <v>3285</v>
      </c>
      <c r="G717" s="4" t="s">
        <v>2905</v>
      </c>
      <c r="H717" s="4" t="s">
        <v>2908</v>
      </c>
      <c r="I717" s="22">
        <v>2304853.8590000002</v>
      </c>
      <c r="J717" s="22">
        <v>585660.49399999995</v>
      </c>
      <c r="K717" s="22">
        <v>2304874.872</v>
      </c>
      <c r="L717" s="22">
        <v>585646.39899999998</v>
      </c>
      <c r="M717" s="6">
        <v>25.303000000000001</v>
      </c>
      <c r="N717" s="11">
        <v>4.24</v>
      </c>
      <c r="O717" s="11">
        <v>4.1500000000000004</v>
      </c>
      <c r="P717" s="11">
        <f t="shared" si="22"/>
        <v>8.9999999999999858E-2</v>
      </c>
      <c r="Q717" s="11">
        <f t="shared" si="23"/>
        <v>0.35599999999999998</v>
      </c>
      <c r="R717" s="11">
        <v>0.97499999999999998</v>
      </c>
    </row>
    <row r="718" spans="2:18" ht="16" x14ac:dyDescent="0.3">
      <c r="B718" s="4">
        <v>712</v>
      </c>
      <c r="C718" s="4" t="s">
        <v>3881</v>
      </c>
      <c r="D718" s="5" t="s">
        <v>3284</v>
      </c>
      <c r="E718" s="4">
        <v>300</v>
      </c>
      <c r="F718" s="5" t="s">
        <v>3285</v>
      </c>
      <c r="G718" s="4" t="s">
        <v>980</v>
      </c>
      <c r="H718" s="4" t="s">
        <v>2905</v>
      </c>
      <c r="I718" s="22">
        <v>2304833.0950000002</v>
      </c>
      <c r="J718" s="22">
        <v>585674.41799999995</v>
      </c>
      <c r="K718" s="22">
        <v>2304853.2779999999</v>
      </c>
      <c r="L718" s="22">
        <v>585660.88399999996</v>
      </c>
      <c r="M718" s="6">
        <v>24.3</v>
      </c>
      <c r="N718" s="11">
        <v>4.32</v>
      </c>
      <c r="O718" s="11">
        <v>4.24</v>
      </c>
      <c r="P718" s="11">
        <f t="shared" si="22"/>
        <v>8.0000000000000071E-2</v>
      </c>
      <c r="Q718" s="11">
        <f t="shared" si="23"/>
        <v>0.32900000000000001</v>
      </c>
      <c r="R718" s="11">
        <v>0.89</v>
      </c>
    </row>
    <row r="719" spans="2:18" ht="16" x14ac:dyDescent="0.3">
      <c r="B719" s="4">
        <v>713</v>
      </c>
      <c r="C719" s="4" t="s">
        <v>3882</v>
      </c>
      <c r="D719" s="5" t="s">
        <v>3284</v>
      </c>
      <c r="E719" s="4">
        <v>300</v>
      </c>
      <c r="F719" s="5" t="s">
        <v>3285</v>
      </c>
      <c r="G719" s="4" t="s">
        <v>2377</v>
      </c>
      <c r="H719" s="4" t="s">
        <v>929</v>
      </c>
      <c r="I719" s="22">
        <v>2305032.9589999998</v>
      </c>
      <c r="J719" s="22">
        <v>585928.83799999999</v>
      </c>
      <c r="K719" s="22">
        <v>2305012.7769999998</v>
      </c>
      <c r="L719" s="22">
        <v>585942.37100000004</v>
      </c>
      <c r="M719" s="6">
        <v>24.3</v>
      </c>
      <c r="N719" s="11">
        <v>4.24</v>
      </c>
      <c r="O719" s="11">
        <v>4.32</v>
      </c>
      <c r="P719" s="11">
        <f t="shared" si="22"/>
        <v>8.0000000000000071E-2</v>
      </c>
      <c r="Q719" s="11">
        <f t="shared" si="23"/>
        <v>0.32900000000000001</v>
      </c>
      <c r="R719" s="11">
        <v>0.89</v>
      </c>
    </row>
    <row r="720" spans="2:18" ht="16" x14ac:dyDescent="0.3">
      <c r="B720" s="4">
        <v>714</v>
      </c>
      <c r="C720" s="4" t="s">
        <v>3883</v>
      </c>
      <c r="D720" s="5" t="s">
        <v>3284</v>
      </c>
      <c r="E720" s="4">
        <v>300</v>
      </c>
      <c r="F720" s="5" t="s">
        <v>3285</v>
      </c>
      <c r="G720" s="4" t="s">
        <v>2380</v>
      </c>
      <c r="H720" s="4" t="s">
        <v>2377</v>
      </c>
      <c r="I720" s="22">
        <v>2305054.5529999998</v>
      </c>
      <c r="J720" s="22">
        <v>585914.35699999996</v>
      </c>
      <c r="K720" s="22">
        <v>2305033.54</v>
      </c>
      <c r="L720" s="22">
        <v>585928.44799999997</v>
      </c>
      <c r="M720" s="6">
        <v>25.3</v>
      </c>
      <c r="N720" s="11">
        <v>4.1500000000000004</v>
      </c>
      <c r="O720" s="11">
        <v>4.24</v>
      </c>
      <c r="P720" s="11">
        <f t="shared" si="22"/>
        <v>8.9999999999999858E-2</v>
      </c>
      <c r="Q720" s="11">
        <f t="shared" si="23"/>
        <v>0.35599999999999998</v>
      </c>
      <c r="R720" s="11">
        <v>0.97499999999999998</v>
      </c>
    </row>
    <row r="721" spans="2:18" ht="16" x14ac:dyDescent="0.3">
      <c r="B721" s="4">
        <v>715</v>
      </c>
      <c r="C721" s="4" t="s">
        <v>3884</v>
      </c>
      <c r="D721" s="5" t="s">
        <v>3284</v>
      </c>
      <c r="E721" s="4">
        <v>300</v>
      </c>
      <c r="F721" s="5" t="s">
        <v>3285</v>
      </c>
      <c r="G721" s="4" t="s">
        <v>2383</v>
      </c>
      <c r="H721" s="4" t="s">
        <v>2380</v>
      </c>
      <c r="I721" s="22">
        <v>2305076.1540000001</v>
      </c>
      <c r="J721" s="22">
        <v>585899.87199999997</v>
      </c>
      <c r="K721" s="22">
        <v>2305055.1349999998</v>
      </c>
      <c r="L721" s="22">
        <v>585913.96699999995</v>
      </c>
      <c r="M721" s="6">
        <v>25.308</v>
      </c>
      <c r="N721" s="11">
        <v>4.07</v>
      </c>
      <c r="O721" s="11">
        <v>4.1500000000000004</v>
      </c>
      <c r="P721" s="11">
        <f t="shared" si="22"/>
        <v>8.0000000000000071E-2</v>
      </c>
      <c r="Q721" s="11">
        <f t="shared" si="23"/>
        <v>0.316</v>
      </c>
      <c r="R721" s="11">
        <v>1.06</v>
      </c>
    </row>
    <row r="722" spans="2:18" ht="16" x14ac:dyDescent="0.3">
      <c r="B722" s="4">
        <v>716</v>
      </c>
      <c r="C722" s="4" t="s">
        <v>3885</v>
      </c>
      <c r="D722" s="5" t="s">
        <v>3284</v>
      </c>
      <c r="E722" s="4">
        <v>300</v>
      </c>
      <c r="F722" s="5" t="s">
        <v>3285</v>
      </c>
      <c r="G722" s="4" t="s">
        <v>234</v>
      </c>
      <c r="H722" s="4" t="s">
        <v>2383</v>
      </c>
      <c r="I722" s="22">
        <v>2305096.5630000001</v>
      </c>
      <c r="J722" s="22">
        <v>585885.97600000002</v>
      </c>
      <c r="K722" s="22">
        <v>2305076.7289999998</v>
      </c>
      <c r="L722" s="22">
        <v>585899.48699999996</v>
      </c>
      <c r="M722" s="6">
        <v>23.998999999999999</v>
      </c>
      <c r="N722" s="11">
        <v>4.03</v>
      </c>
      <c r="O722" s="11">
        <v>4.07</v>
      </c>
      <c r="P722" s="11">
        <f t="shared" si="22"/>
        <v>4.0000000000000036E-2</v>
      </c>
      <c r="Q722" s="11">
        <f t="shared" si="23"/>
        <v>0.16700000000000001</v>
      </c>
      <c r="R722" s="11">
        <v>1.1200000000000001</v>
      </c>
    </row>
    <row r="723" spans="2:18" ht="16" x14ac:dyDescent="0.3">
      <c r="B723" s="4">
        <v>717</v>
      </c>
      <c r="C723" s="4" t="s">
        <v>3886</v>
      </c>
      <c r="D723" s="5" t="s">
        <v>3284</v>
      </c>
      <c r="E723" s="4">
        <v>300</v>
      </c>
      <c r="F723" s="5" t="s">
        <v>3285</v>
      </c>
      <c r="G723" s="4" t="s">
        <v>231</v>
      </c>
      <c r="H723" s="4" t="s">
        <v>234</v>
      </c>
      <c r="I723" s="22">
        <v>2305111.4360000002</v>
      </c>
      <c r="J723" s="22">
        <v>585902.13800000004</v>
      </c>
      <c r="K723" s="22">
        <v>2305097.3939999999</v>
      </c>
      <c r="L723" s="22">
        <v>585885.41899999999</v>
      </c>
      <c r="M723" s="6">
        <v>28.506</v>
      </c>
      <c r="N723" s="11">
        <v>4.0999999999999996</v>
      </c>
      <c r="O723" s="11">
        <v>4.03</v>
      </c>
      <c r="P723" s="11">
        <f t="shared" si="22"/>
        <v>6.9999999999999396E-2</v>
      </c>
      <c r="Q723" s="11">
        <f t="shared" si="23"/>
        <v>0.246</v>
      </c>
      <c r="R723" s="11">
        <v>1.105</v>
      </c>
    </row>
    <row r="724" spans="2:18" ht="16" x14ac:dyDescent="0.3">
      <c r="B724" s="4">
        <v>718</v>
      </c>
      <c r="C724" s="4" t="s">
        <v>3887</v>
      </c>
      <c r="D724" s="5" t="s">
        <v>3284</v>
      </c>
      <c r="E724" s="4">
        <v>300</v>
      </c>
      <c r="F724" s="5" t="s">
        <v>3285</v>
      </c>
      <c r="G724" s="4" t="s">
        <v>2374</v>
      </c>
      <c r="H724" s="4" t="s">
        <v>231</v>
      </c>
      <c r="I724" s="22">
        <v>2305088.6359999999</v>
      </c>
      <c r="J724" s="22">
        <v>585917.24300000002</v>
      </c>
      <c r="K724" s="22">
        <v>2305110.605</v>
      </c>
      <c r="L724" s="22">
        <v>585902.69499999995</v>
      </c>
      <c r="M724" s="6">
        <v>26.35</v>
      </c>
      <c r="N724" s="11">
        <v>4.07</v>
      </c>
      <c r="O724" s="11">
        <v>4.0999999999999996</v>
      </c>
      <c r="P724" s="11">
        <f t="shared" si="22"/>
        <v>2.9999999999999361E-2</v>
      </c>
      <c r="Q724" s="11">
        <f t="shared" si="23"/>
        <v>0.114</v>
      </c>
      <c r="R724" s="11">
        <v>1.085</v>
      </c>
    </row>
    <row r="725" spans="2:18" ht="16" x14ac:dyDescent="0.3">
      <c r="B725" s="4">
        <v>719</v>
      </c>
      <c r="C725" s="4" t="s">
        <v>3888</v>
      </c>
      <c r="D725" s="5" t="s">
        <v>3284</v>
      </c>
      <c r="E725" s="4">
        <v>300</v>
      </c>
      <c r="F725" s="5" t="s">
        <v>3285</v>
      </c>
      <c r="G725" s="4" t="s">
        <v>2371</v>
      </c>
      <c r="H725" s="4" t="s">
        <v>2374</v>
      </c>
      <c r="I725" s="22">
        <v>2305067.0410000002</v>
      </c>
      <c r="J725" s="22">
        <v>585931.723</v>
      </c>
      <c r="K725" s="22">
        <v>2305088.054</v>
      </c>
      <c r="L725" s="22">
        <v>585917.63300000003</v>
      </c>
      <c r="M725" s="6">
        <v>25.3</v>
      </c>
      <c r="N725" s="11">
        <v>4.1500000000000004</v>
      </c>
      <c r="O725" s="11">
        <v>4.07</v>
      </c>
      <c r="P725" s="11">
        <f t="shared" si="22"/>
        <v>8.0000000000000071E-2</v>
      </c>
      <c r="Q725" s="11">
        <f t="shared" si="23"/>
        <v>0.316</v>
      </c>
      <c r="R725" s="11">
        <v>1.06</v>
      </c>
    </row>
    <row r="726" spans="2:18" ht="16" x14ac:dyDescent="0.3">
      <c r="B726" s="4">
        <v>720</v>
      </c>
      <c r="C726" s="4" t="s">
        <v>3889</v>
      </c>
      <c r="D726" s="5" t="s">
        <v>3284</v>
      </c>
      <c r="E726" s="4">
        <v>300</v>
      </c>
      <c r="F726" s="5" t="s">
        <v>3285</v>
      </c>
      <c r="G726" s="4" t="s">
        <v>2368</v>
      </c>
      <c r="H726" s="4" t="s">
        <v>2371</v>
      </c>
      <c r="I726" s="22">
        <v>2305045.4470000002</v>
      </c>
      <c r="J726" s="22">
        <v>585946.20400000003</v>
      </c>
      <c r="K726" s="22">
        <v>2305066.46</v>
      </c>
      <c r="L726" s="22">
        <v>585932.11300000001</v>
      </c>
      <c r="M726" s="6">
        <v>25.3</v>
      </c>
      <c r="N726" s="11">
        <v>4.24</v>
      </c>
      <c r="O726" s="11">
        <v>4.1500000000000004</v>
      </c>
      <c r="P726" s="11">
        <f t="shared" si="22"/>
        <v>8.9999999999999858E-2</v>
      </c>
      <c r="Q726" s="11">
        <f t="shared" si="23"/>
        <v>0.35599999999999998</v>
      </c>
      <c r="R726" s="11">
        <v>0.97499999999999998</v>
      </c>
    </row>
    <row r="727" spans="2:18" ht="16" x14ac:dyDescent="0.3">
      <c r="B727" s="4">
        <v>721</v>
      </c>
      <c r="C727" s="4" t="s">
        <v>3890</v>
      </c>
      <c r="D727" s="5" t="s">
        <v>3284</v>
      </c>
      <c r="E727" s="4">
        <v>300</v>
      </c>
      <c r="F727" s="5" t="s">
        <v>3285</v>
      </c>
      <c r="G727" s="4" t="s">
        <v>926</v>
      </c>
      <c r="H727" s="4" t="s">
        <v>2368</v>
      </c>
      <c r="I727" s="22">
        <v>2305024.6830000002</v>
      </c>
      <c r="J727" s="22">
        <v>585960.12699999998</v>
      </c>
      <c r="K727" s="22">
        <v>2305044.8659999999</v>
      </c>
      <c r="L727" s="22">
        <v>585946.59400000004</v>
      </c>
      <c r="M727" s="6">
        <v>24.3</v>
      </c>
      <c r="N727" s="11">
        <v>4.32</v>
      </c>
      <c r="O727" s="11">
        <v>4.24</v>
      </c>
      <c r="P727" s="11">
        <f t="shared" si="22"/>
        <v>8.0000000000000071E-2</v>
      </c>
      <c r="Q727" s="11">
        <f t="shared" si="23"/>
        <v>0.32900000000000001</v>
      </c>
      <c r="R727" s="11">
        <v>0.89</v>
      </c>
    </row>
    <row r="728" spans="2:18" ht="16" x14ac:dyDescent="0.3">
      <c r="B728" s="4">
        <v>722</v>
      </c>
      <c r="C728" s="4" t="s">
        <v>3891</v>
      </c>
      <c r="D728" s="5" t="s">
        <v>3284</v>
      </c>
      <c r="E728" s="4">
        <v>300</v>
      </c>
      <c r="F728" s="5" t="s">
        <v>3285</v>
      </c>
      <c r="G728" s="4" t="s">
        <v>477</v>
      </c>
      <c r="H728" s="4" t="s">
        <v>483</v>
      </c>
      <c r="I728" s="22">
        <v>2304843.0469999998</v>
      </c>
      <c r="J728" s="22">
        <v>585277.18599999999</v>
      </c>
      <c r="K728" s="22">
        <v>2304855.4160000002</v>
      </c>
      <c r="L728" s="22">
        <v>585268.69900000002</v>
      </c>
      <c r="M728" s="6">
        <v>15.000999999999999</v>
      </c>
      <c r="N728" s="11">
        <v>4.12</v>
      </c>
      <c r="O728" s="11">
        <v>3.55</v>
      </c>
      <c r="P728" s="11">
        <f t="shared" si="22"/>
        <v>0.57000000000000028</v>
      </c>
      <c r="Q728" s="11">
        <f t="shared" si="23"/>
        <v>3.8</v>
      </c>
      <c r="R728" s="11">
        <v>1.135</v>
      </c>
    </row>
    <row r="729" spans="2:18" ht="16" x14ac:dyDescent="0.3">
      <c r="B729" s="4">
        <v>723</v>
      </c>
      <c r="C729" s="4" t="s">
        <v>3892</v>
      </c>
      <c r="D729" s="5" t="s">
        <v>3284</v>
      </c>
      <c r="E729" s="4">
        <v>300</v>
      </c>
      <c r="F729" s="5" t="s">
        <v>3285</v>
      </c>
      <c r="G729" s="4" t="s">
        <v>2803</v>
      </c>
      <c r="H729" s="4" t="s">
        <v>2800</v>
      </c>
      <c r="I729" s="22">
        <v>2304815.9419999998</v>
      </c>
      <c r="J729" s="22">
        <v>585340.36699999997</v>
      </c>
      <c r="K729" s="22">
        <v>2304794.0980000002</v>
      </c>
      <c r="L729" s="22">
        <v>585355.01399999997</v>
      </c>
      <c r="M729" s="6">
        <v>26.3</v>
      </c>
      <c r="N729" s="11">
        <v>4.2300000000000004</v>
      </c>
      <c r="O729" s="11">
        <v>4.32</v>
      </c>
      <c r="P729" s="11">
        <f t="shared" si="22"/>
        <v>8.9999999999999858E-2</v>
      </c>
      <c r="Q729" s="11">
        <f t="shared" si="23"/>
        <v>0.34200000000000003</v>
      </c>
      <c r="R729" s="11">
        <v>0.89500000000000002</v>
      </c>
    </row>
    <row r="730" spans="2:18" ht="16" x14ac:dyDescent="0.3">
      <c r="B730" s="4">
        <v>724</v>
      </c>
      <c r="C730" s="4" t="s">
        <v>3893</v>
      </c>
      <c r="D730" s="5" t="s">
        <v>3284</v>
      </c>
      <c r="E730" s="4">
        <v>300</v>
      </c>
      <c r="F730" s="5" t="s">
        <v>3285</v>
      </c>
      <c r="G730" s="4" t="s">
        <v>2734</v>
      </c>
      <c r="H730" s="4" t="s">
        <v>2803</v>
      </c>
      <c r="I730" s="22">
        <v>2304839.7030000002</v>
      </c>
      <c r="J730" s="22">
        <v>585324.62399999995</v>
      </c>
      <c r="K730" s="22">
        <v>2304816.523</v>
      </c>
      <c r="L730" s="22">
        <v>585339.97699999996</v>
      </c>
      <c r="M730" s="6">
        <v>27.803000000000001</v>
      </c>
      <c r="N730" s="11">
        <v>3.99</v>
      </c>
      <c r="O730" s="11">
        <v>4.2300000000000004</v>
      </c>
      <c r="P730" s="11">
        <f t="shared" si="22"/>
        <v>0.24000000000000021</v>
      </c>
      <c r="Q730" s="11">
        <f t="shared" si="23"/>
        <v>0.86299999999999999</v>
      </c>
      <c r="R730" s="11">
        <v>1.06</v>
      </c>
    </row>
    <row r="731" spans="2:18" ht="16" x14ac:dyDescent="0.3">
      <c r="B731" s="4">
        <v>725</v>
      </c>
      <c r="C731" s="4" t="s">
        <v>3894</v>
      </c>
      <c r="D731" s="5" t="s">
        <v>3284</v>
      </c>
      <c r="E731" s="4">
        <v>300</v>
      </c>
      <c r="F731" s="5" t="s">
        <v>3285</v>
      </c>
      <c r="G731" s="4" t="s">
        <v>2731</v>
      </c>
      <c r="H731" s="4" t="s">
        <v>2734</v>
      </c>
      <c r="I731" s="22">
        <v>2304833.9989999998</v>
      </c>
      <c r="J731" s="22">
        <v>585306.17700000003</v>
      </c>
      <c r="K731" s="22">
        <v>2304840.5329999998</v>
      </c>
      <c r="L731" s="22">
        <v>585324.06700000004</v>
      </c>
      <c r="M731" s="6">
        <v>20.637</v>
      </c>
      <c r="N731" s="11">
        <v>4.0599999999999996</v>
      </c>
      <c r="O731" s="11">
        <v>3.99</v>
      </c>
      <c r="P731" s="11">
        <f t="shared" si="22"/>
        <v>6.9999999999999396E-2</v>
      </c>
      <c r="Q731" s="11">
        <f t="shared" si="23"/>
        <v>0.33900000000000002</v>
      </c>
      <c r="R731" s="11">
        <v>1.145</v>
      </c>
    </row>
    <row r="732" spans="2:18" ht="16" x14ac:dyDescent="0.3">
      <c r="B732" s="4">
        <v>726</v>
      </c>
      <c r="C732" s="4" t="s">
        <v>3895</v>
      </c>
      <c r="D732" s="5" t="s">
        <v>3284</v>
      </c>
      <c r="E732" s="4">
        <v>300</v>
      </c>
      <c r="F732" s="5" t="s">
        <v>3285</v>
      </c>
      <c r="G732" s="4" t="s">
        <v>2728</v>
      </c>
      <c r="H732" s="4" t="s">
        <v>2731</v>
      </c>
      <c r="I732" s="22">
        <v>2304819.4070000001</v>
      </c>
      <c r="J732" s="22">
        <v>585293.02800000005</v>
      </c>
      <c r="K732" s="22">
        <v>2304833.6090000002</v>
      </c>
      <c r="L732" s="22">
        <v>585305.59600000002</v>
      </c>
      <c r="M732" s="6">
        <v>20.734000000000002</v>
      </c>
      <c r="N732" s="11">
        <v>4.13</v>
      </c>
      <c r="O732" s="11">
        <v>4.0599999999999996</v>
      </c>
      <c r="P732" s="11">
        <f t="shared" si="22"/>
        <v>7.0000000000000284E-2</v>
      </c>
      <c r="Q732" s="11">
        <f t="shared" si="23"/>
        <v>0.33800000000000002</v>
      </c>
      <c r="R732" s="11">
        <v>1.075</v>
      </c>
    </row>
    <row r="733" spans="2:18" ht="16" x14ac:dyDescent="0.3">
      <c r="B733" s="4">
        <v>727</v>
      </c>
      <c r="C733" s="4" t="s">
        <v>3896</v>
      </c>
      <c r="D733" s="5" t="s">
        <v>3284</v>
      </c>
      <c r="E733" s="4">
        <v>300</v>
      </c>
      <c r="F733" s="5" t="s">
        <v>3285</v>
      </c>
      <c r="G733" s="4" t="s">
        <v>2725</v>
      </c>
      <c r="H733" s="4" t="s">
        <v>2728</v>
      </c>
      <c r="I733" s="22">
        <v>2304795.7050000001</v>
      </c>
      <c r="J733" s="22">
        <v>585308.93200000003</v>
      </c>
      <c r="K733" s="22">
        <v>2304818.8390000002</v>
      </c>
      <c r="L733" s="22">
        <v>585293.43799999997</v>
      </c>
      <c r="M733" s="6">
        <v>27.843</v>
      </c>
      <c r="N733" s="11">
        <v>4.2300000000000004</v>
      </c>
      <c r="O733" s="11">
        <v>4.13</v>
      </c>
      <c r="P733" s="11">
        <f t="shared" si="22"/>
        <v>0.10000000000000053</v>
      </c>
      <c r="Q733" s="11">
        <f t="shared" si="23"/>
        <v>0.35899999999999999</v>
      </c>
      <c r="R733" s="11">
        <v>0.99</v>
      </c>
    </row>
    <row r="734" spans="2:18" ht="16" x14ac:dyDescent="0.3">
      <c r="B734" s="4">
        <v>728</v>
      </c>
      <c r="C734" s="4" t="s">
        <v>3897</v>
      </c>
      <c r="D734" s="5" t="s">
        <v>3284</v>
      </c>
      <c r="E734" s="4">
        <v>300</v>
      </c>
      <c r="F734" s="5" t="s">
        <v>3285</v>
      </c>
      <c r="G734" s="4" t="s">
        <v>1058</v>
      </c>
      <c r="H734" s="4" t="s">
        <v>2725</v>
      </c>
      <c r="I734" s="22">
        <v>2304773.2799999998</v>
      </c>
      <c r="J734" s="22">
        <v>585323.96900000004</v>
      </c>
      <c r="K734" s="22">
        <v>2304795.1239999998</v>
      </c>
      <c r="L734" s="22">
        <v>585309.32200000004</v>
      </c>
      <c r="M734" s="6">
        <v>26.3</v>
      </c>
      <c r="N734" s="11">
        <v>4.32</v>
      </c>
      <c r="O734" s="11">
        <v>4.2300000000000004</v>
      </c>
      <c r="P734" s="11">
        <f t="shared" si="22"/>
        <v>8.9999999999999858E-2</v>
      </c>
      <c r="Q734" s="11">
        <f t="shared" si="23"/>
        <v>0.34200000000000003</v>
      </c>
      <c r="R734" s="11">
        <v>0.89500000000000002</v>
      </c>
    </row>
    <row r="735" spans="2:18" ht="16" x14ac:dyDescent="0.3">
      <c r="B735" s="4">
        <v>729</v>
      </c>
      <c r="C735" s="4" t="s">
        <v>3898</v>
      </c>
      <c r="D735" s="5" t="s">
        <v>3284</v>
      </c>
      <c r="E735" s="4">
        <v>300</v>
      </c>
      <c r="F735" s="5" t="s">
        <v>3285</v>
      </c>
      <c r="G735" s="4" t="s">
        <v>2791</v>
      </c>
      <c r="H735" s="4" t="s">
        <v>2788</v>
      </c>
      <c r="I735" s="22">
        <v>2304843.2319999998</v>
      </c>
      <c r="J735" s="22">
        <v>585381.06400000001</v>
      </c>
      <c r="K735" s="22">
        <v>2304821.3659999999</v>
      </c>
      <c r="L735" s="22">
        <v>585395.679</v>
      </c>
      <c r="M735" s="6">
        <v>26.3</v>
      </c>
      <c r="N735" s="11">
        <v>4.2300000000000004</v>
      </c>
      <c r="O735" s="11">
        <v>4.32</v>
      </c>
      <c r="P735" s="11">
        <f t="shared" si="22"/>
        <v>8.9999999999999858E-2</v>
      </c>
      <c r="Q735" s="11">
        <f t="shared" si="23"/>
        <v>0.34200000000000003</v>
      </c>
      <c r="R735" s="11">
        <v>0.89500000000000002</v>
      </c>
    </row>
    <row r="736" spans="2:18" ht="16" x14ac:dyDescent="0.3">
      <c r="B736" s="4">
        <v>730</v>
      </c>
      <c r="C736" s="4" t="s">
        <v>3899</v>
      </c>
      <c r="D736" s="5" t="s">
        <v>3284</v>
      </c>
      <c r="E736" s="4">
        <v>300</v>
      </c>
      <c r="F736" s="5" t="s">
        <v>3285</v>
      </c>
      <c r="G736" s="4" t="s">
        <v>2743</v>
      </c>
      <c r="H736" s="4" t="s">
        <v>2791</v>
      </c>
      <c r="I736" s="22">
        <v>2304867.0460000001</v>
      </c>
      <c r="J736" s="22">
        <v>585365.28599999996</v>
      </c>
      <c r="K736" s="22">
        <v>2304843.8130000001</v>
      </c>
      <c r="L736" s="22">
        <v>585380.674</v>
      </c>
      <c r="M736" s="6">
        <v>27.867000000000001</v>
      </c>
      <c r="N736" s="11">
        <v>3.82</v>
      </c>
      <c r="O736" s="11">
        <v>4.2300000000000004</v>
      </c>
      <c r="P736" s="11">
        <f t="shared" si="22"/>
        <v>0.41000000000000059</v>
      </c>
      <c r="Q736" s="11">
        <f t="shared" si="23"/>
        <v>1.4710000000000001</v>
      </c>
      <c r="R736" s="11">
        <v>1.145</v>
      </c>
    </row>
    <row r="737" spans="2:18" ht="16" x14ac:dyDescent="0.3">
      <c r="B737" s="4">
        <v>731</v>
      </c>
      <c r="C737" s="4" t="s">
        <v>3900</v>
      </c>
      <c r="D737" s="5" t="s">
        <v>3284</v>
      </c>
      <c r="E737" s="4">
        <v>300</v>
      </c>
      <c r="F737" s="5" t="s">
        <v>3285</v>
      </c>
      <c r="G737" s="4" t="s">
        <v>2740</v>
      </c>
      <c r="H737" s="4" t="s">
        <v>2743</v>
      </c>
      <c r="I737" s="22">
        <v>2304861.4440000001</v>
      </c>
      <c r="J737" s="22">
        <v>585346.77</v>
      </c>
      <c r="K737" s="22">
        <v>2304867.8769999999</v>
      </c>
      <c r="L737" s="22">
        <v>585364.72900000005</v>
      </c>
      <c r="M737" s="6">
        <v>20.587</v>
      </c>
      <c r="N737" s="11">
        <v>3.89</v>
      </c>
      <c r="O737" s="11">
        <v>3.82</v>
      </c>
      <c r="P737" s="11">
        <f t="shared" si="22"/>
        <v>7.0000000000000284E-2</v>
      </c>
      <c r="Q737" s="11">
        <f t="shared" si="23"/>
        <v>0.34</v>
      </c>
      <c r="R737" s="11">
        <v>1.3149999999999999</v>
      </c>
    </row>
    <row r="738" spans="2:18" ht="16" x14ac:dyDescent="0.3">
      <c r="B738" s="4">
        <v>732</v>
      </c>
      <c r="C738" s="4" t="s">
        <v>3901</v>
      </c>
      <c r="D738" s="5" t="s">
        <v>3284</v>
      </c>
      <c r="E738" s="4">
        <v>300</v>
      </c>
      <c r="F738" s="5" t="s">
        <v>3285</v>
      </c>
      <c r="G738" s="4" t="s">
        <v>2737</v>
      </c>
      <c r="H738" s="4" t="s">
        <v>2740</v>
      </c>
      <c r="I738" s="22">
        <v>2304847.3360000001</v>
      </c>
      <c r="J738" s="22">
        <v>585333.11399999994</v>
      </c>
      <c r="K738" s="22">
        <v>2304860.8659999999</v>
      </c>
      <c r="L738" s="22">
        <v>585345.95400000003</v>
      </c>
      <c r="M738" s="6">
        <v>19.898</v>
      </c>
      <c r="N738" s="11">
        <v>3.96</v>
      </c>
      <c r="O738" s="11">
        <v>3.89</v>
      </c>
      <c r="P738" s="11">
        <f t="shared" si="22"/>
        <v>6.999999999999984E-2</v>
      </c>
      <c r="Q738" s="11">
        <f t="shared" si="23"/>
        <v>0.35199999999999998</v>
      </c>
      <c r="R738" s="11">
        <v>1.2450000000000001</v>
      </c>
    </row>
    <row r="739" spans="2:18" ht="16" x14ac:dyDescent="0.3">
      <c r="B739" s="4">
        <v>733</v>
      </c>
      <c r="C739" s="4" t="s">
        <v>3902</v>
      </c>
      <c r="D739" s="5" t="s">
        <v>3284</v>
      </c>
      <c r="E739" s="4">
        <v>300</v>
      </c>
      <c r="F739" s="5" t="s">
        <v>3285</v>
      </c>
      <c r="G739" s="4" t="s">
        <v>2797</v>
      </c>
      <c r="H739" s="4" t="s">
        <v>2737</v>
      </c>
      <c r="I739" s="22">
        <v>2304822.9959999998</v>
      </c>
      <c r="J739" s="22">
        <v>585349.62899999996</v>
      </c>
      <c r="K739" s="22">
        <v>2304846.5049999999</v>
      </c>
      <c r="L739" s="22">
        <v>585333.67000000004</v>
      </c>
      <c r="M739" s="6">
        <v>28.414999999999999</v>
      </c>
      <c r="N739" s="11">
        <v>4.2300000000000004</v>
      </c>
      <c r="O739" s="11">
        <v>3.96</v>
      </c>
      <c r="P739" s="11">
        <f t="shared" si="22"/>
        <v>0.27000000000000046</v>
      </c>
      <c r="Q739" s="11">
        <f t="shared" si="23"/>
        <v>0.95</v>
      </c>
      <c r="R739" s="11">
        <v>1.075</v>
      </c>
    </row>
    <row r="740" spans="2:18" ht="16" x14ac:dyDescent="0.3">
      <c r="B740" s="4">
        <v>734</v>
      </c>
      <c r="C740" s="4" t="s">
        <v>3903</v>
      </c>
      <c r="D740" s="5" t="s">
        <v>3284</v>
      </c>
      <c r="E740" s="4">
        <v>300</v>
      </c>
      <c r="F740" s="5" t="s">
        <v>3285</v>
      </c>
      <c r="G740" s="4" t="s">
        <v>2794</v>
      </c>
      <c r="H740" s="4" t="s">
        <v>2797</v>
      </c>
      <c r="I740" s="22">
        <v>2304800.4139999999</v>
      </c>
      <c r="J740" s="22">
        <v>585364.772</v>
      </c>
      <c r="K740" s="22">
        <v>2304822.4139999999</v>
      </c>
      <c r="L740" s="22">
        <v>585350.01899999997</v>
      </c>
      <c r="M740" s="6">
        <v>26.489000000000001</v>
      </c>
      <c r="N740" s="11">
        <v>4.32</v>
      </c>
      <c r="O740" s="11">
        <v>4.2300000000000004</v>
      </c>
      <c r="P740" s="11">
        <f t="shared" si="22"/>
        <v>8.9999999999999858E-2</v>
      </c>
      <c r="Q740" s="11">
        <f t="shared" si="23"/>
        <v>0.34</v>
      </c>
      <c r="R740" s="11">
        <v>0.89500000000000002</v>
      </c>
    </row>
    <row r="741" spans="2:18" ht="16" x14ac:dyDescent="0.3">
      <c r="B741" s="4">
        <v>735</v>
      </c>
      <c r="C741" s="4" t="s">
        <v>3904</v>
      </c>
      <c r="D741" s="5" t="s">
        <v>3284</v>
      </c>
      <c r="E741" s="4">
        <v>300</v>
      </c>
      <c r="F741" s="5" t="s">
        <v>3285</v>
      </c>
      <c r="G741" s="4" t="s">
        <v>2779</v>
      </c>
      <c r="H741" s="4" t="s">
        <v>2776</v>
      </c>
      <c r="I741" s="22">
        <v>2304870.5219999999</v>
      </c>
      <c r="J741" s="22">
        <v>585421.76100000006</v>
      </c>
      <c r="K741" s="22">
        <v>2304848.7340000002</v>
      </c>
      <c r="L741" s="22">
        <v>585436.49100000004</v>
      </c>
      <c r="M741" s="6">
        <v>26.3</v>
      </c>
      <c r="N741" s="11">
        <v>4.2300000000000004</v>
      </c>
      <c r="O741" s="11">
        <v>4.32</v>
      </c>
      <c r="P741" s="11">
        <f t="shared" si="22"/>
        <v>8.9999999999999858E-2</v>
      </c>
      <c r="Q741" s="11">
        <f t="shared" si="23"/>
        <v>0.34200000000000003</v>
      </c>
      <c r="R741" s="11">
        <v>0.89500000000000002</v>
      </c>
    </row>
    <row r="742" spans="2:18" ht="16" x14ac:dyDescent="0.3">
      <c r="B742" s="4">
        <v>736</v>
      </c>
      <c r="C742" s="4" t="s">
        <v>3905</v>
      </c>
      <c r="D742" s="5" t="s">
        <v>3284</v>
      </c>
      <c r="E742" s="4">
        <v>300</v>
      </c>
      <c r="F742" s="5" t="s">
        <v>3285</v>
      </c>
      <c r="G742" s="4" t="s">
        <v>2752</v>
      </c>
      <c r="H742" s="4" t="s">
        <v>2779</v>
      </c>
      <c r="I742" s="22">
        <v>2304894.2280000001</v>
      </c>
      <c r="J742" s="22">
        <v>585406.05700000003</v>
      </c>
      <c r="K742" s="22">
        <v>2304871.1030000001</v>
      </c>
      <c r="L742" s="22">
        <v>585421.37100000004</v>
      </c>
      <c r="M742" s="6">
        <v>27.736000000000001</v>
      </c>
      <c r="N742" s="11">
        <v>3.64</v>
      </c>
      <c r="O742" s="11">
        <v>4.2300000000000004</v>
      </c>
      <c r="P742" s="11">
        <f t="shared" si="22"/>
        <v>0.5900000000000003</v>
      </c>
      <c r="Q742" s="11">
        <f t="shared" si="23"/>
        <v>2.1269999999999998</v>
      </c>
      <c r="R742" s="11">
        <v>1.2350000000000001</v>
      </c>
    </row>
    <row r="743" spans="2:18" ht="16" x14ac:dyDescent="0.3">
      <c r="B743" s="4">
        <v>737</v>
      </c>
      <c r="C743" s="4" t="s">
        <v>3906</v>
      </c>
      <c r="D743" s="5" t="s">
        <v>3284</v>
      </c>
      <c r="E743" s="4">
        <v>300</v>
      </c>
      <c r="F743" s="5" t="s">
        <v>3285</v>
      </c>
      <c r="G743" s="4" t="s">
        <v>2749</v>
      </c>
      <c r="H743" s="4" t="s">
        <v>2752</v>
      </c>
      <c r="I743" s="22">
        <v>2304888.713</v>
      </c>
      <c r="J743" s="22">
        <v>585387.48199999996</v>
      </c>
      <c r="K743" s="22">
        <v>2304895.0580000002</v>
      </c>
      <c r="L743" s="22">
        <v>585405.5</v>
      </c>
      <c r="M743" s="6">
        <v>20.684999999999999</v>
      </c>
      <c r="N743" s="11">
        <v>3.71</v>
      </c>
      <c r="O743" s="11">
        <v>3.64</v>
      </c>
      <c r="P743" s="11">
        <f t="shared" si="22"/>
        <v>6.999999999999984E-2</v>
      </c>
      <c r="Q743" s="11">
        <f t="shared" si="23"/>
        <v>0.33800000000000002</v>
      </c>
      <c r="R743" s="11">
        <v>1.4950000000000001</v>
      </c>
    </row>
    <row r="744" spans="2:18" ht="16" x14ac:dyDescent="0.3">
      <c r="B744" s="4">
        <v>738</v>
      </c>
      <c r="C744" s="4" t="s">
        <v>3907</v>
      </c>
      <c r="D744" s="5" t="s">
        <v>3284</v>
      </c>
      <c r="E744" s="4">
        <v>300</v>
      </c>
      <c r="F744" s="5" t="s">
        <v>3285</v>
      </c>
      <c r="G744" s="4" t="s">
        <v>2746</v>
      </c>
      <c r="H744" s="4" t="s">
        <v>2749</v>
      </c>
      <c r="I744" s="22">
        <v>2304874.2609999999</v>
      </c>
      <c r="J744" s="22">
        <v>585373.88300000003</v>
      </c>
      <c r="K744" s="22">
        <v>2304888.156</v>
      </c>
      <c r="L744" s="22">
        <v>585386.65099999995</v>
      </c>
      <c r="M744" s="6">
        <v>20.241</v>
      </c>
      <c r="N744" s="11">
        <v>3.78</v>
      </c>
      <c r="O744" s="11">
        <v>3.71</v>
      </c>
      <c r="P744" s="11">
        <f t="shared" si="22"/>
        <v>6.999999999999984E-2</v>
      </c>
      <c r="Q744" s="11">
        <f t="shared" si="23"/>
        <v>0.34599999999999997</v>
      </c>
      <c r="R744" s="11">
        <v>1.425</v>
      </c>
    </row>
    <row r="745" spans="2:18" ht="16" x14ac:dyDescent="0.3">
      <c r="B745" s="4">
        <v>739</v>
      </c>
      <c r="C745" s="4" t="s">
        <v>3908</v>
      </c>
      <c r="D745" s="5" t="s">
        <v>3284</v>
      </c>
      <c r="E745" s="4">
        <v>300</v>
      </c>
      <c r="F745" s="5" t="s">
        <v>3285</v>
      </c>
      <c r="G745" s="4" t="s">
        <v>2785</v>
      </c>
      <c r="H745" s="4" t="s">
        <v>2746</v>
      </c>
      <c r="I745" s="22">
        <v>2304850.2429999998</v>
      </c>
      <c r="J745" s="22">
        <v>585390.26300000004</v>
      </c>
      <c r="K745" s="22">
        <v>2304874.2519999999</v>
      </c>
      <c r="L745" s="22">
        <v>585373.88100000005</v>
      </c>
      <c r="M745" s="6">
        <v>29.065000000000001</v>
      </c>
      <c r="N745" s="11">
        <v>4.2300000000000004</v>
      </c>
      <c r="O745" s="11">
        <v>3.78</v>
      </c>
      <c r="P745" s="11">
        <f t="shared" si="22"/>
        <v>0.45000000000000062</v>
      </c>
      <c r="Q745" s="11">
        <f t="shared" si="23"/>
        <v>1.548</v>
      </c>
      <c r="R745" s="11">
        <v>1.165</v>
      </c>
    </row>
    <row r="746" spans="2:18" ht="16" x14ac:dyDescent="0.3">
      <c r="B746" s="4">
        <v>740</v>
      </c>
      <c r="C746" s="4" t="s">
        <v>3909</v>
      </c>
      <c r="D746" s="5" t="s">
        <v>3284</v>
      </c>
      <c r="E746" s="4">
        <v>300</v>
      </c>
      <c r="F746" s="5" t="s">
        <v>3285</v>
      </c>
      <c r="G746" s="4" t="s">
        <v>2782</v>
      </c>
      <c r="H746" s="4" t="s">
        <v>2785</v>
      </c>
      <c r="I746" s="22">
        <v>2304827.7039999999</v>
      </c>
      <c r="J746" s="22">
        <v>585405.46900000004</v>
      </c>
      <c r="K746" s="22">
        <v>2304849.6690000002</v>
      </c>
      <c r="L746" s="22">
        <v>585390.73899999994</v>
      </c>
      <c r="M746" s="6">
        <v>26.446999999999999</v>
      </c>
      <c r="N746" s="11">
        <v>4.32</v>
      </c>
      <c r="O746" s="11">
        <v>4.2300000000000004</v>
      </c>
      <c r="P746" s="11">
        <f t="shared" si="22"/>
        <v>8.9999999999999858E-2</v>
      </c>
      <c r="Q746" s="11">
        <f t="shared" si="23"/>
        <v>0.34</v>
      </c>
      <c r="R746" s="11">
        <v>0.89500000000000002</v>
      </c>
    </row>
    <row r="747" spans="2:18" ht="16" x14ac:dyDescent="0.3">
      <c r="B747" s="4">
        <v>741</v>
      </c>
      <c r="C747" s="4" t="s">
        <v>3910</v>
      </c>
      <c r="D747" s="5" t="s">
        <v>3284</v>
      </c>
      <c r="E747" s="4">
        <v>300</v>
      </c>
      <c r="F747" s="5" t="s">
        <v>3285</v>
      </c>
      <c r="G747" s="4" t="s">
        <v>2767</v>
      </c>
      <c r="H747" s="4" t="s">
        <v>2764</v>
      </c>
      <c r="I747" s="22">
        <v>2304897.8119999999</v>
      </c>
      <c r="J747" s="22">
        <v>585462.45799999998</v>
      </c>
      <c r="K747" s="22">
        <v>2304875.969</v>
      </c>
      <c r="L747" s="22">
        <v>585477.10499999998</v>
      </c>
      <c r="M747" s="6">
        <v>26.3</v>
      </c>
      <c r="N747" s="11">
        <v>4.2300000000000004</v>
      </c>
      <c r="O747" s="11">
        <v>4.32</v>
      </c>
      <c r="P747" s="11">
        <f t="shared" si="22"/>
        <v>8.9999999999999858E-2</v>
      </c>
      <c r="Q747" s="11">
        <f t="shared" si="23"/>
        <v>0.34200000000000003</v>
      </c>
      <c r="R747" s="11">
        <v>0.89500000000000002</v>
      </c>
    </row>
    <row r="748" spans="2:18" ht="16" x14ac:dyDescent="0.3">
      <c r="B748" s="4">
        <v>742</v>
      </c>
      <c r="C748" s="4" t="s">
        <v>3911</v>
      </c>
      <c r="D748" s="5" t="s">
        <v>3284</v>
      </c>
      <c r="E748" s="4">
        <v>300</v>
      </c>
      <c r="F748" s="5" t="s">
        <v>3285</v>
      </c>
      <c r="G748" s="4" t="s">
        <v>2758</v>
      </c>
      <c r="H748" s="4" t="s">
        <v>2767</v>
      </c>
      <c r="I748" s="22">
        <v>2304923.4350000001</v>
      </c>
      <c r="J748" s="22">
        <v>585441.62</v>
      </c>
      <c r="K748" s="22">
        <v>2304898.3939999999</v>
      </c>
      <c r="L748" s="22">
        <v>585462.06799999997</v>
      </c>
      <c r="M748" s="6">
        <v>33.643000000000001</v>
      </c>
      <c r="N748" s="11">
        <v>3.49</v>
      </c>
      <c r="O748" s="11">
        <v>4.2300000000000004</v>
      </c>
      <c r="P748" s="11">
        <f t="shared" si="22"/>
        <v>0.74000000000000021</v>
      </c>
      <c r="Q748" s="11">
        <f t="shared" si="23"/>
        <v>2.2000000000000002</v>
      </c>
      <c r="R748" s="11">
        <v>1.31</v>
      </c>
    </row>
    <row r="749" spans="2:18" ht="16" x14ac:dyDescent="0.3">
      <c r="B749" s="4">
        <v>743</v>
      </c>
      <c r="C749" s="4" t="s">
        <v>3912</v>
      </c>
      <c r="D749" s="5" t="s">
        <v>3284</v>
      </c>
      <c r="E749" s="4">
        <v>300</v>
      </c>
      <c r="F749" s="5" t="s">
        <v>3285</v>
      </c>
      <c r="G749" s="4" t="s">
        <v>2755</v>
      </c>
      <c r="H749" s="4" t="s">
        <v>2758</v>
      </c>
      <c r="I749" s="22">
        <v>2304901.551</v>
      </c>
      <c r="J749" s="22">
        <v>585414.57999999996</v>
      </c>
      <c r="K749" s="22">
        <v>2304923.6129999999</v>
      </c>
      <c r="L749" s="22">
        <v>585440.64300000004</v>
      </c>
      <c r="M749" s="6">
        <v>35.841000000000001</v>
      </c>
      <c r="N749" s="11">
        <v>3.61</v>
      </c>
      <c r="O749" s="11">
        <v>3.49</v>
      </c>
      <c r="P749" s="11">
        <f t="shared" si="22"/>
        <v>0.11999999999999966</v>
      </c>
      <c r="Q749" s="11">
        <f t="shared" si="23"/>
        <v>0.33500000000000002</v>
      </c>
      <c r="R749" s="11">
        <v>1.62</v>
      </c>
    </row>
    <row r="750" spans="2:18" ht="16" x14ac:dyDescent="0.3">
      <c r="B750" s="4">
        <v>744</v>
      </c>
      <c r="C750" s="4" t="s">
        <v>3913</v>
      </c>
      <c r="D750" s="5" t="s">
        <v>3284</v>
      </c>
      <c r="E750" s="4">
        <v>300</v>
      </c>
      <c r="F750" s="5" t="s">
        <v>3285</v>
      </c>
      <c r="G750" s="4" t="s">
        <v>2773</v>
      </c>
      <c r="H750" s="4" t="s">
        <v>2755</v>
      </c>
      <c r="I750" s="22">
        <v>2304877.5759999999</v>
      </c>
      <c r="J750" s="22">
        <v>585431.02300000004</v>
      </c>
      <c r="K750" s="22">
        <v>2304901.0860000001</v>
      </c>
      <c r="L750" s="22">
        <v>585415.06499999994</v>
      </c>
      <c r="M750" s="6">
        <v>28.414999999999999</v>
      </c>
      <c r="N750" s="11">
        <v>4.2300000000000004</v>
      </c>
      <c r="O750" s="11">
        <v>3.61</v>
      </c>
      <c r="P750" s="11">
        <f t="shared" si="22"/>
        <v>0.62000000000000055</v>
      </c>
      <c r="Q750" s="11">
        <f t="shared" si="23"/>
        <v>2.1819999999999999</v>
      </c>
      <c r="R750" s="11">
        <v>1.25</v>
      </c>
    </row>
    <row r="751" spans="2:18" ht="16" x14ac:dyDescent="0.3">
      <c r="B751" s="4">
        <v>745</v>
      </c>
      <c r="C751" s="4" t="s">
        <v>3914</v>
      </c>
      <c r="D751" s="5" t="s">
        <v>3284</v>
      </c>
      <c r="E751" s="4">
        <v>300</v>
      </c>
      <c r="F751" s="5" t="s">
        <v>3285</v>
      </c>
      <c r="G751" s="4" t="s">
        <v>2770</v>
      </c>
      <c r="H751" s="4" t="s">
        <v>2773</v>
      </c>
      <c r="I751" s="22">
        <v>2304854.9939999999</v>
      </c>
      <c r="J751" s="22">
        <v>585446.16599999997</v>
      </c>
      <c r="K751" s="22">
        <v>2304876.9939999999</v>
      </c>
      <c r="L751" s="22">
        <v>585431.41299999994</v>
      </c>
      <c r="M751" s="6">
        <v>26.489000000000001</v>
      </c>
      <c r="N751" s="11">
        <v>4.32</v>
      </c>
      <c r="O751" s="11">
        <v>4.2300000000000004</v>
      </c>
      <c r="P751" s="11">
        <f t="shared" si="22"/>
        <v>8.9999999999999858E-2</v>
      </c>
      <c r="Q751" s="11">
        <f t="shared" si="23"/>
        <v>0.34</v>
      </c>
      <c r="R751" s="11">
        <v>0.89500000000000002</v>
      </c>
    </row>
    <row r="752" spans="2:18" ht="16" x14ac:dyDescent="0.3">
      <c r="B752" s="4">
        <v>746</v>
      </c>
      <c r="C752" s="4" t="s">
        <v>3915</v>
      </c>
      <c r="D752" s="5" t="s">
        <v>3284</v>
      </c>
      <c r="E752" s="4">
        <v>300</v>
      </c>
      <c r="F752" s="5" t="s">
        <v>3285</v>
      </c>
      <c r="G752" s="4" t="s">
        <v>2632</v>
      </c>
      <c r="H752" s="4" t="s">
        <v>1055</v>
      </c>
      <c r="I752" s="22">
        <v>2304700.4989999998</v>
      </c>
      <c r="J752" s="22">
        <v>585429.17000000004</v>
      </c>
      <c r="K752" s="22">
        <v>2304685.8509999998</v>
      </c>
      <c r="L752" s="22">
        <v>585407.326</v>
      </c>
      <c r="M752" s="6">
        <v>26.3</v>
      </c>
      <c r="N752" s="11">
        <v>4.2300000000000004</v>
      </c>
      <c r="O752" s="11">
        <v>4.32</v>
      </c>
      <c r="P752" s="11">
        <f t="shared" si="22"/>
        <v>8.9999999999999858E-2</v>
      </c>
      <c r="Q752" s="11">
        <f t="shared" si="23"/>
        <v>0.34200000000000003</v>
      </c>
      <c r="R752" s="11">
        <v>0.89500000000000002</v>
      </c>
    </row>
    <row r="753" spans="2:18" ht="16" x14ac:dyDescent="0.3">
      <c r="B753" s="4">
        <v>747</v>
      </c>
      <c r="C753" s="4" t="s">
        <v>3916</v>
      </c>
      <c r="D753" s="5" t="s">
        <v>3284</v>
      </c>
      <c r="E753" s="4">
        <v>300</v>
      </c>
      <c r="F753" s="5" t="s">
        <v>3285</v>
      </c>
      <c r="G753" s="4" t="s">
        <v>2635</v>
      </c>
      <c r="H753" s="4" t="s">
        <v>2632</v>
      </c>
      <c r="I753" s="22">
        <v>2304715.5359999998</v>
      </c>
      <c r="J753" s="22">
        <v>585451.59499999997</v>
      </c>
      <c r="K753" s="22">
        <v>2304700.889</v>
      </c>
      <c r="L753" s="22">
        <v>585429.75100000005</v>
      </c>
      <c r="M753" s="6">
        <v>26.3</v>
      </c>
      <c r="N753" s="11">
        <v>4.1399999999999997</v>
      </c>
      <c r="O753" s="11">
        <v>4.2300000000000004</v>
      </c>
      <c r="P753" s="11">
        <f t="shared" si="22"/>
        <v>9.0000000000000746E-2</v>
      </c>
      <c r="Q753" s="11">
        <f t="shared" si="23"/>
        <v>0.34200000000000003</v>
      </c>
      <c r="R753" s="11">
        <v>0.98499999999999999</v>
      </c>
    </row>
    <row r="754" spans="2:18" ht="16" x14ac:dyDescent="0.3">
      <c r="B754" s="4">
        <v>748</v>
      </c>
      <c r="C754" s="4" t="s">
        <v>3917</v>
      </c>
      <c r="D754" s="5" t="s">
        <v>3284</v>
      </c>
      <c r="E754" s="4">
        <v>300</v>
      </c>
      <c r="F754" s="5" t="s">
        <v>3285</v>
      </c>
      <c r="G754" s="4" t="s">
        <v>2638</v>
      </c>
      <c r="H754" s="4" t="s">
        <v>2635</v>
      </c>
      <c r="I754" s="22">
        <v>2304730.574</v>
      </c>
      <c r="J754" s="22">
        <v>585474.02099999995</v>
      </c>
      <c r="K754" s="22">
        <v>2304715.926</v>
      </c>
      <c r="L754" s="22">
        <v>585452.17599999998</v>
      </c>
      <c r="M754" s="6">
        <v>26.300999999999998</v>
      </c>
      <c r="N754" s="11">
        <v>4.05</v>
      </c>
      <c r="O754" s="11">
        <v>4.1399999999999997</v>
      </c>
      <c r="P754" s="11">
        <f t="shared" si="22"/>
        <v>8.9999999999999858E-2</v>
      </c>
      <c r="Q754" s="11">
        <f t="shared" si="23"/>
        <v>0.34200000000000003</v>
      </c>
      <c r="R754" s="11">
        <v>1.075</v>
      </c>
    </row>
    <row r="755" spans="2:18" ht="16" x14ac:dyDescent="0.3">
      <c r="B755" s="4">
        <v>749</v>
      </c>
      <c r="C755" s="4" t="s">
        <v>3918</v>
      </c>
      <c r="D755" s="5" t="s">
        <v>3284</v>
      </c>
      <c r="E755" s="4">
        <v>300</v>
      </c>
      <c r="F755" s="5" t="s">
        <v>3285</v>
      </c>
      <c r="G755" s="4" t="s">
        <v>2641</v>
      </c>
      <c r="H755" s="4" t="s">
        <v>2638</v>
      </c>
      <c r="I755" s="22">
        <v>2304745.4780000001</v>
      </c>
      <c r="J755" s="22">
        <v>585496.53399999999</v>
      </c>
      <c r="K755" s="22">
        <v>2304730.9640000002</v>
      </c>
      <c r="L755" s="22">
        <v>585474.60199999996</v>
      </c>
      <c r="M755" s="6">
        <v>26.298999999999999</v>
      </c>
      <c r="N755" s="11">
        <v>3.96</v>
      </c>
      <c r="O755" s="11">
        <v>4.05</v>
      </c>
      <c r="P755" s="11">
        <f t="shared" si="22"/>
        <v>8.9999999999999858E-2</v>
      </c>
      <c r="Q755" s="11">
        <f t="shared" si="23"/>
        <v>0.34200000000000003</v>
      </c>
      <c r="R755" s="11">
        <v>1.165</v>
      </c>
    </row>
    <row r="756" spans="2:18" ht="16" x14ac:dyDescent="0.3">
      <c r="B756" s="4">
        <v>750</v>
      </c>
      <c r="C756" s="4" t="s">
        <v>3919</v>
      </c>
      <c r="D756" s="5" t="s">
        <v>3284</v>
      </c>
      <c r="E756" s="4">
        <v>300</v>
      </c>
      <c r="F756" s="5" t="s">
        <v>3285</v>
      </c>
      <c r="G756" s="4" t="s">
        <v>2644</v>
      </c>
      <c r="H756" s="4" t="s">
        <v>2641</v>
      </c>
      <c r="I756" s="22">
        <v>2304760.5150000001</v>
      </c>
      <c r="J756" s="22">
        <v>585518.95900000003</v>
      </c>
      <c r="K756" s="22">
        <v>2304746.0350000001</v>
      </c>
      <c r="L756" s="22">
        <v>585497.36499999999</v>
      </c>
      <c r="M756" s="6">
        <v>26</v>
      </c>
      <c r="N756" s="11">
        <v>3.88</v>
      </c>
      <c r="O756" s="11">
        <v>3.96</v>
      </c>
      <c r="P756" s="11">
        <f t="shared" si="22"/>
        <v>8.0000000000000071E-2</v>
      </c>
      <c r="Q756" s="11">
        <f t="shared" si="23"/>
        <v>0.308</v>
      </c>
      <c r="R756" s="11">
        <v>1.25</v>
      </c>
    </row>
    <row r="757" spans="2:18" ht="16" x14ac:dyDescent="0.3">
      <c r="B757" s="4">
        <v>751</v>
      </c>
      <c r="C757" s="4" t="s">
        <v>3920</v>
      </c>
      <c r="D757" s="5" t="s">
        <v>3284</v>
      </c>
      <c r="E757" s="4">
        <v>300</v>
      </c>
      <c r="F757" s="5" t="s">
        <v>3285</v>
      </c>
      <c r="G757" s="4" t="s">
        <v>522</v>
      </c>
      <c r="H757" s="4" t="s">
        <v>2644</v>
      </c>
      <c r="I757" s="22">
        <v>2304773.9449999998</v>
      </c>
      <c r="J757" s="22">
        <v>585538.92000000004</v>
      </c>
      <c r="K757" s="22">
        <v>2304761.0720000002</v>
      </c>
      <c r="L757" s="22">
        <v>585519.78899999999</v>
      </c>
      <c r="M757" s="6">
        <v>23.058</v>
      </c>
      <c r="N757" s="11">
        <v>3.75</v>
      </c>
      <c r="O757" s="11">
        <v>3.88</v>
      </c>
      <c r="P757" s="11">
        <f t="shared" si="22"/>
        <v>0.12999999999999989</v>
      </c>
      <c r="Q757" s="11">
        <f t="shared" si="23"/>
        <v>0.56399999999999995</v>
      </c>
      <c r="R757" s="11">
        <v>1.355</v>
      </c>
    </row>
    <row r="758" spans="2:18" ht="16" x14ac:dyDescent="0.3">
      <c r="B758" s="4">
        <v>752</v>
      </c>
      <c r="C758" s="4" t="s">
        <v>3921</v>
      </c>
      <c r="D758" s="5" t="s">
        <v>3284</v>
      </c>
      <c r="E758" s="4">
        <v>300</v>
      </c>
      <c r="F758" s="5" t="s">
        <v>3285</v>
      </c>
      <c r="G758" s="4" t="s">
        <v>2680</v>
      </c>
      <c r="H758" s="4" t="s">
        <v>522</v>
      </c>
      <c r="I758" s="22">
        <v>2304792.4219999998</v>
      </c>
      <c r="J758" s="22">
        <v>585533.32299999997</v>
      </c>
      <c r="K758" s="22">
        <v>2304774.5049999999</v>
      </c>
      <c r="L758" s="22">
        <v>585539.74800000002</v>
      </c>
      <c r="M758" s="6">
        <v>20.568000000000001</v>
      </c>
      <c r="N758" s="11">
        <v>3.68</v>
      </c>
      <c r="O758" s="11">
        <v>3.75</v>
      </c>
      <c r="P758" s="11">
        <f t="shared" si="22"/>
        <v>6.999999999999984E-2</v>
      </c>
      <c r="Q758" s="11">
        <f t="shared" si="23"/>
        <v>0.34</v>
      </c>
      <c r="R758" s="11">
        <v>1.4550000000000001</v>
      </c>
    </row>
    <row r="759" spans="2:18" ht="16" x14ac:dyDescent="0.3">
      <c r="B759" s="4">
        <v>753</v>
      </c>
      <c r="C759" s="4" t="s">
        <v>3922</v>
      </c>
      <c r="D759" s="5" t="s">
        <v>3284</v>
      </c>
      <c r="E759" s="4">
        <v>300</v>
      </c>
      <c r="F759" s="5" t="s">
        <v>3285</v>
      </c>
      <c r="G759" s="4" t="s">
        <v>2683</v>
      </c>
      <c r="H759" s="4" t="s">
        <v>2680</v>
      </c>
      <c r="I759" s="22">
        <v>2304811.1090000002</v>
      </c>
      <c r="J759" s="22">
        <v>585520.79200000002</v>
      </c>
      <c r="K759" s="22">
        <v>2304793.2519999999</v>
      </c>
      <c r="L759" s="22">
        <v>585532.76599999995</v>
      </c>
      <c r="M759" s="6">
        <v>21.5</v>
      </c>
      <c r="N759" s="11">
        <v>3.61</v>
      </c>
      <c r="O759" s="11">
        <v>3.68</v>
      </c>
      <c r="P759" s="11">
        <f t="shared" si="22"/>
        <v>7.0000000000000284E-2</v>
      </c>
      <c r="Q759" s="11">
        <f t="shared" si="23"/>
        <v>0.32600000000000001</v>
      </c>
      <c r="R759" s="11">
        <v>1.5249999999999999</v>
      </c>
    </row>
    <row r="760" spans="2:18" ht="16" x14ac:dyDescent="0.3">
      <c r="B760" s="4">
        <v>754</v>
      </c>
      <c r="C760" s="4" t="s">
        <v>3923</v>
      </c>
      <c r="D760" s="5" t="s">
        <v>3284</v>
      </c>
      <c r="E760" s="4">
        <v>300</v>
      </c>
      <c r="F760" s="5" t="s">
        <v>3285</v>
      </c>
      <c r="G760" s="4" t="s">
        <v>2686</v>
      </c>
      <c r="H760" s="4" t="s">
        <v>2683</v>
      </c>
      <c r="I760" s="22">
        <v>2304826.0589999999</v>
      </c>
      <c r="J760" s="22">
        <v>585510.76699999999</v>
      </c>
      <c r="K760" s="22">
        <v>2304811.94</v>
      </c>
      <c r="L760" s="22">
        <v>585520.23499999999</v>
      </c>
      <c r="M760" s="6">
        <v>17</v>
      </c>
      <c r="N760" s="11">
        <v>3.55</v>
      </c>
      <c r="O760" s="11">
        <v>3.61</v>
      </c>
      <c r="P760" s="11">
        <f t="shared" si="22"/>
        <v>6.0000000000000053E-2</v>
      </c>
      <c r="Q760" s="11">
        <f t="shared" si="23"/>
        <v>0.35299999999999998</v>
      </c>
      <c r="R760" s="11">
        <v>1.59</v>
      </c>
    </row>
    <row r="761" spans="2:18" ht="16" x14ac:dyDescent="0.3">
      <c r="B761" s="4">
        <v>755</v>
      </c>
      <c r="C761" s="4" t="s">
        <v>3924</v>
      </c>
      <c r="D761" s="5" t="s">
        <v>3284</v>
      </c>
      <c r="E761" s="4">
        <v>300</v>
      </c>
      <c r="F761" s="5" t="s">
        <v>3285</v>
      </c>
      <c r="G761" s="4" t="s">
        <v>507</v>
      </c>
      <c r="H761" s="4" t="s">
        <v>2686</v>
      </c>
      <c r="I761" s="22">
        <v>2304842.1159999999</v>
      </c>
      <c r="J761" s="22">
        <v>585499.68000000005</v>
      </c>
      <c r="K761" s="22">
        <v>2304826.89</v>
      </c>
      <c r="L761" s="22">
        <v>585510.21</v>
      </c>
      <c r="M761" s="6">
        <v>18.513000000000002</v>
      </c>
      <c r="N761" s="11">
        <v>2.97</v>
      </c>
      <c r="O761" s="11">
        <v>3.55</v>
      </c>
      <c r="P761" s="11">
        <f t="shared" si="22"/>
        <v>0.57999999999999963</v>
      </c>
      <c r="Q761" s="11">
        <f t="shared" si="23"/>
        <v>3.133</v>
      </c>
      <c r="R761" s="11">
        <v>1.91</v>
      </c>
    </row>
    <row r="762" spans="2:18" ht="16" x14ac:dyDescent="0.3">
      <c r="B762" s="4">
        <v>756</v>
      </c>
      <c r="C762" s="4" t="s">
        <v>3925</v>
      </c>
      <c r="D762" s="5" t="s">
        <v>3284</v>
      </c>
      <c r="E762" s="4">
        <v>300</v>
      </c>
      <c r="F762" s="5" t="s">
        <v>3285</v>
      </c>
      <c r="G762" s="4" t="s">
        <v>504</v>
      </c>
      <c r="H762" s="4" t="s">
        <v>507</v>
      </c>
      <c r="I762" s="22">
        <v>2304832.1970000002</v>
      </c>
      <c r="J762" s="22">
        <v>585477.33100000001</v>
      </c>
      <c r="K762" s="22">
        <v>2304842.3190000001</v>
      </c>
      <c r="L762" s="22">
        <v>585498.69999999995</v>
      </c>
      <c r="M762" s="6">
        <v>24.716000000000001</v>
      </c>
      <c r="N762" s="11">
        <v>3.05</v>
      </c>
      <c r="O762" s="11">
        <v>2.97</v>
      </c>
      <c r="P762" s="11">
        <f t="shared" si="22"/>
        <v>7.9999999999999627E-2</v>
      </c>
      <c r="Q762" s="11">
        <f t="shared" si="23"/>
        <v>0.32400000000000001</v>
      </c>
      <c r="R762" s="11">
        <v>2.16</v>
      </c>
    </row>
    <row r="763" spans="2:18" ht="16" x14ac:dyDescent="0.3">
      <c r="B763" s="4">
        <v>757</v>
      </c>
      <c r="C763" s="4" t="s">
        <v>3926</v>
      </c>
      <c r="D763" s="5" t="s">
        <v>3284</v>
      </c>
      <c r="E763" s="4">
        <v>300</v>
      </c>
      <c r="F763" s="5" t="s">
        <v>3285</v>
      </c>
      <c r="G763" s="4" t="s">
        <v>2629</v>
      </c>
      <c r="H763" s="4" t="s">
        <v>504</v>
      </c>
      <c r="I763" s="22">
        <v>2304817.148</v>
      </c>
      <c r="J763" s="22">
        <v>585454.91299999994</v>
      </c>
      <c r="K763" s="22">
        <v>2304831.639</v>
      </c>
      <c r="L763" s="22">
        <v>585476.50100000005</v>
      </c>
      <c r="M763" s="6">
        <v>26</v>
      </c>
      <c r="N763" s="11">
        <v>3.14</v>
      </c>
      <c r="O763" s="11">
        <v>3.05</v>
      </c>
      <c r="P763" s="11">
        <f t="shared" si="22"/>
        <v>9.0000000000000302E-2</v>
      </c>
      <c r="Q763" s="11">
        <f t="shared" si="23"/>
        <v>0.34599999999999997</v>
      </c>
      <c r="R763" s="11">
        <v>2.0750000000000002</v>
      </c>
    </row>
    <row r="764" spans="2:18" ht="16" x14ac:dyDescent="0.3">
      <c r="B764" s="4">
        <v>758</v>
      </c>
      <c r="C764" s="4" t="s">
        <v>3927</v>
      </c>
      <c r="D764" s="5" t="s">
        <v>3284</v>
      </c>
      <c r="E764" s="4">
        <v>300</v>
      </c>
      <c r="F764" s="5" t="s">
        <v>3285</v>
      </c>
      <c r="G764" s="4" t="s">
        <v>2626</v>
      </c>
      <c r="H764" s="4" t="s">
        <v>2629</v>
      </c>
      <c r="I764" s="22">
        <v>2304802.1</v>
      </c>
      <c r="J764" s="22">
        <v>585432.49600000004</v>
      </c>
      <c r="K764" s="22">
        <v>2304816.591</v>
      </c>
      <c r="L764" s="22">
        <v>585454.08299999998</v>
      </c>
      <c r="M764" s="6">
        <v>26</v>
      </c>
      <c r="N764" s="11">
        <v>3.23</v>
      </c>
      <c r="O764" s="11">
        <v>3.14</v>
      </c>
      <c r="P764" s="11">
        <f t="shared" si="22"/>
        <v>8.9999999999999858E-2</v>
      </c>
      <c r="Q764" s="11">
        <f t="shared" si="23"/>
        <v>0.34599999999999997</v>
      </c>
      <c r="R764" s="11">
        <v>1.9850000000000001</v>
      </c>
    </row>
    <row r="765" spans="2:18" ht="16" x14ac:dyDescent="0.3">
      <c r="B765" s="4">
        <v>759</v>
      </c>
      <c r="C765" s="4" t="s">
        <v>3928</v>
      </c>
      <c r="D765" s="5" t="s">
        <v>3284</v>
      </c>
      <c r="E765" s="4">
        <v>300</v>
      </c>
      <c r="F765" s="5" t="s">
        <v>3285</v>
      </c>
      <c r="G765" s="4" t="s">
        <v>2623</v>
      </c>
      <c r="H765" s="4" t="s">
        <v>2626</v>
      </c>
      <c r="I765" s="22">
        <v>2304787.051</v>
      </c>
      <c r="J765" s="22">
        <v>585410.07900000003</v>
      </c>
      <c r="K765" s="22">
        <v>2304801.5419999999</v>
      </c>
      <c r="L765" s="22">
        <v>585431.66599999997</v>
      </c>
      <c r="M765" s="6">
        <v>26</v>
      </c>
      <c r="N765" s="11">
        <v>3.32</v>
      </c>
      <c r="O765" s="11">
        <v>3.23</v>
      </c>
      <c r="P765" s="11">
        <f t="shared" si="22"/>
        <v>8.9999999999999858E-2</v>
      </c>
      <c r="Q765" s="11">
        <f t="shared" si="23"/>
        <v>0.34599999999999997</v>
      </c>
      <c r="R765" s="11">
        <v>1.895</v>
      </c>
    </row>
    <row r="766" spans="2:18" ht="16" x14ac:dyDescent="0.3">
      <c r="B766" s="4">
        <v>760</v>
      </c>
      <c r="C766" s="4" t="s">
        <v>3929</v>
      </c>
      <c r="D766" s="5" t="s">
        <v>3284</v>
      </c>
      <c r="E766" s="4">
        <v>300</v>
      </c>
      <c r="F766" s="5" t="s">
        <v>3285</v>
      </c>
      <c r="G766" s="4" t="s">
        <v>2620</v>
      </c>
      <c r="H766" s="4" t="s">
        <v>2623</v>
      </c>
      <c r="I766" s="22">
        <v>2304772.0019999999</v>
      </c>
      <c r="J766" s="22">
        <v>585387.66099999996</v>
      </c>
      <c r="K766" s="22">
        <v>2304786.4939999999</v>
      </c>
      <c r="L766" s="22">
        <v>585409.24800000002</v>
      </c>
      <c r="M766" s="6">
        <v>26</v>
      </c>
      <c r="N766" s="11">
        <v>3.41</v>
      </c>
      <c r="O766" s="11">
        <v>3.32</v>
      </c>
      <c r="P766" s="11">
        <f t="shared" si="22"/>
        <v>9.0000000000000302E-2</v>
      </c>
      <c r="Q766" s="11">
        <f t="shared" si="23"/>
        <v>0.34599999999999997</v>
      </c>
      <c r="R766" s="11">
        <v>1.8049999999999999</v>
      </c>
    </row>
    <row r="767" spans="2:18" ht="16" x14ac:dyDescent="0.3">
      <c r="B767" s="4">
        <v>761</v>
      </c>
      <c r="C767" s="4" t="s">
        <v>3930</v>
      </c>
      <c r="D767" s="5" t="s">
        <v>3284</v>
      </c>
      <c r="E767" s="4">
        <v>300</v>
      </c>
      <c r="F767" s="5" t="s">
        <v>3285</v>
      </c>
      <c r="G767" s="4" t="s">
        <v>2617</v>
      </c>
      <c r="H767" s="4" t="s">
        <v>2620</v>
      </c>
      <c r="I767" s="22">
        <v>2304756.9539999999</v>
      </c>
      <c r="J767" s="22">
        <v>585365.24399999995</v>
      </c>
      <c r="K767" s="22">
        <v>2304771.4449999998</v>
      </c>
      <c r="L767" s="22">
        <v>585386.83100000001</v>
      </c>
      <c r="M767" s="6">
        <v>26</v>
      </c>
      <c r="N767" s="11">
        <v>3.5</v>
      </c>
      <c r="O767" s="11">
        <v>3.41</v>
      </c>
      <c r="P767" s="11">
        <f t="shared" si="22"/>
        <v>8.9999999999999858E-2</v>
      </c>
      <c r="Q767" s="11">
        <f t="shared" si="23"/>
        <v>0.34599999999999997</v>
      </c>
      <c r="R767" s="11">
        <v>1.7150000000000001</v>
      </c>
    </row>
    <row r="768" spans="2:18" ht="16" x14ac:dyDescent="0.3">
      <c r="B768" s="4">
        <v>762</v>
      </c>
      <c r="C768" s="4" t="s">
        <v>3931</v>
      </c>
      <c r="D768" s="5" t="s">
        <v>3284</v>
      </c>
      <c r="E768" s="4">
        <v>300</v>
      </c>
      <c r="F768" s="5" t="s">
        <v>3285</v>
      </c>
      <c r="G768" s="4" t="s">
        <v>2614</v>
      </c>
      <c r="H768" s="4" t="s">
        <v>2617</v>
      </c>
      <c r="I768" s="22">
        <v>2304738.9109999998</v>
      </c>
      <c r="J768" s="22">
        <v>585346.86199999996</v>
      </c>
      <c r="K768" s="22">
        <v>2304756.4360000002</v>
      </c>
      <c r="L768" s="22">
        <v>585364.38699999999</v>
      </c>
      <c r="M768" s="6">
        <v>26.53</v>
      </c>
      <c r="N768" s="11">
        <v>3.59</v>
      </c>
      <c r="O768" s="11">
        <v>3.5</v>
      </c>
      <c r="P768" s="11">
        <f t="shared" si="22"/>
        <v>8.9999999999999858E-2</v>
      </c>
      <c r="Q768" s="11">
        <f t="shared" si="23"/>
        <v>0.33900000000000002</v>
      </c>
      <c r="R768" s="11">
        <v>1.625</v>
      </c>
    </row>
    <row r="769" spans="2:18" ht="16" x14ac:dyDescent="0.3">
      <c r="B769" s="4">
        <v>763</v>
      </c>
      <c r="C769" s="4" t="s">
        <v>3932</v>
      </c>
      <c r="D769" s="5" t="s">
        <v>3284</v>
      </c>
      <c r="E769" s="4">
        <v>300</v>
      </c>
      <c r="F769" s="5" t="s">
        <v>3285</v>
      </c>
      <c r="G769" s="4" t="s">
        <v>2611</v>
      </c>
      <c r="H769" s="4" t="s">
        <v>2614</v>
      </c>
      <c r="I769" s="22">
        <v>2304723.8629999999</v>
      </c>
      <c r="J769" s="22">
        <v>585357.10699999996</v>
      </c>
      <c r="K769" s="22">
        <v>2304738.08</v>
      </c>
      <c r="L769" s="22">
        <v>585347.41899999999</v>
      </c>
      <c r="M769" s="6">
        <v>17.204999999999998</v>
      </c>
      <c r="N769" s="11">
        <v>4.2300000000000004</v>
      </c>
      <c r="O769" s="11">
        <v>3.59</v>
      </c>
      <c r="P769" s="11">
        <f t="shared" si="22"/>
        <v>0.64000000000000057</v>
      </c>
      <c r="Q769" s="11">
        <f t="shared" si="23"/>
        <v>3.72</v>
      </c>
      <c r="R769" s="11">
        <v>1.26</v>
      </c>
    </row>
    <row r="770" spans="2:18" ht="16" x14ac:dyDescent="0.3">
      <c r="B770" s="4">
        <v>764</v>
      </c>
      <c r="C770" s="4" t="s">
        <v>3933</v>
      </c>
      <c r="D770" s="5" t="s">
        <v>3284</v>
      </c>
      <c r="E770" s="4">
        <v>300</v>
      </c>
      <c r="F770" s="5" t="s">
        <v>3285</v>
      </c>
      <c r="G770" s="4" t="s">
        <v>1049</v>
      </c>
      <c r="H770" s="4" t="s">
        <v>2611</v>
      </c>
      <c r="I770" s="22">
        <v>2304701.4380000001</v>
      </c>
      <c r="J770" s="22">
        <v>585372.14500000002</v>
      </c>
      <c r="K770" s="22">
        <v>2304723.281</v>
      </c>
      <c r="L770" s="22">
        <v>585357.49699999997</v>
      </c>
      <c r="M770" s="6">
        <v>26.3</v>
      </c>
      <c r="N770" s="11">
        <v>4.32</v>
      </c>
      <c r="O770" s="11">
        <v>4.2300000000000004</v>
      </c>
      <c r="P770" s="11">
        <f t="shared" si="22"/>
        <v>8.9999999999999858E-2</v>
      </c>
      <c r="Q770" s="11">
        <f t="shared" si="23"/>
        <v>0.34200000000000003</v>
      </c>
      <c r="R770" s="11">
        <v>0.89500000000000002</v>
      </c>
    </row>
    <row r="771" spans="2:18" ht="16" x14ac:dyDescent="0.3">
      <c r="B771" s="4">
        <v>765</v>
      </c>
      <c r="C771" s="4" t="s">
        <v>3934</v>
      </c>
      <c r="D771" s="5" t="s">
        <v>3284</v>
      </c>
      <c r="E771" s="4">
        <v>300</v>
      </c>
      <c r="F771" s="5" t="s">
        <v>3285</v>
      </c>
      <c r="G771" s="4" t="s">
        <v>1103</v>
      </c>
      <c r="H771" s="4" t="s">
        <v>707</v>
      </c>
      <c r="I771" s="22">
        <v>2305334.7400000002</v>
      </c>
      <c r="J771" s="22">
        <v>584992.47699999996</v>
      </c>
      <c r="K771" s="22">
        <v>2305354.0920000002</v>
      </c>
      <c r="L771" s="22">
        <v>584979.5</v>
      </c>
      <c r="M771" s="6">
        <v>23.3</v>
      </c>
      <c r="N771" s="11">
        <v>4.1399999999999997</v>
      </c>
      <c r="O771" s="11">
        <v>4.22</v>
      </c>
      <c r="P771" s="11">
        <f t="shared" si="22"/>
        <v>8.0000000000000071E-2</v>
      </c>
      <c r="Q771" s="11">
        <f t="shared" si="23"/>
        <v>0.34300000000000003</v>
      </c>
      <c r="R771" s="11">
        <v>0.89</v>
      </c>
    </row>
    <row r="772" spans="2:18" ht="16" x14ac:dyDescent="0.3">
      <c r="B772" s="4">
        <v>766</v>
      </c>
      <c r="C772" s="4" t="s">
        <v>3935</v>
      </c>
      <c r="D772" s="5" t="s">
        <v>3284</v>
      </c>
      <c r="E772" s="4">
        <v>300</v>
      </c>
      <c r="F772" s="5" t="s">
        <v>3285</v>
      </c>
      <c r="G772" s="4" t="s">
        <v>1106</v>
      </c>
      <c r="H772" s="4" t="s">
        <v>1103</v>
      </c>
      <c r="I772" s="22">
        <v>2305314.807</v>
      </c>
      <c r="J772" s="22">
        <v>585005.84400000004</v>
      </c>
      <c r="K772" s="22">
        <v>2305334.159</v>
      </c>
      <c r="L772" s="22">
        <v>584992.86699999997</v>
      </c>
      <c r="M772" s="6">
        <v>23.3</v>
      </c>
      <c r="N772" s="11">
        <v>4.0599999999999996</v>
      </c>
      <c r="O772" s="11">
        <v>4.1399999999999997</v>
      </c>
      <c r="P772" s="11">
        <f t="shared" si="22"/>
        <v>8.0000000000000071E-2</v>
      </c>
      <c r="Q772" s="11">
        <f t="shared" si="23"/>
        <v>0.34300000000000003</v>
      </c>
      <c r="R772" s="11">
        <v>0.97</v>
      </c>
    </row>
    <row r="773" spans="2:18" ht="16" x14ac:dyDescent="0.3">
      <c r="B773" s="4">
        <v>767</v>
      </c>
      <c r="C773" s="4" t="s">
        <v>3936</v>
      </c>
      <c r="D773" s="5" t="s">
        <v>3284</v>
      </c>
      <c r="E773" s="4">
        <v>300</v>
      </c>
      <c r="F773" s="5" t="s">
        <v>3285</v>
      </c>
      <c r="G773" s="4" t="s">
        <v>1109</v>
      </c>
      <c r="H773" s="4" t="s">
        <v>1106</v>
      </c>
      <c r="I773" s="22">
        <v>2305294.8640000001</v>
      </c>
      <c r="J773" s="22">
        <v>585019.21600000001</v>
      </c>
      <c r="K773" s="22">
        <v>2305314.2250000001</v>
      </c>
      <c r="L773" s="22">
        <v>585006.23300000001</v>
      </c>
      <c r="M773" s="6">
        <v>23.311</v>
      </c>
      <c r="N773" s="11">
        <v>3.98</v>
      </c>
      <c r="O773" s="11">
        <v>4.0599999999999996</v>
      </c>
      <c r="P773" s="11">
        <f t="shared" si="22"/>
        <v>7.9999999999999627E-2</v>
      </c>
      <c r="Q773" s="11">
        <f t="shared" si="23"/>
        <v>0.34300000000000003</v>
      </c>
      <c r="R773" s="11">
        <v>1.05</v>
      </c>
    </row>
    <row r="774" spans="2:18" ht="16" x14ac:dyDescent="0.3">
      <c r="B774" s="4">
        <v>768</v>
      </c>
      <c r="C774" s="4" t="s">
        <v>3937</v>
      </c>
      <c r="D774" s="5" t="s">
        <v>3284</v>
      </c>
      <c r="E774" s="4">
        <v>300</v>
      </c>
      <c r="F774" s="5" t="s">
        <v>3285</v>
      </c>
      <c r="G774" s="4" t="s">
        <v>1112</v>
      </c>
      <c r="H774" s="4" t="s">
        <v>1109</v>
      </c>
      <c r="I774" s="22">
        <v>2305281.5320000001</v>
      </c>
      <c r="J774" s="22">
        <v>585028.05599999998</v>
      </c>
      <c r="K774" s="22">
        <v>2305294.2919999999</v>
      </c>
      <c r="L774" s="22">
        <v>585019.6</v>
      </c>
      <c r="M774" s="6">
        <v>15.308</v>
      </c>
      <c r="N774" s="11">
        <v>3.93</v>
      </c>
      <c r="O774" s="11">
        <v>3.98</v>
      </c>
      <c r="P774" s="11">
        <f t="shared" si="22"/>
        <v>4.9999999999999822E-2</v>
      </c>
      <c r="Q774" s="11">
        <f t="shared" si="23"/>
        <v>0.32700000000000001</v>
      </c>
      <c r="R774" s="11">
        <v>1.115</v>
      </c>
    </row>
    <row r="775" spans="2:18" ht="16" x14ac:dyDescent="0.3">
      <c r="B775" s="4">
        <v>769</v>
      </c>
      <c r="C775" s="4" t="s">
        <v>3938</v>
      </c>
      <c r="D775" s="5" t="s">
        <v>3284</v>
      </c>
      <c r="E775" s="4">
        <v>300</v>
      </c>
      <c r="F775" s="5" t="s">
        <v>3285</v>
      </c>
      <c r="G775" s="4" t="s">
        <v>363</v>
      </c>
      <c r="H775" s="4" t="s">
        <v>1112</v>
      </c>
      <c r="I775" s="22">
        <v>2305270.1290000002</v>
      </c>
      <c r="J775" s="22">
        <v>585035.99699999997</v>
      </c>
      <c r="K775" s="22">
        <v>2305280.9500000002</v>
      </c>
      <c r="L775" s="22">
        <v>585028.446</v>
      </c>
      <c r="M775" s="6">
        <v>13.196</v>
      </c>
      <c r="N775" s="11">
        <v>3.59</v>
      </c>
      <c r="O775" s="11">
        <v>3.93</v>
      </c>
      <c r="P775" s="11">
        <f t="shared" ref="P775:P838" si="24">IF(AND(ISNUMBER(N775),ISNUMBER(O775)),ABS(N775-O775),0)</f>
        <v>0.3400000000000003</v>
      </c>
      <c r="Q775" s="11">
        <f t="shared" ref="Q775:Q838" si="25">IF(M775&gt;0,ROUND(P775/M775*100,3),0)</f>
        <v>2.577</v>
      </c>
      <c r="R775" s="11">
        <v>1.31</v>
      </c>
    </row>
    <row r="776" spans="2:18" ht="16" x14ac:dyDescent="0.3">
      <c r="B776" s="4">
        <v>770</v>
      </c>
      <c r="C776" s="4" t="s">
        <v>3939</v>
      </c>
      <c r="D776" s="5" t="s">
        <v>3284</v>
      </c>
      <c r="E776" s="4">
        <v>300</v>
      </c>
      <c r="F776" s="5" t="s">
        <v>3285</v>
      </c>
      <c r="G776" s="4" t="s">
        <v>360</v>
      </c>
      <c r="H776" s="4" t="s">
        <v>363</v>
      </c>
      <c r="I776" s="22">
        <v>2305251.4640000002</v>
      </c>
      <c r="J776" s="22">
        <v>585026.576</v>
      </c>
      <c r="K776" s="22">
        <v>2305269.298</v>
      </c>
      <c r="L776" s="22">
        <v>585036.554</v>
      </c>
      <c r="M776" s="6">
        <v>23.798999999999999</v>
      </c>
      <c r="N776" s="11">
        <v>3.66</v>
      </c>
      <c r="O776" s="11">
        <v>3.59</v>
      </c>
      <c r="P776" s="11">
        <f t="shared" si="24"/>
        <v>7.0000000000000284E-2</v>
      </c>
      <c r="Q776" s="11">
        <f t="shared" si="25"/>
        <v>0.29399999999999998</v>
      </c>
      <c r="R776" s="11">
        <v>1.4650000000000001</v>
      </c>
    </row>
    <row r="777" spans="2:18" ht="16" x14ac:dyDescent="0.3">
      <c r="B777" s="4">
        <v>771</v>
      </c>
      <c r="C777" s="4" t="s">
        <v>3940</v>
      </c>
      <c r="D777" s="5" t="s">
        <v>3284</v>
      </c>
      <c r="E777" s="4">
        <v>300</v>
      </c>
      <c r="F777" s="5" t="s">
        <v>3285</v>
      </c>
      <c r="G777" s="4" t="s">
        <v>3057</v>
      </c>
      <c r="H777" s="4" t="s">
        <v>360</v>
      </c>
      <c r="I777" s="22">
        <v>2305247.906</v>
      </c>
      <c r="J777" s="22">
        <v>585005.49600000004</v>
      </c>
      <c r="K777" s="22">
        <v>2305250.9</v>
      </c>
      <c r="L777" s="22">
        <v>585025.75</v>
      </c>
      <c r="M777" s="6">
        <v>23.581</v>
      </c>
      <c r="N777" s="11">
        <v>3.73</v>
      </c>
      <c r="O777" s="11">
        <v>3.66</v>
      </c>
      <c r="P777" s="11">
        <f t="shared" si="24"/>
        <v>6.999999999999984E-2</v>
      </c>
      <c r="Q777" s="11">
        <f t="shared" si="25"/>
        <v>0.29699999999999999</v>
      </c>
      <c r="R777" s="11">
        <v>1.395</v>
      </c>
    </row>
    <row r="778" spans="2:18" ht="16" x14ac:dyDescent="0.3">
      <c r="B778" s="4">
        <v>772</v>
      </c>
      <c r="C778" s="4" t="s">
        <v>3941</v>
      </c>
      <c r="D778" s="5" t="s">
        <v>3284</v>
      </c>
      <c r="E778" s="4">
        <v>300</v>
      </c>
      <c r="F778" s="5" t="s">
        <v>3285</v>
      </c>
      <c r="G778" s="4" t="s">
        <v>1100</v>
      </c>
      <c r="H778" s="4" t="s">
        <v>3057</v>
      </c>
      <c r="I778" s="22">
        <v>2305259.9109999998</v>
      </c>
      <c r="J778" s="22">
        <v>584997.59100000001</v>
      </c>
      <c r="K778" s="22">
        <v>2305248.7429999998</v>
      </c>
      <c r="L778" s="22">
        <v>585004.94900000002</v>
      </c>
      <c r="M778" s="6">
        <v>13.374000000000001</v>
      </c>
      <c r="N778" s="11">
        <v>3.93</v>
      </c>
      <c r="O778" s="11">
        <v>3.73</v>
      </c>
      <c r="P778" s="11">
        <f t="shared" si="24"/>
        <v>0.20000000000000018</v>
      </c>
      <c r="Q778" s="11">
        <f t="shared" si="25"/>
        <v>1.4950000000000001</v>
      </c>
      <c r="R778" s="11">
        <v>1.24</v>
      </c>
    </row>
    <row r="779" spans="2:18" ht="16" x14ac:dyDescent="0.3">
      <c r="B779" s="4">
        <v>773</v>
      </c>
      <c r="C779" s="4" t="s">
        <v>3942</v>
      </c>
      <c r="D779" s="5" t="s">
        <v>3284</v>
      </c>
      <c r="E779" s="4">
        <v>300</v>
      </c>
      <c r="F779" s="5" t="s">
        <v>3285</v>
      </c>
      <c r="G779" s="4" t="s">
        <v>1097</v>
      </c>
      <c r="H779" s="4" t="s">
        <v>1100</v>
      </c>
      <c r="I779" s="22">
        <v>2305273.5240000002</v>
      </c>
      <c r="J779" s="22">
        <v>584988.62899999996</v>
      </c>
      <c r="K779" s="22">
        <v>2305260.7409999999</v>
      </c>
      <c r="L779" s="22">
        <v>584997.03200000001</v>
      </c>
      <c r="M779" s="6">
        <v>15.298</v>
      </c>
      <c r="N779" s="11">
        <v>3.98</v>
      </c>
      <c r="O779" s="11">
        <v>3.93</v>
      </c>
      <c r="P779" s="11">
        <f t="shared" si="24"/>
        <v>4.9999999999999822E-2</v>
      </c>
      <c r="Q779" s="11">
        <f t="shared" si="25"/>
        <v>0.32700000000000001</v>
      </c>
      <c r="R779" s="11">
        <v>1.115</v>
      </c>
    </row>
    <row r="780" spans="2:18" ht="16" x14ac:dyDescent="0.3">
      <c r="B780" s="4">
        <v>774</v>
      </c>
      <c r="C780" s="4" t="s">
        <v>3943</v>
      </c>
      <c r="D780" s="5" t="s">
        <v>3284</v>
      </c>
      <c r="E780" s="4">
        <v>300</v>
      </c>
      <c r="F780" s="5" t="s">
        <v>3285</v>
      </c>
      <c r="G780" s="4" t="s">
        <v>1094</v>
      </c>
      <c r="H780" s="4" t="s">
        <v>1097</v>
      </c>
      <c r="I780" s="22">
        <v>2305293.4569999999</v>
      </c>
      <c r="J780" s="22">
        <v>584975.26300000004</v>
      </c>
      <c r="K780" s="22">
        <v>2305274.105</v>
      </c>
      <c r="L780" s="22">
        <v>584988.23899999994</v>
      </c>
      <c r="M780" s="6">
        <v>23.3</v>
      </c>
      <c r="N780" s="11">
        <v>4.0599999999999996</v>
      </c>
      <c r="O780" s="11">
        <v>3.98</v>
      </c>
      <c r="P780" s="11">
        <f t="shared" si="24"/>
        <v>7.9999999999999627E-2</v>
      </c>
      <c r="Q780" s="11">
        <f t="shared" si="25"/>
        <v>0.34300000000000003</v>
      </c>
      <c r="R780" s="11">
        <v>1.05</v>
      </c>
    </row>
    <row r="781" spans="2:18" ht="16" x14ac:dyDescent="0.3">
      <c r="B781" s="4">
        <v>775</v>
      </c>
      <c r="C781" s="4" t="s">
        <v>3944</v>
      </c>
      <c r="D781" s="5" t="s">
        <v>3284</v>
      </c>
      <c r="E781" s="4">
        <v>300</v>
      </c>
      <c r="F781" s="5" t="s">
        <v>3285</v>
      </c>
      <c r="G781" s="4" t="s">
        <v>1091</v>
      </c>
      <c r="H781" s="4" t="s">
        <v>1094</v>
      </c>
      <c r="I781" s="22">
        <v>2305313.3829999999</v>
      </c>
      <c r="J781" s="22">
        <v>584961.90300000005</v>
      </c>
      <c r="K781" s="22">
        <v>2305294.04</v>
      </c>
      <c r="L781" s="22">
        <v>584974.87399999995</v>
      </c>
      <c r="M781" s="6">
        <v>23.29</v>
      </c>
      <c r="N781" s="11">
        <v>4.1399999999999997</v>
      </c>
      <c r="O781" s="11">
        <v>4.0599999999999996</v>
      </c>
      <c r="P781" s="11">
        <f t="shared" si="24"/>
        <v>8.0000000000000071E-2</v>
      </c>
      <c r="Q781" s="11">
        <f t="shared" si="25"/>
        <v>0.34300000000000003</v>
      </c>
      <c r="R781" s="11">
        <v>0.97</v>
      </c>
    </row>
    <row r="782" spans="2:18" ht="16" x14ac:dyDescent="0.3">
      <c r="B782" s="4">
        <v>776</v>
      </c>
      <c r="C782" s="4" t="s">
        <v>3945</v>
      </c>
      <c r="D782" s="5" t="s">
        <v>3284</v>
      </c>
      <c r="E782" s="4">
        <v>300</v>
      </c>
      <c r="F782" s="5" t="s">
        <v>3285</v>
      </c>
      <c r="G782" s="4" t="s">
        <v>704</v>
      </c>
      <c r="H782" s="4" t="s">
        <v>1091</v>
      </c>
      <c r="I782" s="22">
        <v>2305333.3169999998</v>
      </c>
      <c r="J782" s="22">
        <v>584948.51899999997</v>
      </c>
      <c r="K782" s="22">
        <v>2305313.9720000001</v>
      </c>
      <c r="L782" s="22">
        <v>584961.50600000005</v>
      </c>
      <c r="M782" s="6">
        <v>23.3</v>
      </c>
      <c r="N782" s="11">
        <v>4.22</v>
      </c>
      <c r="O782" s="11">
        <v>4.1399999999999997</v>
      </c>
      <c r="P782" s="11">
        <f t="shared" si="24"/>
        <v>8.0000000000000071E-2</v>
      </c>
      <c r="Q782" s="11">
        <f t="shared" si="25"/>
        <v>0.34300000000000003</v>
      </c>
      <c r="R782" s="11">
        <v>0.89</v>
      </c>
    </row>
    <row r="783" spans="2:18" ht="16" x14ac:dyDescent="0.3">
      <c r="B783" s="4">
        <v>777</v>
      </c>
      <c r="C783" s="4" t="s">
        <v>3946</v>
      </c>
      <c r="D783" s="5" t="s">
        <v>3284</v>
      </c>
      <c r="E783" s="4">
        <v>300</v>
      </c>
      <c r="F783" s="5" t="s">
        <v>3285</v>
      </c>
      <c r="G783" s="4" t="s">
        <v>2506</v>
      </c>
      <c r="H783" s="4" t="s">
        <v>785</v>
      </c>
      <c r="I783" s="22">
        <v>2304981.1030000001</v>
      </c>
      <c r="J783" s="22">
        <v>585288.61100000003</v>
      </c>
      <c r="K783" s="22">
        <v>2304961.6740000001</v>
      </c>
      <c r="L783" s="22">
        <v>585301.64</v>
      </c>
      <c r="M783" s="6">
        <v>23.393999999999998</v>
      </c>
      <c r="N783" s="11">
        <v>4.1399999999999997</v>
      </c>
      <c r="O783" s="11">
        <v>4.22</v>
      </c>
      <c r="P783" s="11">
        <f t="shared" si="24"/>
        <v>8.0000000000000071E-2</v>
      </c>
      <c r="Q783" s="11">
        <f t="shared" si="25"/>
        <v>0.34200000000000003</v>
      </c>
      <c r="R783" s="11">
        <v>0.89</v>
      </c>
    </row>
    <row r="784" spans="2:18" ht="16" x14ac:dyDescent="0.3">
      <c r="B784" s="4">
        <v>778</v>
      </c>
      <c r="C784" s="4" t="s">
        <v>3947</v>
      </c>
      <c r="D784" s="5" t="s">
        <v>3284</v>
      </c>
      <c r="E784" s="4">
        <v>300</v>
      </c>
      <c r="F784" s="5" t="s">
        <v>3285</v>
      </c>
      <c r="G784" s="4" t="s">
        <v>2509</v>
      </c>
      <c r="H784" s="4" t="s">
        <v>2506</v>
      </c>
      <c r="I784" s="22">
        <v>2305001.037</v>
      </c>
      <c r="J784" s="22">
        <v>585275.245</v>
      </c>
      <c r="K784" s="22">
        <v>2304981.6850000001</v>
      </c>
      <c r="L784" s="22">
        <v>585288.22199999995</v>
      </c>
      <c r="M784" s="6">
        <v>23.3</v>
      </c>
      <c r="N784" s="11">
        <v>4.0599999999999996</v>
      </c>
      <c r="O784" s="11">
        <v>4.1399999999999997</v>
      </c>
      <c r="P784" s="11">
        <f t="shared" si="24"/>
        <v>8.0000000000000071E-2</v>
      </c>
      <c r="Q784" s="11">
        <f t="shared" si="25"/>
        <v>0.34300000000000003</v>
      </c>
      <c r="R784" s="11">
        <v>0.97</v>
      </c>
    </row>
    <row r="785" spans="2:18" ht="16" x14ac:dyDescent="0.3">
      <c r="B785" s="4">
        <v>779</v>
      </c>
      <c r="C785" s="4" t="s">
        <v>3948</v>
      </c>
      <c r="D785" s="5" t="s">
        <v>3284</v>
      </c>
      <c r="E785" s="4">
        <v>300</v>
      </c>
      <c r="F785" s="5" t="s">
        <v>3285</v>
      </c>
      <c r="G785" s="4" t="s">
        <v>2512</v>
      </c>
      <c r="H785" s="4" t="s">
        <v>2509</v>
      </c>
      <c r="I785" s="22">
        <v>2305020.9700000002</v>
      </c>
      <c r="J785" s="22">
        <v>585261.87800000003</v>
      </c>
      <c r="K785" s="22">
        <v>2305001.6179999998</v>
      </c>
      <c r="L785" s="22">
        <v>585274.85499999998</v>
      </c>
      <c r="M785" s="6">
        <v>23.3</v>
      </c>
      <c r="N785" s="11">
        <v>3.98</v>
      </c>
      <c r="O785" s="11">
        <v>4.0599999999999996</v>
      </c>
      <c r="P785" s="11">
        <f t="shared" si="24"/>
        <v>7.9999999999999627E-2</v>
      </c>
      <c r="Q785" s="11">
        <f t="shared" si="25"/>
        <v>0.34300000000000003</v>
      </c>
      <c r="R785" s="11">
        <v>1.05</v>
      </c>
    </row>
    <row r="786" spans="2:18" ht="16" x14ac:dyDescent="0.3">
      <c r="B786" s="4">
        <v>780</v>
      </c>
      <c r="C786" s="4" t="s">
        <v>3949</v>
      </c>
      <c r="D786" s="5" t="s">
        <v>3284</v>
      </c>
      <c r="E786" s="4">
        <v>300</v>
      </c>
      <c r="F786" s="5" t="s">
        <v>3285</v>
      </c>
      <c r="G786" s="4" t="s">
        <v>2515</v>
      </c>
      <c r="H786" s="4" t="s">
        <v>2512</v>
      </c>
      <c r="I786" s="22">
        <v>2305034.3480000002</v>
      </c>
      <c r="J786" s="22">
        <v>585253.10100000002</v>
      </c>
      <c r="K786" s="22">
        <v>2305021.551</v>
      </c>
      <c r="L786" s="22">
        <v>585261.48800000001</v>
      </c>
      <c r="M786" s="6">
        <v>15.301</v>
      </c>
      <c r="N786" s="11">
        <v>3.93</v>
      </c>
      <c r="O786" s="11">
        <v>3.98</v>
      </c>
      <c r="P786" s="11">
        <f t="shared" si="24"/>
        <v>4.9999999999999822E-2</v>
      </c>
      <c r="Q786" s="11">
        <f t="shared" si="25"/>
        <v>0.32700000000000001</v>
      </c>
      <c r="R786" s="11">
        <v>1.115</v>
      </c>
    </row>
    <row r="787" spans="2:18" ht="16" x14ac:dyDescent="0.3">
      <c r="B787" s="4">
        <v>781</v>
      </c>
      <c r="C787" s="4" t="s">
        <v>3950</v>
      </c>
      <c r="D787" s="5" t="s">
        <v>3284</v>
      </c>
      <c r="E787" s="4">
        <v>300</v>
      </c>
      <c r="F787" s="5" t="s">
        <v>3285</v>
      </c>
      <c r="G787" s="4" t="s">
        <v>456</v>
      </c>
      <c r="H787" s="4" t="s">
        <v>2515</v>
      </c>
      <c r="I787" s="22">
        <v>2305046.111</v>
      </c>
      <c r="J787" s="22">
        <v>585245.07999999996</v>
      </c>
      <c r="K787" s="22">
        <v>2305035.179</v>
      </c>
      <c r="L787" s="22">
        <v>585252.54399999999</v>
      </c>
      <c r="M787" s="6">
        <v>13.237</v>
      </c>
      <c r="N787" s="11">
        <v>3.21</v>
      </c>
      <c r="O787" s="11">
        <v>3.93</v>
      </c>
      <c r="P787" s="11">
        <f t="shared" si="24"/>
        <v>0.7200000000000002</v>
      </c>
      <c r="Q787" s="11">
        <f t="shared" si="25"/>
        <v>5.4390000000000001</v>
      </c>
      <c r="R787" s="11">
        <v>1.5</v>
      </c>
    </row>
    <row r="788" spans="2:18" ht="16" x14ac:dyDescent="0.3">
      <c r="B788" s="4">
        <v>782</v>
      </c>
      <c r="C788" s="4" t="s">
        <v>3951</v>
      </c>
      <c r="D788" s="5" t="s">
        <v>3284</v>
      </c>
      <c r="E788" s="4">
        <v>300</v>
      </c>
      <c r="F788" s="5" t="s">
        <v>3285</v>
      </c>
      <c r="G788" s="4" t="s">
        <v>453</v>
      </c>
      <c r="H788" s="4" t="s">
        <v>456</v>
      </c>
      <c r="I788" s="22">
        <v>2305044.1430000002</v>
      </c>
      <c r="J788" s="22">
        <v>585224.25399999996</v>
      </c>
      <c r="K788" s="22">
        <v>2305046.98</v>
      </c>
      <c r="L788" s="22">
        <v>585244.57999999996</v>
      </c>
      <c r="M788" s="6">
        <v>23.917000000000002</v>
      </c>
      <c r="N788" s="11">
        <v>3.28</v>
      </c>
      <c r="O788" s="11">
        <v>3.21</v>
      </c>
      <c r="P788" s="11">
        <f t="shared" si="24"/>
        <v>6.999999999999984E-2</v>
      </c>
      <c r="Q788" s="11">
        <f t="shared" si="25"/>
        <v>0.29299999999999998</v>
      </c>
      <c r="R788" s="11">
        <v>1.845</v>
      </c>
    </row>
    <row r="789" spans="2:18" ht="16" x14ac:dyDescent="0.3">
      <c r="B789" s="4">
        <v>783</v>
      </c>
      <c r="C789" s="4" t="s">
        <v>3952</v>
      </c>
      <c r="D789" s="5" t="s">
        <v>3284</v>
      </c>
      <c r="E789" s="4">
        <v>300</v>
      </c>
      <c r="F789" s="5" t="s">
        <v>3285</v>
      </c>
      <c r="G789" s="4" t="s">
        <v>2521</v>
      </c>
      <c r="H789" s="4" t="s">
        <v>453</v>
      </c>
      <c r="I789" s="22">
        <v>2305025.7259999998</v>
      </c>
      <c r="J789" s="22">
        <v>585213.48</v>
      </c>
      <c r="K789" s="22">
        <v>2305043.5830000001</v>
      </c>
      <c r="L789" s="22">
        <v>585223.42599999998</v>
      </c>
      <c r="M789" s="6">
        <v>23.939</v>
      </c>
      <c r="N789" s="11">
        <v>3.35</v>
      </c>
      <c r="O789" s="11">
        <v>3.28</v>
      </c>
      <c r="P789" s="11">
        <f t="shared" si="24"/>
        <v>7.0000000000000284E-2</v>
      </c>
      <c r="Q789" s="11">
        <f t="shared" si="25"/>
        <v>0.29199999999999998</v>
      </c>
      <c r="R789" s="11">
        <v>1.7749999999999999</v>
      </c>
    </row>
    <row r="790" spans="2:18" ht="16" x14ac:dyDescent="0.3">
      <c r="B790" s="4">
        <v>784</v>
      </c>
      <c r="C790" s="4" t="s">
        <v>3953</v>
      </c>
      <c r="D790" s="5" t="s">
        <v>3284</v>
      </c>
      <c r="E790" s="4">
        <v>300</v>
      </c>
      <c r="F790" s="5" t="s">
        <v>3285</v>
      </c>
      <c r="G790" s="4" t="s">
        <v>2503</v>
      </c>
      <c r="H790" s="4" t="s">
        <v>2521</v>
      </c>
      <c r="I790" s="22">
        <v>2305014.1770000001</v>
      </c>
      <c r="J790" s="22">
        <v>585221.22400000005</v>
      </c>
      <c r="K790" s="22">
        <v>2305024.895</v>
      </c>
      <c r="L790" s="22">
        <v>585214.03700000001</v>
      </c>
      <c r="M790" s="6">
        <v>12.904999999999999</v>
      </c>
      <c r="N790" s="11">
        <v>3.93</v>
      </c>
      <c r="O790" s="11">
        <v>3.35</v>
      </c>
      <c r="P790" s="11">
        <f t="shared" si="24"/>
        <v>0.58000000000000007</v>
      </c>
      <c r="Q790" s="11">
        <f t="shared" si="25"/>
        <v>4.4939999999999998</v>
      </c>
      <c r="R790" s="11">
        <v>1.43</v>
      </c>
    </row>
    <row r="791" spans="2:18" ht="16" x14ac:dyDescent="0.3">
      <c r="B791" s="4">
        <v>785</v>
      </c>
      <c r="C791" s="4" t="s">
        <v>3954</v>
      </c>
      <c r="D791" s="5" t="s">
        <v>3284</v>
      </c>
      <c r="E791" s="4">
        <v>300</v>
      </c>
      <c r="F791" s="5" t="s">
        <v>3285</v>
      </c>
      <c r="G791" s="4" t="s">
        <v>2500</v>
      </c>
      <c r="H791" s="4" t="s">
        <v>2503</v>
      </c>
      <c r="I791" s="22">
        <v>2305000.7760000001</v>
      </c>
      <c r="J791" s="22">
        <v>585230.46200000006</v>
      </c>
      <c r="K791" s="22">
        <v>2305013.352</v>
      </c>
      <c r="L791" s="22">
        <v>585221.78899999999</v>
      </c>
      <c r="M791" s="6">
        <v>15.276</v>
      </c>
      <c r="N791" s="11">
        <v>3.98</v>
      </c>
      <c r="O791" s="11">
        <v>3.93</v>
      </c>
      <c r="P791" s="11">
        <f t="shared" si="24"/>
        <v>4.9999999999999822E-2</v>
      </c>
      <c r="Q791" s="11">
        <f t="shared" si="25"/>
        <v>0.32700000000000001</v>
      </c>
      <c r="R791" s="11">
        <v>1.115</v>
      </c>
    </row>
    <row r="792" spans="2:18" ht="16" x14ac:dyDescent="0.3">
      <c r="B792" s="4">
        <v>786</v>
      </c>
      <c r="C792" s="4" t="s">
        <v>3955</v>
      </c>
      <c r="D792" s="5" t="s">
        <v>3284</v>
      </c>
      <c r="E792" s="4">
        <v>300</v>
      </c>
      <c r="F792" s="5" t="s">
        <v>3285</v>
      </c>
      <c r="G792" s="4" t="s">
        <v>2497</v>
      </c>
      <c r="H792" s="4" t="s">
        <v>2500</v>
      </c>
      <c r="I792" s="22">
        <v>2304980.7990000001</v>
      </c>
      <c r="J792" s="22">
        <v>585243.81599999999</v>
      </c>
      <c r="K792" s="22">
        <v>2305000.1519999998</v>
      </c>
      <c r="L792" s="22">
        <v>585230.83299999998</v>
      </c>
      <c r="M792" s="6">
        <v>23.303999999999998</v>
      </c>
      <c r="N792" s="11">
        <v>4.0599999999999996</v>
      </c>
      <c r="O792" s="11">
        <v>3.98</v>
      </c>
      <c r="P792" s="11">
        <f t="shared" si="24"/>
        <v>7.9999999999999627E-2</v>
      </c>
      <c r="Q792" s="11">
        <f t="shared" si="25"/>
        <v>0.34300000000000003</v>
      </c>
      <c r="R792" s="11">
        <v>1.05</v>
      </c>
    </row>
    <row r="793" spans="2:18" ht="16" x14ac:dyDescent="0.3">
      <c r="B793" s="4">
        <v>787</v>
      </c>
      <c r="C793" s="4" t="s">
        <v>3956</v>
      </c>
      <c r="D793" s="5" t="s">
        <v>3284</v>
      </c>
      <c r="E793" s="4">
        <v>300</v>
      </c>
      <c r="F793" s="5" t="s">
        <v>3285</v>
      </c>
      <c r="G793" s="4" t="s">
        <v>2494</v>
      </c>
      <c r="H793" s="4" t="s">
        <v>2497</v>
      </c>
      <c r="I793" s="22">
        <v>2304960.8670000001</v>
      </c>
      <c r="J793" s="22">
        <v>585257.17700000003</v>
      </c>
      <c r="K793" s="22">
        <v>2304980.2149999999</v>
      </c>
      <c r="L793" s="22">
        <v>585244.20200000005</v>
      </c>
      <c r="M793" s="6">
        <v>23.295999999999999</v>
      </c>
      <c r="N793" s="11">
        <v>4.1399999999999997</v>
      </c>
      <c r="O793" s="11">
        <v>4.0599999999999996</v>
      </c>
      <c r="P793" s="11">
        <f t="shared" si="24"/>
        <v>8.0000000000000071E-2</v>
      </c>
      <c r="Q793" s="11">
        <f t="shared" si="25"/>
        <v>0.34300000000000003</v>
      </c>
      <c r="R793" s="11">
        <v>0.97</v>
      </c>
    </row>
    <row r="794" spans="2:18" ht="16" x14ac:dyDescent="0.3">
      <c r="B794" s="4">
        <v>788</v>
      </c>
      <c r="C794" s="4" t="s">
        <v>3957</v>
      </c>
      <c r="D794" s="5" t="s">
        <v>3284</v>
      </c>
      <c r="E794" s="4">
        <v>300</v>
      </c>
      <c r="F794" s="5" t="s">
        <v>3285</v>
      </c>
      <c r="G794" s="4" t="s">
        <v>782</v>
      </c>
      <c r="H794" s="4" t="s">
        <v>2494</v>
      </c>
      <c r="I794" s="22">
        <v>2304940.8560000001</v>
      </c>
      <c r="J794" s="22">
        <v>585270.59499999997</v>
      </c>
      <c r="K794" s="22">
        <v>2304960.2859999998</v>
      </c>
      <c r="L794" s="22">
        <v>585257.56700000004</v>
      </c>
      <c r="M794" s="6">
        <v>23.393999999999998</v>
      </c>
      <c r="N794" s="11">
        <v>4.22</v>
      </c>
      <c r="O794" s="11">
        <v>4.1399999999999997</v>
      </c>
      <c r="P794" s="11">
        <f t="shared" si="24"/>
        <v>8.0000000000000071E-2</v>
      </c>
      <c r="Q794" s="11">
        <f t="shared" si="25"/>
        <v>0.34200000000000003</v>
      </c>
      <c r="R794" s="11">
        <v>0.89</v>
      </c>
    </row>
    <row r="795" spans="2:18" ht="16" x14ac:dyDescent="0.3">
      <c r="B795" s="4">
        <v>789</v>
      </c>
      <c r="C795" s="4" t="s">
        <v>3958</v>
      </c>
      <c r="D795" s="5" t="s">
        <v>3284</v>
      </c>
      <c r="E795" s="4">
        <v>300</v>
      </c>
      <c r="F795" s="5" t="s">
        <v>3285</v>
      </c>
      <c r="G795" s="4" t="s">
        <v>486</v>
      </c>
      <c r="H795" s="4" t="s">
        <v>2761</v>
      </c>
      <c r="I795" s="22">
        <v>2304960.71</v>
      </c>
      <c r="J795" s="22">
        <v>585420.47400000005</v>
      </c>
      <c r="K795" s="22">
        <v>2304941.4509999999</v>
      </c>
      <c r="L795" s="22">
        <v>585433.40599999996</v>
      </c>
      <c r="M795" s="6">
        <v>23.198</v>
      </c>
      <c r="N795" s="11">
        <v>2.89</v>
      </c>
      <c r="O795" s="11">
        <v>3.44</v>
      </c>
      <c r="P795" s="11">
        <f t="shared" si="24"/>
        <v>0.54999999999999982</v>
      </c>
      <c r="Q795" s="11">
        <f t="shared" si="25"/>
        <v>2.371</v>
      </c>
      <c r="R795" s="11">
        <v>2.0049999999999999</v>
      </c>
    </row>
    <row r="796" spans="2:18" ht="16" x14ac:dyDescent="0.3">
      <c r="B796" s="4">
        <v>790</v>
      </c>
      <c r="C796" s="4" t="s">
        <v>3959</v>
      </c>
      <c r="D796" s="5" t="s">
        <v>3284</v>
      </c>
      <c r="E796" s="4">
        <v>300</v>
      </c>
      <c r="F796" s="5" t="s">
        <v>3285</v>
      </c>
      <c r="G796" s="4" t="s">
        <v>2848</v>
      </c>
      <c r="H796" s="4" t="s">
        <v>486</v>
      </c>
      <c r="I796" s="22">
        <v>2304958.3879999998</v>
      </c>
      <c r="J796" s="22">
        <v>585399.77500000002</v>
      </c>
      <c r="K796" s="22">
        <v>2304961.54</v>
      </c>
      <c r="L796" s="22">
        <v>585419.91700000002</v>
      </c>
      <c r="M796" s="6">
        <v>23.702000000000002</v>
      </c>
      <c r="N796" s="11">
        <v>2.99</v>
      </c>
      <c r="O796" s="11">
        <v>2.89</v>
      </c>
      <c r="P796" s="11">
        <f t="shared" si="24"/>
        <v>0.10000000000000009</v>
      </c>
      <c r="Q796" s="11">
        <f t="shared" si="25"/>
        <v>0.42199999999999999</v>
      </c>
      <c r="R796" s="11">
        <v>2.25</v>
      </c>
    </row>
    <row r="797" spans="2:18" ht="16" x14ac:dyDescent="0.3">
      <c r="B797" s="4">
        <v>791</v>
      </c>
      <c r="C797" s="4" t="s">
        <v>3960</v>
      </c>
      <c r="D797" s="5" t="s">
        <v>3284</v>
      </c>
      <c r="E797" s="4">
        <v>300</v>
      </c>
      <c r="F797" s="5" t="s">
        <v>3285</v>
      </c>
      <c r="G797" s="4" t="s">
        <v>2845</v>
      </c>
      <c r="H797" s="4" t="s">
        <v>2848</v>
      </c>
      <c r="I797" s="22">
        <v>2304943.3259999999</v>
      </c>
      <c r="J797" s="22">
        <v>585377.35600000003</v>
      </c>
      <c r="K797" s="22">
        <v>2304957.8029999998</v>
      </c>
      <c r="L797" s="22">
        <v>585398.94499999995</v>
      </c>
      <c r="M797" s="6">
        <v>25.994</v>
      </c>
      <c r="N797" s="11">
        <v>3.07</v>
      </c>
      <c r="O797" s="11">
        <v>2.99</v>
      </c>
      <c r="P797" s="11">
        <f t="shared" si="24"/>
        <v>7.9999999999999627E-2</v>
      </c>
      <c r="Q797" s="11">
        <f t="shared" si="25"/>
        <v>0.308</v>
      </c>
      <c r="R797" s="11">
        <v>2.1800000000000002</v>
      </c>
    </row>
    <row r="798" spans="2:18" ht="16" x14ac:dyDescent="0.3">
      <c r="B798" s="4">
        <v>792</v>
      </c>
      <c r="C798" s="4" t="s">
        <v>3961</v>
      </c>
      <c r="D798" s="5" t="s">
        <v>3284</v>
      </c>
      <c r="E798" s="4">
        <v>300</v>
      </c>
      <c r="F798" s="5" t="s">
        <v>3285</v>
      </c>
      <c r="G798" s="4" t="s">
        <v>2842</v>
      </c>
      <c r="H798" s="4" t="s">
        <v>2845</v>
      </c>
      <c r="I798" s="22">
        <v>2304926.6179999998</v>
      </c>
      <c r="J798" s="22">
        <v>585352.43900000001</v>
      </c>
      <c r="K798" s="22">
        <v>2304942.7689999999</v>
      </c>
      <c r="L798" s="22">
        <v>585376.52500000002</v>
      </c>
      <c r="M798" s="6">
        <v>29</v>
      </c>
      <c r="N798" s="11">
        <v>3.17</v>
      </c>
      <c r="O798" s="11">
        <v>3.07</v>
      </c>
      <c r="P798" s="11">
        <f t="shared" si="24"/>
        <v>0.10000000000000009</v>
      </c>
      <c r="Q798" s="11">
        <f t="shared" si="25"/>
        <v>0.34499999999999997</v>
      </c>
      <c r="R798" s="11">
        <v>2.09</v>
      </c>
    </row>
    <row r="799" spans="2:18" ht="16" x14ac:dyDescent="0.3">
      <c r="B799" s="4">
        <v>793</v>
      </c>
      <c r="C799" s="4" t="s">
        <v>3962</v>
      </c>
      <c r="D799" s="5" t="s">
        <v>3284</v>
      </c>
      <c r="E799" s="4">
        <v>300</v>
      </c>
      <c r="F799" s="5" t="s">
        <v>3285</v>
      </c>
      <c r="G799" s="4" t="s">
        <v>2839</v>
      </c>
      <c r="H799" s="4" t="s">
        <v>2842</v>
      </c>
      <c r="I799" s="22">
        <v>2304909.91</v>
      </c>
      <c r="J799" s="22">
        <v>585327.52300000004</v>
      </c>
      <c r="K799" s="22">
        <v>2304926.0610000002</v>
      </c>
      <c r="L799" s="22">
        <v>585351.60900000005</v>
      </c>
      <c r="M799" s="6">
        <v>29</v>
      </c>
      <c r="N799" s="11">
        <v>3.27</v>
      </c>
      <c r="O799" s="11">
        <v>3.17</v>
      </c>
      <c r="P799" s="11">
        <f t="shared" si="24"/>
        <v>0.10000000000000009</v>
      </c>
      <c r="Q799" s="11">
        <f t="shared" si="25"/>
        <v>0.34499999999999997</v>
      </c>
      <c r="R799" s="11">
        <v>1.99</v>
      </c>
    </row>
    <row r="800" spans="2:18" ht="16" x14ac:dyDescent="0.3">
      <c r="B800" s="4">
        <v>794</v>
      </c>
      <c r="C800" s="4" t="s">
        <v>3963</v>
      </c>
      <c r="D800" s="5" t="s">
        <v>3284</v>
      </c>
      <c r="E800" s="4">
        <v>300</v>
      </c>
      <c r="F800" s="5" t="s">
        <v>3285</v>
      </c>
      <c r="G800" s="4" t="s">
        <v>2836</v>
      </c>
      <c r="H800" s="4" t="s">
        <v>2839</v>
      </c>
      <c r="I800" s="22">
        <v>2304893.2009999999</v>
      </c>
      <c r="J800" s="22">
        <v>585302.60600000003</v>
      </c>
      <c r="K800" s="22">
        <v>2304909.3530000001</v>
      </c>
      <c r="L800" s="22">
        <v>585326.69200000004</v>
      </c>
      <c r="M800" s="6">
        <v>29</v>
      </c>
      <c r="N800" s="11">
        <v>3.37</v>
      </c>
      <c r="O800" s="11">
        <v>3.27</v>
      </c>
      <c r="P800" s="11">
        <f t="shared" si="24"/>
        <v>0.10000000000000009</v>
      </c>
      <c r="Q800" s="11">
        <f t="shared" si="25"/>
        <v>0.34499999999999997</v>
      </c>
      <c r="R800" s="11">
        <v>1.89</v>
      </c>
    </row>
    <row r="801" spans="2:18" ht="16" x14ac:dyDescent="0.3">
      <c r="B801" s="4">
        <v>795</v>
      </c>
      <c r="C801" s="4" t="s">
        <v>3964</v>
      </c>
      <c r="D801" s="5" t="s">
        <v>3284</v>
      </c>
      <c r="E801" s="4">
        <v>300</v>
      </c>
      <c r="F801" s="5" t="s">
        <v>3285</v>
      </c>
      <c r="G801" s="4" t="s">
        <v>2833</v>
      </c>
      <c r="H801" s="4" t="s">
        <v>2836</v>
      </c>
      <c r="I801" s="22">
        <v>2304876.514</v>
      </c>
      <c r="J801" s="22">
        <v>585277.72</v>
      </c>
      <c r="K801" s="22">
        <v>2304892.645</v>
      </c>
      <c r="L801" s="22">
        <v>585301.77599999995</v>
      </c>
      <c r="M801" s="6">
        <v>28.963000000000001</v>
      </c>
      <c r="N801" s="11">
        <v>3.47</v>
      </c>
      <c r="O801" s="11">
        <v>3.37</v>
      </c>
      <c r="P801" s="11">
        <f t="shared" si="24"/>
        <v>0.10000000000000009</v>
      </c>
      <c r="Q801" s="11">
        <f t="shared" si="25"/>
        <v>0.34499999999999997</v>
      </c>
      <c r="R801" s="11">
        <v>1.79</v>
      </c>
    </row>
    <row r="802" spans="2:18" ht="16" x14ac:dyDescent="0.3">
      <c r="B802" s="4">
        <v>796</v>
      </c>
      <c r="C802" s="4" t="s">
        <v>3965</v>
      </c>
      <c r="D802" s="5" t="s">
        <v>3284</v>
      </c>
      <c r="E802" s="4">
        <v>300</v>
      </c>
      <c r="F802" s="5" t="s">
        <v>3285</v>
      </c>
      <c r="G802" s="4" t="s">
        <v>483</v>
      </c>
      <c r="H802" s="4" t="s">
        <v>2833</v>
      </c>
      <c r="I802" s="22">
        <v>2304856.2459999998</v>
      </c>
      <c r="J802" s="22">
        <v>585268.14199999999</v>
      </c>
      <c r="K802" s="22">
        <v>2304875.9360000002</v>
      </c>
      <c r="L802" s="22">
        <v>585276.85900000005</v>
      </c>
      <c r="M802" s="6">
        <v>26.151</v>
      </c>
      <c r="N802" s="11">
        <v>3.55</v>
      </c>
      <c r="O802" s="11">
        <v>3.47</v>
      </c>
      <c r="P802" s="11">
        <f t="shared" si="24"/>
        <v>7.9999999999999627E-2</v>
      </c>
      <c r="Q802" s="11">
        <f t="shared" si="25"/>
        <v>0.30599999999999999</v>
      </c>
      <c r="R802" s="11">
        <v>1.58</v>
      </c>
    </row>
    <row r="803" spans="2:18" ht="16" x14ac:dyDescent="0.3">
      <c r="B803" s="4">
        <v>797</v>
      </c>
      <c r="C803" s="4" t="s">
        <v>3966</v>
      </c>
      <c r="D803" s="5" t="s">
        <v>3284</v>
      </c>
      <c r="E803" s="4">
        <v>300</v>
      </c>
      <c r="F803" s="5" t="s">
        <v>3285</v>
      </c>
      <c r="G803" s="4" t="s">
        <v>2707</v>
      </c>
      <c r="H803" s="4" t="s">
        <v>2704</v>
      </c>
      <c r="I803" s="22">
        <v>2304816.199</v>
      </c>
      <c r="J803" s="22">
        <v>585578.59</v>
      </c>
      <c r="K803" s="22">
        <v>2304794.3560000001</v>
      </c>
      <c r="L803" s="22">
        <v>585593.23800000001</v>
      </c>
      <c r="M803" s="6">
        <v>26.3</v>
      </c>
      <c r="N803" s="11">
        <v>4.17</v>
      </c>
      <c r="O803" s="11">
        <v>4.26</v>
      </c>
      <c r="P803" s="11">
        <f t="shared" si="24"/>
        <v>8.9999999999999858E-2</v>
      </c>
      <c r="Q803" s="11">
        <f t="shared" si="25"/>
        <v>0.34200000000000003</v>
      </c>
      <c r="R803" s="11">
        <v>0.89500000000000002</v>
      </c>
    </row>
    <row r="804" spans="2:18" ht="16" x14ac:dyDescent="0.3">
      <c r="B804" s="4">
        <v>798</v>
      </c>
      <c r="C804" s="4" t="s">
        <v>3967</v>
      </c>
      <c r="D804" s="5" t="s">
        <v>3284</v>
      </c>
      <c r="E804" s="4">
        <v>300</v>
      </c>
      <c r="F804" s="5" t="s">
        <v>3285</v>
      </c>
      <c r="G804" s="4" t="s">
        <v>2710</v>
      </c>
      <c r="H804" s="4" t="s">
        <v>2707</v>
      </c>
      <c r="I804" s="22">
        <v>2304838.6239999998</v>
      </c>
      <c r="J804" s="22">
        <v>585563.55299999996</v>
      </c>
      <c r="K804" s="22">
        <v>2304816.7799999998</v>
      </c>
      <c r="L804" s="22">
        <v>585578.19999999995</v>
      </c>
      <c r="M804" s="6">
        <v>26.3</v>
      </c>
      <c r="N804" s="11">
        <v>4.08</v>
      </c>
      <c r="O804" s="11">
        <v>4.17</v>
      </c>
      <c r="P804" s="11">
        <f t="shared" si="24"/>
        <v>8.9999999999999858E-2</v>
      </c>
      <c r="Q804" s="11">
        <f t="shared" si="25"/>
        <v>0.34200000000000003</v>
      </c>
      <c r="R804" s="11">
        <v>0.98499999999999999</v>
      </c>
    </row>
    <row r="805" spans="2:18" ht="16" x14ac:dyDescent="0.3">
      <c r="B805" s="4">
        <v>799</v>
      </c>
      <c r="C805" s="4" t="s">
        <v>3968</v>
      </c>
      <c r="D805" s="5" t="s">
        <v>3284</v>
      </c>
      <c r="E805" s="4">
        <v>300</v>
      </c>
      <c r="F805" s="5" t="s">
        <v>3285</v>
      </c>
      <c r="G805" s="4" t="s">
        <v>2713</v>
      </c>
      <c r="H805" s="4" t="s">
        <v>2710</v>
      </c>
      <c r="I805" s="22">
        <v>2304853.574</v>
      </c>
      <c r="J805" s="22">
        <v>585553.52800000005</v>
      </c>
      <c r="K805" s="22">
        <v>2304839.2050000001</v>
      </c>
      <c r="L805" s="22">
        <v>585563.16299999994</v>
      </c>
      <c r="M805" s="6">
        <v>17.3</v>
      </c>
      <c r="N805" s="11">
        <v>4.0199999999999996</v>
      </c>
      <c r="O805" s="11">
        <v>4.08</v>
      </c>
      <c r="P805" s="11">
        <f t="shared" si="24"/>
        <v>6.0000000000000497E-2</v>
      </c>
      <c r="Q805" s="11">
        <f t="shared" si="25"/>
        <v>0.34699999999999998</v>
      </c>
      <c r="R805" s="11">
        <v>1.06</v>
      </c>
    </row>
    <row r="806" spans="2:18" ht="16" x14ac:dyDescent="0.3">
      <c r="B806" s="4">
        <v>800</v>
      </c>
      <c r="C806" s="4" t="s">
        <v>3969</v>
      </c>
      <c r="D806" s="5" t="s">
        <v>3284</v>
      </c>
      <c r="E806" s="4">
        <v>300</v>
      </c>
      <c r="F806" s="5" t="s">
        <v>3285</v>
      </c>
      <c r="G806" s="4" t="s">
        <v>510</v>
      </c>
      <c r="H806" s="4" t="s">
        <v>2713</v>
      </c>
      <c r="I806" s="22">
        <v>2304869.7609999999</v>
      </c>
      <c r="J806" s="22">
        <v>585533.09900000005</v>
      </c>
      <c r="K806" s="22">
        <v>2304854.1549999998</v>
      </c>
      <c r="L806" s="22">
        <v>585553.13800000004</v>
      </c>
      <c r="M806" s="6">
        <v>28.46</v>
      </c>
      <c r="N806" s="11">
        <v>2.81</v>
      </c>
      <c r="O806" s="11">
        <v>4.0199999999999996</v>
      </c>
      <c r="P806" s="11">
        <f t="shared" si="24"/>
        <v>1.2099999999999995</v>
      </c>
      <c r="Q806" s="11">
        <f t="shared" si="25"/>
        <v>4.2519999999999998</v>
      </c>
      <c r="R806" s="11">
        <v>1.7250000000000001</v>
      </c>
    </row>
    <row r="807" spans="2:18" ht="16" x14ac:dyDescent="0.3">
      <c r="B807" s="4">
        <v>801</v>
      </c>
      <c r="C807" s="4" t="s">
        <v>3970</v>
      </c>
      <c r="D807" s="5" t="s">
        <v>3284</v>
      </c>
      <c r="E807" s="4">
        <v>300</v>
      </c>
      <c r="F807" s="5" t="s">
        <v>3285</v>
      </c>
      <c r="G807" s="4" t="s">
        <v>516</v>
      </c>
      <c r="H807" s="4" t="s">
        <v>510</v>
      </c>
      <c r="I807" s="22">
        <v>2304847.94</v>
      </c>
      <c r="J807" s="22">
        <v>585509.64199999999</v>
      </c>
      <c r="K807" s="22">
        <v>2304869.2039999999</v>
      </c>
      <c r="L807" s="22">
        <v>585532.26899999997</v>
      </c>
      <c r="M807" s="6">
        <v>32.948</v>
      </c>
      <c r="N807" s="11">
        <v>2.93</v>
      </c>
      <c r="O807" s="11">
        <v>2.81</v>
      </c>
      <c r="P807" s="11">
        <f t="shared" si="24"/>
        <v>0.12000000000000011</v>
      </c>
      <c r="Q807" s="11">
        <f t="shared" si="25"/>
        <v>0.36399999999999999</v>
      </c>
      <c r="R807" s="11">
        <v>2.2999999999999998</v>
      </c>
    </row>
    <row r="808" spans="2:18" ht="16" x14ac:dyDescent="0.3">
      <c r="B808" s="4">
        <v>802</v>
      </c>
      <c r="C808" s="4" t="s">
        <v>3971</v>
      </c>
      <c r="D808" s="5" t="s">
        <v>3284</v>
      </c>
      <c r="E808" s="4">
        <v>300</v>
      </c>
      <c r="F808" s="5" t="s">
        <v>3285</v>
      </c>
      <c r="G808" s="4" t="s">
        <v>2701</v>
      </c>
      <c r="H808" s="4" t="s">
        <v>516</v>
      </c>
      <c r="I808" s="22">
        <v>2304832.2239999999</v>
      </c>
      <c r="J808" s="22">
        <v>585520.43200000003</v>
      </c>
      <c r="K808" s="22">
        <v>2304847.1189999999</v>
      </c>
      <c r="L808" s="22">
        <v>585510.21200000006</v>
      </c>
      <c r="M808" s="6">
        <v>18.064</v>
      </c>
      <c r="N808" s="11">
        <v>4.08</v>
      </c>
      <c r="O808" s="11">
        <v>2.93</v>
      </c>
      <c r="P808" s="11">
        <f t="shared" si="24"/>
        <v>1.1499999999999999</v>
      </c>
      <c r="Q808" s="11">
        <f t="shared" si="25"/>
        <v>6.3659999999999997</v>
      </c>
      <c r="R808" s="11">
        <v>1.665</v>
      </c>
    </row>
    <row r="809" spans="2:18" ht="16" x14ac:dyDescent="0.3">
      <c r="B809" s="4">
        <v>803</v>
      </c>
      <c r="C809" s="4" t="s">
        <v>3972</v>
      </c>
      <c r="D809" s="5" t="s">
        <v>3284</v>
      </c>
      <c r="E809" s="4">
        <v>300</v>
      </c>
      <c r="F809" s="5" t="s">
        <v>3285</v>
      </c>
      <c r="G809" s="4" t="s">
        <v>2698</v>
      </c>
      <c r="H809" s="4" t="s">
        <v>2701</v>
      </c>
      <c r="I809" s="22">
        <v>2304817.2740000002</v>
      </c>
      <c r="J809" s="22">
        <v>585530.45700000005</v>
      </c>
      <c r="K809" s="22">
        <v>2304831.642</v>
      </c>
      <c r="L809" s="22">
        <v>585520.82200000004</v>
      </c>
      <c r="M809" s="6">
        <v>17.3</v>
      </c>
      <c r="N809" s="11">
        <v>4.1399999999999997</v>
      </c>
      <c r="O809" s="11">
        <v>4.08</v>
      </c>
      <c r="P809" s="11">
        <f t="shared" si="24"/>
        <v>5.9999999999999609E-2</v>
      </c>
      <c r="Q809" s="11">
        <f t="shared" si="25"/>
        <v>0.34699999999999998</v>
      </c>
      <c r="R809" s="11">
        <v>1.06</v>
      </c>
    </row>
    <row r="810" spans="2:18" ht="16" x14ac:dyDescent="0.3">
      <c r="B810" s="4">
        <v>804</v>
      </c>
      <c r="C810" s="4" t="s">
        <v>3973</v>
      </c>
      <c r="D810" s="5" t="s">
        <v>3284</v>
      </c>
      <c r="E810" s="4">
        <v>300</v>
      </c>
      <c r="F810" s="5" t="s">
        <v>3285</v>
      </c>
      <c r="G810" s="4" t="s">
        <v>2695</v>
      </c>
      <c r="H810" s="4" t="s">
        <v>2698</v>
      </c>
      <c r="I810" s="22">
        <v>2304794.8489999999</v>
      </c>
      <c r="J810" s="22">
        <v>585545.49399999995</v>
      </c>
      <c r="K810" s="22">
        <v>2304816.6919999998</v>
      </c>
      <c r="L810" s="22">
        <v>585530.84699999995</v>
      </c>
      <c r="M810" s="6">
        <v>26.3</v>
      </c>
      <c r="N810" s="11">
        <v>4.2300000000000004</v>
      </c>
      <c r="O810" s="11">
        <v>4.1399999999999997</v>
      </c>
      <c r="P810" s="11">
        <f t="shared" si="24"/>
        <v>9.0000000000000746E-2</v>
      </c>
      <c r="Q810" s="11">
        <f t="shared" si="25"/>
        <v>0.34200000000000003</v>
      </c>
      <c r="R810" s="11">
        <v>0.98499999999999999</v>
      </c>
    </row>
    <row r="811" spans="2:18" ht="16" x14ac:dyDescent="0.3">
      <c r="B811" s="4">
        <v>805</v>
      </c>
      <c r="C811" s="4" t="s">
        <v>3974</v>
      </c>
      <c r="D811" s="5" t="s">
        <v>3284</v>
      </c>
      <c r="E811" s="4">
        <v>300</v>
      </c>
      <c r="F811" s="5" t="s">
        <v>3285</v>
      </c>
      <c r="G811" s="4" t="s">
        <v>2677</v>
      </c>
      <c r="H811" s="4" t="s">
        <v>2695</v>
      </c>
      <c r="I811" s="22">
        <v>2304772.4240000001</v>
      </c>
      <c r="J811" s="22">
        <v>585560.53200000001</v>
      </c>
      <c r="K811" s="22">
        <v>2304794.267</v>
      </c>
      <c r="L811" s="22">
        <v>585545.88399999996</v>
      </c>
      <c r="M811" s="6">
        <v>26.3</v>
      </c>
      <c r="N811" s="11">
        <v>4.32</v>
      </c>
      <c r="O811" s="11">
        <v>4.2300000000000004</v>
      </c>
      <c r="P811" s="11">
        <f t="shared" si="24"/>
        <v>8.9999999999999858E-2</v>
      </c>
      <c r="Q811" s="11">
        <f t="shared" si="25"/>
        <v>0.34200000000000003</v>
      </c>
      <c r="R811" s="11">
        <v>0.89500000000000002</v>
      </c>
    </row>
    <row r="812" spans="2:18" ht="16" x14ac:dyDescent="0.3">
      <c r="B812" s="4">
        <v>806</v>
      </c>
      <c r="C812" s="4" t="s">
        <v>3975</v>
      </c>
      <c r="D812" s="5" t="s">
        <v>3284</v>
      </c>
      <c r="E812" s="4">
        <v>300</v>
      </c>
      <c r="F812" s="5" t="s">
        <v>3285</v>
      </c>
      <c r="G812" s="4" t="s">
        <v>2854</v>
      </c>
      <c r="H812" s="4" t="s">
        <v>2851</v>
      </c>
      <c r="I812" s="22">
        <v>2304923.861</v>
      </c>
      <c r="J812" s="22">
        <v>585506.58799999999</v>
      </c>
      <c r="K812" s="22">
        <v>2304902.267</v>
      </c>
      <c r="L812" s="22">
        <v>585521.06900000002</v>
      </c>
      <c r="M812" s="6">
        <v>26</v>
      </c>
      <c r="N812" s="11">
        <v>2.61</v>
      </c>
      <c r="O812" s="11">
        <v>2.7</v>
      </c>
      <c r="P812" s="11">
        <f t="shared" si="24"/>
        <v>9.0000000000000302E-2</v>
      </c>
      <c r="Q812" s="11">
        <f t="shared" si="25"/>
        <v>0.34599999999999997</v>
      </c>
      <c r="R812" s="11">
        <v>2.5550000000000002</v>
      </c>
    </row>
    <row r="813" spans="2:18" ht="16" x14ac:dyDescent="0.3">
      <c r="B813" s="4">
        <v>807</v>
      </c>
      <c r="C813" s="4" t="s">
        <v>3976</v>
      </c>
      <c r="D813" s="5" t="s">
        <v>3284</v>
      </c>
      <c r="E813" s="4">
        <v>300</v>
      </c>
      <c r="F813" s="5" t="s">
        <v>3285</v>
      </c>
      <c r="G813" s="4" t="s">
        <v>2857</v>
      </c>
      <c r="H813" s="4" t="s">
        <v>2854</v>
      </c>
      <c r="I813" s="22">
        <v>2304946.2859999998</v>
      </c>
      <c r="J813" s="22">
        <v>585491.55099999998</v>
      </c>
      <c r="K813" s="22">
        <v>2304924.6919999998</v>
      </c>
      <c r="L813" s="22">
        <v>585506.03200000001</v>
      </c>
      <c r="M813" s="6">
        <v>26</v>
      </c>
      <c r="N813" s="11">
        <v>2.52</v>
      </c>
      <c r="O813" s="11">
        <v>2.61</v>
      </c>
      <c r="P813" s="11">
        <f t="shared" si="24"/>
        <v>8.9999999999999858E-2</v>
      </c>
      <c r="Q813" s="11">
        <f t="shared" si="25"/>
        <v>0.34599999999999997</v>
      </c>
      <c r="R813" s="11">
        <v>2.645</v>
      </c>
    </row>
    <row r="814" spans="2:18" ht="16" x14ac:dyDescent="0.3">
      <c r="B814" s="4">
        <v>808</v>
      </c>
      <c r="C814" s="4" t="s">
        <v>3977</v>
      </c>
      <c r="D814" s="5" t="s">
        <v>3284</v>
      </c>
      <c r="E814" s="4">
        <v>300</v>
      </c>
      <c r="F814" s="5" t="s">
        <v>3285</v>
      </c>
      <c r="G814" s="4" t="s">
        <v>2860</v>
      </c>
      <c r="H814" s="4" t="s">
        <v>2857</v>
      </c>
      <c r="I814" s="22">
        <v>2304968.7110000001</v>
      </c>
      <c r="J814" s="22">
        <v>585476.51399999997</v>
      </c>
      <c r="K814" s="22">
        <v>2304947.1170000001</v>
      </c>
      <c r="L814" s="22">
        <v>585490.99399999995</v>
      </c>
      <c r="M814" s="6">
        <v>26</v>
      </c>
      <c r="N814" s="11">
        <v>2.4300000000000002</v>
      </c>
      <c r="O814" s="11">
        <v>2.52</v>
      </c>
      <c r="P814" s="11">
        <f t="shared" si="24"/>
        <v>8.9999999999999858E-2</v>
      </c>
      <c r="Q814" s="11">
        <f t="shared" si="25"/>
        <v>0.34599999999999997</v>
      </c>
      <c r="R814" s="11">
        <v>2.7349999999999999</v>
      </c>
    </row>
    <row r="815" spans="2:18" ht="16" x14ac:dyDescent="0.3">
      <c r="B815" s="4">
        <v>809</v>
      </c>
      <c r="C815" s="4" t="s">
        <v>3978</v>
      </c>
      <c r="D815" s="5" t="s">
        <v>3284</v>
      </c>
      <c r="E815" s="4">
        <v>300</v>
      </c>
      <c r="F815" s="5" t="s">
        <v>3285</v>
      </c>
      <c r="G815" s="4" t="s">
        <v>492</v>
      </c>
      <c r="H815" s="4" t="s">
        <v>2860</v>
      </c>
      <c r="I815" s="22">
        <v>2304984.105</v>
      </c>
      <c r="J815" s="22">
        <v>585456.19799999997</v>
      </c>
      <c r="K815" s="22">
        <v>2304969.5419999999</v>
      </c>
      <c r="L815" s="22">
        <v>585475.95700000005</v>
      </c>
      <c r="M815" s="6">
        <v>27.675000000000001</v>
      </c>
      <c r="N815" s="11">
        <v>2.35</v>
      </c>
      <c r="O815" s="11">
        <v>2.4300000000000002</v>
      </c>
      <c r="P815" s="11">
        <f t="shared" si="24"/>
        <v>8.0000000000000071E-2</v>
      </c>
      <c r="Q815" s="11">
        <f t="shared" si="25"/>
        <v>0.28899999999999998</v>
      </c>
      <c r="R815" s="11">
        <v>2.82</v>
      </c>
    </row>
    <row r="816" spans="2:18" ht="16" x14ac:dyDescent="0.3">
      <c r="B816" s="4">
        <v>810</v>
      </c>
      <c r="C816" s="4" t="s">
        <v>3979</v>
      </c>
      <c r="D816" s="5" t="s">
        <v>3284</v>
      </c>
      <c r="E816" s="4">
        <v>300</v>
      </c>
      <c r="F816" s="5" t="s">
        <v>3285</v>
      </c>
      <c r="G816" s="4" t="s">
        <v>489</v>
      </c>
      <c r="H816" s="4" t="s">
        <v>492</v>
      </c>
      <c r="I816" s="22">
        <v>2304960.827</v>
      </c>
      <c r="J816" s="22">
        <v>585433.99800000002</v>
      </c>
      <c r="K816" s="22">
        <v>2304983.548</v>
      </c>
      <c r="L816" s="22">
        <v>585455.36800000002</v>
      </c>
      <c r="M816" s="6">
        <v>33.595999999999997</v>
      </c>
      <c r="N816" s="11">
        <v>2.86</v>
      </c>
      <c r="O816" s="11">
        <v>2.35</v>
      </c>
      <c r="P816" s="11">
        <f t="shared" si="24"/>
        <v>0.50999999999999979</v>
      </c>
      <c r="Q816" s="11">
        <f t="shared" si="25"/>
        <v>1.518</v>
      </c>
      <c r="R816" s="11">
        <v>2.585</v>
      </c>
    </row>
    <row r="817" spans="2:18" ht="16" x14ac:dyDescent="0.3">
      <c r="B817" s="4">
        <v>811</v>
      </c>
      <c r="C817" s="4" t="s">
        <v>3980</v>
      </c>
      <c r="D817" s="5" t="s">
        <v>3284</v>
      </c>
      <c r="E817" s="4">
        <v>300</v>
      </c>
      <c r="F817" s="5" t="s">
        <v>3285</v>
      </c>
      <c r="G817" s="4" t="s">
        <v>2722</v>
      </c>
      <c r="H817" s="4" t="s">
        <v>489</v>
      </c>
      <c r="I817" s="22">
        <v>2304947.2710000002</v>
      </c>
      <c r="J817" s="22">
        <v>585443.28399999999</v>
      </c>
      <c r="K817" s="22">
        <v>2304960.0049999999</v>
      </c>
      <c r="L817" s="22">
        <v>585434.56700000004</v>
      </c>
      <c r="M817" s="6">
        <v>15.430999999999999</v>
      </c>
      <c r="N817" s="11">
        <v>4.05</v>
      </c>
      <c r="O817" s="11">
        <v>2.86</v>
      </c>
      <c r="P817" s="11">
        <f t="shared" si="24"/>
        <v>1.19</v>
      </c>
      <c r="Q817" s="11">
        <f t="shared" si="25"/>
        <v>7.7119999999999997</v>
      </c>
      <c r="R817" s="11">
        <v>1.7150000000000001</v>
      </c>
    </row>
    <row r="818" spans="2:18" ht="16" x14ac:dyDescent="0.3">
      <c r="B818" s="4">
        <v>812</v>
      </c>
      <c r="C818" s="4" t="s">
        <v>3981</v>
      </c>
      <c r="D818" s="5" t="s">
        <v>3284</v>
      </c>
      <c r="E818" s="4">
        <v>300</v>
      </c>
      <c r="F818" s="5" t="s">
        <v>3285</v>
      </c>
      <c r="G818" s="4" t="s">
        <v>2719</v>
      </c>
      <c r="H818" s="4" t="s">
        <v>2722</v>
      </c>
      <c r="I818" s="22">
        <v>2304924.8470000001</v>
      </c>
      <c r="J818" s="22">
        <v>585458.32200000004</v>
      </c>
      <c r="K818" s="22">
        <v>2304946.69</v>
      </c>
      <c r="L818" s="22">
        <v>585443.674</v>
      </c>
      <c r="M818" s="6">
        <v>26.3</v>
      </c>
      <c r="N818" s="11">
        <v>4.1399999999999997</v>
      </c>
      <c r="O818" s="11">
        <v>4.05</v>
      </c>
      <c r="P818" s="11">
        <f t="shared" si="24"/>
        <v>8.9999999999999858E-2</v>
      </c>
      <c r="Q818" s="11">
        <f t="shared" si="25"/>
        <v>0.34200000000000003</v>
      </c>
      <c r="R818" s="11">
        <v>1.075</v>
      </c>
    </row>
    <row r="819" spans="2:18" ht="16" x14ac:dyDescent="0.3">
      <c r="B819" s="4">
        <v>813</v>
      </c>
      <c r="C819" s="4" t="s">
        <v>3982</v>
      </c>
      <c r="D819" s="5" t="s">
        <v>3284</v>
      </c>
      <c r="E819" s="4">
        <v>300</v>
      </c>
      <c r="F819" s="5" t="s">
        <v>3285</v>
      </c>
      <c r="G819" s="4" t="s">
        <v>2716</v>
      </c>
      <c r="H819" s="4" t="s">
        <v>2719</v>
      </c>
      <c r="I819" s="22">
        <v>2304902.4219999998</v>
      </c>
      <c r="J819" s="22">
        <v>585473.35900000005</v>
      </c>
      <c r="K819" s="22">
        <v>2304924.2650000001</v>
      </c>
      <c r="L819" s="22">
        <v>585458.71200000006</v>
      </c>
      <c r="M819" s="6">
        <v>26.3</v>
      </c>
      <c r="N819" s="11">
        <v>4.2300000000000004</v>
      </c>
      <c r="O819" s="11">
        <v>4.1399999999999997</v>
      </c>
      <c r="P819" s="11">
        <f t="shared" si="24"/>
        <v>9.0000000000000746E-2</v>
      </c>
      <c r="Q819" s="11">
        <f t="shared" si="25"/>
        <v>0.34200000000000003</v>
      </c>
      <c r="R819" s="11">
        <v>0.98499999999999999</v>
      </c>
    </row>
    <row r="820" spans="2:18" ht="16" x14ac:dyDescent="0.3">
      <c r="B820" s="4">
        <v>814</v>
      </c>
      <c r="C820" s="4" t="s">
        <v>3983</v>
      </c>
      <c r="D820" s="5" t="s">
        <v>3284</v>
      </c>
      <c r="E820" s="4">
        <v>300</v>
      </c>
      <c r="F820" s="5" t="s">
        <v>3285</v>
      </c>
      <c r="G820" s="4" t="s">
        <v>1061</v>
      </c>
      <c r="H820" s="4" t="s">
        <v>2716</v>
      </c>
      <c r="I820" s="22">
        <v>2304879.997</v>
      </c>
      <c r="J820" s="22">
        <v>585488.397</v>
      </c>
      <c r="K820" s="22">
        <v>2304901.84</v>
      </c>
      <c r="L820" s="22">
        <v>585473.74899999995</v>
      </c>
      <c r="M820" s="6">
        <v>26.3</v>
      </c>
      <c r="N820" s="11">
        <v>4.32</v>
      </c>
      <c r="O820" s="11">
        <v>4.2300000000000004</v>
      </c>
      <c r="P820" s="11">
        <f t="shared" si="24"/>
        <v>8.9999999999999858E-2</v>
      </c>
      <c r="Q820" s="11">
        <f t="shared" si="25"/>
        <v>0.34200000000000003</v>
      </c>
      <c r="R820" s="11">
        <v>0.89500000000000002</v>
      </c>
    </row>
    <row r="821" spans="2:18" ht="16" x14ac:dyDescent="0.3">
      <c r="B821" s="4">
        <v>815</v>
      </c>
      <c r="C821" s="4" t="s">
        <v>3984</v>
      </c>
      <c r="D821" s="5" t="s">
        <v>3284</v>
      </c>
      <c r="E821" s="4">
        <v>300</v>
      </c>
      <c r="F821" s="5" t="s">
        <v>3285</v>
      </c>
      <c r="G821" s="4" t="s">
        <v>2662</v>
      </c>
      <c r="H821" s="4" t="s">
        <v>513</v>
      </c>
      <c r="I821" s="22">
        <v>2304659.781</v>
      </c>
      <c r="J821" s="22">
        <v>585456.429</v>
      </c>
      <c r="K821" s="22">
        <v>2304643.4610000001</v>
      </c>
      <c r="L821" s="22">
        <v>585432.10199999996</v>
      </c>
      <c r="M821" s="6">
        <v>29.294</v>
      </c>
      <c r="N821" s="11">
        <v>4.3899999999999997</v>
      </c>
      <c r="O821" s="11">
        <v>4.49</v>
      </c>
      <c r="P821" s="11">
        <f t="shared" si="24"/>
        <v>0.10000000000000053</v>
      </c>
      <c r="Q821" s="11">
        <f t="shared" si="25"/>
        <v>0.34100000000000003</v>
      </c>
      <c r="R821" s="11">
        <v>0.92500000000000004</v>
      </c>
    </row>
    <row r="822" spans="2:18" ht="16" x14ac:dyDescent="0.3">
      <c r="B822" s="4">
        <v>816</v>
      </c>
      <c r="C822" s="4" t="s">
        <v>3985</v>
      </c>
      <c r="D822" s="5" t="s">
        <v>3284</v>
      </c>
      <c r="E822" s="4">
        <v>300</v>
      </c>
      <c r="F822" s="5" t="s">
        <v>3285</v>
      </c>
      <c r="G822" s="4" t="s">
        <v>2665</v>
      </c>
      <c r="H822" s="4" t="s">
        <v>2662</v>
      </c>
      <c r="I822" s="22">
        <v>2304674.8390000002</v>
      </c>
      <c r="J822" s="22">
        <v>585478.88500000001</v>
      </c>
      <c r="K822" s="22">
        <v>2304660.1919999998</v>
      </c>
      <c r="L822" s="22">
        <v>585457.04099999997</v>
      </c>
      <c r="M822" s="6">
        <v>26.3</v>
      </c>
      <c r="N822" s="11">
        <v>4.3</v>
      </c>
      <c r="O822" s="11">
        <v>4.3899999999999997</v>
      </c>
      <c r="P822" s="11">
        <f t="shared" si="24"/>
        <v>8.9999999999999858E-2</v>
      </c>
      <c r="Q822" s="11">
        <f t="shared" si="25"/>
        <v>0.34200000000000003</v>
      </c>
      <c r="R822" s="11">
        <v>1.0649999999999999</v>
      </c>
    </row>
    <row r="823" spans="2:18" ht="16" x14ac:dyDescent="0.3">
      <c r="B823" s="4">
        <v>817</v>
      </c>
      <c r="C823" s="4" t="s">
        <v>3986</v>
      </c>
      <c r="D823" s="5" t="s">
        <v>3284</v>
      </c>
      <c r="E823" s="4">
        <v>300</v>
      </c>
      <c r="F823" s="5" t="s">
        <v>3285</v>
      </c>
      <c r="G823" s="4" t="s">
        <v>2668</v>
      </c>
      <c r="H823" s="4" t="s">
        <v>2665</v>
      </c>
      <c r="I823" s="22">
        <v>2304689.7230000002</v>
      </c>
      <c r="J823" s="22">
        <v>585501.36899999995</v>
      </c>
      <c r="K823" s="22">
        <v>2304675.2620000001</v>
      </c>
      <c r="L823" s="22">
        <v>585479.44400000002</v>
      </c>
      <c r="M823" s="6">
        <v>26.263999999999999</v>
      </c>
      <c r="N823" s="11">
        <v>4.21</v>
      </c>
      <c r="O823" s="11">
        <v>4.3</v>
      </c>
      <c r="P823" s="11">
        <f t="shared" si="24"/>
        <v>8.9999999999999858E-2</v>
      </c>
      <c r="Q823" s="11">
        <f t="shared" si="25"/>
        <v>0.34300000000000003</v>
      </c>
      <c r="R823" s="11">
        <v>1.1950000000000001</v>
      </c>
    </row>
    <row r="824" spans="2:18" ht="16" x14ac:dyDescent="0.3">
      <c r="B824" s="4">
        <v>818</v>
      </c>
      <c r="C824" s="4" t="s">
        <v>3987</v>
      </c>
      <c r="D824" s="5" t="s">
        <v>3284</v>
      </c>
      <c r="E824" s="4">
        <v>300</v>
      </c>
      <c r="F824" s="5" t="s">
        <v>3285</v>
      </c>
      <c r="G824" s="4" t="s">
        <v>2671</v>
      </c>
      <c r="H824" s="4" t="s">
        <v>2668</v>
      </c>
      <c r="I824" s="22">
        <v>2304704.781</v>
      </c>
      <c r="J824" s="22">
        <v>585523.82400000002</v>
      </c>
      <c r="K824" s="22">
        <v>2304690.2999999998</v>
      </c>
      <c r="L824" s="22">
        <v>585502.23</v>
      </c>
      <c r="M824" s="6">
        <v>26</v>
      </c>
      <c r="N824" s="11">
        <v>4.12</v>
      </c>
      <c r="O824" s="11">
        <v>4.21</v>
      </c>
      <c r="P824" s="11">
        <f t="shared" si="24"/>
        <v>8.9999999999999858E-2</v>
      </c>
      <c r="Q824" s="11">
        <f t="shared" si="25"/>
        <v>0.34599999999999997</v>
      </c>
      <c r="R824" s="11">
        <v>1.325</v>
      </c>
    </row>
    <row r="825" spans="2:18" ht="16" x14ac:dyDescent="0.3">
      <c r="B825" s="4">
        <v>819</v>
      </c>
      <c r="C825" s="4" t="s">
        <v>3988</v>
      </c>
      <c r="D825" s="5" t="s">
        <v>3284</v>
      </c>
      <c r="E825" s="4">
        <v>300</v>
      </c>
      <c r="F825" s="5" t="s">
        <v>3285</v>
      </c>
      <c r="G825" s="4" t="s">
        <v>2674</v>
      </c>
      <c r="H825" s="4" t="s">
        <v>2671</v>
      </c>
      <c r="I825" s="22">
        <v>2304719.798</v>
      </c>
      <c r="J825" s="22">
        <v>585546.21799999999</v>
      </c>
      <c r="K825" s="22">
        <v>2304705.338</v>
      </c>
      <c r="L825" s="22">
        <v>585524.65500000003</v>
      </c>
      <c r="M825" s="6">
        <v>25.963000000000001</v>
      </c>
      <c r="N825" s="11">
        <v>4.03</v>
      </c>
      <c r="O825" s="11">
        <v>4.12</v>
      </c>
      <c r="P825" s="11">
        <f t="shared" si="24"/>
        <v>8.9999999999999858E-2</v>
      </c>
      <c r="Q825" s="11">
        <f t="shared" si="25"/>
        <v>0.34699999999999998</v>
      </c>
      <c r="R825" s="11">
        <v>1.4450000000000001</v>
      </c>
    </row>
    <row r="826" spans="2:18" ht="16" x14ac:dyDescent="0.3">
      <c r="B826" s="4">
        <v>820</v>
      </c>
      <c r="C826" s="4" t="s">
        <v>3989</v>
      </c>
      <c r="D826" s="5" t="s">
        <v>3284</v>
      </c>
      <c r="E826" s="4">
        <v>300</v>
      </c>
      <c r="F826" s="5" t="s">
        <v>3285</v>
      </c>
      <c r="G826" s="4" t="s">
        <v>2689</v>
      </c>
      <c r="H826" s="4" t="s">
        <v>2674</v>
      </c>
      <c r="I826" s="22">
        <v>2304731.6009999998</v>
      </c>
      <c r="J826" s="22">
        <v>585563.84299999999</v>
      </c>
      <c r="K826" s="22">
        <v>2304720.375</v>
      </c>
      <c r="L826" s="22">
        <v>585547.07999999996</v>
      </c>
      <c r="M826" s="6">
        <v>20.175000000000001</v>
      </c>
      <c r="N826" s="11">
        <v>3.96</v>
      </c>
      <c r="O826" s="11">
        <v>4.03</v>
      </c>
      <c r="P826" s="11">
        <f t="shared" si="24"/>
        <v>7.0000000000000284E-2</v>
      </c>
      <c r="Q826" s="11">
        <f t="shared" si="25"/>
        <v>0.34699999999999998</v>
      </c>
      <c r="R826" s="11">
        <v>1.5349999999999999</v>
      </c>
    </row>
    <row r="827" spans="2:18" ht="16" x14ac:dyDescent="0.3">
      <c r="B827" s="4">
        <v>821</v>
      </c>
      <c r="C827" s="4" t="s">
        <v>3990</v>
      </c>
      <c r="D827" s="5" t="s">
        <v>3284</v>
      </c>
      <c r="E827" s="4">
        <v>300</v>
      </c>
      <c r="F827" s="5" t="s">
        <v>3285</v>
      </c>
      <c r="G827" s="4" t="s">
        <v>2692</v>
      </c>
      <c r="H827" s="4" t="s">
        <v>2689</v>
      </c>
      <c r="I827" s="22">
        <v>2304751.7250000001</v>
      </c>
      <c r="J827" s="22">
        <v>585560.61300000001</v>
      </c>
      <c r="K827" s="22">
        <v>2304732.179</v>
      </c>
      <c r="L827" s="22">
        <v>585564.66</v>
      </c>
      <c r="M827" s="6">
        <v>21.742999999999999</v>
      </c>
      <c r="N827" s="11">
        <v>3.89</v>
      </c>
      <c r="O827" s="11">
        <v>3.96</v>
      </c>
      <c r="P827" s="11">
        <f t="shared" si="24"/>
        <v>6.999999999999984E-2</v>
      </c>
      <c r="Q827" s="11">
        <f t="shared" si="25"/>
        <v>0.32200000000000001</v>
      </c>
      <c r="R827" s="11">
        <v>1.425</v>
      </c>
    </row>
    <row r="828" spans="2:18" ht="16" x14ac:dyDescent="0.3">
      <c r="B828" s="4">
        <v>822</v>
      </c>
      <c r="C828" s="4" t="s">
        <v>3991</v>
      </c>
      <c r="D828" s="5" t="s">
        <v>3284</v>
      </c>
      <c r="E828" s="4">
        <v>300</v>
      </c>
      <c r="F828" s="5" t="s">
        <v>3285</v>
      </c>
      <c r="G828" s="4" t="s">
        <v>519</v>
      </c>
      <c r="H828" s="4" t="s">
        <v>2692</v>
      </c>
      <c r="I828" s="22">
        <v>2304765.003</v>
      </c>
      <c r="J828" s="22">
        <v>585545.94900000002</v>
      </c>
      <c r="K828" s="22">
        <v>2304752.5550000002</v>
      </c>
      <c r="L828" s="22">
        <v>585560.05599999998</v>
      </c>
      <c r="M828" s="6">
        <v>20.396999999999998</v>
      </c>
      <c r="N828" s="11">
        <v>3.79</v>
      </c>
      <c r="O828" s="11">
        <v>3.89</v>
      </c>
      <c r="P828" s="11">
        <f t="shared" si="24"/>
        <v>0.10000000000000009</v>
      </c>
      <c r="Q828" s="11">
        <f t="shared" si="25"/>
        <v>0.49</v>
      </c>
      <c r="R828" s="11">
        <v>1.33</v>
      </c>
    </row>
    <row r="829" spans="2:18" ht="16" x14ac:dyDescent="0.3">
      <c r="B829" s="4">
        <v>823</v>
      </c>
      <c r="C829" s="4" t="s">
        <v>3992</v>
      </c>
      <c r="D829" s="5" t="s">
        <v>3284</v>
      </c>
      <c r="E829" s="4">
        <v>300</v>
      </c>
      <c r="F829" s="5" t="s">
        <v>3285</v>
      </c>
      <c r="G829" s="4" t="s">
        <v>2659</v>
      </c>
      <c r="H829" s="4" t="s">
        <v>519</v>
      </c>
      <c r="I829" s="22">
        <v>2304751.6830000002</v>
      </c>
      <c r="J829" s="22">
        <v>585526.08600000001</v>
      </c>
      <c r="K829" s="22">
        <v>2304764.446</v>
      </c>
      <c r="L829" s="22">
        <v>585545.11899999995</v>
      </c>
      <c r="M829" s="6">
        <v>22.916</v>
      </c>
      <c r="N829" s="11">
        <v>3.87</v>
      </c>
      <c r="O829" s="11">
        <v>3.79</v>
      </c>
      <c r="P829" s="11">
        <f t="shared" si="24"/>
        <v>8.0000000000000071E-2</v>
      </c>
      <c r="Q829" s="11">
        <f t="shared" si="25"/>
        <v>0.34899999999999998</v>
      </c>
      <c r="R829" s="11">
        <v>1.34</v>
      </c>
    </row>
    <row r="830" spans="2:18" ht="16" x14ac:dyDescent="0.3">
      <c r="B830" s="4">
        <v>824</v>
      </c>
      <c r="C830" s="4" t="s">
        <v>3993</v>
      </c>
      <c r="D830" s="5" t="s">
        <v>3284</v>
      </c>
      <c r="E830" s="4">
        <v>300</v>
      </c>
      <c r="F830" s="5" t="s">
        <v>3285</v>
      </c>
      <c r="G830" s="4" t="s">
        <v>2656</v>
      </c>
      <c r="H830" s="4" t="s">
        <v>2659</v>
      </c>
      <c r="I830" s="22">
        <v>2304736.65</v>
      </c>
      <c r="J830" s="22">
        <v>585503.65800000005</v>
      </c>
      <c r="K830" s="22">
        <v>2304751.13</v>
      </c>
      <c r="L830" s="22">
        <v>585525.25199999998</v>
      </c>
      <c r="M830" s="6">
        <v>26</v>
      </c>
      <c r="N830" s="11">
        <v>3.96</v>
      </c>
      <c r="O830" s="11">
        <v>3.87</v>
      </c>
      <c r="P830" s="11">
        <f t="shared" si="24"/>
        <v>8.9999999999999858E-2</v>
      </c>
      <c r="Q830" s="11">
        <f t="shared" si="25"/>
        <v>0.34599999999999997</v>
      </c>
      <c r="R830" s="11">
        <v>1.2549999999999999</v>
      </c>
    </row>
    <row r="831" spans="2:18" ht="16" x14ac:dyDescent="0.3">
      <c r="B831" s="4">
        <v>825</v>
      </c>
      <c r="C831" s="4" t="s">
        <v>3994</v>
      </c>
      <c r="D831" s="5" t="s">
        <v>3284</v>
      </c>
      <c r="E831" s="4">
        <v>300</v>
      </c>
      <c r="F831" s="5" t="s">
        <v>3285</v>
      </c>
      <c r="G831" s="4" t="s">
        <v>2653</v>
      </c>
      <c r="H831" s="4" t="s">
        <v>2656</v>
      </c>
      <c r="I831" s="22">
        <v>2304721.3119999999</v>
      </c>
      <c r="J831" s="22">
        <v>585481.07299999997</v>
      </c>
      <c r="K831" s="22">
        <v>2304736.0929999999</v>
      </c>
      <c r="L831" s="22">
        <v>585502.82700000005</v>
      </c>
      <c r="M831" s="6">
        <v>26.3</v>
      </c>
      <c r="N831" s="11">
        <v>4.05</v>
      </c>
      <c r="O831" s="11">
        <v>3.96</v>
      </c>
      <c r="P831" s="11">
        <f t="shared" si="24"/>
        <v>8.9999999999999858E-2</v>
      </c>
      <c r="Q831" s="11">
        <f t="shared" si="25"/>
        <v>0.34200000000000003</v>
      </c>
      <c r="R831" s="11">
        <v>1.165</v>
      </c>
    </row>
    <row r="832" spans="2:18" ht="16" x14ac:dyDescent="0.3">
      <c r="B832" s="4">
        <v>826</v>
      </c>
      <c r="C832" s="4" t="s">
        <v>3995</v>
      </c>
      <c r="D832" s="5" t="s">
        <v>3284</v>
      </c>
      <c r="E832" s="4">
        <v>300</v>
      </c>
      <c r="F832" s="5" t="s">
        <v>3285</v>
      </c>
      <c r="G832" s="4" t="s">
        <v>2650</v>
      </c>
      <c r="H832" s="4" t="s">
        <v>2653</v>
      </c>
      <c r="I832" s="22">
        <v>2304706.2740000002</v>
      </c>
      <c r="J832" s="22">
        <v>585458.64899999998</v>
      </c>
      <c r="K832" s="22">
        <v>2304720.9219999998</v>
      </c>
      <c r="L832" s="22">
        <v>585480.49199999997</v>
      </c>
      <c r="M832" s="6">
        <v>26.3</v>
      </c>
      <c r="N832" s="11">
        <v>4.1399999999999997</v>
      </c>
      <c r="O832" s="11">
        <v>4.05</v>
      </c>
      <c r="P832" s="11">
        <f t="shared" si="24"/>
        <v>8.9999999999999858E-2</v>
      </c>
      <c r="Q832" s="11">
        <f t="shared" si="25"/>
        <v>0.34200000000000003</v>
      </c>
      <c r="R832" s="11">
        <v>1.075</v>
      </c>
    </row>
    <row r="833" spans="2:18" ht="16" x14ac:dyDescent="0.3">
      <c r="B833" s="4">
        <v>827</v>
      </c>
      <c r="C833" s="4" t="s">
        <v>3996</v>
      </c>
      <c r="D833" s="5" t="s">
        <v>3284</v>
      </c>
      <c r="E833" s="4">
        <v>300</v>
      </c>
      <c r="F833" s="5" t="s">
        <v>3285</v>
      </c>
      <c r="G833" s="4" t="s">
        <v>2647</v>
      </c>
      <c r="H833" s="4" t="s">
        <v>2650</v>
      </c>
      <c r="I833" s="22">
        <v>2304691.2370000002</v>
      </c>
      <c r="J833" s="22">
        <v>585436.22400000005</v>
      </c>
      <c r="K833" s="22">
        <v>2304705.8840000001</v>
      </c>
      <c r="L833" s="22">
        <v>585458.06700000004</v>
      </c>
      <c r="M833" s="6">
        <v>26.3</v>
      </c>
      <c r="N833" s="11">
        <v>4.2300000000000004</v>
      </c>
      <c r="O833" s="11">
        <v>4.1399999999999997</v>
      </c>
      <c r="P833" s="11">
        <f t="shared" si="24"/>
        <v>9.0000000000000746E-2</v>
      </c>
      <c r="Q833" s="11">
        <f t="shared" si="25"/>
        <v>0.34200000000000003</v>
      </c>
      <c r="R833" s="11">
        <v>0.98499999999999999</v>
      </c>
    </row>
    <row r="834" spans="2:18" ht="16" x14ac:dyDescent="0.3">
      <c r="B834" s="4">
        <v>828</v>
      </c>
      <c r="C834" s="4" t="s">
        <v>3997</v>
      </c>
      <c r="D834" s="5" t="s">
        <v>3284</v>
      </c>
      <c r="E834" s="4">
        <v>300</v>
      </c>
      <c r="F834" s="5" t="s">
        <v>3285</v>
      </c>
      <c r="G834" s="4" t="s">
        <v>1052</v>
      </c>
      <c r="H834" s="4" t="s">
        <v>2647</v>
      </c>
      <c r="I834" s="22">
        <v>2304676.199</v>
      </c>
      <c r="J834" s="22">
        <v>585413.799</v>
      </c>
      <c r="K834" s="22">
        <v>2304690.8470000001</v>
      </c>
      <c r="L834" s="22">
        <v>585435.64199999999</v>
      </c>
      <c r="M834" s="6">
        <v>26.3</v>
      </c>
      <c r="N834" s="11">
        <v>4.32</v>
      </c>
      <c r="O834" s="11">
        <v>4.2300000000000004</v>
      </c>
      <c r="P834" s="11">
        <f t="shared" si="24"/>
        <v>8.9999999999999858E-2</v>
      </c>
      <c r="Q834" s="11">
        <f t="shared" si="25"/>
        <v>0.34200000000000003</v>
      </c>
      <c r="R834" s="11">
        <v>0.89500000000000002</v>
      </c>
    </row>
    <row r="835" spans="2:18" ht="16" x14ac:dyDescent="0.3">
      <c r="B835" s="4">
        <v>829</v>
      </c>
      <c r="C835" s="4" t="s">
        <v>3998</v>
      </c>
      <c r="D835" s="5" t="s">
        <v>3284</v>
      </c>
      <c r="E835" s="4">
        <v>300</v>
      </c>
      <c r="F835" s="5" t="s">
        <v>3285</v>
      </c>
      <c r="G835" s="4" t="s">
        <v>1229</v>
      </c>
      <c r="H835" s="4" t="s">
        <v>1001</v>
      </c>
      <c r="I835" s="22">
        <v>2305477.42</v>
      </c>
      <c r="J835" s="22">
        <v>585202.60199999996</v>
      </c>
      <c r="K835" s="22">
        <v>2305500.1830000002</v>
      </c>
      <c r="L835" s="22">
        <v>585187.35699999996</v>
      </c>
      <c r="M835" s="6">
        <v>27.396000000000001</v>
      </c>
      <c r="N835" s="11">
        <v>4.24</v>
      </c>
      <c r="O835" s="11">
        <v>4.32</v>
      </c>
      <c r="P835" s="11">
        <f t="shared" si="24"/>
        <v>8.0000000000000071E-2</v>
      </c>
      <c r="Q835" s="11">
        <f t="shared" si="25"/>
        <v>0.29199999999999998</v>
      </c>
      <c r="R835" s="11">
        <v>0.89</v>
      </c>
    </row>
    <row r="836" spans="2:18" ht="16" x14ac:dyDescent="0.3">
      <c r="B836" s="4">
        <v>830</v>
      </c>
      <c r="C836" s="4" t="s">
        <v>3999</v>
      </c>
      <c r="D836" s="5" t="s">
        <v>3284</v>
      </c>
      <c r="E836" s="4">
        <v>300</v>
      </c>
      <c r="F836" s="5" t="s">
        <v>3285</v>
      </c>
      <c r="G836" s="4" t="s">
        <v>1232</v>
      </c>
      <c r="H836" s="4" t="s">
        <v>1229</v>
      </c>
      <c r="I836" s="22">
        <v>2305462.4989999998</v>
      </c>
      <c r="J836" s="22">
        <v>585212.62699999998</v>
      </c>
      <c r="K836" s="22">
        <v>2305476.8390000002</v>
      </c>
      <c r="L836" s="22">
        <v>585202.99199999997</v>
      </c>
      <c r="M836" s="6">
        <v>17.276</v>
      </c>
      <c r="N836" s="11">
        <v>4.17</v>
      </c>
      <c r="O836" s="11">
        <v>4.24</v>
      </c>
      <c r="P836" s="11">
        <f t="shared" si="24"/>
        <v>7.0000000000000284E-2</v>
      </c>
      <c r="Q836" s="11">
        <f t="shared" si="25"/>
        <v>0.40500000000000003</v>
      </c>
      <c r="R836" s="11">
        <v>0.96499999999999997</v>
      </c>
    </row>
    <row r="837" spans="2:18" ht="16" x14ac:dyDescent="0.3">
      <c r="B837" s="4">
        <v>831</v>
      </c>
      <c r="C837" s="4" t="s">
        <v>4000</v>
      </c>
      <c r="D837" s="5" t="s">
        <v>3284</v>
      </c>
      <c r="E837" s="4">
        <v>300</v>
      </c>
      <c r="F837" s="5" t="s">
        <v>3285</v>
      </c>
      <c r="G837" s="4" t="s">
        <v>1235</v>
      </c>
      <c r="H837" s="4" t="s">
        <v>1232</v>
      </c>
      <c r="I837" s="22">
        <v>2305439.2280000001</v>
      </c>
      <c r="J837" s="22">
        <v>585228.21400000004</v>
      </c>
      <c r="K837" s="22">
        <v>2305461.9180000001</v>
      </c>
      <c r="L837" s="22">
        <v>585213.01599999995</v>
      </c>
      <c r="M837" s="6">
        <v>27.31</v>
      </c>
      <c r="N837" s="11">
        <v>4.09</v>
      </c>
      <c r="O837" s="11">
        <v>4.17</v>
      </c>
      <c r="P837" s="11">
        <f t="shared" si="24"/>
        <v>8.0000000000000071E-2</v>
      </c>
      <c r="Q837" s="11">
        <f t="shared" si="25"/>
        <v>0.29299999999999998</v>
      </c>
      <c r="R837" s="11">
        <v>1.04</v>
      </c>
    </row>
    <row r="838" spans="2:18" ht="16" x14ac:dyDescent="0.3">
      <c r="B838" s="4">
        <v>832</v>
      </c>
      <c r="C838" s="4" t="s">
        <v>4001</v>
      </c>
      <c r="D838" s="5" t="s">
        <v>3284</v>
      </c>
      <c r="E838" s="4">
        <v>300</v>
      </c>
      <c r="F838" s="5" t="s">
        <v>3285</v>
      </c>
      <c r="G838" s="4" t="s">
        <v>1238</v>
      </c>
      <c r="H838" s="4" t="s">
        <v>1235</v>
      </c>
      <c r="I838" s="22">
        <v>2305424.3829999999</v>
      </c>
      <c r="J838" s="22">
        <v>585238.37899999996</v>
      </c>
      <c r="K838" s="22">
        <v>2305438.6460000002</v>
      </c>
      <c r="L838" s="22">
        <v>585228.60400000005</v>
      </c>
      <c r="M838" s="6">
        <v>17.291</v>
      </c>
      <c r="N838" s="11">
        <v>4.0199999999999996</v>
      </c>
      <c r="O838" s="11">
        <v>4.09</v>
      </c>
      <c r="P838" s="11">
        <f t="shared" si="24"/>
        <v>7.0000000000000284E-2</v>
      </c>
      <c r="Q838" s="11">
        <f t="shared" si="25"/>
        <v>0.40500000000000003</v>
      </c>
      <c r="R838" s="11">
        <v>1.115</v>
      </c>
    </row>
    <row r="839" spans="2:18" ht="16" x14ac:dyDescent="0.3">
      <c r="B839" s="4">
        <v>833</v>
      </c>
      <c r="C839" s="4" t="s">
        <v>4002</v>
      </c>
      <c r="D839" s="5" t="s">
        <v>3284</v>
      </c>
      <c r="E839" s="4">
        <v>300</v>
      </c>
      <c r="F839" s="5" t="s">
        <v>3285</v>
      </c>
      <c r="G839" s="4" t="s">
        <v>555</v>
      </c>
      <c r="H839" s="4" t="s">
        <v>1238</v>
      </c>
      <c r="I839" s="22">
        <v>2305409.6430000002</v>
      </c>
      <c r="J839" s="22">
        <v>585248.26399999997</v>
      </c>
      <c r="K839" s="22">
        <v>2305423.5529999998</v>
      </c>
      <c r="L839" s="22">
        <v>585238.93599999999</v>
      </c>
      <c r="M839" s="6">
        <v>16.748000000000001</v>
      </c>
      <c r="N839" s="11">
        <v>2.67</v>
      </c>
      <c r="O839" s="11">
        <v>4.0199999999999996</v>
      </c>
      <c r="P839" s="11">
        <f t="shared" ref="P839:P902" si="26">IF(AND(ISNUMBER(N839),ISNUMBER(O839)),ABS(N839-O839),0)</f>
        <v>1.3499999999999996</v>
      </c>
      <c r="Q839" s="11">
        <f t="shared" ref="Q839:Q902" si="27">IF(M839&gt;0,ROUND(P839/M839*100,3),0)</f>
        <v>8.0609999999999999</v>
      </c>
      <c r="R839" s="11">
        <v>1.825</v>
      </c>
    </row>
    <row r="840" spans="2:18" ht="16" x14ac:dyDescent="0.3">
      <c r="B840" s="4">
        <v>834</v>
      </c>
      <c r="C840" s="4" t="s">
        <v>4003</v>
      </c>
      <c r="D840" s="5" t="s">
        <v>3284</v>
      </c>
      <c r="E840" s="4">
        <v>300</v>
      </c>
      <c r="F840" s="5" t="s">
        <v>3285</v>
      </c>
      <c r="G840" s="4" t="s">
        <v>318</v>
      </c>
      <c r="H840" s="4" t="s">
        <v>555</v>
      </c>
      <c r="I840" s="22">
        <v>2305391.6090000002</v>
      </c>
      <c r="J840" s="22">
        <v>585235.88600000006</v>
      </c>
      <c r="K840" s="22">
        <v>2305408.8199999998</v>
      </c>
      <c r="L840" s="22">
        <v>585248.81499999994</v>
      </c>
      <c r="M840" s="6">
        <v>23.437999999999999</v>
      </c>
      <c r="N840" s="11">
        <v>1.92</v>
      </c>
      <c r="O840" s="11">
        <v>2.67</v>
      </c>
      <c r="P840" s="11">
        <f t="shared" si="26"/>
        <v>0.75</v>
      </c>
      <c r="Q840" s="11">
        <f t="shared" si="27"/>
        <v>3.2</v>
      </c>
      <c r="R840" s="11">
        <v>2.9449999999999998</v>
      </c>
    </row>
    <row r="841" spans="2:18" ht="16" x14ac:dyDescent="0.3">
      <c r="B841" s="4">
        <v>835</v>
      </c>
      <c r="C841" s="4" t="s">
        <v>4004</v>
      </c>
      <c r="D841" s="5" t="s">
        <v>3284</v>
      </c>
      <c r="E841" s="4">
        <v>300</v>
      </c>
      <c r="F841" s="5" t="s">
        <v>3285</v>
      </c>
      <c r="G841" s="4" t="s">
        <v>1574</v>
      </c>
      <c r="H841" s="4" t="s">
        <v>1571</v>
      </c>
      <c r="I841" s="22">
        <v>2305474.077</v>
      </c>
      <c r="J841" s="22">
        <v>585354.23300000001</v>
      </c>
      <c r="K841" s="22">
        <v>2305490.2609999999</v>
      </c>
      <c r="L841" s="22">
        <v>585378.66899999999</v>
      </c>
      <c r="M841" s="6">
        <v>29.309000000000001</v>
      </c>
      <c r="N841" s="11">
        <v>3.1</v>
      </c>
      <c r="O841" s="11">
        <v>3.19</v>
      </c>
      <c r="P841" s="11">
        <f t="shared" si="26"/>
        <v>8.9999999999999858E-2</v>
      </c>
      <c r="Q841" s="11">
        <f t="shared" si="27"/>
        <v>0.307</v>
      </c>
      <c r="R841" s="11">
        <v>2.165</v>
      </c>
    </row>
    <row r="842" spans="2:18" ht="16" x14ac:dyDescent="0.3">
      <c r="B842" s="4">
        <v>836</v>
      </c>
      <c r="C842" s="4" t="s">
        <v>4005</v>
      </c>
      <c r="D842" s="5" t="s">
        <v>3284</v>
      </c>
      <c r="E842" s="4">
        <v>300</v>
      </c>
      <c r="F842" s="5" t="s">
        <v>3285</v>
      </c>
      <c r="G842" s="4" t="s">
        <v>1577</v>
      </c>
      <c r="H842" s="4" t="s">
        <v>1574</v>
      </c>
      <c r="I842" s="22">
        <v>2305458.8089999999</v>
      </c>
      <c r="J842" s="22">
        <v>585331.701</v>
      </c>
      <c r="K842" s="22">
        <v>2305473.5210000002</v>
      </c>
      <c r="L842" s="22">
        <v>585353.40300000005</v>
      </c>
      <c r="M842" s="6">
        <v>26.218</v>
      </c>
      <c r="N842" s="11">
        <v>3.01</v>
      </c>
      <c r="O842" s="11">
        <v>3.1</v>
      </c>
      <c r="P842" s="11">
        <f t="shared" si="26"/>
        <v>9.0000000000000302E-2</v>
      </c>
      <c r="Q842" s="11">
        <f t="shared" si="27"/>
        <v>0.34300000000000003</v>
      </c>
      <c r="R842" s="11">
        <v>2.2549999999999999</v>
      </c>
    </row>
    <row r="843" spans="2:18" ht="16" x14ac:dyDescent="0.3">
      <c r="B843" s="4">
        <v>837</v>
      </c>
      <c r="C843" s="4" t="s">
        <v>4006</v>
      </c>
      <c r="D843" s="5" t="s">
        <v>3284</v>
      </c>
      <c r="E843" s="4">
        <v>300</v>
      </c>
      <c r="F843" s="5" t="s">
        <v>3285</v>
      </c>
      <c r="G843" s="4" t="s">
        <v>543</v>
      </c>
      <c r="H843" s="4" t="s">
        <v>1577</v>
      </c>
      <c r="I843" s="22">
        <v>2305443.773</v>
      </c>
      <c r="J843" s="22">
        <v>585309.34199999995</v>
      </c>
      <c r="K843" s="22">
        <v>2305458.2519999999</v>
      </c>
      <c r="L843" s="22">
        <v>585330.87100000004</v>
      </c>
      <c r="M843" s="6">
        <v>25.945</v>
      </c>
      <c r="N843" s="11">
        <v>2.92</v>
      </c>
      <c r="O843" s="11">
        <v>3.01</v>
      </c>
      <c r="P843" s="11">
        <f t="shared" si="26"/>
        <v>8.9999999999999858E-2</v>
      </c>
      <c r="Q843" s="11">
        <f t="shared" si="27"/>
        <v>0.34699999999999998</v>
      </c>
      <c r="R843" s="11">
        <v>2.3450000000000002</v>
      </c>
    </row>
    <row r="844" spans="2:18" ht="16" x14ac:dyDescent="0.3">
      <c r="B844" s="4">
        <v>838</v>
      </c>
      <c r="C844" s="4" t="s">
        <v>4007</v>
      </c>
      <c r="D844" s="5" t="s">
        <v>3284</v>
      </c>
      <c r="E844" s="4">
        <v>300</v>
      </c>
      <c r="F844" s="5" t="s">
        <v>3285</v>
      </c>
      <c r="G844" s="4" t="s">
        <v>1346</v>
      </c>
      <c r="H844" s="4" t="s">
        <v>1019</v>
      </c>
      <c r="I844" s="22">
        <v>2305588.1860000002</v>
      </c>
      <c r="J844" s="22">
        <v>585366.74100000004</v>
      </c>
      <c r="K844" s="22">
        <v>2305610.86</v>
      </c>
      <c r="L844" s="22">
        <v>585351.53599999996</v>
      </c>
      <c r="M844" s="6">
        <v>27.3</v>
      </c>
      <c r="N844" s="11">
        <v>4.2300000000000004</v>
      </c>
      <c r="O844" s="11">
        <v>4.32</v>
      </c>
      <c r="P844" s="11">
        <f t="shared" si="26"/>
        <v>8.9999999999999858E-2</v>
      </c>
      <c r="Q844" s="11">
        <f t="shared" si="27"/>
        <v>0.33</v>
      </c>
      <c r="R844" s="11">
        <v>0.89500000000000002</v>
      </c>
    </row>
    <row r="845" spans="2:18" ht="16" x14ac:dyDescent="0.3">
      <c r="B845" s="4">
        <v>839</v>
      </c>
      <c r="C845" s="4" t="s">
        <v>4008</v>
      </c>
      <c r="D845" s="5" t="s">
        <v>3284</v>
      </c>
      <c r="E845" s="4">
        <v>300</v>
      </c>
      <c r="F845" s="5" t="s">
        <v>3285</v>
      </c>
      <c r="G845" s="4" t="s">
        <v>1349</v>
      </c>
      <c r="H845" s="4" t="s">
        <v>1346</v>
      </c>
      <c r="I845" s="22">
        <v>2305564.9309999999</v>
      </c>
      <c r="J845" s="22">
        <v>585382.33499999996</v>
      </c>
      <c r="K845" s="22">
        <v>2305587.605</v>
      </c>
      <c r="L845" s="22">
        <v>585367.13</v>
      </c>
      <c r="M845" s="6">
        <v>27.3</v>
      </c>
      <c r="N845" s="11">
        <v>4.1399999999999997</v>
      </c>
      <c r="O845" s="11">
        <v>4.2300000000000004</v>
      </c>
      <c r="P845" s="11">
        <f t="shared" si="26"/>
        <v>9.0000000000000746E-2</v>
      </c>
      <c r="Q845" s="11">
        <f t="shared" si="27"/>
        <v>0.33</v>
      </c>
      <c r="R845" s="11">
        <v>0.98499999999999999</v>
      </c>
    </row>
    <row r="846" spans="2:18" ht="16" x14ac:dyDescent="0.3">
      <c r="B846" s="4">
        <v>840</v>
      </c>
      <c r="C846" s="4" t="s">
        <v>4009</v>
      </c>
      <c r="D846" s="5" t="s">
        <v>3284</v>
      </c>
      <c r="E846" s="4">
        <v>300</v>
      </c>
      <c r="F846" s="5" t="s">
        <v>3285</v>
      </c>
      <c r="G846" s="4" t="s">
        <v>1352</v>
      </c>
      <c r="H846" s="4" t="s">
        <v>1349</v>
      </c>
      <c r="I846" s="22">
        <v>2305543.6749999998</v>
      </c>
      <c r="J846" s="22">
        <v>585396.78200000001</v>
      </c>
      <c r="K846" s="22">
        <v>2305564.3629999999</v>
      </c>
      <c r="L846" s="22">
        <v>585382.745</v>
      </c>
      <c r="M846" s="6">
        <v>25</v>
      </c>
      <c r="N846" s="11">
        <v>4.03</v>
      </c>
      <c r="O846" s="11">
        <v>4.1399999999999997</v>
      </c>
      <c r="P846" s="11">
        <f t="shared" si="26"/>
        <v>0.10999999999999943</v>
      </c>
      <c r="Q846" s="11">
        <f t="shared" si="27"/>
        <v>0.44</v>
      </c>
      <c r="R846" s="11">
        <v>1.085</v>
      </c>
    </row>
    <row r="847" spans="2:18" ht="16" x14ac:dyDescent="0.3">
      <c r="B847" s="4">
        <v>841</v>
      </c>
      <c r="C847" s="4" t="s">
        <v>4010</v>
      </c>
      <c r="D847" s="5" t="s">
        <v>3284</v>
      </c>
      <c r="E847" s="4">
        <v>300</v>
      </c>
      <c r="F847" s="5" t="s">
        <v>3285</v>
      </c>
      <c r="G847" s="4" t="s">
        <v>540</v>
      </c>
      <c r="H847" s="4" t="s">
        <v>1352</v>
      </c>
      <c r="I847" s="22">
        <v>2305519.9210000001</v>
      </c>
      <c r="J847" s="22">
        <v>585412.71</v>
      </c>
      <c r="K847" s="22">
        <v>2305542.844</v>
      </c>
      <c r="L847" s="22">
        <v>585397.33900000004</v>
      </c>
      <c r="M847" s="6">
        <v>27.6</v>
      </c>
      <c r="N847" s="11">
        <v>3.37</v>
      </c>
      <c r="O847" s="11">
        <v>4.03</v>
      </c>
      <c r="P847" s="11">
        <f t="shared" si="26"/>
        <v>0.66000000000000014</v>
      </c>
      <c r="Q847" s="11">
        <f t="shared" si="27"/>
        <v>2.391</v>
      </c>
      <c r="R847" s="11">
        <v>1.47</v>
      </c>
    </row>
    <row r="848" spans="2:18" ht="16" x14ac:dyDescent="0.3">
      <c r="B848" s="4">
        <v>842</v>
      </c>
      <c r="C848" s="4" t="s">
        <v>4011</v>
      </c>
      <c r="D848" s="5" t="s">
        <v>3284</v>
      </c>
      <c r="E848" s="4">
        <v>300</v>
      </c>
      <c r="F848" s="5" t="s">
        <v>3285</v>
      </c>
      <c r="G848" s="4" t="s">
        <v>1568</v>
      </c>
      <c r="H848" s="4" t="s">
        <v>540</v>
      </c>
      <c r="I848" s="22">
        <v>2305507.2459999998</v>
      </c>
      <c r="J848" s="22">
        <v>585395.08299999998</v>
      </c>
      <c r="K848" s="22">
        <v>2305519.091</v>
      </c>
      <c r="L848" s="22">
        <v>585413.26699999999</v>
      </c>
      <c r="M848" s="6">
        <v>28.135999999999999</v>
      </c>
      <c r="N848" s="11">
        <v>3.28</v>
      </c>
      <c r="O848" s="11">
        <v>3.37</v>
      </c>
      <c r="P848" s="11">
        <f t="shared" si="26"/>
        <v>9.0000000000000302E-2</v>
      </c>
      <c r="Q848" s="11">
        <f t="shared" si="27"/>
        <v>0.32</v>
      </c>
      <c r="R848" s="11">
        <v>1.845</v>
      </c>
    </row>
    <row r="849" spans="2:18" ht="16" x14ac:dyDescent="0.3">
      <c r="B849" s="4">
        <v>843</v>
      </c>
      <c r="C849" s="4" t="s">
        <v>4012</v>
      </c>
      <c r="D849" s="5" t="s">
        <v>3284</v>
      </c>
      <c r="E849" s="4">
        <v>300</v>
      </c>
      <c r="F849" s="5" t="s">
        <v>3285</v>
      </c>
      <c r="G849" s="4" t="s">
        <v>1343</v>
      </c>
      <c r="H849" s="4" t="s">
        <v>1568</v>
      </c>
      <c r="I849" s="22">
        <v>2305526.6060000001</v>
      </c>
      <c r="J849" s="22">
        <v>585382.1</v>
      </c>
      <c r="K849" s="22">
        <v>2305508.0759999999</v>
      </c>
      <c r="L849" s="22">
        <v>585394.52599999995</v>
      </c>
      <c r="M849" s="6">
        <v>22.31</v>
      </c>
      <c r="N849" s="11">
        <v>4.03</v>
      </c>
      <c r="O849" s="11">
        <v>3.28</v>
      </c>
      <c r="P849" s="11">
        <f t="shared" si="26"/>
        <v>0.75000000000000044</v>
      </c>
      <c r="Q849" s="11">
        <f t="shared" si="27"/>
        <v>3.3620000000000001</v>
      </c>
      <c r="R849" s="11">
        <v>1.5149999999999999</v>
      </c>
    </row>
    <row r="850" spans="2:18" ht="16" x14ac:dyDescent="0.3">
      <c r="B850" s="4">
        <v>844</v>
      </c>
      <c r="C850" s="4" t="s">
        <v>4013</v>
      </c>
      <c r="D850" s="5" t="s">
        <v>3284</v>
      </c>
      <c r="E850" s="4">
        <v>300</v>
      </c>
      <c r="F850" s="5" t="s">
        <v>3285</v>
      </c>
      <c r="G850" s="4" t="s">
        <v>1340</v>
      </c>
      <c r="H850" s="4" t="s">
        <v>1343</v>
      </c>
      <c r="I850" s="22">
        <v>2305552.443</v>
      </c>
      <c r="J850" s="22">
        <v>585364.96900000004</v>
      </c>
      <c r="K850" s="22">
        <v>2305527.4369999999</v>
      </c>
      <c r="L850" s="22">
        <v>585381.54399999999</v>
      </c>
      <c r="M850" s="6">
        <v>30</v>
      </c>
      <c r="N850" s="11">
        <v>4.1399999999999997</v>
      </c>
      <c r="O850" s="11">
        <v>4.03</v>
      </c>
      <c r="P850" s="11">
        <f t="shared" si="26"/>
        <v>0.10999999999999943</v>
      </c>
      <c r="Q850" s="11">
        <f t="shared" si="27"/>
        <v>0.36699999999999999</v>
      </c>
      <c r="R850" s="11">
        <v>1.085</v>
      </c>
    </row>
    <row r="851" spans="2:18" ht="16" x14ac:dyDescent="0.3">
      <c r="B851" s="4">
        <v>845</v>
      </c>
      <c r="C851" s="4" t="s">
        <v>4014</v>
      </c>
      <c r="D851" s="5" t="s">
        <v>3284</v>
      </c>
      <c r="E851" s="4">
        <v>300</v>
      </c>
      <c r="F851" s="5" t="s">
        <v>3285</v>
      </c>
      <c r="G851" s="4" t="s">
        <v>1337</v>
      </c>
      <c r="H851" s="4" t="s">
        <v>1340</v>
      </c>
      <c r="I851" s="22">
        <v>2305575.7059999998</v>
      </c>
      <c r="J851" s="22">
        <v>585349.37399999995</v>
      </c>
      <c r="K851" s="22">
        <v>2305553.0260000001</v>
      </c>
      <c r="L851" s="22">
        <v>585364.58299999998</v>
      </c>
      <c r="M851" s="6">
        <v>27.306999999999999</v>
      </c>
      <c r="N851" s="11">
        <v>4.2300000000000004</v>
      </c>
      <c r="O851" s="11">
        <v>4.1399999999999997</v>
      </c>
      <c r="P851" s="11">
        <f t="shared" si="26"/>
        <v>9.0000000000000746E-2</v>
      </c>
      <c r="Q851" s="11">
        <f t="shared" si="27"/>
        <v>0.33</v>
      </c>
      <c r="R851" s="11">
        <v>0.98499999999999999</v>
      </c>
    </row>
    <row r="852" spans="2:18" ht="16" x14ac:dyDescent="0.3">
      <c r="B852" s="4">
        <v>846</v>
      </c>
      <c r="C852" s="4" t="s">
        <v>4015</v>
      </c>
      <c r="D852" s="5" t="s">
        <v>3284</v>
      </c>
      <c r="E852" s="4">
        <v>300</v>
      </c>
      <c r="F852" s="5" t="s">
        <v>3285</v>
      </c>
      <c r="G852" s="4" t="s">
        <v>1022</v>
      </c>
      <c r="H852" s="4" t="s">
        <v>1337</v>
      </c>
      <c r="I852" s="22">
        <v>2305598.9530000002</v>
      </c>
      <c r="J852" s="22">
        <v>585333.78</v>
      </c>
      <c r="K852" s="22">
        <v>2305576.2880000002</v>
      </c>
      <c r="L852" s="22">
        <v>585348.98400000005</v>
      </c>
      <c r="M852" s="6">
        <v>27.292999999999999</v>
      </c>
      <c r="N852" s="11">
        <v>4.32</v>
      </c>
      <c r="O852" s="11">
        <v>4.2300000000000004</v>
      </c>
      <c r="P852" s="11">
        <f t="shared" si="26"/>
        <v>8.9999999999999858E-2</v>
      </c>
      <c r="Q852" s="11">
        <f t="shared" si="27"/>
        <v>0.33</v>
      </c>
      <c r="R852" s="11">
        <v>0.89500000000000002</v>
      </c>
    </row>
    <row r="853" spans="2:18" ht="16" x14ac:dyDescent="0.3">
      <c r="B853" s="4">
        <v>847</v>
      </c>
      <c r="C853" s="4" t="s">
        <v>4016</v>
      </c>
      <c r="D853" s="5" t="s">
        <v>3284</v>
      </c>
      <c r="E853" s="4">
        <v>300</v>
      </c>
      <c r="F853" s="5" t="s">
        <v>3285</v>
      </c>
      <c r="G853" s="4" t="s">
        <v>1649</v>
      </c>
      <c r="H853" s="4" t="s">
        <v>1646</v>
      </c>
      <c r="I853" s="22">
        <v>2305464.4109999998</v>
      </c>
      <c r="J853" s="22">
        <v>585665.26</v>
      </c>
      <c r="K853" s="22">
        <v>2305482.8829999999</v>
      </c>
      <c r="L853" s="22">
        <v>585652.87300000002</v>
      </c>
      <c r="M853" s="6">
        <v>22.24</v>
      </c>
      <c r="N853" s="11">
        <v>4.33</v>
      </c>
      <c r="O853" s="11">
        <v>4.42</v>
      </c>
      <c r="P853" s="11">
        <f t="shared" si="26"/>
        <v>8.9999999999999858E-2</v>
      </c>
      <c r="Q853" s="11">
        <f t="shared" si="27"/>
        <v>0.40500000000000003</v>
      </c>
      <c r="R853" s="11">
        <v>0.89500000000000002</v>
      </c>
    </row>
    <row r="854" spans="2:18" ht="16" x14ac:dyDescent="0.3">
      <c r="B854" s="4">
        <v>848</v>
      </c>
      <c r="C854" s="4" t="s">
        <v>4017</v>
      </c>
      <c r="D854" s="5" t="s">
        <v>3284</v>
      </c>
      <c r="E854" s="4">
        <v>300</v>
      </c>
      <c r="F854" s="5" t="s">
        <v>3285</v>
      </c>
      <c r="G854" s="4" t="s">
        <v>1652</v>
      </c>
      <c r="H854" s="4" t="s">
        <v>1649</v>
      </c>
      <c r="I854" s="22">
        <v>2305441.156</v>
      </c>
      <c r="J854" s="22">
        <v>585680.85400000005</v>
      </c>
      <c r="K854" s="22">
        <v>2305463.83</v>
      </c>
      <c r="L854" s="22">
        <v>585665.64899999998</v>
      </c>
      <c r="M854" s="6">
        <v>27.3</v>
      </c>
      <c r="N854" s="11">
        <v>4.25</v>
      </c>
      <c r="O854" s="11">
        <v>4.33</v>
      </c>
      <c r="P854" s="11">
        <f t="shared" si="26"/>
        <v>8.0000000000000071E-2</v>
      </c>
      <c r="Q854" s="11">
        <f t="shared" si="27"/>
        <v>0.29299999999999998</v>
      </c>
      <c r="R854" s="11">
        <v>0.98</v>
      </c>
    </row>
    <row r="855" spans="2:18" ht="16" x14ac:dyDescent="0.3">
      <c r="B855" s="4">
        <v>849</v>
      </c>
      <c r="C855" s="4" t="s">
        <v>4018</v>
      </c>
      <c r="D855" s="5" t="s">
        <v>3284</v>
      </c>
      <c r="E855" s="4">
        <v>300</v>
      </c>
      <c r="F855" s="5" t="s">
        <v>3285</v>
      </c>
      <c r="G855" s="4" t="s">
        <v>1655</v>
      </c>
      <c r="H855" s="4" t="s">
        <v>1652</v>
      </c>
      <c r="I855" s="22">
        <v>2305419.5630000001</v>
      </c>
      <c r="J855" s="22">
        <v>585695.33600000001</v>
      </c>
      <c r="K855" s="22">
        <v>2305440.574</v>
      </c>
      <c r="L855" s="22">
        <v>585681.24399999995</v>
      </c>
      <c r="M855" s="6">
        <v>25.3</v>
      </c>
      <c r="N855" s="11">
        <v>4.18</v>
      </c>
      <c r="O855" s="11">
        <v>4.25</v>
      </c>
      <c r="P855" s="11">
        <f t="shared" si="26"/>
        <v>7.0000000000000284E-2</v>
      </c>
      <c r="Q855" s="11">
        <f t="shared" si="27"/>
        <v>0.27700000000000002</v>
      </c>
      <c r="R855" s="11">
        <v>1.0549999999999999</v>
      </c>
    </row>
    <row r="856" spans="2:18" ht="16" x14ac:dyDescent="0.3">
      <c r="B856" s="4">
        <v>850</v>
      </c>
      <c r="C856" s="4" t="s">
        <v>4019</v>
      </c>
      <c r="D856" s="5" t="s">
        <v>3284</v>
      </c>
      <c r="E856" s="4">
        <v>300</v>
      </c>
      <c r="F856" s="5" t="s">
        <v>3285</v>
      </c>
      <c r="G856" s="4" t="s">
        <v>1637</v>
      </c>
      <c r="H856" s="4" t="s">
        <v>1655</v>
      </c>
      <c r="I856" s="22">
        <v>2305407.4419999998</v>
      </c>
      <c r="J856" s="22">
        <v>585703.65500000003</v>
      </c>
      <c r="K856" s="22">
        <v>2305418.9810000001</v>
      </c>
      <c r="L856" s="22">
        <v>585695.72600000002</v>
      </c>
      <c r="M856" s="6">
        <v>14.000999999999999</v>
      </c>
      <c r="N856" s="11">
        <v>4.1100000000000003</v>
      </c>
      <c r="O856" s="11">
        <v>4.18</v>
      </c>
      <c r="P856" s="11">
        <f t="shared" si="26"/>
        <v>6.9999999999999396E-2</v>
      </c>
      <c r="Q856" s="11">
        <f t="shared" si="27"/>
        <v>0.5</v>
      </c>
      <c r="R856" s="11">
        <v>1.125</v>
      </c>
    </row>
    <row r="857" spans="2:18" ht="16" x14ac:dyDescent="0.3">
      <c r="B857" s="4">
        <v>851</v>
      </c>
      <c r="C857" s="4" t="s">
        <v>4020</v>
      </c>
      <c r="D857" s="5" t="s">
        <v>3284</v>
      </c>
      <c r="E857" s="4">
        <v>300</v>
      </c>
      <c r="F857" s="5" t="s">
        <v>3285</v>
      </c>
      <c r="G857" s="4" t="s">
        <v>1640</v>
      </c>
      <c r="H857" s="4" t="s">
        <v>1637</v>
      </c>
      <c r="I857" s="22">
        <v>2305385.048</v>
      </c>
      <c r="J857" s="22">
        <v>585701.57499999995</v>
      </c>
      <c r="K857" s="22">
        <v>2305406.611</v>
      </c>
      <c r="L857" s="22">
        <v>585704.21200000006</v>
      </c>
      <c r="M857" s="6">
        <v>27.085999999999999</v>
      </c>
      <c r="N857" s="11">
        <v>4.0199999999999996</v>
      </c>
      <c r="O857" s="11">
        <v>4.1100000000000003</v>
      </c>
      <c r="P857" s="11">
        <f t="shared" si="26"/>
        <v>9.0000000000000746E-2</v>
      </c>
      <c r="Q857" s="11">
        <f t="shared" si="27"/>
        <v>0.33200000000000002</v>
      </c>
      <c r="R857" s="11">
        <v>1.2250000000000001</v>
      </c>
    </row>
    <row r="858" spans="2:18" ht="16" x14ac:dyDescent="0.3">
      <c r="B858" s="4">
        <v>852</v>
      </c>
      <c r="C858" s="4" t="s">
        <v>4021</v>
      </c>
      <c r="D858" s="5" t="s">
        <v>3284</v>
      </c>
      <c r="E858" s="4">
        <v>300</v>
      </c>
      <c r="F858" s="5" t="s">
        <v>3285</v>
      </c>
      <c r="G858" s="4" t="s">
        <v>1667</v>
      </c>
      <c r="H858" s="4" t="s">
        <v>1643</v>
      </c>
      <c r="I858" s="22">
        <v>2305402.6179999998</v>
      </c>
      <c r="J858" s="22">
        <v>585671.32400000002</v>
      </c>
      <c r="K858" s="22">
        <v>2305386.5040000002</v>
      </c>
      <c r="L858" s="22">
        <v>585681.95799999998</v>
      </c>
      <c r="M858" s="6">
        <v>19.306999999999999</v>
      </c>
      <c r="N858" s="11">
        <v>4.17</v>
      </c>
      <c r="O858" s="11">
        <v>3.95</v>
      </c>
      <c r="P858" s="11">
        <f t="shared" si="26"/>
        <v>0.21999999999999975</v>
      </c>
      <c r="Q858" s="11">
        <f t="shared" si="27"/>
        <v>1.139</v>
      </c>
      <c r="R858" s="11">
        <v>1.21</v>
      </c>
    </row>
    <row r="859" spans="2:18" ht="16" x14ac:dyDescent="0.3">
      <c r="B859" s="4">
        <v>853</v>
      </c>
      <c r="C859" s="4" t="s">
        <v>4022</v>
      </c>
      <c r="D859" s="5" t="s">
        <v>3284</v>
      </c>
      <c r="E859" s="4">
        <v>300</v>
      </c>
      <c r="F859" s="5" t="s">
        <v>3285</v>
      </c>
      <c r="G859" s="4" t="s">
        <v>1664</v>
      </c>
      <c r="H859" s="4" t="s">
        <v>1667</v>
      </c>
      <c r="I859" s="22">
        <v>2305424.2119999998</v>
      </c>
      <c r="J859" s="22">
        <v>585656.84299999999</v>
      </c>
      <c r="K859" s="22">
        <v>2305403.199</v>
      </c>
      <c r="L859" s="22">
        <v>585670.93400000001</v>
      </c>
      <c r="M859" s="6">
        <v>25.3</v>
      </c>
      <c r="N859" s="11">
        <v>4.25</v>
      </c>
      <c r="O859" s="11">
        <v>4.17</v>
      </c>
      <c r="P859" s="11">
        <f t="shared" si="26"/>
        <v>8.0000000000000071E-2</v>
      </c>
      <c r="Q859" s="11">
        <f t="shared" si="27"/>
        <v>0.316</v>
      </c>
      <c r="R859" s="11">
        <v>1.06</v>
      </c>
    </row>
    <row r="860" spans="2:18" ht="16" x14ac:dyDescent="0.3">
      <c r="B860" s="4">
        <v>854</v>
      </c>
      <c r="C860" s="4" t="s">
        <v>4023</v>
      </c>
      <c r="D860" s="5" t="s">
        <v>3284</v>
      </c>
      <c r="E860" s="4">
        <v>300</v>
      </c>
      <c r="F860" s="5" t="s">
        <v>3285</v>
      </c>
      <c r="G860" s="4" t="s">
        <v>1661</v>
      </c>
      <c r="H860" s="4" t="s">
        <v>1664</v>
      </c>
      <c r="I860" s="22">
        <v>2305447.477</v>
      </c>
      <c r="J860" s="22">
        <v>585641.26300000004</v>
      </c>
      <c r="K860" s="22">
        <v>2305424.7940000002</v>
      </c>
      <c r="L860" s="22">
        <v>585656.45299999998</v>
      </c>
      <c r="M860" s="6">
        <v>27.3</v>
      </c>
      <c r="N860" s="11">
        <v>4.33</v>
      </c>
      <c r="O860" s="11">
        <v>4.25</v>
      </c>
      <c r="P860" s="11">
        <f t="shared" si="26"/>
        <v>8.0000000000000071E-2</v>
      </c>
      <c r="Q860" s="11">
        <f t="shared" si="27"/>
        <v>0.29299999999999998</v>
      </c>
      <c r="R860" s="11">
        <v>0.98</v>
      </c>
    </row>
    <row r="861" spans="2:18" ht="16" x14ac:dyDescent="0.3">
      <c r="B861" s="4">
        <v>855</v>
      </c>
      <c r="C861" s="4" t="s">
        <v>4024</v>
      </c>
      <c r="D861" s="5" t="s">
        <v>3284</v>
      </c>
      <c r="E861" s="4">
        <v>300</v>
      </c>
      <c r="F861" s="5" t="s">
        <v>3285</v>
      </c>
      <c r="G861" s="4" t="s">
        <v>1658</v>
      </c>
      <c r="H861" s="4" t="s">
        <v>1661</v>
      </c>
      <c r="I861" s="22">
        <v>2305466.5210000002</v>
      </c>
      <c r="J861" s="22">
        <v>585628.47199999995</v>
      </c>
      <c r="K861" s="22">
        <v>2305448.0589999999</v>
      </c>
      <c r="L861" s="22">
        <v>585640.87399999995</v>
      </c>
      <c r="M861" s="6">
        <v>22.24</v>
      </c>
      <c r="N861" s="11">
        <v>4.42</v>
      </c>
      <c r="O861" s="11">
        <v>4.33</v>
      </c>
      <c r="P861" s="11">
        <f t="shared" si="26"/>
        <v>8.9999999999999858E-2</v>
      </c>
      <c r="Q861" s="11">
        <f t="shared" si="27"/>
        <v>0.40500000000000003</v>
      </c>
      <c r="R861" s="11">
        <v>0.89500000000000002</v>
      </c>
    </row>
    <row r="862" spans="2:18" ht="16" x14ac:dyDescent="0.3">
      <c r="B862" s="4">
        <v>856</v>
      </c>
      <c r="C862" s="4" t="s">
        <v>4025</v>
      </c>
      <c r="D862" s="5" t="s">
        <v>3284</v>
      </c>
      <c r="E862" s="4">
        <v>300</v>
      </c>
      <c r="F862" s="5" t="s">
        <v>3285</v>
      </c>
      <c r="G862" s="4" t="s">
        <v>1709</v>
      </c>
      <c r="H862" s="4" t="s">
        <v>1706</v>
      </c>
      <c r="I862" s="22">
        <v>2305204.3050000002</v>
      </c>
      <c r="J862" s="22">
        <v>585624.15899999999</v>
      </c>
      <c r="K862" s="22">
        <v>2305181.6310000001</v>
      </c>
      <c r="L862" s="22">
        <v>585639.36399999994</v>
      </c>
      <c r="M862" s="6">
        <v>27.3</v>
      </c>
      <c r="N862" s="11">
        <v>4.33</v>
      </c>
      <c r="O862" s="11">
        <v>4.42</v>
      </c>
      <c r="P862" s="11">
        <f t="shared" si="26"/>
        <v>8.9999999999999858E-2</v>
      </c>
      <c r="Q862" s="11">
        <f t="shared" si="27"/>
        <v>0.33</v>
      </c>
      <c r="R862" s="11">
        <v>0.89500000000000002</v>
      </c>
    </row>
    <row r="863" spans="2:18" ht="16" x14ac:dyDescent="0.3">
      <c r="B863" s="4">
        <v>857</v>
      </c>
      <c r="C863" s="4" t="s">
        <v>4026</v>
      </c>
      <c r="D863" s="5" t="s">
        <v>3284</v>
      </c>
      <c r="E863" s="4">
        <v>300</v>
      </c>
      <c r="F863" s="5" t="s">
        <v>3285</v>
      </c>
      <c r="G863" s="4" t="s">
        <v>1712</v>
      </c>
      <c r="H863" s="4" t="s">
        <v>1709</v>
      </c>
      <c r="I863" s="22">
        <v>2305223.3730000001</v>
      </c>
      <c r="J863" s="22">
        <v>585611.37300000002</v>
      </c>
      <c r="K863" s="22">
        <v>2305204.8870000001</v>
      </c>
      <c r="L863" s="22">
        <v>585623.76899999997</v>
      </c>
      <c r="M863" s="6">
        <v>22.257999999999999</v>
      </c>
      <c r="N863" s="11">
        <v>4.25</v>
      </c>
      <c r="O863" s="11">
        <v>4.33</v>
      </c>
      <c r="P863" s="11">
        <f t="shared" si="26"/>
        <v>8.0000000000000071E-2</v>
      </c>
      <c r="Q863" s="11">
        <f t="shared" si="27"/>
        <v>0.35899999999999999</v>
      </c>
      <c r="R863" s="11">
        <v>0.98</v>
      </c>
    </row>
    <row r="864" spans="2:18" ht="16" x14ac:dyDescent="0.3">
      <c r="B864" s="4">
        <v>858</v>
      </c>
      <c r="C864" s="4" t="s">
        <v>4027</v>
      </c>
      <c r="D864" s="5" t="s">
        <v>3284</v>
      </c>
      <c r="E864" s="4">
        <v>300</v>
      </c>
      <c r="F864" s="5" t="s">
        <v>3285</v>
      </c>
      <c r="G864" s="4" t="s">
        <v>1715</v>
      </c>
      <c r="H864" s="4" t="s">
        <v>1712</v>
      </c>
      <c r="I864" s="22">
        <v>2305249.1549999998</v>
      </c>
      <c r="J864" s="22">
        <v>585594.08400000003</v>
      </c>
      <c r="K864" s="22">
        <v>2305223.9539999999</v>
      </c>
      <c r="L864" s="22">
        <v>585610.98300000001</v>
      </c>
      <c r="M864" s="6">
        <v>30.341999999999999</v>
      </c>
      <c r="N864" s="11">
        <v>4.1500000000000004</v>
      </c>
      <c r="O864" s="11">
        <v>4.25</v>
      </c>
      <c r="P864" s="11">
        <f t="shared" si="26"/>
        <v>9.9999999999999645E-2</v>
      </c>
      <c r="Q864" s="11">
        <f t="shared" si="27"/>
        <v>0.33</v>
      </c>
      <c r="R864" s="11">
        <v>1.07</v>
      </c>
    </row>
    <row r="865" spans="2:18" ht="16" x14ac:dyDescent="0.3">
      <c r="B865" s="4">
        <v>859</v>
      </c>
      <c r="C865" s="4" t="s">
        <v>4028</v>
      </c>
      <c r="D865" s="5" t="s">
        <v>3284</v>
      </c>
      <c r="E865" s="4">
        <v>300</v>
      </c>
      <c r="F865" s="5" t="s">
        <v>3285</v>
      </c>
      <c r="G865" s="4" t="s">
        <v>611</v>
      </c>
      <c r="H865" s="4" t="s">
        <v>1715</v>
      </c>
      <c r="I865" s="22">
        <v>2305272.56</v>
      </c>
      <c r="J865" s="22">
        <v>585578.59600000002</v>
      </c>
      <c r="K865" s="22">
        <v>2305249.736</v>
      </c>
      <c r="L865" s="22">
        <v>585593.69400000002</v>
      </c>
      <c r="M865" s="6">
        <v>27.366</v>
      </c>
      <c r="N865" s="11">
        <v>3.41</v>
      </c>
      <c r="O865" s="11">
        <v>4.1500000000000004</v>
      </c>
      <c r="P865" s="11">
        <f t="shared" si="26"/>
        <v>0.74000000000000021</v>
      </c>
      <c r="Q865" s="11">
        <f t="shared" si="27"/>
        <v>2.7040000000000002</v>
      </c>
      <c r="R865" s="11">
        <v>1.49</v>
      </c>
    </row>
    <row r="866" spans="2:18" ht="16" x14ac:dyDescent="0.3">
      <c r="B866" s="4">
        <v>860</v>
      </c>
      <c r="C866" s="4" t="s">
        <v>4029</v>
      </c>
      <c r="D866" s="5" t="s">
        <v>3284</v>
      </c>
      <c r="E866" s="4">
        <v>300</v>
      </c>
      <c r="F866" s="5" t="s">
        <v>3285</v>
      </c>
      <c r="G866" s="4" t="s">
        <v>1822</v>
      </c>
      <c r="H866" s="4" t="s">
        <v>611</v>
      </c>
      <c r="I866" s="22">
        <v>2305261.7710000002</v>
      </c>
      <c r="J866" s="22">
        <v>585559.772</v>
      </c>
      <c r="K866" s="22">
        <v>2305273.3909999998</v>
      </c>
      <c r="L866" s="22">
        <v>585578.03899999999</v>
      </c>
      <c r="M866" s="6">
        <v>27.117999999999999</v>
      </c>
      <c r="N866" s="11">
        <v>3.32</v>
      </c>
      <c r="O866" s="11">
        <v>3.41</v>
      </c>
      <c r="P866" s="11">
        <f t="shared" si="26"/>
        <v>9.0000000000000302E-2</v>
      </c>
      <c r="Q866" s="11">
        <f t="shared" si="27"/>
        <v>0.33200000000000002</v>
      </c>
      <c r="R866" s="11">
        <v>1.905</v>
      </c>
    </row>
    <row r="867" spans="2:18" ht="16" x14ac:dyDescent="0.3">
      <c r="B867" s="4">
        <v>861</v>
      </c>
      <c r="C867" s="4" t="s">
        <v>4030</v>
      </c>
      <c r="D867" s="5" t="s">
        <v>3284</v>
      </c>
      <c r="E867" s="4">
        <v>300</v>
      </c>
      <c r="F867" s="5" t="s">
        <v>3285</v>
      </c>
      <c r="G867" s="4" t="s">
        <v>1811</v>
      </c>
      <c r="H867" s="4" t="s">
        <v>1822</v>
      </c>
      <c r="I867" s="22">
        <v>2305237.83</v>
      </c>
      <c r="J867" s="22">
        <v>585575.93799999997</v>
      </c>
      <c r="K867" s="22">
        <v>2305260.9449999998</v>
      </c>
      <c r="L867" s="22">
        <v>585560.26800000004</v>
      </c>
      <c r="M867" s="6">
        <v>27.925999999999998</v>
      </c>
      <c r="N867" s="11">
        <v>4.1500000000000004</v>
      </c>
      <c r="O867" s="11">
        <v>3.32</v>
      </c>
      <c r="P867" s="11">
        <f t="shared" si="26"/>
        <v>0.83000000000000052</v>
      </c>
      <c r="Q867" s="11">
        <f t="shared" si="27"/>
        <v>2.972</v>
      </c>
      <c r="R867" s="11">
        <v>1.5349999999999999</v>
      </c>
    </row>
    <row r="868" spans="2:18" ht="16" x14ac:dyDescent="0.3">
      <c r="B868" s="4">
        <v>862</v>
      </c>
      <c r="C868" s="4" t="s">
        <v>4031</v>
      </c>
      <c r="D868" s="5" t="s">
        <v>3284</v>
      </c>
      <c r="E868" s="4">
        <v>300</v>
      </c>
      <c r="F868" s="5" t="s">
        <v>3285</v>
      </c>
      <c r="G868" s="4" t="s">
        <v>1808</v>
      </c>
      <c r="H868" s="4" t="s">
        <v>1811</v>
      </c>
      <c r="I868" s="22">
        <v>2305212.0469999998</v>
      </c>
      <c r="J868" s="22">
        <v>585593.22699999996</v>
      </c>
      <c r="K868" s="22">
        <v>2305237.2480000001</v>
      </c>
      <c r="L868" s="22">
        <v>585576.32799999998</v>
      </c>
      <c r="M868" s="6">
        <v>30.341999999999999</v>
      </c>
      <c r="N868" s="11">
        <v>4.25</v>
      </c>
      <c r="O868" s="11">
        <v>4.1500000000000004</v>
      </c>
      <c r="P868" s="11">
        <f t="shared" si="26"/>
        <v>9.9999999999999645E-2</v>
      </c>
      <c r="Q868" s="11">
        <f t="shared" si="27"/>
        <v>0.33</v>
      </c>
      <c r="R868" s="11">
        <v>1.07</v>
      </c>
    </row>
    <row r="869" spans="2:18" ht="16" x14ac:dyDescent="0.3">
      <c r="B869" s="4">
        <v>863</v>
      </c>
      <c r="C869" s="4" t="s">
        <v>4032</v>
      </c>
      <c r="D869" s="5" t="s">
        <v>3284</v>
      </c>
      <c r="E869" s="4">
        <v>300</v>
      </c>
      <c r="F869" s="5" t="s">
        <v>3285</v>
      </c>
      <c r="G869" s="4" t="s">
        <v>1805</v>
      </c>
      <c r="H869" s="4" t="s">
        <v>1808</v>
      </c>
      <c r="I869" s="22">
        <v>2305192.98</v>
      </c>
      <c r="J869" s="22">
        <v>585606.01300000004</v>
      </c>
      <c r="K869" s="22">
        <v>2305211.466</v>
      </c>
      <c r="L869" s="22">
        <v>585593.61699999997</v>
      </c>
      <c r="M869" s="6">
        <v>22.257999999999999</v>
      </c>
      <c r="N869" s="11">
        <v>4.33</v>
      </c>
      <c r="O869" s="11">
        <v>4.25</v>
      </c>
      <c r="P869" s="11">
        <f t="shared" si="26"/>
        <v>8.0000000000000071E-2</v>
      </c>
      <c r="Q869" s="11">
        <f t="shared" si="27"/>
        <v>0.35899999999999999</v>
      </c>
      <c r="R869" s="11">
        <v>0.98</v>
      </c>
    </row>
    <row r="870" spans="2:18" ht="16" x14ac:dyDescent="0.3">
      <c r="B870" s="4">
        <v>864</v>
      </c>
      <c r="C870" s="4" t="s">
        <v>4033</v>
      </c>
      <c r="D870" s="5" t="s">
        <v>3284</v>
      </c>
      <c r="E870" s="4">
        <v>300</v>
      </c>
      <c r="F870" s="5" t="s">
        <v>3285</v>
      </c>
      <c r="G870" s="4" t="s">
        <v>1037</v>
      </c>
      <c r="H870" s="4" t="s">
        <v>1805</v>
      </c>
      <c r="I870" s="22">
        <v>2305169.7239999999</v>
      </c>
      <c r="J870" s="22">
        <v>585621.60800000001</v>
      </c>
      <c r="K870" s="22">
        <v>2305192.398</v>
      </c>
      <c r="L870" s="22">
        <v>585606.40300000005</v>
      </c>
      <c r="M870" s="6">
        <v>27.3</v>
      </c>
      <c r="N870" s="11">
        <v>4.42</v>
      </c>
      <c r="O870" s="11">
        <v>4.33</v>
      </c>
      <c r="P870" s="11">
        <f t="shared" si="26"/>
        <v>8.9999999999999858E-2</v>
      </c>
      <c r="Q870" s="11">
        <f t="shared" si="27"/>
        <v>0.33</v>
      </c>
      <c r="R870" s="11">
        <v>0.89500000000000002</v>
      </c>
    </row>
    <row r="871" spans="2:18" ht="16" x14ac:dyDescent="0.3">
      <c r="B871" s="4">
        <v>865</v>
      </c>
      <c r="C871" s="4" t="s">
        <v>4034</v>
      </c>
      <c r="D871" s="5" t="s">
        <v>3284</v>
      </c>
      <c r="E871" s="4">
        <v>300</v>
      </c>
      <c r="F871" s="5" t="s">
        <v>3285</v>
      </c>
      <c r="G871" s="4" t="s">
        <v>1787</v>
      </c>
      <c r="H871" s="4" t="s">
        <v>1031</v>
      </c>
      <c r="I871" s="22">
        <v>2305222.6839999999</v>
      </c>
      <c r="J871" s="22">
        <v>585651.56700000004</v>
      </c>
      <c r="K871" s="22">
        <v>2305200.02</v>
      </c>
      <c r="L871" s="22">
        <v>585666.76500000001</v>
      </c>
      <c r="M871" s="6">
        <v>27.288</v>
      </c>
      <c r="N871" s="11">
        <v>4.37</v>
      </c>
      <c r="O871" s="11">
        <v>4.46</v>
      </c>
      <c r="P871" s="11">
        <f t="shared" si="26"/>
        <v>8.9999999999999858E-2</v>
      </c>
      <c r="Q871" s="11">
        <f t="shared" si="27"/>
        <v>0.33</v>
      </c>
      <c r="R871" s="11">
        <v>0.89500000000000002</v>
      </c>
    </row>
    <row r="872" spans="2:18" ht="16" x14ac:dyDescent="0.3">
      <c r="B872" s="4">
        <v>866</v>
      </c>
      <c r="C872" s="4" t="s">
        <v>4035</v>
      </c>
      <c r="D872" s="5" t="s">
        <v>3284</v>
      </c>
      <c r="E872" s="4">
        <v>300</v>
      </c>
      <c r="F872" s="5" t="s">
        <v>3285</v>
      </c>
      <c r="G872" s="4" t="s">
        <v>1790</v>
      </c>
      <c r="H872" s="4" t="s">
        <v>1787</v>
      </c>
      <c r="I872" s="22">
        <v>2305241.7519999999</v>
      </c>
      <c r="J872" s="22">
        <v>585638.78099999996</v>
      </c>
      <c r="K872" s="22">
        <v>2305223.2659999998</v>
      </c>
      <c r="L872" s="22">
        <v>585651.17700000003</v>
      </c>
      <c r="M872" s="6">
        <v>22.257999999999999</v>
      </c>
      <c r="N872" s="11">
        <v>4.29</v>
      </c>
      <c r="O872" s="11">
        <v>4.37</v>
      </c>
      <c r="P872" s="11">
        <f t="shared" si="26"/>
        <v>8.0000000000000071E-2</v>
      </c>
      <c r="Q872" s="11">
        <f t="shared" si="27"/>
        <v>0.35899999999999999</v>
      </c>
      <c r="R872" s="11">
        <v>0.98</v>
      </c>
    </row>
    <row r="873" spans="2:18" ht="16" x14ac:dyDescent="0.3">
      <c r="B873" s="4">
        <v>867</v>
      </c>
      <c r="C873" s="4" t="s">
        <v>4036</v>
      </c>
      <c r="D873" s="5" t="s">
        <v>3284</v>
      </c>
      <c r="E873" s="4">
        <v>300</v>
      </c>
      <c r="F873" s="5" t="s">
        <v>3285</v>
      </c>
      <c r="G873" s="4" t="s">
        <v>1793</v>
      </c>
      <c r="H873" s="4" t="s">
        <v>1790</v>
      </c>
      <c r="I873" s="22">
        <v>2305267.534</v>
      </c>
      <c r="J873" s="22">
        <v>585621.49199999997</v>
      </c>
      <c r="K873" s="22">
        <v>2305242.3330000001</v>
      </c>
      <c r="L873" s="22">
        <v>585638.39099999995</v>
      </c>
      <c r="M873" s="6">
        <v>30.341999999999999</v>
      </c>
      <c r="N873" s="11">
        <v>4.1900000000000004</v>
      </c>
      <c r="O873" s="11">
        <v>4.29</v>
      </c>
      <c r="P873" s="11">
        <f t="shared" si="26"/>
        <v>9.9999999999999645E-2</v>
      </c>
      <c r="Q873" s="11">
        <f t="shared" si="27"/>
        <v>0.33</v>
      </c>
      <c r="R873" s="11">
        <v>1.07</v>
      </c>
    </row>
    <row r="874" spans="2:18" ht="16" x14ac:dyDescent="0.3">
      <c r="B874" s="4">
        <v>868</v>
      </c>
      <c r="C874" s="4" t="s">
        <v>4037</v>
      </c>
      <c r="D874" s="5" t="s">
        <v>3284</v>
      </c>
      <c r="E874" s="4">
        <v>300</v>
      </c>
      <c r="F874" s="5" t="s">
        <v>3285</v>
      </c>
      <c r="G874" s="4" t="s">
        <v>620</v>
      </c>
      <c r="H874" s="4" t="s">
        <v>1793</v>
      </c>
      <c r="I874" s="22">
        <v>2305290.923</v>
      </c>
      <c r="J874" s="22">
        <v>585605.98600000003</v>
      </c>
      <c r="K874" s="22">
        <v>2305268.1150000002</v>
      </c>
      <c r="L874" s="22">
        <v>585621.103</v>
      </c>
      <c r="M874" s="6">
        <v>27.363</v>
      </c>
      <c r="N874" s="11">
        <v>3.54</v>
      </c>
      <c r="O874" s="11">
        <v>4.1900000000000004</v>
      </c>
      <c r="P874" s="11">
        <f t="shared" si="26"/>
        <v>0.65000000000000036</v>
      </c>
      <c r="Q874" s="11">
        <f t="shared" si="27"/>
        <v>2.375</v>
      </c>
      <c r="R874" s="11">
        <v>1.4450000000000001</v>
      </c>
    </row>
    <row r="875" spans="2:18" ht="16" x14ac:dyDescent="0.3">
      <c r="B875" s="4">
        <v>869</v>
      </c>
      <c r="C875" s="4" t="s">
        <v>4038</v>
      </c>
      <c r="D875" s="5" t="s">
        <v>3284</v>
      </c>
      <c r="E875" s="4">
        <v>300</v>
      </c>
      <c r="F875" s="5" t="s">
        <v>3285</v>
      </c>
      <c r="G875" s="4" t="s">
        <v>623</v>
      </c>
      <c r="H875" s="4" t="s">
        <v>620</v>
      </c>
      <c r="I875" s="22">
        <v>2305279.3960000002</v>
      </c>
      <c r="J875" s="22">
        <v>585587.61899999995</v>
      </c>
      <c r="K875" s="22">
        <v>2305291.7540000002</v>
      </c>
      <c r="L875" s="22">
        <v>585605.429</v>
      </c>
      <c r="M875" s="6">
        <v>27.771999999999998</v>
      </c>
      <c r="N875" s="11">
        <v>3.45</v>
      </c>
      <c r="O875" s="11">
        <v>3.54</v>
      </c>
      <c r="P875" s="11">
        <f t="shared" si="26"/>
        <v>8.9999999999999858E-2</v>
      </c>
      <c r="Q875" s="11">
        <f t="shared" si="27"/>
        <v>0.32400000000000001</v>
      </c>
      <c r="R875" s="11">
        <v>1.7949999999999999</v>
      </c>
    </row>
    <row r="876" spans="2:18" ht="16" x14ac:dyDescent="0.3">
      <c r="B876" s="4">
        <v>870</v>
      </c>
      <c r="C876" s="4" t="s">
        <v>4039</v>
      </c>
      <c r="D876" s="5" t="s">
        <v>3284</v>
      </c>
      <c r="E876" s="4">
        <v>300</v>
      </c>
      <c r="F876" s="5" t="s">
        <v>3285</v>
      </c>
      <c r="G876" s="4" t="s">
        <v>1802</v>
      </c>
      <c r="H876" s="4" t="s">
        <v>623</v>
      </c>
      <c r="I876" s="22">
        <v>2305256.2089999998</v>
      </c>
      <c r="J876" s="22">
        <v>585603.34600000002</v>
      </c>
      <c r="K876" s="22">
        <v>2305278.5649999999</v>
      </c>
      <c r="L876" s="22">
        <v>585588.17599999998</v>
      </c>
      <c r="M876" s="6">
        <v>27.018000000000001</v>
      </c>
      <c r="N876" s="11">
        <v>4.1500000000000004</v>
      </c>
      <c r="O876" s="11">
        <v>3.45</v>
      </c>
      <c r="P876" s="11">
        <f t="shared" si="26"/>
        <v>0.70000000000000018</v>
      </c>
      <c r="Q876" s="11">
        <f t="shared" si="27"/>
        <v>2.5910000000000002</v>
      </c>
      <c r="R876" s="11">
        <v>1.47</v>
      </c>
    </row>
    <row r="877" spans="2:18" ht="16" x14ac:dyDescent="0.3">
      <c r="B877" s="4">
        <v>871</v>
      </c>
      <c r="C877" s="4" t="s">
        <v>4040</v>
      </c>
      <c r="D877" s="5" t="s">
        <v>3284</v>
      </c>
      <c r="E877" s="4">
        <v>300</v>
      </c>
      <c r="F877" s="5" t="s">
        <v>3285</v>
      </c>
      <c r="G877" s="4" t="s">
        <v>1799</v>
      </c>
      <c r="H877" s="4" t="s">
        <v>1802</v>
      </c>
      <c r="I877" s="22">
        <v>2305230.426</v>
      </c>
      <c r="J877" s="22">
        <v>585620.63500000001</v>
      </c>
      <c r="K877" s="22">
        <v>2305255.6269999999</v>
      </c>
      <c r="L877" s="22">
        <v>585603.73600000003</v>
      </c>
      <c r="M877" s="6">
        <v>30.341999999999999</v>
      </c>
      <c r="N877" s="11">
        <v>4.25</v>
      </c>
      <c r="O877" s="11">
        <v>4.1500000000000004</v>
      </c>
      <c r="P877" s="11">
        <f t="shared" si="26"/>
        <v>9.9999999999999645E-2</v>
      </c>
      <c r="Q877" s="11">
        <f t="shared" si="27"/>
        <v>0.33</v>
      </c>
      <c r="R877" s="11">
        <v>1.07</v>
      </c>
    </row>
    <row r="878" spans="2:18" ht="16" x14ac:dyDescent="0.3">
      <c r="B878" s="4">
        <v>872</v>
      </c>
      <c r="C878" s="4" t="s">
        <v>4041</v>
      </c>
      <c r="D878" s="5" t="s">
        <v>3284</v>
      </c>
      <c r="E878" s="4">
        <v>300</v>
      </c>
      <c r="F878" s="5" t="s">
        <v>3285</v>
      </c>
      <c r="G878" s="4" t="s">
        <v>1796</v>
      </c>
      <c r="H878" s="4" t="s">
        <v>1799</v>
      </c>
      <c r="I878" s="22">
        <v>2305211.3590000002</v>
      </c>
      <c r="J878" s="22">
        <v>585633.42099999997</v>
      </c>
      <c r="K878" s="22">
        <v>2305229.8450000002</v>
      </c>
      <c r="L878" s="22">
        <v>585621.02500000002</v>
      </c>
      <c r="M878" s="6">
        <v>22.257999999999999</v>
      </c>
      <c r="N878" s="11">
        <v>4.33</v>
      </c>
      <c r="O878" s="11">
        <v>4.25</v>
      </c>
      <c r="P878" s="11">
        <f t="shared" si="26"/>
        <v>8.0000000000000071E-2</v>
      </c>
      <c r="Q878" s="11">
        <f t="shared" si="27"/>
        <v>0.35899999999999999</v>
      </c>
      <c r="R878" s="11">
        <v>0.98</v>
      </c>
    </row>
    <row r="879" spans="2:18" ht="16" x14ac:dyDescent="0.3">
      <c r="B879" s="4">
        <v>873</v>
      </c>
      <c r="C879" s="4" t="s">
        <v>4042</v>
      </c>
      <c r="D879" s="5" t="s">
        <v>3284</v>
      </c>
      <c r="E879" s="4">
        <v>300</v>
      </c>
      <c r="F879" s="5" t="s">
        <v>3285</v>
      </c>
      <c r="G879" s="4" t="s">
        <v>1034</v>
      </c>
      <c r="H879" s="4" t="s">
        <v>1796</v>
      </c>
      <c r="I879" s="22">
        <v>2305188.1129999999</v>
      </c>
      <c r="J879" s="22">
        <v>585649.00899999996</v>
      </c>
      <c r="K879" s="22">
        <v>2305210.7429999998</v>
      </c>
      <c r="L879" s="22">
        <v>585633.83499999996</v>
      </c>
      <c r="M879" s="6">
        <v>27.245999999999999</v>
      </c>
      <c r="N879" s="11">
        <v>4.42</v>
      </c>
      <c r="O879" s="11">
        <v>4.33</v>
      </c>
      <c r="P879" s="11">
        <f t="shared" si="26"/>
        <v>8.9999999999999858E-2</v>
      </c>
      <c r="Q879" s="11">
        <f t="shared" si="27"/>
        <v>0.33</v>
      </c>
      <c r="R879" s="11">
        <v>0.89500000000000002</v>
      </c>
    </row>
    <row r="880" spans="2:18" ht="16" x14ac:dyDescent="0.3">
      <c r="B880" s="4">
        <v>874</v>
      </c>
      <c r="C880" s="4" t="s">
        <v>4043</v>
      </c>
      <c r="D880" s="5" t="s">
        <v>3284</v>
      </c>
      <c r="E880" s="4">
        <v>300</v>
      </c>
      <c r="F880" s="5" t="s">
        <v>3285</v>
      </c>
      <c r="G880" s="4" t="s">
        <v>2107</v>
      </c>
      <c r="H880" s="4" t="s">
        <v>192</v>
      </c>
      <c r="I880" s="22">
        <v>2305372.12</v>
      </c>
      <c r="J880" s="22">
        <v>585731.31400000001</v>
      </c>
      <c r="K880" s="22">
        <v>2305388.6189999999</v>
      </c>
      <c r="L880" s="22">
        <v>585755.84299999999</v>
      </c>
      <c r="M880" s="6">
        <v>41.953000000000003</v>
      </c>
      <c r="N880" s="11">
        <v>4.05</v>
      </c>
      <c r="O880" s="11">
        <v>4.29</v>
      </c>
      <c r="P880" s="11">
        <f t="shared" si="26"/>
        <v>0.24000000000000021</v>
      </c>
      <c r="Q880" s="11">
        <f t="shared" si="27"/>
        <v>0.57199999999999995</v>
      </c>
      <c r="R880" s="11">
        <v>1.165</v>
      </c>
    </row>
    <row r="881" spans="2:18" ht="16" x14ac:dyDescent="0.3">
      <c r="B881" s="4">
        <v>875</v>
      </c>
      <c r="C881" s="4" t="s">
        <v>4044</v>
      </c>
      <c r="D881" s="5" t="s">
        <v>3284</v>
      </c>
      <c r="E881" s="4">
        <v>300</v>
      </c>
      <c r="F881" s="5" t="s">
        <v>3285</v>
      </c>
      <c r="G881" s="4" t="s">
        <v>1715</v>
      </c>
      <c r="H881" s="4" t="s">
        <v>2107</v>
      </c>
      <c r="I881" s="22">
        <v>2305351.446</v>
      </c>
      <c r="J881" s="22">
        <v>585745.37100000004</v>
      </c>
      <c r="K881" s="22">
        <v>2305371.29</v>
      </c>
      <c r="L881" s="22">
        <v>585731.87100000004</v>
      </c>
      <c r="M881" s="6">
        <v>24.001000000000001</v>
      </c>
      <c r="N881" s="11">
        <v>4.1500000000000004</v>
      </c>
      <c r="O881" s="11">
        <v>4.05</v>
      </c>
      <c r="P881" s="11">
        <f t="shared" si="26"/>
        <v>0.10000000000000053</v>
      </c>
      <c r="Q881" s="11">
        <f t="shared" si="27"/>
        <v>0.41699999999999998</v>
      </c>
      <c r="R881" s="11">
        <v>1.17</v>
      </c>
    </row>
    <row r="882" spans="2:18" ht="16" x14ac:dyDescent="0.3">
      <c r="B882" s="4">
        <v>876</v>
      </c>
      <c r="C882" s="4" t="s">
        <v>4045</v>
      </c>
      <c r="D882" s="5" t="s">
        <v>3284</v>
      </c>
      <c r="E882" s="4">
        <v>300</v>
      </c>
      <c r="F882" s="5" t="s">
        <v>3285</v>
      </c>
      <c r="G882" s="4" t="s">
        <v>1712</v>
      </c>
      <c r="H882" s="4" t="s">
        <v>1715</v>
      </c>
      <c r="I882" s="22">
        <v>2305325.699</v>
      </c>
      <c r="J882" s="22">
        <v>585762.63600000006</v>
      </c>
      <c r="K882" s="22">
        <v>2305350.8659999999</v>
      </c>
      <c r="L882" s="22">
        <v>585745.76</v>
      </c>
      <c r="M882" s="6">
        <v>30.300999999999998</v>
      </c>
      <c r="N882" s="11">
        <v>4.25</v>
      </c>
      <c r="O882" s="11">
        <v>4.1500000000000004</v>
      </c>
      <c r="P882" s="11">
        <f t="shared" si="26"/>
        <v>9.9999999999999645E-2</v>
      </c>
      <c r="Q882" s="11">
        <f t="shared" si="27"/>
        <v>0.33</v>
      </c>
      <c r="R882" s="11">
        <v>1.07</v>
      </c>
    </row>
    <row r="883" spans="2:18" ht="16" x14ac:dyDescent="0.3">
      <c r="B883" s="4">
        <v>877</v>
      </c>
      <c r="C883" s="4" t="s">
        <v>4046</v>
      </c>
      <c r="D883" s="5" t="s">
        <v>3284</v>
      </c>
      <c r="E883" s="4">
        <v>300</v>
      </c>
      <c r="F883" s="5" t="s">
        <v>3285</v>
      </c>
      <c r="G883" s="4" t="s">
        <v>1709</v>
      </c>
      <c r="H883" s="4" t="s">
        <v>1712</v>
      </c>
      <c r="I883" s="22">
        <v>2305306.5959999999</v>
      </c>
      <c r="J883" s="22">
        <v>585775.446</v>
      </c>
      <c r="K883" s="22">
        <v>2305325.1170000001</v>
      </c>
      <c r="L883" s="22">
        <v>585763.02599999995</v>
      </c>
      <c r="M883" s="6">
        <v>22.3</v>
      </c>
      <c r="N883" s="11">
        <v>4.33</v>
      </c>
      <c r="O883" s="11">
        <v>4.25</v>
      </c>
      <c r="P883" s="11">
        <f t="shared" si="26"/>
        <v>8.0000000000000071E-2</v>
      </c>
      <c r="Q883" s="11">
        <f t="shared" si="27"/>
        <v>0.35899999999999999</v>
      </c>
      <c r="R883" s="11">
        <v>0.98</v>
      </c>
    </row>
    <row r="884" spans="2:18" ht="16" x14ac:dyDescent="0.3">
      <c r="B884" s="4">
        <v>878</v>
      </c>
      <c r="C884" s="4" t="s">
        <v>4047</v>
      </c>
      <c r="D884" s="5" t="s">
        <v>3284</v>
      </c>
      <c r="E884" s="4">
        <v>300</v>
      </c>
      <c r="F884" s="5" t="s">
        <v>3285</v>
      </c>
      <c r="G884" s="4" t="s">
        <v>1706</v>
      </c>
      <c r="H884" s="4" t="s">
        <v>1709</v>
      </c>
      <c r="I884" s="22">
        <v>2305283.341</v>
      </c>
      <c r="J884" s="22">
        <v>585791.04</v>
      </c>
      <c r="K884" s="22">
        <v>2305306.0150000001</v>
      </c>
      <c r="L884" s="22">
        <v>585775.83600000001</v>
      </c>
      <c r="M884" s="6">
        <v>27.3</v>
      </c>
      <c r="N884" s="11">
        <v>4.42</v>
      </c>
      <c r="O884" s="11">
        <v>4.33</v>
      </c>
      <c r="P884" s="11">
        <f t="shared" si="26"/>
        <v>8.9999999999999858E-2</v>
      </c>
      <c r="Q884" s="11">
        <f t="shared" si="27"/>
        <v>0.33</v>
      </c>
      <c r="R884" s="11">
        <v>0.89500000000000002</v>
      </c>
    </row>
    <row r="885" spans="2:18" ht="16" x14ac:dyDescent="0.3">
      <c r="B885" s="4">
        <v>879</v>
      </c>
      <c r="C885" s="4" t="s">
        <v>4048</v>
      </c>
      <c r="D885" s="5" t="s">
        <v>3284</v>
      </c>
      <c r="E885" s="4">
        <v>300</v>
      </c>
      <c r="F885" s="5" t="s">
        <v>3285</v>
      </c>
      <c r="G885" s="4" t="s">
        <v>1748</v>
      </c>
      <c r="H885" s="4" t="s">
        <v>1745</v>
      </c>
      <c r="I885" s="22">
        <v>2305279.0869999998</v>
      </c>
      <c r="J885" s="22">
        <v>585740.16799999995</v>
      </c>
      <c r="K885" s="22">
        <v>2305258.074</v>
      </c>
      <c r="L885" s="22">
        <v>585754.25800000003</v>
      </c>
      <c r="M885" s="6">
        <v>25.3</v>
      </c>
      <c r="N885" s="11">
        <v>4.33</v>
      </c>
      <c r="O885" s="11">
        <v>4.42</v>
      </c>
      <c r="P885" s="11">
        <f t="shared" si="26"/>
        <v>8.9999999999999858E-2</v>
      </c>
      <c r="Q885" s="11">
        <f t="shared" si="27"/>
        <v>0.35599999999999998</v>
      </c>
      <c r="R885" s="11">
        <v>0.89500000000000002</v>
      </c>
    </row>
    <row r="886" spans="2:18" ht="16" x14ac:dyDescent="0.3">
      <c r="B886" s="4">
        <v>880</v>
      </c>
      <c r="C886" s="4" t="s">
        <v>4049</v>
      </c>
      <c r="D886" s="5" t="s">
        <v>3284</v>
      </c>
      <c r="E886" s="4">
        <v>300</v>
      </c>
      <c r="F886" s="5" t="s">
        <v>3285</v>
      </c>
      <c r="G886" s="4" t="s">
        <v>1727</v>
      </c>
      <c r="H886" s="4" t="s">
        <v>1748</v>
      </c>
      <c r="I886" s="22">
        <v>2305295.7949999999</v>
      </c>
      <c r="J886" s="22">
        <v>585729.174</v>
      </c>
      <c r="K886" s="22">
        <v>2305279.6680000001</v>
      </c>
      <c r="L886" s="22">
        <v>585739.77800000005</v>
      </c>
      <c r="M886" s="6">
        <v>19.300999999999998</v>
      </c>
      <c r="N886" s="11">
        <v>4.13</v>
      </c>
      <c r="O886" s="11">
        <v>4.33</v>
      </c>
      <c r="P886" s="11">
        <f t="shared" si="26"/>
        <v>0.20000000000000018</v>
      </c>
      <c r="Q886" s="11">
        <f t="shared" si="27"/>
        <v>1.036</v>
      </c>
      <c r="R886" s="11">
        <v>1.04</v>
      </c>
    </row>
    <row r="887" spans="2:18" ht="16" x14ac:dyDescent="0.3">
      <c r="B887" s="4">
        <v>881</v>
      </c>
      <c r="C887" s="4" t="s">
        <v>4050</v>
      </c>
      <c r="D887" s="5" t="s">
        <v>3284</v>
      </c>
      <c r="E887" s="4">
        <v>300</v>
      </c>
      <c r="F887" s="5" t="s">
        <v>3285</v>
      </c>
      <c r="G887" s="4" t="s">
        <v>1730</v>
      </c>
      <c r="H887" s="4" t="s">
        <v>1727</v>
      </c>
      <c r="I887" s="22">
        <v>2305285.8939999999</v>
      </c>
      <c r="J887" s="22">
        <v>585709.65899999999</v>
      </c>
      <c r="K887" s="22">
        <v>2305296.6260000002</v>
      </c>
      <c r="L887" s="22">
        <v>585728.61699999997</v>
      </c>
      <c r="M887" s="6">
        <v>31.661000000000001</v>
      </c>
      <c r="N887" s="11">
        <v>4.05</v>
      </c>
      <c r="O887" s="11">
        <v>4.13</v>
      </c>
      <c r="P887" s="11">
        <f t="shared" si="26"/>
        <v>8.0000000000000071E-2</v>
      </c>
      <c r="Q887" s="11">
        <f t="shared" si="27"/>
        <v>0.253</v>
      </c>
      <c r="R887" s="11">
        <v>1.18</v>
      </c>
    </row>
    <row r="888" spans="2:18" ht="16" x14ac:dyDescent="0.3">
      <c r="B888" s="4">
        <v>882</v>
      </c>
      <c r="C888" s="4" t="s">
        <v>4051</v>
      </c>
      <c r="D888" s="5" t="s">
        <v>3284</v>
      </c>
      <c r="E888" s="4">
        <v>300</v>
      </c>
      <c r="F888" s="5" t="s">
        <v>3285</v>
      </c>
      <c r="G888" s="4" t="s">
        <v>1754</v>
      </c>
      <c r="H888" s="4" t="s">
        <v>1730</v>
      </c>
      <c r="I888" s="22">
        <v>2305267.7609999999</v>
      </c>
      <c r="J888" s="22">
        <v>585722.022</v>
      </c>
      <c r="K888" s="22">
        <v>2305285.0639999998</v>
      </c>
      <c r="L888" s="22">
        <v>585710.21600000001</v>
      </c>
      <c r="M888" s="6">
        <v>20.946999999999999</v>
      </c>
      <c r="N888" s="11">
        <v>4.33</v>
      </c>
      <c r="O888" s="11">
        <v>4.05</v>
      </c>
      <c r="P888" s="11">
        <f t="shared" si="26"/>
        <v>0.28000000000000025</v>
      </c>
      <c r="Q888" s="11">
        <f t="shared" si="27"/>
        <v>1.337</v>
      </c>
      <c r="R888" s="11">
        <v>1.08</v>
      </c>
    </row>
    <row r="889" spans="2:18" ht="16" x14ac:dyDescent="0.3">
      <c r="B889" s="4">
        <v>883</v>
      </c>
      <c r="C889" s="4" t="s">
        <v>4052</v>
      </c>
      <c r="D889" s="5" t="s">
        <v>3284</v>
      </c>
      <c r="E889" s="4">
        <v>300</v>
      </c>
      <c r="F889" s="5" t="s">
        <v>3285</v>
      </c>
      <c r="G889" s="4" t="s">
        <v>1751</v>
      </c>
      <c r="H889" s="4" t="s">
        <v>1754</v>
      </c>
      <c r="I889" s="22">
        <v>2305246.1669999999</v>
      </c>
      <c r="J889" s="22">
        <v>585736.50199999998</v>
      </c>
      <c r="K889" s="22">
        <v>2305267.1800000002</v>
      </c>
      <c r="L889" s="22">
        <v>585722.41099999996</v>
      </c>
      <c r="M889" s="6">
        <v>25.3</v>
      </c>
      <c r="N889" s="11">
        <v>4.42</v>
      </c>
      <c r="O889" s="11">
        <v>4.33</v>
      </c>
      <c r="P889" s="11">
        <f t="shared" si="26"/>
        <v>8.9999999999999858E-2</v>
      </c>
      <c r="Q889" s="11">
        <f t="shared" si="27"/>
        <v>0.35599999999999998</v>
      </c>
      <c r="R889" s="11">
        <v>0.89500000000000002</v>
      </c>
    </row>
    <row r="890" spans="2:18" ht="16" x14ac:dyDescent="0.3">
      <c r="B890" s="4">
        <v>884</v>
      </c>
      <c r="C890" s="4" t="s">
        <v>4053</v>
      </c>
      <c r="D890" s="5" t="s">
        <v>3284</v>
      </c>
      <c r="E890" s="4">
        <v>300</v>
      </c>
      <c r="F890" s="5" t="s">
        <v>3285</v>
      </c>
      <c r="G890" s="4" t="s">
        <v>3010</v>
      </c>
      <c r="H890" s="4" t="s">
        <v>1403</v>
      </c>
      <c r="I890" s="22">
        <v>2305685.037</v>
      </c>
      <c r="J890" s="22">
        <v>585507.68299999996</v>
      </c>
      <c r="K890" s="22">
        <v>2305706.0499999998</v>
      </c>
      <c r="L890" s="22">
        <v>585493.59199999995</v>
      </c>
      <c r="M890" s="6">
        <v>25.3</v>
      </c>
      <c r="N890" s="11">
        <v>4.32</v>
      </c>
      <c r="O890" s="11">
        <v>4.32</v>
      </c>
      <c r="P890" s="11">
        <f t="shared" si="26"/>
        <v>0</v>
      </c>
      <c r="Q890" s="11">
        <f t="shared" si="27"/>
        <v>0</v>
      </c>
      <c r="R890" s="11">
        <v>0.85</v>
      </c>
    </row>
    <row r="891" spans="2:18" ht="16" x14ac:dyDescent="0.3">
      <c r="B891" s="4">
        <v>885</v>
      </c>
      <c r="C891" s="4" t="s">
        <v>4054</v>
      </c>
      <c r="D891" s="5" t="s">
        <v>3284</v>
      </c>
      <c r="E891" s="4">
        <v>300</v>
      </c>
      <c r="F891" s="5" t="s">
        <v>3285</v>
      </c>
      <c r="G891" s="4" t="s">
        <v>3013</v>
      </c>
      <c r="H891" s="4" t="s">
        <v>3010</v>
      </c>
      <c r="I891" s="22">
        <v>2305665.6540000001</v>
      </c>
      <c r="J891" s="22">
        <v>585520.61600000004</v>
      </c>
      <c r="K891" s="22">
        <v>2305684.4559999998</v>
      </c>
      <c r="L891" s="22">
        <v>585508.07299999997</v>
      </c>
      <c r="M891" s="6">
        <v>22.602</v>
      </c>
      <c r="N891" s="11">
        <v>4.2300000000000004</v>
      </c>
      <c r="O891" s="11">
        <v>4.32</v>
      </c>
      <c r="P891" s="11">
        <f t="shared" si="26"/>
        <v>8.9999999999999858E-2</v>
      </c>
      <c r="Q891" s="11">
        <f t="shared" si="27"/>
        <v>0.39800000000000002</v>
      </c>
      <c r="R891" s="11">
        <v>0.89500000000000002</v>
      </c>
    </row>
    <row r="892" spans="2:18" ht="16" x14ac:dyDescent="0.3">
      <c r="B892" s="4">
        <v>886</v>
      </c>
      <c r="C892" s="4" t="s">
        <v>4055</v>
      </c>
      <c r="D892" s="5" t="s">
        <v>3284</v>
      </c>
      <c r="E892" s="4">
        <v>300</v>
      </c>
      <c r="F892" s="5" t="s">
        <v>3285</v>
      </c>
      <c r="G892" s="4" t="s">
        <v>3016</v>
      </c>
      <c r="H892" s="4" t="s">
        <v>3013</v>
      </c>
      <c r="I892" s="22">
        <v>2305654.0260000001</v>
      </c>
      <c r="J892" s="22">
        <v>585502.80099999998</v>
      </c>
      <c r="K892" s="22">
        <v>2305664.9479999999</v>
      </c>
      <c r="L892" s="22">
        <v>585521.09</v>
      </c>
      <c r="M892" s="6">
        <v>27.318000000000001</v>
      </c>
      <c r="N892" s="11">
        <v>4.16</v>
      </c>
      <c r="O892" s="11">
        <v>4.2300000000000004</v>
      </c>
      <c r="P892" s="11">
        <f t="shared" si="26"/>
        <v>7.0000000000000284E-2</v>
      </c>
      <c r="Q892" s="11">
        <f t="shared" si="27"/>
        <v>0.25600000000000001</v>
      </c>
      <c r="R892" s="11">
        <v>0.97499999999999998</v>
      </c>
    </row>
    <row r="893" spans="2:18" ht="16" x14ac:dyDescent="0.3">
      <c r="B893" s="4">
        <v>887</v>
      </c>
      <c r="C893" s="4" t="s">
        <v>4056</v>
      </c>
      <c r="D893" s="5" t="s">
        <v>3284</v>
      </c>
      <c r="E893" s="4">
        <v>300</v>
      </c>
      <c r="F893" s="5" t="s">
        <v>3285</v>
      </c>
      <c r="G893" s="4" t="s">
        <v>3034</v>
      </c>
      <c r="H893" s="4" t="s">
        <v>3016</v>
      </c>
      <c r="I893" s="22">
        <v>2305672.5490000001</v>
      </c>
      <c r="J893" s="22">
        <v>585490.31599999999</v>
      </c>
      <c r="K893" s="22">
        <v>2305654.608</v>
      </c>
      <c r="L893" s="22">
        <v>585502.41099999996</v>
      </c>
      <c r="M893" s="6">
        <v>21.637</v>
      </c>
      <c r="N893" s="11">
        <v>4.24</v>
      </c>
      <c r="O893" s="11">
        <v>4.16</v>
      </c>
      <c r="P893" s="11">
        <f t="shared" si="26"/>
        <v>8.0000000000000071E-2</v>
      </c>
      <c r="Q893" s="11">
        <f t="shared" si="27"/>
        <v>0.37</v>
      </c>
      <c r="R893" s="11">
        <v>0.97</v>
      </c>
    </row>
    <row r="894" spans="2:18" ht="16" x14ac:dyDescent="0.3">
      <c r="B894" s="4">
        <v>888</v>
      </c>
      <c r="C894" s="4" t="s">
        <v>4057</v>
      </c>
      <c r="D894" s="5" t="s">
        <v>3284</v>
      </c>
      <c r="E894" s="4">
        <v>300</v>
      </c>
      <c r="F894" s="5" t="s">
        <v>3285</v>
      </c>
      <c r="G894" s="4" t="s">
        <v>3031</v>
      </c>
      <c r="H894" s="4" t="s">
        <v>3034</v>
      </c>
      <c r="I894" s="22">
        <v>2305694.1439999999</v>
      </c>
      <c r="J894" s="22">
        <v>585475.83600000001</v>
      </c>
      <c r="K894" s="22">
        <v>2305673.13</v>
      </c>
      <c r="L894" s="22">
        <v>585489.92700000003</v>
      </c>
      <c r="M894" s="6">
        <v>25.3</v>
      </c>
      <c r="N894" s="11">
        <v>4.32</v>
      </c>
      <c r="O894" s="11">
        <v>4.24</v>
      </c>
      <c r="P894" s="11">
        <f t="shared" si="26"/>
        <v>8.0000000000000071E-2</v>
      </c>
      <c r="Q894" s="11">
        <f t="shared" si="27"/>
        <v>0.316</v>
      </c>
      <c r="R894" s="11">
        <v>0.89</v>
      </c>
    </row>
    <row r="895" spans="2:18" ht="16" x14ac:dyDescent="0.3">
      <c r="B895" s="4">
        <v>889</v>
      </c>
      <c r="C895" s="4" t="s">
        <v>4058</v>
      </c>
      <c r="D895" s="5" t="s">
        <v>3284</v>
      </c>
      <c r="E895" s="4">
        <v>300</v>
      </c>
      <c r="F895" s="5" t="s">
        <v>3285</v>
      </c>
      <c r="G895" s="4" t="s">
        <v>2386</v>
      </c>
      <c r="H895" s="4" t="s">
        <v>932</v>
      </c>
      <c r="I895" s="22">
        <v>2305026.4870000002</v>
      </c>
      <c r="J895" s="22">
        <v>585919.18500000006</v>
      </c>
      <c r="K895" s="22">
        <v>2305006.304</v>
      </c>
      <c r="L895" s="22">
        <v>585932.71900000004</v>
      </c>
      <c r="M895" s="6">
        <v>24.3</v>
      </c>
      <c r="N895" s="11">
        <v>4.24</v>
      </c>
      <c r="O895" s="11">
        <v>4.32</v>
      </c>
      <c r="P895" s="11">
        <f t="shared" si="26"/>
        <v>8.0000000000000071E-2</v>
      </c>
      <c r="Q895" s="11">
        <f t="shared" si="27"/>
        <v>0.32900000000000001</v>
      </c>
      <c r="R895" s="11">
        <v>0.89</v>
      </c>
    </row>
    <row r="896" spans="2:18" ht="16" x14ac:dyDescent="0.3">
      <c r="B896" s="4">
        <v>890</v>
      </c>
      <c r="C896" s="4" t="s">
        <v>4059</v>
      </c>
      <c r="D896" s="5" t="s">
        <v>3284</v>
      </c>
      <c r="E896" s="4">
        <v>300</v>
      </c>
      <c r="F896" s="5" t="s">
        <v>3285</v>
      </c>
      <c r="G896" s="4" t="s">
        <v>2389</v>
      </c>
      <c r="H896" s="4" t="s">
        <v>2386</v>
      </c>
      <c r="I896" s="22">
        <v>2305048.0809999998</v>
      </c>
      <c r="J896" s="22">
        <v>585904.70499999996</v>
      </c>
      <c r="K896" s="22">
        <v>2305027.068</v>
      </c>
      <c r="L896" s="22">
        <v>585918.79599999997</v>
      </c>
      <c r="M896" s="6">
        <v>25.3</v>
      </c>
      <c r="N896" s="11">
        <v>4.1500000000000004</v>
      </c>
      <c r="O896" s="11">
        <v>4.24</v>
      </c>
      <c r="P896" s="11">
        <f t="shared" si="26"/>
        <v>8.9999999999999858E-2</v>
      </c>
      <c r="Q896" s="11">
        <f t="shared" si="27"/>
        <v>0.35599999999999998</v>
      </c>
      <c r="R896" s="11">
        <v>0.97499999999999998</v>
      </c>
    </row>
    <row r="897" spans="2:18" ht="16" x14ac:dyDescent="0.3">
      <c r="B897" s="4">
        <v>891</v>
      </c>
      <c r="C897" s="4" t="s">
        <v>4060</v>
      </c>
      <c r="D897" s="5" t="s">
        <v>3284</v>
      </c>
      <c r="E897" s="4">
        <v>300</v>
      </c>
      <c r="F897" s="5" t="s">
        <v>3285</v>
      </c>
      <c r="G897" s="4" t="s">
        <v>2392</v>
      </c>
      <c r="H897" s="4" t="s">
        <v>2389</v>
      </c>
      <c r="I897" s="22">
        <v>2305069.6749999998</v>
      </c>
      <c r="J897" s="22">
        <v>585890.22499999998</v>
      </c>
      <c r="K897" s="22">
        <v>2305048.662</v>
      </c>
      <c r="L897" s="22">
        <v>585904.31499999994</v>
      </c>
      <c r="M897" s="6">
        <v>25.3</v>
      </c>
      <c r="N897" s="11">
        <v>4.07</v>
      </c>
      <c r="O897" s="11">
        <v>4.1500000000000004</v>
      </c>
      <c r="P897" s="11">
        <f t="shared" si="26"/>
        <v>8.0000000000000071E-2</v>
      </c>
      <c r="Q897" s="11">
        <f t="shared" si="27"/>
        <v>0.316</v>
      </c>
      <c r="R897" s="11">
        <v>1.06</v>
      </c>
    </row>
    <row r="898" spans="2:18" ht="16" x14ac:dyDescent="0.3">
      <c r="B898" s="4">
        <v>892</v>
      </c>
      <c r="C898" s="4" t="s">
        <v>4061</v>
      </c>
      <c r="D898" s="5" t="s">
        <v>3284</v>
      </c>
      <c r="E898" s="4">
        <v>300</v>
      </c>
      <c r="F898" s="5" t="s">
        <v>3285</v>
      </c>
      <c r="G898" s="4" t="s">
        <v>237</v>
      </c>
      <c r="H898" s="4" t="s">
        <v>2392</v>
      </c>
      <c r="I898" s="22">
        <v>2305092.2420000001</v>
      </c>
      <c r="J898" s="22">
        <v>585875.24800000002</v>
      </c>
      <c r="K898" s="22">
        <v>2305070.2570000002</v>
      </c>
      <c r="L898" s="22">
        <v>585889.83499999996</v>
      </c>
      <c r="M898" s="6">
        <v>26.385000000000002</v>
      </c>
      <c r="N898" s="11">
        <v>3.99</v>
      </c>
      <c r="O898" s="11">
        <v>4.07</v>
      </c>
      <c r="P898" s="11">
        <f t="shared" si="26"/>
        <v>8.0000000000000071E-2</v>
      </c>
      <c r="Q898" s="11">
        <f t="shared" si="27"/>
        <v>0.30299999999999999</v>
      </c>
      <c r="R898" s="11">
        <v>1.1399999999999999</v>
      </c>
    </row>
    <row r="899" spans="2:18" ht="16" x14ac:dyDescent="0.3">
      <c r="B899" s="4">
        <v>893</v>
      </c>
      <c r="C899" s="4" t="s">
        <v>4062</v>
      </c>
      <c r="D899" s="5" t="s">
        <v>3284</v>
      </c>
      <c r="E899" s="4">
        <v>300</v>
      </c>
      <c r="F899" s="5" t="s">
        <v>3285</v>
      </c>
      <c r="G899" s="4" t="s">
        <v>240</v>
      </c>
      <c r="H899" s="4" t="s">
        <v>237</v>
      </c>
      <c r="I899" s="22">
        <v>2305079.0430000001</v>
      </c>
      <c r="J899" s="22">
        <v>585858.049</v>
      </c>
      <c r="K899" s="22">
        <v>2305093.0729999999</v>
      </c>
      <c r="L899" s="22">
        <v>585874.69099999999</v>
      </c>
      <c r="M899" s="6">
        <v>28.355</v>
      </c>
      <c r="N899" s="11">
        <v>3.92</v>
      </c>
      <c r="O899" s="11">
        <v>3.99</v>
      </c>
      <c r="P899" s="11">
        <f t="shared" si="26"/>
        <v>7.0000000000000284E-2</v>
      </c>
      <c r="Q899" s="11">
        <f t="shared" si="27"/>
        <v>0.247</v>
      </c>
      <c r="R899" s="11">
        <v>1.2150000000000001</v>
      </c>
    </row>
    <row r="900" spans="2:18" ht="16" x14ac:dyDescent="0.3">
      <c r="B900" s="4">
        <v>894</v>
      </c>
      <c r="C900" s="4" t="s">
        <v>4063</v>
      </c>
      <c r="D900" s="5" t="s">
        <v>3284</v>
      </c>
      <c r="E900" s="4">
        <v>300</v>
      </c>
      <c r="F900" s="5" t="s">
        <v>3285</v>
      </c>
      <c r="G900" s="4" t="s">
        <v>2401</v>
      </c>
      <c r="H900" s="4" t="s">
        <v>240</v>
      </c>
      <c r="I900" s="22">
        <v>2305058.35</v>
      </c>
      <c r="J900" s="22">
        <v>585872.07900000003</v>
      </c>
      <c r="K900" s="22">
        <v>2305078.2119999998</v>
      </c>
      <c r="L900" s="22">
        <v>585858.60600000003</v>
      </c>
      <c r="M900" s="6">
        <v>24</v>
      </c>
      <c r="N900" s="11">
        <v>4.07</v>
      </c>
      <c r="O900" s="11">
        <v>3.92</v>
      </c>
      <c r="P900" s="11">
        <f t="shared" si="26"/>
        <v>0.15000000000000036</v>
      </c>
      <c r="Q900" s="11">
        <f t="shared" si="27"/>
        <v>0.625</v>
      </c>
      <c r="R900" s="11">
        <v>1.175</v>
      </c>
    </row>
    <row r="901" spans="2:18" ht="16" x14ac:dyDescent="0.3">
      <c r="B901" s="4">
        <v>895</v>
      </c>
      <c r="C901" s="4" t="s">
        <v>4064</v>
      </c>
      <c r="D901" s="5" t="s">
        <v>3284</v>
      </c>
      <c r="E901" s="4">
        <v>300</v>
      </c>
      <c r="F901" s="5" t="s">
        <v>3285</v>
      </c>
      <c r="G901" s="4" t="s">
        <v>2398</v>
      </c>
      <c r="H901" s="4" t="s">
        <v>2401</v>
      </c>
      <c r="I901" s="22">
        <v>2305036.7560000001</v>
      </c>
      <c r="J901" s="22">
        <v>585886.55900000001</v>
      </c>
      <c r="K901" s="22">
        <v>2305057.7689999999</v>
      </c>
      <c r="L901" s="22">
        <v>585872.46799999999</v>
      </c>
      <c r="M901" s="6">
        <v>25.3</v>
      </c>
      <c r="N901" s="11">
        <v>4.1500000000000004</v>
      </c>
      <c r="O901" s="11">
        <v>4.07</v>
      </c>
      <c r="P901" s="11">
        <f t="shared" si="26"/>
        <v>8.0000000000000071E-2</v>
      </c>
      <c r="Q901" s="11">
        <f t="shared" si="27"/>
        <v>0.316</v>
      </c>
      <c r="R901" s="11">
        <v>1.06</v>
      </c>
    </row>
    <row r="902" spans="2:18" ht="16" x14ac:dyDescent="0.3">
      <c r="B902" s="4">
        <v>896</v>
      </c>
      <c r="C902" s="4" t="s">
        <v>4065</v>
      </c>
      <c r="D902" s="5" t="s">
        <v>3284</v>
      </c>
      <c r="E902" s="4">
        <v>300</v>
      </c>
      <c r="F902" s="5" t="s">
        <v>3285</v>
      </c>
      <c r="G902" s="4" t="s">
        <v>2395</v>
      </c>
      <c r="H902" s="4" t="s">
        <v>2398</v>
      </c>
      <c r="I902" s="22">
        <v>2305017.693</v>
      </c>
      <c r="J902" s="22">
        <v>585899.429</v>
      </c>
      <c r="K902" s="22">
        <v>2305036.1740000001</v>
      </c>
      <c r="L902" s="22">
        <v>585886.94900000002</v>
      </c>
      <c r="M902" s="6">
        <v>22.3</v>
      </c>
      <c r="N902" s="11">
        <v>4.24</v>
      </c>
      <c r="O902" s="11">
        <v>4.1500000000000004</v>
      </c>
      <c r="P902" s="11">
        <f t="shared" si="26"/>
        <v>8.9999999999999858E-2</v>
      </c>
      <c r="Q902" s="11">
        <f t="shared" si="27"/>
        <v>0.40400000000000003</v>
      </c>
      <c r="R902" s="11">
        <v>0.97499999999999998</v>
      </c>
    </row>
    <row r="903" spans="2:18" ht="16" x14ac:dyDescent="0.3">
      <c r="B903" s="4">
        <v>897</v>
      </c>
      <c r="C903" s="4" t="s">
        <v>4066</v>
      </c>
      <c r="D903" s="5" t="s">
        <v>3284</v>
      </c>
      <c r="E903" s="4">
        <v>300</v>
      </c>
      <c r="F903" s="5" t="s">
        <v>3285</v>
      </c>
      <c r="G903" s="4" t="s">
        <v>935</v>
      </c>
      <c r="H903" s="4" t="s">
        <v>2395</v>
      </c>
      <c r="I903" s="22">
        <v>2304994.398</v>
      </c>
      <c r="J903" s="22">
        <v>585914.96299999999</v>
      </c>
      <c r="K903" s="22">
        <v>2305017.1120000002</v>
      </c>
      <c r="L903" s="22">
        <v>585899.81900000002</v>
      </c>
      <c r="M903" s="6">
        <v>27.3</v>
      </c>
      <c r="N903" s="11">
        <v>4.32</v>
      </c>
      <c r="O903" s="11">
        <v>4.24</v>
      </c>
      <c r="P903" s="11">
        <f t="shared" ref="P903:P966" si="28">IF(AND(ISNUMBER(N903),ISNUMBER(O903)),ABS(N903-O903),0)</f>
        <v>8.0000000000000071E-2</v>
      </c>
      <c r="Q903" s="11">
        <f t="shared" ref="Q903:Q966" si="29">IF(M903&gt;0,ROUND(P903/M903*100,3),0)</f>
        <v>0.29299999999999998</v>
      </c>
      <c r="R903" s="11">
        <v>0.89</v>
      </c>
    </row>
    <row r="904" spans="2:18" ht="16" x14ac:dyDescent="0.3">
      <c r="B904" s="4">
        <v>898</v>
      </c>
      <c r="C904" s="4" t="s">
        <v>4067</v>
      </c>
      <c r="D904" s="5" t="s">
        <v>3284</v>
      </c>
      <c r="E904" s="4">
        <v>300</v>
      </c>
      <c r="F904" s="5" t="s">
        <v>3285</v>
      </c>
      <c r="G904" s="4" t="s">
        <v>1873</v>
      </c>
      <c r="H904" s="4" t="s">
        <v>812</v>
      </c>
      <c r="I904" s="22">
        <v>2305420.7259999998</v>
      </c>
      <c r="J904" s="22">
        <v>585457.55500000005</v>
      </c>
      <c r="K904" s="22">
        <v>2305435.3930000002</v>
      </c>
      <c r="L904" s="22">
        <v>585479.42599999998</v>
      </c>
      <c r="M904" s="6">
        <v>26.334</v>
      </c>
      <c r="N904" s="11">
        <v>4.33</v>
      </c>
      <c r="O904" s="11">
        <v>4.42</v>
      </c>
      <c r="P904" s="11">
        <f t="shared" si="28"/>
        <v>8.9999999999999858E-2</v>
      </c>
      <c r="Q904" s="11">
        <f t="shared" si="29"/>
        <v>0.34200000000000003</v>
      </c>
      <c r="R904" s="11">
        <v>0.89500000000000002</v>
      </c>
    </row>
    <row r="905" spans="2:18" ht="16" x14ac:dyDescent="0.3">
      <c r="B905" s="4">
        <v>899</v>
      </c>
      <c r="C905" s="4" t="s">
        <v>4068</v>
      </c>
      <c r="D905" s="5" t="s">
        <v>3284</v>
      </c>
      <c r="E905" s="4">
        <v>300</v>
      </c>
      <c r="F905" s="5" t="s">
        <v>3285</v>
      </c>
      <c r="G905" s="4" t="s">
        <v>1876</v>
      </c>
      <c r="H905" s="4" t="s">
        <v>1873</v>
      </c>
      <c r="I905" s="22">
        <v>2305405.6979999999</v>
      </c>
      <c r="J905" s="22">
        <v>585435.12699999998</v>
      </c>
      <c r="K905" s="22">
        <v>2305420.3369999998</v>
      </c>
      <c r="L905" s="22">
        <v>585456.973</v>
      </c>
      <c r="M905" s="6">
        <v>26.297999999999998</v>
      </c>
      <c r="N905" s="11">
        <v>4.24</v>
      </c>
      <c r="O905" s="11">
        <v>4.33</v>
      </c>
      <c r="P905" s="11">
        <f t="shared" si="28"/>
        <v>8.9999999999999858E-2</v>
      </c>
      <c r="Q905" s="11">
        <f t="shared" si="29"/>
        <v>0.34200000000000003</v>
      </c>
      <c r="R905" s="11">
        <v>0.98499999999999999</v>
      </c>
    </row>
    <row r="906" spans="2:18" ht="16" x14ac:dyDescent="0.3">
      <c r="B906" s="4">
        <v>900</v>
      </c>
      <c r="C906" s="4" t="s">
        <v>4069</v>
      </c>
      <c r="D906" s="5" t="s">
        <v>3284</v>
      </c>
      <c r="E906" s="4">
        <v>300</v>
      </c>
      <c r="F906" s="5" t="s">
        <v>3285</v>
      </c>
      <c r="G906" s="4" t="s">
        <v>1879</v>
      </c>
      <c r="H906" s="4" t="s">
        <v>1876</v>
      </c>
      <c r="I906" s="22">
        <v>2305395.673</v>
      </c>
      <c r="J906" s="22">
        <v>585420.17700000003</v>
      </c>
      <c r="K906" s="22">
        <v>2305405.31</v>
      </c>
      <c r="L906" s="22">
        <v>585434.54399999999</v>
      </c>
      <c r="M906" s="6">
        <v>17.3</v>
      </c>
      <c r="N906" s="11">
        <v>4.18</v>
      </c>
      <c r="O906" s="11">
        <v>4.24</v>
      </c>
      <c r="P906" s="11">
        <f t="shared" si="28"/>
        <v>6.0000000000000497E-2</v>
      </c>
      <c r="Q906" s="11">
        <f t="shared" si="29"/>
        <v>0.34699999999999998</v>
      </c>
      <c r="R906" s="11">
        <v>1.06</v>
      </c>
    </row>
    <row r="907" spans="2:18" ht="16" x14ac:dyDescent="0.3">
      <c r="B907" s="4">
        <v>901</v>
      </c>
      <c r="C907" s="4" t="s">
        <v>4070</v>
      </c>
      <c r="D907" s="5" t="s">
        <v>3284</v>
      </c>
      <c r="E907" s="4">
        <v>300</v>
      </c>
      <c r="F907" s="5" t="s">
        <v>3285</v>
      </c>
      <c r="G907" s="4" t="s">
        <v>1882</v>
      </c>
      <c r="H907" s="4" t="s">
        <v>1879</v>
      </c>
      <c r="I907" s="22">
        <v>2305385.14</v>
      </c>
      <c r="J907" s="22">
        <v>585404.36300000001</v>
      </c>
      <c r="K907" s="22">
        <v>2305395.2850000001</v>
      </c>
      <c r="L907" s="22">
        <v>585419.59400000004</v>
      </c>
      <c r="M907" s="6">
        <v>18.3</v>
      </c>
      <c r="N907" s="11">
        <v>3.83</v>
      </c>
      <c r="O907" s="11">
        <v>4.18</v>
      </c>
      <c r="P907" s="11">
        <f t="shared" si="28"/>
        <v>0.34999999999999964</v>
      </c>
      <c r="Q907" s="11">
        <f t="shared" si="29"/>
        <v>1.913</v>
      </c>
      <c r="R907" s="11">
        <v>1.2649999999999999</v>
      </c>
    </row>
    <row r="908" spans="2:18" ht="16" x14ac:dyDescent="0.3">
      <c r="B908" s="4">
        <v>902</v>
      </c>
      <c r="C908" s="4" t="s">
        <v>4071</v>
      </c>
      <c r="D908" s="5" t="s">
        <v>3284</v>
      </c>
      <c r="E908" s="4">
        <v>300</v>
      </c>
      <c r="F908" s="5" t="s">
        <v>3285</v>
      </c>
      <c r="G908" s="4" t="s">
        <v>591</v>
      </c>
      <c r="H908" s="4" t="s">
        <v>1882</v>
      </c>
      <c r="I908" s="22">
        <v>2305366.7179999999</v>
      </c>
      <c r="J908" s="22">
        <v>585409.93900000001</v>
      </c>
      <c r="K908" s="22">
        <v>2305384.5839999998</v>
      </c>
      <c r="L908" s="22">
        <v>585403.53300000005</v>
      </c>
      <c r="M908" s="6">
        <v>20.577999999999999</v>
      </c>
      <c r="N908" s="11">
        <v>3.76</v>
      </c>
      <c r="O908" s="11">
        <v>3.83</v>
      </c>
      <c r="P908" s="11">
        <f t="shared" si="28"/>
        <v>7.0000000000000284E-2</v>
      </c>
      <c r="Q908" s="11">
        <f t="shared" si="29"/>
        <v>0.34</v>
      </c>
      <c r="R908" s="11">
        <v>1.4750000000000001</v>
      </c>
    </row>
    <row r="909" spans="2:18" ht="16" x14ac:dyDescent="0.3">
      <c r="B909" s="4">
        <v>903</v>
      </c>
      <c r="C909" s="4" t="s">
        <v>4072</v>
      </c>
      <c r="D909" s="5" t="s">
        <v>3284</v>
      </c>
      <c r="E909" s="4">
        <v>300</v>
      </c>
      <c r="F909" s="5" t="s">
        <v>3285</v>
      </c>
      <c r="G909" s="4" t="s">
        <v>594</v>
      </c>
      <c r="H909" s="4" t="s">
        <v>591</v>
      </c>
      <c r="I909" s="22">
        <v>2305353.4169999999</v>
      </c>
      <c r="J909" s="22">
        <v>585424.43000000005</v>
      </c>
      <c r="K909" s="22">
        <v>2305365.8870000001</v>
      </c>
      <c r="L909" s="22">
        <v>585410.49600000004</v>
      </c>
      <c r="M909" s="6">
        <v>20.283999999999999</v>
      </c>
      <c r="N909" s="11">
        <v>3.69</v>
      </c>
      <c r="O909" s="11">
        <v>3.76</v>
      </c>
      <c r="P909" s="11">
        <f t="shared" si="28"/>
        <v>6.999999999999984E-2</v>
      </c>
      <c r="Q909" s="11">
        <f t="shared" si="29"/>
        <v>0.34499999999999997</v>
      </c>
      <c r="R909" s="11">
        <v>1.5449999999999999</v>
      </c>
    </row>
    <row r="910" spans="2:18" ht="16" x14ac:dyDescent="0.3">
      <c r="B910" s="4">
        <v>904</v>
      </c>
      <c r="C910" s="4" t="s">
        <v>4073</v>
      </c>
      <c r="D910" s="5" t="s">
        <v>3284</v>
      </c>
      <c r="E910" s="4">
        <v>300</v>
      </c>
      <c r="F910" s="5" t="s">
        <v>3285</v>
      </c>
      <c r="G910" s="4" t="s">
        <v>1891</v>
      </c>
      <c r="H910" s="4" t="s">
        <v>594</v>
      </c>
      <c r="I910" s="22">
        <v>2305364.2220000001</v>
      </c>
      <c r="J910" s="22">
        <v>585440.424</v>
      </c>
      <c r="K910" s="22">
        <v>2305353.9739999999</v>
      </c>
      <c r="L910" s="22">
        <v>585425.26</v>
      </c>
      <c r="M910" s="6">
        <v>18.302</v>
      </c>
      <c r="N910" s="11">
        <v>4.18</v>
      </c>
      <c r="O910" s="11">
        <v>3.69</v>
      </c>
      <c r="P910" s="11">
        <f t="shared" si="28"/>
        <v>0.48999999999999977</v>
      </c>
      <c r="Q910" s="11">
        <f t="shared" si="29"/>
        <v>2.677</v>
      </c>
      <c r="R910" s="11">
        <v>1.335</v>
      </c>
    </row>
    <row r="911" spans="2:18" ht="16" x14ac:dyDescent="0.3">
      <c r="B911" s="4">
        <v>905</v>
      </c>
      <c r="C911" s="4" t="s">
        <v>4074</v>
      </c>
      <c r="D911" s="5" t="s">
        <v>3284</v>
      </c>
      <c r="E911" s="4">
        <v>300</v>
      </c>
      <c r="F911" s="5" t="s">
        <v>3285</v>
      </c>
      <c r="G911" s="4" t="s">
        <v>1888</v>
      </c>
      <c r="H911" s="4" t="s">
        <v>1891</v>
      </c>
      <c r="I911" s="22">
        <v>2305374.2489999998</v>
      </c>
      <c r="J911" s="22">
        <v>585455.37300000002</v>
      </c>
      <c r="K911" s="22">
        <v>2305364.6159999999</v>
      </c>
      <c r="L911" s="22">
        <v>585441.00300000003</v>
      </c>
      <c r="M911" s="6">
        <v>17.3</v>
      </c>
      <c r="N911" s="11">
        <v>4.24</v>
      </c>
      <c r="O911" s="11">
        <v>4.18</v>
      </c>
      <c r="P911" s="11">
        <f t="shared" si="28"/>
        <v>6.0000000000000497E-2</v>
      </c>
      <c r="Q911" s="11">
        <f t="shared" si="29"/>
        <v>0.34699999999999998</v>
      </c>
      <c r="R911" s="11">
        <v>1.06</v>
      </c>
    </row>
    <row r="912" spans="2:18" ht="16" x14ac:dyDescent="0.3">
      <c r="B912" s="4">
        <v>906</v>
      </c>
      <c r="C912" s="4" t="s">
        <v>4075</v>
      </c>
      <c r="D912" s="5" t="s">
        <v>3284</v>
      </c>
      <c r="E912" s="4">
        <v>300</v>
      </c>
      <c r="F912" s="5" t="s">
        <v>3285</v>
      </c>
      <c r="G912" s="4" t="s">
        <v>1885</v>
      </c>
      <c r="H912" s="4" t="s">
        <v>1888</v>
      </c>
      <c r="I912" s="22">
        <v>2305389.301</v>
      </c>
      <c r="J912" s="22">
        <v>585477.79</v>
      </c>
      <c r="K912" s="22">
        <v>2305374.6409999998</v>
      </c>
      <c r="L912" s="22">
        <v>585455.95299999998</v>
      </c>
      <c r="M912" s="6">
        <v>26.300999999999998</v>
      </c>
      <c r="N912" s="11">
        <v>4.33</v>
      </c>
      <c r="O912" s="11">
        <v>4.24</v>
      </c>
      <c r="P912" s="11">
        <f t="shared" si="28"/>
        <v>8.9999999999999858E-2</v>
      </c>
      <c r="Q912" s="11">
        <f t="shared" si="29"/>
        <v>0.34200000000000003</v>
      </c>
      <c r="R912" s="11">
        <v>0.98499999999999999</v>
      </c>
    </row>
    <row r="913" spans="2:18" ht="16" x14ac:dyDescent="0.3">
      <c r="B913" s="4">
        <v>907</v>
      </c>
      <c r="C913" s="4" t="s">
        <v>4076</v>
      </c>
      <c r="D913" s="5" t="s">
        <v>3284</v>
      </c>
      <c r="E913" s="4">
        <v>300</v>
      </c>
      <c r="F913" s="5" t="s">
        <v>3285</v>
      </c>
      <c r="G913" s="4" t="s">
        <v>815</v>
      </c>
      <c r="H913" s="4" t="s">
        <v>1885</v>
      </c>
      <c r="I913" s="22">
        <v>2305404.335</v>
      </c>
      <c r="J913" s="22">
        <v>585500.22</v>
      </c>
      <c r="K913" s="22">
        <v>2305389.6839999999</v>
      </c>
      <c r="L913" s="22">
        <v>585478.37100000004</v>
      </c>
      <c r="M913" s="6">
        <v>26.306999999999999</v>
      </c>
      <c r="N913" s="11">
        <v>4.42</v>
      </c>
      <c r="O913" s="11">
        <v>4.33</v>
      </c>
      <c r="P913" s="11">
        <f t="shared" si="28"/>
        <v>8.9999999999999858E-2</v>
      </c>
      <c r="Q913" s="11">
        <f t="shared" si="29"/>
        <v>0.34200000000000003</v>
      </c>
      <c r="R913" s="11">
        <v>0.89500000000000002</v>
      </c>
    </row>
    <row r="914" spans="2:18" ht="16" x14ac:dyDescent="0.3">
      <c r="B914" s="4">
        <v>908</v>
      </c>
      <c r="C914" s="4" t="s">
        <v>4077</v>
      </c>
      <c r="D914" s="5" t="s">
        <v>3284</v>
      </c>
      <c r="E914" s="4">
        <v>300</v>
      </c>
      <c r="F914" s="5" t="s">
        <v>3285</v>
      </c>
      <c r="G914" s="4" t="s">
        <v>1924</v>
      </c>
      <c r="H914" s="4" t="s">
        <v>827</v>
      </c>
      <c r="I914" s="22">
        <v>2305308.2889999999</v>
      </c>
      <c r="J914" s="22">
        <v>585532.95200000005</v>
      </c>
      <c r="K914" s="22">
        <v>2305322.9389999998</v>
      </c>
      <c r="L914" s="22">
        <v>585554.81000000006</v>
      </c>
      <c r="M914" s="6">
        <v>26.312999999999999</v>
      </c>
      <c r="N914" s="11">
        <v>4.33</v>
      </c>
      <c r="O914" s="11">
        <v>4.42</v>
      </c>
      <c r="P914" s="11">
        <f t="shared" si="28"/>
        <v>8.9999999999999858E-2</v>
      </c>
      <c r="Q914" s="11">
        <f t="shared" si="29"/>
        <v>0.34200000000000003</v>
      </c>
      <c r="R914" s="11">
        <v>0.89500000000000002</v>
      </c>
    </row>
    <row r="915" spans="2:18" ht="16" x14ac:dyDescent="0.3">
      <c r="B915" s="4">
        <v>909</v>
      </c>
      <c r="C915" s="4" t="s">
        <v>4078</v>
      </c>
      <c r="D915" s="5" t="s">
        <v>3284</v>
      </c>
      <c r="E915" s="4">
        <v>300</v>
      </c>
      <c r="F915" s="5" t="s">
        <v>3285</v>
      </c>
      <c r="G915" s="4" t="s">
        <v>1927</v>
      </c>
      <c r="H915" s="4" t="s">
        <v>1924</v>
      </c>
      <c r="I915" s="22">
        <v>2305293.227</v>
      </c>
      <c r="J915" s="22">
        <v>585510.53300000005</v>
      </c>
      <c r="K915" s="22">
        <v>2305307.8990000002</v>
      </c>
      <c r="L915" s="22">
        <v>585532.37100000004</v>
      </c>
      <c r="M915" s="6">
        <v>26.309000000000001</v>
      </c>
      <c r="N915" s="11">
        <v>4.24</v>
      </c>
      <c r="O915" s="11">
        <v>4.33</v>
      </c>
      <c r="P915" s="11">
        <f t="shared" si="28"/>
        <v>8.9999999999999858E-2</v>
      </c>
      <c r="Q915" s="11">
        <f t="shared" si="29"/>
        <v>0.34200000000000003</v>
      </c>
      <c r="R915" s="11">
        <v>0.98499999999999999</v>
      </c>
    </row>
    <row r="916" spans="2:18" ht="16" x14ac:dyDescent="0.3">
      <c r="B916" s="4">
        <v>910</v>
      </c>
      <c r="C916" s="4" t="s">
        <v>4079</v>
      </c>
      <c r="D916" s="5" t="s">
        <v>3284</v>
      </c>
      <c r="E916" s="4">
        <v>300</v>
      </c>
      <c r="F916" s="5" t="s">
        <v>3285</v>
      </c>
      <c r="G916" s="4" t="s">
        <v>1930</v>
      </c>
      <c r="H916" s="4" t="s">
        <v>1927</v>
      </c>
      <c r="I916" s="22">
        <v>2305283.2220000001</v>
      </c>
      <c r="J916" s="22">
        <v>585495.58299999998</v>
      </c>
      <c r="K916" s="22">
        <v>2305292.86</v>
      </c>
      <c r="L916" s="22">
        <v>585509.94900000002</v>
      </c>
      <c r="M916" s="6">
        <v>17.3</v>
      </c>
      <c r="N916" s="11">
        <v>4.18</v>
      </c>
      <c r="O916" s="11">
        <v>4.24</v>
      </c>
      <c r="P916" s="11">
        <f t="shared" si="28"/>
        <v>6.0000000000000497E-2</v>
      </c>
      <c r="Q916" s="11">
        <f t="shared" si="29"/>
        <v>0.34699999999999998</v>
      </c>
      <c r="R916" s="11">
        <v>1.06</v>
      </c>
    </row>
    <row r="917" spans="2:18" ht="16" x14ac:dyDescent="0.3">
      <c r="B917" s="4">
        <v>911</v>
      </c>
      <c r="C917" s="4" t="s">
        <v>4080</v>
      </c>
      <c r="D917" s="5" t="s">
        <v>3284</v>
      </c>
      <c r="E917" s="4">
        <v>300</v>
      </c>
      <c r="F917" s="5" t="s">
        <v>3285</v>
      </c>
      <c r="G917" s="4" t="s">
        <v>606</v>
      </c>
      <c r="H917" s="4" t="s">
        <v>1930</v>
      </c>
      <c r="I917" s="22">
        <v>2305272.1690000002</v>
      </c>
      <c r="J917" s="22">
        <v>585479.37399999995</v>
      </c>
      <c r="K917" s="22">
        <v>2305282.83</v>
      </c>
      <c r="L917" s="22">
        <v>585495.00300000003</v>
      </c>
      <c r="M917" s="6">
        <v>18.919</v>
      </c>
      <c r="N917" s="11">
        <v>3.34</v>
      </c>
      <c r="O917" s="11">
        <v>4.18</v>
      </c>
      <c r="P917" s="11">
        <f t="shared" si="28"/>
        <v>0.83999999999999986</v>
      </c>
      <c r="Q917" s="11">
        <f t="shared" si="29"/>
        <v>4.4400000000000004</v>
      </c>
      <c r="R917" s="11">
        <v>1.51</v>
      </c>
    </row>
    <row r="918" spans="2:18" ht="16" x14ac:dyDescent="0.3">
      <c r="B918" s="4">
        <v>912</v>
      </c>
      <c r="C918" s="4" t="s">
        <v>4081</v>
      </c>
      <c r="D918" s="5" t="s">
        <v>3284</v>
      </c>
      <c r="E918" s="4">
        <v>300</v>
      </c>
      <c r="F918" s="5" t="s">
        <v>3285</v>
      </c>
      <c r="G918" s="4" t="s">
        <v>603</v>
      </c>
      <c r="H918" s="4" t="s">
        <v>606</v>
      </c>
      <c r="I918" s="22">
        <v>2305284.4890000001</v>
      </c>
      <c r="J918" s="22">
        <v>585465.06999999995</v>
      </c>
      <c r="K918" s="22">
        <v>2305271.6120000002</v>
      </c>
      <c r="L918" s="22">
        <v>585478.54399999999</v>
      </c>
      <c r="M918" s="6">
        <v>19.896999999999998</v>
      </c>
      <c r="N918" s="11">
        <v>3.41</v>
      </c>
      <c r="O918" s="11">
        <v>3.34</v>
      </c>
      <c r="P918" s="11">
        <f t="shared" si="28"/>
        <v>7.0000000000000284E-2</v>
      </c>
      <c r="Q918" s="11">
        <f t="shared" si="29"/>
        <v>0.35199999999999998</v>
      </c>
      <c r="R918" s="11">
        <v>1.895</v>
      </c>
    </row>
    <row r="919" spans="2:18" ht="16" x14ac:dyDescent="0.3">
      <c r="B919" s="4">
        <v>913</v>
      </c>
      <c r="C919" s="4" t="s">
        <v>4082</v>
      </c>
      <c r="D919" s="5" t="s">
        <v>3284</v>
      </c>
      <c r="E919" s="4">
        <v>300</v>
      </c>
      <c r="F919" s="5" t="s">
        <v>3285</v>
      </c>
      <c r="G919" s="4" t="s">
        <v>1918</v>
      </c>
      <c r="H919" s="4" t="s">
        <v>1921</v>
      </c>
      <c r="I919" s="22">
        <v>2305313.8569999998</v>
      </c>
      <c r="J919" s="22">
        <v>585474.19700000004</v>
      </c>
      <c r="K919" s="22">
        <v>2305304.5070000002</v>
      </c>
      <c r="L919" s="22">
        <v>585459.96900000004</v>
      </c>
      <c r="M919" s="6">
        <v>17.024999999999999</v>
      </c>
      <c r="N919" s="11">
        <v>4.18</v>
      </c>
      <c r="O919" s="11">
        <v>3.48</v>
      </c>
      <c r="P919" s="11">
        <f t="shared" si="28"/>
        <v>0.69999999999999973</v>
      </c>
      <c r="Q919" s="11">
        <f t="shared" si="29"/>
        <v>4.1120000000000001</v>
      </c>
      <c r="R919" s="11">
        <v>1.44</v>
      </c>
    </row>
    <row r="920" spans="2:18" ht="16" x14ac:dyDescent="0.3">
      <c r="B920" s="4">
        <v>914</v>
      </c>
      <c r="C920" s="4" t="s">
        <v>4083</v>
      </c>
      <c r="D920" s="5" t="s">
        <v>3284</v>
      </c>
      <c r="E920" s="4">
        <v>300</v>
      </c>
      <c r="F920" s="5" t="s">
        <v>3285</v>
      </c>
      <c r="G920" s="4" t="s">
        <v>1915</v>
      </c>
      <c r="H920" s="4" t="s">
        <v>1918</v>
      </c>
      <c r="I920" s="22">
        <v>2305323.9160000002</v>
      </c>
      <c r="J920" s="22">
        <v>585489.125</v>
      </c>
      <c r="K920" s="22">
        <v>2305314.2790000001</v>
      </c>
      <c r="L920" s="22">
        <v>585474.75800000003</v>
      </c>
      <c r="M920" s="6">
        <v>17.3</v>
      </c>
      <c r="N920" s="11">
        <v>4.24</v>
      </c>
      <c r="O920" s="11">
        <v>4.18</v>
      </c>
      <c r="P920" s="11">
        <f t="shared" si="28"/>
        <v>6.0000000000000497E-2</v>
      </c>
      <c r="Q920" s="11">
        <f t="shared" si="29"/>
        <v>0.34699999999999998</v>
      </c>
      <c r="R920" s="11">
        <v>1.06</v>
      </c>
    </row>
    <row r="921" spans="2:18" ht="16" x14ac:dyDescent="0.3">
      <c r="B921" s="4">
        <v>915</v>
      </c>
      <c r="C921" s="4" t="s">
        <v>4084</v>
      </c>
      <c r="D921" s="5" t="s">
        <v>3284</v>
      </c>
      <c r="E921" s="4">
        <v>300</v>
      </c>
      <c r="F921" s="5" t="s">
        <v>3285</v>
      </c>
      <c r="G921" s="4" t="s">
        <v>1912</v>
      </c>
      <c r="H921" s="4" t="s">
        <v>1915</v>
      </c>
      <c r="I921" s="22">
        <v>2305338.9440000001</v>
      </c>
      <c r="J921" s="22">
        <v>585511.55299999996</v>
      </c>
      <c r="K921" s="22">
        <v>2305324.304</v>
      </c>
      <c r="L921" s="22">
        <v>585489.70799999998</v>
      </c>
      <c r="M921" s="6">
        <v>26.297999999999998</v>
      </c>
      <c r="N921" s="11">
        <v>4.33</v>
      </c>
      <c r="O921" s="11">
        <v>4.24</v>
      </c>
      <c r="P921" s="11">
        <f t="shared" si="28"/>
        <v>8.9999999999999858E-2</v>
      </c>
      <c r="Q921" s="11">
        <f t="shared" si="29"/>
        <v>0.34200000000000003</v>
      </c>
      <c r="R921" s="11">
        <v>0.98499999999999999</v>
      </c>
    </row>
    <row r="922" spans="2:18" ht="16" x14ac:dyDescent="0.3">
      <c r="B922" s="4">
        <v>916</v>
      </c>
      <c r="C922" s="4" t="s">
        <v>4085</v>
      </c>
      <c r="D922" s="5" t="s">
        <v>3284</v>
      </c>
      <c r="E922" s="4">
        <v>300</v>
      </c>
      <c r="F922" s="5" t="s">
        <v>3285</v>
      </c>
      <c r="G922" s="4" t="s">
        <v>824</v>
      </c>
      <c r="H922" s="4" t="s">
        <v>1912</v>
      </c>
      <c r="I922" s="22">
        <v>2305348.9550000001</v>
      </c>
      <c r="J922" s="22">
        <v>585526.48499999999</v>
      </c>
      <c r="K922" s="22">
        <v>2305339.3330000001</v>
      </c>
      <c r="L922" s="22">
        <v>585512.13500000001</v>
      </c>
      <c r="M922" s="6">
        <v>17.277000000000001</v>
      </c>
      <c r="N922" s="11">
        <v>4.42</v>
      </c>
      <c r="O922" s="11">
        <v>4.33</v>
      </c>
      <c r="P922" s="11">
        <f t="shared" si="28"/>
        <v>8.9999999999999858E-2</v>
      </c>
      <c r="Q922" s="11">
        <f t="shared" si="29"/>
        <v>0.52100000000000002</v>
      </c>
      <c r="R922" s="11">
        <v>0.89500000000000002</v>
      </c>
    </row>
    <row r="923" spans="2:18" ht="16" x14ac:dyDescent="0.3">
      <c r="B923" s="4">
        <v>917</v>
      </c>
      <c r="C923" s="4" t="s">
        <v>4086</v>
      </c>
      <c r="D923" s="5" t="s">
        <v>3284</v>
      </c>
      <c r="E923" s="4">
        <v>300</v>
      </c>
      <c r="F923" s="5" t="s">
        <v>3285</v>
      </c>
      <c r="G923" s="4" t="s">
        <v>2422</v>
      </c>
      <c r="H923" s="4" t="s">
        <v>944</v>
      </c>
      <c r="I923" s="22">
        <v>2304991.852</v>
      </c>
      <c r="J923" s="22">
        <v>585862.94499999995</v>
      </c>
      <c r="K923" s="22">
        <v>2304971.67</v>
      </c>
      <c r="L923" s="22">
        <v>585876.47900000005</v>
      </c>
      <c r="M923" s="6">
        <v>24.3</v>
      </c>
      <c r="N923" s="11">
        <v>4.24</v>
      </c>
      <c r="O923" s="11">
        <v>4.32</v>
      </c>
      <c r="P923" s="11">
        <f t="shared" si="28"/>
        <v>8.0000000000000071E-2</v>
      </c>
      <c r="Q923" s="11">
        <f t="shared" si="29"/>
        <v>0.32900000000000001</v>
      </c>
      <c r="R923" s="11">
        <v>0.89</v>
      </c>
    </row>
    <row r="924" spans="2:18" ht="16" x14ac:dyDescent="0.3">
      <c r="B924" s="4">
        <v>918</v>
      </c>
      <c r="C924" s="4" t="s">
        <v>4087</v>
      </c>
      <c r="D924" s="5" t="s">
        <v>3284</v>
      </c>
      <c r="E924" s="4">
        <v>300</v>
      </c>
      <c r="F924" s="5" t="s">
        <v>3285</v>
      </c>
      <c r="G924" s="4" t="s">
        <v>2425</v>
      </c>
      <c r="H924" s="4" t="s">
        <v>2422</v>
      </c>
      <c r="I924" s="22">
        <v>2305013.4470000002</v>
      </c>
      <c r="J924" s="22">
        <v>585848.46499999997</v>
      </c>
      <c r="K924" s="22">
        <v>2304992.4339999999</v>
      </c>
      <c r="L924" s="22">
        <v>585862.55500000005</v>
      </c>
      <c r="M924" s="6">
        <v>25.3</v>
      </c>
      <c r="N924" s="11">
        <v>4.1500000000000004</v>
      </c>
      <c r="O924" s="11">
        <v>4.24</v>
      </c>
      <c r="P924" s="11">
        <f t="shared" si="28"/>
        <v>8.9999999999999858E-2</v>
      </c>
      <c r="Q924" s="11">
        <f t="shared" si="29"/>
        <v>0.35599999999999998</v>
      </c>
      <c r="R924" s="11">
        <v>0.97499999999999998</v>
      </c>
    </row>
    <row r="925" spans="2:18" ht="16" x14ac:dyDescent="0.3">
      <c r="B925" s="4">
        <v>919</v>
      </c>
      <c r="C925" s="4" t="s">
        <v>4088</v>
      </c>
      <c r="D925" s="5" t="s">
        <v>3284</v>
      </c>
      <c r="E925" s="4">
        <v>300</v>
      </c>
      <c r="F925" s="5" t="s">
        <v>3285</v>
      </c>
      <c r="G925" s="4" t="s">
        <v>2428</v>
      </c>
      <c r="H925" s="4" t="s">
        <v>2425</v>
      </c>
      <c r="I925" s="22">
        <v>2305035.0410000002</v>
      </c>
      <c r="J925" s="22">
        <v>585833.98400000005</v>
      </c>
      <c r="K925" s="22">
        <v>2305014.0279999999</v>
      </c>
      <c r="L925" s="22">
        <v>585848.07499999995</v>
      </c>
      <c r="M925" s="6">
        <v>25.3</v>
      </c>
      <c r="N925" s="11">
        <v>4.07</v>
      </c>
      <c r="O925" s="11">
        <v>4.1500000000000004</v>
      </c>
      <c r="P925" s="11">
        <f t="shared" si="28"/>
        <v>8.0000000000000071E-2</v>
      </c>
      <c r="Q925" s="11">
        <f t="shared" si="29"/>
        <v>0.316</v>
      </c>
      <c r="R925" s="11">
        <v>1.06</v>
      </c>
    </row>
    <row r="926" spans="2:18" ht="16" x14ac:dyDescent="0.3">
      <c r="B926" s="4">
        <v>920</v>
      </c>
      <c r="C926" s="4" t="s">
        <v>4089</v>
      </c>
      <c r="D926" s="5" t="s">
        <v>3284</v>
      </c>
      <c r="E926" s="4">
        <v>300</v>
      </c>
      <c r="F926" s="5" t="s">
        <v>3285</v>
      </c>
      <c r="G926" s="4" t="s">
        <v>249</v>
      </c>
      <c r="H926" s="4" t="s">
        <v>2428</v>
      </c>
      <c r="I926" s="22">
        <v>2305054.1230000001</v>
      </c>
      <c r="J926" s="22">
        <v>585821.39500000002</v>
      </c>
      <c r="K926" s="22">
        <v>2305035.622</v>
      </c>
      <c r="L926" s="22">
        <v>585833.59400000004</v>
      </c>
      <c r="M926" s="6">
        <v>22.161000000000001</v>
      </c>
      <c r="N926" s="11">
        <v>3.78</v>
      </c>
      <c r="O926" s="11">
        <v>4.07</v>
      </c>
      <c r="P926" s="11">
        <f t="shared" si="28"/>
        <v>0.29000000000000048</v>
      </c>
      <c r="Q926" s="11">
        <f t="shared" si="29"/>
        <v>1.3089999999999999</v>
      </c>
      <c r="R926" s="11">
        <v>1.2450000000000001</v>
      </c>
    </row>
    <row r="927" spans="2:18" ht="16" x14ac:dyDescent="0.3">
      <c r="B927" s="4">
        <v>921</v>
      </c>
      <c r="C927" s="4" t="s">
        <v>4090</v>
      </c>
      <c r="D927" s="5" t="s">
        <v>3284</v>
      </c>
      <c r="E927" s="4">
        <v>300</v>
      </c>
      <c r="F927" s="5" t="s">
        <v>3285</v>
      </c>
      <c r="G927" s="4" t="s">
        <v>252</v>
      </c>
      <c r="H927" s="4" t="s">
        <v>249</v>
      </c>
      <c r="I927" s="22">
        <v>2305037.8089999999</v>
      </c>
      <c r="J927" s="22">
        <v>585796.51899999997</v>
      </c>
      <c r="K927" s="22">
        <v>2305054.9539999999</v>
      </c>
      <c r="L927" s="22">
        <v>585820.83799999999</v>
      </c>
      <c r="M927" s="6">
        <v>36.741999999999997</v>
      </c>
      <c r="N927" s="11">
        <v>3.68</v>
      </c>
      <c r="O927" s="11">
        <v>3.78</v>
      </c>
      <c r="P927" s="11">
        <f t="shared" si="28"/>
        <v>9.9999999999999645E-2</v>
      </c>
      <c r="Q927" s="11">
        <f t="shared" si="29"/>
        <v>0.27200000000000002</v>
      </c>
      <c r="R927" s="11">
        <v>1.46</v>
      </c>
    </row>
    <row r="928" spans="2:18" ht="16" x14ac:dyDescent="0.3">
      <c r="B928" s="4">
        <v>922</v>
      </c>
      <c r="C928" s="4" t="s">
        <v>4091</v>
      </c>
      <c r="D928" s="5" t="s">
        <v>3284</v>
      </c>
      <c r="E928" s="4">
        <v>300</v>
      </c>
      <c r="F928" s="5" t="s">
        <v>3285</v>
      </c>
      <c r="G928" s="4" t="s">
        <v>2437</v>
      </c>
      <c r="H928" s="4" t="s">
        <v>252</v>
      </c>
      <c r="I928" s="22">
        <v>2305019.2599999998</v>
      </c>
      <c r="J928" s="22">
        <v>585809.19400000002</v>
      </c>
      <c r="K928" s="22">
        <v>2305036.9920000001</v>
      </c>
      <c r="L928" s="22">
        <v>585797.09600000002</v>
      </c>
      <c r="M928" s="6">
        <v>21.466000000000001</v>
      </c>
      <c r="N928" s="11">
        <v>4.1100000000000003</v>
      </c>
      <c r="O928" s="11">
        <v>3.68</v>
      </c>
      <c r="P928" s="11">
        <f t="shared" si="28"/>
        <v>0.43000000000000016</v>
      </c>
      <c r="Q928" s="11">
        <f t="shared" si="29"/>
        <v>2.0030000000000001</v>
      </c>
      <c r="R928" s="11">
        <v>1.3149999999999999</v>
      </c>
    </row>
    <row r="929" spans="2:18" ht="16" x14ac:dyDescent="0.3">
      <c r="B929" s="4">
        <v>923</v>
      </c>
      <c r="C929" s="4" t="s">
        <v>4092</v>
      </c>
      <c r="D929" s="5" t="s">
        <v>3284</v>
      </c>
      <c r="E929" s="4">
        <v>300</v>
      </c>
      <c r="F929" s="5" t="s">
        <v>3285</v>
      </c>
      <c r="G929" s="4" t="s">
        <v>2434</v>
      </c>
      <c r="H929" s="4" t="s">
        <v>2437</v>
      </c>
      <c r="I929" s="22">
        <v>2304997.6660000002</v>
      </c>
      <c r="J929" s="22">
        <v>585823.674</v>
      </c>
      <c r="K929" s="22">
        <v>2305018.679</v>
      </c>
      <c r="L929" s="22">
        <v>585809.58299999998</v>
      </c>
      <c r="M929" s="6">
        <v>25.3</v>
      </c>
      <c r="N929" s="11">
        <v>4.1900000000000004</v>
      </c>
      <c r="O929" s="11">
        <v>4.1100000000000003</v>
      </c>
      <c r="P929" s="11">
        <f t="shared" si="28"/>
        <v>8.0000000000000071E-2</v>
      </c>
      <c r="Q929" s="11">
        <f t="shared" si="29"/>
        <v>0.316</v>
      </c>
      <c r="R929" s="11">
        <v>1.06</v>
      </c>
    </row>
    <row r="930" spans="2:18" ht="16" x14ac:dyDescent="0.3">
      <c r="B930" s="4">
        <v>924</v>
      </c>
      <c r="C930" s="4" t="s">
        <v>4093</v>
      </c>
      <c r="D930" s="5" t="s">
        <v>3284</v>
      </c>
      <c r="E930" s="4">
        <v>300</v>
      </c>
      <c r="F930" s="5" t="s">
        <v>3285</v>
      </c>
      <c r="G930" s="4" t="s">
        <v>2431</v>
      </c>
      <c r="H930" s="4" t="s">
        <v>2434</v>
      </c>
      <c r="I930" s="22">
        <v>2304978.591</v>
      </c>
      <c r="J930" s="22">
        <v>585836.52500000002</v>
      </c>
      <c r="K930" s="22">
        <v>2304997.0839999998</v>
      </c>
      <c r="L930" s="22">
        <v>585824.06400000001</v>
      </c>
      <c r="M930" s="6">
        <v>22.3</v>
      </c>
      <c r="N930" s="11">
        <v>4.28</v>
      </c>
      <c r="O930" s="11">
        <v>4.1900000000000004</v>
      </c>
      <c r="P930" s="11">
        <f t="shared" si="28"/>
        <v>8.9999999999999858E-2</v>
      </c>
      <c r="Q930" s="11">
        <f t="shared" si="29"/>
        <v>0.40400000000000003</v>
      </c>
      <c r="R930" s="11">
        <v>0.97499999999999998</v>
      </c>
    </row>
    <row r="931" spans="2:18" ht="16" x14ac:dyDescent="0.3">
      <c r="B931" s="4">
        <v>925</v>
      </c>
      <c r="C931" s="4" t="s">
        <v>4094</v>
      </c>
      <c r="D931" s="5" t="s">
        <v>3284</v>
      </c>
      <c r="E931" s="4">
        <v>300</v>
      </c>
      <c r="F931" s="5" t="s">
        <v>3285</v>
      </c>
      <c r="G931" s="4" t="s">
        <v>947</v>
      </c>
      <c r="H931" s="4" t="s">
        <v>2431</v>
      </c>
      <c r="I931" s="22">
        <v>2304955.3080000002</v>
      </c>
      <c r="J931" s="22">
        <v>585852.07799999998</v>
      </c>
      <c r="K931" s="22">
        <v>2304978.0090000001</v>
      </c>
      <c r="L931" s="22">
        <v>585836.91500000004</v>
      </c>
      <c r="M931" s="6">
        <v>27.3</v>
      </c>
      <c r="N931" s="11">
        <v>4.3600000000000003</v>
      </c>
      <c r="O931" s="11">
        <v>4.28</v>
      </c>
      <c r="P931" s="11">
        <f t="shared" si="28"/>
        <v>8.0000000000000071E-2</v>
      </c>
      <c r="Q931" s="11">
        <f t="shared" si="29"/>
        <v>0.29299999999999998</v>
      </c>
      <c r="R931" s="11">
        <v>0.89</v>
      </c>
    </row>
    <row r="932" spans="2:18" ht="16" x14ac:dyDescent="0.3">
      <c r="B932" s="4">
        <v>926</v>
      </c>
      <c r="C932" s="4" t="s">
        <v>4095</v>
      </c>
      <c r="D932" s="5" t="s">
        <v>3284</v>
      </c>
      <c r="E932" s="4">
        <v>300</v>
      </c>
      <c r="F932" s="5" t="s">
        <v>3285</v>
      </c>
      <c r="G932" s="4" t="s">
        <v>2335</v>
      </c>
      <c r="H932" s="4" t="s">
        <v>860</v>
      </c>
      <c r="I932" s="22">
        <v>2305191.179</v>
      </c>
      <c r="J932" s="22">
        <v>585822.74</v>
      </c>
      <c r="K932" s="22">
        <v>2305176.8309999998</v>
      </c>
      <c r="L932" s="22">
        <v>585832.36199999996</v>
      </c>
      <c r="M932" s="6">
        <v>17.276</v>
      </c>
      <c r="N932" s="11">
        <v>4.3499999999999996</v>
      </c>
      <c r="O932" s="11">
        <v>4.42</v>
      </c>
      <c r="P932" s="11">
        <f t="shared" si="28"/>
        <v>7.0000000000000284E-2</v>
      </c>
      <c r="Q932" s="11">
        <f t="shared" si="29"/>
        <v>0.40500000000000003</v>
      </c>
      <c r="R932" s="11">
        <v>0.88500000000000001</v>
      </c>
    </row>
    <row r="933" spans="2:18" ht="16" x14ac:dyDescent="0.3">
      <c r="B933" s="4">
        <v>927</v>
      </c>
      <c r="C933" s="4" t="s">
        <v>4096</v>
      </c>
      <c r="D933" s="5" t="s">
        <v>3284</v>
      </c>
      <c r="E933" s="4">
        <v>300</v>
      </c>
      <c r="F933" s="5" t="s">
        <v>3285</v>
      </c>
      <c r="G933" s="4" t="s">
        <v>638</v>
      </c>
      <c r="H933" s="4" t="s">
        <v>2335</v>
      </c>
      <c r="I933" s="22">
        <v>2305211.7919999999</v>
      </c>
      <c r="J933" s="22">
        <v>585808.74300000002</v>
      </c>
      <c r="K933" s="22">
        <v>2305191.7659999998</v>
      </c>
      <c r="L933" s="22">
        <v>585822.35800000001</v>
      </c>
      <c r="M933" s="6">
        <v>24.216000000000001</v>
      </c>
      <c r="N933" s="11">
        <v>3.97</v>
      </c>
      <c r="O933" s="11">
        <v>4.3499999999999996</v>
      </c>
      <c r="P933" s="11">
        <f t="shared" si="28"/>
        <v>0.37999999999999945</v>
      </c>
      <c r="Q933" s="11">
        <f t="shared" si="29"/>
        <v>1.569</v>
      </c>
      <c r="R933" s="11">
        <v>1.1100000000000001</v>
      </c>
    </row>
    <row r="934" spans="2:18" ht="16" x14ac:dyDescent="0.3">
      <c r="B934" s="4">
        <v>928</v>
      </c>
      <c r="C934" s="4" t="s">
        <v>4097</v>
      </c>
      <c r="D934" s="5" t="s">
        <v>3284</v>
      </c>
      <c r="E934" s="4">
        <v>300</v>
      </c>
      <c r="F934" s="5" t="s">
        <v>3285</v>
      </c>
      <c r="G934" s="4" t="s">
        <v>635</v>
      </c>
      <c r="H934" s="4" t="s">
        <v>638</v>
      </c>
      <c r="I934" s="22">
        <v>2305224.5219999999</v>
      </c>
      <c r="J934" s="22">
        <v>585826.36600000004</v>
      </c>
      <c r="K934" s="22">
        <v>2305212.6230000001</v>
      </c>
      <c r="L934" s="22">
        <v>585808.18599999999</v>
      </c>
      <c r="M934" s="6">
        <v>29.748000000000001</v>
      </c>
      <c r="N934" s="11">
        <v>4.05</v>
      </c>
      <c r="O934" s="11">
        <v>3.97</v>
      </c>
      <c r="P934" s="11">
        <f t="shared" si="28"/>
        <v>7.9999999999999627E-2</v>
      </c>
      <c r="Q934" s="11">
        <f t="shared" si="29"/>
        <v>0.26900000000000002</v>
      </c>
      <c r="R934" s="11">
        <v>1.26</v>
      </c>
    </row>
    <row r="935" spans="2:18" ht="16" x14ac:dyDescent="0.3">
      <c r="B935" s="4">
        <v>929</v>
      </c>
      <c r="C935" s="4" t="s">
        <v>4098</v>
      </c>
      <c r="D935" s="5" t="s">
        <v>3284</v>
      </c>
      <c r="E935" s="4">
        <v>300</v>
      </c>
      <c r="F935" s="5" t="s">
        <v>3285</v>
      </c>
      <c r="G935" s="4" t="s">
        <v>2356</v>
      </c>
      <c r="H935" s="4" t="s">
        <v>635</v>
      </c>
      <c r="I935" s="22">
        <v>2305206.159</v>
      </c>
      <c r="J935" s="22">
        <v>585838.43599999999</v>
      </c>
      <c r="K935" s="22">
        <v>2305223.6910000001</v>
      </c>
      <c r="L935" s="22">
        <v>585826.92299999995</v>
      </c>
      <c r="M935" s="6">
        <v>20.974</v>
      </c>
      <c r="N935" s="11">
        <v>4.3499999999999996</v>
      </c>
      <c r="O935" s="11">
        <v>4.05</v>
      </c>
      <c r="P935" s="11">
        <f t="shared" si="28"/>
        <v>0.29999999999999982</v>
      </c>
      <c r="Q935" s="11">
        <f t="shared" si="29"/>
        <v>1.43</v>
      </c>
      <c r="R935" s="11">
        <v>1.07</v>
      </c>
    </row>
    <row r="936" spans="2:18" ht="16" x14ac:dyDescent="0.3">
      <c r="B936" s="4">
        <v>930</v>
      </c>
      <c r="C936" s="4" t="s">
        <v>4099</v>
      </c>
      <c r="D936" s="5" t="s">
        <v>3284</v>
      </c>
      <c r="E936" s="4">
        <v>300</v>
      </c>
      <c r="F936" s="5" t="s">
        <v>3285</v>
      </c>
      <c r="G936" s="4" t="s">
        <v>2353</v>
      </c>
      <c r="H936" s="4" t="s">
        <v>2356</v>
      </c>
      <c r="I936" s="22">
        <v>2305188.7170000002</v>
      </c>
      <c r="J936" s="22">
        <v>585850.13100000005</v>
      </c>
      <c r="K936" s="22">
        <v>2305205.577</v>
      </c>
      <c r="L936" s="22">
        <v>585838.82499999995</v>
      </c>
      <c r="M936" s="6">
        <v>20.3</v>
      </c>
      <c r="N936" s="11">
        <v>4.42</v>
      </c>
      <c r="O936" s="11">
        <v>4.3499999999999996</v>
      </c>
      <c r="P936" s="11">
        <f t="shared" si="28"/>
        <v>7.0000000000000284E-2</v>
      </c>
      <c r="Q936" s="11">
        <f t="shared" si="29"/>
        <v>0.34499999999999997</v>
      </c>
      <c r="R936" s="11">
        <v>0.88500000000000001</v>
      </c>
    </row>
    <row r="937" spans="2:18" ht="16" x14ac:dyDescent="0.3">
      <c r="B937" s="4">
        <v>931</v>
      </c>
      <c r="C937" s="4" t="s">
        <v>4100</v>
      </c>
      <c r="D937" s="5" t="s">
        <v>3284</v>
      </c>
      <c r="E937" s="4">
        <v>300</v>
      </c>
      <c r="F937" s="5" t="s">
        <v>3285</v>
      </c>
      <c r="G937" s="4" t="s">
        <v>2986</v>
      </c>
      <c r="H937" s="4" t="s">
        <v>989</v>
      </c>
      <c r="I937" s="22">
        <v>2304935.7710000002</v>
      </c>
      <c r="J937" s="22">
        <v>585778.51699999999</v>
      </c>
      <c r="K937" s="22">
        <v>2304913.0839999998</v>
      </c>
      <c r="L937" s="22">
        <v>585793.70299999998</v>
      </c>
      <c r="M937" s="6">
        <v>27.3</v>
      </c>
      <c r="N937" s="11">
        <v>4.24</v>
      </c>
      <c r="O937" s="11">
        <v>4.32</v>
      </c>
      <c r="P937" s="11">
        <f t="shared" si="28"/>
        <v>8.0000000000000071E-2</v>
      </c>
      <c r="Q937" s="11">
        <f t="shared" si="29"/>
        <v>0.29299999999999998</v>
      </c>
      <c r="R937" s="11">
        <v>0.89</v>
      </c>
    </row>
    <row r="938" spans="2:18" ht="16" x14ac:dyDescent="0.3">
      <c r="B938" s="4">
        <v>932</v>
      </c>
      <c r="C938" s="4" t="s">
        <v>4101</v>
      </c>
      <c r="D938" s="5" t="s">
        <v>3284</v>
      </c>
      <c r="E938" s="4">
        <v>300</v>
      </c>
      <c r="F938" s="5" t="s">
        <v>3285</v>
      </c>
      <c r="G938" s="4" t="s">
        <v>2989</v>
      </c>
      <c r="H938" s="4" t="s">
        <v>2986</v>
      </c>
      <c r="I938" s="22">
        <v>2304954.861</v>
      </c>
      <c r="J938" s="22">
        <v>585765.68799999997</v>
      </c>
      <c r="K938" s="22">
        <v>2304936.352</v>
      </c>
      <c r="L938" s="22">
        <v>585778.12699999998</v>
      </c>
      <c r="M938" s="6">
        <v>22.3</v>
      </c>
      <c r="N938" s="11">
        <v>4.1500000000000004</v>
      </c>
      <c r="O938" s="11">
        <v>4.24</v>
      </c>
      <c r="P938" s="11">
        <f t="shared" si="28"/>
        <v>8.9999999999999858E-2</v>
      </c>
      <c r="Q938" s="11">
        <f t="shared" si="29"/>
        <v>0.40400000000000003</v>
      </c>
      <c r="R938" s="11">
        <v>0.97499999999999998</v>
      </c>
    </row>
    <row r="939" spans="2:18" ht="16" x14ac:dyDescent="0.3">
      <c r="B939" s="4">
        <v>933</v>
      </c>
      <c r="C939" s="4" t="s">
        <v>4102</v>
      </c>
      <c r="D939" s="5" t="s">
        <v>3284</v>
      </c>
      <c r="E939" s="4">
        <v>300</v>
      </c>
      <c r="F939" s="5" t="s">
        <v>3285</v>
      </c>
      <c r="G939" s="4" t="s">
        <v>2992</v>
      </c>
      <c r="H939" s="4" t="s">
        <v>2989</v>
      </c>
      <c r="I939" s="22">
        <v>2304976.4550000001</v>
      </c>
      <c r="J939" s="22">
        <v>585751.20799999998</v>
      </c>
      <c r="K939" s="22">
        <v>2304955.4419999998</v>
      </c>
      <c r="L939" s="22">
        <v>585765.299</v>
      </c>
      <c r="M939" s="6">
        <v>25.3</v>
      </c>
      <c r="N939" s="11">
        <v>4.07</v>
      </c>
      <c r="O939" s="11">
        <v>4.1500000000000004</v>
      </c>
      <c r="P939" s="11">
        <f t="shared" si="28"/>
        <v>8.0000000000000071E-2</v>
      </c>
      <c r="Q939" s="11">
        <f t="shared" si="29"/>
        <v>0.316</v>
      </c>
      <c r="R939" s="11">
        <v>1.06</v>
      </c>
    </row>
    <row r="940" spans="2:18" ht="16" x14ac:dyDescent="0.3">
      <c r="B940" s="4">
        <v>934</v>
      </c>
      <c r="C940" s="4" t="s">
        <v>4103</v>
      </c>
      <c r="D940" s="5" t="s">
        <v>3284</v>
      </c>
      <c r="E940" s="4">
        <v>300</v>
      </c>
      <c r="F940" s="5" t="s">
        <v>3285</v>
      </c>
      <c r="G940" s="4" t="s">
        <v>262</v>
      </c>
      <c r="H940" s="4" t="s">
        <v>2992</v>
      </c>
      <c r="I940" s="22">
        <v>2304997.1370000001</v>
      </c>
      <c r="J940" s="22">
        <v>585737.16200000001</v>
      </c>
      <c r="K940" s="22">
        <v>2304977.0359999998</v>
      </c>
      <c r="L940" s="22">
        <v>585750.81799999997</v>
      </c>
      <c r="M940" s="6">
        <v>24.3</v>
      </c>
      <c r="N940" s="11">
        <v>3.41</v>
      </c>
      <c r="O940" s="11">
        <v>4.07</v>
      </c>
      <c r="P940" s="11">
        <f t="shared" si="28"/>
        <v>0.66000000000000014</v>
      </c>
      <c r="Q940" s="11">
        <f t="shared" si="29"/>
        <v>2.7160000000000002</v>
      </c>
      <c r="R940" s="11">
        <v>1.43</v>
      </c>
    </row>
    <row r="941" spans="2:18" ht="16" x14ac:dyDescent="0.3">
      <c r="B941" s="4">
        <v>935</v>
      </c>
      <c r="C941" s="4" t="s">
        <v>4104</v>
      </c>
      <c r="D941" s="5" t="s">
        <v>3284</v>
      </c>
      <c r="E941" s="4">
        <v>300</v>
      </c>
      <c r="F941" s="5" t="s">
        <v>3285</v>
      </c>
      <c r="G941" s="4" t="s">
        <v>259</v>
      </c>
      <c r="H941" s="4" t="s">
        <v>262</v>
      </c>
      <c r="I941" s="22">
        <v>2305005.895</v>
      </c>
      <c r="J941" s="22">
        <v>585757.40399999998</v>
      </c>
      <c r="K941" s="22">
        <v>2304997.9530000002</v>
      </c>
      <c r="L941" s="22">
        <v>585736.58400000003</v>
      </c>
      <c r="M941" s="6">
        <v>34.994</v>
      </c>
      <c r="N941" s="11">
        <v>3.5</v>
      </c>
      <c r="O941" s="11">
        <v>3.41</v>
      </c>
      <c r="P941" s="11">
        <f t="shared" si="28"/>
        <v>8.9999999999999858E-2</v>
      </c>
      <c r="Q941" s="11">
        <f t="shared" si="29"/>
        <v>0.25700000000000001</v>
      </c>
      <c r="R941" s="11">
        <v>1.7150000000000001</v>
      </c>
    </row>
    <row r="942" spans="2:18" ht="16" x14ac:dyDescent="0.3">
      <c r="B942" s="4">
        <v>936</v>
      </c>
      <c r="C942" s="4" t="s">
        <v>4105</v>
      </c>
      <c r="D942" s="5" t="s">
        <v>3284</v>
      </c>
      <c r="E942" s="4">
        <v>300</v>
      </c>
      <c r="F942" s="5" t="s">
        <v>3285</v>
      </c>
      <c r="G942" s="4" t="s">
        <v>3120</v>
      </c>
      <c r="H942" s="4" t="s">
        <v>259</v>
      </c>
      <c r="I942" s="22">
        <v>2304988.943</v>
      </c>
      <c r="J942" s="22">
        <v>585768.57400000002</v>
      </c>
      <c r="K942" s="22">
        <v>2305005.0639999998</v>
      </c>
      <c r="L942" s="22">
        <v>585757.96100000001</v>
      </c>
      <c r="M942" s="6">
        <v>19.300999999999998</v>
      </c>
      <c r="N942" s="11">
        <v>4.07</v>
      </c>
      <c r="O942" s="11">
        <v>3.5</v>
      </c>
      <c r="P942" s="11">
        <f t="shared" si="28"/>
        <v>0.57000000000000028</v>
      </c>
      <c r="Q942" s="11">
        <f t="shared" si="29"/>
        <v>2.9529999999999998</v>
      </c>
      <c r="R942" s="11">
        <v>1.385</v>
      </c>
    </row>
    <row r="943" spans="2:18" ht="16" x14ac:dyDescent="0.3">
      <c r="B943" s="4">
        <v>937</v>
      </c>
      <c r="C943" s="4" t="s">
        <v>4106</v>
      </c>
      <c r="D943" s="5" t="s">
        <v>3284</v>
      </c>
      <c r="E943" s="4">
        <v>300</v>
      </c>
      <c r="F943" s="5" t="s">
        <v>3285</v>
      </c>
      <c r="G943" s="4" t="s">
        <v>3117</v>
      </c>
      <c r="H943" s="4" t="s">
        <v>3120</v>
      </c>
      <c r="I943" s="22">
        <v>2304967.3489999999</v>
      </c>
      <c r="J943" s="22">
        <v>585783.05500000005</v>
      </c>
      <c r="K943" s="22">
        <v>2304988.3620000002</v>
      </c>
      <c r="L943" s="22">
        <v>585768.96400000004</v>
      </c>
      <c r="M943" s="6">
        <v>25.3</v>
      </c>
      <c r="N943" s="11">
        <v>4.1500000000000004</v>
      </c>
      <c r="O943" s="11">
        <v>4.07</v>
      </c>
      <c r="P943" s="11">
        <f t="shared" si="28"/>
        <v>8.0000000000000071E-2</v>
      </c>
      <c r="Q943" s="11">
        <f t="shared" si="29"/>
        <v>0.316</v>
      </c>
      <c r="R943" s="11">
        <v>1.06</v>
      </c>
    </row>
    <row r="944" spans="2:18" ht="16" x14ac:dyDescent="0.3">
      <c r="B944" s="4">
        <v>938</v>
      </c>
      <c r="C944" s="4" t="s">
        <v>4107</v>
      </c>
      <c r="D944" s="5" t="s">
        <v>3284</v>
      </c>
      <c r="E944" s="4">
        <v>300</v>
      </c>
      <c r="F944" s="5" t="s">
        <v>3285</v>
      </c>
      <c r="G944" s="4" t="s">
        <v>3114</v>
      </c>
      <c r="H944" s="4" t="s">
        <v>3117</v>
      </c>
      <c r="I944" s="22">
        <v>2304945.7549999999</v>
      </c>
      <c r="J944" s="22">
        <v>585797.53500000003</v>
      </c>
      <c r="K944" s="22">
        <v>2304966.767</v>
      </c>
      <c r="L944" s="22">
        <v>585783.44400000002</v>
      </c>
      <c r="M944" s="6">
        <v>25.3</v>
      </c>
      <c r="N944" s="11">
        <v>4.24</v>
      </c>
      <c r="O944" s="11">
        <v>4.1500000000000004</v>
      </c>
      <c r="P944" s="11">
        <f t="shared" si="28"/>
        <v>8.9999999999999858E-2</v>
      </c>
      <c r="Q944" s="11">
        <f t="shared" si="29"/>
        <v>0.35599999999999998</v>
      </c>
      <c r="R944" s="11">
        <v>0.97499999999999998</v>
      </c>
    </row>
    <row r="945" spans="2:18" ht="16" x14ac:dyDescent="0.3">
      <c r="B945" s="4">
        <v>939</v>
      </c>
      <c r="C945" s="4" t="s">
        <v>4108</v>
      </c>
      <c r="D945" s="5" t="s">
        <v>3284</v>
      </c>
      <c r="E945" s="4">
        <v>300</v>
      </c>
      <c r="F945" s="5" t="s">
        <v>3285</v>
      </c>
      <c r="G945" s="4" t="s">
        <v>3111</v>
      </c>
      <c r="H945" s="4" t="s">
        <v>3114</v>
      </c>
      <c r="I945" s="22">
        <v>2304924.9909999999</v>
      </c>
      <c r="J945" s="22">
        <v>585811.45900000003</v>
      </c>
      <c r="K945" s="22">
        <v>2304945.173</v>
      </c>
      <c r="L945" s="22">
        <v>585797.92500000005</v>
      </c>
      <c r="M945" s="6">
        <v>24.3</v>
      </c>
      <c r="N945" s="11">
        <v>4.32</v>
      </c>
      <c r="O945" s="11">
        <v>4.24</v>
      </c>
      <c r="P945" s="11">
        <f t="shared" si="28"/>
        <v>8.0000000000000071E-2</v>
      </c>
      <c r="Q945" s="11">
        <f t="shared" si="29"/>
        <v>0.32900000000000001</v>
      </c>
      <c r="R945" s="11">
        <v>0.89</v>
      </c>
    </row>
    <row r="946" spans="2:18" ht="16" x14ac:dyDescent="0.3">
      <c r="B946" s="4">
        <v>940</v>
      </c>
      <c r="C946" s="4" t="s">
        <v>4109</v>
      </c>
      <c r="D946" s="5" t="s">
        <v>3284</v>
      </c>
      <c r="E946" s="4">
        <v>300</v>
      </c>
      <c r="F946" s="5" t="s">
        <v>3285</v>
      </c>
      <c r="G946" s="4" t="s">
        <v>2341</v>
      </c>
      <c r="H946" s="4" t="s">
        <v>2338</v>
      </c>
      <c r="I946" s="22">
        <v>2305171.7919999999</v>
      </c>
      <c r="J946" s="22">
        <v>585875.473</v>
      </c>
      <c r="K946" s="22">
        <v>2305149.1179999998</v>
      </c>
      <c r="L946" s="22">
        <v>585890.67799999996</v>
      </c>
      <c r="M946" s="6">
        <v>27.3</v>
      </c>
      <c r="N946" s="11">
        <v>4.33</v>
      </c>
      <c r="O946" s="11">
        <v>4.42</v>
      </c>
      <c r="P946" s="11">
        <f t="shared" si="28"/>
        <v>8.9999999999999858E-2</v>
      </c>
      <c r="Q946" s="11">
        <f t="shared" si="29"/>
        <v>0.33</v>
      </c>
      <c r="R946" s="11">
        <v>0.89500000000000002</v>
      </c>
    </row>
    <row r="947" spans="2:18" ht="16" x14ac:dyDescent="0.3">
      <c r="B947" s="4">
        <v>941</v>
      </c>
      <c r="C947" s="4" t="s">
        <v>4110</v>
      </c>
      <c r="D947" s="5" t="s">
        <v>3284</v>
      </c>
      <c r="E947" s="4">
        <v>300</v>
      </c>
      <c r="F947" s="5" t="s">
        <v>3285</v>
      </c>
      <c r="G947" s="4" t="s">
        <v>2344</v>
      </c>
      <c r="H947" s="4" t="s">
        <v>2341</v>
      </c>
      <c r="I947" s="22">
        <v>2305189.2030000002</v>
      </c>
      <c r="J947" s="22">
        <v>585863.79799999995</v>
      </c>
      <c r="K947" s="22">
        <v>2305172.3730000001</v>
      </c>
      <c r="L947" s="22">
        <v>585875.08299999998</v>
      </c>
      <c r="M947" s="6">
        <v>20.263000000000002</v>
      </c>
      <c r="N947" s="11">
        <v>4.26</v>
      </c>
      <c r="O947" s="11">
        <v>4.33</v>
      </c>
      <c r="P947" s="11">
        <f t="shared" si="28"/>
        <v>7.0000000000000284E-2</v>
      </c>
      <c r="Q947" s="11">
        <f t="shared" si="29"/>
        <v>0.34499999999999997</v>
      </c>
      <c r="R947" s="11">
        <v>0.97499999999999998</v>
      </c>
    </row>
    <row r="948" spans="2:18" ht="16" x14ac:dyDescent="0.3">
      <c r="B948" s="4">
        <v>942</v>
      </c>
      <c r="C948" s="4" t="s">
        <v>4111</v>
      </c>
      <c r="D948" s="5" t="s">
        <v>3284</v>
      </c>
      <c r="E948" s="4">
        <v>300</v>
      </c>
      <c r="F948" s="5" t="s">
        <v>3285</v>
      </c>
      <c r="G948" s="4" t="s">
        <v>2347</v>
      </c>
      <c r="H948" s="4" t="s">
        <v>2344</v>
      </c>
      <c r="I948" s="22">
        <v>2305212.4890000001</v>
      </c>
      <c r="J948" s="22">
        <v>585848.18299999996</v>
      </c>
      <c r="K948" s="22">
        <v>2305189.8149999999</v>
      </c>
      <c r="L948" s="22">
        <v>585863.38800000004</v>
      </c>
      <c r="M948" s="6">
        <v>27.3</v>
      </c>
      <c r="N948" s="11">
        <v>4.17</v>
      </c>
      <c r="O948" s="11">
        <v>4.26</v>
      </c>
      <c r="P948" s="11">
        <f t="shared" si="28"/>
        <v>8.9999999999999858E-2</v>
      </c>
      <c r="Q948" s="11">
        <f t="shared" si="29"/>
        <v>0.33</v>
      </c>
      <c r="R948" s="11">
        <v>1.0549999999999999</v>
      </c>
    </row>
    <row r="949" spans="2:18" ht="16" x14ac:dyDescent="0.3">
      <c r="B949" s="4">
        <v>943</v>
      </c>
      <c r="C949" s="4" t="s">
        <v>4112</v>
      </c>
      <c r="D949" s="5" t="s">
        <v>3284</v>
      </c>
      <c r="E949" s="4">
        <v>300</v>
      </c>
      <c r="F949" s="5" t="s">
        <v>3285</v>
      </c>
      <c r="G949" s="4" t="s">
        <v>2350</v>
      </c>
      <c r="H949" s="4" t="s">
        <v>2347</v>
      </c>
      <c r="I949" s="22">
        <v>2305229.5410000002</v>
      </c>
      <c r="J949" s="22">
        <v>585836.72</v>
      </c>
      <c r="K949" s="22">
        <v>2305213.0699999998</v>
      </c>
      <c r="L949" s="22">
        <v>585847.79299999995</v>
      </c>
      <c r="M949" s="6">
        <v>19.847000000000001</v>
      </c>
      <c r="N949" s="11">
        <v>4.09</v>
      </c>
      <c r="O949" s="11">
        <v>4.17</v>
      </c>
      <c r="P949" s="11">
        <f t="shared" si="28"/>
        <v>8.0000000000000071E-2</v>
      </c>
      <c r="Q949" s="11">
        <f t="shared" si="29"/>
        <v>0.40300000000000002</v>
      </c>
      <c r="R949" s="11">
        <v>1.1399999999999999</v>
      </c>
    </row>
    <row r="950" spans="2:18" ht="16" x14ac:dyDescent="0.3">
      <c r="B950" s="4">
        <v>944</v>
      </c>
      <c r="C950" s="4" t="s">
        <v>4113</v>
      </c>
      <c r="D950" s="5" t="s">
        <v>3284</v>
      </c>
      <c r="E950" s="4">
        <v>300</v>
      </c>
      <c r="F950" s="5" t="s">
        <v>3285</v>
      </c>
      <c r="G950" s="4" t="s">
        <v>1268</v>
      </c>
      <c r="H950" s="4" t="s">
        <v>1265</v>
      </c>
      <c r="I950" s="22">
        <v>2305573.912</v>
      </c>
      <c r="J950" s="22">
        <v>585336.57900000003</v>
      </c>
      <c r="K950" s="22">
        <v>2305592.4339999999</v>
      </c>
      <c r="L950" s="22">
        <v>585324.16</v>
      </c>
      <c r="M950" s="6">
        <v>22.3</v>
      </c>
      <c r="N950" s="11">
        <v>4.24</v>
      </c>
      <c r="O950" s="11">
        <v>4.32</v>
      </c>
      <c r="P950" s="11">
        <f t="shared" si="28"/>
        <v>8.0000000000000071E-2</v>
      </c>
      <c r="Q950" s="11">
        <f t="shared" si="29"/>
        <v>0.35899999999999999</v>
      </c>
      <c r="R950" s="11">
        <v>0.89</v>
      </c>
    </row>
    <row r="951" spans="2:18" ht="16" x14ac:dyDescent="0.3">
      <c r="B951" s="4">
        <v>945</v>
      </c>
      <c r="C951" s="4" t="s">
        <v>4114</v>
      </c>
      <c r="D951" s="5" t="s">
        <v>3284</v>
      </c>
      <c r="E951" s="4">
        <v>300</v>
      </c>
      <c r="F951" s="5" t="s">
        <v>3285</v>
      </c>
      <c r="G951" s="4" t="s">
        <v>1271</v>
      </c>
      <c r="H951" s="4" t="s">
        <v>1268</v>
      </c>
      <c r="I951" s="22">
        <v>2305551.1910000001</v>
      </c>
      <c r="J951" s="22">
        <v>585351.81599999999</v>
      </c>
      <c r="K951" s="22">
        <v>2305573.3309999998</v>
      </c>
      <c r="L951" s="22">
        <v>585336.96900000004</v>
      </c>
      <c r="M951" s="6">
        <v>26.657</v>
      </c>
      <c r="N951" s="11">
        <v>4.1500000000000004</v>
      </c>
      <c r="O951" s="11">
        <v>4.24</v>
      </c>
      <c r="P951" s="11">
        <f t="shared" si="28"/>
        <v>8.9999999999999858E-2</v>
      </c>
      <c r="Q951" s="11">
        <f t="shared" si="29"/>
        <v>0.33800000000000002</v>
      </c>
      <c r="R951" s="11">
        <v>0.97499999999999998</v>
      </c>
    </row>
    <row r="952" spans="2:18" ht="16" x14ac:dyDescent="0.3">
      <c r="B952" s="4">
        <v>946</v>
      </c>
      <c r="C952" s="4" t="s">
        <v>4115</v>
      </c>
      <c r="D952" s="5" t="s">
        <v>3284</v>
      </c>
      <c r="E952" s="4">
        <v>300</v>
      </c>
      <c r="F952" s="5" t="s">
        <v>3285</v>
      </c>
      <c r="G952" s="4" t="s">
        <v>1274</v>
      </c>
      <c r="H952" s="4" t="s">
        <v>1271</v>
      </c>
      <c r="I952" s="22">
        <v>2305539.2579999999</v>
      </c>
      <c r="J952" s="22">
        <v>585334.076</v>
      </c>
      <c r="K952" s="22">
        <v>2305550.6090000002</v>
      </c>
      <c r="L952" s="22">
        <v>585352.20600000001</v>
      </c>
      <c r="M952" s="6">
        <v>25.353999999999999</v>
      </c>
      <c r="N952" s="11">
        <v>4.07</v>
      </c>
      <c r="O952" s="11">
        <v>4.1500000000000004</v>
      </c>
      <c r="P952" s="11">
        <f t="shared" si="28"/>
        <v>8.0000000000000071E-2</v>
      </c>
      <c r="Q952" s="11">
        <f t="shared" si="29"/>
        <v>0.316</v>
      </c>
      <c r="R952" s="11">
        <v>1.06</v>
      </c>
    </row>
    <row r="953" spans="2:18" ht="16" x14ac:dyDescent="0.3">
      <c r="B953" s="4">
        <v>947</v>
      </c>
      <c r="C953" s="4" t="s">
        <v>4116</v>
      </c>
      <c r="D953" s="5" t="s">
        <v>3284</v>
      </c>
      <c r="E953" s="4">
        <v>300</v>
      </c>
      <c r="F953" s="5" t="s">
        <v>3285</v>
      </c>
      <c r="G953" s="4" t="s">
        <v>1301</v>
      </c>
      <c r="H953" s="4" t="s">
        <v>1274</v>
      </c>
      <c r="I953" s="22">
        <v>2305561.4240000001</v>
      </c>
      <c r="J953" s="22">
        <v>585319.21299999999</v>
      </c>
      <c r="K953" s="22">
        <v>2305539.8390000002</v>
      </c>
      <c r="L953" s="22">
        <v>585333.68599999999</v>
      </c>
      <c r="M953" s="6">
        <v>25.988</v>
      </c>
      <c r="N953" s="11">
        <v>4.24</v>
      </c>
      <c r="O953" s="11">
        <v>4.07</v>
      </c>
      <c r="P953" s="11">
        <f t="shared" si="28"/>
        <v>0.16999999999999993</v>
      </c>
      <c r="Q953" s="11">
        <f t="shared" si="29"/>
        <v>0.65400000000000003</v>
      </c>
      <c r="R953" s="11">
        <v>1.0149999999999999</v>
      </c>
    </row>
    <row r="954" spans="2:18" ht="16" x14ac:dyDescent="0.3">
      <c r="B954" s="4">
        <v>948</v>
      </c>
      <c r="C954" s="4" t="s">
        <v>4117</v>
      </c>
      <c r="D954" s="5" t="s">
        <v>3284</v>
      </c>
      <c r="E954" s="4">
        <v>300</v>
      </c>
      <c r="F954" s="5" t="s">
        <v>3285</v>
      </c>
      <c r="G954" s="4" t="s">
        <v>1298</v>
      </c>
      <c r="H954" s="4" t="s">
        <v>1301</v>
      </c>
      <c r="I954" s="22">
        <v>2305580.5269999998</v>
      </c>
      <c r="J954" s="22">
        <v>585306.40399999998</v>
      </c>
      <c r="K954" s="22">
        <v>2305562.0060000001</v>
      </c>
      <c r="L954" s="22">
        <v>585318.82299999997</v>
      </c>
      <c r="M954" s="6">
        <v>22.3</v>
      </c>
      <c r="N954" s="11">
        <v>4.32</v>
      </c>
      <c r="O954" s="11">
        <v>4.24</v>
      </c>
      <c r="P954" s="11">
        <f t="shared" si="28"/>
        <v>8.0000000000000071E-2</v>
      </c>
      <c r="Q954" s="11">
        <f t="shared" si="29"/>
        <v>0.35899999999999999</v>
      </c>
      <c r="R954" s="11">
        <v>0.89</v>
      </c>
    </row>
    <row r="955" spans="2:18" ht="16" x14ac:dyDescent="0.3">
      <c r="B955" s="4">
        <v>949</v>
      </c>
      <c r="C955" s="4" t="s">
        <v>4118</v>
      </c>
      <c r="D955" s="5" t="s">
        <v>3284</v>
      </c>
      <c r="E955" s="4">
        <v>300</v>
      </c>
      <c r="F955" s="5" t="s">
        <v>3285</v>
      </c>
      <c r="G955" s="4" t="s">
        <v>189</v>
      </c>
      <c r="H955" s="4" t="s">
        <v>186</v>
      </c>
      <c r="I955" s="22">
        <v>2305324.8689999999</v>
      </c>
      <c r="J955" s="22">
        <v>585798.56499999994</v>
      </c>
      <c r="K955" s="22">
        <v>2305303.8560000001</v>
      </c>
      <c r="L955" s="22">
        <v>585812.65599999996</v>
      </c>
      <c r="M955" s="6">
        <v>25.3</v>
      </c>
      <c r="N955" s="11">
        <v>4.4800000000000004</v>
      </c>
      <c r="O955" s="11">
        <v>4.59</v>
      </c>
      <c r="P955" s="11">
        <f t="shared" si="28"/>
        <v>0.10999999999999943</v>
      </c>
      <c r="Q955" s="11">
        <f t="shared" si="29"/>
        <v>0.435</v>
      </c>
      <c r="R955" s="11">
        <v>0.84</v>
      </c>
    </row>
    <row r="956" spans="2:18" ht="16" x14ac:dyDescent="0.3">
      <c r="B956" s="4">
        <v>950</v>
      </c>
      <c r="C956" s="4" t="s">
        <v>4119</v>
      </c>
      <c r="D956" s="5" t="s">
        <v>3284</v>
      </c>
      <c r="E956" s="4">
        <v>300</v>
      </c>
      <c r="F956" s="5" t="s">
        <v>3285</v>
      </c>
      <c r="G956" s="4" t="s">
        <v>195</v>
      </c>
      <c r="H956" s="4" t="s">
        <v>189</v>
      </c>
      <c r="I956" s="22">
        <v>2305345.6320000002</v>
      </c>
      <c r="J956" s="22">
        <v>585784.64199999999</v>
      </c>
      <c r="K956" s="22">
        <v>2305325.4500000002</v>
      </c>
      <c r="L956" s="22">
        <v>585798.17500000005</v>
      </c>
      <c r="M956" s="6">
        <v>24.3</v>
      </c>
      <c r="N956" s="11">
        <v>4.5</v>
      </c>
      <c r="O956" s="11">
        <v>4.4800000000000004</v>
      </c>
      <c r="P956" s="11">
        <f t="shared" si="28"/>
        <v>1.9999999999999574E-2</v>
      </c>
      <c r="Q956" s="11">
        <f t="shared" si="29"/>
        <v>8.2000000000000003E-2</v>
      </c>
      <c r="R956" s="11">
        <v>0.89</v>
      </c>
    </row>
    <row r="957" spans="2:18" ht="16" x14ac:dyDescent="0.3">
      <c r="B957" s="4">
        <v>951</v>
      </c>
      <c r="C957" s="4" t="s">
        <v>4120</v>
      </c>
      <c r="D957" s="5" t="s">
        <v>3284</v>
      </c>
      <c r="E957" s="4">
        <v>300</v>
      </c>
      <c r="F957" s="5" t="s">
        <v>3285</v>
      </c>
      <c r="G957" s="4" t="s">
        <v>198</v>
      </c>
      <c r="H957" s="4" t="s">
        <v>195</v>
      </c>
      <c r="I957" s="22">
        <v>2305367.227</v>
      </c>
      <c r="J957" s="22">
        <v>585770.16099999996</v>
      </c>
      <c r="K957" s="22">
        <v>2305346.2140000002</v>
      </c>
      <c r="L957" s="22">
        <v>585784.25199999998</v>
      </c>
      <c r="M957" s="6">
        <v>25.3</v>
      </c>
      <c r="N957" s="11">
        <v>4.37</v>
      </c>
      <c r="O957" s="11">
        <v>4.5</v>
      </c>
      <c r="P957" s="11">
        <f t="shared" si="28"/>
        <v>0.12999999999999989</v>
      </c>
      <c r="Q957" s="11">
        <f t="shared" si="29"/>
        <v>0.51400000000000001</v>
      </c>
      <c r="R957" s="11">
        <v>0.95</v>
      </c>
    </row>
    <row r="958" spans="2:18" ht="16" x14ac:dyDescent="0.3">
      <c r="B958" s="4">
        <v>952</v>
      </c>
      <c r="C958" s="4" t="s">
        <v>4121</v>
      </c>
      <c r="D958" s="5" t="s">
        <v>3284</v>
      </c>
      <c r="E958" s="4">
        <v>300</v>
      </c>
      <c r="F958" s="5" t="s">
        <v>3285</v>
      </c>
      <c r="G958" s="4" t="s">
        <v>192</v>
      </c>
      <c r="H958" s="4" t="s">
        <v>198</v>
      </c>
      <c r="I958" s="22">
        <v>2305388.003</v>
      </c>
      <c r="J958" s="22">
        <v>585756.25699999998</v>
      </c>
      <c r="K958" s="22">
        <v>2305367.8080000002</v>
      </c>
      <c r="L958" s="22">
        <v>585769.77099999995</v>
      </c>
      <c r="M958" s="6">
        <v>24.3</v>
      </c>
      <c r="N958" s="11">
        <v>4.29</v>
      </c>
      <c r="O958" s="11">
        <v>4.37</v>
      </c>
      <c r="P958" s="11">
        <f t="shared" si="28"/>
        <v>8.0000000000000071E-2</v>
      </c>
      <c r="Q958" s="11">
        <f t="shared" si="29"/>
        <v>0.32900000000000001</v>
      </c>
      <c r="R958" s="11">
        <v>1.0649999999999999</v>
      </c>
    </row>
    <row r="959" spans="2:18" ht="16" x14ac:dyDescent="0.3">
      <c r="B959" s="4">
        <v>953</v>
      </c>
      <c r="C959" s="4" t="s">
        <v>4122</v>
      </c>
      <c r="D959" s="5" t="s">
        <v>3284</v>
      </c>
      <c r="E959" s="4">
        <v>300</v>
      </c>
      <c r="F959" s="5" t="s">
        <v>3285</v>
      </c>
      <c r="G959" s="4" t="s">
        <v>207</v>
      </c>
      <c r="H959" s="4" t="s">
        <v>207</v>
      </c>
      <c r="I959" s="22">
        <v>2305529.304</v>
      </c>
      <c r="J959" s="22">
        <v>585661.85100000002</v>
      </c>
      <c r="K959" s="22">
        <v>2305519.1850000001</v>
      </c>
      <c r="L959" s="22">
        <v>585659.85600000003</v>
      </c>
      <c r="M959" s="6">
        <v>10.314</v>
      </c>
      <c r="N959" s="11">
        <v>4.3499999999999996</v>
      </c>
      <c r="O959" s="11">
        <v>4.3499999999999996</v>
      </c>
      <c r="P959" s="11">
        <f t="shared" si="28"/>
        <v>0</v>
      </c>
      <c r="Q959" s="11">
        <f t="shared" si="29"/>
        <v>0</v>
      </c>
      <c r="R959" s="11">
        <v>1.07</v>
      </c>
    </row>
    <row r="960" spans="2:18" ht="16" x14ac:dyDescent="0.3">
      <c r="B960" s="4">
        <v>954</v>
      </c>
      <c r="C960" s="4" t="s">
        <v>4123</v>
      </c>
      <c r="D960" s="5" t="s">
        <v>3284</v>
      </c>
      <c r="E960" s="4">
        <v>300</v>
      </c>
      <c r="F960" s="5" t="s">
        <v>3285</v>
      </c>
      <c r="G960" s="4" t="s">
        <v>204</v>
      </c>
      <c r="H960" s="4" t="s">
        <v>207</v>
      </c>
      <c r="I960" s="22">
        <v>2305558.0460000001</v>
      </c>
      <c r="J960" s="22">
        <v>585642.20400000003</v>
      </c>
      <c r="K960" s="22">
        <v>2305529.304</v>
      </c>
      <c r="L960" s="22">
        <v>585661.85100000002</v>
      </c>
      <c r="M960" s="6">
        <v>34.816000000000003</v>
      </c>
      <c r="N960" s="11">
        <v>4.47</v>
      </c>
      <c r="O960" s="11">
        <v>4.3499999999999996</v>
      </c>
      <c r="P960" s="11">
        <f t="shared" si="28"/>
        <v>0.12000000000000011</v>
      </c>
      <c r="Q960" s="11">
        <f t="shared" si="29"/>
        <v>0.34499999999999997</v>
      </c>
      <c r="R960" s="11">
        <v>1.01</v>
      </c>
    </row>
    <row r="961" spans="2:18" ht="16" x14ac:dyDescent="0.3">
      <c r="B961" s="4">
        <v>955</v>
      </c>
      <c r="C961" s="4" t="s">
        <v>4124</v>
      </c>
      <c r="D961" s="5" t="s">
        <v>3284</v>
      </c>
      <c r="E961" s="4">
        <v>300</v>
      </c>
      <c r="F961" s="5" t="s">
        <v>3285</v>
      </c>
      <c r="G961" s="4" t="s">
        <v>201</v>
      </c>
      <c r="H961" s="4" t="s">
        <v>204</v>
      </c>
      <c r="I961" s="22">
        <v>2305581.301</v>
      </c>
      <c r="J961" s="22">
        <v>585626.60900000005</v>
      </c>
      <c r="K961" s="22">
        <v>2305558.6269999999</v>
      </c>
      <c r="L961" s="22">
        <v>585641.81400000001</v>
      </c>
      <c r="M961" s="6">
        <v>27.3</v>
      </c>
      <c r="N961" s="11">
        <v>4.5599999999999996</v>
      </c>
      <c r="O961" s="11">
        <v>4.47</v>
      </c>
      <c r="P961" s="11">
        <f t="shared" si="28"/>
        <v>8.9999999999999858E-2</v>
      </c>
      <c r="Q961" s="11">
        <f t="shared" si="29"/>
        <v>0.33</v>
      </c>
      <c r="R961" s="11">
        <v>0.91</v>
      </c>
    </row>
    <row r="962" spans="2:18" ht="16" x14ac:dyDescent="0.3">
      <c r="B962" s="4">
        <v>956</v>
      </c>
      <c r="C962" s="4" t="s">
        <v>4125</v>
      </c>
      <c r="D962" s="5" t="s">
        <v>3284</v>
      </c>
      <c r="E962" s="4">
        <v>300</v>
      </c>
      <c r="F962" s="5" t="s">
        <v>3285</v>
      </c>
      <c r="G962" s="4" t="s">
        <v>180</v>
      </c>
      <c r="H962" s="4" t="s">
        <v>201</v>
      </c>
      <c r="I962" s="22">
        <v>2305604.557</v>
      </c>
      <c r="J962" s="22">
        <v>585611.01500000001</v>
      </c>
      <c r="K962" s="22">
        <v>2305581.8829999999</v>
      </c>
      <c r="L962" s="22">
        <v>585626.22</v>
      </c>
      <c r="M962" s="6">
        <v>27.3</v>
      </c>
      <c r="N962" s="11">
        <v>4.6500000000000004</v>
      </c>
      <c r="O962" s="11">
        <v>4.5599999999999996</v>
      </c>
      <c r="P962" s="11">
        <f t="shared" si="28"/>
        <v>9.0000000000000746E-2</v>
      </c>
      <c r="Q962" s="11">
        <f t="shared" si="29"/>
        <v>0.33</v>
      </c>
      <c r="R962" s="11">
        <v>0.82499999999999996</v>
      </c>
    </row>
    <row r="963" spans="2:18" ht="16" x14ac:dyDescent="0.3">
      <c r="B963" s="4">
        <v>957</v>
      </c>
      <c r="C963" s="4" t="s">
        <v>4126</v>
      </c>
      <c r="D963" s="5" t="s">
        <v>3284</v>
      </c>
      <c r="E963" s="4">
        <v>300</v>
      </c>
      <c r="F963" s="5" t="s">
        <v>3285</v>
      </c>
      <c r="G963" s="4" t="s">
        <v>219</v>
      </c>
      <c r="H963" s="4" t="s">
        <v>222</v>
      </c>
      <c r="I963" s="22">
        <v>2305661.61</v>
      </c>
      <c r="J963" s="22">
        <v>585572.75699999998</v>
      </c>
      <c r="K963" s="22">
        <v>2305638.8709999998</v>
      </c>
      <c r="L963" s="22">
        <v>585588.19900000002</v>
      </c>
      <c r="M963" s="6">
        <v>27.486000000000001</v>
      </c>
      <c r="N963" s="11">
        <v>4.5999999999999996</v>
      </c>
      <c r="O963" s="11">
        <v>4.4000000000000004</v>
      </c>
      <c r="P963" s="11">
        <f t="shared" si="28"/>
        <v>0.19999999999999929</v>
      </c>
      <c r="Q963" s="11">
        <f t="shared" si="29"/>
        <v>0.72799999999999998</v>
      </c>
      <c r="R963" s="11">
        <v>1.17</v>
      </c>
    </row>
    <row r="964" spans="2:18" ht="16" x14ac:dyDescent="0.3">
      <c r="B964" s="4">
        <v>958</v>
      </c>
      <c r="C964" s="4" t="s">
        <v>4127</v>
      </c>
      <c r="D964" s="5" t="s">
        <v>3284</v>
      </c>
      <c r="E964" s="4">
        <v>300</v>
      </c>
      <c r="F964" s="5" t="s">
        <v>3285</v>
      </c>
      <c r="G964" s="4" t="s">
        <v>216</v>
      </c>
      <c r="H964" s="4" t="s">
        <v>219</v>
      </c>
      <c r="I964" s="22">
        <v>2305683.2039999999</v>
      </c>
      <c r="J964" s="22">
        <v>585558.277</v>
      </c>
      <c r="K964" s="22">
        <v>2305662.1910000001</v>
      </c>
      <c r="L964" s="22">
        <v>585572.36699999997</v>
      </c>
      <c r="M964" s="6">
        <v>25.3</v>
      </c>
      <c r="N964" s="11">
        <v>4.68</v>
      </c>
      <c r="O964" s="11">
        <v>4.5999999999999996</v>
      </c>
      <c r="P964" s="11">
        <f t="shared" si="28"/>
        <v>8.0000000000000071E-2</v>
      </c>
      <c r="Q964" s="11">
        <f t="shared" si="29"/>
        <v>0.316</v>
      </c>
      <c r="R964" s="11">
        <v>1.03</v>
      </c>
    </row>
    <row r="965" spans="2:18" ht="16" x14ac:dyDescent="0.3">
      <c r="B965" s="4">
        <v>959</v>
      </c>
      <c r="C965" s="4" t="s">
        <v>4128</v>
      </c>
      <c r="D965" s="5" t="s">
        <v>3284</v>
      </c>
      <c r="E965" s="4">
        <v>300</v>
      </c>
      <c r="F965" s="5" t="s">
        <v>3285</v>
      </c>
      <c r="G965" s="4" t="s">
        <v>213</v>
      </c>
      <c r="H965" s="4" t="s">
        <v>216</v>
      </c>
      <c r="I965" s="22">
        <v>2305706.46</v>
      </c>
      <c r="J965" s="22">
        <v>585542.68200000003</v>
      </c>
      <c r="K965" s="22">
        <v>2305683.7859999998</v>
      </c>
      <c r="L965" s="22">
        <v>585557.88699999999</v>
      </c>
      <c r="M965" s="6">
        <v>27.3</v>
      </c>
      <c r="N965" s="11">
        <v>4.76</v>
      </c>
      <c r="O965" s="11">
        <v>4.68</v>
      </c>
      <c r="P965" s="11">
        <f t="shared" si="28"/>
        <v>8.0000000000000071E-2</v>
      </c>
      <c r="Q965" s="11">
        <f t="shared" si="29"/>
        <v>0.29299999999999998</v>
      </c>
      <c r="R965" s="11">
        <v>0.95499999999999996</v>
      </c>
    </row>
    <row r="966" spans="2:18" ht="16" x14ac:dyDescent="0.3">
      <c r="B966" s="4">
        <v>960</v>
      </c>
      <c r="C966" s="4" t="s">
        <v>4129</v>
      </c>
      <c r="D966" s="5" t="s">
        <v>3284</v>
      </c>
      <c r="E966" s="4">
        <v>300</v>
      </c>
      <c r="F966" s="5" t="s">
        <v>3285</v>
      </c>
      <c r="G966" s="4" t="s">
        <v>210</v>
      </c>
      <c r="H966" s="4" t="s">
        <v>213</v>
      </c>
      <c r="I966" s="22">
        <v>2305725.5619999999</v>
      </c>
      <c r="J966" s="22">
        <v>585529.87300000002</v>
      </c>
      <c r="K966" s="22">
        <v>2305707.0410000002</v>
      </c>
      <c r="L966" s="22">
        <v>585542.29200000002</v>
      </c>
      <c r="M966" s="6">
        <v>22.3</v>
      </c>
      <c r="N966" s="11">
        <v>4.8499999999999996</v>
      </c>
      <c r="O966" s="11">
        <v>4.76</v>
      </c>
      <c r="P966" s="11">
        <f t="shared" si="28"/>
        <v>8.9999999999999858E-2</v>
      </c>
      <c r="Q966" s="11">
        <f t="shared" si="29"/>
        <v>0.40400000000000003</v>
      </c>
      <c r="R966" s="11">
        <v>0.875</v>
      </c>
    </row>
    <row r="967" spans="2:18" ht="16" x14ac:dyDescent="0.3">
      <c r="B967" s="4">
        <v>961</v>
      </c>
      <c r="C967" s="4" t="s">
        <v>4130</v>
      </c>
      <c r="D967" s="5" t="s">
        <v>3284</v>
      </c>
      <c r="E967" s="4">
        <v>300</v>
      </c>
      <c r="F967" s="5" t="s">
        <v>3285</v>
      </c>
      <c r="G967" s="4" t="s">
        <v>207</v>
      </c>
      <c r="H967" s="4" t="s">
        <v>558</v>
      </c>
      <c r="I967" s="22">
        <v>2305528.8969999999</v>
      </c>
      <c r="J967" s="22">
        <v>585661.77099999995</v>
      </c>
      <c r="K967" s="22">
        <v>2305515.9709999999</v>
      </c>
      <c r="L967" s="22">
        <v>585644.50899999996</v>
      </c>
      <c r="M967" s="6">
        <v>27.844999999999999</v>
      </c>
      <c r="N967" s="11">
        <v>4.3499999999999996</v>
      </c>
      <c r="O967" s="11">
        <v>4.4400000000000004</v>
      </c>
      <c r="P967" s="11">
        <f t="shared" ref="P967:P973" si="30">IF(AND(ISNUMBER(N967),ISNUMBER(O967)),ABS(N967-O967),0)</f>
        <v>9.0000000000000746E-2</v>
      </c>
      <c r="Q967" s="11">
        <f t="shared" ref="Q967:Q973" si="31">IF(M967&gt;0,ROUND(P967/M967*100,3),0)</f>
        <v>0.32300000000000001</v>
      </c>
      <c r="R967" s="11">
        <v>0.95</v>
      </c>
    </row>
    <row r="968" spans="2:18" ht="16" x14ac:dyDescent="0.3">
      <c r="B968" s="4">
        <v>962</v>
      </c>
      <c r="C968" s="4" t="s">
        <v>4131</v>
      </c>
      <c r="D968" s="5" t="s">
        <v>3284</v>
      </c>
      <c r="E968" s="4">
        <v>300</v>
      </c>
      <c r="F968" s="5" t="s">
        <v>3285</v>
      </c>
      <c r="G968" s="4" t="s">
        <v>543</v>
      </c>
      <c r="H968" s="4" t="s">
        <v>546</v>
      </c>
      <c r="I968" s="22">
        <v>2305443.216</v>
      </c>
      <c r="J968" s="22">
        <v>585308.51100000006</v>
      </c>
      <c r="K968" s="22">
        <v>2305430.7009999999</v>
      </c>
      <c r="L968" s="22">
        <v>585287.99199999997</v>
      </c>
      <c r="M968" s="6">
        <v>24.033999999999999</v>
      </c>
      <c r="N968" s="11">
        <v>2.92</v>
      </c>
      <c r="O968" s="11">
        <v>2.83</v>
      </c>
      <c r="P968" s="11">
        <f t="shared" si="30"/>
        <v>8.9999999999999858E-2</v>
      </c>
      <c r="Q968" s="11">
        <f t="shared" si="31"/>
        <v>0.374</v>
      </c>
      <c r="R968" s="11">
        <v>2.3650000000000002</v>
      </c>
    </row>
    <row r="969" spans="2:18" ht="16" x14ac:dyDescent="0.3">
      <c r="B969" s="4">
        <v>963</v>
      </c>
      <c r="C969" s="4" t="s">
        <v>4132</v>
      </c>
      <c r="D969" s="5" t="s">
        <v>3284</v>
      </c>
      <c r="E969" s="4">
        <v>300</v>
      </c>
      <c r="F969" s="5" t="s">
        <v>3285</v>
      </c>
      <c r="G969" s="4" t="s">
        <v>1640</v>
      </c>
      <c r="H969" s="4" t="s">
        <v>1643</v>
      </c>
      <c r="I969" s="22">
        <v>2305384.4700000002</v>
      </c>
      <c r="J969" s="22">
        <v>585700.71299999999</v>
      </c>
      <c r="K969" s="22">
        <v>2305385.673</v>
      </c>
      <c r="L969" s="22">
        <v>585682.50399999996</v>
      </c>
      <c r="M969" s="6">
        <v>21.858000000000001</v>
      </c>
      <c r="N969" s="11">
        <v>4.0199999999999996</v>
      </c>
      <c r="O969" s="11">
        <v>3.95</v>
      </c>
      <c r="P969" s="11">
        <f t="shared" si="30"/>
        <v>6.9999999999999396E-2</v>
      </c>
      <c r="Q969" s="11">
        <f t="shared" si="31"/>
        <v>0.32</v>
      </c>
      <c r="R969" s="11">
        <v>1.3049999999999999</v>
      </c>
    </row>
    <row r="970" spans="2:18" ht="16" x14ac:dyDescent="0.3">
      <c r="B970" s="4">
        <v>964</v>
      </c>
      <c r="C970" s="4" t="s">
        <v>4133</v>
      </c>
      <c r="D970" s="5" t="s">
        <v>3284</v>
      </c>
      <c r="E970" s="4">
        <v>300</v>
      </c>
      <c r="F970" s="5" t="s">
        <v>3285</v>
      </c>
      <c r="G970" s="4" t="s">
        <v>603</v>
      </c>
      <c r="H970" s="4" t="s">
        <v>1921</v>
      </c>
      <c r="I970" s="22">
        <v>2305285.3199999998</v>
      </c>
      <c r="J970" s="22">
        <v>585464.51300000004</v>
      </c>
      <c r="K970" s="22">
        <v>2305303.9500000002</v>
      </c>
      <c r="L970" s="22">
        <v>585459.13899999997</v>
      </c>
      <c r="M970" s="6">
        <v>21.75</v>
      </c>
      <c r="N970" s="11">
        <v>3.41</v>
      </c>
      <c r="O970" s="11">
        <v>3.48</v>
      </c>
      <c r="P970" s="11">
        <f t="shared" si="30"/>
        <v>6.999999999999984E-2</v>
      </c>
      <c r="Q970" s="11">
        <f t="shared" si="31"/>
        <v>0.32200000000000001</v>
      </c>
      <c r="R970" s="11">
        <v>1.825</v>
      </c>
    </row>
    <row r="971" spans="2:18" ht="16" x14ac:dyDescent="0.3">
      <c r="B971" s="4">
        <v>965</v>
      </c>
      <c r="C971" s="4" t="s">
        <v>4134</v>
      </c>
      <c r="D971" s="5" t="s">
        <v>3284</v>
      </c>
      <c r="E971" s="4">
        <v>300</v>
      </c>
      <c r="F971" s="5" t="s">
        <v>3285</v>
      </c>
      <c r="G971" s="4" t="s">
        <v>289</v>
      </c>
      <c r="H971" s="4" t="s">
        <v>292</v>
      </c>
      <c r="I971" s="22">
        <v>2304919.963</v>
      </c>
      <c r="J971" s="22">
        <v>585616.46100000001</v>
      </c>
      <c r="K971" s="22">
        <v>2304906.0819999999</v>
      </c>
      <c r="L971" s="22">
        <v>585599.57900000003</v>
      </c>
      <c r="M971" s="6">
        <v>27.579000000000001</v>
      </c>
      <c r="N971" s="11">
        <v>2.92</v>
      </c>
      <c r="O971" s="11">
        <v>2.84</v>
      </c>
      <c r="P971" s="11">
        <f t="shared" si="30"/>
        <v>8.0000000000000071E-2</v>
      </c>
      <c r="Q971" s="11">
        <f t="shared" si="31"/>
        <v>0.28999999999999998</v>
      </c>
      <c r="R971" s="11">
        <v>2.29</v>
      </c>
    </row>
    <row r="972" spans="2:18" ht="16" x14ac:dyDescent="0.3">
      <c r="B972" s="4">
        <v>966</v>
      </c>
      <c r="C972" s="4" t="s">
        <v>4135</v>
      </c>
      <c r="D972" s="5" t="s">
        <v>3284</v>
      </c>
      <c r="E972" s="4">
        <v>300</v>
      </c>
      <c r="F972" s="5" t="s">
        <v>3285</v>
      </c>
      <c r="G972" s="4" t="s">
        <v>1736</v>
      </c>
      <c r="H972" s="4" t="s">
        <v>1733</v>
      </c>
      <c r="I972" s="22">
        <v>2305267.5419999999</v>
      </c>
      <c r="J972" s="22">
        <v>585682.29200000002</v>
      </c>
      <c r="K972" s="22">
        <v>2305278.2390000001</v>
      </c>
      <c r="L972" s="22">
        <v>585701.19700000004</v>
      </c>
      <c r="M972" s="6">
        <v>30.704999999999998</v>
      </c>
      <c r="N972" s="11">
        <v>3.93</v>
      </c>
      <c r="O972" s="11">
        <v>4.01</v>
      </c>
      <c r="P972" s="11">
        <f t="shared" si="30"/>
        <v>7.9999999999999627E-2</v>
      </c>
      <c r="Q972" s="11">
        <f t="shared" si="31"/>
        <v>0.26100000000000001</v>
      </c>
      <c r="R972" s="11">
        <v>1.3</v>
      </c>
    </row>
    <row r="973" spans="2:18" ht="16" x14ac:dyDescent="0.3">
      <c r="B973" s="4">
        <v>967</v>
      </c>
      <c r="C973" s="4" t="s">
        <v>4136</v>
      </c>
      <c r="D973" s="5" t="s">
        <v>3284</v>
      </c>
      <c r="E973" s="4">
        <v>300</v>
      </c>
      <c r="F973" s="5" t="s">
        <v>3285</v>
      </c>
      <c r="G973" s="4" t="s">
        <v>650</v>
      </c>
      <c r="H973" s="4" t="s">
        <v>647</v>
      </c>
      <c r="I973" s="22">
        <v>2305174.0040000002</v>
      </c>
      <c r="J973" s="22">
        <v>585754.57400000002</v>
      </c>
      <c r="K973" s="22">
        <v>2305186.35</v>
      </c>
      <c r="L973" s="22">
        <v>585772.44700000004</v>
      </c>
      <c r="M973" s="6">
        <v>33.049999999999997</v>
      </c>
      <c r="N973" s="11">
        <v>3.73</v>
      </c>
      <c r="O973" s="11">
        <v>3.81</v>
      </c>
      <c r="P973" s="11">
        <f t="shared" si="30"/>
        <v>8.0000000000000071E-2</v>
      </c>
      <c r="Q973" s="11">
        <f t="shared" si="31"/>
        <v>0.24199999999999999</v>
      </c>
      <c r="R973" s="11">
        <v>1.5</v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📑 Tổng Hợp BoQ</vt:lpstr>
      <vt:lpstr>📊 Bóc Tách Cống</vt:lpstr>
      <vt:lpstr>📊 Bóc Tách Hố Ga</vt:lpstr>
      <vt:lpstr>📋 CSDL Hố Ga</vt:lpstr>
      <vt:lpstr>📋 CSDL Tuyến Cống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2026-10-09T04:41:24Z</dcterms:created>
  <dcterms:modified xsi:type="dcterms:W3CDTF">2026-10-09T04:44:30Z</dcterms:modified>
</cp:coreProperties>
</file>